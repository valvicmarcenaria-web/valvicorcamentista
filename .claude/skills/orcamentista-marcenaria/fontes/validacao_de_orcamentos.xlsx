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una_reoupeiro_helena" sheetId="1" r:id="rId5"/>
    <sheet state="visible" name="lucas e ana_cristaleira" sheetId="2" r:id="rId6"/>
    <sheet state="visible" name="roupeiro_barbara_gustavo" sheetId="3" r:id="rId7"/>
    <sheet state="visible" name="paula_roupeiro_office" sheetId="4" r:id="rId8"/>
    <sheet state="visible" name="bruna_ferreira_paineis" sheetId="5" r:id="rId9"/>
    <sheet state="visible" name="escritorio ionah" sheetId="6" r:id="rId10"/>
    <sheet state="visible" name="cristaleira_nadia" sheetId="7" r:id="rId11"/>
    <sheet state="visible" name="cozinha_nadia" sheetId="8" r:id="rId12"/>
    <sheet state="visible" name="closet_nadia" sheetId="9" r:id="rId13"/>
    <sheet state="visible" name="painel maria" sheetId="10" r:id="rId14"/>
    <sheet state="visible" name="cozinha deivison" sheetId="11" r:id="rId15"/>
  </sheets>
  <definedNames/>
  <calcPr/>
</workbook>
</file>

<file path=xl/sharedStrings.xml><?xml version="1.0" encoding="utf-8"?>
<sst xmlns="http://schemas.openxmlformats.org/spreadsheetml/2006/main" count="1255" uniqueCount="131">
  <si>
    <t>Validacao de orcamentos</t>
  </si>
  <si>
    <t>Cliente:</t>
  </si>
  <si>
    <t>Cristiane</t>
  </si>
  <si>
    <t>Projeto:</t>
  </si>
  <si>
    <t>cama</t>
  </si>
  <si>
    <t>Versao:</t>
  </si>
  <si>
    <t>001</t>
  </si>
  <si>
    <t>Previsto</t>
  </si>
  <si>
    <t xml:space="preserve">Investimento R$: </t>
  </si>
  <si>
    <t xml:space="preserve">Custo total R$: </t>
  </si>
  <si>
    <t>MC R$:</t>
  </si>
  <si>
    <t>MC %</t>
  </si>
  <si>
    <t>Ideal (35-40%)</t>
  </si>
  <si>
    <t>Custo operacional R$:</t>
  </si>
  <si>
    <t>Custo material R$:</t>
  </si>
  <si>
    <t>Margem de erro</t>
  </si>
  <si>
    <t>Prejuizo</t>
  </si>
  <si>
    <t>Operacionais</t>
  </si>
  <si>
    <t>comissao producao</t>
  </si>
  <si>
    <t>Logistica carretos materiais</t>
  </si>
  <si>
    <t xml:space="preserve">Logistica uber </t>
  </si>
  <si>
    <t>Logistica equipe</t>
  </si>
  <si>
    <t>Alimentacao</t>
  </si>
  <si>
    <t>hora extra</t>
  </si>
  <si>
    <t>desgaste de serra/fresa</t>
  </si>
  <si>
    <t>Manutencao maquinas</t>
  </si>
  <si>
    <t>Terceirizados</t>
  </si>
  <si>
    <t>Vidraceiro</t>
  </si>
  <si>
    <t>Serralheiro</t>
  </si>
  <si>
    <t>Pintor</t>
  </si>
  <si>
    <t>Estofador</t>
  </si>
  <si>
    <t>Laqueamento</t>
  </si>
  <si>
    <t>Custos de venda R$:</t>
  </si>
  <si>
    <t>Comissao vendedor</t>
  </si>
  <si>
    <t>RT</t>
  </si>
  <si>
    <t>Nota fiscal</t>
  </si>
  <si>
    <t>Visitas</t>
  </si>
  <si>
    <t>Impressao</t>
  </si>
  <si>
    <t>Parcelamento máquina</t>
  </si>
  <si>
    <t>Brindes</t>
  </si>
  <si>
    <t xml:space="preserve">Projeto </t>
  </si>
  <si>
    <t>Custos com materiais</t>
  </si>
  <si>
    <t>Material</t>
  </si>
  <si>
    <t>Quant</t>
  </si>
  <si>
    <t>R$ Unt</t>
  </si>
  <si>
    <t>R$ Total</t>
  </si>
  <si>
    <t>MDF</t>
  </si>
  <si>
    <t>mdf branco 6</t>
  </si>
  <si>
    <t>mdf branco 15</t>
  </si>
  <si>
    <t>mdf branco 18</t>
  </si>
  <si>
    <t>mdf branco 25</t>
  </si>
  <si>
    <t>mdf cor 6</t>
  </si>
  <si>
    <t>mdf cor 15</t>
  </si>
  <si>
    <t>mdf cor 18</t>
  </si>
  <si>
    <t>mdf especial 6</t>
  </si>
  <si>
    <t>mdf especial 15</t>
  </si>
  <si>
    <t>mdf especial 18</t>
  </si>
  <si>
    <t>mdf com lamina prensada +acab.</t>
  </si>
  <si>
    <t>Palha sintetica</t>
  </si>
  <si>
    <t>Compensado flexivel</t>
  </si>
  <si>
    <t>Cola e fita</t>
  </si>
  <si>
    <t xml:space="preserve">Cola </t>
  </si>
  <si>
    <t>Fita de borda</t>
  </si>
  <si>
    <t>Outros 1</t>
  </si>
  <si>
    <t>Ferragens</t>
  </si>
  <si>
    <t>Dobradicas</t>
  </si>
  <si>
    <t xml:space="preserve">Corredicas tels. </t>
  </si>
  <si>
    <t xml:space="preserve">Corredicas </t>
  </si>
  <si>
    <t xml:space="preserve">Rodízio </t>
  </si>
  <si>
    <t>Articuladores</t>
  </si>
  <si>
    <t>Sistema roupeiro</t>
  </si>
  <si>
    <t xml:space="preserve">Sistema porta passagem </t>
  </si>
  <si>
    <t>Sistema armario banheiro</t>
  </si>
  <si>
    <t>Sistema rack</t>
  </si>
  <si>
    <t xml:space="preserve">Puxadores </t>
  </si>
  <si>
    <t xml:space="preserve">Portas de vidro </t>
  </si>
  <si>
    <t>Desempenador de portas</t>
  </si>
  <si>
    <t>Sistema RO82 + trilho</t>
  </si>
  <si>
    <t xml:space="preserve">Cabideiros </t>
  </si>
  <si>
    <t xml:space="preserve">Parafusos e dispositivos e mont. </t>
  </si>
  <si>
    <t>Parafusos</t>
  </si>
  <si>
    <t>Conj. parafuso e bucha</t>
  </si>
  <si>
    <t>Sup. prateleiras</t>
  </si>
  <si>
    <t>Sist. montagem (mini fix etc)</t>
  </si>
  <si>
    <t>kit Teck bond</t>
  </si>
  <si>
    <t>PUR / PU</t>
  </si>
  <si>
    <t>Silicone acabamento</t>
  </si>
  <si>
    <t>Outros 2</t>
  </si>
  <si>
    <t>Iluminacao</t>
  </si>
  <si>
    <t>Led - Fita + perfil (metro linear)</t>
  </si>
  <si>
    <t>Sensor</t>
  </si>
  <si>
    <t>Diversos</t>
  </si>
  <si>
    <t>Metalom</t>
  </si>
  <si>
    <t>Vidros</t>
  </si>
  <si>
    <t>Puxador topo de porta</t>
  </si>
  <si>
    <t xml:space="preserve">Escorredor </t>
  </si>
  <si>
    <t>Portas de vidro</t>
  </si>
  <si>
    <t>Material pintura</t>
  </si>
  <si>
    <t>Palinha</t>
  </si>
  <si>
    <t>Limpeza / embalagem</t>
  </si>
  <si>
    <t>Tinner (litro)</t>
  </si>
  <si>
    <t>Estopa (pacote)</t>
  </si>
  <si>
    <t>Strach</t>
  </si>
  <si>
    <t>cantoneira</t>
  </si>
  <si>
    <t>Embalagem</t>
  </si>
  <si>
    <t>Material informacional</t>
  </si>
  <si>
    <t>Etiqueta</t>
  </si>
  <si>
    <t>impressao externa</t>
  </si>
  <si>
    <t>impressao interna</t>
  </si>
  <si>
    <t>Lucas e Ana</t>
  </si>
  <si>
    <t>Cristaleira</t>
  </si>
  <si>
    <t>montagem</t>
  </si>
  <si>
    <t xml:space="preserve">Mdf branco 15 Ultra </t>
  </si>
  <si>
    <t>Dobradicas especiais</t>
  </si>
  <si>
    <t>Suporte prateleira</t>
  </si>
  <si>
    <t xml:space="preserve">Lucas e Ana </t>
  </si>
  <si>
    <t>Quarto Be</t>
  </si>
  <si>
    <t>Roupeiro office</t>
  </si>
  <si>
    <t>Roupeiro</t>
  </si>
  <si>
    <t>Puxador cava</t>
  </si>
  <si>
    <t>Bruna Ferreira</t>
  </si>
  <si>
    <t>Paineis</t>
  </si>
  <si>
    <t>Ionah</t>
  </si>
  <si>
    <t>Escritório</t>
  </si>
  <si>
    <t>Nadia</t>
  </si>
  <si>
    <t>Prateleira vidro</t>
  </si>
  <si>
    <t>Cozinha</t>
  </si>
  <si>
    <t>Closet</t>
  </si>
  <si>
    <t xml:space="preserve">maria </t>
  </si>
  <si>
    <t>Painel hall elevador</t>
  </si>
  <si>
    <t>Deivison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</si>
</sst>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&quot;$&quot;#,##0.00"/>
  </numFmts>
  <fonts count="11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>
      <b/>
      <i/>
      <color rgb="FF000000"/>
      <name val="Arial"/>
      <scheme val="minor"/>
    </font>
    <font>
      <i/>
      <color theme="1"/>
      <name val="Arial"/>
    </font>
    <font>
      <color theme="1"/>
      <name val="Arial"/>
      <scheme val="minor"/>
    </font>
    <font>
      <b/>
      <sz val="11.0"/>
      <color rgb="FFFFFFFF"/>
      <name val="Arial"/>
    </font>
    <font>
      <sz val="11.0"/>
      <color rgb="FFFFFFFF"/>
      <name val="Arial"/>
    </font>
    <font>
      <b/>
      <color rgb="FFFFFFFF"/>
      <name val="Arial"/>
    </font>
    <font>
      <b/>
      <i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34A853"/>
        <bgColor rgb="FF34A853"/>
      </patternFill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2" fontId="2" numFmtId="0" xfId="0" applyAlignment="1" applyFill="1" applyFont="1">
      <alignment vertical="bottom"/>
    </xf>
    <xf borderId="0" fillId="3" fontId="3" numFmtId="0" xfId="0" applyAlignment="1" applyFill="1" applyFont="1">
      <alignment vertical="bottom"/>
    </xf>
    <xf borderId="0" fillId="3" fontId="4" numFmtId="49" xfId="0" applyAlignment="1" applyFont="1" applyNumberFormat="1">
      <alignment readingOrder="0"/>
    </xf>
    <xf borderId="0" fillId="3" fontId="5" numFmtId="49" xfId="0" applyAlignment="1" applyFont="1" applyNumberFormat="1">
      <alignment readingOrder="0" vertical="bottom"/>
    </xf>
    <xf borderId="0" fillId="4" fontId="5" numFmtId="49" xfId="0" applyAlignment="1" applyFill="1" applyFont="1" applyNumberFormat="1">
      <alignment readingOrder="0" vertical="bottom"/>
    </xf>
    <xf borderId="0" fillId="3" fontId="3" numFmtId="0" xfId="0" applyAlignment="1" applyFont="1">
      <alignment readingOrder="0" vertical="bottom"/>
    </xf>
    <xf borderId="0" fillId="3" fontId="2" numFmtId="49" xfId="0" applyAlignment="1" applyFont="1" applyNumberFormat="1">
      <alignment readingOrder="0" vertical="bottom"/>
    </xf>
    <xf borderId="0" fillId="4" fontId="2" numFmtId="49" xfId="0" applyAlignment="1" applyFont="1" applyNumberFormat="1">
      <alignment readingOrder="0" vertical="bottom"/>
    </xf>
    <xf borderId="0" fillId="0" fontId="2" numFmtId="165" xfId="0" applyAlignment="1" applyFont="1" applyNumberFormat="1">
      <alignment vertical="bottom"/>
    </xf>
    <xf borderId="0" fillId="5" fontId="1" numFmtId="0" xfId="0" applyAlignment="1" applyFill="1" applyFont="1">
      <alignment horizontal="center" readingOrder="0" vertical="bottom"/>
    </xf>
    <xf borderId="0" fillId="4" fontId="2" numFmtId="0" xfId="0" applyAlignment="1" applyFont="1">
      <alignment vertical="bottom"/>
    </xf>
    <xf borderId="0" fillId="4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4" fontId="6" numFmtId="0" xfId="0" applyFont="1"/>
    <xf borderId="0" fillId="6" fontId="7" numFmtId="0" xfId="0" applyAlignment="1" applyFill="1" applyFont="1">
      <alignment vertical="bottom"/>
    </xf>
    <xf borderId="0" fillId="6" fontId="8" numFmtId="165" xfId="0" applyAlignment="1" applyFont="1" applyNumberFormat="1">
      <alignment horizontal="center" readingOrder="0" vertical="bottom"/>
    </xf>
    <xf borderId="0" fillId="0" fontId="6" numFmtId="164" xfId="0" applyFont="1" applyNumberFormat="1"/>
    <xf borderId="0" fillId="4" fontId="7" numFmtId="0" xfId="0" applyAlignment="1" applyFont="1">
      <alignment vertical="bottom"/>
    </xf>
    <xf borderId="0" fillId="4" fontId="8" numFmtId="165" xfId="0" applyAlignment="1" applyFont="1" applyNumberFormat="1">
      <alignment horizontal="center" readingOrder="0" vertical="bottom"/>
    </xf>
    <xf borderId="0" fillId="7" fontId="7" numFmtId="0" xfId="0" applyAlignment="1" applyFill="1" applyFont="1">
      <alignment vertical="bottom"/>
    </xf>
    <xf borderId="0" fillId="7" fontId="8" numFmtId="165" xfId="0" applyAlignment="1" applyFont="1" applyNumberFormat="1">
      <alignment horizontal="center" vertical="bottom"/>
    </xf>
    <xf borderId="0" fillId="4" fontId="8" numFmtId="165" xfId="0" applyAlignment="1" applyFont="1" applyNumberFormat="1">
      <alignment horizontal="center" vertical="bottom"/>
    </xf>
    <xf borderId="0" fillId="8" fontId="7" numFmtId="0" xfId="0" applyAlignment="1" applyFill="1" applyFont="1">
      <alignment vertical="bottom"/>
    </xf>
    <xf borderId="0" fillId="8" fontId="8" numFmtId="165" xfId="0" applyAlignment="1" applyFont="1" applyNumberFormat="1">
      <alignment horizontal="center" vertical="bottom"/>
    </xf>
    <xf borderId="0" fillId="8" fontId="9" numFmtId="0" xfId="0" applyAlignment="1" applyFont="1">
      <alignment horizontal="left" vertical="bottom"/>
    </xf>
    <xf borderId="0" fillId="8" fontId="9" numFmtId="10" xfId="0" applyAlignment="1" applyFont="1" applyNumberFormat="1">
      <alignment horizontal="center" vertical="bottom"/>
    </xf>
    <xf borderId="0" fillId="4" fontId="2" numFmtId="164" xfId="0" applyAlignment="1" applyFont="1" applyNumberFormat="1">
      <alignment vertical="bottom"/>
    </xf>
    <xf borderId="0" fillId="4" fontId="9" numFmtId="0" xfId="0" applyAlignment="1" applyFont="1">
      <alignment horizontal="left" vertical="bottom"/>
    </xf>
    <xf borderId="0" fillId="4" fontId="9" numFmtId="10" xfId="0" applyAlignment="1" applyFont="1" applyNumberFormat="1">
      <alignment horizontal="center" vertical="bottom"/>
    </xf>
    <xf borderId="0" fillId="4" fontId="10" numFmtId="0" xfId="0" applyAlignment="1" applyFont="1">
      <alignment horizontal="center" readingOrder="0" vertical="bottom"/>
    </xf>
    <xf borderId="0" fillId="9" fontId="3" numFmtId="0" xfId="0" applyAlignment="1" applyFill="1" applyFont="1">
      <alignment vertical="bottom"/>
    </xf>
    <xf borderId="0" fillId="9" fontId="2" numFmtId="165" xfId="0" applyAlignment="1" applyFont="1" applyNumberFormat="1">
      <alignment horizontal="right" vertical="bottom"/>
    </xf>
    <xf borderId="0" fillId="4" fontId="3" numFmtId="0" xfId="0" applyAlignment="1" applyFont="1">
      <alignment vertical="bottom"/>
    </xf>
    <xf borderId="0" fillId="4" fontId="2" numFmtId="165" xfId="0" applyAlignment="1" applyFont="1" applyNumberFormat="1">
      <alignment horizontal="right" vertical="bottom"/>
    </xf>
    <xf borderId="0" fillId="7" fontId="2" numFmtId="0" xfId="0" applyAlignment="1" applyFont="1">
      <alignment vertical="bottom"/>
    </xf>
    <xf borderId="0" fillId="7" fontId="2" numFmtId="165" xfId="0" applyAlignment="1" applyFont="1" applyNumberFormat="1">
      <alignment horizontal="right" readingOrder="0" vertical="bottom"/>
    </xf>
    <xf borderId="0" fillId="4" fontId="2" numFmtId="165" xfId="0" applyAlignment="1" applyFont="1" applyNumberFormat="1">
      <alignment horizontal="right" readingOrder="0" vertical="bottom"/>
    </xf>
    <xf borderId="0" fillId="10" fontId="2" numFmtId="0" xfId="0" applyAlignment="1" applyFill="1" applyFont="1">
      <alignment readingOrder="0" vertical="bottom"/>
    </xf>
    <xf borderId="0" fillId="10" fontId="2" numFmtId="165" xfId="0" applyAlignment="1" applyFont="1" applyNumberFormat="1">
      <alignment horizontal="right" vertical="bottom"/>
    </xf>
    <xf borderId="0" fillId="4" fontId="2" numFmtId="0" xfId="0" applyAlignment="1" applyFont="1">
      <alignment readingOrder="0" vertical="bottom"/>
    </xf>
    <xf borderId="0" fillId="11" fontId="10" numFmtId="0" xfId="0" applyAlignment="1" applyFill="1" applyFont="1">
      <alignment readingOrder="0" vertical="bottom"/>
    </xf>
    <xf borderId="0" fillId="11" fontId="10" numFmtId="165" xfId="0" applyAlignment="1" applyFont="1" applyNumberFormat="1">
      <alignment horizontal="right" readingOrder="0" vertical="bottom"/>
    </xf>
    <xf borderId="0" fillId="11" fontId="2" numFmtId="9" xfId="0" applyAlignment="1" applyFont="1" applyNumberFormat="1">
      <alignment horizontal="right" vertical="bottom"/>
    </xf>
    <xf borderId="0" fillId="11" fontId="2" numFmtId="164" xfId="0" applyAlignment="1" applyFont="1" applyNumberFormat="1">
      <alignment horizontal="right" vertical="bottom"/>
    </xf>
    <xf borderId="0" fillId="2" fontId="2" numFmtId="9" xfId="0" applyAlignment="1" applyFont="1" applyNumberFormat="1">
      <alignment horizontal="right" vertical="bottom"/>
    </xf>
    <xf borderId="0" fillId="4" fontId="10" numFmtId="0" xfId="0" applyAlignment="1" applyFont="1">
      <alignment readingOrder="0" vertical="bottom"/>
    </xf>
    <xf borderId="0" fillId="4" fontId="10" numFmtId="165" xfId="0" applyAlignment="1" applyFont="1" applyNumberFormat="1">
      <alignment horizontal="right" readingOrder="0" vertical="bottom"/>
    </xf>
    <xf borderId="0" fillId="4" fontId="2" numFmtId="9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4" fontId="5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readingOrder="0" vertical="bottom"/>
    </xf>
    <xf borderId="0" fillId="4" fontId="2" numFmtId="165" xfId="0" applyAlignment="1" applyFont="1" applyNumberFormat="1">
      <alignment readingOrder="0" vertical="bottom"/>
    </xf>
    <xf borderId="0" fillId="4" fontId="2" numFmtId="165" xfId="0" applyAlignment="1" applyFont="1" applyNumberFormat="1">
      <alignment vertical="bottom"/>
    </xf>
    <xf borderId="0" fillId="12" fontId="3" numFmtId="0" xfId="0" applyAlignment="1" applyFill="1" applyFont="1">
      <alignment vertical="bottom"/>
    </xf>
    <xf borderId="0" fillId="12" fontId="3" numFmtId="165" xfId="0" applyAlignment="1" applyFont="1" applyNumberFormat="1">
      <alignment horizontal="right" vertical="bottom"/>
    </xf>
    <xf borderId="0" fillId="12" fontId="2" numFmtId="0" xfId="0" applyAlignment="1" applyFont="1">
      <alignment vertical="bottom"/>
    </xf>
    <xf borderId="0" fillId="12" fontId="2" numFmtId="164" xfId="0" applyAlignment="1" applyFont="1" applyNumberFormat="1">
      <alignment vertical="bottom"/>
    </xf>
    <xf borderId="0" fillId="4" fontId="3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readingOrder="0" vertical="bottom"/>
    </xf>
    <xf borderId="0" fillId="4" fontId="5" numFmtId="165" xfId="0" applyAlignment="1" applyFont="1" applyNumberFormat="1">
      <alignment horizontal="right" readingOrder="0" vertical="bottom"/>
    </xf>
    <xf borderId="0" fillId="4" fontId="5" numFmtId="165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12" fontId="3" numFmtId="0" xfId="0" applyAlignment="1" applyFont="1">
      <alignment readingOrder="0" vertical="bottom"/>
    </xf>
    <xf borderId="0" fillId="13" fontId="10" numFmtId="165" xfId="0" applyAlignment="1" applyFill="1" applyFont="1" applyNumberFormat="1">
      <alignment horizontal="right" vertical="bottom"/>
    </xf>
    <xf borderId="0" fillId="13" fontId="10" numFmtId="0" xfId="0" applyAlignment="1" applyFont="1">
      <alignment vertical="bottom"/>
    </xf>
    <xf borderId="0" fillId="13" fontId="6" numFmtId="164" xfId="0" applyFont="1" applyNumberFormat="1"/>
    <xf borderId="0" fillId="4" fontId="3" numFmtId="0" xfId="0" applyAlignment="1" applyFont="1">
      <alignment readingOrder="0" vertical="bottom"/>
    </xf>
    <xf borderId="0" fillId="4" fontId="10" numFmtId="165" xfId="0" applyAlignment="1" applyFont="1" applyNumberFormat="1">
      <alignment horizontal="right" vertical="bottom"/>
    </xf>
    <xf borderId="0" fillId="4" fontId="10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horizontal="center" vertical="bottom"/>
    </xf>
    <xf borderId="0" fillId="5" fontId="3" numFmtId="164" xfId="0" applyAlignment="1" applyFont="1" applyNumberFormat="1">
      <alignment horizontal="right" vertical="bottom"/>
    </xf>
    <xf borderId="0" fillId="2" fontId="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4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4" fontId="2" numFmtId="0" xfId="0" applyAlignment="1" applyFont="1">
      <alignment horizontal="right" vertical="bottom"/>
    </xf>
    <xf borderId="0" fillId="0" fontId="6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2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4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13500.0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8284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5216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0.3863703704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1470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2275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4269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270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1470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B9*6%</f>
        <v>810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300.0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200.0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60.0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50.0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50.0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 collapsed="1">
      <c r="A32" s="59" t="s">
        <v>26</v>
      </c>
      <c r="B32" s="60">
        <f>SUM(B33:B39)</f>
        <v>0</v>
      </c>
      <c r="C32" s="61"/>
      <c r="D32" s="62"/>
      <c r="E32" s="4"/>
      <c r="F32" s="36"/>
      <c r="G32" s="63"/>
      <c r="H32" s="14"/>
      <c r="I32" s="14"/>
    </row>
    <row r="33" hidden="1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hidden="1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hidden="1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hidden="1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hidden="1" outlineLevel="1">
      <c r="A37" s="55" t="s">
        <v>31</v>
      </c>
      <c r="B37" s="56"/>
      <c r="C37" s="2"/>
      <c r="D37" s="3"/>
      <c r="E37" s="4"/>
      <c r="F37" s="43"/>
      <c r="G37" s="58"/>
      <c r="H37" s="14"/>
      <c r="I37" s="14"/>
    </row>
    <row r="38" hidden="1" outlineLevel="1">
      <c r="A38" s="55"/>
      <c r="B38" s="12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 collapsed="1">
      <c r="A40" s="59" t="s">
        <v>32</v>
      </c>
      <c r="B40" s="60">
        <f>SUM(B42:B49)</f>
        <v>2275</v>
      </c>
      <c r="C40" s="61"/>
      <c r="D40" s="62"/>
      <c r="E40" s="4"/>
      <c r="F40" s="36"/>
      <c r="G40" s="63"/>
      <c r="H40" s="14"/>
      <c r="I40" s="14"/>
    </row>
    <row r="41" hidden="1" outlineLevel="1">
      <c r="A41" s="52" t="s">
        <v>33</v>
      </c>
      <c r="B41" s="12">
        <f>B9*4%</f>
        <v>540</v>
      </c>
      <c r="C41" s="2"/>
      <c r="D41" s="3"/>
      <c r="E41" s="4"/>
      <c r="F41" s="54"/>
      <c r="G41" s="58"/>
      <c r="H41" s="14"/>
      <c r="I41" s="14"/>
    </row>
    <row r="42" hidden="1" outlineLevel="1">
      <c r="A42" s="64" t="s">
        <v>34</v>
      </c>
      <c r="B42" s="12">
        <f>B9*0%</f>
        <v>0</v>
      </c>
      <c r="C42" s="2"/>
      <c r="D42" s="3"/>
      <c r="E42" s="4"/>
      <c r="F42" s="65"/>
      <c r="G42" s="58"/>
      <c r="H42" s="14"/>
      <c r="I42" s="14"/>
    </row>
    <row r="43" hidden="1" outlineLevel="1">
      <c r="A43" s="64" t="s">
        <v>35</v>
      </c>
      <c r="B43" s="66">
        <f>B9*7%</f>
        <v>945</v>
      </c>
      <c r="C43" s="2"/>
      <c r="D43" s="3"/>
      <c r="E43" s="4"/>
      <c r="F43" s="65"/>
      <c r="G43" s="37"/>
      <c r="H43" s="14"/>
      <c r="I43" s="14"/>
    </row>
    <row r="44" hidden="1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hidden="1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hidden="1" outlineLevel="1">
      <c r="A46" s="64" t="s">
        <v>38</v>
      </c>
      <c r="B46" s="67">
        <f>B9*8%</f>
        <v>1080</v>
      </c>
      <c r="C46" s="2"/>
      <c r="D46" s="3"/>
      <c r="E46" s="4"/>
      <c r="F46" s="65"/>
      <c r="G46" s="69"/>
      <c r="H46" s="14"/>
      <c r="I46" s="14"/>
    </row>
    <row r="47" hidden="1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hidden="1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hidden="1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SUM(D53+D68+D72+D87+D97+D102+D110)</f>
        <v>4269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SUM(D54:D67)</f>
        <v>2730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/>
      <c r="C54" s="53">
        <v>190.0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B55" s="86">
        <v>1.0</v>
      </c>
      <c r="C55" s="53">
        <v>230.0</v>
      </c>
      <c r="D55" s="85">
        <f t="shared" ref="D55:D66" si="3">SUM(B55*C55)</f>
        <v>230</v>
      </c>
      <c r="E55" s="4"/>
      <c r="F55" s="43"/>
      <c r="G55" s="84"/>
      <c r="H55" s="40"/>
      <c r="I55" s="37"/>
    </row>
    <row r="56" hidden="1" outlineLevel="1">
      <c r="A56" s="2" t="s">
        <v>49</v>
      </c>
      <c r="B56" s="82"/>
      <c r="C56" s="53">
        <v>290.0</v>
      </c>
      <c r="D56" s="85">
        <f t="shared" si="3"/>
        <v>0</v>
      </c>
      <c r="E56" s="2"/>
      <c r="F56" s="43"/>
      <c r="G56" s="84"/>
      <c r="H56" s="40"/>
      <c r="I56" s="37"/>
    </row>
    <row r="57" hidden="1" outlineLevel="1">
      <c r="A57" s="55" t="s">
        <v>50</v>
      </c>
      <c r="B57" s="82"/>
      <c r="C57" s="53">
        <v>420.0</v>
      </c>
      <c r="D57" s="85">
        <f t="shared" si="3"/>
        <v>0</v>
      </c>
      <c r="E57" s="2"/>
      <c r="F57" s="14"/>
      <c r="G57" s="84"/>
      <c r="H57" s="37"/>
      <c r="I57" s="37"/>
    </row>
    <row r="58" hidden="1" outlineLevel="1">
      <c r="A58" s="55" t="s">
        <v>51</v>
      </c>
      <c r="B58" s="82"/>
      <c r="C58" s="53">
        <v>250.0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52</v>
      </c>
      <c r="B59" s="82">
        <v>5.0</v>
      </c>
      <c r="C59" s="53">
        <v>500.0</v>
      </c>
      <c r="D59" s="85">
        <f t="shared" si="3"/>
        <v>2500</v>
      </c>
      <c r="E59" s="2"/>
      <c r="F59" s="14"/>
      <c r="G59" s="84"/>
      <c r="H59" s="37"/>
      <c r="I59" s="37"/>
      <c r="K59" s="55"/>
    </row>
    <row r="60" hidden="1" outlineLevel="1">
      <c r="A60" s="55" t="s">
        <v>53</v>
      </c>
      <c r="B60" s="82"/>
      <c r="C60" s="53">
        <v>580.0</v>
      </c>
      <c r="D60" s="85">
        <f t="shared" si="3"/>
        <v>0</v>
      </c>
      <c r="E60" s="2"/>
      <c r="F60" s="14"/>
      <c r="G60" s="87"/>
      <c r="H60" s="37"/>
      <c r="I60" s="37"/>
      <c r="K60" s="55"/>
    </row>
    <row r="61" hidden="1" outlineLevel="1">
      <c r="A61" s="55" t="s">
        <v>54</v>
      </c>
      <c r="B61" s="82"/>
      <c r="C61" s="53">
        <v>800.0</v>
      </c>
      <c r="D61" s="85">
        <f t="shared" si="3"/>
        <v>0</v>
      </c>
      <c r="E61" s="2"/>
      <c r="F61" s="43"/>
      <c r="G61" s="84"/>
      <c r="H61" s="40"/>
      <c r="I61" s="37"/>
      <c r="K61" s="55"/>
    </row>
    <row r="62" hidden="1" outlineLevel="1">
      <c r="A62" s="55" t="s">
        <v>55</v>
      </c>
      <c r="B62" s="82"/>
      <c r="C62" s="53">
        <v>950.0</v>
      </c>
      <c r="D62" s="85">
        <f t="shared" si="3"/>
        <v>0</v>
      </c>
      <c r="E62" s="2"/>
      <c r="F62" s="43"/>
      <c r="G62" s="84"/>
      <c r="H62" s="40"/>
      <c r="I62" s="37"/>
    </row>
    <row r="63" hidden="1" outlineLevel="1">
      <c r="A63" s="55" t="s">
        <v>56</v>
      </c>
      <c r="B63" s="82"/>
      <c r="C63" s="53">
        <v>1200.0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57</v>
      </c>
      <c r="B64" s="82"/>
      <c r="C64" s="53">
        <v>2200.0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58</v>
      </c>
      <c r="B65" s="82"/>
      <c r="C65" s="53">
        <v>600.0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59</v>
      </c>
      <c r="B66" s="82"/>
      <c r="C66" s="53">
        <v>400.0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/>
      <c r="D67" s="85"/>
      <c r="E67" s="2"/>
      <c r="F67" s="43"/>
      <c r="G67" s="84"/>
      <c r="H67" s="40"/>
      <c r="I67" s="37"/>
    </row>
    <row r="68" collapsed="1">
      <c r="A68" s="55" t="s">
        <v>60</v>
      </c>
      <c r="B68" s="82"/>
      <c r="C68" s="53"/>
      <c r="D68" s="83">
        <f>SUM(D69:D71)</f>
        <v>480</v>
      </c>
      <c r="E68" s="2"/>
      <c r="F68" s="14"/>
      <c r="G68" s="84"/>
      <c r="H68" s="40"/>
      <c r="I68" s="37"/>
    </row>
    <row r="69" hidden="1" outlineLevel="1">
      <c r="A69" s="55" t="s">
        <v>61</v>
      </c>
      <c r="B69" s="82">
        <v>1.0</v>
      </c>
      <c r="C69" s="53">
        <v>80.0</v>
      </c>
      <c r="D69" s="85">
        <f t="shared" ref="D69:D70" si="4">SUM(B69*C69)</f>
        <v>80</v>
      </c>
      <c r="E69" s="2"/>
      <c r="F69" s="14"/>
      <c r="G69" s="84"/>
      <c r="H69" s="40"/>
      <c r="I69" s="37"/>
    </row>
    <row r="70" hidden="1" outlineLevel="1">
      <c r="A70" s="55" t="s">
        <v>62</v>
      </c>
      <c r="B70" s="82">
        <v>4.0</v>
      </c>
      <c r="C70" s="53">
        <v>100.0</v>
      </c>
      <c r="D70" s="85">
        <f t="shared" si="4"/>
        <v>400</v>
      </c>
      <c r="E70" s="2"/>
      <c r="F70" s="14"/>
      <c r="G70" s="84"/>
      <c r="H70" s="40"/>
      <c r="I70" s="37"/>
    </row>
    <row r="71" hidden="1" outlineLevel="1">
      <c r="A71" s="55" t="s">
        <v>63</v>
      </c>
      <c r="B71" s="82"/>
      <c r="C71" s="53"/>
      <c r="D71" s="83"/>
      <c r="E71" s="2"/>
      <c r="F71" s="14"/>
      <c r="G71" s="84"/>
      <c r="H71" s="40"/>
      <c r="I71" s="37"/>
    </row>
    <row r="72" collapsed="1">
      <c r="A72" s="55" t="s">
        <v>64</v>
      </c>
      <c r="B72" s="82"/>
      <c r="C72" s="53"/>
      <c r="D72" s="83">
        <f>SUM(D73:D86)</f>
        <v>760</v>
      </c>
      <c r="E72" s="2"/>
      <c r="F72" s="14"/>
      <c r="G72" s="84"/>
      <c r="H72" s="40"/>
      <c r="I72" s="37"/>
    </row>
    <row r="73" hidden="1" outlineLevel="1">
      <c r="A73" s="55" t="s">
        <v>65</v>
      </c>
      <c r="B73" s="82"/>
      <c r="C73" s="53">
        <v>10.0</v>
      </c>
      <c r="D73" s="85">
        <f t="shared" ref="D73:D86" si="5">SUM(B73*C73)</f>
        <v>0</v>
      </c>
      <c r="E73" s="2"/>
      <c r="F73" s="14"/>
      <c r="G73" s="84"/>
      <c r="H73" s="37"/>
      <c r="I73" s="37"/>
    </row>
    <row r="74" hidden="1" outlineLevel="1">
      <c r="A74" s="55" t="s">
        <v>66</v>
      </c>
      <c r="B74" s="82">
        <v>12.0</v>
      </c>
      <c r="C74" s="53">
        <v>30.0</v>
      </c>
      <c r="D74" s="85">
        <f t="shared" si="5"/>
        <v>360</v>
      </c>
      <c r="E74" s="2"/>
      <c r="F74" s="14"/>
      <c r="G74" s="84"/>
      <c r="H74" s="40"/>
      <c r="I74" s="37"/>
    </row>
    <row r="75" hidden="1" outlineLevel="1">
      <c r="A75" s="55" t="s">
        <v>67</v>
      </c>
      <c r="B75" s="82">
        <v>4.0</v>
      </c>
      <c r="C75" s="53">
        <v>100.0</v>
      </c>
      <c r="D75" s="85">
        <f t="shared" si="5"/>
        <v>400</v>
      </c>
      <c r="E75" s="2"/>
      <c r="F75" s="14"/>
      <c r="G75" s="84"/>
      <c r="H75" s="40"/>
      <c r="I75" s="37"/>
    </row>
    <row r="76" hidden="1" outlineLevel="1">
      <c r="A76" s="55" t="s">
        <v>68</v>
      </c>
      <c r="B76" s="82"/>
      <c r="C76" s="53">
        <v>8.0</v>
      </c>
      <c r="D76" s="85">
        <f t="shared" si="5"/>
        <v>0</v>
      </c>
      <c r="E76" s="2"/>
      <c r="F76" s="14"/>
      <c r="G76" s="84"/>
      <c r="H76" s="40"/>
      <c r="I76" s="37"/>
    </row>
    <row r="77" hidden="1" outlineLevel="1">
      <c r="A77" s="55" t="s">
        <v>69</v>
      </c>
      <c r="B77" s="82"/>
      <c r="C77" s="53">
        <v>150.0</v>
      </c>
      <c r="D77" s="85">
        <f t="shared" si="5"/>
        <v>0</v>
      </c>
      <c r="E77" s="2"/>
      <c r="F77" s="14"/>
      <c r="G77" s="84"/>
      <c r="H77" s="40"/>
      <c r="I77" s="37"/>
    </row>
    <row r="78" hidden="1" outlineLevel="1">
      <c r="A78" s="55" t="s">
        <v>70</v>
      </c>
      <c r="B78" s="82"/>
      <c r="C78" s="53"/>
      <c r="D78" s="85">
        <f t="shared" si="5"/>
        <v>0</v>
      </c>
      <c r="E78" s="2"/>
      <c r="F78" s="14"/>
      <c r="G78" s="84"/>
      <c r="H78" s="40"/>
      <c r="I78" s="37"/>
    </row>
    <row r="79" hidden="1" outlineLevel="1">
      <c r="A79" s="55" t="s">
        <v>71</v>
      </c>
      <c r="B79" s="82"/>
      <c r="C79" s="53">
        <v>150.0</v>
      </c>
      <c r="D79" s="85">
        <f t="shared" si="5"/>
        <v>0</v>
      </c>
      <c r="E79" s="2"/>
      <c r="F79" s="14"/>
      <c r="G79" s="84"/>
      <c r="H79" s="40"/>
      <c r="I79" s="37"/>
    </row>
    <row r="80" hidden="1" outlineLevel="1">
      <c r="A80" s="55" t="s">
        <v>72</v>
      </c>
      <c r="B80" s="82"/>
      <c r="C80" s="53"/>
      <c r="D80" s="85">
        <f t="shared" si="5"/>
        <v>0</v>
      </c>
      <c r="E80" s="2"/>
      <c r="F80" s="14"/>
      <c r="G80" s="84"/>
      <c r="H80" s="40"/>
      <c r="I80" s="37"/>
    </row>
    <row r="81" hidden="1" outlineLevel="1">
      <c r="A81" s="55" t="s">
        <v>73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hidden="1" outlineLevel="1">
      <c r="A82" s="55" t="s">
        <v>74</v>
      </c>
      <c r="B82" s="82"/>
      <c r="C82" s="53">
        <v>40.0</v>
      </c>
      <c r="D82" s="85">
        <f t="shared" si="5"/>
        <v>0</v>
      </c>
      <c r="E82" s="2"/>
      <c r="F82" s="14"/>
      <c r="G82" s="84"/>
      <c r="H82" s="40"/>
      <c r="I82" s="37"/>
    </row>
    <row r="83" hidden="1" outlineLevel="1">
      <c r="A83" s="55" t="s">
        <v>75</v>
      </c>
      <c r="B83" s="82"/>
      <c r="C83" s="53">
        <v>850.0</v>
      </c>
      <c r="D83" s="85">
        <f t="shared" si="5"/>
        <v>0</v>
      </c>
      <c r="E83" s="2"/>
      <c r="F83" s="14"/>
      <c r="G83" s="84"/>
      <c r="H83" s="40"/>
      <c r="I83" s="37"/>
    </row>
    <row r="84" hidden="1" outlineLevel="1">
      <c r="A84" s="55" t="s">
        <v>76</v>
      </c>
      <c r="B84" s="82"/>
      <c r="C84" s="53">
        <v>60.0</v>
      </c>
      <c r="D84" s="85">
        <f t="shared" si="5"/>
        <v>0</v>
      </c>
      <c r="E84" s="2"/>
      <c r="F84" s="14"/>
      <c r="G84" s="84"/>
      <c r="H84" s="40"/>
      <c r="I84" s="37"/>
    </row>
    <row r="85" hidden="1" outlineLevel="1">
      <c r="A85" s="55" t="s">
        <v>77</v>
      </c>
      <c r="B85" s="82"/>
      <c r="C85" s="53">
        <v>700.0</v>
      </c>
      <c r="D85" s="85">
        <f t="shared" si="5"/>
        <v>0</v>
      </c>
      <c r="E85" s="2"/>
      <c r="F85" s="14"/>
      <c r="G85" s="84"/>
      <c r="H85" s="40"/>
      <c r="I85" s="37"/>
    </row>
    <row r="86" hidden="1" outlineLevel="1">
      <c r="A86" s="55" t="s">
        <v>78</v>
      </c>
      <c r="B86" s="82"/>
      <c r="C86" s="53">
        <v>150.0</v>
      </c>
      <c r="D86" s="85">
        <f t="shared" si="5"/>
        <v>0</v>
      </c>
      <c r="E86" s="2"/>
      <c r="F86" s="14"/>
      <c r="G86" s="84"/>
      <c r="H86" s="40"/>
      <c r="I86" s="37"/>
    </row>
    <row r="87" collapsed="1">
      <c r="A87" s="55" t="s">
        <v>79</v>
      </c>
      <c r="B87" s="82"/>
      <c r="C87" s="53"/>
      <c r="D87" s="83">
        <f>SUM(D88:D96)</f>
        <v>149</v>
      </c>
      <c r="E87" s="2"/>
      <c r="F87" s="14"/>
      <c r="G87" s="84"/>
      <c r="H87" s="40"/>
      <c r="I87" s="37"/>
    </row>
    <row r="88" hidden="1" outlineLevel="1">
      <c r="A88" s="86" t="s">
        <v>80</v>
      </c>
      <c r="B88" s="86">
        <v>3.0</v>
      </c>
      <c r="C88" s="88">
        <v>25.0</v>
      </c>
      <c r="D88" s="85">
        <f t="shared" ref="D88:D96" si="6">SUM(B88*C88)</f>
        <v>75</v>
      </c>
    </row>
    <row r="89" hidden="1" outlineLevel="1">
      <c r="A89" s="55" t="s">
        <v>81</v>
      </c>
      <c r="B89" s="82">
        <v>5.0</v>
      </c>
      <c r="C89" s="82">
        <v>1.8</v>
      </c>
      <c r="D89" s="85">
        <f t="shared" si="6"/>
        <v>9</v>
      </c>
      <c r="E89" s="2"/>
      <c r="F89" s="2"/>
      <c r="G89" s="82"/>
      <c r="H89" s="53"/>
      <c r="I89" s="66"/>
    </row>
    <row r="90" hidden="1" outlineLevel="1">
      <c r="A90" s="55" t="s">
        <v>82</v>
      </c>
      <c r="B90" s="82"/>
      <c r="C90" s="53">
        <v>1.5</v>
      </c>
      <c r="D90" s="85">
        <f t="shared" si="6"/>
        <v>0</v>
      </c>
      <c r="E90" s="2"/>
      <c r="F90" s="2"/>
      <c r="G90" s="82"/>
      <c r="H90" s="53"/>
      <c r="I90" s="66"/>
    </row>
    <row r="91" hidden="1" outlineLevel="1">
      <c r="A91" s="55" t="s">
        <v>83</v>
      </c>
      <c r="B91" s="82"/>
      <c r="C91" s="53">
        <v>0.8</v>
      </c>
      <c r="D91" s="85">
        <f t="shared" si="6"/>
        <v>0</v>
      </c>
      <c r="E91" s="2"/>
      <c r="F91" s="2"/>
      <c r="G91" s="82"/>
      <c r="H91" s="53"/>
      <c r="I91" s="66"/>
    </row>
    <row r="92" hidden="1" outlineLevel="1">
      <c r="A92" s="55" t="s">
        <v>84</v>
      </c>
      <c r="B92" s="82">
        <v>1.0</v>
      </c>
      <c r="C92" s="53">
        <v>35.0</v>
      </c>
      <c r="D92" s="85">
        <f t="shared" si="6"/>
        <v>35</v>
      </c>
      <c r="E92" s="2"/>
      <c r="F92" s="2"/>
      <c r="G92" s="82"/>
      <c r="H92" s="53"/>
      <c r="I92" s="66"/>
    </row>
    <row r="93" hidden="1" outlineLevel="1">
      <c r="A93" s="55" t="s">
        <v>85</v>
      </c>
      <c r="B93" s="82"/>
      <c r="C93" s="53">
        <v>50.0</v>
      </c>
      <c r="D93" s="85">
        <f t="shared" si="6"/>
        <v>0</v>
      </c>
      <c r="E93" s="2"/>
      <c r="F93" s="2"/>
      <c r="G93" s="82"/>
      <c r="H93" s="53"/>
      <c r="I93" s="66"/>
    </row>
    <row r="94" hidden="1" outlineLevel="1">
      <c r="A94" s="55" t="s">
        <v>86</v>
      </c>
      <c r="B94" s="82">
        <v>1.0</v>
      </c>
      <c r="C94" s="53">
        <v>30.0</v>
      </c>
      <c r="D94" s="85">
        <f t="shared" si="6"/>
        <v>30</v>
      </c>
      <c r="E94" s="2"/>
      <c r="F94" s="2"/>
      <c r="G94" s="82"/>
      <c r="H94" s="53"/>
      <c r="I94" s="66"/>
    </row>
    <row r="95" hidden="1" outlineLevel="1">
      <c r="A95" s="55" t="s">
        <v>63</v>
      </c>
      <c r="B95" s="82"/>
      <c r="C95" s="53">
        <v>25.0</v>
      </c>
      <c r="D95" s="85">
        <f t="shared" si="6"/>
        <v>0</v>
      </c>
      <c r="E95" s="2"/>
      <c r="F95" s="2"/>
      <c r="G95" s="82"/>
      <c r="H95" s="53"/>
      <c r="I95" s="66"/>
    </row>
    <row r="96" hidden="1" outlineLevel="1">
      <c r="A96" s="55" t="s">
        <v>87</v>
      </c>
      <c r="B96" s="82"/>
      <c r="C96" s="53"/>
      <c r="D96" s="85">
        <f t="shared" si="6"/>
        <v>0</v>
      </c>
      <c r="E96" s="2"/>
      <c r="F96" s="2"/>
      <c r="G96" s="82"/>
      <c r="H96" s="53"/>
      <c r="I96" s="66"/>
    </row>
    <row r="97" collapsed="1">
      <c r="A97" s="55" t="s">
        <v>88</v>
      </c>
      <c r="B97" s="82"/>
      <c r="C97" s="53"/>
      <c r="D97" s="83">
        <f>SUM(D98:D101)</f>
        <v>0</v>
      </c>
      <c r="E97" s="2"/>
      <c r="F97" s="2"/>
      <c r="G97" s="82"/>
      <c r="H97" s="53"/>
      <c r="I97" s="66"/>
    </row>
    <row r="98" hidden="1" outlineLevel="1">
      <c r="A98" s="55" t="s">
        <v>89</v>
      </c>
      <c r="B98" s="82"/>
      <c r="C98" s="53">
        <v>130.0</v>
      </c>
      <c r="D98" s="85">
        <f t="shared" ref="D98:D100" si="7">SUM(B98*C98)</f>
        <v>0</v>
      </c>
      <c r="E98" s="2"/>
      <c r="F98" s="2"/>
      <c r="G98" s="82"/>
      <c r="H98" s="53"/>
      <c r="I98" s="66"/>
    </row>
    <row r="99" hidden="1" outlineLevel="1">
      <c r="A99" s="55" t="s">
        <v>90</v>
      </c>
      <c r="B99" s="82"/>
      <c r="C99" s="53">
        <v>50.0</v>
      </c>
      <c r="D99" s="85">
        <f t="shared" si="7"/>
        <v>0</v>
      </c>
      <c r="E99" s="2"/>
      <c r="F99" s="2"/>
      <c r="G99" s="82"/>
      <c r="H99" s="53"/>
      <c r="I99" s="66"/>
    </row>
    <row r="100" hidden="1" outlineLevel="1">
      <c r="A100" s="55" t="s">
        <v>63</v>
      </c>
      <c r="B100" s="82"/>
      <c r="C100" s="53"/>
      <c r="D100" s="85">
        <f t="shared" si="7"/>
        <v>0</v>
      </c>
      <c r="E100" s="2"/>
      <c r="F100" s="2"/>
      <c r="G100" s="82"/>
      <c r="H100" s="53"/>
      <c r="I100" s="66"/>
    </row>
    <row r="101" hidden="1" outlineLevel="1">
      <c r="A101" s="55" t="s">
        <v>87</v>
      </c>
      <c r="B101" s="82"/>
      <c r="C101" s="53"/>
      <c r="D101" s="85"/>
      <c r="E101" s="2"/>
      <c r="F101" s="2"/>
      <c r="G101" s="89"/>
      <c r="H101" s="53"/>
      <c r="I101" s="66"/>
    </row>
    <row r="102" collapsed="1">
      <c r="A102" s="86" t="s">
        <v>91</v>
      </c>
      <c r="B102" s="82"/>
      <c r="C102" s="53"/>
      <c r="D102" s="90">
        <f>SUM(D103:D109)</f>
        <v>0</v>
      </c>
      <c r="E102" s="2"/>
      <c r="F102" s="2"/>
      <c r="G102" s="82"/>
      <c r="H102" s="53"/>
      <c r="I102" s="66"/>
    </row>
    <row r="103" hidden="1" outlineLevel="1">
      <c r="A103" s="86" t="s">
        <v>92</v>
      </c>
      <c r="B103" s="82"/>
      <c r="C103" s="53">
        <v>80.0</v>
      </c>
      <c r="D103" s="85">
        <f t="shared" ref="D103:D109" si="8">SUM(B103*C103)</f>
        <v>0</v>
      </c>
      <c r="E103" s="2"/>
      <c r="F103" s="2"/>
      <c r="G103" s="82"/>
      <c r="H103" s="53"/>
      <c r="I103" s="66"/>
    </row>
    <row r="104" hidden="1" outlineLevel="1">
      <c r="A104" s="55" t="s">
        <v>93</v>
      </c>
      <c r="B104" s="82"/>
      <c r="C104" s="53">
        <v>30.0</v>
      </c>
      <c r="D104" s="85">
        <f t="shared" si="8"/>
        <v>0</v>
      </c>
      <c r="E104" s="2"/>
      <c r="F104" s="55"/>
      <c r="G104" s="82"/>
      <c r="H104" s="53"/>
      <c r="I104" s="66"/>
    </row>
    <row r="105" hidden="1" outlineLevel="1">
      <c r="A105" s="55" t="s">
        <v>94</v>
      </c>
      <c r="B105" s="82"/>
      <c r="C105" s="53">
        <v>80.0</v>
      </c>
      <c r="D105" s="85">
        <f t="shared" si="8"/>
        <v>0</v>
      </c>
      <c r="E105" s="2"/>
      <c r="F105" s="2"/>
      <c r="G105" s="89"/>
      <c r="H105" s="66"/>
      <c r="I105" s="66"/>
    </row>
    <row r="106" hidden="1" outlineLevel="1">
      <c r="A106" s="55" t="s">
        <v>95</v>
      </c>
      <c r="B106" s="55"/>
      <c r="C106" s="56">
        <v>500.0</v>
      </c>
      <c r="D106" s="85">
        <f t="shared" si="8"/>
        <v>0</v>
      </c>
      <c r="E106" s="2"/>
      <c r="F106" s="55"/>
      <c r="G106" s="55"/>
      <c r="H106" s="56"/>
      <c r="I106" s="66"/>
    </row>
    <row r="107" hidden="1" outlineLevel="1">
      <c r="A107" s="55" t="s">
        <v>96</v>
      </c>
      <c r="B107" s="55"/>
      <c r="C107" s="56">
        <v>800.0</v>
      </c>
      <c r="D107" s="85">
        <f t="shared" si="8"/>
        <v>0</v>
      </c>
      <c r="E107" s="2"/>
      <c r="F107" s="2"/>
      <c r="G107" s="2"/>
      <c r="H107" s="12"/>
      <c r="I107" s="66"/>
    </row>
    <row r="108" hidden="1" outlineLevel="1">
      <c r="A108" s="55" t="s">
        <v>97</v>
      </c>
      <c r="B108" s="55"/>
      <c r="C108" s="56">
        <v>300.0</v>
      </c>
      <c r="D108" s="85">
        <f t="shared" si="8"/>
        <v>0</v>
      </c>
      <c r="E108" s="2"/>
      <c r="F108" s="2"/>
      <c r="G108" s="2"/>
      <c r="H108" s="12"/>
      <c r="I108" s="66"/>
    </row>
    <row r="109" hidden="1" outlineLevel="1">
      <c r="A109" s="55" t="s">
        <v>98</v>
      </c>
      <c r="B109" s="55"/>
      <c r="C109" s="56">
        <v>600.0</v>
      </c>
      <c r="D109" s="85">
        <f t="shared" si="8"/>
        <v>0</v>
      </c>
      <c r="E109" s="2"/>
      <c r="F109" s="2"/>
      <c r="G109" s="2"/>
      <c r="H109" s="12"/>
      <c r="I109" s="66"/>
    </row>
    <row r="110" collapsed="1">
      <c r="A110" s="55" t="s">
        <v>99</v>
      </c>
      <c r="B110" s="2"/>
      <c r="C110" s="12"/>
      <c r="D110" s="83">
        <f>SUM(D111:D115)</f>
        <v>150</v>
      </c>
      <c r="E110" s="2"/>
      <c r="F110" s="2"/>
      <c r="G110" s="2"/>
      <c r="H110" s="12"/>
      <c r="I110" s="66"/>
    </row>
    <row r="111" hidden="1" outlineLevel="1">
      <c r="A111" s="55" t="s">
        <v>100</v>
      </c>
      <c r="B111" s="55">
        <v>1.0</v>
      </c>
      <c r="C111" s="56">
        <v>12.0</v>
      </c>
      <c r="D111" s="85">
        <f t="shared" ref="D111:D115" si="9">SUM(B111*C111)</f>
        <v>12</v>
      </c>
      <c r="E111" s="2"/>
      <c r="F111" s="2"/>
      <c r="G111" s="2"/>
      <c r="H111" s="12"/>
      <c r="I111" s="66"/>
    </row>
    <row r="112" hidden="1" outlineLevel="1">
      <c r="A112" s="55" t="s">
        <v>101</v>
      </c>
      <c r="B112" s="55">
        <v>2.0</v>
      </c>
      <c r="C112" s="56">
        <v>10.0</v>
      </c>
      <c r="D112" s="85">
        <f t="shared" si="9"/>
        <v>20</v>
      </c>
      <c r="E112" s="2"/>
      <c r="F112" s="2"/>
      <c r="G112" s="2"/>
      <c r="H112" s="12"/>
      <c r="I112" s="66"/>
    </row>
    <row r="113" hidden="1" outlineLevel="1">
      <c r="A113" s="55" t="s">
        <v>102</v>
      </c>
      <c r="B113" s="55">
        <v>2.0</v>
      </c>
      <c r="C113" s="56">
        <v>4.0</v>
      </c>
      <c r="D113" s="85">
        <f t="shared" si="9"/>
        <v>8</v>
      </c>
      <c r="E113" s="2"/>
      <c r="F113" s="2"/>
      <c r="G113" s="2"/>
      <c r="H113" s="12"/>
      <c r="I113" s="66"/>
    </row>
    <row r="114" hidden="1" outlineLevel="1">
      <c r="A114" s="55" t="s">
        <v>103</v>
      </c>
      <c r="B114" s="55">
        <v>20.0</v>
      </c>
      <c r="C114" s="56">
        <v>0.5</v>
      </c>
      <c r="D114" s="85">
        <f t="shared" si="9"/>
        <v>10</v>
      </c>
      <c r="E114" s="2"/>
      <c r="F114" s="2"/>
    </row>
    <row r="115" hidden="1" outlineLevel="1">
      <c r="A115" s="55" t="s">
        <v>104</v>
      </c>
      <c r="B115" s="55">
        <v>2.0</v>
      </c>
      <c r="C115" s="56">
        <v>50.0</v>
      </c>
      <c r="D115" s="85">
        <f t="shared" si="9"/>
        <v>100</v>
      </c>
      <c r="E115" s="2"/>
      <c r="F115" s="2"/>
    </row>
    <row r="116" collapsed="1">
      <c r="A116" s="55" t="s">
        <v>105</v>
      </c>
      <c r="B116" s="2"/>
      <c r="C116" s="12"/>
      <c r="D116" s="83">
        <f>SUM(D117:D119)</f>
        <v>85</v>
      </c>
      <c r="E116" s="2"/>
      <c r="F116" s="2"/>
    </row>
    <row r="117" hidden="1" outlineLevel="1">
      <c r="A117" s="55" t="s">
        <v>106</v>
      </c>
      <c r="B117" s="55">
        <v>2.0</v>
      </c>
      <c r="C117" s="56">
        <v>20.0</v>
      </c>
      <c r="D117" s="85">
        <f t="shared" ref="D117:D119" si="10">SUM(B117*C117)</f>
        <v>40</v>
      </c>
      <c r="E117" s="2"/>
      <c r="F117" s="2"/>
    </row>
    <row r="118" hidden="1" outlineLevel="1">
      <c r="A118" s="55" t="s">
        <v>107</v>
      </c>
      <c r="B118" s="55">
        <v>10.0</v>
      </c>
      <c r="C118" s="56">
        <v>1.5</v>
      </c>
      <c r="D118" s="85">
        <f t="shared" si="10"/>
        <v>15</v>
      </c>
      <c r="E118" s="2"/>
      <c r="F118" s="2"/>
    </row>
    <row r="119" hidden="1" outlineLevel="1">
      <c r="A119" s="86" t="s">
        <v>108</v>
      </c>
      <c r="B119" s="55">
        <v>30.0</v>
      </c>
      <c r="C119" s="56">
        <v>1.0</v>
      </c>
      <c r="D119" s="85">
        <f t="shared" si="10"/>
        <v>30</v>
      </c>
      <c r="E119" s="2"/>
      <c r="F119" s="2"/>
    </row>
    <row r="120">
      <c r="A120" s="2"/>
      <c r="B120" s="2"/>
      <c r="C120" s="12"/>
      <c r="D120" s="85"/>
      <c r="E120" s="2"/>
      <c r="F120" s="2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</sheetData>
  <mergeCells count="2">
    <mergeCell ref="A1:D1"/>
    <mergeCell ref="A7:D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109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110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16800.0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8084.5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8715.5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0.5187797619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1560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2770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3418.5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336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1560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B9*5%</f>
        <v>840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500.0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100.0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30.0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40.0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50.0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 collapsed="1">
      <c r="A32" s="59" t="s">
        <v>26</v>
      </c>
      <c r="B32" s="60">
        <f>SUM(B33:B39)</f>
        <v>0</v>
      </c>
      <c r="C32" s="61"/>
      <c r="D32" s="62"/>
      <c r="E32" s="4"/>
      <c r="F32" s="36"/>
      <c r="G32" s="63"/>
      <c r="H32" s="14"/>
      <c r="I32" s="14"/>
    </row>
    <row r="33" hidden="1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hidden="1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hidden="1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hidden="1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hidden="1" outlineLevel="1">
      <c r="A37" s="55" t="s">
        <v>31</v>
      </c>
      <c r="B37" s="56"/>
      <c r="C37" s="2"/>
      <c r="D37" s="3"/>
      <c r="E37" s="4"/>
      <c r="F37" s="43"/>
      <c r="G37" s="58"/>
      <c r="H37" s="14"/>
      <c r="I37" s="14"/>
    </row>
    <row r="38" hidden="1" outlineLevel="1">
      <c r="A38" s="55" t="s">
        <v>111</v>
      </c>
      <c r="B38" s="56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 collapsed="1">
      <c r="A40" s="59" t="s">
        <v>32</v>
      </c>
      <c r="B40" s="60">
        <f>SUM(B42:B49)</f>
        <v>2770</v>
      </c>
      <c r="C40" s="61"/>
      <c r="D40" s="62"/>
      <c r="E40" s="4"/>
      <c r="F40" s="36"/>
      <c r="G40" s="63"/>
      <c r="H40" s="14"/>
      <c r="I40" s="14"/>
    </row>
    <row r="41" hidden="1" outlineLevel="1">
      <c r="A41" s="52" t="s">
        <v>33</v>
      </c>
      <c r="B41" s="12">
        <f>B9*5%</f>
        <v>840</v>
      </c>
      <c r="C41" s="2"/>
      <c r="D41" s="3"/>
      <c r="E41" s="4"/>
      <c r="F41" s="54"/>
      <c r="G41" s="58"/>
      <c r="H41" s="14"/>
      <c r="I41" s="14"/>
    </row>
    <row r="42" hidden="1" outlineLevel="1">
      <c r="A42" s="64" t="s">
        <v>34</v>
      </c>
      <c r="B42" s="12">
        <f>B9*0%</f>
        <v>0</v>
      </c>
      <c r="C42" s="2"/>
      <c r="D42" s="3"/>
      <c r="E42" s="4"/>
      <c r="F42" s="65"/>
      <c r="G42" s="58"/>
      <c r="H42" s="14"/>
      <c r="I42" s="14"/>
    </row>
    <row r="43" hidden="1" outlineLevel="1">
      <c r="A43" s="64" t="s">
        <v>35</v>
      </c>
      <c r="B43" s="66">
        <f>B9*7%</f>
        <v>1176</v>
      </c>
      <c r="C43" s="2"/>
      <c r="D43" s="3"/>
      <c r="E43" s="4"/>
      <c r="F43" s="65"/>
      <c r="G43" s="37"/>
      <c r="H43" s="14"/>
      <c r="I43" s="14"/>
    </row>
    <row r="44" hidden="1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hidden="1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hidden="1" outlineLevel="1">
      <c r="A46" s="64" t="s">
        <v>38</v>
      </c>
      <c r="B46" s="67">
        <f>B9*8%</f>
        <v>1344</v>
      </c>
      <c r="C46" s="2"/>
      <c r="D46" s="3"/>
      <c r="E46" s="4"/>
      <c r="F46" s="65"/>
      <c r="G46" s="69"/>
      <c r="H46" s="14"/>
      <c r="I46" s="14"/>
    </row>
    <row r="47" hidden="1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hidden="1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hidden="1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SUM(D53+D69+D73+D88+D98+D103+D111)</f>
        <v>3418.5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SUM(D54:D68)</f>
        <v>1540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/>
      <c r="C54" s="53">
        <v>190.0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C55" s="53">
        <v>230.0</v>
      </c>
      <c r="D55" s="85">
        <f t="shared" ref="D55:D67" si="3">SUM(B55*C55)</f>
        <v>0</v>
      </c>
      <c r="E55" s="4"/>
      <c r="F55" s="43"/>
      <c r="G55" s="84"/>
      <c r="H55" s="40"/>
      <c r="I55" s="37"/>
    </row>
    <row r="56" hidden="1" outlineLevel="1">
      <c r="A56" s="55" t="s">
        <v>112</v>
      </c>
      <c r="C56" s="53">
        <v>320.0</v>
      </c>
      <c r="D56" s="85">
        <f t="shared" si="3"/>
        <v>0</v>
      </c>
      <c r="E56" s="4"/>
      <c r="F56" s="43"/>
      <c r="G56" s="84"/>
      <c r="H56" s="40"/>
      <c r="I56" s="37"/>
    </row>
    <row r="57" hidden="1" outlineLevel="1">
      <c r="A57" s="2" t="s">
        <v>49</v>
      </c>
      <c r="B57" s="82"/>
      <c r="C57" s="53">
        <v>290.0</v>
      </c>
      <c r="D57" s="85">
        <f t="shared" si="3"/>
        <v>0</v>
      </c>
      <c r="E57" s="2"/>
      <c r="F57" s="43"/>
      <c r="G57" s="84"/>
      <c r="H57" s="40"/>
      <c r="I57" s="37"/>
    </row>
    <row r="58" hidden="1" outlineLevel="1">
      <c r="A58" s="55" t="s">
        <v>50</v>
      </c>
      <c r="B58" s="82"/>
      <c r="C58" s="53">
        <v>420.0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51</v>
      </c>
      <c r="B59" s="82">
        <v>1.0</v>
      </c>
      <c r="C59" s="53">
        <v>250.0</v>
      </c>
      <c r="D59" s="85">
        <f t="shared" si="3"/>
        <v>250</v>
      </c>
      <c r="E59" s="2"/>
      <c r="F59" s="14"/>
      <c r="G59" s="84"/>
      <c r="H59" s="37"/>
      <c r="I59" s="37"/>
    </row>
    <row r="60" hidden="1" outlineLevel="1">
      <c r="A60" s="55" t="s">
        <v>52</v>
      </c>
      <c r="B60" s="82">
        <v>2.0</v>
      </c>
      <c r="C60" s="53">
        <v>500.0</v>
      </c>
      <c r="D60" s="85">
        <f t="shared" si="3"/>
        <v>1000</v>
      </c>
      <c r="E60" s="2"/>
      <c r="F60" s="14"/>
      <c r="G60" s="84"/>
      <c r="H60" s="37"/>
      <c r="I60" s="37"/>
      <c r="K60" s="55"/>
    </row>
    <row r="61" hidden="1" outlineLevel="1">
      <c r="A61" s="55" t="s">
        <v>53</v>
      </c>
      <c r="B61" s="82">
        <v>0.5</v>
      </c>
      <c r="C61" s="53">
        <v>580.0</v>
      </c>
      <c r="D61" s="85">
        <f t="shared" si="3"/>
        <v>290</v>
      </c>
      <c r="E61" s="2"/>
      <c r="F61" s="14"/>
      <c r="G61" s="87"/>
      <c r="H61" s="37"/>
      <c r="I61" s="37"/>
      <c r="K61" s="55"/>
    </row>
    <row r="62" hidden="1" outlineLevel="1">
      <c r="A62" s="55" t="s">
        <v>54</v>
      </c>
      <c r="B62" s="82"/>
      <c r="C62" s="53">
        <v>800.0</v>
      </c>
      <c r="D62" s="85">
        <f t="shared" si="3"/>
        <v>0</v>
      </c>
      <c r="E62" s="2"/>
      <c r="F62" s="43"/>
      <c r="G62" s="84"/>
      <c r="H62" s="40"/>
      <c r="I62" s="37"/>
      <c r="K62" s="55"/>
    </row>
    <row r="63" hidden="1" outlineLevel="1">
      <c r="A63" s="55" t="s">
        <v>55</v>
      </c>
      <c r="B63" s="82"/>
      <c r="C63" s="53">
        <v>950.0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56</v>
      </c>
      <c r="B64" s="82"/>
      <c r="C64" s="53">
        <v>1200.0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57</v>
      </c>
      <c r="B65" s="82"/>
      <c r="C65" s="53">
        <v>2200.0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58</v>
      </c>
      <c r="B66" s="82"/>
      <c r="C66" s="53">
        <v>600.0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>
        <v>400.0</v>
      </c>
      <c r="D67" s="85">
        <f t="shared" si="3"/>
        <v>0</v>
      </c>
      <c r="E67" s="2"/>
      <c r="F67" s="43"/>
      <c r="G67" s="84"/>
      <c r="H67" s="40"/>
      <c r="I67" s="37"/>
    </row>
    <row r="68" hidden="1" outlineLevel="1">
      <c r="A68" s="55" t="s">
        <v>59</v>
      </c>
      <c r="B68" s="82"/>
      <c r="C68" s="53"/>
      <c r="D68" s="85"/>
      <c r="E68" s="2"/>
      <c r="F68" s="43"/>
      <c r="G68" s="84"/>
      <c r="H68" s="40"/>
      <c r="I68" s="37"/>
    </row>
    <row r="69" collapsed="1">
      <c r="A69" s="55" t="s">
        <v>60</v>
      </c>
      <c r="B69" s="82"/>
      <c r="C69" s="53"/>
      <c r="D69" s="83">
        <f>SUM(D70:D72)</f>
        <v>240</v>
      </c>
      <c r="E69" s="2"/>
      <c r="F69" s="14"/>
      <c r="G69" s="84"/>
      <c r="H69" s="40"/>
      <c r="I69" s="37"/>
    </row>
    <row r="70" hidden="1" outlineLevel="1">
      <c r="A70" s="55" t="s">
        <v>61</v>
      </c>
      <c r="B70" s="82">
        <v>0.5</v>
      </c>
      <c r="C70" s="53">
        <v>80.0</v>
      </c>
      <c r="D70" s="85">
        <f t="shared" ref="D70:D71" si="4">SUM(B70*C70)</f>
        <v>40</v>
      </c>
      <c r="E70" s="2"/>
      <c r="F70" s="14"/>
      <c r="G70" s="84"/>
      <c r="H70" s="40"/>
      <c r="I70" s="37"/>
    </row>
    <row r="71" hidden="1" outlineLevel="1">
      <c r="A71" s="55" t="s">
        <v>62</v>
      </c>
      <c r="B71" s="82">
        <v>2.0</v>
      </c>
      <c r="C71" s="53">
        <v>100.0</v>
      </c>
      <c r="D71" s="85">
        <f t="shared" si="4"/>
        <v>200</v>
      </c>
      <c r="E71" s="2"/>
      <c r="F71" s="14"/>
      <c r="G71" s="84"/>
      <c r="H71" s="40"/>
      <c r="I71" s="37"/>
    </row>
    <row r="72" hidden="1" outlineLevel="1">
      <c r="A72" s="55" t="s">
        <v>63</v>
      </c>
      <c r="B72" s="82"/>
      <c r="C72" s="53"/>
      <c r="D72" s="83"/>
      <c r="E72" s="2"/>
      <c r="F72" s="14"/>
      <c r="G72" s="84"/>
      <c r="H72" s="40"/>
      <c r="I72" s="37"/>
    </row>
    <row r="73" collapsed="1">
      <c r="A73" s="55" t="s">
        <v>64</v>
      </c>
      <c r="B73" s="82"/>
      <c r="C73" s="53"/>
      <c r="D73" s="83">
        <f>SUM(D74:D87)</f>
        <v>340</v>
      </c>
      <c r="E73" s="2"/>
      <c r="F73" s="14"/>
      <c r="G73" s="84"/>
      <c r="H73" s="40"/>
      <c r="I73" s="37"/>
    </row>
    <row r="74" hidden="1" outlineLevel="1">
      <c r="A74" s="55" t="s">
        <v>65</v>
      </c>
      <c r="B74" s="82">
        <v>8.0</v>
      </c>
      <c r="C74" s="53">
        <v>10.0</v>
      </c>
      <c r="D74" s="85">
        <f t="shared" ref="D74:D87" si="5">SUM(B74*C74)</f>
        <v>80</v>
      </c>
      <c r="E74" s="2"/>
      <c r="F74" s="14"/>
      <c r="G74" s="84"/>
      <c r="H74" s="37"/>
      <c r="I74" s="37"/>
    </row>
    <row r="75" hidden="1" outlineLevel="1">
      <c r="A75" s="55" t="s">
        <v>113</v>
      </c>
      <c r="B75" s="82">
        <v>5.0</v>
      </c>
      <c r="C75" s="53">
        <v>30.0</v>
      </c>
      <c r="D75" s="85">
        <f t="shared" si="5"/>
        <v>150</v>
      </c>
      <c r="E75" s="2"/>
      <c r="F75" s="14"/>
      <c r="G75" s="84"/>
      <c r="H75" s="40"/>
      <c r="I75" s="37"/>
    </row>
    <row r="76" hidden="1" outlineLevel="1">
      <c r="A76" s="55" t="s">
        <v>67</v>
      </c>
      <c r="B76" s="82">
        <v>1.0</v>
      </c>
      <c r="C76" s="53">
        <v>110.0</v>
      </c>
      <c r="D76" s="85">
        <f t="shared" si="5"/>
        <v>110</v>
      </c>
      <c r="E76" s="2"/>
      <c r="F76" s="14"/>
      <c r="G76" s="84"/>
      <c r="H76" s="40"/>
      <c r="I76" s="37"/>
    </row>
    <row r="77" hidden="1" outlineLevel="1">
      <c r="A77" s="55" t="s">
        <v>68</v>
      </c>
      <c r="B77" s="82"/>
      <c r="C77" s="53">
        <v>8.0</v>
      </c>
      <c r="D77" s="85">
        <f t="shared" si="5"/>
        <v>0</v>
      </c>
      <c r="E77" s="2"/>
      <c r="F77" s="14"/>
      <c r="G77" s="84"/>
      <c r="H77" s="40"/>
      <c r="I77" s="37"/>
    </row>
    <row r="78" hidden="1" outlineLevel="1">
      <c r="A78" s="55" t="s">
        <v>69</v>
      </c>
      <c r="B78" s="82"/>
      <c r="C78" s="53">
        <v>150.0</v>
      </c>
      <c r="D78" s="85">
        <f t="shared" si="5"/>
        <v>0</v>
      </c>
      <c r="E78" s="2"/>
      <c r="F78" s="14"/>
      <c r="G78" s="84"/>
      <c r="H78" s="40"/>
      <c r="I78" s="37"/>
    </row>
    <row r="79" hidden="1" outlineLevel="1">
      <c r="A79" s="55" t="s">
        <v>70</v>
      </c>
      <c r="B79" s="82"/>
      <c r="C79" s="53"/>
      <c r="D79" s="85">
        <f t="shared" si="5"/>
        <v>0</v>
      </c>
      <c r="E79" s="2"/>
      <c r="F79" s="14"/>
      <c r="G79" s="84"/>
      <c r="H79" s="40"/>
      <c r="I79" s="37"/>
    </row>
    <row r="80" hidden="1" outlineLevel="1">
      <c r="A80" s="55" t="s">
        <v>71</v>
      </c>
      <c r="B80" s="82"/>
      <c r="C80" s="53">
        <v>150.0</v>
      </c>
      <c r="D80" s="85">
        <f t="shared" si="5"/>
        <v>0</v>
      </c>
      <c r="E80" s="2"/>
      <c r="F80" s="14"/>
      <c r="G80" s="84"/>
      <c r="H80" s="40"/>
      <c r="I80" s="37"/>
    </row>
    <row r="81" hidden="1" outlineLevel="1">
      <c r="A81" s="55" t="s">
        <v>72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hidden="1" outlineLevel="1">
      <c r="A82" s="55" t="s">
        <v>73</v>
      </c>
      <c r="B82" s="82"/>
      <c r="C82" s="53"/>
      <c r="D82" s="85">
        <f t="shared" si="5"/>
        <v>0</v>
      </c>
      <c r="E82" s="2"/>
      <c r="F82" s="14"/>
      <c r="G82" s="84"/>
      <c r="H82" s="40"/>
      <c r="I82" s="37"/>
    </row>
    <row r="83" hidden="1" outlineLevel="1">
      <c r="A83" s="55" t="s">
        <v>74</v>
      </c>
      <c r="B83" s="82"/>
      <c r="C83" s="53">
        <v>25.0</v>
      </c>
      <c r="D83" s="85">
        <f t="shared" si="5"/>
        <v>0</v>
      </c>
      <c r="E83" s="2"/>
      <c r="F83" s="14"/>
      <c r="G83" s="84"/>
      <c r="H83" s="40"/>
      <c r="I83" s="37"/>
    </row>
    <row r="84" hidden="1" outlineLevel="1">
      <c r="A84" s="55" t="s">
        <v>75</v>
      </c>
      <c r="B84" s="82"/>
      <c r="C84" s="53">
        <v>850.0</v>
      </c>
      <c r="D84" s="85">
        <f t="shared" si="5"/>
        <v>0</v>
      </c>
      <c r="E84" s="2"/>
      <c r="F84" s="14"/>
      <c r="G84" s="84"/>
      <c r="H84" s="40"/>
      <c r="I84" s="37"/>
    </row>
    <row r="85" hidden="1" outlineLevel="1">
      <c r="A85" s="55" t="s">
        <v>76</v>
      </c>
      <c r="B85" s="82"/>
      <c r="C85" s="53">
        <v>60.0</v>
      </c>
      <c r="D85" s="85">
        <f t="shared" si="5"/>
        <v>0</v>
      </c>
      <c r="E85" s="2"/>
      <c r="F85" s="14"/>
      <c r="G85" s="84"/>
      <c r="H85" s="40"/>
      <c r="I85" s="37"/>
    </row>
    <row r="86" hidden="1" outlineLevel="1">
      <c r="A86" s="55" t="s">
        <v>77</v>
      </c>
      <c r="B86" s="82"/>
      <c r="C86" s="53">
        <v>700.0</v>
      </c>
      <c r="D86" s="85">
        <f t="shared" si="5"/>
        <v>0</v>
      </c>
      <c r="E86" s="2"/>
      <c r="F86" s="14"/>
      <c r="G86" s="84"/>
      <c r="H86" s="40"/>
      <c r="I86" s="37"/>
    </row>
    <row r="87" hidden="1" outlineLevel="1">
      <c r="A87" s="55" t="s">
        <v>78</v>
      </c>
      <c r="B87" s="82"/>
      <c r="C87" s="53">
        <v>150.0</v>
      </c>
      <c r="D87" s="85">
        <f t="shared" si="5"/>
        <v>0</v>
      </c>
      <c r="E87" s="2"/>
      <c r="F87" s="14"/>
      <c r="G87" s="84"/>
      <c r="H87" s="40"/>
      <c r="I87" s="37"/>
    </row>
    <row r="88" collapsed="1">
      <c r="A88" s="55" t="s">
        <v>79</v>
      </c>
      <c r="B88" s="82"/>
      <c r="C88" s="53"/>
      <c r="D88" s="83">
        <f>SUM(D89:D97)</f>
        <v>150.5</v>
      </c>
      <c r="E88" s="2"/>
      <c r="F88" s="14"/>
      <c r="G88" s="84"/>
      <c r="H88" s="40"/>
      <c r="I88" s="37"/>
    </row>
    <row r="89" hidden="1" outlineLevel="1">
      <c r="A89" s="86" t="s">
        <v>80</v>
      </c>
      <c r="B89" s="86">
        <v>1.0</v>
      </c>
      <c r="C89" s="88">
        <v>25.0</v>
      </c>
      <c r="D89" s="85">
        <f t="shared" ref="D89:D97" si="6">SUM(B89*C89)</f>
        <v>25</v>
      </c>
    </row>
    <row r="90" hidden="1" outlineLevel="1">
      <c r="A90" s="55" t="s">
        <v>81</v>
      </c>
      <c r="B90" s="82">
        <v>12.0</v>
      </c>
      <c r="C90" s="82">
        <v>2.5</v>
      </c>
      <c r="D90" s="85">
        <f t="shared" si="6"/>
        <v>30</v>
      </c>
      <c r="E90" s="2"/>
      <c r="F90" s="2"/>
      <c r="G90" s="82"/>
      <c r="H90" s="53"/>
      <c r="I90" s="66"/>
    </row>
    <row r="91" hidden="1" outlineLevel="1">
      <c r="A91" s="55" t="s">
        <v>82</v>
      </c>
      <c r="B91" s="82">
        <v>32.0</v>
      </c>
      <c r="C91" s="53">
        <v>1.5</v>
      </c>
      <c r="D91" s="85">
        <f t="shared" si="6"/>
        <v>48</v>
      </c>
      <c r="E91" s="2"/>
      <c r="F91" s="2"/>
      <c r="G91" s="82"/>
      <c r="H91" s="53"/>
      <c r="I91" s="66"/>
    </row>
    <row r="92" hidden="1" outlineLevel="1">
      <c r="A92" s="55" t="s">
        <v>83</v>
      </c>
      <c r="B92" s="82"/>
      <c r="C92" s="53">
        <v>0.8</v>
      </c>
      <c r="D92" s="85">
        <f t="shared" si="6"/>
        <v>0</v>
      </c>
      <c r="E92" s="2"/>
      <c r="F92" s="2"/>
      <c r="G92" s="82"/>
      <c r="H92" s="53"/>
      <c r="I92" s="66"/>
    </row>
    <row r="93" hidden="1" outlineLevel="1">
      <c r="A93" s="55" t="s">
        <v>84</v>
      </c>
      <c r="B93" s="82">
        <v>0.5</v>
      </c>
      <c r="C93" s="53">
        <v>35.0</v>
      </c>
      <c r="D93" s="85">
        <f t="shared" si="6"/>
        <v>17.5</v>
      </c>
      <c r="E93" s="2"/>
      <c r="F93" s="2"/>
      <c r="G93" s="82"/>
      <c r="H93" s="53"/>
      <c r="I93" s="66"/>
    </row>
    <row r="94" hidden="1" outlineLevel="1">
      <c r="A94" s="55" t="s">
        <v>85</v>
      </c>
      <c r="B94" s="82"/>
      <c r="C94" s="53">
        <v>50.0</v>
      </c>
      <c r="D94" s="85">
        <f t="shared" si="6"/>
        <v>0</v>
      </c>
      <c r="E94" s="2"/>
      <c r="F94" s="2"/>
      <c r="G94" s="82"/>
      <c r="H94" s="53"/>
      <c r="I94" s="66"/>
    </row>
    <row r="95" hidden="1" outlineLevel="1">
      <c r="A95" s="55" t="s">
        <v>86</v>
      </c>
      <c r="B95" s="82">
        <v>1.0</v>
      </c>
      <c r="C95" s="53">
        <v>30.0</v>
      </c>
      <c r="D95" s="85">
        <f t="shared" si="6"/>
        <v>30</v>
      </c>
      <c r="E95" s="2"/>
      <c r="F95" s="2"/>
      <c r="G95" s="82"/>
      <c r="H95" s="53"/>
      <c r="I95" s="66"/>
    </row>
    <row r="96" hidden="1" outlineLevel="1">
      <c r="A96" s="55" t="s">
        <v>63</v>
      </c>
      <c r="B96" s="82"/>
      <c r="C96" s="53">
        <v>25.0</v>
      </c>
      <c r="D96" s="85">
        <f t="shared" si="6"/>
        <v>0</v>
      </c>
      <c r="E96" s="2"/>
      <c r="F96" s="2"/>
      <c r="G96" s="82"/>
      <c r="H96" s="53"/>
      <c r="I96" s="66"/>
    </row>
    <row r="97" hidden="1" outlineLevel="1">
      <c r="A97" s="55" t="s">
        <v>87</v>
      </c>
      <c r="B97" s="82"/>
      <c r="C97" s="53"/>
      <c r="D97" s="85">
        <f t="shared" si="6"/>
        <v>0</v>
      </c>
      <c r="E97" s="2"/>
      <c r="F97" s="2"/>
      <c r="G97" s="82"/>
      <c r="H97" s="53"/>
      <c r="I97" s="66"/>
    </row>
    <row r="98" collapsed="1">
      <c r="A98" s="55" t="s">
        <v>88</v>
      </c>
      <c r="B98" s="82"/>
      <c r="C98" s="53"/>
      <c r="D98" s="83">
        <f>SUM(D99:D102)</f>
        <v>1060</v>
      </c>
      <c r="E98" s="2"/>
      <c r="F98" s="2"/>
      <c r="G98" s="82"/>
      <c r="H98" s="53"/>
      <c r="I98" s="66"/>
    </row>
    <row r="99" hidden="1" outlineLevel="1">
      <c r="A99" s="55" t="s">
        <v>89</v>
      </c>
      <c r="B99" s="82">
        <v>7.0</v>
      </c>
      <c r="C99" s="53">
        <v>130.0</v>
      </c>
      <c r="D99" s="85">
        <f t="shared" ref="D99:D101" si="7">SUM(B99*C99)</f>
        <v>910</v>
      </c>
      <c r="E99" s="2"/>
      <c r="F99" s="2"/>
      <c r="G99" s="82"/>
      <c r="H99" s="53"/>
      <c r="I99" s="66"/>
    </row>
    <row r="100" hidden="1" outlineLevel="1">
      <c r="A100" s="55" t="s">
        <v>90</v>
      </c>
      <c r="B100" s="82">
        <v>1.0</v>
      </c>
      <c r="C100" s="53">
        <v>150.0</v>
      </c>
      <c r="D100" s="85">
        <f t="shared" si="7"/>
        <v>150</v>
      </c>
      <c r="E100" s="2"/>
      <c r="F100" s="2"/>
      <c r="G100" s="82"/>
      <c r="H100" s="53"/>
      <c r="I100" s="66"/>
    </row>
    <row r="101" hidden="1" outlineLevel="1">
      <c r="A101" s="55" t="s">
        <v>63</v>
      </c>
      <c r="B101" s="82"/>
      <c r="C101" s="53"/>
      <c r="D101" s="85">
        <f t="shared" si="7"/>
        <v>0</v>
      </c>
      <c r="E101" s="2"/>
      <c r="F101" s="2"/>
      <c r="G101" s="82"/>
      <c r="H101" s="53"/>
      <c r="I101" s="66"/>
    </row>
    <row r="102" hidden="1" outlineLevel="1">
      <c r="A102" s="55" t="s">
        <v>87</v>
      </c>
      <c r="B102" s="82"/>
      <c r="C102" s="53"/>
      <c r="D102" s="85"/>
      <c r="E102" s="2"/>
      <c r="F102" s="2"/>
      <c r="G102" s="89"/>
      <c r="H102" s="53"/>
      <c r="I102" s="66"/>
    </row>
    <row r="103" collapsed="1">
      <c r="A103" s="86" t="s">
        <v>91</v>
      </c>
      <c r="B103" s="82"/>
      <c r="C103" s="53"/>
      <c r="D103" s="90">
        <f>SUM(D104:D110)</f>
        <v>0</v>
      </c>
      <c r="E103" s="2"/>
      <c r="F103" s="2"/>
      <c r="G103" s="82"/>
      <c r="H103" s="53"/>
      <c r="I103" s="66"/>
    </row>
    <row r="104" hidden="1" outlineLevel="1">
      <c r="A104" s="86" t="s">
        <v>92</v>
      </c>
      <c r="B104" s="82"/>
      <c r="C104" s="53">
        <v>80.0</v>
      </c>
      <c r="D104" s="85">
        <f t="shared" ref="D104:D110" si="8">SUM(B104*C104)</f>
        <v>0</v>
      </c>
      <c r="E104" s="2"/>
      <c r="F104" s="2"/>
      <c r="G104" s="82"/>
      <c r="H104" s="53"/>
      <c r="I104" s="66"/>
    </row>
    <row r="105" hidden="1" outlineLevel="1">
      <c r="A105" s="55" t="s">
        <v>114</v>
      </c>
      <c r="B105" s="82"/>
      <c r="C105" s="53">
        <v>12.0</v>
      </c>
      <c r="D105" s="85">
        <f t="shared" si="8"/>
        <v>0</v>
      </c>
      <c r="E105" s="2"/>
      <c r="F105" s="55"/>
      <c r="G105" s="82"/>
      <c r="H105" s="53"/>
      <c r="I105" s="66"/>
    </row>
    <row r="106" hidden="1" outlineLevel="1">
      <c r="A106" s="55" t="s">
        <v>94</v>
      </c>
      <c r="B106" s="82"/>
      <c r="C106" s="53">
        <v>80.0</v>
      </c>
      <c r="D106" s="85">
        <f t="shared" si="8"/>
        <v>0</v>
      </c>
      <c r="E106" s="2"/>
      <c r="F106" s="2"/>
      <c r="G106" s="89"/>
      <c r="H106" s="66"/>
      <c r="I106" s="66"/>
    </row>
    <row r="107" hidden="1" outlineLevel="1">
      <c r="A107" s="55" t="s">
        <v>95</v>
      </c>
      <c r="B107" s="55"/>
      <c r="C107" s="56">
        <v>500.0</v>
      </c>
      <c r="D107" s="85">
        <f t="shared" si="8"/>
        <v>0</v>
      </c>
      <c r="E107" s="2"/>
      <c r="F107" s="55"/>
      <c r="G107" s="55"/>
      <c r="H107" s="56"/>
      <c r="I107" s="66"/>
    </row>
    <row r="108" hidden="1" outlineLevel="1">
      <c r="A108" s="55" t="s">
        <v>96</v>
      </c>
      <c r="B108" s="55"/>
      <c r="C108" s="56">
        <v>600.0</v>
      </c>
      <c r="D108" s="85">
        <f t="shared" si="8"/>
        <v>0</v>
      </c>
      <c r="E108" s="2"/>
      <c r="F108" s="2"/>
      <c r="G108" s="2"/>
      <c r="H108" s="12"/>
      <c r="I108" s="66"/>
    </row>
    <row r="109" hidden="1" outlineLevel="1">
      <c r="A109" s="55" t="s">
        <v>97</v>
      </c>
      <c r="B109" s="55"/>
      <c r="C109" s="56">
        <v>300.0</v>
      </c>
      <c r="D109" s="85">
        <f t="shared" si="8"/>
        <v>0</v>
      </c>
      <c r="E109" s="2"/>
      <c r="F109" s="2"/>
      <c r="G109" s="2"/>
      <c r="H109" s="12"/>
      <c r="I109" s="66"/>
    </row>
    <row r="110" hidden="1" outlineLevel="1">
      <c r="A110" s="55" t="s">
        <v>98</v>
      </c>
      <c r="B110" s="55"/>
      <c r="C110" s="56">
        <v>600.0</v>
      </c>
      <c r="D110" s="85">
        <f t="shared" si="8"/>
        <v>0</v>
      </c>
      <c r="E110" s="2"/>
      <c r="F110" s="2"/>
      <c r="G110" s="2"/>
      <c r="H110" s="12"/>
      <c r="I110" s="66"/>
    </row>
    <row r="111" collapsed="1">
      <c r="A111" s="55" t="s">
        <v>99</v>
      </c>
      <c r="B111" s="2"/>
      <c r="C111" s="12"/>
      <c r="D111" s="83">
        <f>SUM(D112:D116)</f>
        <v>88</v>
      </c>
      <c r="E111" s="2"/>
      <c r="F111" s="2"/>
      <c r="G111" s="2"/>
      <c r="H111" s="12"/>
      <c r="I111" s="66"/>
    </row>
    <row r="112" hidden="1" outlineLevel="1">
      <c r="A112" s="55" t="s">
        <v>100</v>
      </c>
      <c r="B112" s="55">
        <v>0.5</v>
      </c>
      <c r="C112" s="56">
        <v>12.0</v>
      </c>
      <c r="D112" s="85">
        <f t="shared" ref="D112:D116" si="9">SUM(B112*C112)</f>
        <v>6</v>
      </c>
      <c r="E112" s="2"/>
      <c r="F112" s="2"/>
      <c r="G112" s="2"/>
      <c r="H112" s="12"/>
      <c r="I112" s="66"/>
    </row>
    <row r="113" hidden="1" outlineLevel="1">
      <c r="A113" s="55" t="s">
        <v>101</v>
      </c>
      <c r="B113" s="55">
        <v>1.0</v>
      </c>
      <c r="C113" s="56">
        <v>10.0</v>
      </c>
      <c r="D113" s="85">
        <f t="shared" si="9"/>
        <v>10</v>
      </c>
      <c r="E113" s="2"/>
      <c r="F113" s="2"/>
      <c r="G113" s="2"/>
      <c r="H113" s="12"/>
      <c r="I113" s="66"/>
    </row>
    <row r="114" hidden="1" outlineLevel="1">
      <c r="A114" s="55" t="s">
        <v>102</v>
      </c>
      <c r="B114" s="55">
        <v>3.0</v>
      </c>
      <c r="C114" s="56">
        <v>4.0</v>
      </c>
      <c r="D114" s="85">
        <f t="shared" si="9"/>
        <v>12</v>
      </c>
      <c r="E114" s="2"/>
      <c r="F114" s="2"/>
      <c r="G114" s="2"/>
      <c r="H114" s="12"/>
      <c r="I114" s="66"/>
    </row>
    <row r="115" hidden="1" outlineLevel="1">
      <c r="A115" s="55" t="s">
        <v>103</v>
      </c>
      <c r="B115" s="55">
        <v>20.0</v>
      </c>
      <c r="C115" s="56">
        <v>0.5</v>
      </c>
      <c r="D115" s="85">
        <f t="shared" si="9"/>
        <v>10</v>
      </c>
      <c r="E115" s="2"/>
      <c r="F115" s="2"/>
    </row>
    <row r="116" hidden="1" outlineLevel="1">
      <c r="A116" s="55" t="s">
        <v>104</v>
      </c>
      <c r="B116" s="55">
        <v>1.0</v>
      </c>
      <c r="C116" s="56">
        <v>50.0</v>
      </c>
      <c r="D116" s="85">
        <f t="shared" si="9"/>
        <v>50</v>
      </c>
      <c r="E116" s="2"/>
      <c r="F116" s="2"/>
    </row>
    <row r="117" collapsed="1">
      <c r="A117" s="55" t="s">
        <v>105</v>
      </c>
      <c r="B117" s="2"/>
      <c r="C117" s="12"/>
      <c r="D117" s="83">
        <f>SUM(D118:D120)</f>
        <v>135</v>
      </c>
      <c r="E117" s="2"/>
      <c r="F117" s="2"/>
    </row>
    <row r="118" hidden="1" outlineLevel="1">
      <c r="A118" s="55" t="s">
        <v>106</v>
      </c>
      <c r="B118" s="55">
        <v>3.0</v>
      </c>
      <c r="C118" s="56">
        <v>20.0</v>
      </c>
      <c r="D118" s="85">
        <f t="shared" ref="D118:D120" si="10">SUM(B118*C118)</f>
        <v>60</v>
      </c>
      <c r="E118" s="2"/>
      <c r="F118" s="2"/>
    </row>
    <row r="119" hidden="1" outlineLevel="1">
      <c r="A119" s="55" t="s">
        <v>107</v>
      </c>
      <c r="B119" s="55">
        <v>30.0</v>
      </c>
      <c r="C119" s="56">
        <v>1.5</v>
      </c>
      <c r="D119" s="85">
        <f t="shared" si="10"/>
        <v>45</v>
      </c>
      <c r="E119" s="2"/>
      <c r="F119" s="2"/>
    </row>
    <row r="120" hidden="1" outlineLevel="1">
      <c r="A120" s="86" t="s">
        <v>108</v>
      </c>
      <c r="B120" s="55">
        <v>30.0</v>
      </c>
      <c r="C120" s="56">
        <v>1.0</v>
      </c>
      <c r="D120" s="85">
        <f t="shared" si="10"/>
        <v>30</v>
      </c>
      <c r="E120" s="2"/>
      <c r="F120" s="2"/>
    </row>
    <row r="121">
      <c r="A121" s="2"/>
      <c r="B121" s="2"/>
      <c r="C121" s="12"/>
      <c r="D121" s="85"/>
      <c r="E121" s="2"/>
      <c r="F121" s="2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  <row r="1045">
      <c r="D1045" s="20"/>
    </row>
  </sheetData>
  <mergeCells count="2">
    <mergeCell ref="A1:D1"/>
    <mergeCell ref="A7:D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115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116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13900.0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8875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5025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0.3615107914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1525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2335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4737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278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1525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B9*5%</f>
        <v>695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600.0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100.0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30.0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50.0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50.0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 collapsed="1">
      <c r="A32" s="59" t="s">
        <v>26</v>
      </c>
      <c r="B32" s="60">
        <f>SUM(B33:B39)</f>
        <v>0</v>
      </c>
      <c r="C32" s="61"/>
      <c r="D32" s="62"/>
      <c r="E32" s="4"/>
      <c r="F32" s="36"/>
      <c r="G32" s="63"/>
      <c r="H32" s="14"/>
      <c r="I32" s="14"/>
    </row>
    <row r="33" hidden="1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hidden="1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hidden="1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hidden="1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hidden="1" outlineLevel="1">
      <c r="A37" s="55" t="s">
        <v>31</v>
      </c>
      <c r="B37" s="56"/>
      <c r="C37" s="2"/>
      <c r="D37" s="3"/>
      <c r="E37" s="4"/>
      <c r="F37" s="43"/>
      <c r="G37" s="58"/>
      <c r="H37" s="14"/>
      <c r="I37" s="14"/>
    </row>
    <row r="38" hidden="1" outlineLevel="1">
      <c r="A38" s="55" t="s">
        <v>111</v>
      </c>
      <c r="B38" s="56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 collapsed="1">
      <c r="A40" s="59" t="s">
        <v>32</v>
      </c>
      <c r="B40" s="60">
        <f>SUM(B42:B49)</f>
        <v>2335</v>
      </c>
      <c r="C40" s="61"/>
      <c r="D40" s="62"/>
      <c r="E40" s="4"/>
      <c r="F40" s="36"/>
      <c r="G40" s="63"/>
      <c r="H40" s="14"/>
      <c r="I40" s="14"/>
    </row>
    <row r="41" hidden="1" outlineLevel="1">
      <c r="A41" s="52" t="s">
        <v>33</v>
      </c>
      <c r="B41" s="12">
        <f>B9*5%</f>
        <v>695</v>
      </c>
      <c r="C41" s="2"/>
      <c r="D41" s="3"/>
      <c r="E41" s="4"/>
      <c r="F41" s="54"/>
      <c r="G41" s="58"/>
      <c r="H41" s="14"/>
      <c r="I41" s="14"/>
    </row>
    <row r="42" hidden="1" outlineLevel="1">
      <c r="A42" s="64" t="s">
        <v>34</v>
      </c>
      <c r="B42" s="12">
        <f>B9*0%</f>
        <v>0</v>
      </c>
      <c r="C42" s="2"/>
      <c r="D42" s="3"/>
      <c r="E42" s="4"/>
      <c r="F42" s="65"/>
      <c r="G42" s="58"/>
      <c r="H42" s="14"/>
      <c r="I42" s="14"/>
    </row>
    <row r="43" hidden="1" outlineLevel="1">
      <c r="A43" s="64" t="s">
        <v>35</v>
      </c>
      <c r="B43" s="66">
        <f>B9*7%</f>
        <v>973</v>
      </c>
      <c r="C43" s="2"/>
      <c r="D43" s="3"/>
      <c r="E43" s="4"/>
      <c r="F43" s="65"/>
      <c r="G43" s="37"/>
      <c r="H43" s="14"/>
      <c r="I43" s="14"/>
    </row>
    <row r="44" hidden="1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hidden="1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hidden="1" outlineLevel="1">
      <c r="A46" s="64" t="s">
        <v>38</v>
      </c>
      <c r="B46" s="67">
        <f>B9*8%</f>
        <v>1112</v>
      </c>
      <c r="C46" s="2"/>
      <c r="D46" s="3"/>
      <c r="E46" s="4"/>
      <c r="F46" s="65"/>
      <c r="G46" s="69"/>
      <c r="H46" s="14"/>
      <c r="I46" s="14"/>
    </row>
    <row r="47" hidden="1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hidden="1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hidden="1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SUM(D53+D69+D73+D88+D98+D103+D111)</f>
        <v>4737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SUM(D54:D68)</f>
        <v>2000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/>
      <c r="C54" s="53">
        <v>190.0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C55" s="53">
        <v>230.0</v>
      </c>
      <c r="D55" s="85">
        <f t="shared" ref="D55:D67" si="3">SUM(B55*C55)</f>
        <v>0</v>
      </c>
      <c r="E55" s="4"/>
      <c r="F55" s="43"/>
      <c r="G55" s="84"/>
      <c r="H55" s="40"/>
      <c r="I55" s="37"/>
    </row>
    <row r="56" hidden="1" outlineLevel="1">
      <c r="A56" s="55" t="s">
        <v>112</v>
      </c>
      <c r="C56" s="53">
        <v>320.0</v>
      </c>
      <c r="D56" s="85">
        <f t="shared" si="3"/>
        <v>0</v>
      </c>
      <c r="E56" s="4"/>
      <c r="F56" s="43"/>
      <c r="G56" s="84"/>
      <c r="H56" s="40"/>
      <c r="I56" s="37"/>
    </row>
    <row r="57" hidden="1" outlineLevel="1">
      <c r="A57" s="2" t="s">
        <v>49</v>
      </c>
      <c r="B57" s="82"/>
      <c r="C57" s="53">
        <v>290.0</v>
      </c>
      <c r="D57" s="85">
        <f t="shared" si="3"/>
        <v>0</v>
      </c>
      <c r="E57" s="2"/>
      <c r="F57" s="43"/>
      <c r="G57" s="84"/>
      <c r="H57" s="40"/>
      <c r="I57" s="37"/>
    </row>
    <row r="58" hidden="1" outlineLevel="1">
      <c r="A58" s="55" t="s">
        <v>50</v>
      </c>
      <c r="B58" s="82"/>
      <c r="C58" s="53">
        <v>420.0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51</v>
      </c>
      <c r="B59" s="82">
        <v>2.0</v>
      </c>
      <c r="C59" s="53">
        <v>250.0</v>
      </c>
      <c r="D59" s="85">
        <f t="shared" si="3"/>
        <v>500</v>
      </c>
      <c r="E59" s="2"/>
      <c r="F59" s="14"/>
      <c r="G59" s="84"/>
      <c r="H59" s="37"/>
      <c r="I59" s="37"/>
    </row>
    <row r="60" hidden="1" outlineLevel="1">
      <c r="A60" s="55" t="s">
        <v>52</v>
      </c>
      <c r="B60" s="82">
        <v>3.0</v>
      </c>
      <c r="C60" s="53">
        <v>500.0</v>
      </c>
      <c r="D60" s="85">
        <f t="shared" si="3"/>
        <v>1500</v>
      </c>
      <c r="E60" s="2"/>
      <c r="F60" s="14"/>
      <c r="G60" s="84"/>
      <c r="H60" s="37"/>
      <c r="I60" s="37"/>
      <c r="K60" s="55"/>
    </row>
    <row r="61" hidden="1" outlineLevel="1">
      <c r="A61" s="55" t="s">
        <v>53</v>
      </c>
      <c r="B61" s="82"/>
      <c r="C61" s="53">
        <v>580.0</v>
      </c>
      <c r="D61" s="85">
        <f t="shared" si="3"/>
        <v>0</v>
      </c>
      <c r="E61" s="2"/>
      <c r="F61" s="14"/>
      <c r="G61" s="87"/>
      <c r="H61" s="37"/>
      <c r="I61" s="37"/>
      <c r="K61" s="55"/>
    </row>
    <row r="62" hidden="1" outlineLevel="1">
      <c r="A62" s="55" t="s">
        <v>54</v>
      </c>
      <c r="B62" s="82"/>
      <c r="C62" s="53">
        <v>800.0</v>
      </c>
      <c r="D62" s="85">
        <f t="shared" si="3"/>
        <v>0</v>
      </c>
      <c r="E62" s="2"/>
      <c r="F62" s="43"/>
      <c r="G62" s="84"/>
      <c r="H62" s="40"/>
      <c r="I62" s="37"/>
      <c r="K62" s="55"/>
    </row>
    <row r="63" hidden="1" outlineLevel="1">
      <c r="A63" s="55" t="s">
        <v>55</v>
      </c>
      <c r="B63" s="82"/>
      <c r="C63" s="53">
        <v>950.0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56</v>
      </c>
      <c r="B64" s="82"/>
      <c r="C64" s="53">
        <v>1200.0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57</v>
      </c>
      <c r="B65" s="82"/>
      <c r="C65" s="53">
        <v>2200.0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58</v>
      </c>
      <c r="B66" s="82"/>
      <c r="C66" s="53">
        <v>600.0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>
        <v>400.0</v>
      </c>
      <c r="D67" s="85">
        <f t="shared" si="3"/>
        <v>0</v>
      </c>
      <c r="E67" s="2"/>
      <c r="F67" s="43"/>
      <c r="G67" s="84"/>
      <c r="H67" s="40"/>
      <c r="I67" s="37"/>
    </row>
    <row r="68" hidden="1" outlineLevel="1">
      <c r="A68" s="55" t="s">
        <v>59</v>
      </c>
      <c r="B68" s="82"/>
      <c r="C68" s="53"/>
      <c r="D68" s="85"/>
      <c r="E68" s="2"/>
      <c r="F68" s="43"/>
      <c r="G68" s="84"/>
      <c r="H68" s="40"/>
      <c r="I68" s="37"/>
    </row>
    <row r="69" collapsed="1">
      <c r="A69" s="55" t="s">
        <v>60</v>
      </c>
      <c r="B69" s="82"/>
      <c r="C69" s="53"/>
      <c r="D69" s="83">
        <f>SUM(D70:D72)</f>
        <v>240</v>
      </c>
      <c r="E69" s="2"/>
      <c r="F69" s="14"/>
      <c r="G69" s="84"/>
      <c r="H69" s="40"/>
      <c r="I69" s="37"/>
    </row>
    <row r="70" hidden="1" outlineLevel="1">
      <c r="A70" s="55" t="s">
        <v>61</v>
      </c>
      <c r="B70" s="82">
        <v>0.5</v>
      </c>
      <c r="C70" s="53">
        <v>80.0</v>
      </c>
      <c r="D70" s="85">
        <f t="shared" ref="D70:D71" si="4">SUM(B70*C70)</f>
        <v>40</v>
      </c>
      <c r="E70" s="2"/>
      <c r="F70" s="14"/>
      <c r="G70" s="84"/>
      <c r="H70" s="40"/>
      <c r="I70" s="37"/>
    </row>
    <row r="71" hidden="1" outlineLevel="1">
      <c r="A71" s="55" t="s">
        <v>62</v>
      </c>
      <c r="B71" s="82">
        <v>2.0</v>
      </c>
      <c r="C71" s="53">
        <v>100.0</v>
      </c>
      <c r="D71" s="85">
        <f t="shared" si="4"/>
        <v>200</v>
      </c>
      <c r="E71" s="2"/>
      <c r="F71" s="14"/>
      <c r="G71" s="84"/>
      <c r="H71" s="40"/>
      <c r="I71" s="37"/>
    </row>
    <row r="72" hidden="1" outlineLevel="1">
      <c r="A72" s="55" t="s">
        <v>63</v>
      </c>
      <c r="B72" s="82"/>
      <c r="C72" s="53"/>
      <c r="D72" s="83"/>
      <c r="E72" s="2"/>
      <c r="F72" s="14"/>
      <c r="G72" s="84"/>
      <c r="H72" s="40"/>
      <c r="I72" s="37"/>
    </row>
    <row r="73" collapsed="1">
      <c r="A73" s="55" t="s">
        <v>64</v>
      </c>
      <c r="B73" s="82"/>
      <c r="C73" s="53"/>
      <c r="D73" s="83">
        <f>SUM(D74:D87)</f>
        <v>1790</v>
      </c>
      <c r="E73" s="2"/>
      <c r="F73" s="14"/>
      <c r="G73" s="84"/>
      <c r="H73" s="40"/>
      <c r="I73" s="37"/>
    </row>
    <row r="74" hidden="1" outlineLevel="1">
      <c r="A74" s="55" t="s">
        <v>65</v>
      </c>
      <c r="B74" s="82">
        <v>4.0</v>
      </c>
      <c r="C74" s="53">
        <v>10.0</v>
      </c>
      <c r="D74" s="85">
        <f t="shared" ref="D74:D87" si="5">SUM(B74*C74)</f>
        <v>40</v>
      </c>
      <c r="E74" s="2"/>
      <c r="F74" s="14"/>
      <c r="G74" s="84"/>
      <c r="H74" s="37"/>
      <c r="I74" s="37"/>
    </row>
    <row r="75" hidden="1" outlineLevel="1">
      <c r="A75" s="55" t="s">
        <v>113</v>
      </c>
      <c r="B75" s="82"/>
      <c r="C75" s="53"/>
      <c r="D75" s="85">
        <f t="shared" si="5"/>
        <v>0</v>
      </c>
      <c r="E75" s="2"/>
      <c r="F75" s="14"/>
      <c r="G75" s="84"/>
      <c r="H75" s="40"/>
      <c r="I75" s="37"/>
    </row>
    <row r="76" hidden="1" outlineLevel="1">
      <c r="A76" s="55" t="s">
        <v>67</v>
      </c>
      <c r="B76" s="82">
        <v>5.0</v>
      </c>
      <c r="C76" s="53">
        <v>350.0</v>
      </c>
      <c r="D76" s="85">
        <f t="shared" si="5"/>
        <v>1750</v>
      </c>
      <c r="E76" s="2"/>
      <c r="F76" s="14"/>
      <c r="G76" s="84"/>
      <c r="H76" s="40"/>
      <c r="I76" s="37"/>
    </row>
    <row r="77" hidden="1" outlineLevel="1">
      <c r="A77" s="55" t="s">
        <v>68</v>
      </c>
      <c r="B77" s="82"/>
      <c r="C77" s="53">
        <v>8.0</v>
      </c>
      <c r="D77" s="85">
        <f t="shared" si="5"/>
        <v>0</v>
      </c>
      <c r="E77" s="2"/>
      <c r="F77" s="14"/>
      <c r="G77" s="84"/>
      <c r="H77" s="40"/>
      <c r="I77" s="37"/>
    </row>
    <row r="78" hidden="1" outlineLevel="1">
      <c r="A78" s="55" t="s">
        <v>69</v>
      </c>
      <c r="B78" s="82"/>
      <c r="C78" s="53">
        <v>150.0</v>
      </c>
      <c r="D78" s="85">
        <f t="shared" si="5"/>
        <v>0</v>
      </c>
      <c r="E78" s="2"/>
      <c r="F78" s="14"/>
      <c r="G78" s="84"/>
      <c r="H78" s="40"/>
      <c r="I78" s="37"/>
    </row>
    <row r="79" hidden="1" outlineLevel="1">
      <c r="A79" s="55" t="s">
        <v>70</v>
      </c>
      <c r="B79" s="82"/>
      <c r="C79" s="53"/>
      <c r="D79" s="85">
        <f t="shared" si="5"/>
        <v>0</v>
      </c>
      <c r="E79" s="2"/>
      <c r="F79" s="14"/>
      <c r="G79" s="84"/>
      <c r="H79" s="40"/>
      <c r="I79" s="37"/>
    </row>
    <row r="80" hidden="1" outlineLevel="1">
      <c r="A80" s="55" t="s">
        <v>71</v>
      </c>
      <c r="B80" s="82"/>
      <c r="C80" s="53">
        <v>150.0</v>
      </c>
      <c r="D80" s="85">
        <f t="shared" si="5"/>
        <v>0</v>
      </c>
      <c r="E80" s="2"/>
      <c r="F80" s="14"/>
      <c r="G80" s="84"/>
      <c r="H80" s="40"/>
      <c r="I80" s="37"/>
    </row>
    <row r="81" hidden="1" outlineLevel="1">
      <c r="A81" s="55" t="s">
        <v>72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hidden="1" outlineLevel="1">
      <c r="A82" s="55" t="s">
        <v>73</v>
      </c>
      <c r="B82" s="82"/>
      <c r="C82" s="53"/>
      <c r="D82" s="85">
        <f t="shared" si="5"/>
        <v>0</v>
      </c>
      <c r="E82" s="2"/>
      <c r="F82" s="14"/>
      <c r="G82" s="84"/>
      <c r="H82" s="40"/>
      <c r="I82" s="37"/>
    </row>
    <row r="83" hidden="1" outlineLevel="1">
      <c r="A83" s="55" t="s">
        <v>74</v>
      </c>
      <c r="B83" s="82"/>
      <c r="C83" s="53">
        <v>200.0</v>
      </c>
      <c r="D83" s="85">
        <f t="shared" si="5"/>
        <v>0</v>
      </c>
      <c r="E83" s="2"/>
      <c r="F83" s="14"/>
      <c r="G83" s="84"/>
      <c r="H83" s="40"/>
      <c r="I83" s="37"/>
    </row>
    <row r="84" hidden="1" outlineLevel="1">
      <c r="A84" s="55" t="s">
        <v>75</v>
      </c>
      <c r="B84" s="82"/>
      <c r="C84" s="53">
        <v>850.0</v>
      </c>
      <c r="D84" s="85">
        <f t="shared" si="5"/>
        <v>0</v>
      </c>
      <c r="E84" s="2"/>
      <c r="F84" s="14"/>
      <c r="G84" s="84"/>
      <c r="H84" s="40"/>
      <c r="I84" s="37"/>
    </row>
    <row r="85" hidden="1" outlineLevel="1">
      <c r="A85" s="55" t="s">
        <v>76</v>
      </c>
      <c r="B85" s="82"/>
      <c r="C85" s="53">
        <v>60.0</v>
      </c>
      <c r="D85" s="85">
        <f t="shared" si="5"/>
        <v>0</v>
      </c>
      <c r="E85" s="2"/>
      <c r="F85" s="14"/>
      <c r="G85" s="84"/>
      <c r="H85" s="40"/>
      <c r="I85" s="37"/>
    </row>
    <row r="86" hidden="1" outlineLevel="1">
      <c r="A86" s="55" t="s">
        <v>77</v>
      </c>
      <c r="B86" s="82"/>
      <c r="C86" s="53">
        <v>700.0</v>
      </c>
      <c r="D86" s="85">
        <f t="shared" si="5"/>
        <v>0</v>
      </c>
      <c r="E86" s="2"/>
      <c r="F86" s="14"/>
      <c r="G86" s="84"/>
      <c r="H86" s="40"/>
      <c r="I86" s="37"/>
    </row>
    <row r="87" hidden="1" outlineLevel="1">
      <c r="A87" s="55" t="s">
        <v>78</v>
      </c>
      <c r="B87" s="82"/>
      <c r="C87" s="53">
        <v>150.0</v>
      </c>
      <c r="D87" s="85">
        <f t="shared" si="5"/>
        <v>0</v>
      </c>
      <c r="E87" s="2"/>
      <c r="F87" s="14"/>
      <c r="G87" s="84"/>
      <c r="H87" s="40"/>
      <c r="I87" s="37"/>
    </row>
    <row r="88" collapsed="1">
      <c r="A88" s="55" t="s">
        <v>79</v>
      </c>
      <c r="B88" s="82"/>
      <c r="C88" s="53"/>
      <c r="D88" s="83">
        <f>SUM(D89:D97)</f>
        <v>165</v>
      </c>
      <c r="E88" s="2"/>
      <c r="F88" s="14"/>
      <c r="G88" s="84"/>
      <c r="H88" s="40"/>
      <c r="I88" s="37"/>
    </row>
    <row r="89" hidden="1" outlineLevel="1">
      <c r="A89" s="86" t="s">
        <v>80</v>
      </c>
      <c r="B89" s="86">
        <v>1.0</v>
      </c>
      <c r="C89" s="88">
        <v>25.0</v>
      </c>
      <c r="D89" s="85">
        <f t="shared" ref="D89:D97" si="6">SUM(B89*C89)</f>
        <v>25</v>
      </c>
    </row>
    <row r="90" hidden="1" outlineLevel="1">
      <c r="A90" s="55" t="s">
        <v>81</v>
      </c>
      <c r="B90" s="82">
        <v>10.0</v>
      </c>
      <c r="C90" s="82">
        <v>2.5</v>
      </c>
      <c r="D90" s="85">
        <f t="shared" si="6"/>
        <v>25</v>
      </c>
      <c r="E90" s="2"/>
      <c r="F90" s="2"/>
      <c r="G90" s="82"/>
      <c r="H90" s="53"/>
      <c r="I90" s="66"/>
    </row>
    <row r="91" hidden="1" outlineLevel="1">
      <c r="A91" s="55" t="s">
        <v>82</v>
      </c>
      <c r="B91" s="82"/>
      <c r="C91" s="53">
        <v>1.5</v>
      </c>
      <c r="D91" s="85">
        <f t="shared" si="6"/>
        <v>0</v>
      </c>
      <c r="E91" s="2"/>
      <c r="F91" s="2"/>
      <c r="G91" s="82"/>
      <c r="H91" s="53"/>
      <c r="I91" s="66"/>
    </row>
    <row r="92" hidden="1" outlineLevel="1">
      <c r="A92" s="55" t="s">
        <v>83</v>
      </c>
      <c r="B92" s="82"/>
      <c r="C92" s="53">
        <v>0.8</v>
      </c>
      <c r="D92" s="85">
        <f t="shared" si="6"/>
        <v>0</v>
      </c>
      <c r="E92" s="2"/>
      <c r="F92" s="2"/>
      <c r="G92" s="82"/>
      <c r="H92" s="53"/>
      <c r="I92" s="66"/>
    </row>
    <row r="93" hidden="1" outlineLevel="1">
      <c r="A93" s="55" t="s">
        <v>84</v>
      </c>
      <c r="B93" s="82">
        <v>1.0</v>
      </c>
      <c r="C93" s="53">
        <v>35.0</v>
      </c>
      <c r="D93" s="85">
        <f t="shared" si="6"/>
        <v>35</v>
      </c>
      <c r="E93" s="2"/>
      <c r="F93" s="2"/>
      <c r="G93" s="82"/>
      <c r="H93" s="53"/>
      <c r="I93" s="66"/>
    </row>
    <row r="94" hidden="1" outlineLevel="1">
      <c r="A94" s="55" t="s">
        <v>85</v>
      </c>
      <c r="B94" s="82">
        <v>1.0</v>
      </c>
      <c r="C94" s="53">
        <v>50.0</v>
      </c>
      <c r="D94" s="85">
        <f t="shared" si="6"/>
        <v>50</v>
      </c>
      <c r="E94" s="2"/>
      <c r="F94" s="2"/>
      <c r="G94" s="82"/>
      <c r="H94" s="53"/>
      <c r="I94" s="66"/>
    </row>
    <row r="95" hidden="1" outlineLevel="1">
      <c r="A95" s="55" t="s">
        <v>86</v>
      </c>
      <c r="B95" s="82">
        <v>1.0</v>
      </c>
      <c r="C95" s="53">
        <v>30.0</v>
      </c>
      <c r="D95" s="85">
        <f t="shared" si="6"/>
        <v>30</v>
      </c>
      <c r="E95" s="2"/>
      <c r="F95" s="2"/>
      <c r="G95" s="82"/>
      <c r="H95" s="53"/>
      <c r="I95" s="66"/>
    </row>
    <row r="96" hidden="1" outlineLevel="1">
      <c r="A96" s="55" t="s">
        <v>63</v>
      </c>
      <c r="B96" s="82"/>
      <c r="C96" s="53">
        <v>25.0</v>
      </c>
      <c r="D96" s="85">
        <f t="shared" si="6"/>
        <v>0</v>
      </c>
      <c r="E96" s="2"/>
      <c r="F96" s="2"/>
      <c r="G96" s="82"/>
      <c r="H96" s="53"/>
      <c r="I96" s="66"/>
    </row>
    <row r="97" hidden="1" outlineLevel="1">
      <c r="A97" s="55" t="s">
        <v>87</v>
      </c>
      <c r="B97" s="82"/>
      <c r="C97" s="53"/>
      <c r="D97" s="85">
        <f t="shared" si="6"/>
        <v>0</v>
      </c>
      <c r="E97" s="2"/>
      <c r="F97" s="2"/>
      <c r="G97" s="82"/>
      <c r="H97" s="53"/>
      <c r="I97" s="66"/>
    </row>
    <row r="98" collapsed="1">
      <c r="A98" s="55" t="s">
        <v>88</v>
      </c>
      <c r="B98" s="82"/>
      <c r="C98" s="53"/>
      <c r="D98" s="83">
        <f>SUM(D99:D102)</f>
        <v>390</v>
      </c>
      <c r="E98" s="2"/>
      <c r="F98" s="2"/>
      <c r="G98" s="82"/>
      <c r="H98" s="53"/>
      <c r="I98" s="66"/>
    </row>
    <row r="99" hidden="1" outlineLevel="1">
      <c r="A99" s="55" t="s">
        <v>89</v>
      </c>
      <c r="B99" s="82">
        <v>3.0</v>
      </c>
      <c r="C99" s="53">
        <v>130.0</v>
      </c>
      <c r="D99" s="85">
        <f t="shared" ref="D99:D101" si="7">SUM(B99*C99)</f>
        <v>390</v>
      </c>
      <c r="E99" s="2"/>
      <c r="F99" s="2"/>
      <c r="G99" s="82"/>
      <c r="H99" s="53"/>
      <c r="I99" s="66"/>
    </row>
    <row r="100" hidden="1" outlineLevel="1">
      <c r="A100" s="55" t="s">
        <v>90</v>
      </c>
      <c r="B100" s="82"/>
      <c r="C100" s="53">
        <v>50.0</v>
      </c>
      <c r="D100" s="85">
        <f t="shared" si="7"/>
        <v>0</v>
      </c>
      <c r="E100" s="2"/>
      <c r="F100" s="2"/>
      <c r="G100" s="82"/>
      <c r="H100" s="53"/>
      <c r="I100" s="66"/>
    </row>
    <row r="101" hidden="1" outlineLevel="1">
      <c r="A101" s="55" t="s">
        <v>63</v>
      </c>
      <c r="B101" s="82"/>
      <c r="C101" s="53"/>
      <c r="D101" s="85">
        <f t="shared" si="7"/>
        <v>0</v>
      </c>
      <c r="E101" s="2"/>
      <c r="F101" s="2"/>
      <c r="G101" s="82"/>
      <c r="H101" s="53"/>
      <c r="I101" s="66"/>
    </row>
    <row r="102" hidden="1" outlineLevel="1">
      <c r="A102" s="55" t="s">
        <v>87</v>
      </c>
      <c r="B102" s="82"/>
      <c r="C102" s="53"/>
      <c r="D102" s="85"/>
      <c r="E102" s="2"/>
      <c r="F102" s="2"/>
      <c r="G102" s="89"/>
      <c r="H102" s="53"/>
      <c r="I102" s="66"/>
    </row>
    <row r="103" collapsed="1">
      <c r="A103" s="86" t="s">
        <v>91</v>
      </c>
      <c r="B103" s="82"/>
      <c r="C103" s="53"/>
      <c r="D103" s="90">
        <f>SUM(D104:D110)</f>
        <v>0</v>
      </c>
      <c r="E103" s="2"/>
      <c r="F103" s="2"/>
      <c r="G103" s="82"/>
      <c r="H103" s="53"/>
      <c r="I103" s="66"/>
    </row>
    <row r="104" hidden="1" outlineLevel="1">
      <c r="A104" s="86" t="s">
        <v>92</v>
      </c>
      <c r="B104" s="82"/>
      <c r="C104" s="53">
        <v>80.0</v>
      </c>
      <c r="D104" s="85">
        <f t="shared" ref="D104:D110" si="8">SUM(B104*C104)</f>
        <v>0</v>
      </c>
      <c r="E104" s="2"/>
      <c r="F104" s="2"/>
      <c r="G104" s="82"/>
      <c r="H104" s="53"/>
      <c r="I104" s="66"/>
    </row>
    <row r="105" hidden="1" outlineLevel="1">
      <c r="A105" s="55" t="s">
        <v>114</v>
      </c>
      <c r="B105" s="82"/>
      <c r="C105" s="53">
        <v>12.0</v>
      </c>
      <c r="D105" s="85">
        <f t="shared" si="8"/>
        <v>0</v>
      </c>
      <c r="E105" s="2"/>
      <c r="F105" s="55"/>
      <c r="G105" s="82"/>
      <c r="H105" s="53"/>
      <c r="I105" s="66"/>
    </row>
    <row r="106" hidden="1" outlineLevel="1">
      <c r="A106" s="55" t="s">
        <v>94</v>
      </c>
      <c r="B106" s="82"/>
      <c r="C106" s="53">
        <v>80.0</v>
      </c>
      <c r="D106" s="85">
        <f t="shared" si="8"/>
        <v>0</v>
      </c>
      <c r="E106" s="2"/>
      <c r="F106" s="2"/>
      <c r="G106" s="89"/>
      <c r="H106" s="66"/>
      <c r="I106" s="66"/>
    </row>
    <row r="107" hidden="1" outlineLevel="1">
      <c r="A107" s="55" t="s">
        <v>95</v>
      </c>
      <c r="B107" s="55"/>
      <c r="C107" s="56">
        <v>500.0</v>
      </c>
      <c r="D107" s="85">
        <f t="shared" si="8"/>
        <v>0</v>
      </c>
      <c r="E107" s="2"/>
      <c r="F107" s="55"/>
      <c r="G107" s="55"/>
      <c r="H107" s="56"/>
      <c r="I107" s="66"/>
    </row>
    <row r="108" hidden="1" outlineLevel="1">
      <c r="A108" s="55" t="s">
        <v>96</v>
      </c>
      <c r="B108" s="55"/>
      <c r="C108" s="56">
        <v>600.0</v>
      </c>
      <c r="D108" s="85">
        <f t="shared" si="8"/>
        <v>0</v>
      </c>
      <c r="E108" s="2"/>
      <c r="F108" s="2"/>
      <c r="G108" s="2"/>
      <c r="H108" s="12"/>
      <c r="I108" s="66"/>
    </row>
    <row r="109" hidden="1" outlineLevel="1">
      <c r="A109" s="55" t="s">
        <v>97</v>
      </c>
      <c r="B109" s="55"/>
      <c r="C109" s="56">
        <v>300.0</v>
      </c>
      <c r="D109" s="85">
        <f t="shared" si="8"/>
        <v>0</v>
      </c>
      <c r="E109" s="2"/>
      <c r="F109" s="2"/>
      <c r="G109" s="2"/>
      <c r="H109" s="12"/>
      <c r="I109" s="66"/>
    </row>
    <row r="110" hidden="1" outlineLevel="1">
      <c r="A110" s="55" t="s">
        <v>98</v>
      </c>
      <c r="B110" s="55"/>
      <c r="C110" s="56">
        <v>600.0</v>
      </c>
      <c r="D110" s="85">
        <f t="shared" si="8"/>
        <v>0</v>
      </c>
      <c r="E110" s="2"/>
      <c r="F110" s="2"/>
      <c r="G110" s="2"/>
      <c r="H110" s="12"/>
      <c r="I110" s="66"/>
    </row>
    <row r="111" collapsed="1">
      <c r="A111" s="55" t="s">
        <v>99</v>
      </c>
      <c r="B111" s="2"/>
      <c r="C111" s="12"/>
      <c r="D111" s="83">
        <f>SUM(D112:D116)</f>
        <v>152</v>
      </c>
      <c r="E111" s="2"/>
      <c r="F111" s="2"/>
      <c r="G111" s="2"/>
      <c r="H111" s="12"/>
      <c r="I111" s="66"/>
    </row>
    <row r="112" hidden="1" outlineLevel="1">
      <c r="A112" s="55" t="s">
        <v>100</v>
      </c>
      <c r="B112" s="55">
        <v>1.0</v>
      </c>
      <c r="C112" s="56">
        <v>12.0</v>
      </c>
      <c r="D112" s="85">
        <f t="shared" ref="D112:D116" si="9">SUM(B112*C112)</f>
        <v>12</v>
      </c>
      <c r="E112" s="2"/>
      <c r="F112" s="2"/>
      <c r="G112" s="2"/>
      <c r="H112" s="12"/>
      <c r="I112" s="66"/>
    </row>
    <row r="113" hidden="1" outlineLevel="1">
      <c r="A113" s="55" t="s">
        <v>101</v>
      </c>
      <c r="B113" s="55">
        <v>1.0</v>
      </c>
      <c r="C113" s="56">
        <v>10.0</v>
      </c>
      <c r="D113" s="85">
        <f t="shared" si="9"/>
        <v>10</v>
      </c>
      <c r="E113" s="2"/>
      <c r="F113" s="2"/>
      <c r="G113" s="2"/>
      <c r="H113" s="12"/>
      <c r="I113" s="66"/>
    </row>
    <row r="114" hidden="1" outlineLevel="1">
      <c r="A114" s="55" t="s">
        <v>102</v>
      </c>
      <c r="B114" s="55">
        <v>5.0</v>
      </c>
      <c r="C114" s="56">
        <v>4.0</v>
      </c>
      <c r="D114" s="85">
        <f t="shared" si="9"/>
        <v>20</v>
      </c>
      <c r="E114" s="2"/>
      <c r="F114" s="2"/>
      <c r="G114" s="2"/>
      <c r="H114" s="12"/>
      <c r="I114" s="66"/>
    </row>
    <row r="115" hidden="1" outlineLevel="1">
      <c r="A115" s="55" t="s">
        <v>103</v>
      </c>
      <c r="B115" s="55">
        <v>20.0</v>
      </c>
      <c r="C115" s="56">
        <v>0.5</v>
      </c>
      <c r="D115" s="85">
        <f t="shared" si="9"/>
        <v>10</v>
      </c>
      <c r="E115" s="2"/>
      <c r="F115" s="2"/>
    </row>
    <row r="116" hidden="1" outlineLevel="1">
      <c r="A116" s="55" t="s">
        <v>104</v>
      </c>
      <c r="B116" s="55">
        <v>2.0</v>
      </c>
      <c r="C116" s="56">
        <v>50.0</v>
      </c>
      <c r="D116" s="85">
        <f t="shared" si="9"/>
        <v>100</v>
      </c>
      <c r="E116" s="2"/>
      <c r="F116" s="2"/>
    </row>
    <row r="117" collapsed="1">
      <c r="A117" s="55" t="s">
        <v>105</v>
      </c>
      <c r="B117" s="2"/>
      <c r="C117" s="12"/>
      <c r="D117" s="83">
        <f>SUM(D118:D120)</f>
        <v>135</v>
      </c>
      <c r="E117" s="2"/>
      <c r="F117" s="2"/>
    </row>
    <row r="118" hidden="1" outlineLevel="1">
      <c r="A118" s="55" t="s">
        <v>106</v>
      </c>
      <c r="B118" s="55">
        <v>3.0</v>
      </c>
      <c r="C118" s="56">
        <v>20.0</v>
      </c>
      <c r="D118" s="85">
        <f t="shared" ref="D118:D120" si="10">SUM(B118*C118)</f>
        <v>60</v>
      </c>
      <c r="E118" s="2"/>
      <c r="F118" s="2"/>
    </row>
    <row r="119" hidden="1" outlineLevel="1">
      <c r="A119" s="55" t="s">
        <v>107</v>
      </c>
      <c r="B119" s="55">
        <v>30.0</v>
      </c>
      <c r="C119" s="56">
        <v>1.5</v>
      </c>
      <c r="D119" s="85">
        <f t="shared" si="10"/>
        <v>45</v>
      </c>
      <c r="E119" s="2"/>
      <c r="F119" s="2"/>
    </row>
    <row r="120" hidden="1" outlineLevel="1">
      <c r="A120" s="86" t="s">
        <v>108</v>
      </c>
      <c r="B120" s="55">
        <v>30.0</v>
      </c>
      <c r="C120" s="56">
        <v>1.0</v>
      </c>
      <c r="D120" s="85">
        <f t="shared" si="10"/>
        <v>30</v>
      </c>
      <c r="E120" s="2"/>
      <c r="F120" s="2"/>
    </row>
    <row r="121">
      <c r="A121" s="2"/>
      <c r="B121" s="2"/>
      <c r="C121" s="12"/>
      <c r="D121" s="85"/>
      <c r="E121" s="2"/>
      <c r="F121" s="2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  <row r="1045">
      <c r="D1045" s="20"/>
    </row>
  </sheetData>
  <mergeCells count="2">
    <mergeCell ref="A1:D1"/>
    <mergeCell ref="A7:D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117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118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11500.0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7276.5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4223.5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0.3672608696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1125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2780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3141.5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230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1125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B9*5%</f>
        <v>575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300.0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100.0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50.0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50.0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50.0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 collapsed="1">
      <c r="A32" s="59" t="s">
        <v>26</v>
      </c>
      <c r="B32" s="60">
        <f>SUM(B33:B39)</f>
        <v>0</v>
      </c>
      <c r="C32" s="61"/>
      <c r="D32" s="62"/>
      <c r="E32" s="4"/>
      <c r="F32" s="36"/>
      <c r="G32" s="63"/>
      <c r="H32" s="14"/>
      <c r="I32" s="14"/>
    </row>
    <row r="33" hidden="1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hidden="1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hidden="1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hidden="1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hidden="1" outlineLevel="1">
      <c r="A37" s="55" t="s">
        <v>31</v>
      </c>
      <c r="B37" s="56"/>
      <c r="C37" s="2"/>
      <c r="D37" s="3"/>
      <c r="E37" s="4"/>
      <c r="F37" s="43"/>
      <c r="G37" s="58"/>
      <c r="H37" s="14"/>
      <c r="I37" s="14"/>
    </row>
    <row r="38" hidden="1" outlineLevel="1">
      <c r="A38" s="55"/>
      <c r="B38" s="12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 collapsed="1">
      <c r="A40" s="59" t="s">
        <v>32</v>
      </c>
      <c r="B40" s="60">
        <f>SUM(B42:B49)</f>
        <v>2780</v>
      </c>
      <c r="C40" s="61"/>
      <c r="D40" s="62"/>
      <c r="E40" s="4"/>
      <c r="F40" s="36"/>
      <c r="G40" s="63"/>
      <c r="H40" s="14"/>
      <c r="I40" s="14"/>
    </row>
    <row r="41" hidden="1" outlineLevel="1">
      <c r="A41" s="52" t="s">
        <v>33</v>
      </c>
      <c r="B41" s="12">
        <f>B9*5%</f>
        <v>575</v>
      </c>
      <c r="C41" s="2"/>
      <c r="D41" s="3"/>
      <c r="E41" s="4"/>
      <c r="F41" s="54"/>
      <c r="G41" s="58"/>
      <c r="H41" s="14"/>
      <c r="I41" s="14"/>
    </row>
    <row r="42" hidden="1" outlineLevel="1">
      <c r="A42" s="64" t="s">
        <v>34</v>
      </c>
      <c r="B42" s="12">
        <f>B9*8%</f>
        <v>920</v>
      </c>
      <c r="C42" s="2"/>
      <c r="D42" s="3"/>
      <c r="E42" s="4"/>
      <c r="F42" s="65"/>
      <c r="G42" s="58"/>
      <c r="H42" s="14"/>
      <c r="I42" s="14"/>
    </row>
    <row r="43" hidden="1" outlineLevel="1">
      <c r="A43" s="64" t="s">
        <v>35</v>
      </c>
      <c r="B43" s="66">
        <f>B9*7%</f>
        <v>805</v>
      </c>
      <c r="C43" s="2"/>
      <c r="D43" s="3"/>
      <c r="E43" s="4"/>
      <c r="F43" s="65"/>
      <c r="G43" s="37"/>
      <c r="H43" s="14"/>
      <c r="I43" s="14"/>
    </row>
    <row r="44" hidden="1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hidden="1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hidden="1" outlineLevel="1">
      <c r="A46" s="64" t="s">
        <v>38</v>
      </c>
      <c r="B46" s="67">
        <f>B9*7%</f>
        <v>805</v>
      </c>
      <c r="C46" s="2"/>
      <c r="D46" s="3"/>
      <c r="E46" s="4"/>
      <c r="F46" s="65"/>
      <c r="G46" s="69"/>
      <c r="H46" s="14"/>
      <c r="I46" s="14"/>
    </row>
    <row r="47" hidden="1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hidden="1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hidden="1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SUM(D53+D69+D73+D88+D98+D103+D111)</f>
        <v>3141.5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SUM(D54:D68)</f>
        <v>1770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>
        <v>1.5</v>
      </c>
      <c r="C54" s="53">
        <v>190.0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B55" s="86">
        <v>3.0</v>
      </c>
      <c r="C55" s="53">
        <v>230.0</v>
      </c>
      <c r="D55" s="85">
        <f t="shared" ref="D55:D67" si="3">SUM(B55*C55)</f>
        <v>690</v>
      </c>
      <c r="E55" s="4"/>
      <c r="F55" s="43"/>
      <c r="G55" s="84"/>
      <c r="H55" s="40"/>
      <c r="I55" s="37"/>
    </row>
    <row r="56" hidden="1" outlineLevel="1">
      <c r="A56" s="55" t="s">
        <v>112</v>
      </c>
      <c r="C56" s="53">
        <v>320.0</v>
      </c>
      <c r="D56" s="85">
        <f t="shared" si="3"/>
        <v>0</v>
      </c>
      <c r="E56" s="4"/>
      <c r="F56" s="43"/>
      <c r="G56" s="84"/>
      <c r="H56" s="40"/>
      <c r="I56" s="37"/>
    </row>
    <row r="57" hidden="1" outlineLevel="1">
      <c r="A57" s="2" t="s">
        <v>49</v>
      </c>
      <c r="B57" s="82"/>
      <c r="C57" s="53">
        <v>290.0</v>
      </c>
      <c r="D57" s="85">
        <f t="shared" si="3"/>
        <v>0</v>
      </c>
      <c r="E57" s="2"/>
      <c r="F57" s="43"/>
      <c r="G57" s="84"/>
      <c r="H57" s="40"/>
      <c r="I57" s="37"/>
    </row>
    <row r="58" hidden="1" outlineLevel="1">
      <c r="A58" s="55" t="s">
        <v>50</v>
      </c>
      <c r="B58" s="82"/>
      <c r="C58" s="53">
        <v>420.0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51</v>
      </c>
      <c r="B59" s="82"/>
      <c r="C59" s="53">
        <v>250.0</v>
      </c>
      <c r="D59" s="85">
        <f t="shared" si="3"/>
        <v>0</v>
      </c>
      <c r="E59" s="2"/>
      <c r="F59" s="14"/>
      <c r="G59" s="84"/>
      <c r="H59" s="37"/>
      <c r="I59" s="37"/>
    </row>
    <row r="60" hidden="1" outlineLevel="1">
      <c r="A60" s="55" t="s">
        <v>52</v>
      </c>
      <c r="B60" s="82">
        <v>1.0</v>
      </c>
      <c r="C60" s="53">
        <v>500.0</v>
      </c>
      <c r="D60" s="85">
        <f t="shared" si="3"/>
        <v>500</v>
      </c>
      <c r="E60" s="2"/>
      <c r="F60" s="14"/>
      <c r="G60" s="84"/>
      <c r="H60" s="37"/>
      <c r="I60" s="37"/>
      <c r="K60" s="55"/>
    </row>
    <row r="61" hidden="1" outlineLevel="1">
      <c r="A61" s="55" t="s">
        <v>53</v>
      </c>
      <c r="B61" s="82">
        <v>1.0</v>
      </c>
      <c r="C61" s="53">
        <v>580.0</v>
      </c>
      <c r="D61" s="85">
        <f t="shared" si="3"/>
        <v>580</v>
      </c>
      <c r="E61" s="2"/>
      <c r="F61" s="14"/>
      <c r="G61" s="87"/>
      <c r="H61" s="37"/>
      <c r="I61" s="37"/>
      <c r="K61" s="55"/>
    </row>
    <row r="62" hidden="1" outlineLevel="1">
      <c r="A62" s="55" t="s">
        <v>54</v>
      </c>
      <c r="B62" s="82"/>
      <c r="C62" s="53">
        <v>800.0</v>
      </c>
      <c r="D62" s="85">
        <f t="shared" si="3"/>
        <v>0</v>
      </c>
      <c r="E62" s="2"/>
      <c r="F62" s="43"/>
      <c r="G62" s="84"/>
      <c r="H62" s="40"/>
      <c r="I62" s="37"/>
      <c r="K62" s="55"/>
    </row>
    <row r="63" hidden="1" outlineLevel="1">
      <c r="A63" s="55" t="s">
        <v>55</v>
      </c>
      <c r="B63" s="82"/>
      <c r="C63" s="53">
        <v>950.0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56</v>
      </c>
      <c r="B64" s="82"/>
      <c r="C64" s="53">
        <v>1200.0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57</v>
      </c>
      <c r="B65" s="82"/>
      <c r="C65" s="53">
        <v>2200.0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58</v>
      </c>
      <c r="B66" s="82"/>
      <c r="C66" s="53">
        <v>600.0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>
        <v>400.0</v>
      </c>
      <c r="D67" s="85">
        <f t="shared" si="3"/>
        <v>0</v>
      </c>
      <c r="E67" s="2"/>
      <c r="F67" s="43"/>
      <c r="G67" s="84"/>
      <c r="H67" s="40"/>
      <c r="I67" s="37"/>
    </row>
    <row r="68" hidden="1" outlineLevel="1">
      <c r="A68" s="55" t="s">
        <v>59</v>
      </c>
      <c r="B68" s="82"/>
      <c r="C68" s="53"/>
      <c r="D68" s="85"/>
      <c r="E68" s="2"/>
      <c r="F68" s="43"/>
      <c r="G68" s="84"/>
      <c r="H68" s="40"/>
      <c r="I68" s="37"/>
    </row>
    <row r="69" collapsed="1">
      <c r="A69" s="55" t="s">
        <v>60</v>
      </c>
      <c r="B69" s="82"/>
      <c r="C69" s="53"/>
      <c r="D69" s="83">
        <f>SUM(D70:D72)</f>
        <v>240</v>
      </c>
      <c r="E69" s="2"/>
      <c r="F69" s="14"/>
      <c r="G69" s="84"/>
      <c r="H69" s="40"/>
      <c r="I69" s="37"/>
    </row>
    <row r="70" hidden="1" outlineLevel="1">
      <c r="A70" s="55" t="s">
        <v>61</v>
      </c>
      <c r="B70" s="82">
        <v>0.5</v>
      </c>
      <c r="C70" s="53">
        <v>80.0</v>
      </c>
      <c r="D70" s="85">
        <f t="shared" ref="D70:D71" si="4">SUM(B70*C70)</f>
        <v>40</v>
      </c>
      <c r="E70" s="2"/>
      <c r="F70" s="14"/>
      <c r="G70" s="84"/>
      <c r="H70" s="40"/>
      <c r="I70" s="37"/>
    </row>
    <row r="71" hidden="1" outlineLevel="1">
      <c r="A71" s="55" t="s">
        <v>62</v>
      </c>
      <c r="B71" s="82">
        <v>2.0</v>
      </c>
      <c r="C71" s="53">
        <v>100.0</v>
      </c>
      <c r="D71" s="85">
        <f t="shared" si="4"/>
        <v>200</v>
      </c>
      <c r="E71" s="2"/>
      <c r="F71" s="14"/>
      <c r="G71" s="84"/>
      <c r="H71" s="40"/>
      <c r="I71" s="37"/>
    </row>
    <row r="72" hidden="1" outlineLevel="1">
      <c r="A72" s="55" t="s">
        <v>63</v>
      </c>
      <c r="B72" s="82"/>
      <c r="C72" s="53"/>
      <c r="D72" s="83"/>
      <c r="E72" s="2"/>
      <c r="F72" s="14"/>
      <c r="G72" s="84"/>
      <c r="H72" s="40"/>
      <c r="I72" s="37"/>
    </row>
    <row r="73" collapsed="1">
      <c r="A73" s="55" t="s">
        <v>64</v>
      </c>
      <c r="B73" s="82"/>
      <c r="C73" s="53"/>
      <c r="D73" s="83">
        <f>SUM(D74:D87)</f>
        <v>685</v>
      </c>
      <c r="E73" s="2"/>
      <c r="F73" s="14"/>
      <c r="G73" s="84"/>
      <c r="H73" s="40"/>
      <c r="I73" s="37"/>
    </row>
    <row r="74" hidden="1" outlineLevel="1">
      <c r="A74" s="55" t="s">
        <v>65</v>
      </c>
      <c r="B74" s="82">
        <v>15.0</v>
      </c>
      <c r="C74" s="53">
        <v>9.0</v>
      </c>
      <c r="D74" s="85">
        <f t="shared" ref="D74:D87" si="5">SUM(B74*C74)</f>
        <v>135</v>
      </c>
      <c r="E74" s="2"/>
      <c r="F74" s="14"/>
      <c r="G74" s="84"/>
      <c r="H74" s="37"/>
      <c r="I74" s="37"/>
    </row>
    <row r="75" hidden="1" outlineLevel="1">
      <c r="A75" s="55" t="s">
        <v>113</v>
      </c>
      <c r="B75" s="82"/>
      <c r="C75" s="53"/>
      <c r="D75" s="85">
        <f t="shared" si="5"/>
        <v>0</v>
      </c>
      <c r="E75" s="2"/>
      <c r="F75" s="14"/>
      <c r="G75" s="84"/>
      <c r="H75" s="40"/>
      <c r="I75" s="37"/>
    </row>
    <row r="76" hidden="1" outlineLevel="1">
      <c r="A76" s="55" t="s">
        <v>67</v>
      </c>
      <c r="B76" s="82">
        <v>6.0</v>
      </c>
      <c r="C76" s="53">
        <v>75.0</v>
      </c>
      <c r="D76" s="85">
        <f t="shared" si="5"/>
        <v>450</v>
      </c>
      <c r="E76" s="2"/>
      <c r="F76" s="14"/>
      <c r="G76" s="84"/>
      <c r="H76" s="40"/>
      <c r="I76" s="37"/>
    </row>
    <row r="77" hidden="1" outlineLevel="1">
      <c r="A77" s="55" t="s">
        <v>68</v>
      </c>
      <c r="B77" s="82"/>
      <c r="C77" s="53">
        <v>8.0</v>
      </c>
      <c r="D77" s="85">
        <f t="shared" si="5"/>
        <v>0</v>
      </c>
      <c r="E77" s="2"/>
      <c r="F77" s="14"/>
      <c r="G77" s="84"/>
      <c r="H77" s="40"/>
      <c r="I77" s="37"/>
    </row>
    <row r="78" hidden="1" outlineLevel="1">
      <c r="A78" s="55" t="s">
        <v>69</v>
      </c>
      <c r="B78" s="82"/>
      <c r="C78" s="53">
        <v>150.0</v>
      </c>
      <c r="D78" s="85">
        <f t="shared" si="5"/>
        <v>0</v>
      </c>
      <c r="E78" s="2"/>
      <c r="F78" s="14"/>
      <c r="G78" s="84"/>
      <c r="H78" s="40"/>
      <c r="I78" s="37"/>
    </row>
    <row r="79" hidden="1" outlineLevel="1">
      <c r="A79" s="55" t="s">
        <v>70</v>
      </c>
      <c r="B79" s="82"/>
      <c r="C79" s="53"/>
      <c r="D79" s="85">
        <f t="shared" si="5"/>
        <v>0</v>
      </c>
      <c r="E79" s="2"/>
      <c r="F79" s="14"/>
      <c r="G79" s="84"/>
      <c r="H79" s="40"/>
      <c r="I79" s="37"/>
    </row>
    <row r="80" hidden="1" outlineLevel="1">
      <c r="A80" s="55" t="s">
        <v>71</v>
      </c>
      <c r="B80" s="82"/>
      <c r="C80" s="53">
        <v>150.0</v>
      </c>
      <c r="D80" s="85">
        <f t="shared" si="5"/>
        <v>0</v>
      </c>
      <c r="E80" s="2"/>
      <c r="F80" s="14"/>
      <c r="G80" s="84"/>
      <c r="H80" s="40"/>
      <c r="I80" s="37"/>
    </row>
    <row r="81" hidden="1" outlineLevel="1">
      <c r="A81" s="55" t="s">
        <v>72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hidden="1" outlineLevel="1">
      <c r="A82" s="55" t="s">
        <v>73</v>
      </c>
      <c r="B82" s="82"/>
      <c r="C82" s="53"/>
      <c r="D82" s="85">
        <f t="shared" si="5"/>
        <v>0</v>
      </c>
      <c r="E82" s="2"/>
      <c r="F82" s="14"/>
      <c r="G82" s="84"/>
      <c r="H82" s="40"/>
      <c r="I82" s="37"/>
    </row>
    <row r="83" hidden="1" outlineLevel="1">
      <c r="A83" s="55" t="s">
        <v>74</v>
      </c>
      <c r="B83" s="82"/>
      <c r="C83" s="53">
        <v>50.0</v>
      </c>
      <c r="D83" s="85">
        <f t="shared" si="5"/>
        <v>0</v>
      </c>
      <c r="E83" s="2"/>
      <c r="F83" s="14"/>
      <c r="G83" s="84"/>
      <c r="H83" s="40"/>
      <c r="I83" s="37"/>
    </row>
    <row r="84" hidden="1" outlineLevel="1">
      <c r="A84" s="55" t="s">
        <v>75</v>
      </c>
      <c r="B84" s="82"/>
      <c r="C84" s="53">
        <v>1000.0</v>
      </c>
      <c r="D84" s="85">
        <f t="shared" si="5"/>
        <v>0</v>
      </c>
      <c r="E84" s="2"/>
      <c r="F84" s="14"/>
      <c r="G84" s="84"/>
      <c r="H84" s="40"/>
      <c r="I84" s="37"/>
    </row>
    <row r="85" hidden="1" outlineLevel="1">
      <c r="A85" s="55" t="s">
        <v>76</v>
      </c>
      <c r="B85" s="82"/>
      <c r="C85" s="53">
        <v>60.0</v>
      </c>
      <c r="D85" s="85">
        <f t="shared" si="5"/>
        <v>0</v>
      </c>
      <c r="E85" s="2"/>
      <c r="F85" s="14"/>
      <c r="G85" s="84"/>
      <c r="H85" s="40"/>
      <c r="I85" s="37"/>
    </row>
    <row r="86" hidden="1" outlineLevel="1">
      <c r="A86" s="55" t="s">
        <v>70</v>
      </c>
      <c r="B86" s="82"/>
      <c r="C86" s="53">
        <v>250.0</v>
      </c>
      <c r="D86" s="85">
        <f t="shared" si="5"/>
        <v>0</v>
      </c>
      <c r="E86" s="2"/>
      <c r="F86" s="14"/>
      <c r="G86" s="84"/>
      <c r="H86" s="40"/>
      <c r="I86" s="37"/>
    </row>
    <row r="87" hidden="1" outlineLevel="1">
      <c r="A87" s="55" t="s">
        <v>78</v>
      </c>
      <c r="B87" s="82">
        <v>1.0</v>
      </c>
      <c r="C87" s="53">
        <v>100.0</v>
      </c>
      <c r="D87" s="85">
        <f t="shared" si="5"/>
        <v>100</v>
      </c>
      <c r="E87" s="2"/>
      <c r="F87" s="14"/>
      <c r="G87" s="84"/>
      <c r="H87" s="40"/>
      <c r="I87" s="37"/>
    </row>
    <row r="88" collapsed="1">
      <c r="A88" s="55" t="s">
        <v>79</v>
      </c>
      <c r="B88" s="82"/>
      <c r="C88" s="53"/>
      <c r="D88" s="83">
        <f>SUM(D89:D97)</f>
        <v>127.5</v>
      </c>
      <c r="E88" s="2"/>
      <c r="F88" s="14"/>
      <c r="G88" s="84"/>
      <c r="H88" s="40"/>
      <c r="I88" s="37"/>
    </row>
    <row r="89" hidden="1" outlineLevel="1">
      <c r="A89" s="86" t="s">
        <v>80</v>
      </c>
      <c r="B89" s="86">
        <v>2.0</v>
      </c>
      <c r="C89" s="88">
        <v>25.0</v>
      </c>
      <c r="D89" s="85">
        <f t="shared" ref="D89:D97" si="6">SUM(B89*C89)</f>
        <v>50</v>
      </c>
    </row>
    <row r="90" hidden="1" outlineLevel="1">
      <c r="A90" s="55" t="s">
        <v>81</v>
      </c>
      <c r="B90" s="82"/>
      <c r="C90" s="82">
        <v>1.8</v>
      </c>
      <c r="D90" s="85">
        <f t="shared" si="6"/>
        <v>0</v>
      </c>
      <c r="E90" s="2"/>
      <c r="F90" s="2"/>
      <c r="G90" s="82"/>
      <c r="H90" s="53"/>
      <c r="I90" s="66"/>
    </row>
    <row r="91" hidden="1" outlineLevel="1">
      <c r="A91" s="55" t="s">
        <v>82</v>
      </c>
      <c r="B91" s="82">
        <v>20.0</v>
      </c>
      <c r="C91" s="53">
        <v>1.5</v>
      </c>
      <c r="D91" s="85">
        <f t="shared" si="6"/>
        <v>30</v>
      </c>
      <c r="E91" s="2"/>
      <c r="F91" s="2"/>
      <c r="G91" s="82"/>
      <c r="H91" s="53"/>
      <c r="I91" s="66"/>
    </row>
    <row r="92" hidden="1" outlineLevel="1">
      <c r="A92" s="55" t="s">
        <v>83</v>
      </c>
      <c r="B92" s="82"/>
      <c r="C92" s="53">
        <v>0.8</v>
      </c>
      <c r="D92" s="85">
        <f t="shared" si="6"/>
        <v>0</v>
      </c>
      <c r="E92" s="2"/>
      <c r="F92" s="2"/>
      <c r="G92" s="82"/>
      <c r="H92" s="53"/>
      <c r="I92" s="66"/>
    </row>
    <row r="93" hidden="1" outlineLevel="1">
      <c r="A93" s="55" t="s">
        <v>84</v>
      </c>
      <c r="B93" s="82">
        <v>0.5</v>
      </c>
      <c r="C93" s="53">
        <v>35.0</v>
      </c>
      <c r="D93" s="85">
        <f t="shared" si="6"/>
        <v>17.5</v>
      </c>
      <c r="E93" s="2"/>
      <c r="F93" s="2"/>
      <c r="G93" s="82"/>
      <c r="H93" s="53"/>
      <c r="I93" s="66"/>
    </row>
    <row r="94" hidden="1" outlineLevel="1">
      <c r="A94" s="55" t="s">
        <v>85</v>
      </c>
      <c r="B94" s="82"/>
      <c r="C94" s="53">
        <v>50.0</v>
      </c>
      <c r="D94" s="85">
        <f t="shared" si="6"/>
        <v>0</v>
      </c>
      <c r="E94" s="2"/>
      <c r="F94" s="2"/>
      <c r="G94" s="82"/>
      <c r="H94" s="53"/>
      <c r="I94" s="66"/>
    </row>
    <row r="95" hidden="1" outlineLevel="1">
      <c r="A95" s="55" t="s">
        <v>86</v>
      </c>
      <c r="B95" s="82">
        <v>1.0</v>
      </c>
      <c r="C95" s="53">
        <v>30.0</v>
      </c>
      <c r="D95" s="85">
        <f t="shared" si="6"/>
        <v>30</v>
      </c>
      <c r="E95" s="2"/>
      <c r="F95" s="2"/>
      <c r="G95" s="82"/>
      <c r="H95" s="53"/>
      <c r="I95" s="66"/>
    </row>
    <row r="96" hidden="1" outlineLevel="1">
      <c r="A96" s="55" t="s">
        <v>63</v>
      </c>
      <c r="B96" s="82"/>
      <c r="C96" s="53">
        <v>25.0</v>
      </c>
      <c r="D96" s="85">
        <f t="shared" si="6"/>
        <v>0</v>
      </c>
      <c r="E96" s="2"/>
      <c r="F96" s="2"/>
      <c r="G96" s="82"/>
      <c r="H96" s="53"/>
      <c r="I96" s="66"/>
    </row>
    <row r="97" hidden="1" outlineLevel="1">
      <c r="A97" s="55" t="s">
        <v>87</v>
      </c>
      <c r="B97" s="82"/>
      <c r="C97" s="53"/>
      <c r="D97" s="85">
        <f t="shared" si="6"/>
        <v>0</v>
      </c>
      <c r="E97" s="2"/>
      <c r="F97" s="2"/>
      <c r="G97" s="82"/>
      <c r="H97" s="53"/>
      <c r="I97" s="66"/>
    </row>
    <row r="98" collapsed="1">
      <c r="A98" s="55" t="s">
        <v>88</v>
      </c>
      <c r="B98" s="82"/>
      <c r="C98" s="53"/>
      <c r="D98" s="83">
        <f>SUM(D99:D102)</f>
        <v>0</v>
      </c>
      <c r="E98" s="2"/>
      <c r="F98" s="2"/>
      <c r="G98" s="82"/>
      <c r="H98" s="53"/>
      <c r="I98" s="66"/>
    </row>
    <row r="99" hidden="1" outlineLevel="1">
      <c r="A99" s="55" t="s">
        <v>89</v>
      </c>
      <c r="B99" s="82"/>
      <c r="C99" s="53">
        <v>130.0</v>
      </c>
      <c r="D99" s="85">
        <f t="shared" ref="D99:D101" si="7">SUM(B99*C99)</f>
        <v>0</v>
      </c>
      <c r="E99" s="2"/>
      <c r="F99" s="2"/>
      <c r="G99" s="82"/>
      <c r="H99" s="53"/>
      <c r="I99" s="66"/>
    </row>
    <row r="100" hidden="1" outlineLevel="1">
      <c r="A100" s="55" t="s">
        <v>90</v>
      </c>
      <c r="B100" s="82"/>
      <c r="C100" s="53">
        <v>50.0</v>
      </c>
      <c r="D100" s="85">
        <f t="shared" si="7"/>
        <v>0</v>
      </c>
      <c r="E100" s="2"/>
      <c r="F100" s="2"/>
      <c r="G100" s="82"/>
      <c r="H100" s="53"/>
      <c r="I100" s="66"/>
    </row>
    <row r="101" hidden="1" outlineLevel="1">
      <c r="A101" s="55" t="s">
        <v>63</v>
      </c>
      <c r="B101" s="82"/>
      <c r="C101" s="53"/>
      <c r="D101" s="85">
        <f t="shared" si="7"/>
        <v>0</v>
      </c>
      <c r="E101" s="2"/>
      <c r="F101" s="2"/>
      <c r="G101" s="82"/>
      <c r="H101" s="53"/>
      <c r="I101" s="66"/>
    </row>
    <row r="102" hidden="1" outlineLevel="1">
      <c r="A102" s="55" t="s">
        <v>87</v>
      </c>
      <c r="B102" s="82"/>
      <c r="C102" s="53"/>
      <c r="D102" s="85"/>
      <c r="E102" s="2"/>
      <c r="F102" s="2"/>
      <c r="G102" s="89"/>
      <c r="H102" s="53"/>
      <c r="I102" s="66"/>
    </row>
    <row r="103" collapsed="1">
      <c r="A103" s="86" t="s">
        <v>91</v>
      </c>
      <c r="B103" s="82"/>
      <c r="C103" s="53"/>
      <c r="D103" s="90">
        <f>SUM(D104:D110)</f>
        <v>240</v>
      </c>
      <c r="E103" s="2"/>
      <c r="F103" s="2"/>
      <c r="G103" s="82"/>
      <c r="H103" s="53"/>
      <c r="I103" s="66"/>
    </row>
    <row r="104" hidden="1" outlineLevel="1">
      <c r="A104" s="86" t="s">
        <v>92</v>
      </c>
      <c r="B104" s="82"/>
      <c r="C104" s="53">
        <v>80.0</v>
      </c>
      <c r="D104" s="85">
        <f t="shared" ref="D104:D110" si="8">SUM(B104*C104)</f>
        <v>0</v>
      </c>
      <c r="E104" s="2"/>
      <c r="F104" s="2"/>
      <c r="G104" s="82"/>
      <c r="H104" s="53"/>
      <c r="I104" s="66"/>
    </row>
    <row r="105" hidden="1" outlineLevel="1">
      <c r="A105" s="55" t="s">
        <v>114</v>
      </c>
      <c r="B105" s="82"/>
      <c r="C105" s="53">
        <v>12.0</v>
      </c>
      <c r="D105" s="85">
        <f t="shared" si="8"/>
        <v>0</v>
      </c>
      <c r="E105" s="2"/>
      <c r="F105" s="55"/>
      <c r="G105" s="82"/>
      <c r="H105" s="53"/>
      <c r="I105" s="66"/>
    </row>
    <row r="106" hidden="1" outlineLevel="1">
      <c r="A106" s="55" t="s">
        <v>119</v>
      </c>
      <c r="B106" s="82">
        <v>3.0</v>
      </c>
      <c r="C106" s="53">
        <v>80.0</v>
      </c>
      <c r="D106" s="85">
        <f t="shared" si="8"/>
        <v>240</v>
      </c>
      <c r="E106" s="2"/>
      <c r="F106" s="2"/>
      <c r="G106" s="89"/>
      <c r="H106" s="66"/>
      <c r="I106" s="66"/>
    </row>
    <row r="107" hidden="1" outlineLevel="1">
      <c r="A107" s="55" t="s">
        <v>95</v>
      </c>
      <c r="B107" s="55"/>
      <c r="C107" s="56">
        <v>500.0</v>
      </c>
      <c r="D107" s="85">
        <f t="shared" si="8"/>
        <v>0</v>
      </c>
      <c r="E107" s="2"/>
      <c r="F107" s="55"/>
      <c r="G107" s="55"/>
      <c r="H107" s="56"/>
      <c r="I107" s="66"/>
    </row>
    <row r="108" hidden="1" outlineLevel="1">
      <c r="A108" s="55" t="s">
        <v>96</v>
      </c>
      <c r="B108" s="55"/>
      <c r="C108" s="56">
        <v>600.0</v>
      </c>
      <c r="D108" s="85">
        <f t="shared" si="8"/>
        <v>0</v>
      </c>
      <c r="E108" s="2"/>
      <c r="F108" s="2"/>
      <c r="G108" s="2"/>
      <c r="H108" s="12"/>
      <c r="I108" s="66"/>
    </row>
    <row r="109" hidden="1" outlineLevel="1">
      <c r="A109" s="55" t="s">
        <v>97</v>
      </c>
      <c r="B109" s="55"/>
      <c r="C109" s="56">
        <v>300.0</v>
      </c>
      <c r="D109" s="85">
        <f t="shared" si="8"/>
        <v>0</v>
      </c>
      <c r="E109" s="2"/>
      <c r="F109" s="2"/>
      <c r="G109" s="2"/>
      <c r="H109" s="12"/>
      <c r="I109" s="66"/>
    </row>
    <row r="110" hidden="1" outlineLevel="1">
      <c r="A110" s="55" t="s">
        <v>98</v>
      </c>
      <c r="B110" s="55"/>
      <c r="C110" s="56">
        <v>600.0</v>
      </c>
      <c r="D110" s="85">
        <f t="shared" si="8"/>
        <v>0</v>
      </c>
      <c r="E110" s="2"/>
      <c r="F110" s="2"/>
      <c r="G110" s="2"/>
      <c r="H110" s="12"/>
      <c r="I110" s="66"/>
    </row>
    <row r="111" collapsed="1">
      <c r="A111" s="55" t="s">
        <v>99</v>
      </c>
      <c r="B111" s="2"/>
      <c r="C111" s="12"/>
      <c r="D111" s="83">
        <f>SUM(D112:D116)</f>
        <v>79</v>
      </c>
      <c r="E111" s="2"/>
      <c r="F111" s="2"/>
      <c r="G111" s="2"/>
      <c r="H111" s="12"/>
      <c r="I111" s="66"/>
    </row>
    <row r="112" hidden="1" outlineLevel="1">
      <c r="A112" s="55" t="s">
        <v>100</v>
      </c>
      <c r="B112" s="55">
        <v>0.5</v>
      </c>
      <c r="C112" s="56">
        <v>12.0</v>
      </c>
      <c r="D112" s="85">
        <f t="shared" ref="D112:D116" si="9">SUM(B112*C112)</f>
        <v>6</v>
      </c>
      <c r="E112" s="2"/>
      <c r="F112" s="2"/>
      <c r="G112" s="2"/>
      <c r="H112" s="12"/>
      <c r="I112" s="66"/>
    </row>
    <row r="113" hidden="1" outlineLevel="1">
      <c r="A113" s="55" t="s">
        <v>101</v>
      </c>
      <c r="B113" s="55">
        <v>0.5</v>
      </c>
      <c r="C113" s="56">
        <v>10.0</v>
      </c>
      <c r="D113" s="85">
        <f t="shared" si="9"/>
        <v>5</v>
      </c>
      <c r="E113" s="2"/>
      <c r="F113" s="2"/>
      <c r="G113" s="2"/>
      <c r="H113" s="12"/>
      <c r="I113" s="66"/>
    </row>
    <row r="114" hidden="1" outlineLevel="1">
      <c r="A114" s="55" t="s">
        <v>102</v>
      </c>
      <c r="B114" s="55">
        <v>2.0</v>
      </c>
      <c r="C114" s="56">
        <v>4.0</v>
      </c>
      <c r="D114" s="85">
        <f t="shared" si="9"/>
        <v>8</v>
      </c>
      <c r="E114" s="2"/>
      <c r="F114" s="2"/>
      <c r="G114" s="2"/>
      <c r="H114" s="12"/>
      <c r="I114" s="66"/>
    </row>
    <row r="115" hidden="1" outlineLevel="1">
      <c r="A115" s="55" t="s">
        <v>103</v>
      </c>
      <c r="B115" s="55">
        <v>20.0</v>
      </c>
      <c r="C115" s="56">
        <v>0.5</v>
      </c>
      <c r="D115" s="85">
        <f t="shared" si="9"/>
        <v>10</v>
      </c>
      <c r="E115" s="2"/>
      <c r="F115" s="2"/>
    </row>
    <row r="116" hidden="1" outlineLevel="1">
      <c r="A116" s="55" t="s">
        <v>104</v>
      </c>
      <c r="B116" s="55">
        <v>1.0</v>
      </c>
      <c r="C116" s="56">
        <v>50.0</v>
      </c>
      <c r="D116" s="85">
        <f t="shared" si="9"/>
        <v>50</v>
      </c>
      <c r="E116" s="2"/>
      <c r="F116" s="2"/>
    </row>
    <row r="117" collapsed="1">
      <c r="A117" s="55" t="s">
        <v>105</v>
      </c>
      <c r="B117" s="2"/>
      <c r="C117" s="12"/>
      <c r="D117" s="83">
        <f>SUM(D118:D120)</f>
        <v>47.5</v>
      </c>
      <c r="E117" s="2"/>
      <c r="F117" s="2"/>
    </row>
    <row r="118" hidden="1" outlineLevel="1">
      <c r="A118" s="55" t="s">
        <v>106</v>
      </c>
      <c r="B118" s="55">
        <v>1.0</v>
      </c>
      <c r="C118" s="56">
        <v>20.0</v>
      </c>
      <c r="D118" s="85">
        <f t="shared" ref="D118:D120" si="10">SUM(B118*C118)</f>
        <v>20</v>
      </c>
      <c r="E118" s="2"/>
      <c r="F118" s="2"/>
    </row>
    <row r="119" hidden="1" outlineLevel="1">
      <c r="A119" s="55" t="s">
        <v>107</v>
      </c>
      <c r="B119" s="55">
        <v>5.0</v>
      </c>
      <c r="C119" s="56">
        <v>1.5</v>
      </c>
      <c r="D119" s="85">
        <f t="shared" si="10"/>
        <v>7.5</v>
      </c>
      <c r="E119" s="2"/>
      <c r="F119" s="2"/>
    </row>
    <row r="120" hidden="1" outlineLevel="1">
      <c r="A120" s="86" t="s">
        <v>108</v>
      </c>
      <c r="B120" s="55">
        <v>20.0</v>
      </c>
      <c r="C120" s="56">
        <v>1.0</v>
      </c>
      <c r="D120" s="85">
        <f t="shared" si="10"/>
        <v>20</v>
      </c>
      <c r="E120" s="2"/>
      <c r="F120" s="2"/>
    </row>
    <row r="121">
      <c r="A121" s="2"/>
      <c r="B121" s="2"/>
      <c r="C121" s="12"/>
      <c r="D121" s="85"/>
      <c r="E121" s="2"/>
      <c r="F121" s="2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  <row r="1045">
      <c r="D1045" s="20"/>
    </row>
  </sheetData>
  <mergeCells count="2">
    <mergeCell ref="A1:D1"/>
    <mergeCell ref="A7:D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120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121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18000.0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9214.5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8785.5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0.4880833333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1580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4210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3064.5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360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1580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B9*5%</f>
        <v>900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350.0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200.0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50.0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30.0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50.0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 collapsed="1">
      <c r="A32" s="59" t="s">
        <v>26</v>
      </c>
      <c r="B32" s="60">
        <f>SUM(B33:B39)</f>
        <v>0</v>
      </c>
      <c r="C32" s="61"/>
      <c r="D32" s="62"/>
      <c r="E32" s="4"/>
      <c r="F32" s="36"/>
      <c r="G32" s="63"/>
      <c r="H32" s="14"/>
      <c r="I32" s="14"/>
    </row>
    <row r="33" hidden="1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hidden="1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hidden="1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hidden="1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hidden="1" outlineLevel="1">
      <c r="A37" s="55" t="s">
        <v>31</v>
      </c>
      <c r="B37" s="56"/>
      <c r="C37" s="2"/>
      <c r="D37" s="3"/>
      <c r="E37" s="4"/>
      <c r="F37" s="43"/>
      <c r="G37" s="58"/>
      <c r="H37" s="14"/>
      <c r="I37" s="14"/>
    </row>
    <row r="38" hidden="1" outlineLevel="1">
      <c r="A38" s="55"/>
      <c r="B38" s="12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 collapsed="1">
      <c r="A40" s="59" t="s">
        <v>32</v>
      </c>
      <c r="B40" s="60">
        <f>SUM(B42:B49)</f>
        <v>4210</v>
      </c>
      <c r="C40" s="61"/>
      <c r="D40" s="62"/>
      <c r="E40" s="4"/>
      <c r="F40" s="36"/>
      <c r="G40" s="63"/>
      <c r="H40" s="14"/>
      <c r="I40" s="14"/>
    </row>
    <row r="41" hidden="1" outlineLevel="1">
      <c r="A41" s="52" t="s">
        <v>33</v>
      </c>
      <c r="B41" s="12">
        <f>B9*5%</f>
        <v>900</v>
      </c>
      <c r="C41" s="2"/>
      <c r="D41" s="3"/>
      <c r="E41" s="4"/>
      <c r="F41" s="54"/>
      <c r="G41" s="58"/>
      <c r="H41" s="14"/>
      <c r="I41" s="14"/>
    </row>
    <row r="42" hidden="1" outlineLevel="1">
      <c r="A42" s="64" t="s">
        <v>34</v>
      </c>
      <c r="B42" s="12">
        <f>B9*8%</f>
        <v>1440</v>
      </c>
      <c r="C42" s="2"/>
      <c r="D42" s="3"/>
      <c r="E42" s="4"/>
      <c r="F42" s="65"/>
      <c r="G42" s="58"/>
      <c r="H42" s="14"/>
      <c r="I42" s="14"/>
    </row>
    <row r="43" hidden="1" outlineLevel="1">
      <c r="A43" s="64" t="s">
        <v>35</v>
      </c>
      <c r="B43" s="66">
        <f>B9*7%</f>
        <v>1260</v>
      </c>
      <c r="C43" s="2"/>
      <c r="D43" s="3"/>
      <c r="E43" s="4"/>
      <c r="F43" s="65"/>
      <c r="G43" s="37"/>
      <c r="H43" s="14"/>
      <c r="I43" s="14"/>
    </row>
    <row r="44" hidden="1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hidden="1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hidden="1" outlineLevel="1">
      <c r="A46" s="64" t="s">
        <v>38</v>
      </c>
      <c r="B46" s="67">
        <f>B9*7%</f>
        <v>1260</v>
      </c>
      <c r="C46" s="2"/>
      <c r="D46" s="3"/>
      <c r="E46" s="4"/>
      <c r="F46" s="65"/>
      <c r="G46" s="69"/>
      <c r="H46" s="14"/>
      <c r="I46" s="14"/>
    </row>
    <row r="47" hidden="1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hidden="1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hidden="1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SUM(D53+D69+D73+D88+D98+D103+D111)</f>
        <v>3064.5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SUM(D54:D68)</f>
        <v>2500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/>
      <c r="C54" s="53">
        <v>190.0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C55" s="53">
        <v>230.0</v>
      </c>
      <c r="D55" s="85">
        <f t="shared" ref="D55:D67" si="3">SUM(B55*C55)</f>
        <v>0</v>
      </c>
      <c r="E55" s="4"/>
      <c r="F55" s="43"/>
      <c r="G55" s="84"/>
      <c r="H55" s="40"/>
      <c r="I55" s="37"/>
    </row>
    <row r="56" hidden="1" outlineLevel="1">
      <c r="A56" s="55" t="s">
        <v>112</v>
      </c>
      <c r="C56" s="53">
        <v>320.0</v>
      </c>
      <c r="D56" s="85">
        <f t="shared" si="3"/>
        <v>0</v>
      </c>
      <c r="E56" s="4"/>
      <c r="F56" s="43"/>
      <c r="G56" s="84"/>
      <c r="H56" s="40"/>
      <c r="I56" s="37"/>
    </row>
    <row r="57" hidden="1" outlineLevel="1">
      <c r="A57" s="2" t="s">
        <v>49</v>
      </c>
      <c r="B57" s="82"/>
      <c r="C57" s="53">
        <v>290.0</v>
      </c>
      <c r="D57" s="85">
        <f t="shared" si="3"/>
        <v>0</v>
      </c>
      <c r="E57" s="2"/>
      <c r="F57" s="43"/>
      <c r="G57" s="84"/>
      <c r="H57" s="40"/>
      <c r="I57" s="37"/>
    </row>
    <row r="58" hidden="1" outlineLevel="1">
      <c r="A58" s="55" t="s">
        <v>50</v>
      </c>
      <c r="B58" s="82"/>
      <c r="C58" s="53">
        <v>420.0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51</v>
      </c>
      <c r="B59" s="82"/>
      <c r="C59" s="53">
        <v>300.0</v>
      </c>
      <c r="D59" s="85">
        <f t="shared" si="3"/>
        <v>0</v>
      </c>
      <c r="E59" s="2"/>
      <c r="F59" s="14"/>
      <c r="G59" s="84"/>
      <c r="H59" s="37"/>
      <c r="I59" s="37"/>
    </row>
    <row r="60" hidden="1" outlineLevel="1">
      <c r="A60" s="55" t="s">
        <v>52</v>
      </c>
      <c r="B60" s="82">
        <v>5.0</v>
      </c>
      <c r="C60" s="53">
        <v>500.0</v>
      </c>
      <c r="D60" s="85">
        <f t="shared" si="3"/>
        <v>2500</v>
      </c>
      <c r="E60" s="2"/>
      <c r="F60" s="14"/>
      <c r="G60" s="84"/>
      <c r="H60" s="37"/>
      <c r="I60" s="37"/>
      <c r="K60" s="55"/>
    </row>
    <row r="61" hidden="1" outlineLevel="1">
      <c r="A61" s="55" t="s">
        <v>53</v>
      </c>
      <c r="B61" s="82"/>
      <c r="C61" s="53">
        <v>580.0</v>
      </c>
      <c r="D61" s="85">
        <f t="shared" si="3"/>
        <v>0</v>
      </c>
      <c r="E61" s="2"/>
      <c r="F61" s="14"/>
      <c r="G61" s="87"/>
      <c r="H61" s="37"/>
      <c r="I61" s="37"/>
      <c r="K61" s="55"/>
    </row>
    <row r="62" hidden="1" outlineLevel="1">
      <c r="A62" s="55" t="s">
        <v>54</v>
      </c>
      <c r="B62" s="82"/>
      <c r="C62" s="53">
        <v>800.0</v>
      </c>
      <c r="D62" s="85">
        <f t="shared" si="3"/>
        <v>0</v>
      </c>
      <c r="E62" s="2"/>
      <c r="F62" s="43"/>
      <c r="G62" s="84"/>
      <c r="H62" s="40"/>
      <c r="I62" s="37"/>
      <c r="K62" s="55"/>
    </row>
    <row r="63" hidden="1" outlineLevel="1">
      <c r="A63" s="55" t="s">
        <v>55</v>
      </c>
      <c r="B63" s="82"/>
      <c r="C63" s="53">
        <v>950.0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56</v>
      </c>
      <c r="B64" s="82"/>
      <c r="C64" s="53">
        <v>1200.0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57</v>
      </c>
      <c r="B65" s="82"/>
      <c r="C65" s="53">
        <v>2200.0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58</v>
      </c>
      <c r="B66" s="82"/>
      <c r="C66" s="53">
        <v>600.0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>
        <v>400.0</v>
      </c>
      <c r="D67" s="85">
        <f t="shared" si="3"/>
        <v>0</v>
      </c>
      <c r="E67" s="2"/>
      <c r="F67" s="43"/>
      <c r="G67" s="84"/>
      <c r="H67" s="40"/>
      <c r="I67" s="37"/>
    </row>
    <row r="68" hidden="1" outlineLevel="1">
      <c r="A68" s="55" t="s">
        <v>59</v>
      </c>
      <c r="B68" s="82"/>
      <c r="C68" s="53"/>
      <c r="D68" s="85"/>
      <c r="E68" s="2"/>
      <c r="F68" s="43"/>
      <c r="G68" s="84"/>
      <c r="H68" s="40"/>
      <c r="I68" s="37"/>
    </row>
    <row r="69" collapsed="1">
      <c r="A69" s="55" t="s">
        <v>60</v>
      </c>
      <c r="B69" s="82"/>
      <c r="C69" s="53"/>
      <c r="D69" s="83">
        <f>SUM(D70:D72)</f>
        <v>224</v>
      </c>
      <c r="E69" s="2"/>
      <c r="F69" s="14"/>
      <c r="G69" s="84"/>
      <c r="H69" s="40"/>
      <c r="I69" s="37"/>
    </row>
    <row r="70" hidden="1" outlineLevel="1">
      <c r="A70" s="55" t="s">
        <v>61</v>
      </c>
      <c r="B70" s="82">
        <v>0.3</v>
      </c>
      <c r="C70" s="53">
        <v>80.0</v>
      </c>
      <c r="D70" s="85">
        <f t="shared" ref="D70:D71" si="4">SUM(B70*C70)</f>
        <v>24</v>
      </c>
      <c r="E70" s="2"/>
      <c r="F70" s="14"/>
      <c r="G70" s="84"/>
      <c r="H70" s="40"/>
      <c r="I70" s="37"/>
    </row>
    <row r="71" hidden="1" outlineLevel="1">
      <c r="A71" s="55" t="s">
        <v>62</v>
      </c>
      <c r="B71" s="82">
        <v>2.0</v>
      </c>
      <c r="C71" s="53">
        <v>100.0</v>
      </c>
      <c r="D71" s="85">
        <f t="shared" si="4"/>
        <v>200</v>
      </c>
      <c r="E71" s="2"/>
      <c r="F71" s="14"/>
      <c r="G71" s="84"/>
      <c r="H71" s="40"/>
      <c r="I71" s="37"/>
    </row>
    <row r="72" hidden="1" outlineLevel="1">
      <c r="A72" s="55" t="s">
        <v>63</v>
      </c>
      <c r="B72" s="82"/>
      <c r="C72" s="53"/>
      <c r="D72" s="83"/>
      <c r="E72" s="2"/>
      <c r="F72" s="14"/>
      <c r="G72" s="84"/>
      <c r="H72" s="40"/>
      <c r="I72" s="37"/>
    </row>
    <row r="73" collapsed="1">
      <c r="A73" s="55" t="s">
        <v>64</v>
      </c>
      <c r="B73" s="82"/>
      <c r="C73" s="53"/>
      <c r="D73" s="83">
        <f>SUM(D74:D87)</f>
        <v>0</v>
      </c>
      <c r="E73" s="2"/>
      <c r="F73" s="14"/>
      <c r="G73" s="84"/>
      <c r="H73" s="40"/>
      <c r="I73" s="37"/>
    </row>
    <row r="74" hidden="1" outlineLevel="1">
      <c r="A74" s="55" t="s">
        <v>65</v>
      </c>
      <c r="B74" s="82"/>
      <c r="C74" s="53">
        <v>9.0</v>
      </c>
      <c r="D74" s="85">
        <f t="shared" ref="D74:D87" si="5">SUM(B74*C74)</f>
        <v>0</v>
      </c>
      <c r="E74" s="2"/>
      <c r="F74" s="14"/>
      <c r="G74" s="84"/>
      <c r="H74" s="37"/>
      <c r="I74" s="37"/>
    </row>
    <row r="75" hidden="1" outlineLevel="1">
      <c r="A75" s="55" t="s">
        <v>113</v>
      </c>
      <c r="B75" s="82"/>
      <c r="C75" s="53">
        <v>30.0</v>
      </c>
      <c r="D75" s="85">
        <f t="shared" si="5"/>
        <v>0</v>
      </c>
      <c r="E75" s="2"/>
      <c r="F75" s="14"/>
      <c r="G75" s="84"/>
      <c r="H75" s="40"/>
      <c r="I75" s="37"/>
    </row>
    <row r="76" hidden="1" outlineLevel="1">
      <c r="A76" s="55" t="s">
        <v>67</v>
      </c>
      <c r="B76" s="82"/>
      <c r="C76" s="53">
        <v>80.0</v>
      </c>
      <c r="D76" s="85">
        <f t="shared" si="5"/>
        <v>0</v>
      </c>
      <c r="E76" s="2"/>
      <c r="F76" s="14"/>
      <c r="G76" s="84"/>
      <c r="H76" s="40"/>
      <c r="I76" s="37"/>
    </row>
    <row r="77" hidden="1" outlineLevel="1">
      <c r="A77" s="55" t="s">
        <v>68</v>
      </c>
      <c r="B77" s="82"/>
      <c r="C77" s="53">
        <v>30.0</v>
      </c>
      <c r="D77" s="85">
        <f t="shared" si="5"/>
        <v>0</v>
      </c>
      <c r="E77" s="2"/>
      <c r="F77" s="14"/>
      <c r="G77" s="84"/>
      <c r="H77" s="40"/>
      <c r="I77" s="37"/>
    </row>
    <row r="78" hidden="1" outlineLevel="1">
      <c r="A78" s="55" t="s">
        <v>69</v>
      </c>
      <c r="B78" s="82"/>
      <c r="C78" s="53">
        <v>150.0</v>
      </c>
      <c r="D78" s="85">
        <f t="shared" si="5"/>
        <v>0</v>
      </c>
      <c r="E78" s="2"/>
      <c r="F78" s="14"/>
      <c r="G78" s="84"/>
      <c r="H78" s="40"/>
      <c r="I78" s="37"/>
    </row>
    <row r="79" hidden="1" outlineLevel="1">
      <c r="A79" s="55" t="s">
        <v>70</v>
      </c>
      <c r="B79" s="82"/>
      <c r="C79" s="53"/>
      <c r="D79" s="85">
        <f t="shared" si="5"/>
        <v>0</v>
      </c>
      <c r="E79" s="2"/>
      <c r="F79" s="14"/>
      <c r="G79" s="84"/>
      <c r="H79" s="40"/>
      <c r="I79" s="37"/>
    </row>
    <row r="80" hidden="1" outlineLevel="1">
      <c r="A80" s="55" t="s">
        <v>71</v>
      </c>
      <c r="B80" s="82"/>
      <c r="C80" s="53">
        <v>150.0</v>
      </c>
      <c r="D80" s="85">
        <f t="shared" si="5"/>
        <v>0</v>
      </c>
      <c r="E80" s="2"/>
      <c r="F80" s="14"/>
      <c r="G80" s="84"/>
      <c r="H80" s="40"/>
      <c r="I80" s="37"/>
    </row>
    <row r="81" hidden="1" outlineLevel="1">
      <c r="A81" s="55" t="s">
        <v>72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hidden="1" outlineLevel="1">
      <c r="A82" s="55" t="s">
        <v>73</v>
      </c>
      <c r="B82" s="82"/>
      <c r="C82" s="53"/>
      <c r="D82" s="85">
        <f t="shared" si="5"/>
        <v>0</v>
      </c>
      <c r="E82" s="2"/>
      <c r="F82" s="14"/>
      <c r="G82" s="84"/>
      <c r="H82" s="40"/>
      <c r="I82" s="37"/>
    </row>
    <row r="83" hidden="1" outlineLevel="1">
      <c r="A83" s="55" t="s">
        <v>74</v>
      </c>
      <c r="B83" s="82"/>
      <c r="C83" s="53">
        <v>90.0</v>
      </c>
      <c r="D83" s="85">
        <f t="shared" si="5"/>
        <v>0</v>
      </c>
      <c r="E83" s="2"/>
      <c r="F83" s="14"/>
      <c r="G83" s="84"/>
      <c r="H83" s="40"/>
      <c r="I83" s="37"/>
    </row>
    <row r="84" hidden="1" outlineLevel="1">
      <c r="A84" s="55" t="s">
        <v>75</v>
      </c>
      <c r="B84" s="82"/>
      <c r="C84" s="53">
        <v>1000.0</v>
      </c>
      <c r="D84" s="85">
        <f t="shared" si="5"/>
        <v>0</v>
      </c>
      <c r="E84" s="2"/>
      <c r="F84" s="14"/>
      <c r="G84" s="84"/>
      <c r="H84" s="40"/>
      <c r="I84" s="37"/>
    </row>
    <row r="85" hidden="1" outlineLevel="1">
      <c r="A85" s="55" t="s">
        <v>76</v>
      </c>
      <c r="B85" s="82"/>
      <c r="C85" s="53">
        <v>60.0</v>
      </c>
      <c r="D85" s="85">
        <f t="shared" si="5"/>
        <v>0</v>
      </c>
      <c r="E85" s="2"/>
      <c r="F85" s="14"/>
      <c r="G85" s="84"/>
      <c r="H85" s="40"/>
      <c r="I85" s="37"/>
    </row>
    <row r="86" hidden="1" outlineLevel="1">
      <c r="A86" s="55" t="s">
        <v>70</v>
      </c>
      <c r="B86" s="82"/>
      <c r="C86" s="53">
        <v>250.0</v>
      </c>
      <c r="D86" s="85">
        <f t="shared" si="5"/>
        <v>0</v>
      </c>
      <c r="E86" s="2"/>
      <c r="F86" s="14"/>
      <c r="G86" s="84"/>
      <c r="H86" s="40"/>
      <c r="I86" s="37"/>
    </row>
    <row r="87" hidden="1" outlineLevel="1">
      <c r="A87" s="55" t="s">
        <v>78</v>
      </c>
      <c r="B87" s="82"/>
      <c r="C87" s="53">
        <v>100.0</v>
      </c>
      <c r="D87" s="85">
        <f t="shared" si="5"/>
        <v>0</v>
      </c>
      <c r="E87" s="2"/>
      <c r="F87" s="14"/>
      <c r="G87" s="84"/>
      <c r="H87" s="40"/>
      <c r="I87" s="37"/>
    </row>
    <row r="88" collapsed="1">
      <c r="A88" s="55" t="s">
        <v>79</v>
      </c>
      <c r="B88" s="82"/>
      <c r="C88" s="53"/>
      <c r="D88" s="83">
        <f>SUM(D89:D97)</f>
        <v>167.5</v>
      </c>
      <c r="E88" s="2"/>
      <c r="F88" s="14"/>
      <c r="G88" s="84"/>
      <c r="H88" s="40"/>
      <c r="I88" s="37"/>
    </row>
    <row r="89" hidden="1" outlineLevel="1">
      <c r="A89" s="86" t="s">
        <v>80</v>
      </c>
      <c r="B89" s="86">
        <v>0.5</v>
      </c>
      <c r="C89" s="88">
        <v>25.0</v>
      </c>
      <c r="D89" s="85">
        <f t="shared" ref="D89:D97" si="6">SUM(B89*C89)</f>
        <v>12.5</v>
      </c>
    </row>
    <row r="90" hidden="1" outlineLevel="1">
      <c r="A90" s="55" t="s">
        <v>81</v>
      </c>
      <c r="B90" s="82">
        <v>50.0</v>
      </c>
      <c r="C90" s="82">
        <v>1.8</v>
      </c>
      <c r="D90" s="85">
        <f t="shared" si="6"/>
        <v>90</v>
      </c>
      <c r="E90" s="2"/>
      <c r="F90" s="2"/>
      <c r="G90" s="82"/>
      <c r="H90" s="53"/>
      <c r="I90" s="66"/>
    </row>
    <row r="91" hidden="1" outlineLevel="1">
      <c r="A91" s="55" t="s">
        <v>82</v>
      </c>
      <c r="B91" s="82"/>
      <c r="C91" s="53">
        <v>1.5</v>
      </c>
      <c r="D91" s="85">
        <f t="shared" si="6"/>
        <v>0</v>
      </c>
      <c r="E91" s="2"/>
      <c r="F91" s="2"/>
      <c r="G91" s="82"/>
      <c r="H91" s="53"/>
      <c r="I91" s="66"/>
    </row>
    <row r="92" hidden="1" outlineLevel="1">
      <c r="A92" s="55" t="s">
        <v>83</v>
      </c>
      <c r="B92" s="82"/>
      <c r="C92" s="53">
        <v>0.8</v>
      </c>
      <c r="D92" s="85">
        <f t="shared" si="6"/>
        <v>0</v>
      </c>
      <c r="E92" s="2"/>
      <c r="F92" s="2"/>
      <c r="G92" s="82"/>
      <c r="H92" s="53"/>
      <c r="I92" s="66"/>
    </row>
    <row r="93" hidden="1" outlineLevel="1">
      <c r="A93" s="55" t="s">
        <v>84</v>
      </c>
      <c r="B93" s="82">
        <v>1.0</v>
      </c>
      <c r="C93" s="53">
        <v>35.0</v>
      </c>
      <c r="D93" s="85">
        <f t="shared" si="6"/>
        <v>35</v>
      </c>
      <c r="E93" s="2"/>
      <c r="F93" s="2"/>
      <c r="G93" s="82"/>
      <c r="H93" s="53"/>
      <c r="I93" s="66"/>
    </row>
    <row r="94" hidden="1" outlineLevel="1">
      <c r="A94" s="55" t="s">
        <v>85</v>
      </c>
      <c r="B94" s="82"/>
      <c r="C94" s="53">
        <v>50.0</v>
      </c>
      <c r="D94" s="85">
        <f t="shared" si="6"/>
        <v>0</v>
      </c>
      <c r="E94" s="2"/>
      <c r="F94" s="2"/>
      <c r="G94" s="82"/>
      <c r="H94" s="53"/>
      <c r="I94" s="66"/>
    </row>
    <row r="95" hidden="1" outlineLevel="1">
      <c r="A95" s="55" t="s">
        <v>86</v>
      </c>
      <c r="B95" s="82">
        <v>1.0</v>
      </c>
      <c r="C95" s="53">
        <v>30.0</v>
      </c>
      <c r="D95" s="85">
        <f t="shared" si="6"/>
        <v>30</v>
      </c>
      <c r="E95" s="2"/>
      <c r="F95" s="2"/>
      <c r="G95" s="82"/>
      <c r="H95" s="53"/>
      <c r="I95" s="66"/>
    </row>
    <row r="96" hidden="1" outlineLevel="1">
      <c r="A96" s="55" t="s">
        <v>63</v>
      </c>
      <c r="B96" s="82"/>
      <c r="C96" s="53">
        <v>25.0</v>
      </c>
      <c r="D96" s="85">
        <f t="shared" si="6"/>
        <v>0</v>
      </c>
      <c r="E96" s="2"/>
      <c r="F96" s="2"/>
      <c r="G96" s="82"/>
      <c r="H96" s="53"/>
      <c r="I96" s="66"/>
    </row>
    <row r="97" hidden="1" outlineLevel="1">
      <c r="A97" s="55" t="s">
        <v>87</v>
      </c>
      <c r="B97" s="82"/>
      <c r="C97" s="53"/>
      <c r="D97" s="85">
        <f t="shared" si="6"/>
        <v>0</v>
      </c>
      <c r="E97" s="2"/>
      <c r="F97" s="2"/>
      <c r="G97" s="82"/>
      <c r="H97" s="53"/>
      <c r="I97" s="66"/>
    </row>
    <row r="98" collapsed="1">
      <c r="A98" s="55" t="s">
        <v>88</v>
      </c>
      <c r="B98" s="82"/>
      <c r="C98" s="53"/>
      <c r="D98" s="83">
        <f>SUM(D99:D102)</f>
        <v>0</v>
      </c>
      <c r="E98" s="2"/>
      <c r="F98" s="2"/>
      <c r="G98" s="82"/>
      <c r="H98" s="53"/>
      <c r="I98" s="66"/>
    </row>
    <row r="99" hidden="1" outlineLevel="1">
      <c r="A99" s="55" t="s">
        <v>89</v>
      </c>
      <c r="B99" s="82"/>
      <c r="C99" s="53">
        <v>130.0</v>
      </c>
      <c r="D99" s="85">
        <f t="shared" ref="D99:D101" si="7">SUM(B99*C99)</f>
        <v>0</v>
      </c>
      <c r="E99" s="2"/>
      <c r="F99" s="2"/>
      <c r="G99" s="82"/>
      <c r="H99" s="53"/>
      <c r="I99" s="66"/>
    </row>
    <row r="100" hidden="1" outlineLevel="1">
      <c r="A100" s="55" t="s">
        <v>90</v>
      </c>
      <c r="B100" s="82"/>
      <c r="C100" s="53">
        <v>50.0</v>
      </c>
      <c r="D100" s="85">
        <f t="shared" si="7"/>
        <v>0</v>
      </c>
      <c r="E100" s="2"/>
      <c r="F100" s="2"/>
      <c r="G100" s="82"/>
      <c r="H100" s="53"/>
      <c r="I100" s="66"/>
    </row>
    <row r="101" hidden="1" outlineLevel="1">
      <c r="A101" s="55" t="s">
        <v>63</v>
      </c>
      <c r="B101" s="82"/>
      <c r="C101" s="53"/>
      <c r="D101" s="85">
        <f t="shared" si="7"/>
        <v>0</v>
      </c>
      <c r="E101" s="2"/>
      <c r="F101" s="2"/>
      <c r="G101" s="82"/>
      <c r="H101" s="53"/>
      <c r="I101" s="66"/>
    </row>
    <row r="102" hidden="1" outlineLevel="1">
      <c r="A102" s="55" t="s">
        <v>87</v>
      </c>
      <c r="B102" s="82"/>
      <c r="C102" s="53"/>
      <c r="D102" s="85"/>
      <c r="E102" s="2"/>
      <c r="F102" s="2"/>
      <c r="G102" s="89"/>
      <c r="H102" s="53"/>
      <c r="I102" s="66"/>
    </row>
    <row r="103" collapsed="1">
      <c r="A103" s="86" t="s">
        <v>91</v>
      </c>
      <c r="B103" s="82"/>
      <c r="C103" s="53"/>
      <c r="D103" s="90">
        <f>SUM(D104:D110)</f>
        <v>0</v>
      </c>
      <c r="E103" s="2"/>
      <c r="F103" s="2"/>
      <c r="G103" s="82"/>
      <c r="H103" s="53"/>
      <c r="I103" s="66"/>
    </row>
    <row r="104" hidden="1" outlineLevel="1">
      <c r="A104" s="86" t="s">
        <v>92</v>
      </c>
      <c r="B104" s="82"/>
      <c r="C104" s="53">
        <v>80.0</v>
      </c>
      <c r="D104" s="85">
        <f t="shared" ref="D104:D110" si="8">SUM(B104*C104)</f>
        <v>0</v>
      </c>
      <c r="E104" s="2"/>
      <c r="F104" s="2"/>
      <c r="G104" s="82"/>
      <c r="H104" s="53"/>
      <c r="I104" s="66"/>
    </row>
    <row r="105" hidden="1" outlineLevel="1">
      <c r="A105" s="55" t="s">
        <v>114</v>
      </c>
      <c r="B105" s="82"/>
      <c r="C105" s="53">
        <v>12.0</v>
      </c>
      <c r="D105" s="85">
        <f t="shared" si="8"/>
        <v>0</v>
      </c>
      <c r="E105" s="2"/>
      <c r="F105" s="55"/>
      <c r="G105" s="82"/>
      <c r="H105" s="53"/>
      <c r="I105" s="66"/>
    </row>
    <row r="106" hidden="1" outlineLevel="1">
      <c r="A106" s="55" t="s">
        <v>119</v>
      </c>
      <c r="B106" s="82"/>
      <c r="C106" s="53">
        <v>80.0</v>
      </c>
      <c r="D106" s="85">
        <f t="shared" si="8"/>
        <v>0</v>
      </c>
      <c r="E106" s="2"/>
      <c r="F106" s="2"/>
      <c r="G106" s="89"/>
      <c r="H106" s="66"/>
      <c r="I106" s="66"/>
    </row>
    <row r="107" hidden="1" outlineLevel="1">
      <c r="A107" s="55" t="s">
        <v>95</v>
      </c>
      <c r="B107" s="55"/>
      <c r="C107" s="56">
        <v>500.0</v>
      </c>
      <c r="D107" s="85">
        <f t="shared" si="8"/>
        <v>0</v>
      </c>
      <c r="E107" s="2"/>
      <c r="F107" s="55"/>
      <c r="G107" s="55"/>
      <c r="H107" s="56"/>
      <c r="I107" s="66"/>
    </row>
    <row r="108" hidden="1" outlineLevel="1">
      <c r="A108" s="55" t="s">
        <v>96</v>
      </c>
      <c r="B108" s="55"/>
      <c r="C108" s="56">
        <v>600.0</v>
      </c>
      <c r="D108" s="85">
        <f t="shared" si="8"/>
        <v>0</v>
      </c>
      <c r="E108" s="2"/>
      <c r="F108" s="2"/>
      <c r="G108" s="2"/>
      <c r="H108" s="12"/>
      <c r="I108" s="66"/>
    </row>
    <row r="109" hidden="1" outlineLevel="1">
      <c r="A109" s="55" t="s">
        <v>97</v>
      </c>
      <c r="B109" s="55"/>
      <c r="C109" s="56">
        <v>300.0</v>
      </c>
      <c r="D109" s="85">
        <f t="shared" si="8"/>
        <v>0</v>
      </c>
      <c r="E109" s="2"/>
      <c r="F109" s="2"/>
      <c r="G109" s="2"/>
      <c r="H109" s="12"/>
      <c r="I109" s="66"/>
    </row>
    <row r="110" hidden="1" outlineLevel="1">
      <c r="A110" s="55" t="s">
        <v>98</v>
      </c>
      <c r="B110" s="55"/>
      <c r="C110" s="56">
        <v>600.0</v>
      </c>
      <c r="D110" s="85">
        <f t="shared" si="8"/>
        <v>0</v>
      </c>
      <c r="E110" s="2"/>
      <c r="F110" s="2"/>
      <c r="G110" s="2"/>
      <c r="H110" s="12"/>
      <c r="I110" s="66"/>
    </row>
    <row r="111" collapsed="1">
      <c r="A111" s="55" t="s">
        <v>99</v>
      </c>
      <c r="B111" s="2"/>
      <c r="C111" s="12"/>
      <c r="D111" s="83">
        <f>SUM(D112:D116)</f>
        <v>173</v>
      </c>
      <c r="E111" s="2"/>
      <c r="F111" s="2"/>
      <c r="G111" s="2"/>
      <c r="H111" s="12"/>
      <c r="I111" s="66"/>
    </row>
    <row r="112" hidden="1" outlineLevel="1">
      <c r="A112" s="55" t="s">
        <v>100</v>
      </c>
      <c r="B112" s="55">
        <v>1.0</v>
      </c>
      <c r="C112" s="56">
        <v>12.0</v>
      </c>
      <c r="D112" s="85">
        <f t="shared" ref="D112:D116" si="9">SUM(B112*C112)</f>
        <v>12</v>
      </c>
      <c r="E112" s="2"/>
      <c r="F112" s="2"/>
      <c r="G112" s="2"/>
      <c r="H112" s="12"/>
      <c r="I112" s="66"/>
    </row>
    <row r="113" hidden="1" outlineLevel="1">
      <c r="A113" s="55" t="s">
        <v>101</v>
      </c>
      <c r="B113" s="55">
        <v>2.0</v>
      </c>
      <c r="C113" s="56">
        <v>10.0</v>
      </c>
      <c r="D113" s="85">
        <f t="shared" si="9"/>
        <v>20</v>
      </c>
      <c r="E113" s="2"/>
      <c r="F113" s="2"/>
      <c r="G113" s="2"/>
      <c r="H113" s="12"/>
      <c r="I113" s="66"/>
    </row>
    <row r="114" hidden="1" outlineLevel="1">
      <c r="A114" s="55" t="s">
        <v>102</v>
      </c>
      <c r="B114" s="55">
        <v>4.0</v>
      </c>
      <c r="C114" s="56">
        <v>4.0</v>
      </c>
      <c r="D114" s="85">
        <f t="shared" si="9"/>
        <v>16</v>
      </c>
      <c r="E114" s="2"/>
      <c r="F114" s="2"/>
      <c r="G114" s="2"/>
      <c r="H114" s="12"/>
      <c r="I114" s="66"/>
    </row>
    <row r="115" hidden="1" outlineLevel="1">
      <c r="A115" s="55" t="s">
        <v>103</v>
      </c>
      <c r="B115" s="55">
        <v>50.0</v>
      </c>
      <c r="C115" s="56">
        <v>0.5</v>
      </c>
      <c r="D115" s="85">
        <f t="shared" si="9"/>
        <v>25</v>
      </c>
      <c r="E115" s="2"/>
      <c r="F115" s="2"/>
    </row>
    <row r="116" hidden="1" outlineLevel="1">
      <c r="A116" s="55" t="s">
        <v>104</v>
      </c>
      <c r="B116" s="55">
        <v>2.0</v>
      </c>
      <c r="C116" s="56">
        <v>50.0</v>
      </c>
      <c r="D116" s="85">
        <f t="shared" si="9"/>
        <v>100</v>
      </c>
      <c r="E116" s="2"/>
      <c r="F116" s="2"/>
    </row>
    <row r="117" collapsed="1">
      <c r="A117" s="55" t="s">
        <v>105</v>
      </c>
      <c r="B117" s="2"/>
      <c r="C117" s="12"/>
      <c r="D117" s="83">
        <f>SUM(D118:D120)</f>
        <v>75</v>
      </c>
      <c r="E117" s="2"/>
      <c r="F117" s="2"/>
    </row>
    <row r="118" hidden="1" outlineLevel="1">
      <c r="A118" s="55" t="s">
        <v>106</v>
      </c>
      <c r="B118" s="55">
        <v>2.0</v>
      </c>
      <c r="C118" s="56">
        <v>20.0</v>
      </c>
      <c r="D118" s="85">
        <f t="shared" ref="D118:D120" si="10">SUM(B118*C118)</f>
        <v>40</v>
      </c>
      <c r="E118" s="2"/>
      <c r="F118" s="2"/>
    </row>
    <row r="119" hidden="1" outlineLevel="1">
      <c r="A119" s="55" t="s">
        <v>107</v>
      </c>
      <c r="B119" s="55">
        <v>10.0</v>
      </c>
      <c r="C119" s="56">
        <v>1.5</v>
      </c>
      <c r="D119" s="85">
        <f t="shared" si="10"/>
        <v>15</v>
      </c>
      <c r="E119" s="2"/>
      <c r="F119" s="2"/>
    </row>
    <row r="120" hidden="1" outlineLevel="1">
      <c r="A120" s="86" t="s">
        <v>108</v>
      </c>
      <c r="B120" s="55">
        <v>20.0</v>
      </c>
      <c r="C120" s="56">
        <v>1.0</v>
      </c>
      <c r="D120" s="85">
        <f t="shared" si="10"/>
        <v>20</v>
      </c>
      <c r="E120" s="2"/>
      <c r="F120" s="2"/>
    </row>
    <row r="121">
      <c r="A121" s="2"/>
      <c r="B121" s="2"/>
      <c r="C121" s="12"/>
      <c r="D121" s="85"/>
      <c r="E121" s="2"/>
      <c r="F121" s="2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  <row r="1045">
      <c r="D1045" s="20"/>
    </row>
  </sheetData>
  <mergeCells count="2">
    <mergeCell ref="A1:D1"/>
    <mergeCell ref="A7:D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122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123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15600.0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10764.5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4835.5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0.3099679487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1730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2434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6288.5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312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1730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B9*5%</f>
        <v>780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500.0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200.0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100.0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100.0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50.0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 collapsed="1">
      <c r="A32" s="59" t="s">
        <v>26</v>
      </c>
      <c r="B32" s="60">
        <f>SUM(B33:B39)</f>
        <v>0</v>
      </c>
      <c r="C32" s="61"/>
      <c r="D32" s="62"/>
      <c r="E32" s="4"/>
      <c r="F32" s="36"/>
      <c r="G32" s="63"/>
      <c r="H32" s="14"/>
      <c r="I32" s="14"/>
    </row>
    <row r="33" hidden="1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hidden="1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hidden="1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hidden="1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hidden="1" outlineLevel="1">
      <c r="A37" s="55" t="s">
        <v>31</v>
      </c>
      <c r="B37" s="56"/>
      <c r="C37" s="2"/>
      <c r="D37" s="3"/>
      <c r="E37" s="4"/>
      <c r="F37" s="43"/>
      <c r="G37" s="58"/>
      <c r="H37" s="14"/>
      <c r="I37" s="14"/>
    </row>
    <row r="38" hidden="1" outlineLevel="1">
      <c r="A38" s="55"/>
      <c r="B38" s="12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 collapsed="1">
      <c r="A40" s="59" t="s">
        <v>32</v>
      </c>
      <c r="B40" s="60">
        <f>SUM(B42:B49)</f>
        <v>2434</v>
      </c>
      <c r="C40" s="61"/>
      <c r="D40" s="62"/>
      <c r="E40" s="4"/>
      <c r="F40" s="36"/>
      <c r="G40" s="63"/>
      <c r="H40" s="14"/>
      <c r="I40" s="14"/>
    </row>
    <row r="41" hidden="1" outlineLevel="1">
      <c r="A41" s="52" t="s">
        <v>33</v>
      </c>
      <c r="B41" s="12">
        <f>B9*5%</f>
        <v>780</v>
      </c>
      <c r="C41" s="2"/>
      <c r="D41" s="3"/>
      <c r="E41" s="4"/>
      <c r="F41" s="54"/>
      <c r="G41" s="58"/>
      <c r="H41" s="14"/>
      <c r="I41" s="14"/>
    </row>
    <row r="42" hidden="1" outlineLevel="1">
      <c r="A42" s="64" t="s">
        <v>34</v>
      </c>
      <c r="B42" s="12">
        <f>B9*0%</f>
        <v>0</v>
      </c>
      <c r="C42" s="2"/>
      <c r="D42" s="3"/>
      <c r="E42" s="4"/>
      <c r="F42" s="65"/>
      <c r="G42" s="58"/>
      <c r="H42" s="14"/>
      <c r="I42" s="14"/>
    </row>
    <row r="43" hidden="1" outlineLevel="1">
      <c r="A43" s="64" t="s">
        <v>35</v>
      </c>
      <c r="B43" s="66">
        <f>B9*7%</f>
        <v>1092</v>
      </c>
      <c r="C43" s="2"/>
      <c r="D43" s="3"/>
      <c r="E43" s="4"/>
      <c r="F43" s="65"/>
      <c r="G43" s="37"/>
      <c r="H43" s="14"/>
      <c r="I43" s="14"/>
    </row>
    <row r="44" hidden="1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hidden="1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hidden="1" outlineLevel="1">
      <c r="A46" s="64" t="s">
        <v>38</v>
      </c>
      <c r="B46" s="67">
        <f>B9*7%</f>
        <v>1092</v>
      </c>
      <c r="C46" s="2"/>
      <c r="D46" s="3"/>
      <c r="E46" s="4"/>
      <c r="F46" s="65"/>
      <c r="G46" s="69"/>
      <c r="H46" s="14"/>
      <c r="I46" s="14"/>
    </row>
    <row r="47" hidden="1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hidden="1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hidden="1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SUM(D53+D69+D73+D88+D98+D103+D111)</f>
        <v>6288.5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SUM(D54:D68)</f>
        <v>3400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/>
      <c r="C54" s="53">
        <v>190.0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C55" s="53">
        <v>230.0</v>
      </c>
      <c r="D55" s="85">
        <f t="shared" ref="D55:D67" si="3">SUM(B55*C55)</f>
        <v>0</v>
      </c>
      <c r="E55" s="4"/>
      <c r="F55" s="43"/>
      <c r="G55" s="84"/>
      <c r="H55" s="40"/>
      <c r="I55" s="37"/>
    </row>
    <row r="56" hidden="1" outlineLevel="1">
      <c r="A56" s="55" t="s">
        <v>112</v>
      </c>
      <c r="C56" s="53">
        <v>320.0</v>
      </c>
      <c r="D56" s="85">
        <f t="shared" si="3"/>
        <v>0</v>
      </c>
      <c r="E56" s="4"/>
      <c r="F56" s="43"/>
      <c r="G56" s="84"/>
      <c r="H56" s="40"/>
      <c r="I56" s="37"/>
    </row>
    <row r="57" hidden="1" outlineLevel="1">
      <c r="A57" s="2" t="s">
        <v>49</v>
      </c>
      <c r="B57" s="82"/>
      <c r="C57" s="53">
        <v>290.0</v>
      </c>
      <c r="D57" s="85">
        <f t="shared" si="3"/>
        <v>0</v>
      </c>
      <c r="E57" s="2"/>
      <c r="F57" s="43"/>
      <c r="G57" s="84"/>
      <c r="H57" s="40"/>
      <c r="I57" s="37"/>
    </row>
    <row r="58" hidden="1" outlineLevel="1">
      <c r="A58" s="55" t="s">
        <v>50</v>
      </c>
      <c r="B58" s="82"/>
      <c r="C58" s="53">
        <v>420.0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51</v>
      </c>
      <c r="B59" s="82">
        <v>3.0</v>
      </c>
      <c r="C59" s="53">
        <v>300.0</v>
      </c>
      <c r="D59" s="85">
        <f t="shared" si="3"/>
        <v>900</v>
      </c>
      <c r="E59" s="2"/>
      <c r="F59" s="14"/>
      <c r="G59" s="84"/>
      <c r="H59" s="37"/>
      <c r="I59" s="37"/>
    </row>
    <row r="60" hidden="1" outlineLevel="1">
      <c r="A60" s="55" t="s">
        <v>52</v>
      </c>
      <c r="B60" s="82">
        <v>5.0</v>
      </c>
      <c r="C60" s="53">
        <v>500.0</v>
      </c>
      <c r="D60" s="85">
        <f t="shared" si="3"/>
        <v>2500</v>
      </c>
      <c r="E60" s="2"/>
      <c r="F60" s="14"/>
      <c r="G60" s="84"/>
      <c r="H60" s="37"/>
      <c r="I60" s="37"/>
      <c r="K60" s="55"/>
    </row>
    <row r="61" hidden="1" outlineLevel="1">
      <c r="A61" s="55" t="s">
        <v>53</v>
      </c>
      <c r="B61" s="82"/>
      <c r="C61" s="53">
        <v>580.0</v>
      </c>
      <c r="D61" s="85">
        <f t="shared" si="3"/>
        <v>0</v>
      </c>
      <c r="E61" s="2"/>
      <c r="F61" s="14"/>
      <c r="G61" s="87"/>
      <c r="H61" s="37"/>
      <c r="I61" s="37"/>
      <c r="K61" s="55"/>
    </row>
    <row r="62" hidden="1" outlineLevel="1">
      <c r="A62" s="55" t="s">
        <v>54</v>
      </c>
      <c r="B62" s="82"/>
      <c r="C62" s="53">
        <v>800.0</v>
      </c>
      <c r="D62" s="85">
        <f t="shared" si="3"/>
        <v>0</v>
      </c>
      <c r="E62" s="2"/>
      <c r="F62" s="43"/>
      <c r="G62" s="84"/>
      <c r="H62" s="40"/>
      <c r="I62" s="37"/>
      <c r="K62" s="55"/>
    </row>
    <row r="63" hidden="1" outlineLevel="1">
      <c r="A63" s="55" t="s">
        <v>55</v>
      </c>
      <c r="B63" s="82"/>
      <c r="C63" s="53">
        <v>950.0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56</v>
      </c>
      <c r="B64" s="82"/>
      <c r="C64" s="53">
        <v>1200.0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57</v>
      </c>
      <c r="B65" s="82"/>
      <c r="C65" s="53">
        <v>2200.0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58</v>
      </c>
      <c r="B66" s="82"/>
      <c r="C66" s="53">
        <v>600.0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>
        <v>400.0</v>
      </c>
      <c r="D67" s="85">
        <f t="shared" si="3"/>
        <v>0</v>
      </c>
      <c r="E67" s="2"/>
      <c r="F67" s="43"/>
      <c r="G67" s="84"/>
      <c r="H67" s="40"/>
      <c r="I67" s="37"/>
    </row>
    <row r="68" hidden="1" outlineLevel="1">
      <c r="A68" s="55" t="s">
        <v>59</v>
      </c>
      <c r="B68" s="82"/>
      <c r="C68" s="53"/>
      <c r="D68" s="85"/>
      <c r="E68" s="2"/>
      <c r="F68" s="43"/>
      <c r="G68" s="84"/>
      <c r="H68" s="40"/>
      <c r="I68" s="37"/>
    </row>
    <row r="69" collapsed="1">
      <c r="A69" s="55" t="s">
        <v>60</v>
      </c>
      <c r="B69" s="82"/>
      <c r="C69" s="53"/>
      <c r="D69" s="83">
        <f>SUM(D70:D72)</f>
        <v>660</v>
      </c>
      <c r="E69" s="2"/>
      <c r="F69" s="14"/>
      <c r="G69" s="84"/>
      <c r="H69" s="40"/>
      <c r="I69" s="37"/>
    </row>
    <row r="70" hidden="1" outlineLevel="1">
      <c r="A70" s="55" t="s">
        <v>61</v>
      </c>
      <c r="B70" s="82">
        <v>2.0</v>
      </c>
      <c r="C70" s="53">
        <v>80.0</v>
      </c>
      <c r="D70" s="85">
        <f t="shared" ref="D70:D71" si="4">SUM(B70*C70)</f>
        <v>160</v>
      </c>
      <c r="E70" s="2"/>
      <c r="F70" s="14"/>
      <c r="G70" s="84"/>
      <c r="H70" s="40"/>
      <c r="I70" s="37"/>
    </row>
    <row r="71" hidden="1" outlineLevel="1">
      <c r="A71" s="55" t="s">
        <v>62</v>
      </c>
      <c r="B71" s="82">
        <v>5.0</v>
      </c>
      <c r="C71" s="53">
        <v>100.0</v>
      </c>
      <c r="D71" s="85">
        <f t="shared" si="4"/>
        <v>500</v>
      </c>
      <c r="E71" s="2"/>
      <c r="F71" s="14"/>
      <c r="G71" s="84"/>
      <c r="H71" s="40"/>
      <c r="I71" s="37"/>
    </row>
    <row r="72" hidden="1" outlineLevel="1">
      <c r="A72" s="55" t="s">
        <v>63</v>
      </c>
      <c r="B72" s="82"/>
      <c r="C72" s="53"/>
      <c r="D72" s="83"/>
      <c r="E72" s="2"/>
      <c r="F72" s="14"/>
      <c r="G72" s="84"/>
      <c r="H72" s="40"/>
      <c r="I72" s="37"/>
    </row>
    <row r="73" collapsed="1">
      <c r="A73" s="55" t="s">
        <v>64</v>
      </c>
      <c r="B73" s="82"/>
      <c r="C73" s="53"/>
      <c r="D73" s="83">
        <f>SUM(D74:D87)</f>
        <v>880</v>
      </c>
      <c r="E73" s="2"/>
      <c r="F73" s="14"/>
      <c r="G73" s="84"/>
      <c r="H73" s="40"/>
      <c r="I73" s="37"/>
    </row>
    <row r="74" hidden="1" outlineLevel="1">
      <c r="A74" s="55" t="s">
        <v>65</v>
      </c>
      <c r="B74" s="82"/>
      <c r="C74" s="53">
        <v>9.0</v>
      </c>
      <c r="D74" s="85">
        <f t="shared" ref="D74:D87" si="5">SUM(B74*C74)</f>
        <v>0</v>
      </c>
      <c r="E74" s="2"/>
      <c r="F74" s="14"/>
      <c r="G74" s="84"/>
      <c r="H74" s="37"/>
      <c r="I74" s="37"/>
    </row>
    <row r="75" hidden="1" outlineLevel="1">
      <c r="A75" s="55" t="s">
        <v>113</v>
      </c>
      <c r="B75" s="82">
        <v>8.0</v>
      </c>
      <c r="C75" s="53">
        <v>30.0</v>
      </c>
      <c r="D75" s="85">
        <f t="shared" si="5"/>
        <v>240</v>
      </c>
      <c r="E75" s="2"/>
      <c r="F75" s="14"/>
      <c r="G75" s="84"/>
      <c r="H75" s="40"/>
      <c r="I75" s="37"/>
    </row>
    <row r="76" hidden="1" outlineLevel="1">
      <c r="A76" s="55" t="s">
        <v>67</v>
      </c>
      <c r="B76" s="82">
        <v>8.0</v>
      </c>
      <c r="C76" s="53">
        <v>80.0</v>
      </c>
      <c r="D76" s="85">
        <f t="shared" si="5"/>
        <v>640</v>
      </c>
      <c r="E76" s="2"/>
      <c r="F76" s="14"/>
      <c r="G76" s="84"/>
      <c r="H76" s="40"/>
      <c r="I76" s="37"/>
    </row>
    <row r="77" hidden="1" outlineLevel="1">
      <c r="A77" s="55" t="s">
        <v>68</v>
      </c>
      <c r="B77" s="82"/>
      <c r="C77" s="53">
        <v>30.0</v>
      </c>
      <c r="D77" s="85">
        <f t="shared" si="5"/>
        <v>0</v>
      </c>
      <c r="E77" s="2"/>
      <c r="F77" s="14"/>
      <c r="G77" s="84"/>
      <c r="H77" s="40"/>
      <c r="I77" s="37"/>
    </row>
    <row r="78" hidden="1" outlineLevel="1">
      <c r="A78" s="55" t="s">
        <v>69</v>
      </c>
      <c r="B78" s="82"/>
      <c r="C78" s="53">
        <v>150.0</v>
      </c>
      <c r="D78" s="85">
        <f t="shared" si="5"/>
        <v>0</v>
      </c>
      <c r="E78" s="2"/>
      <c r="F78" s="14"/>
      <c r="G78" s="84"/>
      <c r="H78" s="40"/>
      <c r="I78" s="37"/>
    </row>
    <row r="79" hidden="1" outlineLevel="1">
      <c r="A79" s="55" t="s">
        <v>70</v>
      </c>
      <c r="B79" s="82"/>
      <c r="C79" s="53"/>
      <c r="D79" s="85">
        <f t="shared" si="5"/>
        <v>0</v>
      </c>
      <c r="E79" s="2"/>
      <c r="F79" s="14"/>
      <c r="G79" s="84"/>
      <c r="H79" s="40"/>
      <c r="I79" s="37"/>
    </row>
    <row r="80" hidden="1" outlineLevel="1">
      <c r="A80" s="55" t="s">
        <v>71</v>
      </c>
      <c r="B80" s="82"/>
      <c r="C80" s="53">
        <v>150.0</v>
      </c>
      <c r="D80" s="85">
        <f t="shared" si="5"/>
        <v>0</v>
      </c>
      <c r="E80" s="2"/>
      <c r="F80" s="14"/>
      <c r="G80" s="84"/>
      <c r="H80" s="40"/>
      <c r="I80" s="37"/>
    </row>
    <row r="81" hidden="1" outlineLevel="1">
      <c r="A81" s="55" t="s">
        <v>72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hidden="1" outlineLevel="1">
      <c r="A82" s="55" t="s">
        <v>73</v>
      </c>
      <c r="B82" s="82"/>
      <c r="C82" s="53"/>
      <c r="D82" s="85">
        <f t="shared" si="5"/>
        <v>0</v>
      </c>
      <c r="E82" s="2"/>
      <c r="F82" s="14"/>
      <c r="G82" s="84"/>
      <c r="H82" s="40"/>
      <c r="I82" s="37"/>
    </row>
    <row r="83" hidden="1" outlineLevel="1">
      <c r="A83" s="55" t="s">
        <v>74</v>
      </c>
      <c r="B83" s="82"/>
      <c r="C83" s="53">
        <v>90.0</v>
      </c>
      <c r="D83" s="85">
        <f t="shared" si="5"/>
        <v>0</v>
      </c>
      <c r="E83" s="2"/>
      <c r="F83" s="14"/>
      <c r="G83" s="84"/>
      <c r="H83" s="40"/>
      <c r="I83" s="37"/>
    </row>
    <row r="84" hidden="1" outlineLevel="1">
      <c r="A84" s="55" t="s">
        <v>75</v>
      </c>
      <c r="B84" s="82"/>
      <c r="C84" s="53">
        <v>1000.0</v>
      </c>
      <c r="D84" s="85">
        <f t="shared" si="5"/>
        <v>0</v>
      </c>
      <c r="E84" s="2"/>
      <c r="F84" s="14"/>
      <c r="G84" s="84"/>
      <c r="H84" s="40"/>
      <c r="I84" s="37"/>
    </row>
    <row r="85" hidden="1" outlineLevel="1">
      <c r="A85" s="55" t="s">
        <v>76</v>
      </c>
      <c r="B85" s="82"/>
      <c r="C85" s="53">
        <v>60.0</v>
      </c>
      <c r="D85" s="85">
        <f t="shared" si="5"/>
        <v>0</v>
      </c>
      <c r="E85" s="2"/>
      <c r="F85" s="14"/>
      <c r="G85" s="84"/>
      <c r="H85" s="40"/>
      <c r="I85" s="37"/>
    </row>
    <row r="86" hidden="1" outlineLevel="1">
      <c r="A86" s="55" t="s">
        <v>70</v>
      </c>
      <c r="B86" s="82"/>
      <c r="C86" s="53">
        <v>250.0</v>
      </c>
      <c r="D86" s="85">
        <f t="shared" si="5"/>
        <v>0</v>
      </c>
      <c r="E86" s="2"/>
      <c r="F86" s="14"/>
      <c r="G86" s="84"/>
      <c r="H86" s="40"/>
      <c r="I86" s="37"/>
    </row>
    <row r="87" hidden="1" outlineLevel="1">
      <c r="A87" s="55" t="s">
        <v>78</v>
      </c>
      <c r="B87" s="82"/>
      <c r="C87" s="53">
        <v>100.0</v>
      </c>
      <c r="D87" s="85">
        <f t="shared" si="5"/>
        <v>0</v>
      </c>
      <c r="E87" s="2"/>
      <c r="F87" s="14"/>
      <c r="G87" s="84"/>
      <c r="H87" s="40"/>
      <c r="I87" s="37"/>
    </row>
    <row r="88" collapsed="1">
      <c r="A88" s="55" t="s">
        <v>79</v>
      </c>
      <c r="B88" s="82"/>
      <c r="C88" s="53"/>
      <c r="D88" s="83">
        <f>SUM(D89:D97)</f>
        <v>145.5</v>
      </c>
      <c r="E88" s="2"/>
      <c r="F88" s="14"/>
      <c r="G88" s="84"/>
      <c r="H88" s="40"/>
      <c r="I88" s="37"/>
    </row>
    <row r="89" hidden="1" outlineLevel="1">
      <c r="A89" s="86" t="s">
        <v>80</v>
      </c>
      <c r="B89" s="86">
        <v>2.0</v>
      </c>
      <c r="C89" s="88">
        <v>25.0</v>
      </c>
      <c r="D89" s="85">
        <f t="shared" ref="D89:D97" si="6">SUM(B89*C89)</f>
        <v>50</v>
      </c>
    </row>
    <row r="90" hidden="1" outlineLevel="1">
      <c r="A90" s="55" t="s">
        <v>81</v>
      </c>
      <c r="B90" s="82">
        <v>10.0</v>
      </c>
      <c r="C90" s="82">
        <v>1.8</v>
      </c>
      <c r="D90" s="85">
        <f t="shared" si="6"/>
        <v>18</v>
      </c>
      <c r="E90" s="2"/>
      <c r="F90" s="2"/>
      <c r="G90" s="82"/>
      <c r="H90" s="53"/>
      <c r="I90" s="66"/>
    </row>
    <row r="91" hidden="1" outlineLevel="1">
      <c r="A91" s="55" t="s">
        <v>82</v>
      </c>
      <c r="B91" s="82">
        <v>20.0</v>
      </c>
      <c r="C91" s="53">
        <v>1.5</v>
      </c>
      <c r="D91" s="85">
        <f t="shared" si="6"/>
        <v>30</v>
      </c>
      <c r="E91" s="2"/>
      <c r="F91" s="2"/>
      <c r="G91" s="82"/>
      <c r="H91" s="53"/>
      <c r="I91" s="66"/>
    </row>
    <row r="92" hidden="1" outlineLevel="1">
      <c r="A92" s="55" t="s">
        <v>83</v>
      </c>
      <c r="B92" s="82"/>
      <c r="C92" s="53">
        <v>0.8</v>
      </c>
      <c r="D92" s="85">
        <f t="shared" si="6"/>
        <v>0</v>
      </c>
      <c r="E92" s="2"/>
      <c r="F92" s="2"/>
      <c r="G92" s="82"/>
      <c r="H92" s="53"/>
      <c r="I92" s="66"/>
    </row>
    <row r="93" hidden="1" outlineLevel="1">
      <c r="A93" s="55" t="s">
        <v>84</v>
      </c>
      <c r="B93" s="82">
        <v>0.5</v>
      </c>
      <c r="C93" s="53">
        <v>35.0</v>
      </c>
      <c r="D93" s="85">
        <f t="shared" si="6"/>
        <v>17.5</v>
      </c>
      <c r="E93" s="2"/>
      <c r="F93" s="2"/>
      <c r="G93" s="82"/>
      <c r="H93" s="53"/>
      <c r="I93" s="66"/>
    </row>
    <row r="94" hidden="1" outlineLevel="1">
      <c r="A94" s="55" t="s">
        <v>85</v>
      </c>
      <c r="B94" s="82"/>
      <c r="C94" s="53">
        <v>50.0</v>
      </c>
      <c r="D94" s="85">
        <f t="shared" si="6"/>
        <v>0</v>
      </c>
      <c r="E94" s="2"/>
      <c r="F94" s="2"/>
      <c r="G94" s="82"/>
      <c r="H94" s="53"/>
      <c r="I94" s="66"/>
    </row>
    <row r="95" hidden="1" outlineLevel="1">
      <c r="A95" s="55" t="s">
        <v>86</v>
      </c>
      <c r="B95" s="82">
        <v>1.0</v>
      </c>
      <c r="C95" s="53">
        <v>30.0</v>
      </c>
      <c r="D95" s="85">
        <f t="shared" si="6"/>
        <v>30</v>
      </c>
      <c r="E95" s="2"/>
      <c r="F95" s="2"/>
      <c r="G95" s="82"/>
      <c r="H95" s="53"/>
      <c r="I95" s="66"/>
    </row>
    <row r="96" hidden="1" outlineLevel="1">
      <c r="A96" s="55" t="s">
        <v>63</v>
      </c>
      <c r="B96" s="82"/>
      <c r="C96" s="53">
        <v>25.0</v>
      </c>
      <c r="D96" s="85">
        <f t="shared" si="6"/>
        <v>0</v>
      </c>
      <c r="E96" s="2"/>
      <c r="F96" s="2"/>
      <c r="G96" s="82"/>
      <c r="H96" s="53"/>
      <c r="I96" s="66"/>
    </row>
    <row r="97" hidden="1" outlineLevel="1">
      <c r="A97" s="55" t="s">
        <v>87</v>
      </c>
      <c r="B97" s="82"/>
      <c r="C97" s="53"/>
      <c r="D97" s="85">
        <f t="shared" si="6"/>
        <v>0</v>
      </c>
      <c r="E97" s="2"/>
      <c r="F97" s="2"/>
      <c r="G97" s="82"/>
      <c r="H97" s="53"/>
      <c r="I97" s="66"/>
    </row>
    <row r="98" collapsed="1">
      <c r="A98" s="55" t="s">
        <v>88</v>
      </c>
      <c r="B98" s="82"/>
      <c r="C98" s="53"/>
      <c r="D98" s="83">
        <f>SUM(D99:D102)</f>
        <v>1040</v>
      </c>
      <c r="E98" s="2"/>
      <c r="F98" s="2"/>
      <c r="G98" s="82"/>
      <c r="H98" s="53"/>
      <c r="I98" s="66"/>
    </row>
    <row r="99" hidden="1" outlineLevel="1">
      <c r="A99" s="55" t="s">
        <v>89</v>
      </c>
      <c r="B99" s="82">
        <v>8.0</v>
      </c>
      <c r="C99" s="53">
        <v>130.0</v>
      </c>
      <c r="D99" s="85">
        <f t="shared" ref="D99:D101" si="7">SUM(B99*C99)</f>
        <v>1040</v>
      </c>
      <c r="E99" s="2"/>
      <c r="F99" s="2"/>
      <c r="G99" s="82"/>
      <c r="H99" s="53"/>
      <c r="I99" s="66"/>
    </row>
    <row r="100" hidden="1" outlineLevel="1">
      <c r="A100" s="55" t="s">
        <v>90</v>
      </c>
      <c r="B100" s="82"/>
      <c r="C100" s="53">
        <v>50.0</v>
      </c>
      <c r="D100" s="85">
        <f t="shared" si="7"/>
        <v>0</v>
      </c>
      <c r="E100" s="2"/>
      <c r="F100" s="2"/>
      <c r="G100" s="82"/>
      <c r="H100" s="53"/>
      <c r="I100" s="66"/>
    </row>
    <row r="101" hidden="1" outlineLevel="1">
      <c r="A101" s="55" t="s">
        <v>63</v>
      </c>
      <c r="B101" s="82"/>
      <c r="C101" s="53"/>
      <c r="D101" s="85">
        <f t="shared" si="7"/>
        <v>0</v>
      </c>
      <c r="E101" s="2"/>
      <c r="F101" s="2"/>
      <c r="G101" s="82"/>
      <c r="H101" s="53"/>
      <c r="I101" s="66"/>
    </row>
    <row r="102" hidden="1" outlineLevel="1">
      <c r="A102" s="55" t="s">
        <v>87</v>
      </c>
      <c r="B102" s="82"/>
      <c r="C102" s="53"/>
      <c r="D102" s="85"/>
      <c r="E102" s="2"/>
      <c r="F102" s="2"/>
      <c r="G102" s="89"/>
      <c r="H102" s="53"/>
      <c r="I102" s="66"/>
    </row>
    <row r="103" collapsed="1">
      <c r="A103" s="86" t="s">
        <v>91</v>
      </c>
      <c r="B103" s="82"/>
      <c r="C103" s="53"/>
      <c r="D103" s="90">
        <f>SUM(D104:D110)</f>
        <v>0</v>
      </c>
      <c r="E103" s="2"/>
      <c r="F103" s="2"/>
      <c r="G103" s="82"/>
      <c r="H103" s="53"/>
      <c r="I103" s="66"/>
    </row>
    <row r="104" hidden="1" outlineLevel="1">
      <c r="A104" s="86" t="s">
        <v>92</v>
      </c>
      <c r="B104" s="82"/>
      <c r="C104" s="53">
        <v>80.0</v>
      </c>
      <c r="D104" s="85">
        <f t="shared" ref="D104:D110" si="8">SUM(B104*C104)</f>
        <v>0</v>
      </c>
      <c r="E104" s="2"/>
      <c r="F104" s="2"/>
      <c r="G104" s="82"/>
      <c r="H104" s="53"/>
      <c r="I104" s="66"/>
    </row>
    <row r="105" hidden="1" outlineLevel="1">
      <c r="A105" s="55" t="s">
        <v>114</v>
      </c>
      <c r="B105" s="82"/>
      <c r="C105" s="53">
        <v>12.0</v>
      </c>
      <c r="D105" s="85">
        <f t="shared" si="8"/>
        <v>0</v>
      </c>
      <c r="E105" s="2"/>
      <c r="F105" s="55"/>
      <c r="G105" s="82"/>
      <c r="H105" s="53"/>
      <c r="I105" s="66"/>
    </row>
    <row r="106" hidden="1" outlineLevel="1">
      <c r="A106" s="55" t="s">
        <v>119</v>
      </c>
      <c r="B106" s="82"/>
      <c r="C106" s="53">
        <v>80.0</v>
      </c>
      <c r="D106" s="85">
        <f t="shared" si="8"/>
        <v>0</v>
      </c>
      <c r="E106" s="2"/>
      <c r="F106" s="2"/>
      <c r="G106" s="89"/>
      <c r="H106" s="66"/>
      <c r="I106" s="66"/>
    </row>
    <row r="107" hidden="1" outlineLevel="1">
      <c r="A107" s="55" t="s">
        <v>95</v>
      </c>
      <c r="B107" s="55"/>
      <c r="C107" s="56">
        <v>500.0</v>
      </c>
      <c r="D107" s="85">
        <f t="shared" si="8"/>
        <v>0</v>
      </c>
      <c r="E107" s="2"/>
      <c r="F107" s="55"/>
      <c r="G107" s="55"/>
      <c r="H107" s="56"/>
      <c r="I107" s="66"/>
    </row>
    <row r="108" hidden="1" outlineLevel="1">
      <c r="A108" s="55" t="s">
        <v>96</v>
      </c>
      <c r="B108" s="55"/>
      <c r="C108" s="56">
        <v>600.0</v>
      </c>
      <c r="D108" s="85">
        <f t="shared" si="8"/>
        <v>0</v>
      </c>
      <c r="E108" s="2"/>
      <c r="F108" s="2"/>
      <c r="G108" s="2"/>
      <c r="H108" s="12"/>
      <c r="I108" s="66"/>
    </row>
    <row r="109" hidden="1" outlineLevel="1">
      <c r="A109" s="55" t="s">
        <v>97</v>
      </c>
      <c r="B109" s="55"/>
      <c r="C109" s="56">
        <v>300.0</v>
      </c>
      <c r="D109" s="85">
        <f t="shared" si="8"/>
        <v>0</v>
      </c>
      <c r="E109" s="2"/>
      <c r="F109" s="2"/>
      <c r="G109" s="2"/>
      <c r="H109" s="12"/>
      <c r="I109" s="66"/>
    </row>
    <row r="110" hidden="1" outlineLevel="1">
      <c r="A110" s="55" t="s">
        <v>98</v>
      </c>
      <c r="B110" s="55"/>
      <c r="C110" s="56">
        <v>600.0</v>
      </c>
      <c r="D110" s="85">
        <f t="shared" si="8"/>
        <v>0</v>
      </c>
      <c r="E110" s="2"/>
      <c r="F110" s="2"/>
      <c r="G110" s="2"/>
      <c r="H110" s="12"/>
      <c r="I110" s="66"/>
    </row>
    <row r="111" collapsed="1">
      <c r="A111" s="55" t="s">
        <v>99</v>
      </c>
      <c r="B111" s="2"/>
      <c r="C111" s="12"/>
      <c r="D111" s="83">
        <f>SUM(D112:D116)</f>
        <v>163</v>
      </c>
      <c r="E111" s="2"/>
      <c r="F111" s="2"/>
      <c r="G111" s="2"/>
      <c r="H111" s="12"/>
      <c r="I111" s="66"/>
    </row>
    <row r="112" hidden="1" outlineLevel="1">
      <c r="A112" s="55" t="s">
        <v>100</v>
      </c>
      <c r="B112" s="55">
        <v>1.0</v>
      </c>
      <c r="C112" s="56">
        <v>12.0</v>
      </c>
      <c r="D112" s="85">
        <f t="shared" ref="D112:D116" si="9">SUM(B112*C112)</f>
        <v>12</v>
      </c>
      <c r="E112" s="2"/>
      <c r="F112" s="2"/>
      <c r="G112" s="2"/>
      <c r="H112" s="12"/>
      <c r="I112" s="66"/>
    </row>
    <row r="113" hidden="1" outlineLevel="1">
      <c r="A113" s="55" t="s">
        <v>101</v>
      </c>
      <c r="B113" s="55">
        <v>1.0</v>
      </c>
      <c r="C113" s="56">
        <v>10.0</v>
      </c>
      <c r="D113" s="85">
        <f t="shared" si="9"/>
        <v>10</v>
      </c>
      <c r="E113" s="2"/>
      <c r="F113" s="2"/>
      <c r="G113" s="2"/>
      <c r="H113" s="12"/>
      <c r="I113" s="66"/>
    </row>
    <row r="114" hidden="1" outlineLevel="1">
      <c r="A114" s="55" t="s">
        <v>102</v>
      </c>
      <c r="B114" s="55">
        <v>4.0</v>
      </c>
      <c r="C114" s="56">
        <v>4.0</v>
      </c>
      <c r="D114" s="85">
        <f t="shared" si="9"/>
        <v>16</v>
      </c>
      <c r="E114" s="2"/>
      <c r="F114" s="2"/>
      <c r="G114" s="2"/>
      <c r="H114" s="12"/>
      <c r="I114" s="66"/>
    </row>
    <row r="115" hidden="1" outlineLevel="1">
      <c r="A115" s="55" t="s">
        <v>103</v>
      </c>
      <c r="B115" s="55">
        <v>50.0</v>
      </c>
      <c r="C115" s="56">
        <v>0.5</v>
      </c>
      <c r="D115" s="85">
        <f t="shared" si="9"/>
        <v>25</v>
      </c>
      <c r="E115" s="2"/>
      <c r="F115" s="2"/>
    </row>
    <row r="116" hidden="1" outlineLevel="1">
      <c r="A116" s="55" t="s">
        <v>104</v>
      </c>
      <c r="B116" s="55">
        <v>2.0</v>
      </c>
      <c r="C116" s="56">
        <v>50.0</v>
      </c>
      <c r="D116" s="85">
        <f t="shared" si="9"/>
        <v>100</v>
      </c>
      <c r="E116" s="2"/>
      <c r="F116" s="2"/>
    </row>
    <row r="117" collapsed="1">
      <c r="A117" s="55" t="s">
        <v>105</v>
      </c>
      <c r="B117" s="2"/>
      <c r="C117" s="12"/>
      <c r="D117" s="83">
        <f>SUM(D118:D120)</f>
        <v>55</v>
      </c>
      <c r="E117" s="2"/>
      <c r="F117" s="2"/>
    </row>
    <row r="118" hidden="1" outlineLevel="1">
      <c r="A118" s="55" t="s">
        <v>106</v>
      </c>
      <c r="B118" s="55">
        <v>1.0</v>
      </c>
      <c r="C118" s="56">
        <v>20.0</v>
      </c>
      <c r="D118" s="85">
        <f t="shared" ref="D118:D120" si="10">SUM(B118*C118)</f>
        <v>20</v>
      </c>
      <c r="E118" s="2"/>
      <c r="F118" s="2"/>
    </row>
    <row r="119" hidden="1" outlineLevel="1">
      <c r="A119" s="55" t="s">
        <v>107</v>
      </c>
      <c r="B119" s="55">
        <v>10.0</v>
      </c>
      <c r="C119" s="56">
        <v>1.5</v>
      </c>
      <c r="D119" s="85">
        <f t="shared" si="10"/>
        <v>15</v>
      </c>
      <c r="E119" s="2"/>
      <c r="F119" s="2"/>
    </row>
    <row r="120" hidden="1" outlineLevel="1">
      <c r="A120" s="86" t="s">
        <v>108</v>
      </c>
      <c r="B120" s="55">
        <v>20.0</v>
      </c>
      <c r="C120" s="56">
        <v>1.0</v>
      </c>
      <c r="D120" s="85">
        <f t="shared" si="10"/>
        <v>20</v>
      </c>
      <c r="E120" s="2"/>
      <c r="F120" s="2"/>
    </row>
    <row r="121">
      <c r="A121" s="2"/>
      <c r="B121" s="2"/>
      <c r="C121" s="12"/>
      <c r="D121" s="85"/>
      <c r="E121" s="2"/>
      <c r="F121" s="2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  <row r="1045">
      <c r="D1045" s="20"/>
    </row>
  </sheetData>
  <mergeCells count="2">
    <mergeCell ref="A1:D1"/>
    <mergeCell ref="A7:D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124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110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28500.0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18153.5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10346.5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0.3630350877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2235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4240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11108.5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570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2235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B9*5%</f>
        <v>1425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450.0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200.0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100.0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30.0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30.0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 collapsed="1">
      <c r="A32" s="59" t="s">
        <v>26</v>
      </c>
      <c r="B32" s="60">
        <f>SUM(B33:B39)</f>
        <v>0</v>
      </c>
      <c r="C32" s="61"/>
      <c r="D32" s="62"/>
      <c r="E32" s="4"/>
      <c r="F32" s="36"/>
      <c r="G32" s="63"/>
      <c r="H32" s="14"/>
      <c r="I32" s="14"/>
    </row>
    <row r="33" hidden="1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hidden="1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hidden="1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hidden="1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hidden="1" outlineLevel="1">
      <c r="A37" s="55" t="s">
        <v>31</v>
      </c>
      <c r="B37" s="56"/>
      <c r="C37" s="2"/>
      <c r="D37" s="3"/>
      <c r="E37" s="4"/>
      <c r="F37" s="43"/>
      <c r="G37" s="58"/>
      <c r="H37" s="14"/>
      <c r="I37" s="14"/>
    </row>
    <row r="38" hidden="1" outlineLevel="1">
      <c r="A38" s="55"/>
      <c r="B38" s="12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 collapsed="1">
      <c r="A40" s="59" t="s">
        <v>32</v>
      </c>
      <c r="B40" s="60">
        <f>SUM(B42:B49)</f>
        <v>4240</v>
      </c>
      <c r="C40" s="61"/>
      <c r="D40" s="62"/>
      <c r="E40" s="4"/>
      <c r="F40" s="36"/>
      <c r="G40" s="63"/>
      <c r="H40" s="14"/>
      <c r="I40" s="14"/>
    </row>
    <row r="41" hidden="1" outlineLevel="1">
      <c r="A41" s="52" t="s">
        <v>33</v>
      </c>
      <c r="B41" s="12">
        <f>B9*5%</f>
        <v>1425</v>
      </c>
      <c r="C41" s="2"/>
      <c r="D41" s="3"/>
      <c r="E41" s="4"/>
      <c r="F41" s="54"/>
      <c r="G41" s="58"/>
      <c r="H41" s="14"/>
      <c r="I41" s="14"/>
    </row>
    <row r="42" hidden="1" outlineLevel="1">
      <c r="A42" s="64" t="s">
        <v>34</v>
      </c>
      <c r="B42" s="12">
        <f>B9*0%</f>
        <v>0</v>
      </c>
      <c r="C42" s="2"/>
      <c r="D42" s="3"/>
      <c r="E42" s="4"/>
      <c r="F42" s="65"/>
      <c r="G42" s="58"/>
      <c r="H42" s="14"/>
      <c r="I42" s="14"/>
    </row>
    <row r="43" hidden="1" outlineLevel="1">
      <c r="A43" s="64" t="s">
        <v>35</v>
      </c>
      <c r="B43" s="66">
        <f>B9*7%</f>
        <v>1995</v>
      </c>
      <c r="C43" s="2"/>
      <c r="D43" s="3"/>
      <c r="E43" s="4"/>
      <c r="F43" s="65"/>
      <c r="G43" s="37"/>
      <c r="H43" s="14"/>
      <c r="I43" s="14"/>
    </row>
    <row r="44" hidden="1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hidden="1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hidden="1" outlineLevel="1">
      <c r="A46" s="64" t="s">
        <v>38</v>
      </c>
      <c r="B46" s="67">
        <f>B9*7%</f>
        <v>1995</v>
      </c>
      <c r="C46" s="2"/>
      <c r="D46" s="3"/>
      <c r="E46" s="4"/>
      <c r="F46" s="65"/>
      <c r="G46" s="69"/>
      <c r="H46" s="14"/>
      <c r="I46" s="14"/>
    </row>
    <row r="47" hidden="1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hidden="1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hidden="1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SUM(D53+D69+D73+D88+D98+D103+D111)</f>
        <v>11108.5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SUM(D54:D68)</f>
        <v>3680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/>
      <c r="C54" s="53">
        <v>190.0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C55" s="53">
        <v>230.0</v>
      </c>
      <c r="D55" s="85">
        <f t="shared" ref="D55:D67" si="3">SUM(B55*C55)</f>
        <v>0</v>
      </c>
      <c r="E55" s="4"/>
      <c r="F55" s="43"/>
      <c r="G55" s="84"/>
      <c r="H55" s="40"/>
      <c r="I55" s="37"/>
    </row>
    <row r="56" hidden="1" outlineLevel="1">
      <c r="A56" s="55" t="s">
        <v>112</v>
      </c>
      <c r="C56" s="53">
        <v>320.0</v>
      </c>
      <c r="D56" s="85">
        <f t="shared" si="3"/>
        <v>0</v>
      </c>
      <c r="E56" s="4"/>
      <c r="F56" s="43"/>
      <c r="G56" s="84"/>
      <c r="H56" s="40"/>
      <c r="I56" s="37"/>
    </row>
    <row r="57" hidden="1" outlineLevel="1">
      <c r="A57" s="2" t="s">
        <v>49</v>
      </c>
      <c r="B57" s="82"/>
      <c r="C57" s="53">
        <v>290.0</v>
      </c>
      <c r="D57" s="85">
        <f t="shared" si="3"/>
        <v>0</v>
      </c>
      <c r="E57" s="2"/>
      <c r="F57" s="43"/>
      <c r="G57" s="84"/>
      <c r="H57" s="40"/>
      <c r="I57" s="37"/>
    </row>
    <row r="58" hidden="1" outlineLevel="1">
      <c r="A58" s="55" t="s">
        <v>50</v>
      </c>
      <c r="B58" s="82"/>
      <c r="C58" s="53">
        <v>420.0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51</v>
      </c>
      <c r="B59" s="82">
        <v>2.0</v>
      </c>
      <c r="C59" s="53">
        <v>300.0</v>
      </c>
      <c r="D59" s="85">
        <f t="shared" si="3"/>
        <v>600</v>
      </c>
      <c r="E59" s="2"/>
      <c r="F59" s="14"/>
      <c r="G59" s="84"/>
      <c r="H59" s="37"/>
      <c r="I59" s="37"/>
    </row>
    <row r="60" hidden="1" outlineLevel="1">
      <c r="A60" s="55" t="s">
        <v>52</v>
      </c>
      <c r="B60" s="82">
        <v>5.0</v>
      </c>
      <c r="C60" s="53">
        <v>500.0</v>
      </c>
      <c r="D60" s="85">
        <f t="shared" si="3"/>
        <v>2500</v>
      </c>
      <c r="E60" s="2"/>
      <c r="F60" s="14"/>
      <c r="G60" s="84"/>
      <c r="H60" s="37"/>
      <c r="I60" s="37"/>
      <c r="K60" s="55"/>
    </row>
    <row r="61" hidden="1" outlineLevel="1">
      <c r="A61" s="55" t="s">
        <v>53</v>
      </c>
      <c r="B61" s="82">
        <v>1.0</v>
      </c>
      <c r="C61" s="53">
        <v>580.0</v>
      </c>
      <c r="D61" s="85">
        <f t="shared" si="3"/>
        <v>580</v>
      </c>
      <c r="E61" s="2"/>
      <c r="F61" s="14"/>
      <c r="G61" s="87"/>
      <c r="H61" s="37"/>
      <c r="I61" s="37"/>
      <c r="K61" s="55"/>
    </row>
    <row r="62" hidden="1" outlineLevel="1">
      <c r="A62" s="55" t="s">
        <v>54</v>
      </c>
      <c r="B62" s="82"/>
      <c r="C62" s="53">
        <v>800.0</v>
      </c>
      <c r="D62" s="85">
        <f t="shared" si="3"/>
        <v>0</v>
      </c>
      <c r="E62" s="2"/>
      <c r="F62" s="43"/>
      <c r="G62" s="84"/>
      <c r="H62" s="40"/>
      <c r="I62" s="37"/>
      <c r="K62" s="55"/>
    </row>
    <row r="63" hidden="1" outlineLevel="1">
      <c r="A63" s="55" t="s">
        <v>55</v>
      </c>
      <c r="B63" s="82"/>
      <c r="C63" s="53">
        <v>950.0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56</v>
      </c>
      <c r="B64" s="82"/>
      <c r="C64" s="53">
        <v>1200.0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57</v>
      </c>
      <c r="B65" s="82"/>
      <c r="C65" s="53">
        <v>2200.0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58</v>
      </c>
      <c r="B66" s="82"/>
      <c r="C66" s="53">
        <v>600.0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>
        <v>400.0</v>
      </c>
      <c r="D67" s="85">
        <f t="shared" si="3"/>
        <v>0</v>
      </c>
      <c r="E67" s="2"/>
      <c r="F67" s="43"/>
      <c r="G67" s="84"/>
      <c r="H67" s="40"/>
      <c r="I67" s="37"/>
    </row>
    <row r="68" hidden="1" outlineLevel="1">
      <c r="A68" s="55" t="s">
        <v>59</v>
      </c>
      <c r="B68" s="82"/>
      <c r="C68" s="53"/>
      <c r="D68" s="85"/>
      <c r="E68" s="2"/>
      <c r="F68" s="43"/>
      <c r="G68" s="84"/>
      <c r="H68" s="40"/>
      <c r="I68" s="37"/>
    </row>
    <row r="69" collapsed="1">
      <c r="A69" s="55" t="s">
        <v>60</v>
      </c>
      <c r="B69" s="82"/>
      <c r="C69" s="53"/>
      <c r="D69" s="83">
        <f>SUM(D70:D72)</f>
        <v>360</v>
      </c>
      <c r="E69" s="2"/>
      <c r="F69" s="14"/>
      <c r="G69" s="84"/>
      <c r="H69" s="40"/>
      <c r="I69" s="37"/>
    </row>
    <row r="70" hidden="1" outlineLevel="1">
      <c r="A70" s="55" t="s">
        <v>61</v>
      </c>
      <c r="B70" s="82">
        <v>2.0</v>
      </c>
      <c r="C70" s="53">
        <v>80.0</v>
      </c>
      <c r="D70" s="85">
        <f t="shared" ref="D70:D71" si="4">SUM(B70*C70)</f>
        <v>160</v>
      </c>
      <c r="E70" s="2"/>
      <c r="F70" s="14"/>
      <c r="G70" s="84"/>
      <c r="H70" s="40"/>
      <c r="I70" s="37"/>
    </row>
    <row r="71" hidden="1" outlineLevel="1">
      <c r="A71" s="55" t="s">
        <v>62</v>
      </c>
      <c r="B71" s="82">
        <v>2.0</v>
      </c>
      <c r="C71" s="53">
        <v>100.0</v>
      </c>
      <c r="D71" s="85">
        <f t="shared" si="4"/>
        <v>200</v>
      </c>
      <c r="E71" s="2"/>
      <c r="F71" s="14"/>
      <c r="G71" s="84"/>
      <c r="H71" s="40"/>
      <c r="I71" s="37"/>
    </row>
    <row r="72" hidden="1" outlineLevel="1">
      <c r="A72" s="55" t="s">
        <v>63</v>
      </c>
      <c r="B72" s="82"/>
      <c r="C72" s="53"/>
      <c r="D72" s="83"/>
      <c r="E72" s="2"/>
      <c r="F72" s="14"/>
      <c r="G72" s="84"/>
      <c r="H72" s="40"/>
      <c r="I72" s="37"/>
    </row>
    <row r="73" collapsed="1">
      <c r="A73" s="55" t="s">
        <v>64</v>
      </c>
      <c r="B73" s="82"/>
      <c r="C73" s="53"/>
      <c r="D73" s="83">
        <f>SUM(D74:D87)</f>
        <v>1160</v>
      </c>
      <c r="E73" s="2"/>
      <c r="F73" s="14"/>
      <c r="G73" s="84"/>
      <c r="H73" s="40"/>
      <c r="I73" s="37"/>
    </row>
    <row r="74" hidden="1" outlineLevel="1">
      <c r="A74" s="55" t="s">
        <v>65</v>
      </c>
      <c r="B74" s="82"/>
      <c r="C74" s="53">
        <v>9.0</v>
      </c>
      <c r="D74" s="85">
        <f t="shared" ref="D74:D87" si="5">SUM(B74*C74)</f>
        <v>0</v>
      </c>
      <c r="E74" s="2"/>
      <c r="F74" s="14"/>
      <c r="G74" s="84"/>
      <c r="H74" s="37"/>
      <c r="I74" s="37"/>
    </row>
    <row r="75" hidden="1" outlineLevel="1">
      <c r="A75" s="55" t="s">
        <v>113</v>
      </c>
      <c r="B75" s="82">
        <v>28.0</v>
      </c>
      <c r="C75" s="53">
        <v>30.0</v>
      </c>
      <c r="D75" s="85">
        <f t="shared" si="5"/>
        <v>840</v>
      </c>
      <c r="E75" s="2"/>
      <c r="F75" s="14"/>
      <c r="G75" s="84"/>
      <c r="H75" s="40"/>
      <c r="I75" s="37"/>
    </row>
    <row r="76" hidden="1" outlineLevel="1">
      <c r="A76" s="55" t="s">
        <v>67</v>
      </c>
      <c r="B76" s="82">
        <v>4.0</v>
      </c>
      <c r="C76" s="53">
        <v>80.0</v>
      </c>
      <c r="D76" s="85">
        <f t="shared" si="5"/>
        <v>320</v>
      </c>
      <c r="E76" s="2"/>
      <c r="F76" s="14"/>
      <c r="G76" s="84"/>
      <c r="H76" s="40"/>
      <c r="I76" s="37"/>
    </row>
    <row r="77" hidden="1" outlineLevel="1">
      <c r="A77" s="55" t="s">
        <v>68</v>
      </c>
      <c r="B77" s="82"/>
      <c r="C77" s="53">
        <v>30.0</v>
      </c>
      <c r="D77" s="85">
        <f t="shared" si="5"/>
        <v>0</v>
      </c>
      <c r="E77" s="2"/>
      <c r="F77" s="14"/>
      <c r="G77" s="84"/>
      <c r="H77" s="40"/>
      <c r="I77" s="37"/>
    </row>
    <row r="78" hidden="1" outlineLevel="1">
      <c r="A78" s="55" t="s">
        <v>69</v>
      </c>
      <c r="B78" s="82"/>
      <c r="C78" s="53">
        <v>150.0</v>
      </c>
      <c r="D78" s="85">
        <f t="shared" si="5"/>
        <v>0</v>
      </c>
      <c r="E78" s="2"/>
      <c r="F78" s="14"/>
      <c r="G78" s="84"/>
      <c r="H78" s="40"/>
      <c r="I78" s="37"/>
    </row>
    <row r="79" hidden="1" outlineLevel="1">
      <c r="A79" s="55" t="s">
        <v>70</v>
      </c>
      <c r="B79" s="82"/>
      <c r="C79" s="53"/>
      <c r="D79" s="85">
        <f t="shared" si="5"/>
        <v>0</v>
      </c>
      <c r="E79" s="2"/>
      <c r="F79" s="14"/>
      <c r="G79" s="84"/>
      <c r="H79" s="40"/>
      <c r="I79" s="37"/>
    </row>
    <row r="80" hidden="1" outlineLevel="1">
      <c r="A80" s="55" t="s">
        <v>71</v>
      </c>
      <c r="B80" s="82"/>
      <c r="C80" s="53">
        <v>150.0</v>
      </c>
      <c r="D80" s="85">
        <f t="shared" si="5"/>
        <v>0</v>
      </c>
      <c r="E80" s="2"/>
      <c r="F80" s="14"/>
      <c r="G80" s="84"/>
      <c r="H80" s="40"/>
      <c r="I80" s="37"/>
    </row>
    <row r="81" hidden="1" outlineLevel="1">
      <c r="A81" s="55" t="s">
        <v>72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hidden="1" outlineLevel="1">
      <c r="A82" s="55" t="s">
        <v>73</v>
      </c>
      <c r="B82" s="82"/>
      <c r="C82" s="53"/>
      <c r="D82" s="85">
        <f t="shared" si="5"/>
        <v>0</v>
      </c>
      <c r="E82" s="2"/>
      <c r="F82" s="14"/>
      <c r="G82" s="84"/>
      <c r="H82" s="40"/>
      <c r="I82" s="37"/>
    </row>
    <row r="83" hidden="1" outlineLevel="1">
      <c r="A83" s="55" t="s">
        <v>74</v>
      </c>
      <c r="B83" s="82"/>
      <c r="C83" s="53">
        <v>90.0</v>
      </c>
      <c r="D83" s="85">
        <f t="shared" si="5"/>
        <v>0</v>
      </c>
      <c r="E83" s="2"/>
      <c r="F83" s="14"/>
      <c r="G83" s="84"/>
      <c r="H83" s="40"/>
      <c r="I83" s="37"/>
    </row>
    <row r="84" hidden="1" outlineLevel="1">
      <c r="A84" s="55" t="s">
        <v>75</v>
      </c>
      <c r="B84" s="82"/>
      <c r="C84" s="53">
        <v>1000.0</v>
      </c>
      <c r="D84" s="85">
        <f t="shared" si="5"/>
        <v>0</v>
      </c>
      <c r="E84" s="2"/>
      <c r="F84" s="14"/>
      <c r="G84" s="84"/>
      <c r="H84" s="40"/>
      <c r="I84" s="37"/>
    </row>
    <row r="85" hidden="1" outlineLevel="1">
      <c r="A85" s="55" t="s">
        <v>76</v>
      </c>
      <c r="B85" s="82"/>
      <c r="C85" s="53">
        <v>60.0</v>
      </c>
      <c r="D85" s="85">
        <f t="shared" si="5"/>
        <v>0</v>
      </c>
      <c r="E85" s="2"/>
      <c r="F85" s="14"/>
      <c r="G85" s="84"/>
      <c r="H85" s="40"/>
      <c r="I85" s="37"/>
    </row>
    <row r="86" hidden="1" outlineLevel="1">
      <c r="A86" s="55" t="s">
        <v>70</v>
      </c>
      <c r="B86" s="82"/>
      <c r="C86" s="53">
        <v>250.0</v>
      </c>
      <c r="D86" s="85">
        <f t="shared" si="5"/>
        <v>0</v>
      </c>
      <c r="E86" s="2"/>
      <c r="F86" s="14"/>
      <c r="G86" s="84"/>
      <c r="H86" s="40"/>
      <c r="I86" s="37"/>
    </row>
    <row r="87" hidden="1" outlineLevel="1">
      <c r="A87" s="55" t="s">
        <v>78</v>
      </c>
      <c r="B87" s="82"/>
      <c r="C87" s="53">
        <v>100.0</v>
      </c>
      <c r="D87" s="85">
        <f t="shared" si="5"/>
        <v>0</v>
      </c>
      <c r="E87" s="2"/>
      <c r="F87" s="14"/>
      <c r="G87" s="84"/>
      <c r="H87" s="40"/>
      <c r="I87" s="37"/>
    </row>
    <row r="88" collapsed="1">
      <c r="A88" s="55" t="s">
        <v>79</v>
      </c>
      <c r="B88" s="82"/>
      <c r="C88" s="53"/>
      <c r="D88" s="83">
        <f>SUM(D89:D97)</f>
        <v>145.5</v>
      </c>
      <c r="E88" s="2"/>
      <c r="F88" s="14"/>
      <c r="G88" s="84"/>
      <c r="H88" s="40"/>
      <c r="I88" s="37"/>
    </row>
    <row r="89" hidden="1" outlineLevel="1">
      <c r="A89" s="86" t="s">
        <v>80</v>
      </c>
      <c r="B89" s="86">
        <v>2.0</v>
      </c>
      <c r="C89" s="88">
        <v>25.0</v>
      </c>
      <c r="D89" s="85">
        <f t="shared" ref="D89:D97" si="6">SUM(B89*C89)</f>
        <v>50</v>
      </c>
    </row>
    <row r="90" hidden="1" outlineLevel="1">
      <c r="A90" s="55" t="s">
        <v>81</v>
      </c>
      <c r="B90" s="82">
        <v>10.0</v>
      </c>
      <c r="C90" s="82">
        <v>1.8</v>
      </c>
      <c r="D90" s="85">
        <f t="shared" si="6"/>
        <v>18</v>
      </c>
      <c r="E90" s="2"/>
      <c r="F90" s="2"/>
      <c r="G90" s="82"/>
      <c r="H90" s="53"/>
      <c r="I90" s="66"/>
    </row>
    <row r="91" hidden="1" outlineLevel="1">
      <c r="A91" s="55" t="s">
        <v>82</v>
      </c>
      <c r="B91" s="82">
        <v>20.0</v>
      </c>
      <c r="C91" s="53">
        <v>1.5</v>
      </c>
      <c r="D91" s="85">
        <f t="shared" si="6"/>
        <v>30</v>
      </c>
      <c r="E91" s="2"/>
      <c r="F91" s="2"/>
      <c r="G91" s="82"/>
      <c r="H91" s="53"/>
      <c r="I91" s="66"/>
    </row>
    <row r="92" hidden="1" outlineLevel="1">
      <c r="A92" s="55" t="s">
        <v>83</v>
      </c>
      <c r="B92" s="82"/>
      <c r="C92" s="53">
        <v>0.8</v>
      </c>
      <c r="D92" s="85">
        <f t="shared" si="6"/>
        <v>0</v>
      </c>
      <c r="E92" s="2"/>
      <c r="F92" s="2"/>
      <c r="G92" s="82"/>
      <c r="H92" s="53"/>
      <c r="I92" s="66"/>
    </row>
    <row r="93" hidden="1" outlineLevel="1">
      <c r="A93" s="55" t="s">
        <v>84</v>
      </c>
      <c r="B93" s="82">
        <v>0.5</v>
      </c>
      <c r="C93" s="53">
        <v>35.0</v>
      </c>
      <c r="D93" s="85">
        <f t="shared" si="6"/>
        <v>17.5</v>
      </c>
      <c r="E93" s="2"/>
      <c r="F93" s="2"/>
      <c r="G93" s="82"/>
      <c r="H93" s="53"/>
      <c r="I93" s="66"/>
    </row>
    <row r="94" hidden="1" outlineLevel="1">
      <c r="A94" s="55" t="s">
        <v>85</v>
      </c>
      <c r="B94" s="82"/>
      <c r="C94" s="53">
        <v>50.0</v>
      </c>
      <c r="D94" s="85">
        <f t="shared" si="6"/>
        <v>0</v>
      </c>
      <c r="E94" s="2"/>
      <c r="F94" s="2"/>
      <c r="G94" s="82"/>
      <c r="H94" s="53"/>
      <c r="I94" s="66"/>
    </row>
    <row r="95" hidden="1" outlineLevel="1">
      <c r="A95" s="55" t="s">
        <v>86</v>
      </c>
      <c r="B95" s="82">
        <v>1.0</v>
      </c>
      <c r="C95" s="53">
        <v>30.0</v>
      </c>
      <c r="D95" s="85">
        <f t="shared" si="6"/>
        <v>30</v>
      </c>
      <c r="E95" s="2"/>
      <c r="F95" s="2"/>
      <c r="G95" s="82"/>
      <c r="H95" s="53"/>
      <c r="I95" s="66"/>
    </row>
    <row r="96" hidden="1" outlineLevel="1">
      <c r="A96" s="55" t="s">
        <v>63</v>
      </c>
      <c r="B96" s="82"/>
      <c r="C96" s="53">
        <v>25.0</v>
      </c>
      <c r="D96" s="85">
        <f t="shared" si="6"/>
        <v>0</v>
      </c>
      <c r="E96" s="2"/>
      <c r="F96" s="2"/>
      <c r="G96" s="82"/>
      <c r="H96" s="53"/>
      <c r="I96" s="66"/>
    </row>
    <row r="97" hidden="1" outlineLevel="1">
      <c r="A97" s="55" t="s">
        <v>87</v>
      </c>
      <c r="B97" s="82"/>
      <c r="C97" s="53"/>
      <c r="D97" s="85">
        <f t="shared" si="6"/>
        <v>0</v>
      </c>
      <c r="E97" s="2"/>
      <c r="F97" s="2"/>
      <c r="G97" s="82"/>
      <c r="H97" s="53"/>
      <c r="I97" s="66"/>
    </row>
    <row r="98" collapsed="1">
      <c r="A98" s="55" t="s">
        <v>88</v>
      </c>
      <c r="B98" s="82"/>
      <c r="C98" s="53"/>
      <c r="D98" s="83">
        <f>SUM(D99:D102)</f>
        <v>2000</v>
      </c>
      <c r="E98" s="2"/>
      <c r="F98" s="2"/>
      <c r="G98" s="82"/>
      <c r="H98" s="53"/>
      <c r="I98" s="66"/>
    </row>
    <row r="99" hidden="1" outlineLevel="1">
      <c r="A99" s="55" t="s">
        <v>89</v>
      </c>
      <c r="B99" s="82">
        <v>20.0</v>
      </c>
      <c r="C99" s="53">
        <v>100.0</v>
      </c>
      <c r="D99" s="85">
        <f t="shared" ref="D99:D101" si="7">SUM(B99*C99)</f>
        <v>2000</v>
      </c>
      <c r="E99" s="2"/>
      <c r="F99" s="2"/>
      <c r="G99" s="82"/>
      <c r="H99" s="53"/>
      <c r="I99" s="66"/>
    </row>
    <row r="100" hidden="1" outlineLevel="1">
      <c r="A100" s="55" t="s">
        <v>90</v>
      </c>
      <c r="B100" s="82"/>
      <c r="C100" s="53">
        <v>50.0</v>
      </c>
      <c r="D100" s="85">
        <f t="shared" si="7"/>
        <v>0</v>
      </c>
      <c r="E100" s="2"/>
      <c r="F100" s="2"/>
      <c r="G100" s="82"/>
      <c r="H100" s="53"/>
      <c r="I100" s="66"/>
    </row>
    <row r="101" hidden="1" outlineLevel="1">
      <c r="A101" s="55" t="s">
        <v>63</v>
      </c>
      <c r="B101" s="82"/>
      <c r="C101" s="53"/>
      <c r="D101" s="85">
        <f t="shared" si="7"/>
        <v>0</v>
      </c>
      <c r="E101" s="2"/>
      <c r="F101" s="2"/>
      <c r="G101" s="82"/>
      <c r="H101" s="53"/>
      <c r="I101" s="66"/>
    </row>
    <row r="102" hidden="1" outlineLevel="1">
      <c r="A102" s="55" t="s">
        <v>87</v>
      </c>
      <c r="B102" s="82"/>
      <c r="C102" s="53"/>
      <c r="D102" s="85"/>
      <c r="E102" s="2"/>
      <c r="F102" s="2"/>
      <c r="G102" s="89"/>
      <c r="H102" s="53"/>
      <c r="I102" s="66"/>
    </row>
    <row r="103" collapsed="1">
      <c r="A103" s="86" t="s">
        <v>91</v>
      </c>
      <c r="B103" s="82"/>
      <c r="C103" s="53"/>
      <c r="D103" s="90">
        <f>SUM(D104:D110)</f>
        <v>3600</v>
      </c>
      <c r="E103" s="2"/>
      <c r="F103" s="2"/>
      <c r="G103" s="82"/>
      <c r="H103" s="53"/>
      <c r="I103" s="66"/>
    </row>
    <row r="104" hidden="1" outlineLevel="1">
      <c r="A104" s="86" t="s">
        <v>92</v>
      </c>
      <c r="B104" s="82"/>
      <c r="C104" s="53">
        <v>80.0</v>
      </c>
      <c r="D104" s="85">
        <f t="shared" ref="D104:D110" si="8">SUM(B104*C104)</f>
        <v>0</v>
      </c>
      <c r="E104" s="2"/>
      <c r="F104" s="2"/>
      <c r="G104" s="82"/>
      <c r="H104" s="53"/>
      <c r="I104" s="66"/>
    </row>
    <row r="105" hidden="1" outlineLevel="1">
      <c r="A105" s="55" t="s">
        <v>114</v>
      </c>
      <c r="B105" s="82"/>
      <c r="C105" s="53">
        <v>12.0</v>
      </c>
      <c r="D105" s="85">
        <f t="shared" si="8"/>
        <v>0</v>
      </c>
      <c r="E105" s="2"/>
      <c r="F105" s="55"/>
      <c r="G105" s="82"/>
      <c r="H105" s="53"/>
      <c r="I105" s="66"/>
    </row>
    <row r="106" hidden="1" outlineLevel="1">
      <c r="A106" s="55" t="s">
        <v>119</v>
      </c>
      <c r="B106" s="82">
        <v>4.0</v>
      </c>
      <c r="C106" s="53">
        <v>30.0</v>
      </c>
      <c r="D106" s="85">
        <f t="shared" si="8"/>
        <v>120</v>
      </c>
      <c r="E106" s="2"/>
      <c r="F106" s="2"/>
      <c r="G106" s="89"/>
      <c r="H106" s="66"/>
      <c r="I106" s="66"/>
    </row>
    <row r="107" hidden="1" outlineLevel="1">
      <c r="A107" s="55" t="s">
        <v>125</v>
      </c>
      <c r="B107" s="55">
        <v>8.0</v>
      </c>
      <c r="C107" s="56">
        <v>35.0</v>
      </c>
      <c r="D107" s="85">
        <f t="shared" si="8"/>
        <v>280</v>
      </c>
      <c r="E107" s="2"/>
      <c r="F107" s="55"/>
      <c r="G107" s="55"/>
      <c r="H107" s="56"/>
      <c r="I107" s="66"/>
    </row>
    <row r="108" hidden="1" outlineLevel="1">
      <c r="A108" s="55" t="s">
        <v>96</v>
      </c>
      <c r="B108" s="55">
        <v>4.0</v>
      </c>
      <c r="C108" s="56">
        <v>800.0</v>
      </c>
      <c r="D108" s="85">
        <f t="shared" si="8"/>
        <v>3200</v>
      </c>
      <c r="E108" s="2"/>
      <c r="F108" s="2"/>
      <c r="G108" s="2"/>
      <c r="H108" s="12"/>
      <c r="I108" s="66"/>
    </row>
    <row r="109" hidden="1" outlineLevel="1">
      <c r="A109" s="55" t="s">
        <v>97</v>
      </c>
      <c r="B109" s="55"/>
      <c r="C109" s="56">
        <v>300.0</v>
      </c>
      <c r="D109" s="85">
        <f t="shared" si="8"/>
        <v>0</v>
      </c>
      <c r="E109" s="2"/>
      <c r="F109" s="2"/>
      <c r="G109" s="2"/>
      <c r="H109" s="12"/>
      <c r="I109" s="66"/>
    </row>
    <row r="110" hidden="1" outlineLevel="1">
      <c r="A110" s="55" t="s">
        <v>98</v>
      </c>
      <c r="B110" s="55"/>
      <c r="C110" s="56">
        <v>600.0</v>
      </c>
      <c r="D110" s="85">
        <f t="shared" si="8"/>
        <v>0</v>
      </c>
      <c r="E110" s="2"/>
      <c r="F110" s="2"/>
      <c r="G110" s="2"/>
      <c r="H110" s="12"/>
      <c r="I110" s="66"/>
    </row>
    <row r="111" collapsed="1">
      <c r="A111" s="55" t="s">
        <v>99</v>
      </c>
      <c r="B111" s="2"/>
      <c r="C111" s="12"/>
      <c r="D111" s="83">
        <f>SUM(D112:D116)</f>
        <v>163</v>
      </c>
      <c r="E111" s="2"/>
      <c r="F111" s="2"/>
      <c r="G111" s="2"/>
      <c r="H111" s="12"/>
      <c r="I111" s="66"/>
    </row>
    <row r="112" hidden="1" outlineLevel="1">
      <c r="A112" s="55" t="s">
        <v>100</v>
      </c>
      <c r="B112" s="55">
        <v>1.0</v>
      </c>
      <c r="C112" s="56">
        <v>12.0</v>
      </c>
      <c r="D112" s="85">
        <f t="shared" ref="D112:D116" si="9">SUM(B112*C112)</f>
        <v>12</v>
      </c>
      <c r="E112" s="2"/>
      <c r="F112" s="2"/>
      <c r="G112" s="2"/>
      <c r="H112" s="12"/>
      <c r="I112" s="66"/>
    </row>
    <row r="113" hidden="1" outlineLevel="1">
      <c r="A113" s="55" t="s">
        <v>101</v>
      </c>
      <c r="B113" s="55">
        <v>1.0</v>
      </c>
      <c r="C113" s="56">
        <v>10.0</v>
      </c>
      <c r="D113" s="85">
        <f t="shared" si="9"/>
        <v>10</v>
      </c>
      <c r="E113" s="2"/>
      <c r="F113" s="2"/>
      <c r="G113" s="2"/>
      <c r="H113" s="12"/>
      <c r="I113" s="66"/>
    </row>
    <row r="114" hidden="1" outlineLevel="1">
      <c r="A114" s="55" t="s">
        <v>102</v>
      </c>
      <c r="B114" s="55">
        <v>4.0</v>
      </c>
      <c r="C114" s="56">
        <v>4.0</v>
      </c>
      <c r="D114" s="85">
        <f t="shared" si="9"/>
        <v>16</v>
      </c>
      <c r="E114" s="2"/>
      <c r="F114" s="2"/>
      <c r="G114" s="2"/>
      <c r="H114" s="12"/>
      <c r="I114" s="66"/>
    </row>
    <row r="115" hidden="1" outlineLevel="1">
      <c r="A115" s="55" t="s">
        <v>103</v>
      </c>
      <c r="B115" s="55">
        <v>50.0</v>
      </c>
      <c r="C115" s="56">
        <v>0.5</v>
      </c>
      <c r="D115" s="85">
        <f t="shared" si="9"/>
        <v>25</v>
      </c>
      <c r="E115" s="2"/>
      <c r="F115" s="2"/>
    </row>
    <row r="116" hidden="1" outlineLevel="1">
      <c r="A116" s="55" t="s">
        <v>104</v>
      </c>
      <c r="B116" s="55">
        <v>2.0</v>
      </c>
      <c r="C116" s="56">
        <v>50.0</v>
      </c>
      <c r="D116" s="85">
        <f t="shared" si="9"/>
        <v>100</v>
      </c>
      <c r="E116" s="2"/>
      <c r="F116" s="2"/>
    </row>
    <row r="117" collapsed="1">
      <c r="A117" s="55" t="s">
        <v>105</v>
      </c>
      <c r="B117" s="2"/>
      <c r="C117" s="12"/>
      <c r="D117" s="83">
        <f>SUM(D118:D120)</f>
        <v>55</v>
      </c>
      <c r="E117" s="2"/>
      <c r="F117" s="2"/>
    </row>
    <row r="118" hidden="1" outlineLevel="1">
      <c r="A118" s="55" t="s">
        <v>106</v>
      </c>
      <c r="B118" s="55">
        <v>1.0</v>
      </c>
      <c r="C118" s="56">
        <v>20.0</v>
      </c>
      <c r="D118" s="85">
        <f t="shared" ref="D118:D120" si="10">SUM(B118*C118)</f>
        <v>20</v>
      </c>
      <c r="E118" s="2"/>
      <c r="F118" s="2"/>
    </row>
    <row r="119" hidden="1" outlineLevel="1">
      <c r="A119" s="55" t="s">
        <v>107</v>
      </c>
      <c r="B119" s="55">
        <v>10.0</v>
      </c>
      <c r="C119" s="56">
        <v>1.5</v>
      </c>
      <c r="D119" s="85">
        <f t="shared" si="10"/>
        <v>15</v>
      </c>
      <c r="E119" s="2"/>
      <c r="F119" s="2"/>
    </row>
    <row r="120" hidden="1" outlineLevel="1">
      <c r="A120" s="86" t="s">
        <v>108</v>
      </c>
      <c r="B120" s="55">
        <v>20.0</v>
      </c>
      <c r="C120" s="56">
        <v>1.0</v>
      </c>
      <c r="D120" s="85">
        <f t="shared" si="10"/>
        <v>20</v>
      </c>
      <c r="E120" s="2"/>
      <c r="F120" s="2"/>
    </row>
    <row r="121">
      <c r="A121" s="2"/>
      <c r="B121" s="2"/>
      <c r="C121" s="12"/>
      <c r="D121" s="85"/>
      <c r="E121" s="2"/>
      <c r="F121" s="2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  <row r="1045">
      <c r="D1045" s="20"/>
    </row>
  </sheetData>
  <mergeCells count="2">
    <mergeCell ref="A1:D1"/>
    <mergeCell ref="A7:D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124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126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48500.0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30681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17819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0.3674020619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3235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7040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19436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970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3235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B9*5%</f>
        <v>2425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450.0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200.0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100.0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30.0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30.0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 collapsed="1">
      <c r="A32" s="59" t="s">
        <v>26</v>
      </c>
      <c r="B32" s="60">
        <f>SUM(B33:B39)</f>
        <v>0</v>
      </c>
      <c r="C32" s="61"/>
      <c r="D32" s="62"/>
      <c r="E32" s="4"/>
      <c r="F32" s="36"/>
      <c r="G32" s="63"/>
      <c r="H32" s="14"/>
      <c r="I32" s="14"/>
    </row>
    <row r="33" hidden="1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hidden="1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hidden="1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hidden="1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hidden="1" outlineLevel="1">
      <c r="A37" s="55" t="s">
        <v>31</v>
      </c>
      <c r="B37" s="56"/>
      <c r="C37" s="2"/>
      <c r="D37" s="3"/>
      <c r="E37" s="4"/>
      <c r="F37" s="43"/>
      <c r="G37" s="58"/>
      <c r="H37" s="14"/>
      <c r="I37" s="14"/>
    </row>
    <row r="38" hidden="1" outlineLevel="1">
      <c r="A38" s="55"/>
      <c r="B38" s="12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 collapsed="1">
      <c r="A40" s="59" t="s">
        <v>32</v>
      </c>
      <c r="B40" s="60">
        <f>SUM(B42:B49)</f>
        <v>7040</v>
      </c>
      <c r="C40" s="61"/>
      <c r="D40" s="62"/>
      <c r="E40" s="4"/>
      <c r="F40" s="36"/>
      <c r="G40" s="63"/>
      <c r="H40" s="14"/>
      <c r="I40" s="14"/>
    </row>
    <row r="41" hidden="1" outlineLevel="1">
      <c r="A41" s="52" t="s">
        <v>33</v>
      </c>
      <c r="B41" s="12">
        <f>B9*5%</f>
        <v>2425</v>
      </c>
      <c r="C41" s="2"/>
      <c r="D41" s="3"/>
      <c r="E41" s="4"/>
      <c r="F41" s="54"/>
      <c r="G41" s="58"/>
      <c r="H41" s="14"/>
      <c r="I41" s="14"/>
    </row>
    <row r="42" hidden="1" outlineLevel="1">
      <c r="A42" s="64" t="s">
        <v>34</v>
      </c>
      <c r="B42" s="12">
        <f>B9*0%</f>
        <v>0</v>
      </c>
      <c r="C42" s="2"/>
      <c r="D42" s="3"/>
      <c r="E42" s="4"/>
      <c r="F42" s="65"/>
      <c r="G42" s="58"/>
      <c r="H42" s="14"/>
      <c r="I42" s="14"/>
    </row>
    <row r="43" hidden="1" outlineLevel="1">
      <c r="A43" s="64" t="s">
        <v>35</v>
      </c>
      <c r="B43" s="66">
        <f>B9*7%</f>
        <v>3395</v>
      </c>
      <c r="C43" s="2"/>
      <c r="D43" s="3"/>
      <c r="E43" s="4"/>
      <c r="F43" s="65"/>
      <c r="G43" s="37"/>
      <c r="H43" s="14"/>
      <c r="I43" s="14"/>
    </row>
    <row r="44" hidden="1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hidden="1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hidden="1" outlineLevel="1">
      <c r="A46" s="64" t="s">
        <v>38</v>
      </c>
      <c r="B46" s="67">
        <f>B9*7%</f>
        <v>3395</v>
      </c>
      <c r="C46" s="2"/>
      <c r="D46" s="3"/>
      <c r="E46" s="4"/>
      <c r="F46" s="65"/>
      <c r="G46" s="69"/>
      <c r="H46" s="14"/>
      <c r="I46" s="14"/>
    </row>
    <row r="47" hidden="1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hidden="1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hidden="1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SUM(D53+D69+D73+D88+D98+D103+D111)</f>
        <v>19436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SUM(D54:D68)</f>
        <v>11560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/>
      <c r="C54" s="53">
        <v>190.0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C55" s="53">
        <v>230.0</v>
      </c>
      <c r="D55" s="85">
        <f t="shared" ref="D55:D67" si="3">SUM(B55*C55)</f>
        <v>0</v>
      </c>
      <c r="E55" s="4"/>
      <c r="F55" s="43"/>
      <c r="G55" s="84"/>
      <c r="H55" s="40"/>
      <c r="I55" s="37"/>
    </row>
    <row r="56" hidden="1" outlineLevel="1">
      <c r="A56" s="55" t="s">
        <v>112</v>
      </c>
      <c r="C56" s="53">
        <v>320.0</v>
      </c>
      <c r="D56" s="85">
        <f t="shared" si="3"/>
        <v>0</v>
      </c>
      <c r="E56" s="4"/>
      <c r="F56" s="43"/>
      <c r="G56" s="84"/>
      <c r="H56" s="40"/>
      <c r="I56" s="37"/>
    </row>
    <row r="57" hidden="1" outlineLevel="1">
      <c r="A57" s="2" t="s">
        <v>49</v>
      </c>
      <c r="B57" s="82"/>
      <c r="C57" s="53">
        <v>290.0</v>
      </c>
      <c r="D57" s="85">
        <f t="shared" si="3"/>
        <v>0</v>
      </c>
      <c r="E57" s="2"/>
      <c r="F57" s="43"/>
      <c r="G57" s="84"/>
      <c r="H57" s="40"/>
      <c r="I57" s="37"/>
    </row>
    <row r="58" hidden="1" outlineLevel="1">
      <c r="A58" s="55" t="s">
        <v>50</v>
      </c>
      <c r="B58" s="82"/>
      <c r="C58" s="53">
        <v>420.0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51</v>
      </c>
      <c r="B59" s="82">
        <v>5.0</v>
      </c>
      <c r="C59" s="53">
        <v>300.0</v>
      </c>
      <c r="D59" s="85">
        <f t="shared" si="3"/>
        <v>1500</v>
      </c>
      <c r="E59" s="2"/>
      <c r="F59" s="14"/>
      <c r="G59" s="84"/>
      <c r="H59" s="37"/>
      <c r="I59" s="37"/>
    </row>
    <row r="60" hidden="1" outlineLevel="1">
      <c r="A60" s="55" t="s">
        <v>52</v>
      </c>
      <c r="B60" s="82">
        <v>12.0</v>
      </c>
      <c r="C60" s="53">
        <v>500.0</v>
      </c>
      <c r="D60" s="85">
        <f t="shared" si="3"/>
        <v>6000</v>
      </c>
      <c r="E60" s="2"/>
      <c r="F60" s="14"/>
      <c r="G60" s="84"/>
      <c r="H60" s="37"/>
      <c r="I60" s="37"/>
      <c r="K60" s="55"/>
    </row>
    <row r="61" hidden="1" outlineLevel="1">
      <c r="A61" s="55" t="s">
        <v>53</v>
      </c>
      <c r="B61" s="82">
        <v>7.0</v>
      </c>
      <c r="C61" s="53">
        <v>580.0</v>
      </c>
      <c r="D61" s="85">
        <f t="shared" si="3"/>
        <v>4060</v>
      </c>
      <c r="E61" s="2"/>
      <c r="F61" s="14"/>
      <c r="G61" s="87"/>
      <c r="H61" s="37"/>
      <c r="I61" s="37"/>
      <c r="K61" s="55"/>
    </row>
    <row r="62" hidden="1" outlineLevel="1">
      <c r="A62" s="55" t="s">
        <v>54</v>
      </c>
      <c r="B62" s="82"/>
      <c r="C62" s="53">
        <v>800.0</v>
      </c>
      <c r="D62" s="85">
        <f t="shared" si="3"/>
        <v>0</v>
      </c>
      <c r="E62" s="2"/>
      <c r="F62" s="43"/>
      <c r="G62" s="84"/>
      <c r="H62" s="40"/>
      <c r="I62" s="37"/>
      <c r="K62" s="55"/>
    </row>
    <row r="63" hidden="1" outlineLevel="1">
      <c r="A63" s="55" t="s">
        <v>55</v>
      </c>
      <c r="B63" s="82"/>
      <c r="C63" s="53">
        <v>950.0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56</v>
      </c>
      <c r="B64" s="82"/>
      <c r="C64" s="53">
        <v>1200.0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57</v>
      </c>
      <c r="B65" s="82"/>
      <c r="C65" s="53">
        <v>2200.0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58</v>
      </c>
      <c r="B66" s="82"/>
      <c r="C66" s="53">
        <v>600.0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>
        <v>400.0</v>
      </c>
      <c r="D67" s="85">
        <f t="shared" si="3"/>
        <v>0</v>
      </c>
      <c r="E67" s="2"/>
      <c r="F67" s="43"/>
      <c r="G67" s="84"/>
      <c r="H67" s="40"/>
      <c r="I67" s="37"/>
    </row>
    <row r="68" hidden="1" outlineLevel="1">
      <c r="A68" s="55" t="s">
        <v>59</v>
      </c>
      <c r="B68" s="82"/>
      <c r="C68" s="53"/>
      <c r="D68" s="85"/>
      <c r="E68" s="2"/>
      <c r="F68" s="43"/>
      <c r="G68" s="84"/>
      <c r="H68" s="40"/>
      <c r="I68" s="37"/>
    </row>
    <row r="69" collapsed="1">
      <c r="A69" s="55" t="s">
        <v>60</v>
      </c>
      <c r="B69" s="82"/>
      <c r="C69" s="53"/>
      <c r="D69" s="83">
        <f>SUM(D70:D72)</f>
        <v>2160</v>
      </c>
      <c r="E69" s="2"/>
      <c r="F69" s="14"/>
      <c r="G69" s="84"/>
      <c r="H69" s="40"/>
      <c r="I69" s="37"/>
    </row>
    <row r="70" hidden="1" outlineLevel="1">
      <c r="A70" s="55" t="s">
        <v>61</v>
      </c>
      <c r="B70" s="82">
        <v>2.0</v>
      </c>
      <c r="C70" s="53">
        <v>80.0</v>
      </c>
      <c r="D70" s="85">
        <f t="shared" ref="D70:D71" si="4">SUM(B70*C70)</f>
        <v>160</v>
      </c>
      <c r="E70" s="2"/>
      <c r="F70" s="14"/>
      <c r="G70" s="84"/>
      <c r="H70" s="40"/>
      <c r="I70" s="37"/>
    </row>
    <row r="71" hidden="1" outlineLevel="1">
      <c r="A71" s="55" t="s">
        <v>62</v>
      </c>
      <c r="B71" s="82">
        <v>20.0</v>
      </c>
      <c r="C71" s="53">
        <v>100.0</v>
      </c>
      <c r="D71" s="85">
        <f t="shared" si="4"/>
        <v>2000</v>
      </c>
      <c r="E71" s="2"/>
      <c r="F71" s="14"/>
      <c r="G71" s="84"/>
      <c r="H71" s="40"/>
      <c r="I71" s="37"/>
    </row>
    <row r="72" hidden="1" outlineLevel="1">
      <c r="A72" s="55" t="s">
        <v>63</v>
      </c>
      <c r="B72" s="82"/>
      <c r="C72" s="53"/>
      <c r="D72" s="83"/>
      <c r="E72" s="2"/>
      <c r="F72" s="14"/>
      <c r="G72" s="84"/>
      <c r="H72" s="40"/>
      <c r="I72" s="37"/>
    </row>
    <row r="73">
      <c r="A73" s="55" t="s">
        <v>64</v>
      </c>
      <c r="B73" s="82"/>
      <c r="C73" s="53"/>
      <c r="D73" s="83">
        <f>SUM(D74:D87)</f>
        <v>2032</v>
      </c>
      <c r="E73" s="2"/>
      <c r="F73" s="14"/>
      <c r="G73" s="84"/>
      <c r="H73" s="40"/>
      <c r="I73" s="37"/>
    </row>
    <row r="74" outlineLevel="1">
      <c r="A74" s="55" t="s">
        <v>65</v>
      </c>
      <c r="B74" s="82">
        <v>36.0</v>
      </c>
      <c r="C74" s="53">
        <v>12.0</v>
      </c>
      <c r="D74" s="85">
        <f t="shared" ref="D74:D87" si="5">SUM(B74*C74)</f>
        <v>432</v>
      </c>
      <c r="E74" s="2"/>
      <c r="F74" s="14"/>
      <c r="G74" s="84"/>
      <c r="H74" s="37"/>
      <c r="I74" s="37"/>
    </row>
    <row r="75" outlineLevel="1">
      <c r="A75" s="55" t="s">
        <v>113</v>
      </c>
      <c r="B75" s="82"/>
      <c r="C75" s="53">
        <v>30.0</v>
      </c>
      <c r="D75" s="85">
        <f t="shared" si="5"/>
        <v>0</v>
      </c>
      <c r="E75" s="2"/>
      <c r="F75" s="14"/>
      <c r="G75" s="84"/>
      <c r="H75" s="40"/>
      <c r="I75" s="37"/>
    </row>
    <row r="76" outlineLevel="1">
      <c r="A76" s="55" t="s">
        <v>67</v>
      </c>
      <c r="B76" s="82">
        <v>4.0</v>
      </c>
      <c r="C76" s="53">
        <v>100.0</v>
      </c>
      <c r="D76" s="85">
        <f t="shared" si="5"/>
        <v>400</v>
      </c>
      <c r="E76" s="2"/>
      <c r="F76" s="14"/>
      <c r="G76" s="84"/>
      <c r="H76" s="40"/>
      <c r="I76" s="37"/>
    </row>
    <row r="77" outlineLevel="1">
      <c r="A77" s="55" t="s">
        <v>68</v>
      </c>
      <c r="B77" s="82"/>
      <c r="C77" s="53">
        <v>30.0</v>
      </c>
      <c r="D77" s="85">
        <f t="shared" si="5"/>
        <v>0</v>
      </c>
      <c r="E77" s="2"/>
      <c r="F77" s="14"/>
      <c r="G77" s="84"/>
      <c r="H77" s="40"/>
      <c r="I77" s="37"/>
    </row>
    <row r="78" outlineLevel="1">
      <c r="A78" s="55" t="s">
        <v>69</v>
      </c>
      <c r="B78" s="82">
        <v>8.0</v>
      </c>
      <c r="C78" s="53">
        <v>150.0</v>
      </c>
      <c r="D78" s="85">
        <f t="shared" si="5"/>
        <v>1200</v>
      </c>
      <c r="E78" s="2"/>
      <c r="F78" s="14"/>
      <c r="G78" s="84"/>
      <c r="H78" s="40"/>
      <c r="I78" s="37"/>
    </row>
    <row r="79" outlineLevel="1">
      <c r="A79" s="55" t="s">
        <v>70</v>
      </c>
      <c r="B79" s="82"/>
      <c r="C79" s="53"/>
      <c r="D79" s="85">
        <f t="shared" si="5"/>
        <v>0</v>
      </c>
      <c r="E79" s="2"/>
      <c r="F79" s="14"/>
      <c r="G79" s="84"/>
      <c r="H79" s="40"/>
      <c r="I79" s="37"/>
    </row>
    <row r="80" outlineLevel="1">
      <c r="A80" s="55" t="s">
        <v>71</v>
      </c>
      <c r="B80" s="82"/>
      <c r="C80" s="53">
        <v>150.0</v>
      </c>
      <c r="D80" s="85">
        <f t="shared" si="5"/>
        <v>0</v>
      </c>
      <c r="E80" s="2"/>
      <c r="F80" s="14"/>
      <c r="G80" s="84"/>
      <c r="H80" s="40"/>
      <c r="I80" s="37"/>
    </row>
    <row r="81" outlineLevel="1">
      <c r="A81" s="55" t="s">
        <v>72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outlineLevel="1">
      <c r="A82" s="55" t="s">
        <v>73</v>
      </c>
      <c r="B82" s="82"/>
      <c r="C82" s="53"/>
      <c r="D82" s="85">
        <f t="shared" si="5"/>
        <v>0</v>
      </c>
      <c r="E82" s="2"/>
      <c r="F82" s="14"/>
      <c r="G82" s="84"/>
      <c r="H82" s="40"/>
      <c r="I82" s="37"/>
    </row>
    <row r="83" outlineLevel="1">
      <c r="A83" s="55" t="s">
        <v>74</v>
      </c>
      <c r="B83" s="82"/>
      <c r="C83" s="53">
        <v>90.0</v>
      </c>
      <c r="D83" s="85">
        <f t="shared" si="5"/>
        <v>0</v>
      </c>
      <c r="E83" s="2"/>
      <c r="F83" s="14"/>
      <c r="G83" s="84"/>
      <c r="H83" s="40"/>
      <c r="I83" s="37"/>
    </row>
    <row r="84" outlineLevel="1">
      <c r="A84" s="55" t="s">
        <v>75</v>
      </c>
      <c r="B84" s="82"/>
      <c r="C84" s="53">
        <v>1000.0</v>
      </c>
      <c r="D84" s="85">
        <f t="shared" si="5"/>
        <v>0</v>
      </c>
      <c r="E84" s="2"/>
      <c r="F84" s="14"/>
      <c r="G84" s="84"/>
      <c r="H84" s="40"/>
      <c r="I84" s="37"/>
    </row>
    <row r="85" outlineLevel="1">
      <c r="A85" s="55" t="s">
        <v>76</v>
      </c>
      <c r="B85" s="82"/>
      <c r="C85" s="53">
        <v>60.0</v>
      </c>
      <c r="D85" s="85">
        <f t="shared" si="5"/>
        <v>0</v>
      </c>
      <c r="E85" s="2"/>
      <c r="F85" s="14"/>
      <c r="G85" s="84"/>
      <c r="H85" s="40"/>
      <c r="I85" s="37"/>
    </row>
    <row r="86" outlineLevel="1">
      <c r="A86" s="55" t="s">
        <v>70</v>
      </c>
      <c r="B86" s="82"/>
      <c r="C86" s="53">
        <v>250.0</v>
      </c>
      <c r="D86" s="85">
        <f t="shared" si="5"/>
        <v>0</v>
      </c>
      <c r="E86" s="2"/>
      <c r="F86" s="14"/>
      <c r="G86" s="84"/>
      <c r="H86" s="40"/>
      <c r="I86" s="37"/>
    </row>
    <row r="87" outlineLevel="1">
      <c r="A87" s="55" t="s">
        <v>78</v>
      </c>
      <c r="B87" s="82"/>
      <c r="C87" s="53">
        <v>100.0</v>
      </c>
      <c r="D87" s="85">
        <f t="shared" si="5"/>
        <v>0</v>
      </c>
      <c r="E87" s="2"/>
      <c r="F87" s="14"/>
      <c r="G87" s="84"/>
      <c r="H87" s="40"/>
      <c r="I87" s="37"/>
    </row>
    <row r="88" collapsed="1">
      <c r="A88" s="55" t="s">
        <v>79</v>
      </c>
      <c r="B88" s="82"/>
      <c r="C88" s="53"/>
      <c r="D88" s="83">
        <f>SUM(D89:D97)</f>
        <v>455</v>
      </c>
      <c r="E88" s="2"/>
      <c r="F88" s="14"/>
      <c r="G88" s="84"/>
      <c r="H88" s="40"/>
      <c r="I88" s="37"/>
    </row>
    <row r="89" hidden="1" outlineLevel="1">
      <c r="A89" s="86" t="s">
        <v>80</v>
      </c>
      <c r="B89" s="86">
        <v>6.0</v>
      </c>
      <c r="C89" s="88">
        <v>25.0</v>
      </c>
      <c r="D89" s="85">
        <f t="shared" ref="D89:D97" si="6">SUM(B89*C89)</f>
        <v>150</v>
      </c>
    </row>
    <row r="90" hidden="1" outlineLevel="1">
      <c r="A90" s="55" t="s">
        <v>81</v>
      </c>
      <c r="B90" s="82">
        <v>50.0</v>
      </c>
      <c r="C90" s="82">
        <v>1.8</v>
      </c>
      <c r="D90" s="85">
        <f t="shared" si="6"/>
        <v>90</v>
      </c>
      <c r="E90" s="2"/>
      <c r="F90" s="2"/>
      <c r="G90" s="82"/>
      <c r="H90" s="53"/>
      <c r="I90" s="66"/>
    </row>
    <row r="91" hidden="1" outlineLevel="1">
      <c r="A91" s="55" t="s">
        <v>82</v>
      </c>
      <c r="B91" s="82">
        <v>100.0</v>
      </c>
      <c r="C91" s="53">
        <v>1.5</v>
      </c>
      <c r="D91" s="85">
        <f t="shared" si="6"/>
        <v>150</v>
      </c>
      <c r="E91" s="2"/>
      <c r="F91" s="2"/>
      <c r="G91" s="82"/>
      <c r="H91" s="53"/>
      <c r="I91" s="66"/>
    </row>
    <row r="92" hidden="1" outlineLevel="1">
      <c r="A92" s="55" t="s">
        <v>83</v>
      </c>
      <c r="B92" s="82"/>
      <c r="C92" s="53">
        <v>0.8</v>
      </c>
      <c r="D92" s="85">
        <f t="shared" si="6"/>
        <v>0</v>
      </c>
      <c r="E92" s="2"/>
      <c r="F92" s="2"/>
      <c r="G92" s="82"/>
      <c r="H92" s="53"/>
      <c r="I92" s="66"/>
    </row>
    <row r="93" hidden="1" outlineLevel="1">
      <c r="A93" s="55" t="s">
        <v>84</v>
      </c>
      <c r="B93" s="82">
        <v>1.0</v>
      </c>
      <c r="C93" s="53">
        <v>35.0</v>
      </c>
      <c r="D93" s="85">
        <f t="shared" si="6"/>
        <v>35</v>
      </c>
      <c r="E93" s="2"/>
      <c r="F93" s="2"/>
      <c r="G93" s="82"/>
      <c r="H93" s="53"/>
      <c r="I93" s="66"/>
    </row>
    <row r="94" hidden="1" outlineLevel="1">
      <c r="A94" s="55" t="s">
        <v>85</v>
      </c>
      <c r="B94" s="82"/>
      <c r="C94" s="53">
        <v>50.0</v>
      </c>
      <c r="D94" s="85">
        <f t="shared" si="6"/>
        <v>0</v>
      </c>
      <c r="E94" s="2"/>
      <c r="F94" s="2"/>
      <c r="G94" s="82"/>
      <c r="H94" s="53"/>
      <c r="I94" s="66"/>
    </row>
    <row r="95" hidden="1" outlineLevel="1">
      <c r="A95" s="55" t="s">
        <v>86</v>
      </c>
      <c r="B95" s="82">
        <v>1.0</v>
      </c>
      <c r="C95" s="53">
        <v>30.0</v>
      </c>
      <c r="D95" s="85">
        <f t="shared" si="6"/>
        <v>30</v>
      </c>
      <c r="E95" s="2"/>
      <c r="F95" s="2"/>
      <c r="G95" s="82"/>
      <c r="H95" s="53"/>
      <c r="I95" s="66"/>
    </row>
    <row r="96" hidden="1" outlineLevel="1">
      <c r="A96" s="55" t="s">
        <v>63</v>
      </c>
      <c r="B96" s="82"/>
      <c r="C96" s="53">
        <v>25.0</v>
      </c>
      <c r="D96" s="85">
        <f t="shared" si="6"/>
        <v>0</v>
      </c>
      <c r="E96" s="2"/>
      <c r="F96" s="2"/>
      <c r="G96" s="82"/>
      <c r="H96" s="53"/>
      <c r="I96" s="66"/>
    </row>
    <row r="97" hidden="1" outlineLevel="1">
      <c r="A97" s="55" t="s">
        <v>87</v>
      </c>
      <c r="B97" s="82"/>
      <c r="C97" s="53"/>
      <c r="D97" s="85">
        <f t="shared" si="6"/>
        <v>0</v>
      </c>
      <c r="E97" s="2"/>
      <c r="F97" s="2"/>
      <c r="G97" s="82"/>
      <c r="H97" s="53"/>
      <c r="I97" s="66"/>
    </row>
    <row r="98" collapsed="1">
      <c r="A98" s="55" t="s">
        <v>88</v>
      </c>
      <c r="B98" s="82"/>
      <c r="C98" s="53"/>
      <c r="D98" s="83">
        <f>SUM(D99:D102)</f>
        <v>2000</v>
      </c>
      <c r="E98" s="2"/>
      <c r="F98" s="2"/>
      <c r="G98" s="82"/>
      <c r="H98" s="53"/>
      <c r="I98" s="66"/>
    </row>
    <row r="99" hidden="1" outlineLevel="1">
      <c r="A99" s="55" t="s">
        <v>89</v>
      </c>
      <c r="B99" s="82">
        <v>20.0</v>
      </c>
      <c r="C99" s="53">
        <v>100.0</v>
      </c>
      <c r="D99" s="85">
        <f t="shared" ref="D99:D101" si="7">SUM(B99*C99)</f>
        <v>2000</v>
      </c>
      <c r="E99" s="2"/>
      <c r="F99" s="2"/>
      <c r="G99" s="82"/>
      <c r="H99" s="53"/>
      <c r="I99" s="66"/>
    </row>
    <row r="100" hidden="1" outlineLevel="1">
      <c r="A100" s="55" t="s">
        <v>90</v>
      </c>
      <c r="B100" s="82"/>
      <c r="C100" s="53">
        <v>50.0</v>
      </c>
      <c r="D100" s="85">
        <f t="shared" si="7"/>
        <v>0</v>
      </c>
      <c r="E100" s="2"/>
      <c r="F100" s="2"/>
      <c r="G100" s="82"/>
      <c r="H100" s="53"/>
      <c r="I100" s="66"/>
    </row>
    <row r="101" hidden="1" outlineLevel="1">
      <c r="A101" s="55" t="s">
        <v>63</v>
      </c>
      <c r="B101" s="82"/>
      <c r="C101" s="53"/>
      <c r="D101" s="85">
        <f t="shared" si="7"/>
        <v>0</v>
      </c>
      <c r="E101" s="2"/>
      <c r="F101" s="2"/>
      <c r="G101" s="82"/>
      <c r="H101" s="53"/>
      <c r="I101" s="66"/>
    </row>
    <row r="102" hidden="1" outlineLevel="1">
      <c r="A102" s="55" t="s">
        <v>87</v>
      </c>
      <c r="B102" s="82"/>
      <c r="C102" s="53"/>
      <c r="D102" s="85"/>
      <c r="E102" s="2"/>
      <c r="F102" s="2"/>
      <c r="G102" s="89"/>
      <c r="H102" s="53"/>
      <c r="I102" s="66"/>
    </row>
    <row r="103" collapsed="1">
      <c r="A103" s="86" t="s">
        <v>91</v>
      </c>
      <c r="B103" s="82"/>
      <c r="C103" s="53"/>
      <c r="D103" s="90">
        <f>SUM(D104:D110)</f>
        <v>900</v>
      </c>
      <c r="E103" s="2"/>
      <c r="F103" s="2"/>
      <c r="G103" s="82"/>
      <c r="H103" s="53"/>
      <c r="I103" s="66"/>
    </row>
    <row r="104" hidden="1" outlineLevel="1">
      <c r="A104" s="86" t="s">
        <v>92</v>
      </c>
      <c r="B104" s="82"/>
      <c r="C104" s="53">
        <v>80.0</v>
      </c>
      <c r="D104" s="85">
        <f t="shared" ref="D104:D110" si="8">SUM(B104*C104)</f>
        <v>0</v>
      </c>
      <c r="E104" s="2"/>
      <c r="F104" s="2"/>
      <c r="G104" s="82"/>
      <c r="H104" s="53"/>
      <c r="I104" s="66"/>
    </row>
    <row r="105" hidden="1" outlineLevel="1">
      <c r="A105" s="55" t="s">
        <v>114</v>
      </c>
      <c r="B105" s="82"/>
      <c r="C105" s="53">
        <v>12.0</v>
      </c>
      <c r="D105" s="85">
        <f t="shared" si="8"/>
        <v>0</v>
      </c>
      <c r="E105" s="2"/>
      <c r="F105" s="55"/>
      <c r="G105" s="82"/>
      <c r="H105" s="53"/>
      <c r="I105" s="66"/>
    </row>
    <row r="106" hidden="1" outlineLevel="1">
      <c r="A106" s="55" t="s">
        <v>119</v>
      </c>
      <c r="B106" s="82">
        <v>30.0</v>
      </c>
      <c r="C106" s="53">
        <v>30.0</v>
      </c>
      <c r="D106" s="85">
        <f t="shared" si="8"/>
        <v>900</v>
      </c>
      <c r="E106" s="2"/>
      <c r="F106" s="2"/>
      <c r="G106" s="89"/>
      <c r="H106" s="66"/>
      <c r="I106" s="66"/>
    </row>
    <row r="107" hidden="1" outlineLevel="1">
      <c r="A107" s="55" t="s">
        <v>125</v>
      </c>
      <c r="B107" s="55"/>
      <c r="C107" s="56">
        <v>35.0</v>
      </c>
      <c r="D107" s="85">
        <f t="shared" si="8"/>
        <v>0</v>
      </c>
      <c r="E107" s="2"/>
      <c r="F107" s="55"/>
      <c r="G107" s="55"/>
      <c r="H107" s="56"/>
      <c r="I107" s="66"/>
    </row>
    <row r="108" hidden="1" outlineLevel="1">
      <c r="A108" s="55" t="s">
        <v>96</v>
      </c>
      <c r="B108" s="55"/>
      <c r="C108" s="56">
        <v>800.0</v>
      </c>
      <c r="D108" s="85">
        <f t="shared" si="8"/>
        <v>0</v>
      </c>
      <c r="E108" s="2"/>
      <c r="F108" s="2"/>
      <c r="G108" s="2"/>
      <c r="H108" s="12"/>
      <c r="I108" s="66"/>
    </row>
    <row r="109" hidden="1" outlineLevel="1">
      <c r="A109" s="55" t="s">
        <v>97</v>
      </c>
      <c r="B109" s="55"/>
      <c r="C109" s="56">
        <v>300.0</v>
      </c>
      <c r="D109" s="85">
        <f t="shared" si="8"/>
        <v>0</v>
      </c>
      <c r="E109" s="2"/>
      <c r="F109" s="2"/>
      <c r="G109" s="2"/>
      <c r="H109" s="12"/>
      <c r="I109" s="66"/>
    </row>
    <row r="110" hidden="1" outlineLevel="1">
      <c r="A110" s="55" t="s">
        <v>98</v>
      </c>
      <c r="B110" s="55"/>
      <c r="C110" s="56">
        <v>600.0</v>
      </c>
      <c r="D110" s="85">
        <f t="shared" si="8"/>
        <v>0</v>
      </c>
      <c r="E110" s="2"/>
      <c r="F110" s="2"/>
      <c r="G110" s="2"/>
      <c r="H110" s="12"/>
      <c r="I110" s="66"/>
    </row>
    <row r="111" collapsed="1">
      <c r="A111" s="55" t="s">
        <v>99</v>
      </c>
      <c r="B111" s="2"/>
      <c r="C111" s="12"/>
      <c r="D111" s="83">
        <f>SUM(D112:D116)</f>
        <v>329</v>
      </c>
      <c r="E111" s="2"/>
      <c r="F111" s="2"/>
      <c r="G111" s="2"/>
      <c r="H111" s="12"/>
      <c r="I111" s="66"/>
    </row>
    <row r="112" hidden="1" outlineLevel="1">
      <c r="A112" s="55" t="s">
        <v>100</v>
      </c>
      <c r="B112" s="55">
        <v>2.0</v>
      </c>
      <c r="C112" s="56">
        <v>12.0</v>
      </c>
      <c r="D112" s="85">
        <f t="shared" ref="D112:D116" si="9">SUM(B112*C112)</f>
        <v>24</v>
      </c>
      <c r="E112" s="2"/>
      <c r="F112" s="2"/>
      <c r="G112" s="2"/>
      <c r="H112" s="12"/>
      <c r="I112" s="66"/>
    </row>
    <row r="113" hidden="1" outlineLevel="1">
      <c r="A113" s="55" t="s">
        <v>101</v>
      </c>
      <c r="B113" s="55">
        <v>4.0</v>
      </c>
      <c r="C113" s="56">
        <v>10.0</v>
      </c>
      <c r="D113" s="85">
        <f t="shared" si="9"/>
        <v>40</v>
      </c>
      <c r="E113" s="2"/>
      <c r="F113" s="2"/>
      <c r="G113" s="2"/>
      <c r="H113" s="12"/>
      <c r="I113" s="66"/>
    </row>
    <row r="114" hidden="1" outlineLevel="1">
      <c r="A114" s="55" t="s">
        <v>102</v>
      </c>
      <c r="B114" s="55">
        <v>10.0</v>
      </c>
      <c r="C114" s="56">
        <v>4.0</v>
      </c>
      <c r="D114" s="85">
        <f t="shared" si="9"/>
        <v>40</v>
      </c>
      <c r="E114" s="2"/>
      <c r="F114" s="2"/>
      <c r="G114" s="2"/>
      <c r="H114" s="12"/>
      <c r="I114" s="66"/>
    </row>
    <row r="115" hidden="1" outlineLevel="1">
      <c r="A115" s="55" t="s">
        <v>103</v>
      </c>
      <c r="B115" s="55">
        <v>50.0</v>
      </c>
      <c r="C115" s="56">
        <v>0.5</v>
      </c>
      <c r="D115" s="85">
        <f t="shared" si="9"/>
        <v>25</v>
      </c>
      <c r="E115" s="2"/>
      <c r="F115" s="2"/>
    </row>
    <row r="116" hidden="1" outlineLevel="1">
      <c r="A116" s="55" t="s">
        <v>104</v>
      </c>
      <c r="B116" s="55">
        <v>4.0</v>
      </c>
      <c r="C116" s="56">
        <v>50.0</v>
      </c>
      <c r="D116" s="85">
        <f t="shared" si="9"/>
        <v>200</v>
      </c>
      <c r="E116" s="2"/>
      <c r="F116" s="2"/>
    </row>
    <row r="117" collapsed="1">
      <c r="A117" s="55" t="s">
        <v>105</v>
      </c>
      <c r="B117" s="2"/>
      <c r="C117" s="12"/>
      <c r="D117" s="83">
        <f>SUM(D118:D120)</f>
        <v>225</v>
      </c>
      <c r="E117" s="2"/>
      <c r="F117" s="2"/>
    </row>
    <row r="118" hidden="1" outlineLevel="1">
      <c r="A118" s="55" t="s">
        <v>106</v>
      </c>
      <c r="B118" s="55">
        <v>5.0</v>
      </c>
      <c r="C118" s="56">
        <v>20.0</v>
      </c>
      <c r="D118" s="85">
        <f t="shared" ref="D118:D120" si="10">SUM(B118*C118)</f>
        <v>100</v>
      </c>
      <c r="E118" s="2"/>
      <c r="F118" s="2"/>
    </row>
    <row r="119" hidden="1" outlineLevel="1">
      <c r="A119" s="55" t="s">
        <v>107</v>
      </c>
      <c r="B119" s="55">
        <v>50.0</v>
      </c>
      <c r="C119" s="56">
        <v>1.5</v>
      </c>
      <c r="D119" s="85">
        <f t="shared" si="10"/>
        <v>75</v>
      </c>
      <c r="E119" s="2"/>
      <c r="F119" s="2"/>
    </row>
    <row r="120" hidden="1" outlineLevel="1">
      <c r="A120" s="86" t="s">
        <v>108</v>
      </c>
      <c r="B120" s="55">
        <v>50.0</v>
      </c>
      <c r="C120" s="56">
        <v>1.0</v>
      </c>
      <c r="D120" s="85">
        <f t="shared" si="10"/>
        <v>50</v>
      </c>
      <c r="E120" s="2"/>
      <c r="F120" s="2"/>
    </row>
    <row r="121">
      <c r="A121" s="2"/>
      <c r="B121" s="2"/>
      <c r="C121" s="12"/>
      <c r="D121" s="85"/>
      <c r="E121" s="2"/>
      <c r="F121" s="2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  <row r="1045">
      <c r="D1045" s="20"/>
    </row>
  </sheetData>
  <mergeCells count="2">
    <mergeCell ref="A1:D1"/>
    <mergeCell ref="A7:D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124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127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39800.0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27058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12742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0.3201507538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2800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5822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17640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796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2800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B9*5%</f>
        <v>1990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450.0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200.0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100.0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30.0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30.0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 collapsed="1">
      <c r="A32" s="59" t="s">
        <v>26</v>
      </c>
      <c r="B32" s="60">
        <f>SUM(B33:B39)</f>
        <v>0</v>
      </c>
      <c r="C32" s="61"/>
      <c r="D32" s="62"/>
      <c r="E32" s="4"/>
      <c r="F32" s="36"/>
      <c r="G32" s="63"/>
      <c r="H32" s="14"/>
      <c r="I32" s="14"/>
    </row>
    <row r="33" hidden="1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hidden="1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hidden="1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hidden="1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hidden="1" outlineLevel="1">
      <c r="A37" s="55" t="s">
        <v>31</v>
      </c>
      <c r="B37" s="56"/>
      <c r="C37" s="2"/>
      <c r="D37" s="3"/>
      <c r="E37" s="4"/>
      <c r="F37" s="43"/>
      <c r="G37" s="58"/>
      <c r="H37" s="14"/>
      <c r="I37" s="14"/>
    </row>
    <row r="38" hidden="1" outlineLevel="1">
      <c r="A38" s="55"/>
      <c r="B38" s="12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 collapsed="1">
      <c r="A40" s="59" t="s">
        <v>32</v>
      </c>
      <c r="B40" s="60">
        <f>SUM(B42:B49)</f>
        <v>5822</v>
      </c>
      <c r="C40" s="61"/>
      <c r="D40" s="62"/>
      <c r="E40" s="4"/>
      <c r="F40" s="36"/>
      <c r="G40" s="63"/>
      <c r="H40" s="14"/>
      <c r="I40" s="14"/>
    </row>
    <row r="41" hidden="1" outlineLevel="1">
      <c r="A41" s="52" t="s">
        <v>33</v>
      </c>
      <c r="B41" s="12">
        <f>B9*5%</f>
        <v>1990</v>
      </c>
      <c r="C41" s="2"/>
      <c r="D41" s="3"/>
      <c r="E41" s="4"/>
      <c r="F41" s="54"/>
      <c r="G41" s="58"/>
      <c r="H41" s="14"/>
      <c r="I41" s="14"/>
    </row>
    <row r="42" hidden="1" outlineLevel="1">
      <c r="A42" s="64" t="s">
        <v>34</v>
      </c>
      <c r="B42" s="12">
        <f>B9*0%</f>
        <v>0</v>
      </c>
      <c r="C42" s="2"/>
      <c r="D42" s="3"/>
      <c r="E42" s="4"/>
      <c r="F42" s="65"/>
      <c r="G42" s="58"/>
      <c r="H42" s="14"/>
      <c r="I42" s="14"/>
    </row>
    <row r="43" hidden="1" outlineLevel="1">
      <c r="A43" s="64" t="s">
        <v>35</v>
      </c>
      <c r="B43" s="66">
        <f>B9*7%</f>
        <v>2786</v>
      </c>
      <c r="C43" s="2"/>
      <c r="D43" s="3"/>
      <c r="E43" s="4"/>
      <c r="F43" s="65"/>
      <c r="G43" s="37"/>
      <c r="H43" s="14"/>
      <c r="I43" s="14"/>
    </row>
    <row r="44" hidden="1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hidden="1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hidden="1" outlineLevel="1">
      <c r="A46" s="64" t="s">
        <v>38</v>
      </c>
      <c r="B46" s="67">
        <f>B9*7%</f>
        <v>2786</v>
      </c>
      <c r="C46" s="2"/>
      <c r="D46" s="3"/>
      <c r="E46" s="4"/>
      <c r="F46" s="65"/>
      <c r="G46" s="69"/>
      <c r="H46" s="14"/>
      <c r="I46" s="14"/>
    </row>
    <row r="47" hidden="1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hidden="1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hidden="1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SUM(D53+D69+D73+D88+D98+D103+D111)</f>
        <v>17640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SUM(D54:D68)</f>
        <v>12960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/>
      <c r="C54" s="53">
        <v>190.0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C55" s="53">
        <v>230.0</v>
      </c>
      <c r="D55" s="85">
        <f t="shared" ref="D55:D67" si="3">SUM(B55*C55)</f>
        <v>0</v>
      </c>
      <c r="E55" s="4"/>
      <c r="F55" s="43"/>
      <c r="G55" s="84"/>
      <c r="H55" s="40"/>
      <c r="I55" s="37"/>
    </row>
    <row r="56" hidden="1" outlineLevel="1">
      <c r="A56" s="55" t="s">
        <v>112</v>
      </c>
      <c r="C56" s="53">
        <v>320.0</v>
      </c>
      <c r="D56" s="85">
        <f t="shared" si="3"/>
        <v>0</v>
      </c>
      <c r="E56" s="4"/>
      <c r="F56" s="43"/>
      <c r="G56" s="84"/>
      <c r="H56" s="40"/>
      <c r="I56" s="37"/>
    </row>
    <row r="57" hidden="1" outlineLevel="1">
      <c r="A57" s="2" t="s">
        <v>49</v>
      </c>
      <c r="B57" s="82"/>
      <c r="C57" s="53">
        <v>290.0</v>
      </c>
      <c r="D57" s="85">
        <f t="shared" si="3"/>
        <v>0</v>
      </c>
      <c r="E57" s="2"/>
      <c r="F57" s="43"/>
      <c r="G57" s="84"/>
      <c r="H57" s="40"/>
      <c r="I57" s="37"/>
    </row>
    <row r="58" hidden="1" outlineLevel="1">
      <c r="A58" s="55" t="s">
        <v>50</v>
      </c>
      <c r="B58" s="82"/>
      <c r="C58" s="53">
        <v>420.0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51</v>
      </c>
      <c r="B59" s="82">
        <v>6.0</v>
      </c>
      <c r="C59" s="53">
        <v>300.0</v>
      </c>
      <c r="D59" s="85">
        <f t="shared" si="3"/>
        <v>1800</v>
      </c>
      <c r="E59" s="2"/>
      <c r="F59" s="14"/>
      <c r="G59" s="84"/>
      <c r="H59" s="37"/>
      <c r="I59" s="37"/>
    </row>
    <row r="60" hidden="1" outlineLevel="1">
      <c r="A60" s="55" t="s">
        <v>52</v>
      </c>
      <c r="B60" s="82">
        <v>20.0</v>
      </c>
      <c r="C60" s="53">
        <v>500.0</v>
      </c>
      <c r="D60" s="85">
        <f t="shared" si="3"/>
        <v>10000</v>
      </c>
      <c r="E60" s="2"/>
      <c r="F60" s="14"/>
      <c r="G60" s="84"/>
      <c r="H60" s="37"/>
      <c r="I60" s="37"/>
      <c r="K60" s="55"/>
    </row>
    <row r="61" hidden="1" outlineLevel="1">
      <c r="A61" s="55" t="s">
        <v>53</v>
      </c>
      <c r="B61" s="82">
        <v>2.0</v>
      </c>
      <c r="C61" s="53">
        <v>580.0</v>
      </c>
      <c r="D61" s="85">
        <f t="shared" si="3"/>
        <v>1160</v>
      </c>
      <c r="E61" s="2"/>
      <c r="F61" s="14"/>
      <c r="G61" s="87"/>
      <c r="H61" s="37"/>
      <c r="I61" s="37"/>
      <c r="K61" s="55"/>
    </row>
    <row r="62" hidden="1" outlineLevel="1">
      <c r="A62" s="55" t="s">
        <v>54</v>
      </c>
      <c r="B62" s="82"/>
      <c r="C62" s="53">
        <v>800.0</v>
      </c>
      <c r="D62" s="85">
        <f t="shared" si="3"/>
        <v>0</v>
      </c>
      <c r="E62" s="2"/>
      <c r="F62" s="43"/>
      <c r="G62" s="84"/>
      <c r="H62" s="40"/>
      <c r="I62" s="37"/>
      <c r="K62" s="55"/>
    </row>
    <row r="63" hidden="1" outlineLevel="1">
      <c r="A63" s="55" t="s">
        <v>55</v>
      </c>
      <c r="B63" s="82"/>
      <c r="C63" s="53">
        <v>950.0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56</v>
      </c>
      <c r="B64" s="82"/>
      <c r="C64" s="53">
        <v>1200.0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57</v>
      </c>
      <c r="B65" s="82"/>
      <c r="C65" s="53">
        <v>2200.0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58</v>
      </c>
      <c r="B66" s="82"/>
      <c r="C66" s="53">
        <v>600.0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>
        <v>400.0</v>
      </c>
      <c r="D67" s="85">
        <f t="shared" si="3"/>
        <v>0</v>
      </c>
      <c r="E67" s="2"/>
      <c r="F67" s="43"/>
      <c r="G67" s="84"/>
      <c r="H67" s="40"/>
      <c r="I67" s="37"/>
    </row>
    <row r="68" hidden="1" outlineLevel="1">
      <c r="A68" s="55" t="s">
        <v>59</v>
      </c>
      <c r="B68" s="82"/>
      <c r="C68" s="53"/>
      <c r="D68" s="85"/>
      <c r="E68" s="2"/>
      <c r="F68" s="43"/>
      <c r="G68" s="84"/>
      <c r="H68" s="40"/>
      <c r="I68" s="37"/>
    </row>
    <row r="69" collapsed="1">
      <c r="A69" s="55" t="s">
        <v>60</v>
      </c>
      <c r="B69" s="82"/>
      <c r="C69" s="53"/>
      <c r="D69" s="83">
        <f>SUM(D70:D72)</f>
        <v>1160</v>
      </c>
      <c r="E69" s="2"/>
      <c r="F69" s="14"/>
      <c r="G69" s="84"/>
      <c r="H69" s="40"/>
      <c r="I69" s="37"/>
    </row>
    <row r="70" hidden="1" outlineLevel="1">
      <c r="A70" s="55" t="s">
        <v>61</v>
      </c>
      <c r="B70" s="82">
        <v>2.0</v>
      </c>
      <c r="C70" s="53">
        <v>80.0</v>
      </c>
      <c r="D70" s="85">
        <f t="shared" ref="D70:D71" si="4">SUM(B70*C70)</f>
        <v>160</v>
      </c>
      <c r="E70" s="2"/>
      <c r="F70" s="14"/>
      <c r="G70" s="84"/>
      <c r="H70" s="40"/>
      <c r="I70" s="37"/>
    </row>
    <row r="71" hidden="1" outlineLevel="1">
      <c r="A71" s="55" t="s">
        <v>62</v>
      </c>
      <c r="B71" s="82">
        <v>10.0</v>
      </c>
      <c r="C71" s="53">
        <v>100.0</v>
      </c>
      <c r="D71" s="85">
        <f t="shared" si="4"/>
        <v>1000</v>
      </c>
      <c r="E71" s="2"/>
      <c r="F71" s="14"/>
      <c r="G71" s="84"/>
      <c r="H71" s="40"/>
      <c r="I71" s="37"/>
    </row>
    <row r="72" hidden="1" outlineLevel="1">
      <c r="A72" s="55" t="s">
        <v>63</v>
      </c>
      <c r="B72" s="82"/>
      <c r="C72" s="53"/>
      <c r="D72" s="83"/>
      <c r="E72" s="2"/>
      <c r="F72" s="14"/>
      <c r="G72" s="84"/>
      <c r="H72" s="40"/>
      <c r="I72" s="37"/>
    </row>
    <row r="73" collapsed="1">
      <c r="A73" s="55" t="s">
        <v>64</v>
      </c>
      <c r="B73" s="82"/>
      <c r="C73" s="53"/>
      <c r="D73" s="83">
        <f>SUM(D74:D87)</f>
        <v>1920</v>
      </c>
      <c r="E73" s="2"/>
      <c r="F73" s="14"/>
      <c r="G73" s="84"/>
      <c r="H73" s="40"/>
      <c r="I73" s="37"/>
    </row>
    <row r="74" hidden="1" outlineLevel="1">
      <c r="A74" s="55" t="s">
        <v>65</v>
      </c>
      <c r="B74" s="82"/>
      <c r="C74" s="53">
        <v>12.0</v>
      </c>
      <c r="D74" s="85">
        <f t="shared" ref="D74:D87" si="5">SUM(B74*C74)</f>
        <v>0</v>
      </c>
      <c r="E74" s="2"/>
      <c r="F74" s="14"/>
      <c r="G74" s="84"/>
      <c r="H74" s="37"/>
      <c r="I74" s="37"/>
    </row>
    <row r="75" hidden="1" outlineLevel="1">
      <c r="A75" s="55" t="s">
        <v>113</v>
      </c>
      <c r="B75" s="82"/>
      <c r="C75" s="53">
        <v>30.0</v>
      </c>
      <c r="D75" s="85">
        <f t="shared" si="5"/>
        <v>0</v>
      </c>
      <c r="E75" s="2"/>
      <c r="F75" s="14"/>
      <c r="G75" s="84"/>
      <c r="H75" s="40"/>
      <c r="I75" s="37"/>
    </row>
    <row r="76" hidden="1" outlineLevel="1">
      <c r="A76" s="55" t="s">
        <v>67</v>
      </c>
      <c r="B76" s="82">
        <v>24.0</v>
      </c>
      <c r="C76" s="53">
        <v>80.0</v>
      </c>
      <c r="D76" s="85">
        <f t="shared" si="5"/>
        <v>1920</v>
      </c>
      <c r="E76" s="2"/>
      <c r="F76" s="14"/>
      <c r="G76" s="84"/>
      <c r="H76" s="40"/>
      <c r="I76" s="37"/>
    </row>
    <row r="77" hidden="1" outlineLevel="1">
      <c r="A77" s="55" t="s">
        <v>68</v>
      </c>
      <c r="B77" s="82"/>
      <c r="C77" s="53">
        <v>30.0</v>
      </c>
      <c r="D77" s="85">
        <f t="shared" si="5"/>
        <v>0</v>
      </c>
      <c r="E77" s="2"/>
      <c r="F77" s="14"/>
      <c r="G77" s="84"/>
      <c r="H77" s="40"/>
      <c r="I77" s="37"/>
    </row>
    <row r="78" hidden="1" outlineLevel="1">
      <c r="A78" s="55" t="s">
        <v>69</v>
      </c>
      <c r="B78" s="82"/>
      <c r="C78" s="53">
        <v>150.0</v>
      </c>
      <c r="D78" s="85">
        <f t="shared" si="5"/>
        <v>0</v>
      </c>
      <c r="E78" s="2"/>
      <c r="F78" s="14"/>
      <c r="G78" s="84"/>
      <c r="H78" s="40"/>
      <c r="I78" s="37"/>
    </row>
    <row r="79" hidden="1" outlineLevel="1">
      <c r="A79" s="55" t="s">
        <v>70</v>
      </c>
      <c r="B79" s="82"/>
      <c r="C79" s="53"/>
      <c r="D79" s="85">
        <f t="shared" si="5"/>
        <v>0</v>
      </c>
      <c r="E79" s="2"/>
      <c r="F79" s="14"/>
      <c r="G79" s="84"/>
      <c r="H79" s="40"/>
      <c r="I79" s="37"/>
    </row>
    <row r="80" hidden="1" outlineLevel="1">
      <c r="A80" s="55" t="s">
        <v>71</v>
      </c>
      <c r="B80" s="82"/>
      <c r="C80" s="53">
        <v>150.0</v>
      </c>
      <c r="D80" s="85">
        <f t="shared" si="5"/>
        <v>0</v>
      </c>
      <c r="E80" s="2"/>
      <c r="F80" s="14"/>
      <c r="G80" s="84"/>
      <c r="H80" s="40"/>
      <c r="I80" s="37"/>
    </row>
    <row r="81" hidden="1" outlineLevel="1">
      <c r="A81" s="55" t="s">
        <v>72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hidden="1" outlineLevel="1">
      <c r="A82" s="55" t="s">
        <v>73</v>
      </c>
      <c r="B82" s="82"/>
      <c r="C82" s="53"/>
      <c r="D82" s="85">
        <f t="shared" si="5"/>
        <v>0</v>
      </c>
      <c r="E82" s="2"/>
      <c r="F82" s="14"/>
      <c r="G82" s="84"/>
      <c r="H82" s="40"/>
      <c r="I82" s="37"/>
    </row>
    <row r="83" hidden="1" outlineLevel="1">
      <c r="A83" s="55" t="s">
        <v>74</v>
      </c>
      <c r="B83" s="82"/>
      <c r="C83" s="53">
        <v>90.0</v>
      </c>
      <c r="D83" s="85">
        <f t="shared" si="5"/>
        <v>0</v>
      </c>
      <c r="E83" s="2"/>
      <c r="F83" s="14"/>
      <c r="G83" s="84"/>
      <c r="H83" s="40"/>
      <c r="I83" s="37"/>
    </row>
    <row r="84" hidden="1" outlineLevel="1">
      <c r="A84" s="55" t="s">
        <v>75</v>
      </c>
      <c r="B84" s="82"/>
      <c r="C84" s="53">
        <v>1000.0</v>
      </c>
      <c r="D84" s="85">
        <f t="shared" si="5"/>
        <v>0</v>
      </c>
      <c r="E84" s="2"/>
      <c r="F84" s="14"/>
      <c r="G84" s="84"/>
      <c r="H84" s="40"/>
      <c r="I84" s="37"/>
    </row>
    <row r="85" hidden="1" outlineLevel="1">
      <c r="A85" s="55" t="s">
        <v>76</v>
      </c>
      <c r="B85" s="82"/>
      <c r="C85" s="53">
        <v>60.0</v>
      </c>
      <c r="D85" s="85">
        <f t="shared" si="5"/>
        <v>0</v>
      </c>
      <c r="E85" s="2"/>
      <c r="F85" s="14"/>
      <c r="G85" s="84"/>
      <c r="H85" s="40"/>
      <c r="I85" s="37"/>
    </row>
    <row r="86" hidden="1" outlineLevel="1">
      <c r="A86" s="55" t="s">
        <v>70</v>
      </c>
      <c r="B86" s="82"/>
      <c r="C86" s="53">
        <v>250.0</v>
      </c>
      <c r="D86" s="85">
        <f t="shared" si="5"/>
        <v>0</v>
      </c>
      <c r="E86" s="2"/>
      <c r="F86" s="14"/>
      <c r="G86" s="84"/>
      <c r="H86" s="40"/>
      <c r="I86" s="37"/>
    </row>
    <row r="87" hidden="1" outlineLevel="1">
      <c r="A87" s="55" t="s">
        <v>78</v>
      </c>
      <c r="B87" s="82"/>
      <c r="C87" s="53">
        <v>100.0</v>
      </c>
      <c r="D87" s="85">
        <f t="shared" si="5"/>
        <v>0</v>
      </c>
      <c r="E87" s="2"/>
      <c r="F87" s="14"/>
      <c r="G87" s="84"/>
      <c r="H87" s="40"/>
      <c r="I87" s="37"/>
    </row>
    <row r="88" collapsed="1">
      <c r="A88" s="55" t="s">
        <v>79</v>
      </c>
      <c r="B88" s="82"/>
      <c r="C88" s="53"/>
      <c r="D88" s="83">
        <f>SUM(D89:D97)</f>
        <v>551</v>
      </c>
      <c r="E88" s="2"/>
      <c r="F88" s="14"/>
      <c r="G88" s="84"/>
      <c r="H88" s="40"/>
      <c r="I88" s="37"/>
    </row>
    <row r="89" hidden="1" outlineLevel="1">
      <c r="A89" s="86" t="s">
        <v>80</v>
      </c>
      <c r="B89" s="86">
        <v>6.0</v>
      </c>
      <c r="C89" s="88">
        <v>25.0</v>
      </c>
      <c r="D89" s="85">
        <f t="shared" ref="D89:D97" si="6">SUM(B89*C89)</f>
        <v>150</v>
      </c>
    </row>
    <row r="90" hidden="1" outlineLevel="1">
      <c r="A90" s="55" t="s">
        <v>81</v>
      </c>
      <c r="B90" s="82">
        <v>20.0</v>
      </c>
      <c r="C90" s="82">
        <v>1.8</v>
      </c>
      <c r="D90" s="85">
        <f t="shared" si="6"/>
        <v>36</v>
      </c>
      <c r="E90" s="2"/>
      <c r="F90" s="2"/>
      <c r="G90" s="82"/>
      <c r="H90" s="53"/>
      <c r="I90" s="66"/>
    </row>
    <row r="91" hidden="1" outlineLevel="1">
      <c r="A91" s="55" t="s">
        <v>82</v>
      </c>
      <c r="B91" s="82">
        <v>200.0</v>
      </c>
      <c r="C91" s="53">
        <v>1.5</v>
      </c>
      <c r="D91" s="85">
        <f t="shared" si="6"/>
        <v>300</v>
      </c>
      <c r="E91" s="2"/>
      <c r="F91" s="2"/>
      <c r="G91" s="82"/>
      <c r="H91" s="53"/>
      <c r="I91" s="66"/>
    </row>
    <row r="92" hidden="1" outlineLevel="1">
      <c r="A92" s="55" t="s">
        <v>83</v>
      </c>
      <c r="B92" s="82"/>
      <c r="C92" s="53">
        <v>0.8</v>
      </c>
      <c r="D92" s="85">
        <f t="shared" si="6"/>
        <v>0</v>
      </c>
      <c r="E92" s="2"/>
      <c r="F92" s="2"/>
      <c r="G92" s="82"/>
      <c r="H92" s="53"/>
      <c r="I92" s="66"/>
    </row>
    <row r="93" hidden="1" outlineLevel="1">
      <c r="A93" s="55" t="s">
        <v>84</v>
      </c>
      <c r="B93" s="82">
        <v>1.0</v>
      </c>
      <c r="C93" s="53">
        <v>35.0</v>
      </c>
      <c r="D93" s="85">
        <f t="shared" si="6"/>
        <v>35</v>
      </c>
      <c r="E93" s="2"/>
      <c r="F93" s="2"/>
      <c r="G93" s="82"/>
      <c r="H93" s="53"/>
      <c r="I93" s="66"/>
    </row>
    <row r="94" hidden="1" outlineLevel="1">
      <c r="A94" s="55" t="s">
        <v>85</v>
      </c>
      <c r="B94" s="82"/>
      <c r="C94" s="53">
        <v>50.0</v>
      </c>
      <c r="D94" s="85">
        <f t="shared" si="6"/>
        <v>0</v>
      </c>
      <c r="E94" s="2"/>
      <c r="F94" s="2"/>
      <c r="G94" s="82"/>
      <c r="H94" s="53"/>
      <c r="I94" s="66"/>
    </row>
    <row r="95" hidden="1" outlineLevel="1">
      <c r="A95" s="55" t="s">
        <v>86</v>
      </c>
      <c r="B95" s="82">
        <v>1.0</v>
      </c>
      <c r="C95" s="53">
        <v>30.0</v>
      </c>
      <c r="D95" s="85">
        <f t="shared" si="6"/>
        <v>30</v>
      </c>
      <c r="E95" s="2"/>
      <c r="F95" s="2"/>
      <c r="G95" s="82"/>
      <c r="H95" s="53"/>
      <c r="I95" s="66"/>
    </row>
    <row r="96" hidden="1" outlineLevel="1">
      <c r="A96" s="55" t="s">
        <v>63</v>
      </c>
      <c r="B96" s="82"/>
      <c r="C96" s="53">
        <v>25.0</v>
      </c>
      <c r="D96" s="85">
        <f t="shared" si="6"/>
        <v>0</v>
      </c>
      <c r="E96" s="2"/>
      <c r="F96" s="2"/>
      <c r="G96" s="82"/>
      <c r="H96" s="53"/>
      <c r="I96" s="66"/>
    </row>
    <row r="97" hidden="1" outlineLevel="1">
      <c r="A97" s="55" t="s">
        <v>87</v>
      </c>
      <c r="B97" s="82"/>
      <c r="C97" s="53"/>
      <c r="D97" s="85">
        <f t="shared" si="6"/>
        <v>0</v>
      </c>
      <c r="E97" s="2"/>
      <c r="F97" s="2"/>
      <c r="G97" s="82"/>
      <c r="H97" s="53"/>
      <c r="I97" s="66"/>
    </row>
    <row r="98" collapsed="1">
      <c r="A98" s="55" t="s">
        <v>88</v>
      </c>
      <c r="B98" s="82"/>
      <c r="C98" s="53"/>
      <c r="D98" s="83">
        <f>SUM(D99:D102)</f>
        <v>0</v>
      </c>
      <c r="E98" s="2"/>
      <c r="F98" s="2"/>
      <c r="G98" s="82"/>
      <c r="H98" s="53"/>
      <c r="I98" s="66"/>
    </row>
    <row r="99" hidden="1" outlineLevel="1">
      <c r="A99" s="55" t="s">
        <v>89</v>
      </c>
      <c r="B99" s="82"/>
      <c r="C99" s="53">
        <v>100.0</v>
      </c>
      <c r="D99" s="85">
        <f t="shared" ref="D99:D101" si="7">SUM(B99*C99)</f>
        <v>0</v>
      </c>
      <c r="E99" s="2"/>
      <c r="F99" s="2"/>
      <c r="G99" s="82"/>
      <c r="H99" s="53"/>
      <c r="I99" s="66"/>
    </row>
    <row r="100" hidden="1" outlineLevel="1">
      <c r="A100" s="55" t="s">
        <v>90</v>
      </c>
      <c r="B100" s="82"/>
      <c r="C100" s="53">
        <v>50.0</v>
      </c>
      <c r="D100" s="85">
        <f t="shared" si="7"/>
        <v>0</v>
      </c>
      <c r="E100" s="2"/>
      <c r="F100" s="2"/>
      <c r="G100" s="82"/>
      <c r="H100" s="53"/>
      <c r="I100" s="66"/>
    </row>
    <row r="101" hidden="1" outlineLevel="1">
      <c r="A101" s="55" t="s">
        <v>63</v>
      </c>
      <c r="B101" s="82"/>
      <c r="C101" s="53"/>
      <c r="D101" s="85">
        <f t="shared" si="7"/>
        <v>0</v>
      </c>
      <c r="E101" s="2"/>
      <c r="F101" s="2"/>
      <c r="G101" s="82"/>
      <c r="H101" s="53"/>
      <c r="I101" s="66"/>
    </row>
    <row r="102" hidden="1" outlineLevel="1">
      <c r="A102" s="55" t="s">
        <v>87</v>
      </c>
      <c r="B102" s="82"/>
      <c r="C102" s="53"/>
      <c r="D102" s="85"/>
      <c r="E102" s="2"/>
      <c r="F102" s="2"/>
      <c r="G102" s="89"/>
      <c r="H102" s="53"/>
      <c r="I102" s="66"/>
    </row>
    <row r="103" collapsed="1">
      <c r="A103" s="86" t="s">
        <v>91</v>
      </c>
      <c r="B103" s="82"/>
      <c r="C103" s="53"/>
      <c r="D103" s="90">
        <f>SUM(D104:D110)</f>
        <v>720</v>
      </c>
      <c r="E103" s="2"/>
      <c r="F103" s="2"/>
      <c r="G103" s="82"/>
      <c r="H103" s="53"/>
      <c r="I103" s="66"/>
    </row>
    <row r="104" hidden="1" outlineLevel="1">
      <c r="A104" s="86" t="s">
        <v>92</v>
      </c>
      <c r="B104" s="82"/>
      <c r="C104" s="53">
        <v>80.0</v>
      </c>
      <c r="D104" s="85">
        <f t="shared" ref="D104:D110" si="8">SUM(B104*C104)</f>
        <v>0</v>
      </c>
      <c r="E104" s="2"/>
      <c r="F104" s="2"/>
      <c r="G104" s="82"/>
      <c r="H104" s="53"/>
      <c r="I104" s="66"/>
    </row>
    <row r="105" hidden="1" outlineLevel="1">
      <c r="A105" s="55" t="s">
        <v>114</v>
      </c>
      <c r="B105" s="82"/>
      <c r="C105" s="53">
        <v>12.0</v>
      </c>
      <c r="D105" s="85">
        <f t="shared" si="8"/>
        <v>0</v>
      </c>
      <c r="E105" s="2"/>
      <c r="F105" s="55"/>
      <c r="G105" s="82"/>
      <c r="H105" s="53"/>
      <c r="I105" s="66"/>
    </row>
    <row r="106" hidden="1" outlineLevel="1">
      <c r="A106" s="55" t="s">
        <v>119</v>
      </c>
      <c r="B106" s="82">
        <v>24.0</v>
      </c>
      <c r="C106" s="53">
        <v>30.0</v>
      </c>
      <c r="D106" s="85">
        <f t="shared" si="8"/>
        <v>720</v>
      </c>
      <c r="E106" s="2"/>
      <c r="F106" s="2"/>
      <c r="G106" s="89"/>
      <c r="H106" s="66"/>
      <c r="I106" s="66"/>
    </row>
    <row r="107" hidden="1" outlineLevel="1">
      <c r="A107" s="55" t="s">
        <v>125</v>
      </c>
      <c r="B107" s="55"/>
      <c r="C107" s="56">
        <v>35.0</v>
      </c>
      <c r="D107" s="85">
        <f t="shared" si="8"/>
        <v>0</v>
      </c>
      <c r="E107" s="2"/>
      <c r="F107" s="55"/>
      <c r="G107" s="55"/>
      <c r="H107" s="56"/>
      <c r="I107" s="66"/>
    </row>
    <row r="108" hidden="1" outlineLevel="1">
      <c r="A108" s="55" t="s">
        <v>96</v>
      </c>
      <c r="B108" s="55"/>
      <c r="C108" s="56">
        <v>800.0</v>
      </c>
      <c r="D108" s="85">
        <f t="shared" si="8"/>
        <v>0</v>
      </c>
      <c r="E108" s="2"/>
      <c r="F108" s="2"/>
      <c r="G108" s="2"/>
      <c r="H108" s="12"/>
      <c r="I108" s="66"/>
    </row>
    <row r="109" hidden="1" outlineLevel="1">
      <c r="A109" s="55" t="s">
        <v>97</v>
      </c>
      <c r="B109" s="55"/>
      <c r="C109" s="56">
        <v>300.0</v>
      </c>
      <c r="D109" s="85">
        <f t="shared" si="8"/>
        <v>0</v>
      </c>
      <c r="E109" s="2"/>
      <c r="F109" s="2"/>
      <c r="G109" s="2"/>
      <c r="H109" s="12"/>
      <c r="I109" s="66"/>
    </row>
    <row r="110" hidden="1" outlineLevel="1">
      <c r="A110" s="55" t="s">
        <v>98</v>
      </c>
      <c r="B110" s="55"/>
      <c r="C110" s="56">
        <v>600.0</v>
      </c>
      <c r="D110" s="85">
        <f t="shared" si="8"/>
        <v>0</v>
      </c>
      <c r="E110" s="2"/>
      <c r="F110" s="2"/>
      <c r="G110" s="2"/>
      <c r="H110" s="12"/>
      <c r="I110" s="66"/>
    </row>
    <row r="111" collapsed="1">
      <c r="A111" s="55" t="s">
        <v>99</v>
      </c>
      <c r="B111" s="2"/>
      <c r="C111" s="12"/>
      <c r="D111" s="83">
        <f>SUM(D112:D116)</f>
        <v>329</v>
      </c>
      <c r="E111" s="2"/>
      <c r="F111" s="2"/>
      <c r="G111" s="2"/>
      <c r="H111" s="12"/>
      <c r="I111" s="66"/>
    </row>
    <row r="112" hidden="1" outlineLevel="1">
      <c r="A112" s="55" t="s">
        <v>100</v>
      </c>
      <c r="B112" s="55">
        <v>2.0</v>
      </c>
      <c r="C112" s="56">
        <v>12.0</v>
      </c>
      <c r="D112" s="85">
        <f t="shared" ref="D112:D116" si="9">SUM(B112*C112)</f>
        <v>24</v>
      </c>
      <c r="E112" s="2"/>
      <c r="F112" s="2"/>
      <c r="G112" s="2"/>
      <c r="H112" s="12"/>
      <c r="I112" s="66"/>
    </row>
    <row r="113" hidden="1" outlineLevel="1">
      <c r="A113" s="55" t="s">
        <v>101</v>
      </c>
      <c r="B113" s="55">
        <v>4.0</v>
      </c>
      <c r="C113" s="56">
        <v>10.0</v>
      </c>
      <c r="D113" s="85">
        <f t="shared" si="9"/>
        <v>40</v>
      </c>
      <c r="E113" s="2"/>
      <c r="F113" s="2"/>
      <c r="G113" s="2"/>
      <c r="H113" s="12"/>
      <c r="I113" s="66"/>
    </row>
    <row r="114" hidden="1" outlineLevel="1">
      <c r="A114" s="55" t="s">
        <v>102</v>
      </c>
      <c r="B114" s="55">
        <v>10.0</v>
      </c>
      <c r="C114" s="56">
        <v>4.0</v>
      </c>
      <c r="D114" s="85">
        <f t="shared" si="9"/>
        <v>40</v>
      </c>
      <c r="E114" s="2"/>
      <c r="F114" s="2"/>
      <c r="G114" s="2"/>
      <c r="H114" s="12"/>
      <c r="I114" s="66"/>
    </row>
    <row r="115" hidden="1" outlineLevel="1">
      <c r="A115" s="55" t="s">
        <v>103</v>
      </c>
      <c r="B115" s="55">
        <v>50.0</v>
      </c>
      <c r="C115" s="56">
        <v>0.5</v>
      </c>
      <c r="D115" s="85">
        <f t="shared" si="9"/>
        <v>25</v>
      </c>
      <c r="E115" s="2"/>
      <c r="F115" s="2"/>
    </row>
    <row r="116" hidden="1" outlineLevel="1">
      <c r="A116" s="55" t="s">
        <v>104</v>
      </c>
      <c r="B116" s="55">
        <v>4.0</v>
      </c>
      <c r="C116" s="56">
        <v>50.0</v>
      </c>
      <c r="D116" s="85">
        <f t="shared" si="9"/>
        <v>200</v>
      </c>
      <c r="E116" s="2"/>
      <c r="F116" s="2"/>
    </row>
    <row r="117" collapsed="1">
      <c r="A117" s="55" t="s">
        <v>105</v>
      </c>
      <c r="B117" s="2"/>
      <c r="C117" s="12"/>
      <c r="D117" s="83">
        <f>SUM(D118:D120)</f>
        <v>225</v>
      </c>
      <c r="E117" s="2"/>
      <c r="F117" s="2"/>
    </row>
    <row r="118" hidden="1" outlineLevel="1">
      <c r="A118" s="55" t="s">
        <v>106</v>
      </c>
      <c r="B118" s="55">
        <v>5.0</v>
      </c>
      <c r="C118" s="56">
        <v>20.0</v>
      </c>
      <c r="D118" s="85">
        <f t="shared" ref="D118:D120" si="10">SUM(B118*C118)</f>
        <v>100</v>
      </c>
      <c r="E118" s="2"/>
      <c r="F118" s="2"/>
    </row>
    <row r="119" hidden="1" outlineLevel="1">
      <c r="A119" s="55" t="s">
        <v>107</v>
      </c>
      <c r="B119" s="55">
        <v>50.0</v>
      </c>
      <c r="C119" s="56">
        <v>1.5</v>
      </c>
      <c r="D119" s="85">
        <f t="shared" si="10"/>
        <v>75</v>
      </c>
      <c r="E119" s="2"/>
      <c r="F119" s="2"/>
    </row>
    <row r="120" hidden="1" outlineLevel="1">
      <c r="A120" s="86" t="s">
        <v>108</v>
      </c>
      <c r="B120" s="55">
        <v>50.0</v>
      </c>
      <c r="C120" s="56">
        <v>1.0</v>
      </c>
      <c r="D120" s="85">
        <f t="shared" si="10"/>
        <v>50</v>
      </c>
      <c r="E120" s="2"/>
      <c r="F120" s="2"/>
    </row>
    <row r="121">
      <c r="A121" s="2"/>
      <c r="B121" s="2"/>
      <c r="C121" s="12"/>
      <c r="D121" s="85"/>
      <c r="E121" s="2"/>
      <c r="F121" s="2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  <row r="1045">
      <c r="D1045" s="20"/>
    </row>
  </sheetData>
  <mergeCells count="2">
    <mergeCell ref="A1:D1"/>
    <mergeCell ref="A7:D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128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129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29500.0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20819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8681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0.2942711864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2585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8000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6445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3199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590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2585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B9*5%</f>
        <v>1475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600.0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250.0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200.0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30.0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30.0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>
      <c r="A32" s="59" t="s">
        <v>26</v>
      </c>
      <c r="B32" s="60">
        <f>SUM(B33:B39)</f>
        <v>8000</v>
      </c>
      <c r="C32" s="61"/>
      <c r="D32" s="62"/>
      <c r="E32" s="4"/>
      <c r="F32" s="36"/>
      <c r="G32" s="63"/>
      <c r="H32" s="14"/>
      <c r="I32" s="14"/>
    </row>
    <row r="33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outlineLevel="1">
      <c r="A37" s="55" t="s">
        <v>31</v>
      </c>
      <c r="B37" s="56">
        <v>8000.0</v>
      </c>
      <c r="C37" s="2"/>
      <c r="D37" s="3"/>
      <c r="E37" s="4"/>
      <c r="F37" s="43"/>
      <c r="G37" s="58"/>
      <c r="H37" s="14"/>
      <c r="I37" s="14"/>
    </row>
    <row r="38" outlineLevel="1">
      <c r="A38" s="55"/>
      <c r="B38" s="12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>
      <c r="A40" s="59" t="s">
        <v>32</v>
      </c>
      <c r="B40" s="60">
        <f>SUM(B42:B49)</f>
        <v>6445</v>
      </c>
      <c r="C40" s="61"/>
      <c r="D40" s="62"/>
      <c r="E40" s="4"/>
      <c r="F40" s="36"/>
      <c r="G40" s="63"/>
      <c r="H40" s="14"/>
      <c r="I40" s="14"/>
    </row>
    <row r="41" outlineLevel="1">
      <c r="A41" s="52" t="s">
        <v>33</v>
      </c>
      <c r="B41" s="12">
        <f>B9*3%</f>
        <v>885</v>
      </c>
      <c r="C41" s="2"/>
      <c r="D41" s="3"/>
      <c r="E41" s="4"/>
      <c r="F41" s="54"/>
      <c r="G41" s="58"/>
      <c r="H41" s="14"/>
      <c r="I41" s="14"/>
    </row>
    <row r="42" outlineLevel="1">
      <c r="A42" s="64" t="s">
        <v>34</v>
      </c>
      <c r="B42" s="12">
        <f>B9*7%</f>
        <v>2065</v>
      </c>
      <c r="C42" s="2"/>
      <c r="D42" s="3"/>
      <c r="E42" s="4"/>
      <c r="F42" s="65"/>
      <c r="G42" s="58"/>
      <c r="H42" s="14"/>
      <c r="I42" s="14"/>
    </row>
    <row r="43" outlineLevel="1">
      <c r="A43" s="64" t="s">
        <v>35</v>
      </c>
      <c r="B43" s="66">
        <f>B9*7%</f>
        <v>2065</v>
      </c>
      <c r="C43" s="2"/>
      <c r="D43" s="3"/>
      <c r="E43" s="4"/>
      <c r="F43" s="65"/>
      <c r="G43" s="37"/>
      <c r="H43" s="14"/>
      <c r="I43" s="14"/>
    </row>
    <row r="44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outlineLevel="1">
      <c r="A46" s="64" t="s">
        <v>38</v>
      </c>
      <c r="B46" s="67">
        <f>B9*7%</f>
        <v>2065</v>
      </c>
      <c r="C46" s="2"/>
      <c r="D46" s="3"/>
      <c r="E46" s="4"/>
      <c r="F46" s="65"/>
      <c r="G46" s="69"/>
      <c r="H46" s="14"/>
      <c r="I46" s="14"/>
    </row>
    <row r="47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SUM(D53+D69+D73+D88+D98+D103+D111)</f>
        <v>3199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SUM(D54:D68)</f>
        <v>1920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/>
      <c r="C54" s="53">
        <v>200.0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C55" s="53">
        <v>250.0</v>
      </c>
      <c r="D55" s="85">
        <f t="shared" ref="D55:D67" si="3">SUM(B55*C55)</f>
        <v>0</v>
      </c>
      <c r="E55" s="4"/>
      <c r="F55" s="43"/>
      <c r="G55" s="84"/>
      <c r="H55" s="40"/>
      <c r="I55" s="37"/>
    </row>
    <row r="56" hidden="1" outlineLevel="1">
      <c r="A56" s="55" t="s">
        <v>112</v>
      </c>
      <c r="B56" s="86">
        <v>6.0</v>
      </c>
      <c r="C56" s="53">
        <v>320.0</v>
      </c>
      <c r="D56" s="85">
        <f t="shared" si="3"/>
        <v>1920</v>
      </c>
      <c r="E56" s="4"/>
      <c r="F56" s="43"/>
      <c r="G56" s="84"/>
      <c r="H56" s="40"/>
      <c r="I56" s="37"/>
    </row>
    <row r="57" hidden="1" outlineLevel="1">
      <c r="A57" s="2" t="s">
        <v>49</v>
      </c>
      <c r="B57" s="82"/>
      <c r="C57" s="53">
        <v>290.0</v>
      </c>
      <c r="D57" s="85">
        <f t="shared" si="3"/>
        <v>0</v>
      </c>
      <c r="E57" s="2"/>
      <c r="F57" s="43"/>
      <c r="G57" s="84"/>
      <c r="H57" s="40"/>
      <c r="I57" s="37"/>
    </row>
    <row r="58" hidden="1" outlineLevel="1">
      <c r="A58" s="55" t="s">
        <v>50</v>
      </c>
      <c r="B58" s="82"/>
      <c r="C58" s="53">
        <v>420.0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51</v>
      </c>
      <c r="B59" s="82"/>
      <c r="C59" s="53">
        <v>300.0</v>
      </c>
      <c r="D59" s="85">
        <f t="shared" si="3"/>
        <v>0</v>
      </c>
      <c r="E59" s="2"/>
      <c r="F59" s="14"/>
      <c r="G59" s="84"/>
      <c r="H59" s="37"/>
      <c r="I59" s="37"/>
    </row>
    <row r="60" hidden="1" outlineLevel="1">
      <c r="A60" s="55" t="s">
        <v>52</v>
      </c>
      <c r="B60" s="82"/>
      <c r="C60" s="53">
        <v>500.0</v>
      </c>
      <c r="D60" s="85">
        <f t="shared" si="3"/>
        <v>0</v>
      </c>
      <c r="E60" s="2"/>
      <c r="F60" s="14"/>
      <c r="G60" s="84"/>
      <c r="H60" s="37"/>
      <c r="I60" s="37"/>
      <c r="K60" s="55"/>
    </row>
    <row r="61" hidden="1" outlineLevel="1">
      <c r="A61" s="55" t="s">
        <v>53</v>
      </c>
      <c r="B61" s="82"/>
      <c r="C61" s="53">
        <v>580.0</v>
      </c>
      <c r="D61" s="85">
        <f t="shared" si="3"/>
        <v>0</v>
      </c>
      <c r="E61" s="2"/>
      <c r="F61" s="14"/>
      <c r="G61" s="87"/>
      <c r="H61" s="37"/>
      <c r="I61" s="37"/>
      <c r="K61" s="55"/>
    </row>
    <row r="62" hidden="1" outlineLevel="1">
      <c r="A62" s="55" t="s">
        <v>54</v>
      </c>
      <c r="B62" s="82"/>
      <c r="C62" s="53">
        <v>800.0</v>
      </c>
      <c r="D62" s="85">
        <f t="shared" si="3"/>
        <v>0</v>
      </c>
      <c r="E62" s="2"/>
      <c r="F62" s="43"/>
      <c r="G62" s="84"/>
      <c r="H62" s="40"/>
      <c r="I62" s="37"/>
      <c r="K62" s="55"/>
    </row>
    <row r="63" hidden="1" outlineLevel="1">
      <c r="A63" s="55" t="s">
        <v>55</v>
      </c>
      <c r="B63" s="82"/>
      <c r="C63" s="53">
        <v>950.0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56</v>
      </c>
      <c r="B64" s="82"/>
      <c r="C64" s="53">
        <v>1200.0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57</v>
      </c>
      <c r="B65" s="82"/>
      <c r="C65" s="53">
        <v>2200.0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58</v>
      </c>
      <c r="B66" s="82"/>
      <c r="C66" s="53">
        <v>600.0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>
        <v>400.0</v>
      </c>
      <c r="D67" s="85">
        <f t="shared" si="3"/>
        <v>0</v>
      </c>
      <c r="E67" s="2"/>
      <c r="F67" s="43"/>
      <c r="G67" s="84"/>
      <c r="H67" s="40"/>
      <c r="I67" s="37"/>
    </row>
    <row r="68" hidden="1" outlineLevel="1">
      <c r="A68" s="55" t="s">
        <v>59</v>
      </c>
      <c r="B68" s="82"/>
      <c r="C68" s="53"/>
      <c r="D68" s="85"/>
      <c r="E68" s="2"/>
      <c r="F68" s="43"/>
      <c r="G68" s="84"/>
      <c r="H68" s="40"/>
      <c r="I68" s="37"/>
    </row>
    <row r="69" collapsed="1">
      <c r="A69" s="55" t="s">
        <v>60</v>
      </c>
      <c r="B69" s="82"/>
      <c r="C69" s="53"/>
      <c r="D69" s="83">
        <f>SUM(D70:D72)</f>
        <v>380</v>
      </c>
      <c r="E69" s="2"/>
      <c r="F69" s="14"/>
      <c r="G69" s="84"/>
      <c r="H69" s="40"/>
      <c r="I69" s="37"/>
    </row>
    <row r="70" hidden="1" outlineLevel="1">
      <c r="A70" s="55" t="s">
        <v>61</v>
      </c>
      <c r="B70" s="82">
        <v>1.0</v>
      </c>
      <c r="C70" s="53">
        <v>80.0</v>
      </c>
      <c r="D70" s="85">
        <f t="shared" ref="D70:D71" si="4">SUM(B70*C70)</f>
        <v>80</v>
      </c>
      <c r="E70" s="2"/>
      <c r="F70" s="14"/>
      <c r="G70" s="84"/>
      <c r="H70" s="40"/>
      <c r="I70" s="37"/>
    </row>
    <row r="71" hidden="1" outlineLevel="1">
      <c r="A71" s="55" t="s">
        <v>62</v>
      </c>
      <c r="B71" s="82">
        <v>3.0</v>
      </c>
      <c r="C71" s="53">
        <v>100.0</v>
      </c>
      <c r="D71" s="85">
        <f t="shared" si="4"/>
        <v>300</v>
      </c>
      <c r="E71" s="2"/>
      <c r="F71" s="14"/>
      <c r="G71" s="84"/>
      <c r="H71" s="40"/>
      <c r="I71" s="37"/>
    </row>
    <row r="72" hidden="1" outlineLevel="1">
      <c r="A72" s="55" t="s">
        <v>63</v>
      </c>
      <c r="B72" s="82"/>
      <c r="C72" s="53"/>
      <c r="D72" s="83"/>
      <c r="E72" s="2"/>
      <c r="F72" s="14"/>
      <c r="G72" s="84"/>
      <c r="H72" s="40"/>
      <c r="I72" s="37"/>
    </row>
    <row r="73" collapsed="1">
      <c r="A73" s="55" t="s">
        <v>64</v>
      </c>
      <c r="B73" s="82"/>
      <c r="C73" s="53"/>
      <c r="D73" s="83">
        <f>SUM(D74:D87)</f>
        <v>0</v>
      </c>
      <c r="E73" s="2"/>
      <c r="F73" s="14"/>
      <c r="G73" s="84"/>
      <c r="H73" s="40"/>
      <c r="I73" s="37"/>
    </row>
    <row r="74" hidden="1" outlineLevel="1">
      <c r="A74" s="55" t="s">
        <v>65</v>
      </c>
      <c r="B74" s="82"/>
      <c r="C74" s="53">
        <v>10.0</v>
      </c>
      <c r="D74" s="85">
        <f t="shared" ref="D74:D87" si="5">SUM(B74*C74)</f>
        <v>0</v>
      </c>
      <c r="E74" s="2"/>
      <c r="F74" s="14"/>
      <c r="G74" s="84"/>
      <c r="H74" s="37"/>
      <c r="I74" s="37"/>
    </row>
    <row r="75" hidden="1" outlineLevel="1">
      <c r="A75" s="55" t="s">
        <v>113</v>
      </c>
      <c r="B75" s="82"/>
      <c r="C75" s="53">
        <v>30.0</v>
      </c>
      <c r="D75" s="85">
        <f t="shared" si="5"/>
        <v>0</v>
      </c>
      <c r="E75" s="2"/>
      <c r="F75" s="14"/>
      <c r="G75" s="84"/>
      <c r="H75" s="40"/>
      <c r="I75" s="37"/>
    </row>
    <row r="76" hidden="1" outlineLevel="1">
      <c r="A76" s="55" t="s">
        <v>67</v>
      </c>
      <c r="B76" s="82"/>
      <c r="C76" s="53">
        <v>25.0</v>
      </c>
      <c r="D76" s="85">
        <f t="shared" si="5"/>
        <v>0</v>
      </c>
      <c r="E76" s="2"/>
      <c r="F76" s="14"/>
      <c r="G76" s="84"/>
      <c r="H76" s="40"/>
      <c r="I76" s="37"/>
    </row>
    <row r="77" hidden="1" outlineLevel="1">
      <c r="A77" s="55" t="s">
        <v>68</v>
      </c>
      <c r="B77" s="82"/>
      <c r="C77" s="53">
        <v>30.0</v>
      </c>
      <c r="D77" s="85">
        <f t="shared" si="5"/>
        <v>0</v>
      </c>
      <c r="E77" s="2"/>
      <c r="F77" s="14"/>
      <c r="G77" s="84"/>
      <c r="H77" s="40"/>
      <c r="I77" s="37"/>
    </row>
    <row r="78" hidden="1" outlineLevel="1">
      <c r="A78" s="55" t="s">
        <v>69</v>
      </c>
      <c r="B78" s="82"/>
      <c r="C78" s="53">
        <v>150.0</v>
      </c>
      <c r="D78" s="85">
        <f t="shared" si="5"/>
        <v>0</v>
      </c>
      <c r="E78" s="2"/>
      <c r="F78" s="14"/>
      <c r="G78" s="84"/>
      <c r="H78" s="40"/>
      <c r="I78" s="37"/>
    </row>
    <row r="79" hidden="1" outlineLevel="1">
      <c r="A79" s="55" t="s">
        <v>70</v>
      </c>
      <c r="B79" s="82"/>
      <c r="C79" s="53"/>
      <c r="D79" s="85">
        <f t="shared" si="5"/>
        <v>0</v>
      </c>
      <c r="E79" s="2"/>
      <c r="F79" s="14"/>
      <c r="G79" s="84"/>
      <c r="H79" s="40"/>
      <c r="I79" s="37"/>
    </row>
    <row r="80" hidden="1" outlineLevel="1">
      <c r="A80" s="55" t="s">
        <v>71</v>
      </c>
      <c r="B80" s="82"/>
      <c r="C80" s="53">
        <v>150.0</v>
      </c>
      <c r="D80" s="85">
        <f t="shared" si="5"/>
        <v>0</v>
      </c>
      <c r="E80" s="2"/>
      <c r="F80" s="14"/>
      <c r="G80" s="84"/>
      <c r="H80" s="40"/>
      <c r="I80" s="37"/>
    </row>
    <row r="81" hidden="1" outlineLevel="1">
      <c r="A81" s="55" t="s">
        <v>72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hidden="1" outlineLevel="1">
      <c r="A82" s="55" t="s">
        <v>73</v>
      </c>
      <c r="B82" s="82"/>
      <c r="C82" s="53"/>
      <c r="D82" s="85">
        <f t="shared" si="5"/>
        <v>0</v>
      </c>
      <c r="E82" s="2"/>
      <c r="F82" s="14"/>
      <c r="G82" s="84"/>
      <c r="H82" s="40"/>
      <c r="I82" s="37"/>
    </row>
    <row r="83" hidden="1" outlineLevel="1">
      <c r="A83" s="55" t="s">
        <v>74</v>
      </c>
      <c r="B83" s="82"/>
      <c r="C83" s="53">
        <v>90.0</v>
      </c>
      <c r="D83" s="85">
        <f t="shared" si="5"/>
        <v>0</v>
      </c>
      <c r="E83" s="2"/>
      <c r="F83" s="14"/>
      <c r="G83" s="84"/>
      <c r="H83" s="40"/>
      <c r="I83" s="37"/>
    </row>
    <row r="84" hidden="1" outlineLevel="1">
      <c r="A84" s="55" t="s">
        <v>75</v>
      </c>
      <c r="B84" s="82"/>
      <c r="C84" s="53">
        <v>1000.0</v>
      </c>
      <c r="D84" s="85">
        <f t="shared" si="5"/>
        <v>0</v>
      </c>
      <c r="E84" s="2"/>
      <c r="F84" s="14"/>
      <c r="G84" s="84"/>
      <c r="H84" s="40"/>
      <c r="I84" s="37"/>
    </row>
    <row r="85" hidden="1" outlineLevel="1">
      <c r="A85" s="55" t="s">
        <v>76</v>
      </c>
      <c r="B85" s="82"/>
      <c r="C85" s="53">
        <v>60.0</v>
      </c>
      <c r="D85" s="85">
        <f t="shared" si="5"/>
        <v>0</v>
      </c>
      <c r="E85" s="2"/>
      <c r="F85" s="14"/>
      <c r="G85" s="84"/>
      <c r="H85" s="40"/>
      <c r="I85" s="37"/>
    </row>
    <row r="86" hidden="1" outlineLevel="1">
      <c r="A86" s="55" t="s">
        <v>70</v>
      </c>
      <c r="B86" s="82"/>
      <c r="C86" s="53">
        <v>250.0</v>
      </c>
      <c r="D86" s="85">
        <f t="shared" si="5"/>
        <v>0</v>
      </c>
      <c r="E86" s="2"/>
      <c r="F86" s="14"/>
      <c r="G86" s="84"/>
      <c r="H86" s="40"/>
      <c r="I86" s="37"/>
    </row>
    <row r="87" hidden="1" outlineLevel="1">
      <c r="A87" s="55" t="s">
        <v>78</v>
      </c>
      <c r="B87" s="82"/>
      <c r="C87" s="53">
        <v>100.0</v>
      </c>
      <c r="D87" s="85">
        <f t="shared" si="5"/>
        <v>0</v>
      </c>
      <c r="E87" s="2"/>
      <c r="F87" s="14"/>
      <c r="G87" s="84"/>
      <c r="H87" s="40"/>
      <c r="I87" s="37"/>
    </row>
    <row r="88" collapsed="1">
      <c r="A88" s="55" t="s">
        <v>79</v>
      </c>
      <c r="B88" s="82"/>
      <c r="C88" s="53"/>
      <c r="D88" s="83">
        <f>SUM(D89:D97)</f>
        <v>199</v>
      </c>
      <c r="E88" s="2"/>
      <c r="F88" s="14"/>
      <c r="G88" s="84"/>
      <c r="H88" s="40"/>
      <c r="I88" s="37"/>
    </row>
    <row r="89" hidden="1" outlineLevel="1">
      <c r="A89" s="86" t="s">
        <v>80</v>
      </c>
      <c r="B89" s="86">
        <v>1.0</v>
      </c>
      <c r="C89" s="88">
        <v>25.0</v>
      </c>
      <c r="D89" s="85">
        <f t="shared" ref="D89:D97" si="6">SUM(B89*C89)</f>
        <v>25</v>
      </c>
    </row>
    <row r="90" hidden="1" outlineLevel="1">
      <c r="A90" s="55" t="s">
        <v>81</v>
      </c>
      <c r="B90" s="82">
        <v>30.0</v>
      </c>
      <c r="C90" s="82">
        <v>1.8</v>
      </c>
      <c r="D90" s="85">
        <f t="shared" si="6"/>
        <v>54</v>
      </c>
      <c r="E90" s="2"/>
      <c r="F90" s="2"/>
      <c r="G90" s="82"/>
      <c r="H90" s="53"/>
      <c r="I90" s="66"/>
    </row>
    <row r="91" hidden="1" outlineLevel="1">
      <c r="A91" s="55" t="s">
        <v>82</v>
      </c>
      <c r="B91" s="82"/>
      <c r="C91" s="53">
        <v>1.5</v>
      </c>
      <c r="D91" s="85">
        <f t="shared" si="6"/>
        <v>0</v>
      </c>
      <c r="E91" s="2"/>
      <c r="F91" s="2"/>
      <c r="G91" s="82"/>
      <c r="H91" s="53"/>
      <c r="I91" s="66"/>
    </row>
    <row r="92" hidden="1" outlineLevel="1">
      <c r="A92" s="55" t="s">
        <v>83</v>
      </c>
      <c r="B92" s="82"/>
      <c r="C92" s="53">
        <v>0.8</v>
      </c>
      <c r="D92" s="85">
        <f t="shared" si="6"/>
        <v>0</v>
      </c>
      <c r="E92" s="2"/>
      <c r="F92" s="2"/>
      <c r="G92" s="82"/>
      <c r="H92" s="53"/>
      <c r="I92" s="66"/>
    </row>
    <row r="93" hidden="1" outlineLevel="1">
      <c r="A93" s="55" t="s">
        <v>84</v>
      </c>
      <c r="B93" s="82">
        <v>2.0</v>
      </c>
      <c r="C93" s="53">
        <v>35.0</v>
      </c>
      <c r="D93" s="85">
        <f t="shared" si="6"/>
        <v>70</v>
      </c>
      <c r="E93" s="2"/>
      <c r="F93" s="2"/>
      <c r="G93" s="82"/>
      <c r="H93" s="53"/>
      <c r="I93" s="66"/>
    </row>
    <row r="94" hidden="1" outlineLevel="1">
      <c r="A94" s="55" t="s">
        <v>85</v>
      </c>
      <c r="B94" s="82">
        <v>1.0</v>
      </c>
      <c r="C94" s="53">
        <v>50.0</v>
      </c>
      <c r="D94" s="85">
        <f t="shared" si="6"/>
        <v>50</v>
      </c>
      <c r="E94" s="2"/>
      <c r="F94" s="2"/>
      <c r="G94" s="82"/>
      <c r="H94" s="53"/>
      <c r="I94" s="66"/>
    </row>
    <row r="95" hidden="1" outlineLevel="1">
      <c r="A95" s="55" t="s">
        <v>86</v>
      </c>
      <c r="B95" s="82">
        <v>0.0</v>
      </c>
      <c r="C95" s="53">
        <v>30.0</v>
      </c>
      <c r="D95" s="85">
        <f t="shared" si="6"/>
        <v>0</v>
      </c>
      <c r="E95" s="2"/>
      <c r="F95" s="2"/>
      <c r="G95" s="82"/>
      <c r="H95" s="53"/>
      <c r="I95" s="66"/>
    </row>
    <row r="96" hidden="1" outlineLevel="1">
      <c r="A96" s="55" t="s">
        <v>63</v>
      </c>
      <c r="B96" s="82"/>
      <c r="C96" s="53">
        <v>25.0</v>
      </c>
      <c r="D96" s="85">
        <f t="shared" si="6"/>
        <v>0</v>
      </c>
      <c r="E96" s="2"/>
      <c r="F96" s="2"/>
      <c r="G96" s="82"/>
      <c r="H96" s="53"/>
      <c r="I96" s="66"/>
    </row>
    <row r="97" hidden="1" outlineLevel="1">
      <c r="A97" s="55" t="s">
        <v>87</v>
      </c>
      <c r="B97" s="82"/>
      <c r="C97" s="53"/>
      <c r="D97" s="85">
        <f t="shared" si="6"/>
        <v>0</v>
      </c>
      <c r="E97" s="2"/>
      <c r="F97" s="2"/>
      <c r="G97" s="82"/>
      <c r="H97" s="53"/>
      <c r="I97" s="66"/>
    </row>
    <row r="98" collapsed="1">
      <c r="A98" s="55" t="s">
        <v>88</v>
      </c>
      <c r="B98" s="82"/>
      <c r="C98" s="53"/>
      <c r="D98" s="83">
        <f>SUM(D99:D102)</f>
        <v>520</v>
      </c>
      <c r="E98" s="2"/>
      <c r="F98" s="2"/>
      <c r="G98" s="82"/>
      <c r="H98" s="53"/>
      <c r="I98" s="66"/>
    </row>
    <row r="99" hidden="1" outlineLevel="1">
      <c r="A99" s="55" t="s">
        <v>89</v>
      </c>
      <c r="B99" s="82">
        <v>4.0</v>
      </c>
      <c r="C99" s="53">
        <v>130.0</v>
      </c>
      <c r="D99" s="85">
        <f t="shared" ref="D99:D101" si="7">SUM(B99*C99)</f>
        <v>520</v>
      </c>
      <c r="E99" s="2"/>
      <c r="F99" s="2"/>
      <c r="G99" s="82"/>
      <c r="H99" s="53"/>
      <c r="I99" s="66"/>
    </row>
    <row r="100" hidden="1" outlineLevel="1">
      <c r="A100" s="55" t="s">
        <v>90</v>
      </c>
      <c r="B100" s="82"/>
      <c r="C100" s="53">
        <v>50.0</v>
      </c>
      <c r="D100" s="85">
        <f t="shared" si="7"/>
        <v>0</v>
      </c>
      <c r="E100" s="2"/>
      <c r="F100" s="2"/>
      <c r="G100" s="82"/>
      <c r="H100" s="53"/>
      <c r="I100" s="66"/>
    </row>
    <row r="101" hidden="1" outlineLevel="1">
      <c r="A101" s="55" t="s">
        <v>63</v>
      </c>
      <c r="B101" s="82"/>
      <c r="C101" s="53"/>
      <c r="D101" s="85">
        <f t="shared" si="7"/>
        <v>0</v>
      </c>
      <c r="E101" s="2"/>
      <c r="F101" s="2"/>
      <c r="G101" s="82"/>
      <c r="H101" s="53"/>
      <c r="I101" s="66"/>
    </row>
    <row r="102" hidden="1" outlineLevel="1">
      <c r="A102" s="55" t="s">
        <v>87</v>
      </c>
      <c r="B102" s="82"/>
      <c r="C102" s="53"/>
      <c r="D102" s="85"/>
      <c r="E102" s="2"/>
      <c r="F102" s="2"/>
      <c r="G102" s="89"/>
      <c r="H102" s="53"/>
      <c r="I102" s="66"/>
    </row>
    <row r="103" collapsed="1">
      <c r="A103" s="86" t="s">
        <v>91</v>
      </c>
      <c r="B103" s="82"/>
      <c r="C103" s="53"/>
      <c r="D103" s="90">
        <f>SUM(D104:D110)</f>
        <v>80</v>
      </c>
      <c r="E103" s="2"/>
      <c r="F103" s="2"/>
      <c r="G103" s="82"/>
      <c r="H103" s="53"/>
      <c r="I103" s="66"/>
    </row>
    <row r="104" hidden="1" outlineLevel="1">
      <c r="A104" s="86" t="s">
        <v>92</v>
      </c>
      <c r="B104" s="82">
        <v>1.0</v>
      </c>
      <c r="C104" s="53">
        <v>80.0</v>
      </c>
      <c r="D104" s="85">
        <f t="shared" ref="D104:D110" si="8">SUM(B104*C104)</f>
        <v>80</v>
      </c>
      <c r="E104" s="2"/>
      <c r="F104" s="2"/>
      <c r="G104" s="82"/>
      <c r="H104" s="53"/>
      <c r="I104" s="66"/>
    </row>
    <row r="105" hidden="1" outlineLevel="1">
      <c r="A105" s="55" t="s">
        <v>114</v>
      </c>
      <c r="B105" s="82"/>
      <c r="C105" s="53">
        <v>12.0</v>
      </c>
      <c r="D105" s="85">
        <f t="shared" si="8"/>
        <v>0</v>
      </c>
      <c r="E105" s="2"/>
      <c r="F105" s="55"/>
      <c r="G105" s="82"/>
      <c r="H105" s="53"/>
      <c r="I105" s="66"/>
    </row>
    <row r="106" hidden="1" outlineLevel="1">
      <c r="A106" s="55" t="s">
        <v>119</v>
      </c>
      <c r="B106" s="82"/>
      <c r="C106" s="53">
        <v>70.0</v>
      </c>
      <c r="D106" s="85">
        <f t="shared" si="8"/>
        <v>0</v>
      </c>
      <c r="E106" s="2"/>
      <c r="F106" s="2"/>
      <c r="G106" s="89"/>
      <c r="H106" s="66"/>
      <c r="I106" s="66"/>
    </row>
    <row r="107" hidden="1" outlineLevel="1">
      <c r="A107" s="55" t="s">
        <v>125</v>
      </c>
      <c r="B107" s="55"/>
      <c r="C107" s="56">
        <v>35.0</v>
      </c>
      <c r="D107" s="85">
        <f t="shared" si="8"/>
        <v>0</v>
      </c>
      <c r="E107" s="2"/>
      <c r="F107" s="55"/>
      <c r="G107" s="55"/>
      <c r="H107" s="56"/>
      <c r="I107" s="66"/>
    </row>
    <row r="108" hidden="1" outlineLevel="1">
      <c r="A108" s="55" t="s">
        <v>96</v>
      </c>
      <c r="B108" s="55"/>
      <c r="C108" s="56">
        <v>800.0</v>
      </c>
      <c r="D108" s="85">
        <f t="shared" si="8"/>
        <v>0</v>
      </c>
      <c r="E108" s="2"/>
      <c r="F108" s="2"/>
      <c r="G108" s="2"/>
      <c r="H108" s="12"/>
      <c r="I108" s="66"/>
    </row>
    <row r="109" hidden="1" outlineLevel="1">
      <c r="A109" s="55" t="s">
        <v>97</v>
      </c>
      <c r="B109" s="55"/>
      <c r="C109" s="56">
        <v>300.0</v>
      </c>
      <c r="D109" s="85">
        <f t="shared" si="8"/>
        <v>0</v>
      </c>
      <c r="E109" s="2"/>
      <c r="F109" s="2"/>
      <c r="G109" s="2"/>
      <c r="H109" s="12"/>
      <c r="I109" s="66"/>
    </row>
    <row r="110" hidden="1" outlineLevel="1">
      <c r="A110" s="55" t="s">
        <v>98</v>
      </c>
      <c r="B110" s="55"/>
      <c r="C110" s="56">
        <v>600.0</v>
      </c>
      <c r="D110" s="85">
        <f t="shared" si="8"/>
        <v>0</v>
      </c>
      <c r="E110" s="2"/>
      <c r="F110" s="2"/>
      <c r="G110" s="2"/>
      <c r="H110" s="12"/>
      <c r="I110" s="66"/>
    </row>
    <row r="111" collapsed="1">
      <c r="A111" s="55" t="s">
        <v>99</v>
      </c>
      <c r="B111" s="2"/>
      <c r="C111" s="12"/>
      <c r="D111" s="83">
        <f>SUM(D112:D116)</f>
        <v>100</v>
      </c>
      <c r="E111" s="2"/>
      <c r="F111" s="2"/>
      <c r="G111" s="2"/>
      <c r="H111" s="12"/>
      <c r="I111" s="66"/>
    </row>
    <row r="112" hidden="1" outlineLevel="1">
      <c r="A112" s="55" t="s">
        <v>100</v>
      </c>
      <c r="B112" s="55">
        <v>1.0</v>
      </c>
      <c r="C112" s="56">
        <v>12.0</v>
      </c>
      <c r="D112" s="85">
        <f t="shared" ref="D112:D116" si="9">SUM(B112*C112)</f>
        <v>12</v>
      </c>
      <c r="E112" s="2"/>
      <c r="F112" s="2"/>
      <c r="G112" s="2"/>
      <c r="H112" s="12"/>
      <c r="I112" s="66"/>
    </row>
    <row r="113" hidden="1" outlineLevel="1">
      <c r="A113" s="55" t="s">
        <v>101</v>
      </c>
      <c r="B113" s="55">
        <v>2.0</v>
      </c>
      <c r="C113" s="56">
        <v>10.0</v>
      </c>
      <c r="D113" s="85">
        <f t="shared" si="9"/>
        <v>20</v>
      </c>
      <c r="E113" s="2"/>
      <c r="F113" s="2"/>
      <c r="G113" s="2"/>
      <c r="H113" s="12"/>
      <c r="I113" s="66"/>
    </row>
    <row r="114" hidden="1" outlineLevel="1">
      <c r="A114" s="55" t="s">
        <v>102</v>
      </c>
      <c r="B114" s="55">
        <v>2.0</v>
      </c>
      <c r="C114" s="56">
        <v>4.0</v>
      </c>
      <c r="D114" s="85">
        <f t="shared" si="9"/>
        <v>8</v>
      </c>
      <c r="E114" s="2"/>
      <c r="F114" s="2"/>
      <c r="G114" s="2"/>
      <c r="H114" s="12"/>
      <c r="I114" s="66"/>
    </row>
    <row r="115" hidden="1" outlineLevel="1">
      <c r="A115" s="55" t="s">
        <v>103</v>
      </c>
      <c r="B115" s="55">
        <v>20.0</v>
      </c>
      <c r="C115" s="56">
        <v>0.5</v>
      </c>
      <c r="D115" s="85">
        <f t="shared" si="9"/>
        <v>10</v>
      </c>
      <c r="E115" s="2"/>
      <c r="F115" s="2"/>
    </row>
    <row r="116" hidden="1" outlineLevel="1">
      <c r="A116" s="55" t="s">
        <v>104</v>
      </c>
      <c r="B116" s="55">
        <v>1.0</v>
      </c>
      <c r="C116" s="56">
        <v>50.0</v>
      </c>
      <c r="D116" s="85">
        <f t="shared" si="9"/>
        <v>50</v>
      </c>
      <c r="E116" s="2"/>
      <c r="F116" s="2"/>
    </row>
    <row r="117" collapsed="1">
      <c r="A117" s="55" t="s">
        <v>105</v>
      </c>
      <c r="B117" s="2"/>
      <c r="C117" s="12"/>
      <c r="D117" s="83">
        <f>SUM(D118:D120)</f>
        <v>70</v>
      </c>
      <c r="E117" s="2"/>
      <c r="F117" s="2"/>
    </row>
    <row r="118" hidden="1" outlineLevel="1">
      <c r="A118" s="55" t="s">
        <v>106</v>
      </c>
      <c r="B118" s="55">
        <v>1.0</v>
      </c>
      <c r="C118" s="56">
        <v>20.0</v>
      </c>
      <c r="D118" s="85">
        <f t="shared" ref="D118:D120" si="10">SUM(B118*C118)</f>
        <v>20</v>
      </c>
      <c r="E118" s="2"/>
      <c r="F118" s="2"/>
    </row>
    <row r="119" hidden="1" outlineLevel="1">
      <c r="A119" s="55" t="s">
        <v>107</v>
      </c>
      <c r="B119" s="55">
        <v>20.0</v>
      </c>
      <c r="C119" s="56">
        <v>1.5</v>
      </c>
      <c r="D119" s="85">
        <f t="shared" si="10"/>
        <v>30</v>
      </c>
      <c r="E119" s="2"/>
      <c r="F119" s="2"/>
    </row>
    <row r="120" hidden="1" outlineLevel="1">
      <c r="A120" s="86" t="s">
        <v>108</v>
      </c>
      <c r="B120" s="55">
        <v>20.0</v>
      </c>
      <c r="C120" s="56">
        <v>1.0</v>
      </c>
      <c r="D120" s="85">
        <f t="shared" si="10"/>
        <v>20</v>
      </c>
      <c r="E120" s="2"/>
      <c r="F120" s="2"/>
    </row>
    <row r="121">
      <c r="A121" s="2"/>
      <c r="B121" s="2"/>
      <c r="C121" s="12"/>
      <c r="D121" s="85"/>
      <c r="E121" s="2"/>
      <c r="F121" s="2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  <row r="1045">
      <c r="D1045" s="20"/>
    </row>
  </sheetData>
  <mergeCells count="2">
    <mergeCell ref="A1:D1"/>
    <mergeCell ref="A7:D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75"/>
    <col customWidth="1" min="2" max="2" width="18.38"/>
    <col customWidth="1" min="3" max="3" width="17.13"/>
    <col customWidth="1" min="4" max="4" width="14.0"/>
    <col customWidth="1" min="5" max="5" width="4.13"/>
    <col customWidth="1" min="6" max="6" width="25.0"/>
    <col customWidth="1" min="7" max="7" width="17.63"/>
    <col customWidth="1" min="8" max="8" width="14.25"/>
  </cols>
  <sheetData>
    <row r="1">
      <c r="A1" s="1" t="s">
        <v>0</v>
      </c>
      <c r="E1" s="1"/>
      <c r="F1" s="1"/>
      <c r="G1" s="1"/>
      <c r="H1" s="1"/>
      <c r="I1" s="1"/>
    </row>
    <row r="2">
      <c r="A2" s="2"/>
      <c r="B2" s="2"/>
      <c r="C2" s="2"/>
      <c r="D2" s="3"/>
      <c r="E2" s="4"/>
      <c r="F2" s="4"/>
    </row>
    <row r="3">
      <c r="A3" s="5" t="s">
        <v>1</v>
      </c>
      <c r="B3" s="6" t="s">
        <v>130</v>
      </c>
      <c r="C3" s="7"/>
      <c r="D3" s="7"/>
      <c r="E3" s="8"/>
      <c r="F3" s="8"/>
      <c r="G3" s="8"/>
      <c r="H3" s="8"/>
      <c r="I3" s="8"/>
    </row>
    <row r="4">
      <c r="A4" s="5" t="s">
        <v>3</v>
      </c>
      <c r="B4" s="7" t="s">
        <v>126</v>
      </c>
      <c r="C4" s="7"/>
      <c r="D4" s="7"/>
      <c r="E4" s="8"/>
      <c r="F4" s="8"/>
      <c r="G4" s="8"/>
      <c r="H4" s="8"/>
      <c r="I4" s="8"/>
    </row>
    <row r="5">
      <c r="A5" s="9" t="s">
        <v>5</v>
      </c>
      <c r="B5" s="10" t="s">
        <v>6</v>
      </c>
      <c r="C5" s="10"/>
      <c r="D5" s="10"/>
      <c r="E5" s="11"/>
      <c r="F5" s="11"/>
      <c r="G5" s="11"/>
      <c r="H5" s="11"/>
      <c r="I5" s="11"/>
    </row>
    <row r="6">
      <c r="A6" s="2"/>
      <c r="B6" s="12"/>
      <c r="C6" s="2"/>
      <c r="D6" s="3"/>
      <c r="E6" s="4"/>
      <c r="F6" s="4"/>
    </row>
    <row r="7">
      <c r="A7" s="13" t="s">
        <v>7</v>
      </c>
      <c r="E7" s="14"/>
      <c r="F7" s="15"/>
      <c r="G7" s="15"/>
      <c r="H7" s="15"/>
      <c r="I7" s="15"/>
    </row>
    <row r="8">
      <c r="A8" s="1"/>
      <c r="B8" s="1"/>
      <c r="C8" s="1"/>
      <c r="D8" s="16"/>
      <c r="E8" s="4"/>
      <c r="F8" s="15"/>
      <c r="G8" s="15"/>
      <c r="H8" s="15"/>
      <c r="I8" s="17"/>
    </row>
    <row r="9">
      <c r="A9" s="18" t="s">
        <v>8</v>
      </c>
      <c r="B9" s="19">
        <v>15000.0</v>
      </c>
      <c r="D9" s="20"/>
      <c r="F9" s="21"/>
      <c r="G9" s="22"/>
      <c r="H9" s="17"/>
      <c r="I9" s="17"/>
    </row>
    <row r="10">
      <c r="A10" s="23" t="s">
        <v>9</v>
      </c>
      <c r="B10" s="24">
        <f>SUM(B14:B19)</f>
        <v>7979</v>
      </c>
      <c r="C10" s="2"/>
      <c r="D10" s="3"/>
      <c r="F10" s="21"/>
      <c r="G10" s="25"/>
      <c r="H10" s="14"/>
      <c r="I10" s="14"/>
    </row>
    <row r="11">
      <c r="A11" s="26" t="s">
        <v>10</v>
      </c>
      <c r="B11" s="27">
        <f>SUM(B9-B10)</f>
        <v>7021</v>
      </c>
      <c r="C11" s="2"/>
      <c r="D11" s="3"/>
      <c r="E11" s="2"/>
      <c r="F11" s="21"/>
      <c r="G11" s="25"/>
      <c r="H11" s="14"/>
      <c r="I11" s="14"/>
    </row>
    <row r="12">
      <c r="A12" s="28" t="s">
        <v>11</v>
      </c>
      <c r="B12" s="29">
        <f>B11/B9</f>
        <v>0.4680666667</v>
      </c>
      <c r="D12" s="30"/>
      <c r="E12" s="14"/>
      <c r="F12" s="31"/>
      <c r="G12" s="32"/>
      <c r="H12" s="14"/>
      <c r="I12" s="14"/>
    </row>
    <row r="13">
      <c r="A13" s="2"/>
      <c r="B13" s="33" t="s">
        <v>12</v>
      </c>
      <c r="C13" s="14"/>
      <c r="D13" s="30"/>
      <c r="E13" s="14"/>
      <c r="F13" s="14"/>
      <c r="G13" s="14"/>
      <c r="H13" s="14"/>
      <c r="I13" s="14"/>
    </row>
    <row r="14">
      <c r="A14" s="34" t="s">
        <v>13</v>
      </c>
      <c r="B14" s="35">
        <f>SUM(B22)</f>
        <v>1560</v>
      </c>
      <c r="C14" s="14"/>
      <c r="D14" s="30"/>
      <c r="E14" s="14"/>
      <c r="F14" s="36"/>
      <c r="G14" s="37"/>
      <c r="H14" s="14"/>
      <c r="I14" s="14"/>
    </row>
    <row r="15">
      <c r="A15" s="34" t="str">
        <f t="shared" ref="A15:B15" si="1">A32</f>
        <v>Terceirizados</v>
      </c>
      <c r="B15" s="35">
        <f t="shared" si="1"/>
        <v>0</v>
      </c>
      <c r="C15" s="14"/>
      <c r="D15" s="30"/>
      <c r="E15" s="14"/>
      <c r="F15" s="36"/>
      <c r="G15" s="37"/>
      <c r="H15" s="14"/>
      <c r="I15" s="14"/>
    </row>
    <row r="16">
      <c r="A16" s="34" t="str">
        <f t="shared" ref="A16:B16" si="2">A40</f>
        <v>Custos de venda R$:</v>
      </c>
      <c r="B16" s="35">
        <f t="shared" si="2"/>
        <v>3400</v>
      </c>
      <c r="C16" s="14"/>
      <c r="D16" s="30"/>
      <c r="E16" s="14"/>
      <c r="F16" s="36"/>
      <c r="G16" s="37"/>
      <c r="H16" s="14"/>
      <c r="I16" s="14"/>
    </row>
    <row r="17">
      <c r="A17" s="34" t="s">
        <v>14</v>
      </c>
      <c r="B17" s="35">
        <f>B51</f>
        <v>2719</v>
      </c>
      <c r="C17" s="14"/>
      <c r="D17" s="30"/>
      <c r="E17" s="14"/>
      <c r="F17" s="36"/>
      <c r="G17" s="37"/>
      <c r="H17" s="14"/>
      <c r="I17" s="14"/>
    </row>
    <row r="18">
      <c r="A18" s="38" t="s">
        <v>15</v>
      </c>
      <c r="B18" s="39">
        <f>B9*2%</f>
        <v>300</v>
      </c>
      <c r="C18" s="2"/>
      <c r="D18" s="3"/>
      <c r="E18" s="4"/>
      <c r="F18" s="14"/>
      <c r="G18" s="40"/>
      <c r="H18" s="14"/>
      <c r="I18" s="14"/>
    </row>
    <row r="19">
      <c r="A19" s="41" t="s">
        <v>16</v>
      </c>
      <c r="B19" s="42"/>
      <c r="C19" s="2"/>
      <c r="D19" s="3"/>
      <c r="E19" s="4"/>
      <c r="F19" s="43"/>
      <c r="G19" s="37"/>
      <c r="H19" s="14"/>
      <c r="I19" s="14"/>
    </row>
    <row r="20">
      <c r="A20" s="2"/>
      <c r="B20" s="2"/>
      <c r="C20" s="2"/>
      <c r="D20" s="3"/>
      <c r="E20" s="4"/>
      <c r="F20" s="14"/>
      <c r="G20" s="14"/>
      <c r="H20" s="14"/>
      <c r="I20" s="14"/>
    </row>
    <row r="21">
      <c r="A21" s="2"/>
      <c r="B21" s="2"/>
      <c r="C21" s="2"/>
      <c r="D21" s="3"/>
      <c r="E21" s="4"/>
      <c r="F21" s="14"/>
      <c r="G21" s="14"/>
      <c r="H21" s="14"/>
      <c r="I21" s="14"/>
    </row>
    <row r="22" collapsed="1">
      <c r="A22" s="44" t="s">
        <v>17</v>
      </c>
      <c r="B22" s="45">
        <f>SUM(B23:B31)</f>
        <v>1560</v>
      </c>
      <c r="C22" s="46"/>
      <c r="D22" s="47"/>
      <c r="E22" s="48"/>
      <c r="F22" s="49"/>
      <c r="G22" s="50"/>
      <c r="H22" s="51"/>
      <c r="I22" s="51"/>
    </row>
    <row r="23" hidden="1" outlineLevel="1">
      <c r="A23" s="52" t="s">
        <v>18</v>
      </c>
      <c r="B23" s="53">
        <f>B9*5%</f>
        <v>750</v>
      </c>
      <c r="C23" s="2"/>
      <c r="D23" s="3"/>
      <c r="E23" s="4"/>
      <c r="F23" s="54"/>
      <c r="G23" s="40"/>
      <c r="H23" s="14"/>
      <c r="I23" s="14"/>
    </row>
    <row r="24" hidden="1" outlineLevel="1">
      <c r="A24" s="52" t="s">
        <v>19</v>
      </c>
      <c r="B24" s="53">
        <v>400.0</v>
      </c>
      <c r="C24" s="2"/>
      <c r="D24" s="3"/>
      <c r="E24" s="4"/>
      <c r="F24" s="54"/>
      <c r="G24" s="40"/>
      <c r="H24" s="14"/>
      <c r="I24" s="14"/>
    </row>
    <row r="25" hidden="1" outlineLevel="1">
      <c r="A25" s="55" t="s">
        <v>20</v>
      </c>
      <c r="B25" s="56"/>
      <c r="C25" s="2"/>
      <c r="D25" s="3"/>
      <c r="E25" s="4"/>
      <c r="F25" s="43"/>
      <c r="G25" s="57"/>
      <c r="H25" s="14"/>
      <c r="I25" s="14"/>
    </row>
    <row r="26" hidden="1" outlineLevel="1">
      <c r="A26" s="55" t="s">
        <v>21</v>
      </c>
      <c r="B26" s="56">
        <v>250.0</v>
      </c>
      <c r="C26" s="2"/>
      <c r="D26" s="3"/>
      <c r="E26" s="4"/>
      <c r="F26" s="43"/>
      <c r="G26" s="57"/>
      <c r="H26" s="14"/>
      <c r="I26" s="14"/>
    </row>
    <row r="27" hidden="1" outlineLevel="1">
      <c r="A27" s="2" t="s">
        <v>22</v>
      </c>
      <c r="B27" s="56">
        <v>100.0</v>
      </c>
      <c r="C27" s="2"/>
      <c r="D27" s="3"/>
      <c r="E27" s="4"/>
      <c r="F27" s="14"/>
      <c r="G27" s="57"/>
      <c r="H27" s="14"/>
      <c r="I27" s="14"/>
    </row>
    <row r="28" hidden="1" outlineLevel="1">
      <c r="A28" s="55" t="s">
        <v>23</v>
      </c>
      <c r="B28" s="56"/>
      <c r="C28" s="2"/>
      <c r="D28" s="3"/>
      <c r="E28" s="4"/>
      <c r="F28" s="43"/>
      <c r="G28" s="57"/>
      <c r="H28" s="14"/>
      <c r="I28" s="14"/>
    </row>
    <row r="29" hidden="1" outlineLevel="1">
      <c r="A29" s="55" t="s">
        <v>24</v>
      </c>
      <c r="B29" s="56">
        <v>30.0</v>
      </c>
      <c r="C29" s="2"/>
      <c r="D29" s="3"/>
      <c r="E29" s="4"/>
      <c r="F29" s="43"/>
      <c r="G29" s="57"/>
      <c r="H29" s="14"/>
      <c r="I29" s="14"/>
    </row>
    <row r="30" hidden="1" outlineLevel="1">
      <c r="A30" s="55" t="s">
        <v>25</v>
      </c>
      <c r="B30" s="56">
        <v>30.0</v>
      </c>
      <c r="C30" s="2"/>
      <c r="D30" s="3"/>
      <c r="E30" s="4"/>
      <c r="F30" s="43"/>
      <c r="G30" s="57"/>
      <c r="H30" s="14"/>
      <c r="I30" s="14"/>
    </row>
    <row r="31">
      <c r="A31" s="2"/>
      <c r="B31" s="12"/>
      <c r="C31" s="2"/>
      <c r="D31" s="3"/>
      <c r="E31" s="4"/>
      <c r="F31" s="14"/>
      <c r="G31" s="58"/>
      <c r="H31" s="14"/>
      <c r="I31" s="14"/>
    </row>
    <row r="32" collapsed="1">
      <c r="A32" s="59" t="s">
        <v>26</v>
      </c>
      <c r="B32" s="60">
        <f>SUM(B33:B39)</f>
        <v>0</v>
      </c>
      <c r="C32" s="61"/>
      <c r="D32" s="62"/>
      <c r="E32" s="4"/>
      <c r="F32" s="36"/>
      <c r="G32" s="63"/>
      <c r="H32" s="14"/>
      <c r="I32" s="14"/>
    </row>
    <row r="33" hidden="1" outlineLevel="1">
      <c r="A33" s="64" t="s">
        <v>27</v>
      </c>
      <c r="B33" s="12"/>
      <c r="C33" s="2"/>
      <c r="D33" s="3"/>
      <c r="E33" s="4"/>
      <c r="F33" s="65"/>
      <c r="G33" s="58"/>
      <c r="H33" s="14"/>
      <c r="I33" s="14"/>
    </row>
    <row r="34" hidden="1" outlineLevel="1">
      <c r="A34" s="64" t="s">
        <v>28</v>
      </c>
      <c r="B34" s="56"/>
      <c r="C34" s="2"/>
      <c r="D34" s="3"/>
      <c r="E34" s="4"/>
      <c r="F34" s="65"/>
      <c r="G34" s="57"/>
      <c r="H34" s="14"/>
      <c r="I34" s="14"/>
    </row>
    <row r="35" hidden="1" outlineLevel="1">
      <c r="A35" s="64" t="s">
        <v>29</v>
      </c>
      <c r="B35" s="56"/>
      <c r="C35" s="2"/>
      <c r="D35" s="3"/>
      <c r="E35" s="4"/>
      <c r="F35" s="65"/>
      <c r="G35" s="57"/>
      <c r="H35" s="14"/>
      <c r="I35" s="14"/>
    </row>
    <row r="36" hidden="1" outlineLevel="1">
      <c r="A36" s="64" t="s">
        <v>30</v>
      </c>
      <c r="B36" s="12"/>
      <c r="C36" s="2"/>
      <c r="D36" s="3"/>
      <c r="E36" s="4"/>
      <c r="F36" s="65"/>
      <c r="G36" s="58"/>
      <c r="H36" s="14"/>
      <c r="I36" s="14"/>
    </row>
    <row r="37" hidden="1" outlineLevel="1">
      <c r="A37" s="55" t="s">
        <v>31</v>
      </c>
      <c r="B37" s="56"/>
      <c r="C37" s="2"/>
      <c r="D37" s="3"/>
      <c r="E37" s="4"/>
      <c r="F37" s="43"/>
      <c r="G37" s="58"/>
      <c r="H37" s="14"/>
      <c r="I37" s="14"/>
    </row>
    <row r="38" hidden="1" outlineLevel="1">
      <c r="A38" s="55"/>
      <c r="B38" s="12"/>
      <c r="C38" s="2"/>
      <c r="D38" s="3"/>
      <c r="E38" s="4"/>
      <c r="F38" s="43"/>
      <c r="G38" s="58"/>
      <c r="H38" s="14"/>
      <c r="I38" s="14"/>
    </row>
    <row r="39">
      <c r="A39" s="2"/>
      <c r="B39" s="12"/>
      <c r="C39" s="2"/>
      <c r="D39" s="3"/>
      <c r="E39" s="4"/>
      <c r="F39" s="14"/>
      <c r="G39" s="58"/>
      <c r="H39" s="14"/>
      <c r="I39" s="14"/>
    </row>
    <row r="40" collapsed="1">
      <c r="A40" s="59" t="s">
        <v>32</v>
      </c>
      <c r="B40" s="60">
        <f>SUM(B42:B49)</f>
        <v>3400</v>
      </c>
      <c r="C40" s="61"/>
      <c r="D40" s="62"/>
      <c r="E40" s="4"/>
      <c r="F40" s="36"/>
      <c r="G40" s="63"/>
      <c r="H40" s="14"/>
      <c r="I40" s="14"/>
    </row>
    <row r="41" hidden="1" outlineLevel="1">
      <c r="A41" s="52" t="s">
        <v>33</v>
      </c>
      <c r="B41" s="12">
        <f>B9*3%</f>
        <v>450</v>
      </c>
      <c r="C41" s="2"/>
      <c r="D41" s="3"/>
      <c r="E41" s="4"/>
      <c r="F41" s="54"/>
      <c r="G41" s="58"/>
      <c r="H41" s="14"/>
      <c r="I41" s="14"/>
    </row>
    <row r="42" hidden="1" outlineLevel="1">
      <c r="A42" s="64" t="s">
        <v>34</v>
      </c>
      <c r="B42" s="12">
        <f>B9*7%</f>
        <v>1050</v>
      </c>
      <c r="C42" s="2"/>
      <c r="D42" s="3"/>
      <c r="E42" s="4"/>
      <c r="F42" s="65"/>
      <c r="G42" s="58"/>
      <c r="H42" s="14"/>
      <c r="I42" s="14"/>
    </row>
    <row r="43" hidden="1" outlineLevel="1">
      <c r="A43" s="64" t="s">
        <v>35</v>
      </c>
      <c r="B43" s="66">
        <f>B9*7%</f>
        <v>1050</v>
      </c>
      <c r="C43" s="2"/>
      <c r="D43" s="3"/>
      <c r="E43" s="4"/>
      <c r="F43" s="65"/>
      <c r="G43" s="37"/>
      <c r="H43" s="14"/>
      <c r="I43" s="14"/>
    </row>
    <row r="44" hidden="1" outlineLevel="1">
      <c r="A44" s="64" t="s">
        <v>36</v>
      </c>
      <c r="B44" s="67">
        <v>250.0</v>
      </c>
      <c r="C44" s="2"/>
      <c r="D44" s="3"/>
      <c r="E44" s="4"/>
      <c r="F44" s="65"/>
      <c r="G44" s="68"/>
      <c r="H44" s="14"/>
      <c r="I44" s="14"/>
    </row>
    <row r="45" hidden="1" outlineLevel="1">
      <c r="A45" s="64" t="s">
        <v>37</v>
      </c>
      <c r="B45" s="67"/>
      <c r="C45" s="2"/>
      <c r="D45" s="3"/>
      <c r="E45" s="4"/>
      <c r="F45" s="65"/>
      <c r="G45" s="68"/>
      <c r="H45" s="14"/>
      <c r="I45" s="14"/>
    </row>
    <row r="46" hidden="1" outlineLevel="1">
      <c r="A46" s="64" t="s">
        <v>38</v>
      </c>
      <c r="B46" s="67">
        <f>B9*7%</f>
        <v>1050</v>
      </c>
      <c r="C46" s="2"/>
      <c r="D46" s="3"/>
      <c r="E46" s="4"/>
      <c r="F46" s="65"/>
      <c r="G46" s="69"/>
      <c r="H46" s="14"/>
      <c r="I46" s="14"/>
    </row>
    <row r="47" hidden="1" outlineLevel="1">
      <c r="A47" s="64" t="s">
        <v>39</v>
      </c>
      <c r="B47" s="70"/>
      <c r="C47" s="2"/>
      <c r="D47" s="3"/>
      <c r="E47" s="4"/>
      <c r="F47" s="65"/>
      <c r="G47" s="69"/>
      <c r="H47" s="14"/>
      <c r="I47" s="14"/>
    </row>
    <row r="48" hidden="1" outlineLevel="1">
      <c r="A48" s="64" t="s">
        <v>40</v>
      </c>
      <c r="B48" s="56"/>
      <c r="C48" s="2"/>
      <c r="D48" s="3"/>
      <c r="E48" s="4"/>
      <c r="F48" s="65"/>
      <c r="G48" s="58"/>
      <c r="H48" s="14"/>
      <c r="I48" s="14"/>
    </row>
    <row r="49" hidden="1" outlineLevel="1">
      <c r="A49" s="2"/>
      <c r="B49" s="12"/>
      <c r="C49" s="2"/>
      <c r="D49" s="3"/>
      <c r="E49" s="4"/>
      <c r="F49" s="14"/>
      <c r="G49" s="58"/>
      <c r="H49" s="14"/>
      <c r="I49" s="14"/>
    </row>
    <row r="50">
      <c r="A50" s="2"/>
      <c r="B50" s="12"/>
      <c r="C50" s="2"/>
      <c r="D50" s="3"/>
      <c r="E50" s="4"/>
      <c r="F50" s="14"/>
      <c r="G50" s="58"/>
      <c r="H50" s="14"/>
      <c r="I50" s="14"/>
    </row>
    <row r="51">
      <c r="A51" s="71" t="s">
        <v>41</v>
      </c>
      <c r="B51" s="72">
        <f>SUM(D53+D69+D73+D88+D98+D103+D111)</f>
        <v>2719</v>
      </c>
      <c r="C51" s="73"/>
      <c r="D51" s="74"/>
      <c r="E51" s="4"/>
      <c r="F51" s="75"/>
      <c r="G51" s="76"/>
      <c r="H51" s="77"/>
      <c r="I51" s="17"/>
    </row>
    <row r="52">
      <c r="A52" s="78" t="s">
        <v>42</v>
      </c>
      <c r="B52" s="79" t="s">
        <v>43</v>
      </c>
      <c r="C52" s="79" t="s">
        <v>44</v>
      </c>
      <c r="D52" s="80" t="s">
        <v>45</v>
      </c>
      <c r="E52" s="81"/>
      <c r="F52" s="36"/>
      <c r="G52" s="36"/>
      <c r="H52" s="36"/>
      <c r="I52" s="36"/>
    </row>
    <row r="53" collapsed="1">
      <c r="A53" s="55" t="s">
        <v>46</v>
      </c>
      <c r="B53" s="82"/>
      <c r="C53" s="53"/>
      <c r="D53" s="83">
        <f>SUM(D54:D68)</f>
        <v>1250</v>
      </c>
      <c r="E53" s="4"/>
      <c r="F53" s="14"/>
      <c r="G53" s="84"/>
      <c r="H53" s="40"/>
      <c r="I53" s="37"/>
    </row>
    <row r="54" hidden="1" outlineLevel="1">
      <c r="A54" s="2" t="s">
        <v>47</v>
      </c>
      <c r="B54" s="82">
        <v>1.5</v>
      </c>
      <c r="C54" s="53">
        <v>200.0</v>
      </c>
      <c r="D54" s="85">
        <f>SUM(B53*C54)</f>
        <v>0</v>
      </c>
      <c r="E54" s="4"/>
      <c r="F54" s="14"/>
      <c r="G54" s="84"/>
      <c r="H54" s="40"/>
      <c r="I54" s="37"/>
    </row>
    <row r="55" hidden="1" outlineLevel="1">
      <c r="A55" s="2" t="s">
        <v>48</v>
      </c>
      <c r="B55" s="86">
        <v>3.0</v>
      </c>
      <c r="C55" s="53">
        <v>250.0</v>
      </c>
      <c r="D55" s="85">
        <f t="shared" ref="D55:D67" si="3">SUM(B55*C55)</f>
        <v>750</v>
      </c>
      <c r="E55" s="4"/>
      <c r="F55" s="43"/>
      <c r="G55" s="84"/>
      <c r="H55" s="40"/>
      <c r="I55" s="37"/>
    </row>
    <row r="56" hidden="1" outlineLevel="1">
      <c r="A56" s="55" t="s">
        <v>112</v>
      </c>
      <c r="C56" s="53">
        <v>320.0</v>
      </c>
      <c r="D56" s="85">
        <f t="shared" si="3"/>
        <v>0</v>
      </c>
      <c r="E56" s="4"/>
      <c r="F56" s="43"/>
      <c r="G56" s="84"/>
      <c r="H56" s="40"/>
      <c r="I56" s="37"/>
    </row>
    <row r="57" hidden="1" outlineLevel="1">
      <c r="A57" s="2" t="s">
        <v>49</v>
      </c>
      <c r="B57" s="82"/>
      <c r="C57" s="53">
        <v>290.0</v>
      </c>
      <c r="D57" s="85">
        <f t="shared" si="3"/>
        <v>0</v>
      </c>
      <c r="E57" s="2"/>
      <c r="F57" s="43"/>
      <c r="G57" s="84"/>
      <c r="H57" s="40"/>
      <c r="I57" s="37"/>
    </row>
    <row r="58" hidden="1" outlineLevel="1">
      <c r="A58" s="55" t="s">
        <v>50</v>
      </c>
      <c r="B58" s="82"/>
      <c r="C58" s="53">
        <v>420.0</v>
      </c>
      <c r="D58" s="85">
        <f t="shared" si="3"/>
        <v>0</v>
      </c>
      <c r="E58" s="2"/>
      <c r="F58" s="14"/>
      <c r="G58" s="84"/>
      <c r="H58" s="37"/>
      <c r="I58" s="37"/>
    </row>
    <row r="59" hidden="1" outlineLevel="1">
      <c r="A59" s="55" t="s">
        <v>51</v>
      </c>
      <c r="B59" s="82"/>
      <c r="C59" s="53">
        <v>300.0</v>
      </c>
      <c r="D59" s="85">
        <f t="shared" si="3"/>
        <v>0</v>
      </c>
      <c r="E59" s="2"/>
      <c r="F59" s="14"/>
      <c r="G59" s="84"/>
      <c r="H59" s="37"/>
      <c r="I59" s="37"/>
    </row>
    <row r="60" hidden="1" outlineLevel="1">
      <c r="A60" s="55" t="s">
        <v>52</v>
      </c>
      <c r="B60" s="82">
        <v>1.0</v>
      </c>
      <c r="C60" s="53">
        <v>500.0</v>
      </c>
      <c r="D60" s="85">
        <f t="shared" si="3"/>
        <v>500</v>
      </c>
      <c r="E60" s="2"/>
      <c r="F60" s="14"/>
      <c r="G60" s="84"/>
      <c r="H60" s="37"/>
      <c r="I60" s="37"/>
      <c r="K60" s="55"/>
    </row>
    <row r="61" hidden="1" outlineLevel="1">
      <c r="A61" s="55" t="s">
        <v>53</v>
      </c>
      <c r="B61" s="82"/>
      <c r="C61" s="53">
        <v>580.0</v>
      </c>
      <c r="D61" s="85">
        <f t="shared" si="3"/>
        <v>0</v>
      </c>
      <c r="E61" s="2"/>
      <c r="F61" s="14"/>
      <c r="G61" s="87"/>
      <c r="H61" s="37"/>
      <c r="I61" s="37"/>
      <c r="K61" s="55"/>
    </row>
    <row r="62" hidden="1" outlineLevel="1">
      <c r="A62" s="55" t="s">
        <v>54</v>
      </c>
      <c r="B62" s="82"/>
      <c r="C62" s="53">
        <v>800.0</v>
      </c>
      <c r="D62" s="85">
        <f t="shared" si="3"/>
        <v>0</v>
      </c>
      <c r="E62" s="2"/>
      <c r="F62" s="43"/>
      <c r="G62" s="84"/>
      <c r="H62" s="40"/>
      <c r="I62" s="37"/>
      <c r="K62" s="55"/>
    </row>
    <row r="63" hidden="1" outlineLevel="1">
      <c r="A63" s="55" t="s">
        <v>55</v>
      </c>
      <c r="B63" s="82"/>
      <c r="C63" s="53">
        <v>950.0</v>
      </c>
      <c r="D63" s="85">
        <f t="shared" si="3"/>
        <v>0</v>
      </c>
      <c r="E63" s="2"/>
      <c r="F63" s="43"/>
      <c r="G63" s="84"/>
      <c r="H63" s="40"/>
      <c r="I63" s="37"/>
    </row>
    <row r="64" hidden="1" outlineLevel="1">
      <c r="A64" s="55" t="s">
        <v>56</v>
      </c>
      <c r="B64" s="82"/>
      <c r="C64" s="53">
        <v>1200.0</v>
      </c>
      <c r="D64" s="85">
        <f t="shared" si="3"/>
        <v>0</v>
      </c>
      <c r="E64" s="2"/>
      <c r="F64" s="43"/>
      <c r="G64" s="84"/>
      <c r="H64" s="40"/>
      <c r="I64" s="37"/>
    </row>
    <row r="65" hidden="1" outlineLevel="1">
      <c r="A65" s="55" t="s">
        <v>57</v>
      </c>
      <c r="B65" s="82"/>
      <c r="C65" s="53">
        <v>2200.0</v>
      </c>
      <c r="D65" s="85">
        <f t="shared" si="3"/>
        <v>0</v>
      </c>
      <c r="E65" s="2"/>
      <c r="F65" s="43"/>
      <c r="G65" s="84"/>
      <c r="H65" s="40"/>
      <c r="I65" s="37"/>
    </row>
    <row r="66" hidden="1" outlineLevel="1">
      <c r="A66" s="55" t="s">
        <v>58</v>
      </c>
      <c r="B66" s="82"/>
      <c r="C66" s="53">
        <v>600.0</v>
      </c>
      <c r="D66" s="85">
        <f t="shared" si="3"/>
        <v>0</v>
      </c>
      <c r="E66" s="2"/>
      <c r="F66" s="43"/>
      <c r="G66" s="84"/>
      <c r="H66" s="40"/>
      <c r="I66" s="37"/>
    </row>
    <row r="67" hidden="1" outlineLevel="1">
      <c r="A67" s="55" t="s">
        <v>59</v>
      </c>
      <c r="B67" s="82"/>
      <c r="C67" s="53">
        <v>400.0</v>
      </c>
      <c r="D67" s="85">
        <f t="shared" si="3"/>
        <v>0</v>
      </c>
      <c r="E67" s="2"/>
      <c r="F67" s="43"/>
      <c r="G67" s="84"/>
      <c r="H67" s="40"/>
      <c r="I67" s="37"/>
    </row>
    <row r="68" hidden="1" outlineLevel="1">
      <c r="A68" s="55" t="s">
        <v>59</v>
      </c>
      <c r="B68" s="82"/>
      <c r="C68" s="53"/>
      <c r="D68" s="85"/>
      <c r="E68" s="2"/>
      <c r="F68" s="43"/>
      <c r="G68" s="84"/>
      <c r="H68" s="40"/>
      <c r="I68" s="37"/>
    </row>
    <row r="69" collapsed="1">
      <c r="A69" s="55" t="s">
        <v>60</v>
      </c>
      <c r="B69" s="82"/>
      <c r="C69" s="53"/>
      <c r="D69" s="83">
        <f>SUM(D70:D72)</f>
        <v>280</v>
      </c>
      <c r="E69" s="2"/>
      <c r="F69" s="14"/>
      <c r="G69" s="84"/>
      <c r="H69" s="40"/>
      <c r="I69" s="37"/>
    </row>
    <row r="70" hidden="1" outlineLevel="1">
      <c r="A70" s="55" t="s">
        <v>61</v>
      </c>
      <c r="B70" s="82">
        <v>1.0</v>
      </c>
      <c r="C70" s="53">
        <v>80.0</v>
      </c>
      <c r="D70" s="85">
        <f t="shared" ref="D70:D71" si="4">SUM(B70*C70)</f>
        <v>80</v>
      </c>
      <c r="E70" s="2"/>
      <c r="F70" s="14"/>
      <c r="G70" s="84"/>
      <c r="H70" s="40"/>
      <c r="I70" s="37"/>
    </row>
    <row r="71" hidden="1" outlineLevel="1">
      <c r="A71" s="55" t="s">
        <v>62</v>
      </c>
      <c r="B71" s="82">
        <v>2.0</v>
      </c>
      <c r="C71" s="53">
        <v>100.0</v>
      </c>
      <c r="D71" s="85">
        <f t="shared" si="4"/>
        <v>200</v>
      </c>
      <c r="E71" s="2"/>
      <c r="F71" s="14"/>
      <c r="G71" s="84"/>
      <c r="H71" s="40"/>
      <c r="I71" s="37"/>
    </row>
    <row r="72" hidden="1" outlineLevel="1">
      <c r="A72" s="55" t="s">
        <v>63</v>
      </c>
      <c r="B72" s="82"/>
      <c r="C72" s="53"/>
      <c r="D72" s="83"/>
      <c r="E72" s="2"/>
      <c r="F72" s="14"/>
      <c r="G72" s="84"/>
      <c r="H72" s="40"/>
      <c r="I72" s="37"/>
    </row>
    <row r="73" collapsed="1">
      <c r="A73" s="55" t="s">
        <v>64</v>
      </c>
      <c r="B73" s="82"/>
      <c r="C73" s="53"/>
      <c r="D73" s="83">
        <f>SUM(D74:D87)</f>
        <v>290</v>
      </c>
      <c r="E73" s="2"/>
      <c r="F73" s="14"/>
      <c r="G73" s="84"/>
      <c r="H73" s="40"/>
      <c r="I73" s="37"/>
    </row>
    <row r="74" hidden="1" outlineLevel="1">
      <c r="A74" s="55" t="s">
        <v>65</v>
      </c>
      <c r="B74" s="82">
        <v>8.0</v>
      </c>
      <c r="C74" s="53">
        <v>10.0</v>
      </c>
      <c r="D74" s="85">
        <f t="shared" ref="D74:D87" si="5">SUM(B74*C74)</f>
        <v>80</v>
      </c>
      <c r="E74" s="2"/>
      <c r="F74" s="14"/>
      <c r="G74" s="84"/>
      <c r="H74" s="37"/>
      <c r="I74" s="37"/>
    </row>
    <row r="75" hidden="1" outlineLevel="1">
      <c r="A75" s="55" t="s">
        <v>113</v>
      </c>
      <c r="B75" s="82">
        <v>7.0</v>
      </c>
      <c r="C75" s="53">
        <v>30.0</v>
      </c>
      <c r="D75" s="85">
        <f t="shared" si="5"/>
        <v>210</v>
      </c>
      <c r="E75" s="2"/>
      <c r="F75" s="14"/>
      <c r="G75" s="84"/>
      <c r="H75" s="40"/>
      <c r="I75" s="37"/>
    </row>
    <row r="76" hidden="1" outlineLevel="1">
      <c r="A76" s="55" t="s">
        <v>67</v>
      </c>
      <c r="B76" s="82"/>
      <c r="C76" s="53">
        <v>25.0</v>
      </c>
      <c r="D76" s="85">
        <f t="shared" si="5"/>
        <v>0</v>
      </c>
      <c r="E76" s="2"/>
      <c r="F76" s="14"/>
      <c r="G76" s="84"/>
      <c r="H76" s="40"/>
      <c r="I76" s="37"/>
    </row>
    <row r="77" hidden="1" outlineLevel="1">
      <c r="A77" s="55" t="s">
        <v>68</v>
      </c>
      <c r="B77" s="82"/>
      <c r="C77" s="53">
        <v>30.0</v>
      </c>
      <c r="D77" s="85">
        <f t="shared" si="5"/>
        <v>0</v>
      </c>
      <c r="E77" s="2"/>
      <c r="F77" s="14"/>
      <c r="G77" s="84"/>
      <c r="H77" s="40"/>
      <c r="I77" s="37"/>
    </row>
    <row r="78" hidden="1" outlineLevel="1">
      <c r="A78" s="55" t="s">
        <v>69</v>
      </c>
      <c r="B78" s="82"/>
      <c r="C78" s="53">
        <v>150.0</v>
      </c>
      <c r="D78" s="85">
        <f t="shared" si="5"/>
        <v>0</v>
      </c>
      <c r="E78" s="2"/>
      <c r="F78" s="14"/>
      <c r="G78" s="84"/>
      <c r="H78" s="40"/>
      <c r="I78" s="37"/>
    </row>
    <row r="79" hidden="1" outlineLevel="1">
      <c r="A79" s="55" t="s">
        <v>70</v>
      </c>
      <c r="B79" s="82"/>
      <c r="C79" s="53"/>
      <c r="D79" s="85">
        <f t="shared" si="5"/>
        <v>0</v>
      </c>
      <c r="E79" s="2"/>
      <c r="F79" s="14"/>
      <c r="G79" s="84"/>
      <c r="H79" s="40"/>
      <c r="I79" s="37"/>
    </row>
    <row r="80" hidden="1" outlineLevel="1">
      <c r="A80" s="55" t="s">
        <v>71</v>
      </c>
      <c r="B80" s="82"/>
      <c r="C80" s="53">
        <v>150.0</v>
      </c>
      <c r="D80" s="85">
        <f t="shared" si="5"/>
        <v>0</v>
      </c>
      <c r="E80" s="2"/>
      <c r="F80" s="14"/>
      <c r="G80" s="84"/>
      <c r="H80" s="40"/>
      <c r="I80" s="37"/>
    </row>
    <row r="81" hidden="1" outlineLevel="1">
      <c r="A81" s="55" t="s">
        <v>72</v>
      </c>
      <c r="B81" s="82"/>
      <c r="C81" s="53"/>
      <c r="D81" s="85">
        <f t="shared" si="5"/>
        <v>0</v>
      </c>
      <c r="E81" s="2"/>
      <c r="F81" s="14"/>
      <c r="G81" s="84"/>
      <c r="H81" s="40"/>
      <c r="I81" s="37"/>
    </row>
    <row r="82" hidden="1" outlineLevel="1">
      <c r="A82" s="55" t="s">
        <v>73</v>
      </c>
      <c r="B82" s="82"/>
      <c r="C82" s="53"/>
      <c r="D82" s="85">
        <f t="shared" si="5"/>
        <v>0</v>
      </c>
      <c r="E82" s="2"/>
      <c r="F82" s="14"/>
      <c r="G82" s="84"/>
      <c r="H82" s="40"/>
      <c r="I82" s="37"/>
    </row>
    <row r="83" hidden="1" outlineLevel="1">
      <c r="A83" s="55" t="s">
        <v>74</v>
      </c>
      <c r="B83" s="82"/>
      <c r="C83" s="53">
        <v>90.0</v>
      </c>
      <c r="D83" s="85">
        <f t="shared" si="5"/>
        <v>0</v>
      </c>
      <c r="E83" s="2"/>
      <c r="F83" s="14"/>
      <c r="G83" s="84"/>
      <c r="H83" s="40"/>
      <c r="I83" s="37"/>
    </row>
    <row r="84" hidden="1" outlineLevel="1">
      <c r="A84" s="55" t="s">
        <v>75</v>
      </c>
      <c r="B84" s="82"/>
      <c r="C84" s="53">
        <v>1000.0</v>
      </c>
      <c r="D84" s="85">
        <f t="shared" si="5"/>
        <v>0</v>
      </c>
      <c r="E84" s="2"/>
      <c r="F84" s="14"/>
      <c r="G84" s="84"/>
      <c r="H84" s="40"/>
      <c r="I84" s="37"/>
    </row>
    <row r="85" hidden="1" outlineLevel="1">
      <c r="A85" s="55" t="s">
        <v>76</v>
      </c>
      <c r="B85" s="82"/>
      <c r="C85" s="53">
        <v>60.0</v>
      </c>
      <c r="D85" s="85">
        <f t="shared" si="5"/>
        <v>0</v>
      </c>
      <c r="E85" s="2"/>
      <c r="F85" s="14"/>
      <c r="G85" s="84"/>
      <c r="H85" s="40"/>
      <c r="I85" s="37"/>
    </row>
    <row r="86" hidden="1" outlineLevel="1">
      <c r="A86" s="55" t="s">
        <v>70</v>
      </c>
      <c r="B86" s="82"/>
      <c r="C86" s="53">
        <v>250.0</v>
      </c>
      <c r="D86" s="85">
        <f t="shared" si="5"/>
        <v>0</v>
      </c>
      <c r="E86" s="2"/>
      <c r="F86" s="14"/>
      <c r="G86" s="84"/>
      <c r="H86" s="40"/>
      <c r="I86" s="37"/>
    </row>
    <row r="87" hidden="1" outlineLevel="1">
      <c r="A87" s="55" t="s">
        <v>78</v>
      </c>
      <c r="B87" s="82"/>
      <c r="C87" s="53">
        <v>100.0</v>
      </c>
      <c r="D87" s="85">
        <f t="shared" si="5"/>
        <v>0</v>
      </c>
      <c r="E87" s="2"/>
      <c r="F87" s="14"/>
      <c r="G87" s="84"/>
      <c r="H87" s="40"/>
      <c r="I87" s="37"/>
    </row>
    <row r="88" collapsed="1">
      <c r="A88" s="55" t="s">
        <v>79</v>
      </c>
      <c r="B88" s="82"/>
      <c r="C88" s="53"/>
      <c r="D88" s="83">
        <f>SUM(D89:D97)</f>
        <v>199</v>
      </c>
      <c r="E88" s="2"/>
      <c r="F88" s="14"/>
      <c r="G88" s="84"/>
      <c r="H88" s="40"/>
      <c r="I88" s="37"/>
    </row>
    <row r="89" hidden="1" outlineLevel="1">
      <c r="A89" s="86" t="s">
        <v>80</v>
      </c>
      <c r="B89" s="86">
        <v>1.0</v>
      </c>
      <c r="C89" s="88">
        <v>25.0</v>
      </c>
      <c r="D89" s="85">
        <f t="shared" ref="D89:D97" si="6">SUM(B89*C89)</f>
        <v>25</v>
      </c>
    </row>
    <row r="90" hidden="1" outlineLevel="1">
      <c r="A90" s="55" t="s">
        <v>81</v>
      </c>
      <c r="B90" s="82">
        <v>30.0</v>
      </c>
      <c r="C90" s="82">
        <v>1.8</v>
      </c>
      <c r="D90" s="85">
        <f t="shared" si="6"/>
        <v>54</v>
      </c>
      <c r="E90" s="2"/>
      <c r="F90" s="2"/>
      <c r="G90" s="82"/>
      <c r="H90" s="53"/>
      <c r="I90" s="66"/>
    </row>
    <row r="91" hidden="1" outlineLevel="1">
      <c r="A91" s="55" t="s">
        <v>82</v>
      </c>
      <c r="B91" s="82"/>
      <c r="C91" s="53">
        <v>1.5</v>
      </c>
      <c r="D91" s="85">
        <f t="shared" si="6"/>
        <v>0</v>
      </c>
      <c r="E91" s="2"/>
      <c r="F91" s="2"/>
      <c r="G91" s="82"/>
      <c r="H91" s="53"/>
      <c r="I91" s="66"/>
    </row>
    <row r="92" hidden="1" outlineLevel="1">
      <c r="A92" s="55" t="s">
        <v>83</v>
      </c>
      <c r="B92" s="82"/>
      <c r="C92" s="53">
        <v>0.8</v>
      </c>
      <c r="D92" s="85">
        <f t="shared" si="6"/>
        <v>0</v>
      </c>
      <c r="E92" s="2"/>
      <c r="F92" s="2"/>
      <c r="G92" s="82"/>
      <c r="H92" s="53"/>
      <c r="I92" s="66"/>
    </row>
    <row r="93" hidden="1" outlineLevel="1">
      <c r="A93" s="55" t="s">
        <v>84</v>
      </c>
      <c r="B93" s="82">
        <v>2.0</v>
      </c>
      <c r="C93" s="53">
        <v>35.0</v>
      </c>
      <c r="D93" s="85">
        <f t="shared" si="6"/>
        <v>70</v>
      </c>
      <c r="E93" s="2"/>
      <c r="F93" s="2"/>
      <c r="G93" s="82"/>
      <c r="H93" s="53"/>
      <c r="I93" s="66"/>
    </row>
    <row r="94" hidden="1" outlineLevel="1">
      <c r="A94" s="55" t="s">
        <v>85</v>
      </c>
      <c r="B94" s="82">
        <v>1.0</v>
      </c>
      <c r="C94" s="53">
        <v>50.0</v>
      </c>
      <c r="D94" s="85">
        <f t="shared" si="6"/>
        <v>50</v>
      </c>
      <c r="E94" s="2"/>
      <c r="F94" s="2"/>
      <c r="G94" s="82"/>
      <c r="H94" s="53"/>
      <c r="I94" s="66"/>
    </row>
    <row r="95" hidden="1" outlineLevel="1">
      <c r="A95" s="55" t="s">
        <v>86</v>
      </c>
      <c r="B95" s="82">
        <v>0.0</v>
      </c>
      <c r="C95" s="53">
        <v>30.0</v>
      </c>
      <c r="D95" s="85">
        <f t="shared" si="6"/>
        <v>0</v>
      </c>
      <c r="E95" s="2"/>
      <c r="F95" s="2"/>
      <c r="G95" s="82"/>
      <c r="H95" s="53"/>
      <c r="I95" s="66"/>
    </row>
    <row r="96" hidden="1" outlineLevel="1">
      <c r="A96" s="55" t="s">
        <v>63</v>
      </c>
      <c r="B96" s="82"/>
      <c r="C96" s="53">
        <v>25.0</v>
      </c>
      <c r="D96" s="85">
        <f t="shared" si="6"/>
        <v>0</v>
      </c>
      <c r="E96" s="2"/>
      <c r="F96" s="2"/>
      <c r="G96" s="82"/>
      <c r="H96" s="53"/>
      <c r="I96" s="66"/>
    </row>
    <row r="97" hidden="1" outlineLevel="1">
      <c r="A97" s="55" t="s">
        <v>87</v>
      </c>
      <c r="B97" s="82"/>
      <c r="C97" s="53"/>
      <c r="D97" s="85">
        <f t="shared" si="6"/>
        <v>0</v>
      </c>
      <c r="E97" s="2"/>
      <c r="F97" s="2"/>
      <c r="G97" s="82"/>
      <c r="H97" s="53"/>
      <c r="I97" s="66"/>
    </row>
    <row r="98" collapsed="1">
      <c r="A98" s="55" t="s">
        <v>88</v>
      </c>
      <c r="B98" s="82"/>
      <c r="C98" s="53"/>
      <c r="D98" s="83">
        <f>SUM(D99:D102)</f>
        <v>520</v>
      </c>
      <c r="E98" s="2"/>
      <c r="F98" s="2"/>
      <c r="G98" s="82"/>
      <c r="H98" s="53"/>
      <c r="I98" s="66"/>
    </row>
    <row r="99" hidden="1" outlineLevel="1">
      <c r="A99" s="55" t="s">
        <v>89</v>
      </c>
      <c r="B99" s="82">
        <v>4.0</v>
      </c>
      <c r="C99" s="53">
        <v>130.0</v>
      </c>
      <c r="D99" s="85">
        <f t="shared" ref="D99:D101" si="7">SUM(B99*C99)</f>
        <v>520</v>
      </c>
      <c r="E99" s="2"/>
      <c r="F99" s="2"/>
      <c r="G99" s="82"/>
      <c r="H99" s="53"/>
      <c r="I99" s="66"/>
    </row>
    <row r="100" hidden="1" outlineLevel="1">
      <c r="A100" s="55" t="s">
        <v>90</v>
      </c>
      <c r="B100" s="82"/>
      <c r="C100" s="53">
        <v>50.0</v>
      </c>
      <c r="D100" s="85">
        <f t="shared" si="7"/>
        <v>0</v>
      </c>
      <c r="E100" s="2"/>
      <c r="F100" s="2"/>
      <c r="G100" s="82"/>
      <c r="H100" s="53"/>
      <c r="I100" s="66"/>
    </row>
    <row r="101" hidden="1" outlineLevel="1">
      <c r="A101" s="55" t="s">
        <v>63</v>
      </c>
      <c r="B101" s="82"/>
      <c r="C101" s="53"/>
      <c r="D101" s="85">
        <f t="shared" si="7"/>
        <v>0</v>
      </c>
      <c r="E101" s="2"/>
      <c r="F101" s="2"/>
      <c r="G101" s="82"/>
      <c r="H101" s="53"/>
      <c r="I101" s="66"/>
    </row>
    <row r="102" hidden="1" outlineLevel="1">
      <c r="A102" s="55" t="s">
        <v>87</v>
      </c>
      <c r="B102" s="82"/>
      <c r="C102" s="53"/>
      <c r="D102" s="85"/>
      <c r="E102" s="2"/>
      <c r="F102" s="2"/>
      <c r="G102" s="89"/>
      <c r="H102" s="53"/>
      <c r="I102" s="66"/>
    </row>
    <row r="103" collapsed="1">
      <c r="A103" s="86" t="s">
        <v>91</v>
      </c>
      <c r="B103" s="82"/>
      <c r="C103" s="53"/>
      <c r="D103" s="90">
        <f>SUM(D104:D110)</f>
        <v>80</v>
      </c>
      <c r="E103" s="2"/>
      <c r="F103" s="2"/>
      <c r="G103" s="82"/>
      <c r="H103" s="53"/>
      <c r="I103" s="66"/>
    </row>
    <row r="104" hidden="1" outlineLevel="1">
      <c r="A104" s="86" t="s">
        <v>92</v>
      </c>
      <c r="B104" s="82">
        <v>1.0</v>
      </c>
      <c r="C104" s="53">
        <v>80.0</v>
      </c>
      <c r="D104" s="85">
        <f t="shared" ref="D104:D110" si="8">SUM(B104*C104)</f>
        <v>80</v>
      </c>
      <c r="E104" s="2"/>
      <c r="F104" s="2"/>
      <c r="G104" s="82"/>
      <c r="H104" s="53"/>
      <c r="I104" s="66"/>
    </row>
    <row r="105" hidden="1" outlineLevel="1">
      <c r="A105" s="55" t="s">
        <v>114</v>
      </c>
      <c r="B105" s="82"/>
      <c r="C105" s="53">
        <v>12.0</v>
      </c>
      <c r="D105" s="85">
        <f t="shared" si="8"/>
        <v>0</v>
      </c>
      <c r="E105" s="2"/>
      <c r="F105" s="55"/>
      <c r="G105" s="82"/>
      <c r="H105" s="53"/>
      <c r="I105" s="66"/>
    </row>
    <row r="106" hidden="1" outlineLevel="1">
      <c r="A106" s="55" t="s">
        <v>119</v>
      </c>
      <c r="B106" s="82"/>
      <c r="C106" s="53">
        <v>70.0</v>
      </c>
      <c r="D106" s="85">
        <f t="shared" si="8"/>
        <v>0</v>
      </c>
      <c r="E106" s="2"/>
      <c r="F106" s="2"/>
      <c r="G106" s="89"/>
      <c r="H106" s="66"/>
      <c r="I106" s="66"/>
    </row>
    <row r="107" hidden="1" outlineLevel="1">
      <c r="A107" s="55" t="s">
        <v>125</v>
      </c>
      <c r="B107" s="55"/>
      <c r="C107" s="56">
        <v>35.0</v>
      </c>
      <c r="D107" s="85">
        <f t="shared" si="8"/>
        <v>0</v>
      </c>
      <c r="E107" s="2"/>
      <c r="F107" s="55"/>
      <c r="G107" s="55"/>
      <c r="H107" s="56"/>
      <c r="I107" s="66"/>
    </row>
    <row r="108" hidden="1" outlineLevel="1">
      <c r="A108" s="55" t="s">
        <v>96</v>
      </c>
      <c r="B108" s="55"/>
      <c r="C108" s="56">
        <v>800.0</v>
      </c>
      <c r="D108" s="85">
        <f t="shared" si="8"/>
        <v>0</v>
      </c>
      <c r="E108" s="2"/>
      <c r="F108" s="2"/>
      <c r="G108" s="2"/>
      <c r="H108" s="12"/>
      <c r="I108" s="66"/>
    </row>
    <row r="109" hidden="1" outlineLevel="1">
      <c r="A109" s="55" t="s">
        <v>97</v>
      </c>
      <c r="B109" s="55"/>
      <c r="C109" s="56">
        <v>300.0</v>
      </c>
      <c r="D109" s="85">
        <f t="shared" si="8"/>
        <v>0</v>
      </c>
      <c r="E109" s="2"/>
      <c r="F109" s="2"/>
      <c r="G109" s="2"/>
      <c r="H109" s="12"/>
      <c r="I109" s="66"/>
    </row>
    <row r="110" hidden="1" outlineLevel="1">
      <c r="A110" s="55" t="s">
        <v>98</v>
      </c>
      <c r="B110" s="55"/>
      <c r="C110" s="56">
        <v>600.0</v>
      </c>
      <c r="D110" s="85">
        <f t="shared" si="8"/>
        <v>0</v>
      </c>
      <c r="E110" s="2"/>
      <c r="F110" s="2"/>
      <c r="G110" s="2"/>
      <c r="H110" s="12"/>
      <c r="I110" s="66"/>
    </row>
    <row r="111" collapsed="1">
      <c r="A111" s="55" t="s">
        <v>99</v>
      </c>
      <c r="B111" s="2"/>
      <c r="C111" s="12"/>
      <c r="D111" s="83">
        <f>SUM(D112:D116)</f>
        <v>100</v>
      </c>
      <c r="E111" s="2"/>
      <c r="F111" s="2"/>
      <c r="G111" s="2"/>
      <c r="H111" s="12"/>
      <c r="I111" s="66"/>
    </row>
    <row r="112" hidden="1" outlineLevel="1">
      <c r="A112" s="55" t="s">
        <v>100</v>
      </c>
      <c r="B112" s="55">
        <v>1.0</v>
      </c>
      <c r="C112" s="56">
        <v>12.0</v>
      </c>
      <c r="D112" s="85">
        <f t="shared" ref="D112:D116" si="9">SUM(B112*C112)</f>
        <v>12</v>
      </c>
      <c r="E112" s="2"/>
      <c r="F112" s="2"/>
      <c r="G112" s="2"/>
      <c r="H112" s="12"/>
      <c r="I112" s="66"/>
    </row>
    <row r="113" hidden="1" outlineLevel="1">
      <c r="A113" s="55" t="s">
        <v>101</v>
      </c>
      <c r="B113" s="55">
        <v>2.0</v>
      </c>
      <c r="C113" s="56">
        <v>10.0</v>
      </c>
      <c r="D113" s="85">
        <f t="shared" si="9"/>
        <v>20</v>
      </c>
      <c r="E113" s="2"/>
      <c r="F113" s="2"/>
      <c r="G113" s="2"/>
      <c r="H113" s="12"/>
      <c r="I113" s="66"/>
    </row>
    <row r="114" hidden="1" outlineLevel="1">
      <c r="A114" s="55" t="s">
        <v>102</v>
      </c>
      <c r="B114" s="55">
        <v>2.0</v>
      </c>
      <c r="C114" s="56">
        <v>4.0</v>
      </c>
      <c r="D114" s="85">
        <f t="shared" si="9"/>
        <v>8</v>
      </c>
      <c r="E114" s="2"/>
      <c r="F114" s="2"/>
      <c r="G114" s="2"/>
      <c r="H114" s="12"/>
      <c r="I114" s="66"/>
    </row>
    <row r="115" hidden="1" outlineLevel="1">
      <c r="A115" s="55" t="s">
        <v>103</v>
      </c>
      <c r="B115" s="55">
        <v>20.0</v>
      </c>
      <c r="C115" s="56">
        <v>0.5</v>
      </c>
      <c r="D115" s="85">
        <f t="shared" si="9"/>
        <v>10</v>
      </c>
      <c r="E115" s="2"/>
      <c r="F115" s="2"/>
    </row>
    <row r="116" hidden="1" outlineLevel="1">
      <c r="A116" s="55" t="s">
        <v>104</v>
      </c>
      <c r="B116" s="55">
        <v>1.0</v>
      </c>
      <c r="C116" s="56">
        <v>50.0</v>
      </c>
      <c r="D116" s="85">
        <f t="shared" si="9"/>
        <v>50</v>
      </c>
      <c r="E116" s="2"/>
      <c r="F116" s="2"/>
    </row>
    <row r="117" collapsed="1">
      <c r="A117" s="55" t="s">
        <v>105</v>
      </c>
      <c r="B117" s="2"/>
      <c r="C117" s="12"/>
      <c r="D117" s="83">
        <f>SUM(D118:D120)</f>
        <v>70</v>
      </c>
      <c r="E117" s="2"/>
      <c r="F117" s="2"/>
    </row>
    <row r="118" hidden="1" outlineLevel="1">
      <c r="A118" s="55" t="s">
        <v>106</v>
      </c>
      <c r="B118" s="55">
        <v>1.0</v>
      </c>
      <c r="C118" s="56">
        <v>20.0</v>
      </c>
      <c r="D118" s="85">
        <f t="shared" ref="D118:D120" si="10">SUM(B118*C118)</f>
        <v>20</v>
      </c>
      <c r="E118" s="2"/>
      <c r="F118" s="2"/>
    </row>
    <row r="119" hidden="1" outlineLevel="1">
      <c r="A119" s="55" t="s">
        <v>107</v>
      </c>
      <c r="B119" s="55">
        <v>20.0</v>
      </c>
      <c r="C119" s="56">
        <v>1.5</v>
      </c>
      <c r="D119" s="85">
        <f t="shared" si="10"/>
        <v>30</v>
      </c>
      <c r="E119" s="2"/>
      <c r="F119" s="2"/>
    </row>
    <row r="120" hidden="1" outlineLevel="1">
      <c r="A120" s="86" t="s">
        <v>108</v>
      </c>
      <c r="B120" s="55">
        <v>20.0</v>
      </c>
      <c r="C120" s="56">
        <v>1.0</v>
      </c>
      <c r="D120" s="85">
        <f t="shared" si="10"/>
        <v>20</v>
      </c>
      <c r="E120" s="2"/>
      <c r="F120" s="2"/>
    </row>
    <row r="121">
      <c r="A121" s="2"/>
      <c r="B121" s="2"/>
      <c r="C121" s="12"/>
      <c r="D121" s="85"/>
      <c r="E121" s="2"/>
      <c r="F121" s="2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  <row r="1001">
      <c r="D1001" s="20"/>
    </row>
    <row r="1002">
      <c r="D1002" s="20"/>
    </row>
    <row r="1003">
      <c r="D1003" s="20"/>
    </row>
    <row r="1004">
      <c r="D1004" s="20"/>
    </row>
    <row r="1005">
      <c r="D1005" s="20"/>
    </row>
    <row r="1006">
      <c r="D1006" s="20"/>
    </row>
    <row r="1007">
      <c r="D1007" s="20"/>
    </row>
    <row r="1008">
      <c r="D1008" s="20"/>
    </row>
    <row r="1009">
      <c r="D1009" s="20"/>
    </row>
    <row r="1010">
      <c r="D1010" s="20"/>
    </row>
    <row r="1011">
      <c r="D1011" s="20"/>
    </row>
    <row r="1012">
      <c r="D1012" s="20"/>
    </row>
    <row r="1013">
      <c r="D1013" s="20"/>
    </row>
    <row r="1014">
      <c r="D1014" s="20"/>
    </row>
    <row r="1015">
      <c r="D1015" s="20"/>
    </row>
    <row r="1016">
      <c r="D1016" s="20"/>
    </row>
    <row r="1017">
      <c r="D1017" s="20"/>
    </row>
    <row r="1018">
      <c r="D1018" s="20"/>
    </row>
    <row r="1019">
      <c r="D1019" s="20"/>
    </row>
    <row r="1020">
      <c r="D1020" s="20"/>
    </row>
    <row r="1021">
      <c r="D1021" s="20"/>
    </row>
    <row r="1022">
      <c r="D1022" s="20"/>
    </row>
    <row r="1023">
      <c r="D1023" s="20"/>
    </row>
    <row r="1024">
      <c r="D1024" s="20"/>
    </row>
    <row r="1025">
      <c r="D1025" s="20"/>
    </row>
    <row r="1026">
      <c r="D1026" s="20"/>
    </row>
    <row r="1027">
      <c r="D1027" s="20"/>
    </row>
    <row r="1028">
      <c r="D1028" s="20"/>
    </row>
    <row r="1029">
      <c r="D1029" s="20"/>
    </row>
    <row r="1030">
      <c r="D1030" s="20"/>
    </row>
    <row r="1031">
      <c r="D1031" s="20"/>
    </row>
    <row r="1032">
      <c r="D1032" s="20"/>
    </row>
    <row r="1033">
      <c r="D1033" s="20"/>
    </row>
    <row r="1034">
      <c r="D1034" s="20"/>
    </row>
    <row r="1035">
      <c r="D1035" s="20"/>
    </row>
    <row r="1036">
      <c r="D1036" s="20"/>
    </row>
    <row r="1037">
      <c r="D1037" s="20"/>
    </row>
    <row r="1038">
      <c r="D1038" s="20"/>
    </row>
    <row r="1039">
      <c r="D1039" s="20"/>
    </row>
    <row r="1040">
      <c r="D1040" s="20"/>
    </row>
    <row r="1041">
      <c r="D1041" s="20"/>
    </row>
    <row r="1042">
      <c r="D1042" s="20"/>
    </row>
    <row r="1043">
      <c r="D1043" s="20"/>
    </row>
    <row r="1044">
      <c r="D1044" s="20"/>
    </row>
    <row r="1045">
      <c r="D1045" s="20"/>
    </row>
  </sheetData>
  <mergeCells count="2">
    <mergeCell ref="A1:D1"/>
    <mergeCell ref="A7:D7"/>
  </mergeCells>
  <drawing r:id="rId1"/>
</worksheet>
</file>