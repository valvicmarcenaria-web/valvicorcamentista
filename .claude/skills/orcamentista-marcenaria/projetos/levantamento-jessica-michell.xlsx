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Custos" sheetId="2" state="visible" r:id="rId2"/>
    <sheet name="Base de Preços" sheetId="3" state="visible" r:id="rId3"/>
    <sheet name="01 Liv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(R$ #,##0.00);&quot;–&quot;"/>
    <numFmt numFmtId="165" formatCode="0.0%;(0.0%);&quot;–&quot;"/>
  </numFmts>
  <fonts count="11">
    <font>
      <name val="Calibri"/>
      <family val="2"/>
      <color theme="1"/>
      <sz val="11"/>
      <scheme val="minor"/>
    </font>
    <font>
      <name val="Arial"/>
      <b val="1"/>
      <color rgb="001B2527"/>
      <sz val="14"/>
    </font>
    <font>
      <name val="Arial"/>
      <i val="1"/>
      <color rgb="005B5349"/>
      <sz val="8"/>
    </font>
    <font>
      <name val="Arial"/>
      <b val="1"/>
      <color rgb="00FFFFFF"/>
      <sz val="10"/>
    </font>
    <font>
      <name val="Arial"/>
      <b val="1"/>
      <color rgb="001B2527"/>
      <sz val="9"/>
    </font>
    <font>
      <name val="Arial"/>
      <sz val="9"/>
    </font>
    <font>
      <name val="Arial"/>
      <color rgb="000000FF"/>
      <sz val="9"/>
    </font>
    <font>
      <name val="Arial"/>
      <b val="1"/>
      <sz val="9"/>
    </font>
    <font>
      <name val="Arial"/>
      <b val="1"/>
      <color rgb="001B2527"/>
      <sz val="11"/>
    </font>
    <font>
      <name val="Arial"/>
      <b val="1"/>
      <color rgb="001B2527"/>
      <sz val="16"/>
    </font>
    <font>
      <name val="Arial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1B2527"/>
      </patternFill>
    </fill>
    <fill>
      <patternFill patternType="solid">
        <fgColor rgb="00EDE6DA"/>
      </patternFill>
    </fill>
    <fill>
      <patternFill patternType="solid">
        <fgColor rgb="00FFF4CC"/>
      </patternFill>
    </fill>
    <fill>
      <patternFill patternType="solid">
        <fgColor rgb="00F2F5F5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3" fontId="6" fillId="0" borderId="0" pivotButton="0" quotePrefix="0" xfId="0"/>
    <xf numFmtId="4" fontId="7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0" pivotButton="0" quotePrefix="0" xfId="0"/>
    <xf numFmtId="4" fontId="5" fillId="0" borderId="0" pivotButton="0" quotePrefix="0" xfId="0"/>
    <xf numFmtId="3" fontId="7" fillId="0" borderId="0" pivotButton="0" quotePrefix="0" xfId="0"/>
    <xf numFmtId="164" fontId="7" fillId="5" borderId="0" pivotButton="0" quotePrefix="0" xfId="0"/>
    <xf numFmtId="164" fontId="5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8" fillId="5" borderId="0" pivotButton="0" quotePrefix="0" xfId="0"/>
    <xf numFmtId="0" fontId="9" fillId="0" borderId="0" pivotButton="0" quotePrefix="0" xfId="0"/>
    <xf numFmtId="4" fontId="10" fillId="0" borderId="0" pivotButton="0" quotePrefix="0" xfId="0"/>
    <xf numFmtId="3" fontId="10" fillId="0" borderId="0" pivotButton="0" quotePrefix="0" xfId="0"/>
    <xf numFmtId="164" fontId="10" fillId="0" borderId="0" pivotButton="0" quotePrefix="0" xfId="0"/>
    <xf numFmtId="165" fontId="5" fillId="0" borderId="0" pivotButton="0" quotePrefix="0" xfId="0"/>
    <xf numFmtId="0" fontId="2" fillId="4" borderId="0" pivotButton="0" quotePrefix="0" xfId="0"/>
    <xf numFmtId="4" fontId="7" fillId="5" borderId="0" pivotButton="0" quotePrefix="0" xfId="0"/>
    <xf numFmtId="3" fontId="7" fillId="5" borderId="0" pivotButton="0" quotePrefix="0" xfId="0"/>
    <xf numFmtId="164" fontId="6" fillId="6" borderId="0" pivotButton="0" quotePrefix="0" xfId="0"/>
    <xf numFmtId="165" fontId="6" fillId="6" borderId="0" pivotButton="0" quotePrefix="0" xfId="0"/>
    <xf numFmtId="3" fontId="6" fillId="6" borderId="0" pivotButton="0" quotePrefix="0" xfId="0"/>
    <xf numFmtId="165" fontId="7" fillId="5" borderId="0" pivotButton="0" quotePrefix="0" xfId="0"/>
    <xf numFmtId="0" fontId="2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1" customWidth="1" min="2" max="2"/>
    <col width="7" customWidth="1" min="3" max="3"/>
    <col width="12" customWidth="1" min="4" max="4"/>
    <col width="9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16" customWidth="1" min="11" max="11"/>
    <col width="9" customWidth="1" min="12" max="12"/>
    <col width="24" customWidth="1" min="13" max="13"/>
  </cols>
  <sheetData>
    <row r="1">
      <c r="A1" s="26" t="inlineStr">
        <is>
          <t>Jéssica e Michell — levantamento de quantitativo</t>
        </is>
      </c>
    </row>
    <row r="2">
      <c r="A2" s="2" t="inlineStr">
        <is>
          <t>Projeto ICA · Iara Cezar Arquitetura e Interiores · executivo 10/2026 · 235 páginas · 20 ambientes · 94 detalhamentos</t>
        </is>
      </c>
    </row>
    <row r="3">
      <c r="A3" s="2" t="inlineStr">
        <is>
          <t>Cada ambiente tem a sua aba. Os números aqui são somas das abas, não valores digitados.</t>
        </is>
      </c>
    </row>
    <row r="5">
      <c r="A5" s="3" t="inlineStr">
        <is>
          <t>LEVANTAMENTO POR AMBIENTE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Ambiente</t>
        </is>
      </c>
      <c r="B6" s="5" t="inlineStr">
        <is>
          <t>Páginas</t>
        </is>
      </c>
      <c r="C6" s="5" t="inlineStr">
        <is>
          <t>DET</t>
        </is>
      </c>
      <c r="D6" s="5" t="inlineStr">
        <is>
          <t>Área de chapa (m²)</t>
        </is>
      </c>
      <c r="E6" s="5" t="inlineStr">
        <is>
          <t>Chapas</t>
        </is>
      </c>
      <c r="F6" s="5" t="inlineStr">
        <is>
          <t>Chapa</t>
        </is>
      </c>
      <c r="G6" s="5" t="inlineStr">
        <is>
          <t>Fita</t>
        </is>
      </c>
      <c r="H6" s="5" t="inlineStr">
        <is>
          <t>Ferragem Blum</t>
        </is>
      </c>
      <c r="I6" s="5" t="inlineStr">
        <is>
          <t>Alma de aço</t>
        </is>
      </c>
      <c r="J6" s="5" t="inlineStr">
        <is>
          <t>Terceirizados</t>
        </is>
      </c>
      <c r="K6" s="5" t="inlineStr">
        <is>
          <t>Custo direto</t>
        </is>
      </c>
      <c r="L6" s="5" t="inlineStr">
        <is>
          <t>% do total</t>
        </is>
      </c>
      <c r="M6" s="5" t="inlineStr">
        <is>
          <t>Situação</t>
        </is>
      </c>
    </row>
    <row r="7">
      <c r="A7" s="6" t="inlineStr">
        <is>
          <t>Living</t>
        </is>
      </c>
      <c r="B7" s="2" t="inlineStr">
        <is>
          <t>012–026</t>
        </is>
      </c>
      <c r="C7" s="6" t="n">
        <v>8</v>
      </c>
      <c r="D7" s="27">
        <f>'01 Living'!$G$35</f>
        <v/>
      </c>
      <c r="E7" s="28">
        <f>'01 Living'!$G$36</f>
        <v/>
      </c>
      <c r="F7" s="29">
        <f>'01 Living'!$G$37</f>
        <v/>
      </c>
      <c r="G7" s="29">
        <f>'01 Living'!$G$47</f>
        <v/>
      </c>
      <c r="H7" s="29">
        <f>'01 Living'!$G$61</f>
        <v/>
      </c>
      <c r="I7" s="29">
        <f>'01 Living'!$G$70</f>
        <v/>
      </c>
      <c r="J7" s="29">
        <f>'01 Living'!$G$80</f>
        <v/>
      </c>
      <c r="K7" s="29">
        <f>'01 Living'!$G$100</f>
        <v/>
      </c>
      <c r="L7" s="30">
        <f>IF($K$27=0,0,K7/$K$27)</f>
        <v/>
      </c>
      <c r="M7" s="2" t="inlineStr">
        <is>
          <t>Levantado</t>
        </is>
      </c>
    </row>
    <row r="8">
      <c r="A8" s="6" t="inlineStr">
        <is>
          <t>Cozinha</t>
        </is>
      </c>
      <c r="B8" s="2" t="inlineStr">
        <is>
          <t>028–043</t>
        </is>
      </c>
      <c r="C8" s="6" t="n">
        <v>5</v>
      </c>
      <c r="D8" s="17" t="n"/>
      <c r="E8" s="22" t="n"/>
      <c r="F8" s="20" t="n"/>
      <c r="G8" s="20" t="n"/>
      <c r="H8" s="20" t="n"/>
      <c r="I8" s="20" t="n"/>
      <c r="J8" s="20" t="n"/>
      <c r="K8" s="20" t="n"/>
      <c r="L8" s="30">
        <f>IF($K$27=0,0,K8/$K$27)</f>
        <v/>
      </c>
      <c r="M8" s="31" t="inlineStr">
        <is>
          <t>A levantar</t>
        </is>
      </c>
    </row>
    <row r="9">
      <c r="A9" s="6" t="inlineStr">
        <is>
          <t>Lavanderia</t>
        </is>
      </c>
      <c r="B9" s="2" t="inlineStr">
        <is>
          <t>045–060</t>
        </is>
      </c>
      <c r="C9" s="6" t="n">
        <v>6</v>
      </c>
      <c r="D9" s="17" t="n"/>
      <c r="E9" s="22" t="n"/>
      <c r="F9" s="20" t="n"/>
      <c r="G9" s="20" t="n"/>
      <c r="H9" s="20" t="n"/>
      <c r="I9" s="20" t="n"/>
      <c r="J9" s="20" t="n"/>
      <c r="K9" s="20" t="n"/>
      <c r="L9" s="30">
        <f>IF($K$27=0,0,K9/$K$27)</f>
        <v/>
      </c>
      <c r="M9" s="31" t="inlineStr">
        <is>
          <t>A levantar</t>
        </is>
      </c>
    </row>
    <row r="10">
      <c r="A10" s="6" t="inlineStr">
        <is>
          <t>Quarto</t>
        </is>
      </c>
      <c r="B10" s="2" t="inlineStr">
        <is>
          <t>062–071</t>
        </is>
      </c>
      <c r="C10" s="6" t="n">
        <v>6</v>
      </c>
      <c r="D10" s="17" t="n"/>
      <c r="E10" s="22" t="n"/>
      <c r="F10" s="20" t="n"/>
      <c r="G10" s="20" t="n"/>
      <c r="H10" s="20" t="n"/>
      <c r="I10" s="20" t="n"/>
      <c r="J10" s="20" t="n"/>
      <c r="K10" s="20" t="n"/>
      <c r="L10" s="30">
        <f>IF($K$27=0,0,K10/$K$27)</f>
        <v/>
      </c>
      <c r="M10" s="31" t="inlineStr">
        <is>
          <t>A levantar</t>
        </is>
      </c>
    </row>
    <row r="11">
      <c r="A11" s="6" t="inlineStr">
        <is>
          <t>Lavabo</t>
        </is>
      </c>
      <c r="B11" s="2" t="inlineStr">
        <is>
          <t>073–077</t>
        </is>
      </c>
      <c r="C11" s="6" t="n">
        <v>2</v>
      </c>
      <c r="D11" s="17" t="n"/>
      <c r="E11" s="22" t="n"/>
      <c r="F11" s="20" t="n"/>
      <c r="G11" s="20" t="n"/>
      <c r="H11" s="20" t="n"/>
      <c r="I11" s="20" t="n"/>
      <c r="J11" s="20" t="n"/>
      <c r="K11" s="20" t="n"/>
      <c r="L11" s="30">
        <f>IF($K$27=0,0,K11/$K$27)</f>
        <v/>
      </c>
      <c r="M11" s="31" t="inlineStr">
        <is>
          <t>A levantar</t>
        </is>
      </c>
    </row>
    <row r="12">
      <c r="A12" s="6" t="inlineStr">
        <is>
          <t>Área Gourmet</t>
        </is>
      </c>
      <c r="B12" s="2" t="inlineStr">
        <is>
          <t>079–088</t>
        </is>
      </c>
      <c r="C12" s="6" t="n">
        <v>4</v>
      </c>
      <c r="D12" s="17" t="n"/>
      <c r="E12" s="22" t="n"/>
      <c r="F12" s="20" t="n"/>
      <c r="G12" s="20" t="n"/>
      <c r="H12" s="20" t="n"/>
      <c r="I12" s="20" t="n"/>
      <c r="J12" s="20" t="n"/>
      <c r="K12" s="20" t="n"/>
      <c r="L12" s="30">
        <f>IF($K$27=0,0,K12/$K$27)</f>
        <v/>
      </c>
      <c r="M12" s="31" t="inlineStr">
        <is>
          <t>A levantar</t>
        </is>
      </c>
    </row>
    <row r="13">
      <c r="A13" s="6" t="inlineStr">
        <is>
          <t>Banho Gourmet</t>
        </is>
      </c>
      <c r="B13" s="2" t="inlineStr">
        <is>
          <t>090–094</t>
        </is>
      </c>
      <c r="C13" s="6" t="n">
        <v>2</v>
      </c>
      <c r="D13" s="17" t="n"/>
      <c r="E13" s="22" t="n"/>
      <c r="F13" s="20" t="n"/>
      <c r="G13" s="20" t="n"/>
      <c r="H13" s="20" t="n"/>
      <c r="I13" s="20" t="n"/>
      <c r="J13" s="20" t="n"/>
      <c r="K13" s="20" t="n"/>
      <c r="L13" s="30">
        <f>IF($K$27=0,0,K13/$K$27)</f>
        <v/>
      </c>
      <c r="M13" s="31" t="inlineStr">
        <is>
          <t>A levantar</t>
        </is>
      </c>
    </row>
    <row r="14">
      <c r="A14" s="6" t="inlineStr">
        <is>
          <t>Home Office</t>
        </is>
      </c>
      <c r="B14" s="2" t="inlineStr">
        <is>
          <t>096–104</t>
        </is>
      </c>
      <c r="C14" s="6" t="n">
        <v>4</v>
      </c>
      <c r="D14" s="17" t="n"/>
      <c r="E14" s="22" t="n"/>
      <c r="F14" s="20" t="n"/>
      <c r="G14" s="20" t="n"/>
      <c r="H14" s="20" t="n"/>
      <c r="I14" s="20" t="n"/>
      <c r="J14" s="20" t="n"/>
      <c r="K14" s="20" t="n"/>
      <c r="L14" s="30">
        <f>IF($K$27=0,0,K14/$K$27)</f>
        <v/>
      </c>
      <c r="M14" s="31" t="inlineStr">
        <is>
          <t>A levantar</t>
        </is>
      </c>
    </row>
    <row r="15">
      <c r="A15" s="6" t="inlineStr">
        <is>
          <t>Suíte Hóspedes</t>
        </is>
      </c>
      <c r="B15" s="2" t="inlineStr">
        <is>
          <t>106–118</t>
        </is>
      </c>
      <c r="C15" s="6" t="n">
        <v>8</v>
      </c>
      <c r="D15" s="17" t="n"/>
      <c r="E15" s="22" t="n"/>
      <c r="F15" s="20" t="n"/>
      <c r="G15" s="20" t="n"/>
      <c r="H15" s="20" t="n"/>
      <c r="I15" s="20" t="n"/>
      <c r="J15" s="20" t="n"/>
      <c r="K15" s="20" t="n"/>
      <c r="L15" s="30">
        <f>IF($K$27=0,0,K15/$K$27)</f>
        <v/>
      </c>
      <c r="M15" s="31" t="inlineStr">
        <is>
          <t>A levantar</t>
        </is>
      </c>
    </row>
    <row r="16">
      <c r="A16" s="6" t="inlineStr">
        <is>
          <t>Banho Hóspedes</t>
        </is>
      </c>
      <c r="B16" s="2" t="inlineStr">
        <is>
          <t>120–124</t>
        </is>
      </c>
      <c r="C16" s="6" t="n">
        <v>2</v>
      </c>
      <c r="D16" s="17" t="n"/>
      <c r="E16" s="22" t="n"/>
      <c r="F16" s="20" t="n"/>
      <c r="G16" s="20" t="n"/>
      <c r="H16" s="20" t="n"/>
      <c r="I16" s="20" t="n"/>
      <c r="J16" s="20" t="n"/>
      <c r="K16" s="20" t="n"/>
      <c r="L16" s="30">
        <f>IF($K$27=0,0,K16/$K$27)</f>
        <v/>
      </c>
      <c r="M16" s="31" t="inlineStr">
        <is>
          <t>A levantar</t>
        </is>
      </c>
    </row>
    <row r="17">
      <c r="A17" s="6" t="inlineStr">
        <is>
          <t>Cinema e Ateliê</t>
        </is>
      </c>
      <c r="B17" s="2" t="inlineStr">
        <is>
          <t>127–141</t>
        </is>
      </c>
      <c r="C17" s="6" t="n">
        <v>10</v>
      </c>
      <c r="D17" s="17" t="n"/>
      <c r="E17" s="22" t="n"/>
      <c r="F17" s="20" t="n"/>
      <c r="G17" s="20" t="n"/>
      <c r="H17" s="20" t="n"/>
      <c r="I17" s="20" t="n"/>
      <c r="J17" s="20" t="n"/>
      <c r="K17" s="20" t="n"/>
      <c r="L17" s="30">
        <f>IF($K$27=0,0,K17/$K$27)</f>
        <v/>
      </c>
      <c r="M17" s="31" t="inlineStr">
        <is>
          <t>A levantar</t>
        </is>
      </c>
    </row>
    <row r="18">
      <c r="A18" s="6" t="inlineStr">
        <is>
          <t>Suíte Master</t>
        </is>
      </c>
      <c r="B18" s="2" t="inlineStr">
        <is>
          <t>143–153</t>
        </is>
      </c>
      <c r="C18" s="6" t="n">
        <v>3</v>
      </c>
      <c r="D18" s="17" t="n"/>
      <c r="E18" s="22" t="n"/>
      <c r="F18" s="20" t="n"/>
      <c r="G18" s="20" t="n"/>
      <c r="H18" s="20" t="n"/>
      <c r="I18" s="20" t="n"/>
      <c r="J18" s="20" t="n"/>
      <c r="K18" s="20" t="n"/>
      <c r="L18" s="30">
        <f>IF($K$27=0,0,K18/$K$27)</f>
        <v/>
      </c>
      <c r="M18" s="31" t="inlineStr">
        <is>
          <t>A levantar</t>
        </is>
      </c>
    </row>
    <row r="19">
      <c r="A19" s="6" t="inlineStr">
        <is>
          <t>Closet Master</t>
        </is>
      </c>
      <c r="B19" s="2" t="inlineStr">
        <is>
          <t>155–166</t>
        </is>
      </c>
      <c r="C19" s="6" t="n">
        <v>5</v>
      </c>
      <c r="D19" s="17" t="n"/>
      <c r="E19" s="22" t="n"/>
      <c r="F19" s="20" t="n"/>
      <c r="G19" s="20" t="n"/>
      <c r="H19" s="20" t="n"/>
      <c r="I19" s="20" t="n"/>
      <c r="J19" s="20" t="n"/>
      <c r="K19" s="20" t="n"/>
      <c r="L19" s="30">
        <f>IF($K$27=0,0,K19/$K$27)</f>
        <v/>
      </c>
      <c r="M19" s="31" t="inlineStr">
        <is>
          <t>A levantar</t>
        </is>
      </c>
    </row>
    <row r="20">
      <c r="A20" s="6" t="inlineStr">
        <is>
          <t>Banho Master</t>
        </is>
      </c>
      <c r="B20" s="2" t="inlineStr">
        <is>
          <t>168–177</t>
        </is>
      </c>
      <c r="C20" s="6" t="n">
        <v>3</v>
      </c>
      <c r="D20" s="17" t="n"/>
      <c r="E20" s="22" t="n"/>
      <c r="F20" s="20" t="n"/>
      <c r="G20" s="20" t="n"/>
      <c r="H20" s="20" t="n"/>
      <c r="I20" s="20" t="n"/>
      <c r="J20" s="20" t="n"/>
      <c r="K20" s="20" t="n"/>
      <c r="L20" s="30">
        <f>IF($K$27=0,0,K20/$K$27)</f>
        <v/>
      </c>
      <c r="M20" s="31" t="inlineStr">
        <is>
          <t>A levantar</t>
        </is>
      </c>
    </row>
    <row r="21">
      <c r="A21" s="6" t="inlineStr">
        <is>
          <t>Suíte Mariana</t>
        </is>
      </c>
      <c r="B21" s="2" t="inlineStr">
        <is>
          <t>179–192</t>
        </is>
      </c>
      <c r="C21" s="6" t="n">
        <v>11</v>
      </c>
      <c r="D21" s="17" t="n"/>
      <c r="E21" s="22" t="n"/>
      <c r="F21" s="20" t="n"/>
      <c r="G21" s="20" t="n"/>
      <c r="H21" s="20" t="n"/>
      <c r="I21" s="20" t="n"/>
      <c r="J21" s="20" t="n"/>
      <c r="K21" s="20" t="n"/>
      <c r="L21" s="30">
        <f>IF($K$27=0,0,K21/$K$27)</f>
        <v/>
      </c>
      <c r="M21" s="31" t="inlineStr">
        <is>
          <t>A levantar</t>
        </is>
      </c>
    </row>
    <row r="22">
      <c r="A22" s="6" t="inlineStr">
        <is>
          <t>Closet Mariana</t>
        </is>
      </c>
      <c r="B22" s="2" t="inlineStr">
        <is>
          <t>194–201</t>
        </is>
      </c>
      <c r="C22" s="6" t="n">
        <v>2</v>
      </c>
      <c r="D22" s="17" t="n"/>
      <c r="E22" s="22" t="n"/>
      <c r="F22" s="20" t="n"/>
      <c r="G22" s="20" t="n"/>
      <c r="H22" s="20" t="n"/>
      <c r="I22" s="20" t="n"/>
      <c r="J22" s="20" t="n"/>
      <c r="K22" s="20" t="n"/>
      <c r="L22" s="30">
        <f>IF($K$27=0,0,K22/$K$27)</f>
        <v/>
      </c>
      <c r="M22" s="31" t="inlineStr">
        <is>
          <t>A levantar</t>
        </is>
      </c>
    </row>
    <row r="23">
      <c r="A23" s="6" t="inlineStr">
        <is>
          <t>Banho Mariana</t>
        </is>
      </c>
      <c r="B23" s="2" t="inlineStr">
        <is>
          <t>203–208</t>
        </is>
      </c>
      <c r="C23" s="6" t="n">
        <v>3</v>
      </c>
      <c r="D23" s="17" t="n"/>
      <c r="E23" s="22" t="n"/>
      <c r="F23" s="20" t="n"/>
      <c r="G23" s="20" t="n"/>
      <c r="H23" s="20" t="n"/>
      <c r="I23" s="20" t="n"/>
      <c r="J23" s="20" t="n"/>
      <c r="K23" s="20" t="n"/>
      <c r="L23" s="30">
        <f>IF($K$27=0,0,K23/$K$27)</f>
        <v/>
      </c>
      <c r="M23" s="31" t="inlineStr">
        <is>
          <t>A levantar</t>
        </is>
      </c>
    </row>
    <row r="24">
      <c r="A24" s="6" t="inlineStr">
        <is>
          <t>Suíte 03</t>
        </is>
      </c>
      <c r="B24" s="2" t="inlineStr">
        <is>
          <t>210–222</t>
        </is>
      </c>
      <c r="C24" s="6" t="n">
        <v>6</v>
      </c>
      <c r="D24" s="17" t="n"/>
      <c r="E24" s="22" t="n"/>
      <c r="F24" s="20" t="n"/>
      <c r="G24" s="20" t="n"/>
      <c r="H24" s="20" t="n"/>
      <c r="I24" s="20" t="n"/>
      <c r="J24" s="20" t="n"/>
      <c r="K24" s="20" t="n"/>
      <c r="L24" s="30">
        <f>IF($K$27=0,0,K24/$K$27)</f>
        <v/>
      </c>
      <c r="M24" s="31" t="inlineStr">
        <is>
          <t>A levantar</t>
        </is>
      </c>
    </row>
    <row r="25">
      <c r="A25" s="6" t="inlineStr">
        <is>
          <t>Closet 03</t>
        </is>
      </c>
      <c r="B25" s="2" t="inlineStr">
        <is>
          <t>224–230</t>
        </is>
      </c>
      <c r="C25" s="6" t="n">
        <v>2</v>
      </c>
      <c r="D25" s="17" t="n"/>
      <c r="E25" s="22" t="n"/>
      <c r="F25" s="20" t="n"/>
      <c r="G25" s="20" t="n"/>
      <c r="H25" s="20" t="n"/>
      <c r="I25" s="20" t="n"/>
      <c r="J25" s="20" t="n"/>
      <c r="K25" s="20" t="n"/>
      <c r="L25" s="30">
        <f>IF($K$27=0,0,K25/$K$27)</f>
        <v/>
      </c>
      <c r="M25" s="31" t="inlineStr">
        <is>
          <t>A levantar</t>
        </is>
      </c>
    </row>
    <row r="26">
      <c r="A26" s="6" t="inlineStr">
        <is>
          <t>Banho 03</t>
        </is>
      </c>
      <c r="B26" s="2" t="inlineStr">
        <is>
          <t>232–235</t>
        </is>
      </c>
      <c r="C26" s="6" t="n">
        <v>2</v>
      </c>
      <c r="D26" s="17" t="n"/>
      <c r="E26" s="22" t="n"/>
      <c r="F26" s="20" t="n"/>
      <c r="G26" s="20" t="n"/>
      <c r="H26" s="20" t="n"/>
      <c r="I26" s="20" t="n"/>
      <c r="J26" s="20" t="n"/>
      <c r="K26" s="20" t="n"/>
      <c r="L26" s="30">
        <f>IF($K$27=0,0,K26/$K$27)</f>
        <v/>
      </c>
      <c r="M26" s="31" t="inlineStr">
        <is>
          <t>A levantar</t>
        </is>
      </c>
    </row>
    <row r="27">
      <c r="A27" s="9" t="inlineStr">
        <is>
          <t>TOTAL</t>
        </is>
      </c>
      <c r="D27" s="32">
        <f>SUM(D7:D26)</f>
        <v/>
      </c>
      <c r="E27" s="33">
        <f>SUM(E7:E26)</f>
        <v/>
      </c>
      <c r="F27" s="19">
        <f>SUM(F7:F26)</f>
        <v/>
      </c>
      <c r="G27" s="19">
        <f>SUM(G7:G26)</f>
        <v/>
      </c>
      <c r="H27" s="19">
        <f>SUM(H7:H26)</f>
        <v/>
      </c>
      <c r="I27" s="19">
        <f>SUM(I7:I26)</f>
        <v/>
      </c>
      <c r="J27" s="19">
        <f>SUM(J7:J26)</f>
        <v/>
      </c>
      <c r="K27" s="19">
        <f>SUM(K7:K26)</f>
        <v/>
      </c>
    </row>
    <row r="29">
      <c r="A29" s="3" t="inlineStr">
        <is>
          <t>MATERIAIS, TERCEIRIZADOS E COMISSÕES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5" t="inlineStr">
        <is>
          <t>Linha</t>
        </is>
      </c>
      <c r="B30" s="5" t="inlineStr">
        <is>
          <t>Valor</t>
        </is>
      </c>
      <c r="C30" s="5" t="inlineStr">
        <is>
          <t>% do custo direto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>
        <is>
          <t>Observação</t>
        </is>
      </c>
    </row>
    <row r="31">
      <c r="A31" s="6" t="inlineStr">
        <is>
          <t>MDF — chapa</t>
        </is>
      </c>
      <c r="B31" s="29">
        <f>F27</f>
        <v/>
      </c>
      <c r="C31" s="30">
        <f>IF($K$27=0,0,B31/$K$27)</f>
        <v/>
      </c>
      <c r="M31" s="2" t="inlineStr">
        <is>
          <t>Todos os padrões Duratex a R$ 600</t>
        </is>
      </c>
    </row>
    <row r="32">
      <c r="A32" s="6" t="inlineStr">
        <is>
          <t>Fita de borda</t>
        </is>
      </c>
      <c r="B32" s="29">
        <f>G27</f>
        <v/>
      </c>
      <c r="C32" s="30">
        <f>IF($K$27=0,0,B32/$K$27)</f>
        <v/>
      </c>
      <c r="M32" s="2" t="inlineStr"/>
    </row>
    <row r="33">
      <c r="A33" s="6" t="inlineStr">
        <is>
          <t>Ferragem Blum</t>
        </is>
      </c>
      <c r="B33" s="29">
        <f>H27</f>
        <v/>
      </c>
      <c r="C33" s="30">
        <f>IF($K$27=0,0,B33/$K$27)</f>
        <v/>
      </c>
      <c r="M33" s="2" t="inlineStr">
        <is>
          <t>Dobradiça 50, corrediça 250, HK-XS 250, puxador slim 35</t>
        </is>
      </c>
    </row>
    <row r="34">
      <c r="A34" s="6" t="inlineStr">
        <is>
          <t>Alma de aço</t>
        </is>
      </c>
      <c r="B34" s="29">
        <f>I27</f>
        <v/>
      </c>
      <c r="C34" s="30">
        <f>IF($K$27=0,0,B34/$K$27)</f>
        <v/>
      </c>
      <c r="M34" s="2" t="inlineStr">
        <is>
          <t>Barra chata de 5 mm, uma por peça acima de 30 mm</t>
        </is>
      </c>
    </row>
    <row r="35">
      <c r="A35" s="6" t="inlineStr">
        <is>
          <t>Iluminação e terceirizados</t>
        </is>
      </c>
      <c r="B35" s="29">
        <f>J27</f>
        <v/>
      </c>
      <c r="C35" s="30">
        <f>IF($K$27=0,0,B35/$K$27)</f>
        <v/>
      </c>
      <c r="M35" s="2" t="inlineStr"/>
    </row>
    <row r="36">
      <c r="A36" s="24" t="inlineStr">
        <is>
          <t>CUSTO DIRETO DO PROJETO</t>
        </is>
      </c>
      <c r="B36" s="25">
        <f>K27</f>
        <v/>
      </c>
    </row>
    <row r="38">
      <c r="A38" s="9" t="inlineStr">
        <is>
          <t>O que a prancha traz e NÃO é marcenaria</t>
        </is>
      </c>
    </row>
    <row r="39">
      <c r="A39" s="2" t="inlineStr">
        <is>
          <t>Parede com pedra Atacama Branca, revestimentos e pinturas</t>
        </is>
      </c>
    </row>
    <row r="40">
      <c r="A40" s="2" t="inlineStr">
        <is>
          <t>Pedras de bancada: quartzito, granito e travertino</t>
        </is>
      </c>
    </row>
    <row r="41">
      <c r="A41" s="2" t="inlineStr">
        <is>
          <t>Mobiliário solto, luminárias, tapetes, cortinas e espelhos</t>
        </is>
      </c>
    </row>
    <row r="42">
      <c r="A42" s="2" t="inlineStr">
        <is>
          <t>Eletrodomésticos, cubas, torneiras e metais</t>
        </is>
      </c>
    </row>
  </sheetData>
  <mergeCells count="4">
    <mergeCell ref="A41:M41"/>
    <mergeCell ref="A39:M39"/>
    <mergeCell ref="A40:M40"/>
    <mergeCell ref="A42:M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6" customWidth="1" min="2" max="2"/>
    <col width="14" customWidth="1" min="3" max="3"/>
    <col width="44" customWidth="1" min="4" max="4"/>
  </cols>
  <sheetData>
    <row r="1">
      <c r="A1" s="26" t="inlineStr">
        <is>
          <t>Custos financeiros e operacionais</t>
        </is>
      </c>
    </row>
    <row r="2">
      <c r="A2" s="2" t="inlineStr">
        <is>
          <t>Operacional é o que sai da fábrica. Financeiro é o que sai do preço antes de a fábrica ver.</t>
        </is>
      </c>
    </row>
    <row r="4">
      <c r="A4" s="3" t="inlineStr">
        <is>
          <t>ENTRADAS</t>
        </is>
      </c>
      <c r="B4" s="4" t="n"/>
      <c r="C4" s="4" t="n"/>
      <c r="D4" s="4" t="n"/>
    </row>
    <row r="5">
      <c r="A5" s="5" t="inlineStr">
        <is>
          <t>Entrada</t>
        </is>
      </c>
      <c r="B5" s="5" t="inlineStr">
        <is>
          <t>Valor</t>
        </is>
      </c>
      <c r="C5" s="5" t="inlineStr"/>
      <c r="D5" s="5" t="inlineStr">
        <is>
          <t>Observação</t>
        </is>
      </c>
    </row>
    <row r="6">
      <c r="A6" s="6" t="inlineStr">
        <is>
          <t>Preço de venda</t>
        </is>
      </c>
      <c r="B6" s="34" t="n">
        <v>0</v>
      </c>
      <c r="D6" s="2" t="inlineStr">
        <is>
          <t>A definir — alinhar as questões técnicas antes</t>
        </is>
      </c>
    </row>
    <row r="7">
      <c r="A7" s="6" t="inlineStr">
        <is>
          <t>Margem de contribuição alvo</t>
        </is>
      </c>
      <c r="B7" s="35" t="n">
        <v>0.4</v>
      </c>
      <c r="D7" s="2" t="inlineStr">
        <is>
          <t>Faixa ideal da casa: 35 a 40%</t>
        </is>
      </c>
    </row>
    <row r="8">
      <c r="A8" s="6" t="inlineStr">
        <is>
          <t>Número de parcelas no cartão</t>
        </is>
      </c>
      <c r="B8" s="36" t="n">
        <v>0</v>
      </c>
      <c r="D8" s="2" t="inlineStr">
        <is>
          <t>Zero quando não há cartão</t>
        </is>
      </c>
    </row>
    <row r="9">
      <c r="A9" s="6" t="inlineStr">
        <is>
          <t>Tem RT?  1 para sim, 0 para não</t>
        </is>
      </c>
      <c r="B9" s="36" t="n">
        <v>1</v>
      </c>
      <c r="D9" s="2" t="inlineStr">
        <is>
          <t>Projeto de arquiteta</t>
        </is>
      </c>
    </row>
    <row r="10">
      <c r="A10" s="6" t="inlineStr">
        <is>
          <t>Tem comissão de vendedor?  1 ou 0</t>
        </is>
      </c>
      <c r="B10" s="36" t="n">
        <v>0</v>
      </c>
      <c r="D10" s="2" t="inlineStr"/>
    </row>
    <row r="12">
      <c r="A12" s="3" t="inlineStr">
        <is>
          <t>CUSTOS FINANCEIROS — o que sai do preço antes da fábrica</t>
        </is>
      </c>
      <c r="B12" s="4" t="n"/>
      <c r="C12" s="4" t="n"/>
      <c r="D12" s="4" t="n"/>
    </row>
    <row r="13">
      <c r="A13" s="5" t="inlineStr">
        <is>
          <t>Linha</t>
        </is>
      </c>
      <c r="B13" s="5" t="inlineStr">
        <is>
          <t>Valor</t>
        </is>
      </c>
      <c r="C13" s="5" t="inlineStr">
        <is>
          <t>% do preço</t>
        </is>
      </c>
      <c r="D13" s="5" t="inlineStr">
        <is>
          <t>Observação</t>
        </is>
      </c>
    </row>
    <row r="14">
      <c r="A14" s="6" t="inlineStr">
        <is>
          <t>Nota fiscal</t>
        </is>
      </c>
      <c r="B14" s="29">
        <f>$B$6*'Base de Preços'!$B$33</f>
        <v/>
      </c>
      <c r="C14" s="30">
        <f>IF($B$6=0,0,B14/$B$6)</f>
        <v/>
      </c>
      <c r="D14" s="2" t="inlineStr"/>
    </row>
    <row r="15">
      <c r="A15" s="6" t="inlineStr">
        <is>
          <t>Taxa de máquina de cartão</t>
        </is>
      </c>
      <c r="B15" s="29">
        <f>$B$6*'Base de Preços'!$B$37*$B$8</f>
        <v/>
      </c>
      <c r="C15" s="30">
        <f>IF($B$6=0,0,B15/$B$6)</f>
        <v/>
      </c>
      <c r="D15" s="2" t="inlineStr"/>
    </row>
    <row r="16">
      <c r="A16" s="9" t="inlineStr">
        <is>
          <t>Líquido  =  preço − nota − cartão</t>
        </is>
      </c>
      <c r="B16" s="19">
        <f>$B$6-B14-B15</f>
        <v/>
      </c>
      <c r="C16" s="30">
        <f>IF($B$6=0,0,B16/$B$6)</f>
        <v/>
      </c>
      <c r="D16" s="2" t="inlineStr">
        <is>
          <t>Base da RT e da comissão de vendedor</t>
        </is>
      </c>
    </row>
    <row r="17">
      <c r="A17" s="6" t="inlineStr">
        <is>
          <t>RT da arquiteta</t>
        </is>
      </c>
      <c r="B17" s="29">
        <f>$B$16*'Base de Preços'!$B$41*$B$9</f>
        <v/>
      </c>
      <c r="C17" s="30">
        <f>IF($B$6=0,0,B17/$B$6)</f>
        <v/>
      </c>
      <c r="D17" s="2" t="inlineStr"/>
    </row>
    <row r="18">
      <c r="A18" s="6" t="inlineStr">
        <is>
          <t>Comissão de vendedor</t>
        </is>
      </c>
      <c r="B18" s="29">
        <f>$B$16*'Base de Preços'!$B$42*$B$10</f>
        <v/>
      </c>
      <c r="C18" s="30">
        <f>IF($B$6=0,0,B18/$B$6)</f>
        <v/>
      </c>
      <c r="D18" s="2" t="inlineStr"/>
    </row>
    <row r="19">
      <c r="A19" s="9" t="inlineStr">
        <is>
          <t>Líquido 2  =  líquido − RT − vendedor</t>
        </is>
      </c>
      <c r="B19" s="19">
        <f>$B$16-B17-B18</f>
        <v/>
      </c>
      <c r="C19" s="30">
        <f>IF($B$6=0,0,B19/$B$6)</f>
        <v/>
      </c>
      <c r="D19" s="2" t="inlineStr">
        <is>
          <t>Base de todas as comissões internas</t>
        </is>
      </c>
    </row>
    <row r="20">
      <c r="A20" s="9" t="inlineStr">
        <is>
          <t>TOTAL FINANCEIRO</t>
        </is>
      </c>
      <c r="B20" s="19">
        <f>B14+B15+B17+B18</f>
        <v/>
      </c>
      <c r="C20" s="30">
        <f>IF($B$6=0,0,B20/$B$6)</f>
        <v/>
      </c>
      <c r="D20" s="2" t="inlineStr"/>
    </row>
    <row r="22">
      <c r="A22" s="3" t="inlineStr">
        <is>
          <t>CUSTOS OPERACIONAIS — o que sai da fábrica</t>
        </is>
      </c>
      <c r="B22" s="4" t="n"/>
      <c r="C22" s="4" t="n"/>
      <c r="D22" s="4" t="n"/>
    </row>
    <row r="23">
      <c r="A23" s="5" t="inlineStr">
        <is>
          <t>Linha</t>
        </is>
      </c>
      <c r="B23" s="5" t="inlineStr">
        <is>
          <t>Valor</t>
        </is>
      </c>
      <c r="C23" s="5" t="inlineStr">
        <is>
          <t>% do preço</t>
        </is>
      </c>
      <c r="D23" s="5" t="inlineStr">
        <is>
          <t>Observação</t>
        </is>
      </c>
    </row>
    <row r="24">
      <c r="A24" s="6" t="inlineStr">
        <is>
          <t>Materiais, ferragem e terceirizados</t>
        </is>
      </c>
      <c r="B24" s="29">
        <f>'Resumo Geral'!$B$36</f>
        <v/>
      </c>
      <c r="C24" s="30">
        <f>IF($B$6=0,0,B24/$B$6)</f>
        <v/>
      </c>
      <c r="D24" s="2" t="inlineStr">
        <is>
          <t>Custo direto somado das vinte abas de ambiente</t>
        </is>
      </c>
    </row>
    <row r="25">
      <c r="A25" s="6" t="inlineStr">
        <is>
          <t>Comissão de produção</t>
        </is>
      </c>
      <c r="B25" s="29">
        <f>$B$19*'Base de Preços'!$B$46</f>
        <v/>
      </c>
      <c r="C25" s="30">
        <f>IF($B$6=0,0,B25/$B$6)</f>
        <v/>
      </c>
      <c r="D25" s="2" t="inlineStr"/>
    </row>
    <row r="26">
      <c r="A26" s="6" t="inlineStr">
        <is>
          <t>Comissão de montagem</t>
        </is>
      </c>
      <c r="B26" s="29">
        <f>$B$19*'Base de Preços'!$B$47</f>
        <v/>
      </c>
      <c r="C26" s="30">
        <f>IF($B$6=0,0,B26/$B$6)</f>
        <v/>
      </c>
      <c r="D26" s="2" t="inlineStr"/>
    </row>
    <row r="27">
      <c r="A27" s="6" t="inlineStr">
        <is>
          <t>Comissão de projeto</t>
        </is>
      </c>
      <c r="B27" s="29">
        <f>$B$19*'Base de Preços'!$B$48</f>
        <v/>
      </c>
      <c r="C27" s="30">
        <f>IF($B$6=0,0,B27/$B$6)</f>
        <v/>
      </c>
      <c r="D27" s="2" t="inlineStr"/>
    </row>
    <row r="28">
      <c r="A28" s="6" t="inlineStr">
        <is>
          <t>Comissão de coordenação</t>
        </is>
      </c>
      <c r="B28" s="29">
        <f>$B$19*'Base de Preços'!$B$49</f>
        <v/>
      </c>
      <c r="C28" s="30">
        <f>IF($B$6=0,0,B28/$B$6)</f>
        <v/>
      </c>
      <c r="D28" s="2" t="inlineStr"/>
    </row>
    <row r="29">
      <c r="A29" s="6" t="inlineStr">
        <is>
          <t>Comissão de gestão de projetos</t>
        </is>
      </c>
      <c r="B29" s="29">
        <f>$B$19*'Base de Preços'!$B$50</f>
        <v/>
      </c>
      <c r="C29" s="30">
        <f>IF($B$6=0,0,B29/$B$6)</f>
        <v/>
      </c>
      <c r="D29" s="2" t="inlineStr"/>
    </row>
    <row r="30">
      <c r="A30" s="6" t="inlineStr">
        <is>
          <t>Margem de erro</t>
        </is>
      </c>
      <c r="B30" s="29">
        <f>$B$6*'Base de Preços'!$B$34</f>
        <v/>
      </c>
      <c r="C30" s="30">
        <f>IF($B$6=0,0,B30/$B$6)</f>
        <v/>
      </c>
      <c r="D30" s="2" t="inlineStr"/>
    </row>
    <row r="31">
      <c r="A31" s="6" t="inlineStr">
        <is>
          <t>Desgaste de serra e fresa</t>
        </is>
      </c>
      <c r="B31" s="29">
        <f>$B$6*'Base de Preços'!$B$35</f>
        <v/>
      </c>
      <c r="C31" s="30">
        <f>IF($B$6=0,0,B31/$B$6)</f>
        <v/>
      </c>
      <c r="D31" s="2" t="inlineStr"/>
    </row>
    <row r="32">
      <c r="A32" s="6" t="inlineStr">
        <is>
          <t>Manutenção de máquinas</t>
        </is>
      </c>
      <c r="B32" s="29">
        <f>$B$6*'Base de Preços'!$B$36</f>
        <v/>
      </c>
      <c r="C32" s="30">
        <f>IF($B$6=0,0,B32/$B$6)</f>
        <v/>
      </c>
      <c r="D32" s="2" t="inlineStr"/>
    </row>
    <row r="33">
      <c r="A33" s="9" t="inlineStr">
        <is>
          <t>TOTAL OPERACIONAL</t>
        </is>
      </c>
      <c r="B33" s="19">
        <f>SUM(B24:B32)</f>
        <v/>
      </c>
      <c r="C33" s="30">
        <f>IF($B$6=0,0,B33/$B$6)</f>
        <v/>
      </c>
      <c r="D33" s="2" t="inlineStr"/>
    </row>
    <row r="35">
      <c r="A35" s="3" t="inlineStr">
        <is>
          <t>A BASE DA CASA, NESTA CONDIÇÃO</t>
        </is>
      </c>
      <c r="B35" s="4" t="n"/>
      <c r="C35" s="4" t="n"/>
      <c r="D35" s="4" t="n"/>
    </row>
    <row r="36">
      <c r="A36" s="5" t="inlineStr">
        <is>
          <t>Linha</t>
        </is>
      </c>
      <c r="B36" s="5" t="inlineStr">
        <is>
          <t>Valor</t>
        </is>
      </c>
      <c r="C36" s="5" t="inlineStr"/>
      <c r="D36" s="5" t="inlineStr">
        <is>
          <t>Observação</t>
        </is>
      </c>
    </row>
    <row r="37">
      <c r="A37" s="6" t="inlineStr">
        <is>
          <t>Encargos sobre o preço, somados</t>
        </is>
      </c>
      <c r="B37" s="30">
        <f>'Base de Preços'!$B$33+'Base de Preços'!$B$37*$B$8+'Base de Preços'!$B$34+'Base de Preços'!$B$35+'Base de Preços'!$B$36</f>
        <v/>
      </c>
    </row>
    <row r="38">
      <c r="A38" s="6" t="inlineStr">
        <is>
          <t>Líquido, como fração do preço</t>
        </is>
      </c>
      <c r="B38" s="30">
        <f>1-'Base de Preços'!$B$33-'Base de Preços'!$B$37*$B$8</f>
        <v/>
      </c>
    </row>
    <row r="39">
      <c r="A39" s="6" t="inlineStr">
        <is>
          <t>RT e vendedor, como fração do preço</t>
        </is>
      </c>
      <c r="B39" s="30">
        <f>B38*('Base de Preços'!$B$41*$B$9+'Base de Preços'!$B$42*$B$10)</f>
        <v/>
      </c>
    </row>
    <row r="40">
      <c r="A40" s="6" t="inlineStr">
        <is>
          <t>Comissões internas, como fração do preço</t>
        </is>
      </c>
      <c r="B40" s="30">
        <f>(B38-B39)*'Base de Preços'!$B$52</f>
        <v/>
      </c>
    </row>
    <row r="41">
      <c r="A41" s="9" t="inlineStr">
        <is>
          <t>BASE  =  o que sobra para custo e margem</t>
        </is>
      </c>
      <c r="B41" s="37">
        <f>1-B37-B39-B40</f>
        <v/>
      </c>
      <c r="D41" s="2" t="inlineStr">
        <is>
          <t>Com RT e sem vendedor dá 76,09%; sem os dois, 84,88%</t>
        </is>
      </c>
    </row>
    <row r="43">
      <c r="A43" s="3" t="inlineStr">
        <is>
          <t>RESULTADO</t>
        </is>
      </c>
      <c r="B43" s="4" t="n"/>
      <c r="C43" s="4" t="n"/>
      <c r="D43" s="4" t="n"/>
    </row>
    <row r="44">
      <c r="A44" s="5" t="inlineStr">
        <is>
          <t>Linha</t>
        </is>
      </c>
      <c r="B44" s="5" t="inlineStr">
        <is>
          <t>Valor</t>
        </is>
      </c>
      <c r="C44" s="5" t="inlineStr"/>
      <c r="D44" s="5" t="inlineStr">
        <is>
          <t>Observação</t>
        </is>
      </c>
    </row>
    <row r="45">
      <c r="A45" s="6" t="inlineStr">
        <is>
          <t>Preço de venda</t>
        </is>
      </c>
      <c r="B45" s="20">
        <f>$B$6</f>
        <v/>
      </c>
      <c r="D45" s="2" t="inlineStr"/>
    </row>
    <row r="46">
      <c r="A46" s="6" t="inlineStr">
        <is>
          <t>Menos custos financeiros</t>
        </is>
      </c>
      <c r="B46" s="20">
        <f>-$B$20</f>
        <v/>
      </c>
      <c r="D46" s="2" t="inlineStr"/>
    </row>
    <row r="47">
      <c r="A47" s="6" t="inlineStr">
        <is>
          <t>Menos custos operacionais</t>
        </is>
      </c>
      <c r="B47" s="20">
        <f>-$B$33</f>
        <v/>
      </c>
      <c r="D47" s="2" t="inlineStr"/>
    </row>
    <row r="48">
      <c r="A48" s="9" t="inlineStr">
        <is>
          <t>MARGEM DE CONTRIBUIÇÃO</t>
        </is>
      </c>
      <c r="B48" s="19">
        <f>$B$6-$B$20-$B$33</f>
        <v/>
      </c>
      <c r="D48" s="2" t="inlineStr"/>
    </row>
    <row r="49">
      <c r="A49" s="9" t="inlineStr">
        <is>
          <t>MC em percentual</t>
        </is>
      </c>
      <c r="B49" s="37">
        <f>IF($B$6=0,0,($B$6-$B$20-$B$33)/$B$6)</f>
        <v/>
      </c>
      <c r="D49" s="2" t="inlineStr">
        <is>
          <t>Piso da casa 35%, faixa ideal de 35 a 40%</t>
        </is>
      </c>
    </row>
    <row r="50">
      <c r="A50" s="9" t="inlineStr">
        <is>
          <t>Preço para a MC alvo</t>
        </is>
      </c>
      <c r="B50" s="19">
        <f>IF($B$41-$B$7&lt;=0,0,ROUND(B24/($B$41-$B$7)/10,0)*10)</f>
        <v/>
      </c>
      <c r="D50" s="2" t="inlineStr">
        <is>
          <t>Custo direto dividido por base menos MC, arredondado a R$ 10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 outlineLevelCol="0"/>
  <cols>
    <col width="46" customWidth="1" min="1" max="1"/>
    <col width="14" customWidth="1" min="2" max="2"/>
    <col width="44" customWidth="1" min="3" max="3"/>
  </cols>
  <sheetData>
    <row r="1">
      <c r="A1" s="1" t="inlineStr">
        <is>
          <t>Base de preços e percentuais</t>
        </is>
      </c>
    </row>
    <row r="2">
      <c r="A2" s="2" t="inlineStr">
        <is>
          <t>Toda célula azul é entrada: mude aqui e o levantamento inteiro acompanha.</t>
        </is>
      </c>
    </row>
    <row r="4">
      <c r="A4" s="3" t="inlineStr">
        <is>
          <t>MDF — todos os padrões Duratex do projeto</t>
        </is>
      </c>
      <c r="B4" s="4" t="n"/>
      <c r="C4" s="4" t="n"/>
    </row>
    <row r="5">
      <c r="A5" s="5" t="inlineStr">
        <is>
          <t>Item</t>
        </is>
      </c>
      <c r="B5" s="5" t="inlineStr">
        <is>
          <t>Valor</t>
        </is>
      </c>
      <c r="C5" s="5" t="inlineStr">
        <is>
          <t>Origem</t>
        </is>
      </c>
    </row>
    <row r="6">
      <c r="A6" s="6" t="inlineStr">
        <is>
          <t>Chapa 18 mm</t>
        </is>
      </c>
      <c r="B6" s="7" t="n">
        <v>600</v>
      </c>
      <c r="C6" s="2" t="inlineStr">
        <is>
          <t>Jonathan, 26/10/2026</t>
        </is>
      </c>
    </row>
    <row r="7">
      <c r="A7" s="6" t="inlineStr">
        <is>
          <t>Chapa 15 mm</t>
        </is>
      </c>
      <c r="B7" s="7" t="n">
        <v>500</v>
      </c>
      <c r="C7" s="2" t="inlineStr">
        <is>
          <t>base da casa</t>
        </is>
      </c>
    </row>
    <row r="8">
      <c r="A8" s="6" t="inlineStr">
        <is>
          <t>Chapa 6 mm</t>
        </is>
      </c>
      <c r="B8" s="7" t="n">
        <v>300</v>
      </c>
      <c r="C8" s="2" t="inlineStr">
        <is>
          <t>base da casa</t>
        </is>
      </c>
    </row>
    <row r="9">
      <c r="A9" s="6" t="inlineStr">
        <is>
          <t>Fita de borda de cor, com filetagem (R$/m)</t>
        </is>
      </c>
      <c r="B9" s="7" t="n">
        <v>5.5</v>
      </c>
      <c r="C9" s="2" t="inlineStr">
        <is>
          <t>base da casa</t>
        </is>
      </c>
    </row>
    <row r="11">
      <c r="A11" s="3" t="inlineStr">
        <is>
          <t>Ferragem Blum</t>
        </is>
      </c>
      <c r="B11" s="4" t="n"/>
      <c r="C11" s="4" t="n"/>
    </row>
    <row r="12">
      <c r="A12" s="5" t="inlineStr">
        <is>
          <t>Item</t>
        </is>
      </c>
      <c r="B12" s="5" t="inlineStr">
        <is>
          <t>Valor</t>
        </is>
      </c>
      <c r="C12" s="5" t="inlineStr">
        <is>
          <t>Origem</t>
        </is>
      </c>
    </row>
    <row r="13">
      <c r="A13" s="6" t="inlineStr">
        <is>
          <t>Dobradiça</t>
        </is>
      </c>
      <c r="B13" s="7" t="n">
        <v>50</v>
      </c>
      <c r="C13" s="2" t="inlineStr">
        <is>
          <t>Jonathan, 26/10/2026</t>
        </is>
      </c>
    </row>
    <row r="14">
      <c r="A14" s="6" t="inlineStr">
        <is>
          <t>Corrediça (por gaveta)</t>
        </is>
      </c>
      <c r="B14" s="7" t="n">
        <v>250</v>
      </c>
      <c r="C14" s="2" t="inlineStr">
        <is>
          <t>Jonathan, 26/10/2026</t>
        </is>
      </c>
    </row>
    <row r="15">
      <c r="A15" s="6" t="inlineStr">
        <is>
          <t>Báscula AVENTOS HK-XS</t>
        </is>
      </c>
      <c r="B15" s="7" t="n">
        <v>250</v>
      </c>
      <c r="C15" s="2" t="inlineStr">
        <is>
          <t>Jonathan, 26/10/2026</t>
        </is>
      </c>
    </row>
    <row r="16">
      <c r="A16" s="6" t="inlineStr">
        <is>
          <t>Puxador slim para báscula</t>
        </is>
      </c>
      <c r="B16" s="7" t="n">
        <v>35</v>
      </c>
      <c r="C16" s="2" t="inlineStr">
        <is>
          <t>Jonathan, 26/10/2026</t>
        </is>
      </c>
    </row>
    <row r="17">
      <c r="A17" s="6" t="inlineStr">
        <is>
          <t>Pulsador por porta</t>
        </is>
      </c>
      <c r="B17" s="7" t="n">
        <v>100</v>
      </c>
      <c r="C17" s="2" t="inlineStr">
        <is>
          <t>Jonathan, 26/10/2026 — não usar neste projeto</t>
        </is>
      </c>
    </row>
    <row r="19">
      <c r="A19" s="3" t="inlineStr">
        <is>
          <t>Estrutura e acabamento</t>
        </is>
      </c>
      <c r="B19" s="4" t="n"/>
      <c r="C19" s="4" t="n"/>
    </row>
    <row r="20">
      <c r="A20" s="5" t="inlineStr">
        <is>
          <t>Item</t>
        </is>
      </c>
      <c r="B20" s="5" t="inlineStr">
        <is>
          <t>Valor</t>
        </is>
      </c>
      <c r="C20" s="5" t="inlineStr">
        <is>
          <t>Origem</t>
        </is>
      </c>
    </row>
    <row r="21">
      <c r="A21" s="6" t="inlineStr">
        <is>
          <t>Alma de aço — barra chata de 5 mm, barra de 3 m</t>
        </is>
      </c>
      <c r="B21" s="7" t="n">
        <v>50</v>
      </c>
      <c r="C21" s="2" t="inlineStr">
        <is>
          <t>Jonathan, 26/10/2026. Uma por peça acima de 30 mm</t>
        </is>
      </c>
    </row>
    <row r="22">
      <c r="A22" s="6" t="inlineStr">
        <is>
          <t>Perfil de LED com difusor (R$/m)</t>
        </is>
      </c>
      <c r="B22" s="7" t="n">
        <v>65</v>
      </c>
      <c r="C22" s="2" t="inlineStr">
        <is>
          <t>base da casa, linha Essencial</t>
        </is>
      </c>
    </row>
    <row r="23">
      <c r="A23" s="6" t="inlineStr">
        <is>
          <t>Fonte de LED</t>
        </is>
      </c>
      <c r="B23" s="7" t="n">
        <v>120</v>
      </c>
      <c r="C23" s="2" t="inlineStr">
        <is>
          <t>base da casa</t>
        </is>
      </c>
    </row>
    <row r="25">
      <c r="A25" s="3" t="inlineStr">
        <is>
          <t>Rendimento e perdas</t>
        </is>
      </c>
      <c r="B25" s="4" t="n"/>
      <c r="C25" s="4" t="n"/>
    </row>
    <row r="26">
      <c r="A26" s="5" t="inlineStr">
        <is>
          <t>Item</t>
        </is>
      </c>
      <c r="B26" s="5" t="inlineStr">
        <is>
          <t>Valor</t>
        </is>
      </c>
      <c r="C26" s="5" t="inlineStr">
        <is>
          <t>Origem</t>
        </is>
      </c>
    </row>
    <row r="27">
      <c r="A27" s="6" t="inlineStr">
        <is>
          <t>Aproveitamento de chapa</t>
        </is>
      </c>
      <c r="B27" s="8" t="n">
        <v>0.8</v>
      </c>
      <c r="C27" s="2" t="inlineStr">
        <is>
          <t>base da casa</t>
        </is>
      </c>
    </row>
    <row r="28">
      <c r="A28" s="6" t="inlineStr">
        <is>
          <t>Consumíveis sobre chapa e fita</t>
        </is>
      </c>
      <c r="B28" s="8" t="n">
        <v>0.06</v>
      </c>
      <c r="C28" s="2" t="inlineStr">
        <is>
          <t>base da casa</t>
        </is>
      </c>
    </row>
    <row r="29">
      <c r="A29" s="6" t="inlineStr">
        <is>
          <t>Embalagem sobre o custo direto</t>
        </is>
      </c>
      <c r="B29" s="8" t="n">
        <v>0.02</v>
      </c>
      <c r="C29" s="2" t="inlineStr">
        <is>
          <t>base da casa</t>
        </is>
      </c>
    </row>
    <row r="31">
      <c r="A31" s="3" t="inlineStr">
        <is>
          <t>Cascata — sobre o preço de venda</t>
        </is>
      </c>
      <c r="B31" s="4" t="n"/>
      <c r="C31" s="4" t="n"/>
    </row>
    <row r="32">
      <c r="A32" s="5" t="inlineStr">
        <is>
          <t>Item</t>
        </is>
      </c>
      <c r="B32" s="5" t="inlineStr">
        <is>
          <t>Valor</t>
        </is>
      </c>
      <c r="C32" s="5" t="inlineStr">
        <is>
          <t>Origem</t>
        </is>
      </c>
    </row>
    <row r="33">
      <c r="A33" s="6" t="inlineStr">
        <is>
          <t>Nota fiscal</t>
        </is>
      </c>
      <c r="B33" s="8" t="n">
        <v>0.05</v>
      </c>
      <c r="C33" s="2" t="inlineStr">
        <is>
          <t>base da casa</t>
        </is>
      </c>
    </row>
    <row r="34">
      <c r="A34" s="6" t="inlineStr">
        <is>
          <t>Margem de erro</t>
        </is>
      </c>
      <c r="B34" s="8" t="n">
        <v>0.02</v>
      </c>
      <c r="C34" s="2" t="inlineStr">
        <is>
          <t>base da casa</t>
        </is>
      </c>
    </row>
    <row r="35">
      <c r="A35" s="6" t="inlineStr">
        <is>
          <t>Desgaste de serra e fresa</t>
        </is>
      </c>
      <c r="B35" s="8" t="n">
        <v>0.005</v>
      </c>
      <c r="C35" s="2" t="inlineStr">
        <is>
          <t>base da casa</t>
        </is>
      </c>
    </row>
    <row r="36">
      <c r="A36" s="6" t="inlineStr">
        <is>
          <t>Manutenção de máquinas</t>
        </is>
      </c>
      <c r="B36" s="8" t="n">
        <v>0.005</v>
      </c>
      <c r="C36" s="2" t="inlineStr">
        <is>
          <t>base da casa</t>
        </is>
      </c>
    </row>
    <row r="37">
      <c r="A37" s="6" t="inlineStr">
        <is>
          <t>Taxa de cartão, por parcela</t>
        </is>
      </c>
      <c r="B37" s="8" t="n">
        <v>0.012</v>
      </c>
      <c r="C37" s="2" t="inlineStr">
        <is>
          <t>base da casa</t>
        </is>
      </c>
    </row>
    <row r="39">
      <c r="A39" s="3" t="inlineStr">
        <is>
          <t>Cascata — sobre o líquido (bruto menos nota e cartão)</t>
        </is>
      </c>
      <c r="B39" s="4" t="n"/>
      <c r="C39" s="4" t="n"/>
    </row>
    <row r="40">
      <c r="A40" s="5" t="inlineStr">
        <is>
          <t>Item</t>
        </is>
      </c>
      <c r="B40" s="5" t="inlineStr">
        <is>
          <t>Valor</t>
        </is>
      </c>
      <c r="C40" s="5" t="inlineStr">
        <is>
          <t>Origem</t>
        </is>
      </c>
    </row>
    <row r="41">
      <c r="A41" s="6" t="inlineStr">
        <is>
          <t>RT da arquiteta</t>
        </is>
      </c>
      <c r="B41" s="8" t="n">
        <v>0.1</v>
      </c>
      <c r="C41" s="2" t="inlineStr">
        <is>
          <t>base da casa</t>
        </is>
      </c>
    </row>
    <row r="42">
      <c r="A42" s="6" t="inlineStr">
        <is>
          <t>Comissão de vendedor</t>
        </is>
      </c>
      <c r="B42" s="8" t="n">
        <v>0.1</v>
      </c>
      <c r="C42" s="2" t="inlineStr">
        <is>
          <t>base da casa</t>
        </is>
      </c>
    </row>
    <row r="44">
      <c r="A44" s="3" t="inlineStr">
        <is>
          <t>Comissões internas — sobre o líquido 2 (líquido menos RT e vendedor)</t>
        </is>
      </c>
      <c r="B44" s="4" t="n"/>
      <c r="C44" s="4" t="n"/>
    </row>
    <row r="45">
      <c r="A45" s="5" t="inlineStr">
        <is>
          <t>Item</t>
        </is>
      </c>
      <c r="B45" s="5" t="inlineStr">
        <is>
          <t>Valor</t>
        </is>
      </c>
      <c r="C45" s="5" t="inlineStr">
        <is>
          <t>Origem</t>
        </is>
      </c>
    </row>
    <row r="46">
      <c r="A46" s="6" t="inlineStr">
        <is>
          <t>Produção</t>
        </is>
      </c>
      <c r="B46" s="8" t="n">
        <v>0.025</v>
      </c>
      <c r="C46" s="2" t="inlineStr">
        <is>
          <t>Base · Comissões, N.GESTÃO 2</t>
        </is>
      </c>
    </row>
    <row r="47">
      <c r="A47" s="6" t="inlineStr">
        <is>
          <t>Montagem</t>
        </is>
      </c>
      <c r="B47" s="8" t="n">
        <v>0.025</v>
      </c>
      <c r="C47" s="2" t="inlineStr">
        <is>
          <t>Base · Comissões, N.GESTÃO 2</t>
        </is>
      </c>
    </row>
    <row r="48">
      <c r="A48" s="6" t="inlineStr">
        <is>
          <t>Projeto</t>
        </is>
      </c>
      <c r="B48" s="8" t="n">
        <v>0.01</v>
      </c>
      <c r="C48" s="2" t="inlineStr">
        <is>
          <t>Base · Comissões, N.GESTÃO 2</t>
        </is>
      </c>
    </row>
    <row r="49">
      <c r="A49" s="6" t="inlineStr">
        <is>
          <t>Coordenação</t>
        </is>
      </c>
      <c r="B49" s="8" t="n">
        <v>0.01</v>
      </c>
      <c r="C49" s="2" t="inlineStr">
        <is>
          <t>Base · Comissões, N.GESTÃO 2</t>
        </is>
      </c>
    </row>
    <row r="50">
      <c r="A50" s="6" t="inlineStr">
        <is>
          <t>Gestão de projetos</t>
        </is>
      </c>
      <c r="B50" s="8" t="n">
        <v>0.005</v>
      </c>
      <c r="C50" s="2" t="inlineStr">
        <is>
          <t>Jonathan, 26/10/2026 — comissão nova</t>
        </is>
      </c>
    </row>
    <row r="52">
      <c r="A52" s="9" t="inlineStr">
        <is>
          <t>Soma das comissões internas</t>
        </is>
      </c>
      <c r="B52" s="10">
        <f>SUM(B46:B50)</f>
        <v/>
      </c>
      <c r="C52" s="2" t="inlineStr">
        <is>
          <t>Era 7,0% até 26/10/2026</t>
        </is>
      </c>
    </row>
    <row r="54">
      <c r="A54" s="3" t="inlineStr">
        <is>
          <t>Chapa — medidas</t>
        </is>
      </c>
      <c r="B54" s="4" t="n"/>
      <c r="C54" s="4" t="n"/>
    </row>
    <row r="55">
      <c r="A55" s="5" t="inlineStr">
        <is>
          <t>Item</t>
        </is>
      </c>
      <c r="B55" s="5" t="inlineStr">
        <is>
          <t>Valor</t>
        </is>
      </c>
      <c r="C55" s="5" t="inlineStr">
        <is>
          <t>Origem</t>
        </is>
      </c>
    </row>
    <row r="56">
      <c r="A56" s="6" t="inlineStr">
        <is>
          <t>Comprimento da chapa (cm)</t>
        </is>
      </c>
      <c r="B56" s="11" t="n">
        <v>275</v>
      </c>
      <c r="C56" s="2" t="inlineStr">
        <is>
          <t>padrão confirmado em plano de corte</t>
        </is>
      </c>
    </row>
    <row r="57">
      <c r="A57" s="6" t="inlineStr">
        <is>
          <t>Largura da chapa (cm)</t>
        </is>
      </c>
      <c r="B57" s="11" t="n">
        <v>185</v>
      </c>
      <c r="C57" s="2" t="inlineStr">
        <is>
          <t>padrão confirmado em plano de corte</t>
        </is>
      </c>
    </row>
    <row r="59">
      <c r="A59" s="9" t="inlineStr">
        <is>
          <t>Área da chapa (m²)</t>
        </is>
      </c>
      <c r="B59" s="12">
        <f>B56*B57/10000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13" customWidth="1" min="3" max="3"/>
    <col width="13" customWidth="1" min="4" max="4"/>
    <col width="8" customWidth="1" min="5" max="5"/>
    <col width="9" customWidth="1" min="6" max="6"/>
    <col width="12" customWidth="1" min="7" max="7"/>
    <col width="46" customWidth="1" min="8" max="8"/>
  </cols>
  <sheetData>
    <row r="1">
      <c r="A1" s="1" t="inlineStr">
        <is>
          <t>Living</t>
        </is>
      </c>
    </row>
    <row r="2">
      <c r="A2" s="2" t="inlineStr">
        <is>
          <t>Projeto ICA · páginas 012–026 · 8 detalhamentos · MDF Nogueira Caiena</t>
        </is>
      </c>
    </row>
    <row r="3"/>
    <row r="4">
      <c r="A4" s="3" t="inlineStr">
        <is>
          <t>MÓVEIS DO AMBIENTE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DET</t>
        </is>
      </c>
      <c r="B5" s="5" t="inlineStr">
        <is>
          <t>Móvel</t>
        </is>
      </c>
      <c r="C5" s="5" t="inlineStr">
        <is>
          <t>O que o projeto especifica</t>
        </is>
      </c>
      <c r="D5" s="5" t="inlineStr"/>
      <c r="E5" s="5" t="inlineStr"/>
      <c r="F5" s="5" t="inlineStr"/>
      <c r="G5" s="5" t="inlineStr"/>
      <c r="H5" s="5" t="inlineStr">
        <is>
          <t>Conferência</t>
        </is>
      </c>
    </row>
    <row r="6" ht="30" customHeight="1">
      <c r="A6" s="6" t="inlineStr">
        <is>
          <t>01</t>
        </is>
      </c>
      <c r="B6" s="9" t="inlineStr">
        <is>
          <t>Sapateira com painel</t>
        </is>
      </c>
      <c r="C6" s="13" t="inlineStr">
        <is>
          <t>Painel de 300 de altura. Sapateira com puxador cava usinado na própria madeira e LED na base.</t>
        </is>
      </c>
      <c r="H6" s="14" t="inlineStr">
        <is>
          <t>Larguras das frentes a confirmar no desenho</t>
        </is>
      </c>
    </row>
    <row r="7" ht="30" customHeight="1">
      <c r="A7" s="6" t="inlineStr">
        <is>
          <t>02</t>
        </is>
      </c>
      <c r="B7" s="9" t="inlineStr">
        <is>
          <t>Aparador com gaveta</t>
        </is>
      </c>
      <c r="C7" s="13" t="inlineStr">
        <is>
          <t>185 × 50, altura 45. Gaveta com puxador cava. Vão deixado para planta.</t>
        </is>
      </c>
      <c r="H7" s="15" t="inlineStr"/>
    </row>
    <row r="8" ht="30" customHeight="1">
      <c r="A8" s="6" t="inlineStr">
        <is>
          <t>03</t>
        </is>
      </c>
      <c r="B8" s="9" t="inlineStr">
        <is>
          <t>Prateleira</t>
        </is>
      </c>
      <c r="C8" s="13" t="inlineStr">
        <is>
          <t>135 × 45, com iluminação.</t>
        </is>
      </c>
      <c r="H8" s="15" t="inlineStr"/>
    </row>
    <row r="9" ht="30" customHeight="1">
      <c r="A9" s="6" t="inlineStr">
        <is>
          <t>04</t>
        </is>
      </c>
      <c r="B9" s="9" t="inlineStr">
        <is>
          <t>Divisória em ripas</t>
        </is>
      </c>
      <c r="C9" s="13" t="inlineStr">
        <is>
          <t>Onze ripas de 7 com vão de 10, profundidade 20, altura 300. Largura total 177.</t>
        </is>
      </c>
      <c r="H9" s="14" t="inlineStr">
        <is>
          <t>Cadeia de cota fecha: 11×7 + 10×10 = 177</t>
        </is>
      </c>
    </row>
    <row r="10" ht="30" customHeight="1">
      <c r="A10" s="6" t="inlineStr">
        <is>
          <t>05</t>
        </is>
      </c>
      <c r="B10" s="9" t="inlineStr">
        <is>
          <t>Jardineira com banco</t>
        </is>
      </c>
      <c r="C10" s="13" t="inlineStr">
        <is>
          <t>Conjunto de 520. Floreira de 500 × 50. Banco de 80 × 50, altura 44, com LED inferior.</t>
        </is>
      </c>
      <c r="H10" s="14" t="inlineStr">
        <is>
          <t>O projeto pede reforço estrutural na parede</t>
        </is>
      </c>
    </row>
    <row r="11" ht="30" customHeight="1">
      <c r="A11" s="6" t="inlineStr">
        <is>
          <t>06</t>
        </is>
      </c>
      <c r="B11" s="9" t="inlineStr">
        <is>
          <t>Divisória com cristaleira</t>
        </is>
      </c>
      <c r="C11" s="13" t="inlineStr">
        <is>
          <t>Divisória de 360 × 300. Cristaleira de 100 × 260 com portas de giro em vidro reflecta champagne e prateleiras internas iluminadas. Rack com gavetas e base recuada com LED.</t>
        </is>
      </c>
      <c r="H11" s="14" t="inlineStr">
        <is>
          <t>Contagem de gavetas e portas a fechar</t>
        </is>
      </c>
    </row>
    <row r="12" ht="30" customHeight="1">
      <c r="A12" s="6" t="inlineStr">
        <is>
          <t>07</t>
        </is>
      </c>
      <c r="B12" s="9" t="inlineStr">
        <is>
          <t>Estante</t>
        </is>
      </c>
      <c r="C12" s="13" t="inlineStr">
        <is>
          <t>300 × 215, profundidade 40. Quatro nichos de 48 com fundo ripado. Gavetas com puxador cava.</t>
        </is>
      </c>
      <c r="H12" s="14" t="inlineStr">
        <is>
          <t>Contagem de gavetas a fechar</t>
        </is>
      </c>
    </row>
    <row r="13" ht="30" customHeight="1">
      <c r="A13" s="6" t="inlineStr">
        <is>
          <t>08</t>
        </is>
      </c>
      <c r="B13" s="9" t="inlineStr">
        <is>
          <t>Painel com porta mimetizada</t>
        </is>
      </c>
      <c r="C13" s="13" t="inlineStr">
        <is>
          <t>Painel de 400 × 300. Porta mimetizada de giro de 90 × 210, com puxador cava.</t>
        </is>
      </c>
      <c r="H13" s="15" t="inlineStr"/>
    </row>
    <row r="14"/>
    <row r="15"/>
    <row r="16"/>
    <row r="17"/>
    <row r="18"/>
    <row r="19">
      <c r="A19" s="3" t="inlineStr">
        <is>
          <t>CHAPA</t>
        </is>
      </c>
      <c r="B19" s="4" t="n"/>
      <c r="C19" s="4" t="n"/>
      <c r="D19" s="4" t="n"/>
      <c r="E19" s="4" t="n"/>
      <c r="F19" s="4" t="n"/>
      <c r="G19" s="4" t="n"/>
      <c r="H19" s="16" t="inlineStr">
        <is>
          <t>Medidas lidas dos detalhamentos. Levantamento parcial — faltam as peças de caixaria.</t>
        </is>
      </c>
    </row>
    <row r="20">
      <c r="A20" s="5" t="inlineStr">
        <is>
          <t>Peça</t>
        </is>
      </c>
      <c r="B20" s="5" t="inlineStr">
        <is>
          <t>Móvel</t>
        </is>
      </c>
      <c r="C20" s="5" t="inlineStr">
        <is>
          <t>Comprimento (cm)</t>
        </is>
      </c>
      <c r="D20" s="5" t="inlineStr">
        <is>
          <t>Largura (cm)</t>
        </is>
      </c>
      <c r="E20" s="5" t="inlineStr">
        <is>
          <t>Qtd</t>
        </is>
      </c>
      <c r="F20" s="5" t="inlineStr">
        <is>
          <t>Esp (mm)</t>
        </is>
      </c>
      <c r="G20" s="5" t="inlineStr">
        <is>
          <t>Área (m²)</t>
        </is>
      </c>
      <c r="H20" s="5" t="inlineStr">
        <is>
          <t>Observação</t>
        </is>
      </c>
    </row>
    <row r="21">
      <c r="A21" s="6" t="inlineStr">
        <is>
          <t>Ripa do brise</t>
        </is>
      </c>
      <c r="B21" s="6" t="inlineStr">
        <is>
          <t>DET 04 Divisória</t>
        </is>
      </c>
      <c r="C21" s="11" t="n">
        <v>7</v>
      </c>
      <c r="D21" s="11" t="n">
        <v>300</v>
      </c>
      <c r="E21" s="11" t="n">
        <v>11</v>
      </c>
      <c r="F21" s="11" t="n">
        <v>18</v>
      </c>
      <c r="G21" s="17">
        <f>IF(C21="","",C21*D21*E21/10000)</f>
        <v/>
      </c>
      <c r="H21" s="2" t="inlineStr">
        <is>
          <t>Vão de 10 entre ripas</t>
        </is>
      </c>
    </row>
    <row r="22">
      <c r="A22" s="6" t="inlineStr">
        <is>
          <t>Travessa da divisória</t>
        </is>
      </c>
      <c r="B22" s="6" t="inlineStr">
        <is>
          <t>DET 04 Divisória</t>
        </is>
      </c>
      <c r="C22" s="11" t="n">
        <v>177</v>
      </c>
      <c r="D22" s="11" t="n">
        <v>20</v>
      </c>
      <c r="E22" s="11" t="n">
        <v>2</v>
      </c>
      <c r="F22" s="11" t="n">
        <v>18</v>
      </c>
      <c r="G22" s="17">
        <f>IF(C22="","",C22*D22*E22/10000)</f>
        <v/>
      </c>
      <c r="H22" s="2" t="inlineStr"/>
    </row>
    <row r="23">
      <c r="A23" s="6" t="inlineStr">
        <is>
          <t>Tampo do aparador</t>
        </is>
      </c>
      <c r="B23" s="6" t="inlineStr">
        <is>
          <t>DET 02 Aparador</t>
        </is>
      </c>
      <c r="C23" s="11" t="n">
        <v>185</v>
      </c>
      <c r="D23" s="11" t="n">
        <v>50</v>
      </c>
      <c r="E23" s="11" t="n">
        <v>1</v>
      </c>
      <c r="F23" s="11" t="n">
        <v>18</v>
      </c>
      <c r="G23" s="17">
        <f>IF(C23="","",C23*D23*E23/10000)</f>
        <v/>
      </c>
      <c r="H23" s="2" t="inlineStr"/>
    </row>
    <row r="24">
      <c r="A24" s="6" t="inlineStr">
        <is>
          <t>Prateleira</t>
        </is>
      </c>
      <c r="B24" s="6" t="inlineStr">
        <is>
          <t>DET 03 Prateleira</t>
        </is>
      </c>
      <c r="C24" s="11" t="n">
        <v>135</v>
      </c>
      <c r="D24" s="11" t="n">
        <v>45</v>
      </c>
      <c r="E24" s="11" t="n">
        <v>1</v>
      </c>
      <c r="F24" s="11" t="n">
        <v>18</v>
      </c>
      <c r="G24" s="17">
        <f>IF(C24="","",C24*D24*E24/10000)</f>
        <v/>
      </c>
      <c r="H24" s="2" t="inlineStr">
        <is>
          <t>Com iluminação</t>
        </is>
      </c>
    </row>
    <row r="25">
      <c r="A25" s="6" t="inlineStr">
        <is>
          <t>Lateral da estante</t>
        </is>
      </c>
      <c r="B25" s="6" t="inlineStr">
        <is>
          <t>DET 07 Estante</t>
        </is>
      </c>
      <c r="C25" s="11" t="n">
        <v>40</v>
      </c>
      <c r="D25" s="11" t="n">
        <v>215</v>
      </c>
      <c r="E25" s="11" t="n">
        <v>2</v>
      </c>
      <c r="F25" s="11" t="n">
        <v>18</v>
      </c>
      <c r="G25" s="17">
        <f>IF(C25="","",C25*D25*E25/10000)</f>
        <v/>
      </c>
      <c r="H25" s="2" t="inlineStr"/>
    </row>
    <row r="26">
      <c r="A26" s="6" t="inlineStr">
        <is>
          <t>Prateleira da estante</t>
        </is>
      </c>
      <c r="B26" s="6" t="inlineStr">
        <is>
          <t>DET 07 Estante</t>
        </is>
      </c>
      <c r="C26" s="11" t="n">
        <v>300</v>
      </c>
      <c r="D26" s="11" t="n">
        <v>40</v>
      </c>
      <c r="E26" s="11" t="n">
        <v>4</v>
      </c>
      <c r="F26" s="11" t="n">
        <v>18</v>
      </c>
      <c r="G26" s="17">
        <f>IF(C26="","",C26*D26*E26/10000)</f>
        <v/>
      </c>
      <c r="H26" s="2" t="inlineStr">
        <is>
          <t>Quatro nichos de 48</t>
        </is>
      </c>
    </row>
    <row r="27">
      <c r="A27" s="6" t="inlineStr">
        <is>
          <t>Painel da porta mimetizada</t>
        </is>
      </c>
      <c r="B27" s="6" t="inlineStr">
        <is>
          <t>DET 08 Painel</t>
        </is>
      </c>
      <c r="C27" s="11" t="n">
        <v>400</v>
      </c>
      <c r="D27" s="11" t="n">
        <v>300</v>
      </c>
      <c r="E27" s="11" t="n">
        <v>1</v>
      </c>
      <c r="F27" s="11" t="n">
        <v>18</v>
      </c>
      <c r="G27" s="17">
        <f>IF(C27="","",C27*D27*E27/10000)</f>
        <v/>
      </c>
      <c r="H27" s="2" t="inlineStr"/>
    </row>
    <row r="28">
      <c r="A28" s="6" t="inlineStr">
        <is>
          <t>Folha da porta mimetizada</t>
        </is>
      </c>
      <c r="B28" s="6" t="inlineStr">
        <is>
          <t>DET 08 Painel</t>
        </is>
      </c>
      <c r="C28" s="11" t="n">
        <v>90</v>
      </c>
      <c r="D28" s="11" t="n">
        <v>210</v>
      </c>
      <c r="E28" s="11" t="n">
        <v>1</v>
      </c>
      <c r="F28" s="11" t="n">
        <v>18</v>
      </c>
      <c r="G28" s="17">
        <f>IF(C28="","",C28*D28*E28/10000)</f>
        <v/>
      </c>
      <c r="H28" s="2" t="inlineStr"/>
    </row>
    <row r="29">
      <c r="A29" s="6" t="inlineStr">
        <is>
          <t>Floreira</t>
        </is>
      </c>
      <c r="B29" s="6" t="inlineStr">
        <is>
          <t>DET 05 Jardineira</t>
        </is>
      </c>
      <c r="C29" s="11" t="n">
        <v>500</v>
      </c>
      <c r="D29" s="11" t="n">
        <v>50</v>
      </c>
      <c r="E29" s="11" t="n">
        <v>1</v>
      </c>
      <c r="F29" s="11" t="n">
        <v>18</v>
      </c>
      <c r="G29" s="17">
        <f>IF(C29="","",C29*D29*E29/10000)</f>
        <v/>
      </c>
      <c r="H29" s="2" t="inlineStr"/>
    </row>
    <row r="30">
      <c r="A30" s="6" t="inlineStr">
        <is>
          <t>Assento do banco</t>
        </is>
      </c>
      <c r="B30" s="6" t="inlineStr">
        <is>
          <t>DET 05 Jardineira</t>
        </is>
      </c>
      <c r="C30" s="11" t="n">
        <v>80</v>
      </c>
      <c r="D30" s="11" t="n">
        <v>50</v>
      </c>
      <c r="E30" s="11" t="n">
        <v>1</v>
      </c>
      <c r="F30" s="11" t="n">
        <v>18</v>
      </c>
      <c r="G30" s="17">
        <f>IF(C30="","",C30*D30*E30/10000)</f>
        <v/>
      </c>
      <c r="H30" s="2" t="inlineStr">
        <is>
          <t>Com LED inferior</t>
        </is>
      </c>
    </row>
    <row r="31">
      <c r="G31" s="17">
        <f>IF(C31="","",C31*D31*E31/10000)</f>
        <v/>
      </c>
    </row>
    <row r="32">
      <c r="G32" s="17">
        <f>IF(C32="","",C32*D32*E32/10000)</f>
        <v/>
      </c>
    </row>
    <row r="33">
      <c r="G33" s="17">
        <f>IF(C33="","",C33*D33*E33/10000)</f>
        <v/>
      </c>
    </row>
    <row r="34">
      <c r="G34" s="17">
        <f>IF(C34="","",C34*D34*E34/10000)</f>
        <v/>
      </c>
    </row>
    <row r="35">
      <c r="A35" s="9" t="inlineStr">
        <is>
          <t>Área total (m²)</t>
        </is>
      </c>
      <c r="G35" s="12">
        <f>SUM(G21:G34)</f>
        <v/>
      </c>
    </row>
    <row r="36">
      <c r="A36" s="9" t="inlineStr">
        <is>
          <t>Chapas, com aproveitamento</t>
        </is>
      </c>
      <c r="G36" s="18">
        <f>IF($G$35=0,0,ROUNDUP($G$35/('Base de Preços'!$B$59*'Base de Preços'!$B$27),0))</f>
        <v/>
      </c>
    </row>
    <row r="37">
      <c r="A37" s="9" t="inlineStr">
        <is>
          <t>Custo de chapa</t>
        </is>
      </c>
      <c r="G37" s="19">
        <f>$G$36*'Base de Preços'!$B$6</f>
        <v/>
      </c>
    </row>
    <row r="38"/>
    <row r="39">
      <c r="A39" s="3" t="inlineStr">
        <is>
          <t>FITA DE BORDA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5" t="inlineStr">
        <is>
          <t>Onde</t>
        </is>
      </c>
      <c r="B40" s="5" t="inlineStr">
        <is>
          <t>Móvel</t>
        </is>
      </c>
      <c r="C40" s="5" t="inlineStr">
        <is>
          <t>Metros</t>
        </is>
      </c>
      <c r="D40" s="5" t="inlineStr"/>
      <c r="E40" s="5" t="inlineStr"/>
      <c r="F40" s="5" t="inlineStr"/>
      <c r="G40" s="5" t="inlineStr">
        <is>
          <t>Custo</t>
        </is>
      </c>
      <c r="H40" s="5" t="inlineStr">
        <is>
          <t>Observação</t>
        </is>
      </c>
    </row>
    <row r="41">
      <c r="G41" s="20">
        <f>IF(C41="","",C41*'Base de Preços'!$B$9)</f>
        <v/>
      </c>
    </row>
    <row r="42">
      <c r="G42" s="20">
        <f>IF(C42="","",C42*'Base de Preços'!$B$9)</f>
        <v/>
      </c>
    </row>
    <row r="43">
      <c r="G43" s="20">
        <f>IF(C43="","",C43*'Base de Preços'!$B$9)</f>
        <v/>
      </c>
    </row>
    <row r="44">
      <c r="G44" s="20">
        <f>IF(C44="","",C44*'Base de Preços'!$B$9)</f>
        <v/>
      </c>
    </row>
    <row r="45">
      <c r="G45" s="20">
        <f>IF(C45="","",C45*'Base de Preços'!$B$9)</f>
        <v/>
      </c>
    </row>
    <row r="46">
      <c r="G46" s="20">
        <f>IF(C46="","",C46*'Base de Preços'!$B$9)</f>
        <v/>
      </c>
    </row>
    <row r="47">
      <c r="A47" s="9" t="inlineStr">
        <is>
          <t>Custo de fita</t>
        </is>
      </c>
      <c r="G47" s="19">
        <f>SUM(G41:G46)</f>
        <v/>
      </c>
    </row>
    <row r="48"/>
    <row r="49">
      <c r="A49" s="3" t="inlineStr">
        <is>
          <t>FERRAGEM BLUM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5" t="inlineStr">
        <is>
          <t>Item</t>
        </is>
      </c>
      <c r="B50" s="5" t="inlineStr">
        <is>
          <t>Móvel</t>
        </is>
      </c>
      <c r="C50" s="5" t="inlineStr">
        <is>
          <t>Qtd</t>
        </is>
      </c>
      <c r="D50" s="5" t="inlineStr">
        <is>
          <t>R$ unitário</t>
        </is>
      </c>
      <c r="E50" s="5" t="inlineStr"/>
      <c r="F50" s="5" t="inlineStr"/>
      <c r="G50" s="5" t="inlineStr">
        <is>
          <t>Custo</t>
        </is>
      </c>
      <c r="H50" s="38" t="inlineStr">
        <is>
          <t>Blum: dobradiça 50, corrediça 250</t>
        </is>
      </c>
    </row>
    <row r="51">
      <c r="A51" s="6" t="inlineStr">
        <is>
          <t>Dobradiça Blum</t>
        </is>
      </c>
      <c r="B51" s="6" t="inlineStr">
        <is>
          <t>DET 08 Porta mimetizada</t>
        </is>
      </c>
      <c r="C51" s="11" t="n">
        <v>4</v>
      </c>
      <c r="D51" s="20">
        <f>'Base de Preços'!$B$13</f>
        <v/>
      </c>
      <c r="G51" s="20">
        <f>IF(C51="","",C51*D51)</f>
        <v/>
      </c>
      <c r="H51" s="2" t="inlineStr">
        <is>
          <t>Folha de 90 × 210; confirmar se leva quatro ou cinco</t>
        </is>
      </c>
    </row>
    <row r="52">
      <c r="A52" s="6" t="inlineStr">
        <is>
          <t>Corrediça Blum</t>
        </is>
      </c>
      <c r="B52" s="6" t="inlineStr">
        <is>
          <t>DET 02 Aparador</t>
        </is>
      </c>
      <c r="C52" s="11" t="n">
        <v>1</v>
      </c>
      <c r="D52" s="20">
        <f>'Base de Preços'!$B$14</f>
        <v/>
      </c>
      <c r="G52" s="20">
        <f>IF(C52="","",C52*D52)</f>
        <v/>
      </c>
      <c r="H52" s="2" t="inlineStr">
        <is>
          <t>Uma gaveta</t>
        </is>
      </c>
    </row>
    <row r="53">
      <c r="A53" s="6" t="inlineStr">
        <is>
          <t>Dobradiça Blum</t>
        </is>
      </c>
      <c r="B53" s="6" t="inlineStr">
        <is>
          <t>DET 01 Sapateira</t>
        </is>
      </c>
      <c r="D53" s="20">
        <f>'Base de Preços'!$B$13</f>
        <v/>
      </c>
      <c r="G53" s="20">
        <f>IF(C53="","",C53*D53)</f>
        <v/>
      </c>
      <c r="H53" s="31" t="inlineStr">
        <is>
          <t>A contar: tipo e número de frentes a confirmar</t>
        </is>
      </c>
    </row>
    <row r="54">
      <c r="A54" s="6" t="inlineStr">
        <is>
          <t>Dobradiça Blum</t>
        </is>
      </c>
      <c r="B54" s="6" t="inlineStr">
        <is>
          <t>DET 06 Portas de vidro da cristaleira</t>
        </is>
      </c>
      <c r="D54" s="20">
        <f>'Base de Preços'!$B$13</f>
        <v/>
      </c>
      <c r="G54" s="20">
        <f>IF(C54="","",C54*D54)</f>
        <v/>
      </c>
      <c r="H54" s="31" t="inlineStr">
        <is>
          <t>A contar no desenho</t>
        </is>
      </c>
    </row>
    <row r="55">
      <c r="A55" s="6" t="inlineStr">
        <is>
          <t>Corrediça Blum</t>
        </is>
      </c>
      <c r="B55" s="6" t="inlineStr">
        <is>
          <t>DET 06 Gavetas do rack</t>
        </is>
      </c>
      <c r="D55" s="20">
        <f>'Base de Preços'!$B$14</f>
        <v/>
      </c>
      <c r="G55" s="20">
        <f>IF(C55="","",C55*D55)</f>
        <v/>
      </c>
      <c r="H55" s="31" t="inlineStr">
        <is>
          <t>A contar no desenho</t>
        </is>
      </c>
    </row>
    <row r="56">
      <c r="A56" s="6" t="inlineStr">
        <is>
          <t>Corrediça Blum</t>
        </is>
      </c>
      <c r="B56" s="6" t="inlineStr">
        <is>
          <t>DET 07 Gavetas da estante</t>
        </is>
      </c>
      <c r="D56" s="20">
        <f>'Base de Preços'!$B$14</f>
        <v/>
      </c>
      <c r="G56" s="20">
        <f>IF(C56="","",C56*D56)</f>
        <v/>
      </c>
      <c r="H56" s="31" t="inlineStr">
        <is>
          <t>A contar no desenho</t>
        </is>
      </c>
    </row>
    <row r="57">
      <c r="D57" s="39" t="n"/>
      <c r="G57" s="20">
        <f>IF(C57="","",C57*D57)</f>
        <v/>
      </c>
    </row>
    <row r="58">
      <c r="D58" s="39" t="n"/>
      <c r="G58" s="20">
        <f>IF(C58="","",C58*D58)</f>
        <v/>
      </c>
    </row>
    <row r="59">
      <c r="D59" s="39" t="n"/>
      <c r="G59" s="20">
        <f>IF(C59="","",C59*D59)</f>
        <v/>
      </c>
    </row>
    <row r="60">
      <c r="D60" s="39" t="n"/>
      <c r="G60" s="20">
        <f>IF(C60="","",C60*D60)</f>
        <v/>
      </c>
    </row>
    <row r="61">
      <c r="A61" s="9" t="inlineStr">
        <is>
          <t>Custo de ferragem</t>
        </is>
      </c>
      <c r="G61" s="19">
        <f>SUM(G51:G60)</f>
        <v/>
      </c>
    </row>
    <row r="62"/>
    <row r="63">
      <c r="A63" s="3" t="inlineStr">
        <is>
          <t>ALMA DE AÇO — peças acima de 30 mm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5" t="inlineStr">
        <is>
          <t>Peça</t>
        </is>
      </c>
      <c r="B64" s="5" t="inlineStr">
        <is>
          <t>Móvel</t>
        </is>
      </c>
      <c r="C64" s="5" t="inlineStr">
        <is>
          <t>Qtd de peças</t>
        </is>
      </c>
      <c r="D64" s="5" t="inlineStr">
        <is>
          <t>Altura (cm)</t>
        </is>
      </c>
      <c r="E64" s="5" t="inlineStr">
        <is>
          <t>Barras</t>
        </is>
      </c>
      <c r="F64" s="5" t="inlineStr"/>
      <c r="G64" s="5" t="inlineStr">
        <is>
          <t>Custo</t>
        </is>
      </c>
      <c r="H64" s="5" t="inlineStr">
        <is>
          <t>Observação</t>
        </is>
      </c>
    </row>
    <row r="65">
      <c r="A65" s="6" t="inlineStr">
        <is>
          <t>Ripa do brise</t>
        </is>
      </c>
      <c r="B65" s="6" t="inlineStr">
        <is>
          <t>DET 04 Divisória</t>
        </is>
      </c>
      <c r="C65" s="11" t="n">
        <v>11</v>
      </c>
      <c r="D65" s="11" t="n">
        <v>300</v>
      </c>
      <c r="E65" s="22">
        <f>IF(C65="","",ROUNDUP(C65*D65/300,0))</f>
        <v/>
      </c>
      <c r="G65" s="20">
        <f>IF(E65="","",E65*'Base de Preços'!$B$21)</f>
        <v/>
      </c>
      <c r="H65" s="2" t="inlineStr">
        <is>
          <t>Ripa de 7 cm: passa de 30 mm, logo leva alma</t>
        </is>
      </c>
    </row>
    <row r="66">
      <c r="E66" s="22">
        <f>IF(C66="","",ROUNDUP(C66*D66/300,0))</f>
        <v/>
      </c>
      <c r="G66" s="20">
        <f>IF(E66="","",E66*'Base de Preços'!$B$21)</f>
        <v/>
      </c>
    </row>
    <row r="67">
      <c r="E67" s="22">
        <f>IF(C67="","",ROUNDUP(C67*D67/300,0))</f>
        <v/>
      </c>
      <c r="G67" s="20">
        <f>IF(E67="","",E67*'Base de Preços'!$B$21)</f>
        <v/>
      </c>
    </row>
    <row r="68">
      <c r="E68" s="22">
        <f>IF(C68="","",ROUNDUP(C68*D68/300,0))</f>
        <v/>
      </c>
      <c r="G68" s="20">
        <f>IF(E68="","",E68*'Base de Preços'!$B$21)</f>
        <v/>
      </c>
    </row>
    <row r="69">
      <c r="E69" s="22">
        <f>IF(C69="","",ROUNDUP(C69*D69/300,0))</f>
        <v/>
      </c>
      <c r="G69" s="20">
        <f>IF(E69="","",E69*'Base de Preços'!$B$21)</f>
        <v/>
      </c>
    </row>
    <row r="70">
      <c r="A70" s="9" t="inlineStr">
        <is>
          <t>Custo de alma de aço</t>
        </is>
      </c>
      <c r="G70" s="19">
        <f>SUM(G65:G69)</f>
        <v/>
      </c>
    </row>
    <row r="71"/>
    <row r="72">
      <c r="A72" s="3" t="inlineStr">
        <is>
          <t>ILUMINAÇÃO E TERCEIRIZADOS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5" t="inlineStr">
        <is>
          <t>Item</t>
        </is>
      </c>
      <c r="B73" s="5" t="inlineStr">
        <is>
          <t>Móvel</t>
        </is>
      </c>
      <c r="C73" s="5" t="inlineStr">
        <is>
          <t>Qtd</t>
        </is>
      </c>
      <c r="D73" s="5" t="inlineStr">
        <is>
          <t>R$ unitário</t>
        </is>
      </c>
      <c r="E73" s="5" t="inlineStr"/>
      <c r="F73" s="5" t="inlineStr"/>
      <c r="G73" s="5" t="inlineStr">
        <is>
          <t>Custo</t>
        </is>
      </c>
      <c r="H73" s="5" t="inlineStr">
        <is>
          <t>Observação</t>
        </is>
      </c>
    </row>
    <row r="74">
      <c r="A74" s="6" t="inlineStr">
        <is>
          <t>Perfil de LED com difusor (m)</t>
        </is>
      </c>
      <c r="B74" s="6" t="inlineStr">
        <is>
          <t>DET 03 Prateleira</t>
        </is>
      </c>
      <c r="C74" s="11" t="n">
        <v>1.35</v>
      </c>
      <c r="D74" s="20">
        <f>'Base de Preços'!$B$22</f>
        <v/>
      </c>
      <c r="G74" s="20">
        <f>IF(C74="","",C74*D74)</f>
        <v/>
      </c>
      <c r="H74" s="2" t="inlineStr">
        <is>
          <t>Prateleira de 135</t>
        </is>
      </c>
    </row>
    <row r="75">
      <c r="A75" s="6" t="inlineStr">
        <is>
          <t>Perfil de LED com difusor (m)</t>
        </is>
      </c>
      <c r="B75" s="6" t="inlineStr">
        <is>
          <t>DET 01 Sapateira</t>
        </is>
      </c>
      <c r="D75" s="20">
        <f>'Base de Preços'!$B$22</f>
        <v/>
      </c>
      <c r="G75" s="20">
        <f>IF(C75="","",C75*D75)</f>
        <v/>
      </c>
      <c r="H75" s="31" t="inlineStr">
        <is>
          <t>A contar: LED na base</t>
        </is>
      </c>
    </row>
    <row r="76">
      <c r="A76" s="6" t="inlineStr">
        <is>
          <t>Perfil de LED com difusor (m)</t>
        </is>
      </c>
      <c r="B76" s="6" t="inlineStr">
        <is>
          <t>DET 05 Banco e floreira</t>
        </is>
      </c>
      <c r="D76" s="20">
        <f>'Base de Preços'!$B$22</f>
        <v/>
      </c>
      <c r="G76" s="20">
        <f>IF(C76="","",C76*D76)</f>
        <v/>
      </c>
      <c r="H76" s="31" t="inlineStr">
        <is>
          <t>A contar</t>
        </is>
      </c>
    </row>
    <row r="77">
      <c r="A77" s="6" t="inlineStr">
        <is>
          <t>Perfil de LED com difusor (m)</t>
        </is>
      </c>
      <c r="B77" s="6" t="inlineStr">
        <is>
          <t>DET 06 Cristaleira e base recuada</t>
        </is>
      </c>
      <c r="D77" s="20">
        <f>'Base de Preços'!$B$22</f>
        <v/>
      </c>
      <c r="G77" s="20">
        <f>IF(C77="","",C77*D77)</f>
        <v/>
      </c>
      <c r="H77" s="31" t="inlineStr">
        <is>
          <t>A contar: prateleiras e base</t>
        </is>
      </c>
    </row>
    <row r="78">
      <c r="A78" s="6" t="inlineStr">
        <is>
          <t>Fonte de LED</t>
        </is>
      </c>
      <c r="B78" s="6" t="inlineStr">
        <is>
          <t>Living</t>
        </is>
      </c>
      <c r="C78" s="11" t="n">
        <v>1</v>
      </c>
      <c r="D78" s="20">
        <f>'Base de Preços'!$B$23</f>
        <v/>
      </c>
      <c r="G78" s="20">
        <f>IF(C78="","",C78*D78)</f>
        <v/>
      </c>
      <c r="H78" s="2" t="inlineStr"/>
    </row>
    <row r="79">
      <c r="A79" s="6" t="inlineStr">
        <is>
          <t>Vidro reflecta champagne</t>
        </is>
      </c>
      <c r="B79" s="6" t="inlineStr">
        <is>
          <t>DET 06 Portas da cristaleira</t>
        </is>
      </c>
      <c r="D79" s="39" t="n"/>
      <c r="G79" s="20">
        <f>IF(C79="","",C79*D79)</f>
        <v/>
      </c>
      <c r="H79" s="2" t="inlineStr">
        <is>
          <t>A cotar com o vidraceiro; não está na base da casa</t>
        </is>
      </c>
    </row>
    <row r="80">
      <c r="A80" s="9" t="inlineStr">
        <is>
          <t>Custo de iluminação e terceirizados</t>
        </is>
      </c>
      <c r="G80" s="19">
        <f>SUM(G74:G79)</f>
        <v/>
      </c>
    </row>
    <row r="81"/>
    <row r="82">
      <c r="A82" s="3" t="inlineStr">
        <is>
          <t>NÃO É MARCENARIA — consta na prancha, fora do nosso escopo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5" t="inlineStr">
        <is>
          <t>Item</t>
        </is>
      </c>
      <c r="B83" s="5" t="inlineStr">
        <is>
          <t>Por quê</t>
        </is>
      </c>
      <c r="C83" s="5" t="inlineStr"/>
      <c r="D83" s="5" t="inlineStr"/>
      <c r="E83" s="5" t="inlineStr"/>
      <c r="F83" s="5" t="inlineStr"/>
      <c r="G83" s="5" t="inlineStr"/>
      <c r="H83" s="5" t="inlineStr"/>
    </row>
    <row r="84">
      <c r="A84" s="6" t="inlineStr">
        <is>
          <t>Parede com pedra Atacama Branca</t>
        </is>
      </c>
      <c r="B84" s="2" t="inlineStr">
        <is>
          <t>Revestimento de parede — não é marcenaria</t>
        </is>
      </c>
    </row>
    <row r="85">
      <c r="A85" s="6" t="inlineStr">
        <is>
          <t>Porta ripada</t>
        </is>
      </c>
      <c r="B85" s="2" t="inlineStr">
        <is>
          <t>Consta na elevação 02; confirmar se entra no nosso escopo</t>
        </is>
      </c>
    </row>
    <row r="86">
      <c r="A86" s="6" t="inlineStr">
        <is>
          <t>Tinta Decora Efeitos Especiais Velvet</t>
        </is>
      </c>
      <c r="B86" s="2" t="inlineStr">
        <is>
          <t>Pintura — não é marcenaria</t>
        </is>
      </c>
    </row>
    <row r="87">
      <c r="A87" s="6" t="inlineStr">
        <is>
          <t>Mobiliário solto</t>
        </is>
      </c>
      <c r="B87" s="2" t="inlineStr">
        <is>
          <t>Sofá Tiffany, Poltrona Serfa, Mesa Cambuí, Cadeira Ditta, luminárias, tapete, cortinas e espelhos decorativos</t>
        </is>
      </c>
    </row>
    <row r="88"/>
    <row r="89"/>
    <row r="90"/>
    <row r="91">
      <c r="A91" s="3" t="inlineStr">
        <is>
          <t>CUSTO DIRETO DO AMBIENTE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6" t="inlineStr">
        <is>
          <t>Chapa</t>
        </is>
      </c>
      <c r="G92" s="20">
        <f>$G$37</f>
        <v/>
      </c>
    </row>
    <row r="93">
      <c r="A93" s="6" t="inlineStr">
        <is>
          <t>Fita</t>
        </is>
      </c>
      <c r="G93" s="20">
        <f>$G$47</f>
        <v/>
      </c>
    </row>
    <row r="94">
      <c r="A94" s="6" t="inlineStr">
        <is>
          <t>Ferragem Blum</t>
        </is>
      </c>
      <c r="G94" s="20">
        <f>$G$61</f>
        <v/>
      </c>
    </row>
    <row r="95">
      <c r="A95" s="6" t="inlineStr">
        <is>
          <t>Alma de aço</t>
        </is>
      </c>
      <c r="G95" s="20">
        <f>$G$70</f>
        <v/>
      </c>
    </row>
    <row r="96">
      <c r="A96" s="6" t="inlineStr">
        <is>
          <t>Iluminação e terceirizados</t>
        </is>
      </c>
      <c r="G96" s="20">
        <f>$G$80</f>
        <v/>
      </c>
    </row>
    <row r="97">
      <c r="A97" s="6" t="inlineStr">
        <is>
          <t>Consumíveis sobre chapa e fita</t>
        </is>
      </c>
      <c r="G97" s="20">
        <f>($G$37+$G$47)*'Base de Preços'!$B$28</f>
        <v/>
      </c>
    </row>
    <row r="98">
      <c r="A98" s="9" t="inlineStr">
        <is>
          <t>Subtotal</t>
        </is>
      </c>
      <c r="G98" s="23">
        <f>$G$37+$G$47+$G$61+$G$70+$G$80+$G$97</f>
        <v/>
      </c>
    </row>
    <row r="99">
      <c r="A99" s="6" t="inlineStr">
        <is>
          <t>Embalagem</t>
        </is>
      </c>
      <c r="G99" s="20">
        <f>$G$98*'Base de Preços'!$B$29</f>
        <v/>
      </c>
    </row>
    <row r="100">
      <c r="A100" s="24" t="inlineStr">
        <is>
          <t>CUSTO DIRETO</t>
        </is>
      </c>
      <c r="G100" s="25">
        <f>$G$98+$G$99</f>
        <v/>
      </c>
    </row>
  </sheetData>
  <mergeCells count="12">
    <mergeCell ref="B85:H85"/>
    <mergeCell ref="C7:G7"/>
    <mergeCell ref="B84:H84"/>
    <mergeCell ref="C12:G12"/>
    <mergeCell ref="C6:G6"/>
    <mergeCell ref="C10:G10"/>
    <mergeCell ref="C11:G11"/>
    <mergeCell ref="B87:H87"/>
    <mergeCell ref="B86:H86"/>
    <mergeCell ref="C13:G13"/>
    <mergeCell ref="C8:G8"/>
    <mergeCell ref="C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2026-10-26T12:08:51Z</dcterms:created>
  <dcterms:modified xsi:type="dcterms:W3CDTF">2026-10-26T12:08:51Z</dcterms:modified>
</cp:coreProperties>
</file>