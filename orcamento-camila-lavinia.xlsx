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e_lavin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&quot;$&quot;#,##0.00"/>
  </numFmts>
  <fonts count="14">
    <font>
      <name val="Arial"/>
      <color rgb="FF000000"/>
      <sz val="10"/>
      <scheme val="minor"/>
    </font>
    <font>
      <name val="Arial"/>
      <b val="1"/>
      <color theme="1"/>
      <sz val="15"/>
    </font>
    <font>
      <name val="Arial"/>
      <color theme="1"/>
    </font>
    <font>
      <name val="Arial"/>
      <b val="1"/>
      <color theme="1"/>
    </font>
    <font>
      <name val="Arial"/>
      <b val="1"/>
      <i val="1"/>
      <color rgb="FF000000"/>
      <scheme val="minor"/>
    </font>
    <font>
      <name val="Arial"/>
      <i val="1"/>
      <color theme="1"/>
    </font>
    <font>
      <name val="Arial"/>
      <color theme="1"/>
      <scheme val="minor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color rgb="FFFFFFFF"/>
    </font>
    <font>
      <name val="Arial"/>
      <b val="1"/>
      <i val="1"/>
      <color theme="1"/>
    </font>
    <font>
      <name val="&quot;DM Sans&quot;"/>
      <color rgb="FF2A2018"/>
    </font>
    <font>
      <name val="&quot;DM Mono&quot;"/>
      <color rgb="FF7C4F2A"/>
    </font>
    <font>
      <name val="&quot;DM Sans&quot;"/>
      <color rgb="FFA89472"/>
    </font>
  </fonts>
  <fills count="1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34A853"/>
        <bgColor rgb="FF34A853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FAF6EE"/>
        <bgColor rgb="FFFAF6EE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F1E7D6"/>
      </bottom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49" fontId="4" fillId="3" borderId="0" pivotButton="0" quotePrefix="0" xfId="0"/>
    <xf numFmtId="49" fontId="5" fillId="3" borderId="0" applyAlignment="1" pivotButton="0" quotePrefix="0" xfId="0">
      <alignment vertical="bottom"/>
    </xf>
    <xf numFmtId="49" fontId="5" fillId="4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49" fontId="2" fillId="3" borderId="0" applyAlignment="1" pivotButton="0" quotePrefix="0" xfId="0">
      <alignment vertical="bottom"/>
    </xf>
    <xf numFmtId="49" fontId="2" fillId="4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0" fontId="1" fillId="5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0" fontId="6" fillId="4" borderId="0" pivotButton="0" quotePrefix="0" xfId="0"/>
    <xf numFmtId="0" fontId="7" fillId="6" borderId="0" applyAlignment="1" pivotButton="0" quotePrefix="0" xfId="0">
      <alignment vertical="bottom"/>
    </xf>
    <xf numFmtId="165" fontId="8" fillId="6" borderId="0" applyAlignment="1" pivotButton="0" quotePrefix="0" xfId="0">
      <alignment horizontal="center" vertical="bottom"/>
    </xf>
    <xf numFmtId="164" fontId="6" fillId="0" borderId="0" pivotButton="0" quotePrefix="0" xfId="0"/>
    <xf numFmtId="0" fontId="7" fillId="4" borderId="0" applyAlignment="1" pivotButton="0" quotePrefix="0" xfId="0">
      <alignment vertical="bottom"/>
    </xf>
    <xf numFmtId="165" fontId="8" fillId="4" borderId="0" applyAlignment="1" pivotButton="0" quotePrefix="0" xfId="0">
      <alignment horizontal="center" vertical="bottom"/>
    </xf>
    <xf numFmtId="165" fontId="8" fillId="7" borderId="0" applyAlignment="1" pivotButton="0" quotePrefix="0" xfId="0">
      <alignment horizontal="center" vertical="bottom"/>
    </xf>
    <xf numFmtId="165" fontId="8" fillId="4" borderId="0" applyAlignment="1" pivotButton="0" quotePrefix="0" xfId="0">
      <alignment horizontal="center" vertical="bottom"/>
    </xf>
    <xf numFmtId="0" fontId="7" fillId="8" borderId="0" applyAlignment="1" pivotButton="0" quotePrefix="0" xfId="0">
      <alignment vertical="bottom"/>
    </xf>
    <xf numFmtId="165" fontId="8" fillId="8" borderId="0" applyAlignment="1" pivotButton="0" quotePrefix="0" xfId="0">
      <alignment horizontal="center" vertical="bottom"/>
    </xf>
    <xf numFmtId="0" fontId="7" fillId="9" borderId="0" applyAlignment="1" pivotButton="0" quotePrefix="0" xfId="0">
      <alignment vertical="bottom"/>
    </xf>
    <xf numFmtId="165" fontId="8" fillId="9" borderId="0" applyAlignment="1" pivotButton="0" quotePrefix="0" xfId="0">
      <alignment horizontal="center" vertical="bottom"/>
    </xf>
    <xf numFmtId="0" fontId="9" fillId="9" borderId="0" applyAlignment="1" pivotButton="0" quotePrefix="0" xfId="0">
      <alignment horizontal="left" vertical="bottom"/>
    </xf>
    <xf numFmtId="10" fontId="9" fillId="9" borderId="0" applyAlignment="1" pivotButton="0" quotePrefix="0" xfId="0">
      <alignment horizontal="center" vertical="bottom"/>
    </xf>
    <xf numFmtId="164" fontId="2" fillId="4" borderId="0" applyAlignment="1" pivotButton="0" quotePrefix="0" xfId="0">
      <alignment vertical="bottom"/>
    </xf>
    <xf numFmtId="0" fontId="9" fillId="4" borderId="0" applyAlignment="1" pivotButton="0" quotePrefix="0" xfId="0">
      <alignment horizontal="left" vertical="bottom"/>
    </xf>
    <xf numFmtId="10" fontId="9" fillId="4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center" vertical="bottom"/>
    </xf>
    <xf numFmtId="0" fontId="3" fillId="10" borderId="0" applyAlignment="1" pivotButton="0" quotePrefix="0" xfId="0">
      <alignment vertical="bottom"/>
    </xf>
    <xf numFmtId="165" fontId="2" fillId="10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165" fontId="2" fillId="4" borderId="0" applyAlignment="1" pivotButton="0" quotePrefix="0" xfId="0">
      <alignment horizontal="right" vertical="bottom"/>
    </xf>
    <xf numFmtId="0" fontId="2" fillId="8" borderId="0" applyAlignment="1" pivotButton="0" quotePrefix="0" xfId="0">
      <alignment vertical="bottom"/>
    </xf>
    <xf numFmtId="165" fontId="2" fillId="8" borderId="0" applyAlignment="1" pivotButton="0" quotePrefix="0" xfId="0">
      <alignment horizontal="right" vertical="bottom"/>
    </xf>
    <xf numFmtId="165" fontId="2" fillId="4" borderId="0" applyAlignment="1" pivotButton="0" quotePrefix="0" xfId="0">
      <alignment horizontal="right" vertical="bottom"/>
    </xf>
    <xf numFmtId="0" fontId="10" fillId="11" borderId="0" applyAlignment="1" pivotButton="0" quotePrefix="0" xfId="0">
      <alignment vertical="bottom"/>
    </xf>
    <xf numFmtId="165" fontId="10" fillId="11" borderId="0" applyAlignment="1" pivotButton="0" quotePrefix="0" xfId="0">
      <alignment horizontal="right" vertical="bottom"/>
    </xf>
    <xf numFmtId="9" fontId="2" fillId="4" borderId="0" applyAlignment="1" pivotButton="0" quotePrefix="0" xfId="0">
      <alignment horizontal="right" vertical="bottom"/>
    </xf>
    <xf numFmtId="164" fontId="2" fillId="4" borderId="0" applyAlignment="1" pivotButton="0" quotePrefix="0" xfId="0">
      <alignment horizontal="right" vertical="bottom"/>
    </xf>
    <xf numFmtId="9" fontId="2" fillId="2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165" fontId="10" fillId="4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165" fontId="6" fillId="0" borderId="0" applyAlignment="1" pivotButton="0" quotePrefix="0" xfId="0">
      <alignment horizontal="center"/>
    </xf>
    <xf numFmtId="10" fontId="2" fillId="4" borderId="0" applyAlignment="1" pivotButton="0" quotePrefix="0" xfId="0">
      <alignment horizontal="center" vertical="bottom"/>
    </xf>
    <xf numFmtId="164" fontId="2" fillId="4" borderId="0" applyAlignment="1" pivotButton="0" quotePrefix="0" xfId="0">
      <alignment horizontal="center" vertical="bottom"/>
    </xf>
    <xf numFmtId="0" fontId="5" fillId="4" borderId="0" applyAlignment="1" pivotButton="0" quotePrefix="0" xfId="0">
      <alignment vertical="bottom"/>
    </xf>
    <xf numFmtId="10" fontId="2" fillId="0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  <xf numFmtId="165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165" fontId="2" fillId="4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165" fontId="2" fillId="4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0" fontId="3" fillId="12" borderId="0" applyAlignment="1" pivotButton="0" quotePrefix="0" xfId="0">
      <alignment vertical="bottom"/>
    </xf>
    <xf numFmtId="165" fontId="3" fillId="12" borderId="0" applyAlignment="1" pivotButton="0" quotePrefix="0" xfId="0">
      <alignment horizontal="right" vertical="bottom"/>
    </xf>
    <xf numFmtId="165" fontId="3" fillId="4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0" fontId="6" fillId="0" borderId="0" pivotButton="0" quotePrefix="0" xfId="0"/>
    <xf numFmtId="165" fontId="6" fillId="0" borderId="0" pivotButton="0" quotePrefix="0" xfId="0"/>
    <xf numFmtId="165" fontId="5" fillId="0" borderId="0" applyAlignment="1" pivotButton="0" quotePrefix="0" xfId="0">
      <alignment horizontal="right" vertical="bottom"/>
    </xf>
    <xf numFmtId="165" fontId="5" fillId="4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165" fontId="5" fillId="4" borderId="0" applyAlignment="1" pivotButton="0" quotePrefix="0" xfId="0">
      <alignment horizontal="right" vertical="bottom"/>
    </xf>
    <xf numFmtId="0" fontId="3" fillId="5" borderId="0" applyAlignment="1" pivotButton="0" quotePrefix="0" xfId="0">
      <alignment horizontal="center" vertical="bottom"/>
    </xf>
    <xf numFmtId="0" fontId="3" fillId="12" borderId="0" applyAlignment="1" pivotButton="0" quotePrefix="0" xfId="0">
      <alignment vertical="bottom"/>
    </xf>
    <xf numFmtId="165" fontId="10" fillId="13" borderId="0" applyAlignment="1" pivotButton="0" quotePrefix="0" xfId="0">
      <alignment horizontal="right" vertical="bottom"/>
    </xf>
    <xf numFmtId="0" fontId="10" fillId="13" borderId="0" applyAlignment="1" pivotButton="0" quotePrefix="0" xfId="0">
      <alignment vertical="bottom"/>
    </xf>
    <xf numFmtId="164" fontId="6" fillId="13" borderId="0" pivotButton="0" quotePrefix="0" xfId="0"/>
    <xf numFmtId="0" fontId="3" fillId="4" borderId="0" applyAlignment="1" pivotButton="0" quotePrefix="0" xfId="0">
      <alignment vertical="bottom"/>
    </xf>
    <xf numFmtId="165" fontId="10" fillId="4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0" fontId="3" fillId="5" borderId="0" applyAlignment="1" pivotButton="0" quotePrefix="0" xfId="0">
      <alignment horizontal="center" vertical="bottom"/>
    </xf>
    <xf numFmtId="164" fontId="3" fillId="5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164" fontId="2" fillId="0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0" fontId="11" fillId="4" borderId="0" pivotButton="0" quotePrefix="0" xfId="0"/>
    <xf numFmtId="165" fontId="12" fillId="4" borderId="0" applyAlignment="1" pivotButton="0" quotePrefix="0" xfId="0">
      <alignment horizontal="right"/>
    </xf>
    <xf numFmtId="164" fontId="13" fillId="4" borderId="0" pivotButton="0" quotePrefix="0" xfId="0"/>
    <xf numFmtId="0" fontId="11" fillId="4" borderId="1" pivotButton="0" quotePrefix="0" xfId="0"/>
    <xf numFmtId="165" fontId="12" fillId="4" borderId="1" applyAlignment="1" pivotButton="0" quotePrefix="0" xfId="0">
      <alignment horizontal="right"/>
    </xf>
    <xf numFmtId="164" fontId="13" fillId="4" borderId="1" pivotButton="0" quotePrefix="0" xfId="0"/>
    <xf numFmtId="0" fontId="11" fillId="14" borderId="1" pivotButton="0" quotePrefix="0" xfId="0"/>
    <xf numFmtId="165" fontId="12" fillId="14" borderId="1" applyAlignment="1" pivotButton="0" quotePrefix="0" xfId="0">
      <alignment horizontal="right"/>
    </xf>
    <xf numFmtId="0" fontId="11" fillId="4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3" fillId="15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13"/>
  <sheetViews>
    <sheetView workbookViewId="0">
      <selection activeCell="A1" sqref="A1"/>
    </sheetView>
  </sheetViews>
  <sheetFormatPr baseColWidth="8" defaultColWidth="12.63" defaultRowHeight="15.75" customHeight="1" outlineLevelRow="2"/>
  <cols>
    <col width="29" customWidth="1" style="106" min="1" max="1"/>
    <col width="18.38" customWidth="1" style="106" min="2" max="2"/>
    <col width="17.13" customWidth="1" style="106" min="3" max="3"/>
    <col width="14" customWidth="1" style="106" min="4" max="4"/>
    <col width="4.13" customWidth="1" style="106" min="5" max="5"/>
    <col width="25" customWidth="1" style="106" min="6" max="6"/>
    <col width="17.63" customWidth="1" style="106" min="7" max="7"/>
    <col width="14.25" customWidth="1" style="106" min="8" max="8"/>
  </cols>
  <sheetData>
    <row r="1">
      <c r="A1" s="1" t="inlineStr">
        <is>
          <t>Validacao de orcamentos</t>
        </is>
      </c>
      <c r="E1" s="1" t="n"/>
      <c r="F1" s="1" t="n"/>
      <c r="G1" s="1" t="n"/>
      <c r="H1" s="1" t="n"/>
      <c r="I1" s="1" t="n"/>
    </row>
    <row r="2">
      <c r="A2" s="57" t="n"/>
      <c r="B2" s="57" t="n"/>
      <c r="C2" s="57" t="n"/>
      <c r="D2" s="3" t="n"/>
      <c r="E2" s="4" t="n"/>
      <c r="F2" s="4" t="n"/>
    </row>
    <row r="3">
      <c r="A3" s="9" t="inlineStr">
        <is>
          <t>Cliente:</t>
        </is>
      </c>
      <c r="B3" s="6" t="inlineStr">
        <is>
          <t>Camila</t>
        </is>
      </c>
      <c r="C3" s="7" t="n"/>
      <c r="D3" s="7" t="n"/>
      <c r="E3" s="8" t="n"/>
      <c r="F3" s="8" t="n"/>
      <c r="G3" s="8" t="n"/>
      <c r="H3" s="8" t="n"/>
      <c r="I3" s="8" t="n"/>
    </row>
    <row r="4">
      <c r="A4" s="9" t="inlineStr">
        <is>
          <t>Projeto:</t>
        </is>
      </c>
      <c r="B4" s="7" t="inlineStr">
        <is>
          <t>Closet</t>
        </is>
      </c>
      <c r="C4" s="7" t="n"/>
      <c r="D4" s="7" t="n"/>
      <c r="E4" s="8" t="n"/>
      <c r="F4" s="8" t="n"/>
      <c r="G4" s="8" t="n"/>
      <c r="H4" s="8" t="n"/>
      <c r="I4" s="8" t="n"/>
    </row>
    <row r="5">
      <c r="A5" s="9" t="inlineStr">
        <is>
          <t>Versao:</t>
        </is>
      </c>
      <c r="B5" s="10" t="inlineStr">
        <is>
          <t>001</t>
        </is>
      </c>
      <c r="C5" s="10" t="n"/>
      <c r="D5" s="10" t="n"/>
      <c r="E5" s="11" t="n"/>
      <c r="F5" s="11" t="n"/>
      <c r="G5" s="11" t="n"/>
      <c r="H5" s="11" t="n"/>
      <c r="I5" s="11" t="n"/>
    </row>
    <row r="6">
      <c r="A6" s="57" t="n"/>
      <c r="B6" s="64" t="n"/>
      <c r="C6" s="57" t="n"/>
      <c r="D6" s="3" t="n"/>
      <c r="E6" s="4" t="n"/>
      <c r="F6" s="4" t="n"/>
    </row>
    <row r="7">
      <c r="A7" s="13" t="inlineStr">
        <is>
          <t>Previsto</t>
        </is>
      </c>
      <c r="E7" s="59" t="n"/>
      <c r="F7" s="15" t="n"/>
      <c r="G7" s="15" t="n"/>
      <c r="H7" s="15" t="n"/>
      <c r="I7" s="15" t="n"/>
    </row>
    <row r="8">
      <c r="A8" s="1" t="n"/>
      <c r="B8" s="1" t="n"/>
      <c r="C8" s="1" t="n"/>
      <c r="D8" s="16" t="n"/>
      <c r="E8" s="4" t="n"/>
      <c r="F8" s="15" t="n"/>
      <c r="G8" s="15" t="n"/>
      <c r="H8" s="15" t="n"/>
      <c r="I8" s="17" t="n"/>
    </row>
    <row r="9">
      <c r="A9" s="18" t="inlineStr">
        <is>
          <t xml:space="preserve">Investimento bruto R$: </t>
        </is>
      </c>
      <c r="B9" s="19" t="n">
        <v>47460</v>
      </c>
      <c r="D9" s="102" t="n"/>
      <c r="F9" s="21" t="n"/>
      <c r="G9" s="24" t="n"/>
      <c r="H9" s="17" t="n"/>
      <c r="I9" s="17" t="n"/>
    </row>
    <row r="10">
      <c r="A10" s="18" t="inlineStr">
        <is>
          <t xml:space="preserve">Inv. - ded. finan. R$: </t>
        </is>
      </c>
      <c r="B10" s="23">
        <f>B9-B40-B44</f>
        <v/>
      </c>
      <c r="C10" s="57" t="n"/>
      <c r="D10" s="3" t="n"/>
      <c r="F10" s="21" t="n"/>
      <c r="G10" s="24" t="n"/>
      <c r="H10" s="59" t="n"/>
      <c r="I10" s="59" t="n"/>
    </row>
    <row r="11">
      <c r="A11" s="25" t="inlineStr">
        <is>
          <t xml:space="preserve">Custo total R$: </t>
        </is>
      </c>
      <c r="B11" s="26">
        <f>SUM(B15:B18)</f>
        <v/>
      </c>
      <c r="C11" s="57" t="n"/>
      <c r="D11" s="3" t="n"/>
      <c r="F11" s="21" t="n"/>
      <c r="G11" s="24" t="n"/>
      <c r="H11" s="59" t="n"/>
      <c r="I11" s="59" t="n"/>
    </row>
    <row r="12">
      <c r="A12" s="27" t="inlineStr">
        <is>
          <t>MC R$:</t>
        </is>
      </c>
      <c r="B12" s="28">
        <f>SUM(B9-B11)</f>
        <v/>
      </c>
      <c r="C12" s="57" t="n"/>
      <c r="D12" s="3" t="n"/>
      <c r="E12" s="57" t="n"/>
      <c r="F12" s="21" t="n"/>
      <c r="G12" s="24" t="n"/>
      <c r="H12" s="59" t="n"/>
      <c r="I12" s="59" t="n"/>
    </row>
    <row r="13">
      <c r="A13" s="29" t="inlineStr">
        <is>
          <t>MC %</t>
        </is>
      </c>
      <c r="B13" s="30">
        <f>B12/B9</f>
        <v/>
      </c>
      <c r="D13" s="31" t="n"/>
      <c r="E13" s="59" t="n"/>
      <c r="F13" s="32" t="n"/>
      <c r="G13" s="33" t="n"/>
      <c r="H13" s="59" t="n"/>
      <c r="I13" s="59" t="n"/>
    </row>
    <row r="14">
      <c r="A14" s="57" t="n"/>
      <c r="B14" s="34" t="inlineStr">
        <is>
          <t>Ideal (35-40%)</t>
        </is>
      </c>
      <c r="C14" s="59" t="n"/>
      <c r="D14" s="31" t="n"/>
      <c r="E14" s="59" t="n"/>
      <c r="F14" s="59" t="n"/>
      <c r="G14" s="59" t="n"/>
      <c r="H14" s="59" t="n"/>
      <c r="I14" s="59" t="n"/>
    </row>
    <row r="15">
      <c r="A15" s="35" t="inlineStr">
        <is>
          <t>Custo operacional R$:</t>
        </is>
      </c>
      <c r="B15" s="36">
        <f>SUM(B21)</f>
        <v/>
      </c>
      <c r="C15" s="59" t="n"/>
      <c r="D15" s="31" t="n"/>
      <c r="E15" s="59" t="n"/>
      <c r="F15" s="80" t="n"/>
      <c r="G15" s="41" t="n"/>
      <c r="H15" s="59" t="n"/>
      <c r="I15" s="59" t="n"/>
    </row>
    <row r="16">
      <c r="A16" s="35">
        <f>A38</f>
        <v/>
      </c>
      <c r="B16" s="36">
        <f>B38</f>
        <v/>
      </c>
      <c r="C16" s="59" t="n"/>
      <c r="D16" s="31" t="n"/>
      <c r="E16" s="59" t="n"/>
      <c r="F16" s="80" t="n"/>
      <c r="G16" s="41" t="n"/>
      <c r="H16" s="59" t="n"/>
      <c r="I16" s="59" t="n"/>
    </row>
    <row r="17">
      <c r="A17" s="35" t="inlineStr">
        <is>
          <t>Custo material R$:</t>
        </is>
      </c>
      <c r="B17" s="36">
        <f>B52+B191</f>
        <v/>
      </c>
      <c r="C17" s="59" t="n"/>
      <c r="D17" s="31" t="n"/>
      <c r="E17" s="59" t="n"/>
      <c r="F17" s="80" t="n"/>
      <c r="G17" s="41" t="n"/>
      <c r="H17" s="59" t="n"/>
      <c r="I17" s="59" t="n"/>
    </row>
    <row r="18">
      <c r="A18" s="39" t="inlineStr">
        <is>
          <t>Margem de erro</t>
        </is>
      </c>
      <c r="B18" s="40">
        <f>B9*2%</f>
        <v/>
      </c>
      <c r="C18" s="57" t="n"/>
      <c r="D18" s="3" t="n"/>
      <c r="E18" s="4" t="n"/>
      <c r="F18" s="59" t="n"/>
      <c r="G18" s="41" t="n"/>
      <c r="H18" s="59" t="n"/>
      <c r="I18" s="59" t="n"/>
    </row>
    <row r="19">
      <c r="A19" s="57" t="n"/>
      <c r="B19" s="57" t="n"/>
      <c r="C19" s="57" t="n"/>
      <c r="D19" s="3" t="n"/>
      <c r="E19" s="4" t="n"/>
      <c r="F19" s="59" t="n"/>
      <c r="G19" s="59" t="n"/>
      <c r="H19" s="59" t="n"/>
      <c r="I19" s="59" t="n"/>
    </row>
    <row r="20">
      <c r="A20" s="57" t="n"/>
      <c r="B20" s="57" t="n"/>
      <c r="C20" s="57" t="n"/>
      <c r="D20" s="3" t="n"/>
      <c r="E20" s="4" t="n"/>
      <c r="F20" s="59" t="n"/>
      <c r="G20" s="59" t="n"/>
      <c r="H20" s="59" t="n"/>
      <c r="I20" s="59" t="n"/>
    </row>
    <row r="21" collapsed="1" s="106">
      <c r="A21" s="42" t="inlineStr">
        <is>
          <t>Operacionais</t>
        </is>
      </c>
      <c r="B21" s="43">
        <f>SUM(B22:B31)</f>
        <v/>
      </c>
      <c r="C21" s="44" t="n"/>
      <c r="D21" s="45" t="n"/>
      <c r="E21" s="46" t="n"/>
      <c r="F21" s="82" t="n"/>
      <c r="G21" s="81" t="n"/>
      <c r="H21" s="44" t="n"/>
      <c r="I21" s="44" t="n"/>
    </row>
    <row r="22" hidden="1" outlineLevel="1" collapsed="1" s="106">
      <c r="A22" s="61" t="inlineStr">
        <is>
          <t>comissao producao</t>
        </is>
      </c>
      <c r="B22" s="50">
        <f>C22*B10</f>
        <v/>
      </c>
      <c r="C22" s="51">
        <f>SUM(B23:B25)</f>
        <v/>
      </c>
      <c r="D22" s="52" t="n"/>
      <c r="E22" s="4" t="n"/>
      <c r="F22" s="62" t="n"/>
      <c r="G22" s="41" t="n"/>
      <c r="H22" s="59" t="n"/>
      <c r="I22" s="59" t="n"/>
    </row>
    <row r="23" hidden="1" outlineLevel="2" s="106">
      <c r="A23" s="61" t="inlineStr">
        <is>
          <t>Programador</t>
        </is>
      </c>
      <c r="B23" s="54" t="n">
        <v>0.008</v>
      </c>
      <c r="C23" s="58" t="n"/>
      <c r="D23" s="52" t="n"/>
      <c r="E23" s="4" t="n"/>
      <c r="F23" s="62" t="n"/>
      <c r="G23" s="41" t="n"/>
      <c r="H23" s="59" t="n"/>
      <c r="I23" s="59" t="n"/>
    </row>
    <row r="24" hidden="1" outlineLevel="2" s="106">
      <c r="A24" s="61" t="inlineStr">
        <is>
          <t>coordenador</t>
        </is>
      </c>
      <c r="B24" s="54" t="n">
        <v>0.01</v>
      </c>
      <c r="C24" s="58" t="n"/>
      <c r="D24" s="52" t="n"/>
      <c r="E24" s="4" t="n"/>
      <c r="F24" s="62" t="n"/>
      <c r="G24" s="41" t="n"/>
      <c r="H24" s="59" t="n"/>
      <c r="I24" s="59" t="n"/>
    </row>
    <row r="25" hidden="1" outlineLevel="2" s="106">
      <c r="A25" s="61" t="inlineStr">
        <is>
          <t>marceneiros</t>
        </is>
      </c>
      <c r="B25" s="54" t="n">
        <v>0.025</v>
      </c>
      <c r="C25" s="58" t="n"/>
      <c r="D25" s="52" t="n"/>
      <c r="E25" s="4" t="n"/>
      <c r="F25" s="62" t="n"/>
      <c r="G25" s="41" t="n"/>
      <c r="H25" s="59" t="n"/>
      <c r="I25" s="59" t="n"/>
    </row>
    <row r="26" hidden="1" outlineLevel="1" s="106">
      <c r="A26" s="61" t="inlineStr">
        <is>
          <t>Logistica carretos materiais</t>
        </is>
      </c>
      <c r="B26" s="56" t="n">
        <v>0</v>
      </c>
      <c r="C26" s="58" t="n"/>
      <c r="D26" s="52" t="n"/>
      <c r="E26" s="4" t="n"/>
      <c r="F26" s="62" t="n"/>
      <c r="G26" s="41" t="n"/>
      <c r="H26" s="59" t="n"/>
      <c r="I26" s="59" t="n"/>
    </row>
    <row r="27" hidden="1" outlineLevel="1" s="106">
      <c r="A27" s="57" t="inlineStr">
        <is>
          <t>Logistica equipe</t>
        </is>
      </c>
      <c r="B27" s="56" t="n">
        <v>0</v>
      </c>
      <c r="C27" s="58" t="inlineStr">
        <is>
          <t>Combustivel + desg. veiculo</t>
        </is>
      </c>
      <c r="E27" s="4" t="n"/>
      <c r="F27" s="59" t="n"/>
      <c r="G27" s="63" t="n"/>
      <c r="H27" s="59" t="n"/>
      <c r="I27" s="59" t="n"/>
    </row>
    <row r="28" hidden="1" outlineLevel="1" s="106">
      <c r="A28" s="57" t="inlineStr">
        <is>
          <t>Alimentacao</t>
        </is>
      </c>
      <c r="B28" s="56" t="n">
        <v>0</v>
      </c>
      <c r="C28" s="58" t="inlineStr">
        <is>
          <t>Previsto para 5 dias de obra</t>
        </is>
      </c>
      <c r="E28" s="4" t="n"/>
      <c r="F28" s="59" t="n"/>
      <c r="G28" s="63" t="n"/>
      <c r="H28" s="59" t="n"/>
      <c r="I28" s="59" t="n"/>
    </row>
    <row r="29" hidden="1" outlineLevel="1" s="106">
      <c r="A29" s="57" t="inlineStr">
        <is>
          <t>Corte de chapa</t>
        </is>
      </c>
      <c r="B29" s="56" t="n"/>
      <c r="C29" s="58" t="n"/>
      <c r="D29" s="52" t="n"/>
      <c r="E29" s="4" t="n"/>
      <c r="F29" s="59" t="n"/>
      <c r="G29" s="63" t="n"/>
      <c r="H29" s="59" t="n"/>
      <c r="I29" s="59" t="n"/>
    </row>
    <row r="30" hidden="1" outlineLevel="1" s="106">
      <c r="A30" s="57" t="inlineStr">
        <is>
          <t>desgaste de serra/fresa</t>
        </is>
      </c>
      <c r="B30" s="56">
        <f>0.5%*B$9</f>
        <v/>
      </c>
      <c r="C30" s="58" t="n"/>
      <c r="D30" s="52" t="n"/>
      <c r="E30" s="4" t="n"/>
      <c r="F30" s="59" t="n"/>
      <c r="G30" s="63" t="n"/>
      <c r="H30" s="59" t="n"/>
      <c r="I30" s="59" t="n"/>
    </row>
    <row r="31" hidden="1" outlineLevel="1" s="106">
      <c r="A31" s="57" t="inlineStr">
        <is>
          <t>Manutencao maquinas</t>
        </is>
      </c>
      <c r="B31" s="56">
        <f>0.5%*B$9</f>
        <v/>
      </c>
      <c r="C31" s="58" t="n"/>
      <c r="D31" s="52" t="n"/>
      <c r="E31" s="4" t="n"/>
      <c r="F31" s="59" t="n"/>
      <c r="G31" s="63" t="n"/>
      <c r="H31" s="59" t="n"/>
      <c r="I31" s="59" t="n"/>
    </row>
    <row r="32" hidden="1" outlineLevel="1" s="106">
      <c r="A32" s="61" t="inlineStr">
        <is>
          <t>Vidraceiro</t>
        </is>
      </c>
      <c r="B32" s="64" t="n"/>
      <c r="C32" s="59" t="inlineStr">
        <is>
          <t>Servico (estimado)</t>
        </is>
      </c>
      <c r="E32" s="4" t="n"/>
      <c r="F32" s="62" t="n"/>
      <c r="G32" s="63" t="n"/>
      <c r="H32" s="59" t="n"/>
      <c r="I32" s="59" t="n"/>
    </row>
    <row r="33" hidden="1" outlineLevel="1" s="106">
      <c r="A33" s="61" t="inlineStr">
        <is>
          <t>Serralheiro</t>
        </is>
      </c>
      <c r="B33" s="64" t="n">
        <v>800</v>
      </c>
      <c r="C33" s="59" t="inlineStr">
        <is>
          <t>Material e servico (estimado)</t>
        </is>
      </c>
      <c r="E33" s="4" t="n"/>
      <c r="F33" s="62" t="n"/>
      <c r="G33" s="63" t="n"/>
      <c r="H33" s="59" t="n"/>
      <c r="I33" s="59" t="n"/>
    </row>
    <row r="34" hidden="1" outlineLevel="1" s="106">
      <c r="A34" s="61" t="inlineStr">
        <is>
          <t>Pintor</t>
        </is>
      </c>
      <c r="B34" s="64" t="n">
        <v>400</v>
      </c>
      <c r="C34" s="59" t="inlineStr">
        <is>
          <t>Material e servico (estimado)</t>
        </is>
      </c>
      <c r="E34" s="4" t="n"/>
      <c r="F34" s="62" t="n"/>
      <c r="G34" s="63" t="n"/>
      <c r="H34" s="59" t="n"/>
      <c r="I34" s="59" t="n"/>
    </row>
    <row r="35" hidden="1" outlineLevel="1" s="106">
      <c r="A35" s="61" t="inlineStr">
        <is>
          <t>Estofador</t>
        </is>
      </c>
      <c r="B35" s="64" t="n">
        <v>600</v>
      </c>
      <c r="C35" s="59" t="inlineStr">
        <is>
          <t>Material e servico (estimado)</t>
        </is>
      </c>
      <c r="E35" s="4" t="n"/>
      <c r="F35" s="62" t="n"/>
      <c r="G35" s="63" t="n"/>
      <c r="H35" s="59" t="n"/>
      <c r="I35" s="59" t="n"/>
    </row>
    <row r="36" hidden="1" outlineLevel="1" s="106">
      <c r="A36" s="57" t="inlineStr">
        <is>
          <t>Laqueamento</t>
        </is>
      </c>
      <c r="B36" s="64" t="n"/>
      <c r="C36" s="59" t="inlineStr">
        <is>
          <t>Material e servico (estimado)</t>
        </is>
      </c>
      <c r="E36" s="4" t="n"/>
      <c r="F36" s="59" t="n"/>
      <c r="G36" s="63" t="n"/>
      <c r="H36" s="59" t="n"/>
      <c r="I36" s="59" t="n"/>
    </row>
    <row r="37" hidden="1" outlineLevel="1" s="106">
      <c r="A37" s="57" t="n"/>
      <c r="B37" s="64" t="n"/>
      <c r="C37" s="59" t="n"/>
      <c r="D37" s="31" t="n"/>
      <c r="E37" s="4" t="n"/>
      <c r="F37" s="59" t="n"/>
      <c r="G37" s="63" t="n"/>
      <c r="H37" s="59" t="n"/>
      <c r="I37" s="59" t="n"/>
    </row>
    <row r="38" collapsed="1" s="106">
      <c r="A38" s="76" t="inlineStr">
        <is>
          <t>Custos de venda R$:</t>
        </is>
      </c>
      <c r="B38" s="66">
        <f>SUM(B40:B47)</f>
        <v/>
      </c>
      <c r="C38" s="59" t="n"/>
      <c r="D38" s="31" t="n"/>
      <c r="E38" s="4" t="n"/>
      <c r="F38" s="80" t="n"/>
      <c r="G38" s="67" t="n"/>
      <c r="H38" s="59" t="n"/>
      <c r="I38" s="59" t="n"/>
    </row>
    <row r="39" hidden="1" outlineLevel="1" s="106">
      <c r="A39" s="61" t="inlineStr">
        <is>
          <t>Comissao vendedor</t>
        </is>
      </c>
      <c r="B39" s="64">
        <f>B9*3%</f>
        <v/>
      </c>
      <c r="C39" s="57" t="n"/>
      <c r="D39" s="3" t="n"/>
      <c r="E39" s="4" t="n"/>
      <c r="F39" s="62" t="n"/>
      <c r="G39" s="63" t="n"/>
      <c r="H39" s="59" t="n"/>
      <c r="I39" s="59" t="n"/>
    </row>
    <row r="40" hidden="1" outlineLevel="1" s="106">
      <c r="A40" s="61" t="inlineStr">
        <is>
          <t>Nota fiscal</t>
        </is>
      </c>
      <c r="B40" s="88">
        <f>B9*4%</f>
        <v/>
      </c>
      <c r="C40" s="57" t="n"/>
      <c r="D40" s="3" t="n"/>
      <c r="E40" s="4" t="n"/>
      <c r="F40" s="62" t="n"/>
      <c r="G40" s="63" t="n"/>
      <c r="H40" s="59" t="n"/>
      <c r="I40" s="59" t="n"/>
    </row>
    <row r="41" hidden="1" outlineLevel="1" s="106">
      <c r="A41" s="69" t="inlineStr">
        <is>
          <t>RT</t>
        </is>
      </c>
      <c r="B41" s="70">
        <f>10%*B10</f>
        <v/>
      </c>
      <c r="C41" s="57" t="n"/>
      <c r="D41" s="3" t="n"/>
      <c r="E41" s="4" t="n"/>
      <c r="F41" s="62" t="n"/>
      <c r="G41" s="41" t="n"/>
      <c r="H41" s="59" t="n"/>
      <c r="I41" s="59" t="n"/>
    </row>
    <row r="42" hidden="1" outlineLevel="1" s="106">
      <c r="A42" s="61" t="inlineStr">
        <is>
          <t>Visitas</t>
        </is>
      </c>
      <c r="B42" s="71" t="n"/>
      <c r="C42" s="57" t="n"/>
      <c r="D42" s="3" t="n"/>
      <c r="E42" s="4" t="n"/>
      <c r="F42" s="62" t="n"/>
      <c r="G42" s="74" t="n"/>
      <c r="H42" s="59" t="n"/>
      <c r="I42" s="59" t="n"/>
    </row>
    <row r="43" hidden="1" outlineLevel="1" s="106">
      <c r="A43" s="61" t="inlineStr">
        <is>
          <t>Impressoes internas</t>
        </is>
      </c>
      <c r="B43" s="71" t="n">
        <v>0</v>
      </c>
      <c r="C43" s="57" t="n"/>
      <c r="D43" s="3" t="n"/>
      <c r="E43" s="4" t="n"/>
      <c r="F43" s="62" t="n"/>
      <c r="G43" s="74" t="n"/>
      <c r="H43" s="59" t="n"/>
      <c r="I43" s="59" t="n"/>
    </row>
    <row r="44" hidden="1" outlineLevel="1" s="106">
      <c r="A44" s="61" t="inlineStr">
        <is>
          <t>Parcelamento máquina</t>
        </is>
      </c>
      <c r="B44" s="71">
        <f>B9*8%</f>
        <v/>
      </c>
      <c r="C44" s="73" t="inlineStr">
        <is>
          <t>media</t>
        </is>
      </c>
      <c r="E44" s="4" t="n"/>
      <c r="F44" s="62" t="n"/>
      <c r="G44" s="74" t="n"/>
      <c r="H44" s="59" t="n"/>
      <c r="I44" s="59" t="n"/>
    </row>
    <row r="45" hidden="1" outlineLevel="1" s="106">
      <c r="A45" s="61" t="inlineStr">
        <is>
          <t>Brindes</t>
        </is>
      </c>
      <c r="B45" s="71" t="n">
        <v>0</v>
      </c>
      <c r="C45" s="57" t="n"/>
      <c r="D45" s="3" t="n"/>
      <c r="E45" s="4" t="n"/>
      <c r="F45" s="62" t="n"/>
      <c r="G45" s="74" t="n"/>
      <c r="H45" s="59" t="n"/>
      <c r="I45" s="59" t="n"/>
    </row>
    <row r="46" hidden="1" outlineLevel="1" s="106">
      <c r="A46" s="61" t="inlineStr">
        <is>
          <t xml:space="preserve">Projeto </t>
        </is>
      </c>
      <c r="B46" s="64" t="n"/>
      <c r="C46" s="57" t="n"/>
      <c r="D46" s="3" t="n"/>
      <c r="E46" s="4" t="n"/>
      <c r="F46" s="62" t="n"/>
      <c r="G46" s="63" t="n"/>
      <c r="H46" s="59" t="n"/>
      <c r="I46" s="59" t="n"/>
    </row>
    <row r="47" hidden="1" outlineLevel="1" s="106">
      <c r="A47" s="57" t="n"/>
      <c r="B47" s="64" t="n"/>
      <c r="C47" s="57" t="n"/>
      <c r="D47" s="3" t="n"/>
      <c r="E47" s="4" t="n"/>
      <c r="F47" s="59" t="n"/>
      <c r="G47" s="63" t="n"/>
      <c r="H47" s="59" t="n"/>
      <c r="I47" s="59" t="n"/>
    </row>
    <row r="48">
      <c r="A48" s="57" t="n"/>
      <c r="B48" s="64" t="n"/>
      <c r="C48" s="57" t="n"/>
      <c r="D48" s="3" t="n"/>
      <c r="E48" s="4" t="n"/>
      <c r="F48" s="59" t="n"/>
      <c r="G48" s="63" t="n"/>
      <c r="H48" s="59" t="n"/>
      <c r="I48" s="59" t="n"/>
    </row>
    <row r="49">
      <c r="A49" s="57" t="n"/>
      <c r="B49" s="64" t="n"/>
      <c r="C49" s="57" t="n"/>
      <c r="D49" s="3" t="n"/>
      <c r="E49" s="4" t="n"/>
      <c r="F49" s="59" t="n"/>
      <c r="G49" s="63" t="n"/>
      <c r="H49" s="59" t="n"/>
      <c r="I49" s="59" t="n"/>
    </row>
    <row r="50">
      <c r="A50" s="84" t="inlineStr">
        <is>
          <t>Roupeiro</t>
        </is>
      </c>
      <c r="E50" s="4" t="n"/>
      <c r="F50" s="59" t="n"/>
      <c r="G50" s="63" t="n"/>
      <c r="H50" s="59" t="n"/>
      <c r="I50" s="59" t="n"/>
    </row>
    <row r="51">
      <c r="A51" s="57" t="n"/>
      <c r="B51" s="64" t="n"/>
      <c r="C51" s="57" t="n"/>
      <c r="D51" s="3" t="n"/>
      <c r="E51" s="4" t="n"/>
      <c r="F51" s="59" t="n"/>
      <c r="G51" s="63" t="n"/>
      <c r="H51" s="59" t="n"/>
      <c r="I51" s="59" t="n"/>
    </row>
    <row r="52">
      <c r="A52" s="76" t="inlineStr">
        <is>
          <t>Custos com materiais</t>
        </is>
      </c>
      <c r="B52" s="77">
        <f>SUM(D54+D72+D78+D79+D90+D97+D111+D121+D126+D137+D150+D155+D165+D170+D178+D184)</f>
        <v/>
      </c>
      <c r="C52" s="78" t="n"/>
      <c r="D52" s="79" t="n"/>
      <c r="E52" s="4" t="n"/>
      <c r="F52" s="80" t="n"/>
      <c r="G52" s="81" t="n"/>
      <c r="H52" s="82" t="n"/>
      <c r="I52" s="17" t="n"/>
    </row>
    <row r="53">
      <c r="A53" s="83" t="inlineStr">
        <is>
          <t>Material</t>
        </is>
      </c>
      <c r="B53" s="84" t="inlineStr">
        <is>
          <t>Quant</t>
        </is>
      </c>
      <c r="C53" s="84" t="inlineStr">
        <is>
          <t>R$ Unt</t>
        </is>
      </c>
      <c r="D53" s="85" t="inlineStr">
        <is>
          <t>R$ Total</t>
        </is>
      </c>
      <c r="E53" s="86" t="n"/>
      <c r="F53" s="80" t="n"/>
      <c r="G53" s="80" t="n"/>
      <c r="H53" s="80" t="n"/>
      <c r="I53" s="80" t="n"/>
    </row>
    <row r="54" collapsed="1" s="106">
      <c r="A54" s="57" t="inlineStr">
        <is>
          <t>MDF</t>
        </is>
      </c>
      <c r="B54" s="103" t="n"/>
      <c r="C54" s="88" t="n"/>
      <c r="D54" s="104">
        <f>SUM(D55:D71)</f>
        <v/>
      </c>
      <c r="E54" s="4" t="n"/>
      <c r="F54" s="59" t="inlineStr">
        <is>
          <t>Contagem de metragem de fitas</t>
        </is>
      </c>
      <c r="G54" s="92" t="n"/>
      <c r="H54" s="41" t="n"/>
      <c r="I54" s="41" t="n"/>
    </row>
    <row r="55" hidden="1" outlineLevel="1" s="106">
      <c r="A55" s="57" t="inlineStr">
        <is>
          <t>mdf branco 6</t>
        </is>
      </c>
      <c r="B55" s="103" t="n">
        <v>5</v>
      </c>
      <c r="C55" s="88" t="n">
        <v>190</v>
      </c>
      <c r="D55" s="91">
        <f>B55*C55</f>
        <v/>
      </c>
      <c r="E55" s="4" t="n"/>
      <c r="F55" s="59" t="n"/>
      <c r="G55" s="92" t="n"/>
      <c r="H55" s="41" t="n"/>
      <c r="I55" s="41" t="n"/>
    </row>
    <row r="56" hidden="1" outlineLevel="1" s="106">
      <c r="A56" s="57" t="inlineStr">
        <is>
          <t>mdf branco 15</t>
        </is>
      </c>
      <c r="B56" s="0" t="n">
        <v>7</v>
      </c>
      <c r="C56" s="88" t="n">
        <v>260</v>
      </c>
      <c r="D56" s="91">
        <f>SUM(B56*C56)</f>
        <v/>
      </c>
      <c r="E56" s="4" t="n"/>
      <c r="F56" s="59" t="n"/>
      <c r="G56" s="92" t="n"/>
      <c r="H56" s="41" t="n"/>
      <c r="I56" s="41" t="n"/>
    </row>
    <row r="57" hidden="1" outlineLevel="1" s="106">
      <c r="A57" s="57" t="inlineStr">
        <is>
          <t>mdf branco 18</t>
        </is>
      </c>
      <c r="B57" s="103" t="n"/>
      <c r="C57" s="88" t="n">
        <v>320</v>
      </c>
      <c r="D57" s="91">
        <f>SUM(B57*C57)</f>
        <v/>
      </c>
      <c r="E57" s="57" t="n"/>
      <c r="F57" s="59" t="n"/>
      <c r="G57" s="92" t="n"/>
      <c r="H57" s="41" t="n"/>
      <c r="I57" s="41" t="n"/>
    </row>
    <row r="58" hidden="1" outlineLevel="1" s="106">
      <c r="A58" s="57" t="inlineStr">
        <is>
          <t>mdf branco 25</t>
        </is>
      </c>
      <c r="B58" s="103" t="n"/>
      <c r="C58" s="88" t="n">
        <v>420</v>
      </c>
      <c r="D58" s="91">
        <f>SUM(B58*C58)</f>
        <v/>
      </c>
      <c r="E58" s="57" t="n"/>
      <c r="F58" s="59" t="n"/>
      <c r="G58" s="92" t="n"/>
      <c r="H58" s="41" t="n"/>
      <c r="I58" s="41" t="n"/>
    </row>
    <row r="59" hidden="1" outlineLevel="1" s="106">
      <c r="A59" s="57" t="inlineStr">
        <is>
          <t>mdf cor 6</t>
        </is>
      </c>
      <c r="B59" s="103" t="n"/>
      <c r="C59" s="88" t="n">
        <v>300</v>
      </c>
      <c r="D59" s="91">
        <f>SUM(B59*C59)</f>
        <v/>
      </c>
      <c r="E59" s="57" t="n"/>
      <c r="F59" s="59" t="n"/>
      <c r="G59" s="92" t="n"/>
      <c r="H59" s="41" t="n"/>
      <c r="I59" s="41" t="n"/>
    </row>
    <row r="60" hidden="1" outlineLevel="1" s="106">
      <c r="A60" s="57" t="inlineStr">
        <is>
          <t>mdf cor 15</t>
        </is>
      </c>
      <c r="B60" s="103" t="n">
        <v>2</v>
      </c>
      <c r="C60" s="88" t="n">
        <v>500</v>
      </c>
      <c r="D60" s="91">
        <f>SUM(B60*C60)</f>
        <v/>
      </c>
      <c r="E60" s="57" t="n"/>
      <c r="F60" s="59" t="n"/>
      <c r="G60" s="92" t="n"/>
      <c r="H60" s="41" t="n"/>
      <c r="I60" s="41" t="n"/>
      <c r="K60" s="57" t="n"/>
    </row>
    <row r="61" hidden="1" outlineLevel="1" s="106">
      <c r="A61" s="57" t="inlineStr">
        <is>
          <t>mdf cor 18</t>
        </is>
      </c>
      <c r="B61" s="103" t="n">
        <v>2</v>
      </c>
      <c r="C61" s="88" t="n">
        <v>600</v>
      </c>
      <c r="D61" s="91">
        <f>SUM(B61*C61)</f>
        <v/>
      </c>
      <c r="E61" s="57" t="n"/>
      <c r="F61" s="59" t="n"/>
      <c r="G61" s="92" t="n"/>
      <c r="H61" s="41" t="n"/>
      <c r="I61" s="41" t="n"/>
      <c r="K61" s="57" t="n"/>
    </row>
    <row r="62" hidden="1" outlineLevel="1" s="106">
      <c r="A62" s="57" t="inlineStr">
        <is>
          <t>mdf cristallo 6</t>
        </is>
      </c>
      <c r="B62" s="103" t="n"/>
      <c r="C62" s="88" t="n">
        <v>400</v>
      </c>
      <c r="D62" s="91">
        <f>SUM(B62*C62)</f>
        <v/>
      </c>
      <c r="E62" s="57" t="n"/>
      <c r="F62" s="59" t="n"/>
      <c r="G62" s="92" t="n"/>
      <c r="H62" s="41" t="n"/>
      <c r="I62" s="41" t="n"/>
      <c r="K62" s="57" t="n"/>
    </row>
    <row r="63" hidden="1" outlineLevel="1" s="106">
      <c r="A63" s="57" t="inlineStr">
        <is>
          <t>mdf cristallo 15</t>
        </is>
      </c>
      <c r="B63" s="103" t="n"/>
      <c r="C63" s="88" t="n">
        <v>600</v>
      </c>
      <c r="D63" s="91">
        <f>SUM(B63*C63)</f>
        <v/>
      </c>
      <c r="E63" s="57" t="n"/>
      <c r="F63" s="59" t="n"/>
      <c r="G63" s="92" t="n"/>
      <c r="H63" s="41" t="n"/>
      <c r="I63" s="41" t="n"/>
      <c r="K63" s="57" t="n"/>
    </row>
    <row r="64" hidden="1" outlineLevel="1" s="106">
      <c r="A64" s="57" t="inlineStr">
        <is>
          <t>mdf cristallo 18</t>
        </is>
      </c>
      <c r="B64" s="103" t="n"/>
      <c r="C64" s="88" t="n">
        <v>700</v>
      </c>
      <c r="D64" s="91">
        <f>SUM(B64*C64)</f>
        <v/>
      </c>
      <c r="E64" s="57" t="n"/>
      <c r="F64" s="59" t="n"/>
      <c r="G64" s="92" t="n"/>
      <c r="H64" s="41" t="n"/>
      <c r="I64" s="41" t="n"/>
      <c r="K64" s="57" t="n"/>
    </row>
    <row r="65" hidden="1" outlineLevel="1" s="106">
      <c r="A65" s="57" t="inlineStr">
        <is>
          <t>mdf Acetinata 6</t>
        </is>
      </c>
      <c r="B65" s="103" t="n"/>
      <c r="C65" s="88" t="n">
        <v>1000</v>
      </c>
      <c r="D65" s="91">
        <f>SUM(B65*C65)</f>
        <v/>
      </c>
      <c r="E65" s="57" t="n"/>
      <c r="F65" s="59" t="n"/>
      <c r="G65" s="92" t="n"/>
      <c r="H65" s="41" t="n"/>
      <c r="I65" s="41" t="n"/>
      <c r="K65" s="57" t="n"/>
    </row>
    <row r="66" hidden="1" outlineLevel="1" s="106">
      <c r="A66" s="57" t="inlineStr">
        <is>
          <t>mdf Acetinata 15</t>
        </is>
      </c>
      <c r="B66" s="103" t="n"/>
      <c r="C66" s="88" t="n">
        <v>1300</v>
      </c>
      <c r="D66" s="91">
        <f>SUM(B66*C66)</f>
        <v/>
      </c>
      <c r="E66" s="57" t="n"/>
      <c r="F66" s="59" t="n"/>
      <c r="G66" s="92" t="n"/>
      <c r="H66" s="41" t="n"/>
      <c r="I66" s="41" t="n"/>
    </row>
    <row r="67" hidden="1" outlineLevel="1" s="106">
      <c r="A67" s="57" t="inlineStr">
        <is>
          <t>mdf Acetinata 18</t>
        </is>
      </c>
      <c r="B67" s="103" t="n"/>
      <c r="C67" s="88" t="n">
        <v>1500</v>
      </c>
      <c r="D67" s="91">
        <f>SUM(B67*C67)</f>
        <v/>
      </c>
      <c r="E67" s="57" t="n"/>
      <c r="F67" s="59" t="n"/>
      <c r="G67" s="92" t="n"/>
      <c r="H67" s="41" t="n"/>
      <c r="I67" s="41" t="n"/>
    </row>
    <row r="68" hidden="1" outlineLevel="1" s="106">
      <c r="A68" s="57" t="inlineStr">
        <is>
          <t>mdf com lamina prensada +acab.</t>
        </is>
      </c>
      <c r="B68" s="103" t="n"/>
      <c r="C68" s="88" t="n">
        <v>2200</v>
      </c>
      <c r="D68" s="91">
        <f>SUM(B68*C68)</f>
        <v/>
      </c>
      <c r="E68" s="57" t="n"/>
      <c r="F68" s="59" t="n"/>
      <c r="G68" s="92" t="n"/>
      <c r="H68" s="41" t="n"/>
      <c r="I68" s="41" t="n"/>
    </row>
    <row r="69" hidden="1" outlineLevel="1" s="106">
      <c r="A69" s="57" t="inlineStr">
        <is>
          <t>Palha sintetica</t>
        </is>
      </c>
      <c r="B69" s="103" t="n"/>
      <c r="C69" s="88" t="n">
        <v>600</v>
      </c>
      <c r="D69" s="91">
        <f>SUM(B69*C69)</f>
        <v/>
      </c>
      <c r="E69" s="57" t="n"/>
      <c r="F69" s="59" t="n"/>
      <c r="G69" s="92" t="n"/>
      <c r="H69" s="41" t="n"/>
      <c r="I69" s="41" t="n"/>
    </row>
    <row r="70" hidden="1" outlineLevel="1" s="106">
      <c r="A70" s="57" t="inlineStr">
        <is>
          <t>Compensado flexivel</t>
        </is>
      </c>
      <c r="B70" s="103" t="n"/>
      <c r="C70" s="88" t="n">
        <v>400</v>
      </c>
      <c r="D70" s="91">
        <f>SUM(B70*C70)</f>
        <v/>
      </c>
      <c r="E70" s="57" t="n"/>
      <c r="F70" s="59" t="n"/>
      <c r="G70" s="92" t="n"/>
      <c r="H70" s="41" t="n"/>
      <c r="I70" s="41" t="n"/>
    </row>
    <row r="71" hidden="1" outlineLevel="1" s="106">
      <c r="A71" s="57" t="inlineStr">
        <is>
          <t>Compensado flexivel</t>
        </is>
      </c>
      <c r="B71" s="103" t="n"/>
      <c r="C71" s="88" t="n"/>
      <c r="D71" s="91" t="n"/>
      <c r="E71" s="57" t="n"/>
      <c r="F71" s="59" t="n"/>
      <c r="G71" s="92" t="n"/>
      <c r="H71" s="41" t="n"/>
      <c r="I71" s="41" t="n"/>
    </row>
    <row r="72" collapsed="1" s="106">
      <c r="A72" s="57" t="inlineStr">
        <is>
          <t>Cola e fita</t>
        </is>
      </c>
      <c r="B72" s="103" t="n"/>
      <c r="C72" s="88" t="n"/>
      <c r="D72" s="104">
        <f>SUM(D73:D77)</f>
        <v/>
      </c>
      <c r="E72" s="57" t="n"/>
      <c r="F72" s="59" t="inlineStr">
        <is>
          <t>Roupeiro branco tx</t>
        </is>
      </c>
      <c r="G72" s="92" t="n"/>
      <c r="H72" s="41" t="n"/>
      <c r="I72" s="41" t="n"/>
    </row>
    <row r="73" hidden="1" outlineLevel="1" s="106">
      <c r="A73" s="57" t="inlineStr">
        <is>
          <t xml:space="preserve">Custo colagem - mt linear - maq. </t>
        </is>
      </c>
      <c r="B73" s="103" t="n">
        <v>155</v>
      </c>
      <c r="C73" s="88" t="n">
        <v>2.5</v>
      </c>
      <c r="D73" s="91">
        <f>SUM(B73*C73)</f>
        <v/>
      </c>
      <c r="E73" s="57" t="n"/>
      <c r="F73" s="59" t="n"/>
      <c r="G73" s="92" t="n"/>
      <c r="H73" s="41" t="n"/>
      <c r="I73" s="41" t="n"/>
    </row>
    <row r="74" hidden="1" outlineLevel="1" s="106">
      <c r="A74" s="57" t="inlineStr">
        <is>
          <t xml:space="preserve">Custo colagem - mt linear - manual </t>
        </is>
      </c>
      <c r="B74" s="103" t="n"/>
      <c r="C74" s="88" t="n">
        <v>4</v>
      </c>
      <c r="D74" s="91">
        <f>SUM(B74*C74)</f>
        <v/>
      </c>
      <c r="E74" s="57" t="n"/>
      <c r="F74" s="59" t="n"/>
      <c r="G74" s="92" t="n"/>
      <c r="H74" s="41" t="n"/>
      <c r="I74" s="41" t="n"/>
    </row>
    <row r="75" hidden="1" outlineLevel="1" s="106">
      <c r="A75" s="57" t="inlineStr">
        <is>
          <t>Fita de borda - branco tx - mt linear</t>
        </is>
      </c>
      <c r="B75" s="103" t="n">
        <v>80</v>
      </c>
      <c r="C75" s="88" t="n">
        <v>2</v>
      </c>
      <c r="D75" s="91">
        <f>SUM(B75*C75)</f>
        <v/>
      </c>
      <c r="E75" s="57" t="n"/>
      <c r="F75" s="59" t="n"/>
      <c r="G75" s="92" t="n"/>
      <c r="H75" s="41" t="n"/>
      <c r="I75" s="41" t="n"/>
    </row>
    <row r="76" hidden="1" outlineLevel="1" s="106">
      <c r="A76" s="57" t="inlineStr">
        <is>
          <t>Fita de borda - cor - mt linear</t>
        </is>
      </c>
      <c r="B76" s="103" t="n">
        <v>75</v>
      </c>
      <c r="C76" s="88" t="n">
        <v>3</v>
      </c>
      <c r="D76" s="91">
        <f>SUM(B76*C76)</f>
        <v/>
      </c>
      <c r="E76" s="57" t="n"/>
      <c r="F76" s="59" t="n"/>
      <c r="G76" s="92" t="n"/>
      <c r="H76" s="41" t="n"/>
      <c r="I76" s="41" t="n"/>
    </row>
    <row r="77" hidden="1" outlineLevel="1" s="106">
      <c r="A77" s="57" t="inlineStr">
        <is>
          <t xml:space="preserve">Demandas pontuais - espec. </t>
        </is>
      </c>
      <c r="B77" s="103" t="n"/>
      <c r="C77" s="88" t="n">
        <v>50</v>
      </c>
      <c r="D77" s="91">
        <f>SUM(B77*C77)</f>
        <v/>
      </c>
      <c r="E77" s="57" t="n"/>
      <c r="F77" s="59" t="n"/>
      <c r="G77" s="92" t="n"/>
      <c r="H77" s="41" t="n"/>
      <c r="I77" s="41" t="n"/>
    </row>
    <row r="78">
      <c r="A78" s="57" t="inlineStr">
        <is>
          <t>Ferragens</t>
        </is>
      </c>
      <c r="B78" s="103" t="n"/>
      <c r="C78" s="88" t="n"/>
      <c r="D78" s="104">
        <f>SUM(D80:D134)</f>
        <v/>
      </c>
      <c r="E78" s="57" t="n"/>
      <c r="F78" s="59" t="inlineStr">
        <is>
          <t>Roupeiro colors</t>
        </is>
      </c>
      <c r="G78" s="92" t="n"/>
      <c r="H78" s="41" t="n"/>
      <c r="I78" s="41" t="n"/>
    </row>
    <row r="79" collapsed="1" s="106">
      <c r="A79" s="101" t="inlineStr">
        <is>
          <t>Dobradiças</t>
        </is>
      </c>
      <c r="B79" s="101" t="n"/>
      <c r="C79" s="94" t="n"/>
      <c r="D79" s="95">
        <f>SUM(D80:D89)</f>
        <v/>
      </c>
      <c r="E79" s="57" t="n"/>
      <c r="F79" s="59" t="inlineStr">
        <is>
          <t>Roupeiro modulos ripado</t>
        </is>
      </c>
      <c r="G79" s="92" t="n"/>
      <c r="H79" s="41" t="n"/>
      <c r="I79" s="41" t="n"/>
    </row>
    <row r="80" hidden="1" outlineLevel="1" s="106">
      <c r="A80" s="96" t="inlineStr">
        <is>
          <t>Padrão</t>
        </is>
      </c>
      <c r="B80" s="96" t="n"/>
      <c r="C80" s="97" t="n">
        <v>6</v>
      </c>
      <c r="D80" s="98">
        <f>C80*B80</f>
        <v/>
      </c>
      <c r="E80" s="57" t="n"/>
      <c r="F80" s="59" t="n"/>
      <c r="G80" s="92" t="n"/>
      <c r="H80" s="41" t="n"/>
      <c r="I80" s="41" t="n"/>
    </row>
    <row r="81" hidden="1" outlineLevel="1" s="106">
      <c r="A81" s="99" t="inlineStr">
        <is>
          <t>Bigfer Inox</t>
        </is>
      </c>
      <c r="B81" s="99" t="n"/>
      <c r="C81" s="100" t="n">
        <v>20</v>
      </c>
      <c r="D81" s="98">
        <f>C81*B81</f>
        <v/>
      </c>
      <c r="E81" s="57" t="n"/>
      <c r="F81" s="59" t="n"/>
      <c r="G81" s="92" t="n"/>
      <c r="H81" s="41" t="n"/>
      <c r="I81" s="41" t="n"/>
    </row>
    <row r="82" hidden="1" outlineLevel="1" s="106">
      <c r="A82" s="96" t="inlineStr">
        <is>
          <t>Bigfer Ônix</t>
        </is>
      </c>
      <c r="B82" s="96" t="n"/>
      <c r="C82" s="97" t="n">
        <v>15</v>
      </c>
      <c r="D82" s="98">
        <f>C82*B82</f>
        <v/>
      </c>
      <c r="E82" s="57" t="n"/>
      <c r="F82" s="59" t="n"/>
      <c r="G82" s="92" t="n"/>
      <c r="H82" s="41" t="n"/>
      <c r="I82" s="41" t="n"/>
    </row>
    <row r="83" hidden="1" outlineLevel="1" s="106">
      <c r="A83" s="99" t="inlineStr">
        <is>
          <t>Hartd</t>
        </is>
      </c>
      <c r="B83" s="99" t="n">
        <v>8</v>
      </c>
      <c r="C83" s="100" t="n">
        <v>8</v>
      </c>
      <c r="D83" s="98">
        <f>C83*B83</f>
        <v/>
      </c>
      <c r="E83" s="57" t="n"/>
      <c r="F83" s="59" t="n"/>
      <c r="G83" s="92" t="n"/>
      <c r="H83" s="41" t="n"/>
      <c r="I83" s="41" t="n"/>
    </row>
    <row r="84" hidden="1" outlineLevel="1" s="106">
      <c r="A84" s="96" t="inlineStr">
        <is>
          <t>Häfele</t>
        </is>
      </c>
      <c r="B84" s="96" t="n"/>
      <c r="C84" s="97" t="n">
        <v>20</v>
      </c>
      <c r="D84" s="98">
        <f>C84*B84</f>
        <v/>
      </c>
      <c r="E84" s="57" t="n"/>
      <c r="F84" s="59" t="n"/>
      <c r="G84" s="92" t="n"/>
      <c r="H84" s="41" t="n"/>
      <c r="I84" s="41" t="n"/>
    </row>
    <row r="85" hidden="1" outlineLevel="1" s="106">
      <c r="A85" s="99" t="inlineStr">
        <is>
          <t>Hettich Novisys</t>
        </is>
      </c>
      <c r="B85" s="99" t="n"/>
      <c r="C85" s="100" t="n">
        <v>10</v>
      </c>
      <c r="D85" s="98">
        <f>C85*B85</f>
        <v/>
      </c>
      <c r="E85" s="57" t="n"/>
      <c r="F85" s="59" t="n"/>
      <c r="G85" s="92" t="n"/>
      <c r="H85" s="41" t="n"/>
      <c r="I85" s="41" t="n"/>
    </row>
    <row r="86" hidden="1" outlineLevel="1" s="106">
      <c r="A86" s="96" t="inlineStr">
        <is>
          <t>Hettich Sensys</t>
        </is>
      </c>
      <c r="B86" s="96" t="n"/>
      <c r="C86" s="97" t="n">
        <v>35</v>
      </c>
      <c r="D86" s="98">
        <f>C86*B86</f>
        <v/>
      </c>
      <c r="E86" s="57" t="n"/>
      <c r="F86" s="59" t="n"/>
      <c r="G86" s="92" t="n"/>
      <c r="H86" s="41" t="n"/>
      <c r="I86" s="41" t="n"/>
    </row>
    <row r="87" hidden="1" outlineLevel="1" s="106">
      <c r="A87" s="99" t="inlineStr">
        <is>
          <t>Hettich Sensys Onix</t>
        </is>
      </c>
      <c r="B87" s="99" t="n"/>
      <c r="C87" s="100" t="n">
        <v>40</v>
      </c>
      <c r="D87" s="98">
        <f>C87*B87</f>
        <v/>
      </c>
      <c r="E87" s="57" t="n"/>
      <c r="F87" s="59" t="n"/>
      <c r="G87" s="92" t="n"/>
      <c r="H87" s="41" t="n"/>
      <c r="I87" s="41" t="n"/>
    </row>
    <row r="88" hidden="1" outlineLevel="1" s="106">
      <c r="A88" s="96" t="inlineStr">
        <is>
          <t>Hettich Sensys Black</t>
        </is>
      </c>
      <c r="B88" s="96" t="n"/>
      <c r="C88" s="97" t="n">
        <v>40</v>
      </c>
      <c r="D88" s="91">
        <f>SUM(B88*C88)</f>
        <v/>
      </c>
      <c r="E88" s="57" t="n"/>
      <c r="F88" s="59" t="n"/>
      <c r="G88" s="92" t="n"/>
      <c r="H88" s="41" t="n"/>
      <c r="I88" s="41" t="n"/>
    </row>
    <row r="89" hidden="1" outlineLevel="1" s="106">
      <c r="A89" s="101" t="n"/>
      <c r="B89" s="103" t="n"/>
      <c r="C89" s="88" t="n">
        <v>40</v>
      </c>
      <c r="D89" s="91">
        <f>SUM(B89*C89)</f>
        <v/>
      </c>
      <c r="E89" s="57" t="n"/>
      <c r="F89" s="59" t="n"/>
      <c r="G89" s="92" t="n"/>
      <c r="H89" s="41" t="n"/>
      <c r="I89" s="41" t="n"/>
    </row>
    <row r="90" collapsed="1" s="106">
      <c r="A90" s="57" t="inlineStr">
        <is>
          <t>Corrediças</t>
        </is>
      </c>
      <c r="B90" s="103" t="n"/>
      <c r="C90" s="88" t="n"/>
      <c r="D90" s="91">
        <f>SUM(D91:D95)</f>
        <v/>
      </c>
      <c r="E90" s="57" t="n"/>
      <c r="F90" s="59" t="n"/>
      <c r="G90" s="92" t="n"/>
      <c r="H90" s="41" t="n"/>
      <c r="I90" s="41" t="n"/>
    </row>
    <row r="91" hidden="1" outlineLevel="1" s="106">
      <c r="A91" s="96" t="inlineStr">
        <is>
          <t>Telescópica</t>
        </is>
      </c>
      <c r="B91" s="96" t="n"/>
      <c r="C91" s="97" t="n">
        <v>40</v>
      </c>
      <c r="D91" s="91">
        <f>SUM(B91*C91)</f>
        <v/>
      </c>
      <c r="E91" s="57" t="n"/>
      <c r="F91" s="59" t="n"/>
      <c r="G91" s="92" t="n"/>
      <c r="H91" s="41" t="n"/>
      <c r="I91" s="41" t="n"/>
    </row>
    <row r="92" hidden="1" outlineLevel="1" s="106">
      <c r="A92" s="99" t="inlineStr">
        <is>
          <t>Oculta Hartt</t>
        </is>
      </c>
      <c r="B92" s="99" t="n">
        <v>4</v>
      </c>
      <c r="C92" s="100" t="n">
        <v>70</v>
      </c>
      <c r="D92" s="91">
        <f>SUM(B92*C92)</f>
        <v/>
      </c>
      <c r="E92" s="57" t="n"/>
      <c r="F92" s="59" t="n"/>
      <c r="G92" s="92" t="n"/>
      <c r="H92" s="41" t="n"/>
      <c r="I92" s="41" t="n"/>
    </row>
    <row r="93" hidden="1" outlineLevel="1" s="106">
      <c r="A93" s="96" t="inlineStr">
        <is>
          <t>Oculta Quadro (Hettich)</t>
        </is>
      </c>
      <c r="B93" s="96" t="n"/>
      <c r="C93" s="97" t="n">
        <v>120</v>
      </c>
      <c r="D93" s="91">
        <f>SUM(B93*C93)</f>
        <v/>
      </c>
      <c r="E93" s="57" t="n"/>
      <c r="F93" s="59" t="n"/>
      <c r="G93" s="92" t="n"/>
      <c r="H93" s="41" t="n"/>
      <c r="I93" s="41" t="n"/>
    </row>
    <row r="94" hidden="1" outlineLevel="1" s="106">
      <c r="A94" s="99" t="inlineStr">
        <is>
          <t>Oculta Actro (Hettich)</t>
        </is>
      </c>
      <c r="B94" s="99" t="n"/>
      <c r="C94" s="100" t="n">
        <v>400</v>
      </c>
      <c r="D94" s="91">
        <f>SUM(B94*C94)</f>
        <v/>
      </c>
      <c r="E94" s="57" t="n"/>
      <c r="F94" s="59" t="n"/>
      <c r="G94" s="92" t="n"/>
      <c r="H94" s="41" t="n"/>
      <c r="I94" s="41" t="n"/>
    </row>
    <row r="95" hidden="1" outlineLevel="1" s="106">
      <c r="A95" s="96" t="inlineStr">
        <is>
          <t xml:space="preserve">Blum </t>
        </is>
      </c>
      <c r="B95" s="96" t="n"/>
      <c r="C95" s="97" t="n">
        <v>300</v>
      </c>
      <c r="D95" s="91">
        <f>SUM(B95*C95)</f>
        <v/>
      </c>
      <c r="E95" s="57" t="n"/>
      <c r="F95" s="59" t="n"/>
      <c r="G95" s="92" t="n"/>
      <c r="H95" s="41" t="n"/>
      <c r="I95" s="41" t="n"/>
    </row>
    <row r="96" hidden="1" outlineLevel="1" s="106">
      <c r="A96" s="57" t="n"/>
      <c r="B96" s="103" t="n"/>
      <c r="C96" s="88" t="n"/>
      <c r="D96" s="91" t="n"/>
      <c r="E96" s="57" t="n"/>
      <c r="F96" s="59" t="n"/>
      <c r="G96" s="92" t="n"/>
      <c r="H96" s="41" t="n"/>
      <c r="I96" s="41" t="n"/>
    </row>
    <row r="97" collapsed="1" s="106">
      <c r="A97" s="57" t="inlineStr">
        <is>
          <t>Sistema portas roupeiros</t>
        </is>
      </c>
      <c r="B97" s="103" t="n"/>
      <c r="C97" s="88" t="n"/>
      <c r="D97" s="91">
        <f>SUM(D98:D110)</f>
        <v/>
      </c>
      <c r="E97" s="57" t="n"/>
      <c r="F97" s="59" t="n"/>
      <c r="G97" s="92" t="n"/>
      <c r="H97" s="41" t="n"/>
      <c r="I97" s="41" t="n"/>
    </row>
    <row r="98" hidden="1" outlineLevel="1" s="106">
      <c r="A98" s="96" t="inlineStr">
        <is>
          <t>SS150 - 2 portas</t>
        </is>
      </c>
      <c r="B98" s="96" t="n"/>
      <c r="C98" s="97" t="n">
        <v>500</v>
      </c>
      <c r="D98" s="91">
        <f>SUM(B98*C98)</f>
        <v/>
      </c>
      <c r="E98" s="57" t="n"/>
      <c r="F98" s="59" t="n"/>
      <c r="G98" s="92" t="n"/>
      <c r="H98" s="41" t="n"/>
      <c r="I98" s="41" t="n"/>
    </row>
    <row r="99" hidden="1" outlineLevel="1" s="106">
      <c r="A99" s="99" t="inlineStr">
        <is>
          <t>SS150 - 3 portas</t>
        </is>
      </c>
      <c r="B99" s="99" t="n"/>
      <c r="C99" s="100" t="n">
        <v>600</v>
      </c>
      <c r="D99" s="91">
        <f>SUM(B99*C99)</f>
        <v/>
      </c>
      <c r="E99" s="57" t="n"/>
      <c r="F99" s="59" t="n"/>
      <c r="G99" s="92" t="n"/>
      <c r="H99" s="41" t="n"/>
      <c r="I99" s="41" t="n"/>
    </row>
    <row r="100" hidden="1" outlineLevel="1" s="106">
      <c r="A100" s="96" t="inlineStr">
        <is>
          <t>RO65 (Rometal)</t>
        </is>
      </c>
      <c r="B100" s="96" t="n">
        <v>3</v>
      </c>
      <c r="C100" s="97" t="n">
        <v>60</v>
      </c>
      <c r="D100" s="91">
        <f>SUM(B100*C100)</f>
        <v/>
      </c>
      <c r="E100" s="57" t="n"/>
      <c r="F100" s="59" t="n"/>
      <c r="G100" s="92" t="n"/>
      <c r="H100" s="41" t="n"/>
      <c r="I100" s="41" t="n"/>
    </row>
    <row r="101" hidden="1" outlineLevel="1" s="106">
      <c r="A101" s="99" t="inlineStr">
        <is>
          <t>Dominus (Rometal) - 2 portas</t>
        </is>
      </c>
      <c r="B101" s="99" t="n"/>
      <c r="C101" s="100" t="n">
        <v>700</v>
      </c>
      <c r="D101" s="91">
        <f>SUM(B101*C101)</f>
        <v/>
      </c>
      <c r="E101" s="57" t="n"/>
      <c r="F101" s="59" t="n"/>
      <c r="G101" s="92" t="n"/>
      <c r="H101" s="41" t="n"/>
      <c r="I101" s="41" t="n"/>
    </row>
    <row r="102" hidden="1" outlineLevel="1" s="106">
      <c r="A102" s="96" t="inlineStr">
        <is>
          <t>Dominus (Rometal) - 3 portas</t>
        </is>
      </c>
      <c r="B102" s="96" t="n"/>
      <c r="C102" s="97" t="n">
        <v>850</v>
      </c>
      <c r="D102" s="91">
        <f>SUM(B102*C102)</f>
        <v/>
      </c>
      <c r="E102" s="57" t="n"/>
      <c r="F102" s="59" t="n"/>
      <c r="G102" s="92" t="n"/>
      <c r="H102" s="41" t="n"/>
      <c r="I102" s="41" t="n"/>
    </row>
    <row r="103" hidden="1" outlineLevel="1" s="106">
      <c r="A103" s="99" t="inlineStr">
        <is>
          <t>Trilho RO65 Rometal - 3mt</t>
        </is>
      </c>
      <c r="B103" s="99" t="n">
        <v>1</v>
      </c>
      <c r="C103" s="100" t="n">
        <v>80</v>
      </c>
      <c r="D103" s="91">
        <f>SUM(B103*C103)</f>
        <v/>
      </c>
      <c r="E103" s="57" t="n"/>
      <c r="F103" s="59" t="n"/>
      <c r="G103" s="92" t="n"/>
      <c r="H103" s="41" t="n"/>
      <c r="I103" s="41" t="n"/>
    </row>
    <row r="104" hidden="1" outlineLevel="1" s="106">
      <c r="A104" s="96" t="inlineStr">
        <is>
          <t>Trilho RO65 Rometal - 2mt</t>
        </is>
      </c>
      <c r="B104" s="96" t="n"/>
      <c r="C104" s="97" t="n">
        <v>60</v>
      </c>
      <c r="D104" s="91">
        <f>SUM(B104*C104)</f>
        <v/>
      </c>
      <c r="E104" s="57" t="n"/>
      <c r="F104" s="59" t="n"/>
      <c r="G104" s="92" t="n"/>
      <c r="H104" s="41" t="n"/>
      <c r="I104" s="41" t="n"/>
    </row>
    <row r="105" hidden="1" outlineLevel="1" s="106">
      <c r="A105" s="99" t="inlineStr">
        <is>
          <t>Trilho SS150 - mt</t>
        </is>
      </c>
      <c r="B105" s="99" t="n"/>
      <c r="C105" s="100" t="n">
        <v>200</v>
      </c>
      <c r="D105" s="91">
        <f>SUM(B105*C105)</f>
        <v/>
      </c>
      <c r="E105" s="57" t="n"/>
      <c r="F105" s="59" t="n"/>
      <c r="G105" s="92" t="n"/>
      <c r="H105" s="41" t="n"/>
      <c r="I105" s="41" t="n"/>
    </row>
    <row r="106" hidden="1" outlineLevel="1" s="106">
      <c r="A106" s="96" t="inlineStr">
        <is>
          <t>Trilho SS150 - 2mt</t>
        </is>
      </c>
      <c r="B106" s="96" t="n"/>
      <c r="C106" s="97" t="n">
        <v>170</v>
      </c>
      <c r="D106" s="91">
        <f>SUM(B106*C106)</f>
        <v/>
      </c>
      <c r="E106" s="57" t="n"/>
      <c r="F106" s="59" t="n"/>
      <c r="G106" s="92" t="n"/>
      <c r="H106" s="41" t="n"/>
      <c r="I106" s="41" t="n"/>
    </row>
    <row r="107" hidden="1" outlineLevel="1" s="106">
      <c r="A107" s="99" t="inlineStr">
        <is>
          <t>Trilho Dominus - 3mt</t>
        </is>
      </c>
      <c r="B107" s="99" t="n"/>
      <c r="C107" s="100" t="n">
        <v>350</v>
      </c>
      <c r="D107" s="91">
        <f>SUM(B107*C107)</f>
        <v/>
      </c>
      <c r="E107" s="57" t="n"/>
      <c r="F107" s="59" t="n"/>
      <c r="G107" s="92" t="n"/>
      <c r="H107" s="41" t="n"/>
      <c r="I107" s="41" t="n"/>
    </row>
    <row r="108" hidden="1" outlineLevel="1" s="106">
      <c r="A108" s="96" t="inlineStr">
        <is>
          <t>Trilho Dominus - 2mt</t>
        </is>
      </c>
      <c r="B108" s="96" t="n"/>
      <c r="C108" s="97" t="n">
        <v>300</v>
      </c>
      <c r="D108" s="91">
        <f>SUM(B108*C108)</f>
        <v/>
      </c>
      <c r="E108" s="57" t="n"/>
      <c r="F108" s="59" t="n"/>
      <c r="G108" s="92" t="n"/>
      <c r="H108" s="41" t="n"/>
      <c r="I108" s="41" t="n"/>
    </row>
    <row r="109" hidden="1" outlineLevel="1" s="106">
      <c r="A109" s="101" t="inlineStr">
        <is>
          <t>Desempenador sobrepor - par</t>
        </is>
      </c>
      <c r="B109" s="101" t="n"/>
      <c r="C109" s="94" t="n">
        <v>100</v>
      </c>
      <c r="D109" s="91">
        <f>SUM(B109*C109)</f>
        <v/>
      </c>
      <c r="E109" s="57" t="n"/>
      <c r="F109" s="59" t="n"/>
      <c r="G109" s="92" t="n"/>
      <c r="H109" s="41" t="n"/>
      <c r="I109" s="41" t="n"/>
    </row>
    <row r="110" hidden="1" outlineLevel="1" s="106">
      <c r="A110" s="101" t="inlineStr">
        <is>
          <t>Desempenador embutido - par</t>
        </is>
      </c>
      <c r="B110" s="101" t="n">
        <v>4</v>
      </c>
      <c r="C110" s="94" t="n">
        <v>150</v>
      </c>
      <c r="D110" s="91">
        <f>SUM(B110*C110)</f>
        <v/>
      </c>
      <c r="E110" s="57" t="n"/>
      <c r="F110" s="59" t="n"/>
      <c r="G110" s="92" t="n"/>
      <c r="H110" s="41" t="n"/>
      <c r="I110" s="41" t="n"/>
    </row>
    <row r="111" collapsed="1" s="106">
      <c r="A111" s="69" t="inlineStr">
        <is>
          <t>Sistema portas rack e suspenso</t>
        </is>
      </c>
      <c r="D111" s="102">
        <f>SUM(D112:D120)</f>
        <v/>
      </c>
    </row>
    <row r="112" hidden="1" outlineLevel="1" s="106">
      <c r="A112" s="101" t="inlineStr">
        <is>
          <t>Ro21</t>
        </is>
      </c>
      <c r="B112" s="103" t="n"/>
      <c r="C112" s="88" t="n">
        <v>50</v>
      </c>
      <c r="D112" s="91">
        <f>SUM(B112*C112)</f>
        <v/>
      </c>
      <c r="E112" s="57" t="n"/>
      <c r="F112" s="59" t="n"/>
      <c r="G112" s="92" t="n"/>
      <c r="H112" s="41" t="n"/>
      <c r="I112" s="41" t="n"/>
    </row>
    <row r="113" hidden="1" outlineLevel="1" s="106">
      <c r="A113" s="101" t="inlineStr">
        <is>
          <t>Multi 2 portas</t>
        </is>
      </c>
      <c r="B113" s="103" t="n">
        <v>1</v>
      </c>
      <c r="C113" s="88" t="n">
        <v>300</v>
      </c>
      <c r="D113" s="91">
        <f>SUM(B113*C113)</f>
        <v/>
      </c>
      <c r="E113" s="57" t="n"/>
      <c r="F113" s="59" t="n"/>
      <c r="G113" s="92" t="n"/>
      <c r="H113" s="41" t="n"/>
      <c r="I113" s="41" t="n"/>
    </row>
    <row r="114" hidden="1" outlineLevel="1" s="106">
      <c r="A114" s="101" t="inlineStr">
        <is>
          <t>Multi 3 portas</t>
        </is>
      </c>
      <c r="B114" s="103" t="n">
        <v>1</v>
      </c>
      <c r="C114" s="88" t="n">
        <v>380</v>
      </c>
      <c r="D114" s="91">
        <f>SUM(B114*C114)</f>
        <v/>
      </c>
      <c r="E114" s="57" t="n"/>
      <c r="F114" s="59" t="n"/>
      <c r="G114" s="92" t="n"/>
      <c r="H114" s="41" t="n"/>
      <c r="I114" s="41" t="n"/>
    </row>
    <row r="115" hidden="1" outlineLevel="1" s="106">
      <c r="A115" s="101" t="inlineStr">
        <is>
          <t>Linea 1 porta</t>
        </is>
      </c>
      <c r="B115" s="103" t="n"/>
      <c r="C115" s="88" t="n">
        <v>200</v>
      </c>
      <c r="D115" s="91">
        <f>SUM(B115*C115)</f>
        <v/>
      </c>
      <c r="E115" s="57" t="n"/>
      <c r="F115" s="59" t="n"/>
      <c r="G115" s="92" t="n"/>
      <c r="H115" s="41" t="n"/>
      <c r="I115" s="41" t="n"/>
    </row>
    <row r="116" hidden="1" outlineLevel="1" s="106">
      <c r="A116" s="101" t="inlineStr">
        <is>
          <t>Linea 2 portas</t>
        </is>
      </c>
      <c r="B116" s="103" t="n"/>
      <c r="C116" s="88" t="n">
        <v>500</v>
      </c>
      <c r="D116" s="91">
        <f>SUM(B116*C116)</f>
        <v/>
      </c>
      <c r="E116" s="57" t="n"/>
      <c r="F116" s="59" t="n"/>
      <c r="G116" s="92" t="n"/>
      <c r="H116" s="41" t="n"/>
      <c r="I116" s="41" t="n"/>
    </row>
    <row r="117" hidden="1" outlineLevel="1" s="106">
      <c r="A117" s="101" t="inlineStr">
        <is>
          <t>Trilho ro21 3mt</t>
        </is>
      </c>
      <c r="B117" s="103" t="n"/>
      <c r="C117" s="88" t="n">
        <v>40</v>
      </c>
      <c r="D117" s="91">
        <f>SUM(B117*C117)</f>
        <v/>
      </c>
      <c r="E117" s="57" t="n"/>
      <c r="F117" s="59" t="n"/>
      <c r="G117" s="92" t="n"/>
      <c r="H117" s="41" t="n"/>
      <c r="I117" s="41" t="n"/>
    </row>
    <row r="118" hidden="1" outlineLevel="1" s="106">
      <c r="A118" s="101" t="inlineStr">
        <is>
          <t>Trilho Multi 3mt</t>
        </is>
      </c>
      <c r="B118" s="103" t="n">
        <v>2</v>
      </c>
      <c r="C118" s="88" t="n">
        <v>200</v>
      </c>
      <c r="D118" s="91">
        <f>SUM(B118*C118)</f>
        <v/>
      </c>
      <c r="E118" s="57" t="n"/>
      <c r="F118" s="59" t="n"/>
      <c r="G118" s="92" t="n"/>
      <c r="H118" s="41" t="n"/>
      <c r="I118" s="41" t="n"/>
    </row>
    <row r="119" hidden="1" outlineLevel="1" s="106">
      <c r="A119" s="101" t="inlineStr">
        <is>
          <t>Trilho Linea 3mt - 2 portas</t>
        </is>
      </c>
      <c r="B119" s="103" t="n"/>
      <c r="C119" s="88" t="n">
        <v>150</v>
      </c>
      <c r="D119" s="91">
        <f>SUM(B119*C119)</f>
        <v/>
      </c>
      <c r="E119" s="57" t="n"/>
      <c r="F119" s="59" t="n"/>
      <c r="G119" s="92" t="n"/>
      <c r="H119" s="41" t="n"/>
      <c r="I119" s="41" t="n"/>
    </row>
    <row r="120" hidden="1" outlineLevel="1" s="106">
      <c r="A120" s="101" t="inlineStr">
        <is>
          <t>Trilho linea 3mt - 1 porta</t>
        </is>
      </c>
      <c r="B120" s="103" t="n"/>
      <c r="C120" s="88" t="n">
        <v>90</v>
      </c>
      <c r="D120" s="91">
        <f>SUM(B120*C120)</f>
        <v/>
      </c>
      <c r="E120" s="57" t="n"/>
      <c r="F120" s="59" t="n"/>
      <c r="G120" s="92" t="n"/>
      <c r="H120" s="41" t="n"/>
      <c r="I120" s="41" t="n"/>
    </row>
    <row r="121" collapsed="1" s="106">
      <c r="A121" s="101" t="inlineStr">
        <is>
          <t>Articuladores</t>
        </is>
      </c>
      <c r="B121" s="103" t="n"/>
      <c r="C121" s="88" t="n"/>
      <c r="D121" s="91">
        <f>SUM(D122:D125)</f>
        <v/>
      </c>
      <c r="E121" s="57" t="n"/>
      <c r="F121" s="59" t="n"/>
      <c r="G121" s="92" t="n"/>
      <c r="H121" s="41" t="n"/>
      <c r="I121" s="41" t="n"/>
    </row>
    <row r="122" hidden="1" outlineLevel="1" s="106">
      <c r="A122" s="96" t="inlineStr">
        <is>
          <t>Pistão Normal</t>
        </is>
      </c>
      <c r="B122" s="96" t="n"/>
      <c r="C122" s="97" t="n">
        <v>20</v>
      </c>
      <c r="D122" s="91">
        <f>SUM(B122*C122)</f>
        <v/>
      </c>
      <c r="E122" s="57" t="n"/>
      <c r="F122" s="59" t="n"/>
      <c r="G122" s="92" t="n"/>
      <c r="H122" s="41" t="n"/>
      <c r="I122" s="41" t="n"/>
    </row>
    <row r="123" hidden="1" outlineLevel="1" s="106">
      <c r="A123" s="99" t="inlineStr">
        <is>
          <t>Pistão com amortecimento</t>
        </is>
      </c>
      <c r="B123" s="99" t="n"/>
      <c r="C123" s="100" t="n">
        <v>30</v>
      </c>
      <c r="D123" s="91">
        <f>SUM(B123*C123)</f>
        <v/>
      </c>
      <c r="E123" s="57" t="n"/>
      <c r="F123" s="59" t="n"/>
      <c r="G123" s="92" t="n"/>
      <c r="H123" s="41" t="n"/>
      <c r="I123" s="41" t="n"/>
    </row>
    <row r="124" hidden="1" outlineLevel="1" s="106">
      <c r="A124" s="96" t="inlineStr">
        <is>
          <t>Articulador Blum HK-xs</t>
        </is>
      </c>
      <c r="B124" s="96" t="n"/>
      <c r="C124" s="97" t="n">
        <v>180</v>
      </c>
      <c r="D124" s="91">
        <f>SUM(B124*C124)</f>
        <v/>
      </c>
      <c r="E124" s="57" t="n"/>
      <c r="F124" s="59" t="n"/>
      <c r="G124" s="92" t="n"/>
      <c r="H124" s="41" t="n"/>
      <c r="I124" s="41" t="n"/>
    </row>
    <row r="125" hidden="1" outlineLevel="1" s="106">
      <c r="A125" s="99" t="inlineStr">
        <is>
          <t>Articulador Aventos (e outros)</t>
        </is>
      </c>
      <c r="B125" s="99" t="n"/>
      <c r="C125" s="100" t="n">
        <v>600</v>
      </c>
      <c r="D125" s="91">
        <f>SUM(B125*C125)</f>
        <v/>
      </c>
      <c r="E125" s="57" t="n"/>
      <c r="F125" s="59" t="n"/>
      <c r="G125" s="92" t="n"/>
      <c r="H125" s="41" t="n"/>
      <c r="I125" s="41" t="n"/>
    </row>
    <row r="126" collapsed="1" s="106">
      <c r="A126" s="57" t="inlineStr">
        <is>
          <t>Sistema porta de passagem</t>
        </is>
      </c>
      <c r="B126" s="103" t="n"/>
      <c r="C126" s="88" t="n"/>
      <c r="D126" s="91">
        <f>SUM(D127:D136)</f>
        <v/>
      </c>
      <c r="E126" s="57" t="n"/>
      <c r="F126" s="59" t="n"/>
      <c r="G126" s="92" t="n"/>
      <c r="H126" s="41" t="n"/>
      <c r="I126" s="41" t="n"/>
    </row>
    <row r="127" hidden="1" outlineLevel="1" s="106">
      <c r="A127" s="57" t="inlineStr">
        <is>
          <t>Pivo 80k</t>
        </is>
      </c>
      <c r="B127" s="103" t="n"/>
      <c r="C127" s="88" t="n">
        <v>60</v>
      </c>
      <c r="D127" s="91">
        <f>SUM(B127*C127)</f>
        <v/>
      </c>
      <c r="E127" s="57" t="n"/>
      <c r="F127" s="59" t="n"/>
      <c r="G127" s="92" t="n"/>
      <c r="H127" s="41" t="n"/>
      <c r="I127" s="41" t="n"/>
    </row>
    <row r="128" hidden="1" outlineLevel="1" s="106">
      <c r="A128" s="57" t="inlineStr">
        <is>
          <t>Pivo 200k</t>
        </is>
      </c>
      <c r="B128" s="103" t="n"/>
      <c r="C128" s="88" t="n">
        <v>180</v>
      </c>
      <c r="D128" s="91">
        <f>SUM(B128*C128)</f>
        <v/>
      </c>
      <c r="E128" s="57" t="n"/>
      <c r="F128" s="59" t="n"/>
      <c r="G128" s="92" t="n"/>
      <c r="H128" s="41" t="n"/>
      <c r="I128" s="41" t="n"/>
    </row>
    <row r="129" hidden="1" outlineLevel="1" s="106">
      <c r="A129" s="57" t="inlineStr">
        <is>
          <t>Pivo no marco</t>
        </is>
      </c>
      <c r="B129" s="103" t="n"/>
      <c r="C129" s="88" t="n">
        <v>150</v>
      </c>
      <c r="D129" s="91">
        <f>SUM(B129*C129)</f>
        <v/>
      </c>
      <c r="E129" s="57" t="n"/>
      <c r="F129" s="59" t="n"/>
      <c r="G129" s="92" t="n"/>
      <c r="H129" s="41" t="n"/>
      <c r="I129" s="41" t="n"/>
    </row>
    <row r="130" hidden="1" outlineLevel="1" s="106">
      <c r="A130" s="57" t="inlineStr">
        <is>
          <t xml:space="preserve">Sistema RO82 </t>
        </is>
      </c>
      <c r="B130" s="103" t="n"/>
      <c r="C130" s="88" t="n">
        <v>200</v>
      </c>
      <c r="D130" s="91">
        <f>SUM(B130*C130)</f>
        <v/>
      </c>
      <c r="E130" s="57" t="n"/>
      <c r="F130" s="59" t="n"/>
      <c r="G130" s="92" t="n"/>
      <c r="H130" s="41" t="n"/>
      <c r="I130" s="41" t="n"/>
    </row>
    <row r="131" hidden="1" outlineLevel="1" s="106">
      <c r="A131" s="57" t="inlineStr">
        <is>
          <t>Sistema RO82 top</t>
        </is>
      </c>
      <c r="B131" s="103" t="n"/>
      <c r="C131" s="88" t="n">
        <v>400</v>
      </c>
      <c r="D131" s="91">
        <f>SUM(B131*C131)</f>
        <v/>
      </c>
      <c r="E131" s="57" t="n"/>
      <c r="F131" s="59" t="n"/>
      <c r="G131" s="92" t="n"/>
      <c r="H131" s="41" t="n"/>
      <c r="I131" s="41" t="n"/>
    </row>
    <row r="132" hidden="1" outlineLevel="1" s="106">
      <c r="A132" s="57" t="inlineStr">
        <is>
          <t>Trilho Ro82 - 2mt</t>
        </is>
      </c>
      <c r="B132" s="103" t="n"/>
      <c r="C132" s="88" t="n">
        <v>200</v>
      </c>
      <c r="D132" s="91">
        <f>SUM(B132*C132)</f>
        <v/>
      </c>
      <c r="E132" s="57" t="n"/>
      <c r="F132" s="59" t="n"/>
      <c r="G132" s="92" t="n"/>
      <c r="H132" s="41" t="n"/>
      <c r="I132" s="41" t="n"/>
    </row>
    <row r="133" hidden="1" outlineLevel="1" s="106">
      <c r="A133" s="57" t="inlineStr">
        <is>
          <t>Trilho Ro82 - 3mt</t>
        </is>
      </c>
      <c r="B133" s="103" t="n"/>
      <c r="C133" s="88" t="n">
        <v>380</v>
      </c>
      <c r="D133" s="91">
        <f>SUM(B133*C133)</f>
        <v/>
      </c>
      <c r="E133" s="57" t="n"/>
      <c r="F133" s="59" t="n"/>
      <c r="G133" s="92" t="n"/>
      <c r="H133" s="41" t="n"/>
      <c r="I133" s="41" t="n"/>
    </row>
    <row r="134" hidden="1" outlineLevel="1" s="106">
      <c r="A134" s="57" t="inlineStr">
        <is>
          <t>Sistema Volare</t>
        </is>
      </c>
      <c r="B134" s="103" t="n"/>
      <c r="C134" s="88" t="n">
        <v>150</v>
      </c>
      <c r="D134" s="91">
        <f>SUM(B134*C134)</f>
        <v/>
      </c>
      <c r="E134" s="57" t="n"/>
      <c r="F134" s="59" t="n"/>
      <c r="G134" s="92" t="n"/>
      <c r="H134" s="41" t="n"/>
      <c r="I134" s="41" t="n"/>
    </row>
    <row r="135" hidden="1" outlineLevel="1" s="106">
      <c r="A135" s="57" t="inlineStr">
        <is>
          <t>Dobradiças ocultas basic</t>
        </is>
      </c>
      <c r="B135" s="103" t="n"/>
      <c r="C135" s="88" t="n">
        <v>120</v>
      </c>
      <c r="D135" s="91">
        <f>SUM(B135*C135)</f>
        <v/>
      </c>
      <c r="E135" s="57" t="n"/>
      <c r="F135" s="59" t="n"/>
      <c r="G135" s="92" t="n"/>
      <c r="H135" s="41" t="n"/>
      <c r="I135" s="41" t="n"/>
    </row>
    <row r="136" hidden="1" outlineLevel="1" s="106">
      <c r="A136" s="57" t="inlineStr">
        <is>
          <t>Dobradiças ocultas hafell</t>
        </is>
      </c>
      <c r="B136" s="103" t="n"/>
      <c r="C136" s="88" t="n">
        <v>250</v>
      </c>
      <c r="D136" s="91">
        <f>SUM(B136*C136)</f>
        <v/>
      </c>
      <c r="E136" s="57" t="n"/>
      <c r="F136" s="59" t="n"/>
      <c r="G136" s="92" t="n"/>
      <c r="H136" s="41" t="n"/>
      <c r="I136" s="41" t="n"/>
    </row>
    <row r="137" collapsed="1" s="106">
      <c r="A137" s="57" t="inlineStr">
        <is>
          <t>Puxadores</t>
        </is>
      </c>
      <c r="B137" s="103" t="n"/>
      <c r="C137" s="88" t="n"/>
      <c r="D137" s="91">
        <f>SUM(D138:D148)</f>
        <v/>
      </c>
      <c r="E137" s="57" t="n"/>
      <c r="F137" s="59" t="n"/>
      <c r="G137" s="92" t="n"/>
      <c r="H137" s="41" t="n"/>
      <c r="I137" s="41" t="n"/>
    </row>
    <row r="138" hidden="1" outlineLevel="1" s="106">
      <c r="A138" s="57" t="inlineStr">
        <is>
          <t>SP7000 anodizado</t>
        </is>
      </c>
      <c r="B138" s="103" t="n">
        <v>6</v>
      </c>
      <c r="C138" s="88" t="n">
        <v>70</v>
      </c>
      <c r="D138" s="91">
        <f>SUM(B138*C138)</f>
        <v/>
      </c>
      <c r="E138" s="57" t="n"/>
      <c r="F138" s="59" t="n"/>
      <c r="G138" s="92" t="n"/>
      <c r="H138" s="41" t="n"/>
      <c r="I138" s="41" t="n"/>
    </row>
    <row r="139" hidden="1" outlineLevel="1" s="106">
      <c r="A139" s="57" t="inlineStr">
        <is>
          <t>Sp7000 bronze</t>
        </is>
      </c>
      <c r="B139" s="103" t="n"/>
      <c r="C139" s="88" t="n">
        <v>90</v>
      </c>
      <c r="D139" s="91">
        <f>SUM(B139*C139)</f>
        <v/>
      </c>
      <c r="E139" s="57" t="n"/>
      <c r="F139" s="59" t="n"/>
      <c r="G139" s="92" t="n"/>
      <c r="H139" s="41" t="n"/>
      <c r="I139" s="41" t="n"/>
    </row>
    <row r="140" hidden="1" outlineLevel="1" s="106">
      <c r="A140" s="96" t="inlineStr">
        <is>
          <t>Perfil cava Rometal RM195 - 3mt</t>
        </is>
      </c>
      <c r="B140" s="96" t="n"/>
      <c r="C140" s="97" t="n">
        <v>250</v>
      </c>
      <c r="D140" s="91">
        <f>SUM(B140*C140)</f>
        <v/>
      </c>
      <c r="E140" s="57" t="n"/>
      <c r="F140" s="59" t="n"/>
      <c r="G140" s="92" t="n"/>
      <c r="H140" s="41" t="n"/>
      <c r="I140" s="41" t="n"/>
    </row>
    <row r="141" hidden="1" outlineLevel="1" s="106">
      <c r="A141" s="99" t="inlineStr">
        <is>
          <t>Perfil cava RM213 - 3mt</t>
        </is>
      </c>
      <c r="B141" s="99" t="n"/>
      <c r="C141" s="100" t="n">
        <v>100</v>
      </c>
      <c r="D141" s="91">
        <f>SUM(B141*C141)</f>
        <v/>
      </c>
      <c r="E141" s="57" t="n"/>
      <c r="F141" s="59" t="n"/>
      <c r="G141" s="92" t="n"/>
      <c r="H141" s="41" t="n"/>
      <c r="I141" s="41" t="n"/>
    </row>
    <row r="142" hidden="1" outlineLevel="1" s="106">
      <c r="A142" s="96" t="inlineStr">
        <is>
          <t>Par tampinhas acab. RM213 - par</t>
        </is>
      </c>
      <c r="B142" s="96" t="n"/>
      <c r="C142" s="97" t="n">
        <v>4</v>
      </c>
      <c r="D142" s="91">
        <f>SUM(B142*C142)</f>
        <v/>
      </c>
      <c r="E142" s="57" t="n"/>
      <c r="F142" s="59" t="n"/>
      <c r="G142" s="92" t="n"/>
      <c r="H142" s="41" t="n"/>
      <c r="I142" s="41" t="n"/>
    </row>
    <row r="143" hidden="1" outlineLevel="1" s="106">
      <c r="A143" s="99" t="inlineStr">
        <is>
          <t>Cava 35° usinada no mdf - mt linear</t>
        </is>
      </c>
      <c r="B143" s="99" t="n"/>
      <c r="C143" s="100" t="n">
        <v>50</v>
      </c>
      <c r="D143" s="91">
        <f>SUM(B143*C143)</f>
        <v/>
      </c>
      <c r="E143" s="57" t="n"/>
      <c r="F143" s="59" t="n"/>
      <c r="G143" s="92" t="n"/>
      <c r="H143" s="41" t="n"/>
      <c r="I143" s="41" t="n"/>
    </row>
    <row r="144" hidden="1" outlineLevel="1" s="106">
      <c r="A144" s="101" t="inlineStr">
        <is>
          <t>Slim luna rometal</t>
        </is>
      </c>
      <c r="B144" s="103" t="n"/>
      <c r="C144" s="88" t="n">
        <v>20</v>
      </c>
      <c r="D144" s="91">
        <f>SUM(B144*C144)</f>
        <v/>
      </c>
      <c r="E144" s="57" t="n"/>
      <c r="F144" s="59" t="n"/>
      <c r="G144" s="92" t="n"/>
      <c r="H144" s="41" t="n"/>
      <c r="I144" s="41" t="n"/>
    </row>
    <row r="145" hidden="1" outlineLevel="1" s="106">
      <c r="A145" s="69" t="inlineStr">
        <is>
          <t>Concha shell  Zen design</t>
        </is>
      </c>
      <c r="C145" s="102" t="n">
        <v>80</v>
      </c>
      <c r="D145" s="91">
        <f>SUM(B145*C145)</f>
        <v/>
      </c>
    </row>
    <row r="146" hidden="1" outlineLevel="1" s="106">
      <c r="A146" s="101" t="inlineStr">
        <is>
          <t>Ponto Zen design</t>
        </is>
      </c>
      <c r="B146" s="103" t="n"/>
      <c r="C146" s="88" t="n">
        <v>70</v>
      </c>
      <c r="D146" s="91">
        <f>SUM(B146*C146)</f>
        <v/>
      </c>
      <c r="E146" s="57" t="n"/>
      <c r="F146" s="59" t="n"/>
      <c r="G146" s="92" t="n"/>
      <c r="H146" s="41" t="n"/>
      <c r="I146" s="41" t="n"/>
    </row>
    <row r="147" hidden="1" outlineLevel="1" s="106">
      <c r="A147" s="101" t="inlineStr">
        <is>
          <t>Especial 1 - Puxador Traço
Metal Couro Enlevo</t>
        </is>
      </c>
      <c r="B147" s="103" t="n"/>
      <c r="C147" s="88" t="n">
        <v>60</v>
      </c>
      <c r="D147" s="91">
        <f>SUM(B147*C147)</f>
        <v/>
      </c>
      <c r="E147" s="57" t="n"/>
      <c r="F147" s="59" t="n"/>
      <c r="G147" s="92" t="n"/>
      <c r="H147" s="41" t="n"/>
      <c r="I147" s="41" t="n"/>
    </row>
    <row r="148" hidden="1" outlineLevel="1" s="106">
      <c r="A148" s="101" t="inlineStr">
        <is>
          <t>Especial 2</t>
        </is>
      </c>
      <c r="B148" s="103" t="n"/>
      <c r="C148" s="88" t="n"/>
      <c r="D148" s="91">
        <f>SUM(B148*C148)</f>
        <v/>
      </c>
      <c r="E148" s="57" t="n"/>
      <c r="F148" s="59" t="n"/>
      <c r="G148" s="92" t="n"/>
      <c r="H148" s="41" t="n"/>
      <c r="I148" s="41" t="n"/>
    </row>
    <row r="149" hidden="1" outlineLevel="1" s="106">
      <c r="A149" s="101" t="n"/>
      <c r="B149" s="103" t="n"/>
      <c r="C149" s="88" t="n"/>
      <c r="D149" s="91" t="n"/>
      <c r="E149" s="57" t="n"/>
      <c r="F149" s="59" t="n"/>
      <c r="G149" s="92" t="n"/>
      <c r="H149" s="41" t="n"/>
      <c r="I149" s="41" t="n"/>
    </row>
    <row r="150" collapsed="1" s="106">
      <c r="A150" s="57" t="inlineStr">
        <is>
          <t>Suportes</t>
        </is>
      </c>
      <c r="B150" s="103" t="n"/>
      <c r="C150" s="88" t="n"/>
      <c r="D150" s="91">
        <f>SUM(D151:D154)</f>
        <v/>
      </c>
      <c r="E150" s="57" t="n"/>
      <c r="F150" s="59" t="n"/>
      <c r="G150" s="92" t="n"/>
      <c r="H150" s="41" t="n"/>
      <c r="I150" s="41" t="n"/>
    </row>
    <row r="151" hidden="1" outlineLevel="1" s="106">
      <c r="A151" s="57" t="inlineStr">
        <is>
          <t>Suporte espada</t>
        </is>
      </c>
      <c r="B151" s="103" t="n"/>
      <c r="C151" s="88" t="n">
        <v>25</v>
      </c>
      <c r="D151" s="91">
        <f>SUM(B151*C151)</f>
        <v/>
      </c>
      <c r="E151" s="57" t="n"/>
      <c r="F151" s="59" t="n"/>
      <c r="G151" s="92" t="n"/>
      <c r="H151" s="41" t="n"/>
      <c r="I151" s="41" t="n"/>
    </row>
    <row r="152" hidden="1" outlineLevel="1" s="106">
      <c r="A152" s="57" t="inlineStr">
        <is>
          <t>suporte oculto</t>
        </is>
      </c>
      <c r="B152" s="103" t="n"/>
      <c r="C152" s="88" t="n">
        <v>20</v>
      </c>
      <c r="D152" s="91">
        <f>SUM(B152*C152)</f>
        <v/>
      </c>
      <c r="E152" s="57" t="n"/>
      <c r="F152" s="59" t="n"/>
      <c r="G152" s="92" t="n"/>
      <c r="H152" s="41" t="n"/>
      <c r="I152" s="41" t="n"/>
    </row>
    <row r="153" hidden="1" outlineLevel="1" s="106">
      <c r="A153" s="57" t="inlineStr">
        <is>
          <t>suporte em serralheria prat. simples</t>
        </is>
      </c>
      <c r="B153" s="103" t="n"/>
      <c r="C153" s="88" t="n">
        <v>25</v>
      </c>
      <c r="D153" s="91">
        <f>SUM(B153*C153)</f>
        <v/>
      </c>
      <c r="E153" s="57" t="n"/>
      <c r="F153" s="59" t="n"/>
      <c r="G153" s="92" t="n"/>
      <c r="H153" s="41" t="n"/>
      <c r="I153" s="41" t="n"/>
    </row>
    <row r="154" hidden="1" outlineLevel="1" s="106">
      <c r="A154" s="57" t="inlineStr">
        <is>
          <t xml:space="preserve">Suporte em serralheria bancada </t>
        </is>
      </c>
      <c r="B154" s="103" t="n"/>
      <c r="C154" s="88" t="n">
        <v>50</v>
      </c>
      <c r="D154" s="91">
        <f>SUM(B154*C154)</f>
        <v/>
      </c>
      <c r="E154" s="57" t="n"/>
      <c r="F154" s="59" t="n"/>
      <c r="G154" s="92" t="n"/>
      <c r="H154" s="41" t="n"/>
      <c r="I154" s="41" t="n"/>
    </row>
    <row r="155" collapsed="1" s="106">
      <c r="A155" s="57" t="inlineStr">
        <is>
          <t xml:space="preserve">Parafusos e dispositivos e mont. </t>
        </is>
      </c>
      <c r="B155" s="103" t="n"/>
      <c r="C155" s="88" t="n"/>
      <c r="D155" s="104">
        <f>SUM(D156:D164)</f>
        <v/>
      </c>
      <c r="E155" s="57" t="n"/>
      <c r="F155" s="59" t="n"/>
      <c r="G155" s="92" t="n"/>
      <c r="H155" s="41" t="n"/>
      <c r="I155" s="41" t="n"/>
    </row>
    <row r="156" hidden="1" outlineLevel="1" s="106">
      <c r="A156" s="69" t="inlineStr">
        <is>
          <t>Parafusos gerais - especulacao</t>
        </is>
      </c>
      <c r="B156" s="0" t="n">
        <v>1</v>
      </c>
      <c r="C156" s="102" t="n">
        <v>25</v>
      </c>
      <c r="D156" s="91">
        <f>SUM(B156*C156)</f>
        <v/>
      </c>
    </row>
    <row r="157" hidden="1" outlineLevel="1" s="106">
      <c r="A157" s="57" t="inlineStr">
        <is>
          <t>Conj. parafuso e bucha</t>
        </is>
      </c>
      <c r="B157" s="103" t="n"/>
      <c r="C157" s="103" t="n">
        <v>1.8</v>
      </c>
      <c r="D157" s="91">
        <f>SUM(B157*C157)</f>
        <v/>
      </c>
      <c r="E157" s="57" t="n"/>
      <c r="F157" s="57" t="n"/>
      <c r="G157" s="103" t="n"/>
      <c r="H157" s="88" t="n"/>
      <c r="I157" s="88" t="n"/>
    </row>
    <row r="158" hidden="1" outlineLevel="1" s="106">
      <c r="A158" s="57" t="inlineStr">
        <is>
          <t>Sup. prateleiras - cj4 unid. 1 pratel.</t>
        </is>
      </c>
      <c r="B158" s="103" t="n">
        <v>8</v>
      </c>
      <c r="C158" s="88" t="n">
        <v>3</v>
      </c>
      <c r="D158" s="91">
        <f>SUM(B158*C158)</f>
        <v/>
      </c>
      <c r="E158" s="57" t="n"/>
      <c r="F158" s="57" t="n"/>
      <c r="G158" s="103" t="n"/>
      <c r="H158" s="88" t="n"/>
      <c r="I158" s="88" t="n"/>
    </row>
    <row r="159" hidden="1" outlineLevel="1" s="106">
      <c r="A159" s="57" t="inlineStr">
        <is>
          <t>Sist. montagem (mini fix etc)</t>
        </is>
      </c>
      <c r="B159" s="103" t="n"/>
      <c r="C159" s="88" t="n"/>
      <c r="D159" s="91">
        <f>SUM(B159*C159)</f>
        <v/>
      </c>
      <c r="E159" s="57" t="n"/>
      <c r="F159" s="57" t="n"/>
      <c r="G159" s="103" t="n"/>
      <c r="H159" s="88" t="n"/>
      <c r="I159" s="88" t="n"/>
    </row>
    <row r="160" hidden="1" outlineLevel="1" s="106">
      <c r="A160" s="57" t="inlineStr">
        <is>
          <t>cola inst. kit Teck bond</t>
        </is>
      </c>
      <c r="B160" s="103" t="n"/>
      <c r="C160" s="88" t="n">
        <v>35</v>
      </c>
      <c r="D160" s="91">
        <f>SUM(B160*C160)</f>
        <v/>
      </c>
      <c r="E160" s="57" t="n"/>
      <c r="F160" s="57" t="n"/>
      <c r="G160" s="103" t="n"/>
      <c r="H160" s="88" t="n"/>
      <c r="I160" s="88" t="n"/>
    </row>
    <row r="161" hidden="1" outlineLevel="1" s="106">
      <c r="A161" s="57" t="inlineStr">
        <is>
          <t>PUR / PU</t>
        </is>
      </c>
      <c r="B161" s="103" t="n"/>
      <c r="C161" s="88" t="n">
        <v>50</v>
      </c>
      <c r="D161" s="91">
        <f>SUM(B161*C161)</f>
        <v/>
      </c>
      <c r="E161" s="57" t="n"/>
      <c r="F161" s="57" t="n"/>
      <c r="G161" s="103" t="n"/>
      <c r="H161" s="88" t="n"/>
      <c r="I161" s="88" t="n"/>
    </row>
    <row r="162" hidden="1" outlineLevel="1" s="106">
      <c r="A162" s="57" t="inlineStr">
        <is>
          <t>Silicone acabamento</t>
        </is>
      </c>
      <c r="B162" s="103" t="n"/>
      <c r="C162" s="88" t="n">
        <v>30</v>
      </c>
      <c r="D162" s="91">
        <f>SUM(B162*C162)</f>
        <v/>
      </c>
      <c r="E162" s="57" t="n"/>
      <c r="F162" s="57" t="n"/>
      <c r="G162" s="103" t="n"/>
      <c r="H162" s="88" t="n"/>
      <c r="I162" s="88" t="n"/>
    </row>
    <row r="163" hidden="1" outlineLevel="1" s="106">
      <c r="A163" s="57" t="inlineStr">
        <is>
          <t>Outros 1 - tabua de passar</t>
        </is>
      </c>
      <c r="B163" s="103" t="n">
        <v>1</v>
      </c>
      <c r="C163" s="88" t="n">
        <v>500</v>
      </c>
      <c r="D163" s="91">
        <f>SUM(B163*C163)</f>
        <v/>
      </c>
      <c r="E163" s="57" t="n"/>
      <c r="F163" s="57" t="n"/>
      <c r="G163" s="103" t="n"/>
      <c r="H163" s="88" t="n"/>
      <c r="I163" s="88" t="n"/>
    </row>
    <row r="164" hidden="1" outlineLevel="1" s="106">
      <c r="A164" s="57" t="inlineStr">
        <is>
          <t>Outros 2</t>
        </is>
      </c>
      <c r="B164" s="103" t="n"/>
      <c r="C164" s="88" t="n"/>
      <c r="D164" s="91">
        <f>SUM(B164*C164)</f>
        <v/>
      </c>
      <c r="E164" s="57" t="n"/>
      <c r="F164" s="57" t="n"/>
      <c r="G164" s="103" t="n"/>
      <c r="H164" s="88" t="n"/>
      <c r="I164" s="88" t="n"/>
    </row>
    <row r="165" collapsed="1" s="106">
      <c r="A165" s="57" t="inlineStr">
        <is>
          <t>Iluminacao</t>
        </is>
      </c>
      <c r="B165" s="103" t="n"/>
      <c r="C165" s="88" t="n"/>
      <c r="D165" s="104">
        <f>SUM(D166:D169)</f>
        <v/>
      </c>
      <c r="E165" s="57" t="n"/>
      <c r="F165" s="57" t="n"/>
      <c r="G165" s="103" t="n"/>
      <c r="H165" s="88" t="n"/>
      <c r="I165" s="88" t="n"/>
    </row>
    <row r="166" hidden="1" outlineLevel="1" s="106">
      <c r="A166" s="57" t="inlineStr">
        <is>
          <t>Led - Fita + perfil (metro linear)</t>
        </is>
      </c>
      <c r="B166" s="103" t="n">
        <v>10</v>
      </c>
      <c r="C166" s="88" t="n">
        <v>150</v>
      </c>
      <c r="D166" s="91">
        <f>SUM(B166*C166)</f>
        <v/>
      </c>
      <c r="E166" s="57" t="n"/>
      <c r="F166" s="57" t="n"/>
      <c r="G166" s="103" t="n"/>
      <c r="H166" s="88" t="n"/>
      <c r="I166" s="88" t="n"/>
    </row>
    <row r="167" hidden="1" outlineLevel="1" s="106">
      <c r="A167" s="57" t="inlineStr">
        <is>
          <t>Sensor</t>
        </is>
      </c>
      <c r="B167" s="103" t="n">
        <v>1</v>
      </c>
      <c r="C167" s="88" t="n">
        <v>50</v>
      </c>
      <c r="D167" s="91">
        <f>SUM(B167*C167)</f>
        <v/>
      </c>
      <c r="E167" s="57" t="n"/>
      <c r="F167" s="57" t="n"/>
      <c r="G167" s="103" t="n"/>
      <c r="H167" s="88" t="n"/>
      <c r="I167" s="88" t="n"/>
    </row>
    <row r="168" hidden="1" outlineLevel="1" s="106">
      <c r="A168" s="57" t="inlineStr">
        <is>
          <t>Outros 1</t>
        </is>
      </c>
      <c r="B168" s="103" t="n"/>
      <c r="C168" s="88" t="n"/>
      <c r="D168" s="91">
        <f>SUM(B168*C168)</f>
        <v/>
      </c>
      <c r="E168" s="57" t="n"/>
      <c r="F168" s="57" t="n"/>
      <c r="G168" s="103" t="n"/>
      <c r="H168" s="88" t="n"/>
      <c r="I168" s="88" t="n"/>
    </row>
    <row r="169" hidden="1" outlineLevel="1" s="106">
      <c r="A169" s="57" t="inlineStr">
        <is>
          <t>Outros 2</t>
        </is>
      </c>
      <c r="B169" s="103" t="n"/>
      <c r="C169" s="88" t="n"/>
      <c r="D169" s="91" t="n"/>
      <c r="E169" s="57" t="n"/>
      <c r="F169" s="57" t="n"/>
      <c r="G169" s="103" t="n"/>
      <c r="H169" s="88" t="n"/>
      <c r="I169" s="88" t="n"/>
    </row>
    <row r="170" collapsed="1" s="106">
      <c r="A170" s="69" t="inlineStr">
        <is>
          <t>Vidros e espelhos - mt²</t>
        </is>
      </c>
      <c r="B170" s="103" t="n"/>
      <c r="C170" s="88" t="n"/>
      <c r="D170" s="104">
        <f>SUM(D171:D177)</f>
        <v/>
      </c>
      <c r="E170" s="57" t="n"/>
      <c r="F170" s="57" t="n"/>
      <c r="G170" s="103" t="n"/>
      <c r="H170" s="88" t="n"/>
      <c r="I170" s="88" t="n"/>
    </row>
    <row r="171" hidden="1" outlineLevel="1" s="106">
      <c r="A171" s="96" t="inlineStr">
        <is>
          <t>Vidro incolor temperado - 6mm</t>
        </is>
      </c>
      <c r="B171" s="96" t="n"/>
      <c r="C171" s="97" t="n">
        <v>200</v>
      </c>
      <c r="D171" s="91">
        <f>SUM(B171*C171)</f>
        <v/>
      </c>
      <c r="E171" s="57" t="n"/>
      <c r="F171" s="57" t="n"/>
      <c r="G171" s="103" t="n"/>
      <c r="H171" s="88" t="n"/>
      <c r="I171" s="88" t="n"/>
    </row>
    <row r="172" hidden="1" outlineLevel="1" s="106">
      <c r="A172" s="99" t="inlineStr">
        <is>
          <t>Vidro incolor temperado - 8mm</t>
        </is>
      </c>
      <c r="B172" s="99" t="n"/>
      <c r="C172" s="100" t="n">
        <v>250</v>
      </c>
      <c r="D172" s="91">
        <f>SUM(B172*C172)</f>
        <v/>
      </c>
      <c r="E172" s="57" t="n"/>
      <c r="F172" s="57" t="n"/>
      <c r="G172" s="103" t="n"/>
      <c r="H172" s="88" t="n"/>
      <c r="I172" s="88" t="n"/>
    </row>
    <row r="173" hidden="1" outlineLevel="1" s="106">
      <c r="A173" s="96" t="inlineStr">
        <is>
          <t>Vidro incolor temperado - 10mm</t>
        </is>
      </c>
      <c r="B173" s="96" t="n"/>
      <c r="C173" s="97" t="n">
        <v>300</v>
      </c>
      <c r="D173" s="91">
        <f>SUM(B173*C173)</f>
        <v/>
      </c>
      <c r="E173" s="57" t="n"/>
      <c r="F173" s="57" t="n"/>
      <c r="G173" s="103" t="n"/>
      <c r="H173" s="88" t="n"/>
      <c r="I173" s="88" t="n"/>
    </row>
    <row r="174" hidden="1" outlineLevel="1" s="106">
      <c r="A174" s="99" t="inlineStr">
        <is>
          <t>Espelho prata</t>
        </is>
      </c>
      <c r="B174" s="99" t="n"/>
      <c r="C174" s="100" t="n">
        <v>600</v>
      </c>
      <c r="D174" s="91">
        <f>SUM(B174*C174)</f>
        <v/>
      </c>
      <c r="E174" s="57" t="n"/>
      <c r="F174" s="57" t="n"/>
      <c r="G174" s="57" t="n"/>
      <c r="H174" s="64" t="n"/>
      <c r="I174" s="88" t="n"/>
    </row>
    <row r="175" hidden="1" outlineLevel="1" s="106">
      <c r="A175" s="96" t="inlineStr">
        <is>
          <t>Espelho bronze</t>
        </is>
      </c>
      <c r="B175" s="96" t="n"/>
      <c r="C175" s="97" t="n">
        <v>900</v>
      </c>
      <c r="D175" s="91">
        <f>SUM(B175*C175)</f>
        <v/>
      </c>
      <c r="E175" s="57" t="n"/>
      <c r="F175" s="57" t="n"/>
      <c r="G175" s="57" t="n"/>
      <c r="H175" s="64" t="n"/>
      <c r="I175" s="88" t="n"/>
    </row>
    <row r="176" hidden="1" outlineLevel="1" s="106">
      <c r="A176" s="101" t="inlineStr">
        <is>
          <t>Vidro reflecta bronze temperado - 6mm</t>
        </is>
      </c>
      <c r="B176" s="57" t="n"/>
      <c r="C176" s="64" t="n"/>
      <c r="D176" s="91">
        <f>SUM(B176*C176)</f>
        <v/>
      </c>
      <c r="E176" s="57" t="n"/>
      <c r="F176" s="57" t="n"/>
      <c r="G176" s="57" t="n"/>
      <c r="H176" s="64" t="n"/>
      <c r="I176" s="88" t="n"/>
    </row>
    <row r="177" hidden="1" outlineLevel="1" s="106">
      <c r="A177" s="57" t="inlineStr">
        <is>
          <t>Vidro reflecta bronze temperado - 8mm</t>
        </is>
      </c>
      <c r="B177" s="57" t="n"/>
      <c r="C177" s="64" t="n"/>
      <c r="D177" s="91">
        <f>SUM(B177*C177)</f>
        <v/>
      </c>
      <c r="E177" s="57" t="n"/>
      <c r="F177" s="57" t="n"/>
      <c r="G177" s="57" t="n"/>
      <c r="H177" s="64" t="n"/>
      <c r="I177" s="88" t="n"/>
    </row>
    <row r="178" collapsed="1" s="106">
      <c r="A178" s="57" t="inlineStr">
        <is>
          <t>Limpeza / embalagem</t>
        </is>
      </c>
      <c r="B178" s="57" t="n"/>
      <c r="C178" s="64" t="n"/>
      <c r="D178" s="104">
        <f>SUM(D179:D183)</f>
        <v/>
      </c>
      <c r="E178" s="57" t="n"/>
      <c r="F178" s="57" t="n"/>
      <c r="G178" s="57" t="n"/>
      <c r="H178" s="64" t="n"/>
      <c r="I178" s="88" t="n"/>
    </row>
    <row r="179" hidden="1" outlineLevel="1" s="106">
      <c r="A179" s="57" t="inlineStr">
        <is>
          <t>Tinner (litro)</t>
        </is>
      </c>
      <c r="B179" s="57" t="n"/>
      <c r="C179" s="64" t="n">
        <v>12</v>
      </c>
      <c r="D179" s="91">
        <f>SUM(B179*C179)</f>
        <v/>
      </c>
      <c r="E179" s="57" t="n"/>
      <c r="F179" s="57" t="n"/>
      <c r="G179" s="57" t="n"/>
      <c r="H179" s="64" t="n"/>
      <c r="I179" s="88" t="n"/>
    </row>
    <row r="180" hidden="1" outlineLevel="1" s="106">
      <c r="A180" s="57" t="inlineStr">
        <is>
          <t>Estopa (pacote)</t>
        </is>
      </c>
      <c r="B180" s="57" t="n"/>
      <c r="C180" s="64" t="n">
        <v>10</v>
      </c>
      <c r="D180" s="91">
        <f>SUM(B180*C180)</f>
        <v/>
      </c>
      <c r="E180" s="57" t="n"/>
      <c r="F180" s="57" t="n"/>
      <c r="G180" s="57" t="n"/>
      <c r="H180" s="64" t="n"/>
      <c r="I180" s="88" t="n"/>
    </row>
    <row r="181" hidden="1" outlineLevel="1" s="106">
      <c r="A181" s="57" t="inlineStr">
        <is>
          <t>Strach</t>
        </is>
      </c>
      <c r="B181" s="57" t="n"/>
      <c r="C181" s="64" t="n">
        <v>4</v>
      </c>
      <c r="D181" s="91">
        <f>SUM(B181*C181)</f>
        <v/>
      </c>
      <c r="E181" s="57" t="n"/>
      <c r="F181" s="57" t="n"/>
      <c r="G181" s="57" t="n"/>
      <c r="H181" s="64" t="n"/>
      <c r="I181" s="88" t="n"/>
    </row>
    <row r="182" hidden="1" outlineLevel="1" s="106">
      <c r="A182" s="57" t="inlineStr">
        <is>
          <t>cantoneira</t>
        </is>
      </c>
      <c r="B182" s="57" t="n"/>
      <c r="C182" s="64" t="n">
        <v>0.5</v>
      </c>
      <c r="D182" s="91">
        <f>SUM(B182*C182)</f>
        <v/>
      </c>
      <c r="E182" s="57" t="n"/>
      <c r="F182" s="57" t="n"/>
    </row>
    <row r="183" hidden="1" outlineLevel="1" s="106">
      <c r="A183" s="57" t="inlineStr">
        <is>
          <t>Embalagem</t>
        </is>
      </c>
      <c r="B183" s="57" t="n"/>
      <c r="C183" s="64" t="n">
        <v>50</v>
      </c>
      <c r="D183" s="91">
        <f>SUM(B183*C183)</f>
        <v/>
      </c>
      <c r="E183" s="57" t="n"/>
      <c r="F183" s="57" t="n"/>
    </row>
    <row r="184" collapsed="1" s="106">
      <c r="A184" s="57" t="inlineStr">
        <is>
          <t>Especiais</t>
        </is>
      </c>
      <c r="B184" s="57" t="n"/>
      <c r="C184" s="64" t="n"/>
      <c r="D184" s="91">
        <f>SUM(D185:D186)</f>
        <v/>
      </c>
      <c r="E184" s="57" t="n"/>
      <c r="F184" s="57" t="n"/>
    </row>
    <row r="185" hidden="1" outlineLevel="1" s="106">
      <c r="A185" s="57" t="inlineStr">
        <is>
          <t>Logistica especifica</t>
        </is>
      </c>
      <c r="B185" s="57" t="n"/>
      <c r="C185" s="64" t="n"/>
      <c r="D185" s="91">
        <f>SUM(C185*B185)</f>
        <v/>
      </c>
      <c r="E185" s="57" t="n"/>
      <c r="F185" s="57" t="n"/>
    </row>
    <row r="186" hidden="1" outlineLevel="1" s="106">
      <c r="A186" s="69" t="inlineStr">
        <is>
          <t>Item especial</t>
        </is>
      </c>
      <c r="D186" s="91">
        <f>SUM(C186*B186)</f>
        <v/>
      </c>
    </row>
    <row r="187">
      <c r="D187" s="102" t="n"/>
    </row>
    <row r="188">
      <c r="D188" s="102" t="n"/>
    </row>
    <row r="189">
      <c r="A189" s="105" t="inlineStr">
        <is>
          <t>Ilha</t>
        </is>
      </c>
    </row>
    <row r="190">
      <c r="A190" s="57" t="n"/>
      <c r="B190" s="64" t="n"/>
      <c r="C190" s="57" t="n"/>
      <c r="D190" s="3" t="n"/>
    </row>
    <row r="191">
      <c r="A191" s="76" t="inlineStr">
        <is>
          <t>Custos com materiais</t>
        </is>
      </c>
      <c r="B191" s="77">
        <f>SUM(D193+D211+D217+D218+D229+D236+D250+D260+D265+D276+D289+D294+D304+D309+D317+D323)</f>
        <v/>
      </c>
      <c r="C191" s="78" t="n"/>
      <c r="D191" s="79" t="n"/>
    </row>
    <row r="192">
      <c r="A192" s="83" t="inlineStr">
        <is>
          <t>Material</t>
        </is>
      </c>
      <c r="B192" s="84" t="inlineStr">
        <is>
          <t>Quant</t>
        </is>
      </c>
      <c r="C192" s="84" t="inlineStr">
        <is>
          <t>R$ Unt</t>
        </is>
      </c>
      <c r="D192" s="85" t="inlineStr">
        <is>
          <t>R$ Total</t>
        </is>
      </c>
    </row>
    <row r="193" collapsed="1" s="106">
      <c r="A193" s="57" t="inlineStr">
        <is>
          <t>MDF</t>
        </is>
      </c>
      <c r="B193" s="103" t="n"/>
      <c r="C193" s="88" t="n"/>
      <c r="D193" s="104">
        <f>SUM(D194:D210)</f>
        <v/>
      </c>
    </row>
    <row r="194" hidden="1" outlineLevel="1" s="106">
      <c r="A194" s="57" t="inlineStr">
        <is>
          <t>mdf branco 6</t>
        </is>
      </c>
      <c r="B194" s="103" t="n"/>
      <c r="C194" s="88" t="n">
        <v>190</v>
      </c>
      <c r="D194" s="91">
        <f>SUM(B193*C194)</f>
        <v/>
      </c>
    </row>
    <row r="195" hidden="1" outlineLevel="1" s="106">
      <c r="A195" s="57" t="inlineStr">
        <is>
          <t>mdf branco 15</t>
        </is>
      </c>
      <c r="B195" s="0" t="n">
        <v>1</v>
      </c>
      <c r="C195" s="88" t="n">
        <v>260</v>
      </c>
      <c r="D195" s="91">
        <f>SUM(B195*C195)</f>
        <v/>
      </c>
    </row>
    <row r="196" hidden="1" outlineLevel="1" s="106">
      <c r="A196" s="57" t="inlineStr">
        <is>
          <t>mdf branco 18</t>
        </is>
      </c>
      <c r="B196" s="103" t="n"/>
      <c r="C196" s="88" t="n">
        <v>320</v>
      </c>
      <c r="D196" s="91">
        <f>SUM(B196*C196)</f>
        <v/>
      </c>
    </row>
    <row r="197" hidden="1" outlineLevel="1" s="106">
      <c r="A197" s="57" t="inlineStr">
        <is>
          <t>mdf branco 25</t>
        </is>
      </c>
      <c r="B197" s="103" t="n"/>
      <c r="C197" s="88" t="n">
        <v>420</v>
      </c>
      <c r="D197" s="91">
        <f>SUM(B197*C197)</f>
        <v/>
      </c>
    </row>
    <row r="198" hidden="1" outlineLevel="1" s="106">
      <c r="A198" s="57" t="inlineStr">
        <is>
          <t>mdf cor 6</t>
        </is>
      </c>
      <c r="B198" s="103" t="n"/>
      <c r="C198" s="88" t="n">
        <v>300</v>
      </c>
      <c r="D198" s="91">
        <f>SUM(B198*C198)</f>
        <v/>
      </c>
    </row>
    <row r="199" hidden="1" outlineLevel="1" s="106">
      <c r="A199" s="57" t="inlineStr">
        <is>
          <t>mdf cor 15</t>
        </is>
      </c>
      <c r="B199" s="103" t="n">
        <v>2</v>
      </c>
      <c r="C199" s="88" t="n">
        <v>500</v>
      </c>
      <c r="D199" s="91">
        <f>SUM(B199*C199)</f>
        <v/>
      </c>
    </row>
    <row r="200" hidden="1" outlineLevel="1" s="106">
      <c r="A200" s="57" t="inlineStr">
        <is>
          <t>mdf cor 18</t>
        </is>
      </c>
      <c r="B200" s="103" t="n"/>
      <c r="C200" s="88" t="n">
        <v>600</v>
      </c>
      <c r="D200" s="91">
        <f>SUM(B200*C200)</f>
        <v/>
      </c>
    </row>
    <row r="201" hidden="1" outlineLevel="1" s="106">
      <c r="A201" s="57" t="inlineStr">
        <is>
          <t>mdf cristallo 6</t>
        </is>
      </c>
      <c r="B201" s="103" t="n"/>
      <c r="C201" s="88" t="n">
        <v>400</v>
      </c>
      <c r="D201" s="91">
        <f>SUM(B201*C201)</f>
        <v/>
      </c>
    </row>
    <row r="202" hidden="1" outlineLevel="1" s="106">
      <c r="A202" s="57" t="inlineStr">
        <is>
          <t>mdf cristallo 15</t>
        </is>
      </c>
      <c r="B202" s="103" t="n"/>
      <c r="C202" s="88" t="n">
        <v>600</v>
      </c>
      <c r="D202" s="91">
        <f>SUM(B202*C202)</f>
        <v/>
      </c>
    </row>
    <row r="203" hidden="1" outlineLevel="1" s="106">
      <c r="A203" s="57" t="inlineStr">
        <is>
          <t>mdf cristallo 18</t>
        </is>
      </c>
      <c r="B203" s="103" t="n"/>
      <c r="C203" s="88" t="n">
        <v>700</v>
      </c>
      <c r="D203" s="91">
        <f>SUM(B203*C203)</f>
        <v/>
      </c>
    </row>
    <row r="204" hidden="1" outlineLevel="1" s="106">
      <c r="A204" s="57" t="inlineStr">
        <is>
          <t>mdf Acetinata 6</t>
        </is>
      </c>
      <c r="B204" s="103" t="n"/>
      <c r="C204" s="88" t="n">
        <v>1000</v>
      </c>
      <c r="D204" s="91">
        <f>SUM(B204*C204)</f>
        <v/>
      </c>
    </row>
    <row r="205" hidden="1" outlineLevel="1" s="106">
      <c r="A205" s="57" t="inlineStr">
        <is>
          <t>mdf Acetinata 15</t>
        </is>
      </c>
      <c r="B205" s="103" t="n"/>
      <c r="C205" s="88" t="n">
        <v>1300</v>
      </c>
      <c r="D205" s="91">
        <f>SUM(B205*C205)</f>
        <v/>
      </c>
    </row>
    <row r="206" hidden="1" outlineLevel="1" s="106">
      <c r="A206" s="57" t="inlineStr">
        <is>
          <t>mdf Acetinata 18</t>
        </is>
      </c>
      <c r="B206" s="103" t="n"/>
      <c r="C206" s="88" t="n">
        <v>1500</v>
      </c>
      <c r="D206" s="91">
        <f>SUM(B206*C206)</f>
        <v/>
      </c>
    </row>
    <row r="207" hidden="1" outlineLevel="1" s="106">
      <c r="A207" s="57" t="inlineStr">
        <is>
          <t>mdf com lamina prensada +acab.</t>
        </is>
      </c>
      <c r="B207" s="103" t="n"/>
      <c r="C207" s="88" t="n">
        <v>2200</v>
      </c>
      <c r="D207" s="91">
        <f>SUM(B207*C207)</f>
        <v/>
      </c>
    </row>
    <row r="208" hidden="1" outlineLevel="1" s="106">
      <c r="A208" s="57" t="inlineStr">
        <is>
          <t>Palha sintetica</t>
        </is>
      </c>
      <c r="B208" s="103" t="n"/>
      <c r="C208" s="88" t="n">
        <v>600</v>
      </c>
      <c r="D208" s="91">
        <f>SUM(B208*C208)</f>
        <v/>
      </c>
    </row>
    <row r="209" hidden="1" outlineLevel="1" s="106">
      <c r="A209" s="57" t="inlineStr">
        <is>
          <t>Compensado flexivel</t>
        </is>
      </c>
      <c r="B209" s="103" t="n"/>
      <c r="C209" s="88" t="n">
        <v>400</v>
      </c>
      <c r="D209" s="91">
        <f>SUM(B209*C209)</f>
        <v/>
      </c>
    </row>
    <row r="210" hidden="1" outlineLevel="1" s="106">
      <c r="A210" s="57" t="inlineStr">
        <is>
          <t>Compensado flexivel</t>
        </is>
      </c>
      <c r="B210" s="103" t="n"/>
      <c r="C210" s="88" t="n"/>
      <c r="D210" s="91" t="n"/>
    </row>
    <row r="211" collapsed="1" s="106">
      <c r="A211" s="57" t="inlineStr">
        <is>
          <t>Cola e fita</t>
        </is>
      </c>
      <c r="B211" s="103" t="n"/>
      <c r="C211" s="88" t="n"/>
      <c r="D211" s="104">
        <f>SUM(D212:D216)</f>
        <v/>
      </c>
    </row>
    <row r="212" hidden="1" outlineLevel="1" s="106">
      <c r="A212" s="57" t="inlineStr">
        <is>
          <t xml:space="preserve">Custo colagem - mt linear - maq. </t>
        </is>
      </c>
      <c r="B212" s="103" t="n">
        <v>20</v>
      </c>
      <c r="C212" s="88" t="n">
        <v>2.5</v>
      </c>
      <c r="D212" s="91">
        <f>SUM(B212*C212)</f>
        <v/>
      </c>
    </row>
    <row r="213" hidden="1" outlineLevel="1" s="106">
      <c r="A213" s="57" t="inlineStr">
        <is>
          <t xml:space="preserve">Custo colagem - mt linear - manual </t>
        </is>
      </c>
      <c r="B213" s="103" t="n"/>
      <c r="C213" s="88" t="n">
        <v>4</v>
      </c>
      <c r="D213" s="91">
        <f>SUM(B213*C213)</f>
        <v/>
      </c>
    </row>
    <row r="214" hidden="1" outlineLevel="1" s="106">
      <c r="A214" s="57" t="inlineStr">
        <is>
          <t>Fita de borda - branco tx - mt linear</t>
        </is>
      </c>
      <c r="B214" s="103" t="n">
        <v>12</v>
      </c>
      <c r="C214" s="88" t="n">
        <v>2</v>
      </c>
      <c r="D214" s="91">
        <f>SUM(B214*C214)</f>
        <v/>
      </c>
    </row>
    <row r="215" hidden="1" outlineLevel="1" s="106">
      <c r="A215" s="57" t="inlineStr">
        <is>
          <t>Fita de borda - cor - mt linear</t>
        </is>
      </c>
      <c r="B215" s="103" t="n">
        <v>18</v>
      </c>
      <c r="C215" s="88" t="n">
        <v>3</v>
      </c>
      <c r="D215" s="91">
        <f>SUM(B215*C215)</f>
        <v/>
      </c>
    </row>
    <row r="216" hidden="1" outlineLevel="1" s="106">
      <c r="A216" s="57" t="inlineStr">
        <is>
          <t xml:space="preserve">Demandas pontuais - espec. </t>
        </is>
      </c>
      <c r="B216" s="103" t="n"/>
      <c r="C216" s="88" t="n">
        <v>50</v>
      </c>
      <c r="D216" s="91">
        <f>SUM(B216*C216)</f>
        <v/>
      </c>
    </row>
    <row r="217">
      <c r="A217" s="57" t="inlineStr">
        <is>
          <t>Ferragens</t>
        </is>
      </c>
      <c r="B217" s="103" t="n"/>
      <c r="C217" s="88" t="n"/>
      <c r="D217" s="104">
        <f>SUM(D219:D273)</f>
        <v/>
      </c>
    </row>
    <row r="218" collapsed="1" s="106">
      <c r="A218" s="101" t="inlineStr">
        <is>
          <t>Dobradiças</t>
        </is>
      </c>
      <c r="B218" s="101" t="n"/>
      <c r="C218" s="94" t="n"/>
      <c r="D218" s="95">
        <f>SUM(D219:D228)</f>
        <v/>
      </c>
    </row>
    <row r="219" hidden="1" outlineLevel="1" s="106">
      <c r="A219" s="96" t="inlineStr">
        <is>
          <t>Padrão</t>
        </is>
      </c>
      <c r="B219" s="96" t="n"/>
      <c r="C219" s="97" t="n">
        <v>6</v>
      </c>
      <c r="D219" s="98">
        <f>C219*B219</f>
        <v/>
      </c>
    </row>
    <row r="220" hidden="1" outlineLevel="1" s="106">
      <c r="A220" s="99" t="inlineStr">
        <is>
          <t>Bigfer Inox</t>
        </is>
      </c>
      <c r="B220" s="99" t="n"/>
      <c r="C220" s="100" t="n">
        <v>20</v>
      </c>
      <c r="D220" s="98">
        <f>C220*B220</f>
        <v/>
      </c>
    </row>
    <row r="221" hidden="1" outlineLevel="1" s="106">
      <c r="A221" s="96" t="inlineStr">
        <is>
          <t>Bigfer Ônix</t>
        </is>
      </c>
      <c r="B221" s="96" t="n"/>
      <c r="C221" s="97" t="n">
        <v>15</v>
      </c>
      <c r="D221" s="98">
        <f>C221*B221</f>
        <v/>
      </c>
    </row>
    <row r="222" hidden="1" outlineLevel="1" s="106">
      <c r="A222" s="99" t="inlineStr">
        <is>
          <t>Hartt</t>
        </is>
      </c>
      <c r="B222" s="99" t="n"/>
      <c r="C222" s="100" t="n">
        <v>8</v>
      </c>
      <c r="D222" s="98">
        <f>C222*B222</f>
        <v/>
      </c>
    </row>
    <row r="223" hidden="1" outlineLevel="1" s="106">
      <c r="A223" s="96" t="inlineStr">
        <is>
          <t>Häfele</t>
        </is>
      </c>
      <c r="B223" s="96" t="n"/>
      <c r="C223" s="97" t="n">
        <v>20</v>
      </c>
      <c r="D223" s="98">
        <f>C223*B223</f>
        <v/>
      </c>
    </row>
    <row r="224" hidden="1" outlineLevel="1" s="106">
      <c r="A224" s="99" t="inlineStr">
        <is>
          <t>Hettich Novisys</t>
        </is>
      </c>
      <c r="B224" s="99" t="n"/>
      <c r="C224" s="100" t="n">
        <v>10</v>
      </c>
      <c r="D224" s="98">
        <f>C224*B224</f>
        <v/>
      </c>
    </row>
    <row r="225" hidden="1" outlineLevel="1" s="106">
      <c r="A225" s="96" t="inlineStr">
        <is>
          <t>Hettich Sensys</t>
        </is>
      </c>
      <c r="B225" s="96" t="n"/>
      <c r="C225" s="97" t="n">
        <v>35</v>
      </c>
      <c r="D225" s="98">
        <f>C225*B225</f>
        <v/>
      </c>
    </row>
    <row r="226" hidden="1" outlineLevel="1" s="106">
      <c r="A226" s="99" t="inlineStr">
        <is>
          <t>Hettich Sensys Onix</t>
        </is>
      </c>
      <c r="B226" s="99" t="n"/>
      <c r="C226" s="100" t="n">
        <v>40</v>
      </c>
      <c r="D226" s="98">
        <f>C226*B226</f>
        <v/>
      </c>
    </row>
    <row r="227" hidden="1" outlineLevel="1" s="106">
      <c r="A227" s="96" t="inlineStr">
        <is>
          <t>Hettich Sensys Black</t>
        </is>
      </c>
      <c r="B227" s="96" t="n"/>
      <c r="C227" s="97" t="n">
        <v>40</v>
      </c>
      <c r="D227" s="91">
        <f>SUM(B227*C227)</f>
        <v/>
      </c>
    </row>
    <row r="228" hidden="1" outlineLevel="1" s="106">
      <c r="A228" s="101" t="n"/>
      <c r="B228" s="103" t="n"/>
      <c r="C228" s="88" t="n">
        <v>40</v>
      </c>
      <c r="D228" s="91">
        <f>SUM(B228*C228)</f>
        <v/>
      </c>
    </row>
    <row r="229" collapsed="1" s="106">
      <c r="A229" s="57" t="inlineStr">
        <is>
          <t>Corrediças</t>
        </is>
      </c>
      <c r="B229" s="103" t="n"/>
      <c r="C229" s="88" t="n"/>
      <c r="D229" s="91">
        <f>SUM(D230:D234)</f>
        <v/>
      </c>
    </row>
    <row r="230" hidden="1" outlineLevel="1" s="106">
      <c r="A230" s="96" t="inlineStr">
        <is>
          <t>Telescópica</t>
        </is>
      </c>
      <c r="B230" s="96" t="n"/>
      <c r="C230" s="97" t="n">
        <v>40</v>
      </c>
      <c r="D230" s="91">
        <f>SUM(B230*C230)</f>
        <v/>
      </c>
    </row>
    <row r="231" hidden="1" outlineLevel="1" s="106">
      <c r="A231" s="99" t="inlineStr">
        <is>
          <t>Oculta Hartt</t>
        </is>
      </c>
      <c r="B231" s="99" t="n">
        <v>5</v>
      </c>
      <c r="C231" s="100" t="n">
        <v>70</v>
      </c>
      <c r="D231" s="91">
        <f>SUM(B231*C231)</f>
        <v/>
      </c>
    </row>
    <row r="232" hidden="1" outlineLevel="1" s="106">
      <c r="A232" s="96" t="inlineStr">
        <is>
          <t>Oculta Quadro (Hettich)</t>
        </is>
      </c>
      <c r="B232" s="96" t="n"/>
      <c r="C232" s="97" t="n">
        <v>120</v>
      </c>
      <c r="D232" s="91">
        <f>SUM(B232*C232)</f>
        <v/>
      </c>
    </row>
    <row r="233" hidden="1" outlineLevel="1" s="106">
      <c r="A233" s="99" t="inlineStr">
        <is>
          <t>Oculta Actro (Hettich)</t>
        </is>
      </c>
      <c r="B233" s="99" t="n"/>
      <c r="C233" s="100" t="n">
        <v>400</v>
      </c>
      <c r="D233" s="91">
        <f>SUM(B233*C233)</f>
        <v/>
      </c>
    </row>
    <row r="234" hidden="1" outlineLevel="1" s="106">
      <c r="A234" s="96" t="inlineStr">
        <is>
          <t xml:space="preserve">Blum </t>
        </is>
      </c>
      <c r="B234" s="96" t="n"/>
      <c r="C234" s="97" t="n">
        <v>300</v>
      </c>
      <c r="D234" s="91">
        <f>SUM(B234*C234)</f>
        <v/>
      </c>
    </row>
    <row r="235" hidden="1" outlineLevel="1" s="106">
      <c r="A235" s="57" t="n"/>
      <c r="B235" s="103" t="n"/>
      <c r="C235" s="88" t="n"/>
      <c r="D235" s="91" t="n"/>
    </row>
    <row r="236" collapsed="1" s="106">
      <c r="A236" s="57" t="inlineStr">
        <is>
          <t>Sistema portas roupeiros</t>
        </is>
      </c>
      <c r="B236" s="103" t="n"/>
      <c r="C236" s="88" t="n"/>
      <c r="D236" s="91">
        <f>SUM(D237:D249)</f>
        <v/>
      </c>
    </row>
    <row r="237" hidden="1" outlineLevel="1" s="106">
      <c r="A237" s="96" t="inlineStr">
        <is>
          <t>SS150 - 2 portas</t>
        </is>
      </c>
      <c r="B237" s="96" t="n"/>
      <c r="C237" s="97" t="n">
        <v>500</v>
      </c>
      <c r="D237" s="91">
        <f>SUM(B237*C237)</f>
        <v/>
      </c>
    </row>
    <row r="238" hidden="1" outlineLevel="1" s="106">
      <c r="A238" s="99" t="inlineStr">
        <is>
          <t>SS150 - 3 portas</t>
        </is>
      </c>
      <c r="B238" s="99" t="n"/>
      <c r="C238" s="100" t="n">
        <v>600</v>
      </c>
      <c r="D238" s="91">
        <f>SUM(B238*C238)</f>
        <v/>
      </c>
    </row>
    <row r="239" hidden="1" outlineLevel="1" s="106">
      <c r="A239" s="96" t="inlineStr">
        <is>
          <t>RO65 (Rometal)</t>
        </is>
      </c>
      <c r="B239" s="96" t="n"/>
      <c r="C239" s="97" t="n">
        <v>250</v>
      </c>
      <c r="D239" s="91">
        <f>SUM(B239*C239)</f>
        <v/>
      </c>
    </row>
    <row r="240" hidden="1" outlineLevel="1" s="106">
      <c r="A240" s="99" t="inlineStr">
        <is>
          <t>Dominus (Rometal) - 2 portas</t>
        </is>
      </c>
      <c r="B240" s="99" t="n"/>
      <c r="C240" s="100" t="n">
        <v>700</v>
      </c>
      <c r="D240" s="91">
        <f>SUM(B240*C240)</f>
        <v/>
      </c>
    </row>
    <row r="241" hidden="1" outlineLevel="1" s="106">
      <c r="A241" s="96" t="inlineStr">
        <is>
          <t>Dominus (Rometal) - 3 portas</t>
        </is>
      </c>
      <c r="B241" s="96" t="n"/>
      <c r="C241" s="97" t="n">
        <v>850</v>
      </c>
      <c r="D241" s="91">
        <f>SUM(B241*C241)</f>
        <v/>
      </c>
    </row>
    <row r="242" hidden="1" outlineLevel="1" s="106">
      <c r="A242" s="99" t="inlineStr">
        <is>
          <t>Trilho RO65 Rometal - 3mt</t>
        </is>
      </c>
      <c r="B242" s="99" t="n"/>
      <c r="C242" s="100" t="n">
        <v>80</v>
      </c>
      <c r="D242" s="91">
        <f>SUM(B242*C242)</f>
        <v/>
      </c>
    </row>
    <row r="243" hidden="1" outlineLevel="1" s="106">
      <c r="A243" s="96" t="inlineStr">
        <is>
          <t>Trilho RO65 Rometal - 2mt</t>
        </is>
      </c>
      <c r="B243" s="96" t="n"/>
      <c r="C243" s="97" t="n">
        <v>60</v>
      </c>
      <c r="D243" s="91">
        <f>SUM(B243*C243)</f>
        <v/>
      </c>
    </row>
    <row r="244" hidden="1" outlineLevel="1" s="106">
      <c r="A244" s="99" t="inlineStr">
        <is>
          <t>Trilho SS150 - mt</t>
        </is>
      </c>
      <c r="B244" s="99" t="n"/>
      <c r="C244" s="100" t="n">
        <v>200</v>
      </c>
      <c r="D244" s="91">
        <f>SUM(B244*C244)</f>
        <v/>
      </c>
    </row>
    <row r="245" hidden="1" outlineLevel="1" s="106">
      <c r="A245" s="96" t="inlineStr">
        <is>
          <t>Trilho SS150 - 2mt</t>
        </is>
      </c>
      <c r="B245" s="96" t="n"/>
      <c r="C245" s="97" t="n">
        <v>170</v>
      </c>
      <c r="D245" s="91">
        <f>SUM(B245*C245)</f>
        <v/>
      </c>
    </row>
    <row r="246" hidden="1" outlineLevel="1" s="106">
      <c r="A246" s="99" t="inlineStr">
        <is>
          <t>Trilho Dominus - 3mt</t>
        </is>
      </c>
      <c r="B246" s="99" t="n"/>
      <c r="C246" s="100" t="n">
        <v>350</v>
      </c>
      <c r="D246" s="91">
        <f>SUM(B246*C246)</f>
        <v/>
      </c>
    </row>
    <row r="247" hidden="1" outlineLevel="1" s="106">
      <c r="A247" s="96" t="inlineStr">
        <is>
          <t>Trilho Dominus - 2mt</t>
        </is>
      </c>
      <c r="B247" s="96" t="n"/>
      <c r="C247" s="97" t="n">
        <v>300</v>
      </c>
      <c r="D247" s="91">
        <f>SUM(B247*C247)</f>
        <v/>
      </c>
    </row>
    <row r="248" hidden="1" outlineLevel="1" s="106">
      <c r="A248" s="101" t="inlineStr">
        <is>
          <t>Desempenador sobrepor - par</t>
        </is>
      </c>
      <c r="B248" s="101" t="n"/>
      <c r="C248" s="94" t="n">
        <v>100</v>
      </c>
      <c r="D248" s="91">
        <f>SUM(B248*C248)</f>
        <v/>
      </c>
    </row>
    <row r="249" hidden="1" outlineLevel="1" s="106">
      <c r="A249" s="101" t="inlineStr">
        <is>
          <t>Desempenador embutido - par</t>
        </is>
      </c>
      <c r="B249" s="101" t="n"/>
      <c r="C249" s="94" t="n">
        <v>150</v>
      </c>
      <c r="D249" s="91">
        <f>SUM(B249*C249)</f>
        <v/>
      </c>
    </row>
    <row r="250" collapsed="1" s="106">
      <c r="A250" s="69" t="inlineStr">
        <is>
          <t>Sistema portas rack e suspenso</t>
        </is>
      </c>
      <c r="D250" s="102">
        <f>SUM(D251:D259)</f>
        <v/>
      </c>
    </row>
    <row r="251" hidden="1" outlineLevel="1" s="106">
      <c r="A251" s="101" t="inlineStr">
        <is>
          <t>Ro21</t>
        </is>
      </c>
      <c r="B251" s="103" t="n"/>
      <c r="C251" s="88" t="n">
        <v>50</v>
      </c>
      <c r="D251" s="91">
        <f>SUM(B251*C251)</f>
        <v/>
      </c>
    </row>
    <row r="252" hidden="1" outlineLevel="1" s="106">
      <c r="A252" s="101" t="inlineStr">
        <is>
          <t>Multi 2 portas</t>
        </is>
      </c>
      <c r="B252" s="103" t="n"/>
      <c r="C252" s="88" t="n">
        <v>300</v>
      </c>
      <c r="D252" s="91">
        <f>SUM(B252*C252)</f>
        <v/>
      </c>
    </row>
    <row r="253" hidden="1" outlineLevel="1" s="106">
      <c r="A253" s="101" t="inlineStr">
        <is>
          <t>Multi 3 portas</t>
        </is>
      </c>
      <c r="B253" s="103" t="n"/>
      <c r="C253" s="88" t="n">
        <v>380</v>
      </c>
      <c r="D253" s="91">
        <f>SUM(B253*C253)</f>
        <v/>
      </c>
    </row>
    <row r="254" hidden="1" outlineLevel="1" s="106">
      <c r="A254" s="101" t="inlineStr">
        <is>
          <t>Linea 1 porta</t>
        </is>
      </c>
      <c r="B254" s="103" t="n"/>
      <c r="C254" s="88" t="n">
        <v>200</v>
      </c>
      <c r="D254" s="91">
        <f>SUM(B254*C254)</f>
        <v/>
      </c>
    </row>
    <row r="255" hidden="1" outlineLevel="1" s="106">
      <c r="A255" s="101" t="inlineStr">
        <is>
          <t>Linea 2 portas</t>
        </is>
      </c>
      <c r="B255" s="103" t="n"/>
      <c r="C255" s="88" t="n">
        <v>500</v>
      </c>
      <c r="D255" s="91">
        <f>SUM(B255*C255)</f>
        <v/>
      </c>
    </row>
    <row r="256" hidden="1" outlineLevel="1" s="106">
      <c r="A256" s="101" t="inlineStr">
        <is>
          <t>Trilho ro21 3mt</t>
        </is>
      </c>
      <c r="B256" s="103" t="n"/>
      <c r="C256" s="88" t="n">
        <v>40</v>
      </c>
      <c r="D256" s="91">
        <f>SUM(B256*C256)</f>
        <v/>
      </c>
    </row>
    <row r="257" hidden="1" outlineLevel="1" s="106">
      <c r="A257" s="101" t="inlineStr">
        <is>
          <t>Trilho Multi 3mt</t>
        </is>
      </c>
      <c r="B257" s="103" t="n"/>
      <c r="C257" s="88" t="n">
        <v>200</v>
      </c>
      <c r="D257" s="91">
        <f>SUM(B257*C257)</f>
        <v/>
      </c>
    </row>
    <row r="258" hidden="1" outlineLevel="1" s="106">
      <c r="A258" s="101" t="inlineStr">
        <is>
          <t>Trilho Linea 3mt - 2 portas</t>
        </is>
      </c>
      <c r="B258" s="103" t="n"/>
      <c r="C258" s="88" t="n">
        <v>150</v>
      </c>
      <c r="D258" s="91">
        <f>SUM(B258*C258)</f>
        <v/>
      </c>
    </row>
    <row r="259" hidden="1" outlineLevel="1" s="106">
      <c r="A259" s="101" t="inlineStr">
        <is>
          <t>Trilho linea 3mt - 1 porta</t>
        </is>
      </c>
      <c r="B259" s="103" t="n"/>
      <c r="C259" s="88" t="n">
        <v>90</v>
      </c>
      <c r="D259" s="91">
        <f>SUM(B259*C259)</f>
        <v/>
      </c>
    </row>
    <row r="260" collapsed="1" s="106">
      <c r="A260" s="101" t="inlineStr">
        <is>
          <t>Articuladores</t>
        </is>
      </c>
      <c r="B260" s="103" t="n"/>
      <c r="C260" s="88" t="n"/>
      <c r="D260" s="91">
        <f>SUM(D261:D264)</f>
        <v/>
      </c>
    </row>
    <row r="261" hidden="1" outlineLevel="1" s="106">
      <c r="A261" s="96" t="inlineStr">
        <is>
          <t>Pistão Normal</t>
        </is>
      </c>
      <c r="B261" s="96" t="n"/>
      <c r="C261" s="97" t="n">
        <v>20</v>
      </c>
      <c r="D261" s="91">
        <f>SUM(B261*C261)</f>
        <v/>
      </c>
    </row>
    <row r="262" hidden="1" outlineLevel="1" s="106">
      <c r="A262" s="99" t="inlineStr">
        <is>
          <t>Pistão com amortecimento</t>
        </is>
      </c>
      <c r="B262" s="99" t="n"/>
      <c r="C262" s="100" t="n">
        <v>30</v>
      </c>
      <c r="D262" s="91">
        <f>SUM(B262*C262)</f>
        <v/>
      </c>
    </row>
    <row r="263" hidden="1" outlineLevel="1" s="106">
      <c r="A263" s="96" t="inlineStr">
        <is>
          <t>Articulador Blum HK-xs</t>
        </is>
      </c>
      <c r="B263" s="96" t="n"/>
      <c r="C263" s="97" t="n">
        <v>180</v>
      </c>
      <c r="D263" s="91">
        <f>SUM(B263*C263)</f>
        <v/>
      </c>
    </row>
    <row r="264" hidden="1" outlineLevel="1" s="106">
      <c r="A264" s="99" t="inlineStr">
        <is>
          <t>Articulador Aventos (e outros)</t>
        </is>
      </c>
      <c r="B264" s="99" t="n"/>
      <c r="C264" s="100" t="n">
        <v>600</v>
      </c>
      <c r="D264" s="91">
        <f>SUM(B264*C264)</f>
        <v/>
      </c>
    </row>
    <row r="265" collapsed="1" s="106">
      <c r="A265" s="57" t="inlineStr">
        <is>
          <t>Sistema porta de passagem</t>
        </is>
      </c>
      <c r="B265" s="103" t="n"/>
      <c r="C265" s="88" t="n"/>
      <c r="D265" s="91">
        <f>SUM(D266:D275)</f>
        <v/>
      </c>
    </row>
    <row r="266" hidden="1" outlineLevel="1" s="106">
      <c r="A266" s="57" t="inlineStr">
        <is>
          <t>Pivo 80k</t>
        </is>
      </c>
      <c r="B266" s="103" t="n"/>
      <c r="C266" s="88" t="n">
        <v>60</v>
      </c>
      <c r="D266" s="91">
        <f>SUM(B266*C266)</f>
        <v/>
      </c>
    </row>
    <row r="267" hidden="1" outlineLevel="1" s="106">
      <c r="A267" s="57" t="inlineStr">
        <is>
          <t>Pivo 200k</t>
        </is>
      </c>
      <c r="B267" s="103" t="n"/>
      <c r="C267" s="88" t="n">
        <v>180</v>
      </c>
      <c r="D267" s="91">
        <f>SUM(B267*C267)</f>
        <v/>
      </c>
    </row>
    <row r="268" hidden="1" outlineLevel="1" s="106">
      <c r="A268" s="57" t="inlineStr">
        <is>
          <t>Pivo no marco</t>
        </is>
      </c>
      <c r="B268" s="103" t="n"/>
      <c r="C268" s="88" t="n">
        <v>150</v>
      </c>
      <c r="D268" s="91">
        <f>SUM(B268*C268)</f>
        <v/>
      </c>
    </row>
    <row r="269" hidden="1" outlineLevel="1" s="106">
      <c r="A269" s="57" t="inlineStr">
        <is>
          <t xml:space="preserve">Sistema RO82 </t>
        </is>
      </c>
      <c r="B269" s="103" t="n"/>
      <c r="C269" s="88" t="n">
        <v>200</v>
      </c>
      <c r="D269" s="91">
        <f>SUM(B269*C269)</f>
        <v/>
      </c>
    </row>
    <row r="270" hidden="1" outlineLevel="1" s="106">
      <c r="A270" s="57" t="inlineStr">
        <is>
          <t>Sistema RO82 top</t>
        </is>
      </c>
      <c r="B270" s="103" t="n"/>
      <c r="C270" s="88" t="n">
        <v>400</v>
      </c>
      <c r="D270" s="91">
        <f>SUM(B270*C270)</f>
        <v/>
      </c>
    </row>
    <row r="271" hidden="1" outlineLevel="1" s="106">
      <c r="A271" s="57" t="inlineStr">
        <is>
          <t>Trilho Ro82 - 2mt</t>
        </is>
      </c>
      <c r="B271" s="103" t="n"/>
      <c r="C271" s="88" t="n">
        <v>200</v>
      </c>
      <c r="D271" s="91">
        <f>SUM(B271*C271)</f>
        <v/>
      </c>
    </row>
    <row r="272" hidden="1" outlineLevel="1" s="106">
      <c r="A272" s="57" t="inlineStr">
        <is>
          <t>Trilho Ro82 - 3mt</t>
        </is>
      </c>
      <c r="B272" s="103" t="n"/>
      <c r="C272" s="88" t="n">
        <v>380</v>
      </c>
      <c r="D272" s="91">
        <f>SUM(B272*C272)</f>
        <v/>
      </c>
    </row>
    <row r="273" hidden="1" outlineLevel="1" s="106">
      <c r="A273" s="57" t="inlineStr">
        <is>
          <t>Sistema Volare</t>
        </is>
      </c>
      <c r="B273" s="103" t="n"/>
      <c r="C273" s="88" t="n">
        <v>150</v>
      </c>
      <c r="D273" s="91">
        <f>SUM(B273*C273)</f>
        <v/>
      </c>
    </row>
    <row r="274" hidden="1" outlineLevel="1" s="106">
      <c r="A274" s="57" t="inlineStr">
        <is>
          <t>Dobradiças ocultas basic</t>
        </is>
      </c>
      <c r="B274" s="103" t="n"/>
      <c r="C274" s="88" t="n">
        <v>120</v>
      </c>
      <c r="D274" s="91">
        <f>SUM(B274*C274)</f>
        <v/>
      </c>
    </row>
    <row r="275" hidden="1" outlineLevel="1" s="106">
      <c r="A275" s="57" t="inlineStr">
        <is>
          <t>Dobradiças ocultas hafell</t>
        </is>
      </c>
      <c r="B275" s="103" t="n"/>
      <c r="C275" s="88" t="n">
        <v>250</v>
      </c>
      <c r="D275" s="91">
        <f>SUM(B275*C275)</f>
        <v/>
      </c>
    </row>
    <row r="276" collapsed="1" s="106">
      <c r="A276" s="57" t="inlineStr">
        <is>
          <t>Puxadores</t>
        </is>
      </c>
      <c r="B276" s="103" t="n"/>
      <c r="C276" s="88" t="n"/>
      <c r="D276" s="91">
        <f>SUM(D277:D287)</f>
        <v/>
      </c>
    </row>
    <row r="277" hidden="1" outlineLevel="1" s="106">
      <c r="A277" s="57" t="inlineStr">
        <is>
          <t>SP7000 anodizado</t>
        </is>
      </c>
      <c r="B277" s="103" t="n"/>
      <c r="C277" s="88" t="n">
        <v>70</v>
      </c>
      <c r="D277" s="91">
        <f>SUM(B277*C277)</f>
        <v/>
      </c>
    </row>
    <row r="278" hidden="1" outlineLevel="1" s="106">
      <c r="A278" s="57" t="inlineStr">
        <is>
          <t>Sp7000 bronze</t>
        </is>
      </c>
      <c r="B278" s="103" t="n"/>
      <c r="C278" s="88" t="n">
        <v>90</v>
      </c>
      <c r="D278" s="91">
        <f>SUM(B278*C278)</f>
        <v/>
      </c>
    </row>
    <row r="279" hidden="1" outlineLevel="1" s="106">
      <c r="A279" s="96" t="inlineStr">
        <is>
          <t>Perfil cava Rometal RM195 - 3mt</t>
        </is>
      </c>
      <c r="B279" s="96" t="n"/>
      <c r="C279" s="97" t="n">
        <v>250</v>
      </c>
      <c r="D279" s="91">
        <f>SUM(B279*C279)</f>
        <v/>
      </c>
    </row>
    <row r="280" hidden="1" outlineLevel="1" s="106">
      <c r="A280" s="99" t="inlineStr">
        <is>
          <t>Perfil cava RM213 - 3mt</t>
        </is>
      </c>
      <c r="B280" s="99" t="n"/>
      <c r="C280" s="100" t="n">
        <v>100</v>
      </c>
      <c r="D280" s="91">
        <f>SUM(B280*C280)</f>
        <v/>
      </c>
    </row>
    <row r="281" hidden="1" outlineLevel="1" s="106">
      <c r="A281" s="96" t="inlineStr">
        <is>
          <t>Par tampinhas acab. RM213 - par</t>
        </is>
      </c>
      <c r="B281" s="96" t="n"/>
      <c r="C281" s="97" t="n">
        <v>4</v>
      </c>
      <c r="D281" s="91">
        <f>SUM(B281*C281)</f>
        <v/>
      </c>
    </row>
    <row r="282" hidden="1" outlineLevel="1" s="106">
      <c r="A282" s="99" t="inlineStr">
        <is>
          <t>Cava 35° usinada no mdf - mt linear</t>
        </is>
      </c>
      <c r="B282" s="99" t="n"/>
      <c r="C282" s="100" t="n">
        <v>50</v>
      </c>
      <c r="D282" s="91">
        <f>SUM(B282*C282)</f>
        <v/>
      </c>
    </row>
    <row r="283" hidden="1" outlineLevel="1" s="106">
      <c r="A283" s="101" t="inlineStr">
        <is>
          <t>Slim luna rometal</t>
        </is>
      </c>
      <c r="B283" s="103" t="n"/>
      <c r="C283" s="88" t="n">
        <v>20</v>
      </c>
      <c r="D283" s="91">
        <f>SUM(B283*C283)</f>
        <v/>
      </c>
    </row>
    <row r="284" hidden="1" outlineLevel="1" s="106">
      <c r="A284" s="69" t="inlineStr">
        <is>
          <t>Concha shell  Zen design</t>
        </is>
      </c>
      <c r="C284" s="102" t="n">
        <v>80</v>
      </c>
      <c r="D284" s="91">
        <f>SUM(B284*C284)</f>
        <v/>
      </c>
    </row>
    <row r="285" hidden="1" outlineLevel="1" s="106">
      <c r="A285" s="101" t="inlineStr">
        <is>
          <t>Ponto Zen design</t>
        </is>
      </c>
      <c r="B285" s="103" t="n"/>
      <c r="C285" s="88" t="n">
        <v>70</v>
      </c>
      <c r="D285" s="91">
        <f>SUM(B285*C285)</f>
        <v/>
      </c>
    </row>
    <row r="286" hidden="1" outlineLevel="1" s="106">
      <c r="A286" s="101" t="inlineStr">
        <is>
          <t>Especial 1 - Puxador Traço
Metal Couro Enlevo</t>
        </is>
      </c>
      <c r="B286" s="103" t="n">
        <v>5</v>
      </c>
      <c r="C286" s="88" t="n">
        <v>60</v>
      </c>
      <c r="D286" s="91">
        <f>SUM(B286*C286)</f>
        <v/>
      </c>
    </row>
    <row r="287" hidden="1" outlineLevel="1" s="106">
      <c r="A287" s="101" t="inlineStr">
        <is>
          <t>Especial 2</t>
        </is>
      </c>
      <c r="B287" s="103" t="n"/>
      <c r="C287" s="88" t="n"/>
      <c r="D287" s="91">
        <f>SUM(B287*C287)</f>
        <v/>
      </c>
    </row>
    <row r="288" hidden="1" outlineLevel="1" s="106">
      <c r="A288" s="101" t="n"/>
      <c r="B288" s="103" t="n"/>
      <c r="C288" s="88" t="n"/>
      <c r="D288" s="91" t="n"/>
    </row>
    <row r="289" collapsed="1" s="106">
      <c r="A289" s="57" t="inlineStr">
        <is>
          <t>Suportes</t>
        </is>
      </c>
      <c r="B289" s="103" t="n"/>
      <c r="C289" s="88" t="n"/>
      <c r="D289" s="91">
        <f>SUM(D290:D293)</f>
        <v/>
      </c>
    </row>
    <row r="290" hidden="1" outlineLevel="1" s="106">
      <c r="A290" s="57" t="inlineStr">
        <is>
          <t>Suporte espada</t>
        </is>
      </c>
      <c r="B290" s="103" t="n"/>
      <c r="C290" s="88" t="n">
        <v>25</v>
      </c>
      <c r="D290" s="91">
        <f>SUM(B290*C290)</f>
        <v/>
      </c>
    </row>
    <row r="291" hidden="1" outlineLevel="1" s="106">
      <c r="A291" s="57" t="inlineStr">
        <is>
          <t>suporte oculto</t>
        </is>
      </c>
      <c r="B291" s="103" t="n"/>
      <c r="C291" s="88" t="n">
        <v>20</v>
      </c>
      <c r="D291" s="91">
        <f>SUM(B291*C291)</f>
        <v/>
      </c>
    </row>
    <row r="292" hidden="1" outlineLevel="1" s="106">
      <c r="A292" s="57" t="inlineStr">
        <is>
          <t>suporte em serralheria prat. simples</t>
        </is>
      </c>
      <c r="B292" s="103" t="n"/>
      <c r="C292" s="88" t="n">
        <v>25</v>
      </c>
      <c r="D292" s="91">
        <f>SUM(B292*C292)</f>
        <v/>
      </c>
    </row>
    <row r="293" hidden="1" outlineLevel="1" s="106">
      <c r="A293" s="57" t="inlineStr">
        <is>
          <t xml:space="preserve">Suporte em serralheria bancada </t>
        </is>
      </c>
      <c r="B293" s="103" t="n"/>
      <c r="C293" s="88" t="n">
        <v>50</v>
      </c>
      <c r="D293" s="91">
        <f>SUM(B293*C293)</f>
        <v/>
      </c>
    </row>
    <row r="294" collapsed="1" s="106">
      <c r="A294" s="57" t="inlineStr">
        <is>
          <t xml:space="preserve">Parafusos e dispositivos e mont. </t>
        </is>
      </c>
      <c r="B294" s="103" t="n"/>
      <c r="C294" s="88" t="n"/>
      <c r="D294" s="104">
        <f>SUM(D295:D303)</f>
        <v/>
      </c>
    </row>
    <row r="295" hidden="1" outlineLevel="1" s="106">
      <c r="A295" s="69" t="inlineStr">
        <is>
          <t>Parafusos gerais - especulacao</t>
        </is>
      </c>
      <c r="C295" s="102" t="n">
        <v>25</v>
      </c>
      <c r="D295" s="91">
        <f>SUM(B295*C295)</f>
        <v/>
      </c>
    </row>
    <row r="296" hidden="1" outlineLevel="1" s="106">
      <c r="A296" s="57" t="inlineStr">
        <is>
          <t>Conj. parafuso e bucha</t>
        </is>
      </c>
      <c r="B296" s="103" t="n"/>
      <c r="C296" s="103" t="n">
        <v>1.8</v>
      </c>
      <c r="D296" s="91">
        <f>SUM(B296*C296)</f>
        <v/>
      </c>
    </row>
    <row r="297" hidden="1" outlineLevel="1" s="106">
      <c r="A297" s="57" t="inlineStr">
        <is>
          <t>Sup. prateleiras - cj4 unid. 1 pratel.</t>
        </is>
      </c>
      <c r="B297" s="103" t="n"/>
      <c r="C297" s="88" t="n">
        <v>3</v>
      </c>
      <c r="D297" s="91">
        <f>SUM(B297*C297)</f>
        <v/>
      </c>
    </row>
    <row r="298" hidden="1" outlineLevel="1" s="106">
      <c r="A298" s="57" t="inlineStr">
        <is>
          <t>Sist. montagem (mini fix etc)</t>
        </is>
      </c>
      <c r="B298" s="103" t="n"/>
      <c r="C298" s="88" t="n"/>
      <c r="D298" s="91">
        <f>SUM(B298*C298)</f>
        <v/>
      </c>
    </row>
    <row r="299" hidden="1" outlineLevel="1" s="106">
      <c r="A299" s="57" t="inlineStr">
        <is>
          <t>cola inst. kit Teck bond</t>
        </is>
      </c>
      <c r="B299" s="103" t="n"/>
      <c r="C299" s="88" t="n">
        <v>35</v>
      </c>
      <c r="D299" s="91">
        <f>SUM(B299*C299)</f>
        <v/>
      </c>
    </row>
    <row r="300" hidden="1" outlineLevel="1" s="106">
      <c r="A300" s="57" t="inlineStr">
        <is>
          <t>PUR / PU</t>
        </is>
      </c>
      <c r="B300" s="103" t="n"/>
      <c r="C300" s="88" t="n">
        <v>50</v>
      </c>
      <c r="D300" s="91">
        <f>SUM(B300*C300)</f>
        <v/>
      </c>
    </row>
    <row r="301" hidden="1" outlineLevel="1" s="106">
      <c r="A301" s="57" t="inlineStr">
        <is>
          <t>Silicone acabamento</t>
        </is>
      </c>
      <c r="B301" s="103" t="n"/>
      <c r="C301" s="88" t="n">
        <v>30</v>
      </c>
      <c r="D301" s="91">
        <f>SUM(B301*C301)</f>
        <v/>
      </c>
    </row>
    <row r="302" hidden="1" outlineLevel="1" s="106">
      <c r="A302" s="57" t="inlineStr">
        <is>
          <t>Outros 1</t>
        </is>
      </c>
      <c r="B302" s="103" t="n"/>
      <c r="C302" s="88" t="n">
        <v>25</v>
      </c>
      <c r="D302" s="91">
        <f>SUM(B302*C302)</f>
        <v/>
      </c>
    </row>
    <row r="303" hidden="1" outlineLevel="1" s="106">
      <c r="A303" s="57" t="inlineStr">
        <is>
          <t>Outros 2</t>
        </is>
      </c>
      <c r="B303" s="103" t="n"/>
      <c r="C303" s="88" t="n"/>
      <c r="D303" s="91">
        <f>SUM(B303*C303)</f>
        <v/>
      </c>
    </row>
    <row r="304" collapsed="1" s="106">
      <c r="A304" s="57" t="inlineStr">
        <is>
          <t>Iluminacao</t>
        </is>
      </c>
      <c r="B304" s="103" t="n"/>
      <c r="C304" s="88" t="n"/>
      <c r="D304" s="104">
        <f>SUM(D305:D308)</f>
        <v/>
      </c>
    </row>
    <row r="305" hidden="1" outlineLevel="1" s="106">
      <c r="A305" s="57" t="inlineStr">
        <is>
          <t>Led - Fita + perfil (metro linear)</t>
        </is>
      </c>
      <c r="B305" s="103" t="n"/>
      <c r="C305" s="88" t="n">
        <v>150</v>
      </c>
      <c r="D305" s="91">
        <f>SUM(B305*C305)</f>
        <v/>
      </c>
    </row>
    <row r="306" hidden="1" outlineLevel="1" s="106">
      <c r="A306" s="57" t="inlineStr">
        <is>
          <t>Sensor</t>
        </is>
      </c>
      <c r="B306" s="103" t="n"/>
      <c r="C306" s="88" t="n">
        <v>50</v>
      </c>
      <c r="D306" s="91">
        <f>SUM(B306*C306)</f>
        <v/>
      </c>
    </row>
    <row r="307" hidden="1" outlineLevel="1" s="106">
      <c r="A307" s="57" t="inlineStr">
        <is>
          <t>Outros 1</t>
        </is>
      </c>
      <c r="B307" s="103" t="n"/>
      <c r="C307" s="88" t="n"/>
      <c r="D307" s="91">
        <f>SUM(B307*C307)</f>
        <v/>
      </c>
    </row>
    <row r="308" hidden="1" outlineLevel="1" s="106">
      <c r="A308" s="57" t="inlineStr">
        <is>
          <t>Outros 2</t>
        </is>
      </c>
      <c r="B308" s="103" t="n"/>
      <c r="C308" s="88" t="n"/>
      <c r="D308" s="91" t="n"/>
    </row>
    <row r="309" collapsed="1" s="106">
      <c r="A309" s="69" t="inlineStr">
        <is>
          <t>Vidros e espelhos - mt²</t>
        </is>
      </c>
      <c r="B309" s="103" t="n"/>
      <c r="C309" s="88" t="n"/>
      <c r="D309" s="104">
        <f>SUM(D310:D316)</f>
        <v/>
      </c>
    </row>
    <row r="310" hidden="1" outlineLevel="1" s="106">
      <c r="A310" s="96" t="inlineStr">
        <is>
          <t>Vidro incolor temperado - 6mm</t>
        </is>
      </c>
      <c r="B310" s="96" t="n">
        <v>0.5</v>
      </c>
      <c r="C310" s="97" t="n">
        <v>200</v>
      </c>
      <c r="D310" s="91">
        <f>SUM(B310*C310)</f>
        <v/>
      </c>
    </row>
    <row r="311" hidden="1" outlineLevel="1" s="106">
      <c r="A311" s="99" t="inlineStr">
        <is>
          <t>Vidro incolor temperado - 8mm</t>
        </is>
      </c>
      <c r="B311" s="99" t="n"/>
      <c r="C311" s="100" t="n">
        <v>250</v>
      </c>
      <c r="D311" s="91">
        <f>SUM(B311*C311)</f>
        <v/>
      </c>
    </row>
    <row r="312" hidden="1" outlineLevel="1" s="106">
      <c r="A312" s="96" t="inlineStr">
        <is>
          <t>Vidro incolor temperado - 10mm</t>
        </is>
      </c>
      <c r="B312" s="96" t="n"/>
      <c r="C312" s="97" t="n">
        <v>300</v>
      </c>
      <c r="D312" s="91">
        <f>SUM(B312*C312)</f>
        <v/>
      </c>
    </row>
    <row r="313" hidden="1" outlineLevel="1" s="106">
      <c r="A313" s="99" t="inlineStr">
        <is>
          <t>Espelho prata</t>
        </is>
      </c>
      <c r="B313" s="99" t="n"/>
      <c r="C313" s="100" t="n">
        <v>600</v>
      </c>
      <c r="D313" s="91">
        <f>SUM(B313*C313)</f>
        <v/>
      </c>
    </row>
    <row r="314" hidden="1" outlineLevel="1" s="106">
      <c r="A314" s="96" t="inlineStr">
        <is>
          <t>Espelho bronze</t>
        </is>
      </c>
      <c r="B314" s="96" t="n"/>
      <c r="C314" s="97" t="n">
        <v>900</v>
      </c>
      <c r="D314" s="91">
        <f>SUM(B314*C314)</f>
        <v/>
      </c>
    </row>
    <row r="315" hidden="1" outlineLevel="1" s="106">
      <c r="A315" s="101" t="inlineStr">
        <is>
          <t>Vidro reflecta bronze temperado - 6mm</t>
        </is>
      </c>
      <c r="B315" s="57" t="n"/>
      <c r="C315" s="64" t="n"/>
      <c r="D315" s="91">
        <f>SUM(B315*C315)</f>
        <v/>
      </c>
    </row>
    <row r="316" hidden="1" outlineLevel="1" s="106">
      <c r="A316" s="57" t="inlineStr">
        <is>
          <t>Vidro reflecta bronze temperado - 8mm</t>
        </is>
      </c>
      <c r="B316" s="57" t="n"/>
      <c r="C316" s="64" t="n"/>
      <c r="D316" s="91">
        <f>SUM(B316*C316)</f>
        <v/>
      </c>
    </row>
    <row r="317" collapsed="1" s="106">
      <c r="A317" s="57" t="inlineStr">
        <is>
          <t>Limpeza / embalagem</t>
        </is>
      </c>
      <c r="B317" s="57" t="n"/>
      <c r="C317" s="64" t="n"/>
      <c r="D317" s="104">
        <f>SUM(D318:D322)</f>
        <v/>
      </c>
    </row>
    <row r="318" hidden="1" outlineLevel="1" s="106">
      <c r="A318" s="57" t="inlineStr">
        <is>
          <t>Tinner (litro)</t>
        </is>
      </c>
      <c r="B318" s="57" t="n"/>
      <c r="C318" s="64" t="n">
        <v>12</v>
      </c>
      <c r="D318" s="91">
        <f>SUM(B318*C318)</f>
        <v/>
      </c>
    </row>
    <row r="319" hidden="1" outlineLevel="1" s="106">
      <c r="A319" s="57" t="inlineStr">
        <is>
          <t>Estopa (pacote)</t>
        </is>
      </c>
      <c r="B319" s="57" t="n"/>
      <c r="C319" s="64" t="n">
        <v>10</v>
      </c>
      <c r="D319" s="91">
        <f>SUM(B319*C319)</f>
        <v/>
      </c>
    </row>
    <row r="320" hidden="1" outlineLevel="1" s="106">
      <c r="A320" s="57" t="inlineStr">
        <is>
          <t>Strach</t>
        </is>
      </c>
      <c r="B320" s="57" t="n"/>
      <c r="C320" s="64" t="n">
        <v>4</v>
      </c>
      <c r="D320" s="91">
        <f>SUM(B320*C320)</f>
        <v/>
      </c>
    </row>
    <row r="321" hidden="1" outlineLevel="1" s="106">
      <c r="A321" s="57" t="inlineStr">
        <is>
          <t>cantoneira</t>
        </is>
      </c>
      <c r="B321" s="57" t="n"/>
      <c r="C321" s="64" t="n">
        <v>0.5</v>
      </c>
      <c r="D321" s="91">
        <f>SUM(B321*C321)</f>
        <v/>
      </c>
    </row>
    <row r="322" hidden="1" outlineLevel="1" s="106">
      <c r="A322" s="57" t="inlineStr">
        <is>
          <t>Embalagem</t>
        </is>
      </c>
      <c r="B322" s="57" t="n"/>
      <c r="C322" s="64" t="n">
        <v>50</v>
      </c>
      <c r="D322" s="91">
        <f>SUM(B322*C322)</f>
        <v/>
      </c>
    </row>
    <row r="323" collapsed="1" s="106">
      <c r="A323" s="57" t="inlineStr">
        <is>
          <t>Especiais</t>
        </is>
      </c>
      <c r="B323" s="57" t="n"/>
      <c r="C323" s="64" t="n"/>
      <c r="D323" s="91">
        <f>SUM(D324:D329)</f>
        <v/>
      </c>
    </row>
    <row r="324" hidden="1" outlineLevel="1" s="106">
      <c r="A324" s="57" t="inlineStr">
        <is>
          <t>Logistica especifica</t>
        </is>
      </c>
      <c r="B324" s="57" t="n"/>
      <c r="C324" s="64" t="n">
        <v>150</v>
      </c>
      <c r="D324" s="91">
        <f>SUM(C324*B324)</f>
        <v/>
      </c>
    </row>
    <row r="325" hidden="1" outlineLevel="1" s="106">
      <c r="A325" s="69" t="inlineStr">
        <is>
          <t>Item especial</t>
        </is>
      </c>
      <c r="D325" s="91">
        <f>SUM(C325*B325)</f>
        <v/>
      </c>
    </row>
    <row r="326" hidden="1" outlineLevel="1" s="106">
      <c r="A326" s="69" t="inlineStr">
        <is>
          <t xml:space="preserve">Bandeja </t>
        </is>
      </c>
      <c r="B326" s="0" t="n">
        <v>1</v>
      </c>
      <c r="D326" s="91">
        <f>SUM(C326*B326)</f>
        <v/>
      </c>
    </row>
    <row r="327" hidden="1" outlineLevel="1" s="106">
      <c r="A327" s="69" t="inlineStr">
        <is>
          <t>estrutura de serralheria</t>
        </is>
      </c>
      <c r="B327" s="0" t="n">
        <v>1</v>
      </c>
      <c r="D327" s="91">
        <f>SUM(C327*B327)</f>
        <v/>
      </c>
    </row>
    <row r="328" hidden="1" outlineLevel="1" s="106">
      <c r="A328" s="69" t="inlineStr">
        <is>
          <t>gaveta especial</t>
        </is>
      </c>
      <c r="B328" s="0" t="n">
        <v>1</v>
      </c>
      <c r="D328" s="91">
        <f>SUM(C328*B328)</f>
        <v/>
      </c>
    </row>
    <row r="329" hidden="1" outlineLevel="1" s="106">
      <c r="A329" s="69" t="n"/>
      <c r="D329" s="91">
        <f>SUM(C329*B329)</f>
        <v/>
      </c>
    </row>
    <row r="330">
      <c r="D330" s="102" t="n"/>
    </row>
    <row r="331">
      <c r="D331" s="102" t="n"/>
    </row>
    <row r="332">
      <c r="D332" s="102" t="n"/>
    </row>
    <row r="333">
      <c r="D333" s="102" t="n"/>
    </row>
    <row r="334">
      <c r="D334" s="102" t="n"/>
    </row>
    <row r="335">
      <c r="D335" s="102" t="n"/>
    </row>
    <row r="336">
      <c r="D336" s="102" t="n"/>
    </row>
    <row r="337">
      <c r="D337" s="102" t="n"/>
    </row>
    <row r="338">
      <c r="D338" s="102" t="n"/>
    </row>
    <row r="339">
      <c r="D339" s="102" t="n"/>
    </row>
    <row r="340">
      <c r="D340" s="102" t="n"/>
    </row>
    <row r="341">
      <c r="D341" s="102" t="n"/>
    </row>
    <row r="342">
      <c r="D342" s="102" t="n"/>
    </row>
    <row r="343">
      <c r="D343" s="102" t="n"/>
    </row>
    <row r="344">
      <c r="D344" s="102" t="n"/>
    </row>
    <row r="345">
      <c r="D345" s="102" t="n"/>
    </row>
    <row r="346">
      <c r="D346" s="102" t="n"/>
    </row>
    <row r="347">
      <c r="D347" s="102" t="n"/>
    </row>
    <row r="348">
      <c r="D348" s="102" t="n"/>
    </row>
    <row r="349">
      <c r="D349" s="102" t="n"/>
    </row>
    <row r="350">
      <c r="D350" s="102" t="n"/>
    </row>
    <row r="351">
      <c r="D351" s="102" t="n"/>
    </row>
    <row r="352">
      <c r="D352" s="102" t="n"/>
    </row>
    <row r="353">
      <c r="D353" s="102" t="n"/>
    </row>
    <row r="354">
      <c r="D354" s="102" t="n"/>
    </row>
    <row r="355">
      <c r="D355" s="102" t="n"/>
    </row>
    <row r="356">
      <c r="D356" s="102" t="n"/>
    </row>
    <row r="357">
      <c r="D357" s="102" t="n"/>
    </row>
    <row r="358">
      <c r="D358" s="102" t="n"/>
    </row>
    <row r="359">
      <c r="D359" s="102" t="n"/>
    </row>
    <row r="360">
      <c r="D360" s="102" t="n"/>
    </row>
    <row r="361">
      <c r="D361" s="102" t="n"/>
    </row>
    <row r="362">
      <c r="D362" s="102" t="n"/>
    </row>
    <row r="363">
      <c r="D363" s="102" t="n"/>
    </row>
    <row r="364">
      <c r="D364" s="102" t="n"/>
    </row>
    <row r="365">
      <c r="D365" s="102" t="n"/>
    </row>
    <row r="366">
      <c r="D366" s="102" t="n"/>
    </row>
    <row r="367">
      <c r="D367" s="102" t="n"/>
    </row>
    <row r="368">
      <c r="D368" s="102" t="n"/>
    </row>
    <row r="369">
      <c r="D369" s="102" t="n"/>
    </row>
    <row r="370">
      <c r="D370" s="102" t="n"/>
    </row>
    <row r="371">
      <c r="D371" s="102" t="n"/>
    </row>
    <row r="372">
      <c r="D372" s="102" t="n"/>
    </row>
    <row r="373">
      <c r="D373" s="102" t="n"/>
    </row>
    <row r="374">
      <c r="D374" s="102" t="n"/>
    </row>
    <row r="375">
      <c r="D375" s="102" t="n"/>
    </row>
    <row r="376">
      <c r="D376" s="102" t="n"/>
    </row>
    <row r="377">
      <c r="D377" s="102" t="n"/>
    </row>
    <row r="378">
      <c r="D378" s="102" t="n"/>
    </row>
    <row r="379">
      <c r="D379" s="102" t="n"/>
    </row>
    <row r="380">
      <c r="D380" s="102" t="n"/>
    </row>
    <row r="381">
      <c r="D381" s="102" t="n"/>
    </row>
    <row r="382">
      <c r="D382" s="102" t="n"/>
    </row>
    <row r="383">
      <c r="D383" s="102" t="n"/>
    </row>
    <row r="384">
      <c r="D384" s="102" t="n"/>
    </row>
    <row r="385">
      <c r="D385" s="102" t="n"/>
    </row>
    <row r="386">
      <c r="D386" s="102" t="n"/>
    </row>
    <row r="387">
      <c r="D387" s="102" t="n"/>
    </row>
    <row r="388">
      <c r="D388" s="102" t="n"/>
    </row>
    <row r="389">
      <c r="D389" s="102" t="n"/>
    </row>
    <row r="390">
      <c r="D390" s="102" t="n"/>
    </row>
    <row r="391">
      <c r="D391" s="102" t="n"/>
    </row>
    <row r="392">
      <c r="D392" s="102" t="n"/>
    </row>
    <row r="393">
      <c r="D393" s="102" t="n"/>
    </row>
    <row r="394">
      <c r="D394" s="102" t="n"/>
    </row>
    <row r="395">
      <c r="D395" s="102" t="n"/>
    </row>
    <row r="396">
      <c r="D396" s="102" t="n"/>
    </row>
    <row r="397">
      <c r="D397" s="102" t="n"/>
    </row>
    <row r="398">
      <c r="D398" s="102" t="n"/>
    </row>
    <row r="399">
      <c r="D399" s="102" t="n"/>
    </row>
    <row r="400">
      <c r="D400" s="102" t="n"/>
    </row>
    <row r="401">
      <c r="D401" s="102" t="n"/>
    </row>
    <row r="402">
      <c r="D402" s="102" t="n"/>
    </row>
    <row r="403">
      <c r="D403" s="102" t="n"/>
    </row>
    <row r="404">
      <c r="D404" s="102" t="n"/>
    </row>
    <row r="405">
      <c r="D405" s="102" t="n"/>
    </row>
    <row r="406">
      <c r="D406" s="102" t="n"/>
    </row>
    <row r="407">
      <c r="D407" s="102" t="n"/>
    </row>
    <row r="408">
      <c r="D408" s="102" t="n"/>
    </row>
    <row r="409">
      <c r="D409" s="102" t="n"/>
    </row>
    <row r="410">
      <c r="D410" s="102" t="n"/>
    </row>
    <row r="411">
      <c r="D411" s="102" t="n"/>
    </row>
    <row r="412">
      <c r="D412" s="102" t="n"/>
    </row>
    <row r="413">
      <c r="D413" s="102" t="n"/>
    </row>
    <row r="414">
      <c r="D414" s="102" t="n"/>
    </row>
    <row r="415">
      <c r="D415" s="102" t="n"/>
    </row>
    <row r="416">
      <c r="D416" s="102" t="n"/>
    </row>
    <row r="417">
      <c r="D417" s="102" t="n"/>
    </row>
    <row r="418">
      <c r="D418" s="102" t="n"/>
    </row>
    <row r="419">
      <c r="D419" s="102" t="n"/>
    </row>
    <row r="420">
      <c r="D420" s="102" t="n"/>
    </row>
    <row r="421">
      <c r="D421" s="102" t="n"/>
    </row>
    <row r="422">
      <c r="D422" s="102" t="n"/>
    </row>
    <row r="423">
      <c r="D423" s="102" t="n"/>
    </row>
    <row r="424">
      <c r="D424" s="102" t="n"/>
    </row>
    <row r="425">
      <c r="D425" s="102" t="n"/>
    </row>
    <row r="426">
      <c r="D426" s="102" t="n"/>
    </row>
    <row r="427">
      <c r="D427" s="102" t="n"/>
    </row>
    <row r="428">
      <c r="D428" s="102" t="n"/>
    </row>
    <row r="429">
      <c r="D429" s="102" t="n"/>
    </row>
    <row r="430">
      <c r="D430" s="102" t="n"/>
    </row>
    <row r="431">
      <c r="D431" s="102" t="n"/>
    </row>
    <row r="432">
      <c r="D432" s="102" t="n"/>
    </row>
    <row r="433">
      <c r="D433" s="102" t="n"/>
    </row>
    <row r="434">
      <c r="D434" s="102" t="n"/>
    </row>
    <row r="435">
      <c r="D435" s="102" t="n"/>
    </row>
    <row r="436">
      <c r="D436" s="102" t="n"/>
    </row>
    <row r="437">
      <c r="D437" s="102" t="n"/>
    </row>
    <row r="438">
      <c r="D438" s="102" t="n"/>
    </row>
    <row r="439">
      <c r="D439" s="102" t="n"/>
    </row>
    <row r="440">
      <c r="D440" s="102" t="n"/>
    </row>
    <row r="441">
      <c r="D441" s="102" t="n"/>
    </row>
    <row r="442">
      <c r="D442" s="102" t="n"/>
    </row>
    <row r="443">
      <c r="D443" s="102" t="n"/>
    </row>
    <row r="444">
      <c r="D444" s="102" t="n"/>
    </row>
    <row r="445">
      <c r="D445" s="102" t="n"/>
    </row>
    <row r="446">
      <c r="D446" s="102" t="n"/>
    </row>
    <row r="447">
      <c r="D447" s="102" t="n"/>
    </row>
    <row r="448">
      <c r="D448" s="102" t="n"/>
    </row>
    <row r="449">
      <c r="D449" s="102" t="n"/>
    </row>
    <row r="450">
      <c r="D450" s="102" t="n"/>
    </row>
    <row r="451">
      <c r="D451" s="102" t="n"/>
    </row>
    <row r="452">
      <c r="D452" s="102" t="n"/>
    </row>
    <row r="453">
      <c r="D453" s="102" t="n"/>
    </row>
    <row r="454">
      <c r="D454" s="102" t="n"/>
    </row>
    <row r="455">
      <c r="D455" s="102" t="n"/>
    </row>
    <row r="456">
      <c r="D456" s="102" t="n"/>
    </row>
    <row r="457">
      <c r="D457" s="102" t="n"/>
    </row>
    <row r="458">
      <c r="D458" s="102" t="n"/>
    </row>
    <row r="459">
      <c r="D459" s="102" t="n"/>
    </row>
    <row r="460">
      <c r="D460" s="102" t="n"/>
    </row>
    <row r="461">
      <c r="D461" s="102" t="n"/>
    </row>
    <row r="462">
      <c r="D462" s="102" t="n"/>
    </row>
    <row r="463">
      <c r="D463" s="102" t="n"/>
    </row>
    <row r="464">
      <c r="D464" s="102" t="n"/>
    </row>
    <row r="465">
      <c r="D465" s="102" t="n"/>
    </row>
    <row r="466">
      <c r="D466" s="102" t="n"/>
    </row>
    <row r="467">
      <c r="D467" s="102" t="n"/>
    </row>
    <row r="468">
      <c r="D468" s="102" t="n"/>
    </row>
    <row r="469">
      <c r="D469" s="102" t="n"/>
    </row>
    <row r="470">
      <c r="D470" s="102" t="n"/>
    </row>
    <row r="471">
      <c r="D471" s="102" t="n"/>
    </row>
    <row r="472">
      <c r="D472" s="102" t="n"/>
    </row>
    <row r="473">
      <c r="D473" s="102" t="n"/>
    </row>
    <row r="474">
      <c r="D474" s="102" t="n"/>
    </row>
    <row r="475">
      <c r="D475" s="102" t="n"/>
    </row>
    <row r="476">
      <c r="D476" s="102" t="n"/>
    </row>
    <row r="477">
      <c r="D477" s="102" t="n"/>
    </row>
    <row r="478">
      <c r="D478" s="102" t="n"/>
    </row>
    <row r="479">
      <c r="D479" s="102" t="n"/>
    </row>
    <row r="480">
      <c r="D480" s="102" t="n"/>
    </row>
    <row r="481">
      <c r="D481" s="102" t="n"/>
    </row>
    <row r="482">
      <c r="D482" s="102" t="n"/>
    </row>
    <row r="483">
      <c r="D483" s="102" t="n"/>
    </row>
    <row r="484">
      <c r="D484" s="102" t="n"/>
    </row>
    <row r="485">
      <c r="D485" s="102" t="n"/>
    </row>
    <row r="486">
      <c r="D486" s="102" t="n"/>
    </row>
    <row r="487">
      <c r="D487" s="102" t="n"/>
    </row>
    <row r="488">
      <c r="D488" s="102" t="n"/>
    </row>
    <row r="489">
      <c r="D489" s="102" t="n"/>
    </row>
    <row r="490">
      <c r="D490" s="102" t="n"/>
    </row>
    <row r="491">
      <c r="D491" s="102" t="n"/>
    </row>
    <row r="492">
      <c r="D492" s="102" t="n"/>
    </row>
    <row r="493">
      <c r="D493" s="102" t="n"/>
    </row>
    <row r="494">
      <c r="D494" s="102" t="n"/>
    </row>
    <row r="495">
      <c r="D495" s="102" t="n"/>
    </row>
    <row r="496">
      <c r="D496" s="102" t="n"/>
    </row>
    <row r="497">
      <c r="D497" s="102" t="n"/>
    </row>
    <row r="498">
      <c r="D498" s="102" t="n"/>
    </row>
    <row r="499">
      <c r="D499" s="102" t="n"/>
    </row>
    <row r="500">
      <c r="D500" s="102" t="n"/>
    </row>
    <row r="501">
      <c r="D501" s="102" t="n"/>
    </row>
    <row r="502">
      <c r="D502" s="102" t="n"/>
    </row>
    <row r="503">
      <c r="D503" s="102" t="n"/>
    </row>
    <row r="504">
      <c r="D504" s="102" t="n"/>
    </row>
    <row r="505">
      <c r="D505" s="102" t="n"/>
    </row>
    <row r="506">
      <c r="D506" s="102" t="n"/>
    </row>
    <row r="507">
      <c r="D507" s="102" t="n"/>
    </row>
    <row r="508">
      <c r="D508" s="102" t="n"/>
    </row>
    <row r="509">
      <c r="D509" s="102" t="n"/>
    </row>
    <row r="510">
      <c r="D510" s="102" t="n"/>
    </row>
    <row r="511">
      <c r="D511" s="102" t="n"/>
    </row>
    <row r="512">
      <c r="D512" s="102" t="n"/>
    </row>
    <row r="513">
      <c r="D513" s="102" t="n"/>
    </row>
    <row r="514">
      <c r="D514" s="102" t="n"/>
    </row>
    <row r="515">
      <c r="D515" s="102" t="n"/>
    </row>
    <row r="516">
      <c r="D516" s="102" t="n"/>
    </row>
    <row r="517">
      <c r="D517" s="102" t="n"/>
    </row>
    <row r="518">
      <c r="D518" s="102" t="n"/>
    </row>
    <row r="519">
      <c r="D519" s="102" t="n"/>
    </row>
    <row r="520">
      <c r="D520" s="102" t="n"/>
    </row>
    <row r="521">
      <c r="D521" s="102" t="n"/>
    </row>
    <row r="522">
      <c r="D522" s="102" t="n"/>
    </row>
    <row r="523">
      <c r="D523" s="102" t="n"/>
    </row>
    <row r="524">
      <c r="D524" s="102" t="n"/>
    </row>
    <row r="525">
      <c r="D525" s="102" t="n"/>
    </row>
    <row r="526">
      <c r="D526" s="102" t="n"/>
    </row>
    <row r="527">
      <c r="D527" s="102" t="n"/>
    </row>
    <row r="528">
      <c r="D528" s="102" t="n"/>
    </row>
    <row r="529">
      <c r="D529" s="102" t="n"/>
    </row>
    <row r="530">
      <c r="D530" s="102" t="n"/>
    </row>
    <row r="531">
      <c r="D531" s="102" t="n"/>
    </row>
    <row r="532">
      <c r="D532" s="102" t="n"/>
    </row>
    <row r="533">
      <c r="D533" s="102" t="n"/>
    </row>
    <row r="534">
      <c r="D534" s="102" t="n"/>
    </row>
    <row r="535">
      <c r="D535" s="102" t="n"/>
    </row>
    <row r="536">
      <c r="D536" s="102" t="n"/>
    </row>
    <row r="537">
      <c r="D537" s="102" t="n"/>
    </row>
    <row r="538">
      <c r="D538" s="102" t="n"/>
    </row>
    <row r="539">
      <c r="D539" s="102" t="n"/>
    </row>
    <row r="540">
      <c r="D540" s="102" t="n"/>
    </row>
    <row r="541">
      <c r="D541" s="102" t="n"/>
    </row>
    <row r="542">
      <c r="D542" s="102" t="n"/>
    </row>
    <row r="543">
      <c r="D543" s="102" t="n"/>
    </row>
    <row r="544">
      <c r="D544" s="102" t="n"/>
    </row>
    <row r="545">
      <c r="D545" s="102" t="n"/>
    </row>
    <row r="546">
      <c r="D546" s="102" t="n"/>
    </row>
    <row r="547">
      <c r="D547" s="102" t="n"/>
    </row>
    <row r="548">
      <c r="D548" s="102" t="n"/>
    </row>
    <row r="549">
      <c r="D549" s="102" t="n"/>
    </row>
    <row r="550">
      <c r="D550" s="102" t="n"/>
    </row>
    <row r="551">
      <c r="D551" s="102" t="n"/>
    </row>
    <row r="552">
      <c r="D552" s="102" t="n"/>
    </row>
    <row r="553">
      <c r="D553" s="102" t="n"/>
    </row>
    <row r="554">
      <c r="D554" s="102" t="n"/>
    </row>
    <row r="555">
      <c r="D555" s="102" t="n"/>
    </row>
    <row r="556">
      <c r="D556" s="102" t="n"/>
    </row>
    <row r="557">
      <c r="D557" s="102" t="n"/>
    </row>
    <row r="558">
      <c r="D558" s="102" t="n"/>
    </row>
    <row r="559">
      <c r="D559" s="102" t="n"/>
    </row>
    <row r="560">
      <c r="D560" s="102" t="n"/>
    </row>
    <row r="561">
      <c r="D561" s="102" t="n"/>
    </row>
    <row r="562">
      <c r="D562" s="102" t="n"/>
    </row>
    <row r="563">
      <c r="D563" s="102" t="n"/>
    </row>
    <row r="564">
      <c r="D564" s="102" t="n"/>
    </row>
    <row r="565">
      <c r="D565" s="102" t="n"/>
    </row>
    <row r="566">
      <c r="D566" s="102" t="n"/>
    </row>
    <row r="567">
      <c r="D567" s="102" t="n"/>
    </row>
    <row r="568">
      <c r="D568" s="102" t="n"/>
    </row>
    <row r="569">
      <c r="D569" s="102" t="n"/>
    </row>
    <row r="570">
      <c r="D570" s="102" t="n"/>
    </row>
    <row r="571">
      <c r="D571" s="102" t="n"/>
    </row>
    <row r="572">
      <c r="D572" s="102" t="n"/>
    </row>
    <row r="573">
      <c r="D573" s="102" t="n"/>
    </row>
    <row r="574">
      <c r="D574" s="102" t="n"/>
    </row>
    <row r="575">
      <c r="D575" s="102" t="n"/>
    </row>
    <row r="576">
      <c r="D576" s="102" t="n"/>
    </row>
    <row r="577">
      <c r="D577" s="102" t="n"/>
    </row>
    <row r="578">
      <c r="D578" s="102" t="n"/>
    </row>
    <row r="579">
      <c r="D579" s="102" t="n"/>
    </row>
    <row r="580">
      <c r="D580" s="102" t="n"/>
    </row>
    <row r="581">
      <c r="D581" s="102" t="n"/>
    </row>
    <row r="582">
      <c r="D582" s="102" t="n"/>
    </row>
    <row r="583">
      <c r="D583" s="102" t="n"/>
    </row>
    <row r="584">
      <c r="D584" s="102" t="n"/>
    </row>
    <row r="585">
      <c r="D585" s="102" t="n"/>
    </row>
    <row r="586">
      <c r="D586" s="102" t="n"/>
    </row>
    <row r="587">
      <c r="D587" s="102" t="n"/>
    </row>
    <row r="588">
      <c r="D588" s="102" t="n"/>
    </row>
    <row r="589">
      <c r="D589" s="102" t="n"/>
    </row>
    <row r="590">
      <c r="D590" s="102" t="n"/>
    </row>
    <row r="591">
      <c r="D591" s="102" t="n"/>
    </row>
    <row r="592">
      <c r="D592" s="102" t="n"/>
    </row>
    <row r="593">
      <c r="D593" s="102" t="n"/>
    </row>
    <row r="594">
      <c r="D594" s="102" t="n"/>
    </row>
    <row r="595">
      <c r="D595" s="102" t="n"/>
    </row>
    <row r="596">
      <c r="D596" s="102" t="n"/>
    </row>
    <row r="597">
      <c r="D597" s="102" t="n"/>
    </row>
    <row r="598">
      <c r="D598" s="102" t="n"/>
    </row>
    <row r="599">
      <c r="D599" s="102" t="n"/>
    </row>
    <row r="600">
      <c r="D600" s="102" t="n"/>
    </row>
    <row r="601">
      <c r="D601" s="102" t="n"/>
    </row>
    <row r="602">
      <c r="D602" s="102" t="n"/>
    </row>
    <row r="603">
      <c r="D603" s="102" t="n"/>
    </row>
    <row r="604">
      <c r="D604" s="102" t="n"/>
    </row>
    <row r="605">
      <c r="D605" s="102" t="n"/>
    </row>
    <row r="606">
      <c r="D606" s="102" t="n"/>
    </row>
    <row r="607">
      <c r="D607" s="102" t="n"/>
    </row>
    <row r="608">
      <c r="D608" s="102" t="n"/>
    </row>
    <row r="609">
      <c r="D609" s="102" t="n"/>
    </row>
    <row r="610">
      <c r="D610" s="102" t="n"/>
    </row>
    <row r="611">
      <c r="D611" s="102" t="n"/>
    </row>
    <row r="612">
      <c r="D612" s="102" t="n"/>
    </row>
    <row r="613">
      <c r="D613" s="102" t="n"/>
    </row>
    <row r="614">
      <c r="D614" s="102" t="n"/>
    </row>
    <row r="615">
      <c r="D615" s="102" t="n"/>
    </row>
    <row r="616">
      <c r="D616" s="102" t="n"/>
    </row>
    <row r="617">
      <c r="D617" s="102" t="n"/>
    </row>
    <row r="618">
      <c r="D618" s="102" t="n"/>
    </row>
    <row r="619">
      <c r="D619" s="102" t="n"/>
    </row>
    <row r="620">
      <c r="D620" s="102" t="n"/>
    </row>
    <row r="621">
      <c r="D621" s="102" t="n"/>
    </row>
    <row r="622">
      <c r="D622" s="102" t="n"/>
    </row>
    <row r="623">
      <c r="D623" s="102" t="n"/>
    </row>
    <row r="624">
      <c r="D624" s="102" t="n"/>
    </row>
    <row r="625">
      <c r="D625" s="102" t="n"/>
    </row>
    <row r="626">
      <c r="D626" s="102" t="n"/>
    </row>
    <row r="627">
      <c r="D627" s="102" t="n"/>
    </row>
    <row r="628">
      <c r="D628" s="102" t="n"/>
    </row>
    <row r="629">
      <c r="D629" s="102" t="n"/>
    </row>
    <row r="630">
      <c r="D630" s="102" t="n"/>
    </row>
    <row r="631">
      <c r="D631" s="102" t="n"/>
    </row>
    <row r="632">
      <c r="D632" s="102" t="n"/>
    </row>
    <row r="633">
      <c r="D633" s="102" t="n"/>
    </row>
    <row r="634">
      <c r="D634" s="102" t="n"/>
    </row>
    <row r="635">
      <c r="D635" s="102" t="n"/>
    </row>
    <row r="636">
      <c r="D636" s="102" t="n"/>
    </row>
    <row r="637">
      <c r="D637" s="102" t="n"/>
    </row>
    <row r="638">
      <c r="D638" s="102" t="n"/>
    </row>
    <row r="639">
      <c r="D639" s="102" t="n"/>
    </row>
    <row r="640">
      <c r="D640" s="102" t="n"/>
    </row>
    <row r="641">
      <c r="D641" s="102" t="n"/>
    </row>
    <row r="642">
      <c r="D642" s="102" t="n"/>
    </row>
    <row r="643">
      <c r="D643" s="102" t="n"/>
    </row>
    <row r="644">
      <c r="D644" s="102" t="n"/>
    </row>
    <row r="645">
      <c r="D645" s="102" t="n"/>
    </row>
    <row r="646">
      <c r="D646" s="102" t="n"/>
    </row>
    <row r="647">
      <c r="D647" s="102" t="n"/>
    </row>
    <row r="648">
      <c r="D648" s="102" t="n"/>
    </row>
    <row r="649">
      <c r="D649" s="102" t="n"/>
    </row>
    <row r="650">
      <c r="D650" s="102" t="n"/>
    </row>
    <row r="651">
      <c r="D651" s="102" t="n"/>
    </row>
    <row r="652">
      <c r="D652" s="102" t="n"/>
    </row>
    <row r="653">
      <c r="D653" s="102" t="n"/>
    </row>
    <row r="654">
      <c r="D654" s="102" t="n"/>
    </row>
    <row r="655">
      <c r="D655" s="102" t="n"/>
    </row>
    <row r="656">
      <c r="D656" s="102" t="n"/>
    </row>
    <row r="657">
      <c r="D657" s="102" t="n"/>
    </row>
    <row r="658">
      <c r="D658" s="102" t="n"/>
    </row>
    <row r="659">
      <c r="D659" s="102" t="n"/>
    </row>
    <row r="660">
      <c r="D660" s="102" t="n"/>
    </row>
    <row r="661">
      <c r="D661" s="102" t="n"/>
    </row>
    <row r="662">
      <c r="D662" s="102" t="n"/>
    </row>
    <row r="663">
      <c r="D663" s="102" t="n"/>
    </row>
    <row r="664">
      <c r="D664" s="102" t="n"/>
    </row>
    <row r="665">
      <c r="D665" s="102" t="n"/>
    </row>
    <row r="666">
      <c r="D666" s="102" t="n"/>
    </row>
    <row r="667">
      <c r="D667" s="102" t="n"/>
    </row>
    <row r="668">
      <c r="D668" s="102" t="n"/>
    </row>
    <row r="669">
      <c r="D669" s="102" t="n"/>
    </row>
    <row r="670">
      <c r="D670" s="102" t="n"/>
    </row>
    <row r="671">
      <c r="D671" s="102" t="n"/>
    </row>
    <row r="672">
      <c r="D672" s="102" t="n"/>
    </row>
    <row r="673">
      <c r="D673" s="102" t="n"/>
    </row>
    <row r="674">
      <c r="D674" s="102" t="n"/>
    </row>
    <row r="675">
      <c r="D675" s="102" t="n"/>
    </row>
    <row r="676">
      <c r="D676" s="102" t="n"/>
    </row>
    <row r="677">
      <c r="D677" s="102" t="n"/>
    </row>
    <row r="678">
      <c r="D678" s="102" t="n"/>
    </row>
    <row r="679">
      <c r="D679" s="102" t="n"/>
    </row>
    <row r="680">
      <c r="D680" s="102" t="n"/>
    </row>
    <row r="681">
      <c r="D681" s="102" t="n"/>
    </row>
    <row r="682">
      <c r="D682" s="102" t="n"/>
    </row>
    <row r="683">
      <c r="D683" s="102" t="n"/>
    </row>
    <row r="684">
      <c r="D684" s="102" t="n"/>
    </row>
    <row r="685">
      <c r="D685" s="102" t="n"/>
    </row>
    <row r="686">
      <c r="D686" s="102" t="n"/>
    </row>
    <row r="687">
      <c r="D687" s="102" t="n"/>
    </row>
    <row r="688">
      <c r="D688" s="102" t="n"/>
    </row>
    <row r="689">
      <c r="D689" s="102" t="n"/>
    </row>
    <row r="690">
      <c r="D690" s="102" t="n"/>
    </row>
    <row r="691">
      <c r="D691" s="102" t="n"/>
    </row>
    <row r="692">
      <c r="D692" s="102" t="n"/>
    </row>
    <row r="693">
      <c r="D693" s="102" t="n"/>
    </row>
    <row r="694">
      <c r="D694" s="102" t="n"/>
    </row>
    <row r="695">
      <c r="D695" s="102" t="n"/>
    </row>
    <row r="696">
      <c r="D696" s="102" t="n"/>
    </row>
    <row r="697">
      <c r="D697" s="102" t="n"/>
    </row>
    <row r="698">
      <c r="D698" s="102" t="n"/>
    </row>
    <row r="699">
      <c r="D699" s="102" t="n"/>
    </row>
    <row r="700">
      <c r="D700" s="102" t="n"/>
    </row>
    <row r="701">
      <c r="D701" s="102" t="n"/>
    </row>
    <row r="702">
      <c r="D702" s="102" t="n"/>
    </row>
    <row r="703">
      <c r="D703" s="102" t="n"/>
    </row>
    <row r="704">
      <c r="D704" s="102" t="n"/>
    </row>
    <row r="705">
      <c r="D705" s="102" t="n"/>
    </row>
    <row r="706">
      <c r="D706" s="102" t="n"/>
    </row>
    <row r="707">
      <c r="D707" s="102" t="n"/>
    </row>
    <row r="708">
      <c r="D708" s="102" t="n"/>
    </row>
    <row r="709">
      <c r="D709" s="102" t="n"/>
    </row>
    <row r="710">
      <c r="D710" s="102" t="n"/>
    </row>
    <row r="711">
      <c r="D711" s="102" t="n"/>
    </row>
    <row r="712">
      <c r="D712" s="102" t="n"/>
    </row>
    <row r="713">
      <c r="D713" s="102" t="n"/>
    </row>
    <row r="714">
      <c r="D714" s="102" t="n"/>
    </row>
    <row r="715">
      <c r="D715" s="102" t="n"/>
    </row>
    <row r="716">
      <c r="D716" s="102" t="n"/>
    </row>
    <row r="717">
      <c r="D717" s="102" t="n"/>
    </row>
    <row r="718">
      <c r="D718" s="102" t="n"/>
    </row>
    <row r="719">
      <c r="D719" s="102" t="n"/>
    </row>
    <row r="720">
      <c r="D720" s="102" t="n"/>
    </row>
    <row r="721">
      <c r="D721" s="102" t="n"/>
    </row>
    <row r="722">
      <c r="D722" s="102" t="n"/>
    </row>
    <row r="723">
      <c r="D723" s="102" t="n"/>
    </row>
    <row r="724">
      <c r="D724" s="102" t="n"/>
    </row>
    <row r="725">
      <c r="D725" s="102" t="n"/>
    </row>
    <row r="726">
      <c r="D726" s="102" t="n"/>
    </row>
    <row r="727">
      <c r="D727" s="102" t="n"/>
    </row>
    <row r="728">
      <c r="D728" s="102" t="n"/>
    </row>
    <row r="729">
      <c r="D729" s="102" t="n"/>
    </row>
    <row r="730">
      <c r="D730" s="102" t="n"/>
    </row>
    <row r="731">
      <c r="D731" s="102" t="n"/>
    </row>
    <row r="732">
      <c r="D732" s="102" t="n"/>
    </row>
    <row r="733">
      <c r="D733" s="102" t="n"/>
    </row>
    <row r="734">
      <c r="D734" s="102" t="n"/>
    </row>
    <row r="735">
      <c r="D735" s="102" t="n"/>
    </row>
    <row r="736">
      <c r="D736" s="102" t="n"/>
    </row>
    <row r="737">
      <c r="D737" s="102" t="n"/>
    </row>
    <row r="738">
      <c r="D738" s="102" t="n"/>
    </row>
    <row r="739">
      <c r="D739" s="102" t="n"/>
    </row>
    <row r="740">
      <c r="D740" s="102" t="n"/>
    </row>
    <row r="741">
      <c r="D741" s="102" t="n"/>
    </row>
    <row r="742">
      <c r="D742" s="102" t="n"/>
    </row>
    <row r="743">
      <c r="D743" s="102" t="n"/>
    </row>
    <row r="744">
      <c r="D744" s="102" t="n"/>
    </row>
    <row r="745">
      <c r="D745" s="102" t="n"/>
    </row>
    <row r="746">
      <c r="D746" s="102" t="n"/>
    </row>
    <row r="747">
      <c r="D747" s="102" t="n"/>
    </row>
    <row r="748">
      <c r="D748" s="102" t="n"/>
    </row>
    <row r="749">
      <c r="D749" s="102" t="n"/>
    </row>
    <row r="750">
      <c r="D750" s="102" t="n"/>
    </row>
    <row r="751">
      <c r="D751" s="102" t="n"/>
    </row>
    <row r="752">
      <c r="D752" s="102" t="n"/>
    </row>
    <row r="753">
      <c r="D753" s="102" t="n"/>
    </row>
    <row r="754">
      <c r="D754" s="102" t="n"/>
    </row>
    <row r="755">
      <c r="D755" s="102" t="n"/>
    </row>
    <row r="756">
      <c r="D756" s="102" t="n"/>
    </row>
    <row r="757">
      <c r="D757" s="102" t="n"/>
    </row>
    <row r="758">
      <c r="D758" s="102" t="n"/>
    </row>
    <row r="759">
      <c r="D759" s="102" t="n"/>
    </row>
    <row r="760">
      <c r="D760" s="102" t="n"/>
    </row>
    <row r="761">
      <c r="D761" s="102" t="n"/>
    </row>
    <row r="762">
      <c r="D762" s="102" t="n"/>
    </row>
    <row r="763">
      <c r="D763" s="102" t="n"/>
    </row>
    <row r="764">
      <c r="D764" s="102" t="n"/>
    </row>
    <row r="765">
      <c r="D765" s="102" t="n"/>
    </row>
    <row r="766">
      <c r="D766" s="102" t="n"/>
    </row>
    <row r="767">
      <c r="D767" s="102" t="n"/>
    </row>
    <row r="768">
      <c r="D768" s="102" t="n"/>
    </row>
    <row r="769">
      <c r="D769" s="102" t="n"/>
    </row>
    <row r="770">
      <c r="D770" s="102" t="n"/>
    </row>
    <row r="771">
      <c r="D771" s="102" t="n"/>
    </row>
    <row r="772">
      <c r="D772" s="102" t="n"/>
    </row>
    <row r="773">
      <c r="D773" s="102" t="n"/>
    </row>
    <row r="774">
      <c r="D774" s="102" t="n"/>
    </row>
    <row r="775">
      <c r="D775" s="102" t="n"/>
    </row>
    <row r="776">
      <c r="D776" s="102" t="n"/>
    </row>
    <row r="777">
      <c r="D777" s="102" t="n"/>
    </row>
    <row r="778">
      <c r="D778" s="102" t="n"/>
    </row>
    <row r="779">
      <c r="D779" s="102" t="n"/>
    </row>
    <row r="780">
      <c r="D780" s="102" t="n"/>
    </row>
    <row r="781">
      <c r="D781" s="102" t="n"/>
    </row>
    <row r="782">
      <c r="D782" s="102" t="n"/>
    </row>
    <row r="783">
      <c r="D783" s="102" t="n"/>
    </row>
    <row r="784">
      <c r="D784" s="102" t="n"/>
    </row>
    <row r="785">
      <c r="D785" s="102" t="n"/>
    </row>
    <row r="786">
      <c r="D786" s="102" t="n"/>
    </row>
    <row r="787">
      <c r="D787" s="102" t="n"/>
    </row>
    <row r="788">
      <c r="D788" s="102" t="n"/>
    </row>
    <row r="789">
      <c r="D789" s="102" t="n"/>
    </row>
    <row r="790">
      <c r="D790" s="102" t="n"/>
    </row>
    <row r="791">
      <c r="D791" s="102" t="n"/>
    </row>
    <row r="792">
      <c r="D792" s="102" t="n"/>
    </row>
    <row r="793">
      <c r="D793" s="102" t="n"/>
    </row>
    <row r="794">
      <c r="D794" s="102" t="n"/>
    </row>
    <row r="795">
      <c r="D795" s="102" t="n"/>
    </row>
    <row r="796">
      <c r="D796" s="102" t="n"/>
    </row>
    <row r="797">
      <c r="D797" s="102" t="n"/>
    </row>
    <row r="798">
      <c r="D798" s="102" t="n"/>
    </row>
    <row r="799">
      <c r="D799" s="102" t="n"/>
    </row>
    <row r="800">
      <c r="D800" s="102" t="n"/>
    </row>
    <row r="801">
      <c r="D801" s="102" t="n"/>
    </row>
    <row r="802">
      <c r="D802" s="102" t="n"/>
    </row>
    <row r="803">
      <c r="D803" s="102" t="n"/>
    </row>
    <row r="804">
      <c r="D804" s="102" t="n"/>
    </row>
    <row r="805">
      <c r="D805" s="102" t="n"/>
    </row>
    <row r="806">
      <c r="D806" s="102" t="n"/>
    </row>
    <row r="807">
      <c r="D807" s="102" t="n"/>
    </row>
    <row r="808">
      <c r="D808" s="102" t="n"/>
    </row>
    <row r="809">
      <c r="D809" s="102" t="n"/>
    </row>
    <row r="810">
      <c r="D810" s="102" t="n"/>
    </row>
    <row r="811">
      <c r="D811" s="102" t="n"/>
    </row>
    <row r="812">
      <c r="D812" s="102" t="n"/>
    </row>
    <row r="813">
      <c r="D813" s="102" t="n"/>
    </row>
    <row r="814">
      <c r="D814" s="102" t="n"/>
    </row>
    <row r="815">
      <c r="D815" s="102" t="n"/>
    </row>
    <row r="816">
      <c r="D816" s="102" t="n"/>
    </row>
    <row r="817">
      <c r="D817" s="102" t="n"/>
    </row>
    <row r="818">
      <c r="D818" s="102" t="n"/>
    </row>
    <row r="819">
      <c r="D819" s="102" t="n"/>
    </row>
    <row r="820">
      <c r="D820" s="102" t="n"/>
    </row>
    <row r="821">
      <c r="D821" s="102" t="n"/>
    </row>
    <row r="822">
      <c r="D822" s="102" t="n"/>
    </row>
    <row r="823">
      <c r="D823" s="102" t="n"/>
    </row>
    <row r="824">
      <c r="D824" s="102" t="n"/>
    </row>
    <row r="825">
      <c r="D825" s="102" t="n"/>
    </row>
    <row r="826">
      <c r="D826" s="102" t="n"/>
    </row>
    <row r="827">
      <c r="D827" s="102" t="n"/>
    </row>
    <row r="828">
      <c r="D828" s="102" t="n"/>
    </row>
    <row r="829">
      <c r="D829" s="102" t="n"/>
    </row>
    <row r="830">
      <c r="D830" s="102" t="n"/>
    </row>
    <row r="831">
      <c r="D831" s="102" t="n"/>
    </row>
    <row r="832">
      <c r="D832" s="102" t="n"/>
    </row>
    <row r="833">
      <c r="D833" s="102" t="n"/>
    </row>
    <row r="834">
      <c r="D834" s="102" t="n"/>
    </row>
    <row r="835">
      <c r="D835" s="102" t="n"/>
    </row>
    <row r="836">
      <c r="D836" s="102" t="n"/>
    </row>
    <row r="837">
      <c r="D837" s="102" t="n"/>
    </row>
    <row r="838">
      <c r="D838" s="102" t="n"/>
    </row>
    <row r="839">
      <c r="D839" s="102" t="n"/>
    </row>
    <row r="840">
      <c r="D840" s="102" t="n"/>
    </row>
    <row r="841">
      <c r="D841" s="102" t="n"/>
    </row>
    <row r="842">
      <c r="D842" s="102" t="n"/>
    </row>
    <row r="843">
      <c r="D843" s="102" t="n"/>
    </row>
    <row r="844">
      <c r="D844" s="102" t="n"/>
    </row>
    <row r="845">
      <c r="D845" s="102" t="n"/>
    </row>
    <row r="846">
      <c r="D846" s="102" t="n"/>
    </row>
    <row r="847">
      <c r="D847" s="102" t="n"/>
    </row>
    <row r="848">
      <c r="D848" s="102" t="n"/>
    </row>
    <row r="849">
      <c r="D849" s="102" t="n"/>
    </row>
    <row r="850">
      <c r="D850" s="102" t="n"/>
    </row>
    <row r="851">
      <c r="D851" s="102" t="n"/>
    </row>
    <row r="852">
      <c r="D852" s="102" t="n"/>
    </row>
    <row r="853">
      <c r="D853" s="102" t="n"/>
    </row>
    <row r="854">
      <c r="D854" s="102" t="n"/>
    </row>
    <row r="855">
      <c r="D855" s="102" t="n"/>
    </row>
    <row r="856">
      <c r="D856" s="102" t="n"/>
    </row>
    <row r="857">
      <c r="D857" s="102" t="n"/>
    </row>
    <row r="858">
      <c r="D858" s="102" t="n"/>
    </row>
    <row r="859">
      <c r="D859" s="102" t="n"/>
    </row>
    <row r="860">
      <c r="D860" s="102" t="n"/>
    </row>
    <row r="861">
      <c r="D861" s="102" t="n"/>
    </row>
    <row r="862">
      <c r="D862" s="102" t="n"/>
    </row>
    <row r="863">
      <c r="D863" s="102" t="n"/>
    </row>
    <row r="864">
      <c r="D864" s="102" t="n"/>
    </row>
    <row r="865">
      <c r="D865" s="102" t="n"/>
    </row>
    <row r="866">
      <c r="D866" s="102" t="n"/>
    </row>
    <row r="867">
      <c r="D867" s="102" t="n"/>
    </row>
    <row r="868">
      <c r="D868" s="102" t="n"/>
    </row>
    <row r="869">
      <c r="D869" s="102" t="n"/>
    </row>
    <row r="870">
      <c r="D870" s="102" t="n"/>
    </row>
    <row r="871">
      <c r="D871" s="102" t="n"/>
    </row>
    <row r="872">
      <c r="D872" s="102" t="n"/>
    </row>
    <row r="873">
      <c r="D873" s="102" t="n"/>
    </row>
    <row r="874">
      <c r="D874" s="102" t="n"/>
    </row>
    <row r="875">
      <c r="D875" s="102" t="n"/>
    </row>
    <row r="876">
      <c r="D876" s="102" t="n"/>
    </row>
    <row r="877">
      <c r="D877" s="102" t="n"/>
    </row>
    <row r="878">
      <c r="D878" s="102" t="n"/>
    </row>
    <row r="879">
      <c r="D879" s="102" t="n"/>
    </row>
    <row r="880">
      <c r="D880" s="102" t="n"/>
    </row>
    <row r="881">
      <c r="D881" s="102" t="n"/>
    </row>
    <row r="882">
      <c r="D882" s="102" t="n"/>
    </row>
    <row r="883">
      <c r="D883" s="102" t="n"/>
    </row>
    <row r="884">
      <c r="D884" s="102" t="n"/>
    </row>
    <row r="885">
      <c r="D885" s="102" t="n"/>
    </row>
    <row r="886">
      <c r="D886" s="102" t="n"/>
    </row>
    <row r="887">
      <c r="D887" s="102" t="n"/>
    </row>
    <row r="888">
      <c r="D888" s="102" t="n"/>
    </row>
    <row r="889">
      <c r="D889" s="102" t="n"/>
    </row>
    <row r="890">
      <c r="D890" s="102" t="n"/>
    </row>
    <row r="891">
      <c r="D891" s="102" t="n"/>
    </row>
    <row r="892">
      <c r="D892" s="102" t="n"/>
    </row>
    <row r="893">
      <c r="D893" s="102" t="n"/>
    </row>
    <row r="894">
      <c r="D894" s="102" t="n"/>
    </row>
    <row r="895">
      <c r="D895" s="102" t="n"/>
    </row>
    <row r="896">
      <c r="D896" s="102" t="n"/>
    </row>
    <row r="897">
      <c r="D897" s="102" t="n"/>
    </row>
    <row r="898">
      <c r="D898" s="102" t="n"/>
    </row>
    <row r="899">
      <c r="D899" s="102" t="n"/>
    </row>
    <row r="900">
      <c r="D900" s="102" t="n"/>
    </row>
    <row r="901">
      <c r="D901" s="102" t="n"/>
    </row>
    <row r="902">
      <c r="D902" s="102" t="n"/>
    </row>
    <row r="903">
      <c r="D903" s="102" t="n"/>
    </row>
    <row r="904">
      <c r="D904" s="102" t="n"/>
    </row>
    <row r="905">
      <c r="D905" s="102" t="n"/>
    </row>
    <row r="906">
      <c r="D906" s="102" t="n"/>
    </row>
    <row r="907">
      <c r="D907" s="102" t="n"/>
    </row>
    <row r="908">
      <c r="D908" s="102" t="n"/>
    </row>
    <row r="909">
      <c r="D909" s="102" t="n"/>
    </row>
    <row r="910">
      <c r="D910" s="102" t="n"/>
    </row>
    <row r="911">
      <c r="D911" s="102" t="n"/>
    </row>
    <row r="912">
      <c r="D912" s="102" t="n"/>
    </row>
    <row r="913">
      <c r="D913" s="102" t="n"/>
    </row>
    <row r="914">
      <c r="D914" s="102" t="n"/>
    </row>
    <row r="915">
      <c r="D915" s="102" t="n"/>
    </row>
    <row r="916">
      <c r="D916" s="102" t="n"/>
    </row>
    <row r="917">
      <c r="D917" s="102" t="n"/>
    </row>
    <row r="918">
      <c r="D918" s="102" t="n"/>
    </row>
    <row r="919">
      <c r="D919" s="102" t="n"/>
    </row>
    <row r="920">
      <c r="D920" s="102" t="n"/>
    </row>
    <row r="921">
      <c r="D921" s="102" t="n"/>
    </row>
    <row r="922">
      <c r="D922" s="102" t="n"/>
    </row>
    <row r="923">
      <c r="D923" s="102" t="n"/>
    </row>
    <row r="924">
      <c r="D924" s="102" t="n"/>
    </row>
    <row r="925">
      <c r="D925" s="102" t="n"/>
    </row>
    <row r="926">
      <c r="D926" s="102" t="n"/>
    </row>
    <row r="927">
      <c r="D927" s="102" t="n"/>
    </row>
    <row r="928">
      <c r="D928" s="102" t="n"/>
    </row>
    <row r="929">
      <c r="D929" s="102" t="n"/>
    </row>
    <row r="930">
      <c r="D930" s="102" t="n"/>
    </row>
    <row r="931">
      <c r="D931" s="102" t="n"/>
    </row>
    <row r="932">
      <c r="D932" s="102" t="n"/>
    </row>
    <row r="933">
      <c r="D933" s="102" t="n"/>
    </row>
    <row r="934">
      <c r="D934" s="102" t="n"/>
    </row>
    <row r="935">
      <c r="D935" s="102" t="n"/>
    </row>
    <row r="936">
      <c r="D936" s="102" t="n"/>
    </row>
    <row r="937">
      <c r="D937" s="102" t="n"/>
    </row>
    <row r="938">
      <c r="D938" s="102" t="n"/>
    </row>
    <row r="939">
      <c r="D939" s="102" t="n"/>
    </row>
    <row r="940">
      <c r="D940" s="102" t="n"/>
    </row>
    <row r="941">
      <c r="D941" s="102" t="n"/>
    </row>
    <row r="942">
      <c r="D942" s="102" t="n"/>
    </row>
    <row r="943">
      <c r="D943" s="102" t="n"/>
    </row>
    <row r="944">
      <c r="D944" s="102" t="n"/>
    </row>
    <row r="945">
      <c r="D945" s="102" t="n"/>
    </row>
    <row r="946">
      <c r="D946" s="102" t="n"/>
    </row>
    <row r="947">
      <c r="D947" s="102" t="n"/>
    </row>
    <row r="948">
      <c r="D948" s="102" t="n"/>
    </row>
    <row r="949">
      <c r="D949" s="102" t="n"/>
    </row>
    <row r="950">
      <c r="D950" s="102" t="n"/>
    </row>
    <row r="951">
      <c r="D951" s="102" t="n"/>
    </row>
    <row r="952">
      <c r="D952" s="102" t="n"/>
    </row>
    <row r="953">
      <c r="D953" s="102" t="n"/>
    </row>
    <row r="954">
      <c r="D954" s="102" t="n"/>
    </row>
    <row r="955">
      <c r="D955" s="102" t="n"/>
    </row>
    <row r="956">
      <c r="D956" s="102" t="n"/>
    </row>
    <row r="957">
      <c r="D957" s="102" t="n"/>
    </row>
    <row r="958">
      <c r="D958" s="102" t="n"/>
    </row>
    <row r="959">
      <c r="D959" s="102" t="n"/>
    </row>
    <row r="960">
      <c r="D960" s="102" t="n"/>
    </row>
    <row r="961">
      <c r="D961" s="102" t="n"/>
    </row>
    <row r="962">
      <c r="D962" s="102" t="n"/>
    </row>
    <row r="963">
      <c r="D963" s="102" t="n"/>
    </row>
    <row r="964">
      <c r="D964" s="102" t="n"/>
    </row>
    <row r="965">
      <c r="D965" s="102" t="n"/>
    </row>
    <row r="966">
      <c r="D966" s="102" t="n"/>
    </row>
    <row r="967">
      <c r="D967" s="102" t="n"/>
    </row>
    <row r="968">
      <c r="D968" s="102" t="n"/>
    </row>
    <row r="969">
      <c r="D969" s="102" t="n"/>
    </row>
    <row r="970">
      <c r="D970" s="102" t="n"/>
    </row>
    <row r="971">
      <c r="D971" s="102" t="n"/>
    </row>
    <row r="972">
      <c r="D972" s="102" t="n"/>
    </row>
    <row r="973">
      <c r="D973" s="102" t="n"/>
    </row>
    <row r="974">
      <c r="D974" s="102" t="n"/>
    </row>
    <row r="975">
      <c r="D975" s="102" t="n"/>
    </row>
    <row r="976">
      <c r="D976" s="102" t="n"/>
    </row>
    <row r="977">
      <c r="D977" s="102" t="n"/>
    </row>
    <row r="978">
      <c r="D978" s="102" t="n"/>
    </row>
    <row r="979">
      <c r="D979" s="102" t="n"/>
    </row>
    <row r="980">
      <c r="D980" s="102" t="n"/>
    </row>
    <row r="981">
      <c r="D981" s="102" t="n"/>
    </row>
    <row r="982">
      <c r="D982" s="102" t="n"/>
    </row>
    <row r="983">
      <c r="D983" s="102" t="n"/>
    </row>
    <row r="984">
      <c r="D984" s="102" t="n"/>
    </row>
    <row r="985">
      <c r="D985" s="102" t="n"/>
    </row>
    <row r="986">
      <c r="D986" s="102" t="n"/>
    </row>
    <row r="987">
      <c r="D987" s="102" t="n"/>
    </row>
    <row r="988">
      <c r="D988" s="102" t="n"/>
    </row>
    <row r="989">
      <c r="D989" s="102" t="n"/>
    </row>
    <row r="990">
      <c r="D990" s="102" t="n"/>
    </row>
    <row r="991">
      <c r="D991" s="102" t="n"/>
    </row>
    <row r="992">
      <c r="D992" s="102" t="n"/>
    </row>
    <row r="993">
      <c r="D993" s="102" t="n"/>
    </row>
    <row r="994">
      <c r="D994" s="102" t="n"/>
    </row>
    <row r="995">
      <c r="D995" s="102" t="n"/>
    </row>
    <row r="996">
      <c r="D996" s="102" t="n"/>
    </row>
    <row r="997">
      <c r="D997" s="102" t="n"/>
    </row>
    <row r="998">
      <c r="D998" s="102" t="n"/>
    </row>
    <row r="999">
      <c r="D999" s="102" t="n"/>
    </row>
    <row r="1000">
      <c r="D1000" s="102" t="n"/>
    </row>
    <row r="1001">
      <c r="D1001" s="102" t="n"/>
    </row>
    <row r="1002">
      <c r="D1002" s="102" t="n"/>
    </row>
    <row r="1003">
      <c r="D1003" s="102" t="n"/>
    </row>
    <row r="1004">
      <c r="D1004" s="102" t="n"/>
    </row>
    <row r="1005">
      <c r="D1005" s="102" t="n"/>
    </row>
    <row r="1006">
      <c r="D1006" s="102" t="n"/>
    </row>
    <row r="1007">
      <c r="D1007" s="102" t="n"/>
    </row>
    <row r="1008">
      <c r="D1008" s="102" t="n"/>
    </row>
    <row r="1009">
      <c r="D1009" s="102" t="n"/>
    </row>
    <row r="1010">
      <c r="D1010" s="102" t="n"/>
    </row>
    <row r="1011">
      <c r="D1011" s="102" t="n"/>
    </row>
    <row r="1012">
      <c r="D1012" s="102" t="n"/>
    </row>
    <row r="1013">
      <c r="D1013" s="102" t="n"/>
    </row>
    <row r="1014">
      <c r="D1014" s="102" t="n"/>
    </row>
    <row r="1015">
      <c r="D1015" s="102" t="n"/>
    </row>
    <row r="1016">
      <c r="D1016" s="102" t="n"/>
    </row>
    <row r="1017">
      <c r="D1017" s="102" t="n"/>
    </row>
    <row r="1018">
      <c r="D1018" s="102" t="n"/>
    </row>
    <row r="1019">
      <c r="D1019" s="102" t="n"/>
    </row>
    <row r="1020">
      <c r="D1020" s="102" t="n"/>
    </row>
    <row r="1021">
      <c r="D1021" s="102" t="n"/>
    </row>
    <row r="1022">
      <c r="D1022" s="102" t="n"/>
    </row>
    <row r="1023">
      <c r="D1023" s="102" t="n"/>
    </row>
    <row r="1024">
      <c r="D1024" s="102" t="n"/>
    </row>
    <row r="1025">
      <c r="D1025" s="102" t="n"/>
    </row>
    <row r="1026">
      <c r="D1026" s="102" t="n"/>
    </row>
    <row r="1027">
      <c r="D1027" s="102" t="n"/>
    </row>
    <row r="1028">
      <c r="D1028" s="102" t="n"/>
    </row>
    <row r="1029">
      <c r="D1029" s="102" t="n"/>
    </row>
    <row r="1030">
      <c r="D1030" s="102" t="n"/>
    </row>
    <row r="1031">
      <c r="D1031" s="102" t="n"/>
    </row>
    <row r="1032">
      <c r="D1032" s="102" t="n"/>
    </row>
    <row r="1033">
      <c r="D1033" s="102" t="n"/>
    </row>
    <row r="1034">
      <c r="D1034" s="102" t="n"/>
    </row>
    <row r="1035">
      <c r="D1035" s="102" t="n"/>
    </row>
    <row r="1036">
      <c r="D1036" s="102" t="n"/>
    </row>
    <row r="1037">
      <c r="D1037" s="102" t="n"/>
    </row>
    <row r="1038">
      <c r="D1038" s="102" t="n"/>
    </row>
    <row r="1039">
      <c r="D1039" s="102" t="n"/>
    </row>
    <row r="1040">
      <c r="D1040" s="102" t="n"/>
    </row>
    <row r="1041">
      <c r="D1041" s="102" t="n"/>
    </row>
    <row r="1042">
      <c r="D1042" s="102" t="n"/>
    </row>
    <row r="1043">
      <c r="D1043" s="102" t="n"/>
    </row>
    <row r="1044">
      <c r="D1044" s="102" t="n"/>
    </row>
    <row r="1045">
      <c r="D1045" s="102" t="n"/>
    </row>
    <row r="1046">
      <c r="D1046" s="102" t="n"/>
    </row>
    <row r="1047">
      <c r="D1047" s="102" t="n"/>
    </row>
    <row r="1048">
      <c r="D1048" s="102" t="n"/>
    </row>
    <row r="1049">
      <c r="D1049" s="102" t="n"/>
    </row>
    <row r="1050">
      <c r="D1050" s="102" t="n"/>
    </row>
    <row r="1051">
      <c r="D1051" s="102" t="n"/>
    </row>
    <row r="1052">
      <c r="D1052" s="102" t="n"/>
    </row>
    <row r="1053">
      <c r="D1053" s="102" t="n"/>
    </row>
    <row r="1054">
      <c r="D1054" s="102" t="n"/>
    </row>
    <row r="1055">
      <c r="D1055" s="102" t="n"/>
    </row>
    <row r="1056">
      <c r="D1056" s="102" t="n"/>
    </row>
    <row r="1057">
      <c r="D1057" s="102" t="n"/>
    </row>
    <row r="1058">
      <c r="D1058" s="102" t="n"/>
    </row>
    <row r="1059">
      <c r="D1059" s="102" t="n"/>
    </row>
    <row r="1060">
      <c r="D1060" s="102" t="n"/>
    </row>
    <row r="1061">
      <c r="D1061" s="102" t="n"/>
    </row>
    <row r="1062">
      <c r="D1062" s="102" t="n"/>
    </row>
    <row r="1063">
      <c r="D1063" s="102" t="n"/>
    </row>
    <row r="1064">
      <c r="D1064" s="102" t="n"/>
    </row>
    <row r="1065">
      <c r="D1065" s="102" t="n"/>
    </row>
    <row r="1066">
      <c r="D1066" s="102" t="n"/>
    </row>
    <row r="1067">
      <c r="D1067" s="102" t="n"/>
    </row>
    <row r="1068">
      <c r="D1068" s="102" t="n"/>
    </row>
    <row r="1069">
      <c r="D1069" s="102" t="n"/>
    </row>
    <row r="1070">
      <c r="D1070" s="102" t="n"/>
    </row>
    <row r="1071">
      <c r="D1071" s="102" t="n"/>
    </row>
    <row r="1072">
      <c r="D1072" s="102" t="n"/>
    </row>
    <row r="1073">
      <c r="D1073" s="102" t="n"/>
    </row>
    <row r="1074">
      <c r="D1074" s="102" t="n"/>
    </row>
    <row r="1075">
      <c r="D1075" s="102" t="n"/>
    </row>
    <row r="1076">
      <c r="D1076" s="102" t="n"/>
    </row>
    <row r="1077">
      <c r="D1077" s="102" t="n"/>
    </row>
    <row r="1078">
      <c r="D1078" s="102" t="n"/>
    </row>
    <row r="1079">
      <c r="D1079" s="102" t="n"/>
    </row>
    <row r="1080">
      <c r="D1080" s="102" t="n"/>
    </row>
    <row r="1081">
      <c r="D1081" s="102" t="n"/>
    </row>
    <row r="1082">
      <c r="D1082" s="102" t="n"/>
    </row>
    <row r="1083">
      <c r="D1083" s="102" t="n"/>
    </row>
    <row r="1084">
      <c r="D1084" s="102" t="n"/>
    </row>
    <row r="1085">
      <c r="D1085" s="102" t="n"/>
    </row>
    <row r="1086">
      <c r="D1086" s="102" t="n"/>
    </row>
    <row r="1087">
      <c r="D1087" s="102" t="n"/>
    </row>
    <row r="1088">
      <c r="D1088" s="102" t="n"/>
    </row>
    <row r="1089">
      <c r="D1089" s="102" t="n"/>
    </row>
    <row r="1090">
      <c r="D1090" s="102" t="n"/>
    </row>
    <row r="1091">
      <c r="D1091" s="102" t="n"/>
    </row>
    <row r="1092">
      <c r="D1092" s="102" t="n"/>
    </row>
    <row r="1093">
      <c r="D1093" s="102" t="n"/>
    </row>
    <row r="1094">
      <c r="D1094" s="102" t="n"/>
    </row>
    <row r="1095">
      <c r="D1095" s="102" t="n"/>
    </row>
    <row r="1096">
      <c r="D1096" s="102" t="n"/>
    </row>
    <row r="1097">
      <c r="D1097" s="102" t="n"/>
    </row>
    <row r="1098">
      <c r="D1098" s="102" t="n"/>
    </row>
    <row r="1099">
      <c r="D1099" s="102" t="n"/>
    </row>
    <row r="1100">
      <c r="D1100" s="102" t="n"/>
    </row>
    <row r="1101">
      <c r="D1101" s="102" t="n"/>
    </row>
    <row r="1102">
      <c r="D1102" s="102" t="n"/>
    </row>
    <row r="1103">
      <c r="D1103" s="102" t="n"/>
    </row>
    <row r="1104">
      <c r="D1104" s="102" t="n"/>
    </row>
    <row r="1105">
      <c r="D1105" s="102" t="n"/>
    </row>
    <row r="1106">
      <c r="D1106" s="102" t="n"/>
    </row>
    <row r="1107">
      <c r="D1107" s="102" t="n"/>
    </row>
    <row r="1108">
      <c r="D1108" s="102" t="n"/>
    </row>
    <row r="1109">
      <c r="D1109" s="102" t="n"/>
    </row>
    <row r="1110">
      <c r="D1110" s="102" t="n"/>
    </row>
    <row r="1111">
      <c r="D1111" s="102" t="n"/>
    </row>
    <row r="1112">
      <c r="D1112" s="102" t="n"/>
    </row>
    <row r="1113">
      <c r="D1113" s="102" t="n"/>
    </row>
  </sheetData>
  <mergeCells count="12">
    <mergeCell ref="A1:D1"/>
    <mergeCell ref="C34:D34"/>
    <mergeCell ref="A189:D189"/>
    <mergeCell ref="C32:D32"/>
    <mergeCell ref="A50:D50"/>
    <mergeCell ref="C33:D33"/>
    <mergeCell ref="C27:D27"/>
    <mergeCell ref="C36:D36"/>
    <mergeCell ref="A7:D7"/>
    <mergeCell ref="C44:D44"/>
    <mergeCell ref="C28:D28"/>
    <mergeCell ref="C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2026-06-11T22:03:12Z</dcterms:created>
  <dcterms:modified xsi:type="dcterms:W3CDTF">2026-06-11T23:14:50Z</dcterms:modified>
</cp:coreProperties>
</file>