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Patrimônio Geral" sheetId="2" state="visible" r:id="rId2"/>
    <sheet name="Kit Padrão" sheetId="3" state="visible" r:id="rId3"/>
    <sheet name="Movimentações" sheetId="4" state="visible" r:id="rId4"/>
    <sheet name="Conferência Mensal" sheetId="5" state="visible" r:id="rId5"/>
    <sheet name="Termo · Deivson" sheetId="6" state="visible" r:id="rId6"/>
    <sheet name="Termo · Samuel" sheetId="7" state="visible" r:id="rId7"/>
    <sheet name="Termo · Jackson" sheetId="8" state="visible" r:id="rId8"/>
    <sheet name="Termo · Cezar" sheetId="9" state="visible" r:id="rId9"/>
    <sheet name="Termo · Jomar" sheetId="10" state="visible" r:id="rId10"/>
    <sheet name="Termo · Davi" sheetId="11" state="visible" r:id="rId11"/>
    <sheet name="Termo · J. Godoy" sheetId="12" state="visible" r:id="rId12"/>
    <sheet name="Termo · Joelson" sheetId="13" state="visible" r:id="rId13"/>
    <sheet name="Termo · MODELO CLT" sheetId="14" state="visible" r:id="rId14"/>
    <sheet name="Termo · MODELO PJ" sheetId="15" state="visible" r:id="rId15"/>
    <sheet name="Listas" sheetId="16" state="visible" r:id="rId16"/>
  </sheets>
  <definedNames>
    <definedName name="_xlnm.Print_Area" localSheetId="0">'Dashboard'!$A$1:$L$57</definedName>
    <definedName name="_xlnm._FilterDatabase" localSheetId="1" hidden="1">'Patrimônio Geral'!$A$6:$X$156</definedName>
    <definedName name="_xlnm.Print_Area" localSheetId="1">'Patrimônio Geral'!$A$1:$X$156</definedName>
    <definedName name="_xlnm.Print_Area" localSheetId="2">'Kit Padrão'!$A$1:$J$25</definedName>
    <definedName name="_xlnm._FilterDatabase" localSheetId="3" hidden="1">'Movimentações'!$A$6:$J$106</definedName>
    <definedName name="_xlnm.Print_Area" localSheetId="3">'Movimentações'!$A$1:$J$106</definedName>
    <definedName name="_xlnm.Print_Area" localSheetId="4">'Conferência Mensal'!$A$1:$J$86</definedName>
    <definedName name="_xlnm.Print_Area" localSheetId="5">'Termo · Deivson'!$A$1:$H$54</definedName>
    <definedName name="_xlnm.Print_Area" localSheetId="6">'Termo · Samuel'!$A$1:$H$54</definedName>
    <definedName name="_xlnm.Print_Area" localSheetId="7">'Termo · Jackson'!$A$1:$H$54</definedName>
    <definedName name="_xlnm.Print_Area" localSheetId="8">'Termo · Cezar'!$A$1:$H$54</definedName>
    <definedName name="_xlnm.Print_Area" localSheetId="9">'Termo · Jomar'!$A$1:$H$54</definedName>
    <definedName name="_xlnm.Print_Area" localSheetId="10">'Termo · Davi'!$A$1:$H$54</definedName>
    <definedName name="_xlnm.Print_Area" localSheetId="11">'Termo · J. Godoy'!$A$1:$H$54</definedName>
    <definedName name="_xlnm.Print_Area" localSheetId="12">'Termo · Joelson'!$A$1:$H$54</definedName>
    <definedName name="_xlnm.Print_Area" localSheetId="13">'Termo · MODELO CLT'!$A$1:$H$54</definedName>
    <definedName name="_xlnm.Print_Area" localSheetId="14">'Termo · MODELO PJ'!$A$1:$H$54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0.0%"/>
    <numFmt numFmtId="165" formatCode="DD/MM/YYYY"/>
    <numFmt numFmtId="166" formatCode="R$ #,##0.00"/>
    <numFmt numFmtId="167" formatCode="R$ #,##0"/>
  </numFmts>
  <fonts count="30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color rgb="001B2733"/>
      <sz val="10"/>
    </font>
    <font>
      <name val="Arial"/>
      <b val="1"/>
      <color rgb="000E2038"/>
      <sz val="9"/>
    </font>
    <font>
      <name val="Arial"/>
      <color rgb="001B2733"/>
      <sz val="9"/>
    </font>
    <font>
      <name val="Arial"/>
      <b val="1"/>
      <color rgb="0016314F"/>
      <sz val="11"/>
    </font>
    <font>
      <name val="Arial"/>
      <i val="1"/>
      <color rgb="006C7785"/>
      <sz val="8"/>
    </font>
    <font>
      <name val="Arial"/>
      <b val="1"/>
      <color rgb="00FFFFFF"/>
      <sz val="13"/>
    </font>
    <font>
      <name val="Arial"/>
      <color rgb="009FB0C4"/>
      <sz val="8"/>
    </font>
    <font>
      <name val="Arial"/>
      <b val="1"/>
      <color rgb="00FFFFFF"/>
      <sz val="15"/>
    </font>
    <font>
      <name val="Arial"/>
      <i val="1"/>
      <color rgb="007A5B17"/>
      <sz val="8.5"/>
    </font>
    <font>
      <name val="Arial"/>
      <b val="1"/>
      <color rgb="00FFFFFF"/>
      <sz val="8.5"/>
    </font>
    <font>
      <name val="Arial"/>
      <b val="1"/>
      <color rgb="007A5B17"/>
      <sz val="9"/>
    </font>
    <font>
      <name val="Arial"/>
      <color rgb="0016314F"/>
      <sz val="9"/>
    </font>
    <font>
      <name val="Arial"/>
      <color rgb="0041505D"/>
      <sz val="9"/>
    </font>
    <font>
      <name val="Arial"/>
      <b val="1"/>
      <color rgb="006C7785"/>
      <sz val="8"/>
    </font>
    <font>
      <name val="Arial"/>
      <b val="1"/>
      <color rgb="000E2038"/>
      <sz val="18"/>
    </font>
    <font>
      <name val="Arial"/>
      <b val="1"/>
      <color rgb="002F7D4F"/>
      <sz val="18"/>
    </font>
    <font>
      <name val="Arial"/>
      <b val="1"/>
      <color rgb="00B0413F"/>
      <sz val="18"/>
    </font>
    <font>
      <name val="Arial"/>
      <b val="1"/>
      <color rgb="002F5D8C"/>
      <sz val="18"/>
    </font>
    <font>
      <name val="Arial"/>
      <b val="1"/>
      <color rgb="000E2038"/>
      <sz val="8"/>
    </font>
    <font>
      <name val="Arial"/>
      <b val="1"/>
      <color rgb="00D8BD80"/>
      <sz val="9"/>
    </font>
    <font>
      <name val="Arial"/>
      <color rgb="007A5B17"/>
      <sz val="9"/>
    </font>
    <font>
      <name val="Arial"/>
      <color rgb="000E2038"/>
      <sz val="9"/>
    </font>
    <font>
      <name val="Arial"/>
      <b val="1"/>
      <color rgb="000E2038"/>
      <sz val="10"/>
    </font>
    <font>
      <name val="Arial"/>
      <b val="1"/>
      <color rgb="00D8BD80"/>
      <sz val="11"/>
    </font>
    <font>
      <name val="Arial"/>
      <color rgb="0033414F"/>
      <sz val="8.5"/>
    </font>
    <font>
      <name val="Arial"/>
      <color rgb="0033414F"/>
      <sz val="9"/>
    </font>
    <font>
      <name val="Arial"/>
      <color rgb="006C7785"/>
      <sz val="8"/>
    </font>
    <font>
      <name val="Arial"/>
      <i val="1"/>
      <color rgb="00B0413F"/>
      <sz val="8"/>
    </font>
  </fonts>
  <fills count="8">
    <fill>
      <patternFill/>
    </fill>
    <fill>
      <patternFill patternType="gray125"/>
    </fill>
    <fill>
      <patternFill patternType="solid">
        <fgColor rgb="0016314F"/>
      </patternFill>
    </fill>
    <fill>
      <patternFill patternType="solid">
        <fgColor rgb="00FFF9E3"/>
      </patternFill>
    </fill>
    <fill>
      <patternFill patternType="solid">
        <fgColor rgb="000E2038"/>
      </patternFill>
    </fill>
    <fill>
      <patternFill patternType="solid">
        <fgColor rgb="00F6EDD6"/>
      </patternFill>
    </fill>
    <fill>
      <patternFill patternType="solid">
        <fgColor rgb="00F4F6F8"/>
      </patternFill>
    </fill>
    <fill>
      <patternFill patternType="solid">
        <fgColor rgb="00FFFFFF"/>
      </patternFill>
    </fill>
  </fills>
  <borders count="9">
    <border>
      <left/>
      <right/>
      <top/>
      <bottom/>
      <diagonal/>
    </border>
    <border>
      <bottom style="thin">
        <color rgb="00DFDACD"/>
      </bottom>
    </border>
    <border>
      <left style="thin">
        <color rgb="0016314F"/>
      </left>
      <right style="thin">
        <color rgb="0016314F"/>
      </right>
      <bottom style="medium">
        <color rgb="00C2A05A"/>
      </bottom>
    </border>
    <border>
      <left style="thin">
        <color rgb="00E8E3D8"/>
      </left>
      <right style="thin">
        <color rgb="00E8E3D8"/>
      </right>
      <bottom style="thin">
        <color rgb="00E8E3D8"/>
      </bottom>
    </border>
    <border>
      <bottom style="medium">
        <color rgb="00C2A05A"/>
      </bottom>
    </border>
    <border>
      <left style="medium">
        <color rgb="00C2A05A"/>
      </left>
      <right style="thin">
        <color rgb="00E8E3D8"/>
      </right>
      <top style="thin">
        <color rgb="00E8E3D8"/>
      </top>
    </border>
    <border>
      <left style="medium">
        <color rgb="00C2A05A"/>
      </left>
      <right style="thin">
        <color rgb="00E8E3D8"/>
      </right>
      <bottom style="thin">
        <color rgb="00E8E3D8"/>
      </bottom>
    </border>
    <border>
      <bottom style="thin">
        <color rgb="00C2A05A"/>
      </bottom>
    </border>
    <border>
      <top style="thin">
        <color rgb="001B2733"/>
      </top>
    </border>
  </borders>
  <cellStyleXfs count="1">
    <xf numFmtId="0" fontId="0" fillId="0" borderId="0"/>
  </cellStyleXfs>
  <cellXfs count="70">
    <xf numFmtId="0" fontId="0" fillId="0" borderId="0" pivotButton="0" quotePrefix="0" xfId="0"/>
    <xf numFmtId="0" fontId="7" fillId="4" borderId="0" applyAlignment="1" pivotButton="0" quotePrefix="0" xfId="0">
      <alignment horizontal="left" vertical="center" indent="1"/>
    </xf>
    <xf numFmtId="0" fontId="8" fillId="4" borderId="0" applyAlignment="1" pivotButton="0" quotePrefix="0" xfId="0">
      <alignment horizontal="left" vertical="center" indent="1"/>
    </xf>
    <xf numFmtId="0" fontId="9" fillId="2" borderId="0" applyAlignment="1" pivotButton="0" quotePrefix="0" xfId="0">
      <alignment horizontal="left" vertical="center" indent="1"/>
    </xf>
    <xf numFmtId="0" fontId="10" fillId="5" borderId="0" applyAlignment="1" pivotButton="0" quotePrefix="0" xfId="0">
      <alignment horizontal="left" vertical="center" indent="1"/>
    </xf>
    <xf numFmtId="0" fontId="3" fillId="5" borderId="4" applyAlignment="1" pivotButton="0" quotePrefix="0" xfId="0">
      <alignment horizontal="left" vertical="center"/>
    </xf>
    <xf numFmtId="0" fontId="15" fillId="7" borderId="5" applyAlignment="1" pivotButton="0" quotePrefix="0" xfId="0">
      <alignment horizontal="left" vertical="center" indent="1"/>
    </xf>
    <xf numFmtId="3" fontId="16" fillId="7" borderId="6" applyAlignment="1" pivotButton="0" quotePrefix="0" xfId="0">
      <alignment horizontal="left" vertical="center" indent="1"/>
    </xf>
    <xf numFmtId="167" fontId="16" fillId="7" borderId="6" applyAlignment="1" pivotButton="0" quotePrefix="0" xfId="0">
      <alignment horizontal="left" vertical="center" indent="1"/>
    </xf>
    <xf numFmtId="167" fontId="17" fillId="7" borderId="6" applyAlignment="1" pivotButton="0" quotePrefix="0" xfId="0">
      <alignment horizontal="left" vertical="center" indent="1"/>
    </xf>
    <xf numFmtId="167" fontId="18" fillId="7" borderId="6" applyAlignment="1" pivotButton="0" quotePrefix="0" xfId="0">
      <alignment horizontal="left" vertical="center" indent="1"/>
    </xf>
    <xf numFmtId="3" fontId="19" fillId="7" borderId="6" applyAlignment="1" pivotButton="0" quotePrefix="0" xfId="0">
      <alignment horizontal="left" vertical="center" indent="1"/>
    </xf>
    <xf numFmtId="164" fontId="18" fillId="7" borderId="6" applyAlignment="1" pivotButton="0" quotePrefix="0" xfId="0">
      <alignment horizontal="left" vertical="center" indent="1"/>
    </xf>
    <xf numFmtId="3" fontId="17" fillId="7" borderId="6" applyAlignment="1" pivotButton="0" quotePrefix="0" xfId="0">
      <alignment horizontal="left" vertical="center" indent="1"/>
    </xf>
    <xf numFmtId="3" fontId="18" fillId="7" borderId="6" applyAlignment="1" pivotButton="0" quotePrefix="0" xfId="0">
      <alignment horizontal="left" vertical="center" indent="1"/>
    </xf>
    <xf numFmtId="0" fontId="11" fillId="2" borderId="0" applyAlignment="1" pivotButton="0" quotePrefix="0" xfId="0">
      <alignment horizontal="left" vertical="center"/>
    </xf>
    <xf numFmtId="0" fontId="20" fillId="5" borderId="7" applyAlignment="1" pivotButton="0" quotePrefix="0" xfId="0">
      <alignment horizontal="left" vertical="center"/>
    </xf>
    <xf numFmtId="0" fontId="20" fillId="5" borderId="7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3" fontId="4" fillId="0" borderId="1" applyAlignment="1" pivotButton="0" quotePrefix="0" xfId="0">
      <alignment horizontal="center" vertical="center"/>
    </xf>
    <xf numFmtId="167" fontId="3" fillId="0" borderId="1" pivotButton="0" quotePrefix="0" xfId="0"/>
    <xf numFmtId="0" fontId="1" fillId="4" borderId="0" applyAlignment="1" pivotButton="0" quotePrefix="0" xfId="0">
      <alignment horizontal="left" vertical="center" indent="1"/>
    </xf>
    <xf numFmtId="3" fontId="21" fillId="4" borderId="0" applyAlignment="1" pivotButton="0" quotePrefix="0" xfId="0">
      <alignment horizontal="center" vertical="center"/>
    </xf>
    <xf numFmtId="167" fontId="21" fillId="4" borderId="0" applyAlignment="1" pivotButton="0" quotePrefix="0" xfId="0">
      <alignment horizontal="right" vertical="center"/>
    </xf>
    <xf numFmtId="0" fontId="22" fillId="0" borderId="1" applyAlignment="1" pivotButton="0" quotePrefix="0" xfId="0">
      <alignment horizontal="left" vertical="center"/>
    </xf>
    <xf numFmtId="3" fontId="13" fillId="0" borderId="1" applyAlignment="1" pivotButton="0" quotePrefix="0" xfId="0">
      <alignment horizontal="center" vertical="center"/>
    </xf>
    <xf numFmtId="167" fontId="23" fillId="0" borderId="1" applyAlignment="1" pivotButton="0" quotePrefix="0" xfId="0">
      <alignment horizontal="right" vertical="center"/>
    </xf>
    <xf numFmtId="0" fontId="0" fillId="4" borderId="0" pivotButton="0" quotePrefix="0" xfId="0"/>
    <xf numFmtId="0" fontId="14" fillId="0" borderId="0" applyAlignment="1" pivotButton="0" quotePrefix="0" xfId="0">
      <alignment horizontal="left" vertical="center"/>
    </xf>
    <xf numFmtId="0" fontId="11" fillId="2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/>
    </xf>
    <xf numFmtId="0" fontId="4" fillId="3" borderId="3" applyAlignment="1" pivotButton="0" quotePrefix="0" xfId="0">
      <alignment horizontal="left" vertical="center"/>
    </xf>
    <xf numFmtId="0" fontId="4" fillId="3" borderId="3" applyAlignment="1" pivotButton="0" quotePrefix="0" xfId="0">
      <alignment horizontal="center" vertical="center"/>
    </xf>
    <xf numFmtId="165" fontId="4" fillId="3" borderId="3" applyAlignment="1" pivotButton="0" quotePrefix="0" xfId="0">
      <alignment horizontal="center" vertical="center"/>
    </xf>
    <xf numFmtId="166" fontId="4" fillId="3" borderId="3" applyAlignment="1" pivotButton="0" quotePrefix="0" xfId="0">
      <alignment horizontal="center" vertical="center"/>
    </xf>
    <xf numFmtId="164" fontId="13" fillId="6" borderId="3" applyAlignment="1" pivotButton="0" quotePrefix="0" xfId="0">
      <alignment horizontal="center" vertical="center"/>
    </xf>
    <xf numFmtId="0" fontId="13" fillId="6" borderId="3" applyAlignment="1" pivotButton="0" quotePrefix="0" xfId="0">
      <alignment horizontal="center" vertical="center"/>
    </xf>
    <xf numFmtId="166" fontId="13" fillId="6" borderId="3" applyAlignment="1" pivotButton="0" quotePrefix="0" xfId="0">
      <alignment horizontal="center" vertical="center"/>
    </xf>
    <xf numFmtId="0" fontId="0" fillId="3" borderId="3" applyAlignment="1" pivotButton="0" quotePrefix="0" xfId="0">
      <alignment horizontal="left" vertical="center"/>
    </xf>
    <xf numFmtId="0" fontId="12" fillId="3" borderId="3" applyAlignment="1" pivotButton="0" quotePrefix="0" xfId="0">
      <alignment horizontal="center" vertical="center"/>
    </xf>
    <xf numFmtId="0" fontId="3" fillId="5" borderId="0" pivotButton="0" quotePrefix="0" xfId="0"/>
    <xf numFmtId="0" fontId="14" fillId="0" borderId="0" pivotButton="0" quotePrefix="0" xfId="0"/>
    <xf numFmtId="0" fontId="12" fillId="3" borderId="3" applyAlignment="1" pivotButton="0" quotePrefix="0" xfId="0">
      <alignment horizontal="left" vertical="center"/>
    </xf>
    <xf numFmtId="166" fontId="21" fillId="4" borderId="0" applyAlignment="1" pivotButton="0" quotePrefix="0" xfId="0">
      <alignment horizontal="center" vertical="center"/>
    </xf>
    <xf numFmtId="0" fontId="13" fillId="6" borderId="3" applyAlignment="1" pivotButton="0" quotePrefix="0" xfId="0">
      <alignment horizontal="left" vertical="center"/>
    </xf>
    <xf numFmtId="0" fontId="15" fillId="0" borderId="0" applyAlignment="1" pivotButton="0" quotePrefix="0" xfId="0">
      <alignment horizontal="left" vertical="center"/>
    </xf>
    <xf numFmtId="0" fontId="24" fillId="7" borderId="1" applyAlignment="1" pivotButton="0" quotePrefix="0" xfId="0">
      <alignment horizontal="left" vertical="center"/>
    </xf>
    <xf numFmtId="0" fontId="24" fillId="3" borderId="1" applyAlignment="1" pivotButton="0" quotePrefix="0" xfId="0">
      <alignment horizontal="left" vertical="center"/>
    </xf>
    <xf numFmtId="0" fontId="11" fillId="2" borderId="4" applyAlignment="1" pivotButton="0" quotePrefix="0" xfId="0">
      <alignment horizontal="center" vertical="center" wrapText="1"/>
    </xf>
    <xf numFmtId="0" fontId="13" fillId="0" borderId="3" applyAlignment="1" pivotButton="0" quotePrefix="0" xfId="0">
      <alignment horizontal="left" vertical="center"/>
    </xf>
    <xf numFmtId="166" fontId="13" fillId="0" borderId="3" applyAlignment="1" pivotButton="0" quotePrefix="0" xfId="0">
      <alignment horizontal="right" vertical="center"/>
    </xf>
    <xf numFmtId="0" fontId="4" fillId="0" borderId="3" applyAlignment="1" pivotButton="0" quotePrefix="0" xfId="0">
      <alignment horizontal="right" vertical="center"/>
    </xf>
    <xf numFmtId="166" fontId="25" fillId="4" borderId="0" applyAlignment="1" pivotButton="0" quotePrefix="0" xfId="0">
      <alignment horizontal="right" vertical="center"/>
    </xf>
    <xf numFmtId="0" fontId="6" fillId="0" borderId="0" applyAlignment="1" pivotButton="0" quotePrefix="0" xfId="0">
      <alignment horizontal="left" vertical="top" wrapText="1"/>
    </xf>
    <xf numFmtId="0" fontId="26" fillId="0" borderId="0" applyAlignment="1" pivotButton="0" quotePrefix="0" xfId="0">
      <alignment horizontal="left" vertical="top" wrapText="1"/>
    </xf>
    <xf numFmtId="0" fontId="27" fillId="0" borderId="0" applyAlignment="1" pivotButton="0" quotePrefix="0" xfId="0">
      <alignment horizontal="left" vertical="top" wrapText="1"/>
    </xf>
    <xf numFmtId="0" fontId="0" fillId="0" borderId="8" pivotButton="0" quotePrefix="0" xfId="0"/>
    <xf numFmtId="0" fontId="3" fillId="0" borderId="0" applyAlignment="1" pivotButton="0" quotePrefix="0" xfId="0">
      <alignment horizontal="center" vertical="center"/>
    </xf>
    <xf numFmtId="0" fontId="28" fillId="0" borderId="0" applyAlignment="1" pivotButton="0" quotePrefix="0" xfId="0">
      <alignment horizontal="center" vertical="center"/>
    </xf>
    <xf numFmtId="0" fontId="27" fillId="0" borderId="0" applyAlignment="1" pivotButton="0" quotePrefix="0" xfId="0">
      <alignment horizontal="center" vertical="center"/>
    </xf>
    <xf numFmtId="165" fontId="4" fillId="3" borderId="3" applyAlignment="1" pivotButton="0" quotePrefix="0" xfId="0">
      <alignment horizontal="left" vertical="center"/>
    </xf>
    <xf numFmtId="0" fontId="29" fillId="0" borderId="0" applyAlignment="1" pivotButton="0" quotePrefix="0" xfId="0">
      <alignment horizontal="left" vertical="top" wrapText="1"/>
    </xf>
    <xf numFmtId="0" fontId="1" fillId="2" borderId="0" applyAlignment="1" pivotButton="0" quotePrefix="0" xfId="0">
      <alignment horizontal="center" vertical="center"/>
    </xf>
    <xf numFmtId="0" fontId="3" fillId="0" borderId="0" pivotButton="0" quotePrefix="0" xfId="0"/>
    <xf numFmtId="0" fontId="2" fillId="0" borderId="1" pivotButton="0" quotePrefix="0" xfId="0"/>
    <xf numFmtId="0" fontId="2" fillId="3" borderId="1" pivotButton="0" quotePrefix="0" xfId="0"/>
    <xf numFmtId="165" fontId="5" fillId="0" borderId="0" pivotButton="0" quotePrefix="0" xfId="0"/>
    <xf numFmtId="0" fontId="4" fillId="0" borderId="0" pivotButton="0" quotePrefix="0" xfId="0"/>
    <xf numFmtId="164" fontId="4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comments/comment1.xml><?xml version="1.0" encoding="utf-8"?>
<comments xmlns="http://schemas.openxmlformats.org/spreadsheetml/2006/main">
  <authors>
    <author>Valvic</author>
  </authors>
  <commentList>
    <comment ref="A6" authorId="0" shapeId="0">
      <text>
        <t>Cada item recebe um código sequencial VLV-0001, VLV-0002…
Nunca reaproveitar código de item baixado.</t>
      </text>
    </comment>
    <comment ref="M6" authorId="0" shapeId="0">
      <text>
        <t>Preenchida automaticamente pela categoria, com base nas taxas da aba Listas.
Confirmar as taxas com o contador.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5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6" customWidth="1" min="2" max="2"/>
    <col width="15" customWidth="1" min="3" max="3"/>
    <col width="15" customWidth="1" min="4" max="4"/>
    <col width="4" customWidth="1" min="5" max="5"/>
    <col width="26" customWidth="1" min="6" max="6"/>
    <col width="15" customWidth="1" min="7" max="7"/>
    <col width="15" customWidth="1" min="8" max="8"/>
    <col width="4" customWidth="1" min="9" max="9"/>
    <col width="24" customWidth="1" min="10" max="10"/>
    <col width="14" customWidth="1" min="11" max="11"/>
    <col width="14" customWidth="1" min="12" max="12"/>
  </cols>
  <sheetData>
    <row r="1" ht="26" customHeight="1">
      <c r="A1" s="1" t="inlineStr">
        <is>
          <t>VALVIC MARCENARIA</t>
        </is>
      </c>
    </row>
    <row r="2" ht="15" customHeight="1">
      <c r="A2" s="2" t="inlineStr">
        <is>
          <t>Vargas Decor Ltda   ·   CNPJ 17.269.304/0001-51   ·   Belo Horizonte / MG</t>
        </is>
      </c>
    </row>
    <row r="3" ht="28" customHeight="1">
      <c r="A3" s="3" t="inlineStr">
        <is>
          <t>PAINEL DE PATRIMÔNIO</t>
        </is>
      </c>
    </row>
    <row r="4" ht="17" customHeight="1">
      <c r="A4" s="4" t="inlineStr">
        <is>
          <t>Números calculados automaticamente a partir da aba Patrimônio Geral</t>
        </is>
      </c>
    </row>
    <row r="6" ht="20" customHeight="1">
      <c r="A6" s="5" t="inlineStr">
        <is>
          <t xml:space="preserve">  POSIÇÃO PATRIMONIAL</t>
        </is>
      </c>
    </row>
    <row r="8" ht="17" customHeight="1">
      <c r="B8" s="6" t="inlineStr">
        <is>
          <t>ITENS CADASTRADOS</t>
        </is>
      </c>
      <c r="F8" s="6" t="inlineStr">
        <is>
          <t>VALOR DE AQUISIÇÃO</t>
        </is>
      </c>
      <c r="J8" s="6" t="inlineStr">
        <is>
          <t>VALOR CONTÁBIL ATUAL</t>
        </is>
      </c>
    </row>
    <row r="9" ht="30" customHeight="1">
      <c r="B9" s="7">
        <f>COUNTIF('Patrimônio Geral'!$A$7:$A$156,"?*")</f>
        <v/>
      </c>
      <c r="F9" s="8">
        <f>SUM('Patrimônio Geral'!$K$7:$K$156)</f>
        <v/>
      </c>
      <c r="J9" s="9">
        <f>SUM('Patrimônio Geral'!$P$7:$P$156)</f>
        <v/>
      </c>
    </row>
    <row r="11" ht="17" customHeight="1">
      <c r="B11" s="6" t="inlineStr">
        <is>
          <t>DEPRECIAÇÃO ACUMULADA</t>
        </is>
      </c>
      <c r="F11" s="6" t="inlineStr">
        <is>
          <t>ITENS CEDIDOS A COLABORADORES</t>
        </is>
      </c>
      <c r="J11" s="6" t="inlineStr">
        <is>
          <t>% DO VALOR JÁ DEPRECIADO</t>
        </is>
      </c>
    </row>
    <row r="12" ht="30" customHeight="1">
      <c r="B12" s="10">
        <f>SUM('Patrimônio Geral'!$O$7:$O$156)</f>
        <v/>
      </c>
      <c r="F12" s="11">
        <f>COUNTIF('Patrimônio Geral'!$S$7:$S$156,"?*")</f>
        <v/>
      </c>
      <c r="J12" s="12">
        <f>IF(SUM('Patrimônio Geral'!$K$7:$K$156)=0,0,SUM('Patrimônio Geral'!$O$7:$O$156)/SUM('Patrimônio Geral'!$K$7:$K$156))</f>
        <v/>
      </c>
    </row>
    <row r="14" ht="20" customHeight="1">
      <c r="A14" s="5" t="inlineStr">
        <is>
          <t xml:space="preserve">  TERMOS DE RESPONSABILIDADE</t>
        </is>
      </c>
    </row>
    <row r="16" ht="17" customHeight="1">
      <c r="B16" s="6" t="inlineStr">
        <is>
          <t>TERMOS ASSINADOS</t>
        </is>
      </c>
      <c r="F16" s="6" t="inlineStr">
        <is>
          <t>ITENS CEDIDOS SEM TERMO</t>
        </is>
      </c>
      <c r="J16" s="6" t="inlineStr">
        <is>
          <t>ITENS EM MANUTENÇÃO OU EXTRAVIADOS</t>
        </is>
      </c>
    </row>
    <row r="17" ht="30" customHeight="1">
      <c r="B17" s="13">
        <f>COUNTIF('Patrimônio Geral'!$W$7:$W$156,"Sim")</f>
        <v/>
      </c>
      <c r="F17" s="14">
        <f>COUNTIFS('Patrimônio Geral'!$S$7:$S$156,"?*",'Patrimônio Geral'!$W$7:$W$156,"&lt;&gt;Sim")</f>
        <v/>
      </c>
      <c r="J17" s="14">
        <f>COUNTIF('Patrimônio Geral'!$Q$7:$Q$156,"Em manutenção")+COUNTIF('Patrimônio Geral'!$Q$7:$Q$156,"Extraviado")</f>
        <v/>
      </c>
    </row>
    <row r="19" ht="20" customHeight="1">
      <c r="A19" s="5" t="inlineStr">
        <is>
          <t xml:space="preserve">  DISTRIBUIÇÃO DO PATRIMÔNIO</t>
        </is>
      </c>
    </row>
    <row r="21" ht="19" customHeight="1">
      <c r="B21" s="15" t="inlineStr">
        <is>
          <t xml:space="preserve">  POR CATEGORIA</t>
        </is>
      </c>
      <c r="F21" s="15" t="inlineStr">
        <is>
          <t xml:space="preserve">  POR RESPONSÁVEL</t>
        </is>
      </c>
      <c r="J21" s="15" t="inlineStr">
        <is>
          <t xml:space="preserve">  POR SITUAÇÃO</t>
        </is>
      </c>
    </row>
    <row r="22">
      <c r="B22" s="16" t="inlineStr"/>
      <c r="C22" s="17" t="inlineStr">
        <is>
          <t>Itens</t>
        </is>
      </c>
      <c r="D22" s="17" t="inlineStr">
        <is>
          <t>Valor</t>
        </is>
      </c>
      <c r="F22" s="16" t="inlineStr"/>
      <c r="G22" s="17" t="inlineStr">
        <is>
          <t>Itens</t>
        </is>
      </c>
      <c r="H22" s="17" t="inlineStr">
        <is>
          <t>Valor</t>
        </is>
      </c>
      <c r="J22" s="16" t="inlineStr"/>
      <c r="K22" s="17" t="inlineStr">
        <is>
          <t>Itens</t>
        </is>
      </c>
      <c r="L22" s="17" t="inlineStr">
        <is>
          <t>Valor</t>
        </is>
      </c>
    </row>
    <row r="23" ht="17" customHeight="1">
      <c r="B23" s="18" t="inlineStr">
        <is>
          <t>Máquina fixa</t>
        </is>
      </c>
      <c r="C23" s="19">
        <f>COUNTIF('Patrimônio Geral'!$B$7:$B$156,$B23)</f>
        <v/>
      </c>
      <c r="D23" s="20">
        <f>SUMIF('Patrimônio Geral'!$B$7:$B$156,$B23,'Patrimônio Geral'!$K$7:$K$156)</f>
        <v/>
      </c>
      <c r="F23" s="18" t="inlineStr">
        <is>
          <t>Deivson</t>
        </is>
      </c>
      <c r="G23" s="19">
        <f>COUNTIF('Patrimônio Geral'!$S$7:$S$156,$F23)</f>
        <v/>
      </c>
      <c r="H23" s="20">
        <f>SUMIF('Patrimônio Geral'!$S$7:$S$156,$F23,'Patrimônio Geral'!$K$7:$K$156)</f>
        <v/>
      </c>
      <c r="J23" s="18" t="inlineStr">
        <is>
          <t>Em uso</t>
        </is>
      </c>
      <c r="K23" s="19">
        <f>COUNTIF('Patrimônio Geral'!$Q$7:$Q$156,$J23)</f>
        <v/>
      </c>
      <c r="L23" s="20">
        <f>SUMIF('Patrimônio Geral'!$Q$7:$Q$156,$J23,'Patrimônio Geral'!$K$7:$K$156)</f>
        <v/>
      </c>
    </row>
    <row r="24" ht="17" customHeight="1">
      <c r="B24" s="18" t="inlineStr">
        <is>
          <t>Ferramenta elétrica</t>
        </is>
      </c>
      <c r="C24" s="19">
        <f>COUNTIF('Patrimônio Geral'!$B$7:$B$156,$B24)</f>
        <v/>
      </c>
      <c r="D24" s="20">
        <f>SUMIF('Patrimônio Geral'!$B$7:$B$156,$B24,'Patrimônio Geral'!$K$7:$K$156)</f>
        <v/>
      </c>
      <c r="F24" s="18" t="inlineStr">
        <is>
          <t>Samuel</t>
        </is>
      </c>
      <c r="G24" s="19">
        <f>COUNTIF('Patrimônio Geral'!$S$7:$S$156,$F24)</f>
        <v/>
      </c>
      <c r="H24" s="20">
        <f>SUMIF('Patrimônio Geral'!$S$7:$S$156,$F24,'Patrimônio Geral'!$K$7:$K$156)</f>
        <v/>
      </c>
      <c r="J24" s="18" t="inlineStr">
        <is>
          <t>Em estoque</t>
        </is>
      </c>
      <c r="K24" s="19">
        <f>COUNTIF('Patrimônio Geral'!$Q$7:$Q$156,$J24)</f>
        <v/>
      </c>
      <c r="L24" s="20">
        <f>SUMIF('Patrimônio Geral'!$Q$7:$Q$156,$J24,'Patrimônio Geral'!$K$7:$K$156)</f>
        <v/>
      </c>
    </row>
    <row r="25" ht="17" customHeight="1">
      <c r="B25" s="18" t="inlineStr">
        <is>
          <t>Ferramenta manual</t>
        </is>
      </c>
      <c r="C25" s="19">
        <f>COUNTIF('Patrimônio Geral'!$B$7:$B$156,$B25)</f>
        <v/>
      </c>
      <c r="D25" s="20">
        <f>SUMIF('Patrimônio Geral'!$B$7:$B$156,$B25,'Patrimônio Geral'!$K$7:$K$156)</f>
        <v/>
      </c>
      <c r="F25" s="18" t="inlineStr">
        <is>
          <t>Jackson</t>
        </is>
      </c>
      <c r="G25" s="19">
        <f>COUNTIF('Patrimônio Geral'!$S$7:$S$156,$F25)</f>
        <v/>
      </c>
      <c r="H25" s="20">
        <f>SUMIF('Patrimônio Geral'!$S$7:$S$156,$F25,'Patrimônio Geral'!$K$7:$K$156)</f>
        <v/>
      </c>
      <c r="J25" s="18" t="inlineStr">
        <is>
          <t>Em manutenção</t>
        </is>
      </c>
      <c r="K25" s="19">
        <f>COUNTIF('Patrimônio Geral'!$Q$7:$Q$156,$J25)</f>
        <v/>
      </c>
      <c r="L25" s="20">
        <f>SUMIF('Patrimônio Geral'!$Q$7:$Q$156,$J25,'Patrimônio Geral'!$K$7:$K$156)</f>
        <v/>
      </c>
    </row>
    <row r="26" ht="17" customHeight="1">
      <c r="B26" s="18" t="inlineStr">
        <is>
          <t>Instrumento de medição</t>
        </is>
      </c>
      <c r="C26" s="19">
        <f>COUNTIF('Patrimônio Geral'!$B$7:$B$156,$B26)</f>
        <v/>
      </c>
      <c r="D26" s="20">
        <f>SUMIF('Patrimônio Geral'!$B$7:$B$156,$B26,'Patrimônio Geral'!$K$7:$K$156)</f>
        <v/>
      </c>
      <c r="F26" s="18" t="inlineStr">
        <is>
          <t>Cezar</t>
        </is>
      </c>
      <c r="G26" s="19">
        <f>COUNTIF('Patrimônio Geral'!$S$7:$S$156,$F26)</f>
        <v/>
      </c>
      <c r="H26" s="20">
        <f>SUMIF('Patrimônio Geral'!$S$7:$S$156,$F26,'Patrimônio Geral'!$K$7:$K$156)</f>
        <v/>
      </c>
      <c r="J26" s="18" t="inlineStr">
        <is>
          <t>Extraviado</t>
        </is>
      </c>
      <c r="K26" s="19">
        <f>COUNTIF('Patrimônio Geral'!$Q$7:$Q$156,$J26)</f>
        <v/>
      </c>
      <c r="L26" s="20">
        <f>SUMIF('Patrimônio Geral'!$Q$7:$Q$156,$J26,'Patrimônio Geral'!$K$7:$K$156)</f>
        <v/>
      </c>
    </row>
    <row r="27" ht="17" customHeight="1">
      <c r="B27" s="18" t="inlineStr">
        <is>
          <t>Veículo</t>
        </is>
      </c>
      <c r="C27" s="19">
        <f>COUNTIF('Patrimônio Geral'!$B$7:$B$156,$B27)</f>
        <v/>
      </c>
      <c r="D27" s="20">
        <f>SUMIF('Patrimônio Geral'!$B$7:$B$156,$B27,'Patrimônio Geral'!$K$7:$K$156)</f>
        <v/>
      </c>
      <c r="F27" s="18" t="inlineStr">
        <is>
          <t>Jomar</t>
        </is>
      </c>
      <c r="G27" s="19">
        <f>COUNTIF('Patrimônio Geral'!$S$7:$S$156,$F27)</f>
        <v/>
      </c>
      <c r="H27" s="20">
        <f>SUMIF('Patrimônio Geral'!$S$7:$S$156,$F27,'Patrimônio Geral'!$K$7:$K$156)</f>
        <v/>
      </c>
      <c r="J27" s="18" t="inlineStr">
        <is>
          <t>Baixado</t>
        </is>
      </c>
      <c r="K27" s="19">
        <f>COUNTIF('Patrimônio Geral'!$Q$7:$Q$156,$J27)</f>
        <v/>
      </c>
      <c r="L27" s="20">
        <f>SUMIF('Patrimônio Geral'!$Q$7:$Q$156,$J27,'Patrimônio Geral'!$K$7:$K$156)</f>
        <v/>
      </c>
    </row>
    <row r="28" ht="17" customHeight="1">
      <c r="B28" s="18" t="inlineStr">
        <is>
          <t>Informática</t>
        </is>
      </c>
      <c r="C28" s="19">
        <f>COUNTIF('Patrimônio Geral'!$B$7:$B$156,$B28)</f>
        <v/>
      </c>
      <c r="D28" s="20">
        <f>SUMIF('Patrimônio Geral'!$B$7:$B$156,$B28,'Patrimônio Geral'!$K$7:$K$156)</f>
        <v/>
      </c>
      <c r="F28" s="18" t="inlineStr">
        <is>
          <t>Davi</t>
        </is>
      </c>
      <c r="G28" s="19">
        <f>COUNTIF('Patrimônio Geral'!$S$7:$S$156,$F28)</f>
        <v/>
      </c>
      <c r="H28" s="20">
        <f>SUMIF('Patrimônio Geral'!$S$7:$S$156,$F28,'Patrimônio Geral'!$K$7:$K$156)</f>
        <v/>
      </c>
    </row>
    <row r="29" ht="17" customHeight="1">
      <c r="B29" s="18" t="inlineStr">
        <is>
          <t>Mobiliário</t>
        </is>
      </c>
      <c r="C29" s="19">
        <f>COUNTIF('Patrimônio Geral'!$B$7:$B$156,$B29)</f>
        <v/>
      </c>
      <c r="D29" s="20">
        <f>SUMIF('Patrimônio Geral'!$B$7:$B$156,$B29,'Patrimônio Geral'!$K$7:$K$156)</f>
        <v/>
      </c>
      <c r="F29" s="18" t="inlineStr">
        <is>
          <t>Jonathan Godoy</t>
        </is>
      </c>
      <c r="G29" s="19">
        <f>COUNTIF('Patrimônio Geral'!$S$7:$S$156,$F29)</f>
        <v/>
      </c>
      <c r="H29" s="20">
        <f>SUMIF('Patrimônio Geral'!$S$7:$S$156,$F29,'Patrimônio Geral'!$K$7:$K$156)</f>
        <v/>
      </c>
    </row>
    <row r="30" ht="17" customHeight="1">
      <c r="B30" s="18" t="inlineStr">
        <is>
          <t>Infraestrutura</t>
        </is>
      </c>
      <c r="C30" s="19">
        <f>COUNTIF('Patrimônio Geral'!$B$7:$B$156,$B30)</f>
        <v/>
      </c>
      <c r="D30" s="20">
        <f>SUMIF('Patrimônio Geral'!$B$7:$B$156,$B30,'Patrimônio Geral'!$K$7:$K$156)</f>
        <v/>
      </c>
      <c r="F30" s="18" t="inlineStr">
        <is>
          <t>Joelson</t>
        </is>
      </c>
      <c r="G30" s="19">
        <f>COUNTIF('Patrimônio Geral'!$S$7:$S$156,$F30)</f>
        <v/>
      </c>
      <c r="H30" s="20">
        <f>SUMIF('Patrimônio Geral'!$S$7:$S$156,$F30,'Patrimônio Geral'!$K$7:$K$156)</f>
        <v/>
      </c>
    </row>
    <row r="31" ht="19" customHeight="1">
      <c r="B31" s="21" t="inlineStr">
        <is>
          <t>Total</t>
        </is>
      </c>
      <c r="C31" s="22">
        <f>SUM(C23:C30)</f>
        <v/>
      </c>
      <c r="D31" s="23">
        <f>SUM(D23:D30)</f>
        <v/>
      </c>
      <c r="F31" s="21" t="inlineStr">
        <is>
          <t>Total</t>
        </is>
      </c>
      <c r="G31" s="22">
        <f>SUM(G23:G30)</f>
        <v/>
      </c>
      <c r="H31" s="23">
        <f>SUM(H23:H30)</f>
        <v/>
      </c>
      <c r="J31" s="21" t="inlineStr">
        <is>
          <t>Total</t>
        </is>
      </c>
      <c r="K31" s="22">
        <f>SUM(K23:K27)</f>
        <v/>
      </c>
      <c r="L31" s="23">
        <f>SUM(L23:L27)</f>
        <v/>
      </c>
    </row>
    <row r="33" ht="20" customHeight="1">
      <c r="A33" s="5" t="inlineStr">
        <is>
          <t xml:space="preserve">  ITENS POR MODELO PADRÃO          unidades idênticas agrupadas pelo SKU</t>
        </is>
      </c>
    </row>
    <row r="35" ht="19" customHeight="1">
      <c r="B35" s="15" t="inlineStr">
        <is>
          <t xml:space="preserve">  MODELO PADRÃO</t>
        </is>
      </c>
      <c r="F35" s="17" t="inlineStr">
        <is>
          <t>Unidades</t>
        </is>
      </c>
      <c r="G35" s="17" t="inlineStr">
        <is>
          <t>Cedidas</t>
        </is>
      </c>
      <c r="H35" s="17" t="inlineStr">
        <is>
          <t>Disponíveis</t>
        </is>
      </c>
      <c r="I35" s="17" t="inlineStr">
        <is>
          <t>Valor total</t>
        </is>
      </c>
    </row>
    <row r="36" ht="17" customHeight="1">
      <c r="B36" s="24" t="inlineStr">
        <is>
          <t>PARAF-MAK-DHP482</t>
        </is>
      </c>
      <c r="F36" s="25">
        <f>COUNTIF('Patrimônio Geral'!$F$7:$F$156,$B36)</f>
        <v/>
      </c>
      <c r="G36" s="25">
        <f>COUNTIFS('Patrimônio Geral'!$F$7:$F$156,$B36,'Patrimônio Geral'!$S$7:$S$156,"?*")</f>
        <v/>
      </c>
      <c r="H36" s="25">
        <f>$F36-$G36</f>
        <v/>
      </c>
      <c r="I36" s="26">
        <f>SUMIF('Patrimônio Geral'!$F$7:$F$156,$B36,'Patrimônio Geral'!$K$7:$K$156)</f>
        <v/>
      </c>
    </row>
    <row r="37" ht="17" customHeight="1">
      <c r="B37" s="24" t="inlineStr">
        <is>
          <t>SERRA-BOS-GKS150</t>
        </is>
      </c>
      <c r="F37" s="25">
        <f>COUNTIF('Patrimônio Geral'!$F$7:$F$156,$B37)</f>
        <v/>
      </c>
      <c r="G37" s="25">
        <f>COUNTIFS('Patrimônio Geral'!$F$7:$F$156,$B37,'Patrimônio Geral'!$S$7:$S$156,"?*")</f>
        <v/>
      </c>
      <c r="H37" s="25">
        <f>$F37-$G37</f>
        <v/>
      </c>
      <c r="I37" s="26">
        <f>SUMIF('Patrimônio Geral'!$F$7:$F$156,$B37,'Patrimônio Geral'!$K$7:$K$156)</f>
        <v/>
      </c>
    </row>
    <row r="38" ht="17" customHeight="1">
      <c r="B38" s="24" t="inlineStr">
        <is>
          <t>TUPIA-MAK-RT0700C</t>
        </is>
      </c>
      <c r="F38" s="25">
        <f>COUNTIF('Patrimônio Geral'!$F$7:$F$156,$B38)</f>
        <v/>
      </c>
      <c r="G38" s="25">
        <f>COUNTIFS('Patrimônio Geral'!$F$7:$F$156,$B38,'Patrimônio Geral'!$S$7:$S$156,"?*")</f>
        <v/>
      </c>
      <c r="H38" s="25">
        <f>$F38-$G38</f>
        <v/>
      </c>
      <c r="I38" s="26">
        <f>SUMIF('Patrimônio Geral'!$F$7:$F$156,$B38,'Patrimônio Geral'!$K$7:$K$156)</f>
        <v/>
      </c>
    </row>
    <row r="39" ht="17" customHeight="1">
      <c r="B39" s="24" t="inlineStr">
        <is>
          <t>LIXA-BOS-GSS140</t>
        </is>
      </c>
      <c r="F39" s="25">
        <f>COUNTIF('Patrimônio Geral'!$F$7:$F$156,$B39)</f>
        <v/>
      </c>
      <c r="G39" s="25">
        <f>COUNTIFS('Patrimônio Geral'!$F$7:$F$156,$B39,'Patrimônio Geral'!$S$7:$S$156,"?*")</f>
        <v/>
      </c>
      <c r="H39" s="25">
        <f>$F39-$G39</f>
        <v/>
      </c>
      <c r="I39" s="26">
        <f>SUMIF('Patrimônio Geral'!$F$7:$F$156,$B39,'Patrimônio Geral'!$K$7:$K$156)</f>
        <v/>
      </c>
    </row>
    <row r="40" ht="17" customHeight="1">
      <c r="B40" s="24" t="inlineStr">
        <is>
          <t>FORMAO-TRA-4P</t>
        </is>
      </c>
      <c r="F40" s="25">
        <f>COUNTIF('Patrimônio Geral'!$F$7:$F$156,$B40)</f>
        <v/>
      </c>
      <c r="G40" s="25">
        <f>COUNTIFS('Patrimônio Geral'!$F$7:$F$156,$B40,'Patrimônio Geral'!$S$7:$S$156,"?*")</f>
        <v/>
      </c>
      <c r="H40" s="25">
        <f>$F40-$G40</f>
        <v/>
      </c>
      <c r="I40" s="26">
        <f>SUMIF('Patrimônio Geral'!$F$7:$F$156,$B40,'Patrimônio Geral'!$K$7:$K$156)</f>
        <v/>
      </c>
    </row>
    <row r="41" ht="17" customHeight="1">
      <c r="B41" s="24" t="inlineStr">
        <is>
          <t>MARTELO-TRA-27</t>
        </is>
      </c>
      <c r="F41" s="25">
        <f>COUNTIF('Patrimônio Geral'!$F$7:$F$156,$B41)</f>
        <v/>
      </c>
      <c r="G41" s="25">
        <f>COUNTIFS('Patrimônio Geral'!$F$7:$F$156,$B41,'Patrimônio Geral'!$S$7:$S$156,"?*")</f>
        <v/>
      </c>
      <c r="H41" s="25">
        <f>$F41-$G41</f>
        <v/>
      </c>
      <c r="I41" s="26">
        <f>SUMIF('Patrimônio Geral'!$F$7:$F$156,$B41,'Patrimônio Geral'!$K$7:$K$156)</f>
        <v/>
      </c>
    </row>
    <row r="42" ht="17" customHeight="1">
      <c r="B42" s="24" t="inlineStr">
        <is>
          <t>CHAVES-GED-6P</t>
        </is>
      </c>
      <c r="F42" s="25">
        <f>COUNTIF('Patrimônio Geral'!$F$7:$F$156,$B42)</f>
        <v/>
      </c>
      <c r="G42" s="25">
        <f>COUNTIFS('Patrimônio Geral'!$F$7:$F$156,$B42,'Patrimônio Geral'!$S$7:$S$156,"?*")</f>
        <v/>
      </c>
      <c r="H42" s="25">
        <f>$F42-$G42</f>
        <v/>
      </c>
      <c r="I42" s="26">
        <f>SUMIF('Patrimônio Geral'!$F$7:$F$156,$B42,'Patrimônio Geral'!$K$7:$K$156)</f>
        <v/>
      </c>
    </row>
    <row r="43" ht="17" customHeight="1">
      <c r="B43" s="24" t="inlineStr">
        <is>
          <t>SARGENTO-VON-300</t>
        </is>
      </c>
      <c r="F43" s="25">
        <f>COUNTIF('Patrimônio Geral'!$F$7:$F$156,$B43)</f>
        <v/>
      </c>
      <c r="G43" s="25">
        <f>COUNTIFS('Patrimônio Geral'!$F$7:$F$156,$B43,'Patrimônio Geral'!$S$7:$S$156,"?*")</f>
        <v/>
      </c>
      <c r="H43" s="25">
        <f>$F43-$G43</f>
        <v/>
      </c>
      <c r="I43" s="26">
        <f>SUMIF('Patrimônio Geral'!$F$7:$F$156,$B43,'Patrimônio Geral'!$K$7:$K$156)</f>
        <v/>
      </c>
    </row>
    <row r="44" ht="17" customHeight="1">
      <c r="B44" s="24" t="inlineStr">
        <is>
          <t>TRENA-STA-5M</t>
        </is>
      </c>
      <c r="F44" s="25">
        <f>COUNTIF('Patrimônio Geral'!$F$7:$F$156,$B44)</f>
        <v/>
      </c>
      <c r="G44" s="25">
        <f>COUNTIFS('Patrimônio Geral'!$F$7:$F$156,$B44,'Patrimônio Geral'!$S$7:$S$156,"?*")</f>
        <v/>
      </c>
      <c r="H44" s="25">
        <f>$F44-$G44</f>
        <v/>
      </c>
      <c r="I44" s="26">
        <f>SUMIF('Patrimônio Geral'!$F$7:$F$156,$B44,'Patrimônio Geral'!$K$7:$K$156)</f>
        <v/>
      </c>
    </row>
    <row r="45" ht="17" customHeight="1">
      <c r="B45" s="24" t="inlineStr">
        <is>
          <t>ESQUADRO-STA-300</t>
        </is>
      </c>
      <c r="F45" s="25">
        <f>COUNTIF('Patrimônio Geral'!$F$7:$F$156,$B45)</f>
        <v/>
      </c>
      <c r="G45" s="25">
        <f>COUNTIFS('Patrimônio Geral'!$F$7:$F$156,$B45,'Patrimônio Geral'!$S$7:$S$156,"?*")</f>
        <v/>
      </c>
      <c r="H45" s="25">
        <f>$F45-$G45</f>
        <v/>
      </c>
      <c r="I45" s="26">
        <f>SUMIF('Patrimônio Geral'!$F$7:$F$156,$B45,'Patrimônio Geral'!$K$7:$K$156)</f>
        <v/>
      </c>
    </row>
    <row r="46" ht="17" customHeight="1">
      <c r="B46" s="24" t="inlineStr">
        <is>
          <t>LASER-BOS-GLL210</t>
        </is>
      </c>
      <c r="F46" s="25">
        <f>COUNTIF('Patrimônio Geral'!$F$7:$F$156,$B46)</f>
        <v/>
      </c>
      <c r="G46" s="25">
        <f>COUNTIFS('Patrimônio Geral'!$F$7:$F$156,$B46,'Patrimônio Geral'!$S$7:$S$156,"?*")</f>
        <v/>
      </c>
      <c r="H46" s="25">
        <f>$F46-$G46</f>
        <v/>
      </c>
      <c r="I46" s="26">
        <f>SUMIF('Patrimônio Geral'!$F$7:$F$156,$B46,'Patrimônio Geral'!$K$7:$K$156)</f>
        <v/>
      </c>
    </row>
    <row r="47" ht="17" customHeight="1">
      <c r="B47" s="24" t="inlineStr">
        <is>
          <t>MALETA-TRA-ORG</t>
        </is>
      </c>
      <c r="F47" s="25">
        <f>COUNTIF('Patrimônio Geral'!$F$7:$F$156,$B47)</f>
        <v/>
      </c>
      <c r="G47" s="25">
        <f>COUNTIFS('Patrimônio Geral'!$F$7:$F$156,$B47,'Patrimônio Geral'!$S$7:$S$156,"?*")</f>
        <v/>
      </c>
      <c r="H47" s="25">
        <f>$F47-$G47</f>
        <v/>
      </c>
      <c r="I47" s="26">
        <f>SUMIF('Patrimônio Geral'!$F$7:$F$156,$B47,'Patrimônio Geral'!$K$7:$K$156)</f>
        <v/>
      </c>
    </row>
    <row r="48" ht="20" customHeight="1">
      <c r="B48" s="21" t="inlineStr">
        <is>
          <t>Total do kit de referência</t>
        </is>
      </c>
      <c r="C48" s="27" t="n"/>
      <c r="D48" s="27" t="n"/>
      <c r="E48" s="27" t="n"/>
      <c r="F48" s="22">
        <f>SUM(F36:F47)</f>
        <v/>
      </c>
      <c r="G48" s="22">
        <f>SUM(G36:G47)</f>
        <v/>
      </c>
      <c r="H48" s="22">
        <f>SUM(H36:H47)</f>
        <v/>
      </c>
      <c r="I48" s="23">
        <f>SUM(I36:I47)</f>
        <v/>
      </c>
    </row>
    <row r="50" ht="20" customHeight="1">
      <c r="A50" s="5" t="inlineStr">
        <is>
          <t xml:space="preserve">  COMO ESTE PAINEL FUNCIONA</t>
        </is>
      </c>
    </row>
    <row r="52" ht="16" customHeight="1">
      <c r="B52" s="28" t="inlineStr">
        <is>
          <t>•  Todos os números vêm da aba Patrimônio Geral e se atualizam sozinhos — nada aqui precisa ser digitado.</t>
        </is>
      </c>
    </row>
    <row r="53" ht="16" customHeight="1">
      <c r="B53" s="28" t="inlineStr">
        <is>
          <t>•  A depreciação é linear e calculada mês a mês desde a data de aquisição, limitada ao valor do bem.</t>
        </is>
      </c>
    </row>
    <row r="54" ht="16" customHeight="1">
      <c r="B54" s="28" t="inlineStr">
        <is>
          <t>•  "Itens cedidos sem termo" é o indicador de risco: todo item nas mãos de alguém precisa de termo assinado.</t>
        </is>
      </c>
    </row>
    <row r="55" ht="16" customHeight="1">
      <c r="B55" s="28" t="inlineStr">
        <is>
          <t>•  A conferência mensal do Deivson alimenta a aba Conferência Mensal e mantém este painel confiável.</t>
        </is>
      </c>
    </row>
    <row r="56" ht="16" customHeight="1">
      <c r="B56" s="28" t="inlineStr">
        <is>
          <t>•  Cada unidade física tem a sua própria linha no cadastro. O agrupamento de itens iguais é feito pelo Modelo padrão (SKU), nunca por uma coluna de quantidade — é o que preserva o rastreio de quem está com qual.</t>
        </is>
      </c>
    </row>
  </sheetData>
  <mergeCells count="49">
    <mergeCell ref="B11:D11"/>
    <mergeCell ref="B40:E40"/>
    <mergeCell ref="B54:L54"/>
    <mergeCell ref="B8:D8"/>
    <mergeCell ref="B17:D17"/>
    <mergeCell ref="F8:H8"/>
    <mergeCell ref="J9:L9"/>
    <mergeCell ref="F17:H17"/>
    <mergeCell ref="A3:L3"/>
    <mergeCell ref="B36:E36"/>
    <mergeCell ref="J11:L11"/>
    <mergeCell ref="A50:L50"/>
    <mergeCell ref="B56:L56"/>
    <mergeCell ref="B45:E45"/>
    <mergeCell ref="A2:L2"/>
    <mergeCell ref="B41:E41"/>
    <mergeCell ref="J16:L16"/>
    <mergeCell ref="B35:E35"/>
    <mergeCell ref="B52:L52"/>
    <mergeCell ref="A33:L33"/>
    <mergeCell ref="A14:L14"/>
    <mergeCell ref="B9:D9"/>
    <mergeCell ref="B47:E47"/>
    <mergeCell ref="F9:H9"/>
    <mergeCell ref="J12:L12"/>
    <mergeCell ref="B46:E46"/>
    <mergeCell ref="J21:L21"/>
    <mergeCell ref="A4:L4"/>
    <mergeCell ref="B53:L53"/>
    <mergeCell ref="A19:L19"/>
    <mergeCell ref="B43:E43"/>
    <mergeCell ref="B48:E48"/>
    <mergeCell ref="B39:E39"/>
    <mergeCell ref="J8:L8"/>
    <mergeCell ref="J17:L17"/>
    <mergeCell ref="B42:E42"/>
    <mergeCell ref="F11:H11"/>
    <mergeCell ref="B16:D16"/>
    <mergeCell ref="F16:H16"/>
    <mergeCell ref="A1:L1"/>
    <mergeCell ref="B38:E38"/>
    <mergeCell ref="B44:E44"/>
    <mergeCell ref="B55:L55"/>
    <mergeCell ref="A6:L6"/>
    <mergeCell ref="B21:D21"/>
    <mergeCell ref="F12:H12"/>
    <mergeCell ref="B37:E37"/>
    <mergeCell ref="B12:D12"/>
    <mergeCell ref="F21:H21"/>
  </mergeCells>
  <pageMargins left="0.45" right="0.35" top="0.4" bottom="0.35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X165"/>
  <sheetViews>
    <sheetView showGridLines="0" workbookViewId="0">
      <pane xSplit="3" ySplit="6" topLeftCell="D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20" customWidth="1" min="2" max="2"/>
    <col width="44" customWidth="1" min="3" max="3"/>
    <col width="14" customWidth="1" min="4" max="4"/>
    <col width="16" customWidth="1" min="5" max="5"/>
    <col width="20" customWidth="1" min="6" max="6"/>
    <col width="22" customWidth="1" min="7" max="7"/>
    <col width="13" customWidth="1" min="8" max="8"/>
    <col width="18" customWidth="1" min="9" max="9"/>
    <col width="12" customWidth="1" min="10" max="10"/>
    <col width="15" customWidth="1" min="11" max="11"/>
    <col width="10" customWidth="1" min="12" max="12"/>
    <col width="12" customWidth="1" min="13" max="13"/>
    <col width="10" customWidth="1" min="14" max="14"/>
    <col width="16" customWidth="1" min="15" max="15"/>
    <col width="15" customWidth="1" min="16" max="16"/>
    <col width="14" customWidth="1" min="17" max="17"/>
    <col width="15" customWidth="1" min="18" max="18"/>
    <col width="17" customWidth="1" min="19" max="19"/>
    <col width="9" customWidth="1" min="20" max="20"/>
    <col width="14" customWidth="1" min="21" max="21"/>
    <col width="13" customWidth="1" min="22" max="22"/>
    <col width="11" customWidth="1" min="23" max="23"/>
    <col width="34" customWidth="1" min="24" max="24"/>
  </cols>
  <sheetData>
    <row r="1" ht="26" customHeight="1">
      <c r="A1" s="1" t="inlineStr">
        <is>
          <t>VALVIC MARCENARIA</t>
        </is>
      </c>
    </row>
    <row r="2" ht="15" customHeight="1">
      <c r="A2" s="2" t="inlineStr">
        <is>
          <t>Vargas Decor Ltda   ·   CNPJ 17.269.304/0001-51   ·   Belo Horizonte / MG</t>
        </is>
      </c>
    </row>
    <row r="3" ht="28" customHeight="1">
      <c r="A3" s="3" t="inlineStr">
        <is>
          <t>CONTROLE DE PATRIMÔNIO</t>
        </is>
      </c>
    </row>
    <row r="4" ht="17" customHeight="1">
      <c r="A4" s="4" t="inlineStr">
        <is>
          <t>Cadastro único de todos os bens da empresa · preencha apenas as células de fundo creme</t>
        </is>
      </c>
    </row>
    <row r="6" ht="30" customHeight="1">
      <c r="A6" s="29" t="inlineStr">
        <is>
          <t>Código</t>
        </is>
      </c>
      <c r="B6" s="29" t="inlineStr">
        <is>
          <t>Categoria</t>
        </is>
      </c>
      <c r="C6" s="29" t="inlineStr">
        <is>
          <t>Descrição completa do item</t>
        </is>
      </c>
      <c r="D6" s="29" t="inlineStr">
        <is>
          <t>Marca</t>
        </is>
      </c>
      <c r="E6" s="29" t="inlineStr">
        <is>
          <t>Modelo</t>
        </is>
      </c>
      <c r="F6" s="29" t="inlineStr">
        <is>
          <t>Modelo padrão (SKU)</t>
        </is>
      </c>
      <c r="G6" s="29" t="inlineStr">
        <is>
          <t>Código de etiqueta / nº de série</t>
        </is>
      </c>
      <c r="H6" s="29" t="inlineStr">
        <is>
          <t>Data de aquisição</t>
        </is>
      </c>
      <c r="I6" s="29" t="inlineStr">
        <is>
          <t>Fornecedor</t>
        </is>
      </c>
      <c r="J6" s="29" t="inlineStr">
        <is>
          <t>Nota fiscal</t>
        </is>
      </c>
      <c r="K6" s="29" t="inlineStr">
        <is>
          <t>Valor de aquisição</t>
        </is>
      </c>
      <c r="L6" s="29" t="inlineStr">
        <is>
          <t>Vida útil (anos)</t>
        </is>
      </c>
      <c r="M6" s="29" t="inlineStr">
        <is>
          <t>Taxa deprec. (% a.a.)</t>
        </is>
      </c>
      <c r="N6" s="29" t="inlineStr">
        <is>
          <t>Meses de uso</t>
        </is>
      </c>
      <c r="O6" s="29" t="inlineStr">
        <is>
          <t>Depreciação acumulada</t>
        </is>
      </c>
      <c r="P6" s="29" t="inlineStr">
        <is>
          <t>Valor contábil atual</t>
        </is>
      </c>
      <c r="Q6" s="29" t="inlineStr">
        <is>
          <t>Situação</t>
        </is>
      </c>
      <c r="R6" s="29" t="inlineStr">
        <is>
          <t>Localização</t>
        </is>
      </c>
      <c r="S6" s="29" t="inlineStr">
        <is>
          <t>Responsável</t>
        </is>
      </c>
      <c r="T6" s="29" t="inlineStr">
        <is>
          <t>Vínculo</t>
        </is>
      </c>
      <c r="U6" s="29" t="inlineStr">
        <is>
          <t>Estado na entrega</t>
        </is>
      </c>
      <c r="V6" s="29" t="inlineStr">
        <is>
          <t>Data de entrega</t>
        </is>
      </c>
      <c r="W6" s="29" t="inlineStr">
        <is>
          <t>Termo assinado</t>
        </is>
      </c>
      <c r="X6" s="29" t="inlineStr">
        <is>
          <t>Observações</t>
        </is>
      </c>
    </row>
    <row r="7" ht="22" customHeight="1">
      <c r="A7" s="30" t="inlineStr">
        <is>
          <t>VLV-0001</t>
        </is>
      </c>
      <c r="B7" s="31" t="inlineStr">
        <is>
          <t>Máquina fixa</t>
        </is>
      </c>
      <c r="C7" s="31" t="inlineStr">
        <is>
          <t>Centro de usinagem CNC Raizen Solid TAF · 380V · 3 eixos</t>
        </is>
      </c>
      <c r="D7" s="31" t="inlineStr">
        <is>
          <t>Raizen</t>
        </is>
      </c>
      <c r="E7" s="31" t="inlineStr">
        <is>
          <t>Solid TAF</t>
        </is>
      </c>
      <c r="F7" s="32" t="n"/>
      <c r="G7" s="31" t="n"/>
      <c r="H7" s="33" t="n"/>
      <c r="I7" s="31" t="n"/>
      <c r="J7" s="32" t="n"/>
      <c r="K7" s="34" t="n"/>
      <c r="L7" s="32" t="n">
        <v>10</v>
      </c>
      <c r="M7" s="35">
        <f>IFERROR(INDEX(Listas!$G$14:$G$21,MATCH($B7,Listas!$F$14:$F$21,0)),"")</f>
        <v/>
      </c>
      <c r="N7" s="36">
        <f>IF(OR($H7="",$L7=""),"",MIN($L7*12,MAX(0,DATEDIF($H7,Listas!$N$2,"m"))))</f>
        <v/>
      </c>
      <c r="O7" s="37">
        <f>IF(OR($K7="",$N7=""),"",MIN($K7,ROUND($K7*($M7/12)*$N7,2)))</f>
        <v/>
      </c>
      <c r="P7" s="37">
        <f>IF($K7="","",$K7-IF($O7="",0,$O7))</f>
        <v/>
      </c>
      <c r="Q7" s="38" t="inlineStr">
        <is>
          <t>Em uso</t>
        </is>
      </c>
      <c r="R7" s="38" t="inlineStr">
        <is>
          <t>Fábrica</t>
        </is>
      </c>
      <c r="S7" s="31" t="n"/>
      <c r="T7" s="36">
        <f>IFERROR(INDEX(Listas!$B$2:$B$40,MATCH($S7,Listas!$A$2:$A$40,0)),"")</f>
        <v/>
      </c>
      <c r="U7" s="31" t="n"/>
      <c r="V7" s="33" t="n"/>
      <c r="W7" s="32" t="n"/>
      <c r="X7" s="31" t="n"/>
    </row>
    <row r="8" ht="22" customHeight="1">
      <c r="A8" s="30" t="inlineStr">
        <is>
          <t>VLV-0002</t>
        </is>
      </c>
      <c r="B8" s="31" t="inlineStr">
        <is>
          <t>Máquina fixa</t>
        </is>
      </c>
      <c r="C8" s="31" t="inlineStr">
        <is>
          <t>Coladeira de bordas SCM Minimax ME 25 · fita 0,4 mm · cola EVA</t>
        </is>
      </c>
      <c r="D8" s="31" t="inlineStr">
        <is>
          <t>SCM</t>
        </is>
      </c>
      <c r="E8" s="31" t="inlineStr">
        <is>
          <t>Minimax ME 25</t>
        </is>
      </c>
      <c r="F8" s="32" t="n"/>
      <c r="G8" s="31" t="n"/>
      <c r="H8" s="33" t="n"/>
      <c r="I8" s="31" t="n"/>
      <c r="J8" s="32" t="n"/>
      <c r="K8" s="34" t="n"/>
      <c r="L8" s="32" t="n">
        <v>10</v>
      </c>
      <c r="M8" s="35">
        <f>IFERROR(INDEX(Listas!$G$14:$G$21,MATCH($B8,Listas!$F$14:$F$21,0)),"")</f>
        <v/>
      </c>
      <c r="N8" s="36">
        <f>IF(OR($H8="",$L8=""),"",MIN($L8*12,MAX(0,DATEDIF($H8,Listas!$N$2,"m"))))</f>
        <v/>
      </c>
      <c r="O8" s="37">
        <f>IF(OR($K8="",$N8=""),"",MIN($K8,ROUND($K8*($M8/12)*$N8,2)))</f>
        <v/>
      </c>
      <c r="P8" s="37">
        <f>IF($K8="","",$K8-IF($O8="",0,$O8))</f>
        <v/>
      </c>
      <c r="Q8" s="38" t="inlineStr">
        <is>
          <t>Em uso</t>
        </is>
      </c>
      <c r="R8" s="38" t="inlineStr">
        <is>
          <t>Fábrica</t>
        </is>
      </c>
      <c r="S8" s="31" t="n"/>
      <c r="T8" s="36">
        <f>IFERROR(INDEX(Listas!$B$2:$B$40,MATCH($S8,Listas!$A$2:$A$40,0)),"")</f>
        <v/>
      </c>
      <c r="U8" s="31" t="n"/>
      <c r="V8" s="33" t="n"/>
      <c r="W8" s="32" t="n"/>
      <c r="X8" s="31" t="n"/>
    </row>
    <row r="9" ht="22" customHeight="1">
      <c r="A9" s="30" t="inlineStr">
        <is>
          <t>VLV-0003</t>
        </is>
      </c>
      <c r="B9" s="31" t="inlineStr">
        <is>
          <t>Máquina fixa</t>
        </is>
      </c>
      <c r="C9" s="31" t="inlineStr">
        <is>
          <t>Esquadrejadeira Raizen RZN 3200P</t>
        </is>
      </c>
      <c r="D9" s="31" t="inlineStr">
        <is>
          <t>Raizen</t>
        </is>
      </c>
      <c r="E9" s="31" t="inlineStr">
        <is>
          <t>RZN 3200P</t>
        </is>
      </c>
      <c r="F9" s="32" t="n"/>
      <c r="G9" s="31" t="n"/>
      <c r="H9" s="33" t="n"/>
      <c r="I9" s="31" t="n"/>
      <c r="J9" s="32" t="n"/>
      <c r="K9" s="34" t="n"/>
      <c r="L9" s="32" t="n">
        <v>10</v>
      </c>
      <c r="M9" s="35">
        <f>IFERROR(INDEX(Listas!$G$14:$G$21,MATCH($B9,Listas!$F$14:$F$21,0)),"")</f>
        <v/>
      </c>
      <c r="N9" s="36">
        <f>IF(OR($H9="",$L9=""),"",MIN($L9*12,MAX(0,DATEDIF($H9,Listas!$N$2,"m"))))</f>
        <v/>
      </c>
      <c r="O9" s="37">
        <f>IF(OR($K9="",$N9=""),"",MIN($K9,ROUND($K9*($M9/12)*$N9,2)))</f>
        <v/>
      </c>
      <c r="P9" s="37">
        <f>IF($K9="","",$K9-IF($O9="",0,$O9))</f>
        <v/>
      </c>
      <c r="Q9" s="38" t="inlineStr">
        <is>
          <t>Em uso</t>
        </is>
      </c>
      <c r="R9" s="38" t="inlineStr">
        <is>
          <t>Fábrica</t>
        </is>
      </c>
      <c r="S9" s="31" t="n"/>
      <c r="T9" s="36">
        <f>IFERROR(INDEX(Listas!$B$2:$B$40,MATCH($S9,Listas!$A$2:$A$40,0)),"")</f>
        <v/>
      </c>
      <c r="U9" s="31" t="n"/>
      <c r="V9" s="33" t="n"/>
      <c r="W9" s="32" t="n"/>
      <c r="X9" s="31" t="n"/>
    </row>
    <row r="10" ht="22" customHeight="1">
      <c r="A10" s="30" t="inlineStr">
        <is>
          <t>VLV-0004</t>
        </is>
      </c>
      <c r="B10" s="31" t="inlineStr">
        <is>
          <t>Máquina fixa</t>
        </is>
      </c>
      <c r="C10" s="31" t="inlineStr">
        <is>
          <t>Compressor de ar</t>
        </is>
      </c>
      <c r="D10" s="31" t="inlineStr"/>
      <c r="E10" s="31" t="inlineStr"/>
      <c r="F10" s="32" t="n"/>
      <c r="G10" s="31" t="n"/>
      <c r="H10" s="33" t="n"/>
      <c r="I10" s="31" t="n"/>
      <c r="J10" s="32" t="n"/>
      <c r="K10" s="34" t="n"/>
      <c r="L10" s="32" t="n">
        <v>10</v>
      </c>
      <c r="M10" s="35">
        <f>IFERROR(INDEX(Listas!$G$14:$G$21,MATCH($B10,Listas!$F$14:$F$21,0)),"")</f>
        <v/>
      </c>
      <c r="N10" s="36">
        <f>IF(OR($H10="",$L10=""),"",MIN($L10*12,MAX(0,DATEDIF($H10,Listas!$N$2,"m"))))</f>
        <v/>
      </c>
      <c r="O10" s="37">
        <f>IF(OR($K10="",$N10=""),"",MIN($K10,ROUND($K10*($M10/12)*$N10,2)))</f>
        <v/>
      </c>
      <c r="P10" s="37">
        <f>IF($K10="","",$K10-IF($O10="",0,$O10))</f>
        <v/>
      </c>
      <c r="Q10" s="38" t="inlineStr">
        <is>
          <t>Em uso</t>
        </is>
      </c>
      <c r="R10" s="38" t="inlineStr">
        <is>
          <t>Fábrica</t>
        </is>
      </c>
      <c r="S10" s="31" t="n"/>
      <c r="T10" s="36">
        <f>IFERROR(INDEX(Listas!$B$2:$B$40,MATCH($S10,Listas!$A$2:$A$40,0)),"")</f>
        <v/>
      </c>
      <c r="U10" s="31" t="n"/>
      <c r="V10" s="33" t="n"/>
      <c r="W10" s="32" t="n"/>
      <c r="X10" s="31" t="n"/>
    </row>
    <row r="11" ht="22" customHeight="1">
      <c r="A11" s="30" t="inlineStr">
        <is>
          <t>VLV-0005</t>
        </is>
      </c>
      <c r="B11" s="31" t="inlineStr">
        <is>
          <t>Máquina fixa</t>
        </is>
      </c>
      <c r="C11" s="31" t="inlineStr">
        <is>
          <t>Coletor de pó / exaustão</t>
        </is>
      </c>
      <c r="D11" s="31" t="inlineStr"/>
      <c r="E11" s="31" t="inlineStr"/>
      <c r="F11" s="32" t="n"/>
      <c r="G11" s="31" t="n"/>
      <c r="H11" s="33" t="n"/>
      <c r="I11" s="31" t="n"/>
      <c r="J11" s="32" t="n"/>
      <c r="K11" s="34" t="n"/>
      <c r="L11" s="32" t="n">
        <v>10</v>
      </c>
      <c r="M11" s="35">
        <f>IFERROR(INDEX(Listas!$G$14:$G$21,MATCH($B11,Listas!$F$14:$F$21,0)),"")</f>
        <v/>
      </c>
      <c r="N11" s="36">
        <f>IF(OR($H11="",$L11=""),"",MIN($L11*12,MAX(0,DATEDIF($H11,Listas!$N$2,"m"))))</f>
        <v/>
      </c>
      <c r="O11" s="37">
        <f>IF(OR($K11="",$N11=""),"",MIN($K11,ROUND($K11*($M11/12)*$N11,2)))</f>
        <v/>
      </c>
      <c r="P11" s="37">
        <f>IF($K11="","",$K11-IF($O11="",0,$O11))</f>
        <v/>
      </c>
      <c r="Q11" s="38" t="inlineStr">
        <is>
          <t>Em uso</t>
        </is>
      </c>
      <c r="R11" s="38" t="inlineStr">
        <is>
          <t>Fábrica</t>
        </is>
      </c>
      <c r="S11" s="31" t="n"/>
      <c r="T11" s="36">
        <f>IFERROR(INDEX(Listas!$B$2:$B$40,MATCH($S11,Listas!$A$2:$A$40,0)),"")</f>
        <v/>
      </c>
      <c r="U11" s="31" t="n"/>
      <c r="V11" s="33" t="n"/>
      <c r="W11" s="32" t="n"/>
      <c r="X11" s="31" t="n"/>
    </row>
    <row r="12" ht="22" customHeight="1">
      <c r="A12" s="30" t="inlineStr">
        <is>
          <t>VLV-0006</t>
        </is>
      </c>
      <c r="B12" s="31" t="inlineStr">
        <is>
          <t>Veículo</t>
        </is>
      </c>
      <c r="C12" s="31" t="inlineStr">
        <is>
          <t>Chevrolet Montana 2020 · placa QUY4166</t>
        </is>
      </c>
      <c r="D12" s="31" t="inlineStr">
        <is>
          <t>Chevrolet</t>
        </is>
      </c>
      <c r="E12" s="31" t="inlineStr">
        <is>
          <t>Montana 2020</t>
        </is>
      </c>
      <c r="F12" s="32" t="n"/>
      <c r="G12" s="31" t="n"/>
      <c r="H12" s="33" t="n"/>
      <c r="I12" s="31" t="n"/>
      <c r="J12" s="32" t="n"/>
      <c r="K12" s="34" t="n"/>
      <c r="L12" s="32" t="n">
        <v>5</v>
      </c>
      <c r="M12" s="35">
        <f>IFERROR(INDEX(Listas!$G$14:$G$21,MATCH($B12,Listas!$F$14:$F$21,0)),"")</f>
        <v/>
      </c>
      <c r="N12" s="36">
        <f>IF(OR($H12="",$L12=""),"",MIN($L12*12,MAX(0,DATEDIF($H12,Listas!$N$2,"m"))))</f>
        <v/>
      </c>
      <c r="O12" s="37">
        <f>IF(OR($K12="",$N12=""),"",MIN($K12,ROUND($K12*($M12/12)*$N12,2)))</f>
        <v/>
      </c>
      <c r="P12" s="37">
        <f>IF($K12="","",$K12-IF($O12="",0,$O12))</f>
        <v/>
      </c>
      <c r="Q12" s="38" t="inlineStr">
        <is>
          <t>Em uso</t>
        </is>
      </c>
      <c r="R12" s="38" t="inlineStr">
        <is>
          <t>Fábrica</t>
        </is>
      </c>
      <c r="S12" s="31" t="n"/>
      <c r="T12" s="36">
        <f>IFERROR(INDEX(Listas!$B$2:$B$40,MATCH($S12,Listas!$A$2:$A$40,0)),"")</f>
        <v/>
      </c>
      <c r="U12" s="31" t="n"/>
      <c r="V12" s="33" t="n"/>
      <c r="W12" s="32" t="n"/>
      <c r="X12" s="31" t="n"/>
    </row>
    <row r="13" ht="22" customHeight="1">
      <c r="A13" s="30" t="inlineStr">
        <is>
          <t>VLV-0007</t>
        </is>
      </c>
      <c r="B13" s="31" t="inlineStr">
        <is>
          <t>Informática</t>
        </is>
      </c>
      <c r="C13" s="31" t="inlineStr">
        <is>
          <t>Computador de escritório</t>
        </is>
      </c>
      <c r="D13" s="31" t="inlineStr"/>
      <c r="E13" s="31" t="inlineStr"/>
      <c r="F13" s="32" t="n"/>
      <c r="G13" s="31" t="n"/>
      <c r="H13" s="33" t="n"/>
      <c r="I13" s="31" t="n"/>
      <c r="J13" s="32" t="n"/>
      <c r="K13" s="34" t="n"/>
      <c r="L13" s="32" t="n">
        <v>5</v>
      </c>
      <c r="M13" s="35">
        <f>IFERROR(INDEX(Listas!$G$14:$G$21,MATCH($B13,Listas!$F$14:$F$21,0)),"")</f>
        <v/>
      </c>
      <c r="N13" s="36">
        <f>IF(OR($H13="",$L13=""),"",MIN($L13*12,MAX(0,DATEDIF($H13,Listas!$N$2,"m"))))</f>
        <v/>
      </c>
      <c r="O13" s="37">
        <f>IF(OR($K13="",$N13=""),"",MIN($K13,ROUND($K13*($M13/12)*$N13,2)))</f>
        <v/>
      </c>
      <c r="P13" s="37">
        <f>IF($K13="","",$K13-IF($O13="",0,$O13))</f>
        <v/>
      </c>
      <c r="Q13" s="38" t="inlineStr">
        <is>
          <t>Em uso</t>
        </is>
      </c>
      <c r="R13" s="38" t="inlineStr">
        <is>
          <t>Fábrica</t>
        </is>
      </c>
      <c r="S13" s="31" t="n"/>
      <c r="T13" s="36">
        <f>IFERROR(INDEX(Listas!$B$2:$B$40,MATCH($S13,Listas!$A$2:$A$40,0)),"")</f>
        <v/>
      </c>
      <c r="U13" s="31" t="n"/>
      <c r="V13" s="33" t="n"/>
      <c r="W13" s="32" t="n"/>
      <c r="X13" s="31" t="n"/>
    </row>
    <row r="14" ht="22" customHeight="1">
      <c r="A14" s="30" t="inlineStr">
        <is>
          <t>VLV-0008</t>
        </is>
      </c>
      <c r="B14" s="31" t="inlineStr">
        <is>
          <t>Informática</t>
        </is>
      </c>
      <c r="C14" s="31" t="inlineStr">
        <is>
          <t>Tablet do chão de fábrica</t>
        </is>
      </c>
      <c r="D14" s="31" t="inlineStr"/>
      <c r="E14" s="31" t="inlineStr"/>
      <c r="F14" s="32" t="n"/>
      <c r="G14" s="31" t="n"/>
      <c r="H14" s="33" t="n"/>
      <c r="I14" s="31" t="n"/>
      <c r="J14" s="32" t="n"/>
      <c r="K14" s="34" t="n"/>
      <c r="L14" s="32" t="n">
        <v>5</v>
      </c>
      <c r="M14" s="35">
        <f>IFERROR(INDEX(Listas!$G$14:$G$21,MATCH($B14,Listas!$F$14:$F$21,0)),"")</f>
        <v/>
      </c>
      <c r="N14" s="36">
        <f>IF(OR($H14="",$L14=""),"",MIN($L14*12,MAX(0,DATEDIF($H14,Listas!$N$2,"m"))))</f>
        <v/>
      </c>
      <c r="O14" s="37">
        <f>IF(OR($K14="",$N14=""),"",MIN($K14,ROUND($K14*($M14/12)*$N14,2)))</f>
        <v/>
      </c>
      <c r="P14" s="37">
        <f>IF($K14="","",$K14-IF($O14="",0,$O14))</f>
        <v/>
      </c>
      <c r="Q14" s="38" t="inlineStr">
        <is>
          <t>Em uso</t>
        </is>
      </c>
      <c r="R14" s="38" t="inlineStr">
        <is>
          <t>Fábrica</t>
        </is>
      </c>
      <c r="S14" s="31" t="n"/>
      <c r="T14" s="36">
        <f>IFERROR(INDEX(Listas!$B$2:$B$40,MATCH($S14,Listas!$A$2:$A$40,0)),"")</f>
        <v/>
      </c>
      <c r="U14" s="31" t="n"/>
      <c r="V14" s="33" t="n"/>
      <c r="W14" s="32" t="n"/>
      <c r="X14" s="31" t="n"/>
    </row>
    <row r="15" ht="22" customHeight="1">
      <c r="A15" s="30" t="inlineStr">
        <is>
          <t>VLV-0009</t>
        </is>
      </c>
      <c r="B15" s="31" t="inlineStr">
        <is>
          <t>Ferramenta elétrica</t>
        </is>
      </c>
      <c r="C15" s="31" t="inlineStr">
        <is>
          <t>Furador de coluna</t>
        </is>
      </c>
      <c r="D15" s="31" t="inlineStr"/>
      <c r="E15" s="31" t="inlineStr"/>
      <c r="F15" s="32" t="n"/>
      <c r="G15" s="31" t="n"/>
      <c r="H15" s="33" t="n"/>
      <c r="I15" s="31" t="n"/>
      <c r="J15" s="32" t="n"/>
      <c r="K15" s="34" t="n"/>
      <c r="L15" s="32" t="n">
        <v>10</v>
      </c>
      <c r="M15" s="35">
        <f>IFERROR(INDEX(Listas!$G$14:$G$21,MATCH($B15,Listas!$F$14:$F$21,0)),"")</f>
        <v/>
      </c>
      <c r="N15" s="36">
        <f>IF(OR($H15="",$L15=""),"",MIN($L15*12,MAX(0,DATEDIF($H15,Listas!$N$2,"m"))))</f>
        <v/>
      </c>
      <c r="O15" s="37">
        <f>IF(OR($K15="",$N15=""),"",MIN($K15,ROUND($K15*($M15/12)*$N15,2)))</f>
        <v/>
      </c>
      <c r="P15" s="37">
        <f>IF($K15="","",$K15-IF($O15="",0,$O15))</f>
        <v/>
      </c>
      <c r="Q15" s="38" t="inlineStr">
        <is>
          <t>Em uso</t>
        </is>
      </c>
      <c r="R15" s="38" t="inlineStr">
        <is>
          <t>Fábrica</t>
        </is>
      </c>
      <c r="S15" s="31" t="n"/>
      <c r="T15" s="36">
        <f>IFERROR(INDEX(Listas!$B$2:$B$40,MATCH($S15,Listas!$A$2:$A$40,0)),"")</f>
        <v/>
      </c>
      <c r="U15" s="31" t="n"/>
      <c r="V15" s="33" t="n"/>
      <c r="W15" s="32" t="n"/>
      <c r="X15" s="31" t="n"/>
    </row>
    <row r="16" ht="22" customHeight="1">
      <c r="A16" s="30" t="inlineStr">
        <is>
          <t>VLV-0010</t>
        </is>
      </c>
      <c r="B16" s="31" t="inlineStr">
        <is>
          <t>Ferramenta elétrica</t>
        </is>
      </c>
      <c r="C16" s="31" t="inlineStr">
        <is>
          <t>Etiquetadora</t>
        </is>
      </c>
      <c r="D16" s="31" t="inlineStr"/>
      <c r="E16" s="31" t="inlineStr"/>
      <c r="F16" s="32" t="n"/>
      <c r="G16" s="31" t="n"/>
      <c r="H16" s="33" t="n"/>
      <c r="I16" s="31" t="n"/>
      <c r="J16" s="32" t="n"/>
      <c r="K16" s="34" t="n"/>
      <c r="L16" s="32" t="n">
        <v>10</v>
      </c>
      <c r="M16" s="35">
        <f>IFERROR(INDEX(Listas!$G$14:$G$21,MATCH($B16,Listas!$F$14:$F$21,0)),"")</f>
        <v/>
      </c>
      <c r="N16" s="36">
        <f>IF(OR($H16="",$L16=""),"",MIN($L16*12,MAX(0,DATEDIF($H16,Listas!$N$2,"m"))))</f>
        <v/>
      </c>
      <c r="O16" s="37">
        <f>IF(OR($K16="",$N16=""),"",MIN($K16,ROUND($K16*($M16/12)*$N16,2)))</f>
        <v/>
      </c>
      <c r="P16" s="37">
        <f>IF($K16="","",$K16-IF($O16="",0,$O16))</f>
        <v/>
      </c>
      <c r="Q16" s="38" t="inlineStr">
        <is>
          <t>Em uso</t>
        </is>
      </c>
      <c r="R16" s="38" t="inlineStr">
        <is>
          <t>Fábrica</t>
        </is>
      </c>
      <c r="S16" s="31" t="n"/>
      <c r="T16" s="36">
        <f>IFERROR(INDEX(Listas!$B$2:$B$40,MATCH($S16,Listas!$A$2:$A$40,0)),"")</f>
        <v/>
      </c>
      <c r="U16" s="31" t="n"/>
      <c r="V16" s="33" t="n"/>
      <c r="W16" s="32" t="n"/>
      <c r="X16" s="31" t="n"/>
    </row>
    <row r="17" ht="22" customHeight="1">
      <c r="A17" s="30" t="inlineStr">
        <is>
          <t>VLV-0011</t>
        </is>
      </c>
      <c r="B17" s="31" t="inlineStr">
        <is>
          <t>Ferramenta elétrica</t>
        </is>
      </c>
      <c r="C17" s="31" t="inlineStr">
        <is>
          <t>Parafusadeira / furadeira de impacto a bateria 18V com 2 baterias</t>
        </is>
      </c>
      <c r="D17" s="31" t="inlineStr">
        <is>
          <t>Makita</t>
        </is>
      </c>
      <c r="E17" s="31" t="inlineStr">
        <is>
          <t>DHP482</t>
        </is>
      </c>
      <c r="F17" s="39" t="inlineStr">
        <is>
          <t>PARAF-MAK-DHP482</t>
        </is>
      </c>
      <c r="G17" s="31" t="n"/>
      <c r="H17" s="33" t="n"/>
      <c r="I17" s="31" t="n"/>
      <c r="J17" s="32" t="n"/>
      <c r="K17" s="34" t="n">
        <v>890</v>
      </c>
      <c r="L17" s="32" t="n">
        <v>5</v>
      </c>
      <c r="M17" s="35">
        <f>IFERROR(INDEX(Listas!$G$14:$G$21,MATCH($B17,Listas!$F$14:$F$21,0)),"")</f>
        <v/>
      </c>
      <c r="N17" s="36">
        <f>IF(OR($H17="",$L17=""),"",MIN($L17*12,MAX(0,DATEDIF($H17,Listas!$N$2,"m"))))</f>
        <v/>
      </c>
      <c r="O17" s="37">
        <f>IF(OR($K17="",$N17=""),"",MIN($K17,ROUND($K17*($M17/12)*$N17,2)))</f>
        <v/>
      </c>
      <c r="P17" s="37">
        <f>IF($K17="","",$K17-IF($O17="",0,$O17))</f>
        <v/>
      </c>
      <c r="Q17" s="38" t="inlineStr">
        <is>
          <t>Em estoque</t>
        </is>
      </c>
      <c r="R17" s="38" t="inlineStr">
        <is>
          <t>Fábrica</t>
        </is>
      </c>
      <c r="S17" s="31" t="n"/>
      <c r="T17" s="36">
        <f>IFERROR(INDEX(Listas!$B$2:$B$40,MATCH($S17,Listas!$A$2:$A$40,0)),"")</f>
        <v/>
      </c>
      <c r="U17" s="31" t="n"/>
      <c r="V17" s="33" t="n"/>
      <c r="W17" s="32" t="n"/>
      <c r="X17" s="31" t="n"/>
    </row>
    <row r="18" ht="22" customHeight="1">
      <c r="A18" s="30" t="inlineStr">
        <is>
          <t>VLV-0012</t>
        </is>
      </c>
      <c r="B18" s="31" t="inlineStr">
        <is>
          <t>Ferramenta elétrica</t>
        </is>
      </c>
      <c r="C18" s="31" t="inlineStr">
        <is>
          <t>Serra circular manual 7.1/4"</t>
        </is>
      </c>
      <c r="D18" s="31" t="inlineStr">
        <is>
          <t>Bosch</t>
        </is>
      </c>
      <c r="E18" s="31" t="inlineStr">
        <is>
          <t>GKS 150</t>
        </is>
      </c>
      <c r="F18" s="39" t="inlineStr">
        <is>
          <t>SERRA-BOS-GKS150</t>
        </is>
      </c>
      <c r="G18" s="31" t="n"/>
      <c r="H18" s="33" t="n"/>
      <c r="I18" s="31" t="n"/>
      <c r="J18" s="32" t="n"/>
      <c r="K18" s="34" t="n">
        <v>690</v>
      </c>
      <c r="L18" s="32" t="n">
        <v>5</v>
      </c>
      <c r="M18" s="35">
        <f>IFERROR(INDEX(Listas!$G$14:$G$21,MATCH($B18,Listas!$F$14:$F$21,0)),"")</f>
        <v/>
      </c>
      <c r="N18" s="36">
        <f>IF(OR($H18="",$L18=""),"",MIN($L18*12,MAX(0,DATEDIF($H18,Listas!$N$2,"m"))))</f>
        <v/>
      </c>
      <c r="O18" s="37">
        <f>IF(OR($K18="",$N18=""),"",MIN($K18,ROUND($K18*($M18/12)*$N18,2)))</f>
        <v/>
      </c>
      <c r="P18" s="37">
        <f>IF($K18="","",$K18-IF($O18="",0,$O18))</f>
        <v/>
      </c>
      <c r="Q18" s="38" t="inlineStr">
        <is>
          <t>Em estoque</t>
        </is>
      </c>
      <c r="R18" s="38" t="inlineStr">
        <is>
          <t>Fábrica</t>
        </is>
      </c>
      <c r="S18" s="31" t="n"/>
      <c r="T18" s="36">
        <f>IFERROR(INDEX(Listas!$B$2:$B$40,MATCH($S18,Listas!$A$2:$A$40,0)),"")</f>
        <v/>
      </c>
      <c r="U18" s="31" t="n"/>
      <c r="V18" s="33" t="n"/>
      <c r="W18" s="32" t="n"/>
      <c r="X18" s="31" t="n"/>
    </row>
    <row r="19" ht="22" customHeight="1">
      <c r="A19" s="30" t="inlineStr">
        <is>
          <t>VLV-0013</t>
        </is>
      </c>
      <c r="B19" s="31" t="inlineStr">
        <is>
          <t>Ferramenta elétrica</t>
        </is>
      </c>
      <c r="C19" s="31" t="inlineStr">
        <is>
          <t>Tupia manual 1/4"</t>
        </is>
      </c>
      <c r="D19" s="31" t="inlineStr">
        <is>
          <t>Makita</t>
        </is>
      </c>
      <c r="E19" s="31" t="inlineStr">
        <is>
          <t>RT0700C</t>
        </is>
      </c>
      <c r="F19" s="39" t="inlineStr">
        <is>
          <t>TUPIA-MAK-RT0700C</t>
        </is>
      </c>
      <c r="G19" s="31" t="n"/>
      <c r="H19" s="33" t="n"/>
      <c r="I19" s="31" t="n"/>
      <c r="J19" s="32" t="n"/>
      <c r="K19" s="34" t="n">
        <v>780</v>
      </c>
      <c r="L19" s="32" t="n">
        <v>5</v>
      </c>
      <c r="M19" s="35">
        <f>IFERROR(INDEX(Listas!$G$14:$G$21,MATCH($B19,Listas!$F$14:$F$21,0)),"")</f>
        <v/>
      </c>
      <c r="N19" s="36">
        <f>IF(OR($H19="",$L19=""),"",MIN($L19*12,MAX(0,DATEDIF($H19,Listas!$N$2,"m"))))</f>
        <v/>
      </c>
      <c r="O19" s="37">
        <f>IF(OR($K19="",$N19=""),"",MIN($K19,ROUND($K19*($M19/12)*$N19,2)))</f>
        <v/>
      </c>
      <c r="P19" s="37">
        <f>IF($K19="","",$K19-IF($O19="",0,$O19))</f>
        <v/>
      </c>
      <c r="Q19" s="38" t="inlineStr">
        <is>
          <t>Em estoque</t>
        </is>
      </c>
      <c r="R19" s="38" t="inlineStr">
        <is>
          <t>Fábrica</t>
        </is>
      </c>
      <c r="S19" s="31" t="n"/>
      <c r="T19" s="36">
        <f>IFERROR(INDEX(Listas!$B$2:$B$40,MATCH($S19,Listas!$A$2:$A$40,0)),"")</f>
        <v/>
      </c>
      <c r="U19" s="31" t="n"/>
      <c r="V19" s="33" t="n"/>
      <c r="W19" s="32" t="n"/>
      <c r="X19" s="31" t="n"/>
    </row>
    <row r="20" ht="22" customHeight="1">
      <c r="A20" s="30" t="inlineStr">
        <is>
          <t>VLV-0014</t>
        </is>
      </c>
      <c r="B20" s="31" t="inlineStr">
        <is>
          <t>Ferramenta elétrica</t>
        </is>
      </c>
      <c r="C20" s="31" t="inlineStr">
        <is>
          <t>Lixadeira orbital 1/4 de folha</t>
        </is>
      </c>
      <c r="D20" s="31" t="inlineStr">
        <is>
          <t>Bosch</t>
        </is>
      </c>
      <c r="E20" s="31" t="inlineStr">
        <is>
          <t>GSS 140</t>
        </is>
      </c>
      <c r="F20" s="39" t="inlineStr">
        <is>
          <t>LIXA-BOS-GSS140</t>
        </is>
      </c>
      <c r="G20" s="31" t="n"/>
      <c r="H20" s="33" t="n"/>
      <c r="I20" s="31" t="n"/>
      <c r="J20" s="32" t="n"/>
      <c r="K20" s="34" t="n">
        <v>380</v>
      </c>
      <c r="L20" s="32" t="n">
        <v>5</v>
      </c>
      <c r="M20" s="35">
        <f>IFERROR(INDEX(Listas!$G$14:$G$21,MATCH($B20,Listas!$F$14:$F$21,0)),"")</f>
        <v/>
      </c>
      <c r="N20" s="36">
        <f>IF(OR($H20="",$L20=""),"",MIN($L20*12,MAX(0,DATEDIF($H20,Listas!$N$2,"m"))))</f>
        <v/>
      </c>
      <c r="O20" s="37">
        <f>IF(OR($K20="",$N20=""),"",MIN($K20,ROUND($K20*($M20/12)*$N20,2)))</f>
        <v/>
      </c>
      <c r="P20" s="37">
        <f>IF($K20="","",$K20-IF($O20="",0,$O20))</f>
        <v/>
      </c>
      <c r="Q20" s="38" t="inlineStr">
        <is>
          <t>Em estoque</t>
        </is>
      </c>
      <c r="R20" s="38" t="inlineStr">
        <is>
          <t>Fábrica</t>
        </is>
      </c>
      <c r="S20" s="31" t="n"/>
      <c r="T20" s="36">
        <f>IFERROR(INDEX(Listas!$B$2:$B$40,MATCH($S20,Listas!$A$2:$A$40,0)),"")</f>
        <v/>
      </c>
      <c r="U20" s="31" t="n"/>
      <c r="V20" s="33" t="n"/>
      <c r="W20" s="32" t="n"/>
      <c r="X20" s="31" t="n"/>
    </row>
    <row r="21" ht="22" customHeight="1">
      <c r="A21" s="30" t="inlineStr">
        <is>
          <t>VLV-0015</t>
        </is>
      </c>
      <c r="B21" s="31" t="inlineStr">
        <is>
          <t>Ferramenta manual</t>
        </is>
      </c>
      <c r="C21" s="31" t="inlineStr">
        <is>
          <t>Jogo de formões 4 peças</t>
        </is>
      </c>
      <c r="D21" s="31" t="inlineStr">
        <is>
          <t>Tramontina</t>
        </is>
      </c>
      <c r="E21" s="31" t="inlineStr"/>
      <c r="F21" s="39" t="inlineStr">
        <is>
          <t>FORMAO-TRA-4P</t>
        </is>
      </c>
      <c r="G21" s="31" t="n"/>
      <c r="H21" s="33" t="n"/>
      <c r="I21" s="31" t="n"/>
      <c r="J21" s="32" t="n"/>
      <c r="K21" s="34" t="n">
        <v>180</v>
      </c>
      <c r="L21" s="32" t="n">
        <v>10</v>
      </c>
      <c r="M21" s="35">
        <f>IFERROR(INDEX(Listas!$G$14:$G$21,MATCH($B21,Listas!$F$14:$F$21,0)),"")</f>
        <v/>
      </c>
      <c r="N21" s="36">
        <f>IF(OR($H21="",$L21=""),"",MIN($L21*12,MAX(0,DATEDIF($H21,Listas!$N$2,"m"))))</f>
        <v/>
      </c>
      <c r="O21" s="37">
        <f>IF(OR($K21="",$N21=""),"",MIN($K21,ROUND($K21*($M21/12)*$N21,2)))</f>
        <v/>
      </c>
      <c r="P21" s="37">
        <f>IF($K21="","",$K21-IF($O21="",0,$O21))</f>
        <v/>
      </c>
      <c r="Q21" s="38" t="inlineStr">
        <is>
          <t>Em estoque</t>
        </is>
      </c>
      <c r="R21" s="38" t="inlineStr">
        <is>
          <t>Fábrica</t>
        </is>
      </c>
      <c r="S21" s="31" t="n"/>
      <c r="T21" s="36">
        <f>IFERROR(INDEX(Listas!$B$2:$B$40,MATCH($S21,Listas!$A$2:$A$40,0)),"")</f>
        <v/>
      </c>
      <c r="U21" s="31" t="n"/>
      <c r="V21" s="33" t="n"/>
      <c r="W21" s="32" t="n"/>
      <c r="X21" s="31" t="n"/>
    </row>
    <row r="22" ht="22" customHeight="1">
      <c r="A22" s="30" t="inlineStr">
        <is>
          <t>VLV-0016</t>
        </is>
      </c>
      <c r="B22" s="31" t="inlineStr">
        <is>
          <t>Ferramenta manual</t>
        </is>
      </c>
      <c r="C22" s="31" t="inlineStr">
        <is>
          <t>Martelo unha 27 mm cabo de fibra</t>
        </is>
      </c>
      <c r="D22" s="31" t="inlineStr">
        <is>
          <t>Tramontina</t>
        </is>
      </c>
      <c r="E22" s="31" t="inlineStr"/>
      <c r="F22" s="39" t="inlineStr">
        <is>
          <t>MARTELO-TRA-27</t>
        </is>
      </c>
      <c r="G22" s="31" t="n"/>
      <c r="H22" s="33" t="n"/>
      <c r="I22" s="31" t="n"/>
      <c r="J22" s="32" t="n"/>
      <c r="K22" s="34" t="n">
        <v>75</v>
      </c>
      <c r="L22" s="32" t="n">
        <v>10</v>
      </c>
      <c r="M22" s="35">
        <f>IFERROR(INDEX(Listas!$G$14:$G$21,MATCH($B22,Listas!$F$14:$F$21,0)),"")</f>
        <v/>
      </c>
      <c r="N22" s="36">
        <f>IF(OR($H22="",$L22=""),"",MIN($L22*12,MAX(0,DATEDIF($H22,Listas!$N$2,"m"))))</f>
        <v/>
      </c>
      <c r="O22" s="37">
        <f>IF(OR($K22="",$N22=""),"",MIN($K22,ROUND($K22*($M22/12)*$N22,2)))</f>
        <v/>
      </c>
      <c r="P22" s="37">
        <f>IF($K22="","",$K22-IF($O22="",0,$O22))</f>
        <v/>
      </c>
      <c r="Q22" s="38" t="inlineStr">
        <is>
          <t>Em estoque</t>
        </is>
      </c>
      <c r="R22" s="38" t="inlineStr">
        <is>
          <t>Fábrica</t>
        </is>
      </c>
      <c r="S22" s="31" t="n"/>
      <c r="T22" s="36">
        <f>IFERROR(INDEX(Listas!$B$2:$B$40,MATCH($S22,Listas!$A$2:$A$40,0)),"")</f>
        <v/>
      </c>
      <c r="U22" s="31" t="n"/>
      <c r="V22" s="33" t="n"/>
      <c r="W22" s="32" t="n"/>
      <c r="X22" s="31" t="n"/>
    </row>
    <row r="23" ht="22" customHeight="1">
      <c r="A23" s="30" t="inlineStr">
        <is>
          <t>VLV-0017</t>
        </is>
      </c>
      <c r="B23" s="31" t="inlineStr">
        <is>
          <t>Ferramenta manual</t>
        </is>
      </c>
      <c r="C23" s="31" t="inlineStr">
        <is>
          <t>Jogo de chaves de fenda e philips 6 peças</t>
        </is>
      </c>
      <c r="D23" s="31" t="inlineStr">
        <is>
          <t>Gedore</t>
        </is>
      </c>
      <c r="E23" s="31" t="inlineStr"/>
      <c r="F23" s="39" t="inlineStr">
        <is>
          <t>CHAVES-GED-6P</t>
        </is>
      </c>
      <c r="G23" s="31" t="n"/>
      <c r="H23" s="33" t="n"/>
      <c r="I23" s="31" t="n"/>
      <c r="J23" s="32" t="n"/>
      <c r="K23" s="34" t="n">
        <v>130</v>
      </c>
      <c r="L23" s="32" t="n">
        <v>10</v>
      </c>
      <c r="M23" s="35">
        <f>IFERROR(INDEX(Listas!$G$14:$G$21,MATCH($B23,Listas!$F$14:$F$21,0)),"")</f>
        <v/>
      </c>
      <c r="N23" s="36">
        <f>IF(OR($H23="",$L23=""),"",MIN($L23*12,MAX(0,DATEDIF($H23,Listas!$N$2,"m"))))</f>
        <v/>
      </c>
      <c r="O23" s="37">
        <f>IF(OR($K23="",$N23=""),"",MIN($K23,ROUND($K23*($M23/12)*$N23,2)))</f>
        <v/>
      </c>
      <c r="P23" s="37">
        <f>IF($K23="","",$K23-IF($O23="",0,$O23))</f>
        <v/>
      </c>
      <c r="Q23" s="38" t="inlineStr">
        <is>
          <t>Em estoque</t>
        </is>
      </c>
      <c r="R23" s="38" t="inlineStr">
        <is>
          <t>Fábrica</t>
        </is>
      </c>
      <c r="S23" s="31" t="n"/>
      <c r="T23" s="36">
        <f>IFERROR(INDEX(Listas!$B$2:$B$40,MATCH($S23,Listas!$A$2:$A$40,0)),"")</f>
        <v/>
      </c>
      <c r="U23" s="31" t="n"/>
      <c r="V23" s="33" t="n"/>
      <c r="W23" s="32" t="n"/>
      <c r="X23" s="31" t="n"/>
    </row>
    <row r="24" ht="22" customHeight="1">
      <c r="A24" s="30" t="inlineStr">
        <is>
          <t>VLV-0018</t>
        </is>
      </c>
      <c r="B24" s="31" t="inlineStr">
        <is>
          <t>Ferramenta manual</t>
        </is>
      </c>
      <c r="C24" s="31" t="inlineStr">
        <is>
          <t>Grampo sargento 300 mm — par</t>
        </is>
      </c>
      <c r="D24" s="31" t="inlineStr">
        <is>
          <t>Vonder</t>
        </is>
      </c>
      <c r="E24" s="31" t="inlineStr"/>
      <c r="F24" s="39" t="inlineStr">
        <is>
          <t>SARGENTO-VON-300</t>
        </is>
      </c>
      <c r="G24" s="31" t="n"/>
      <c r="H24" s="33" t="n"/>
      <c r="I24" s="31" t="n"/>
      <c r="J24" s="32" t="n"/>
      <c r="K24" s="34" t="n">
        <v>160</v>
      </c>
      <c r="L24" s="32" t="n">
        <v>10</v>
      </c>
      <c r="M24" s="35">
        <f>IFERROR(INDEX(Listas!$G$14:$G$21,MATCH($B24,Listas!$F$14:$F$21,0)),"")</f>
        <v/>
      </c>
      <c r="N24" s="36">
        <f>IF(OR($H24="",$L24=""),"",MIN($L24*12,MAX(0,DATEDIF($H24,Listas!$N$2,"m"))))</f>
        <v/>
      </c>
      <c r="O24" s="37">
        <f>IF(OR($K24="",$N24=""),"",MIN($K24,ROUND($K24*($M24/12)*$N24,2)))</f>
        <v/>
      </c>
      <c r="P24" s="37">
        <f>IF($K24="","",$K24-IF($O24="",0,$O24))</f>
        <v/>
      </c>
      <c r="Q24" s="38" t="inlineStr">
        <is>
          <t>Em estoque</t>
        </is>
      </c>
      <c r="R24" s="38" t="inlineStr">
        <is>
          <t>Fábrica</t>
        </is>
      </c>
      <c r="S24" s="31" t="n"/>
      <c r="T24" s="36">
        <f>IFERROR(INDEX(Listas!$B$2:$B$40,MATCH($S24,Listas!$A$2:$A$40,0)),"")</f>
        <v/>
      </c>
      <c r="U24" s="31" t="n"/>
      <c r="V24" s="33" t="n"/>
      <c r="W24" s="32" t="n"/>
      <c r="X24" s="31" t="n"/>
    </row>
    <row r="25" ht="22" customHeight="1">
      <c r="A25" s="30" t="inlineStr">
        <is>
          <t>VLV-0019</t>
        </is>
      </c>
      <c r="B25" s="31" t="inlineStr">
        <is>
          <t>Instrumento de medição</t>
        </is>
      </c>
      <c r="C25" s="31" t="inlineStr">
        <is>
          <t>Trena 5 m</t>
        </is>
      </c>
      <c r="D25" s="31" t="inlineStr">
        <is>
          <t>Starrett</t>
        </is>
      </c>
      <c r="E25" s="31" t="inlineStr"/>
      <c r="F25" s="39" t="inlineStr">
        <is>
          <t>TRENA-STA-5M</t>
        </is>
      </c>
      <c r="G25" s="31" t="n"/>
      <c r="H25" s="33" t="n"/>
      <c r="I25" s="31" t="n"/>
      <c r="J25" s="32" t="n"/>
      <c r="K25" s="34" t="n">
        <v>55</v>
      </c>
      <c r="L25" s="32" t="n">
        <v>5</v>
      </c>
      <c r="M25" s="35">
        <f>IFERROR(INDEX(Listas!$G$14:$G$21,MATCH($B25,Listas!$F$14:$F$21,0)),"")</f>
        <v/>
      </c>
      <c r="N25" s="36">
        <f>IF(OR($H25="",$L25=""),"",MIN($L25*12,MAX(0,DATEDIF($H25,Listas!$N$2,"m"))))</f>
        <v/>
      </c>
      <c r="O25" s="37">
        <f>IF(OR($K25="",$N25=""),"",MIN($K25,ROUND($K25*($M25/12)*$N25,2)))</f>
        <v/>
      </c>
      <c r="P25" s="37">
        <f>IF($K25="","",$K25-IF($O25="",0,$O25))</f>
        <v/>
      </c>
      <c r="Q25" s="38" t="inlineStr">
        <is>
          <t>Em estoque</t>
        </is>
      </c>
      <c r="R25" s="38" t="inlineStr">
        <is>
          <t>Fábrica</t>
        </is>
      </c>
      <c r="S25" s="31" t="n"/>
      <c r="T25" s="36">
        <f>IFERROR(INDEX(Listas!$B$2:$B$40,MATCH($S25,Listas!$A$2:$A$40,0)),"")</f>
        <v/>
      </c>
      <c r="U25" s="31" t="n"/>
      <c r="V25" s="33" t="n"/>
      <c r="W25" s="32" t="n"/>
      <c r="X25" s="31" t="n"/>
    </row>
    <row r="26" ht="22" customHeight="1">
      <c r="A26" s="30" t="inlineStr">
        <is>
          <t>VLV-0020</t>
        </is>
      </c>
      <c r="B26" s="31" t="inlineStr">
        <is>
          <t>Instrumento de medição</t>
        </is>
      </c>
      <c r="C26" s="31" t="inlineStr">
        <is>
          <t>Esquadro de precisão 300 mm</t>
        </is>
      </c>
      <c r="D26" s="31" t="inlineStr">
        <is>
          <t>Starrett</t>
        </is>
      </c>
      <c r="E26" s="31" t="inlineStr"/>
      <c r="F26" s="39" t="inlineStr">
        <is>
          <t>ESQUADRO-STA-300</t>
        </is>
      </c>
      <c r="G26" s="31" t="n"/>
      <c r="H26" s="33" t="n"/>
      <c r="I26" s="31" t="n"/>
      <c r="J26" s="32" t="n"/>
      <c r="K26" s="34" t="n">
        <v>120</v>
      </c>
      <c r="L26" s="32" t="n">
        <v>10</v>
      </c>
      <c r="M26" s="35">
        <f>IFERROR(INDEX(Listas!$G$14:$G$21,MATCH($B26,Listas!$F$14:$F$21,0)),"")</f>
        <v/>
      </c>
      <c r="N26" s="36">
        <f>IF(OR($H26="",$L26=""),"",MIN($L26*12,MAX(0,DATEDIF($H26,Listas!$N$2,"m"))))</f>
        <v/>
      </c>
      <c r="O26" s="37">
        <f>IF(OR($K26="",$N26=""),"",MIN($K26,ROUND($K26*($M26/12)*$N26,2)))</f>
        <v/>
      </c>
      <c r="P26" s="37">
        <f>IF($K26="","",$K26-IF($O26="",0,$O26))</f>
        <v/>
      </c>
      <c r="Q26" s="38" t="inlineStr">
        <is>
          <t>Em estoque</t>
        </is>
      </c>
      <c r="R26" s="38" t="inlineStr">
        <is>
          <t>Fábrica</t>
        </is>
      </c>
      <c r="S26" s="31" t="n"/>
      <c r="T26" s="36">
        <f>IFERROR(INDEX(Listas!$B$2:$B$40,MATCH($S26,Listas!$A$2:$A$40,0)),"")</f>
        <v/>
      </c>
      <c r="U26" s="31" t="n"/>
      <c r="V26" s="33" t="n"/>
      <c r="W26" s="32" t="n"/>
      <c r="X26" s="31" t="n"/>
    </row>
    <row r="27" ht="22" customHeight="1">
      <c r="A27" s="30" t="inlineStr">
        <is>
          <t>VLV-0021</t>
        </is>
      </c>
      <c r="B27" s="31" t="inlineStr">
        <is>
          <t>Instrumento de medição</t>
        </is>
      </c>
      <c r="C27" s="31" t="inlineStr">
        <is>
          <t>Nível a laser de linha</t>
        </is>
      </c>
      <c r="D27" s="31" t="inlineStr">
        <is>
          <t>Bosch</t>
        </is>
      </c>
      <c r="E27" s="31" t="inlineStr">
        <is>
          <t>GLL 2-10</t>
        </is>
      </c>
      <c r="F27" s="39" t="inlineStr">
        <is>
          <t>LASER-BOS-GLL210</t>
        </is>
      </c>
      <c r="G27" s="31" t="n"/>
      <c r="H27" s="33" t="n"/>
      <c r="I27" s="31" t="n"/>
      <c r="J27" s="32" t="n"/>
      <c r="K27" s="34" t="n">
        <v>520</v>
      </c>
      <c r="L27" s="32" t="n">
        <v>5</v>
      </c>
      <c r="M27" s="35">
        <f>IFERROR(INDEX(Listas!$G$14:$G$21,MATCH($B27,Listas!$F$14:$F$21,0)),"")</f>
        <v/>
      </c>
      <c r="N27" s="36">
        <f>IF(OR($H27="",$L27=""),"",MIN($L27*12,MAX(0,DATEDIF($H27,Listas!$N$2,"m"))))</f>
        <v/>
      </c>
      <c r="O27" s="37">
        <f>IF(OR($K27="",$N27=""),"",MIN($K27,ROUND($K27*($M27/12)*$N27,2)))</f>
        <v/>
      </c>
      <c r="P27" s="37">
        <f>IF($K27="","",$K27-IF($O27="",0,$O27))</f>
        <v/>
      </c>
      <c r="Q27" s="38" t="inlineStr">
        <is>
          <t>Em estoque</t>
        </is>
      </c>
      <c r="R27" s="38" t="inlineStr">
        <is>
          <t>Fábrica</t>
        </is>
      </c>
      <c r="S27" s="31" t="n"/>
      <c r="T27" s="36">
        <f>IFERROR(INDEX(Listas!$B$2:$B$40,MATCH($S27,Listas!$A$2:$A$40,0)),"")</f>
        <v/>
      </c>
      <c r="U27" s="31" t="n"/>
      <c r="V27" s="33" t="n"/>
      <c r="W27" s="32" t="n"/>
      <c r="X27" s="31" t="n"/>
    </row>
    <row r="28" ht="22" customHeight="1">
      <c r="A28" s="30" t="inlineStr">
        <is>
          <t>VLV-0022</t>
        </is>
      </c>
      <c r="B28" s="31" t="inlineStr">
        <is>
          <t>Ferramenta manual</t>
        </is>
      </c>
      <c r="C28" s="31" t="inlineStr">
        <is>
          <t>Maleta / caixa organizadora de ferramentas</t>
        </is>
      </c>
      <c r="D28" s="31" t="inlineStr">
        <is>
          <t>Tramontina</t>
        </is>
      </c>
      <c r="E28" s="31" t="inlineStr"/>
      <c r="F28" s="39" t="inlineStr">
        <is>
          <t>MALETA-TRA-ORG</t>
        </is>
      </c>
      <c r="G28" s="31" t="n"/>
      <c r="H28" s="33" t="n"/>
      <c r="I28" s="31" t="n"/>
      <c r="J28" s="32" t="n"/>
      <c r="K28" s="34" t="n">
        <v>210</v>
      </c>
      <c r="L28" s="32" t="n">
        <v>5</v>
      </c>
      <c r="M28" s="35">
        <f>IFERROR(INDEX(Listas!$G$14:$G$21,MATCH($B28,Listas!$F$14:$F$21,0)),"")</f>
        <v/>
      </c>
      <c r="N28" s="36">
        <f>IF(OR($H28="",$L28=""),"",MIN($L28*12,MAX(0,DATEDIF($H28,Listas!$N$2,"m"))))</f>
        <v/>
      </c>
      <c r="O28" s="37">
        <f>IF(OR($K28="",$N28=""),"",MIN($K28,ROUND($K28*($M28/12)*$N28,2)))</f>
        <v/>
      </c>
      <c r="P28" s="37">
        <f>IF($K28="","",$K28-IF($O28="",0,$O28))</f>
        <v/>
      </c>
      <c r="Q28" s="38" t="inlineStr">
        <is>
          <t>Em estoque</t>
        </is>
      </c>
      <c r="R28" s="38" t="inlineStr">
        <is>
          <t>Fábrica</t>
        </is>
      </c>
      <c r="S28" s="31" t="n"/>
      <c r="T28" s="36">
        <f>IFERROR(INDEX(Listas!$B$2:$B$40,MATCH($S28,Listas!$A$2:$A$40,0)),"")</f>
        <v/>
      </c>
      <c r="U28" s="31" t="n"/>
      <c r="V28" s="33" t="n"/>
      <c r="W28" s="32" t="n"/>
      <c r="X28" s="31" t="n"/>
    </row>
    <row r="29" ht="22" customHeight="1">
      <c r="A29" s="32" t="n"/>
      <c r="B29" s="31" t="n"/>
      <c r="C29" s="31" t="n"/>
      <c r="D29" s="31" t="n"/>
      <c r="E29" s="31" t="n"/>
      <c r="F29" s="32" t="n"/>
      <c r="G29" s="31" t="n"/>
      <c r="H29" s="33" t="n"/>
      <c r="I29" s="31" t="n"/>
      <c r="J29" s="32" t="n"/>
      <c r="K29" s="34" t="n"/>
      <c r="L29" s="32" t="n"/>
      <c r="M29" s="35">
        <f>IFERROR(INDEX(Listas!$G$14:$G$21,MATCH($B29,Listas!$F$14:$F$21,0)),"")</f>
        <v/>
      </c>
      <c r="N29" s="36">
        <f>IF(OR($H29="",$L29=""),"",MIN($L29*12,MAX(0,DATEDIF($H29,Listas!$N$2,"m"))))</f>
        <v/>
      </c>
      <c r="O29" s="37">
        <f>IF(OR($K29="",$N29=""),"",MIN($K29,ROUND($K29*($M29/12)*$N29,2)))</f>
        <v/>
      </c>
      <c r="P29" s="37">
        <f>IF($K29="","",$K29-IF($O29="",0,$O29))</f>
        <v/>
      </c>
      <c r="Q29" s="31" t="n"/>
      <c r="R29" s="31" t="n"/>
      <c r="S29" s="31" t="n"/>
      <c r="T29" s="36">
        <f>IFERROR(INDEX(Listas!$B$2:$B$40,MATCH($S29,Listas!$A$2:$A$40,0)),"")</f>
        <v/>
      </c>
      <c r="U29" s="31" t="n"/>
      <c r="V29" s="33" t="n"/>
      <c r="W29" s="32" t="n"/>
      <c r="X29" s="31" t="n"/>
    </row>
    <row r="30" ht="22" customHeight="1">
      <c r="A30" s="32" t="n"/>
      <c r="B30" s="31" t="n"/>
      <c r="C30" s="31" t="n"/>
      <c r="D30" s="31" t="n"/>
      <c r="E30" s="31" t="n"/>
      <c r="F30" s="32" t="n"/>
      <c r="G30" s="31" t="n"/>
      <c r="H30" s="33" t="n"/>
      <c r="I30" s="31" t="n"/>
      <c r="J30" s="32" t="n"/>
      <c r="K30" s="34" t="n"/>
      <c r="L30" s="32" t="n"/>
      <c r="M30" s="35">
        <f>IFERROR(INDEX(Listas!$G$14:$G$21,MATCH($B30,Listas!$F$14:$F$21,0)),"")</f>
        <v/>
      </c>
      <c r="N30" s="36">
        <f>IF(OR($H30="",$L30=""),"",MIN($L30*12,MAX(0,DATEDIF($H30,Listas!$N$2,"m"))))</f>
        <v/>
      </c>
      <c r="O30" s="37">
        <f>IF(OR($K30="",$N30=""),"",MIN($K30,ROUND($K30*($M30/12)*$N30,2)))</f>
        <v/>
      </c>
      <c r="P30" s="37">
        <f>IF($K30="","",$K30-IF($O30="",0,$O30))</f>
        <v/>
      </c>
      <c r="Q30" s="31" t="n"/>
      <c r="R30" s="31" t="n"/>
      <c r="S30" s="31" t="n"/>
      <c r="T30" s="36">
        <f>IFERROR(INDEX(Listas!$B$2:$B$40,MATCH($S30,Listas!$A$2:$A$40,0)),"")</f>
        <v/>
      </c>
      <c r="U30" s="31" t="n"/>
      <c r="V30" s="33" t="n"/>
      <c r="W30" s="32" t="n"/>
      <c r="X30" s="31" t="n"/>
    </row>
    <row r="31" ht="22" customHeight="1">
      <c r="A31" s="32" t="n"/>
      <c r="B31" s="31" t="n"/>
      <c r="C31" s="31" t="n"/>
      <c r="D31" s="31" t="n"/>
      <c r="E31" s="31" t="n"/>
      <c r="F31" s="32" t="n"/>
      <c r="G31" s="31" t="n"/>
      <c r="H31" s="33" t="n"/>
      <c r="I31" s="31" t="n"/>
      <c r="J31" s="32" t="n"/>
      <c r="K31" s="34" t="n"/>
      <c r="L31" s="32" t="n"/>
      <c r="M31" s="35">
        <f>IFERROR(INDEX(Listas!$G$14:$G$21,MATCH($B31,Listas!$F$14:$F$21,0)),"")</f>
        <v/>
      </c>
      <c r="N31" s="36">
        <f>IF(OR($H31="",$L31=""),"",MIN($L31*12,MAX(0,DATEDIF($H31,Listas!$N$2,"m"))))</f>
        <v/>
      </c>
      <c r="O31" s="37">
        <f>IF(OR($K31="",$N31=""),"",MIN($K31,ROUND($K31*($M31/12)*$N31,2)))</f>
        <v/>
      </c>
      <c r="P31" s="37">
        <f>IF($K31="","",$K31-IF($O31="",0,$O31))</f>
        <v/>
      </c>
      <c r="Q31" s="31" t="n"/>
      <c r="R31" s="31" t="n"/>
      <c r="S31" s="31" t="n"/>
      <c r="T31" s="36">
        <f>IFERROR(INDEX(Listas!$B$2:$B$40,MATCH($S31,Listas!$A$2:$A$40,0)),"")</f>
        <v/>
      </c>
      <c r="U31" s="31" t="n"/>
      <c r="V31" s="33" t="n"/>
      <c r="W31" s="32" t="n"/>
      <c r="X31" s="31" t="n"/>
    </row>
    <row r="32" ht="22" customHeight="1">
      <c r="A32" s="32" t="n"/>
      <c r="B32" s="31" t="n"/>
      <c r="C32" s="31" t="n"/>
      <c r="D32" s="31" t="n"/>
      <c r="E32" s="31" t="n"/>
      <c r="F32" s="32" t="n"/>
      <c r="G32" s="31" t="n"/>
      <c r="H32" s="33" t="n"/>
      <c r="I32" s="31" t="n"/>
      <c r="J32" s="32" t="n"/>
      <c r="K32" s="34" t="n"/>
      <c r="L32" s="32" t="n"/>
      <c r="M32" s="35">
        <f>IFERROR(INDEX(Listas!$G$14:$G$21,MATCH($B32,Listas!$F$14:$F$21,0)),"")</f>
        <v/>
      </c>
      <c r="N32" s="36">
        <f>IF(OR($H32="",$L32=""),"",MIN($L32*12,MAX(0,DATEDIF($H32,Listas!$N$2,"m"))))</f>
        <v/>
      </c>
      <c r="O32" s="37">
        <f>IF(OR($K32="",$N32=""),"",MIN($K32,ROUND($K32*($M32/12)*$N32,2)))</f>
        <v/>
      </c>
      <c r="P32" s="37">
        <f>IF($K32="","",$K32-IF($O32="",0,$O32))</f>
        <v/>
      </c>
      <c r="Q32" s="31" t="n"/>
      <c r="R32" s="31" t="n"/>
      <c r="S32" s="31" t="n"/>
      <c r="T32" s="36">
        <f>IFERROR(INDEX(Listas!$B$2:$B$40,MATCH($S32,Listas!$A$2:$A$40,0)),"")</f>
        <v/>
      </c>
      <c r="U32" s="31" t="n"/>
      <c r="V32" s="33" t="n"/>
      <c r="W32" s="32" t="n"/>
      <c r="X32" s="31" t="n"/>
    </row>
    <row r="33" ht="22" customHeight="1">
      <c r="A33" s="32" t="n"/>
      <c r="B33" s="31" t="n"/>
      <c r="C33" s="31" t="n"/>
      <c r="D33" s="31" t="n"/>
      <c r="E33" s="31" t="n"/>
      <c r="F33" s="32" t="n"/>
      <c r="G33" s="31" t="n"/>
      <c r="H33" s="33" t="n"/>
      <c r="I33" s="31" t="n"/>
      <c r="J33" s="32" t="n"/>
      <c r="K33" s="34" t="n"/>
      <c r="L33" s="32" t="n"/>
      <c r="M33" s="35">
        <f>IFERROR(INDEX(Listas!$G$14:$G$21,MATCH($B33,Listas!$F$14:$F$21,0)),"")</f>
        <v/>
      </c>
      <c r="N33" s="36">
        <f>IF(OR($H33="",$L33=""),"",MIN($L33*12,MAX(0,DATEDIF($H33,Listas!$N$2,"m"))))</f>
        <v/>
      </c>
      <c r="O33" s="37">
        <f>IF(OR($K33="",$N33=""),"",MIN($K33,ROUND($K33*($M33/12)*$N33,2)))</f>
        <v/>
      </c>
      <c r="P33" s="37">
        <f>IF($K33="","",$K33-IF($O33="",0,$O33))</f>
        <v/>
      </c>
      <c r="Q33" s="31" t="n"/>
      <c r="R33" s="31" t="n"/>
      <c r="S33" s="31" t="n"/>
      <c r="T33" s="36">
        <f>IFERROR(INDEX(Listas!$B$2:$B$40,MATCH($S33,Listas!$A$2:$A$40,0)),"")</f>
        <v/>
      </c>
      <c r="U33" s="31" t="n"/>
      <c r="V33" s="33" t="n"/>
      <c r="W33" s="32" t="n"/>
      <c r="X33" s="31" t="n"/>
    </row>
    <row r="34" ht="22" customHeight="1">
      <c r="A34" s="32" t="n"/>
      <c r="B34" s="31" t="n"/>
      <c r="C34" s="31" t="n"/>
      <c r="D34" s="31" t="n"/>
      <c r="E34" s="31" t="n"/>
      <c r="F34" s="32" t="n"/>
      <c r="G34" s="31" t="n"/>
      <c r="H34" s="33" t="n"/>
      <c r="I34" s="31" t="n"/>
      <c r="J34" s="32" t="n"/>
      <c r="K34" s="34" t="n"/>
      <c r="L34" s="32" t="n"/>
      <c r="M34" s="35">
        <f>IFERROR(INDEX(Listas!$G$14:$G$21,MATCH($B34,Listas!$F$14:$F$21,0)),"")</f>
        <v/>
      </c>
      <c r="N34" s="36">
        <f>IF(OR($H34="",$L34=""),"",MIN($L34*12,MAX(0,DATEDIF($H34,Listas!$N$2,"m"))))</f>
        <v/>
      </c>
      <c r="O34" s="37">
        <f>IF(OR($K34="",$N34=""),"",MIN($K34,ROUND($K34*($M34/12)*$N34,2)))</f>
        <v/>
      </c>
      <c r="P34" s="37">
        <f>IF($K34="","",$K34-IF($O34="",0,$O34))</f>
        <v/>
      </c>
      <c r="Q34" s="31" t="n"/>
      <c r="R34" s="31" t="n"/>
      <c r="S34" s="31" t="n"/>
      <c r="T34" s="36">
        <f>IFERROR(INDEX(Listas!$B$2:$B$40,MATCH($S34,Listas!$A$2:$A$40,0)),"")</f>
        <v/>
      </c>
      <c r="U34" s="31" t="n"/>
      <c r="V34" s="33" t="n"/>
      <c r="W34" s="32" t="n"/>
      <c r="X34" s="31" t="n"/>
    </row>
    <row r="35" ht="22" customHeight="1">
      <c r="A35" s="32" t="n"/>
      <c r="B35" s="31" t="n"/>
      <c r="C35" s="31" t="n"/>
      <c r="D35" s="31" t="n"/>
      <c r="E35" s="31" t="n"/>
      <c r="F35" s="32" t="n"/>
      <c r="G35" s="31" t="n"/>
      <c r="H35" s="33" t="n"/>
      <c r="I35" s="31" t="n"/>
      <c r="J35" s="32" t="n"/>
      <c r="K35" s="34" t="n"/>
      <c r="L35" s="32" t="n"/>
      <c r="M35" s="35">
        <f>IFERROR(INDEX(Listas!$G$14:$G$21,MATCH($B35,Listas!$F$14:$F$21,0)),"")</f>
        <v/>
      </c>
      <c r="N35" s="36">
        <f>IF(OR($H35="",$L35=""),"",MIN($L35*12,MAX(0,DATEDIF($H35,Listas!$N$2,"m"))))</f>
        <v/>
      </c>
      <c r="O35" s="37">
        <f>IF(OR($K35="",$N35=""),"",MIN($K35,ROUND($K35*($M35/12)*$N35,2)))</f>
        <v/>
      </c>
      <c r="P35" s="37">
        <f>IF($K35="","",$K35-IF($O35="",0,$O35))</f>
        <v/>
      </c>
      <c r="Q35" s="31" t="n"/>
      <c r="R35" s="31" t="n"/>
      <c r="S35" s="31" t="n"/>
      <c r="T35" s="36">
        <f>IFERROR(INDEX(Listas!$B$2:$B$40,MATCH($S35,Listas!$A$2:$A$40,0)),"")</f>
        <v/>
      </c>
      <c r="U35" s="31" t="n"/>
      <c r="V35" s="33" t="n"/>
      <c r="W35" s="32" t="n"/>
      <c r="X35" s="31" t="n"/>
    </row>
    <row r="36" ht="22" customHeight="1">
      <c r="A36" s="32" t="n"/>
      <c r="B36" s="31" t="n"/>
      <c r="C36" s="31" t="n"/>
      <c r="D36" s="31" t="n"/>
      <c r="E36" s="31" t="n"/>
      <c r="F36" s="32" t="n"/>
      <c r="G36" s="31" t="n"/>
      <c r="H36" s="33" t="n"/>
      <c r="I36" s="31" t="n"/>
      <c r="J36" s="32" t="n"/>
      <c r="K36" s="34" t="n"/>
      <c r="L36" s="32" t="n"/>
      <c r="M36" s="35">
        <f>IFERROR(INDEX(Listas!$G$14:$G$21,MATCH($B36,Listas!$F$14:$F$21,0)),"")</f>
        <v/>
      </c>
      <c r="N36" s="36">
        <f>IF(OR($H36="",$L36=""),"",MIN($L36*12,MAX(0,DATEDIF($H36,Listas!$N$2,"m"))))</f>
        <v/>
      </c>
      <c r="O36" s="37">
        <f>IF(OR($K36="",$N36=""),"",MIN($K36,ROUND($K36*($M36/12)*$N36,2)))</f>
        <v/>
      </c>
      <c r="P36" s="37">
        <f>IF($K36="","",$K36-IF($O36="",0,$O36))</f>
        <v/>
      </c>
      <c r="Q36" s="31" t="n"/>
      <c r="R36" s="31" t="n"/>
      <c r="S36" s="31" t="n"/>
      <c r="T36" s="36">
        <f>IFERROR(INDEX(Listas!$B$2:$B$40,MATCH($S36,Listas!$A$2:$A$40,0)),"")</f>
        <v/>
      </c>
      <c r="U36" s="31" t="n"/>
      <c r="V36" s="33" t="n"/>
      <c r="W36" s="32" t="n"/>
      <c r="X36" s="31" t="n"/>
    </row>
    <row r="37" ht="22" customHeight="1">
      <c r="A37" s="32" t="n"/>
      <c r="B37" s="31" t="n"/>
      <c r="C37" s="31" t="n"/>
      <c r="D37" s="31" t="n"/>
      <c r="E37" s="31" t="n"/>
      <c r="F37" s="32" t="n"/>
      <c r="G37" s="31" t="n"/>
      <c r="H37" s="33" t="n"/>
      <c r="I37" s="31" t="n"/>
      <c r="J37" s="32" t="n"/>
      <c r="K37" s="34" t="n"/>
      <c r="L37" s="32" t="n"/>
      <c r="M37" s="35">
        <f>IFERROR(INDEX(Listas!$G$14:$G$21,MATCH($B37,Listas!$F$14:$F$21,0)),"")</f>
        <v/>
      </c>
      <c r="N37" s="36">
        <f>IF(OR($H37="",$L37=""),"",MIN($L37*12,MAX(0,DATEDIF($H37,Listas!$N$2,"m"))))</f>
        <v/>
      </c>
      <c r="O37" s="37">
        <f>IF(OR($K37="",$N37=""),"",MIN($K37,ROUND($K37*($M37/12)*$N37,2)))</f>
        <v/>
      </c>
      <c r="P37" s="37">
        <f>IF($K37="","",$K37-IF($O37="",0,$O37))</f>
        <v/>
      </c>
      <c r="Q37" s="31" t="n"/>
      <c r="R37" s="31" t="n"/>
      <c r="S37" s="31" t="n"/>
      <c r="T37" s="36">
        <f>IFERROR(INDEX(Listas!$B$2:$B$40,MATCH($S37,Listas!$A$2:$A$40,0)),"")</f>
        <v/>
      </c>
      <c r="U37" s="31" t="n"/>
      <c r="V37" s="33" t="n"/>
      <c r="W37" s="32" t="n"/>
      <c r="X37" s="31" t="n"/>
    </row>
    <row r="38" ht="22" customHeight="1">
      <c r="A38" s="32" t="n"/>
      <c r="B38" s="31" t="n"/>
      <c r="C38" s="31" t="n"/>
      <c r="D38" s="31" t="n"/>
      <c r="E38" s="31" t="n"/>
      <c r="F38" s="32" t="n"/>
      <c r="G38" s="31" t="n"/>
      <c r="H38" s="33" t="n"/>
      <c r="I38" s="31" t="n"/>
      <c r="J38" s="32" t="n"/>
      <c r="K38" s="34" t="n"/>
      <c r="L38" s="32" t="n"/>
      <c r="M38" s="35">
        <f>IFERROR(INDEX(Listas!$G$14:$G$21,MATCH($B38,Listas!$F$14:$F$21,0)),"")</f>
        <v/>
      </c>
      <c r="N38" s="36">
        <f>IF(OR($H38="",$L38=""),"",MIN($L38*12,MAX(0,DATEDIF($H38,Listas!$N$2,"m"))))</f>
        <v/>
      </c>
      <c r="O38" s="37">
        <f>IF(OR($K38="",$N38=""),"",MIN($K38,ROUND($K38*($M38/12)*$N38,2)))</f>
        <v/>
      </c>
      <c r="P38" s="37">
        <f>IF($K38="","",$K38-IF($O38="",0,$O38))</f>
        <v/>
      </c>
      <c r="Q38" s="31" t="n"/>
      <c r="R38" s="31" t="n"/>
      <c r="S38" s="31" t="n"/>
      <c r="T38" s="36">
        <f>IFERROR(INDEX(Listas!$B$2:$B$40,MATCH($S38,Listas!$A$2:$A$40,0)),"")</f>
        <v/>
      </c>
      <c r="U38" s="31" t="n"/>
      <c r="V38" s="33" t="n"/>
      <c r="W38" s="32" t="n"/>
      <c r="X38" s="31" t="n"/>
    </row>
    <row r="39" ht="22" customHeight="1">
      <c r="A39" s="32" t="n"/>
      <c r="B39" s="31" t="n"/>
      <c r="C39" s="31" t="n"/>
      <c r="D39" s="31" t="n"/>
      <c r="E39" s="31" t="n"/>
      <c r="F39" s="32" t="n"/>
      <c r="G39" s="31" t="n"/>
      <c r="H39" s="33" t="n"/>
      <c r="I39" s="31" t="n"/>
      <c r="J39" s="32" t="n"/>
      <c r="K39" s="34" t="n"/>
      <c r="L39" s="32" t="n"/>
      <c r="M39" s="35">
        <f>IFERROR(INDEX(Listas!$G$14:$G$21,MATCH($B39,Listas!$F$14:$F$21,0)),"")</f>
        <v/>
      </c>
      <c r="N39" s="36">
        <f>IF(OR($H39="",$L39=""),"",MIN($L39*12,MAX(0,DATEDIF($H39,Listas!$N$2,"m"))))</f>
        <v/>
      </c>
      <c r="O39" s="37">
        <f>IF(OR($K39="",$N39=""),"",MIN($K39,ROUND($K39*($M39/12)*$N39,2)))</f>
        <v/>
      </c>
      <c r="P39" s="37">
        <f>IF($K39="","",$K39-IF($O39="",0,$O39))</f>
        <v/>
      </c>
      <c r="Q39" s="31" t="n"/>
      <c r="R39" s="31" t="n"/>
      <c r="S39" s="31" t="n"/>
      <c r="T39" s="36">
        <f>IFERROR(INDEX(Listas!$B$2:$B$40,MATCH($S39,Listas!$A$2:$A$40,0)),"")</f>
        <v/>
      </c>
      <c r="U39" s="31" t="n"/>
      <c r="V39" s="33" t="n"/>
      <c r="W39" s="32" t="n"/>
      <c r="X39" s="31" t="n"/>
    </row>
    <row r="40" ht="22" customHeight="1">
      <c r="A40" s="32" t="n"/>
      <c r="B40" s="31" t="n"/>
      <c r="C40" s="31" t="n"/>
      <c r="D40" s="31" t="n"/>
      <c r="E40" s="31" t="n"/>
      <c r="F40" s="32" t="n"/>
      <c r="G40" s="31" t="n"/>
      <c r="H40" s="33" t="n"/>
      <c r="I40" s="31" t="n"/>
      <c r="J40" s="32" t="n"/>
      <c r="K40" s="34" t="n"/>
      <c r="L40" s="32" t="n"/>
      <c r="M40" s="35">
        <f>IFERROR(INDEX(Listas!$G$14:$G$21,MATCH($B40,Listas!$F$14:$F$21,0)),"")</f>
        <v/>
      </c>
      <c r="N40" s="36">
        <f>IF(OR($H40="",$L40=""),"",MIN($L40*12,MAX(0,DATEDIF($H40,Listas!$N$2,"m"))))</f>
        <v/>
      </c>
      <c r="O40" s="37">
        <f>IF(OR($K40="",$N40=""),"",MIN($K40,ROUND($K40*($M40/12)*$N40,2)))</f>
        <v/>
      </c>
      <c r="P40" s="37">
        <f>IF($K40="","",$K40-IF($O40="",0,$O40))</f>
        <v/>
      </c>
      <c r="Q40" s="31" t="n"/>
      <c r="R40" s="31" t="n"/>
      <c r="S40" s="31" t="n"/>
      <c r="T40" s="36">
        <f>IFERROR(INDEX(Listas!$B$2:$B$40,MATCH($S40,Listas!$A$2:$A$40,0)),"")</f>
        <v/>
      </c>
      <c r="U40" s="31" t="n"/>
      <c r="V40" s="33" t="n"/>
      <c r="W40" s="32" t="n"/>
      <c r="X40" s="31" t="n"/>
    </row>
    <row r="41" ht="22" customHeight="1">
      <c r="A41" s="32" t="n"/>
      <c r="B41" s="31" t="n"/>
      <c r="C41" s="31" t="n"/>
      <c r="D41" s="31" t="n"/>
      <c r="E41" s="31" t="n"/>
      <c r="F41" s="32" t="n"/>
      <c r="G41" s="31" t="n"/>
      <c r="H41" s="33" t="n"/>
      <c r="I41" s="31" t="n"/>
      <c r="J41" s="32" t="n"/>
      <c r="K41" s="34" t="n"/>
      <c r="L41" s="32" t="n"/>
      <c r="M41" s="35">
        <f>IFERROR(INDEX(Listas!$G$14:$G$21,MATCH($B41,Listas!$F$14:$F$21,0)),"")</f>
        <v/>
      </c>
      <c r="N41" s="36">
        <f>IF(OR($H41="",$L41=""),"",MIN($L41*12,MAX(0,DATEDIF($H41,Listas!$N$2,"m"))))</f>
        <v/>
      </c>
      <c r="O41" s="37">
        <f>IF(OR($K41="",$N41=""),"",MIN($K41,ROUND($K41*($M41/12)*$N41,2)))</f>
        <v/>
      </c>
      <c r="P41" s="37">
        <f>IF($K41="","",$K41-IF($O41="",0,$O41))</f>
        <v/>
      </c>
      <c r="Q41" s="31" t="n"/>
      <c r="R41" s="31" t="n"/>
      <c r="S41" s="31" t="n"/>
      <c r="T41" s="36">
        <f>IFERROR(INDEX(Listas!$B$2:$B$40,MATCH($S41,Listas!$A$2:$A$40,0)),"")</f>
        <v/>
      </c>
      <c r="U41" s="31" t="n"/>
      <c r="V41" s="33" t="n"/>
      <c r="W41" s="32" t="n"/>
      <c r="X41" s="31" t="n"/>
    </row>
    <row r="42" ht="22" customHeight="1">
      <c r="A42" s="32" t="n"/>
      <c r="B42" s="31" t="n"/>
      <c r="C42" s="31" t="n"/>
      <c r="D42" s="31" t="n"/>
      <c r="E42" s="31" t="n"/>
      <c r="F42" s="32" t="n"/>
      <c r="G42" s="31" t="n"/>
      <c r="H42" s="33" t="n"/>
      <c r="I42" s="31" t="n"/>
      <c r="J42" s="32" t="n"/>
      <c r="K42" s="34" t="n"/>
      <c r="L42" s="32" t="n"/>
      <c r="M42" s="35">
        <f>IFERROR(INDEX(Listas!$G$14:$G$21,MATCH($B42,Listas!$F$14:$F$21,0)),"")</f>
        <v/>
      </c>
      <c r="N42" s="36">
        <f>IF(OR($H42="",$L42=""),"",MIN($L42*12,MAX(0,DATEDIF($H42,Listas!$N$2,"m"))))</f>
        <v/>
      </c>
      <c r="O42" s="37">
        <f>IF(OR($K42="",$N42=""),"",MIN($K42,ROUND($K42*($M42/12)*$N42,2)))</f>
        <v/>
      </c>
      <c r="P42" s="37">
        <f>IF($K42="","",$K42-IF($O42="",0,$O42))</f>
        <v/>
      </c>
      <c r="Q42" s="31" t="n"/>
      <c r="R42" s="31" t="n"/>
      <c r="S42" s="31" t="n"/>
      <c r="T42" s="36">
        <f>IFERROR(INDEX(Listas!$B$2:$B$40,MATCH($S42,Listas!$A$2:$A$40,0)),"")</f>
        <v/>
      </c>
      <c r="U42" s="31" t="n"/>
      <c r="V42" s="33" t="n"/>
      <c r="W42" s="32" t="n"/>
      <c r="X42" s="31" t="n"/>
    </row>
    <row r="43" ht="22" customHeight="1">
      <c r="A43" s="32" t="n"/>
      <c r="B43" s="31" t="n"/>
      <c r="C43" s="31" t="n"/>
      <c r="D43" s="31" t="n"/>
      <c r="E43" s="31" t="n"/>
      <c r="F43" s="32" t="n"/>
      <c r="G43" s="31" t="n"/>
      <c r="H43" s="33" t="n"/>
      <c r="I43" s="31" t="n"/>
      <c r="J43" s="32" t="n"/>
      <c r="K43" s="34" t="n"/>
      <c r="L43" s="32" t="n"/>
      <c r="M43" s="35">
        <f>IFERROR(INDEX(Listas!$G$14:$G$21,MATCH($B43,Listas!$F$14:$F$21,0)),"")</f>
        <v/>
      </c>
      <c r="N43" s="36">
        <f>IF(OR($H43="",$L43=""),"",MIN($L43*12,MAX(0,DATEDIF($H43,Listas!$N$2,"m"))))</f>
        <v/>
      </c>
      <c r="O43" s="37">
        <f>IF(OR($K43="",$N43=""),"",MIN($K43,ROUND($K43*($M43/12)*$N43,2)))</f>
        <v/>
      </c>
      <c r="P43" s="37">
        <f>IF($K43="","",$K43-IF($O43="",0,$O43))</f>
        <v/>
      </c>
      <c r="Q43" s="31" t="n"/>
      <c r="R43" s="31" t="n"/>
      <c r="S43" s="31" t="n"/>
      <c r="T43" s="36">
        <f>IFERROR(INDEX(Listas!$B$2:$B$40,MATCH($S43,Listas!$A$2:$A$40,0)),"")</f>
        <v/>
      </c>
      <c r="U43" s="31" t="n"/>
      <c r="V43" s="33" t="n"/>
      <c r="W43" s="32" t="n"/>
      <c r="X43" s="31" t="n"/>
    </row>
    <row r="44" ht="22" customHeight="1">
      <c r="A44" s="32" t="n"/>
      <c r="B44" s="31" t="n"/>
      <c r="C44" s="31" t="n"/>
      <c r="D44" s="31" t="n"/>
      <c r="E44" s="31" t="n"/>
      <c r="F44" s="32" t="n"/>
      <c r="G44" s="31" t="n"/>
      <c r="H44" s="33" t="n"/>
      <c r="I44" s="31" t="n"/>
      <c r="J44" s="32" t="n"/>
      <c r="K44" s="34" t="n"/>
      <c r="L44" s="32" t="n"/>
      <c r="M44" s="35">
        <f>IFERROR(INDEX(Listas!$G$14:$G$21,MATCH($B44,Listas!$F$14:$F$21,0)),"")</f>
        <v/>
      </c>
      <c r="N44" s="36">
        <f>IF(OR($H44="",$L44=""),"",MIN($L44*12,MAX(0,DATEDIF($H44,Listas!$N$2,"m"))))</f>
        <v/>
      </c>
      <c r="O44" s="37">
        <f>IF(OR($K44="",$N44=""),"",MIN($K44,ROUND($K44*($M44/12)*$N44,2)))</f>
        <v/>
      </c>
      <c r="P44" s="37">
        <f>IF($K44="","",$K44-IF($O44="",0,$O44))</f>
        <v/>
      </c>
      <c r="Q44" s="31" t="n"/>
      <c r="R44" s="31" t="n"/>
      <c r="S44" s="31" t="n"/>
      <c r="T44" s="36">
        <f>IFERROR(INDEX(Listas!$B$2:$B$40,MATCH($S44,Listas!$A$2:$A$40,0)),"")</f>
        <v/>
      </c>
      <c r="U44" s="31" t="n"/>
      <c r="V44" s="33" t="n"/>
      <c r="W44" s="32" t="n"/>
      <c r="X44" s="31" t="n"/>
    </row>
    <row r="45" ht="22" customHeight="1">
      <c r="A45" s="32" t="n"/>
      <c r="B45" s="31" t="n"/>
      <c r="C45" s="31" t="n"/>
      <c r="D45" s="31" t="n"/>
      <c r="E45" s="31" t="n"/>
      <c r="F45" s="32" t="n"/>
      <c r="G45" s="31" t="n"/>
      <c r="H45" s="33" t="n"/>
      <c r="I45" s="31" t="n"/>
      <c r="J45" s="32" t="n"/>
      <c r="K45" s="34" t="n"/>
      <c r="L45" s="32" t="n"/>
      <c r="M45" s="35">
        <f>IFERROR(INDEX(Listas!$G$14:$G$21,MATCH($B45,Listas!$F$14:$F$21,0)),"")</f>
        <v/>
      </c>
      <c r="N45" s="36">
        <f>IF(OR($H45="",$L45=""),"",MIN($L45*12,MAX(0,DATEDIF($H45,Listas!$N$2,"m"))))</f>
        <v/>
      </c>
      <c r="O45" s="37">
        <f>IF(OR($K45="",$N45=""),"",MIN($K45,ROUND($K45*($M45/12)*$N45,2)))</f>
        <v/>
      </c>
      <c r="P45" s="37">
        <f>IF($K45="","",$K45-IF($O45="",0,$O45))</f>
        <v/>
      </c>
      <c r="Q45" s="31" t="n"/>
      <c r="R45" s="31" t="n"/>
      <c r="S45" s="31" t="n"/>
      <c r="T45" s="36">
        <f>IFERROR(INDEX(Listas!$B$2:$B$40,MATCH($S45,Listas!$A$2:$A$40,0)),"")</f>
        <v/>
      </c>
      <c r="U45" s="31" t="n"/>
      <c r="V45" s="33" t="n"/>
      <c r="W45" s="32" t="n"/>
      <c r="X45" s="31" t="n"/>
    </row>
    <row r="46" ht="22" customHeight="1">
      <c r="A46" s="32" t="n"/>
      <c r="B46" s="31" t="n"/>
      <c r="C46" s="31" t="n"/>
      <c r="D46" s="31" t="n"/>
      <c r="E46" s="31" t="n"/>
      <c r="F46" s="32" t="n"/>
      <c r="G46" s="31" t="n"/>
      <c r="H46" s="33" t="n"/>
      <c r="I46" s="31" t="n"/>
      <c r="J46" s="32" t="n"/>
      <c r="K46" s="34" t="n"/>
      <c r="L46" s="32" t="n"/>
      <c r="M46" s="35">
        <f>IFERROR(INDEX(Listas!$G$14:$G$21,MATCH($B46,Listas!$F$14:$F$21,0)),"")</f>
        <v/>
      </c>
      <c r="N46" s="36">
        <f>IF(OR($H46="",$L46=""),"",MIN($L46*12,MAX(0,DATEDIF($H46,Listas!$N$2,"m"))))</f>
        <v/>
      </c>
      <c r="O46" s="37">
        <f>IF(OR($K46="",$N46=""),"",MIN($K46,ROUND($K46*($M46/12)*$N46,2)))</f>
        <v/>
      </c>
      <c r="P46" s="37">
        <f>IF($K46="","",$K46-IF($O46="",0,$O46))</f>
        <v/>
      </c>
      <c r="Q46" s="31" t="n"/>
      <c r="R46" s="31" t="n"/>
      <c r="S46" s="31" t="n"/>
      <c r="T46" s="36">
        <f>IFERROR(INDEX(Listas!$B$2:$B$40,MATCH($S46,Listas!$A$2:$A$40,0)),"")</f>
        <v/>
      </c>
      <c r="U46" s="31" t="n"/>
      <c r="V46" s="33" t="n"/>
      <c r="W46" s="32" t="n"/>
      <c r="X46" s="31" t="n"/>
    </row>
    <row r="47" ht="22" customHeight="1">
      <c r="A47" s="32" t="n"/>
      <c r="B47" s="31" t="n"/>
      <c r="C47" s="31" t="n"/>
      <c r="D47" s="31" t="n"/>
      <c r="E47" s="31" t="n"/>
      <c r="F47" s="32" t="n"/>
      <c r="G47" s="31" t="n"/>
      <c r="H47" s="33" t="n"/>
      <c r="I47" s="31" t="n"/>
      <c r="J47" s="32" t="n"/>
      <c r="K47" s="34" t="n"/>
      <c r="L47" s="32" t="n"/>
      <c r="M47" s="35">
        <f>IFERROR(INDEX(Listas!$G$14:$G$21,MATCH($B47,Listas!$F$14:$F$21,0)),"")</f>
        <v/>
      </c>
      <c r="N47" s="36">
        <f>IF(OR($H47="",$L47=""),"",MIN($L47*12,MAX(0,DATEDIF($H47,Listas!$N$2,"m"))))</f>
        <v/>
      </c>
      <c r="O47" s="37">
        <f>IF(OR($K47="",$N47=""),"",MIN($K47,ROUND($K47*($M47/12)*$N47,2)))</f>
        <v/>
      </c>
      <c r="P47" s="37">
        <f>IF($K47="","",$K47-IF($O47="",0,$O47))</f>
        <v/>
      </c>
      <c r="Q47" s="31" t="n"/>
      <c r="R47" s="31" t="n"/>
      <c r="S47" s="31" t="n"/>
      <c r="T47" s="36">
        <f>IFERROR(INDEX(Listas!$B$2:$B$40,MATCH($S47,Listas!$A$2:$A$40,0)),"")</f>
        <v/>
      </c>
      <c r="U47" s="31" t="n"/>
      <c r="V47" s="33" t="n"/>
      <c r="W47" s="32" t="n"/>
      <c r="X47" s="31" t="n"/>
    </row>
    <row r="48" ht="22" customHeight="1">
      <c r="A48" s="32" t="n"/>
      <c r="B48" s="31" t="n"/>
      <c r="C48" s="31" t="n"/>
      <c r="D48" s="31" t="n"/>
      <c r="E48" s="31" t="n"/>
      <c r="F48" s="32" t="n"/>
      <c r="G48" s="31" t="n"/>
      <c r="H48" s="33" t="n"/>
      <c r="I48" s="31" t="n"/>
      <c r="J48" s="32" t="n"/>
      <c r="K48" s="34" t="n"/>
      <c r="L48" s="32" t="n"/>
      <c r="M48" s="35">
        <f>IFERROR(INDEX(Listas!$G$14:$G$21,MATCH($B48,Listas!$F$14:$F$21,0)),"")</f>
        <v/>
      </c>
      <c r="N48" s="36">
        <f>IF(OR($H48="",$L48=""),"",MIN($L48*12,MAX(0,DATEDIF($H48,Listas!$N$2,"m"))))</f>
        <v/>
      </c>
      <c r="O48" s="37">
        <f>IF(OR($K48="",$N48=""),"",MIN($K48,ROUND($K48*($M48/12)*$N48,2)))</f>
        <v/>
      </c>
      <c r="P48" s="37">
        <f>IF($K48="","",$K48-IF($O48="",0,$O48))</f>
        <v/>
      </c>
      <c r="Q48" s="31" t="n"/>
      <c r="R48" s="31" t="n"/>
      <c r="S48" s="31" t="n"/>
      <c r="T48" s="36">
        <f>IFERROR(INDEX(Listas!$B$2:$B$40,MATCH($S48,Listas!$A$2:$A$40,0)),"")</f>
        <v/>
      </c>
      <c r="U48" s="31" t="n"/>
      <c r="V48" s="33" t="n"/>
      <c r="W48" s="32" t="n"/>
      <c r="X48" s="31" t="n"/>
    </row>
    <row r="49" ht="22" customHeight="1">
      <c r="A49" s="32" t="n"/>
      <c r="B49" s="31" t="n"/>
      <c r="C49" s="31" t="n"/>
      <c r="D49" s="31" t="n"/>
      <c r="E49" s="31" t="n"/>
      <c r="F49" s="32" t="n"/>
      <c r="G49" s="31" t="n"/>
      <c r="H49" s="33" t="n"/>
      <c r="I49" s="31" t="n"/>
      <c r="J49" s="32" t="n"/>
      <c r="K49" s="34" t="n"/>
      <c r="L49" s="32" t="n"/>
      <c r="M49" s="35">
        <f>IFERROR(INDEX(Listas!$G$14:$G$21,MATCH($B49,Listas!$F$14:$F$21,0)),"")</f>
        <v/>
      </c>
      <c r="N49" s="36">
        <f>IF(OR($H49="",$L49=""),"",MIN($L49*12,MAX(0,DATEDIF($H49,Listas!$N$2,"m"))))</f>
        <v/>
      </c>
      <c r="O49" s="37">
        <f>IF(OR($K49="",$N49=""),"",MIN($K49,ROUND($K49*($M49/12)*$N49,2)))</f>
        <v/>
      </c>
      <c r="P49" s="37">
        <f>IF($K49="","",$K49-IF($O49="",0,$O49))</f>
        <v/>
      </c>
      <c r="Q49" s="31" t="n"/>
      <c r="R49" s="31" t="n"/>
      <c r="S49" s="31" t="n"/>
      <c r="T49" s="36">
        <f>IFERROR(INDEX(Listas!$B$2:$B$40,MATCH($S49,Listas!$A$2:$A$40,0)),"")</f>
        <v/>
      </c>
      <c r="U49" s="31" t="n"/>
      <c r="V49" s="33" t="n"/>
      <c r="W49" s="32" t="n"/>
      <c r="X49" s="31" t="n"/>
    </row>
    <row r="50" ht="22" customHeight="1">
      <c r="A50" s="32" t="n"/>
      <c r="B50" s="31" t="n"/>
      <c r="C50" s="31" t="n"/>
      <c r="D50" s="31" t="n"/>
      <c r="E50" s="31" t="n"/>
      <c r="F50" s="32" t="n"/>
      <c r="G50" s="31" t="n"/>
      <c r="H50" s="33" t="n"/>
      <c r="I50" s="31" t="n"/>
      <c r="J50" s="32" t="n"/>
      <c r="K50" s="34" t="n"/>
      <c r="L50" s="32" t="n"/>
      <c r="M50" s="35">
        <f>IFERROR(INDEX(Listas!$G$14:$G$21,MATCH($B50,Listas!$F$14:$F$21,0)),"")</f>
        <v/>
      </c>
      <c r="N50" s="36">
        <f>IF(OR($H50="",$L50=""),"",MIN($L50*12,MAX(0,DATEDIF($H50,Listas!$N$2,"m"))))</f>
        <v/>
      </c>
      <c r="O50" s="37">
        <f>IF(OR($K50="",$N50=""),"",MIN($K50,ROUND($K50*($M50/12)*$N50,2)))</f>
        <v/>
      </c>
      <c r="P50" s="37">
        <f>IF($K50="","",$K50-IF($O50="",0,$O50))</f>
        <v/>
      </c>
      <c r="Q50" s="31" t="n"/>
      <c r="R50" s="31" t="n"/>
      <c r="S50" s="31" t="n"/>
      <c r="T50" s="36">
        <f>IFERROR(INDEX(Listas!$B$2:$B$40,MATCH($S50,Listas!$A$2:$A$40,0)),"")</f>
        <v/>
      </c>
      <c r="U50" s="31" t="n"/>
      <c r="V50" s="33" t="n"/>
      <c r="W50" s="32" t="n"/>
      <c r="X50" s="31" t="n"/>
    </row>
    <row r="51" ht="22" customHeight="1">
      <c r="A51" s="32" t="n"/>
      <c r="B51" s="31" t="n"/>
      <c r="C51" s="31" t="n"/>
      <c r="D51" s="31" t="n"/>
      <c r="E51" s="31" t="n"/>
      <c r="F51" s="32" t="n"/>
      <c r="G51" s="31" t="n"/>
      <c r="H51" s="33" t="n"/>
      <c r="I51" s="31" t="n"/>
      <c r="J51" s="32" t="n"/>
      <c r="K51" s="34" t="n"/>
      <c r="L51" s="32" t="n"/>
      <c r="M51" s="35">
        <f>IFERROR(INDEX(Listas!$G$14:$G$21,MATCH($B51,Listas!$F$14:$F$21,0)),"")</f>
        <v/>
      </c>
      <c r="N51" s="36">
        <f>IF(OR($H51="",$L51=""),"",MIN($L51*12,MAX(0,DATEDIF($H51,Listas!$N$2,"m"))))</f>
        <v/>
      </c>
      <c r="O51" s="37">
        <f>IF(OR($K51="",$N51=""),"",MIN($K51,ROUND($K51*($M51/12)*$N51,2)))</f>
        <v/>
      </c>
      <c r="P51" s="37">
        <f>IF($K51="","",$K51-IF($O51="",0,$O51))</f>
        <v/>
      </c>
      <c r="Q51" s="31" t="n"/>
      <c r="R51" s="31" t="n"/>
      <c r="S51" s="31" t="n"/>
      <c r="T51" s="36">
        <f>IFERROR(INDEX(Listas!$B$2:$B$40,MATCH($S51,Listas!$A$2:$A$40,0)),"")</f>
        <v/>
      </c>
      <c r="U51" s="31" t="n"/>
      <c r="V51" s="33" t="n"/>
      <c r="W51" s="32" t="n"/>
      <c r="X51" s="31" t="n"/>
    </row>
    <row r="52" ht="22" customHeight="1">
      <c r="A52" s="32" t="n"/>
      <c r="B52" s="31" t="n"/>
      <c r="C52" s="31" t="n"/>
      <c r="D52" s="31" t="n"/>
      <c r="E52" s="31" t="n"/>
      <c r="F52" s="32" t="n"/>
      <c r="G52" s="31" t="n"/>
      <c r="H52" s="33" t="n"/>
      <c r="I52" s="31" t="n"/>
      <c r="J52" s="32" t="n"/>
      <c r="K52" s="34" t="n"/>
      <c r="L52" s="32" t="n"/>
      <c r="M52" s="35">
        <f>IFERROR(INDEX(Listas!$G$14:$G$21,MATCH($B52,Listas!$F$14:$F$21,0)),"")</f>
        <v/>
      </c>
      <c r="N52" s="36">
        <f>IF(OR($H52="",$L52=""),"",MIN($L52*12,MAX(0,DATEDIF($H52,Listas!$N$2,"m"))))</f>
        <v/>
      </c>
      <c r="O52" s="37">
        <f>IF(OR($K52="",$N52=""),"",MIN($K52,ROUND($K52*($M52/12)*$N52,2)))</f>
        <v/>
      </c>
      <c r="P52" s="37">
        <f>IF($K52="","",$K52-IF($O52="",0,$O52))</f>
        <v/>
      </c>
      <c r="Q52" s="31" t="n"/>
      <c r="R52" s="31" t="n"/>
      <c r="S52" s="31" t="n"/>
      <c r="T52" s="36">
        <f>IFERROR(INDEX(Listas!$B$2:$B$40,MATCH($S52,Listas!$A$2:$A$40,0)),"")</f>
        <v/>
      </c>
      <c r="U52" s="31" t="n"/>
      <c r="V52" s="33" t="n"/>
      <c r="W52" s="32" t="n"/>
      <c r="X52" s="31" t="n"/>
    </row>
    <row r="53" ht="22" customHeight="1">
      <c r="A53" s="32" t="n"/>
      <c r="B53" s="31" t="n"/>
      <c r="C53" s="31" t="n"/>
      <c r="D53" s="31" t="n"/>
      <c r="E53" s="31" t="n"/>
      <c r="F53" s="32" t="n"/>
      <c r="G53" s="31" t="n"/>
      <c r="H53" s="33" t="n"/>
      <c r="I53" s="31" t="n"/>
      <c r="J53" s="32" t="n"/>
      <c r="K53" s="34" t="n"/>
      <c r="L53" s="32" t="n"/>
      <c r="M53" s="35">
        <f>IFERROR(INDEX(Listas!$G$14:$G$21,MATCH($B53,Listas!$F$14:$F$21,0)),"")</f>
        <v/>
      </c>
      <c r="N53" s="36">
        <f>IF(OR($H53="",$L53=""),"",MIN($L53*12,MAX(0,DATEDIF($H53,Listas!$N$2,"m"))))</f>
        <v/>
      </c>
      <c r="O53" s="37">
        <f>IF(OR($K53="",$N53=""),"",MIN($K53,ROUND($K53*($M53/12)*$N53,2)))</f>
        <v/>
      </c>
      <c r="P53" s="37">
        <f>IF($K53="","",$K53-IF($O53="",0,$O53))</f>
        <v/>
      </c>
      <c r="Q53" s="31" t="n"/>
      <c r="R53" s="31" t="n"/>
      <c r="S53" s="31" t="n"/>
      <c r="T53" s="36">
        <f>IFERROR(INDEX(Listas!$B$2:$B$40,MATCH($S53,Listas!$A$2:$A$40,0)),"")</f>
        <v/>
      </c>
      <c r="U53" s="31" t="n"/>
      <c r="V53" s="33" t="n"/>
      <c r="W53" s="32" t="n"/>
      <c r="X53" s="31" t="n"/>
    </row>
    <row r="54" ht="22" customHeight="1">
      <c r="A54" s="32" t="n"/>
      <c r="B54" s="31" t="n"/>
      <c r="C54" s="31" t="n"/>
      <c r="D54" s="31" t="n"/>
      <c r="E54" s="31" t="n"/>
      <c r="F54" s="32" t="n"/>
      <c r="G54" s="31" t="n"/>
      <c r="H54" s="33" t="n"/>
      <c r="I54" s="31" t="n"/>
      <c r="J54" s="32" t="n"/>
      <c r="K54" s="34" t="n"/>
      <c r="L54" s="32" t="n"/>
      <c r="M54" s="35">
        <f>IFERROR(INDEX(Listas!$G$14:$G$21,MATCH($B54,Listas!$F$14:$F$21,0)),"")</f>
        <v/>
      </c>
      <c r="N54" s="36">
        <f>IF(OR($H54="",$L54=""),"",MIN($L54*12,MAX(0,DATEDIF($H54,Listas!$N$2,"m"))))</f>
        <v/>
      </c>
      <c r="O54" s="37">
        <f>IF(OR($K54="",$N54=""),"",MIN($K54,ROUND($K54*($M54/12)*$N54,2)))</f>
        <v/>
      </c>
      <c r="P54" s="37">
        <f>IF($K54="","",$K54-IF($O54="",0,$O54))</f>
        <v/>
      </c>
      <c r="Q54" s="31" t="n"/>
      <c r="R54" s="31" t="n"/>
      <c r="S54" s="31" t="n"/>
      <c r="T54" s="36">
        <f>IFERROR(INDEX(Listas!$B$2:$B$40,MATCH($S54,Listas!$A$2:$A$40,0)),"")</f>
        <v/>
      </c>
      <c r="U54" s="31" t="n"/>
      <c r="V54" s="33" t="n"/>
      <c r="W54" s="32" t="n"/>
      <c r="X54" s="31" t="n"/>
    </row>
    <row r="55" ht="22" customHeight="1">
      <c r="A55" s="32" t="n"/>
      <c r="B55" s="31" t="n"/>
      <c r="C55" s="31" t="n"/>
      <c r="D55" s="31" t="n"/>
      <c r="E55" s="31" t="n"/>
      <c r="F55" s="32" t="n"/>
      <c r="G55" s="31" t="n"/>
      <c r="H55" s="33" t="n"/>
      <c r="I55" s="31" t="n"/>
      <c r="J55" s="32" t="n"/>
      <c r="K55" s="34" t="n"/>
      <c r="L55" s="32" t="n"/>
      <c r="M55" s="35">
        <f>IFERROR(INDEX(Listas!$G$14:$G$21,MATCH($B55,Listas!$F$14:$F$21,0)),"")</f>
        <v/>
      </c>
      <c r="N55" s="36">
        <f>IF(OR($H55="",$L55=""),"",MIN($L55*12,MAX(0,DATEDIF($H55,Listas!$N$2,"m"))))</f>
        <v/>
      </c>
      <c r="O55" s="37">
        <f>IF(OR($K55="",$N55=""),"",MIN($K55,ROUND($K55*($M55/12)*$N55,2)))</f>
        <v/>
      </c>
      <c r="P55" s="37">
        <f>IF($K55="","",$K55-IF($O55="",0,$O55))</f>
        <v/>
      </c>
      <c r="Q55" s="31" t="n"/>
      <c r="R55" s="31" t="n"/>
      <c r="S55" s="31" t="n"/>
      <c r="T55" s="36">
        <f>IFERROR(INDEX(Listas!$B$2:$B$40,MATCH($S55,Listas!$A$2:$A$40,0)),"")</f>
        <v/>
      </c>
      <c r="U55" s="31" t="n"/>
      <c r="V55" s="33" t="n"/>
      <c r="W55" s="32" t="n"/>
      <c r="X55" s="31" t="n"/>
    </row>
    <row r="56" ht="22" customHeight="1">
      <c r="A56" s="32" t="n"/>
      <c r="B56" s="31" t="n"/>
      <c r="C56" s="31" t="n"/>
      <c r="D56" s="31" t="n"/>
      <c r="E56" s="31" t="n"/>
      <c r="F56" s="32" t="n"/>
      <c r="G56" s="31" t="n"/>
      <c r="H56" s="33" t="n"/>
      <c r="I56" s="31" t="n"/>
      <c r="J56" s="32" t="n"/>
      <c r="K56" s="34" t="n"/>
      <c r="L56" s="32" t="n"/>
      <c r="M56" s="35">
        <f>IFERROR(INDEX(Listas!$G$14:$G$21,MATCH($B56,Listas!$F$14:$F$21,0)),"")</f>
        <v/>
      </c>
      <c r="N56" s="36">
        <f>IF(OR($H56="",$L56=""),"",MIN($L56*12,MAX(0,DATEDIF($H56,Listas!$N$2,"m"))))</f>
        <v/>
      </c>
      <c r="O56" s="37">
        <f>IF(OR($K56="",$N56=""),"",MIN($K56,ROUND($K56*($M56/12)*$N56,2)))</f>
        <v/>
      </c>
      <c r="P56" s="37">
        <f>IF($K56="","",$K56-IF($O56="",0,$O56))</f>
        <v/>
      </c>
      <c r="Q56" s="31" t="n"/>
      <c r="R56" s="31" t="n"/>
      <c r="S56" s="31" t="n"/>
      <c r="T56" s="36">
        <f>IFERROR(INDEX(Listas!$B$2:$B$40,MATCH($S56,Listas!$A$2:$A$40,0)),"")</f>
        <v/>
      </c>
      <c r="U56" s="31" t="n"/>
      <c r="V56" s="33" t="n"/>
      <c r="W56" s="32" t="n"/>
      <c r="X56" s="31" t="n"/>
    </row>
    <row r="57" ht="22" customHeight="1">
      <c r="A57" s="32" t="n"/>
      <c r="B57" s="31" t="n"/>
      <c r="C57" s="31" t="n"/>
      <c r="D57" s="31" t="n"/>
      <c r="E57" s="31" t="n"/>
      <c r="F57" s="32" t="n"/>
      <c r="G57" s="31" t="n"/>
      <c r="H57" s="33" t="n"/>
      <c r="I57" s="31" t="n"/>
      <c r="J57" s="32" t="n"/>
      <c r="K57" s="34" t="n"/>
      <c r="L57" s="32" t="n"/>
      <c r="M57" s="35">
        <f>IFERROR(INDEX(Listas!$G$14:$G$21,MATCH($B57,Listas!$F$14:$F$21,0)),"")</f>
        <v/>
      </c>
      <c r="N57" s="36">
        <f>IF(OR($H57="",$L57=""),"",MIN($L57*12,MAX(0,DATEDIF($H57,Listas!$N$2,"m"))))</f>
        <v/>
      </c>
      <c r="O57" s="37">
        <f>IF(OR($K57="",$N57=""),"",MIN($K57,ROUND($K57*($M57/12)*$N57,2)))</f>
        <v/>
      </c>
      <c r="P57" s="37">
        <f>IF($K57="","",$K57-IF($O57="",0,$O57))</f>
        <v/>
      </c>
      <c r="Q57" s="31" t="n"/>
      <c r="R57" s="31" t="n"/>
      <c r="S57" s="31" t="n"/>
      <c r="T57" s="36">
        <f>IFERROR(INDEX(Listas!$B$2:$B$40,MATCH($S57,Listas!$A$2:$A$40,0)),"")</f>
        <v/>
      </c>
      <c r="U57" s="31" t="n"/>
      <c r="V57" s="33" t="n"/>
      <c r="W57" s="32" t="n"/>
      <c r="X57" s="31" t="n"/>
    </row>
    <row r="58" ht="22" customHeight="1">
      <c r="A58" s="32" t="n"/>
      <c r="B58" s="31" t="n"/>
      <c r="C58" s="31" t="n"/>
      <c r="D58" s="31" t="n"/>
      <c r="E58" s="31" t="n"/>
      <c r="F58" s="32" t="n"/>
      <c r="G58" s="31" t="n"/>
      <c r="H58" s="33" t="n"/>
      <c r="I58" s="31" t="n"/>
      <c r="J58" s="32" t="n"/>
      <c r="K58" s="34" t="n"/>
      <c r="L58" s="32" t="n"/>
      <c r="M58" s="35">
        <f>IFERROR(INDEX(Listas!$G$14:$G$21,MATCH($B58,Listas!$F$14:$F$21,0)),"")</f>
        <v/>
      </c>
      <c r="N58" s="36">
        <f>IF(OR($H58="",$L58=""),"",MIN($L58*12,MAX(0,DATEDIF($H58,Listas!$N$2,"m"))))</f>
        <v/>
      </c>
      <c r="O58" s="37">
        <f>IF(OR($K58="",$N58=""),"",MIN($K58,ROUND($K58*($M58/12)*$N58,2)))</f>
        <v/>
      </c>
      <c r="P58" s="37">
        <f>IF($K58="","",$K58-IF($O58="",0,$O58))</f>
        <v/>
      </c>
      <c r="Q58" s="31" t="n"/>
      <c r="R58" s="31" t="n"/>
      <c r="S58" s="31" t="n"/>
      <c r="T58" s="36">
        <f>IFERROR(INDEX(Listas!$B$2:$B$40,MATCH($S58,Listas!$A$2:$A$40,0)),"")</f>
        <v/>
      </c>
      <c r="U58" s="31" t="n"/>
      <c r="V58" s="33" t="n"/>
      <c r="W58" s="32" t="n"/>
      <c r="X58" s="31" t="n"/>
    </row>
    <row r="59" ht="22" customHeight="1">
      <c r="A59" s="32" t="n"/>
      <c r="B59" s="31" t="n"/>
      <c r="C59" s="31" t="n"/>
      <c r="D59" s="31" t="n"/>
      <c r="E59" s="31" t="n"/>
      <c r="F59" s="32" t="n"/>
      <c r="G59" s="31" t="n"/>
      <c r="H59" s="33" t="n"/>
      <c r="I59" s="31" t="n"/>
      <c r="J59" s="32" t="n"/>
      <c r="K59" s="34" t="n"/>
      <c r="L59" s="32" t="n"/>
      <c r="M59" s="35">
        <f>IFERROR(INDEX(Listas!$G$14:$G$21,MATCH($B59,Listas!$F$14:$F$21,0)),"")</f>
        <v/>
      </c>
      <c r="N59" s="36">
        <f>IF(OR($H59="",$L59=""),"",MIN($L59*12,MAX(0,DATEDIF($H59,Listas!$N$2,"m"))))</f>
        <v/>
      </c>
      <c r="O59" s="37">
        <f>IF(OR($K59="",$N59=""),"",MIN($K59,ROUND($K59*($M59/12)*$N59,2)))</f>
        <v/>
      </c>
      <c r="P59" s="37">
        <f>IF($K59="","",$K59-IF($O59="",0,$O59))</f>
        <v/>
      </c>
      <c r="Q59" s="31" t="n"/>
      <c r="R59" s="31" t="n"/>
      <c r="S59" s="31" t="n"/>
      <c r="T59" s="36">
        <f>IFERROR(INDEX(Listas!$B$2:$B$40,MATCH($S59,Listas!$A$2:$A$40,0)),"")</f>
        <v/>
      </c>
      <c r="U59" s="31" t="n"/>
      <c r="V59" s="33" t="n"/>
      <c r="W59" s="32" t="n"/>
      <c r="X59" s="31" t="n"/>
    </row>
    <row r="60" ht="22" customHeight="1">
      <c r="A60" s="32" t="n"/>
      <c r="B60" s="31" t="n"/>
      <c r="C60" s="31" t="n"/>
      <c r="D60" s="31" t="n"/>
      <c r="E60" s="31" t="n"/>
      <c r="F60" s="32" t="n"/>
      <c r="G60" s="31" t="n"/>
      <c r="H60" s="33" t="n"/>
      <c r="I60" s="31" t="n"/>
      <c r="J60" s="32" t="n"/>
      <c r="K60" s="34" t="n"/>
      <c r="L60" s="32" t="n"/>
      <c r="M60" s="35">
        <f>IFERROR(INDEX(Listas!$G$14:$G$21,MATCH($B60,Listas!$F$14:$F$21,0)),"")</f>
        <v/>
      </c>
      <c r="N60" s="36">
        <f>IF(OR($H60="",$L60=""),"",MIN($L60*12,MAX(0,DATEDIF($H60,Listas!$N$2,"m"))))</f>
        <v/>
      </c>
      <c r="O60" s="37">
        <f>IF(OR($K60="",$N60=""),"",MIN($K60,ROUND($K60*($M60/12)*$N60,2)))</f>
        <v/>
      </c>
      <c r="P60" s="37">
        <f>IF($K60="","",$K60-IF($O60="",0,$O60))</f>
        <v/>
      </c>
      <c r="Q60" s="31" t="n"/>
      <c r="R60" s="31" t="n"/>
      <c r="S60" s="31" t="n"/>
      <c r="T60" s="36">
        <f>IFERROR(INDEX(Listas!$B$2:$B$40,MATCH($S60,Listas!$A$2:$A$40,0)),"")</f>
        <v/>
      </c>
      <c r="U60" s="31" t="n"/>
      <c r="V60" s="33" t="n"/>
      <c r="W60" s="32" t="n"/>
      <c r="X60" s="31" t="n"/>
    </row>
    <row r="61" ht="22" customHeight="1">
      <c r="A61" s="32" t="n"/>
      <c r="B61" s="31" t="n"/>
      <c r="C61" s="31" t="n"/>
      <c r="D61" s="31" t="n"/>
      <c r="E61" s="31" t="n"/>
      <c r="F61" s="32" t="n"/>
      <c r="G61" s="31" t="n"/>
      <c r="H61" s="33" t="n"/>
      <c r="I61" s="31" t="n"/>
      <c r="J61" s="32" t="n"/>
      <c r="K61" s="34" t="n"/>
      <c r="L61" s="32" t="n"/>
      <c r="M61" s="35">
        <f>IFERROR(INDEX(Listas!$G$14:$G$21,MATCH($B61,Listas!$F$14:$F$21,0)),"")</f>
        <v/>
      </c>
      <c r="N61" s="36">
        <f>IF(OR($H61="",$L61=""),"",MIN($L61*12,MAX(0,DATEDIF($H61,Listas!$N$2,"m"))))</f>
        <v/>
      </c>
      <c r="O61" s="37">
        <f>IF(OR($K61="",$N61=""),"",MIN($K61,ROUND($K61*($M61/12)*$N61,2)))</f>
        <v/>
      </c>
      <c r="P61" s="37">
        <f>IF($K61="","",$K61-IF($O61="",0,$O61))</f>
        <v/>
      </c>
      <c r="Q61" s="31" t="n"/>
      <c r="R61" s="31" t="n"/>
      <c r="S61" s="31" t="n"/>
      <c r="T61" s="36">
        <f>IFERROR(INDEX(Listas!$B$2:$B$40,MATCH($S61,Listas!$A$2:$A$40,0)),"")</f>
        <v/>
      </c>
      <c r="U61" s="31" t="n"/>
      <c r="V61" s="33" t="n"/>
      <c r="W61" s="32" t="n"/>
      <c r="X61" s="31" t="n"/>
    </row>
    <row r="62" ht="22" customHeight="1">
      <c r="A62" s="32" t="n"/>
      <c r="B62" s="31" t="n"/>
      <c r="C62" s="31" t="n"/>
      <c r="D62" s="31" t="n"/>
      <c r="E62" s="31" t="n"/>
      <c r="F62" s="32" t="n"/>
      <c r="G62" s="31" t="n"/>
      <c r="H62" s="33" t="n"/>
      <c r="I62" s="31" t="n"/>
      <c r="J62" s="32" t="n"/>
      <c r="K62" s="34" t="n"/>
      <c r="L62" s="32" t="n"/>
      <c r="M62" s="35">
        <f>IFERROR(INDEX(Listas!$G$14:$G$21,MATCH($B62,Listas!$F$14:$F$21,0)),"")</f>
        <v/>
      </c>
      <c r="N62" s="36">
        <f>IF(OR($H62="",$L62=""),"",MIN($L62*12,MAX(0,DATEDIF($H62,Listas!$N$2,"m"))))</f>
        <v/>
      </c>
      <c r="O62" s="37">
        <f>IF(OR($K62="",$N62=""),"",MIN($K62,ROUND($K62*($M62/12)*$N62,2)))</f>
        <v/>
      </c>
      <c r="P62" s="37">
        <f>IF($K62="","",$K62-IF($O62="",0,$O62))</f>
        <v/>
      </c>
      <c r="Q62" s="31" t="n"/>
      <c r="R62" s="31" t="n"/>
      <c r="S62" s="31" t="n"/>
      <c r="T62" s="36">
        <f>IFERROR(INDEX(Listas!$B$2:$B$40,MATCH($S62,Listas!$A$2:$A$40,0)),"")</f>
        <v/>
      </c>
      <c r="U62" s="31" t="n"/>
      <c r="V62" s="33" t="n"/>
      <c r="W62" s="32" t="n"/>
      <c r="X62" s="31" t="n"/>
    </row>
    <row r="63" ht="22" customHeight="1">
      <c r="A63" s="32" t="n"/>
      <c r="B63" s="31" t="n"/>
      <c r="C63" s="31" t="n"/>
      <c r="D63" s="31" t="n"/>
      <c r="E63" s="31" t="n"/>
      <c r="F63" s="32" t="n"/>
      <c r="G63" s="31" t="n"/>
      <c r="H63" s="33" t="n"/>
      <c r="I63" s="31" t="n"/>
      <c r="J63" s="32" t="n"/>
      <c r="K63" s="34" t="n"/>
      <c r="L63" s="32" t="n"/>
      <c r="M63" s="35">
        <f>IFERROR(INDEX(Listas!$G$14:$G$21,MATCH($B63,Listas!$F$14:$F$21,0)),"")</f>
        <v/>
      </c>
      <c r="N63" s="36">
        <f>IF(OR($H63="",$L63=""),"",MIN($L63*12,MAX(0,DATEDIF($H63,Listas!$N$2,"m"))))</f>
        <v/>
      </c>
      <c r="O63" s="37">
        <f>IF(OR($K63="",$N63=""),"",MIN($K63,ROUND($K63*($M63/12)*$N63,2)))</f>
        <v/>
      </c>
      <c r="P63" s="37">
        <f>IF($K63="","",$K63-IF($O63="",0,$O63))</f>
        <v/>
      </c>
      <c r="Q63" s="31" t="n"/>
      <c r="R63" s="31" t="n"/>
      <c r="S63" s="31" t="n"/>
      <c r="T63" s="36">
        <f>IFERROR(INDEX(Listas!$B$2:$B$40,MATCH($S63,Listas!$A$2:$A$40,0)),"")</f>
        <v/>
      </c>
      <c r="U63" s="31" t="n"/>
      <c r="V63" s="33" t="n"/>
      <c r="W63" s="32" t="n"/>
      <c r="X63" s="31" t="n"/>
    </row>
    <row r="64" ht="22" customHeight="1">
      <c r="A64" s="32" t="n"/>
      <c r="B64" s="31" t="n"/>
      <c r="C64" s="31" t="n"/>
      <c r="D64" s="31" t="n"/>
      <c r="E64" s="31" t="n"/>
      <c r="F64" s="32" t="n"/>
      <c r="G64" s="31" t="n"/>
      <c r="H64" s="33" t="n"/>
      <c r="I64" s="31" t="n"/>
      <c r="J64" s="32" t="n"/>
      <c r="K64" s="34" t="n"/>
      <c r="L64" s="32" t="n"/>
      <c r="M64" s="35">
        <f>IFERROR(INDEX(Listas!$G$14:$G$21,MATCH($B64,Listas!$F$14:$F$21,0)),"")</f>
        <v/>
      </c>
      <c r="N64" s="36">
        <f>IF(OR($H64="",$L64=""),"",MIN($L64*12,MAX(0,DATEDIF($H64,Listas!$N$2,"m"))))</f>
        <v/>
      </c>
      <c r="O64" s="37">
        <f>IF(OR($K64="",$N64=""),"",MIN($K64,ROUND($K64*($M64/12)*$N64,2)))</f>
        <v/>
      </c>
      <c r="P64" s="37">
        <f>IF($K64="","",$K64-IF($O64="",0,$O64))</f>
        <v/>
      </c>
      <c r="Q64" s="31" t="n"/>
      <c r="R64" s="31" t="n"/>
      <c r="S64" s="31" t="n"/>
      <c r="T64" s="36">
        <f>IFERROR(INDEX(Listas!$B$2:$B$40,MATCH($S64,Listas!$A$2:$A$40,0)),"")</f>
        <v/>
      </c>
      <c r="U64" s="31" t="n"/>
      <c r="V64" s="33" t="n"/>
      <c r="W64" s="32" t="n"/>
      <c r="X64" s="31" t="n"/>
    </row>
    <row r="65" ht="22" customHeight="1">
      <c r="A65" s="32" t="n"/>
      <c r="B65" s="31" t="n"/>
      <c r="C65" s="31" t="n"/>
      <c r="D65" s="31" t="n"/>
      <c r="E65" s="31" t="n"/>
      <c r="F65" s="32" t="n"/>
      <c r="G65" s="31" t="n"/>
      <c r="H65" s="33" t="n"/>
      <c r="I65" s="31" t="n"/>
      <c r="J65" s="32" t="n"/>
      <c r="K65" s="34" t="n"/>
      <c r="L65" s="32" t="n"/>
      <c r="M65" s="35">
        <f>IFERROR(INDEX(Listas!$G$14:$G$21,MATCH($B65,Listas!$F$14:$F$21,0)),"")</f>
        <v/>
      </c>
      <c r="N65" s="36">
        <f>IF(OR($H65="",$L65=""),"",MIN($L65*12,MAX(0,DATEDIF($H65,Listas!$N$2,"m"))))</f>
        <v/>
      </c>
      <c r="O65" s="37">
        <f>IF(OR($K65="",$N65=""),"",MIN($K65,ROUND($K65*($M65/12)*$N65,2)))</f>
        <v/>
      </c>
      <c r="P65" s="37">
        <f>IF($K65="","",$K65-IF($O65="",0,$O65))</f>
        <v/>
      </c>
      <c r="Q65" s="31" t="n"/>
      <c r="R65" s="31" t="n"/>
      <c r="S65" s="31" t="n"/>
      <c r="T65" s="36">
        <f>IFERROR(INDEX(Listas!$B$2:$B$40,MATCH($S65,Listas!$A$2:$A$40,0)),"")</f>
        <v/>
      </c>
      <c r="U65" s="31" t="n"/>
      <c r="V65" s="33" t="n"/>
      <c r="W65" s="32" t="n"/>
      <c r="X65" s="31" t="n"/>
    </row>
    <row r="66" ht="22" customHeight="1">
      <c r="A66" s="32" t="n"/>
      <c r="B66" s="31" t="n"/>
      <c r="C66" s="31" t="n"/>
      <c r="D66" s="31" t="n"/>
      <c r="E66" s="31" t="n"/>
      <c r="F66" s="32" t="n"/>
      <c r="G66" s="31" t="n"/>
      <c r="H66" s="33" t="n"/>
      <c r="I66" s="31" t="n"/>
      <c r="J66" s="32" t="n"/>
      <c r="K66" s="34" t="n"/>
      <c r="L66" s="32" t="n"/>
      <c r="M66" s="35">
        <f>IFERROR(INDEX(Listas!$G$14:$G$21,MATCH($B66,Listas!$F$14:$F$21,0)),"")</f>
        <v/>
      </c>
      <c r="N66" s="36">
        <f>IF(OR($H66="",$L66=""),"",MIN($L66*12,MAX(0,DATEDIF($H66,Listas!$N$2,"m"))))</f>
        <v/>
      </c>
      <c r="O66" s="37">
        <f>IF(OR($K66="",$N66=""),"",MIN($K66,ROUND($K66*($M66/12)*$N66,2)))</f>
        <v/>
      </c>
      <c r="P66" s="37">
        <f>IF($K66="","",$K66-IF($O66="",0,$O66))</f>
        <v/>
      </c>
      <c r="Q66" s="31" t="n"/>
      <c r="R66" s="31" t="n"/>
      <c r="S66" s="31" t="n"/>
      <c r="T66" s="36">
        <f>IFERROR(INDEX(Listas!$B$2:$B$40,MATCH($S66,Listas!$A$2:$A$40,0)),"")</f>
        <v/>
      </c>
      <c r="U66" s="31" t="n"/>
      <c r="V66" s="33" t="n"/>
      <c r="W66" s="32" t="n"/>
      <c r="X66" s="31" t="n"/>
    </row>
    <row r="67" ht="22" customHeight="1">
      <c r="A67" s="32" t="n"/>
      <c r="B67" s="31" t="n"/>
      <c r="C67" s="31" t="n"/>
      <c r="D67" s="31" t="n"/>
      <c r="E67" s="31" t="n"/>
      <c r="F67" s="32" t="n"/>
      <c r="G67" s="31" t="n"/>
      <c r="H67" s="33" t="n"/>
      <c r="I67" s="31" t="n"/>
      <c r="J67" s="32" t="n"/>
      <c r="K67" s="34" t="n"/>
      <c r="L67" s="32" t="n"/>
      <c r="M67" s="35">
        <f>IFERROR(INDEX(Listas!$G$14:$G$21,MATCH($B67,Listas!$F$14:$F$21,0)),"")</f>
        <v/>
      </c>
      <c r="N67" s="36">
        <f>IF(OR($H67="",$L67=""),"",MIN($L67*12,MAX(0,DATEDIF($H67,Listas!$N$2,"m"))))</f>
        <v/>
      </c>
      <c r="O67" s="37">
        <f>IF(OR($K67="",$N67=""),"",MIN($K67,ROUND($K67*($M67/12)*$N67,2)))</f>
        <v/>
      </c>
      <c r="P67" s="37">
        <f>IF($K67="","",$K67-IF($O67="",0,$O67))</f>
        <v/>
      </c>
      <c r="Q67" s="31" t="n"/>
      <c r="R67" s="31" t="n"/>
      <c r="S67" s="31" t="n"/>
      <c r="T67" s="36">
        <f>IFERROR(INDEX(Listas!$B$2:$B$40,MATCH($S67,Listas!$A$2:$A$40,0)),"")</f>
        <v/>
      </c>
      <c r="U67" s="31" t="n"/>
      <c r="V67" s="33" t="n"/>
      <c r="W67" s="32" t="n"/>
      <c r="X67" s="31" t="n"/>
    </row>
    <row r="68" ht="22" customHeight="1">
      <c r="A68" s="32" t="n"/>
      <c r="B68" s="31" t="n"/>
      <c r="C68" s="31" t="n"/>
      <c r="D68" s="31" t="n"/>
      <c r="E68" s="31" t="n"/>
      <c r="F68" s="32" t="n"/>
      <c r="G68" s="31" t="n"/>
      <c r="H68" s="33" t="n"/>
      <c r="I68" s="31" t="n"/>
      <c r="J68" s="32" t="n"/>
      <c r="K68" s="34" t="n"/>
      <c r="L68" s="32" t="n"/>
      <c r="M68" s="35">
        <f>IFERROR(INDEX(Listas!$G$14:$G$21,MATCH($B68,Listas!$F$14:$F$21,0)),"")</f>
        <v/>
      </c>
      <c r="N68" s="36">
        <f>IF(OR($H68="",$L68=""),"",MIN($L68*12,MAX(0,DATEDIF($H68,Listas!$N$2,"m"))))</f>
        <v/>
      </c>
      <c r="O68" s="37">
        <f>IF(OR($K68="",$N68=""),"",MIN($K68,ROUND($K68*($M68/12)*$N68,2)))</f>
        <v/>
      </c>
      <c r="P68" s="37">
        <f>IF($K68="","",$K68-IF($O68="",0,$O68))</f>
        <v/>
      </c>
      <c r="Q68" s="31" t="n"/>
      <c r="R68" s="31" t="n"/>
      <c r="S68" s="31" t="n"/>
      <c r="T68" s="36">
        <f>IFERROR(INDEX(Listas!$B$2:$B$40,MATCH($S68,Listas!$A$2:$A$40,0)),"")</f>
        <v/>
      </c>
      <c r="U68" s="31" t="n"/>
      <c r="V68" s="33" t="n"/>
      <c r="W68" s="32" t="n"/>
      <c r="X68" s="31" t="n"/>
    </row>
    <row r="69" ht="22" customHeight="1">
      <c r="A69" s="32" t="n"/>
      <c r="B69" s="31" t="n"/>
      <c r="C69" s="31" t="n"/>
      <c r="D69" s="31" t="n"/>
      <c r="E69" s="31" t="n"/>
      <c r="F69" s="32" t="n"/>
      <c r="G69" s="31" t="n"/>
      <c r="H69" s="33" t="n"/>
      <c r="I69" s="31" t="n"/>
      <c r="J69" s="32" t="n"/>
      <c r="K69" s="34" t="n"/>
      <c r="L69" s="32" t="n"/>
      <c r="M69" s="35">
        <f>IFERROR(INDEX(Listas!$G$14:$G$21,MATCH($B69,Listas!$F$14:$F$21,0)),"")</f>
        <v/>
      </c>
      <c r="N69" s="36">
        <f>IF(OR($H69="",$L69=""),"",MIN($L69*12,MAX(0,DATEDIF($H69,Listas!$N$2,"m"))))</f>
        <v/>
      </c>
      <c r="O69" s="37">
        <f>IF(OR($K69="",$N69=""),"",MIN($K69,ROUND($K69*($M69/12)*$N69,2)))</f>
        <v/>
      </c>
      <c r="P69" s="37">
        <f>IF($K69="","",$K69-IF($O69="",0,$O69))</f>
        <v/>
      </c>
      <c r="Q69" s="31" t="n"/>
      <c r="R69" s="31" t="n"/>
      <c r="S69" s="31" t="n"/>
      <c r="T69" s="36">
        <f>IFERROR(INDEX(Listas!$B$2:$B$40,MATCH($S69,Listas!$A$2:$A$40,0)),"")</f>
        <v/>
      </c>
      <c r="U69" s="31" t="n"/>
      <c r="V69" s="33" t="n"/>
      <c r="W69" s="32" t="n"/>
      <c r="X69" s="31" t="n"/>
    </row>
    <row r="70" ht="22" customHeight="1">
      <c r="A70" s="32" t="n"/>
      <c r="B70" s="31" t="n"/>
      <c r="C70" s="31" t="n"/>
      <c r="D70" s="31" t="n"/>
      <c r="E70" s="31" t="n"/>
      <c r="F70" s="32" t="n"/>
      <c r="G70" s="31" t="n"/>
      <c r="H70" s="33" t="n"/>
      <c r="I70" s="31" t="n"/>
      <c r="J70" s="32" t="n"/>
      <c r="K70" s="34" t="n"/>
      <c r="L70" s="32" t="n"/>
      <c r="M70" s="35">
        <f>IFERROR(INDEX(Listas!$G$14:$G$21,MATCH($B70,Listas!$F$14:$F$21,0)),"")</f>
        <v/>
      </c>
      <c r="N70" s="36">
        <f>IF(OR($H70="",$L70=""),"",MIN($L70*12,MAX(0,DATEDIF($H70,Listas!$N$2,"m"))))</f>
        <v/>
      </c>
      <c r="O70" s="37">
        <f>IF(OR($K70="",$N70=""),"",MIN($K70,ROUND($K70*($M70/12)*$N70,2)))</f>
        <v/>
      </c>
      <c r="P70" s="37">
        <f>IF($K70="","",$K70-IF($O70="",0,$O70))</f>
        <v/>
      </c>
      <c r="Q70" s="31" t="n"/>
      <c r="R70" s="31" t="n"/>
      <c r="S70" s="31" t="n"/>
      <c r="T70" s="36">
        <f>IFERROR(INDEX(Listas!$B$2:$B$40,MATCH($S70,Listas!$A$2:$A$40,0)),"")</f>
        <v/>
      </c>
      <c r="U70" s="31" t="n"/>
      <c r="V70" s="33" t="n"/>
      <c r="W70" s="32" t="n"/>
      <c r="X70" s="31" t="n"/>
    </row>
    <row r="71" ht="22" customHeight="1">
      <c r="A71" s="32" t="n"/>
      <c r="B71" s="31" t="n"/>
      <c r="C71" s="31" t="n"/>
      <c r="D71" s="31" t="n"/>
      <c r="E71" s="31" t="n"/>
      <c r="F71" s="32" t="n"/>
      <c r="G71" s="31" t="n"/>
      <c r="H71" s="33" t="n"/>
      <c r="I71" s="31" t="n"/>
      <c r="J71" s="32" t="n"/>
      <c r="K71" s="34" t="n"/>
      <c r="L71" s="32" t="n"/>
      <c r="M71" s="35">
        <f>IFERROR(INDEX(Listas!$G$14:$G$21,MATCH($B71,Listas!$F$14:$F$21,0)),"")</f>
        <v/>
      </c>
      <c r="N71" s="36">
        <f>IF(OR($H71="",$L71=""),"",MIN($L71*12,MAX(0,DATEDIF($H71,Listas!$N$2,"m"))))</f>
        <v/>
      </c>
      <c r="O71" s="37">
        <f>IF(OR($K71="",$N71=""),"",MIN($K71,ROUND($K71*($M71/12)*$N71,2)))</f>
        <v/>
      </c>
      <c r="P71" s="37">
        <f>IF($K71="","",$K71-IF($O71="",0,$O71))</f>
        <v/>
      </c>
      <c r="Q71" s="31" t="n"/>
      <c r="R71" s="31" t="n"/>
      <c r="S71" s="31" t="n"/>
      <c r="T71" s="36">
        <f>IFERROR(INDEX(Listas!$B$2:$B$40,MATCH($S71,Listas!$A$2:$A$40,0)),"")</f>
        <v/>
      </c>
      <c r="U71" s="31" t="n"/>
      <c r="V71" s="33" t="n"/>
      <c r="W71" s="32" t="n"/>
      <c r="X71" s="31" t="n"/>
    </row>
    <row r="72" ht="22" customHeight="1">
      <c r="A72" s="32" t="n"/>
      <c r="B72" s="31" t="n"/>
      <c r="C72" s="31" t="n"/>
      <c r="D72" s="31" t="n"/>
      <c r="E72" s="31" t="n"/>
      <c r="F72" s="32" t="n"/>
      <c r="G72" s="31" t="n"/>
      <c r="H72" s="33" t="n"/>
      <c r="I72" s="31" t="n"/>
      <c r="J72" s="32" t="n"/>
      <c r="K72" s="34" t="n"/>
      <c r="L72" s="32" t="n"/>
      <c r="M72" s="35">
        <f>IFERROR(INDEX(Listas!$G$14:$G$21,MATCH($B72,Listas!$F$14:$F$21,0)),"")</f>
        <v/>
      </c>
      <c r="N72" s="36">
        <f>IF(OR($H72="",$L72=""),"",MIN($L72*12,MAX(0,DATEDIF($H72,Listas!$N$2,"m"))))</f>
        <v/>
      </c>
      <c r="O72" s="37">
        <f>IF(OR($K72="",$N72=""),"",MIN($K72,ROUND($K72*($M72/12)*$N72,2)))</f>
        <v/>
      </c>
      <c r="P72" s="37">
        <f>IF($K72="","",$K72-IF($O72="",0,$O72))</f>
        <v/>
      </c>
      <c r="Q72" s="31" t="n"/>
      <c r="R72" s="31" t="n"/>
      <c r="S72" s="31" t="n"/>
      <c r="T72" s="36">
        <f>IFERROR(INDEX(Listas!$B$2:$B$40,MATCH($S72,Listas!$A$2:$A$40,0)),"")</f>
        <v/>
      </c>
      <c r="U72" s="31" t="n"/>
      <c r="V72" s="33" t="n"/>
      <c r="W72" s="32" t="n"/>
      <c r="X72" s="31" t="n"/>
    </row>
    <row r="73" ht="22" customHeight="1">
      <c r="A73" s="32" t="n"/>
      <c r="B73" s="31" t="n"/>
      <c r="C73" s="31" t="n"/>
      <c r="D73" s="31" t="n"/>
      <c r="E73" s="31" t="n"/>
      <c r="F73" s="32" t="n"/>
      <c r="G73" s="31" t="n"/>
      <c r="H73" s="33" t="n"/>
      <c r="I73" s="31" t="n"/>
      <c r="J73" s="32" t="n"/>
      <c r="K73" s="34" t="n"/>
      <c r="L73" s="32" t="n"/>
      <c r="M73" s="35">
        <f>IFERROR(INDEX(Listas!$G$14:$G$21,MATCH($B73,Listas!$F$14:$F$21,0)),"")</f>
        <v/>
      </c>
      <c r="N73" s="36">
        <f>IF(OR($H73="",$L73=""),"",MIN($L73*12,MAX(0,DATEDIF($H73,Listas!$N$2,"m"))))</f>
        <v/>
      </c>
      <c r="O73" s="37">
        <f>IF(OR($K73="",$N73=""),"",MIN($K73,ROUND($K73*($M73/12)*$N73,2)))</f>
        <v/>
      </c>
      <c r="P73" s="37">
        <f>IF($K73="","",$K73-IF($O73="",0,$O73))</f>
        <v/>
      </c>
      <c r="Q73" s="31" t="n"/>
      <c r="R73" s="31" t="n"/>
      <c r="S73" s="31" t="n"/>
      <c r="T73" s="36">
        <f>IFERROR(INDEX(Listas!$B$2:$B$40,MATCH($S73,Listas!$A$2:$A$40,0)),"")</f>
        <v/>
      </c>
      <c r="U73" s="31" t="n"/>
      <c r="V73" s="33" t="n"/>
      <c r="W73" s="32" t="n"/>
      <c r="X73" s="31" t="n"/>
    </row>
    <row r="74" ht="22" customHeight="1">
      <c r="A74" s="32" t="n"/>
      <c r="B74" s="31" t="n"/>
      <c r="C74" s="31" t="n"/>
      <c r="D74" s="31" t="n"/>
      <c r="E74" s="31" t="n"/>
      <c r="F74" s="32" t="n"/>
      <c r="G74" s="31" t="n"/>
      <c r="H74" s="33" t="n"/>
      <c r="I74" s="31" t="n"/>
      <c r="J74" s="32" t="n"/>
      <c r="K74" s="34" t="n"/>
      <c r="L74" s="32" t="n"/>
      <c r="M74" s="35">
        <f>IFERROR(INDEX(Listas!$G$14:$G$21,MATCH($B74,Listas!$F$14:$F$21,0)),"")</f>
        <v/>
      </c>
      <c r="N74" s="36">
        <f>IF(OR($H74="",$L74=""),"",MIN($L74*12,MAX(0,DATEDIF($H74,Listas!$N$2,"m"))))</f>
        <v/>
      </c>
      <c r="O74" s="37">
        <f>IF(OR($K74="",$N74=""),"",MIN($K74,ROUND($K74*($M74/12)*$N74,2)))</f>
        <v/>
      </c>
      <c r="P74" s="37">
        <f>IF($K74="","",$K74-IF($O74="",0,$O74))</f>
        <v/>
      </c>
      <c r="Q74" s="31" t="n"/>
      <c r="R74" s="31" t="n"/>
      <c r="S74" s="31" t="n"/>
      <c r="T74" s="36">
        <f>IFERROR(INDEX(Listas!$B$2:$B$40,MATCH($S74,Listas!$A$2:$A$40,0)),"")</f>
        <v/>
      </c>
      <c r="U74" s="31" t="n"/>
      <c r="V74" s="33" t="n"/>
      <c r="W74" s="32" t="n"/>
      <c r="X74" s="31" t="n"/>
    </row>
    <row r="75" ht="22" customHeight="1">
      <c r="A75" s="32" t="n"/>
      <c r="B75" s="31" t="n"/>
      <c r="C75" s="31" t="n"/>
      <c r="D75" s="31" t="n"/>
      <c r="E75" s="31" t="n"/>
      <c r="F75" s="32" t="n"/>
      <c r="G75" s="31" t="n"/>
      <c r="H75" s="33" t="n"/>
      <c r="I75" s="31" t="n"/>
      <c r="J75" s="32" t="n"/>
      <c r="K75" s="34" t="n"/>
      <c r="L75" s="32" t="n"/>
      <c r="M75" s="35">
        <f>IFERROR(INDEX(Listas!$G$14:$G$21,MATCH($B75,Listas!$F$14:$F$21,0)),"")</f>
        <v/>
      </c>
      <c r="N75" s="36">
        <f>IF(OR($H75="",$L75=""),"",MIN($L75*12,MAX(0,DATEDIF($H75,Listas!$N$2,"m"))))</f>
        <v/>
      </c>
      <c r="O75" s="37">
        <f>IF(OR($K75="",$N75=""),"",MIN($K75,ROUND($K75*($M75/12)*$N75,2)))</f>
        <v/>
      </c>
      <c r="P75" s="37">
        <f>IF($K75="","",$K75-IF($O75="",0,$O75))</f>
        <v/>
      </c>
      <c r="Q75" s="31" t="n"/>
      <c r="R75" s="31" t="n"/>
      <c r="S75" s="31" t="n"/>
      <c r="T75" s="36">
        <f>IFERROR(INDEX(Listas!$B$2:$B$40,MATCH($S75,Listas!$A$2:$A$40,0)),"")</f>
        <v/>
      </c>
      <c r="U75" s="31" t="n"/>
      <c r="V75" s="33" t="n"/>
      <c r="W75" s="32" t="n"/>
      <c r="X75" s="31" t="n"/>
    </row>
    <row r="76" ht="22" customHeight="1">
      <c r="A76" s="32" t="n"/>
      <c r="B76" s="31" t="n"/>
      <c r="C76" s="31" t="n"/>
      <c r="D76" s="31" t="n"/>
      <c r="E76" s="31" t="n"/>
      <c r="F76" s="32" t="n"/>
      <c r="G76" s="31" t="n"/>
      <c r="H76" s="33" t="n"/>
      <c r="I76" s="31" t="n"/>
      <c r="J76" s="32" t="n"/>
      <c r="K76" s="34" t="n"/>
      <c r="L76" s="32" t="n"/>
      <c r="M76" s="35">
        <f>IFERROR(INDEX(Listas!$G$14:$G$21,MATCH($B76,Listas!$F$14:$F$21,0)),"")</f>
        <v/>
      </c>
      <c r="N76" s="36">
        <f>IF(OR($H76="",$L76=""),"",MIN($L76*12,MAX(0,DATEDIF($H76,Listas!$N$2,"m"))))</f>
        <v/>
      </c>
      <c r="O76" s="37">
        <f>IF(OR($K76="",$N76=""),"",MIN($K76,ROUND($K76*($M76/12)*$N76,2)))</f>
        <v/>
      </c>
      <c r="P76" s="37">
        <f>IF($K76="","",$K76-IF($O76="",0,$O76))</f>
        <v/>
      </c>
      <c r="Q76" s="31" t="n"/>
      <c r="R76" s="31" t="n"/>
      <c r="S76" s="31" t="n"/>
      <c r="T76" s="36">
        <f>IFERROR(INDEX(Listas!$B$2:$B$40,MATCH($S76,Listas!$A$2:$A$40,0)),"")</f>
        <v/>
      </c>
      <c r="U76" s="31" t="n"/>
      <c r="V76" s="33" t="n"/>
      <c r="W76" s="32" t="n"/>
      <c r="X76" s="31" t="n"/>
    </row>
    <row r="77" ht="22" customHeight="1">
      <c r="A77" s="32" t="n"/>
      <c r="B77" s="31" t="n"/>
      <c r="C77" s="31" t="n"/>
      <c r="D77" s="31" t="n"/>
      <c r="E77" s="31" t="n"/>
      <c r="F77" s="32" t="n"/>
      <c r="G77" s="31" t="n"/>
      <c r="H77" s="33" t="n"/>
      <c r="I77" s="31" t="n"/>
      <c r="J77" s="32" t="n"/>
      <c r="K77" s="34" t="n"/>
      <c r="L77" s="32" t="n"/>
      <c r="M77" s="35">
        <f>IFERROR(INDEX(Listas!$G$14:$G$21,MATCH($B77,Listas!$F$14:$F$21,0)),"")</f>
        <v/>
      </c>
      <c r="N77" s="36">
        <f>IF(OR($H77="",$L77=""),"",MIN($L77*12,MAX(0,DATEDIF($H77,Listas!$N$2,"m"))))</f>
        <v/>
      </c>
      <c r="O77" s="37">
        <f>IF(OR($K77="",$N77=""),"",MIN($K77,ROUND($K77*($M77/12)*$N77,2)))</f>
        <v/>
      </c>
      <c r="P77" s="37">
        <f>IF($K77="","",$K77-IF($O77="",0,$O77))</f>
        <v/>
      </c>
      <c r="Q77" s="31" t="n"/>
      <c r="R77" s="31" t="n"/>
      <c r="S77" s="31" t="n"/>
      <c r="T77" s="36">
        <f>IFERROR(INDEX(Listas!$B$2:$B$40,MATCH($S77,Listas!$A$2:$A$40,0)),"")</f>
        <v/>
      </c>
      <c r="U77" s="31" t="n"/>
      <c r="V77" s="33" t="n"/>
      <c r="W77" s="32" t="n"/>
      <c r="X77" s="31" t="n"/>
    </row>
    <row r="78" ht="22" customHeight="1">
      <c r="A78" s="32" t="n"/>
      <c r="B78" s="31" t="n"/>
      <c r="C78" s="31" t="n"/>
      <c r="D78" s="31" t="n"/>
      <c r="E78" s="31" t="n"/>
      <c r="F78" s="32" t="n"/>
      <c r="G78" s="31" t="n"/>
      <c r="H78" s="33" t="n"/>
      <c r="I78" s="31" t="n"/>
      <c r="J78" s="32" t="n"/>
      <c r="K78" s="34" t="n"/>
      <c r="L78" s="32" t="n"/>
      <c r="M78" s="35">
        <f>IFERROR(INDEX(Listas!$G$14:$G$21,MATCH($B78,Listas!$F$14:$F$21,0)),"")</f>
        <v/>
      </c>
      <c r="N78" s="36">
        <f>IF(OR($H78="",$L78=""),"",MIN($L78*12,MAX(0,DATEDIF($H78,Listas!$N$2,"m"))))</f>
        <v/>
      </c>
      <c r="O78" s="37">
        <f>IF(OR($K78="",$N78=""),"",MIN($K78,ROUND($K78*($M78/12)*$N78,2)))</f>
        <v/>
      </c>
      <c r="P78" s="37">
        <f>IF($K78="","",$K78-IF($O78="",0,$O78))</f>
        <v/>
      </c>
      <c r="Q78" s="31" t="n"/>
      <c r="R78" s="31" t="n"/>
      <c r="S78" s="31" t="n"/>
      <c r="T78" s="36">
        <f>IFERROR(INDEX(Listas!$B$2:$B$40,MATCH($S78,Listas!$A$2:$A$40,0)),"")</f>
        <v/>
      </c>
      <c r="U78" s="31" t="n"/>
      <c r="V78" s="33" t="n"/>
      <c r="W78" s="32" t="n"/>
      <c r="X78" s="31" t="n"/>
    </row>
    <row r="79" ht="22" customHeight="1">
      <c r="A79" s="32" t="n"/>
      <c r="B79" s="31" t="n"/>
      <c r="C79" s="31" t="n"/>
      <c r="D79" s="31" t="n"/>
      <c r="E79" s="31" t="n"/>
      <c r="F79" s="32" t="n"/>
      <c r="G79" s="31" t="n"/>
      <c r="H79" s="33" t="n"/>
      <c r="I79" s="31" t="n"/>
      <c r="J79" s="32" t="n"/>
      <c r="K79" s="34" t="n"/>
      <c r="L79" s="32" t="n"/>
      <c r="M79" s="35">
        <f>IFERROR(INDEX(Listas!$G$14:$G$21,MATCH($B79,Listas!$F$14:$F$21,0)),"")</f>
        <v/>
      </c>
      <c r="N79" s="36">
        <f>IF(OR($H79="",$L79=""),"",MIN($L79*12,MAX(0,DATEDIF($H79,Listas!$N$2,"m"))))</f>
        <v/>
      </c>
      <c r="O79" s="37">
        <f>IF(OR($K79="",$N79=""),"",MIN($K79,ROUND($K79*($M79/12)*$N79,2)))</f>
        <v/>
      </c>
      <c r="P79" s="37">
        <f>IF($K79="","",$K79-IF($O79="",0,$O79))</f>
        <v/>
      </c>
      <c r="Q79" s="31" t="n"/>
      <c r="R79" s="31" t="n"/>
      <c r="S79" s="31" t="n"/>
      <c r="T79" s="36">
        <f>IFERROR(INDEX(Listas!$B$2:$B$40,MATCH($S79,Listas!$A$2:$A$40,0)),"")</f>
        <v/>
      </c>
      <c r="U79" s="31" t="n"/>
      <c r="V79" s="33" t="n"/>
      <c r="W79" s="32" t="n"/>
      <c r="X79" s="31" t="n"/>
    </row>
    <row r="80" ht="22" customHeight="1">
      <c r="A80" s="32" t="n"/>
      <c r="B80" s="31" t="n"/>
      <c r="C80" s="31" t="n"/>
      <c r="D80" s="31" t="n"/>
      <c r="E80" s="31" t="n"/>
      <c r="F80" s="32" t="n"/>
      <c r="G80" s="31" t="n"/>
      <c r="H80" s="33" t="n"/>
      <c r="I80" s="31" t="n"/>
      <c r="J80" s="32" t="n"/>
      <c r="K80" s="34" t="n"/>
      <c r="L80" s="32" t="n"/>
      <c r="M80" s="35">
        <f>IFERROR(INDEX(Listas!$G$14:$G$21,MATCH($B80,Listas!$F$14:$F$21,0)),"")</f>
        <v/>
      </c>
      <c r="N80" s="36">
        <f>IF(OR($H80="",$L80=""),"",MIN($L80*12,MAX(0,DATEDIF($H80,Listas!$N$2,"m"))))</f>
        <v/>
      </c>
      <c r="O80" s="37">
        <f>IF(OR($K80="",$N80=""),"",MIN($K80,ROUND($K80*($M80/12)*$N80,2)))</f>
        <v/>
      </c>
      <c r="P80" s="37">
        <f>IF($K80="","",$K80-IF($O80="",0,$O80))</f>
        <v/>
      </c>
      <c r="Q80" s="31" t="n"/>
      <c r="R80" s="31" t="n"/>
      <c r="S80" s="31" t="n"/>
      <c r="T80" s="36">
        <f>IFERROR(INDEX(Listas!$B$2:$B$40,MATCH($S80,Listas!$A$2:$A$40,0)),"")</f>
        <v/>
      </c>
      <c r="U80" s="31" t="n"/>
      <c r="V80" s="33" t="n"/>
      <c r="W80" s="32" t="n"/>
      <c r="X80" s="31" t="n"/>
    </row>
    <row r="81" ht="22" customHeight="1">
      <c r="A81" s="32" t="n"/>
      <c r="B81" s="31" t="n"/>
      <c r="C81" s="31" t="n"/>
      <c r="D81" s="31" t="n"/>
      <c r="E81" s="31" t="n"/>
      <c r="F81" s="32" t="n"/>
      <c r="G81" s="31" t="n"/>
      <c r="H81" s="33" t="n"/>
      <c r="I81" s="31" t="n"/>
      <c r="J81" s="32" t="n"/>
      <c r="K81" s="34" t="n"/>
      <c r="L81" s="32" t="n"/>
      <c r="M81" s="35">
        <f>IFERROR(INDEX(Listas!$G$14:$G$21,MATCH($B81,Listas!$F$14:$F$21,0)),"")</f>
        <v/>
      </c>
      <c r="N81" s="36">
        <f>IF(OR($H81="",$L81=""),"",MIN($L81*12,MAX(0,DATEDIF($H81,Listas!$N$2,"m"))))</f>
        <v/>
      </c>
      <c r="O81" s="37">
        <f>IF(OR($K81="",$N81=""),"",MIN($K81,ROUND($K81*($M81/12)*$N81,2)))</f>
        <v/>
      </c>
      <c r="P81" s="37">
        <f>IF($K81="","",$K81-IF($O81="",0,$O81))</f>
        <v/>
      </c>
      <c r="Q81" s="31" t="n"/>
      <c r="R81" s="31" t="n"/>
      <c r="S81" s="31" t="n"/>
      <c r="T81" s="36">
        <f>IFERROR(INDEX(Listas!$B$2:$B$40,MATCH($S81,Listas!$A$2:$A$40,0)),"")</f>
        <v/>
      </c>
      <c r="U81" s="31" t="n"/>
      <c r="V81" s="33" t="n"/>
      <c r="W81" s="32" t="n"/>
      <c r="X81" s="31" t="n"/>
    </row>
    <row r="82" ht="22" customHeight="1">
      <c r="A82" s="32" t="n"/>
      <c r="B82" s="31" t="n"/>
      <c r="C82" s="31" t="n"/>
      <c r="D82" s="31" t="n"/>
      <c r="E82" s="31" t="n"/>
      <c r="F82" s="32" t="n"/>
      <c r="G82" s="31" t="n"/>
      <c r="H82" s="33" t="n"/>
      <c r="I82" s="31" t="n"/>
      <c r="J82" s="32" t="n"/>
      <c r="K82" s="34" t="n"/>
      <c r="L82" s="32" t="n"/>
      <c r="M82" s="35">
        <f>IFERROR(INDEX(Listas!$G$14:$G$21,MATCH($B82,Listas!$F$14:$F$21,0)),"")</f>
        <v/>
      </c>
      <c r="N82" s="36">
        <f>IF(OR($H82="",$L82=""),"",MIN($L82*12,MAX(0,DATEDIF($H82,Listas!$N$2,"m"))))</f>
        <v/>
      </c>
      <c r="O82" s="37">
        <f>IF(OR($K82="",$N82=""),"",MIN($K82,ROUND($K82*($M82/12)*$N82,2)))</f>
        <v/>
      </c>
      <c r="P82" s="37">
        <f>IF($K82="","",$K82-IF($O82="",0,$O82))</f>
        <v/>
      </c>
      <c r="Q82" s="31" t="n"/>
      <c r="R82" s="31" t="n"/>
      <c r="S82" s="31" t="n"/>
      <c r="T82" s="36">
        <f>IFERROR(INDEX(Listas!$B$2:$B$40,MATCH($S82,Listas!$A$2:$A$40,0)),"")</f>
        <v/>
      </c>
      <c r="U82" s="31" t="n"/>
      <c r="V82" s="33" t="n"/>
      <c r="W82" s="32" t="n"/>
      <c r="X82" s="31" t="n"/>
    </row>
    <row r="83" ht="22" customHeight="1">
      <c r="A83" s="32" t="n"/>
      <c r="B83" s="31" t="n"/>
      <c r="C83" s="31" t="n"/>
      <c r="D83" s="31" t="n"/>
      <c r="E83" s="31" t="n"/>
      <c r="F83" s="32" t="n"/>
      <c r="G83" s="31" t="n"/>
      <c r="H83" s="33" t="n"/>
      <c r="I83" s="31" t="n"/>
      <c r="J83" s="32" t="n"/>
      <c r="K83" s="34" t="n"/>
      <c r="L83" s="32" t="n"/>
      <c r="M83" s="35">
        <f>IFERROR(INDEX(Listas!$G$14:$G$21,MATCH($B83,Listas!$F$14:$F$21,0)),"")</f>
        <v/>
      </c>
      <c r="N83" s="36">
        <f>IF(OR($H83="",$L83=""),"",MIN($L83*12,MAX(0,DATEDIF($H83,Listas!$N$2,"m"))))</f>
        <v/>
      </c>
      <c r="O83" s="37">
        <f>IF(OR($K83="",$N83=""),"",MIN($K83,ROUND($K83*($M83/12)*$N83,2)))</f>
        <v/>
      </c>
      <c r="P83" s="37">
        <f>IF($K83="","",$K83-IF($O83="",0,$O83))</f>
        <v/>
      </c>
      <c r="Q83" s="31" t="n"/>
      <c r="R83" s="31" t="n"/>
      <c r="S83" s="31" t="n"/>
      <c r="T83" s="36">
        <f>IFERROR(INDEX(Listas!$B$2:$B$40,MATCH($S83,Listas!$A$2:$A$40,0)),"")</f>
        <v/>
      </c>
      <c r="U83" s="31" t="n"/>
      <c r="V83" s="33" t="n"/>
      <c r="W83" s="32" t="n"/>
      <c r="X83" s="31" t="n"/>
    </row>
    <row r="84" ht="22" customHeight="1">
      <c r="A84" s="32" t="n"/>
      <c r="B84" s="31" t="n"/>
      <c r="C84" s="31" t="n"/>
      <c r="D84" s="31" t="n"/>
      <c r="E84" s="31" t="n"/>
      <c r="F84" s="32" t="n"/>
      <c r="G84" s="31" t="n"/>
      <c r="H84" s="33" t="n"/>
      <c r="I84" s="31" t="n"/>
      <c r="J84" s="32" t="n"/>
      <c r="K84" s="34" t="n"/>
      <c r="L84" s="32" t="n"/>
      <c r="M84" s="35">
        <f>IFERROR(INDEX(Listas!$G$14:$G$21,MATCH($B84,Listas!$F$14:$F$21,0)),"")</f>
        <v/>
      </c>
      <c r="N84" s="36">
        <f>IF(OR($H84="",$L84=""),"",MIN($L84*12,MAX(0,DATEDIF($H84,Listas!$N$2,"m"))))</f>
        <v/>
      </c>
      <c r="O84" s="37">
        <f>IF(OR($K84="",$N84=""),"",MIN($K84,ROUND($K84*($M84/12)*$N84,2)))</f>
        <v/>
      </c>
      <c r="P84" s="37">
        <f>IF($K84="","",$K84-IF($O84="",0,$O84))</f>
        <v/>
      </c>
      <c r="Q84" s="31" t="n"/>
      <c r="R84" s="31" t="n"/>
      <c r="S84" s="31" t="n"/>
      <c r="T84" s="36">
        <f>IFERROR(INDEX(Listas!$B$2:$B$40,MATCH($S84,Listas!$A$2:$A$40,0)),"")</f>
        <v/>
      </c>
      <c r="U84" s="31" t="n"/>
      <c r="V84" s="33" t="n"/>
      <c r="W84" s="32" t="n"/>
      <c r="X84" s="31" t="n"/>
    </row>
    <row r="85" ht="22" customHeight="1">
      <c r="A85" s="32" t="n"/>
      <c r="B85" s="31" t="n"/>
      <c r="C85" s="31" t="n"/>
      <c r="D85" s="31" t="n"/>
      <c r="E85" s="31" t="n"/>
      <c r="F85" s="32" t="n"/>
      <c r="G85" s="31" t="n"/>
      <c r="H85" s="33" t="n"/>
      <c r="I85" s="31" t="n"/>
      <c r="J85" s="32" t="n"/>
      <c r="K85" s="34" t="n"/>
      <c r="L85" s="32" t="n"/>
      <c r="M85" s="35">
        <f>IFERROR(INDEX(Listas!$G$14:$G$21,MATCH($B85,Listas!$F$14:$F$21,0)),"")</f>
        <v/>
      </c>
      <c r="N85" s="36">
        <f>IF(OR($H85="",$L85=""),"",MIN($L85*12,MAX(0,DATEDIF($H85,Listas!$N$2,"m"))))</f>
        <v/>
      </c>
      <c r="O85" s="37">
        <f>IF(OR($K85="",$N85=""),"",MIN($K85,ROUND($K85*($M85/12)*$N85,2)))</f>
        <v/>
      </c>
      <c r="P85" s="37">
        <f>IF($K85="","",$K85-IF($O85="",0,$O85))</f>
        <v/>
      </c>
      <c r="Q85" s="31" t="n"/>
      <c r="R85" s="31" t="n"/>
      <c r="S85" s="31" t="n"/>
      <c r="T85" s="36">
        <f>IFERROR(INDEX(Listas!$B$2:$B$40,MATCH($S85,Listas!$A$2:$A$40,0)),"")</f>
        <v/>
      </c>
      <c r="U85" s="31" t="n"/>
      <c r="V85" s="33" t="n"/>
      <c r="W85" s="32" t="n"/>
      <c r="X85" s="31" t="n"/>
    </row>
    <row r="86" ht="22" customHeight="1">
      <c r="A86" s="32" t="n"/>
      <c r="B86" s="31" t="n"/>
      <c r="C86" s="31" t="n"/>
      <c r="D86" s="31" t="n"/>
      <c r="E86" s="31" t="n"/>
      <c r="F86" s="32" t="n"/>
      <c r="G86" s="31" t="n"/>
      <c r="H86" s="33" t="n"/>
      <c r="I86" s="31" t="n"/>
      <c r="J86" s="32" t="n"/>
      <c r="K86" s="34" t="n"/>
      <c r="L86" s="32" t="n"/>
      <c r="M86" s="35">
        <f>IFERROR(INDEX(Listas!$G$14:$G$21,MATCH($B86,Listas!$F$14:$F$21,0)),"")</f>
        <v/>
      </c>
      <c r="N86" s="36">
        <f>IF(OR($H86="",$L86=""),"",MIN($L86*12,MAX(0,DATEDIF($H86,Listas!$N$2,"m"))))</f>
        <v/>
      </c>
      <c r="O86" s="37">
        <f>IF(OR($K86="",$N86=""),"",MIN($K86,ROUND($K86*($M86/12)*$N86,2)))</f>
        <v/>
      </c>
      <c r="P86" s="37">
        <f>IF($K86="","",$K86-IF($O86="",0,$O86))</f>
        <v/>
      </c>
      <c r="Q86" s="31" t="n"/>
      <c r="R86" s="31" t="n"/>
      <c r="S86" s="31" t="n"/>
      <c r="T86" s="36">
        <f>IFERROR(INDEX(Listas!$B$2:$B$40,MATCH($S86,Listas!$A$2:$A$40,0)),"")</f>
        <v/>
      </c>
      <c r="U86" s="31" t="n"/>
      <c r="V86" s="33" t="n"/>
      <c r="W86" s="32" t="n"/>
      <c r="X86" s="31" t="n"/>
    </row>
    <row r="87" ht="22" customHeight="1">
      <c r="A87" s="32" t="n"/>
      <c r="B87" s="31" t="n"/>
      <c r="C87" s="31" t="n"/>
      <c r="D87" s="31" t="n"/>
      <c r="E87" s="31" t="n"/>
      <c r="F87" s="32" t="n"/>
      <c r="G87" s="31" t="n"/>
      <c r="H87" s="33" t="n"/>
      <c r="I87" s="31" t="n"/>
      <c r="J87" s="32" t="n"/>
      <c r="K87" s="34" t="n"/>
      <c r="L87" s="32" t="n"/>
      <c r="M87" s="35">
        <f>IFERROR(INDEX(Listas!$G$14:$G$21,MATCH($B87,Listas!$F$14:$F$21,0)),"")</f>
        <v/>
      </c>
      <c r="N87" s="36">
        <f>IF(OR($H87="",$L87=""),"",MIN($L87*12,MAX(0,DATEDIF($H87,Listas!$N$2,"m"))))</f>
        <v/>
      </c>
      <c r="O87" s="37">
        <f>IF(OR($K87="",$N87=""),"",MIN($K87,ROUND($K87*($M87/12)*$N87,2)))</f>
        <v/>
      </c>
      <c r="P87" s="37">
        <f>IF($K87="","",$K87-IF($O87="",0,$O87))</f>
        <v/>
      </c>
      <c r="Q87" s="31" t="n"/>
      <c r="R87" s="31" t="n"/>
      <c r="S87" s="31" t="n"/>
      <c r="T87" s="36">
        <f>IFERROR(INDEX(Listas!$B$2:$B$40,MATCH($S87,Listas!$A$2:$A$40,0)),"")</f>
        <v/>
      </c>
      <c r="U87" s="31" t="n"/>
      <c r="V87" s="33" t="n"/>
      <c r="W87" s="32" t="n"/>
      <c r="X87" s="31" t="n"/>
    </row>
    <row r="88" ht="22" customHeight="1">
      <c r="A88" s="32" t="n"/>
      <c r="B88" s="31" t="n"/>
      <c r="C88" s="31" t="n"/>
      <c r="D88" s="31" t="n"/>
      <c r="E88" s="31" t="n"/>
      <c r="F88" s="32" t="n"/>
      <c r="G88" s="31" t="n"/>
      <c r="H88" s="33" t="n"/>
      <c r="I88" s="31" t="n"/>
      <c r="J88" s="32" t="n"/>
      <c r="K88" s="34" t="n"/>
      <c r="L88" s="32" t="n"/>
      <c r="M88" s="35">
        <f>IFERROR(INDEX(Listas!$G$14:$G$21,MATCH($B88,Listas!$F$14:$F$21,0)),"")</f>
        <v/>
      </c>
      <c r="N88" s="36">
        <f>IF(OR($H88="",$L88=""),"",MIN($L88*12,MAX(0,DATEDIF($H88,Listas!$N$2,"m"))))</f>
        <v/>
      </c>
      <c r="O88" s="37">
        <f>IF(OR($K88="",$N88=""),"",MIN($K88,ROUND($K88*($M88/12)*$N88,2)))</f>
        <v/>
      </c>
      <c r="P88" s="37">
        <f>IF($K88="","",$K88-IF($O88="",0,$O88))</f>
        <v/>
      </c>
      <c r="Q88" s="31" t="n"/>
      <c r="R88" s="31" t="n"/>
      <c r="S88" s="31" t="n"/>
      <c r="T88" s="36">
        <f>IFERROR(INDEX(Listas!$B$2:$B$40,MATCH($S88,Listas!$A$2:$A$40,0)),"")</f>
        <v/>
      </c>
      <c r="U88" s="31" t="n"/>
      <c r="V88" s="33" t="n"/>
      <c r="W88" s="32" t="n"/>
      <c r="X88" s="31" t="n"/>
    </row>
    <row r="89" ht="22" customHeight="1">
      <c r="A89" s="32" t="n"/>
      <c r="B89" s="31" t="n"/>
      <c r="C89" s="31" t="n"/>
      <c r="D89" s="31" t="n"/>
      <c r="E89" s="31" t="n"/>
      <c r="F89" s="32" t="n"/>
      <c r="G89" s="31" t="n"/>
      <c r="H89" s="33" t="n"/>
      <c r="I89" s="31" t="n"/>
      <c r="J89" s="32" t="n"/>
      <c r="K89" s="34" t="n"/>
      <c r="L89" s="32" t="n"/>
      <c r="M89" s="35">
        <f>IFERROR(INDEX(Listas!$G$14:$G$21,MATCH($B89,Listas!$F$14:$F$21,0)),"")</f>
        <v/>
      </c>
      <c r="N89" s="36">
        <f>IF(OR($H89="",$L89=""),"",MIN($L89*12,MAX(0,DATEDIF($H89,Listas!$N$2,"m"))))</f>
        <v/>
      </c>
      <c r="O89" s="37">
        <f>IF(OR($K89="",$N89=""),"",MIN($K89,ROUND($K89*($M89/12)*$N89,2)))</f>
        <v/>
      </c>
      <c r="P89" s="37">
        <f>IF($K89="","",$K89-IF($O89="",0,$O89))</f>
        <v/>
      </c>
      <c r="Q89" s="31" t="n"/>
      <c r="R89" s="31" t="n"/>
      <c r="S89" s="31" t="n"/>
      <c r="T89" s="36">
        <f>IFERROR(INDEX(Listas!$B$2:$B$40,MATCH($S89,Listas!$A$2:$A$40,0)),"")</f>
        <v/>
      </c>
      <c r="U89" s="31" t="n"/>
      <c r="V89" s="33" t="n"/>
      <c r="W89" s="32" t="n"/>
      <c r="X89" s="31" t="n"/>
    </row>
    <row r="90" ht="22" customHeight="1">
      <c r="A90" s="32" t="n"/>
      <c r="B90" s="31" t="n"/>
      <c r="C90" s="31" t="n"/>
      <c r="D90" s="31" t="n"/>
      <c r="E90" s="31" t="n"/>
      <c r="F90" s="32" t="n"/>
      <c r="G90" s="31" t="n"/>
      <c r="H90" s="33" t="n"/>
      <c r="I90" s="31" t="n"/>
      <c r="J90" s="32" t="n"/>
      <c r="K90" s="34" t="n"/>
      <c r="L90" s="32" t="n"/>
      <c r="M90" s="35">
        <f>IFERROR(INDEX(Listas!$G$14:$G$21,MATCH($B90,Listas!$F$14:$F$21,0)),"")</f>
        <v/>
      </c>
      <c r="N90" s="36">
        <f>IF(OR($H90="",$L90=""),"",MIN($L90*12,MAX(0,DATEDIF($H90,Listas!$N$2,"m"))))</f>
        <v/>
      </c>
      <c r="O90" s="37">
        <f>IF(OR($K90="",$N90=""),"",MIN($K90,ROUND($K90*($M90/12)*$N90,2)))</f>
        <v/>
      </c>
      <c r="P90" s="37">
        <f>IF($K90="","",$K90-IF($O90="",0,$O90))</f>
        <v/>
      </c>
      <c r="Q90" s="31" t="n"/>
      <c r="R90" s="31" t="n"/>
      <c r="S90" s="31" t="n"/>
      <c r="T90" s="36">
        <f>IFERROR(INDEX(Listas!$B$2:$B$40,MATCH($S90,Listas!$A$2:$A$40,0)),"")</f>
        <v/>
      </c>
      <c r="U90" s="31" t="n"/>
      <c r="V90" s="33" t="n"/>
      <c r="W90" s="32" t="n"/>
      <c r="X90" s="31" t="n"/>
    </row>
    <row r="91" ht="22" customHeight="1">
      <c r="A91" s="32" t="n"/>
      <c r="B91" s="31" t="n"/>
      <c r="C91" s="31" t="n"/>
      <c r="D91" s="31" t="n"/>
      <c r="E91" s="31" t="n"/>
      <c r="F91" s="32" t="n"/>
      <c r="G91" s="31" t="n"/>
      <c r="H91" s="33" t="n"/>
      <c r="I91" s="31" t="n"/>
      <c r="J91" s="32" t="n"/>
      <c r="K91" s="34" t="n"/>
      <c r="L91" s="32" t="n"/>
      <c r="M91" s="35">
        <f>IFERROR(INDEX(Listas!$G$14:$G$21,MATCH($B91,Listas!$F$14:$F$21,0)),"")</f>
        <v/>
      </c>
      <c r="N91" s="36">
        <f>IF(OR($H91="",$L91=""),"",MIN($L91*12,MAX(0,DATEDIF($H91,Listas!$N$2,"m"))))</f>
        <v/>
      </c>
      <c r="O91" s="37">
        <f>IF(OR($K91="",$N91=""),"",MIN($K91,ROUND($K91*($M91/12)*$N91,2)))</f>
        <v/>
      </c>
      <c r="P91" s="37">
        <f>IF($K91="","",$K91-IF($O91="",0,$O91))</f>
        <v/>
      </c>
      <c r="Q91" s="31" t="n"/>
      <c r="R91" s="31" t="n"/>
      <c r="S91" s="31" t="n"/>
      <c r="T91" s="36">
        <f>IFERROR(INDEX(Listas!$B$2:$B$40,MATCH($S91,Listas!$A$2:$A$40,0)),"")</f>
        <v/>
      </c>
      <c r="U91" s="31" t="n"/>
      <c r="V91" s="33" t="n"/>
      <c r="W91" s="32" t="n"/>
      <c r="X91" s="31" t="n"/>
    </row>
    <row r="92" ht="22" customHeight="1">
      <c r="A92" s="32" t="n"/>
      <c r="B92" s="31" t="n"/>
      <c r="C92" s="31" t="n"/>
      <c r="D92" s="31" t="n"/>
      <c r="E92" s="31" t="n"/>
      <c r="F92" s="32" t="n"/>
      <c r="G92" s="31" t="n"/>
      <c r="H92" s="33" t="n"/>
      <c r="I92" s="31" t="n"/>
      <c r="J92" s="32" t="n"/>
      <c r="K92" s="34" t="n"/>
      <c r="L92" s="32" t="n"/>
      <c r="M92" s="35">
        <f>IFERROR(INDEX(Listas!$G$14:$G$21,MATCH($B92,Listas!$F$14:$F$21,0)),"")</f>
        <v/>
      </c>
      <c r="N92" s="36">
        <f>IF(OR($H92="",$L92=""),"",MIN($L92*12,MAX(0,DATEDIF($H92,Listas!$N$2,"m"))))</f>
        <v/>
      </c>
      <c r="O92" s="37">
        <f>IF(OR($K92="",$N92=""),"",MIN($K92,ROUND($K92*($M92/12)*$N92,2)))</f>
        <v/>
      </c>
      <c r="P92" s="37">
        <f>IF($K92="","",$K92-IF($O92="",0,$O92))</f>
        <v/>
      </c>
      <c r="Q92" s="31" t="n"/>
      <c r="R92" s="31" t="n"/>
      <c r="S92" s="31" t="n"/>
      <c r="T92" s="36">
        <f>IFERROR(INDEX(Listas!$B$2:$B$40,MATCH($S92,Listas!$A$2:$A$40,0)),"")</f>
        <v/>
      </c>
      <c r="U92" s="31" t="n"/>
      <c r="V92" s="33" t="n"/>
      <c r="W92" s="32" t="n"/>
      <c r="X92" s="31" t="n"/>
    </row>
    <row r="93" ht="22" customHeight="1">
      <c r="A93" s="32" t="n"/>
      <c r="B93" s="31" t="n"/>
      <c r="C93" s="31" t="n"/>
      <c r="D93" s="31" t="n"/>
      <c r="E93" s="31" t="n"/>
      <c r="F93" s="32" t="n"/>
      <c r="G93" s="31" t="n"/>
      <c r="H93" s="33" t="n"/>
      <c r="I93" s="31" t="n"/>
      <c r="J93" s="32" t="n"/>
      <c r="K93" s="34" t="n"/>
      <c r="L93" s="32" t="n"/>
      <c r="M93" s="35">
        <f>IFERROR(INDEX(Listas!$G$14:$G$21,MATCH($B93,Listas!$F$14:$F$21,0)),"")</f>
        <v/>
      </c>
      <c r="N93" s="36">
        <f>IF(OR($H93="",$L93=""),"",MIN($L93*12,MAX(0,DATEDIF($H93,Listas!$N$2,"m"))))</f>
        <v/>
      </c>
      <c r="O93" s="37">
        <f>IF(OR($K93="",$N93=""),"",MIN($K93,ROUND($K93*($M93/12)*$N93,2)))</f>
        <v/>
      </c>
      <c r="P93" s="37">
        <f>IF($K93="","",$K93-IF($O93="",0,$O93))</f>
        <v/>
      </c>
      <c r="Q93" s="31" t="n"/>
      <c r="R93" s="31" t="n"/>
      <c r="S93" s="31" t="n"/>
      <c r="T93" s="36">
        <f>IFERROR(INDEX(Listas!$B$2:$B$40,MATCH($S93,Listas!$A$2:$A$40,0)),"")</f>
        <v/>
      </c>
      <c r="U93" s="31" t="n"/>
      <c r="V93" s="33" t="n"/>
      <c r="W93" s="32" t="n"/>
      <c r="X93" s="31" t="n"/>
    </row>
    <row r="94" ht="22" customHeight="1">
      <c r="A94" s="32" t="n"/>
      <c r="B94" s="31" t="n"/>
      <c r="C94" s="31" t="n"/>
      <c r="D94" s="31" t="n"/>
      <c r="E94" s="31" t="n"/>
      <c r="F94" s="32" t="n"/>
      <c r="G94" s="31" t="n"/>
      <c r="H94" s="33" t="n"/>
      <c r="I94" s="31" t="n"/>
      <c r="J94" s="32" t="n"/>
      <c r="K94" s="34" t="n"/>
      <c r="L94" s="32" t="n"/>
      <c r="M94" s="35">
        <f>IFERROR(INDEX(Listas!$G$14:$G$21,MATCH($B94,Listas!$F$14:$F$21,0)),"")</f>
        <v/>
      </c>
      <c r="N94" s="36">
        <f>IF(OR($H94="",$L94=""),"",MIN($L94*12,MAX(0,DATEDIF($H94,Listas!$N$2,"m"))))</f>
        <v/>
      </c>
      <c r="O94" s="37">
        <f>IF(OR($K94="",$N94=""),"",MIN($K94,ROUND($K94*($M94/12)*$N94,2)))</f>
        <v/>
      </c>
      <c r="P94" s="37">
        <f>IF($K94="","",$K94-IF($O94="",0,$O94))</f>
        <v/>
      </c>
      <c r="Q94" s="31" t="n"/>
      <c r="R94" s="31" t="n"/>
      <c r="S94" s="31" t="n"/>
      <c r="T94" s="36">
        <f>IFERROR(INDEX(Listas!$B$2:$B$40,MATCH($S94,Listas!$A$2:$A$40,0)),"")</f>
        <v/>
      </c>
      <c r="U94" s="31" t="n"/>
      <c r="V94" s="33" t="n"/>
      <c r="W94" s="32" t="n"/>
      <c r="X94" s="31" t="n"/>
    </row>
    <row r="95" ht="22" customHeight="1">
      <c r="A95" s="32" t="n"/>
      <c r="B95" s="31" t="n"/>
      <c r="C95" s="31" t="n"/>
      <c r="D95" s="31" t="n"/>
      <c r="E95" s="31" t="n"/>
      <c r="F95" s="32" t="n"/>
      <c r="G95" s="31" t="n"/>
      <c r="H95" s="33" t="n"/>
      <c r="I95" s="31" t="n"/>
      <c r="J95" s="32" t="n"/>
      <c r="K95" s="34" t="n"/>
      <c r="L95" s="32" t="n"/>
      <c r="M95" s="35">
        <f>IFERROR(INDEX(Listas!$G$14:$G$21,MATCH($B95,Listas!$F$14:$F$21,0)),"")</f>
        <v/>
      </c>
      <c r="N95" s="36">
        <f>IF(OR($H95="",$L95=""),"",MIN($L95*12,MAX(0,DATEDIF($H95,Listas!$N$2,"m"))))</f>
        <v/>
      </c>
      <c r="O95" s="37">
        <f>IF(OR($K95="",$N95=""),"",MIN($K95,ROUND($K95*($M95/12)*$N95,2)))</f>
        <v/>
      </c>
      <c r="P95" s="37">
        <f>IF($K95="","",$K95-IF($O95="",0,$O95))</f>
        <v/>
      </c>
      <c r="Q95" s="31" t="n"/>
      <c r="R95" s="31" t="n"/>
      <c r="S95" s="31" t="n"/>
      <c r="T95" s="36">
        <f>IFERROR(INDEX(Listas!$B$2:$B$40,MATCH($S95,Listas!$A$2:$A$40,0)),"")</f>
        <v/>
      </c>
      <c r="U95" s="31" t="n"/>
      <c r="V95" s="33" t="n"/>
      <c r="W95" s="32" t="n"/>
      <c r="X95" s="31" t="n"/>
    </row>
    <row r="96" ht="22" customHeight="1">
      <c r="A96" s="32" t="n"/>
      <c r="B96" s="31" t="n"/>
      <c r="C96" s="31" t="n"/>
      <c r="D96" s="31" t="n"/>
      <c r="E96" s="31" t="n"/>
      <c r="F96" s="32" t="n"/>
      <c r="G96" s="31" t="n"/>
      <c r="H96" s="33" t="n"/>
      <c r="I96" s="31" t="n"/>
      <c r="J96" s="32" t="n"/>
      <c r="K96" s="34" t="n"/>
      <c r="L96" s="32" t="n"/>
      <c r="M96" s="35">
        <f>IFERROR(INDEX(Listas!$G$14:$G$21,MATCH($B96,Listas!$F$14:$F$21,0)),"")</f>
        <v/>
      </c>
      <c r="N96" s="36">
        <f>IF(OR($H96="",$L96=""),"",MIN($L96*12,MAX(0,DATEDIF($H96,Listas!$N$2,"m"))))</f>
        <v/>
      </c>
      <c r="O96" s="37">
        <f>IF(OR($K96="",$N96=""),"",MIN($K96,ROUND($K96*($M96/12)*$N96,2)))</f>
        <v/>
      </c>
      <c r="P96" s="37">
        <f>IF($K96="","",$K96-IF($O96="",0,$O96))</f>
        <v/>
      </c>
      <c r="Q96" s="31" t="n"/>
      <c r="R96" s="31" t="n"/>
      <c r="S96" s="31" t="n"/>
      <c r="T96" s="36">
        <f>IFERROR(INDEX(Listas!$B$2:$B$40,MATCH($S96,Listas!$A$2:$A$40,0)),"")</f>
        <v/>
      </c>
      <c r="U96" s="31" t="n"/>
      <c r="V96" s="33" t="n"/>
      <c r="W96" s="32" t="n"/>
      <c r="X96" s="31" t="n"/>
    </row>
    <row r="97" ht="22" customHeight="1">
      <c r="A97" s="32" t="n"/>
      <c r="B97" s="31" t="n"/>
      <c r="C97" s="31" t="n"/>
      <c r="D97" s="31" t="n"/>
      <c r="E97" s="31" t="n"/>
      <c r="F97" s="32" t="n"/>
      <c r="G97" s="31" t="n"/>
      <c r="H97" s="33" t="n"/>
      <c r="I97" s="31" t="n"/>
      <c r="J97" s="32" t="n"/>
      <c r="K97" s="34" t="n"/>
      <c r="L97" s="32" t="n"/>
      <c r="M97" s="35">
        <f>IFERROR(INDEX(Listas!$G$14:$G$21,MATCH($B97,Listas!$F$14:$F$21,0)),"")</f>
        <v/>
      </c>
      <c r="N97" s="36">
        <f>IF(OR($H97="",$L97=""),"",MIN($L97*12,MAX(0,DATEDIF($H97,Listas!$N$2,"m"))))</f>
        <v/>
      </c>
      <c r="O97" s="37">
        <f>IF(OR($K97="",$N97=""),"",MIN($K97,ROUND($K97*($M97/12)*$N97,2)))</f>
        <v/>
      </c>
      <c r="P97" s="37">
        <f>IF($K97="","",$K97-IF($O97="",0,$O97))</f>
        <v/>
      </c>
      <c r="Q97" s="31" t="n"/>
      <c r="R97" s="31" t="n"/>
      <c r="S97" s="31" t="n"/>
      <c r="T97" s="36">
        <f>IFERROR(INDEX(Listas!$B$2:$B$40,MATCH($S97,Listas!$A$2:$A$40,0)),"")</f>
        <v/>
      </c>
      <c r="U97" s="31" t="n"/>
      <c r="V97" s="33" t="n"/>
      <c r="W97" s="32" t="n"/>
      <c r="X97" s="31" t="n"/>
    </row>
    <row r="98" ht="22" customHeight="1">
      <c r="A98" s="32" t="n"/>
      <c r="B98" s="31" t="n"/>
      <c r="C98" s="31" t="n"/>
      <c r="D98" s="31" t="n"/>
      <c r="E98" s="31" t="n"/>
      <c r="F98" s="32" t="n"/>
      <c r="G98" s="31" t="n"/>
      <c r="H98" s="33" t="n"/>
      <c r="I98" s="31" t="n"/>
      <c r="J98" s="32" t="n"/>
      <c r="K98" s="34" t="n"/>
      <c r="L98" s="32" t="n"/>
      <c r="M98" s="35">
        <f>IFERROR(INDEX(Listas!$G$14:$G$21,MATCH($B98,Listas!$F$14:$F$21,0)),"")</f>
        <v/>
      </c>
      <c r="N98" s="36">
        <f>IF(OR($H98="",$L98=""),"",MIN($L98*12,MAX(0,DATEDIF($H98,Listas!$N$2,"m"))))</f>
        <v/>
      </c>
      <c r="O98" s="37">
        <f>IF(OR($K98="",$N98=""),"",MIN($K98,ROUND($K98*($M98/12)*$N98,2)))</f>
        <v/>
      </c>
      <c r="P98" s="37">
        <f>IF($K98="","",$K98-IF($O98="",0,$O98))</f>
        <v/>
      </c>
      <c r="Q98" s="31" t="n"/>
      <c r="R98" s="31" t="n"/>
      <c r="S98" s="31" t="n"/>
      <c r="T98" s="36">
        <f>IFERROR(INDEX(Listas!$B$2:$B$40,MATCH($S98,Listas!$A$2:$A$40,0)),"")</f>
        <v/>
      </c>
      <c r="U98" s="31" t="n"/>
      <c r="V98" s="33" t="n"/>
      <c r="W98" s="32" t="n"/>
      <c r="X98" s="31" t="n"/>
    </row>
    <row r="99" ht="22" customHeight="1">
      <c r="A99" s="32" t="n"/>
      <c r="B99" s="31" t="n"/>
      <c r="C99" s="31" t="n"/>
      <c r="D99" s="31" t="n"/>
      <c r="E99" s="31" t="n"/>
      <c r="F99" s="32" t="n"/>
      <c r="G99" s="31" t="n"/>
      <c r="H99" s="33" t="n"/>
      <c r="I99" s="31" t="n"/>
      <c r="J99" s="32" t="n"/>
      <c r="K99" s="34" t="n"/>
      <c r="L99" s="32" t="n"/>
      <c r="M99" s="35">
        <f>IFERROR(INDEX(Listas!$G$14:$G$21,MATCH($B99,Listas!$F$14:$F$21,0)),"")</f>
        <v/>
      </c>
      <c r="N99" s="36">
        <f>IF(OR($H99="",$L99=""),"",MIN($L99*12,MAX(0,DATEDIF($H99,Listas!$N$2,"m"))))</f>
        <v/>
      </c>
      <c r="O99" s="37">
        <f>IF(OR($K99="",$N99=""),"",MIN($K99,ROUND($K99*($M99/12)*$N99,2)))</f>
        <v/>
      </c>
      <c r="P99" s="37">
        <f>IF($K99="","",$K99-IF($O99="",0,$O99))</f>
        <v/>
      </c>
      <c r="Q99" s="31" t="n"/>
      <c r="R99" s="31" t="n"/>
      <c r="S99" s="31" t="n"/>
      <c r="T99" s="36">
        <f>IFERROR(INDEX(Listas!$B$2:$B$40,MATCH($S99,Listas!$A$2:$A$40,0)),"")</f>
        <v/>
      </c>
      <c r="U99" s="31" t="n"/>
      <c r="V99" s="33" t="n"/>
      <c r="W99" s="32" t="n"/>
      <c r="X99" s="31" t="n"/>
    </row>
    <row r="100" ht="22" customHeight="1">
      <c r="A100" s="32" t="n"/>
      <c r="B100" s="31" t="n"/>
      <c r="C100" s="31" t="n"/>
      <c r="D100" s="31" t="n"/>
      <c r="E100" s="31" t="n"/>
      <c r="F100" s="32" t="n"/>
      <c r="G100" s="31" t="n"/>
      <c r="H100" s="33" t="n"/>
      <c r="I100" s="31" t="n"/>
      <c r="J100" s="32" t="n"/>
      <c r="K100" s="34" t="n"/>
      <c r="L100" s="32" t="n"/>
      <c r="M100" s="35">
        <f>IFERROR(INDEX(Listas!$G$14:$G$21,MATCH($B100,Listas!$F$14:$F$21,0)),"")</f>
        <v/>
      </c>
      <c r="N100" s="36">
        <f>IF(OR($H100="",$L100=""),"",MIN($L100*12,MAX(0,DATEDIF($H100,Listas!$N$2,"m"))))</f>
        <v/>
      </c>
      <c r="O100" s="37">
        <f>IF(OR($K100="",$N100=""),"",MIN($K100,ROUND($K100*($M100/12)*$N100,2)))</f>
        <v/>
      </c>
      <c r="P100" s="37">
        <f>IF($K100="","",$K100-IF($O100="",0,$O100))</f>
        <v/>
      </c>
      <c r="Q100" s="31" t="n"/>
      <c r="R100" s="31" t="n"/>
      <c r="S100" s="31" t="n"/>
      <c r="T100" s="36">
        <f>IFERROR(INDEX(Listas!$B$2:$B$40,MATCH($S100,Listas!$A$2:$A$40,0)),"")</f>
        <v/>
      </c>
      <c r="U100" s="31" t="n"/>
      <c r="V100" s="33" t="n"/>
      <c r="W100" s="32" t="n"/>
      <c r="X100" s="31" t="n"/>
    </row>
    <row r="101" ht="22" customHeight="1">
      <c r="A101" s="32" t="n"/>
      <c r="B101" s="31" t="n"/>
      <c r="C101" s="31" t="n"/>
      <c r="D101" s="31" t="n"/>
      <c r="E101" s="31" t="n"/>
      <c r="F101" s="32" t="n"/>
      <c r="G101" s="31" t="n"/>
      <c r="H101" s="33" t="n"/>
      <c r="I101" s="31" t="n"/>
      <c r="J101" s="32" t="n"/>
      <c r="K101" s="34" t="n"/>
      <c r="L101" s="32" t="n"/>
      <c r="M101" s="35">
        <f>IFERROR(INDEX(Listas!$G$14:$G$21,MATCH($B101,Listas!$F$14:$F$21,0)),"")</f>
        <v/>
      </c>
      <c r="N101" s="36">
        <f>IF(OR($H101="",$L101=""),"",MIN($L101*12,MAX(0,DATEDIF($H101,Listas!$N$2,"m"))))</f>
        <v/>
      </c>
      <c r="O101" s="37">
        <f>IF(OR($K101="",$N101=""),"",MIN($K101,ROUND($K101*($M101/12)*$N101,2)))</f>
        <v/>
      </c>
      <c r="P101" s="37">
        <f>IF($K101="","",$K101-IF($O101="",0,$O101))</f>
        <v/>
      </c>
      <c r="Q101" s="31" t="n"/>
      <c r="R101" s="31" t="n"/>
      <c r="S101" s="31" t="n"/>
      <c r="T101" s="36">
        <f>IFERROR(INDEX(Listas!$B$2:$B$40,MATCH($S101,Listas!$A$2:$A$40,0)),"")</f>
        <v/>
      </c>
      <c r="U101" s="31" t="n"/>
      <c r="V101" s="33" t="n"/>
      <c r="W101" s="32" t="n"/>
      <c r="X101" s="31" t="n"/>
    </row>
    <row r="102" ht="22" customHeight="1">
      <c r="A102" s="32" t="n"/>
      <c r="B102" s="31" t="n"/>
      <c r="C102" s="31" t="n"/>
      <c r="D102" s="31" t="n"/>
      <c r="E102" s="31" t="n"/>
      <c r="F102" s="32" t="n"/>
      <c r="G102" s="31" t="n"/>
      <c r="H102" s="33" t="n"/>
      <c r="I102" s="31" t="n"/>
      <c r="J102" s="32" t="n"/>
      <c r="K102" s="34" t="n"/>
      <c r="L102" s="32" t="n"/>
      <c r="M102" s="35">
        <f>IFERROR(INDEX(Listas!$G$14:$G$21,MATCH($B102,Listas!$F$14:$F$21,0)),"")</f>
        <v/>
      </c>
      <c r="N102" s="36">
        <f>IF(OR($H102="",$L102=""),"",MIN($L102*12,MAX(0,DATEDIF($H102,Listas!$N$2,"m"))))</f>
        <v/>
      </c>
      <c r="O102" s="37">
        <f>IF(OR($K102="",$N102=""),"",MIN($K102,ROUND($K102*($M102/12)*$N102,2)))</f>
        <v/>
      </c>
      <c r="P102" s="37">
        <f>IF($K102="","",$K102-IF($O102="",0,$O102))</f>
        <v/>
      </c>
      <c r="Q102" s="31" t="n"/>
      <c r="R102" s="31" t="n"/>
      <c r="S102" s="31" t="n"/>
      <c r="T102" s="36">
        <f>IFERROR(INDEX(Listas!$B$2:$B$40,MATCH($S102,Listas!$A$2:$A$40,0)),"")</f>
        <v/>
      </c>
      <c r="U102" s="31" t="n"/>
      <c r="V102" s="33" t="n"/>
      <c r="W102" s="32" t="n"/>
      <c r="X102" s="31" t="n"/>
    </row>
    <row r="103" ht="22" customHeight="1">
      <c r="A103" s="32" t="n"/>
      <c r="B103" s="31" t="n"/>
      <c r="C103" s="31" t="n"/>
      <c r="D103" s="31" t="n"/>
      <c r="E103" s="31" t="n"/>
      <c r="F103" s="32" t="n"/>
      <c r="G103" s="31" t="n"/>
      <c r="H103" s="33" t="n"/>
      <c r="I103" s="31" t="n"/>
      <c r="J103" s="32" t="n"/>
      <c r="K103" s="34" t="n"/>
      <c r="L103" s="32" t="n"/>
      <c r="M103" s="35">
        <f>IFERROR(INDEX(Listas!$G$14:$G$21,MATCH($B103,Listas!$F$14:$F$21,0)),"")</f>
        <v/>
      </c>
      <c r="N103" s="36">
        <f>IF(OR($H103="",$L103=""),"",MIN($L103*12,MAX(0,DATEDIF($H103,Listas!$N$2,"m"))))</f>
        <v/>
      </c>
      <c r="O103" s="37">
        <f>IF(OR($K103="",$N103=""),"",MIN($K103,ROUND($K103*($M103/12)*$N103,2)))</f>
        <v/>
      </c>
      <c r="P103" s="37">
        <f>IF($K103="","",$K103-IF($O103="",0,$O103))</f>
        <v/>
      </c>
      <c r="Q103" s="31" t="n"/>
      <c r="R103" s="31" t="n"/>
      <c r="S103" s="31" t="n"/>
      <c r="T103" s="36">
        <f>IFERROR(INDEX(Listas!$B$2:$B$40,MATCH($S103,Listas!$A$2:$A$40,0)),"")</f>
        <v/>
      </c>
      <c r="U103" s="31" t="n"/>
      <c r="V103" s="33" t="n"/>
      <c r="W103" s="32" t="n"/>
      <c r="X103" s="31" t="n"/>
    </row>
    <row r="104" ht="22" customHeight="1">
      <c r="A104" s="32" t="n"/>
      <c r="B104" s="31" t="n"/>
      <c r="C104" s="31" t="n"/>
      <c r="D104" s="31" t="n"/>
      <c r="E104" s="31" t="n"/>
      <c r="F104" s="32" t="n"/>
      <c r="G104" s="31" t="n"/>
      <c r="H104" s="33" t="n"/>
      <c r="I104" s="31" t="n"/>
      <c r="J104" s="32" t="n"/>
      <c r="K104" s="34" t="n"/>
      <c r="L104" s="32" t="n"/>
      <c r="M104" s="35">
        <f>IFERROR(INDEX(Listas!$G$14:$G$21,MATCH($B104,Listas!$F$14:$F$21,0)),"")</f>
        <v/>
      </c>
      <c r="N104" s="36">
        <f>IF(OR($H104="",$L104=""),"",MIN($L104*12,MAX(0,DATEDIF($H104,Listas!$N$2,"m"))))</f>
        <v/>
      </c>
      <c r="O104" s="37">
        <f>IF(OR($K104="",$N104=""),"",MIN($K104,ROUND($K104*($M104/12)*$N104,2)))</f>
        <v/>
      </c>
      <c r="P104" s="37">
        <f>IF($K104="","",$K104-IF($O104="",0,$O104))</f>
        <v/>
      </c>
      <c r="Q104" s="31" t="n"/>
      <c r="R104" s="31" t="n"/>
      <c r="S104" s="31" t="n"/>
      <c r="T104" s="36">
        <f>IFERROR(INDEX(Listas!$B$2:$B$40,MATCH($S104,Listas!$A$2:$A$40,0)),"")</f>
        <v/>
      </c>
      <c r="U104" s="31" t="n"/>
      <c r="V104" s="33" t="n"/>
      <c r="W104" s="32" t="n"/>
      <c r="X104" s="31" t="n"/>
    </row>
    <row r="105" ht="22" customHeight="1">
      <c r="A105" s="32" t="n"/>
      <c r="B105" s="31" t="n"/>
      <c r="C105" s="31" t="n"/>
      <c r="D105" s="31" t="n"/>
      <c r="E105" s="31" t="n"/>
      <c r="F105" s="32" t="n"/>
      <c r="G105" s="31" t="n"/>
      <c r="H105" s="33" t="n"/>
      <c r="I105" s="31" t="n"/>
      <c r="J105" s="32" t="n"/>
      <c r="K105" s="34" t="n"/>
      <c r="L105" s="32" t="n"/>
      <c r="M105" s="35">
        <f>IFERROR(INDEX(Listas!$G$14:$G$21,MATCH($B105,Listas!$F$14:$F$21,0)),"")</f>
        <v/>
      </c>
      <c r="N105" s="36">
        <f>IF(OR($H105="",$L105=""),"",MIN($L105*12,MAX(0,DATEDIF($H105,Listas!$N$2,"m"))))</f>
        <v/>
      </c>
      <c r="O105" s="37">
        <f>IF(OR($K105="",$N105=""),"",MIN($K105,ROUND($K105*($M105/12)*$N105,2)))</f>
        <v/>
      </c>
      <c r="P105" s="37">
        <f>IF($K105="","",$K105-IF($O105="",0,$O105))</f>
        <v/>
      </c>
      <c r="Q105" s="31" t="n"/>
      <c r="R105" s="31" t="n"/>
      <c r="S105" s="31" t="n"/>
      <c r="T105" s="36">
        <f>IFERROR(INDEX(Listas!$B$2:$B$40,MATCH($S105,Listas!$A$2:$A$40,0)),"")</f>
        <v/>
      </c>
      <c r="U105" s="31" t="n"/>
      <c r="V105" s="33" t="n"/>
      <c r="W105" s="32" t="n"/>
      <c r="X105" s="31" t="n"/>
    </row>
    <row r="106" ht="22" customHeight="1">
      <c r="A106" s="32" t="n"/>
      <c r="B106" s="31" t="n"/>
      <c r="C106" s="31" t="n"/>
      <c r="D106" s="31" t="n"/>
      <c r="E106" s="31" t="n"/>
      <c r="F106" s="32" t="n"/>
      <c r="G106" s="31" t="n"/>
      <c r="H106" s="33" t="n"/>
      <c r="I106" s="31" t="n"/>
      <c r="J106" s="32" t="n"/>
      <c r="K106" s="34" t="n"/>
      <c r="L106" s="32" t="n"/>
      <c r="M106" s="35">
        <f>IFERROR(INDEX(Listas!$G$14:$G$21,MATCH($B106,Listas!$F$14:$F$21,0)),"")</f>
        <v/>
      </c>
      <c r="N106" s="36">
        <f>IF(OR($H106="",$L106=""),"",MIN($L106*12,MAX(0,DATEDIF($H106,Listas!$N$2,"m"))))</f>
        <v/>
      </c>
      <c r="O106" s="37">
        <f>IF(OR($K106="",$N106=""),"",MIN($K106,ROUND($K106*($M106/12)*$N106,2)))</f>
        <v/>
      </c>
      <c r="P106" s="37">
        <f>IF($K106="","",$K106-IF($O106="",0,$O106))</f>
        <v/>
      </c>
      <c r="Q106" s="31" t="n"/>
      <c r="R106" s="31" t="n"/>
      <c r="S106" s="31" t="n"/>
      <c r="T106" s="36">
        <f>IFERROR(INDEX(Listas!$B$2:$B$40,MATCH($S106,Listas!$A$2:$A$40,0)),"")</f>
        <v/>
      </c>
      <c r="U106" s="31" t="n"/>
      <c r="V106" s="33" t="n"/>
      <c r="W106" s="32" t="n"/>
      <c r="X106" s="31" t="n"/>
    </row>
    <row r="107" ht="22" customHeight="1">
      <c r="A107" s="32" t="n"/>
      <c r="B107" s="31" t="n"/>
      <c r="C107" s="31" t="n"/>
      <c r="D107" s="31" t="n"/>
      <c r="E107" s="31" t="n"/>
      <c r="F107" s="32" t="n"/>
      <c r="G107" s="31" t="n"/>
      <c r="H107" s="33" t="n"/>
      <c r="I107" s="31" t="n"/>
      <c r="J107" s="32" t="n"/>
      <c r="K107" s="34" t="n"/>
      <c r="L107" s="32" t="n"/>
      <c r="M107" s="35">
        <f>IFERROR(INDEX(Listas!$G$14:$G$21,MATCH($B107,Listas!$F$14:$F$21,0)),"")</f>
        <v/>
      </c>
      <c r="N107" s="36">
        <f>IF(OR($H107="",$L107=""),"",MIN($L107*12,MAX(0,DATEDIF($H107,Listas!$N$2,"m"))))</f>
        <v/>
      </c>
      <c r="O107" s="37">
        <f>IF(OR($K107="",$N107=""),"",MIN($K107,ROUND($K107*($M107/12)*$N107,2)))</f>
        <v/>
      </c>
      <c r="P107" s="37">
        <f>IF($K107="","",$K107-IF($O107="",0,$O107))</f>
        <v/>
      </c>
      <c r="Q107" s="31" t="n"/>
      <c r="R107" s="31" t="n"/>
      <c r="S107" s="31" t="n"/>
      <c r="T107" s="36">
        <f>IFERROR(INDEX(Listas!$B$2:$B$40,MATCH($S107,Listas!$A$2:$A$40,0)),"")</f>
        <v/>
      </c>
      <c r="U107" s="31" t="n"/>
      <c r="V107" s="33" t="n"/>
      <c r="W107" s="32" t="n"/>
      <c r="X107" s="31" t="n"/>
    </row>
    <row r="108" ht="22" customHeight="1">
      <c r="A108" s="32" t="n"/>
      <c r="B108" s="31" t="n"/>
      <c r="C108" s="31" t="n"/>
      <c r="D108" s="31" t="n"/>
      <c r="E108" s="31" t="n"/>
      <c r="F108" s="32" t="n"/>
      <c r="G108" s="31" t="n"/>
      <c r="H108" s="33" t="n"/>
      <c r="I108" s="31" t="n"/>
      <c r="J108" s="32" t="n"/>
      <c r="K108" s="34" t="n"/>
      <c r="L108" s="32" t="n"/>
      <c r="M108" s="35">
        <f>IFERROR(INDEX(Listas!$G$14:$G$21,MATCH($B108,Listas!$F$14:$F$21,0)),"")</f>
        <v/>
      </c>
      <c r="N108" s="36">
        <f>IF(OR($H108="",$L108=""),"",MIN($L108*12,MAX(0,DATEDIF($H108,Listas!$N$2,"m"))))</f>
        <v/>
      </c>
      <c r="O108" s="37">
        <f>IF(OR($K108="",$N108=""),"",MIN($K108,ROUND($K108*($M108/12)*$N108,2)))</f>
        <v/>
      </c>
      <c r="P108" s="37">
        <f>IF($K108="","",$K108-IF($O108="",0,$O108))</f>
        <v/>
      </c>
      <c r="Q108" s="31" t="n"/>
      <c r="R108" s="31" t="n"/>
      <c r="S108" s="31" t="n"/>
      <c r="T108" s="36">
        <f>IFERROR(INDEX(Listas!$B$2:$B$40,MATCH($S108,Listas!$A$2:$A$40,0)),"")</f>
        <v/>
      </c>
      <c r="U108" s="31" t="n"/>
      <c r="V108" s="33" t="n"/>
      <c r="W108" s="32" t="n"/>
      <c r="X108" s="31" t="n"/>
    </row>
    <row r="109" ht="22" customHeight="1">
      <c r="A109" s="32" t="n"/>
      <c r="B109" s="31" t="n"/>
      <c r="C109" s="31" t="n"/>
      <c r="D109" s="31" t="n"/>
      <c r="E109" s="31" t="n"/>
      <c r="F109" s="32" t="n"/>
      <c r="G109" s="31" t="n"/>
      <c r="H109" s="33" t="n"/>
      <c r="I109" s="31" t="n"/>
      <c r="J109" s="32" t="n"/>
      <c r="K109" s="34" t="n"/>
      <c r="L109" s="32" t="n"/>
      <c r="M109" s="35">
        <f>IFERROR(INDEX(Listas!$G$14:$G$21,MATCH($B109,Listas!$F$14:$F$21,0)),"")</f>
        <v/>
      </c>
      <c r="N109" s="36">
        <f>IF(OR($H109="",$L109=""),"",MIN($L109*12,MAX(0,DATEDIF($H109,Listas!$N$2,"m"))))</f>
        <v/>
      </c>
      <c r="O109" s="37">
        <f>IF(OR($K109="",$N109=""),"",MIN($K109,ROUND($K109*($M109/12)*$N109,2)))</f>
        <v/>
      </c>
      <c r="P109" s="37">
        <f>IF($K109="","",$K109-IF($O109="",0,$O109))</f>
        <v/>
      </c>
      <c r="Q109" s="31" t="n"/>
      <c r="R109" s="31" t="n"/>
      <c r="S109" s="31" t="n"/>
      <c r="T109" s="36">
        <f>IFERROR(INDEX(Listas!$B$2:$B$40,MATCH($S109,Listas!$A$2:$A$40,0)),"")</f>
        <v/>
      </c>
      <c r="U109" s="31" t="n"/>
      <c r="V109" s="33" t="n"/>
      <c r="W109" s="32" t="n"/>
      <c r="X109" s="31" t="n"/>
    </row>
    <row r="110" ht="22" customHeight="1">
      <c r="A110" s="32" t="n"/>
      <c r="B110" s="31" t="n"/>
      <c r="C110" s="31" t="n"/>
      <c r="D110" s="31" t="n"/>
      <c r="E110" s="31" t="n"/>
      <c r="F110" s="32" t="n"/>
      <c r="G110" s="31" t="n"/>
      <c r="H110" s="33" t="n"/>
      <c r="I110" s="31" t="n"/>
      <c r="J110" s="32" t="n"/>
      <c r="K110" s="34" t="n"/>
      <c r="L110" s="32" t="n"/>
      <c r="M110" s="35">
        <f>IFERROR(INDEX(Listas!$G$14:$G$21,MATCH($B110,Listas!$F$14:$F$21,0)),"")</f>
        <v/>
      </c>
      <c r="N110" s="36">
        <f>IF(OR($H110="",$L110=""),"",MIN($L110*12,MAX(0,DATEDIF($H110,Listas!$N$2,"m"))))</f>
        <v/>
      </c>
      <c r="O110" s="37">
        <f>IF(OR($K110="",$N110=""),"",MIN($K110,ROUND($K110*($M110/12)*$N110,2)))</f>
        <v/>
      </c>
      <c r="P110" s="37">
        <f>IF($K110="","",$K110-IF($O110="",0,$O110))</f>
        <v/>
      </c>
      <c r="Q110" s="31" t="n"/>
      <c r="R110" s="31" t="n"/>
      <c r="S110" s="31" t="n"/>
      <c r="T110" s="36">
        <f>IFERROR(INDEX(Listas!$B$2:$B$40,MATCH($S110,Listas!$A$2:$A$40,0)),"")</f>
        <v/>
      </c>
      <c r="U110" s="31" t="n"/>
      <c r="V110" s="33" t="n"/>
      <c r="W110" s="32" t="n"/>
      <c r="X110" s="31" t="n"/>
    </row>
    <row r="111" ht="22" customHeight="1">
      <c r="A111" s="32" t="n"/>
      <c r="B111" s="31" t="n"/>
      <c r="C111" s="31" t="n"/>
      <c r="D111" s="31" t="n"/>
      <c r="E111" s="31" t="n"/>
      <c r="F111" s="32" t="n"/>
      <c r="G111" s="31" t="n"/>
      <c r="H111" s="33" t="n"/>
      <c r="I111" s="31" t="n"/>
      <c r="J111" s="32" t="n"/>
      <c r="K111" s="34" t="n"/>
      <c r="L111" s="32" t="n"/>
      <c r="M111" s="35">
        <f>IFERROR(INDEX(Listas!$G$14:$G$21,MATCH($B111,Listas!$F$14:$F$21,0)),"")</f>
        <v/>
      </c>
      <c r="N111" s="36">
        <f>IF(OR($H111="",$L111=""),"",MIN($L111*12,MAX(0,DATEDIF($H111,Listas!$N$2,"m"))))</f>
        <v/>
      </c>
      <c r="O111" s="37">
        <f>IF(OR($K111="",$N111=""),"",MIN($K111,ROUND($K111*($M111/12)*$N111,2)))</f>
        <v/>
      </c>
      <c r="P111" s="37">
        <f>IF($K111="","",$K111-IF($O111="",0,$O111))</f>
        <v/>
      </c>
      <c r="Q111" s="31" t="n"/>
      <c r="R111" s="31" t="n"/>
      <c r="S111" s="31" t="n"/>
      <c r="T111" s="36">
        <f>IFERROR(INDEX(Listas!$B$2:$B$40,MATCH($S111,Listas!$A$2:$A$40,0)),"")</f>
        <v/>
      </c>
      <c r="U111" s="31" t="n"/>
      <c r="V111" s="33" t="n"/>
      <c r="W111" s="32" t="n"/>
      <c r="X111" s="31" t="n"/>
    </row>
    <row r="112" ht="22" customHeight="1">
      <c r="A112" s="32" t="n"/>
      <c r="B112" s="31" t="n"/>
      <c r="C112" s="31" t="n"/>
      <c r="D112" s="31" t="n"/>
      <c r="E112" s="31" t="n"/>
      <c r="F112" s="32" t="n"/>
      <c r="G112" s="31" t="n"/>
      <c r="H112" s="33" t="n"/>
      <c r="I112" s="31" t="n"/>
      <c r="J112" s="32" t="n"/>
      <c r="K112" s="34" t="n"/>
      <c r="L112" s="32" t="n"/>
      <c r="M112" s="35">
        <f>IFERROR(INDEX(Listas!$G$14:$G$21,MATCH($B112,Listas!$F$14:$F$21,0)),"")</f>
        <v/>
      </c>
      <c r="N112" s="36">
        <f>IF(OR($H112="",$L112=""),"",MIN($L112*12,MAX(0,DATEDIF($H112,Listas!$N$2,"m"))))</f>
        <v/>
      </c>
      <c r="O112" s="37">
        <f>IF(OR($K112="",$N112=""),"",MIN($K112,ROUND($K112*($M112/12)*$N112,2)))</f>
        <v/>
      </c>
      <c r="P112" s="37">
        <f>IF($K112="","",$K112-IF($O112="",0,$O112))</f>
        <v/>
      </c>
      <c r="Q112" s="31" t="n"/>
      <c r="R112" s="31" t="n"/>
      <c r="S112" s="31" t="n"/>
      <c r="T112" s="36">
        <f>IFERROR(INDEX(Listas!$B$2:$B$40,MATCH($S112,Listas!$A$2:$A$40,0)),"")</f>
        <v/>
      </c>
      <c r="U112" s="31" t="n"/>
      <c r="V112" s="33" t="n"/>
      <c r="W112" s="32" t="n"/>
      <c r="X112" s="31" t="n"/>
    </row>
    <row r="113" ht="22" customHeight="1">
      <c r="A113" s="32" t="n"/>
      <c r="B113" s="31" t="n"/>
      <c r="C113" s="31" t="n"/>
      <c r="D113" s="31" t="n"/>
      <c r="E113" s="31" t="n"/>
      <c r="F113" s="32" t="n"/>
      <c r="G113" s="31" t="n"/>
      <c r="H113" s="33" t="n"/>
      <c r="I113" s="31" t="n"/>
      <c r="J113" s="32" t="n"/>
      <c r="K113" s="34" t="n"/>
      <c r="L113" s="32" t="n"/>
      <c r="M113" s="35">
        <f>IFERROR(INDEX(Listas!$G$14:$G$21,MATCH($B113,Listas!$F$14:$F$21,0)),"")</f>
        <v/>
      </c>
      <c r="N113" s="36">
        <f>IF(OR($H113="",$L113=""),"",MIN($L113*12,MAX(0,DATEDIF($H113,Listas!$N$2,"m"))))</f>
        <v/>
      </c>
      <c r="O113" s="37">
        <f>IF(OR($K113="",$N113=""),"",MIN($K113,ROUND($K113*($M113/12)*$N113,2)))</f>
        <v/>
      </c>
      <c r="P113" s="37">
        <f>IF($K113="","",$K113-IF($O113="",0,$O113))</f>
        <v/>
      </c>
      <c r="Q113" s="31" t="n"/>
      <c r="R113" s="31" t="n"/>
      <c r="S113" s="31" t="n"/>
      <c r="T113" s="36">
        <f>IFERROR(INDEX(Listas!$B$2:$B$40,MATCH($S113,Listas!$A$2:$A$40,0)),"")</f>
        <v/>
      </c>
      <c r="U113" s="31" t="n"/>
      <c r="V113" s="33" t="n"/>
      <c r="W113" s="32" t="n"/>
      <c r="X113" s="31" t="n"/>
    </row>
    <row r="114" ht="22" customHeight="1">
      <c r="A114" s="32" t="n"/>
      <c r="B114" s="31" t="n"/>
      <c r="C114" s="31" t="n"/>
      <c r="D114" s="31" t="n"/>
      <c r="E114" s="31" t="n"/>
      <c r="F114" s="32" t="n"/>
      <c r="G114" s="31" t="n"/>
      <c r="H114" s="33" t="n"/>
      <c r="I114" s="31" t="n"/>
      <c r="J114" s="32" t="n"/>
      <c r="K114" s="34" t="n"/>
      <c r="L114" s="32" t="n"/>
      <c r="M114" s="35">
        <f>IFERROR(INDEX(Listas!$G$14:$G$21,MATCH($B114,Listas!$F$14:$F$21,0)),"")</f>
        <v/>
      </c>
      <c r="N114" s="36">
        <f>IF(OR($H114="",$L114=""),"",MIN($L114*12,MAX(0,DATEDIF($H114,Listas!$N$2,"m"))))</f>
        <v/>
      </c>
      <c r="O114" s="37">
        <f>IF(OR($K114="",$N114=""),"",MIN($K114,ROUND($K114*($M114/12)*$N114,2)))</f>
        <v/>
      </c>
      <c r="P114" s="37">
        <f>IF($K114="","",$K114-IF($O114="",0,$O114))</f>
        <v/>
      </c>
      <c r="Q114" s="31" t="n"/>
      <c r="R114" s="31" t="n"/>
      <c r="S114" s="31" t="n"/>
      <c r="T114" s="36">
        <f>IFERROR(INDEX(Listas!$B$2:$B$40,MATCH($S114,Listas!$A$2:$A$40,0)),"")</f>
        <v/>
      </c>
      <c r="U114" s="31" t="n"/>
      <c r="V114" s="33" t="n"/>
      <c r="W114" s="32" t="n"/>
      <c r="X114" s="31" t="n"/>
    </row>
    <row r="115" ht="22" customHeight="1">
      <c r="A115" s="32" t="n"/>
      <c r="B115" s="31" t="n"/>
      <c r="C115" s="31" t="n"/>
      <c r="D115" s="31" t="n"/>
      <c r="E115" s="31" t="n"/>
      <c r="F115" s="32" t="n"/>
      <c r="G115" s="31" t="n"/>
      <c r="H115" s="33" t="n"/>
      <c r="I115" s="31" t="n"/>
      <c r="J115" s="32" t="n"/>
      <c r="K115" s="34" t="n"/>
      <c r="L115" s="32" t="n"/>
      <c r="M115" s="35">
        <f>IFERROR(INDEX(Listas!$G$14:$G$21,MATCH($B115,Listas!$F$14:$F$21,0)),"")</f>
        <v/>
      </c>
      <c r="N115" s="36">
        <f>IF(OR($H115="",$L115=""),"",MIN($L115*12,MAX(0,DATEDIF($H115,Listas!$N$2,"m"))))</f>
        <v/>
      </c>
      <c r="O115" s="37">
        <f>IF(OR($K115="",$N115=""),"",MIN($K115,ROUND($K115*($M115/12)*$N115,2)))</f>
        <v/>
      </c>
      <c r="P115" s="37">
        <f>IF($K115="","",$K115-IF($O115="",0,$O115))</f>
        <v/>
      </c>
      <c r="Q115" s="31" t="n"/>
      <c r="R115" s="31" t="n"/>
      <c r="S115" s="31" t="n"/>
      <c r="T115" s="36">
        <f>IFERROR(INDEX(Listas!$B$2:$B$40,MATCH($S115,Listas!$A$2:$A$40,0)),"")</f>
        <v/>
      </c>
      <c r="U115" s="31" t="n"/>
      <c r="V115" s="33" t="n"/>
      <c r="W115" s="32" t="n"/>
      <c r="X115" s="31" t="n"/>
    </row>
    <row r="116" ht="22" customHeight="1">
      <c r="A116" s="32" t="n"/>
      <c r="B116" s="31" t="n"/>
      <c r="C116" s="31" t="n"/>
      <c r="D116" s="31" t="n"/>
      <c r="E116" s="31" t="n"/>
      <c r="F116" s="32" t="n"/>
      <c r="G116" s="31" t="n"/>
      <c r="H116" s="33" t="n"/>
      <c r="I116" s="31" t="n"/>
      <c r="J116" s="32" t="n"/>
      <c r="K116" s="34" t="n"/>
      <c r="L116" s="32" t="n"/>
      <c r="M116" s="35">
        <f>IFERROR(INDEX(Listas!$G$14:$G$21,MATCH($B116,Listas!$F$14:$F$21,0)),"")</f>
        <v/>
      </c>
      <c r="N116" s="36">
        <f>IF(OR($H116="",$L116=""),"",MIN($L116*12,MAX(0,DATEDIF($H116,Listas!$N$2,"m"))))</f>
        <v/>
      </c>
      <c r="O116" s="37">
        <f>IF(OR($K116="",$N116=""),"",MIN($K116,ROUND($K116*($M116/12)*$N116,2)))</f>
        <v/>
      </c>
      <c r="P116" s="37">
        <f>IF($K116="","",$K116-IF($O116="",0,$O116))</f>
        <v/>
      </c>
      <c r="Q116" s="31" t="n"/>
      <c r="R116" s="31" t="n"/>
      <c r="S116" s="31" t="n"/>
      <c r="T116" s="36">
        <f>IFERROR(INDEX(Listas!$B$2:$B$40,MATCH($S116,Listas!$A$2:$A$40,0)),"")</f>
        <v/>
      </c>
      <c r="U116" s="31" t="n"/>
      <c r="V116" s="33" t="n"/>
      <c r="W116" s="32" t="n"/>
      <c r="X116" s="31" t="n"/>
    </row>
    <row r="117" ht="22" customHeight="1">
      <c r="A117" s="32" t="n"/>
      <c r="B117" s="31" t="n"/>
      <c r="C117" s="31" t="n"/>
      <c r="D117" s="31" t="n"/>
      <c r="E117" s="31" t="n"/>
      <c r="F117" s="32" t="n"/>
      <c r="G117" s="31" t="n"/>
      <c r="H117" s="33" t="n"/>
      <c r="I117" s="31" t="n"/>
      <c r="J117" s="32" t="n"/>
      <c r="K117" s="34" t="n"/>
      <c r="L117" s="32" t="n"/>
      <c r="M117" s="35">
        <f>IFERROR(INDEX(Listas!$G$14:$G$21,MATCH($B117,Listas!$F$14:$F$21,0)),"")</f>
        <v/>
      </c>
      <c r="N117" s="36">
        <f>IF(OR($H117="",$L117=""),"",MIN($L117*12,MAX(0,DATEDIF($H117,Listas!$N$2,"m"))))</f>
        <v/>
      </c>
      <c r="O117" s="37">
        <f>IF(OR($K117="",$N117=""),"",MIN($K117,ROUND($K117*($M117/12)*$N117,2)))</f>
        <v/>
      </c>
      <c r="P117" s="37">
        <f>IF($K117="","",$K117-IF($O117="",0,$O117))</f>
        <v/>
      </c>
      <c r="Q117" s="31" t="n"/>
      <c r="R117" s="31" t="n"/>
      <c r="S117" s="31" t="n"/>
      <c r="T117" s="36">
        <f>IFERROR(INDEX(Listas!$B$2:$B$40,MATCH($S117,Listas!$A$2:$A$40,0)),"")</f>
        <v/>
      </c>
      <c r="U117" s="31" t="n"/>
      <c r="V117" s="33" t="n"/>
      <c r="W117" s="32" t="n"/>
      <c r="X117" s="31" t="n"/>
    </row>
    <row r="118" ht="22" customHeight="1">
      <c r="A118" s="32" t="n"/>
      <c r="B118" s="31" t="n"/>
      <c r="C118" s="31" t="n"/>
      <c r="D118" s="31" t="n"/>
      <c r="E118" s="31" t="n"/>
      <c r="F118" s="32" t="n"/>
      <c r="G118" s="31" t="n"/>
      <c r="H118" s="33" t="n"/>
      <c r="I118" s="31" t="n"/>
      <c r="J118" s="32" t="n"/>
      <c r="K118" s="34" t="n"/>
      <c r="L118" s="32" t="n"/>
      <c r="M118" s="35">
        <f>IFERROR(INDEX(Listas!$G$14:$G$21,MATCH($B118,Listas!$F$14:$F$21,0)),"")</f>
        <v/>
      </c>
      <c r="N118" s="36">
        <f>IF(OR($H118="",$L118=""),"",MIN($L118*12,MAX(0,DATEDIF($H118,Listas!$N$2,"m"))))</f>
        <v/>
      </c>
      <c r="O118" s="37">
        <f>IF(OR($K118="",$N118=""),"",MIN($K118,ROUND($K118*($M118/12)*$N118,2)))</f>
        <v/>
      </c>
      <c r="P118" s="37">
        <f>IF($K118="","",$K118-IF($O118="",0,$O118))</f>
        <v/>
      </c>
      <c r="Q118" s="31" t="n"/>
      <c r="R118" s="31" t="n"/>
      <c r="S118" s="31" t="n"/>
      <c r="T118" s="36">
        <f>IFERROR(INDEX(Listas!$B$2:$B$40,MATCH($S118,Listas!$A$2:$A$40,0)),"")</f>
        <v/>
      </c>
      <c r="U118" s="31" t="n"/>
      <c r="V118" s="33" t="n"/>
      <c r="W118" s="32" t="n"/>
      <c r="X118" s="31" t="n"/>
    </row>
    <row r="119" ht="22" customHeight="1">
      <c r="A119" s="32" t="n"/>
      <c r="B119" s="31" t="n"/>
      <c r="C119" s="31" t="n"/>
      <c r="D119" s="31" t="n"/>
      <c r="E119" s="31" t="n"/>
      <c r="F119" s="32" t="n"/>
      <c r="G119" s="31" t="n"/>
      <c r="H119" s="33" t="n"/>
      <c r="I119" s="31" t="n"/>
      <c r="J119" s="32" t="n"/>
      <c r="K119" s="34" t="n"/>
      <c r="L119" s="32" t="n"/>
      <c r="M119" s="35">
        <f>IFERROR(INDEX(Listas!$G$14:$G$21,MATCH($B119,Listas!$F$14:$F$21,0)),"")</f>
        <v/>
      </c>
      <c r="N119" s="36">
        <f>IF(OR($H119="",$L119=""),"",MIN($L119*12,MAX(0,DATEDIF($H119,Listas!$N$2,"m"))))</f>
        <v/>
      </c>
      <c r="O119" s="37">
        <f>IF(OR($K119="",$N119=""),"",MIN($K119,ROUND($K119*($M119/12)*$N119,2)))</f>
        <v/>
      </c>
      <c r="P119" s="37">
        <f>IF($K119="","",$K119-IF($O119="",0,$O119))</f>
        <v/>
      </c>
      <c r="Q119" s="31" t="n"/>
      <c r="R119" s="31" t="n"/>
      <c r="S119" s="31" t="n"/>
      <c r="T119" s="36">
        <f>IFERROR(INDEX(Listas!$B$2:$B$40,MATCH($S119,Listas!$A$2:$A$40,0)),"")</f>
        <v/>
      </c>
      <c r="U119" s="31" t="n"/>
      <c r="V119" s="33" t="n"/>
      <c r="W119" s="32" t="n"/>
      <c r="X119" s="31" t="n"/>
    </row>
    <row r="120" ht="22" customHeight="1">
      <c r="A120" s="32" t="n"/>
      <c r="B120" s="31" t="n"/>
      <c r="C120" s="31" t="n"/>
      <c r="D120" s="31" t="n"/>
      <c r="E120" s="31" t="n"/>
      <c r="F120" s="32" t="n"/>
      <c r="G120" s="31" t="n"/>
      <c r="H120" s="33" t="n"/>
      <c r="I120" s="31" t="n"/>
      <c r="J120" s="32" t="n"/>
      <c r="K120" s="34" t="n"/>
      <c r="L120" s="32" t="n"/>
      <c r="M120" s="35">
        <f>IFERROR(INDEX(Listas!$G$14:$G$21,MATCH($B120,Listas!$F$14:$F$21,0)),"")</f>
        <v/>
      </c>
      <c r="N120" s="36">
        <f>IF(OR($H120="",$L120=""),"",MIN($L120*12,MAX(0,DATEDIF($H120,Listas!$N$2,"m"))))</f>
        <v/>
      </c>
      <c r="O120" s="37">
        <f>IF(OR($K120="",$N120=""),"",MIN($K120,ROUND($K120*($M120/12)*$N120,2)))</f>
        <v/>
      </c>
      <c r="P120" s="37">
        <f>IF($K120="","",$K120-IF($O120="",0,$O120))</f>
        <v/>
      </c>
      <c r="Q120" s="31" t="n"/>
      <c r="R120" s="31" t="n"/>
      <c r="S120" s="31" t="n"/>
      <c r="T120" s="36">
        <f>IFERROR(INDEX(Listas!$B$2:$B$40,MATCH($S120,Listas!$A$2:$A$40,0)),"")</f>
        <v/>
      </c>
      <c r="U120" s="31" t="n"/>
      <c r="V120" s="33" t="n"/>
      <c r="W120" s="32" t="n"/>
      <c r="X120" s="31" t="n"/>
    </row>
    <row r="121" ht="22" customHeight="1">
      <c r="A121" s="32" t="n"/>
      <c r="B121" s="31" t="n"/>
      <c r="C121" s="31" t="n"/>
      <c r="D121" s="31" t="n"/>
      <c r="E121" s="31" t="n"/>
      <c r="F121" s="32" t="n"/>
      <c r="G121" s="31" t="n"/>
      <c r="H121" s="33" t="n"/>
      <c r="I121" s="31" t="n"/>
      <c r="J121" s="32" t="n"/>
      <c r="K121" s="34" t="n"/>
      <c r="L121" s="32" t="n"/>
      <c r="M121" s="35">
        <f>IFERROR(INDEX(Listas!$G$14:$G$21,MATCH($B121,Listas!$F$14:$F$21,0)),"")</f>
        <v/>
      </c>
      <c r="N121" s="36">
        <f>IF(OR($H121="",$L121=""),"",MIN($L121*12,MAX(0,DATEDIF($H121,Listas!$N$2,"m"))))</f>
        <v/>
      </c>
      <c r="O121" s="37">
        <f>IF(OR($K121="",$N121=""),"",MIN($K121,ROUND($K121*($M121/12)*$N121,2)))</f>
        <v/>
      </c>
      <c r="P121" s="37">
        <f>IF($K121="","",$K121-IF($O121="",0,$O121))</f>
        <v/>
      </c>
      <c r="Q121" s="31" t="n"/>
      <c r="R121" s="31" t="n"/>
      <c r="S121" s="31" t="n"/>
      <c r="T121" s="36">
        <f>IFERROR(INDEX(Listas!$B$2:$B$40,MATCH($S121,Listas!$A$2:$A$40,0)),"")</f>
        <v/>
      </c>
      <c r="U121" s="31" t="n"/>
      <c r="V121" s="33" t="n"/>
      <c r="W121" s="32" t="n"/>
      <c r="X121" s="31" t="n"/>
    </row>
    <row r="122" ht="22" customHeight="1">
      <c r="A122" s="32" t="n"/>
      <c r="B122" s="31" t="n"/>
      <c r="C122" s="31" t="n"/>
      <c r="D122" s="31" t="n"/>
      <c r="E122" s="31" t="n"/>
      <c r="F122" s="32" t="n"/>
      <c r="G122" s="31" t="n"/>
      <c r="H122" s="33" t="n"/>
      <c r="I122" s="31" t="n"/>
      <c r="J122" s="32" t="n"/>
      <c r="K122" s="34" t="n"/>
      <c r="L122" s="32" t="n"/>
      <c r="M122" s="35">
        <f>IFERROR(INDEX(Listas!$G$14:$G$21,MATCH($B122,Listas!$F$14:$F$21,0)),"")</f>
        <v/>
      </c>
      <c r="N122" s="36">
        <f>IF(OR($H122="",$L122=""),"",MIN($L122*12,MAX(0,DATEDIF($H122,Listas!$N$2,"m"))))</f>
        <v/>
      </c>
      <c r="O122" s="37">
        <f>IF(OR($K122="",$N122=""),"",MIN($K122,ROUND($K122*($M122/12)*$N122,2)))</f>
        <v/>
      </c>
      <c r="P122" s="37">
        <f>IF($K122="","",$K122-IF($O122="",0,$O122))</f>
        <v/>
      </c>
      <c r="Q122" s="31" t="n"/>
      <c r="R122" s="31" t="n"/>
      <c r="S122" s="31" t="n"/>
      <c r="T122" s="36">
        <f>IFERROR(INDEX(Listas!$B$2:$B$40,MATCH($S122,Listas!$A$2:$A$40,0)),"")</f>
        <v/>
      </c>
      <c r="U122" s="31" t="n"/>
      <c r="V122" s="33" t="n"/>
      <c r="W122" s="32" t="n"/>
      <c r="X122" s="31" t="n"/>
    </row>
    <row r="123" ht="22" customHeight="1">
      <c r="A123" s="32" t="n"/>
      <c r="B123" s="31" t="n"/>
      <c r="C123" s="31" t="n"/>
      <c r="D123" s="31" t="n"/>
      <c r="E123" s="31" t="n"/>
      <c r="F123" s="32" t="n"/>
      <c r="G123" s="31" t="n"/>
      <c r="H123" s="33" t="n"/>
      <c r="I123" s="31" t="n"/>
      <c r="J123" s="32" t="n"/>
      <c r="K123" s="34" t="n"/>
      <c r="L123" s="32" t="n"/>
      <c r="M123" s="35">
        <f>IFERROR(INDEX(Listas!$G$14:$G$21,MATCH($B123,Listas!$F$14:$F$21,0)),"")</f>
        <v/>
      </c>
      <c r="N123" s="36">
        <f>IF(OR($H123="",$L123=""),"",MIN($L123*12,MAX(0,DATEDIF($H123,Listas!$N$2,"m"))))</f>
        <v/>
      </c>
      <c r="O123" s="37">
        <f>IF(OR($K123="",$N123=""),"",MIN($K123,ROUND($K123*($M123/12)*$N123,2)))</f>
        <v/>
      </c>
      <c r="P123" s="37">
        <f>IF($K123="","",$K123-IF($O123="",0,$O123))</f>
        <v/>
      </c>
      <c r="Q123" s="31" t="n"/>
      <c r="R123" s="31" t="n"/>
      <c r="S123" s="31" t="n"/>
      <c r="T123" s="36">
        <f>IFERROR(INDEX(Listas!$B$2:$B$40,MATCH($S123,Listas!$A$2:$A$40,0)),"")</f>
        <v/>
      </c>
      <c r="U123" s="31" t="n"/>
      <c r="V123" s="33" t="n"/>
      <c r="W123" s="32" t="n"/>
      <c r="X123" s="31" t="n"/>
    </row>
    <row r="124" ht="22" customHeight="1">
      <c r="A124" s="32" t="n"/>
      <c r="B124" s="31" t="n"/>
      <c r="C124" s="31" t="n"/>
      <c r="D124" s="31" t="n"/>
      <c r="E124" s="31" t="n"/>
      <c r="F124" s="32" t="n"/>
      <c r="G124" s="31" t="n"/>
      <c r="H124" s="33" t="n"/>
      <c r="I124" s="31" t="n"/>
      <c r="J124" s="32" t="n"/>
      <c r="K124" s="34" t="n"/>
      <c r="L124" s="32" t="n"/>
      <c r="M124" s="35">
        <f>IFERROR(INDEX(Listas!$G$14:$G$21,MATCH($B124,Listas!$F$14:$F$21,0)),"")</f>
        <v/>
      </c>
      <c r="N124" s="36">
        <f>IF(OR($H124="",$L124=""),"",MIN($L124*12,MAX(0,DATEDIF($H124,Listas!$N$2,"m"))))</f>
        <v/>
      </c>
      <c r="O124" s="37">
        <f>IF(OR($K124="",$N124=""),"",MIN($K124,ROUND($K124*($M124/12)*$N124,2)))</f>
        <v/>
      </c>
      <c r="P124" s="37">
        <f>IF($K124="","",$K124-IF($O124="",0,$O124))</f>
        <v/>
      </c>
      <c r="Q124" s="31" t="n"/>
      <c r="R124" s="31" t="n"/>
      <c r="S124" s="31" t="n"/>
      <c r="T124" s="36">
        <f>IFERROR(INDEX(Listas!$B$2:$B$40,MATCH($S124,Listas!$A$2:$A$40,0)),"")</f>
        <v/>
      </c>
      <c r="U124" s="31" t="n"/>
      <c r="V124" s="33" t="n"/>
      <c r="W124" s="32" t="n"/>
      <c r="X124" s="31" t="n"/>
    </row>
    <row r="125" ht="22" customHeight="1">
      <c r="A125" s="32" t="n"/>
      <c r="B125" s="31" t="n"/>
      <c r="C125" s="31" t="n"/>
      <c r="D125" s="31" t="n"/>
      <c r="E125" s="31" t="n"/>
      <c r="F125" s="32" t="n"/>
      <c r="G125" s="31" t="n"/>
      <c r="H125" s="33" t="n"/>
      <c r="I125" s="31" t="n"/>
      <c r="J125" s="32" t="n"/>
      <c r="K125" s="34" t="n"/>
      <c r="L125" s="32" t="n"/>
      <c r="M125" s="35">
        <f>IFERROR(INDEX(Listas!$G$14:$G$21,MATCH($B125,Listas!$F$14:$F$21,0)),"")</f>
        <v/>
      </c>
      <c r="N125" s="36">
        <f>IF(OR($H125="",$L125=""),"",MIN($L125*12,MAX(0,DATEDIF($H125,Listas!$N$2,"m"))))</f>
        <v/>
      </c>
      <c r="O125" s="37">
        <f>IF(OR($K125="",$N125=""),"",MIN($K125,ROUND($K125*($M125/12)*$N125,2)))</f>
        <v/>
      </c>
      <c r="P125" s="37">
        <f>IF($K125="","",$K125-IF($O125="",0,$O125))</f>
        <v/>
      </c>
      <c r="Q125" s="31" t="n"/>
      <c r="R125" s="31" t="n"/>
      <c r="S125" s="31" t="n"/>
      <c r="T125" s="36">
        <f>IFERROR(INDEX(Listas!$B$2:$B$40,MATCH($S125,Listas!$A$2:$A$40,0)),"")</f>
        <v/>
      </c>
      <c r="U125" s="31" t="n"/>
      <c r="V125" s="33" t="n"/>
      <c r="W125" s="32" t="n"/>
      <c r="X125" s="31" t="n"/>
    </row>
    <row r="126" ht="22" customHeight="1">
      <c r="A126" s="32" t="n"/>
      <c r="B126" s="31" t="n"/>
      <c r="C126" s="31" t="n"/>
      <c r="D126" s="31" t="n"/>
      <c r="E126" s="31" t="n"/>
      <c r="F126" s="32" t="n"/>
      <c r="G126" s="31" t="n"/>
      <c r="H126" s="33" t="n"/>
      <c r="I126" s="31" t="n"/>
      <c r="J126" s="32" t="n"/>
      <c r="K126" s="34" t="n"/>
      <c r="L126" s="32" t="n"/>
      <c r="M126" s="35">
        <f>IFERROR(INDEX(Listas!$G$14:$G$21,MATCH($B126,Listas!$F$14:$F$21,0)),"")</f>
        <v/>
      </c>
      <c r="N126" s="36">
        <f>IF(OR($H126="",$L126=""),"",MIN($L126*12,MAX(0,DATEDIF($H126,Listas!$N$2,"m"))))</f>
        <v/>
      </c>
      <c r="O126" s="37">
        <f>IF(OR($K126="",$N126=""),"",MIN($K126,ROUND($K126*($M126/12)*$N126,2)))</f>
        <v/>
      </c>
      <c r="P126" s="37">
        <f>IF($K126="","",$K126-IF($O126="",0,$O126))</f>
        <v/>
      </c>
      <c r="Q126" s="31" t="n"/>
      <c r="R126" s="31" t="n"/>
      <c r="S126" s="31" t="n"/>
      <c r="T126" s="36">
        <f>IFERROR(INDEX(Listas!$B$2:$B$40,MATCH($S126,Listas!$A$2:$A$40,0)),"")</f>
        <v/>
      </c>
      <c r="U126" s="31" t="n"/>
      <c r="V126" s="33" t="n"/>
      <c r="W126" s="32" t="n"/>
      <c r="X126" s="31" t="n"/>
    </row>
    <row r="127" ht="22" customHeight="1">
      <c r="A127" s="32" t="n"/>
      <c r="B127" s="31" t="n"/>
      <c r="C127" s="31" t="n"/>
      <c r="D127" s="31" t="n"/>
      <c r="E127" s="31" t="n"/>
      <c r="F127" s="32" t="n"/>
      <c r="G127" s="31" t="n"/>
      <c r="H127" s="33" t="n"/>
      <c r="I127" s="31" t="n"/>
      <c r="J127" s="32" t="n"/>
      <c r="K127" s="34" t="n"/>
      <c r="L127" s="32" t="n"/>
      <c r="M127" s="35">
        <f>IFERROR(INDEX(Listas!$G$14:$G$21,MATCH($B127,Listas!$F$14:$F$21,0)),"")</f>
        <v/>
      </c>
      <c r="N127" s="36">
        <f>IF(OR($H127="",$L127=""),"",MIN($L127*12,MAX(0,DATEDIF($H127,Listas!$N$2,"m"))))</f>
        <v/>
      </c>
      <c r="O127" s="37">
        <f>IF(OR($K127="",$N127=""),"",MIN($K127,ROUND($K127*($M127/12)*$N127,2)))</f>
        <v/>
      </c>
      <c r="P127" s="37">
        <f>IF($K127="","",$K127-IF($O127="",0,$O127))</f>
        <v/>
      </c>
      <c r="Q127" s="31" t="n"/>
      <c r="R127" s="31" t="n"/>
      <c r="S127" s="31" t="n"/>
      <c r="T127" s="36">
        <f>IFERROR(INDEX(Listas!$B$2:$B$40,MATCH($S127,Listas!$A$2:$A$40,0)),"")</f>
        <v/>
      </c>
      <c r="U127" s="31" t="n"/>
      <c r="V127" s="33" t="n"/>
      <c r="W127" s="32" t="n"/>
      <c r="X127" s="31" t="n"/>
    </row>
    <row r="128" ht="22" customHeight="1">
      <c r="A128" s="32" t="n"/>
      <c r="B128" s="31" t="n"/>
      <c r="C128" s="31" t="n"/>
      <c r="D128" s="31" t="n"/>
      <c r="E128" s="31" t="n"/>
      <c r="F128" s="32" t="n"/>
      <c r="G128" s="31" t="n"/>
      <c r="H128" s="33" t="n"/>
      <c r="I128" s="31" t="n"/>
      <c r="J128" s="32" t="n"/>
      <c r="K128" s="34" t="n"/>
      <c r="L128" s="32" t="n"/>
      <c r="M128" s="35">
        <f>IFERROR(INDEX(Listas!$G$14:$G$21,MATCH($B128,Listas!$F$14:$F$21,0)),"")</f>
        <v/>
      </c>
      <c r="N128" s="36">
        <f>IF(OR($H128="",$L128=""),"",MIN($L128*12,MAX(0,DATEDIF($H128,Listas!$N$2,"m"))))</f>
        <v/>
      </c>
      <c r="O128" s="37">
        <f>IF(OR($K128="",$N128=""),"",MIN($K128,ROUND($K128*($M128/12)*$N128,2)))</f>
        <v/>
      </c>
      <c r="P128" s="37">
        <f>IF($K128="","",$K128-IF($O128="",0,$O128))</f>
        <v/>
      </c>
      <c r="Q128" s="31" t="n"/>
      <c r="R128" s="31" t="n"/>
      <c r="S128" s="31" t="n"/>
      <c r="T128" s="36">
        <f>IFERROR(INDEX(Listas!$B$2:$B$40,MATCH($S128,Listas!$A$2:$A$40,0)),"")</f>
        <v/>
      </c>
      <c r="U128" s="31" t="n"/>
      <c r="V128" s="33" t="n"/>
      <c r="W128" s="32" t="n"/>
      <c r="X128" s="31" t="n"/>
    </row>
    <row r="129" ht="22" customHeight="1">
      <c r="A129" s="32" t="n"/>
      <c r="B129" s="31" t="n"/>
      <c r="C129" s="31" t="n"/>
      <c r="D129" s="31" t="n"/>
      <c r="E129" s="31" t="n"/>
      <c r="F129" s="32" t="n"/>
      <c r="G129" s="31" t="n"/>
      <c r="H129" s="33" t="n"/>
      <c r="I129" s="31" t="n"/>
      <c r="J129" s="32" t="n"/>
      <c r="K129" s="34" t="n"/>
      <c r="L129" s="32" t="n"/>
      <c r="M129" s="35">
        <f>IFERROR(INDEX(Listas!$G$14:$G$21,MATCH($B129,Listas!$F$14:$F$21,0)),"")</f>
        <v/>
      </c>
      <c r="N129" s="36">
        <f>IF(OR($H129="",$L129=""),"",MIN($L129*12,MAX(0,DATEDIF($H129,Listas!$N$2,"m"))))</f>
        <v/>
      </c>
      <c r="O129" s="37">
        <f>IF(OR($K129="",$N129=""),"",MIN($K129,ROUND($K129*($M129/12)*$N129,2)))</f>
        <v/>
      </c>
      <c r="P129" s="37">
        <f>IF($K129="","",$K129-IF($O129="",0,$O129))</f>
        <v/>
      </c>
      <c r="Q129" s="31" t="n"/>
      <c r="R129" s="31" t="n"/>
      <c r="S129" s="31" t="n"/>
      <c r="T129" s="36">
        <f>IFERROR(INDEX(Listas!$B$2:$B$40,MATCH($S129,Listas!$A$2:$A$40,0)),"")</f>
        <v/>
      </c>
      <c r="U129" s="31" t="n"/>
      <c r="V129" s="33" t="n"/>
      <c r="W129" s="32" t="n"/>
      <c r="X129" s="31" t="n"/>
    </row>
    <row r="130" ht="22" customHeight="1">
      <c r="A130" s="32" t="n"/>
      <c r="B130" s="31" t="n"/>
      <c r="C130" s="31" t="n"/>
      <c r="D130" s="31" t="n"/>
      <c r="E130" s="31" t="n"/>
      <c r="F130" s="32" t="n"/>
      <c r="G130" s="31" t="n"/>
      <c r="H130" s="33" t="n"/>
      <c r="I130" s="31" t="n"/>
      <c r="J130" s="32" t="n"/>
      <c r="K130" s="34" t="n"/>
      <c r="L130" s="32" t="n"/>
      <c r="M130" s="35">
        <f>IFERROR(INDEX(Listas!$G$14:$G$21,MATCH($B130,Listas!$F$14:$F$21,0)),"")</f>
        <v/>
      </c>
      <c r="N130" s="36">
        <f>IF(OR($H130="",$L130=""),"",MIN($L130*12,MAX(0,DATEDIF($H130,Listas!$N$2,"m"))))</f>
        <v/>
      </c>
      <c r="O130" s="37">
        <f>IF(OR($K130="",$N130=""),"",MIN($K130,ROUND($K130*($M130/12)*$N130,2)))</f>
        <v/>
      </c>
      <c r="P130" s="37">
        <f>IF($K130="","",$K130-IF($O130="",0,$O130))</f>
        <v/>
      </c>
      <c r="Q130" s="31" t="n"/>
      <c r="R130" s="31" t="n"/>
      <c r="S130" s="31" t="n"/>
      <c r="T130" s="36">
        <f>IFERROR(INDEX(Listas!$B$2:$B$40,MATCH($S130,Listas!$A$2:$A$40,0)),"")</f>
        <v/>
      </c>
      <c r="U130" s="31" t="n"/>
      <c r="V130" s="33" t="n"/>
      <c r="W130" s="32" t="n"/>
      <c r="X130" s="31" t="n"/>
    </row>
    <row r="131" ht="22" customHeight="1">
      <c r="A131" s="32" t="n"/>
      <c r="B131" s="31" t="n"/>
      <c r="C131" s="31" t="n"/>
      <c r="D131" s="31" t="n"/>
      <c r="E131" s="31" t="n"/>
      <c r="F131" s="32" t="n"/>
      <c r="G131" s="31" t="n"/>
      <c r="H131" s="33" t="n"/>
      <c r="I131" s="31" t="n"/>
      <c r="J131" s="32" t="n"/>
      <c r="K131" s="34" t="n"/>
      <c r="L131" s="32" t="n"/>
      <c r="M131" s="35">
        <f>IFERROR(INDEX(Listas!$G$14:$G$21,MATCH($B131,Listas!$F$14:$F$21,0)),"")</f>
        <v/>
      </c>
      <c r="N131" s="36">
        <f>IF(OR($H131="",$L131=""),"",MIN($L131*12,MAX(0,DATEDIF($H131,Listas!$N$2,"m"))))</f>
        <v/>
      </c>
      <c r="O131" s="37">
        <f>IF(OR($K131="",$N131=""),"",MIN($K131,ROUND($K131*($M131/12)*$N131,2)))</f>
        <v/>
      </c>
      <c r="P131" s="37">
        <f>IF($K131="","",$K131-IF($O131="",0,$O131))</f>
        <v/>
      </c>
      <c r="Q131" s="31" t="n"/>
      <c r="R131" s="31" t="n"/>
      <c r="S131" s="31" t="n"/>
      <c r="T131" s="36">
        <f>IFERROR(INDEX(Listas!$B$2:$B$40,MATCH($S131,Listas!$A$2:$A$40,0)),"")</f>
        <v/>
      </c>
      <c r="U131" s="31" t="n"/>
      <c r="V131" s="33" t="n"/>
      <c r="W131" s="32" t="n"/>
      <c r="X131" s="31" t="n"/>
    </row>
    <row r="132" ht="22" customHeight="1">
      <c r="A132" s="32" t="n"/>
      <c r="B132" s="31" t="n"/>
      <c r="C132" s="31" t="n"/>
      <c r="D132" s="31" t="n"/>
      <c r="E132" s="31" t="n"/>
      <c r="F132" s="32" t="n"/>
      <c r="G132" s="31" t="n"/>
      <c r="H132" s="33" t="n"/>
      <c r="I132" s="31" t="n"/>
      <c r="J132" s="32" t="n"/>
      <c r="K132" s="34" t="n"/>
      <c r="L132" s="32" t="n"/>
      <c r="M132" s="35">
        <f>IFERROR(INDEX(Listas!$G$14:$G$21,MATCH($B132,Listas!$F$14:$F$21,0)),"")</f>
        <v/>
      </c>
      <c r="N132" s="36">
        <f>IF(OR($H132="",$L132=""),"",MIN($L132*12,MAX(0,DATEDIF($H132,Listas!$N$2,"m"))))</f>
        <v/>
      </c>
      <c r="O132" s="37">
        <f>IF(OR($K132="",$N132=""),"",MIN($K132,ROUND($K132*($M132/12)*$N132,2)))</f>
        <v/>
      </c>
      <c r="P132" s="37">
        <f>IF($K132="","",$K132-IF($O132="",0,$O132))</f>
        <v/>
      </c>
      <c r="Q132" s="31" t="n"/>
      <c r="R132" s="31" t="n"/>
      <c r="S132" s="31" t="n"/>
      <c r="T132" s="36">
        <f>IFERROR(INDEX(Listas!$B$2:$B$40,MATCH($S132,Listas!$A$2:$A$40,0)),"")</f>
        <v/>
      </c>
      <c r="U132" s="31" t="n"/>
      <c r="V132" s="33" t="n"/>
      <c r="W132" s="32" t="n"/>
      <c r="X132" s="31" t="n"/>
    </row>
    <row r="133" ht="22" customHeight="1">
      <c r="A133" s="32" t="n"/>
      <c r="B133" s="31" t="n"/>
      <c r="C133" s="31" t="n"/>
      <c r="D133" s="31" t="n"/>
      <c r="E133" s="31" t="n"/>
      <c r="F133" s="32" t="n"/>
      <c r="G133" s="31" t="n"/>
      <c r="H133" s="33" t="n"/>
      <c r="I133" s="31" t="n"/>
      <c r="J133" s="32" t="n"/>
      <c r="K133" s="34" t="n"/>
      <c r="L133" s="32" t="n"/>
      <c r="M133" s="35">
        <f>IFERROR(INDEX(Listas!$G$14:$G$21,MATCH($B133,Listas!$F$14:$F$21,0)),"")</f>
        <v/>
      </c>
      <c r="N133" s="36">
        <f>IF(OR($H133="",$L133=""),"",MIN($L133*12,MAX(0,DATEDIF($H133,Listas!$N$2,"m"))))</f>
        <v/>
      </c>
      <c r="O133" s="37">
        <f>IF(OR($K133="",$N133=""),"",MIN($K133,ROUND($K133*($M133/12)*$N133,2)))</f>
        <v/>
      </c>
      <c r="P133" s="37">
        <f>IF($K133="","",$K133-IF($O133="",0,$O133))</f>
        <v/>
      </c>
      <c r="Q133" s="31" t="n"/>
      <c r="R133" s="31" t="n"/>
      <c r="S133" s="31" t="n"/>
      <c r="T133" s="36">
        <f>IFERROR(INDEX(Listas!$B$2:$B$40,MATCH($S133,Listas!$A$2:$A$40,0)),"")</f>
        <v/>
      </c>
      <c r="U133" s="31" t="n"/>
      <c r="V133" s="33" t="n"/>
      <c r="W133" s="32" t="n"/>
      <c r="X133" s="31" t="n"/>
    </row>
    <row r="134" ht="22" customHeight="1">
      <c r="A134" s="32" t="n"/>
      <c r="B134" s="31" t="n"/>
      <c r="C134" s="31" t="n"/>
      <c r="D134" s="31" t="n"/>
      <c r="E134" s="31" t="n"/>
      <c r="F134" s="32" t="n"/>
      <c r="G134" s="31" t="n"/>
      <c r="H134" s="33" t="n"/>
      <c r="I134" s="31" t="n"/>
      <c r="J134" s="32" t="n"/>
      <c r="K134" s="34" t="n"/>
      <c r="L134" s="32" t="n"/>
      <c r="M134" s="35">
        <f>IFERROR(INDEX(Listas!$G$14:$G$21,MATCH($B134,Listas!$F$14:$F$21,0)),"")</f>
        <v/>
      </c>
      <c r="N134" s="36">
        <f>IF(OR($H134="",$L134=""),"",MIN($L134*12,MAX(0,DATEDIF($H134,Listas!$N$2,"m"))))</f>
        <v/>
      </c>
      <c r="O134" s="37">
        <f>IF(OR($K134="",$N134=""),"",MIN($K134,ROUND($K134*($M134/12)*$N134,2)))</f>
        <v/>
      </c>
      <c r="P134" s="37">
        <f>IF($K134="","",$K134-IF($O134="",0,$O134))</f>
        <v/>
      </c>
      <c r="Q134" s="31" t="n"/>
      <c r="R134" s="31" t="n"/>
      <c r="S134" s="31" t="n"/>
      <c r="T134" s="36">
        <f>IFERROR(INDEX(Listas!$B$2:$B$40,MATCH($S134,Listas!$A$2:$A$40,0)),"")</f>
        <v/>
      </c>
      <c r="U134" s="31" t="n"/>
      <c r="V134" s="33" t="n"/>
      <c r="W134" s="32" t="n"/>
      <c r="X134" s="31" t="n"/>
    </row>
    <row r="135" ht="22" customHeight="1">
      <c r="A135" s="32" t="n"/>
      <c r="B135" s="31" t="n"/>
      <c r="C135" s="31" t="n"/>
      <c r="D135" s="31" t="n"/>
      <c r="E135" s="31" t="n"/>
      <c r="F135" s="32" t="n"/>
      <c r="G135" s="31" t="n"/>
      <c r="H135" s="33" t="n"/>
      <c r="I135" s="31" t="n"/>
      <c r="J135" s="32" t="n"/>
      <c r="K135" s="34" t="n"/>
      <c r="L135" s="32" t="n"/>
      <c r="M135" s="35">
        <f>IFERROR(INDEX(Listas!$G$14:$G$21,MATCH($B135,Listas!$F$14:$F$21,0)),"")</f>
        <v/>
      </c>
      <c r="N135" s="36">
        <f>IF(OR($H135="",$L135=""),"",MIN($L135*12,MAX(0,DATEDIF($H135,Listas!$N$2,"m"))))</f>
        <v/>
      </c>
      <c r="O135" s="37">
        <f>IF(OR($K135="",$N135=""),"",MIN($K135,ROUND($K135*($M135/12)*$N135,2)))</f>
        <v/>
      </c>
      <c r="P135" s="37">
        <f>IF($K135="","",$K135-IF($O135="",0,$O135))</f>
        <v/>
      </c>
      <c r="Q135" s="31" t="n"/>
      <c r="R135" s="31" t="n"/>
      <c r="S135" s="31" t="n"/>
      <c r="T135" s="36">
        <f>IFERROR(INDEX(Listas!$B$2:$B$40,MATCH($S135,Listas!$A$2:$A$40,0)),"")</f>
        <v/>
      </c>
      <c r="U135" s="31" t="n"/>
      <c r="V135" s="33" t="n"/>
      <c r="W135" s="32" t="n"/>
      <c r="X135" s="31" t="n"/>
    </row>
    <row r="136" ht="22" customHeight="1">
      <c r="A136" s="32" t="n"/>
      <c r="B136" s="31" t="n"/>
      <c r="C136" s="31" t="n"/>
      <c r="D136" s="31" t="n"/>
      <c r="E136" s="31" t="n"/>
      <c r="F136" s="32" t="n"/>
      <c r="G136" s="31" t="n"/>
      <c r="H136" s="33" t="n"/>
      <c r="I136" s="31" t="n"/>
      <c r="J136" s="32" t="n"/>
      <c r="K136" s="34" t="n"/>
      <c r="L136" s="32" t="n"/>
      <c r="M136" s="35">
        <f>IFERROR(INDEX(Listas!$G$14:$G$21,MATCH($B136,Listas!$F$14:$F$21,0)),"")</f>
        <v/>
      </c>
      <c r="N136" s="36">
        <f>IF(OR($H136="",$L136=""),"",MIN($L136*12,MAX(0,DATEDIF($H136,Listas!$N$2,"m"))))</f>
        <v/>
      </c>
      <c r="O136" s="37">
        <f>IF(OR($K136="",$N136=""),"",MIN($K136,ROUND($K136*($M136/12)*$N136,2)))</f>
        <v/>
      </c>
      <c r="P136" s="37">
        <f>IF($K136="","",$K136-IF($O136="",0,$O136))</f>
        <v/>
      </c>
      <c r="Q136" s="31" t="n"/>
      <c r="R136" s="31" t="n"/>
      <c r="S136" s="31" t="n"/>
      <c r="T136" s="36">
        <f>IFERROR(INDEX(Listas!$B$2:$B$40,MATCH($S136,Listas!$A$2:$A$40,0)),"")</f>
        <v/>
      </c>
      <c r="U136" s="31" t="n"/>
      <c r="V136" s="33" t="n"/>
      <c r="W136" s="32" t="n"/>
      <c r="X136" s="31" t="n"/>
    </row>
    <row r="137" ht="22" customHeight="1">
      <c r="A137" s="32" t="n"/>
      <c r="B137" s="31" t="n"/>
      <c r="C137" s="31" t="n"/>
      <c r="D137" s="31" t="n"/>
      <c r="E137" s="31" t="n"/>
      <c r="F137" s="32" t="n"/>
      <c r="G137" s="31" t="n"/>
      <c r="H137" s="33" t="n"/>
      <c r="I137" s="31" t="n"/>
      <c r="J137" s="32" t="n"/>
      <c r="K137" s="34" t="n"/>
      <c r="L137" s="32" t="n"/>
      <c r="M137" s="35">
        <f>IFERROR(INDEX(Listas!$G$14:$G$21,MATCH($B137,Listas!$F$14:$F$21,0)),"")</f>
        <v/>
      </c>
      <c r="N137" s="36">
        <f>IF(OR($H137="",$L137=""),"",MIN($L137*12,MAX(0,DATEDIF($H137,Listas!$N$2,"m"))))</f>
        <v/>
      </c>
      <c r="O137" s="37">
        <f>IF(OR($K137="",$N137=""),"",MIN($K137,ROUND($K137*($M137/12)*$N137,2)))</f>
        <v/>
      </c>
      <c r="P137" s="37">
        <f>IF($K137="","",$K137-IF($O137="",0,$O137))</f>
        <v/>
      </c>
      <c r="Q137" s="31" t="n"/>
      <c r="R137" s="31" t="n"/>
      <c r="S137" s="31" t="n"/>
      <c r="T137" s="36">
        <f>IFERROR(INDEX(Listas!$B$2:$B$40,MATCH($S137,Listas!$A$2:$A$40,0)),"")</f>
        <v/>
      </c>
      <c r="U137" s="31" t="n"/>
      <c r="V137" s="33" t="n"/>
      <c r="W137" s="32" t="n"/>
      <c r="X137" s="31" t="n"/>
    </row>
    <row r="138" ht="22" customHeight="1">
      <c r="A138" s="32" t="n"/>
      <c r="B138" s="31" t="n"/>
      <c r="C138" s="31" t="n"/>
      <c r="D138" s="31" t="n"/>
      <c r="E138" s="31" t="n"/>
      <c r="F138" s="32" t="n"/>
      <c r="G138" s="31" t="n"/>
      <c r="H138" s="33" t="n"/>
      <c r="I138" s="31" t="n"/>
      <c r="J138" s="32" t="n"/>
      <c r="K138" s="34" t="n"/>
      <c r="L138" s="32" t="n"/>
      <c r="M138" s="35">
        <f>IFERROR(INDEX(Listas!$G$14:$G$21,MATCH($B138,Listas!$F$14:$F$21,0)),"")</f>
        <v/>
      </c>
      <c r="N138" s="36">
        <f>IF(OR($H138="",$L138=""),"",MIN($L138*12,MAX(0,DATEDIF($H138,Listas!$N$2,"m"))))</f>
        <v/>
      </c>
      <c r="O138" s="37">
        <f>IF(OR($K138="",$N138=""),"",MIN($K138,ROUND($K138*($M138/12)*$N138,2)))</f>
        <v/>
      </c>
      <c r="P138" s="37">
        <f>IF($K138="","",$K138-IF($O138="",0,$O138))</f>
        <v/>
      </c>
      <c r="Q138" s="31" t="n"/>
      <c r="R138" s="31" t="n"/>
      <c r="S138" s="31" t="n"/>
      <c r="T138" s="36">
        <f>IFERROR(INDEX(Listas!$B$2:$B$40,MATCH($S138,Listas!$A$2:$A$40,0)),"")</f>
        <v/>
      </c>
      <c r="U138" s="31" t="n"/>
      <c r="V138" s="33" t="n"/>
      <c r="W138" s="32" t="n"/>
      <c r="X138" s="31" t="n"/>
    </row>
    <row r="139" ht="22" customHeight="1">
      <c r="A139" s="32" t="n"/>
      <c r="B139" s="31" t="n"/>
      <c r="C139" s="31" t="n"/>
      <c r="D139" s="31" t="n"/>
      <c r="E139" s="31" t="n"/>
      <c r="F139" s="32" t="n"/>
      <c r="G139" s="31" t="n"/>
      <c r="H139" s="33" t="n"/>
      <c r="I139" s="31" t="n"/>
      <c r="J139" s="32" t="n"/>
      <c r="K139" s="34" t="n"/>
      <c r="L139" s="32" t="n"/>
      <c r="M139" s="35">
        <f>IFERROR(INDEX(Listas!$G$14:$G$21,MATCH($B139,Listas!$F$14:$F$21,0)),"")</f>
        <v/>
      </c>
      <c r="N139" s="36">
        <f>IF(OR($H139="",$L139=""),"",MIN($L139*12,MAX(0,DATEDIF($H139,Listas!$N$2,"m"))))</f>
        <v/>
      </c>
      <c r="O139" s="37">
        <f>IF(OR($K139="",$N139=""),"",MIN($K139,ROUND($K139*($M139/12)*$N139,2)))</f>
        <v/>
      </c>
      <c r="P139" s="37">
        <f>IF($K139="","",$K139-IF($O139="",0,$O139))</f>
        <v/>
      </c>
      <c r="Q139" s="31" t="n"/>
      <c r="R139" s="31" t="n"/>
      <c r="S139" s="31" t="n"/>
      <c r="T139" s="36">
        <f>IFERROR(INDEX(Listas!$B$2:$B$40,MATCH($S139,Listas!$A$2:$A$40,0)),"")</f>
        <v/>
      </c>
      <c r="U139" s="31" t="n"/>
      <c r="V139" s="33" t="n"/>
      <c r="W139" s="32" t="n"/>
      <c r="X139" s="31" t="n"/>
    </row>
    <row r="140" ht="22" customHeight="1">
      <c r="A140" s="32" t="n"/>
      <c r="B140" s="31" t="n"/>
      <c r="C140" s="31" t="n"/>
      <c r="D140" s="31" t="n"/>
      <c r="E140" s="31" t="n"/>
      <c r="F140" s="32" t="n"/>
      <c r="G140" s="31" t="n"/>
      <c r="H140" s="33" t="n"/>
      <c r="I140" s="31" t="n"/>
      <c r="J140" s="32" t="n"/>
      <c r="K140" s="34" t="n"/>
      <c r="L140" s="32" t="n"/>
      <c r="M140" s="35">
        <f>IFERROR(INDEX(Listas!$G$14:$G$21,MATCH($B140,Listas!$F$14:$F$21,0)),"")</f>
        <v/>
      </c>
      <c r="N140" s="36">
        <f>IF(OR($H140="",$L140=""),"",MIN($L140*12,MAX(0,DATEDIF($H140,Listas!$N$2,"m"))))</f>
        <v/>
      </c>
      <c r="O140" s="37">
        <f>IF(OR($K140="",$N140=""),"",MIN($K140,ROUND($K140*($M140/12)*$N140,2)))</f>
        <v/>
      </c>
      <c r="P140" s="37">
        <f>IF($K140="","",$K140-IF($O140="",0,$O140))</f>
        <v/>
      </c>
      <c r="Q140" s="31" t="n"/>
      <c r="R140" s="31" t="n"/>
      <c r="S140" s="31" t="n"/>
      <c r="T140" s="36">
        <f>IFERROR(INDEX(Listas!$B$2:$B$40,MATCH($S140,Listas!$A$2:$A$40,0)),"")</f>
        <v/>
      </c>
      <c r="U140" s="31" t="n"/>
      <c r="V140" s="33" t="n"/>
      <c r="W140" s="32" t="n"/>
      <c r="X140" s="31" t="n"/>
    </row>
    <row r="141" ht="22" customHeight="1">
      <c r="A141" s="32" t="n"/>
      <c r="B141" s="31" t="n"/>
      <c r="C141" s="31" t="n"/>
      <c r="D141" s="31" t="n"/>
      <c r="E141" s="31" t="n"/>
      <c r="F141" s="32" t="n"/>
      <c r="G141" s="31" t="n"/>
      <c r="H141" s="33" t="n"/>
      <c r="I141" s="31" t="n"/>
      <c r="J141" s="32" t="n"/>
      <c r="K141" s="34" t="n"/>
      <c r="L141" s="32" t="n"/>
      <c r="M141" s="35">
        <f>IFERROR(INDEX(Listas!$G$14:$G$21,MATCH($B141,Listas!$F$14:$F$21,0)),"")</f>
        <v/>
      </c>
      <c r="N141" s="36">
        <f>IF(OR($H141="",$L141=""),"",MIN($L141*12,MAX(0,DATEDIF($H141,Listas!$N$2,"m"))))</f>
        <v/>
      </c>
      <c r="O141" s="37">
        <f>IF(OR($K141="",$N141=""),"",MIN($K141,ROUND($K141*($M141/12)*$N141,2)))</f>
        <v/>
      </c>
      <c r="P141" s="37">
        <f>IF($K141="","",$K141-IF($O141="",0,$O141))</f>
        <v/>
      </c>
      <c r="Q141" s="31" t="n"/>
      <c r="R141" s="31" t="n"/>
      <c r="S141" s="31" t="n"/>
      <c r="T141" s="36">
        <f>IFERROR(INDEX(Listas!$B$2:$B$40,MATCH($S141,Listas!$A$2:$A$40,0)),"")</f>
        <v/>
      </c>
      <c r="U141" s="31" t="n"/>
      <c r="V141" s="33" t="n"/>
      <c r="W141" s="32" t="n"/>
      <c r="X141" s="31" t="n"/>
    </row>
    <row r="142" ht="22" customHeight="1">
      <c r="A142" s="32" t="n"/>
      <c r="B142" s="31" t="n"/>
      <c r="C142" s="31" t="n"/>
      <c r="D142" s="31" t="n"/>
      <c r="E142" s="31" t="n"/>
      <c r="F142" s="32" t="n"/>
      <c r="G142" s="31" t="n"/>
      <c r="H142" s="33" t="n"/>
      <c r="I142" s="31" t="n"/>
      <c r="J142" s="32" t="n"/>
      <c r="K142" s="34" t="n"/>
      <c r="L142" s="32" t="n"/>
      <c r="M142" s="35">
        <f>IFERROR(INDEX(Listas!$G$14:$G$21,MATCH($B142,Listas!$F$14:$F$21,0)),"")</f>
        <v/>
      </c>
      <c r="N142" s="36">
        <f>IF(OR($H142="",$L142=""),"",MIN($L142*12,MAX(0,DATEDIF($H142,Listas!$N$2,"m"))))</f>
        <v/>
      </c>
      <c r="O142" s="37">
        <f>IF(OR($K142="",$N142=""),"",MIN($K142,ROUND($K142*($M142/12)*$N142,2)))</f>
        <v/>
      </c>
      <c r="P142" s="37">
        <f>IF($K142="","",$K142-IF($O142="",0,$O142))</f>
        <v/>
      </c>
      <c r="Q142" s="31" t="n"/>
      <c r="R142" s="31" t="n"/>
      <c r="S142" s="31" t="n"/>
      <c r="T142" s="36">
        <f>IFERROR(INDEX(Listas!$B$2:$B$40,MATCH($S142,Listas!$A$2:$A$40,0)),"")</f>
        <v/>
      </c>
      <c r="U142" s="31" t="n"/>
      <c r="V142" s="33" t="n"/>
      <c r="W142" s="32" t="n"/>
      <c r="X142" s="31" t="n"/>
    </row>
    <row r="143" ht="22" customHeight="1">
      <c r="A143" s="32" t="n"/>
      <c r="B143" s="31" t="n"/>
      <c r="C143" s="31" t="n"/>
      <c r="D143" s="31" t="n"/>
      <c r="E143" s="31" t="n"/>
      <c r="F143" s="32" t="n"/>
      <c r="G143" s="31" t="n"/>
      <c r="H143" s="33" t="n"/>
      <c r="I143" s="31" t="n"/>
      <c r="J143" s="32" t="n"/>
      <c r="K143" s="34" t="n"/>
      <c r="L143" s="32" t="n"/>
      <c r="M143" s="35">
        <f>IFERROR(INDEX(Listas!$G$14:$G$21,MATCH($B143,Listas!$F$14:$F$21,0)),"")</f>
        <v/>
      </c>
      <c r="N143" s="36">
        <f>IF(OR($H143="",$L143=""),"",MIN($L143*12,MAX(0,DATEDIF($H143,Listas!$N$2,"m"))))</f>
        <v/>
      </c>
      <c r="O143" s="37">
        <f>IF(OR($K143="",$N143=""),"",MIN($K143,ROUND($K143*($M143/12)*$N143,2)))</f>
        <v/>
      </c>
      <c r="P143" s="37">
        <f>IF($K143="","",$K143-IF($O143="",0,$O143))</f>
        <v/>
      </c>
      <c r="Q143" s="31" t="n"/>
      <c r="R143" s="31" t="n"/>
      <c r="S143" s="31" t="n"/>
      <c r="T143" s="36">
        <f>IFERROR(INDEX(Listas!$B$2:$B$40,MATCH($S143,Listas!$A$2:$A$40,0)),"")</f>
        <v/>
      </c>
      <c r="U143" s="31" t="n"/>
      <c r="V143" s="33" t="n"/>
      <c r="W143" s="32" t="n"/>
      <c r="X143" s="31" t="n"/>
    </row>
    <row r="144" ht="22" customHeight="1">
      <c r="A144" s="32" t="n"/>
      <c r="B144" s="31" t="n"/>
      <c r="C144" s="31" t="n"/>
      <c r="D144" s="31" t="n"/>
      <c r="E144" s="31" t="n"/>
      <c r="F144" s="32" t="n"/>
      <c r="G144" s="31" t="n"/>
      <c r="H144" s="33" t="n"/>
      <c r="I144" s="31" t="n"/>
      <c r="J144" s="32" t="n"/>
      <c r="K144" s="34" t="n"/>
      <c r="L144" s="32" t="n"/>
      <c r="M144" s="35">
        <f>IFERROR(INDEX(Listas!$G$14:$G$21,MATCH($B144,Listas!$F$14:$F$21,0)),"")</f>
        <v/>
      </c>
      <c r="N144" s="36">
        <f>IF(OR($H144="",$L144=""),"",MIN($L144*12,MAX(0,DATEDIF($H144,Listas!$N$2,"m"))))</f>
        <v/>
      </c>
      <c r="O144" s="37">
        <f>IF(OR($K144="",$N144=""),"",MIN($K144,ROUND($K144*($M144/12)*$N144,2)))</f>
        <v/>
      </c>
      <c r="P144" s="37">
        <f>IF($K144="","",$K144-IF($O144="",0,$O144))</f>
        <v/>
      </c>
      <c r="Q144" s="31" t="n"/>
      <c r="R144" s="31" t="n"/>
      <c r="S144" s="31" t="n"/>
      <c r="T144" s="36">
        <f>IFERROR(INDEX(Listas!$B$2:$B$40,MATCH($S144,Listas!$A$2:$A$40,0)),"")</f>
        <v/>
      </c>
      <c r="U144" s="31" t="n"/>
      <c r="V144" s="33" t="n"/>
      <c r="W144" s="32" t="n"/>
      <c r="X144" s="31" t="n"/>
    </row>
    <row r="145" ht="22" customHeight="1">
      <c r="A145" s="32" t="n"/>
      <c r="B145" s="31" t="n"/>
      <c r="C145" s="31" t="n"/>
      <c r="D145" s="31" t="n"/>
      <c r="E145" s="31" t="n"/>
      <c r="F145" s="32" t="n"/>
      <c r="G145" s="31" t="n"/>
      <c r="H145" s="33" t="n"/>
      <c r="I145" s="31" t="n"/>
      <c r="J145" s="32" t="n"/>
      <c r="K145" s="34" t="n"/>
      <c r="L145" s="32" t="n"/>
      <c r="M145" s="35">
        <f>IFERROR(INDEX(Listas!$G$14:$G$21,MATCH($B145,Listas!$F$14:$F$21,0)),"")</f>
        <v/>
      </c>
      <c r="N145" s="36">
        <f>IF(OR($H145="",$L145=""),"",MIN($L145*12,MAX(0,DATEDIF($H145,Listas!$N$2,"m"))))</f>
        <v/>
      </c>
      <c r="O145" s="37">
        <f>IF(OR($K145="",$N145=""),"",MIN($K145,ROUND($K145*($M145/12)*$N145,2)))</f>
        <v/>
      </c>
      <c r="P145" s="37">
        <f>IF($K145="","",$K145-IF($O145="",0,$O145))</f>
        <v/>
      </c>
      <c r="Q145" s="31" t="n"/>
      <c r="R145" s="31" t="n"/>
      <c r="S145" s="31" t="n"/>
      <c r="T145" s="36">
        <f>IFERROR(INDEX(Listas!$B$2:$B$40,MATCH($S145,Listas!$A$2:$A$40,0)),"")</f>
        <v/>
      </c>
      <c r="U145" s="31" t="n"/>
      <c r="V145" s="33" t="n"/>
      <c r="W145" s="32" t="n"/>
      <c r="X145" s="31" t="n"/>
    </row>
    <row r="146" ht="22" customHeight="1">
      <c r="A146" s="32" t="n"/>
      <c r="B146" s="31" t="n"/>
      <c r="C146" s="31" t="n"/>
      <c r="D146" s="31" t="n"/>
      <c r="E146" s="31" t="n"/>
      <c r="F146" s="32" t="n"/>
      <c r="G146" s="31" t="n"/>
      <c r="H146" s="33" t="n"/>
      <c r="I146" s="31" t="n"/>
      <c r="J146" s="32" t="n"/>
      <c r="K146" s="34" t="n"/>
      <c r="L146" s="32" t="n"/>
      <c r="M146" s="35">
        <f>IFERROR(INDEX(Listas!$G$14:$G$21,MATCH($B146,Listas!$F$14:$F$21,0)),"")</f>
        <v/>
      </c>
      <c r="N146" s="36">
        <f>IF(OR($H146="",$L146=""),"",MIN($L146*12,MAX(0,DATEDIF($H146,Listas!$N$2,"m"))))</f>
        <v/>
      </c>
      <c r="O146" s="37">
        <f>IF(OR($K146="",$N146=""),"",MIN($K146,ROUND($K146*($M146/12)*$N146,2)))</f>
        <v/>
      </c>
      <c r="P146" s="37">
        <f>IF($K146="","",$K146-IF($O146="",0,$O146))</f>
        <v/>
      </c>
      <c r="Q146" s="31" t="n"/>
      <c r="R146" s="31" t="n"/>
      <c r="S146" s="31" t="n"/>
      <c r="T146" s="36">
        <f>IFERROR(INDEX(Listas!$B$2:$B$40,MATCH($S146,Listas!$A$2:$A$40,0)),"")</f>
        <v/>
      </c>
      <c r="U146" s="31" t="n"/>
      <c r="V146" s="33" t="n"/>
      <c r="W146" s="32" t="n"/>
      <c r="X146" s="31" t="n"/>
    </row>
    <row r="147" ht="22" customHeight="1">
      <c r="A147" s="32" t="n"/>
      <c r="B147" s="31" t="n"/>
      <c r="C147" s="31" t="n"/>
      <c r="D147" s="31" t="n"/>
      <c r="E147" s="31" t="n"/>
      <c r="F147" s="32" t="n"/>
      <c r="G147" s="31" t="n"/>
      <c r="H147" s="33" t="n"/>
      <c r="I147" s="31" t="n"/>
      <c r="J147" s="32" t="n"/>
      <c r="K147" s="34" t="n"/>
      <c r="L147" s="32" t="n"/>
      <c r="M147" s="35">
        <f>IFERROR(INDEX(Listas!$G$14:$G$21,MATCH($B147,Listas!$F$14:$F$21,0)),"")</f>
        <v/>
      </c>
      <c r="N147" s="36">
        <f>IF(OR($H147="",$L147=""),"",MIN($L147*12,MAX(0,DATEDIF($H147,Listas!$N$2,"m"))))</f>
        <v/>
      </c>
      <c r="O147" s="37">
        <f>IF(OR($K147="",$N147=""),"",MIN($K147,ROUND($K147*($M147/12)*$N147,2)))</f>
        <v/>
      </c>
      <c r="P147" s="37">
        <f>IF($K147="","",$K147-IF($O147="",0,$O147))</f>
        <v/>
      </c>
      <c r="Q147" s="31" t="n"/>
      <c r="R147" s="31" t="n"/>
      <c r="S147" s="31" t="n"/>
      <c r="T147" s="36">
        <f>IFERROR(INDEX(Listas!$B$2:$B$40,MATCH($S147,Listas!$A$2:$A$40,0)),"")</f>
        <v/>
      </c>
      <c r="U147" s="31" t="n"/>
      <c r="V147" s="33" t="n"/>
      <c r="W147" s="32" t="n"/>
      <c r="X147" s="31" t="n"/>
    </row>
    <row r="148" ht="22" customHeight="1">
      <c r="A148" s="32" t="n"/>
      <c r="B148" s="31" t="n"/>
      <c r="C148" s="31" t="n"/>
      <c r="D148" s="31" t="n"/>
      <c r="E148" s="31" t="n"/>
      <c r="F148" s="32" t="n"/>
      <c r="G148" s="31" t="n"/>
      <c r="H148" s="33" t="n"/>
      <c r="I148" s="31" t="n"/>
      <c r="J148" s="32" t="n"/>
      <c r="K148" s="34" t="n"/>
      <c r="L148" s="32" t="n"/>
      <c r="M148" s="35">
        <f>IFERROR(INDEX(Listas!$G$14:$G$21,MATCH($B148,Listas!$F$14:$F$21,0)),"")</f>
        <v/>
      </c>
      <c r="N148" s="36">
        <f>IF(OR($H148="",$L148=""),"",MIN($L148*12,MAX(0,DATEDIF($H148,Listas!$N$2,"m"))))</f>
        <v/>
      </c>
      <c r="O148" s="37">
        <f>IF(OR($K148="",$N148=""),"",MIN($K148,ROUND($K148*($M148/12)*$N148,2)))</f>
        <v/>
      </c>
      <c r="P148" s="37">
        <f>IF($K148="","",$K148-IF($O148="",0,$O148))</f>
        <v/>
      </c>
      <c r="Q148" s="31" t="n"/>
      <c r="R148" s="31" t="n"/>
      <c r="S148" s="31" t="n"/>
      <c r="T148" s="36">
        <f>IFERROR(INDEX(Listas!$B$2:$B$40,MATCH($S148,Listas!$A$2:$A$40,0)),"")</f>
        <v/>
      </c>
      <c r="U148" s="31" t="n"/>
      <c r="V148" s="33" t="n"/>
      <c r="W148" s="32" t="n"/>
      <c r="X148" s="31" t="n"/>
    </row>
    <row r="149" ht="22" customHeight="1">
      <c r="A149" s="32" t="n"/>
      <c r="B149" s="31" t="n"/>
      <c r="C149" s="31" t="n"/>
      <c r="D149" s="31" t="n"/>
      <c r="E149" s="31" t="n"/>
      <c r="F149" s="32" t="n"/>
      <c r="G149" s="31" t="n"/>
      <c r="H149" s="33" t="n"/>
      <c r="I149" s="31" t="n"/>
      <c r="J149" s="32" t="n"/>
      <c r="K149" s="34" t="n"/>
      <c r="L149" s="32" t="n"/>
      <c r="M149" s="35">
        <f>IFERROR(INDEX(Listas!$G$14:$G$21,MATCH($B149,Listas!$F$14:$F$21,0)),"")</f>
        <v/>
      </c>
      <c r="N149" s="36">
        <f>IF(OR($H149="",$L149=""),"",MIN($L149*12,MAX(0,DATEDIF($H149,Listas!$N$2,"m"))))</f>
        <v/>
      </c>
      <c r="O149" s="37">
        <f>IF(OR($K149="",$N149=""),"",MIN($K149,ROUND($K149*($M149/12)*$N149,2)))</f>
        <v/>
      </c>
      <c r="P149" s="37">
        <f>IF($K149="","",$K149-IF($O149="",0,$O149))</f>
        <v/>
      </c>
      <c r="Q149" s="31" t="n"/>
      <c r="R149" s="31" t="n"/>
      <c r="S149" s="31" t="n"/>
      <c r="T149" s="36">
        <f>IFERROR(INDEX(Listas!$B$2:$B$40,MATCH($S149,Listas!$A$2:$A$40,0)),"")</f>
        <v/>
      </c>
      <c r="U149" s="31" t="n"/>
      <c r="V149" s="33" t="n"/>
      <c r="W149" s="32" t="n"/>
      <c r="X149" s="31" t="n"/>
    </row>
    <row r="150" ht="22" customHeight="1">
      <c r="A150" s="32" t="n"/>
      <c r="B150" s="31" t="n"/>
      <c r="C150" s="31" t="n"/>
      <c r="D150" s="31" t="n"/>
      <c r="E150" s="31" t="n"/>
      <c r="F150" s="32" t="n"/>
      <c r="G150" s="31" t="n"/>
      <c r="H150" s="33" t="n"/>
      <c r="I150" s="31" t="n"/>
      <c r="J150" s="32" t="n"/>
      <c r="K150" s="34" t="n"/>
      <c r="L150" s="32" t="n"/>
      <c r="M150" s="35">
        <f>IFERROR(INDEX(Listas!$G$14:$G$21,MATCH($B150,Listas!$F$14:$F$21,0)),"")</f>
        <v/>
      </c>
      <c r="N150" s="36">
        <f>IF(OR($H150="",$L150=""),"",MIN($L150*12,MAX(0,DATEDIF($H150,Listas!$N$2,"m"))))</f>
        <v/>
      </c>
      <c r="O150" s="37">
        <f>IF(OR($K150="",$N150=""),"",MIN($K150,ROUND($K150*($M150/12)*$N150,2)))</f>
        <v/>
      </c>
      <c r="P150" s="37">
        <f>IF($K150="","",$K150-IF($O150="",0,$O150))</f>
        <v/>
      </c>
      <c r="Q150" s="31" t="n"/>
      <c r="R150" s="31" t="n"/>
      <c r="S150" s="31" t="n"/>
      <c r="T150" s="36">
        <f>IFERROR(INDEX(Listas!$B$2:$B$40,MATCH($S150,Listas!$A$2:$A$40,0)),"")</f>
        <v/>
      </c>
      <c r="U150" s="31" t="n"/>
      <c r="V150" s="33" t="n"/>
      <c r="W150" s="32" t="n"/>
      <c r="X150" s="31" t="n"/>
    </row>
    <row r="151" ht="22" customHeight="1">
      <c r="A151" s="32" t="n"/>
      <c r="B151" s="31" t="n"/>
      <c r="C151" s="31" t="n"/>
      <c r="D151" s="31" t="n"/>
      <c r="E151" s="31" t="n"/>
      <c r="F151" s="32" t="n"/>
      <c r="G151" s="31" t="n"/>
      <c r="H151" s="33" t="n"/>
      <c r="I151" s="31" t="n"/>
      <c r="J151" s="32" t="n"/>
      <c r="K151" s="34" t="n"/>
      <c r="L151" s="32" t="n"/>
      <c r="M151" s="35">
        <f>IFERROR(INDEX(Listas!$G$14:$G$21,MATCH($B151,Listas!$F$14:$F$21,0)),"")</f>
        <v/>
      </c>
      <c r="N151" s="36">
        <f>IF(OR($H151="",$L151=""),"",MIN($L151*12,MAX(0,DATEDIF($H151,Listas!$N$2,"m"))))</f>
        <v/>
      </c>
      <c r="O151" s="37">
        <f>IF(OR($K151="",$N151=""),"",MIN($K151,ROUND($K151*($M151/12)*$N151,2)))</f>
        <v/>
      </c>
      <c r="P151" s="37">
        <f>IF($K151="","",$K151-IF($O151="",0,$O151))</f>
        <v/>
      </c>
      <c r="Q151" s="31" t="n"/>
      <c r="R151" s="31" t="n"/>
      <c r="S151" s="31" t="n"/>
      <c r="T151" s="36">
        <f>IFERROR(INDEX(Listas!$B$2:$B$40,MATCH($S151,Listas!$A$2:$A$40,0)),"")</f>
        <v/>
      </c>
      <c r="U151" s="31" t="n"/>
      <c r="V151" s="33" t="n"/>
      <c r="W151" s="32" t="n"/>
      <c r="X151" s="31" t="n"/>
    </row>
    <row r="152" ht="22" customHeight="1">
      <c r="A152" s="32" t="n"/>
      <c r="B152" s="31" t="n"/>
      <c r="C152" s="31" t="n"/>
      <c r="D152" s="31" t="n"/>
      <c r="E152" s="31" t="n"/>
      <c r="F152" s="32" t="n"/>
      <c r="G152" s="31" t="n"/>
      <c r="H152" s="33" t="n"/>
      <c r="I152" s="31" t="n"/>
      <c r="J152" s="32" t="n"/>
      <c r="K152" s="34" t="n"/>
      <c r="L152" s="32" t="n"/>
      <c r="M152" s="35">
        <f>IFERROR(INDEX(Listas!$G$14:$G$21,MATCH($B152,Listas!$F$14:$F$21,0)),"")</f>
        <v/>
      </c>
      <c r="N152" s="36">
        <f>IF(OR($H152="",$L152=""),"",MIN($L152*12,MAX(0,DATEDIF($H152,Listas!$N$2,"m"))))</f>
        <v/>
      </c>
      <c r="O152" s="37">
        <f>IF(OR($K152="",$N152=""),"",MIN($K152,ROUND($K152*($M152/12)*$N152,2)))</f>
        <v/>
      </c>
      <c r="P152" s="37">
        <f>IF($K152="","",$K152-IF($O152="",0,$O152))</f>
        <v/>
      </c>
      <c r="Q152" s="31" t="n"/>
      <c r="R152" s="31" t="n"/>
      <c r="S152" s="31" t="n"/>
      <c r="T152" s="36">
        <f>IFERROR(INDEX(Listas!$B$2:$B$40,MATCH($S152,Listas!$A$2:$A$40,0)),"")</f>
        <v/>
      </c>
      <c r="U152" s="31" t="n"/>
      <c r="V152" s="33" t="n"/>
      <c r="W152" s="32" t="n"/>
      <c r="X152" s="31" t="n"/>
    </row>
    <row r="153" ht="22" customHeight="1">
      <c r="A153" s="32" t="n"/>
      <c r="B153" s="31" t="n"/>
      <c r="C153" s="31" t="n"/>
      <c r="D153" s="31" t="n"/>
      <c r="E153" s="31" t="n"/>
      <c r="F153" s="32" t="n"/>
      <c r="G153" s="31" t="n"/>
      <c r="H153" s="33" t="n"/>
      <c r="I153" s="31" t="n"/>
      <c r="J153" s="32" t="n"/>
      <c r="K153" s="34" t="n"/>
      <c r="L153" s="32" t="n"/>
      <c r="M153" s="35">
        <f>IFERROR(INDEX(Listas!$G$14:$G$21,MATCH($B153,Listas!$F$14:$F$21,0)),"")</f>
        <v/>
      </c>
      <c r="N153" s="36">
        <f>IF(OR($H153="",$L153=""),"",MIN($L153*12,MAX(0,DATEDIF($H153,Listas!$N$2,"m"))))</f>
        <v/>
      </c>
      <c r="O153" s="37">
        <f>IF(OR($K153="",$N153=""),"",MIN($K153,ROUND($K153*($M153/12)*$N153,2)))</f>
        <v/>
      </c>
      <c r="P153" s="37">
        <f>IF($K153="","",$K153-IF($O153="",0,$O153))</f>
        <v/>
      </c>
      <c r="Q153" s="31" t="n"/>
      <c r="R153" s="31" t="n"/>
      <c r="S153" s="31" t="n"/>
      <c r="T153" s="36">
        <f>IFERROR(INDEX(Listas!$B$2:$B$40,MATCH($S153,Listas!$A$2:$A$40,0)),"")</f>
        <v/>
      </c>
      <c r="U153" s="31" t="n"/>
      <c r="V153" s="33" t="n"/>
      <c r="W153" s="32" t="n"/>
      <c r="X153" s="31" t="n"/>
    </row>
    <row r="154" ht="22" customHeight="1">
      <c r="A154" s="32" t="n"/>
      <c r="B154" s="31" t="n"/>
      <c r="C154" s="31" t="n"/>
      <c r="D154" s="31" t="n"/>
      <c r="E154" s="31" t="n"/>
      <c r="F154" s="32" t="n"/>
      <c r="G154" s="31" t="n"/>
      <c r="H154" s="33" t="n"/>
      <c r="I154" s="31" t="n"/>
      <c r="J154" s="32" t="n"/>
      <c r="K154" s="34" t="n"/>
      <c r="L154" s="32" t="n"/>
      <c r="M154" s="35">
        <f>IFERROR(INDEX(Listas!$G$14:$G$21,MATCH($B154,Listas!$F$14:$F$21,0)),"")</f>
        <v/>
      </c>
      <c r="N154" s="36">
        <f>IF(OR($H154="",$L154=""),"",MIN($L154*12,MAX(0,DATEDIF($H154,Listas!$N$2,"m"))))</f>
        <v/>
      </c>
      <c r="O154" s="37">
        <f>IF(OR($K154="",$N154=""),"",MIN($K154,ROUND($K154*($M154/12)*$N154,2)))</f>
        <v/>
      </c>
      <c r="P154" s="37">
        <f>IF($K154="","",$K154-IF($O154="",0,$O154))</f>
        <v/>
      </c>
      <c r="Q154" s="31" t="n"/>
      <c r="R154" s="31" t="n"/>
      <c r="S154" s="31" t="n"/>
      <c r="T154" s="36">
        <f>IFERROR(INDEX(Listas!$B$2:$B$40,MATCH($S154,Listas!$A$2:$A$40,0)),"")</f>
        <v/>
      </c>
      <c r="U154" s="31" t="n"/>
      <c r="V154" s="33" t="n"/>
      <c r="W154" s="32" t="n"/>
      <c r="X154" s="31" t="n"/>
    </row>
    <row r="155" ht="22" customHeight="1">
      <c r="A155" s="32" t="n"/>
      <c r="B155" s="31" t="n"/>
      <c r="C155" s="31" t="n"/>
      <c r="D155" s="31" t="n"/>
      <c r="E155" s="31" t="n"/>
      <c r="F155" s="32" t="n"/>
      <c r="G155" s="31" t="n"/>
      <c r="H155" s="33" t="n"/>
      <c r="I155" s="31" t="n"/>
      <c r="J155" s="32" t="n"/>
      <c r="K155" s="34" t="n"/>
      <c r="L155" s="32" t="n"/>
      <c r="M155" s="35">
        <f>IFERROR(INDEX(Listas!$G$14:$G$21,MATCH($B155,Listas!$F$14:$F$21,0)),"")</f>
        <v/>
      </c>
      <c r="N155" s="36">
        <f>IF(OR($H155="",$L155=""),"",MIN($L155*12,MAX(0,DATEDIF($H155,Listas!$N$2,"m"))))</f>
        <v/>
      </c>
      <c r="O155" s="37">
        <f>IF(OR($K155="",$N155=""),"",MIN($K155,ROUND($K155*($M155/12)*$N155,2)))</f>
        <v/>
      </c>
      <c r="P155" s="37">
        <f>IF($K155="","",$K155-IF($O155="",0,$O155))</f>
        <v/>
      </c>
      <c r="Q155" s="31" t="n"/>
      <c r="R155" s="31" t="n"/>
      <c r="S155" s="31" t="n"/>
      <c r="T155" s="36">
        <f>IFERROR(INDEX(Listas!$B$2:$B$40,MATCH($S155,Listas!$A$2:$A$40,0)),"")</f>
        <v/>
      </c>
      <c r="U155" s="31" t="n"/>
      <c r="V155" s="33" t="n"/>
      <c r="W155" s="32" t="n"/>
      <c r="X155" s="31" t="n"/>
    </row>
    <row r="156" ht="22" customHeight="1">
      <c r="A156" s="32" t="n"/>
      <c r="B156" s="31" t="n"/>
      <c r="C156" s="31" t="n"/>
      <c r="D156" s="31" t="n"/>
      <c r="E156" s="31" t="n"/>
      <c r="F156" s="32" t="n"/>
      <c r="G156" s="31" t="n"/>
      <c r="H156" s="33" t="n"/>
      <c r="I156" s="31" t="n"/>
      <c r="J156" s="32" t="n"/>
      <c r="K156" s="34" t="n"/>
      <c r="L156" s="32" t="n"/>
      <c r="M156" s="35">
        <f>IFERROR(INDEX(Listas!$G$14:$G$21,MATCH($B156,Listas!$F$14:$F$21,0)),"")</f>
        <v/>
      </c>
      <c r="N156" s="36">
        <f>IF(OR($H156="",$L156=""),"",MIN($L156*12,MAX(0,DATEDIF($H156,Listas!$N$2,"m"))))</f>
        <v/>
      </c>
      <c r="O156" s="37">
        <f>IF(OR($K156="",$N156=""),"",MIN($K156,ROUND($K156*($M156/12)*$N156,2)))</f>
        <v/>
      </c>
      <c r="P156" s="37">
        <f>IF($K156="","",$K156-IF($O156="",0,$O156))</f>
        <v/>
      </c>
      <c r="Q156" s="31" t="n"/>
      <c r="R156" s="31" t="n"/>
      <c r="S156" s="31" t="n"/>
      <c r="T156" s="36">
        <f>IFERROR(INDEX(Listas!$B$2:$B$40,MATCH($S156,Listas!$A$2:$A$40,0)),"")</f>
        <v/>
      </c>
      <c r="U156" s="31" t="n"/>
      <c r="V156" s="33" t="n"/>
      <c r="W156" s="32" t="n"/>
      <c r="X156" s="31" t="n"/>
    </row>
    <row r="158">
      <c r="A158" s="40" t="inlineStr">
        <is>
          <t xml:space="preserve">  COMO USAR ESTA ABA</t>
        </is>
      </c>
    </row>
    <row r="159">
      <c r="A159" s="41" t="inlineStr">
        <is>
          <t>1.  Células de fundo creme são de preenchimento manual. Células de fundo cinza-azulado são calculadas — não editar.</t>
        </is>
      </c>
    </row>
    <row r="160">
      <c r="A160" s="41" t="inlineStr">
        <is>
          <t>2.  As dez primeiras linhas são o parque instalado já conhecido: complete data de aquisição, valor, fornecedor e nota fiscal.</t>
        </is>
      </c>
    </row>
    <row r="161">
      <c r="A161" s="41" t="inlineStr">
        <is>
          <t>3.  Uma linha por unidade física, sempre — cinco parafusadeiras iguais são cinco linhas, com cinco códigos. É o que permite saber quem está com qual.</t>
        </is>
      </c>
    </row>
    <row r="162">
      <c r="A162" s="41" t="inlineStr">
        <is>
          <t>4.  Itens idênticos compartilham o mesmo Modelo padrão (SKU). É por ele que o Dashboard e o Kit Padrão agrupam as unidades.</t>
        </is>
      </c>
    </row>
    <row r="163">
      <c r="A163" s="41" t="inlineStr">
        <is>
          <t>5.  As doze linhas seguintes são um kit de referência com valores de exemplo — ajuste conforme a compra real.</t>
        </is>
      </c>
    </row>
    <row r="164">
      <c r="A164" s="41" t="inlineStr">
        <is>
          <t>6.  Depreciação linear: valor de aquisição × taxa anual ÷ 12 × meses de uso, limitada ao valor de aquisição.</t>
        </is>
      </c>
    </row>
    <row r="165">
      <c r="A165" s="41" t="inlineStr">
        <is>
          <t>7.  Ao ceder um item, preencha Responsável, Estado na entrega e Data de entrega, e gere o termo na aba da pessoa.</t>
        </is>
      </c>
    </row>
  </sheetData>
  <autoFilter ref="A6:X156"/>
  <mergeCells count="12">
    <mergeCell ref="A163:H163"/>
    <mergeCell ref="A3:X3"/>
    <mergeCell ref="A162:H162"/>
    <mergeCell ref="A4:X4"/>
    <mergeCell ref="A2:X2"/>
    <mergeCell ref="A165:H165"/>
    <mergeCell ref="A160:H160"/>
    <mergeCell ref="A161:H161"/>
    <mergeCell ref="A1:X1"/>
    <mergeCell ref="A164:H164"/>
    <mergeCell ref="A158:H158"/>
    <mergeCell ref="A159:H159"/>
  </mergeCells>
  <dataValidations count="7">
    <dataValidation sqref="B7:B156" showDropDown="0" showInputMessage="0" showErrorMessage="0" allowBlank="1" type="list">
      <formula1>=Listas!$F$2:$F$9</formula1>
    </dataValidation>
    <dataValidation sqref="F7:F156" showDropDown="0" showInputMessage="0" showErrorMessage="0" allowBlank="1" type="list">
      <formula1>=Listas!$P$2:$P$31</formula1>
    </dataValidation>
    <dataValidation sqref="Q7:Q156" showDropDown="0" showInputMessage="0" showErrorMessage="0" allowBlank="1" type="list">
      <formula1>=Listas!$G$2:$G$6</formula1>
    </dataValidation>
    <dataValidation sqref="R7:R156" showDropDown="0" showInputMessage="0" showErrorMessage="0" allowBlank="1" type="list">
      <formula1>=Listas!$H$2:$H$6</formula1>
    </dataValidation>
    <dataValidation sqref="S7:S156" showDropDown="0" showInputMessage="0" showErrorMessage="0" allowBlank="1" type="list">
      <formula1>=Listas!$A$2:$A$9</formula1>
    </dataValidation>
    <dataValidation sqref="U7:U156" showDropDown="0" showInputMessage="0" showErrorMessage="0" allowBlank="1" type="list">
      <formula1>=Listas!$J$2:$J$5</formula1>
    </dataValidation>
    <dataValidation sqref="W7:W156" showDropDown="0" showInputMessage="0" showErrorMessage="0" allowBlank="1" type="list">
      <formula1>=Listas!$I$2:$I$3</formula1>
    </dataValidation>
  </dataValidations>
  <pageMargins left="0.45" right="0.35" top="0.4" bottom="0.35" header="0.5" footer="0.5"/>
  <pageSetup orientation="landscape" paperSize="9" fitToHeight="0" fitToWidth="1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J25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44" customWidth="1" min="2" max="2"/>
    <col width="20" customWidth="1" min="3" max="3"/>
    <col width="11" customWidth="1" min="4" max="4"/>
    <col width="14" customWidth="1" min="5" max="5"/>
    <col width="14" customWidth="1" min="6" max="6"/>
    <col width="14" customWidth="1" min="7" max="7"/>
    <col width="11" customWidth="1" min="8" max="8"/>
    <col width="12" customWidth="1" min="9" max="9"/>
    <col width="15" customWidth="1" min="10" max="10"/>
  </cols>
  <sheetData>
    <row r="1" ht="26" customHeight="1">
      <c r="A1" s="1" t="inlineStr">
        <is>
          <t>VALVIC MARCENARIA</t>
        </is>
      </c>
    </row>
    <row r="2" ht="15" customHeight="1">
      <c r="A2" s="2" t="inlineStr">
        <is>
          <t>Vargas Decor Ltda   ·   CNPJ 17.269.304/0001-51   ·   Belo Horizonte / MG</t>
        </is>
      </c>
    </row>
    <row r="3" ht="28" customHeight="1">
      <c r="A3" s="3" t="inlineStr">
        <is>
          <t>KIT PADRÃO</t>
        </is>
      </c>
    </row>
    <row r="4" ht="17" customHeight="1">
      <c r="A4" s="4" t="inlineStr">
        <is>
          <t>O que compõe um kit completo · e quantos kits o estoque atual permite montar</t>
        </is>
      </c>
    </row>
    <row r="6" ht="30" customHeight="1">
      <c r="A6" s="29" t="inlineStr">
        <is>
          <t>Modelo padrão (SKU)</t>
        </is>
      </c>
      <c r="B6" s="29" t="inlineStr">
        <is>
          <t>Item</t>
        </is>
      </c>
      <c r="C6" s="29" t="inlineStr">
        <is>
          <t>Categoria</t>
        </is>
      </c>
      <c r="D6" s="29" t="inlineStr">
        <is>
          <t>Qtd por kit</t>
        </is>
      </c>
      <c r="E6" s="29" t="inlineStr">
        <is>
          <t>Valor unitário</t>
        </is>
      </c>
      <c r="F6" s="29" t="inlineStr">
        <is>
          <t>Valor por kit</t>
        </is>
      </c>
      <c r="G6" s="29" t="inlineStr">
        <is>
          <t>Unidades cadastradas</t>
        </is>
      </c>
      <c r="H6" s="29" t="inlineStr">
        <is>
          <t>Já cedidas</t>
        </is>
      </c>
      <c r="I6" s="29" t="inlineStr">
        <is>
          <t>Disponíveis</t>
        </is>
      </c>
      <c r="J6" s="29" t="inlineStr">
        <is>
          <t>Kits completos possíveis</t>
        </is>
      </c>
    </row>
    <row r="7" ht="21" customHeight="1">
      <c r="A7" s="42" t="inlineStr">
        <is>
          <t>PARAF-MAK-DHP482</t>
        </is>
      </c>
      <c r="B7" s="31" t="inlineStr">
        <is>
          <t>Parafusadeira / furadeira de impacto a bateria 18V com 2 baterias</t>
        </is>
      </c>
      <c r="C7" s="31" t="inlineStr">
        <is>
          <t>Ferramenta elétrica</t>
        </is>
      </c>
      <c r="D7" s="32" t="n">
        <v>1</v>
      </c>
      <c r="E7" s="34" t="n">
        <v>890</v>
      </c>
      <c r="F7" s="37">
        <f>IF(OR($D7="",$E7=""),"",$D7*$E7)</f>
        <v/>
      </c>
      <c r="G7" s="36">
        <f>COUNTIF('Patrimônio Geral'!$F$7:$F$156,$A7)</f>
        <v/>
      </c>
      <c r="H7" s="36">
        <f>COUNTIFS('Patrimônio Geral'!$F$7:$F$156,$A7,'Patrimônio Geral'!$S$7:$S$156,"?*")</f>
        <v/>
      </c>
      <c r="I7" s="36">
        <f>$G7-$H7</f>
        <v/>
      </c>
      <c r="J7" s="36">
        <f>IF($D7=0,"",INT($G7/$D7))</f>
        <v/>
      </c>
    </row>
    <row r="8" ht="21" customHeight="1">
      <c r="A8" s="42" t="inlineStr">
        <is>
          <t>SERRA-BOS-GKS150</t>
        </is>
      </c>
      <c r="B8" s="31" t="inlineStr">
        <is>
          <t>Serra circular manual 7.1/4"</t>
        </is>
      </c>
      <c r="C8" s="31" t="inlineStr">
        <is>
          <t>Ferramenta elétrica</t>
        </is>
      </c>
      <c r="D8" s="32" t="n">
        <v>1</v>
      </c>
      <c r="E8" s="34" t="n">
        <v>690</v>
      </c>
      <c r="F8" s="37">
        <f>IF(OR($D8="",$E8=""),"",$D8*$E8)</f>
        <v/>
      </c>
      <c r="G8" s="36">
        <f>COUNTIF('Patrimônio Geral'!$F$7:$F$156,$A8)</f>
        <v/>
      </c>
      <c r="H8" s="36">
        <f>COUNTIFS('Patrimônio Geral'!$F$7:$F$156,$A8,'Patrimônio Geral'!$S$7:$S$156,"?*")</f>
        <v/>
      </c>
      <c r="I8" s="36">
        <f>$G8-$H8</f>
        <v/>
      </c>
      <c r="J8" s="36">
        <f>IF($D8=0,"",INT($G8/$D8))</f>
        <v/>
      </c>
    </row>
    <row r="9" ht="21" customHeight="1">
      <c r="A9" s="42" t="inlineStr">
        <is>
          <t>TUPIA-MAK-RT0700C</t>
        </is>
      </c>
      <c r="B9" s="31" t="inlineStr">
        <is>
          <t>Tupia manual 1/4"</t>
        </is>
      </c>
      <c r="C9" s="31" t="inlineStr">
        <is>
          <t>Ferramenta elétrica</t>
        </is>
      </c>
      <c r="D9" s="32" t="n">
        <v>1</v>
      </c>
      <c r="E9" s="34" t="n">
        <v>780</v>
      </c>
      <c r="F9" s="37">
        <f>IF(OR($D9="",$E9=""),"",$D9*$E9)</f>
        <v/>
      </c>
      <c r="G9" s="36">
        <f>COUNTIF('Patrimônio Geral'!$F$7:$F$156,$A9)</f>
        <v/>
      </c>
      <c r="H9" s="36">
        <f>COUNTIFS('Patrimônio Geral'!$F$7:$F$156,$A9,'Patrimônio Geral'!$S$7:$S$156,"?*")</f>
        <v/>
      </c>
      <c r="I9" s="36">
        <f>$G9-$H9</f>
        <v/>
      </c>
      <c r="J9" s="36">
        <f>IF($D9=0,"",INT($G9/$D9))</f>
        <v/>
      </c>
    </row>
    <row r="10" ht="21" customHeight="1">
      <c r="A10" s="42" t="inlineStr">
        <is>
          <t>LIXA-BOS-GSS140</t>
        </is>
      </c>
      <c r="B10" s="31" t="inlineStr">
        <is>
          <t>Lixadeira orbital 1/4 de folha</t>
        </is>
      </c>
      <c r="C10" s="31" t="inlineStr">
        <is>
          <t>Ferramenta elétrica</t>
        </is>
      </c>
      <c r="D10" s="32" t="n">
        <v>1</v>
      </c>
      <c r="E10" s="34" t="n">
        <v>380</v>
      </c>
      <c r="F10" s="37">
        <f>IF(OR($D10="",$E10=""),"",$D10*$E10)</f>
        <v/>
      </c>
      <c r="G10" s="36">
        <f>COUNTIF('Patrimônio Geral'!$F$7:$F$156,$A10)</f>
        <v/>
      </c>
      <c r="H10" s="36">
        <f>COUNTIFS('Patrimônio Geral'!$F$7:$F$156,$A10,'Patrimônio Geral'!$S$7:$S$156,"?*")</f>
        <v/>
      </c>
      <c r="I10" s="36">
        <f>$G10-$H10</f>
        <v/>
      </c>
      <c r="J10" s="36">
        <f>IF($D10=0,"",INT($G10/$D10))</f>
        <v/>
      </c>
    </row>
    <row r="11" ht="21" customHeight="1">
      <c r="A11" s="42" t="inlineStr">
        <is>
          <t>FORMAO-TRA-4P</t>
        </is>
      </c>
      <c r="B11" s="31" t="inlineStr">
        <is>
          <t>Jogo de formões 4 peças</t>
        </is>
      </c>
      <c r="C11" s="31" t="inlineStr">
        <is>
          <t>Ferramenta manual</t>
        </is>
      </c>
      <c r="D11" s="32" t="n">
        <v>1</v>
      </c>
      <c r="E11" s="34" t="n">
        <v>180</v>
      </c>
      <c r="F11" s="37">
        <f>IF(OR($D11="",$E11=""),"",$D11*$E11)</f>
        <v/>
      </c>
      <c r="G11" s="36">
        <f>COUNTIF('Patrimônio Geral'!$F$7:$F$156,$A11)</f>
        <v/>
      </c>
      <c r="H11" s="36">
        <f>COUNTIFS('Patrimônio Geral'!$F$7:$F$156,$A11,'Patrimônio Geral'!$S$7:$S$156,"?*")</f>
        <v/>
      </c>
      <c r="I11" s="36">
        <f>$G11-$H11</f>
        <v/>
      </c>
      <c r="J11" s="36">
        <f>IF($D11=0,"",INT($G11/$D11))</f>
        <v/>
      </c>
    </row>
    <row r="12" ht="21" customHeight="1">
      <c r="A12" s="42" t="inlineStr">
        <is>
          <t>MARTELO-TRA-27</t>
        </is>
      </c>
      <c r="B12" s="31" t="inlineStr">
        <is>
          <t>Martelo unha 27 mm cabo de fibra</t>
        </is>
      </c>
      <c r="C12" s="31" t="inlineStr">
        <is>
          <t>Ferramenta manual</t>
        </is>
      </c>
      <c r="D12" s="32" t="n">
        <v>1</v>
      </c>
      <c r="E12" s="34" t="n">
        <v>75</v>
      </c>
      <c r="F12" s="37">
        <f>IF(OR($D12="",$E12=""),"",$D12*$E12)</f>
        <v/>
      </c>
      <c r="G12" s="36">
        <f>COUNTIF('Patrimônio Geral'!$F$7:$F$156,$A12)</f>
        <v/>
      </c>
      <c r="H12" s="36">
        <f>COUNTIFS('Patrimônio Geral'!$F$7:$F$156,$A12,'Patrimônio Geral'!$S$7:$S$156,"?*")</f>
        <v/>
      </c>
      <c r="I12" s="36">
        <f>$G12-$H12</f>
        <v/>
      </c>
      <c r="J12" s="36">
        <f>IF($D12=0,"",INT($G12/$D12))</f>
        <v/>
      </c>
    </row>
    <row r="13" ht="21" customHeight="1">
      <c r="A13" s="42" t="inlineStr">
        <is>
          <t>CHAVES-GED-6P</t>
        </is>
      </c>
      <c r="B13" s="31" t="inlineStr">
        <is>
          <t>Jogo de chaves de fenda e philips 6 peças</t>
        </is>
      </c>
      <c r="C13" s="31" t="inlineStr">
        <is>
          <t>Ferramenta manual</t>
        </is>
      </c>
      <c r="D13" s="32" t="n">
        <v>1</v>
      </c>
      <c r="E13" s="34" t="n">
        <v>130</v>
      </c>
      <c r="F13" s="37">
        <f>IF(OR($D13="",$E13=""),"",$D13*$E13)</f>
        <v/>
      </c>
      <c r="G13" s="36">
        <f>COUNTIF('Patrimônio Geral'!$F$7:$F$156,$A13)</f>
        <v/>
      </c>
      <c r="H13" s="36">
        <f>COUNTIFS('Patrimônio Geral'!$F$7:$F$156,$A13,'Patrimônio Geral'!$S$7:$S$156,"?*")</f>
        <v/>
      </c>
      <c r="I13" s="36">
        <f>$G13-$H13</f>
        <v/>
      </c>
      <c r="J13" s="36">
        <f>IF($D13=0,"",INT($G13/$D13))</f>
        <v/>
      </c>
    </row>
    <row r="14" ht="21" customHeight="1">
      <c r="A14" s="42" t="inlineStr">
        <is>
          <t>SARGENTO-VON-300</t>
        </is>
      </c>
      <c r="B14" s="31" t="inlineStr">
        <is>
          <t>Grampo sargento 300 mm — par</t>
        </is>
      </c>
      <c r="C14" s="31" t="inlineStr">
        <is>
          <t>Ferramenta manual</t>
        </is>
      </c>
      <c r="D14" s="32" t="n">
        <v>1</v>
      </c>
      <c r="E14" s="34" t="n">
        <v>160</v>
      </c>
      <c r="F14" s="37">
        <f>IF(OR($D14="",$E14=""),"",$D14*$E14)</f>
        <v/>
      </c>
      <c r="G14" s="36">
        <f>COUNTIF('Patrimônio Geral'!$F$7:$F$156,$A14)</f>
        <v/>
      </c>
      <c r="H14" s="36">
        <f>COUNTIFS('Patrimônio Geral'!$F$7:$F$156,$A14,'Patrimônio Geral'!$S$7:$S$156,"?*")</f>
        <v/>
      </c>
      <c r="I14" s="36">
        <f>$G14-$H14</f>
        <v/>
      </c>
      <c r="J14" s="36">
        <f>IF($D14=0,"",INT($G14/$D14))</f>
        <v/>
      </c>
    </row>
    <row r="15" ht="21" customHeight="1">
      <c r="A15" s="42" t="inlineStr">
        <is>
          <t>TRENA-STA-5M</t>
        </is>
      </c>
      <c r="B15" s="31" t="inlineStr">
        <is>
          <t>Trena 5 m</t>
        </is>
      </c>
      <c r="C15" s="31" t="inlineStr">
        <is>
          <t>Instrumento de medição</t>
        </is>
      </c>
      <c r="D15" s="32" t="n">
        <v>1</v>
      </c>
      <c r="E15" s="34" t="n">
        <v>55</v>
      </c>
      <c r="F15" s="37">
        <f>IF(OR($D15="",$E15=""),"",$D15*$E15)</f>
        <v/>
      </c>
      <c r="G15" s="36">
        <f>COUNTIF('Patrimônio Geral'!$F$7:$F$156,$A15)</f>
        <v/>
      </c>
      <c r="H15" s="36">
        <f>COUNTIFS('Patrimônio Geral'!$F$7:$F$156,$A15,'Patrimônio Geral'!$S$7:$S$156,"?*")</f>
        <v/>
      </c>
      <c r="I15" s="36">
        <f>$G15-$H15</f>
        <v/>
      </c>
      <c r="J15" s="36">
        <f>IF($D15=0,"",INT($G15/$D15))</f>
        <v/>
      </c>
    </row>
    <row r="16" ht="21" customHeight="1">
      <c r="A16" s="42" t="inlineStr">
        <is>
          <t>ESQUADRO-STA-300</t>
        </is>
      </c>
      <c r="B16" s="31" t="inlineStr">
        <is>
          <t>Esquadro de precisão 300 mm</t>
        </is>
      </c>
      <c r="C16" s="31" t="inlineStr">
        <is>
          <t>Instrumento de medição</t>
        </is>
      </c>
      <c r="D16" s="32" t="n">
        <v>1</v>
      </c>
      <c r="E16" s="34" t="n">
        <v>120</v>
      </c>
      <c r="F16" s="37">
        <f>IF(OR($D16="",$E16=""),"",$D16*$E16)</f>
        <v/>
      </c>
      <c r="G16" s="36">
        <f>COUNTIF('Patrimônio Geral'!$F$7:$F$156,$A16)</f>
        <v/>
      </c>
      <c r="H16" s="36">
        <f>COUNTIFS('Patrimônio Geral'!$F$7:$F$156,$A16,'Patrimônio Geral'!$S$7:$S$156,"?*")</f>
        <v/>
      </c>
      <c r="I16" s="36">
        <f>$G16-$H16</f>
        <v/>
      </c>
      <c r="J16" s="36">
        <f>IF($D16=0,"",INT($G16/$D16))</f>
        <v/>
      </c>
    </row>
    <row r="17" ht="21" customHeight="1">
      <c r="A17" s="42" t="inlineStr">
        <is>
          <t>LASER-BOS-GLL210</t>
        </is>
      </c>
      <c r="B17" s="31" t="inlineStr">
        <is>
          <t>Nível a laser de linha</t>
        </is>
      </c>
      <c r="C17" s="31" t="inlineStr">
        <is>
          <t>Instrumento de medição</t>
        </is>
      </c>
      <c r="D17" s="32" t="n">
        <v>1</v>
      </c>
      <c r="E17" s="34" t="n">
        <v>520</v>
      </c>
      <c r="F17" s="37">
        <f>IF(OR($D17="",$E17=""),"",$D17*$E17)</f>
        <v/>
      </c>
      <c r="G17" s="36">
        <f>COUNTIF('Patrimônio Geral'!$F$7:$F$156,$A17)</f>
        <v/>
      </c>
      <c r="H17" s="36">
        <f>COUNTIFS('Patrimônio Geral'!$F$7:$F$156,$A17,'Patrimônio Geral'!$S$7:$S$156,"?*")</f>
        <v/>
      </c>
      <c r="I17" s="36">
        <f>$G17-$H17</f>
        <v/>
      </c>
      <c r="J17" s="36">
        <f>IF($D17=0,"",INT($G17/$D17))</f>
        <v/>
      </c>
    </row>
    <row r="18" ht="21" customHeight="1">
      <c r="A18" s="42" t="inlineStr">
        <is>
          <t>MALETA-TRA-ORG</t>
        </is>
      </c>
      <c r="B18" s="31" t="inlineStr">
        <is>
          <t>Maleta / caixa organizadora de ferramentas</t>
        </is>
      </c>
      <c r="C18" s="31" t="inlineStr">
        <is>
          <t>Ferramenta manual</t>
        </is>
      </c>
      <c r="D18" s="32" t="n">
        <v>1</v>
      </c>
      <c r="E18" s="34" t="n">
        <v>210</v>
      </c>
      <c r="F18" s="37">
        <f>IF(OR($D18="",$E18=""),"",$D18*$E18)</f>
        <v/>
      </c>
      <c r="G18" s="36">
        <f>COUNTIF('Patrimônio Geral'!$F$7:$F$156,$A18)</f>
        <v/>
      </c>
      <c r="H18" s="36">
        <f>COUNTIFS('Patrimônio Geral'!$F$7:$F$156,$A18,'Patrimônio Geral'!$S$7:$S$156,"?*")</f>
        <v/>
      </c>
      <c r="I18" s="36">
        <f>$G18-$H18</f>
        <v/>
      </c>
      <c r="J18" s="36">
        <f>IF($D18=0,"",INT($G18/$D18))</f>
        <v/>
      </c>
    </row>
    <row r="19" ht="22" customHeight="1">
      <c r="A19" s="21" t="inlineStr">
        <is>
          <t>TOTAL</t>
        </is>
      </c>
      <c r="B19" s="27" t="n"/>
      <c r="C19" s="27" t="n"/>
      <c r="D19" s="27" t="n"/>
      <c r="E19" s="27" t="n"/>
      <c r="F19" s="43">
        <f>SUM(F7:F18)</f>
        <v/>
      </c>
      <c r="G19" s="22">
        <f>SUM(G7:G18)</f>
        <v/>
      </c>
      <c r="H19" s="22">
        <f>SUM(H7:H18)</f>
        <v/>
      </c>
      <c r="I19" s="22">
        <f>SUM(I7:I18)</f>
        <v/>
      </c>
      <c r="J19" s="22">
        <f>MIN(J7:J18)</f>
        <v/>
      </c>
    </row>
    <row r="21">
      <c r="A21" s="40" t="inlineStr">
        <is>
          <t xml:space="preserve">  COMO LER</t>
        </is>
      </c>
    </row>
    <row r="22">
      <c r="A22" s="41" t="inlineStr">
        <is>
          <t>1.  Esta aba define o que é um kit completo. A quantidade vive aqui — no desenho do kit — e não no cadastro de bens.</t>
        </is>
      </c>
    </row>
    <row r="23">
      <c r="A23" s="41" t="inlineStr">
        <is>
          <t>2.  "Unidades cadastradas" conta quantas unidades daquele SKU existem na aba Patrimônio Geral. "Já cedidas" conta as que têm responsável.</t>
        </is>
      </c>
    </row>
    <row r="24">
      <c r="A24" s="41" t="inlineStr">
        <is>
          <t>3.  "Kits completos possíveis" é quantos kits inteiros o estoque atual permite montar — o menor valor da coluna manda no total.</t>
        </is>
      </c>
    </row>
    <row r="25">
      <c r="A25" s="41" t="inlineStr">
        <is>
          <t>4.  Para incluir um item novo no kit: cadastre o SKU na aba Listas, acrescente a linha aqui e registre cada unidade física no Patrimônio Geral.</t>
        </is>
      </c>
    </row>
  </sheetData>
  <mergeCells count="10">
    <mergeCell ref="A1:J1"/>
    <mergeCell ref="A23:J23"/>
    <mergeCell ref="A22:J22"/>
    <mergeCell ref="A3:J3"/>
    <mergeCell ref="A19:E19"/>
    <mergeCell ref="A21:J21"/>
    <mergeCell ref="A4:J4"/>
    <mergeCell ref="A24:J24"/>
    <mergeCell ref="A2:J2"/>
    <mergeCell ref="A25:J25"/>
  </mergeCells>
  <pageMargins left="0.45" right="0.35" top="0.4" bottom="0.35" header="0.5" footer="0.5"/>
  <pageSetup orientation="landscape"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J106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4" customWidth="1" min="3" max="3"/>
    <col width="18" customWidth="1" min="4" max="4"/>
    <col width="20" customWidth="1" min="5" max="5"/>
    <col width="20" customWidth="1" min="6" max="6"/>
    <col width="16" customWidth="1" min="7" max="7"/>
    <col width="20" customWidth="1" min="8" max="8"/>
    <col width="18" customWidth="1" min="9" max="9"/>
    <col width="40" customWidth="1" min="10" max="10"/>
  </cols>
  <sheetData>
    <row r="1" ht="26" customHeight="1">
      <c r="A1" s="1" t="inlineStr">
        <is>
          <t>VALVIC MARCENARIA</t>
        </is>
      </c>
    </row>
    <row r="2" ht="15" customHeight="1">
      <c r="A2" s="2" t="inlineStr">
        <is>
          <t>Vargas Decor Ltda   ·   CNPJ 17.269.304/0001-51   ·   Belo Horizonte / MG</t>
        </is>
      </c>
    </row>
    <row r="3" ht="28" customHeight="1">
      <c r="A3" s="3" t="inlineStr">
        <is>
          <t>MOVIMENTAÇÕES</t>
        </is>
      </c>
    </row>
    <row r="4" ht="17" customHeight="1">
      <c r="A4" s="4" t="inlineStr">
        <is>
          <t>Histórico de entregas, devoluções, manutenções e baixas — uma linha por evento</t>
        </is>
      </c>
    </row>
    <row r="6" ht="30" customHeight="1">
      <c r="A6" s="29" t="inlineStr">
        <is>
          <t>Data</t>
        </is>
      </c>
      <c r="B6" s="29" t="inlineStr">
        <is>
          <t>Código do item</t>
        </is>
      </c>
      <c r="C6" s="29" t="inlineStr">
        <is>
          <t>Descrição</t>
        </is>
      </c>
      <c r="D6" s="29" t="inlineStr">
        <is>
          <t>Movimento</t>
        </is>
      </c>
      <c r="E6" s="29" t="inlineStr">
        <is>
          <t>De</t>
        </is>
      </c>
      <c r="F6" s="29" t="inlineStr">
        <is>
          <t>Para</t>
        </is>
      </c>
      <c r="G6" s="29" t="inlineStr">
        <is>
          <t>Estado do item</t>
        </is>
      </c>
      <c r="H6" s="29" t="inlineStr">
        <is>
          <t>Documento / termo</t>
        </is>
      </c>
      <c r="I6" s="29" t="inlineStr">
        <is>
          <t>Registrado por</t>
        </is>
      </c>
      <c r="J6" s="29" t="inlineStr">
        <is>
          <t>Observações</t>
        </is>
      </c>
    </row>
    <row r="7" ht="20" customHeight="1">
      <c r="A7" s="33" t="n"/>
      <c r="B7" s="32" t="n"/>
      <c r="C7" s="44">
        <f>IFERROR(INDEX('Patrimônio Geral'!$C$7:$C$156,MATCH($B7,'Patrimônio Geral'!$A$7:$A$156,0)),"")</f>
        <v/>
      </c>
      <c r="D7" s="32" t="n"/>
      <c r="E7" s="31" t="n"/>
      <c r="F7" s="31" t="n"/>
      <c r="G7" s="32" t="n"/>
      <c r="H7" s="31" t="n"/>
      <c r="I7" s="31" t="n"/>
      <c r="J7" s="31" t="n"/>
    </row>
    <row r="8" ht="20" customHeight="1">
      <c r="A8" s="33" t="n"/>
      <c r="B8" s="32" t="n"/>
      <c r="C8" s="44">
        <f>IFERROR(INDEX('Patrimônio Geral'!$C$7:$C$156,MATCH($B8,'Patrimônio Geral'!$A$7:$A$156,0)),"")</f>
        <v/>
      </c>
      <c r="D8" s="32" t="n"/>
      <c r="E8" s="31" t="n"/>
      <c r="F8" s="31" t="n"/>
      <c r="G8" s="32" t="n"/>
      <c r="H8" s="31" t="n"/>
      <c r="I8" s="31" t="n"/>
      <c r="J8" s="31" t="n"/>
    </row>
    <row r="9" ht="20" customHeight="1">
      <c r="A9" s="33" t="n"/>
      <c r="B9" s="32" t="n"/>
      <c r="C9" s="44">
        <f>IFERROR(INDEX('Patrimônio Geral'!$C$7:$C$156,MATCH($B9,'Patrimônio Geral'!$A$7:$A$156,0)),"")</f>
        <v/>
      </c>
      <c r="D9" s="32" t="n"/>
      <c r="E9" s="31" t="n"/>
      <c r="F9" s="31" t="n"/>
      <c r="G9" s="32" t="n"/>
      <c r="H9" s="31" t="n"/>
      <c r="I9" s="31" t="n"/>
      <c r="J9" s="31" t="n"/>
    </row>
    <row r="10" ht="20" customHeight="1">
      <c r="A10" s="33" t="n"/>
      <c r="B10" s="32" t="n"/>
      <c r="C10" s="44">
        <f>IFERROR(INDEX('Patrimônio Geral'!$C$7:$C$156,MATCH($B10,'Patrimônio Geral'!$A$7:$A$156,0)),"")</f>
        <v/>
      </c>
      <c r="D10" s="32" t="n"/>
      <c r="E10" s="31" t="n"/>
      <c r="F10" s="31" t="n"/>
      <c r="G10" s="32" t="n"/>
      <c r="H10" s="31" t="n"/>
      <c r="I10" s="31" t="n"/>
      <c r="J10" s="31" t="n"/>
    </row>
    <row r="11" ht="20" customHeight="1">
      <c r="A11" s="33" t="n"/>
      <c r="B11" s="32" t="n"/>
      <c r="C11" s="44">
        <f>IFERROR(INDEX('Patrimônio Geral'!$C$7:$C$156,MATCH($B11,'Patrimônio Geral'!$A$7:$A$156,0)),"")</f>
        <v/>
      </c>
      <c r="D11" s="32" t="n"/>
      <c r="E11" s="31" t="n"/>
      <c r="F11" s="31" t="n"/>
      <c r="G11" s="32" t="n"/>
      <c r="H11" s="31" t="n"/>
      <c r="I11" s="31" t="n"/>
      <c r="J11" s="31" t="n"/>
    </row>
    <row r="12" ht="20" customHeight="1">
      <c r="A12" s="33" t="n"/>
      <c r="B12" s="32" t="n"/>
      <c r="C12" s="44">
        <f>IFERROR(INDEX('Patrimônio Geral'!$C$7:$C$156,MATCH($B12,'Patrimônio Geral'!$A$7:$A$156,0)),"")</f>
        <v/>
      </c>
      <c r="D12" s="32" t="n"/>
      <c r="E12" s="31" t="n"/>
      <c r="F12" s="31" t="n"/>
      <c r="G12" s="32" t="n"/>
      <c r="H12" s="31" t="n"/>
      <c r="I12" s="31" t="n"/>
      <c r="J12" s="31" t="n"/>
    </row>
    <row r="13" ht="20" customHeight="1">
      <c r="A13" s="33" t="n"/>
      <c r="B13" s="32" t="n"/>
      <c r="C13" s="44">
        <f>IFERROR(INDEX('Patrimônio Geral'!$C$7:$C$156,MATCH($B13,'Patrimônio Geral'!$A$7:$A$156,0)),"")</f>
        <v/>
      </c>
      <c r="D13" s="32" t="n"/>
      <c r="E13" s="31" t="n"/>
      <c r="F13" s="31" t="n"/>
      <c r="G13" s="32" t="n"/>
      <c r="H13" s="31" t="n"/>
      <c r="I13" s="31" t="n"/>
      <c r="J13" s="31" t="n"/>
    </row>
    <row r="14" ht="20" customHeight="1">
      <c r="A14" s="33" t="n"/>
      <c r="B14" s="32" t="n"/>
      <c r="C14" s="44">
        <f>IFERROR(INDEX('Patrimônio Geral'!$C$7:$C$156,MATCH($B14,'Patrimônio Geral'!$A$7:$A$156,0)),"")</f>
        <v/>
      </c>
      <c r="D14" s="32" t="n"/>
      <c r="E14" s="31" t="n"/>
      <c r="F14" s="31" t="n"/>
      <c r="G14" s="32" t="n"/>
      <c r="H14" s="31" t="n"/>
      <c r="I14" s="31" t="n"/>
      <c r="J14" s="31" t="n"/>
    </row>
    <row r="15" ht="20" customHeight="1">
      <c r="A15" s="33" t="n"/>
      <c r="B15" s="32" t="n"/>
      <c r="C15" s="44">
        <f>IFERROR(INDEX('Patrimônio Geral'!$C$7:$C$156,MATCH($B15,'Patrimônio Geral'!$A$7:$A$156,0)),"")</f>
        <v/>
      </c>
      <c r="D15" s="32" t="n"/>
      <c r="E15" s="31" t="n"/>
      <c r="F15" s="31" t="n"/>
      <c r="G15" s="32" t="n"/>
      <c r="H15" s="31" t="n"/>
      <c r="I15" s="31" t="n"/>
      <c r="J15" s="31" t="n"/>
    </row>
    <row r="16" ht="20" customHeight="1">
      <c r="A16" s="33" t="n"/>
      <c r="B16" s="32" t="n"/>
      <c r="C16" s="44">
        <f>IFERROR(INDEX('Patrimônio Geral'!$C$7:$C$156,MATCH($B16,'Patrimônio Geral'!$A$7:$A$156,0)),"")</f>
        <v/>
      </c>
      <c r="D16" s="32" t="n"/>
      <c r="E16" s="31" t="n"/>
      <c r="F16" s="31" t="n"/>
      <c r="G16" s="32" t="n"/>
      <c r="H16" s="31" t="n"/>
      <c r="I16" s="31" t="n"/>
      <c r="J16" s="31" t="n"/>
    </row>
    <row r="17" ht="20" customHeight="1">
      <c r="A17" s="33" t="n"/>
      <c r="B17" s="32" t="n"/>
      <c r="C17" s="44">
        <f>IFERROR(INDEX('Patrimônio Geral'!$C$7:$C$156,MATCH($B17,'Patrimônio Geral'!$A$7:$A$156,0)),"")</f>
        <v/>
      </c>
      <c r="D17" s="32" t="n"/>
      <c r="E17" s="31" t="n"/>
      <c r="F17" s="31" t="n"/>
      <c r="G17" s="32" t="n"/>
      <c r="H17" s="31" t="n"/>
      <c r="I17" s="31" t="n"/>
      <c r="J17" s="31" t="n"/>
    </row>
    <row r="18" ht="20" customHeight="1">
      <c r="A18" s="33" t="n"/>
      <c r="B18" s="32" t="n"/>
      <c r="C18" s="44">
        <f>IFERROR(INDEX('Patrimônio Geral'!$C$7:$C$156,MATCH($B18,'Patrimônio Geral'!$A$7:$A$156,0)),"")</f>
        <v/>
      </c>
      <c r="D18" s="32" t="n"/>
      <c r="E18" s="31" t="n"/>
      <c r="F18" s="31" t="n"/>
      <c r="G18" s="32" t="n"/>
      <c r="H18" s="31" t="n"/>
      <c r="I18" s="31" t="n"/>
      <c r="J18" s="31" t="n"/>
    </row>
    <row r="19" ht="20" customHeight="1">
      <c r="A19" s="33" t="n"/>
      <c r="B19" s="32" t="n"/>
      <c r="C19" s="44">
        <f>IFERROR(INDEX('Patrimônio Geral'!$C$7:$C$156,MATCH($B19,'Patrimônio Geral'!$A$7:$A$156,0)),"")</f>
        <v/>
      </c>
      <c r="D19" s="32" t="n"/>
      <c r="E19" s="31" t="n"/>
      <c r="F19" s="31" t="n"/>
      <c r="G19" s="32" t="n"/>
      <c r="H19" s="31" t="n"/>
      <c r="I19" s="31" t="n"/>
      <c r="J19" s="31" t="n"/>
    </row>
    <row r="20" ht="20" customHeight="1">
      <c r="A20" s="33" t="n"/>
      <c r="B20" s="32" t="n"/>
      <c r="C20" s="44">
        <f>IFERROR(INDEX('Patrimônio Geral'!$C$7:$C$156,MATCH($B20,'Patrimônio Geral'!$A$7:$A$156,0)),"")</f>
        <v/>
      </c>
      <c r="D20" s="32" t="n"/>
      <c r="E20" s="31" t="n"/>
      <c r="F20" s="31" t="n"/>
      <c r="G20" s="32" t="n"/>
      <c r="H20" s="31" t="n"/>
      <c r="I20" s="31" t="n"/>
      <c r="J20" s="31" t="n"/>
    </row>
    <row r="21" ht="20" customHeight="1">
      <c r="A21" s="33" t="n"/>
      <c r="B21" s="32" t="n"/>
      <c r="C21" s="44">
        <f>IFERROR(INDEX('Patrimônio Geral'!$C$7:$C$156,MATCH($B21,'Patrimônio Geral'!$A$7:$A$156,0)),"")</f>
        <v/>
      </c>
      <c r="D21" s="32" t="n"/>
      <c r="E21" s="31" t="n"/>
      <c r="F21" s="31" t="n"/>
      <c r="G21" s="32" t="n"/>
      <c r="H21" s="31" t="n"/>
      <c r="I21" s="31" t="n"/>
      <c r="J21" s="31" t="n"/>
    </row>
    <row r="22" ht="20" customHeight="1">
      <c r="A22" s="33" t="n"/>
      <c r="B22" s="32" t="n"/>
      <c r="C22" s="44">
        <f>IFERROR(INDEX('Patrimônio Geral'!$C$7:$C$156,MATCH($B22,'Patrimônio Geral'!$A$7:$A$156,0)),"")</f>
        <v/>
      </c>
      <c r="D22" s="32" t="n"/>
      <c r="E22" s="31" t="n"/>
      <c r="F22" s="31" t="n"/>
      <c r="G22" s="32" t="n"/>
      <c r="H22" s="31" t="n"/>
      <c r="I22" s="31" t="n"/>
      <c r="J22" s="31" t="n"/>
    </row>
    <row r="23" ht="20" customHeight="1">
      <c r="A23" s="33" t="n"/>
      <c r="B23" s="32" t="n"/>
      <c r="C23" s="44">
        <f>IFERROR(INDEX('Patrimônio Geral'!$C$7:$C$156,MATCH($B23,'Patrimônio Geral'!$A$7:$A$156,0)),"")</f>
        <v/>
      </c>
      <c r="D23" s="32" t="n"/>
      <c r="E23" s="31" t="n"/>
      <c r="F23" s="31" t="n"/>
      <c r="G23" s="32" t="n"/>
      <c r="H23" s="31" t="n"/>
      <c r="I23" s="31" t="n"/>
      <c r="J23" s="31" t="n"/>
    </row>
    <row r="24" ht="20" customHeight="1">
      <c r="A24" s="33" t="n"/>
      <c r="B24" s="32" t="n"/>
      <c r="C24" s="44">
        <f>IFERROR(INDEX('Patrimônio Geral'!$C$7:$C$156,MATCH($B24,'Patrimônio Geral'!$A$7:$A$156,0)),"")</f>
        <v/>
      </c>
      <c r="D24" s="32" t="n"/>
      <c r="E24" s="31" t="n"/>
      <c r="F24" s="31" t="n"/>
      <c r="G24" s="32" t="n"/>
      <c r="H24" s="31" t="n"/>
      <c r="I24" s="31" t="n"/>
      <c r="J24" s="31" t="n"/>
    </row>
    <row r="25" ht="20" customHeight="1">
      <c r="A25" s="33" t="n"/>
      <c r="B25" s="32" t="n"/>
      <c r="C25" s="44">
        <f>IFERROR(INDEX('Patrimônio Geral'!$C$7:$C$156,MATCH($B25,'Patrimônio Geral'!$A$7:$A$156,0)),"")</f>
        <v/>
      </c>
      <c r="D25" s="32" t="n"/>
      <c r="E25" s="31" t="n"/>
      <c r="F25" s="31" t="n"/>
      <c r="G25" s="32" t="n"/>
      <c r="H25" s="31" t="n"/>
      <c r="I25" s="31" t="n"/>
      <c r="J25" s="31" t="n"/>
    </row>
    <row r="26" ht="20" customHeight="1">
      <c r="A26" s="33" t="n"/>
      <c r="B26" s="32" t="n"/>
      <c r="C26" s="44">
        <f>IFERROR(INDEX('Patrimônio Geral'!$C$7:$C$156,MATCH($B26,'Patrimônio Geral'!$A$7:$A$156,0)),"")</f>
        <v/>
      </c>
      <c r="D26" s="32" t="n"/>
      <c r="E26" s="31" t="n"/>
      <c r="F26" s="31" t="n"/>
      <c r="G26" s="32" t="n"/>
      <c r="H26" s="31" t="n"/>
      <c r="I26" s="31" t="n"/>
      <c r="J26" s="31" t="n"/>
    </row>
    <row r="27" ht="20" customHeight="1">
      <c r="A27" s="33" t="n"/>
      <c r="B27" s="32" t="n"/>
      <c r="C27" s="44">
        <f>IFERROR(INDEX('Patrimônio Geral'!$C$7:$C$156,MATCH($B27,'Patrimônio Geral'!$A$7:$A$156,0)),"")</f>
        <v/>
      </c>
      <c r="D27" s="32" t="n"/>
      <c r="E27" s="31" t="n"/>
      <c r="F27" s="31" t="n"/>
      <c r="G27" s="32" t="n"/>
      <c r="H27" s="31" t="n"/>
      <c r="I27" s="31" t="n"/>
      <c r="J27" s="31" t="n"/>
    </row>
    <row r="28" ht="20" customHeight="1">
      <c r="A28" s="33" t="n"/>
      <c r="B28" s="32" t="n"/>
      <c r="C28" s="44">
        <f>IFERROR(INDEX('Patrimônio Geral'!$C$7:$C$156,MATCH($B28,'Patrimônio Geral'!$A$7:$A$156,0)),"")</f>
        <v/>
      </c>
      <c r="D28" s="32" t="n"/>
      <c r="E28" s="31" t="n"/>
      <c r="F28" s="31" t="n"/>
      <c r="G28" s="32" t="n"/>
      <c r="H28" s="31" t="n"/>
      <c r="I28" s="31" t="n"/>
      <c r="J28" s="31" t="n"/>
    </row>
    <row r="29" ht="20" customHeight="1">
      <c r="A29" s="33" t="n"/>
      <c r="B29" s="32" t="n"/>
      <c r="C29" s="44">
        <f>IFERROR(INDEX('Patrimônio Geral'!$C$7:$C$156,MATCH($B29,'Patrimônio Geral'!$A$7:$A$156,0)),"")</f>
        <v/>
      </c>
      <c r="D29" s="32" t="n"/>
      <c r="E29" s="31" t="n"/>
      <c r="F29" s="31" t="n"/>
      <c r="G29" s="32" t="n"/>
      <c r="H29" s="31" t="n"/>
      <c r="I29" s="31" t="n"/>
      <c r="J29" s="31" t="n"/>
    </row>
    <row r="30" ht="20" customHeight="1">
      <c r="A30" s="33" t="n"/>
      <c r="B30" s="32" t="n"/>
      <c r="C30" s="44">
        <f>IFERROR(INDEX('Patrimônio Geral'!$C$7:$C$156,MATCH($B30,'Patrimônio Geral'!$A$7:$A$156,0)),"")</f>
        <v/>
      </c>
      <c r="D30" s="32" t="n"/>
      <c r="E30" s="31" t="n"/>
      <c r="F30" s="31" t="n"/>
      <c r="G30" s="32" t="n"/>
      <c r="H30" s="31" t="n"/>
      <c r="I30" s="31" t="n"/>
      <c r="J30" s="31" t="n"/>
    </row>
    <row r="31" ht="20" customHeight="1">
      <c r="A31" s="33" t="n"/>
      <c r="B31" s="32" t="n"/>
      <c r="C31" s="44">
        <f>IFERROR(INDEX('Patrimônio Geral'!$C$7:$C$156,MATCH($B31,'Patrimônio Geral'!$A$7:$A$156,0)),"")</f>
        <v/>
      </c>
      <c r="D31" s="32" t="n"/>
      <c r="E31" s="31" t="n"/>
      <c r="F31" s="31" t="n"/>
      <c r="G31" s="32" t="n"/>
      <c r="H31" s="31" t="n"/>
      <c r="I31" s="31" t="n"/>
      <c r="J31" s="31" t="n"/>
    </row>
    <row r="32" ht="20" customHeight="1">
      <c r="A32" s="33" t="n"/>
      <c r="B32" s="32" t="n"/>
      <c r="C32" s="44">
        <f>IFERROR(INDEX('Patrimônio Geral'!$C$7:$C$156,MATCH($B32,'Patrimônio Geral'!$A$7:$A$156,0)),"")</f>
        <v/>
      </c>
      <c r="D32" s="32" t="n"/>
      <c r="E32" s="31" t="n"/>
      <c r="F32" s="31" t="n"/>
      <c r="G32" s="32" t="n"/>
      <c r="H32" s="31" t="n"/>
      <c r="I32" s="31" t="n"/>
      <c r="J32" s="31" t="n"/>
    </row>
    <row r="33" ht="20" customHeight="1">
      <c r="A33" s="33" t="n"/>
      <c r="B33" s="32" t="n"/>
      <c r="C33" s="44">
        <f>IFERROR(INDEX('Patrimônio Geral'!$C$7:$C$156,MATCH($B33,'Patrimônio Geral'!$A$7:$A$156,0)),"")</f>
        <v/>
      </c>
      <c r="D33" s="32" t="n"/>
      <c r="E33" s="31" t="n"/>
      <c r="F33" s="31" t="n"/>
      <c r="G33" s="32" t="n"/>
      <c r="H33" s="31" t="n"/>
      <c r="I33" s="31" t="n"/>
      <c r="J33" s="31" t="n"/>
    </row>
    <row r="34" ht="20" customHeight="1">
      <c r="A34" s="33" t="n"/>
      <c r="B34" s="32" t="n"/>
      <c r="C34" s="44">
        <f>IFERROR(INDEX('Patrimônio Geral'!$C$7:$C$156,MATCH($B34,'Patrimônio Geral'!$A$7:$A$156,0)),"")</f>
        <v/>
      </c>
      <c r="D34" s="32" t="n"/>
      <c r="E34" s="31" t="n"/>
      <c r="F34" s="31" t="n"/>
      <c r="G34" s="32" t="n"/>
      <c r="H34" s="31" t="n"/>
      <c r="I34" s="31" t="n"/>
      <c r="J34" s="31" t="n"/>
    </row>
    <row r="35" ht="20" customHeight="1">
      <c r="A35" s="33" t="n"/>
      <c r="B35" s="32" t="n"/>
      <c r="C35" s="44">
        <f>IFERROR(INDEX('Patrimônio Geral'!$C$7:$C$156,MATCH($B35,'Patrimônio Geral'!$A$7:$A$156,0)),"")</f>
        <v/>
      </c>
      <c r="D35" s="32" t="n"/>
      <c r="E35" s="31" t="n"/>
      <c r="F35" s="31" t="n"/>
      <c r="G35" s="32" t="n"/>
      <c r="H35" s="31" t="n"/>
      <c r="I35" s="31" t="n"/>
      <c r="J35" s="31" t="n"/>
    </row>
    <row r="36" ht="20" customHeight="1">
      <c r="A36" s="33" t="n"/>
      <c r="B36" s="32" t="n"/>
      <c r="C36" s="44">
        <f>IFERROR(INDEX('Patrimônio Geral'!$C$7:$C$156,MATCH($B36,'Patrimônio Geral'!$A$7:$A$156,0)),"")</f>
        <v/>
      </c>
      <c r="D36" s="32" t="n"/>
      <c r="E36" s="31" t="n"/>
      <c r="F36" s="31" t="n"/>
      <c r="G36" s="32" t="n"/>
      <c r="H36" s="31" t="n"/>
      <c r="I36" s="31" t="n"/>
      <c r="J36" s="31" t="n"/>
    </row>
    <row r="37" ht="20" customHeight="1">
      <c r="A37" s="33" t="n"/>
      <c r="B37" s="32" t="n"/>
      <c r="C37" s="44">
        <f>IFERROR(INDEX('Patrimônio Geral'!$C$7:$C$156,MATCH($B37,'Patrimônio Geral'!$A$7:$A$156,0)),"")</f>
        <v/>
      </c>
      <c r="D37" s="32" t="n"/>
      <c r="E37" s="31" t="n"/>
      <c r="F37" s="31" t="n"/>
      <c r="G37" s="32" t="n"/>
      <c r="H37" s="31" t="n"/>
      <c r="I37" s="31" t="n"/>
      <c r="J37" s="31" t="n"/>
    </row>
    <row r="38" ht="20" customHeight="1">
      <c r="A38" s="33" t="n"/>
      <c r="B38" s="32" t="n"/>
      <c r="C38" s="44">
        <f>IFERROR(INDEX('Patrimônio Geral'!$C$7:$C$156,MATCH($B38,'Patrimônio Geral'!$A$7:$A$156,0)),"")</f>
        <v/>
      </c>
      <c r="D38" s="32" t="n"/>
      <c r="E38" s="31" t="n"/>
      <c r="F38" s="31" t="n"/>
      <c r="G38" s="32" t="n"/>
      <c r="H38" s="31" t="n"/>
      <c r="I38" s="31" t="n"/>
      <c r="J38" s="31" t="n"/>
    </row>
    <row r="39" ht="20" customHeight="1">
      <c r="A39" s="33" t="n"/>
      <c r="B39" s="32" t="n"/>
      <c r="C39" s="44">
        <f>IFERROR(INDEX('Patrimônio Geral'!$C$7:$C$156,MATCH($B39,'Patrimônio Geral'!$A$7:$A$156,0)),"")</f>
        <v/>
      </c>
      <c r="D39" s="32" t="n"/>
      <c r="E39" s="31" t="n"/>
      <c r="F39" s="31" t="n"/>
      <c r="G39" s="32" t="n"/>
      <c r="H39" s="31" t="n"/>
      <c r="I39" s="31" t="n"/>
      <c r="J39" s="31" t="n"/>
    </row>
    <row r="40" ht="20" customHeight="1">
      <c r="A40" s="33" t="n"/>
      <c r="B40" s="32" t="n"/>
      <c r="C40" s="44">
        <f>IFERROR(INDEX('Patrimônio Geral'!$C$7:$C$156,MATCH($B40,'Patrimônio Geral'!$A$7:$A$156,0)),"")</f>
        <v/>
      </c>
      <c r="D40" s="32" t="n"/>
      <c r="E40" s="31" t="n"/>
      <c r="F40" s="31" t="n"/>
      <c r="G40" s="32" t="n"/>
      <c r="H40" s="31" t="n"/>
      <c r="I40" s="31" t="n"/>
      <c r="J40" s="31" t="n"/>
    </row>
    <row r="41" ht="20" customHeight="1">
      <c r="A41" s="33" t="n"/>
      <c r="B41" s="32" t="n"/>
      <c r="C41" s="44">
        <f>IFERROR(INDEX('Patrimônio Geral'!$C$7:$C$156,MATCH($B41,'Patrimônio Geral'!$A$7:$A$156,0)),"")</f>
        <v/>
      </c>
      <c r="D41" s="32" t="n"/>
      <c r="E41" s="31" t="n"/>
      <c r="F41" s="31" t="n"/>
      <c r="G41" s="32" t="n"/>
      <c r="H41" s="31" t="n"/>
      <c r="I41" s="31" t="n"/>
      <c r="J41" s="31" t="n"/>
    </row>
    <row r="42" ht="20" customHeight="1">
      <c r="A42" s="33" t="n"/>
      <c r="B42" s="32" t="n"/>
      <c r="C42" s="44">
        <f>IFERROR(INDEX('Patrimônio Geral'!$C$7:$C$156,MATCH($B42,'Patrimônio Geral'!$A$7:$A$156,0)),"")</f>
        <v/>
      </c>
      <c r="D42" s="32" t="n"/>
      <c r="E42" s="31" t="n"/>
      <c r="F42" s="31" t="n"/>
      <c r="G42" s="32" t="n"/>
      <c r="H42" s="31" t="n"/>
      <c r="I42" s="31" t="n"/>
      <c r="J42" s="31" t="n"/>
    </row>
    <row r="43" ht="20" customHeight="1">
      <c r="A43" s="33" t="n"/>
      <c r="B43" s="32" t="n"/>
      <c r="C43" s="44">
        <f>IFERROR(INDEX('Patrimônio Geral'!$C$7:$C$156,MATCH($B43,'Patrimônio Geral'!$A$7:$A$156,0)),"")</f>
        <v/>
      </c>
      <c r="D43" s="32" t="n"/>
      <c r="E43" s="31" t="n"/>
      <c r="F43" s="31" t="n"/>
      <c r="G43" s="32" t="n"/>
      <c r="H43" s="31" t="n"/>
      <c r="I43" s="31" t="n"/>
      <c r="J43" s="31" t="n"/>
    </row>
    <row r="44" ht="20" customHeight="1">
      <c r="A44" s="33" t="n"/>
      <c r="B44" s="32" t="n"/>
      <c r="C44" s="44">
        <f>IFERROR(INDEX('Patrimônio Geral'!$C$7:$C$156,MATCH($B44,'Patrimônio Geral'!$A$7:$A$156,0)),"")</f>
        <v/>
      </c>
      <c r="D44" s="32" t="n"/>
      <c r="E44" s="31" t="n"/>
      <c r="F44" s="31" t="n"/>
      <c r="G44" s="32" t="n"/>
      <c r="H44" s="31" t="n"/>
      <c r="I44" s="31" t="n"/>
      <c r="J44" s="31" t="n"/>
    </row>
    <row r="45" ht="20" customHeight="1">
      <c r="A45" s="33" t="n"/>
      <c r="B45" s="32" t="n"/>
      <c r="C45" s="44">
        <f>IFERROR(INDEX('Patrimônio Geral'!$C$7:$C$156,MATCH($B45,'Patrimônio Geral'!$A$7:$A$156,0)),"")</f>
        <v/>
      </c>
      <c r="D45" s="32" t="n"/>
      <c r="E45" s="31" t="n"/>
      <c r="F45" s="31" t="n"/>
      <c r="G45" s="32" t="n"/>
      <c r="H45" s="31" t="n"/>
      <c r="I45" s="31" t="n"/>
      <c r="J45" s="31" t="n"/>
    </row>
    <row r="46" ht="20" customHeight="1">
      <c r="A46" s="33" t="n"/>
      <c r="B46" s="32" t="n"/>
      <c r="C46" s="44">
        <f>IFERROR(INDEX('Patrimônio Geral'!$C$7:$C$156,MATCH($B46,'Patrimônio Geral'!$A$7:$A$156,0)),"")</f>
        <v/>
      </c>
      <c r="D46" s="32" t="n"/>
      <c r="E46" s="31" t="n"/>
      <c r="F46" s="31" t="n"/>
      <c r="G46" s="32" t="n"/>
      <c r="H46" s="31" t="n"/>
      <c r="I46" s="31" t="n"/>
      <c r="J46" s="31" t="n"/>
    </row>
    <row r="47" ht="20" customHeight="1">
      <c r="A47" s="33" t="n"/>
      <c r="B47" s="32" t="n"/>
      <c r="C47" s="44">
        <f>IFERROR(INDEX('Patrimônio Geral'!$C$7:$C$156,MATCH($B47,'Patrimônio Geral'!$A$7:$A$156,0)),"")</f>
        <v/>
      </c>
      <c r="D47" s="32" t="n"/>
      <c r="E47" s="31" t="n"/>
      <c r="F47" s="31" t="n"/>
      <c r="G47" s="32" t="n"/>
      <c r="H47" s="31" t="n"/>
      <c r="I47" s="31" t="n"/>
      <c r="J47" s="31" t="n"/>
    </row>
    <row r="48" ht="20" customHeight="1">
      <c r="A48" s="33" t="n"/>
      <c r="B48" s="32" t="n"/>
      <c r="C48" s="44">
        <f>IFERROR(INDEX('Patrimônio Geral'!$C$7:$C$156,MATCH($B48,'Patrimônio Geral'!$A$7:$A$156,0)),"")</f>
        <v/>
      </c>
      <c r="D48" s="32" t="n"/>
      <c r="E48" s="31" t="n"/>
      <c r="F48" s="31" t="n"/>
      <c r="G48" s="32" t="n"/>
      <c r="H48" s="31" t="n"/>
      <c r="I48" s="31" t="n"/>
      <c r="J48" s="31" t="n"/>
    </row>
    <row r="49" ht="20" customHeight="1">
      <c r="A49" s="33" t="n"/>
      <c r="B49" s="32" t="n"/>
      <c r="C49" s="44">
        <f>IFERROR(INDEX('Patrimônio Geral'!$C$7:$C$156,MATCH($B49,'Patrimônio Geral'!$A$7:$A$156,0)),"")</f>
        <v/>
      </c>
      <c r="D49" s="32" t="n"/>
      <c r="E49" s="31" t="n"/>
      <c r="F49" s="31" t="n"/>
      <c r="G49" s="32" t="n"/>
      <c r="H49" s="31" t="n"/>
      <c r="I49" s="31" t="n"/>
      <c r="J49" s="31" t="n"/>
    </row>
    <row r="50" ht="20" customHeight="1">
      <c r="A50" s="33" t="n"/>
      <c r="B50" s="32" t="n"/>
      <c r="C50" s="44">
        <f>IFERROR(INDEX('Patrimônio Geral'!$C$7:$C$156,MATCH($B50,'Patrimônio Geral'!$A$7:$A$156,0)),"")</f>
        <v/>
      </c>
      <c r="D50" s="32" t="n"/>
      <c r="E50" s="31" t="n"/>
      <c r="F50" s="31" t="n"/>
      <c r="G50" s="32" t="n"/>
      <c r="H50" s="31" t="n"/>
      <c r="I50" s="31" t="n"/>
      <c r="J50" s="31" t="n"/>
    </row>
    <row r="51" ht="20" customHeight="1">
      <c r="A51" s="33" t="n"/>
      <c r="B51" s="32" t="n"/>
      <c r="C51" s="44">
        <f>IFERROR(INDEX('Patrimônio Geral'!$C$7:$C$156,MATCH($B51,'Patrimônio Geral'!$A$7:$A$156,0)),"")</f>
        <v/>
      </c>
      <c r="D51" s="32" t="n"/>
      <c r="E51" s="31" t="n"/>
      <c r="F51" s="31" t="n"/>
      <c r="G51" s="32" t="n"/>
      <c r="H51" s="31" t="n"/>
      <c r="I51" s="31" t="n"/>
      <c r="J51" s="31" t="n"/>
    </row>
    <row r="52" ht="20" customHeight="1">
      <c r="A52" s="33" t="n"/>
      <c r="B52" s="32" t="n"/>
      <c r="C52" s="44">
        <f>IFERROR(INDEX('Patrimônio Geral'!$C$7:$C$156,MATCH($B52,'Patrimônio Geral'!$A$7:$A$156,0)),"")</f>
        <v/>
      </c>
      <c r="D52" s="32" t="n"/>
      <c r="E52" s="31" t="n"/>
      <c r="F52" s="31" t="n"/>
      <c r="G52" s="32" t="n"/>
      <c r="H52" s="31" t="n"/>
      <c r="I52" s="31" t="n"/>
      <c r="J52" s="31" t="n"/>
    </row>
    <row r="53" ht="20" customHeight="1">
      <c r="A53" s="33" t="n"/>
      <c r="B53" s="32" t="n"/>
      <c r="C53" s="44">
        <f>IFERROR(INDEX('Patrimônio Geral'!$C$7:$C$156,MATCH($B53,'Patrimônio Geral'!$A$7:$A$156,0)),"")</f>
        <v/>
      </c>
      <c r="D53" s="32" t="n"/>
      <c r="E53" s="31" t="n"/>
      <c r="F53" s="31" t="n"/>
      <c r="G53" s="32" t="n"/>
      <c r="H53" s="31" t="n"/>
      <c r="I53" s="31" t="n"/>
      <c r="J53" s="31" t="n"/>
    </row>
    <row r="54" ht="20" customHeight="1">
      <c r="A54" s="33" t="n"/>
      <c r="B54" s="32" t="n"/>
      <c r="C54" s="44">
        <f>IFERROR(INDEX('Patrimônio Geral'!$C$7:$C$156,MATCH($B54,'Patrimônio Geral'!$A$7:$A$156,0)),"")</f>
        <v/>
      </c>
      <c r="D54" s="32" t="n"/>
      <c r="E54" s="31" t="n"/>
      <c r="F54" s="31" t="n"/>
      <c r="G54" s="32" t="n"/>
      <c r="H54" s="31" t="n"/>
      <c r="I54" s="31" t="n"/>
      <c r="J54" s="31" t="n"/>
    </row>
    <row r="55" ht="20" customHeight="1">
      <c r="A55" s="33" t="n"/>
      <c r="B55" s="32" t="n"/>
      <c r="C55" s="44">
        <f>IFERROR(INDEX('Patrimônio Geral'!$C$7:$C$156,MATCH($B55,'Patrimônio Geral'!$A$7:$A$156,0)),"")</f>
        <v/>
      </c>
      <c r="D55" s="32" t="n"/>
      <c r="E55" s="31" t="n"/>
      <c r="F55" s="31" t="n"/>
      <c r="G55" s="32" t="n"/>
      <c r="H55" s="31" t="n"/>
      <c r="I55" s="31" t="n"/>
      <c r="J55" s="31" t="n"/>
    </row>
    <row r="56" ht="20" customHeight="1">
      <c r="A56" s="33" t="n"/>
      <c r="B56" s="32" t="n"/>
      <c r="C56" s="44">
        <f>IFERROR(INDEX('Patrimônio Geral'!$C$7:$C$156,MATCH($B56,'Patrimônio Geral'!$A$7:$A$156,0)),"")</f>
        <v/>
      </c>
      <c r="D56" s="32" t="n"/>
      <c r="E56" s="31" t="n"/>
      <c r="F56" s="31" t="n"/>
      <c r="G56" s="32" t="n"/>
      <c r="H56" s="31" t="n"/>
      <c r="I56" s="31" t="n"/>
      <c r="J56" s="31" t="n"/>
    </row>
    <row r="57" ht="20" customHeight="1">
      <c r="A57" s="33" t="n"/>
      <c r="B57" s="32" t="n"/>
      <c r="C57" s="44">
        <f>IFERROR(INDEX('Patrimônio Geral'!$C$7:$C$156,MATCH($B57,'Patrimônio Geral'!$A$7:$A$156,0)),"")</f>
        <v/>
      </c>
      <c r="D57" s="32" t="n"/>
      <c r="E57" s="31" t="n"/>
      <c r="F57" s="31" t="n"/>
      <c r="G57" s="32" t="n"/>
      <c r="H57" s="31" t="n"/>
      <c r="I57" s="31" t="n"/>
      <c r="J57" s="31" t="n"/>
    </row>
    <row r="58" ht="20" customHeight="1">
      <c r="A58" s="33" t="n"/>
      <c r="B58" s="32" t="n"/>
      <c r="C58" s="44">
        <f>IFERROR(INDEX('Patrimônio Geral'!$C$7:$C$156,MATCH($B58,'Patrimônio Geral'!$A$7:$A$156,0)),"")</f>
        <v/>
      </c>
      <c r="D58" s="32" t="n"/>
      <c r="E58" s="31" t="n"/>
      <c r="F58" s="31" t="n"/>
      <c r="G58" s="32" t="n"/>
      <c r="H58" s="31" t="n"/>
      <c r="I58" s="31" t="n"/>
      <c r="J58" s="31" t="n"/>
    </row>
    <row r="59" ht="20" customHeight="1">
      <c r="A59" s="33" t="n"/>
      <c r="B59" s="32" t="n"/>
      <c r="C59" s="44">
        <f>IFERROR(INDEX('Patrimônio Geral'!$C$7:$C$156,MATCH($B59,'Patrimônio Geral'!$A$7:$A$156,0)),"")</f>
        <v/>
      </c>
      <c r="D59" s="32" t="n"/>
      <c r="E59" s="31" t="n"/>
      <c r="F59" s="31" t="n"/>
      <c r="G59" s="32" t="n"/>
      <c r="H59" s="31" t="n"/>
      <c r="I59" s="31" t="n"/>
      <c r="J59" s="31" t="n"/>
    </row>
    <row r="60" ht="20" customHeight="1">
      <c r="A60" s="33" t="n"/>
      <c r="B60" s="32" t="n"/>
      <c r="C60" s="44">
        <f>IFERROR(INDEX('Patrimônio Geral'!$C$7:$C$156,MATCH($B60,'Patrimônio Geral'!$A$7:$A$156,0)),"")</f>
        <v/>
      </c>
      <c r="D60" s="32" t="n"/>
      <c r="E60" s="31" t="n"/>
      <c r="F60" s="31" t="n"/>
      <c r="G60" s="32" t="n"/>
      <c r="H60" s="31" t="n"/>
      <c r="I60" s="31" t="n"/>
      <c r="J60" s="31" t="n"/>
    </row>
    <row r="61" ht="20" customHeight="1">
      <c r="A61" s="33" t="n"/>
      <c r="B61" s="32" t="n"/>
      <c r="C61" s="44">
        <f>IFERROR(INDEX('Patrimônio Geral'!$C$7:$C$156,MATCH($B61,'Patrimônio Geral'!$A$7:$A$156,0)),"")</f>
        <v/>
      </c>
      <c r="D61" s="32" t="n"/>
      <c r="E61" s="31" t="n"/>
      <c r="F61" s="31" t="n"/>
      <c r="G61" s="32" t="n"/>
      <c r="H61" s="31" t="n"/>
      <c r="I61" s="31" t="n"/>
      <c r="J61" s="31" t="n"/>
    </row>
    <row r="62" ht="20" customHeight="1">
      <c r="A62" s="33" t="n"/>
      <c r="B62" s="32" t="n"/>
      <c r="C62" s="44">
        <f>IFERROR(INDEX('Patrimônio Geral'!$C$7:$C$156,MATCH($B62,'Patrimônio Geral'!$A$7:$A$156,0)),"")</f>
        <v/>
      </c>
      <c r="D62" s="32" t="n"/>
      <c r="E62" s="31" t="n"/>
      <c r="F62" s="31" t="n"/>
      <c r="G62" s="32" t="n"/>
      <c r="H62" s="31" t="n"/>
      <c r="I62" s="31" t="n"/>
      <c r="J62" s="31" t="n"/>
    </row>
    <row r="63" ht="20" customHeight="1">
      <c r="A63" s="33" t="n"/>
      <c r="B63" s="32" t="n"/>
      <c r="C63" s="44">
        <f>IFERROR(INDEX('Patrimônio Geral'!$C$7:$C$156,MATCH($B63,'Patrimônio Geral'!$A$7:$A$156,0)),"")</f>
        <v/>
      </c>
      <c r="D63" s="32" t="n"/>
      <c r="E63" s="31" t="n"/>
      <c r="F63" s="31" t="n"/>
      <c r="G63" s="32" t="n"/>
      <c r="H63" s="31" t="n"/>
      <c r="I63" s="31" t="n"/>
      <c r="J63" s="31" t="n"/>
    </row>
    <row r="64" ht="20" customHeight="1">
      <c r="A64" s="33" t="n"/>
      <c r="B64" s="32" t="n"/>
      <c r="C64" s="44">
        <f>IFERROR(INDEX('Patrimônio Geral'!$C$7:$C$156,MATCH($B64,'Patrimônio Geral'!$A$7:$A$156,0)),"")</f>
        <v/>
      </c>
      <c r="D64" s="32" t="n"/>
      <c r="E64" s="31" t="n"/>
      <c r="F64" s="31" t="n"/>
      <c r="G64" s="32" t="n"/>
      <c r="H64" s="31" t="n"/>
      <c r="I64" s="31" t="n"/>
      <c r="J64" s="31" t="n"/>
    </row>
    <row r="65" ht="20" customHeight="1">
      <c r="A65" s="33" t="n"/>
      <c r="B65" s="32" t="n"/>
      <c r="C65" s="44">
        <f>IFERROR(INDEX('Patrimônio Geral'!$C$7:$C$156,MATCH($B65,'Patrimônio Geral'!$A$7:$A$156,0)),"")</f>
        <v/>
      </c>
      <c r="D65" s="32" t="n"/>
      <c r="E65" s="31" t="n"/>
      <c r="F65" s="31" t="n"/>
      <c r="G65" s="32" t="n"/>
      <c r="H65" s="31" t="n"/>
      <c r="I65" s="31" t="n"/>
      <c r="J65" s="31" t="n"/>
    </row>
    <row r="66" ht="20" customHeight="1">
      <c r="A66" s="33" t="n"/>
      <c r="B66" s="32" t="n"/>
      <c r="C66" s="44">
        <f>IFERROR(INDEX('Patrimônio Geral'!$C$7:$C$156,MATCH($B66,'Patrimônio Geral'!$A$7:$A$156,0)),"")</f>
        <v/>
      </c>
      <c r="D66" s="32" t="n"/>
      <c r="E66" s="31" t="n"/>
      <c r="F66" s="31" t="n"/>
      <c r="G66" s="32" t="n"/>
      <c r="H66" s="31" t="n"/>
      <c r="I66" s="31" t="n"/>
      <c r="J66" s="31" t="n"/>
    </row>
    <row r="67" ht="20" customHeight="1">
      <c r="A67" s="33" t="n"/>
      <c r="B67" s="32" t="n"/>
      <c r="C67" s="44">
        <f>IFERROR(INDEX('Patrimônio Geral'!$C$7:$C$156,MATCH($B67,'Patrimônio Geral'!$A$7:$A$156,0)),"")</f>
        <v/>
      </c>
      <c r="D67" s="32" t="n"/>
      <c r="E67" s="31" t="n"/>
      <c r="F67" s="31" t="n"/>
      <c r="G67" s="32" t="n"/>
      <c r="H67" s="31" t="n"/>
      <c r="I67" s="31" t="n"/>
      <c r="J67" s="31" t="n"/>
    </row>
    <row r="68" ht="20" customHeight="1">
      <c r="A68" s="33" t="n"/>
      <c r="B68" s="32" t="n"/>
      <c r="C68" s="44">
        <f>IFERROR(INDEX('Patrimônio Geral'!$C$7:$C$156,MATCH($B68,'Patrimônio Geral'!$A$7:$A$156,0)),"")</f>
        <v/>
      </c>
      <c r="D68" s="32" t="n"/>
      <c r="E68" s="31" t="n"/>
      <c r="F68" s="31" t="n"/>
      <c r="G68" s="32" t="n"/>
      <c r="H68" s="31" t="n"/>
      <c r="I68" s="31" t="n"/>
      <c r="J68" s="31" t="n"/>
    </row>
    <row r="69" ht="20" customHeight="1">
      <c r="A69" s="33" t="n"/>
      <c r="B69" s="32" t="n"/>
      <c r="C69" s="44">
        <f>IFERROR(INDEX('Patrimônio Geral'!$C$7:$C$156,MATCH($B69,'Patrimônio Geral'!$A$7:$A$156,0)),"")</f>
        <v/>
      </c>
      <c r="D69" s="32" t="n"/>
      <c r="E69" s="31" t="n"/>
      <c r="F69" s="31" t="n"/>
      <c r="G69" s="32" t="n"/>
      <c r="H69" s="31" t="n"/>
      <c r="I69" s="31" t="n"/>
      <c r="J69" s="31" t="n"/>
    </row>
    <row r="70" ht="20" customHeight="1">
      <c r="A70" s="33" t="n"/>
      <c r="B70" s="32" t="n"/>
      <c r="C70" s="44">
        <f>IFERROR(INDEX('Patrimônio Geral'!$C$7:$C$156,MATCH($B70,'Patrimônio Geral'!$A$7:$A$156,0)),"")</f>
        <v/>
      </c>
      <c r="D70" s="32" t="n"/>
      <c r="E70" s="31" t="n"/>
      <c r="F70" s="31" t="n"/>
      <c r="G70" s="32" t="n"/>
      <c r="H70" s="31" t="n"/>
      <c r="I70" s="31" t="n"/>
      <c r="J70" s="31" t="n"/>
    </row>
    <row r="71" ht="20" customHeight="1">
      <c r="A71" s="33" t="n"/>
      <c r="B71" s="32" t="n"/>
      <c r="C71" s="44">
        <f>IFERROR(INDEX('Patrimônio Geral'!$C$7:$C$156,MATCH($B71,'Patrimônio Geral'!$A$7:$A$156,0)),"")</f>
        <v/>
      </c>
      <c r="D71" s="32" t="n"/>
      <c r="E71" s="31" t="n"/>
      <c r="F71" s="31" t="n"/>
      <c r="G71" s="32" t="n"/>
      <c r="H71" s="31" t="n"/>
      <c r="I71" s="31" t="n"/>
      <c r="J71" s="31" t="n"/>
    </row>
    <row r="72" ht="20" customHeight="1">
      <c r="A72" s="33" t="n"/>
      <c r="B72" s="32" t="n"/>
      <c r="C72" s="44">
        <f>IFERROR(INDEX('Patrimônio Geral'!$C$7:$C$156,MATCH($B72,'Patrimônio Geral'!$A$7:$A$156,0)),"")</f>
        <v/>
      </c>
      <c r="D72" s="32" t="n"/>
      <c r="E72" s="31" t="n"/>
      <c r="F72" s="31" t="n"/>
      <c r="G72" s="32" t="n"/>
      <c r="H72" s="31" t="n"/>
      <c r="I72" s="31" t="n"/>
      <c r="J72" s="31" t="n"/>
    </row>
    <row r="73" ht="20" customHeight="1">
      <c r="A73" s="33" t="n"/>
      <c r="B73" s="32" t="n"/>
      <c r="C73" s="44">
        <f>IFERROR(INDEX('Patrimônio Geral'!$C$7:$C$156,MATCH($B73,'Patrimônio Geral'!$A$7:$A$156,0)),"")</f>
        <v/>
      </c>
      <c r="D73" s="32" t="n"/>
      <c r="E73" s="31" t="n"/>
      <c r="F73" s="31" t="n"/>
      <c r="G73" s="32" t="n"/>
      <c r="H73" s="31" t="n"/>
      <c r="I73" s="31" t="n"/>
      <c r="J73" s="31" t="n"/>
    </row>
    <row r="74" ht="20" customHeight="1">
      <c r="A74" s="33" t="n"/>
      <c r="B74" s="32" t="n"/>
      <c r="C74" s="44">
        <f>IFERROR(INDEX('Patrimônio Geral'!$C$7:$C$156,MATCH($B74,'Patrimônio Geral'!$A$7:$A$156,0)),"")</f>
        <v/>
      </c>
      <c r="D74" s="32" t="n"/>
      <c r="E74" s="31" t="n"/>
      <c r="F74" s="31" t="n"/>
      <c r="G74" s="32" t="n"/>
      <c r="H74" s="31" t="n"/>
      <c r="I74" s="31" t="n"/>
      <c r="J74" s="31" t="n"/>
    </row>
    <row r="75" ht="20" customHeight="1">
      <c r="A75" s="33" t="n"/>
      <c r="B75" s="32" t="n"/>
      <c r="C75" s="44">
        <f>IFERROR(INDEX('Patrimônio Geral'!$C$7:$C$156,MATCH($B75,'Patrimônio Geral'!$A$7:$A$156,0)),"")</f>
        <v/>
      </c>
      <c r="D75" s="32" t="n"/>
      <c r="E75" s="31" t="n"/>
      <c r="F75" s="31" t="n"/>
      <c r="G75" s="32" t="n"/>
      <c r="H75" s="31" t="n"/>
      <c r="I75" s="31" t="n"/>
      <c r="J75" s="31" t="n"/>
    </row>
    <row r="76" ht="20" customHeight="1">
      <c r="A76" s="33" t="n"/>
      <c r="B76" s="32" t="n"/>
      <c r="C76" s="44">
        <f>IFERROR(INDEX('Patrimônio Geral'!$C$7:$C$156,MATCH($B76,'Patrimônio Geral'!$A$7:$A$156,0)),"")</f>
        <v/>
      </c>
      <c r="D76" s="32" t="n"/>
      <c r="E76" s="31" t="n"/>
      <c r="F76" s="31" t="n"/>
      <c r="G76" s="32" t="n"/>
      <c r="H76" s="31" t="n"/>
      <c r="I76" s="31" t="n"/>
      <c r="J76" s="31" t="n"/>
    </row>
    <row r="77" ht="20" customHeight="1">
      <c r="A77" s="33" t="n"/>
      <c r="B77" s="32" t="n"/>
      <c r="C77" s="44">
        <f>IFERROR(INDEX('Patrimônio Geral'!$C$7:$C$156,MATCH($B77,'Patrimônio Geral'!$A$7:$A$156,0)),"")</f>
        <v/>
      </c>
      <c r="D77" s="32" t="n"/>
      <c r="E77" s="31" t="n"/>
      <c r="F77" s="31" t="n"/>
      <c r="G77" s="32" t="n"/>
      <c r="H77" s="31" t="n"/>
      <c r="I77" s="31" t="n"/>
      <c r="J77" s="31" t="n"/>
    </row>
    <row r="78" ht="20" customHeight="1">
      <c r="A78" s="33" t="n"/>
      <c r="B78" s="32" t="n"/>
      <c r="C78" s="44">
        <f>IFERROR(INDEX('Patrimônio Geral'!$C$7:$C$156,MATCH($B78,'Patrimônio Geral'!$A$7:$A$156,0)),"")</f>
        <v/>
      </c>
      <c r="D78" s="32" t="n"/>
      <c r="E78" s="31" t="n"/>
      <c r="F78" s="31" t="n"/>
      <c r="G78" s="32" t="n"/>
      <c r="H78" s="31" t="n"/>
      <c r="I78" s="31" t="n"/>
      <c r="J78" s="31" t="n"/>
    </row>
    <row r="79" ht="20" customHeight="1">
      <c r="A79" s="33" t="n"/>
      <c r="B79" s="32" t="n"/>
      <c r="C79" s="44">
        <f>IFERROR(INDEX('Patrimônio Geral'!$C$7:$C$156,MATCH($B79,'Patrimônio Geral'!$A$7:$A$156,0)),"")</f>
        <v/>
      </c>
      <c r="D79" s="32" t="n"/>
      <c r="E79" s="31" t="n"/>
      <c r="F79" s="31" t="n"/>
      <c r="G79" s="32" t="n"/>
      <c r="H79" s="31" t="n"/>
      <c r="I79" s="31" t="n"/>
      <c r="J79" s="31" t="n"/>
    </row>
    <row r="80" ht="20" customHeight="1">
      <c r="A80" s="33" t="n"/>
      <c r="B80" s="32" t="n"/>
      <c r="C80" s="44">
        <f>IFERROR(INDEX('Patrimônio Geral'!$C$7:$C$156,MATCH($B80,'Patrimônio Geral'!$A$7:$A$156,0)),"")</f>
        <v/>
      </c>
      <c r="D80" s="32" t="n"/>
      <c r="E80" s="31" t="n"/>
      <c r="F80" s="31" t="n"/>
      <c r="G80" s="32" t="n"/>
      <c r="H80" s="31" t="n"/>
      <c r="I80" s="31" t="n"/>
      <c r="J80" s="31" t="n"/>
    </row>
    <row r="81" ht="20" customHeight="1">
      <c r="A81" s="33" t="n"/>
      <c r="B81" s="32" t="n"/>
      <c r="C81" s="44">
        <f>IFERROR(INDEX('Patrimônio Geral'!$C$7:$C$156,MATCH($B81,'Patrimônio Geral'!$A$7:$A$156,0)),"")</f>
        <v/>
      </c>
      <c r="D81" s="32" t="n"/>
      <c r="E81" s="31" t="n"/>
      <c r="F81" s="31" t="n"/>
      <c r="G81" s="32" t="n"/>
      <c r="H81" s="31" t="n"/>
      <c r="I81" s="31" t="n"/>
      <c r="J81" s="31" t="n"/>
    </row>
    <row r="82" ht="20" customHeight="1">
      <c r="A82" s="33" t="n"/>
      <c r="B82" s="32" t="n"/>
      <c r="C82" s="44">
        <f>IFERROR(INDEX('Patrimônio Geral'!$C$7:$C$156,MATCH($B82,'Patrimônio Geral'!$A$7:$A$156,0)),"")</f>
        <v/>
      </c>
      <c r="D82" s="32" t="n"/>
      <c r="E82" s="31" t="n"/>
      <c r="F82" s="31" t="n"/>
      <c r="G82" s="32" t="n"/>
      <c r="H82" s="31" t="n"/>
      <c r="I82" s="31" t="n"/>
      <c r="J82" s="31" t="n"/>
    </row>
    <row r="83" ht="20" customHeight="1">
      <c r="A83" s="33" t="n"/>
      <c r="B83" s="32" t="n"/>
      <c r="C83" s="44">
        <f>IFERROR(INDEX('Patrimônio Geral'!$C$7:$C$156,MATCH($B83,'Patrimônio Geral'!$A$7:$A$156,0)),"")</f>
        <v/>
      </c>
      <c r="D83" s="32" t="n"/>
      <c r="E83" s="31" t="n"/>
      <c r="F83" s="31" t="n"/>
      <c r="G83" s="32" t="n"/>
      <c r="H83" s="31" t="n"/>
      <c r="I83" s="31" t="n"/>
      <c r="J83" s="31" t="n"/>
    </row>
    <row r="84" ht="20" customHeight="1">
      <c r="A84" s="33" t="n"/>
      <c r="B84" s="32" t="n"/>
      <c r="C84" s="44">
        <f>IFERROR(INDEX('Patrimônio Geral'!$C$7:$C$156,MATCH($B84,'Patrimônio Geral'!$A$7:$A$156,0)),"")</f>
        <v/>
      </c>
      <c r="D84" s="32" t="n"/>
      <c r="E84" s="31" t="n"/>
      <c r="F84" s="31" t="n"/>
      <c r="G84" s="32" t="n"/>
      <c r="H84" s="31" t="n"/>
      <c r="I84" s="31" t="n"/>
      <c r="J84" s="31" t="n"/>
    </row>
    <row r="85" ht="20" customHeight="1">
      <c r="A85" s="33" t="n"/>
      <c r="B85" s="32" t="n"/>
      <c r="C85" s="44">
        <f>IFERROR(INDEX('Patrimônio Geral'!$C$7:$C$156,MATCH($B85,'Patrimônio Geral'!$A$7:$A$156,0)),"")</f>
        <v/>
      </c>
      <c r="D85" s="32" t="n"/>
      <c r="E85" s="31" t="n"/>
      <c r="F85" s="31" t="n"/>
      <c r="G85" s="32" t="n"/>
      <c r="H85" s="31" t="n"/>
      <c r="I85" s="31" t="n"/>
      <c r="J85" s="31" t="n"/>
    </row>
    <row r="86" ht="20" customHeight="1">
      <c r="A86" s="33" t="n"/>
      <c r="B86" s="32" t="n"/>
      <c r="C86" s="44">
        <f>IFERROR(INDEX('Patrimônio Geral'!$C$7:$C$156,MATCH($B86,'Patrimônio Geral'!$A$7:$A$156,0)),"")</f>
        <v/>
      </c>
      <c r="D86" s="32" t="n"/>
      <c r="E86" s="31" t="n"/>
      <c r="F86" s="31" t="n"/>
      <c r="G86" s="32" t="n"/>
      <c r="H86" s="31" t="n"/>
      <c r="I86" s="31" t="n"/>
      <c r="J86" s="31" t="n"/>
    </row>
    <row r="87" ht="20" customHeight="1">
      <c r="A87" s="33" t="n"/>
      <c r="B87" s="32" t="n"/>
      <c r="C87" s="44">
        <f>IFERROR(INDEX('Patrimônio Geral'!$C$7:$C$156,MATCH($B87,'Patrimônio Geral'!$A$7:$A$156,0)),"")</f>
        <v/>
      </c>
      <c r="D87" s="32" t="n"/>
      <c r="E87" s="31" t="n"/>
      <c r="F87" s="31" t="n"/>
      <c r="G87" s="32" t="n"/>
      <c r="H87" s="31" t="n"/>
      <c r="I87" s="31" t="n"/>
      <c r="J87" s="31" t="n"/>
    </row>
    <row r="88" ht="20" customHeight="1">
      <c r="A88" s="33" t="n"/>
      <c r="B88" s="32" t="n"/>
      <c r="C88" s="44">
        <f>IFERROR(INDEX('Patrimônio Geral'!$C$7:$C$156,MATCH($B88,'Patrimônio Geral'!$A$7:$A$156,0)),"")</f>
        <v/>
      </c>
      <c r="D88" s="32" t="n"/>
      <c r="E88" s="31" t="n"/>
      <c r="F88" s="31" t="n"/>
      <c r="G88" s="32" t="n"/>
      <c r="H88" s="31" t="n"/>
      <c r="I88" s="31" t="n"/>
      <c r="J88" s="31" t="n"/>
    </row>
    <row r="89" ht="20" customHeight="1">
      <c r="A89" s="33" t="n"/>
      <c r="B89" s="32" t="n"/>
      <c r="C89" s="44">
        <f>IFERROR(INDEX('Patrimônio Geral'!$C$7:$C$156,MATCH($B89,'Patrimônio Geral'!$A$7:$A$156,0)),"")</f>
        <v/>
      </c>
      <c r="D89" s="32" t="n"/>
      <c r="E89" s="31" t="n"/>
      <c r="F89" s="31" t="n"/>
      <c r="G89" s="32" t="n"/>
      <c r="H89" s="31" t="n"/>
      <c r="I89" s="31" t="n"/>
      <c r="J89" s="31" t="n"/>
    </row>
    <row r="90" ht="20" customHeight="1">
      <c r="A90" s="33" t="n"/>
      <c r="B90" s="32" t="n"/>
      <c r="C90" s="44">
        <f>IFERROR(INDEX('Patrimônio Geral'!$C$7:$C$156,MATCH($B90,'Patrimônio Geral'!$A$7:$A$156,0)),"")</f>
        <v/>
      </c>
      <c r="D90" s="32" t="n"/>
      <c r="E90" s="31" t="n"/>
      <c r="F90" s="31" t="n"/>
      <c r="G90" s="32" t="n"/>
      <c r="H90" s="31" t="n"/>
      <c r="I90" s="31" t="n"/>
      <c r="J90" s="31" t="n"/>
    </row>
    <row r="91" ht="20" customHeight="1">
      <c r="A91" s="33" t="n"/>
      <c r="B91" s="32" t="n"/>
      <c r="C91" s="44">
        <f>IFERROR(INDEX('Patrimônio Geral'!$C$7:$C$156,MATCH($B91,'Patrimônio Geral'!$A$7:$A$156,0)),"")</f>
        <v/>
      </c>
      <c r="D91" s="32" t="n"/>
      <c r="E91" s="31" t="n"/>
      <c r="F91" s="31" t="n"/>
      <c r="G91" s="32" t="n"/>
      <c r="H91" s="31" t="n"/>
      <c r="I91" s="31" t="n"/>
      <c r="J91" s="31" t="n"/>
    </row>
    <row r="92" ht="20" customHeight="1">
      <c r="A92" s="33" t="n"/>
      <c r="B92" s="32" t="n"/>
      <c r="C92" s="44">
        <f>IFERROR(INDEX('Patrimônio Geral'!$C$7:$C$156,MATCH($B92,'Patrimônio Geral'!$A$7:$A$156,0)),"")</f>
        <v/>
      </c>
      <c r="D92" s="32" t="n"/>
      <c r="E92" s="31" t="n"/>
      <c r="F92" s="31" t="n"/>
      <c r="G92" s="32" t="n"/>
      <c r="H92" s="31" t="n"/>
      <c r="I92" s="31" t="n"/>
      <c r="J92" s="31" t="n"/>
    </row>
    <row r="93" ht="20" customHeight="1">
      <c r="A93" s="33" t="n"/>
      <c r="B93" s="32" t="n"/>
      <c r="C93" s="44">
        <f>IFERROR(INDEX('Patrimônio Geral'!$C$7:$C$156,MATCH($B93,'Patrimônio Geral'!$A$7:$A$156,0)),"")</f>
        <v/>
      </c>
      <c r="D93" s="32" t="n"/>
      <c r="E93" s="31" t="n"/>
      <c r="F93" s="31" t="n"/>
      <c r="G93" s="32" t="n"/>
      <c r="H93" s="31" t="n"/>
      <c r="I93" s="31" t="n"/>
      <c r="J93" s="31" t="n"/>
    </row>
    <row r="94" ht="20" customHeight="1">
      <c r="A94" s="33" t="n"/>
      <c r="B94" s="32" t="n"/>
      <c r="C94" s="44">
        <f>IFERROR(INDEX('Patrimônio Geral'!$C$7:$C$156,MATCH($B94,'Patrimônio Geral'!$A$7:$A$156,0)),"")</f>
        <v/>
      </c>
      <c r="D94" s="32" t="n"/>
      <c r="E94" s="31" t="n"/>
      <c r="F94" s="31" t="n"/>
      <c r="G94" s="32" t="n"/>
      <c r="H94" s="31" t="n"/>
      <c r="I94" s="31" t="n"/>
      <c r="J94" s="31" t="n"/>
    </row>
    <row r="95" ht="20" customHeight="1">
      <c r="A95" s="33" t="n"/>
      <c r="B95" s="32" t="n"/>
      <c r="C95" s="44">
        <f>IFERROR(INDEX('Patrimônio Geral'!$C$7:$C$156,MATCH($B95,'Patrimônio Geral'!$A$7:$A$156,0)),"")</f>
        <v/>
      </c>
      <c r="D95" s="32" t="n"/>
      <c r="E95" s="31" t="n"/>
      <c r="F95" s="31" t="n"/>
      <c r="G95" s="32" t="n"/>
      <c r="H95" s="31" t="n"/>
      <c r="I95" s="31" t="n"/>
      <c r="J95" s="31" t="n"/>
    </row>
    <row r="96" ht="20" customHeight="1">
      <c r="A96" s="33" t="n"/>
      <c r="B96" s="32" t="n"/>
      <c r="C96" s="44">
        <f>IFERROR(INDEX('Patrimônio Geral'!$C$7:$C$156,MATCH($B96,'Patrimônio Geral'!$A$7:$A$156,0)),"")</f>
        <v/>
      </c>
      <c r="D96" s="32" t="n"/>
      <c r="E96" s="31" t="n"/>
      <c r="F96" s="31" t="n"/>
      <c r="G96" s="32" t="n"/>
      <c r="H96" s="31" t="n"/>
      <c r="I96" s="31" t="n"/>
      <c r="J96" s="31" t="n"/>
    </row>
    <row r="97" ht="20" customHeight="1">
      <c r="A97" s="33" t="n"/>
      <c r="B97" s="32" t="n"/>
      <c r="C97" s="44">
        <f>IFERROR(INDEX('Patrimônio Geral'!$C$7:$C$156,MATCH($B97,'Patrimônio Geral'!$A$7:$A$156,0)),"")</f>
        <v/>
      </c>
      <c r="D97" s="32" t="n"/>
      <c r="E97" s="31" t="n"/>
      <c r="F97" s="31" t="n"/>
      <c r="G97" s="32" t="n"/>
      <c r="H97" s="31" t="n"/>
      <c r="I97" s="31" t="n"/>
      <c r="J97" s="31" t="n"/>
    </row>
    <row r="98" ht="20" customHeight="1">
      <c r="A98" s="33" t="n"/>
      <c r="B98" s="32" t="n"/>
      <c r="C98" s="44">
        <f>IFERROR(INDEX('Patrimônio Geral'!$C$7:$C$156,MATCH($B98,'Patrimônio Geral'!$A$7:$A$156,0)),"")</f>
        <v/>
      </c>
      <c r="D98" s="32" t="n"/>
      <c r="E98" s="31" t="n"/>
      <c r="F98" s="31" t="n"/>
      <c r="G98" s="32" t="n"/>
      <c r="H98" s="31" t="n"/>
      <c r="I98" s="31" t="n"/>
      <c r="J98" s="31" t="n"/>
    </row>
    <row r="99" ht="20" customHeight="1">
      <c r="A99" s="33" t="n"/>
      <c r="B99" s="32" t="n"/>
      <c r="C99" s="44">
        <f>IFERROR(INDEX('Patrimônio Geral'!$C$7:$C$156,MATCH($B99,'Patrimônio Geral'!$A$7:$A$156,0)),"")</f>
        <v/>
      </c>
      <c r="D99" s="32" t="n"/>
      <c r="E99" s="31" t="n"/>
      <c r="F99" s="31" t="n"/>
      <c r="G99" s="32" t="n"/>
      <c r="H99" s="31" t="n"/>
      <c r="I99" s="31" t="n"/>
      <c r="J99" s="31" t="n"/>
    </row>
    <row r="100" ht="20" customHeight="1">
      <c r="A100" s="33" t="n"/>
      <c r="B100" s="32" t="n"/>
      <c r="C100" s="44">
        <f>IFERROR(INDEX('Patrimônio Geral'!$C$7:$C$156,MATCH($B100,'Patrimônio Geral'!$A$7:$A$156,0)),"")</f>
        <v/>
      </c>
      <c r="D100" s="32" t="n"/>
      <c r="E100" s="31" t="n"/>
      <c r="F100" s="31" t="n"/>
      <c r="G100" s="32" t="n"/>
      <c r="H100" s="31" t="n"/>
      <c r="I100" s="31" t="n"/>
      <c r="J100" s="31" t="n"/>
    </row>
    <row r="101" ht="20" customHeight="1">
      <c r="A101" s="33" t="n"/>
      <c r="B101" s="32" t="n"/>
      <c r="C101" s="44">
        <f>IFERROR(INDEX('Patrimônio Geral'!$C$7:$C$156,MATCH($B101,'Patrimônio Geral'!$A$7:$A$156,0)),"")</f>
        <v/>
      </c>
      <c r="D101" s="32" t="n"/>
      <c r="E101" s="31" t="n"/>
      <c r="F101" s="31" t="n"/>
      <c r="G101" s="32" t="n"/>
      <c r="H101" s="31" t="n"/>
      <c r="I101" s="31" t="n"/>
      <c r="J101" s="31" t="n"/>
    </row>
    <row r="102" ht="20" customHeight="1">
      <c r="A102" s="33" t="n"/>
      <c r="B102" s="32" t="n"/>
      <c r="C102" s="44">
        <f>IFERROR(INDEX('Patrimônio Geral'!$C$7:$C$156,MATCH($B102,'Patrimônio Geral'!$A$7:$A$156,0)),"")</f>
        <v/>
      </c>
      <c r="D102" s="32" t="n"/>
      <c r="E102" s="31" t="n"/>
      <c r="F102" s="31" t="n"/>
      <c r="G102" s="32" t="n"/>
      <c r="H102" s="31" t="n"/>
      <c r="I102" s="31" t="n"/>
      <c r="J102" s="31" t="n"/>
    </row>
    <row r="103" ht="20" customHeight="1">
      <c r="A103" s="33" t="n"/>
      <c r="B103" s="32" t="n"/>
      <c r="C103" s="44">
        <f>IFERROR(INDEX('Patrimônio Geral'!$C$7:$C$156,MATCH($B103,'Patrimônio Geral'!$A$7:$A$156,0)),"")</f>
        <v/>
      </c>
      <c r="D103" s="32" t="n"/>
      <c r="E103" s="31" t="n"/>
      <c r="F103" s="31" t="n"/>
      <c r="G103" s="32" t="n"/>
      <c r="H103" s="31" t="n"/>
      <c r="I103" s="31" t="n"/>
      <c r="J103" s="31" t="n"/>
    </row>
    <row r="104" ht="20" customHeight="1">
      <c r="A104" s="33" t="n"/>
      <c r="B104" s="32" t="n"/>
      <c r="C104" s="44">
        <f>IFERROR(INDEX('Patrimônio Geral'!$C$7:$C$156,MATCH($B104,'Patrimônio Geral'!$A$7:$A$156,0)),"")</f>
        <v/>
      </c>
      <c r="D104" s="32" t="n"/>
      <c r="E104" s="31" t="n"/>
      <c r="F104" s="31" t="n"/>
      <c r="G104" s="32" t="n"/>
      <c r="H104" s="31" t="n"/>
      <c r="I104" s="31" t="n"/>
      <c r="J104" s="31" t="n"/>
    </row>
    <row r="105" ht="20" customHeight="1">
      <c r="A105" s="33" t="n"/>
      <c r="B105" s="32" t="n"/>
      <c r="C105" s="44">
        <f>IFERROR(INDEX('Patrimônio Geral'!$C$7:$C$156,MATCH($B105,'Patrimônio Geral'!$A$7:$A$156,0)),"")</f>
        <v/>
      </c>
      <c r="D105" s="32" t="n"/>
      <c r="E105" s="31" t="n"/>
      <c r="F105" s="31" t="n"/>
      <c r="G105" s="32" t="n"/>
      <c r="H105" s="31" t="n"/>
      <c r="I105" s="31" t="n"/>
      <c r="J105" s="31" t="n"/>
    </row>
    <row r="106" ht="20" customHeight="1">
      <c r="A106" s="33" t="n"/>
      <c r="B106" s="32" t="n"/>
      <c r="C106" s="44">
        <f>IFERROR(INDEX('Patrimônio Geral'!$C$7:$C$156,MATCH($B106,'Patrimônio Geral'!$A$7:$A$156,0)),"")</f>
        <v/>
      </c>
      <c r="D106" s="32" t="n"/>
      <c r="E106" s="31" t="n"/>
      <c r="F106" s="31" t="n"/>
      <c r="G106" s="32" t="n"/>
      <c r="H106" s="31" t="n"/>
      <c r="I106" s="31" t="n"/>
      <c r="J106" s="31" t="n"/>
    </row>
  </sheetData>
  <autoFilter ref="A6:J106"/>
  <mergeCells count="4">
    <mergeCell ref="A1:J1"/>
    <mergeCell ref="A4:J4"/>
    <mergeCell ref="A3:J3"/>
    <mergeCell ref="A2:J2"/>
  </mergeCells>
  <dataValidations count="2">
    <dataValidation sqref="D7:D106" showDropDown="0" showInputMessage="0" showErrorMessage="0" allowBlank="1" type="list">
      <formula1>=Listas!$L$2:$L$7</formula1>
    </dataValidation>
    <dataValidation sqref="E7:F106" showDropDown="0" showInputMessage="0" showErrorMessage="0" allowBlank="1" type="list">
      <formula1>=Listas!$A$2:$A$9</formula1>
    </dataValidation>
  </dataValidations>
  <pageMargins left="0.45" right="0.35" top="0.4" bottom="0.35" header="0.5" footer="0.5"/>
  <pageSetup orientation="landscape" paperSize="9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J86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1" customWidth="1" min="1" max="1"/>
    <col width="46" customWidth="1" min="2" max="2"/>
    <col width="18" customWidth="1" min="3" max="3"/>
    <col width="16" customWidth="1" min="4" max="4"/>
    <col width="12" customWidth="1" min="5" max="5"/>
    <col width="18" customWidth="1" min="6" max="6"/>
    <col width="26" customWidth="1" min="7" max="7"/>
    <col width="30" customWidth="1" min="8" max="8"/>
    <col width="13" customWidth="1" min="9" max="9"/>
    <col width="18" customWidth="1" min="10" max="10"/>
  </cols>
  <sheetData>
    <row r="1" ht="26" customHeight="1">
      <c r="A1" s="1" t="inlineStr">
        <is>
          <t>VALVIC MARCENARIA</t>
        </is>
      </c>
    </row>
    <row r="2" ht="15" customHeight="1">
      <c r="A2" s="2" t="inlineStr">
        <is>
          <t>Vargas Decor Ltda   ·   CNPJ 17.269.304/0001-51   ·   Belo Horizonte / MG</t>
        </is>
      </c>
    </row>
    <row r="3" ht="28" customHeight="1">
      <c r="A3" s="3" t="inlineStr">
        <is>
          <t>CONFERÊNCIA MENSAL</t>
        </is>
      </c>
    </row>
    <row r="4" ht="17" customHeight="1">
      <c r="A4" s="4" t="inlineStr">
        <is>
          <t>Checagem física do patrimônio · responsável pela conferência: Deivson · periodicidade mensal</t>
        </is>
      </c>
    </row>
    <row r="6" ht="30" customHeight="1">
      <c r="A6" s="29" t="inlineStr">
        <is>
          <t>Código</t>
        </is>
      </c>
      <c r="B6" s="29" t="inlineStr">
        <is>
          <t>Descrição</t>
        </is>
      </c>
      <c r="C6" s="29" t="inlineStr">
        <is>
          <t>Responsável</t>
        </is>
      </c>
      <c r="D6" s="29" t="inlineStr">
        <is>
          <t>Localização</t>
        </is>
      </c>
      <c r="E6" s="29" t="inlineStr">
        <is>
          <t>Conferido?</t>
        </is>
      </c>
      <c r="F6" s="29" t="inlineStr">
        <is>
          <t>Estado encontrado</t>
        </is>
      </c>
      <c r="G6" s="29" t="inlineStr">
        <is>
          <t>Divergência</t>
        </is>
      </c>
      <c r="H6" s="29" t="inlineStr">
        <is>
          <t>Ação tomada</t>
        </is>
      </c>
      <c r="I6" s="29" t="inlineStr">
        <is>
          <t>Data</t>
        </is>
      </c>
      <c r="J6" s="29" t="inlineStr">
        <is>
          <t>Conferido por</t>
        </is>
      </c>
    </row>
    <row r="7" ht="20" customHeight="1">
      <c r="A7" s="32" t="n"/>
      <c r="B7" s="44">
        <f>IFERROR(INDEX('Patrimônio Geral'!$C$7:$C$156,MATCH($A7,'Patrimônio Geral'!$A$7:$A$156,0)),"")</f>
        <v/>
      </c>
      <c r="C7" s="44">
        <f>IFERROR(INDEX('Patrimônio Geral'!$S$7:$S$156,MATCH($A7,'Patrimônio Geral'!$A$7:$A$156,0)),"")</f>
        <v/>
      </c>
      <c r="D7" s="44">
        <f>IFERROR(INDEX('Patrimônio Geral'!$R$7:$R$156,MATCH($A7,'Patrimônio Geral'!$A$7:$A$156,0)),"")</f>
        <v/>
      </c>
      <c r="E7" s="32" t="n"/>
      <c r="F7" s="31" t="n"/>
      <c r="G7" s="31" t="n"/>
      <c r="H7" s="31" t="n"/>
      <c r="I7" s="33" t="n"/>
      <c r="J7" s="31" t="n"/>
    </row>
    <row r="8" ht="20" customHeight="1">
      <c r="A8" s="32" t="n"/>
      <c r="B8" s="44">
        <f>IFERROR(INDEX('Patrimônio Geral'!$C$7:$C$156,MATCH($A8,'Patrimônio Geral'!$A$7:$A$156,0)),"")</f>
        <v/>
      </c>
      <c r="C8" s="44">
        <f>IFERROR(INDEX('Patrimônio Geral'!$S$7:$S$156,MATCH($A8,'Patrimônio Geral'!$A$7:$A$156,0)),"")</f>
        <v/>
      </c>
      <c r="D8" s="44">
        <f>IFERROR(INDEX('Patrimônio Geral'!$R$7:$R$156,MATCH($A8,'Patrimônio Geral'!$A$7:$A$156,0)),"")</f>
        <v/>
      </c>
      <c r="E8" s="32" t="n"/>
      <c r="F8" s="31" t="n"/>
      <c r="G8" s="31" t="n"/>
      <c r="H8" s="31" t="n"/>
      <c r="I8" s="33" t="n"/>
      <c r="J8" s="31" t="n"/>
    </row>
    <row r="9" ht="20" customHeight="1">
      <c r="A9" s="32" t="n"/>
      <c r="B9" s="44">
        <f>IFERROR(INDEX('Patrimônio Geral'!$C$7:$C$156,MATCH($A9,'Patrimônio Geral'!$A$7:$A$156,0)),"")</f>
        <v/>
      </c>
      <c r="C9" s="44">
        <f>IFERROR(INDEX('Patrimônio Geral'!$S$7:$S$156,MATCH($A9,'Patrimônio Geral'!$A$7:$A$156,0)),"")</f>
        <v/>
      </c>
      <c r="D9" s="44">
        <f>IFERROR(INDEX('Patrimônio Geral'!$R$7:$R$156,MATCH($A9,'Patrimônio Geral'!$A$7:$A$156,0)),"")</f>
        <v/>
      </c>
      <c r="E9" s="32" t="n"/>
      <c r="F9" s="31" t="n"/>
      <c r="G9" s="31" t="n"/>
      <c r="H9" s="31" t="n"/>
      <c r="I9" s="33" t="n"/>
      <c r="J9" s="31" t="n"/>
    </row>
    <row r="10" ht="20" customHeight="1">
      <c r="A10" s="32" t="n"/>
      <c r="B10" s="44">
        <f>IFERROR(INDEX('Patrimônio Geral'!$C$7:$C$156,MATCH($A10,'Patrimônio Geral'!$A$7:$A$156,0)),"")</f>
        <v/>
      </c>
      <c r="C10" s="44">
        <f>IFERROR(INDEX('Patrimônio Geral'!$S$7:$S$156,MATCH($A10,'Patrimônio Geral'!$A$7:$A$156,0)),"")</f>
        <v/>
      </c>
      <c r="D10" s="44">
        <f>IFERROR(INDEX('Patrimônio Geral'!$R$7:$R$156,MATCH($A10,'Patrimônio Geral'!$A$7:$A$156,0)),"")</f>
        <v/>
      </c>
      <c r="E10" s="32" t="n"/>
      <c r="F10" s="31" t="n"/>
      <c r="G10" s="31" t="n"/>
      <c r="H10" s="31" t="n"/>
      <c r="I10" s="33" t="n"/>
      <c r="J10" s="31" t="n"/>
    </row>
    <row r="11" ht="20" customHeight="1">
      <c r="A11" s="32" t="n"/>
      <c r="B11" s="44">
        <f>IFERROR(INDEX('Patrimônio Geral'!$C$7:$C$156,MATCH($A11,'Patrimônio Geral'!$A$7:$A$156,0)),"")</f>
        <v/>
      </c>
      <c r="C11" s="44">
        <f>IFERROR(INDEX('Patrimônio Geral'!$S$7:$S$156,MATCH($A11,'Patrimônio Geral'!$A$7:$A$156,0)),"")</f>
        <v/>
      </c>
      <c r="D11" s="44">
        <f>IFERROR(INDEX('Patrimônio Geral'!$R$7:$R$156,MATCH($A11,'Patrimônio Geral'!$A$7:$A$156,0)),"")</f>
        <v/>
      </c>
      <c r="E11" s="32" t="n"/>
      <c r="F11" s="31" t="n"/>
      <c r="G11" s="31" t="n"/>
      <c r="H11" s="31" t="n"/>
      <c r="I11" s="33" t="n"/>
      <c r="J11" s="31" t="n"/>
    </row>
    <row r="12" ht="20" customHeight="1">
      <c r="A12" s="32" t="n"/>
      <c r="B12" s="44">
        <f>IFERROR(INDEX('Patrimônio Geral'!$C$7:$C$156,MATCH($A12,'Patrimônio Geral'!$A$7:$A$156,0)),"")</f>
        <v/>
      </c>
      <c r="C12" s="44">
        <f>IFERROR(INDEX('Patrimônio Geral'!$S$7:$S$156,MATCH($A12,'Patrimônio Geral'!$A$7:$A$156,0)),"")</f>
        <v/>
      </c>
      <c r="D12" s="44">
        <f>IFERROR(INDEX('Patrimônio Geral'!$R$7:$R$156,MATCH($A12,'Patrimônio Geral'!$A$7:$A$156,0)),"")</f>
        <v/>
      </c>
      <c r="E12" s="32" t="n"/>
      <c r="F12" s="31" t="n"/>
      <c r="G12" s="31" t="n"/>
      <c r="H12" s="31" t="n"/>
      <c r="I12" s="33" t="n"/>
      <c r="J12" s="31" t="n"/>
    </row>
    <row r="13" ht="20" customHeight="1">
      <c r="A13" s="32" t="n"/>
      <c r="B13" s="44">
        <f>IFERROR(INDEX('Patrimônio Geral'!$C$7:$C$156,MATCH($A13,'Patrimônio Geral'!$A$7:$A$156,0)),"")</f>
        <v/>
      </c>
      <c r="C13" s="44">
        <f>IFERROR(INDEX('Patrimônio Geral'!$S$7:$S$156,MATCH($A13,'Patrimônio Geral'!$A$7:$A$156,0)),"")</f>
        <v/>
      </c>
      <c r="D13" s="44">
        <f>IFERROR(INDEX('Patrimônio Geral'!$R$7:$R$156,MATCH($A13,'Patrimônio Geral'!$A$7:$A$156,0)),"")</f>
        <v/>
      </c>
      <c r="E13" s="32" t="n"/>
      <c r="F13" s="31" t="n"/>
      <c r="G13" s="31" t="n"/>
      <c r="H13" s="31" t="n"/>
      <c r="I13" s="33" t="n"/>
      <c r="J13" s="31" t="n"/>
    </row>
    <row r="14" ht="20" customHeight="1">
      <c r="A14" s="32" t="n"/>
      <c r="B14" s="44">
        <f>IFERROR(INDEX('Patrimônio Geral'!$C$7:$C$156,MATCH($A14,'Patrimônio Geral'!$A$7:$A$156,0)),"")</f>
        <v/>
      </c>
      <c r="C14" s="44">
        <f>IFERROR(INDEX('Patrimônio Geral'!$S$7:$S$156,MATCH($A14,'Patrimônio Geral'!$A$7:$A$156,0)),"")</f>
        <v/>
      </c>
      <c r="D14" s="44">
        <f>IFERROR(INDEX('Patrimônio Geral'!$R$7:$R$156,MATCH($A14,'Patrimônio Geral'!$A$7:$A$156,0)),"")</f>
        <v/>
      </c>
      <c r="E14" s="32" t="n"/>
      <c r="F14" s="31" t="n"/>
      <c r="G14" s="31" t="n"/>
      <c r="H14" s="31" t="n"/>
      <c r="I14" s="33" t="n"/>
      <c r="J14" s="31" t="n"/>
    </row>
    <row r="15" ht="20" customHeight="1">
      <c r="A15" s="32" t="n"/>
      <c r="B15" s="44">
        <f>IFERROR(INDEX('Patrimônio Geral'!$C$7:$C$156,MATCH($A15,'Patrimônio Geral'!$A$7:$A$156,0)),"")</f>
        <v/>
      </c>
      <c r="C15" s="44">
        <f>IFERROR(INDEX('Patrimônio Geral'!$S$7:$S$156,MATCH($A15,'Patrimônio Geral'!$A$7:$A$156,0)),"")</f>
        <v/>
      </c>
      <c r="D15" s="44">
        <f>IFERROR(INDEX('Patrimônio Geral'!$R$7:$R$156,MATCH($A15,'Patrimônio Geral'!$A$7:$A$156,0)),"")</f>
        <v/>
      </c>
      <c r="E15" s="32" t="n"/>
      <c r="F15" s="31" t="n"/>
      <c r="G15" s="31" t="n"/>
      <c r="H15" s="31" t="n"/>
      <c r="I15" s="33" t="n"/>
      <c r="J15" s="31" t="n"/>
    </row>
    <row r="16" ht="20" customHeight="1">
      <c r="A16" s="32" t="n"/>
      <c r="B16" s="44">
        <f>IFERROR(INDEX('Patrimônio Geral'!$C$7:$C$156,MATCH($A16,'Patrimônio Geral'!$A$7:$A$156,0)),"")</f>
        <v/>
      </c>
      <c r="C16" s="44">
        <f>IFERROR(INDEX('Patrimônio Geral'!$S$7:$S$156,MATCH($A16,'Patrimônio Geral'!$A$7:$A$156,0)),"")</f>
        <v/>
      </c>
      <c r="D16" s="44">
        <f>IFERROR(INDEX('Patrimônio Geral'!$R$7:$R$156,MATCH($A16,'Patrimônio Geral'!$A$7:$A$156,0)),"")</f>
        <v/>
      </c>
      <c r="E16" s="32" t="n"/>
      <c r="F16" s="31" t="n"/>
      <c r="G16" s="31" t="n"/>
      <c r="H16" s="31" t="n"/>
      <c r="I16" s="33" t="n"/>
      <c r="J16" s="31" t="n"/>
    </row>
    <row r="17" ht="20" customHeight="1">
      <c r="A17" s="32" t="n"/>
      <c r="B17" s="44">
        <f>IFERROR(INDEX('Patrimônio Geral'!$C$7:$C$156,MATCH($A17,'Patrimônio Geral'!$A$7:$A$156,0)),"")</f>
        <v/>
      </c>
      <c r="C17" s="44">
        <f>IFERROR(INDEX('Patrimônio Geral'!$S$7:$S$156,MATCH($A17,'Patrimônio Geral'!$A$7:$A$156,0)),"")</f>
        <v/>
      </c>
      <c r="D17" s="44">
        <f>IFERROR(INDEX('Patrimônio Geral'!$R$7:$R$156,MATCH($A17,'Patrimônio Geral'!$A$7:$A$156,0)),"")</f>
        <v/>
      </c>
      <c r="E17" s="32" t="n"/>
      <c r="F17" s="31" t="n"/>
      <c r="G17" s="31" t="n"/>
      <c r="H17" s="31" t="n"/>
      <c r="I17" s="33" t="n"/>
      <c r="J17" s="31" t="n"/>
    </row>
    <row r="18" ht="20" customHeight="1">
      <c r="A18" s="32" t="n"/>
      <c r="B18" s="44">
        <f>IFERROR(INDEX('Patrimônio Geral'!$C$7:$C$156,MATCH($A18,'Patrimônio Geral'!$A$7:$A$156,0)),"")</f>
        <v/>
      </c>
      <c r="C18" s="44">
        <f>IFERROR(INDEX('Patrimônio Geral'!$S$7:$S$156,MATCH($A18,'Patrimônio Geral'!$A$7:$A$156,0)),"")</f>
        <v/>
      </c>
      <c r="D18" s="44">
        <f>IFERROR(INDEX('Patrimônio Geral'!$R$7:$R$156,MATCH($A18,'Patrimônio Geral'!$A$7:$A$156,0)),"")</f>
        <v/>
      </c>
      <c r="E18" s="32" t="n"/>
      <c r="F18" s="31" t="n"/>
      <c r="G18" s="31" t="n"/>
      <c r="H18" s="31" t="n"/>
      <c r="I18" s="33" t="n"/>
      <c r="J18" s="31" t="n"/>
    </row>
    <row r="19" ht="20" customHeight="1">
      <c r="A19" s="32" t="n"/>
      <c r="B19" s="44">
        <f>IFERROR(INDEX('Patrimônio Geral'!$C$7:$C$156,MATCH($A19,'Patrimônio Geral'!$A$7:$A$156,0)),"")</f>
        <v/>
      </c>
      <c r="C19" s="44">
        <f>IFERROR(INDEX('Patrimônio Geral'!$S$7:$S$156,MATCH($A19,'Patrimônio Geral'!$A$7:$A$156,0)),"")</f>
        <v/>
      </c>
      <c r="D19" s="44">
        <f>IFERROR(INDEX('Patrimônio Geral'!$R$7:$R$156,MATCH($A19,'Patrimônio Geral'!$A$7:$A$156,0)),"")</f>
        <v/>
      </c>
      <c r="E19" s="32" t="n"/>
      <c r="F19" s="31" t="n"/>
      <c r="G19" s="31" t="n"/>
      <c r="H19" s="31" t="n"/>
      <c r="I19" s="33" t="n"/>
      <c r="J19" s="31" t="n"/>
    </row>
    <row r="20" ht="20" customHeight="1">
      <c r="A20" s="32" t="n"/>
      <c r="B20" s="44">
        <f>IFERROR(INDEX('Patrimônio Geral'!$C$7:$C$156,MATCH($A20,'Patrimônio Geral'!$A$7:$A$156,0)),"")</f>
        <v/>
      </c>
      <c r="C20" s="44">
        <f>IFERROR(INDEX('Patrimônio Geral'!$S$7:$S$156,MATCH($A20,'Patrimônio Geral'!$A$7:$A$156,0)),"")</f>
        <v/>
      </c>
      <c r="D20" s="44">
        <f>IFERROR(INDEX('Patrimônio Geral'!$R$7:$R$156,MATCH($A20,'Patrimônio Geral'!$A$7:$A$156,0)),"")</f>
        <v/>
      </c>
      <c r="E20" s="32" t="n"/>
      <c r="F20" s="31" t="n"/>
      <c r="G20" s="31" t="n"/>
      <c r="H20" s="31" t="n"/>
      <c r="I20" s="33" t="n"/>
      <c r="J20" s="31" t="n"/>
    </row>
    <row r="21" ht="20" customHeight="1">
      <c r="A21" s="32" t="n"/>
      <c r="B21" s="44">
        <f>IFERROR(INDEX('Patrimônio Geral'!$C$7:$C$156,MATCH($A21,'Patrimônio Geral'!$A$7:$A$156,0)),"")</f>
        <v/>
      </c>
      <c r="C21" s="44">
        <f>IFERROR(INDEX('Patrimônio Geral'!$S$7:$S$156,MATCH($A21,'Patrimônio Geral'!$A$7:$A$156,0)),"")</f>
        <v/>
      </c>
      <c r="D21" s="44">
        <f>IFERROR(INDEX('Patrimônio Geral'!$R$7:$R$156,MATCH($A21,'Patrimônio Geral'!$A$7:$A$156,0)),"")</f>
        <v/>
      </c>
      <c r="E21" s="32" t="n"/>
      <c r="F21" s="31" t="n"/>
      <c r="G21" s="31" t="n"/>
      <c r="H21" s="31" t="n"/>
      <c r="I21" s="33" t="n"/>
      <c r="J21" s="31" t="n"/>
    </row>
    <row r="22" ht="20" customHeight="1">
      <c r="A22" s="32" t="n"/>
      <c r="B22" s="44">
        <f>IFERROR(INDEX('Patrimônio Geral'!$C$7:$C$156,MATCH($A22,'Patrimônio Geral'!$A$7:$A$156,0)),"")</f>
        <v/>
      </c>
      <c r="C22" s="44">
        <f>IFERROR(INDEX('Patrimônio Geral'!$S$7:$S$156,MATCH($A22,'Patrimônio Geral'!$A$7:$A$156,0)),"")</f>
        <v/>
      </c>
      <c r="D22" s="44">
        <f>IFERROR(INDEX('Patrimônio Geral'!$R$7:$R$156,MATCH($A22,'Patrimônio Geral'!$A$7:$A$156,0)),"")</f>
        <v/>
      </c>
      <c r="E22" s="32" t="n"/>
      <c r="F22" s="31" t="n"/>
      <c r="G22" s="31" t="n"/>
      <c r="H22" s="31" t="n"/>
      <c r="I22" s="33" t="n"/>
      <c r="J22" s="31" t="n"/>
    </row>
    <row r="23" ht="20" customHeight="1">
      <c r="A23" s="32" t="n"/>
      <c r="B23" s="44">
        <f>IFERROR(INDEX('Patrimônio Geral'!$C$7:$C$156,MATCH($A23,'Patrimônio Geral'!$A$7:$A$156,0)),"")</f>
        <v/>
      </c>
      <c r="C23" s="44">
        <f>IFERROR(INDEX('Patrimônio Geral'!$S$7:$S$156,MATCH($A23,'Patrimônio Geral'!$A$7:$A$156,0)),"")</f>
        <v/>
      </c>
      <c r="D23" s="44">
        <f>IFERROR(INDEX('Patrimônio Geral'!$R$7:$R$156,MATCH($A23,'Patrimônio Geral'!$A$7:$A$156,0)),"")</f>
        <v/>
      </c>
      <c r="E23" s="32" t="n"/>
      <c r="F23" s="31" t="n"/>
      <c r="G23" s="31" t="n"/>
      <c r="H23" s="31" t="n"/>
      <c r="I23" s="33" t="n"/>
      <c r="J23" s="31" t="n"/>
    </row>
    <row r="24" ht="20" customHeight="1">
      <c r="A24" s="32" t="n"/>
      <c r="B24" s="44">
        <f>IFERROR(INDEX('Patrimônio Geral'!$C$7:$C$156,MATCH($A24,'Patrimônio Geral'!$A$7:$A$156,0)),"")</f>
        <v/>
      </c>
      <c r="C24" s="44">
        <f>IFERROR(INDEX('Patrimônio Geral'!$S$7:$S$156,MATCH($A24,'Patrimônio Geral'!$A$7:$A$156,0)),"")</f>
        <v/>
      </c>
      <c r="D24" s="44">
        <f>IFERROR(INDEX('Patrimônio Geral'!$R$7:$R$156,MATCH($A24,'Patrimônio Geral'!$A$7:$A$156,0)),"")</f>
        <v/>
      </c>
      <c r="E24" s="32" t="n"/>
      <c r="F24" s="31" t="n"/>
      <c r="G24" s="31" t="n"/>
      <c r="H24" s="31" t="n"/>
      <c r="I24" s="33" t="n"/>
      <c r="J24" s="31" t="n"/>
    </row>
    <row r="25" ht="20" customHeight="1">
      <c r="A25" s="32" t="n"/>
      <c r="B25" s="44">
        <f>IFERROR(INDEX('Patrimônio Geral'!$C$7:$C$156,MATCH($A25,'Patrimônio Geral'!$A$7:$A$156,0)),"")</f>
        <v/>
      </c>
      <c r="C25" s="44">
        <f>IFERROR(INDEX('Patrimônio Geral'!$S$7:$S$156,MATCH($A25,'Patrimônio Geral'!$A$7:$A$156,0)),"")</f>
        <v/>
      </c>
      <c r="D25" s="44">
        <f>IFERROR(INDEX('Patrimônio Geral'!$R$7:$R$156,MATCH($A25,'Patrimônio Geral'!$A$7:$A$156,0)),"")</f>
        <v/>
      </c>
      <c r="E25" s="32" t="n"/>
      <c r="F25" s="31" t="n"/>
      <c r="G25" s="31" t="n"/>
      <c r="H25" s="31" t="n"/>
      <c r="I25" s="33" t="n"/>
      <c r="J25" s="31" t="n"/>
    </row>
    <row r="26" ht="20" customHeight="1">
      <c r="A26" s="32" t="n"/>
      <c r="B26" s="44">
        <f>IFERROR(INDEX('Patrimônio Geral'!$C$7:$C$156,MATCH($A26,'Patrimônio Geral'!$A$7:$A$156,0)),"")</f>
        <v/>
      </c>
      <c r="C26" s="44">
        <f>IFERROR(INDEX('Patrimônio Geral'!$S$7:$S$156,MATCH($A26,'Patrimônio Geral'!$A$7:$A$156,0)),"")</f>
        <v/>
      </c>
      <c r="D26" s="44">
        <f>IFERROR(INDEX('Patrimônio Geral'!$R$7:$R$156,MATCH($A26,'Patrimônio Geral'!$A$7:$A$156,0)),"")</f>
        <v/>
      </c>
      <c r="E26" s="32" t="n"/>
      <c r="F26" s="31" t="n"/>
      <c r="G26" s="31" t="n"/>
      <c r="H26" s="31" t="n"/>
      <c r="I26" s="33" t="n"/>
      <c r="J26" s="31" t="n"/>
    </row>
    <row r="27" ht="20" customHeight="1">
      <c r="A27" s="32" t="n"/>
      <c r="B27" s="44">
        <f>IFERROR(INDEX('Patrimônio Geral'!$C$7:$C$156,MATCH($A27,'Patrimônio Geral'!$A$7:$A$156,0)),"")</f>
        <v/>
      </c>
      <c r="C27" s="44">
        <f>IFERROR(INDEX('Patrimônio Geral'!$S$7:$S$156,MATCH($A27,'Patrimônio Geral'!$A$7:$A$156,0)),"")</f>
        <v/>
      </c>
      <c r="D27" s="44">
        <f>IFERROR(INDEX('Patrimônio Geral'!$R$7:$R$156,MATCH($A27,'Patrimônio Geral'!$A$7:$A$156,0)),"")</f>
        <v/>
      </c>
      <c r="E27" s="32" t="n"/>
      <c r="F27" s="31" t="n"/>
      <c r="G27" s="31" t="n"/>
      <c r="H27" s="31" t="n"/>
      <c r="I27" s="33" t="n"/>
      <c r="J27" s="31" t="n"/>
    </row>
    <row r="28" ht="20" customHeight="1">
      <c r="A28" s="32" t="n"/>
      <c r="B28" s="44">
        <f>IFERROR(INDEX('Patrimônio Geral'!$C$7:$C$156,MATCH($A28,'Patrimônio Geral'!$A$7:$A$156,0)),"")</f>
        <v/>
      </c>
      <c r="C28" s="44">
        <f>IFERROR(INDEX('Patrimônio Geral'!$S$7:$S$156,MATCH($A28,'Patrimônio Geral'!$A$7:$A$156,0)),"")</f>
        <v/>
      </c>
      <c r="D28" s="44">
        <f>IFERROR(INDEX('Patrimônio Geral'!$R$7:$R$156,MATCH($A28,'Patrimônio Geral'!$A$7:$A$156,0)),"")</f>
        <v/>
      </c>
      <c r="E28" s="32" t="n"/>
      <c r="F28" s="31" t="n"/>
      <c r="G28" s="31" t="n"/>
      <c r="H28" s="31" t="n"/>
      <c r="I28" s="33" t="n"/>
      <c r="J28" s="31" t="n"/>
    </row>
    <row r="29" ht="20" customHeight="1">
      <c r="A29" s="32" t="n"/>
      <c r="B29" s="44">
        <f>IFERROR(INDEX('Patrimônio Geral'!$C$7:$C$156,MATCH($A29,'Patrimônio Geral'!$A$7:$A$156,0)),"")</f>
        <v/>
      </c>
      <c r="C29" s="44">
        <f>IFERROR(INDEX('Patrimônio Geral'!$S$7:$S$156,MATCH($A29,'Patrimônio Geral'!$A$7:$A$156,0)),"")</f>
        <v/>
      </c>
      <c r="D29" s="44">
        <f>IFERROR(INDEX('Patrimônio Geral'!$R$7:$R$156,MATCH($A29,'Patrimônio Geral'!$A$7:$A$156,0)),"")</f>
        <v/>
      </c>
      <c r="E29" s="32" t="n"/>
      <c r="F29" s="31" t="n"/>
      <c r="G29" s="31" t="n"/>
      <c r="H29" s="31" t="n"/>
      <c r="I29" s="33" t="n"/>
      <c r="J29" s="31" t="n"/>
    </row>
    <row r="30" ht="20" customHeight="1">
      <c r="A30" s="32" t="n"/>
      <c r="B30" s="44">
        <f>IFERROR(INDEX('Patrimônio Geral'!$C$7:$C$156,MATCH($A30,'Patrimônio Geral'!$A$7:$A$156,0)),"")</f>
        <v/>
      </c>
      <c r="C30" s="44">
        <f>IFERROR(INDEX('Patrimônio Geral'!$S$7:$S$156,MATCH($A30,'Patrimônio Geral'!$A$7:$A$156,0)),"")</f>
        <v/>
      </c>
      <c r="D30" s="44">
        <f>IFERROR(INDEX('Patrimônio Geral'!$R$7:$R$156,MATCH($A30,'Patrimônio Geral'!$A$7:$A$156,0)),"")</f>
        <v/>
      </c>
      <c r="E30" s="32" t="n"/>
      <c r="F30" s="31" t="n"/>
      <c r="G30" s="31" t="n"/>
      <c r="H30" s="31" t="n"/>
      <c r="I30" s="33" t="n"/>
      <c r="J30" s="31" t="n"/>
    </row>
    <row r="31" ht="20" customHeight="1">
      <c r="A31" s="32" t="n"/>
      <c r="B31" s="44">
        <f>IFERROR(INDEX('Patrimônio Geral'!$C$7:$C$156,MATCH($A31,'Patrimônio Geral'!$A$7:$A$156,0)),"")</f>
        <v/>
      </c>
      <c r="C31" s="44">
        <f>IFERROR(INDEX('Patrimônio Geral'!$S$7:$S$156,MATCH($A31,'Patrimônio Geral'!$A$7:$A$156,0)),"")</f>
        <v/>
      </c>
      <c r="D31" s="44">
        <f>IFERROR(INDEX('Patrimônio Geral'!$R$7:$R$156,MATCH($A31,'Patrimônio Geral'!$A$7:$A$156,0)),"")</f>
        <v/>
      </c>
      <c r="E31" s="32" t="n"/>
      <c r="F31" s="31" t="n"/>
      <c r="G31" s="31" t="n"/>
      <c r="H31" s="31" t="n"/>
      <c r="I31" s="33" t="n"/>
      <c r="J31" s="31" t="n"/>
    </row>
    <row r="32" ht="20" customHeight="1">
      <c r="A32" s="32" t="n"/>
      <c r="B32" s="44">
        <f>IFERROR(INDEX('Patrimônio Geral'!$C$7:$C$156,MATCH($A32,'Patrimônio Geral'!$A$7:$A$156,0)),"")</f>
        <v/>
      </c>
      <c r="C32" s="44">
        <f>IFERROR(INDEX('Patrimônio Geral'!$S$7:$S$156,MATCH($A32,'Patrimônio Geral'!$A$7:$A$156,0)),"")</f>
        <v/>
      </c>
      <c r="D32" s="44">
        <f>IFERROR(INDEX('Patrimônio Geral'!$R$7:$R$156,MATCH($A32,'Patrimônio Geral'!$A$7:$A$156,0)),"")</f>
        <v/>
      </c>
      <c r="E32" s="32" t="n"/>
      <c r="F32" s="31" t="n"/>
      <c r="G32" s="31" t="n"/>
      <c r="H32" s="31" t="n"/>
      <c r="I32" s="33" t="n"/>
      <c r="J32" s="31" t="n"/>
    </row>
    <row r="33" ht="20" customHeight="1">
      <c r="A33" s="32" t="n"/>
      <c r="B33" s="44">
        <f>IFERROR(INDEX('Patrimônio Geral'!$C$7:$C$156,MATCH($A33,'Patrimônio Geral'!$A$7:$A$156,0)),"")</f>
        <v/>
      </c>
      <c r="C33" s="44">
        <f>IFERROR(INDEX('Patrimônio Geral'!$S$7:$S$156,MATCH($A33,'Patrimônio Geral'!$A$7:$A$156,0)),"")</f>
        <v/>
      </c>
      <c r="D33" s="44">
        <f>IFERROR(INDEX('Patrimônio Geral'!$R$7:$R$156,MATCH($A33,'Patrimônio Geral'!$A$7:$A$156,0)),"")</f>
        <v/>
      </c>
      <c r="E33" s="32" t="n"/>
      <c r="F33" s="31" t="n"/>
      <c r="G33" s="31" t="n"/>
      <c r="H33" s="31" t="n"/>
      <c r="I33" s="33" t="n"/>
      <c r="J33" s="31" t="n"/>
    </row>
    <row r="34" ht="20" customHeight="1">
      <c r="A34" s="32" t="n"/>
      <c r="B34" s="44">
        <f>IFERROR(INDEX('Patrimônio Geral'!$C$7:$C$156,MATCH($A34,'Patrimônio Geral'!$A$7:$A$156,0)),"")</f>
        <v/>
      </c>
      <c r="C34" s="44">
        <f>IFERROR(INDEX('Patrimônio Geral'!$S$7:$S$156,MATCH($A34,'Patrimônio Geral'!$A$7:$A$156,0)),"")</f>
        <v/>
      </c>
      <c r="D34" s="44">
        <f>IFERROR(INDEX('Patrimônio Geral'!$R$7:$R$156,MATCH($A34,'Patrimônio Geral'!$A$7:$A$156,0)),"")</f>
        <v/>
      </c>
      <c r="E34" s="32" t="n"/>
      <c r="F34" s="31" t="n"/>
      <c r="G34" s="31" t="n"/>
      <c r="H34" s="31" t="n"/>
      <c r="I34" s="33" t="n"/>
      <c r="J34" s="31" t="n"/>
    </row>
    <row r="35" ht="20" customHeight="1">
      <c r="A35" s="32" t="n"/>
      <c r="B35" s="44">
        <f>IFERROR(INDEX('Patrimônio Geral'!$C$7:$C$156,MATCH($A35,'Patrimônio Geral'!$A$7:$A$156,0)),"")</f>
        <v/>
      </c>
      <c r="C35" s="44">
        <f>IFERROR(INDEX('Patrimônio Geral'!$S$7:$S$156,MATCH($A35,'Patrimônio Geral'!$A$7:$A$156,0)),"")</f>
        <v/>
      </c>
      <c r="D35" s="44">
        <f>IFERROR(INDEX('Patrimônio Geral'!$R$7:$R$156,MATCH($A35,'Patrimônio Geral'!$A$7:$A$156,0)),"")</f>
        <v/>
      </c>
      <c r="E35" s="32" t="n"/>
      <c r="F35" s="31" t="n"/>
      <c r="G35" s="31" t="n"/>
      <c r="H35" s="31" t="n"/>
      <c r="I35" s="33" t="n"/>
      <c r="J35" s="31" t="n"/>
    </row>
    <row r="36" ht="20" customHeight="1">
      <c r="A36" s="32" t="n"/>
      <c r="B36" s="44">
        <f>IFERROR(INDEX('Patrimônio Geral'!$C$7:$C$156,MATCH($A36,'Patrimônio Geral'!$A$7:$A$156,0)),"")</f>
        <v/>
      </c>
      <c r="C36" s="44">
        <f>IFERROR(INDEX('Patrimônio Geral'!$S$7:$S$156,MATCH($A36,'Patrimônio Geral'!$A$7:$A$156,0)),"")</f>
        <v/>
      </c>
      <c r="D36" s="44">
        <f>IFERROR(INDEX('Patrimônio Geral'!$R$7:$R$156,MATCH($A36,'Patrimônio Geral'!$A$7:$A$156,0)),"")</f>
        <v/>
      </c>
      <c r="E36" s="32" t="n"/>
      <c r="F36" s="31" t="n"/>
      <c r="G36" s="31" t="n"/>
      <c r="H36" s="31" t="n"/>
      <c r="I36" s="33" t="n"/>
      <c r="J36" s="31" t="n"/>
    </row>
    <row r="37" ht="20" customHeight="1">
      <c r="A37" s="32" t="n"/>
      <c r="B37" s="44">
        <f>IFERROR(INDEX('Patrimônio Geral'!$C$7:$C$156,MATCH($A37,'Patrimônio Geral'!$A$7:$A$156,0)),"")</f>
        <v/>
      </c>
      <c r="C37" s="44">
        <f>IFERROR(INDEX('Patrimônio Geral'!$S$7:$S$156,MATCH($A37,'Patrimônio Geral'!$A$7:$A$156,0)),"")</f>
        <v/>
      </c>
      <c r="D37" s="44">
        <f>IFERROR(INDEX('Patrimônio Geral'!$R$7:$R$156,MATCH($A37,'Patrimônio Geral'!$A$7:$A$156,0)),"")</f>
        <v/>
      </c>
      <c r="E37" s="32" t="n"/>
      <c r="F37" s="31" t="n"/>
      <c r="G37" s="31" t="n"/>
      <c r="H37" s="31" t="n"/>
      <c r="I37" s="33" t="n"/>
      <c r="J37" s="31" t="n"/>
    </row>
    <row r="38" ht="20" customHeight="1">
      <c r="A38" s="32" t="n"/>
      <c r="B38" s="44">
        <f>IFERROR(INDEX('Patrimônio Geral'!$C$7:$C$156,MATCH($A38,'Patrimônio Geral'!$A$7:$A$156,0)),"")</f>
        <v/>
      </c>
      <c r="C38" s="44">
        <f>IFERROR(INDEX('Patrimônio Geral'!$S$7:$S$156,MATCH($A38,'Patrimônio Geral'!$A$7:$A$156,0)),"")</f>
        <v/>
      </c>
      <c r="D38" s="44">
        <f>IFERROR(INDEX('Patrimônio Geral'!$R$7:$R$156,MATCH($A38,'Patrimônio Geral'!$A$7:$A$156,0)),"")</f>
        <v/>
      </c>
      <c r="E38" s="32" t="n"/>
      <c r="F38" s="31" t="n"/>
      <c r="G38" s="31" t="n"/>
      <c r="H38" s="31" t="n"/>
      <c r="I38" s="33" t="n"/>
      <c r="J38" s="31" t="n"/>
    </row>
    <row r="39" ht="20" customHeight="1">
      <c r="A39" s="32" t="n"/>
      <c r="B39" s="44">
        <f>IFERROR(INDEX('Patrimônio Geral'!$C$7:$C$156,MATCH($A39,'Patrimônio Geral'!$A$7:$A$156,0)),"")</f>
        <v/>
      </c>
      <c r="C39" s="44">
        <f>IFERROR(INDEX('Patrimônio Geral'!$S$7:$S$156,MATCH($A39,'Patrimônio Geral'!$A$7:$A$156,0)),"")</f>
        <v/>
      </c>
      <c r="D39" s="44">
        <f>IFERROR(INDEX('Patrimônio Geral'!$R$7:$R$156,MATCH($A39,'Patrimônio Geral'!$A$7:$A$156,0)),"")</f>
        <v/>
      </c>
      <c r="E39" s="32" t="n"/>
      <c r="F39" s="31" t="n"/>
      <c r="G39" s="31" t="n"/>
      <c r="H39" s="31" t="n"/>
      <c r="I39" s="33" t="n"/>
      <c r="J39" s="31" t="n"/>
    </row>
    <row r="40" ht="20" customHeight="1">
      <c r="A40" s="32" t="n"/>
      <c r="B40" s="44">
        <f>IFERROR(INDEX('Patrimônio Geral'!$C$7:$C$156,MATCH($A40,'Patrimônio Geral'!$A$7:$A$156,0)),"")</f>
        <v/>
      </c>
      <c r="C40" s="44">
        <f>IFERROR(INDEX('Patrimônio Geral'!$S$7:$S$156,MATCH($A40,'Patrimônio Geral'!$A$7:$A$156,0)),"")</f>
        <v/>
      </c>
      <c r="D40" s="44">
        <f>IFERROR(INDEX('Patrimônio Geral'!$R$7:$R$156,MATCH($A40,'Patrimônio Geral'!$A$7:$A$156,0)),"")</f>
        <v/>
      </c>
      <c r="E40" s="32" t="n"/>
      <c r="F40" s="31" t="n"/>
      <c r="G40" s="31" t="n"/>
      <c r="H40" s="31" t="n"/>
      <c r="I40" s="33" t="n"/>
      <c r="J40" s="31" t="n"/>
    </row>
    <row r="41" ht="20" customHeight="1">
      <c r="A41" s="32" t="n"/>
      <c r="B41" s="44">
        <f>IFERROR(INDEX('Patrimônio Geral'!$C$7:$C$156,MATCH($A41,'Patrimônio Geral'!$A$7:$A$156,0)),"")</f>
        <v/>
      </c>
      <c r="C41" s="44">
        <f>IFERROR(INDEX('Patrimônio Geral'!$S$7:$S$156,MATCH($A41,'Patrimônio Geral'!$A$7:$A$156,0)),"")</f>
        <v/>
      </c>
      <c r="D41" s="44">
        <f>IFERROR(INDEX('Patrimônio Geral'!$R$7:$R$156,MATCH($A41,'Patrimônio Geral'!$A$7:$A$156,0)),"")</f>
        <v/>
      </c>
      <c r="E41" s="32" t="n"/>
      <c r="F41" s="31" t="n"/>
      <c r="G41" s="31" t="n"/>
      <c r="H41" s="31" t="n"/>
      <c r="I41" s="33" t="n"/>
      <c r="J41" s="31" t="n"/>
    </row>
    <row r="42" ht="20" customHeight="1">
      <c r="A42" s="32" t="n"/>
      <c r="B42" s="44">
        <f>IFERROR(INDEX('Patrimônio Geral'!$C$7:$C$156,MATCH($A42,'Patrimônio Geral'!$A$7:$A$156,0)),"")</f>
        <v/>
      </c>
      <c r="C42" s="44">
        <f>IFERROR(INDEX('Patrimônio Geral'!$S$7:$S$156,MATCH($A42,'Patrimônio Geral'!$A$7:$A$156,0)),"")</f>
        <v/>
      </c>
      <c r="D42" s="44">
        <f>IFERROR(INDEX('Patrimônio Geral'!$R$7:$R$156,MATCH($A42,'Patrimônio Geral'!$A$7:$A$156,0)),"")</f>
        <v/>
      </c>
      <c r="E42" s="32" t="n"/>
      <c r="F42" s="31" t="n"/>
      <c r="G42" s="31" t="n"/>
      <c r="H42" s="31" t="n"/>
      <c r="I42" s="33" t="n"/>
      <c r="J42" s="31" t="n"/>
    </row>
    <row r="43" ht="20" customHeight="1">
      <c r="A43" s="32" t="n"/>
      <c r="B43" s="44">
        <f>IFERROR(INDEX('Patrimônio Geral'!$C$7:$C$156,MATCH($A43,'Patrimônio Geral'!$A$7:$A$156,0)),"")</f>
        <v/>
      </c>
      <c r="C43" s="44">
        <f>IFERROR(INDEX('Patrimônio Geral'!$S$7:$S$156,MATCH($A43,'Patrimônio Geral'!$A$7:$A$156,0)),"")</f>
        <v/>
      </c>
      <c r="D43" s="44">
        <f>IFERROR(INDEX('Patrimônio Geral'!$R$7:$R$156,MATCH($A43,'Patrimônio Geral'!$A$7:$A$156,0)),"")</f>
        <v/>
      </c>
      <c r="E43" s="32" t="n"/>
      <c r="F43" s="31" t="n"/>
      <c r="G43" s="31" t="n"/>
      <c r="H43" s="31" t="n"/>
      <c r="I43" s="33" t="n"/>
      <c r="J43" s="31" t="n"/>
    </row>
    <row r="44" ht="20" customHeight="1">
      <c r="A44" s="32" t="n"/>
      <c r="B44" s="44">
        <f>IFERROR(INDEX('Patrimônio Geral'!$C$7:$C$156,MATCH($A44,'Patrimônio Geral'!$A$7:$A$156,0)),"")</f>
        <v/>
      </c>
      <c r="C44" s="44">
        <f>IFERROR(INDEX('Patrimônio Geral'!$S$7:$S$156,MATCH($A44,'Patrimônio Geral'!$A$7:$A$156,0)),"")</f>
        <v/>
      </c>
      <c r="D44" s="44">
        <f>IFERROR(INDEX('Patrimônio Geral'!$R$7:$R$156,MATCH($A44,'Patrimônio Geral'!$A$7:$A$156,0)),"")</f>
        <v/>
      </c>
      <c r="E44" s="32" t="n"/>
      <c r="F44" s="31" t="n"/>
      <c r="G44" s="31" t="n"/>
      <c r="H44" s="31" t="n"/>
      <c r="I44" s="33" t="n"/>
      <c r="J44" s="31" t="n"/>
    </row>
    <row r="45" ht="20" customHeight="1">
      <c r="A45" s="32" t="n"/>
      <c r="B45" s="44">
        <f>IFERROR(INDEX('Patrimônio Geral'!$C$7:$C$156,MATCH($A45,'Patrimônio Geral'!$A$7:$A$156,0)),"")</f>
        <v/>
      </c>
      <c r="C45" s="44">
        <f>IFERROR(INDEX('Patrimônio Geral'!$S$7:$S$156,MATCH($A45,'Patrimônio Geral'!$A$7:$A$156,0)),"")</f>
        <v/>
      </c>
      <c r="D45" s="44">
        <f>IFERROR(INDEX('Patrimônio Geral'!$R$7:$R$156,MATCH($A45,'Patrimônio Geral'!$A$7:$A$156,0)),"")</f>
        <v/>
      </c>
      <c r="E45" s="32" t="n"/>
      <c r="F45" s="31" t="n"/>
      <c r="G45" s="31" t="n"/>
      <c r="H45" s="31" t="n"/>
      <c r="I45" s="33" t="n"/>
      <c r="J45" s="31" t="n"/>
    </row>
    <row r="46" ht="20" customHeight="1">
      <c r="A46" s="32" t="n"/>
      <c r="B46" s="44">
        <f>IFERROR(INDEX('Patrimônio Geral'!$C$7:$C$156,MATCH($A46,'Patrimônio Geral'!$A$7:$A$156,0)),"")</f>
        <v/>
      </c>
      <c r="C46" s="44">
        <f>IFERROR(INDEX('Patrimônio Geral'!$S$7:$S$156,MATCH($A46,'Patrimônio Geral'!$A$7:$A$156,0)),"")</f>
        <v/>
      </c>
      <c r="D46" s="44">
        <f>IFERROR(INDEX('Patrimônio Geral'!$R$7:$R$156,MATCH($A46,'Patrimônio Geral'!$A$7:$A$156,0)),"")</f>
        <v/>
      </c>
      <c r="E46" s="32" t="n"/>
      <c r="F46" s="31" t="n"/>
      <c r="G46" s="31" t="n"/>
      <c r="H46" s="31" t="n"/>
      <c r="I46" s="33" t="n"/>
      <c r="J46" s="31" t="n"/>
    </row>
    <row r="47" ht="20" customHeight="1">
      <c r="A47" s="32" t="n"/>
      <c r="B47" s="44">
        <f>IFERROR(INDEX('Patrimônio Geral'!$C$7:$C$156,MATCH($A47,'Patrimônio Geral'!$A$7:$A$156,0)),"")</f>
        <v/>
      </c>
      <c r="C47" s="44">
        <f>IFERROR(INDEX('Patrimônio Geral'!$S$7:$S$156,MATCH($A47,'Patrimônio Geral'!$A$7:$A$156,0)),"")</f>
        <v/>
      </c>
      <c r="D47" s="44">
        <f>IFERROR(INDEX('Patrimônio Geral'!$R$7:$R$156,MATCH($A47,'Patrimônio Geral'!$A$7:$A$156,0)),"")</f>
        <v/>
      </c>
      <c r="E47" s="32" t="n"/>
      <c r="F47" s="31" t="n"/>
      <c r="G47" s="31" t="n"/>
      <c r="H47" s="31" t="n"/>
      <c r="I47" s="33" t="n"/>
      <c r="J47" s="31" t="n"/>
    </row>
    <row r="48" ht="20" customHeight="1">
      <c r="A48" s="32" t="n"/>
      <c r="B48" s="44">
        <f>IFERROR(INDEX('Patrimônio Geral'!$C$7:$C$156,MATCH($A48,'Patrimônio Geral'!$A$7:$A$156,0)),"")</f>
        <v/>
      </c>
      <c r="C48" s="44">
        <f>IFERROR(INDEX('Patrimônio Geral'!$S$7:$S$156,MATCH($A48,'Patrimônio Geral'!$A$7:$A$156,0)),"")</f>
        <v/>
      </c>
      <c r="D48" s="44">
        <f>IFERROR(INDEX('Patrimônio Geral'!$R$7:$R$156,MATCH($A48,'Patrimônio Geral'!$A$7:$A$156,0)),"")</f>
        <v/>
      </c>
      <c r="E48" s="32" t="n"/>
      <c r="F48" s="31" t="n"/>
      <c r="G48" s="31" t="n"/>
      <c r="H48" s="31" t="n"/>
      <c r="I48" s="33" t="n"/>
      <c r="J48" s="31" t="n"/>
    </row>
    <row r="49" ht="20" customHeight="1">
      <c r="A49" s="32" t="n"/>
      <c r="B49" s="44">
        <f>IFERROR(INDEX('Patrimônio Geral'!$C$7:$C$156,MATCH($A49,'Patrimônio Geral'!$A$7:$A$156,0)),"")</f>
        <v/>
      </c>
      <c r="C49" s="44">
        <f>IFERROR(INDEX('Patrimônio Geral'!$S$7:$S$156,MATCH($A49,'Patrimônio Geral'!$A$7:$A$156,0)),"")</f>
        <v/>
      </c>
      <c r="D49" s="44">
        <f>IFERROR(INDEX('Patrimônio Geral'!$R$7:$R$156,MATCH($A49,'Patrimônio Geral'!$A$7:$A$156,0)),"")</f>
        <v/>
      </c>
      <c r="E49" s="32" t="n"/>
      <c r="F49" s="31" t="n"/>
      <c r="G49" s="31" t="n"/>
      <c r="H49" s="31" t="n"/>
      <c r="I49" s="33" t="n"/>
      <c r="J49" s="31" t="n"/>
    </row>
    <row r="50" ht="20" customHeight="1">
      <c r="A50" s="32" t="n"/>
      <c r="B50" s="44">
        <f>IFERROR(INDEX('Patrimônio Geral'!$C$7:$C$156,MATCH($A50,'Patrimônio Geral'!$A$7:$A$156,0)),"")</f>
        <v/>
      </c>
      <c r="C50" s="44">
        <f>IFERROR(INDEX('Patrimônio Geral'!$S$7:$S$156,MATCH($A50,'Patrimônio Geral'!$A$7:$A$156,0)),"")</f>
        <v/>
      </c>
      <c r="D50" s="44">
        <f>IFERROR(INDEX('Patrimônio Geral'!$R$7:$R$156,MATCH($A50,'Patrimônio Geral'!$A$7:$A$156,0)),"")</f>
        <v/>
      </c>
      <c r="E50" s="32" t="n"/>
      <c r="F50" s="31" t="n"/>
      <c r="G50" s="31" t="n"/>
      <c r="H50" s="31" t="n"/>
      <c r="I50" s="33" t="n"/>
      <c r="J50" s="31" t="n"/>
    </row>
    <row r="51" ht="20" customHeight="1">
      <c r="A51" s="32" t="n"/>
      <c r="B51" s="44">
        <f>IFERROR(INDEX('Patrimônio Geral'!$C$7:$C$156,MATCH($A51,'Patrimônio Geral'!$A$7:$A$156,0)),"")</f>
        <v/>
      </c>
      <c r="C51" s="44">
        <f>IFERROR(INDEX('Patrimônio Geral'!$S$7:$S$156,MATCH($A51,'Patrimônio Geral'!$A$7:$A$156,0)),"")</f>
        <v/>
      </c>
      <c r="D51" s="44">
        <f>IFERROR(INDEX('Patrimônio Geral'!$R$7:$R$156,MATCH($A51,'Patrimônio Geral'!$A$7:$A$156,0)),"")</f>
        <v/>
      </c>
      <c r="E51" s="32" t="n"/>
      <c r="F51" s="31" t="n"/>
      <c r="G51" s="31" t="n"/>
      <c r="H51" s="31" t="n"/>
      <c r="I51" s="33" t="n"/>
      <c r="J51" s="31" t="n"/>
    </row>
    <row r="52" ht="20" customHeight="1">
      <c r="A52" s="32" t="n"/>
      <c r="B52" s="44">
        <f>IFERROR(INDEX('Patrimônio Geral'!$C$7:$C$156,MATCH($A52,'Patrimônio Geral'!$A$7:$A$156,0)),"")</f>
        <v/>
      </c>
      <c r="C52" s="44">
        <f>IFERROR(INDEX('Patrimônio Geral'!$S$7:$S$156,MATCH($A52,'Patrimônio Geral'!$A$7:$A$156,0)),"")</f>
        <v/>
      </c>
      <c r="D52" s="44">
        <f>IFERROR(INDEX('Patrimônio Geral'!$R$7:$R$156,MATCH($A52,'Patrimônio Geral'!$A$7:$A$156,0)),"")</f>
        <v/>
      </c>
      <c r="E52" s="32" t="n"/>
      <c r="F52" s="31" t="n"/>
      <c r="G52" s="31" t="n"/>
      <c r="H52" s="31" t="n"/>
      <c r="I52" s="33" t="n"/>
      <c r="J52" s="31" t="n"/>
    </row>
    <row r="53" ht="20" customHeight="1">
      <c r="A53" s="32" t="n"/>
      <c r="B53" s="44">
        <f>IFERROR(INDEX('Patrimônio Geral'!$C$7:$C$156,MATCH($A53,'Patrimônio Geral'!$A$7:$A$156,0)),"")</f>
        <v/>
      </c>
      <c r="C53" s="44">
        <f>IFERROR(INDEX('Patrimônio Geral'!$S$7:$S$156,MATCH($A53,'Patrimônio Geral'!$A$7:$A$156,0)),"")</f>
        <v/>
      </c>
      <c r="D53" s="44">
        <f>IFERROR(INDEX('Patrimônio Geral'!$R$7:$R$156,MATCH($A53,'Patrimônio Geral'!$A$7:$A$156,0)),"")</f>
        <v/>
      </c>
      <c r="E53" s="32" t="n"/>
      <c r="F53" s="31" t="n"/>
      <c r="G53" s="31" t="n"/>
      <c r="H53" s="31" t="n"/>
      <c r="I53" s="33" t="n"/>
      <c r="J53" s="31" t="n"/>
    </row>
    <row r="54" ht="20" customHeight="1">
      <c r="A54" s="32" t="n"/>
      <c r="B54" s="44">
        <f>IFERROR(INDEX('Patrimônio Geral'!$C$7:$C$156,MATCH($A54,'Patrimônio Geral'!$A$7:$A$156,0)),"")</f>
        <v/>
      </c>
      <c r="C54" s="44">
        <f>IFERROR(INDEX('Patrimônio Geral'!$S$7:$S$156,MATCH($A54,'Patrimônio Geral'!$A$7:$A$156,0)),"")</f>
        <v/>
      </c>
      <c r="D54" s="44">
        <f>IFERROR(INDEX('Patrimônio Geral'!$R$7:$R$156,MATCH($A54,'Patrimônio Geral'!$A$7:$A$156,0)),"")</f>
        <v/>
      </c>
      <c r="E54" s="32" t="n"/>
      <c r="F54" s="31" t="n"/>
      <c r="G54" s="31" t="n"/>
      <c r="H54" s="31" t="n"/>
      <c r="I54" s="33" t="n"/>
      <c r="J54" s="31" t="n"/>
    </row>
    <row r="55" ht="20" customHeight="1">
      <c r="A55" s="32" t="n"/>
      <c r="B55" s="44">
        <f>IFERROR(INDEX('Patrimônio Geral'!$C$7:$C$156,MATCH($A55,'Patrimônio Geral'!$A$7:$A$156,0)),"")</f>
        <v/>
      </c>
      <c r="C55" s="44">
        <f>IFERROR(INDEX('Patrimônio Geral'!$S$7:$S$156,MATCH($A55,'Patrimônio Geral'!$A$7:$A$156,0)),"")</f>
        <v/>
      </c>
      <c r="D55" s="44">
        <f>IFERROR(INDEX('Patrimônio Geral'!$R$7:$R$156,MATCH($A55,'Patrimônio Geral'!$A$7:$A$156,0)),"")</f>
        <v/>
      </c>
      <c r="E55" s="32" t="n"/>
      <c r="F55" s="31" t="n"/>
      <c r="G55" s="31" t="n"/>
      <c r="H55" s="31" t="n"/>
      <c r="I55" s="33" t="n"/>
      <c r="J55" s="31" t="n"/>
    </row>
    <row r="56" ht="20" customHeight="1">
      <c r="A56" s="32" t="n"/>
      <c r="B56" s="44">
        <f>IFERROR(INDEX('Patrimônio Geral'!$C$7:$C$156,MATCH($A56,'Patrimônio Geral'!$A$7:$A$156,0)),"")</f>
        <v/>
      </c>
      <c r="C56" s="44">
        <f>IFERROR(INDEX('Patrimônio Geral'!$S$7:$S$156,MATCH($A56,'Patrimônio Geral'!$A$7:$A$156,0)),"")</f>
        <v/>
      </c>
      <c r="D56" s="44">
        <f>IFERROR(INDEX('Patrimônio Geral'!$R$7:$R$156,MATCH($A56,'Patrimônio Geral'!$A$7:$A$156,0)),"")</f>
        <v/>
      </c>
      <c r="E56" s="32" t="n"/>
      <c r="F56" s="31" t="n"/>
      <c r="G56" s="31" t="n"/>
      <c r="H56" s="31" t="n"/>
      <c r="I56" s="33" t="n"/>
      <c r="J56" s="31" t="n"/>
    </row>
    <row r="57" ht="20" customHeight="1">
      <c r="A57" s="32" t="n"/>
      <c r="B57" s="44">
        <f>IFERROR(INDEX('Patrimônio Geral'!$C$7:$C$156,MATCH($A57,'Patrimônio Geral'!$A$7:$A$156,0)),"")</f>
        <v/>
      </c>
      <c r="C57" s="44">
        <f>IFERROR(INDEX('Patrimônio Geral'!$S$7:$S$156,MATCH($A57,'Patrimônio Geral'!$A$7:$A$156,0)),"")</f>
        <v/>
      </c>
      <c r="D57" s="44">
        <f>IFERROR(INDEX('Patrimônio Geral'!$R$7:$R$156,MATCH($A57,'Patrimônio Geral'!$A$7:$A$156,0)),"")</f>
        <v/>
      </c>
      <c r="E57" s="32" t="n"/>
      <c r="F57" s="31" t="n"/>
      <c r="G57" s="31" t="n"/>
      <c r="H57" s="31" t="n"/>
      <c r="I57" s="33" t="n"/>
      <c r="J57" s="31" t="n"/>
    </row>
    <row r="58" ht="20" customHeight="1">
      <c r="A58" s="32" t="n"/>
      <c r="B58" s="44">
        <f>IFERROR(INDEX('Patrimônio Geral'!$C$7:$C$156,MATCH($A58,'Patrimônio Geral'!$A$7:$A$156,0)),"")</f>
        <v/>
      </c>
      <c r="C58" s="44">
        <f>IFERROR(INDEX('Patrimônio Geral'!$S$7:$S$156,MATCH($A58,'Patrimônio Geral'!$A$7:$A$156,0)),"")</f>
        <v/>
      </c>
      <c r="D58" s="44">
        <f>IFERROR(INDEX('Patrimônio Geral'!$R$7:$R$156,MATCH($A58,'Patrimônio Geral'!$A$7:$A$156,0)),"")</f>
        <v/>
      </c>
      <c r="E58" s="32" t="n"/>
      <c r="F58" s="31" t="n"/>
      <c r="G58" s="31" t="n"/>
      <c r="H58" s="31" t="n"/>
      <c r="I58" s="33" t="n"/>
      <c r="J58" s="31" t="n"/>
    </row>
    <row r="59" ht="20" customHeight="1">
      <c r="A59" s="32" t="n"/>
      <c r="B59" s="44">
        <f>IFERROR(INDEX('Patrimônio Geral'!$C$7:$C$156,MATCH($A59,'Patrimônio Geral'!$A$7:$A$156,0)),"")</f>
        <v/>
      </c>
      <c r="C59" s="44">
        <f>IFERROR(INDEX('Patrimônio Geral'!$S$7:$S$156,MATCH($A59,'Patrimônio Geral'!$A$7:$A$156,0)),"")</f>
        <v/>
      </c>
      <c r="D59" s="44">
        <f>IFERROR(INDEX('Patrimônio Geral'!$R$7:$R$156,MATCH($A59,'Patrimônio Geral'!$A$7:$A$156,0)),"")</f>
        <v/>
      </c>
      <c r="E59" s="32" t="n"/>
      <c r="F59" s="31" t="n"/>
      <c r="G59" s="31" t="n"/>
      <c r="H59" s="31" t="n"/>
      <c r="I59" s="33" t="n"/>
      <c r="J59" s="31" t="n"/>
    </row>
    <row r="60" ht="20" customHeight="1">
      <c r="A60" s="32" t="n"/>
      <c r="B60" s="44">
        <f>IFERROR(INDEX('Patrimônio Geral'!$C$7:$C$156,MATCH($A60,'Patrimônio Geral'!$A$7:$A$156,0)),"")</f>
        <v/>
      </c>
      <c r="C60" s="44">
        <f>IFERROR(INDEX('Patrimônio Geral'!$S$7:$S$156,MATCH($A60,'Patrimônio Geral'!$A$7:$A$156,0)),"")</f>
        <v/>
      </c>
      <c r="D60" s="44">
        <f>IFERROR(INDEX('Patrimônio Geral'!$R$7:$R$156,MATCH($A60,'Patrimônio Geral'!$A$7:$A$156,0)),"")</f>
        <v/>
      </c>
      <c r="E60" s="32" t="n"/>
      <c r="F60" s="31" t="n"/>
      <c r="G60" s="31" t="n"/>
      <c r="H60" s="31" t="n"/>
      <c r="I60" s="33" t="n"/>
      <c r="J60" s="31" t="n"/>
    </row>
    <row r="61" ht="20" customHeight="1">
      <c r="A61" s="32" t="n"/>
      <c r="B61" s="44">
        <f>IFERROR(INDEX('Patrimônio Geral'!$C$7:$C$156,MATCH($A61,'Patrimônio Geral'!$A$7:$A$156,0)),"")</f>
        <v/>
      </c>
      <c r="C61" s="44">
        <f>IFERROR(INDEX('Patrimônio Geral'!$S$7:$S$156,MATCH($A61,'Patrimônio Geral'!$A$7:$A$156,0)),"")</f>
        <v/>
      </c>
      <c r="D61" s="44">
        <f>IFERROR(INDEX('Patrimônio Geral'!$R$7:$R$156,MATCH($A61,'Patrimônio Geral'!$A$7:$A$156,0)),"")</f>
        <v/>
      </c>
      <c r="E61" s="32" t="n"/>
      <c r="F61" s="31" t="n"/>
      <c r="G61" s="31" t="n"/>
      <c r="H61" s="31" t="n"/>
      <c r="I61" s="33" t="n"/>
      <c r="J61" s="31" t="n"/>
    </row>
    <row r="62" ht="20" customHeight="1">
      <c r="A62" s="32" t="n"/>
      <c r="B62" s="44">
        <f>IFERROR(INDEX('Patrimônio Geral'!$C$7:$C$156,MATCH($A62,'Patrimônio Geral'!$A$7:$A$156,0)),"")</f>
        <v/>
      </c>
      <c r="C62" s="44">
        <f>IFERROR(INDEX('Patrimônio Geral'!$S$7:$S$156,MATCH($A62,'Patrimônio Geral'!$A$7:$A$156,0)),"")</f>
        <v/>
      </c>
      <c r="D62" s="44">
        <f>IFERROR(INDEX('Patrimônio Geral'!$R$7:$R$156,MATCH($A62,'Patrimônio Geral'!$A$7:$A$156,0)),"")</f>
        <v/>
      </c>
      <c r="E62" s="32" t="n"/>
      <c r="F62" s="31" t="n"/>
      <c r="G62" s="31" t="n"/>
      <c r="H62" s="31" t="n"/>
      <c r="I62" s="33" t="n"/>
      <c r="J62" s="31" t="n"/>
    </row>
    <row r="63" ht="20" customHeight="1">
      <c r="A63" s="32" t="n"/>
      <c r="B63" s="44">
        <f>IFERROR(INDEX('Patrimônio Geral'!$C$7:$C$156,MATCH($A63,'Patrimônio Geral'!$A$7:$A$156,0)),"")</f>
        <v/>
      </c>
      <c r="C63" s="44">
        <f>IFERROR(INDEX('Patrimônio Geral'!$S$7:$S$156,MATCH($A63,'Patrimônio Geral'!$A$7:$A$156,0)),"")</f>
        <v/>
      </c>
      <c r="D63" s="44">
        <f>IFERROR(INDEX('Patrimônio Geral'!$R$7:$R$156,MATCH($A63,'Patrimônio Geral'!$A$7:$A$156,0)),"")</f>
        <v/>
      </c>
      <c r="E63" s="32" t="n"/>
      <c r="F63" s="31" t="n"/>
      <c r="G63" s="31" t="n"/>
      <c r="H63" s="31" t="n"/>
      <c r="I63" s="33" t="n"/>
      <c r="J63" s="31" t="n"/>
    </row>
    <row r="64" ht="20" customHeight="1">
      <c r="A64" s="32" t="n"/>
      <c r="B64" s="44">
        <f>IFERROR(INDEX('Patrimônio Geral'!$C$7:$C$156,MATCH($A64,'Patrimônio Geral'!$A$7:$A$156,0)),"")</f>
        <v/>
      </c>
      <c r="C64" s="44">
        <f>IFERROR(INDEX('Patrimônio Geral'!$S$7:$S$156,MATCH($A64,'Patrimônio Geral'!$A$7:$A$156,0)),"")</f>
        <v/>
      </c>
      <c r="D64" s="44">
        <f>IFERROR(INDEX('Patrimônio Geral'!$R$7:$R$156,MATCH($A64,'Patrimônio Geral'!$A$7:$A$156,0)),"")</f>
        <v/>
      </c>
      <c r="E64" s="32" t="n"/>
      <c r="F64" s="31" t="n"/>
      <c r="G64" s="31" t="n"/>
      <c r="H64" s="31" t="n"/>
      <c r="I64" s="33" t="n"/>
      <c r="J64" s="31" t="n"/>
    </row>
    <row r="65" ht="20" customHeight="1">
      <c r="A65" s="32" t="n"/>
      <c r="B65" s="44">
        <f>IFERROR(INDEX('Patrimônio Geral'!$C$7:$C$156,MATCH($A65,'Patrimônio Geral'!$A$7:$A$156,0)),"")</f>
        <v/>
      </c>
      <c r="C65" s="44">
        <f>IFERROR(INDEX('Patrimônio Geral'!$S$7:$S$156,MATCH($A65,'Patrimônio Geral'!$A$7:$A$156,0)),"")</f>
        <v/>
      </c>
      <c r="D65" s="44">
        <f>IFERROR(INDEX('Patrimônio Geral'!$R$7:$R$156,MATCH($A65,'Patrimônio Geral'!$A$7:$A$156,0)),"")</f>
        <v/>
      </c>
      <c r="E65" s="32" t="n"/>
      <c r="F65" s="31" t="n"/>
      <c r="G65" s="31" t="n"/>
      <c r="H65" s="31" t="n"/>
      <c r="I65" s="33" t="n"/>
      <c r="J65" s="31" t="n"/>
    </row>
    <row r="66" ht="20" customHeight="1">
      <c r="A66" s="32" t="n"/>
      <c r="B66" s="44">
        <f>IFERROR(INDEX('Patrimônio Geral'!$C$7:$C$156,MATCH($A66,'Patrimônio Geral'!$A$7:$A$156,0)),"")</f>
        <v/>
      </c>
      <c r="C66" s="44">
        <f>IFERROR(INDEX('Patrimônio Geral'!$S$7:$S$156,MATCH($A66,'Patrimônio Geral'!$A$7:$A$156,0)),"")</f>
        <v/>
      </c>
      <c r="D66" s="44">
        <f>IFERROR(INDEX('Patrimônio Geral'!$R$7:$R$156,MATCH($A66,'Patrimônio Geral'!$A$7:$A$156,0)),"")</f>
        <v/>
      </c>
      <c r="E66" s="32" t="n"/>
      <c r="F66" s="31" t="n"/>
      <c r="G66" s="31" t="n"/>
      <c r="H66" s="31" t="n"/>
      <c r="I66" s="33" t="n"/>
      <c r="J66" s="31" t="n"/>
    </row>
    <row r="67" ht="20" customHeight="1">
      <c r="A67" s="32" t="n"/>
      <c r="B67" s="44">
        <f>IFERROR(INDEX('Patrimônio Geral'!$C$7:$C$156,MATCH($A67,'Patrimônio Geral'!$A$7:$A$156,0)),"")</f>
        <v/>
      </c>
      <c r="C67" s="44">
        <f>IFERROR(INDEX('Patrimônio Geral'!$S$7:$S$156,MATCH($A67,'Patrimônio Geral'!$A$7:$A$156,0)),"")</f>
        <v/>
      </c>
      <c r="D67" s="44">
        <f>IFERROR(INDEX('Patrimônio Geral'!$R$7:$R$156,MATCH($A67,'Patrimônio Geral'!$A$7:$A$156,0)),"")</f>
        <v/>
      </c>
      <c r="E67" s="32" t="n"/>
      <c r="F67" s="31" t="n"/>
      <c r="G67" s="31" t="n"/>
      <c r="H67" s="31" t="n"/>
      <c r="I67" s="33" t="n"/>
      <c r="J67" s="31" t="n"/>
    </row>
    <row r="68" ht="20" customHeight="1">
      <c r="A68" s="32" t="n"/>
      <c r="B68" s="44">
        <f>IFERROR(INDEX('Patrimônio Geral'!$C$7:$C$156,MATCH($A68,'Patrimônio Geral'!$A$7:$A$156,0)),"")</f>
        <v/>
      </c>
      <c r="C68" s="44">
        <f>IFERROR(INDEX('Patrimônio Geral'!$S$7:$S$156,MATCH($A68,'Patrimônio Geral'!$A$7:$A$156,0)),"")</f>
        <v/>
      </c>
      <c r="D68" s="44">
        <f>IFERROR(INDEX('Patrimônio Geral'!$R$7:$R$156,MATCH($A68,'Patrimônio Geral'!$A$7:$A$156,0)),"")</f>
        <v/>
      </c>
      <c r="E68" s="32" t="n"/>
      <c r="F68" s="31" t="n"/>
      <c r="G68" s="31" t="n"/>
      <c r="H68" s="31" t="n"/>
      <c r="I68" s="33" t="n"/>
      <c r="J68" s="31" t="n"/>
    </row>
    <row r="69" ht="20" customHeight="1">
      <c r="A69" s="32" t="n"/>
      <c r="B69" s="44">
        <f>IFERROR(INDEX('Patrimônio Geral'!$C$7:$C$156,MATCH($A69,'Patrimônio Geral'!$A$7:$A$156,0)),"")</f>
        <v/>
      </c>
      <c r="C69" s="44">
        <f>IFERROR(INDEX('Patrimônio Geral'!$S$7:$S$156,MATCH($A69,'Patrimônio Geral'!$A$7:$A$156,0)),"")</f>
        <v/>
      </c>
      <c r="D69" s="44">
        <f>IFERROR(INDEX('Patrimônio Geral'!$R$7:$R$156,MATCH($A69,'Patrimônio Geral'!$A$7:$A$156,0)),"")</f>
        <v/>
      </c>
      <c r="E69" s="32" t="n"/>
      <c r="F69" s="31" t="n"/>
      <c r="G69" s="31" t="n"/>
      <c r="H69" s="31" t="n"/>
      <c r="I69" s="33" t="n"/>
      <c r="J69" s="31" t="n"/>
    </row>
    <row r="70" ht="20" customHeight="1">
      <c r="A70" s="32" t="n"/>
      <c r="B70" s="44">
        <f>IFERROR(INDEX('Patrimônio Geral'!$C$7:$C$156,MATCH($A70,'Patrimônio Geral'!$A$7:$A$156,0)),"")</f>
        <v/>
      </c>
      <c r="C70" s="44">
        <f>IFERROR(INDEX('Patrimônio Geral'!$S$7:$S$156,MATCH($A70,'Patrimônio Geral'!$A$7:$A$156,0)),"")</f>
        <v/>
      </c>
      <c r="D70" s="44">
        <f>IFERROR(INDEX('Patrimônio Geral'!$R$7:$R$156,MATCH($A70,'Patrimônio Geral'!$A$7:$A$156,0)),"")</f>
        <v/>
      </c>
      <c r="E70" s="32" t="n"/>
      <c r="F70" s="31" t="n"/>
      <c r="G70" s="31" t="n"/>
      <c r="H70" s="31" t="n"/>
      <c r="I70" s="33" t="n"/>
      <c r="J70" s="31" t="n"/>
    </row>
    <row r="71" ht="20" customHeight="1">
      <c r="A71" s="32" t="n"/>
      <c r="B71" s="44">
        <f>IFERROR(INDEX('Patrimônio Geral'!$C$7:$C$156,MATCH($A71,'Patrimônio Geral'!$A$7:$A$156,0)),"")</f>
        <v/>
      </c>
      <c r="C71" s="44">
        <f>IFERROR(INDEX('Patrimônio Geral'!$S$7:$S$156,MATCH($A71,'Patrimônio Geral'!$A$7:$A$156,0)),"")</f>
        <v/>
      </c>
      <c r="D71" s="44">
        <f>IFERROR(INDEX('Patrimônio Geral'!$R$7:$R$156,MATCH($A71,'Patrimônio Geral'!$A$7:$A$156,0)),"")</f>
        <v/>
      </c>
      <c r="E71" s="32" t="n"/>
      <c r="F71" s="31" t="n"/>
      <c r="G71" s="31" t="n"/>
      <c r="H71" s="31" t="n"/>
      <c r="I71" s="33" t="n"/>
      <c r="J71" s="31" t="n"/>
    </row>
    <row r="72" ht="20" customHeight="1">
      <c r="A72" s="32" t="n"/>
      <c r="B72" s="44">
        <f>IFERROR(INDEX('Patrimônio Geral'!$C$7:$C$156,MATCH($A72,'Patrimônio Geral'!$A$7:$A$156,0)),"")</f>
        <v/>
      </c>
      <c r="C72" s="44">
        <f>IFERROR(INDEX('Patrimônio Geral'!$S$7:$S$156,MATCH($A72,'Patrimônio Geral'!$A$7:$A$156,0)),"")</f>
        <v/>
      </c>
      <c r="D72" s="44">
        <f>IFERROR(INDEX('Patrimônio Geral'!$R$7:$R$156,MATCH($A72,'Patrimônio Geral'!$A$7:$A$156,0)),"")</f>
        <v/>
      </c>
      <c r="E72" s="32" t="n"/>
      <c r="F72" s="31" t="n"/>
      <c r="G72" s="31" t="n"/>
      <c r="H72" s="31" t="n"/>
      <c r="I72" s="33" t="n"/>
      <c r="J72" s="31" t="n"/>
    </row>
    <row r="73" ht="20" customHeight="1">
      <c r="A73" s="32" t="n"/>
      <c r="B73" s="44">
        <f>IFERROR(INDEX('Patrimônio Geral'!$C$7:$C$156,MATCH($A73,'Patrimônio Geral'!$A$7:$A$156,0)),"")</f>
        <v/>
      </c>
      <c r="C73" s="44">
        <f>IFERROR(INDEX('Patrimônio Geral'!$S$7:$S$156,MATCH($A73,'Patrimônio Geral'!$A$7:$A$156,0)),"")</f>
        <v/>
      </c>
      <c r="D73" s="44">
        <f>IFERROR(INDEX('Patrimônio Geral'!$R$7:$R$156,MATCH($A73,'Patrimônio Geral'!$A$7:$A$156,0)),"")</f>
        <v/>
      </c>
      <c r="E73" s="32" t="n"/>
      <c r="F73" s="31" t="n"/>
      <c r="G73" s="31" t="n"/>
      <c r="H73" s="31" t="n"/>
      <c r="I73" s="33" t="n"/>
      <c r="J73" s="31" t="n"/>
    </row>
    <row r="74" ht="20" customHeight="1">
      <c r="A74" s="32" t="n"/>
      <c r="B74" s="44">
        <f>IFERROR(INDEX('Patrimônio Geral'!$C$7:$C$156,MATCH($A74,'Patrimônio Geral'!$A$7:$A$156,0)),"")</f>
        <v/>
      </c>
      <c r="C74" s="44">
        <f>IFERROR(INDEX('Patrimônio Geral'!$S$7:$S$156,MATCH($A74,'Patrimônio Geral'!$A$7:$A$156,0)),"")</f>
        <v/>
      </c>
      <c r="D74" s="44">
        <f>IFERROR(INDEX('Patrimônio Geral'!$R$7:$R$156,MATCH($A74,'Patrimônio Geral'!$A$7:$A$156,0)),"")</f>
        <v/>
      </c>
      <c r="E74" s="32" t="n"/>
      <c r="F74" s="31" t="n"/>
      <c r="G74" s="31" t="n"/>
      <c r="H74" s="31" t="n"/>
      <c r="I74" s="33" t="n"/>
      <c r="J74" s="31" t="n"/>
    </row>
    <row r="75" ht="20" customHeight="1">
      <c r="A75" s="32" t="n"/>
      <c r="B75" s="44">
        <f>IFERROR(INDEX('Patrimônio Geral'!$C$7:$C$156,MATCH($A75,'Patrimônio Geral'!$A$7:$A$156,0)),"")</f>
        <v/>
      </c>
      <c r="C75" s="44">
        <f>IFERROR(INDEX('Patrimônio Geral'!$S$7:$S$156,MATCH($A75,'Patrimônio Geral'!$A$7:$A$156,0)),"")</f>
        <v/>
      </c>
      <c r="D75" s="44">
        <f>IFERROR(INDEX('Patrimônio Geral'!$R$7:$R$156,MATCH($A75,'Patrimônio Geral'!$A$7:$A$156,0)),"")</f>
        <v/>
      </c>
      <c r="E75" s="32" t="n"/>
      <c r="F75" s="31" t="n"/>
      <c r="G75" s="31" t="n"/>
      <c r="H75" s="31" t="n"/>
      <c r="I75" s="33" t="n"/>
      <c r="J75" s="31" t="n"/>
    </row>
    <row r="76" ht="20" customHeight="1">
      <c r="A76" s="32" t="n"/>
      <c r="B76" s="44">
        <f>IFERROR(INDEX('Patrimônio Geral'!$C$7:$C$156,MATCH($A76,'Patrimônio Geral'!$A$7:$A$156,0)),"")</f>
        <v/>
      </c>
      <c r="C76" s="44">
        <f>IFERROR(INDEX('Patrimônio Geral'!$S$7:$S$156,MATCH($A76,'Patrimônio Geral'!$A$7:$A$156,0)),"")</f>
        <v/>
      </c>
      <c r="D76" s="44">
        <f>IFERROR(INDEX('Patrimônio Geral'!$R$7:$R$156,MATCH($A76,'Patrimônio Geral'!$A$7:$A$156,0)),"")</f>
        <v/>
      </c>
      <c r="E76" s="32" t="n"/>
      <c r="F76" s="31" t="n"/>
      <c r="G76" s="31" t="n"/>
      <c r="H76" s="31" t="n"/>
      <c r="I76" s="33" t="n"/>
      <c r="J76" s="31" t="n"/>
    </row>
    <row r="77" ht="20" customHeight="1">
      <c r="A77" s="32" t="n"/>
      <c r="B77" s="44">
        <f>IFERROR(INDEX('Patrimônio Geral'!$C$7:$C$156,MATCH($A77,'Patrimônio Geral'!$A$7:$A$156,0)),"")</f>
        <v/>
      </c>
      <c r="C77" s="44">
        <f>IFERROR(INDEX('Patrimônio Geral'!$S$7:$S$156,MATCH($A77,'Patrimônio Geral'!$A$7:$A$156,0)),"")</f>
        <v/>
      </c>
      <c r="D77" s="44">
        <f>IFERROR(INDEX('Patrimônio Geral'!$R$7:$R$156,MATCH($A77,'Patrimônio Geral'!$A$7:$A$156,0)),"")</f>
        <v/>
      </c>
      <c r="E77" s="32" t="n"/>
      <c r="F77" s="31" t="n"/>
      <c r="G77" s="31" t="n"/>
      <c r="H77" s="31" t="n"/>
      <c r="I77" s="33" t="n"/>
      <c r="J77" s="31" t="n"/>
    </row>
    <row r="78" ht="20" customHeight="1">
      <c r="A78" s="32" t="n"/>
      <c r="B78" s="44">
        <f>IFERROR(INDEX('Patrimônio Geral'!$C$7:$C$156,MATCH($A78,'Patrimônio Geral'!$A$7:$A$156,0)),"")</f>
        <v/>
      </c>
      <c r="C78" s="44">
        <f>IFERROR(INDEX('Patrimônio Geral'!$S$7:$S$156,MATCH($A78,'Patrimônio Geral'!$A$7:$A$156,0)),"")</f>
        <v/>
      </c>
      <c r="D78" s="44">
        <f>IFERROR(INDEX('Patrimônio Geral'!$R$7:$R$156,MATCH($A78,'Patrimônio Geral'!$A$7:$A$156,0)),"")</f>
        <v/>
      </c>
      <c r="E78" s="32" t="n"/>
      <c r="F78" s="31" t="n"/>
      <c r="G78" s="31" t="n"/>
      <c r="H78" s="31" t="n"/>
      <c r="I78" s="33" t="n"/>
      <c r="J78" s="31" t="n"/>
    </row>
    <row r="79" ht="20" customHeight="1">
      <c r="A79" s="32" t="n"/>
      <c r="B79" s="44">
        <f>IFERROR(INDEX('Patrimônio Geral'!$C$7:$C$156,MATCH($A79,'Patrimônio Geral'!$A$7:$A$156,0)),"")</f>
        <v/>
      </c>
      <c r="C79" s="44">
        <f>IFERROR(INDEX('Patrimônio Geral'!$S$7:$S$156,MATCH($A79,'Patrimônio Geral'!$A$7:$A$156,0)),"")</f>
        <v/>
      </c>
      <c r="D79" s="44">
        <f>IFERROR(INDEX('Patrimônio Geral'!$R$7:$R$156,MATCH($A79,'Patrimônio Geral'!$A$7:$A$156,0)),"")</f>
        <v/>
      </c>
      <c r="E79" s="32" t="n"/>
      <c r="F79" s="31" t="n"/>
      <c r="G79" s="31" t="n"/>
      <c r="H79" s="31" t="n"/>
      <c r="I79" s="33" t="n"/>
      <c r="J79" s="31" t="n"/>
    </row>
    <row r="80" ht="20" customHeight="1">
      <c r="A80" s="32" t="n"/>
      <c r="B80" s="44">
        <f>IFERROR(INDEX('Patrimônio Geral'!$C$7:$C$156,MATCH($A80,'Patrimônio Geral'!$A$7:$A$156,0)),"")</f>
        <v/>
      </c>
      <c r="C80" s="44">
        <f>IFERROR(INDEX('Patrimônio Geral'!$S$7:$S$156,MATCH($A80,'Patrimônio Geral'!$A$7:$A$156,0)),"")</f>
        <v/>
      </c>
      <c r="D80" s="44">
        <f>IFERROR(INDEX('Patrimônio Geral'!$R$7:$R$156,MATCH($A80,'Patrimônio Geral'!$A$7:$A$156,0)),"")</f>
        <v/>
      </c>
      <c r="E80" s="32" t="n"/>
      <c r="F80" s="31" t="n"/>
      <c r="G80" s="31" t="n"/>
      <c r="H80" s="31" t="n"/>
      <c r="I80" s="33" t="n"/>
      <c r="J80" s="31" t="n"/>
    </row>
    <row r="81" ht="20" customHeight="1">
      <c r="A81" s="32" t="n"/>
      <c r="B81" s="44">
        <f>IFERROR(INDEX('Patrimônio Geral'!$C$7:$C$156,MATCH($A81,'Patrimônio Geral'!$A$7:$A$156,0)),"")</f>
        <v/>
      </c>
      <c r="C81" s="44">
        <f>IFERROR(INDEX('Patrimônio Geral'!$S$7:$S$156,MATCH($A81,'Patrimônio Geral'!$A$7:$A$156,0)),"")</f>
        <v/>
      </c>
      <c r="D81" s="44">
        <f>IFERROR(INDEX('Patrimônio Geral'!$R$7:$R$156,MATCH($A81,'Patrimônio Geral'!$A$7:$A$156,0)),"")</f>
        <v/>
      </c>
      <c r="E81" s="32" t="n"/>
      <c r="F81" s="31" t="n"/>
      <c r="G81" s="31" t="n"/>
      <c r="H81" s="31" t="n"/>
      <c r="I81" s="33" t="n"/>
      <c r="J81" s="31" t="n"/>
    </row>
    <row r="82" ht="20" customHeight="1">
      <c r="A82" s="32" t="n"/>
      <c r="B82" s="44">
        <f>IFERROR(INDEX('Patrimônio Geral'!$C$7:$C$156,MATCH($A82,'Patrimônio Geral'!$A$7:$A$156,0)),"")</f>
        <v/>
      </c>
      <c r="C82" s="44">
        <f>IFERROR(INDEX('Patrimônio Geral'!$S$7:$S$156,MATCH($A82,'Patrimônio Geral'!$A$7:$A$156,0)),"")</f>
        <v/>
      </c>
      <c r="D82" s="44">
        <f>IFERROR(INDEX('Patrimônio Geral'!$R$7:$R$156,MATCH($A82,'Patrimônio Geral'!$A$7:$A$156,0)),"")</f>
        <v/>
      </c>
      <c r="E82" s="32" t="n"/>
      <c r="F82" s="31" t="n"/>
      <c r="G82" s="31" t="n"/>
      <c r="H82" s="31" t="n"/>
      <c r="I82" s="33" t="n"/>
      <c r="J82" s="31" t="n"/>
    </row>
    <row r="83" ht="20" customHeight="1">
      <c r="A83" s="32" t="n"/>
      <c r="B83" s="44">
        <f>IFERROR(INDEX('Patrimônio Geral'!$C$7:$C$156,MATCH($A83,'Patrimônio Geral'!$A$7:$A$156,0)),"")</f>
        <v/>
      </c>
      <c r="C83" s="44">
        <f>IFERROR(INDEX('Patrimônio Geral'!$S$7:$S$156,MATCH($A83,'Patrimônio Geral'!$A$7:$A$156,0)),"")</f>
        <v/>
      </c>
      <c r="D83" s="44">
        <f>IFERROR(INDEX('Patrimônio Geral'!$R$7:$R$156,MATCH($A83,'Patrimônio Geral'!$A$7:$A$156,0)),"")</f>
        <v/>
      </c>
      <c r="E83" s="32" t="n"/>
      <c r="F83" s="31" t="n"/>
      <c r="G83" s="31" t="n"/>
      <c r="H83" s="31" t="n"/>
      <c r="I83" s="33" t="n"/>
      <c r="J83" s="31" t="n"/>
    </row>
    <row r="84" ht="20" customHeight="1">
      <c r="A84" s="32" t="n"/>
      <c r="B84" s="44">
        <f>IFERROR(INDEX('Patrimônio Geral'!$C$7:$C$156,MATCH($A84,'Patrimônio Geral'!$A$7:$A$156,0)),"")</f>
        <v/>
      </c>
      <c r="C84" s="44">
        <f>IFERROR(INDEX('Patrimônio Geral'!$S$7:$S$156,MATCH($A84,'Patrimônio Geral'!$A$7:$A$156,0)),"")</f>
        <v/>
      </c>
      <c r="D84" s="44">
        <f>IFERROR(INDEX('Patrimônio Geral'!$R$7:$R$156,MATCH($A84,'Patrimônio Geral'!$A$7:$A$156,0)),"")</f>
        <v/>
      </c>
      <c r="E84" s="32" t="n"/>
      <c r="F84" s="31" t="n"/>
      <c r="G84" s="31" t="n"/>
      <c r="H84" s="31" t="n"/>
      <c r="I84" s="33" t="n"/>
      <c r="J84" s="31" t="n"/>
    </row>
    <row r="85" ht="20" customHeight="1">
      <c r="A85" s="32" t="n"/>
      <c r="B85" s="44">
        <f>IFERROR(INDEX('Patrimônio Geral'!$C$7:$C$156,MATCH($A85,'Patrimônio Geral'!$A$7:$A$156,0)),"")</f>
        <v/>
      </c>
      <c r="C85" s="44">
        <f>IFERROR(INDEX('Patrimônio Geral'!$S$7:$S$156,MATCH($A85,'Patrimônio Geral'!$A$7:$A$156,0)),"")</f>
        <v/>
      </c>
      <c r="D85" s="44">
        <f>IFERROR(INDEX('Patrimônio Geral'!$R$7:$R$156,MATCH($A85,'Patrimônio Geral'!$A$7:$A$156,0)),"")</f>
        <v/>
      </c>
      <c r="E85" s="32" t="n"/>
      <c r="F85" s="31" t="n"/>
      <c r="G85" s="31" t="n"/>
      <c r="H85" s="31" t="n"/>
      <c r="I85" s="33" t="n"/>
      <c r="J85" s="31" t="n"/>
    </row>
    <row r="86" ht="20" customHeight="1">
      <c r="A86" s="32" t="n"/>
      <c r="B86" s="44">
        <f>IFERROR(INDEX('Patrimônio Geral'!$C$7:$C$156,MATCH($A86,'Patrimônio Geral'!$A$7:$A$156,0)),"")</f>
        <v/>
      </c>
      <c r="C86" s="44">
        <f>IFERROR(INDEX('Patrimônio Geral'!$S$7:$S$156,MATCH($A86,'Patrimônio Geral'!$A$7:$A$156,0)),"")</f>
        <v/>
      </c>
      <c r="D86" s="44">
        <f>IFERROR(INDEX('Patrimônio Geral'!$R$7:$R$156,MATCH($A86,'Patrimônio Geral'!$A$7:$A$156,0)),"")</f>
        <v/>
      </c>
      <c r="E86" s="32" t="n"/>
      <c r="F86" s="31" t="n"/>
      <c r="G86" s="31" t="n"/>
      <c r="H86" s="31" t="n"/>
      <c r="I86" s="33" t="n"/>
      <c r="J86" s="31" t="n"/>
    </row>
  </sheetData>
  <mergeCells count="4">
    <mergeCell ref="A1:J1"/>
    <mergeCell ref="A4:J4"/>
    <mergeCell ref="A3:J3"/>
    <mergeCell ref="A2:J2"/>
  </mergeCells>
  <dataValidations count="2">
    <dataValidation sqref="E7:E86" showDropDown="0" showInputMessage="0" showErrorMessage="0" allowBlank="1" type="list">
      <formula1>=Listas!$I$2:$I$3</formula1>
    </dataValidation>
    <dataValidation sqref="F7:F86" showDropDown="0" showInputMessage="0" showErrorMessage="0" allowBlank="1" type="list">
      <formula1>=Listas!$J$2:$J$5</formula1>
    </dataValidation>
  </dataValidations>
  <pageMargins left="0.45" right="0.35" top="0.4" bottom="0.35" header="0.5" footer="0.5"/>
  <pageSetup orientation="landscape" paperSize="9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H54"/>
  <sheetViews>
    <sheetView showGridLines="0" workbookViewId="0">
      <selection activeCell="A1" sqref="A1"/>
    </sheetView>
  </sheetViews>
  <sheetFormatPr baseColWidth="8" defaultRowHeight="15"/>
  <cols>
    <col width="9" customWidth="1" min="1" max="1"/>
    <col width="34" customWidth="1" min="2" max="2"/>
    <col width="12" customWidth="1" min="3" max="3"/>
    <col width="15" customWidth="1" min="4" max="4"/>
    <col width="9" customWidth="1" min="5" max="5"/>
    <col width="6" customWidth="1" min="6" max="6"/>
    <col width="5" customWidth="1" min="7" max="7"/>
    <col width="6" customWidth="1" min="8" max="8"/>
  </cols>
  <sheetData>
    <row r="1" ht="26" customHeight="1">
      <c r="A1" s="1" t="inlineStr">
        <is>
          <t>VALVIC MARCENARIA</t>
        </is>
      </c>
    </row>
    <row r="2" ht="15" customHeight="1">
      <c r="A2" s="2" t="inlineStr">
        <is>
          <t>Vargas Decor Ltda   ·   CNPJ 17.269.304/0001-51   ·   Belo Horizonte / MG</t>
        </is>
      </c>
    </row>
    <row r="3" ht="28" customHeight="1">
      <c r="A3" s="3" t="inlineStr">
        <is>
          <t>TERMO DE COMODATO DE FERRAMENTAS</t>
        </is>
      </c>
    </row>
    <row r="4" ht="17" customHeight="1">
      <c r="A4" s="4" t="inlineStr">
        <is>
          <t>Ferramentas e equipamentos cedidos em comodato · prestador de serviços PJ</t>
        </is>
      </c>
    </row>
    <row r="6" ht="20" customHeight="1">
      <c r="A6" s="5" t="inlineStr">
        <is>
          <t xml:space="preserve">  IDENTIFICAÇÃO</t>
        </is>
      </c>
    </row>
    <row r="7" ht="21" customHeight="1">
      <c r="A7" s="45" t="inlineStr">
        <is>
          <t>Nome completo</t>
        </is>
      </c>
      <c r="B7" s="46" t="inlineStr">
        <is>
          <t>Deivson</t>
        </is>
      </c>
      <c r="E7" s="45" t="inlineStr">
        <is>
          <t>CPF / CNPJ</t>
        </is>
      </c>
      <c r="F7" s="47" t="inlineStr"/>
    </row>
    <row r="8" ht="21" customHeight="1">
      <c r="A8" s="45" t="inlineStr">
        <is>
          <t>Função</t>
        </is>
      </c>
      <c r="B8" s="46" t="inlineStr">
        <is>
          <t>Coordenador de Produção</t>
        </is>
      </c>
      <c r="E8" s="45" t="inlineStr">
        <is>
          <t>Vínculo</t>
        </is>
      </c>
      <c r="F8" s="46" t="inlineStr">
        <is>
          <t>PJ</t>
        </is>
      </c>
    </row>
    <row r="9" ht="21" customHeight="1">
      <c r="A9" s="45" t="inlineStr">
        <is>
          <t>Data da entrega</t>
        </is>
      </c>
      <c r="B9" s="47" t="inlineStr"/>
      <c r="E9" s="45" t="inlineStr">
        <is>
          <t>Local de guarda</t>
        </is>
      </c>
      <c r="F9" s="46" t="inlineStr">
        <is>
          <t>Fábrica / canteiro de obra</t>
        </is>
      </c>
    </row>
    <row r="11" ht="20" customHeight="1">
      <c r="A11" s="5" t="inlineStr">
        <is>
          <t xml:space="preserve">  RELAÇÃO DE ITENS ENTREGUES          preencha o código — descrição, marca e valor vêm da aba Patrimônio Geral</t>
        </is>
      </c>
    </row>
    <row r="12" ht="24" customHeight="1">
      <c r="A12" s="48" t="inlineStr">
        <is>
          <t>Código</t>
        </is>
      </c>
      <c r="B12" s="48" t="inlineStr">
        <is>
          <t>Descrição do item</t>
        </is>
      </c>
      <c r="C12" s="48" t="inlineStr">
        <is>
          <t>Marca</t>
        </is>
      </c>
      <c r="D12" s="48" t="inlineStr">
        <is>
          <t>Etiqueta / nº série</t>
        </is>
      </c>
      <c r="E12" s="48" t="inlineStr">
        <is>
          <t>Estado</t>
        </is>
      </c>
      <c r="F12" s="48" t="inlineStr">
        <is>
          <t>Valor de referência</t>
        </is>
      </c>
      <c r="G12" s="48" t="n"/>
      <c r="H12" s="48" t="n"/>
    </row>
    <row r="13" ht="20" customHeight="1">
      <c r="A13" s="30" t="n"/>
      <c r="B13" s="49">
        <f>IFERROR(INDEX('Patrimônio Geral'!$C$7:$C$156,MATCH($A13,'Patrimônio Geral'!$A$7:$A$156,0)),"")</f>
        <v/>
      </c>
      <c r="C13" s="49">
        <f>IFERROR(INDEX('Patrimônio Geral'!$D$7:$D$156,MATCH($A13,'Patrimônio Geral'!$A$7:$A$156,0)),"")</f>
        <v/>
      </c>
      <c r="D13" s="49">
        <f>IFERROR(INDEX('Patrimônio Geral'!$G$7:$G$156,MATCH($A13,'Patrimônio Geral'!$A$7:$A$156,0)),"")</f>
        <v/>
      </c>
      <c r="E13" s="32" t="n"/>
      <c r="F13" s="50">
        <f>IFERROR(INDEX('Patrimônio Geral'!$K$7:$K$156,MATCH($A13,'Patrimônio Geral'!$A$7:$A$156,0)),"")</f>
        <v/>
      </c>
      <c r="G13" s="51" t="n"/>
      <c r="H13" s="51" t="n"/>
    </row>
    <row r="14" ht="20" customHeight="1">
      <c r="A14" s="30" t="n"/>
      <c r="B14" s="49">
        <f>IFERROR(INDEX('Patrimônio Geral'!$C$7:$C$156,MATCH($A14,'Patrimônio Geral'!$A$7:$A$156,0)),"")</f>
        <v/>
      </c>
      <c r="C14" s="49">
        <f>IFERROR(INDEX('Patrimônio Geral'!$D$7:$D$156,MATCH($A14,'Patrimônio Geral'!$A$7:$A$156,0)),"")</f>
        <v/>
      </c>
      <c r="D14" s="49">
        <f>IFERROR(INDEX('Patrimônio Geral'!$G$7:$G$156,MATCH($A14,'Patrimônio Geral'!$A$7:$A$156,0)),"")</f>
        <v/>
      </c>
      <c r="E14" s="32" t="n"/>
      <c r="F14" s="50">
        <f>IFERROR(INDEX('Patrimônio Geral'!$K$7:$K$156,MATCH($A14,'Patrimônio Geral'!$A$7:$A$156,0)),"")</f>
        <v/>
      </c>
      <c r="G14" s="51" t="n"/>
      <c r="H14" s="51" t="n"/>
    </row>
    <row r="15" ht="20" customHeight="1">
      <c r="A15" s="30" t="n"/>
      <c r="B15" s="49">
        <f>IFERROR(INDEX('Patrimônio Geral'!$C$7:$C$156,MATCH($A15,'Patrimônio Geral'!$A$7:$A$156,0)),"")</f>
        <v/>
      </c>
      <c r="C15" s="49">
        <f>IFERROR(INDEX('Patrimônio Geral'!$D$7:$D$156,MATCH($A15,'Patrimônio Geral'!$A$7:$A$156,0)),"")</f>
        <v/>
      </c>
      <c r="D15" s="49">
        <f>IFERROR(INDEX('Patrimônio Geral'!$G$7:$G$156,MATCH($A15,'Patrimônio Geral'!$A$7:$A$156,0)),"")</f>
        <v/>
      </c>
      <c r="E15" s="32" t="n"/>
      <c r="F15" s="50">
        <f>IFERROR(INDEX('Patrimônio Geral'!$K$7:$K$156,MATCH($A15,'Patrimônio Geral'!$A$7:$A$156,0)),"")</f>
        <v/>
      </c>
      <c r="G15" s="51" t="n"/>
      <c r="H15" s="51" t="n"/>
    </row>
    <row r="16" ht="20" customHeight="1">
      <c r="A16" s="30" t="n"/>
      <c r="B16" s="49">
        <f>IFERROR(INDEX('Patrimônio Geral'!$C$7:$C$156,MATCH($A16,'Patrimônio Geral'!$A$7:$A$156,0)),"")</f>
        <v/>
      </c>
      <c r="C16" s="49">
        <f>IFERROR(INDEX('Patrimônio Geral'!$D$7:$D$156,MATCH($A16,'Patrimônio Geral'!$A$7:$A$156,0)),"")</f>
        <v/>
      </c>
      <c r="D16" s="49">
        <f>IFERROR(INDEX('Patrimônio Geral'!$G$7:$G$156,MATCH($A16,'Patrimônio Geral'!$A$7:$A$156,0)),"")</f>
        <v/>
      </c>
      <c r="E16" s="32" t="n"/>
      <c r="F16" s="50">
        <f>IFERROR(INDEX('Patrimônio Geral'!$K$7:$K$156,MATCH($A16,'Patrimônio Geral'!$A$7:$A$156,0)),"")</f>
        <v/>
      </c>
      <c r="G16" s="51" t="n"/>
      <c r="H16" s="51" t="n"/>
    </row>
    <row r="17" ht="20" customHeight="1">
      <c r="A17" s="30" t="n"/>
      <c r="B17" s="49">
        <f>IFERROR(INDEX('Patrimônio Geral'!$C$7:$C$156,MATCH($A17,'Patrimônio Geral'!$A$7:$A$156,0)),"")</f>
        <v/>
      </c>
      <c r="C17" s="49">
        <f>IFERROR(INDEX('Patrimônio Geral'!$D$7:$D$156,MATCH($A17,'Patrimônio Geral'!$A$7:$A$156,0)),"")</f>
        <v/>
      </c>
      <c r="D17" s="49">
        <f>IFERROR(INDEX('Patrimônio Geral'!$G$7:$G$156,MATCH($A17,'Patrimônio Geral'!$A$7:$A$156,0)),"")</f>
        <v/>
      </c>
      <c r="E17" s="32" t="n"/>
      <c r="F17" s="50">
        <f>IFERROR(INDEX('Patrimônio Geral'!$K$7:$K$156,MATCH($A17,'Patrimônio Geral'!$A$7:$A$156,0)),"")</f>
        <v/>
      </c>
      <c r="G17" s="51" t="n"/>
      <c r="H17" s="51" t="n"/>
    </row>
    <row r="18" ht="20" customHeight="1">
      <c r="A18" s="30" t="n"/>
      <c r="B18" s="49">
        <f>IFERROR(INDEX('Patrimônio Geral'!$C$7:$C$156,MATCH($A18,'Patrimônio Geral'!$A$7:$A$156,0)),"")</f>
        <v/>
      </c>
      <c r="C18" s="49">
        <f>IFERROR(INDEX('Patrimônio Geral'!$D$7:$D$156,MATCH($A18,'Patrimônio Geral'!$A$7:$A$156,0)),"")</f>
        <v/>
      </c>
      <c r="D18" s="49">
        <f>IFERROR(INDEX('Patrimônio Geral'!$G$7:$G$156,MATCH($A18,'Patrimônio Geral'!$A$7:$A$156,0)),"")</f>
        <v/>
      </c>
      <c r="E18" s="32" t="n"/>
      <c r="F18" s="50">
        <f>IFERROR(INDEX('Patrimônio Geral'!$K$7:$K$156,MATCH($A18,'Patrimônio Geral'!$A$7:$A$156,0)),"")</f>
        <v/>
      </c>
      <c r="G18" s="51" t="n"/>
      <c r="H18" s="51" t="n"/>
    </row>
    <row r="19" ht="20" customHeight="1">
      <c r="A19" s="30" t="n"/>
      <c r="B19" s="49">
        <f>IFERROR(INDEX('Patrimônio Geral'!$C$7:$C$156,MATCH($A19,'Patrimônio Geral'!$A$7:$A$156,0)),"")</f>
        <v/>
      </c>
      <c r="C19" s="49">
        <f>IFERROR(INDEX('Patrimônio Geral'!$D$7:$D$156,MATCH($A19,'Patrimônio Geral'!$A$7:$A$156,0)),"")</f>
        <v/>
      </c>
      <c r="D19" s="49">
        <f>IFERROR(INDEX('Patrimônio Geral'!$G$7:$G$156,MATCH($A19,'Patrimônio Geral'!$A$7:$A$156,0)),"")</f>
        <v/>
      </c>
      <c r="E19" s="32" t="n"/>
      <c r="F19" s="50">
        <f>IFERROR(INDEX('Patrimônio Geral'!$K$7:$K$156,MATCH($A19,'Patrimônio Geral'!$A$7:$A$156,0)),"")</f>
        <v/>
      </c>
      <c r="G19" s="51" t="n"/>
      <c r="H19" s="51" t="n"/>
    </row>
    <row r="20" ht="20" customHeight="1">
      <c r="A20" s="30" t="n"/>
      <c r="B20" s="49">
        <f>IFERROR(INDEX('Patrimônio Geral'!$C$7:$C$156,MATCH($A20,'Patrimônio Geral'!$A$7:$A$156,0)),"")</f>
        <v/>
      </c>
      <c r="C20" s="49">
        <f>IFERROR(INDEX('Patrimônio Geral'!$D$7:$D$156,MATCH($A20,'Patrimônio Geral'!$A$7:$A$156,0)),"")</f>
        <v/>
      </c>
      <c r="D20" s="49">
        <f>IFERROR(INDEX('Patrimônio Geral'!$G$7:$G$156,MATCH($A20,'Patrimônio Geral'!$A$7:$A$156,0)),"")</f>
        <v/>
      </c>
      <c r="E20" s="32" t="n"/>
      <c r="F20" s="50">
        <f>IFERROR(INDEX('Patrimônio Geral'!$K$7:$K$156,MATCH($A20,'Patrimônio Geral'!$A$7:$A$156,0)),"")</f>
        <v/>
      </c>
      <c r="G20" s="51" t="n"/>
      <c r="H20" s="51" t="n"/>
    </row>
    <row r="21" ht="20" customHeight="1">
      <c r="A21" s="30" t="n"/>
      <c r="B21" s="49">
        <f>IFERROR(INDEX('Patrimônio Geral'!$C$7:$C$156,MATCH($A21,'Patrimônio Geral'!$A$7:$A$156,0)),"")</f>
        <v/>
      </c>
      <c r="C21" s="49">
        <f>IFERROR(INDEX('Patrimônio Geral'!$D$7:$D$156,MATCH($A21,'Patrimônio Geral'!$A$7:$A$156,0)),"")</f>
        <v/>
      </c>
      <c r="D21" s="49">
        <f>IFERROR(INDEX('Patrimônio Geral'!$G$7:$G$156,MATCH($A21,'Patrimônio Geral'!$A$7:$A$156,0)),"")</f>
        <v/>
      </c>
      <c r="E21" s="32" t="n"/>
      <c r="F21" s="50">
        <f>IFERROR(INDEX('Patrimônio Geral'!$K$7:$K$156,MATCH($A21,'Patrimônio Geral'!$A$7:$A$156,0)),"")</f>
        <v/>
      </c>
      <c r="G21" s="51" t="n"/>
      <c r="H21" s="51" t="n"/>
    </row>
    <row r="22" ht="20" customHeight="1">
      <c r="A22" s="30" t="n"/>
      <c r="B22" s="49">
        <f>IFERROR(INDEX('Patrimônio Geral'!$C$7:$C$156,MATCH($A22,'Patrimônio Geral'!$A$7:$A$156,0)),"")</f>
        <v/>
      </c>
      <c r="C22" s="49">
        <f>IFERROR(INDEX('Patrimônio Geral'!$D$7:$D$156,MATCH($A22,'Patrimônio Geral'!$A$7:$A$156,0)),"")</f>
        <v/>
      </c>
      <c r="D22" s="49">
        <f>IFERROR(INDEX('Patrimônio Geral'!$G$7:$G$156,MATCH($A22,'Patrimônio Geral'!$A$7:$A$156,0)),"")</f>
        <v/>
      </c>
      <c r="E22" s="32" t="n"/>
      <c r="F22" s="50">
        <f>IFERROR(INDEX('Patrimônio Geral'!$K$7:$K$156,MATCH($A22,'Patrimônio Geral'!$A$7:$A$156,0)),"")</f>
        <v/>
      </c>
      <c r="G22" s="51" t="n"/>
      <c r="H22" s="51" t="n"/>
    </row>
    <row r="23" ht="20" customHeight="1">
      <c r="A23" s="30" t="n"/>
      <c r="B23" s="49">
        <f>IFERROR(INDEX('Patrimônio Geral'!$C$7:$C$156,MATCH($A23,'Patrimônio Geral'!$A$7:$A$156,0)),"")</f>
        <v/>
      </c>
      <c r="C23" s="49">
        <f>IFERROR(INDEX('Patrimônio Geral'!$D$7:$D$156,MATCH($A23,'Patrimônio Geral'!$A$7:$A$156,0)),"")</f>
        <v/>
      </c>
      <c r="D23" s="49">
        <f>IFERROR(INDEX('Patrimônio Geral'!$G$7:$G$156,MATCH($A23,'Patrimônio Geral'!$A$7:$A$156,0)),"")</f>
        <v/>
      </c>
      <c r="E23" s="32" t="n"/>
      <c r="F23" s="50">
        <f>IFERROR(INDEX('Patrimônio Geral'!$K$7:$K$156,MATCH($A23,'Patrimônio Geral'!$A$7:$A$156,0)),"")</f>
        <v/>
      </c>
      <c r="G23" s="51" t="n"/>
      <c r="H23" s="51" t="n"/>
    </row>
    <row r="24" ht="20" customHeight="1">
      <c r="A24" s="30" t="n"/>
      <c r="B24" s="49">
        <f>IFERROR(INDEX('Patrimônio Geral'!$C$7:$C$156,MATCH($A24,'Patrimônio Geral'!$A$7:$A$156,0)),"")</f>
        <v/>
      </c>
      <c r="C24" s="49">
        <f>IFERROR(INDEX('Patrimônio Geral'!$D$7:$D$156,MATCH($A24,'Patrimônio Geral'!$A$7:$A$156,0)),"")</f>
        <v/>
      </c>
      <c r="D24" s="49">
        <f>IFERROR(INDEX('Patrimônio Geral'!$G$7:$G$156,MATCH($A24,'Patrimônio Geral'!$A$7:$A$156,0)),"")</f>
        <v/>
      </c>
      <c r="E24" s="32" t="n"/>
      <c r="F24" s="50">
        <f>IFERROR(INDEX('Patrimônio Geral'!$K$7:$K$156,MATCH($A24,'Patrimônio Geral'!$A$7:$A$156,0)),"")</f>
        <v/>
      </c>
      <c r="G24" s="51" t="n"/>
      <c r="H24" s="51" t="n"/>
    </row>
    <row r="25" ht="20" customHeight="1">
      <c r="A25" s="30" t="n"/>
      <c r="B25" s="49">
        <f>IFERROR(INDEX('Patrimônio Geral'!$C$7:$C$156,MATCH($A25,'Patrimônio Geral'!$A$7:$A$156,0)),"")</f>
        <v/>
      </c>
      <c r="C25" s="49">
        <f>IFERROR(INDEX('Patrimônio Geral'!$D$7:$D$156,MATCH($A25,'Patrimônio Geral'!$A$7:$A$156,0)),"")</f>
        <v/>
      </c>
      <c r="D25" s="49">
        <f>IFERROR(INDEX('Patrimônio Geral'!$G$7:$G$156,MATCH($A25,'Patrimônio Geral'!$A$7:$A$156,0)),"")</f>
        <v/>
      </c>
      <c r="E25" s="32" t="n"/>
      <c r="F25" s="50">
        <f>IFERROR(INDEX('Patrimônio Geral'!$K$7:$K$156,MATCH($A25,'Patrimônio Geral'!$A$7:$A$156,0)),"")</f>
        <v/>
      </c>
      <c r="G25" s="51" t="n"/>
      <c r="H25" s="51" t="n"/>
    </row>
    <row r="26" ht="20" customHeight="1">
      <c r="A26" s="30" t="n"/>
      <c r="B26" s="49">
        <f>IFERROR(INDEX('Patrimônio Geral'!$C$7:$C$156,MATCH($A26,'Patrimônio Geral'!$A$7:$A$156,0)),"")</f>
        <v/>
      </c>
      <c r="C26" s="49">
        <f>IFERROR(INDEX('Patrimônio Geral'!$D$7:$D$156,MATCH($A26,'Patrimônio Geral'!$A$7:$A$156,0)),"")</f>
        <v/>
      </c>
      <c r="D26" s="49">
        <f>IFERROR(INDEX('Patrimônio Geral'!$G$7:$G$156,MATCH($A26,'Patrimônio Geral'!$A$7:$A$156,0)),"")</f>
        <v/>
      </c>
      <c r="E26" s="32" t="n"/>
      <c r="F26" s="50">
        <f>IFERROR(INDEX('Patrimônio Geral'!$K$7:$K$156,MATCH($A26,'Patrimônio Geral'!$A$7:$A$156,0)),"")</f>
        <v/>
      </c>
      <c r="G26" s="51" t="n"/>
      <c r="H26" s="51" t="n"/>
    </row>
    <row r="27" ht="22" customHeight="1">
      <c r="A27" s="21" t="inlineStr">
        <is>
          <t>TOTAL DE REFERÊNCIA DOS ITENS ENTREGUES</t>
        </is>
      </c>
      <c r="F27" s="52">
        <f>SUM(F13:F26)</f>
        <v/>
      </c>
    </row>
    <row r="28" ht="15" customHeight="1">
      <c r="A28" s="53" t="inlineStr">
        <is>
          <t>O valor de referência serve apenas para identificar o bem. Não constitui caução, depósito, garantia nem autorização prévia de desconto.</t>
        </is>
      </c>
    </row>
    <row r="30" ht="20" customHeight="1">
      <c r="A30" s="5" t="inlineStr">
        <is>
          <t xml:space="preserve">  CONDIÇÕES</t>
        </is>
      </c>
    </row>
    <row r="31" ht="24" customHeight="1">
      <c r="A31" s="54" t="inlineStr">
        <is>
          <t>1.  OBJETO E NATUREZA — A COMODANTE entrega à COMODATÁRIA, em COMODATO GRATUITO, nos termos dos artigos 579 e seguintes do Código Civil, as ferramentas e equipamentos relacionados no quadro acima, que permanecem sendo de propriedade integral da COMODANTE.</t>
        </is>
      </c>
    </row>
    <row r="32" ht="24" customHeight="1">
      <c r="A32" s="54" t="inlineStr">
        <is>
          <t>2.  USO — Os itens destinam-se exclusivamente à execução dos serviços contratados. É vedado emprestá-los, sublocá-los, cedê-los ou aliená-los, sob qualquer título.</t>
        </is>
      </c>
    </row>
    <row r="33" ht="24" customHeight="1">
      <c r="A33" s="54" t="inlineStr">
        <is>
          <t>3.  GUARDA — Os itens NÃO podem ser levados para a residência da COMODATÁRIA. A guarda deve ocorrer nas dependências da COMODANTE ou no canteiro de obra, em local seguro indicado pela coordenação.</t>
        </is>
      </c>
    </row>
    <row r="34" ht="24" customHeight="1">
      <c r="A34" s="54" t="inlineStr">
        <is>
          <t>4.  CONSERVAÇÃO — A COMODATÁRIA obriga-se a conservar os itens como se seus fossem, respondendo pela guarda e pelo uso adequado, nos termos do art. 582 do Código Civil.</t>
        </is>
      </c>
    </row>
    <row r="35" ht="24" customHeight="1">
      <c r="A35" s="54" t="inlineStr">
        <is>
          <t>5.  DESGASTE NATURAL — O desgaste decorrente do uso normal e a manutenção preventiva correm por conta da COMODANTE, sem ônus para a COMODATÁRIA.</t>
        </is>
      </c>
    </row>
    <row r="36" ht="34.5" customHeight="1">
      <c r="A36" s="54" t="inlineStr">
        <is>
          <t>6.  DANO OU PERDA — Havendo dano por uso indevido, negligência ou perda, a COMODATÁRIA se compromete a REPOR o item por outro de mesma especificação e em estado equivalente, no prazo de 30 (trinta) dias, adquirindo-o por sua própria conta e da forma que lhe for mais conveniente.</t>
        </is>
      </c>
    </row>
    <row r="37" ht="24" customHeight="1">
      <c r="A37" s="54" t="inlineStr">
        <is>
          <t>7.  FURTO OU ROUBO — Em caso de furto ou roubo, a COMODATÁRIA deve comunicar imediatamente a coordenação e registrar Boletim de Ocorrência em até 48 (quarenta e oito) horas. Comprovado o fato, não haverá ônus de reposição.</t>
        </is>
      </c>
    </row>
    <row r="38" ht="24" customHeight="1">
      <c r="A38" s="54" t="inlineStr">
        <is>
          <t>8.  RESTITUIÇÃO — Os itens devem ser restituídos sempre que solicitados pela COMODANTE e, obrigatoriamente, ao término da prestação de serviços, mediante registro no quadro de devolução.</t>
        </is>
      </c>
    </row>
    <row r="39" ht="24" customHeight="1">
      <c r="A39" s="54" t="inlineStr">
        <is>
          <t>9.  REGISTRO FOTOGRÁFICO — O registro fotográfico do estado dos itens, feito na data da entrega, integra este termo para todos os efeitos.</t>
        </is>
      </c>
    </row>
    <row r="41" ht="20" customHeight="1">
      <c r="A41" s="5" t="inlineStr">
        <is>
          <t xml:space="preserve">  DECLARAÇÃO E ASSINATURAS</t>
        </is>
      </c>
    </row>
    <row r="42" ht="34" customHeight="1">
      <c r="A42" s="55" t="inlineStr">
        <is>
          <t>Declaro ter recebido os itens acima relacionados, conferido seu estado de conservação e estar ciente das condições deste termo, que assino em duas vias de igual teor. Fica a COMODATÁRIA responsável pela guarda e pelo uso adequado dos itens enquanto estiverem sob sua posse.</t>
        </is>
      </c>
    </row>
    <row r="44" ht="8" customHeight="1">
      <c r="A44" s="56" t="n"/>
      <c r="E44" s="56" t="n"/>
    </row>
    <row r="45">
      <c r="A45" s="57" t="inlineStr">
        <is>
          <t>Deivson</t>
        </is>
      </c>
      <c r="E45" s="57" t="inlineStr">
        <is>
          <t>Valvic Marcenaria — Vargas Decor Ltda</t>
        </is>
      </c>
    </row>
    <row r="46">
      <c r="A46" s="58" t="inlineStr">
        <is>
          <t>CNPJ</t>
        </is>
      </c>
      <c r="E46" s="58" t="inlineStr">
        <is>
          <t>Representante legal</t>
        </is>
      </c>
    </row>
    <row r="47" ht="24" customHeight="1">
      <c r="A47" s="59" t="inlineStr">
        <is>
          <t>Belo Horizonte / MG,  ______  de  ____________________  de  __________</t>
        </is>
      </c>
    </row>
    <row r="49" ht="20" customHeight="1">
      <c r="A49" s="5" t="inlineStr">
        <is>
          <t xml:space="preserve">  REGISTRO DE DEVOLUÇÃO          preencher no ato da devolução ou do desligamento</t>
        </is>
      </c>
    </row>
    <row r="50" ht="22" customHeight="1">
      <c r="A50" s="48" t="inlineStr">
        <is>
          <t>Data</t>
        </is>
      </c>
      <c r="B50" s="48" t="inlineStr">
        <is>
          <t>Itens devolvidos</t>
        </is>
      </c>
      <c r="C50" s="48" t="n"/>
      <c r="D50" s="48" t="inlineStr">
        <is>
          <t>Estado na devolução</t>
        </is>
      </c>
      <c r="E50" s="48" t="inlineStr">
        <is>
          <t>Pendências</t>
        </is>
      </c>
      <c r="F50" s="48" t="n"/>
      <c r="G50" s="48" t="inlineStr">
        <is>
          <t>Recebido por</t>
        </is>
      </c>
      <c r="H50" s="48" t="n"/>
    </row>
    <row r="51" ht="22" customHeight="1">
      <c r="A51" s="60" t="n"/>
      <c r="B51" s="31" t="n"/>
      <c r="C51" s="31" t="n"/>
      <c r="D51" s="31" t="n"/>
      <c r="E51" s="31" t="n"/>
      <c r="F51" s="31" t="n"/>
      <c r="G51" s="31" t="n"/>
      <c r="H51" s="31" t="n"/>
    </row>
    <row r="52" ht="22" customHeight="1">
      <c r="A52" s="60" t="n"/>
      <c r="B52" s="31" t="n"/>
      <c r="C52" s="31" t="n"/>
      <c r="D52" s="31" t="n"/>
      <c r="E52" s="31" t="n"/>
      <c r="F52" s="31" t="n"/>
      <c r="G52" s="31" t="n"/>
      <c r="H52" s="31" t="n"/>
    </row>
    <row r="53" ht="22" customHeight="1">
      <c r="A53" s="60" t="n"/>
      <c r="B53" s="31" t="n"/>
      <c r="C53" s="31" t="n"/>
      <c r="D53" s="31" t="n"/>
      <c r="E53" s="31" t="n"/>
      <c r="F53" s="31" t="n"/>
      <c r="G53" s="31" t="n"/>
      <c r="H53" s="31" t="n"/>
    </row>
    <row r="54" ht="15" customHeight="1">
      <c r="A54" s="61" t="inlineStr">
        <is>
          <t>Anexo obrigatório: registro fotográfico do estado dos itens na data da entrega. Sem o anexo, este termo não sustenta pedido de reposição.</t>
        </is>
      </c>
    </row>
  </sheetData>
  <mergeCells count="63">
    <mergeCell ref="F20:H20"/>
    <mergeCell ref="E50:F50"/>
    <mergeCell ref="E45:H45"/>
    <mergeCell ref="A30:H30"/>
    <mergeCell ref="A39:H39"/>
    <mergeCell ref="F21:H21"/>
    <mergeCell ref="G52:H52"/>
    <mergeCell ref="F18:H18"/>
    <mergeCell ref="A46:C46"/>
    <mergeCell ref="B8:D8"/>
    <mergeCell ref="F8:H8"/>
    <mergeCell ref="F26:H26"/>
    <mergeCell ref="A36:H36"/>
    <mergeCell ref="A11:H11"/>
    <mergeCell ref="F17:H17"/>
    <mergeCell ref="A49:H49"/>
    <mergeCell ref="A1:H1"/>
    <mergeCell ref="E52:F52"/>
    <mergeCell ref="A6:H6"/>
    <mergeCell ref="F23:H23"/>
    <mergeCell ref="B52:C52"/>
    <mergeCell ref="E51:F51"/>
    <mergeCell ref="F22:H22"/>
    <mergeCell ref="F13:H13"/>
    <mergeCell ref="F27:H27"/>
    <mergeCell ref="A54:H54"/>
    <mergeCell ref="B9:D9"/>
    <mergeCell ref="A41:H41"/>
    <mergeCell ref="G53:H53"/>
    <mergeCell ref="F9:H9"/>
    <mergeCell ref="A37:H37"/>
    <mergeCell ref="B53:C53"/>
    <mergeCell ref="A27:E27"/>
    <mergeCell ref="A3:H3"/>
    <mergeCell ref="A44:C44"/>
    <mergeCell ref="F14:H14"/>
    <mergeCell ref="A2:H2"/>
    <mergeCell ref="A42:H42"/>
    <mergeCell ref="E44:H44"/>
    <mergeCell ref="A33:H33"/>
    <mergeCell ref="A47:H47"/>
    <mergeCell ref="B7:D7"/>
    <mergeCell ref="A32:H32"/>
    <mergeCell ref="F25:H25"/>
    <mergeCell ref="A4:H4"/>
    <mergeCell ref="F16:H16"/>
    <mergeCell ref="G51:H51"/>
    <mergeCell ref="F19:H19"/>
    <mergeCell ref="A35:H35"/>
    <mergeCell ref="A45:C45"/>
    <mergeCell ref="A38:H38"/>
    <mergeCell ref="B51:C51"/>
    <mergeCell ref="A28:H28"/>
    <mergeCell ref="E46:H46"/>
    <mergeCell ref="G50:H50"/>
    <mergeCell ref="B50:C50"/>
    <mergeCell ref="F12:H12"/>
    <mergeCell ref="F7:H7"/>
    <mergeCell ref="E53:F53"/>
    <mergeCell ref="F15:H15"/>
    <mergeCell ref="A31:H31"/>
    <mergeCell ref="F24:H24"/>
    <mergeCell ref="A34:H34"/>
  </mergeCells>
  <dataValidations count="2">
    <dataValidation sqref="A13:A26" showDropDown="0" showInputMessage="0" showErrorMessage="0" allowBlank="1" type="list">
      <formula1>='Patrimônio Geral'!$A$7:$A$156</formula1>
    </dataValidation>
    <dataValidation sqref="E13:E26" showDropDown="0" showInputMessage="0" showErrorMessage="0" allowBlank="1" type="list">
      <formula1>=Listas!$J$2:$J$5</formula1>
    </dataValidation>
  </dataValidations>
  <pageMargins left="0.45" right="0.35" top="0.4" bottom="0.35" header="0.5" footer="0.5"/>
  <pageSetup orientation="portrait" paperSize="9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H54"/>
  <sheetViews>
    <sheetView showGridLines="0" workbookViewId="0">
      <selection activeCell="A1" sqref="A1"/>
    </sheetView>
  </sheetViews>
  <sheetFormatPr baseColWidth="8" defaultRowHeight="15"/>
  <cols>
    <col width="9" customWidth="1" min="1" max="1"/>
    <col width="34" customWidth="1" min="2" max="2"/>
    <col width="12" customWidth="1" min="3" max="3"/>
    <col width="15" customWidth="1" min="4" max="4"/>
    <col width="9" customWidth="1" min="5" max="5"/>
    <col width="6" customWidth="1" min="6" max="6"/>
    <col width="5" customWidth="1" min="7" max="7"/>
    <col width="6" customWidth="1" min="8" max="8"/>
  </cols>
  <sheetData>
    <row r="1" ht="26" customHeight="1">
      <c r="A1" s="1" t="inlineStr">
        <is>
          <t>VALVIC MARCENARIA</t>
        </is>
      </c>
    </row>
    <row r="2" ht="15" customHeight="1">
      <c r="A2" s="2" t="inlineStr">
        <is>
          <t>Vargas Decor Ltda   ·   CNPJ 17.269.304/0001-51   ·   Belo Horizonte / MG</t>
        </is>
      </c>
    </row>
    <row r="3" ht="28" customHeight="1">
      <c r="A3" s="3" t="inlineStr">
        <is>
          <t>TERMO DE COMODATO DE FERRAMENTAS</t>
        </is>
      </c>
    </row>
    <row r="4" ht="17" customHeight="1">
      <c r="A4" s="4" t="inlineStr">
        <is>
          <t>Ferramentas e equipamentos cedidos em comodato · prestador de serviços PJ</t>
        </is>
      </c>
    </row>
    <row r="6" ht="20" customHeight="1">
      <c r="A6" s="5" t="inlineStr">
        <is>
          <t xml:space="preserve">  IDENTIFICAÇÃO</t>
        </is>
      </c>
    </row>
    <row r="7" ht="21" customHeight="1">
      <c r="A7" s="45" t="inlineStr">
        <is>
          <t>Nome completo</t>
        </is>
      </c>
      <c r="B7" s="46" t="inlineStr">
        <is>
          <t>Samuel</t>
        </is>
      </c>
      <c r="E7" s="45" t="inlineStr">
        <is>
          <t>CPF / CNPJ</t>
        </is>
      </c>
      <c r="F7" s="47" t="inlineStr"/>
    </row>
    <row r="8" ht="21" customHeight="1">
      <c r="A8" s="45" t="inlineStr">
        <is>
          <t>Função</t>
        </is>
      </c>
      <c r="B8" s="46" t="inlineStr">
        <is>
          <t>Marceneiro Sênior</t>
        </is>
      </c>
      <c r="E8" s="45" t="inlineStr">
        <is>
          <t>Vínculo</t>
        </is>
      </c>
      <c r="F8" s="46" t="inlineStr">
        <is>
          <t>PJ</t>
        </is>
      </c>
    </row>
    <row r="9" ht="21" customHeight="1">
      <c r="A9" s="45" t="inlineStr">
        <is>
          <t>Data da entrega</t>
        </is>
      </c>
      <c r="B9" s="47" t="inlineStr"/>
      <c r="E9" s="45" t="inlineStr">
        <is>
          <t>Local de guarda</t>
        </is>
      </c>
      <c r="F9" s="46" t="inlineStr">
        <is>
          <t>Fábrica / canteiro de obra</t>
        </is>
      </c>
    </row>
    <row r="11" ht="20" customHeight="1">
      <c r="A11" s="5" t="inlineStr">
        <is>
          <t xml:space="preserve">  RELAÇÃO DE ITENS ENTREGUES          preencha o código — descrição, marca e valor vêm da aba Patrimônio Geral</t>
        </is>
      </c>
    </row>
    <row r="12" ht="24" customHeight="1">
      <c r="A12" s="48" t="inlineStr">
        <is>
          <t>Código</t>
        </is>
      </c>
      <c r="B12" s="48" t="inlineStr">
        <is>
          <t>Descrição do item</t>
        </is>
      </c>
      <c r="C12" s="48" t="inlineStr">
        <is>
          <t>Marca</t>
        </is>
      </c>
      <c r="D12" s="48" t="inlineStr">
        <is>
          <t>Etiqueta / nº série</t>
        </is>
      </c>
      <c r="E12" s="48" t="inlineStr">
        <is>
          <t>Estado</t>
        </is>
      </c>
      <c r="F12" s="48" t="inlineStr">
        <is>
          <t>Valor de referência</t>
        </is>
      </c>
      <c r="G12" s="48" t="n"/>
      <c r="H12" s="48" t="n"/>
    </row>
    <row r="13" ht="20" customHeight="1">
      <c r="A13" s="30" t="n"/>
      <c r="B13" s="49">
        <f>IFERROR(INDEX('Patrimônio Geral'!$C$7:$C$156,MATCH($A13,'Patrimônio Geral'!$A$7:$A$156,0)),"")</f>
        <v/>
      </c>
      <c r="C13" s="49">
        <f>IFERROR(INDEX('Patrimônio Geral'!$D$7:$D$156,MATCH($A13,'Patrimônio Geral'!$A$7:$A$156,0)),"")</f>
        <v/>
      </c>
      <c r="D13" s="49">
        <f>IFERROR(INDEX('Patrimônio Geral'!$G$7:$G$156,MATCH($A13,'Patrimônio Geral'!$A$7:$A$156,0)),"")</f>
        <v/>
      </c>
      <c r="E13" s="32" t="n"/>
      <c r="F13" s="50">
        <f>IFERROR(INDEX('Patrimônio Geral'!$K$7:$K$156,MATCH($A13,'Patrimônio Geral'!$A$7:$A$156,0)),"")</f>
        <v/>
      </c>
      <c r="G13" s="51" t="n"/>
      <c r="H13" s="51" t="n"/>
    </row>
    <row r="14" ht="20" customHeight="1">
      <c r="A14" s="30" t="n"/>
      <c r="B14" s="49">
        <f>IFERROR(INDEX('Patrimônio Geral'!$C$7:$C$156,MATCH($A14,'Patrimônio Geral'!$A$7:$A$156,0)),"")</f>
        <v/>
      </c>
      <c r="C14" s="49">
        <f>IFERROR(INDEX('Patrimônio Geral'!$D$7:$D$156,MATCH($A14,'Patrimônio Geral'!$A$7:$A$156,0)),"")</f>
        <v/>
      </c>
      <c r="D14" s="49">
        <f>IFERROR(INDEX('Patrimônio Geral'!$G$7:$G$156,MATCH($A14,'Patrimônio Geral'!$A$7:$A$156,0)),"")</f>
        <v/>
      </c>
      <c r="E14" s="32" t="n"/>
      <c r="F14" s="50">
        <f>IFERROR(INDEX('Patrimônio Geral'!$K$7:$K$156,MATCH($A14,'Patrimônio Geral'!$A$7:$A$156,0)),"")</f>
        <v/>
      </c>
      <c r="G14" s="51" t="n"/>
      <c r="H14" s="51" t="n"/>
    </row>
    <row r="15" ht="20" customHeight="1">
      <c r="A15" s="30" t="n"/>
      <c r="B15" s="49">
        <f>IFERROR(INDEX('Patrimônio Geral'!$C$7:$C$156,MATCH($A15,'Patrimônio Geral'!$A$7:$A$156,0)),"")</f>
        <v/>
      </c>
      <c r="C15" s="49">
        <f>IFERROR(INDEX('Patrimônio Geral'!$D$7:$D$156,MATCH($A15,'Patrimônio Geral'!$A$7:$A$156,0)),"")</f>
        <v/>
      </c>
      <c r="D15" s="49">
        <f>IFERROR(INDEX('Patrimônio Geral'!$G$7:$G$156,MATCH($A15,'Patrimônio Geral'!$A$7:$A$156,0)),"")</f>
        <v/>
      </c>
      <c r="E15" s="32" t="n"/>
      <c r="F15" s="50">
        <f>IFERROR(INDEX('Patrimônio Geral'!$K$7:$K$156,MATCH($A15,'Patrimônio Geral'!$A$7:$A$156,0)),"")</f>
        <v/>
      </c>
      <c r="G15" s="51" t="n"/>
      <c r="H15" s="51" t="n"/>
    </row>
    <row r="16" ht="20" customHeight="1">
      <c r="A16" s="30" t="n"/>
      <c r="B16" s="49">
        <f>IFERROR(INDEX('Patrimônio Geral'!$C$7:$C$156,MATCH($A16,'Patrimônio Geral'!$A$7:$A$156,0)),"")</f>
        <v/>
      </c>
      <c r="C16" s="49">
        <f>IFERROR(INDEX('Patrimônio Geral'!$D$7:$D$156,MATCH($A16,'Patrimônio Geral'!$A$7:$A$156,0)),"")</f>
        <v/>
      </c>
      <c r="D16" s="49">
        <f>IFERROR(INDEX('Patrimônio Geral'!$G$7:$G$156,MATCH($A16,'Patrimônio Geral'!$A$7:$A$156,0)),"")</f>
        <v/>
      </c>
      <c r="E16" s="32" t="n"/>
      <c r="F16" s="50">
        <f>IFERROR(INDEX('Patrimônio Geral'!$K$7:$K$156,MATCH($A16,'Patrimônio Geral'!$A$7:$A$156,0)),"")</f>
        <v/>
      </c>
      <c r="G16" s="51" t="n"/>
      <c r="H16" s="51" t="n"/>
    </row>
    <row r="17" ht="20" customHeight="1">
      <c r="A17" s="30" t="n"/>
      <c r="B17" s="49">
        <f>IFERROR(INDEX('Patrimônio Geral'!$C$7:$C$156,MATCH($A17,'Patrimônio Geral'!$A$7:$A$156,0)),"")</f>
        <v/>
      </c>
      <c r="C17" s="49">
        <f>IFERROR(INDEX('Patrimônio Geral'!$D$7:$D$156,MATCH($A17,'Patrimônio Geral'!$A$7:$A$156,0)),"")</f>
        <v/>
      </c>
      <c r="D17" s="49">
        <f>IFERROR(INDEX('Patrimônio Geral'!$G$7:$G$156,MATCH($A17,'Patrimônio Geral'!$A$7:$A$156,0)),"")</f>
        <v/>
      </c>
      <c r="E17" s="32" t="n"/>
      <c r="F17" s="50">
        <f>IFERROR(INDEX('Patrimônio Geral'!$K$7:$K$156,MATCH($A17,'Patrimônio Geral'!$A$7:$A$156,0)),"")</f>
        <v/>
      </c>
      <c r="G17" s="51" t="n"/>
      <c r="H17" s="51" t="n"/>
    </row>
    <row r="18" ht="20" customHeight="1">
      <c r="A18" s="30" t="n"/>
      <c r="B18" s="49">
        <f>IFERROR(INDEX('Patrimônio Geral'!$C$7:$C$156,MATCH($A18,'Patrimônio Geral'!$A$7:$A$156,0)),"")</f>
        <v/>
      </c>
      <c r="C18" s="49">
        <f>IFERROR(INDEX('Patrimônio Geral'!$D$7:$D$156,MATCH($A18,'Patrimônio Geral'!$A$7:$A$156,0)),"")</f>
        <v/>
      </c>
      <c r="D18" s="49">
        <f>IFERROR(INDEX('Patrimônio Geral'!$G$7:$G$156,MATCH($A18,'Patrimônio Geral'!$A$7:$A$156,0)),"")</f>
        <v/>
      </c>
      <c r="E18" s="32" t="n"/>
      <c r="F18" s="50">
        <f>IFERROR(INDEX('Patrimônio Geral'!$K$7:$K$156,MATCH($A18,'Patrimônio Geral'!$A$7:$A$156,0)),"")</f>
        <v/>
      </c>
      <c r="G18" s="51" t="n"/>
      <c r="H18" s="51" t="n"/>
    </row>
    <row r="19" ht="20" customHeight="1">
      <c r="A19" s="30" t="n"/>
      <c r="B19" s="49">
        <f>IFERROR(INDEX('Patrimônio Geral'!$C$7:$C$156,MATCH($A19,'Patrimônio Geral'!$A$7:$A$156,0)),"")</f>
        <v/>
      </c>
      <c r="C19" s="49">
        <f>IFERROR(INDEX('Patrimônio Geral'!$D$7:$D$156,MATCH($A19,'Patrimônio Geral'!$A$7:$A$156,0)),"")</f>
        <v/>
      </c>
      <c r="D19" s="49">
        <f>IFERROR(INDEX('Patrimônio Geral'!$G$7:$G$156,MATCH($A19,'Patrimônio Geral'!$A$7:$A$156,0)),"")</f>
        <v/>
      </c>
      <c r="E19" s="32" t="n"/>
      <c r="F19" s="50">
        <f>IFERROR(INDEX('Patrimônio Geral'!$K$7:$K$156,MATCH($A19,'Patrimônio Geral'!$A$7:$A$156,0)),"")</f>
        <v/>
      </c>
      <c r="G19" s="51" t="n"/>
      <c r="H19" s="51" t="n"/>
    </row>
    <row r="20" ht="20" customHeight="1">
      <c r="A20" s="30" t="n"/>
      <c r="B20" s="49">
        <f>IFERROR(INDEX('Patrimônio Geral'!$C$7:$C$156,MATCH($A20,'Patrimônio Geral'!$A$7:$A$156,0)),"")</f>
        <v/>
      </c>
      <c r="C20" s="49">
        <f>IFERROR(INDEX('Patrimônio Geral'!$D$7:$D$156,MATCH($A20,'Patrimônio Geral'!$A$7:$A$156,0)),"")</f>
        <v/>
      </c>
      <c r="D20" s="49">
        <f>IFERROR(INDEX('Patrimônio Geral'!$G$7:$G$156,MATCH($A20,'Patrimônio Geral'!$A$7:$A$156,0)),"")</f>
        <v/>
      </c>
      <c r="E20" s="32" t="n"/>
      <c r="F20" s="50">
        <f>IFERROR(INDEX('Patrimônio Geral'!$K$7:$K$156,MATCH($A20,'Patrimônio Geral'!$A$7:$A$156,0)),"")</f>
        <v/>
      </c>
      <c r="G20" s="51" t="n"/>
      <c r="H20" s="51" t="n"/>
    </row>
    <row r="21" ht="20" customHeight="1">
      <c r="A21" s="30" t="n"/>
      <c r="B21" s="49">
        <f>IFERROR(INDEX('Patrimônio Geral'!$C$7:$C$156,MATCH($A21,'Patrimônio Geral'!$A$7:$A$156,0)),"")</f>
        <v/>
      </c>
      <c r="C21" s="49">
        <f>IFERROR(INDEX('Patrimônio Geral'!$D$7:$D$156,MATCH($A21,'Patrimônio Geral'!$A$7:$A$156,0)),"")</f>
        <v/>
      </c>
      <c r="D21" s="49">
        <f>IFERROR(INDEX('Patrimônio Geral'!$G$7:$G$156,MATCH($A21,'Patrimônio Geral'!$A$7:$A$156,0)),"")</f>
        <v/>
      </c>
      <c r="E21" s="32" t="n"/>
      <c r="F21" s="50">
        <f>IFERROR(INDEX('Patrimônio Geral'!$K$7:$K$156,MATCH($A21,'Patrimônio Geral'!$A$7:$A$156,0)),"")</f>
        <v/>
      </c>
      <c r="G21" s="51" t="n"/>
      <c r="H21" s="51" t="n"/>
    </row>
    <row r="22" ht="20" customHeight="1">
      <c r="A22" s="30" t="n"/>
      <c r="B22" s="49">
        <f>IFERROR(INDEX('Patrimônio Geral'!$C$7:$C$156,MATCH($A22,'Patrimônio Geral'!$A$7:$A$156,0)),"")</f>
        <v/>
      </c>
      <c r="C22" s="49">
        <f>IFERROR(INDEX('Patrimônio Geral'!$D$7:$D$156,MATCH($A22,'Patrimônio Geral'!$A$7:$A$156,0)),"")</f>
        <v/>
      </c>
      <c r="D22" s="49">
        <f>IFERROR(INDEX('Patrimônio Geral'!$G$7:$G$156,MATCH($A22,'Patrimônio Geral'!$A$7:$A$156,0)),"")</f>
        <v/>
      </c>
      <c r="E22" s="32" t="n"/>
      <c r="F22" s="50">
        <f>IFERROR(INDEX('Patrimônio Geral'!$K$7:$K$156,MATCH($A22,'Patrimônio Geral'!$A$7:$A$156,0)),"")</f>
        <v/>
      </c>
      <c r="G22" s="51" t="n"/>
      <c r="H22" s="51" t="n"/>
    </row>
    <row r="23" ht="20" customHeight="1">
      <c r="A23" s="30" t="n"/>
      <c r="B23" s="49">
        <f>IFERROR(INDEX('Patrimônio Geral'!$C$7:$C$156,MATCH($A23,'Patrimônio Geral'!$A$7:$A$156,0)),"")</f>
        <v/>
      </c>
      <c r="C23" s="49">
        <f>IFERROR(INDEX('Patrimônio Geral'!$D$7:$D$156,MATCH($A23,'Patrimônio Geral'!$A$7:$A$156,0)),"")</f>
        <v/>
      </c>
      <c r="D23" s="49">
        <f>IFERROR(INDEX('Patrimônio Geral'!$G$7:$G$156,MATCH($A23,'Patrimônio Geral'!$A$7:$A$156,0)),"")</f>
        <v/>
      </c>
      <c r="E23" s="32" t="n"/>
      <c r="F23" s="50">
        <f>IFERROR(INDEX('Patrimônio Geral'!$K$7:$K$156,MATCH($A23,'Patrimônio Geral'!$A$7:$A$156,0)),"")</f>
        <v/>
      </c>
      <c r="G23" s="51" t="n"/>
      <c r="H23" s="51" t="n"/>
    </row>
    <row r="24" ht="20" customHeight="1">
      <c r="A24" s="30" t="n"/>
      <c r="B24" s="49">
        <f>IFERROR(INDEX('Patrimônio Geral'!$C$7:$C$156,MATCH($A24,'Patrimônio Geral'!$A$7:$A$156,0)),"")</f>
        <v/>
      </c>
      <c r="C24" s="49">
        <f>IFERROR(INDEX('Patrimônio Geral'!$D$7:$D$156,MATCH($A24,'Patrimônio Geral'!$A$7:$A$156,0)),"")</f>
        <v/>
      </c>
      <c r="D24" s="49">
        <f>IFERROR(INDEX('Patrimônio Geral'!$G$7:$G$156,MATCH($A24,'Patrimônio Geral'!$A$7:$A$156,0)),"")</f>
        <v/>
      </c>
      <c r="E24" s="32" t="n"/>
      <c r="F24" s="50">
        <f>IFERROR(INDEX('Patrimônio Geral'!$K$7:$K$156,MATCH($A24,'Patrimônio Geral'!$A$7:$A$156,0)),"")</f>
        <v/>
      </c>
      <c r="G24" s="51" t="n"/>
      <c r="H24" s="51" t="n"/>
    </row>
    <row r="25" ht="20" customHeight="1">
      <c r="A25" s="30" t="n"/>
      <c r="B25" s="49">
        <f>IFERROR(INDEX('Patrimônio Geral'!$C$7:$C$156,MATCH($A25,'Patrimônio Geral'!$A$7:$A$156,0)),"")</f>
        <v/>
      </c>
      <c r="C25" s="49">
        <f>IFERROR(INDEX('Patrimônio Geral'!$D$7:$D$156,MATCH($A25,'Patrimônio Geral'!$A$7:$A$156,0)),"")</f>
        <v/>
      </c>
      <c r="D25" s="49">
        <f>IFERROR(INDEX('Patrimônio Geral'!$G$7:$G$156,MATCH($A25,'Patrimônio Geral'!$A$7:$A$156,0)),"")</f>
        <v/>
      </c>
      <c r="E25" s="32" t="n"/>
      <c r="F25" s="50">
        <f>IFERROR(INDEX('Patrimônio Geral'!$K$7:$K$156,MATCH($A25,'Patrimônio Geral'!$A$7:$A$156,0)),"")</f>
        <v/>
      </c>
      <c r="G25" s="51" t="n"/>
      <c r="H25" s="51" t="n"/>
    </row>
    <row r="26" ht="20" customHeight="1">
      <c r="A26" s="30" t="n"/>
      <c r="B26" s="49">
        <f>IFERROR(INDEX('Patrimônio Geral'!$C$7:$C$156,MATCH($A26,'Patrimônio Geral'!$A$7:$A$156,0)),"")</f>
        <v/>
      </c>
      <c r="C26" s="49">
        <f>IFERROR(INDEX('Patrimônio Geral'!$D$7:$D$156,MATCH($A26,'Patrimônio Geral'!$A$7:$A$156,0)),"")</f>
        <v/>
      </c>
      <c r="D26" s="49">
        <f>IFERROR(INDEX('Patrimônio Geral'!$G$7:$G$156,MATCH($A26,'Patrimônio Geral'!$A$7:$A$156,0)),"")</f>
        <v/>
      </c>
      <c r="E26" s="32" t="n"/>
      <c r="F26" s="50">
        <f>IFERROR(INDEX('Patrimônio Geral'!$K$7:$K$156,MATCH($A26,'Patrimônio Geral'!$A$7:$A$156,0)),"")</f>
        <v/>
      </c>
      <c r="G26" s="51" t="n"/>
      <c r="H26" s="51" t="n"/>
    </row>
    <row r="27" ht="22" customHeight="1">
      <c r="A27" s="21" t="inlineStr">
        <is>
          <t>TOTAL DE REFERÊNCIA DOS ITENS ENTREGUES</t>
        </is>
      </c>
      <c r="F27" s="52">
        <f>SUM(F13:F26)</f>
        <v/>
      </c>
    </row>
    <row r="28" ht="15" customHeight="1">
      <c r="A28" s="53" t="inlineStr">
        <is>
          <t>O valor de referência serve apenas para identificar o bem. Não constitui caução, depósito, garantia nem autorização prévia de desconto.</t>
        </is>
      </c>
    </row>
    <row r="30" ht="20" customHeight="1">
      <c r="A30" s="5" t="inlineStr">
        <is>
          <t xml:space="preserve">  CONDIÇÕES</t>
        </is>
      </c>
    </row>
    <row r="31" ht="24" customHeight="1">
      <c r="A31" s="54" t="inlineStr">
        <is>
          <t>1.  OBJETO E NATUREZA — A COMODANTE entrega à COMODATÁRIA, em COMODATO GRATUITO, nos termos dos artigos 579 e seguintes do Código Civil, as ferramentas e equipamentos relacionados no quadro acima, que permanecem sendo de propriedade integral da COMODANTE.</t>
        </is>
      </c>
    </row>
    <row r="32" ht="24" customHeight="1">
      <c r="A32" s="54" t="inlineStr">
        <is>
          <t>2.  USO — Os itens destinam-se exclusivamente à execução dos serviços contratados. É vedado emprestá-los, sublocá-los, cedê-los ou aliená-los, sob qualquer título.</t>
        </is>
      </c>
    </row>
    <row r="33" ht="24" customHeight="1">
      <c r="A33" s="54" t="inlineStr">
        <is>
          <t>3.  GUARDA — Os itens NÃO podem ser levados para a residência da COMODATÁRIA. A guarda deve ocorrer nas dependências da COMODANTE ou no canteiro de obra, em local seguro indicado pela coordenação.</t>
        </is>
      </c>
    </row>
    <row r="34" ht="24" customHeight="1">
      <c r="A34" s="54" t="inlineStr">
        <is>
          <t>4.  CONSERVAÇÃO — A COMODATÁRIA obriga-se a conservar os itens como se seus fossem, respondendo pela guarda e pelo uso adequado, nos termos do art. 582 do Código Civil.</t>
        </is>
      </c>
    </row>
    <row r="35" ht="24" customHeight="1">
      <c r="A35" s="54" t="inlineStr">
        <is>
          <t>5.  DESGASTE NATURAL — O desgaste decorrente do uso normal e a manutenção preventiva correm por conta da COMODANTE, sem ônus para a COMODATÁRIA.</t>
        </is>
      </c>
    </row>
    <row r="36" ht="34.5" customHeight="1">
      <c r="A36" s="54" t="inlineStr">
        <is>
          <t>6.  DANO OU PERDA — Havendo dano por uso indevido, negligência ou perda, a COMODATÁRIA se compromete a REPOR o item por outro de mesma especificação e em estado equivalente, no prazo de 30 (trinta) dias, adquirindo-o por sua própria conta e da forma que lhe for mais conveniente.</t>
        </is>
      </c>
    </row>
    <row r="37" ht="24" customHeight="1">
      <c r="A37" s="54" t="inlineStr">
        <is>
          <t>7.  FURTO OU ROUBO — Em caso de furto ou roubo, a COMODATÁRIA deve comunicar imediatamente a coordenação e registrar Boletim de Ocorrência em até 48 (quarenta e oito) horas. Comprovado o fato, não haverá ônus de reposição.</t>
        </is>
      </c>
    </row>
    <row r="38" ht="24" customHeight="1">
      <c r="A38" s="54" t="inlineStr">
        <is>
          <t>8.  RESTITUIÇÃO — Os itens devem ser restituídos sempre que solicitados pela COMODANTE e, obrigatoriamente, ao término da prestação de serviços, mediante registro no quadro de devolução.</t>
        </is>
      </c>
    </row>
    <row r="39" ht="24" customHeight="1">
      <c r="A39" s="54" t="inlineStr">
        <is>
          <t>9.  REGISTRO FOTOGRÁFICO — O registro fotográfico do estado dos itens, feito na data da entrega, integra este termo para todos os efeitos.</t>
        </is>
      </c>
    </row>
    <row r="41" ht="20" customHeight="1">
      <c r="A41" s="5" t="inlineStr">
        <is>
          <t xml:space="preserve">  DECLARAÇÃO E ASSINATURAS</t>
        </is>
      </c>
    </row>
    <row r="42" ht="34" customHeight="1">
      <c r="A42" s="55" t="inlineStr">
        <is>
          <t>Declaro ter recebido os itens acima relacionados, conferido seu estado de conservação e estar ciente das condições deste termo, que assino em duas vias de igual teor. Fica a COMODATÁRIA responsável pela guarda e pelo uso adequado dos itens enquanto estiverem sob sua posse.</t>
        </is>
      </c>
    </row>
    <row r="44" ht="8" customHeight="1">
      <c r="A44" s="56" t="n"/>
      <c r="E44" s="56" t="n"/>
    </row>
    <row r="45">
      <c r="A45" s="57" t="inlineStr">
        <is>
          <t>Samuel</t>
        </is>
      </c>
      <c r="E45" s="57" t="inlineStr">
        <is>
          <t>Valvic Marcenaria — Vargas Decor Ltda</t>
        </is>
      </c>
    </row>
    <row r="46">
      <c r="A46" s="58" t="inlineStr">
        <is>
          <t>CNPJ</t>
        </is>
      </c>
      <c r="E46" s="58" t="inlineStr">
        <is>
          <t>Representante legal</t>
        </is>
      </c>
    </row>
    <row r="47" ht="24" customHeight="1">
      <c r="A47" s="59" t="inlineStr">
        <is>
          <t>Belo Horizonte / MG,  ______  de  ____________________  de  __________</t>
        </is>
      </c>
    </row>
    <row r="49" ht="20" customHeight="1">
      <c r="A49" s="5" t="inlineStr">
        <is>
          <t xml:space="preserve">  REGISTRO DE DEVOLUÇÃO          preencher no ato da devolução ou do desligamento</t>
        </is>
      </c>
    </row>
    <row r="50" ht="22" customHeight="1">
      <c r="A50" s="48" t="inlineStr">
        <is>
          <t>Data</t>
        </is>
      </c>
      <c r="B50" s="48" t="inlineStr">
        <is>
          <t>Itens devolvidos</t>
        </is>
      </c>
      <c r="C50" s="48" t="n"/>
      <c r="D50" s="48" t="inlineStr">
        <is>
          <t>Estado na devolução</t>
        </is>
      </c>
      <c r="E50" s="48" t="inlineStr">
        <is>
          <t>Pendências</t>
        </is>
      </c>
      <c r="F50" s="48" t="n"/>
      <c r="G50" s="48" t="inlineStr">
        <is>
          <t>Recebido por</t>
        </is>
      </c>
      <c r="H50" s="48" t="n"/>
    </row>
    <row r="51" ht="22" customHeight="1">
      <c r="A51" s="60" t="n"/>
      <c r="B51" s="31" t="n"/>
      <c r="C51" s="31" t="n"/>
      <c r="D51" s="31" t="n"/>
      <c r="E51" s="31" t="n"/>
      <c r="F51" s="31" t="n"/>
      <c r="G51" s="31" t="n"/>
      <c r="H51" s="31" t="n"/>
    </row>
    <row r="52" ht="22" customHeight="1">
      <c r="A52" s="60" t="n"/>
      <c r="B52" s="31" t="n"/>
      <c r="C52" s="31" t="n"/>
      <c r="D52" s="31" t="n"/>
      <c r="E52" s="31" t="n"/>
      <c r="F52" s="31" t="n"/>
      <c r="G52" s="31" t="n"/>
      <c r="H52" s="31" t="n"/>
    </row>
    <row r="53" ht="22" customHeight="1">
      <c r="A53" s="60" t="n"/>
      <c r="B53" s="31" t="n"/>
      <c r="C53" s="31" t="n"/>
      <c r="D53" s="31" t="n"/>
      <c r="E53" s="31" t="n"/>
      <c r="F53" s="31" t="n"/>
      <c r="G53" s="31" t="n"/>
      <c r="H53" s="31" t="n"/>
    </row>
    <row r="54" ht="15" customHeight="1">
      <c r="A54" s="61" t="inlineStr">
        <is>
          <t>Anexo obrigatório: registro fotográfico do estado dos itens na data da entrega. Sem o anexo, este termo não sustenta pedido de reposição.</t>
        </is>
      </c>
    </row>
  </sheetData>
  <mergeCells count="63">
    <mergeCell ref="F20:H20"/>
    <mergeCell ref="E50:F50"/>
    <mergeCell ref="E45:H45"/>
    <mergeCell ref="A30:H30"/>
    <mergeCell ref="A39:H39"/>
    <mergeCell ref="F21:H21"/>
    <mergeCell ref="G52:H52"/>
    <mergeCell ref="F18:H18"/>
    <mergeCell ref="A46:C46"/>
    <mergeCell ref="B8:D8"/>
    <mergeCell ref="F8:H8"/>
    <mergeCell ref="F26:H26"/>
    <mergeCell ref="A36:H36"/>
    <mergeCell ref="A11:H11"/>
    <mergeCell ref="F17:H17"/>
    <mergeCell ref="A49:H49"/>
    <mergeCell ref="A1:H1"/>
    <mergeCell ref="E52:F52"/>
    <mergeCell ref="A6:H6"/>
    <mergeCell ref="F23:H23"/>
    <mergeCell ref="B52:C52"/>
    <mergeCell ref="E51:F51"/>
    <mergeCell ref="F22:H22"/>
    <mergeCell ref="F13:H13"/>
    <mergeCell ref="F27:H27"/>
    <mergeCell ref="A54:H54"/>
    <mergeCell ref="B9:D9"/>
    <mergeCell ref="A41:H41"/>
    <mergeCell ref="G53:H53"/>
    <mergeCell ref="F9:H9"/>
    <mergeCell ref="A37:H37"/>
    <mergeCell ref="B53:C53"/>
    <mergeCell ref="A27:E27"/>
    <mergeCell ref="A3:H3"/>
    <mergeCell ref="A44:C44"/>
    <mergeCell ref="F14:H14"/>
    <mergeCell ref="A2:H2"/>
    <mergeCell ref="A42:H42"/>
    <mergeCell ref="E44:H44"/>
    <mergeCell ref="A33:H33"/>
    <mergeCell ref="A47:H47"/>
    <mergeCell ref="B7:D7"/>
    <mergeCell ref="A32:H32"/>
    <mergeCell ref="F25:H25"/>
    <mergeCell ref="A4:H4"/>
    <mergeCell ref="F16:H16"/>
    <mergeCell ref="G51:H51"/>
    <mergeCell ref="F19:H19"/>
    <mergeCell ref="A35:H35"/>
    <mergeCell ref="A45:C45"/>
    <mergeCell ref="A38:H38"/>
    <mergeCell ref="B51:C51"/>
    <mergeCell ref="A28:H28"/>
    <mergeCell ref="E46:H46"/>
    <mergeCell ref="G50:H50"/>
    <mergeCell ref="B50:C50"/>
    <mergeCell ref="F12:H12"/>
    <mergeCell ref="F7:H7"/>
    <mergeCell ref="E53:F53"/>
    <mergeCell ref="F15:H15"/>
    <mergeCell ref="A31:H31"/>
    <mergeCell ref="F24:H24"/>
    <mergeCell ref="A34:H34"/>
  </mergeCells>
  <dataValidations count="2">
    <dataValidation sqref="A13:A26" showDropDown="0" showInputMessage="0" showErrorMessage="0" allowBlank="1" type="list">
      <formula1>='Patrimônio Geral'!$A$7:$A$156</formula1>
    </dataValidation>
    <dataValidation sqref="E13:E26" showDropDown="0" showInputMessage="0" showErrorMessage="0" allowBlank="1" type="list">
      <formula1>=Listas!$J$2:$J$5</formula1>
    </dataValidation>
  </dataValidations>
  <pageMargins left="0.45" right="0.35" top="0.4" bottom="0.35" header="0.5" footer="0.5"/>
  <pageSetup orientation="portrait" paperSize="9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H54"/>
  <sheetViews>
    <sheetView showGridLines="0" workbookViewId="0">
      <selection activeCell="A1" sqref="A1"/>
    </sheetView>
  </sheetViews>
  <sheetFormatPr baseColWidth="8" defaultRowHeight="15"/>
  <cols>
    <col width="9" customWidth="1" min="1" max="1"/>
    <col width="34" customWidth="1" min="2" max="2"/>
    <col width="12" customWidth="1" min="3" max="3"/>
    <col width="15" customWidth="1" min="4" max="4"/>
    <col width="9" customWidth="1" min="5" max="5"/>
    <col width="6" customWidth="1" min="6" max="6"/>
    <col width="5" customWidth="1" min="7" max="7"/>
    <col width="6" customWidth="1" min="8" max="8"/>
  </cols>
  <sheetData>
    <row r="1" ht="26" customHeight="1">
      <c r="A1" s="1" t="inlineStr">
        <is>
          <t>VALVIC MARCENARIA</t>
        </is>
      </c>
    </row>
    <row r="2" ht="15" customHeight="1">
      <c r="A2" s="2" t="inlineStr">
        <is>
          <t>Vargas Decor Ltda   ·   CNPJ 17.269.304/0001-51   ·   Belo Horizonte / MG</t>
        </is>
      </c>
    </row>
    <row r="3" ht="28" customHeight="1">
      <c r="A3" s="3" t="inlineStr">
        <is>
          <t>TERMO DE COMODATO DE FERRAMENTAS</t>
        </is>
      </c>
    </row>
    <row r="4" ht="17" customHeight="1">
      <c r="A4" s="4" t="inlineStr">
        <is>
          <t>Ferramentas e equipamentos cedidos em comodato · prestador de serviços PJ</t>
        </is>
      </c>
    </row>
    <row r="6" ht="20" customHeight="1">
      <c r="A6" s="5" t="inlineStr">
        <is>
          <t xml:space="preserve">  IDENTIFICAÇÃO</t>
        </is>
      </c>
    </row>
    <row r="7" ht="21" customHeight="1">
      <c r="A7" s="45" t="inlineStr">
        <is>
          <t>Nome completo</t>
        </is>
      </c>
      <c r="B7" s="46" t="inlineStr">
        <is>
          <t>Jackson</t>
        </is>
      </c>
      <c r="E7" s="45" t="inlineStr">
        <is>
          <t>CPF / CNPJ</t>
        </is>
      </c>
      <c r="F7" s="47" t="inlineStr"/>
    </row>
    <row r="8" ht="21" customHeight="1">
      <c r="A8" s="45" t="inlineStr">
        <is>
          <t>Função</t>
        </is>
      </c>
      <c r="B8" s="46" t="inlineStr">
        <is>
          <t>Marceneiro Pleno</t>
        </is>
      </c>
      <c r="E8" s="45" t="inlineStr">
        <is>
          <t>Vínculo</t>
        </is>
      </c>
      <c r="F8" s="46" t="inlineStr">
        <is>
          <t>PJ</t>
        </is>
      </c>
    </row>
    <row r="9" ht="21" customHeight="1">
      <c r="A9" s="45" t="inlineStr">
        <is>
          <t>Data da entrega</t>
        </is>
      </c>
      <c r="B9" s="47" t="inlineStr"/>
      <c r="E9" s="45" t="inlineStr">
        <is>
          <t>Local de guarda</t>
        </is>
      </c>
      <c r="F9" s="46" t="inlineStr">
        <is>
          <t>Fábrica / canteiro de obra</t>
        </is>
      </c>
    </row>
    <row r="11" ht="20" customHeight="1">
      <c r="A11" s="5" t="inlineStr">
        <is>
          <t xml:space="preserve">  RELAÇÃO DE ITENS ENTREGUES          preencha o código — descrição, marca e valor vêm da aba Patrimônio Geral</t>
        </is>
      </c>
    </row>
    <row r="12" ht="24" customHeight="1">
      <c r="A12" s="48" t="inlineStr">
        <is>
          <t>Código</t>
        </is>
      </c>
      <c r="B12" s="48" t="inlineStr">
        <is>
          <t>Descrição do item</t>
        </is>
      </c>
      <c r="C12" s="48" t="inlineStr">
        <is>
          <t>Marca</t>
        </is>
      </c>
      <c r="D12" s="48" t="inlineStr">
        <is>
          <t>Etiqueta / nº série</t>
        </is>
      </c>
      <c r="E12" s="48" t="inlineStr">
        <is>
          <t>Estado</t>
        </is>
      </c>
      <c r="F12" s="48" t="inlineStr">
        <is>
          <t>Valor de referência</t>
        </is>
      </c>
      <c r="G12" s="48" t="n"/>
      <c r="H12" s="48" t="n"/>
    </row>
    <row r="13" ht="20" customHeight="1">
      <c r="A13" s="30" t="n"/>
      <c r="B13" s="49">
        <f>IFERROR(INDEX('Patrimônio Geral'!$C$7:$C$156,MATCH($A13,'Patrimônio Geral'!$A$7:$A$156,0)),"")</f>
        <v/>
      </c>
      <c r="C13" s="49">
        <f>IFERROR(INDEX('Patrimônio Geral'!$D$7:$D$156,MATCH($A13,'Patrimônio Geral'!$A$7:$A$156,0)),"")</f>
        <v/>
      </c>
      <c r="D13" s="49">
        <f>IFERROR(INDEX('Patrimônio Geral'!$G$7:$G$156,MATCH($A13,'Patrimônio Geral'!$A$7:$A$156,0)),"")</f>
        <v/>
      </c>
      <c r="E13" s="32" t="n"/>
      <c r="F13" s="50">
        <f>IFERROR(INDEX('Patrimônio Geral'!$K$7:$K$156,MATCH($A13,'Patrimônio Geral'!$A$7:$A$156,0)),"")</f>
        <v/>
      </c>
      <c r="G13" s="51" t="n"/>
      <c r="H13" s="51" t="n"/>
    </row>
    <row r="14" ht="20" customHeight="1">
      <c r="A14" s="30" t="n"/>
      <c r="B14" s="49">
        <f>IFERROR(INDEX('Patrimônio Geral'!$C$7:$C$156,MATCH($A14,'Patrimônio Geral'!$A$7:$A$156,0)),"")</f>
        <v/>
      </c>
      <c r="C14" s="49">
        <f>IFERROR(INDEX('Patrimônio Geral'!$D$7:$D$156,MATCH($A14,'Patrimônio Geral'!$A$7:$A$156,0)),"")</f>
        <v/>
      </c>
      <c r="D14" s="49">
        <f>IFERROR(INDEX('Patrimônio Geral'!$G$7:$G$156,MATCH($A14,'Patrimônio Geral'!$A$7:$A$156,0)),"")</f>
        <v/>
      </c>
      <c r="E14" s="32" t="n"/>
      <c r="F14" s="50">
        <f>IFERROR(INDEX('Patrimônio Geral'!$K$7:$K$156,MATCH($A14,'Patrimônio Geral'!$A$7:$A$156,0)),"")</f>
        <v/>
      </c>
      <c r="G14" s="51" t="n"/>
      <c r="H14" s="51" t="n"/>
    </row>
    <row r="15" ht="20" customHeight="1">
      <c r="A15" s="30" t="n"/>
      <c r="B15" s="49">
        <f>IFERROR(INDEX('Patrimônio Geral'!$C$7:$C$156,MATCH($A15,'Patrimônio Geral'!$A$7:$A$156,0)),"")</f>
        <v/>
      </c>
      <c r="C15" s="49">
        <f>IFERROR(INDEX('Patrimônio Geral'!$D$7:$D$156,MATCH($A15,'Patrimônio Geral'!$A$7:$A$156,0)),"")</f>
        <v/>
      </c>
      <c r="D15" s="49">
        <f>IFERROR(INDEX('Patrimônio Geral'!$G$7:$G$156,MATCH($A15,'Patrimônio Geral'!$A$7:$A$156,0)),"")</f>
        <v/>
      </c>
      <c r="E15" s="32" t="n"/>
      <c r="F15" s="50">
        <f>IFERROR(INDEX('Patrimônio Geral'!$K$7:$K$156,MATCH($A15,'Patrimônio Geral'!$A$7:$A$156,0)),"")</f>
        <v/>
      </c>
      <c r="G15" s="51" t="n"/>
      <c r="H15" s="51" t="n"/>
    </row>
    <row r="16" ht="20" customHeight="1">
      <c r="A16" s="30" t="n"/>
      <c r="B16" s="49">
        <f>IFERROR(INDEX('Patrimônio Geral'!$C$7:$C$156,MATCH($A16,'Patrimônio Geral'!$A$7:$A$156,0)),"")</f>
        <v/>
      </c>
      <c r="C16" s="49">
        <f>IFERROR(INDEX('Patrimônio Geral'!$D$7:$D$156,MATCH($A16,'Patrimônio Geral'!$A$7:$A$156,0)),"")</f>
        <v/>
      </c>
      <c r="D16" s="49">
        <f>IFERROR(INDEX('Patrimônio Geral'!$G$7:$G$156,MATCH($A16,'Patrimônio Geral'!$A$7:$A$156,0)),"")</f>
        <v/>
      </c>
      <c r="E16" s="32" t="n"/>
      <c r="F16" s="50">
        <f>IFERROR(INDEX('Patrimônio Geral'!$K$7:$K$156,MATCH($A16,'Patrimônio Geral'!$A$7:$A$156,0)),"")</f>
        <v/>
      </c>
      <c r="G16" s="51" t="n"/>
      <c r="H16" s="51" t="n"/>
    </row>
    <row r="17" ht="20" customHeight="1">
      <c r="A17" s="30" t="n"/>
      <c r="B17" s="49">
        <f>IFERROR(INDEX('Patrimônio Geral'!$C$7:$C$156,MATCH($A17,'Patrimônio Geral'!$A$7:$A$156,0)),"")</f>
        <v/>
      </c>
      <c r="C17" s="49">
        <f>IFERROR(INDEX('Patrimônio Geral'!$D$7:$D$156,MATCH($A17,'Patrimônio Geral'!$A$7:$A$156,0)),"")</f>
        <v/>
      </c>
      <c r="D17" s="49">
        <f>IFERROR(INDEX('Patrimônio Geral'!$G$7:$G$156,MATCH($A17,'Patrimônio Geral'!$A$7:$A$156,0)),"")</f>
        <v/>
      </c>
      <c r="E17" s="32" t="n"/>
      <c r="F17" s="50">
        <f>IFERROR(INDEX('Patrimônio Geral'!$K$7:$K$156,MATCH($A17,'Patrimônio Geral'!$A$7:$A$156,0)),"")</f>
        <v/>
      </c>
      <c r="G17" s="51" t="n"/>
      <c r="H17" s="51" t="n"/>
    </row>
    <row r="18" ht="20" customHeight="1">
      <c r="A18" s="30" t="n"/>
      <c r="B18" s="49">
        <f>IFERROR(INDEX('Patrimônio Geral'!$C$7:$C$156,MATCH($A18,'Patrimônio Geral'!$A$7:$A$156,0)),"")</f>
        <v/>
      </c>
      <c r="C18" s="49">
        <f>IFERROR(INDEX('Patrimônio Geral'!$D$7:$D$156,MATCH($A18,'Patrimônio Geral'!$A$7:$A$156,0)),"")</f>
        <v/>
      </c>
      <c r="D18" s="49">
        <f>IFERROR(INDEX('Patrimônio Geral'!$G$7:$G$156,MATCH($A18,'Patrimônio Geral'!$A$7:$A$156,0)),"")</f>
        <v/>
      </c>
      <c r="E18" s="32" t="n"/>
      <c r="F18" s="50">
        <f>IFERROR(INDEX('Patrimônio Geral'!$K$7:$K$156,MATCH($A18,'Patrimônio Geral'!$A$7:$A$156,0)),"")</f>
        <v/>
      </c>
      <c r="G18" s="51" t="n"/>
      <c r="H18" s="51" t="n"/>
    </row>
    <row r="19" ht="20" customHeight="1">
      <c r="A19" s="30" t="n"/>
      <c r="B19" s="49">
        <f>IFERROR(INDEX('Patrimônio Geral'!$C$7:$C$156,MATCH($A19,'Patrimônio Geral'!$A$7:$A$156,0)),"")</f>
        <v/>
      </c>
      <c r="C19" s="49">
        <f>IFERROR(INDEX('Patrimônio Geral'!$D$7:$D$156,MATCH($A19,'Patrimônio Geral'!$A$7:$A$156,0)),"")</f>
        <v/>
      </c>
      <c r="D19" s="49">
        <f>IFERROR(INDEX('Patrimônio Geral'!$G$7:$G$156,MATCH($A19,'Patrimônio Geral'!$A$7:$A$156,0)),"")</f>
        <v/>
      </c>
      <c r="E19" s="32" t="n"/>
      <c r="F19" s="50">
        <f>IFERROR(INDEX('Patrimônio Geral'!$K$7:$K$156,MATCH($A19,'Patrimônio Geral'!$A$7:$A$156,0)),"")</f>
        <v/>
      </c>
      <c r="G19" s="51" t="n"/>
      <c r="H19" s="51" t="n"/>
    </row>
    <row r="20" ht="20" customHeight="1">
      <c r="A20" s="30" t="n"/>
      <c r="B20" s="49">
        <f>IFERROR(INDEX('Patrimônio Geral'!$C$7:$C$156,MATCH($A20,'Patrimônio Geral'!$A$7:$A$156,0)),"")</f>
        <v/>
      </c>
      <c r="C20" s="49">
        <f>IFERROR(INDEX('Patrimônio Geral'!$D$7:$D$156,MATCH($A20,'Patrimônio Geral'!$A$7:$A$156,0)),"")</f>
        <v/>
      </c>
      <c r="D20" s="49">
        <f>IFERROR(INDEX('Patrimônio Geral'!$G$7:$G$156,MATCH($A20,'Patrimônio Geral'!$A$7:$A$156,0)),"")</f>
        <v/>
      </c>
      <c r="E20" s="32" t="n"/>
      <c r="F20" s="50">
        <f>IFERROR(INDEX('Patrimônio Geral'!$K$7:$K$156,MATCH($A20,'Patrimônio Geral'!$A$7:$A$156,0)),"")</f>
        <v/>
      </c>
      <c r="G20" s="51" t="n"/>
      <c r="H20" s="51" t="n"/>
    </row>
    <row r="21" ht="20" customHeight="1">
      <c r="A21" s="30" t="n"/>
      <c r="B21" s="49">
        <f>IFERROR(INDEX('Patrimônio Geral'!$C$7:$C$156,MATCH($A21,'Patrimônio Geral'!$A$7:$A$156,0)),"")</f>
        <v/>
      </c>
      <c r="C21" s="49">
        <f>IFERROR(INDEX('Patrimônio Geral'!$D$7:$D$156,MATCH($A21,'Patrimônio Geral'!$A$7:$A$156,0)),"")</f>
        <v/>
      </c>
      <c r="D21" s="49">
        <f>IFERROR(INDEX('Patrimônio Geral'!$G$7:$G$156,MATCH($A21,'Patrimônio Geral'!$A$7:$A$156,0)),"")</f>
        <v/>
      </c>
      <c r="E21" s="32" t="n"/>
      <c r="F21" s="50">
        <f>IFERROR(INDEX('Patrimônio Geral'!$K$7:$K$156,MATCH($A21,'Patrimônio Geral'!$A$7:$A$156,0)),"")</f>
        <v/>
      </c>
      <c r="G21" s="51" t="n"/>
      <c r="H21" s="51" t="n"/>
    </row>
    <row r="22" ht="20" customHeight="1">
      <c r="A22" s="30" t="n"/>
      <c r="B22" s="49">
        <f>IFERROR(INDEX('Patrimônio Geral'!$C$7:$C$156,MATCH($A22,'Patrimônio Geral'!$A$7:$A$156,0)),"")</f>
        <v/>
      </c>
      <c r="C22" s="49">
        <f>IFERROR(INDEX('Patrimônio Geral'!$D$7:$D$156,MATCH($A22,'Patrimônio Geral'!$A$7:$A$156,0)),"")</f>
        <v/>
      </c>
      <c r="D22" s="49">
        <f>IFERROR(INDEX('Patrimônio Geral'!$G$7:$G$156,MATCH($A22,'Patrimônio Geral'!$A$7:$A$156,0)),"")</f>
        <v/>
      </c>
      <c r="E22" s="32" t="n"/>
      <c r="F22" s="50">
        <f>IFERROR(INDEX('Patrimônio Geral'!$K$7:$K$156,MATCH($A22,'Patrimônio Geral'!$A$7:$A$156,0)),"")</f>
        <v/>
      </c>
      <c r="G22" s="51" t="n"/>
      <c r="H22" s="51" t="n"/>
    </row>
    <row r="23" ht="20" customHeight="1">
      <c r="A23" s="30" t="n"/>
      <c r="B23" s="49">
        <f>IFERROR(INDEX('Patrimônio Geral'!$C$7:$C$156,MATCH($A23,'Patrimônio Geral'!$A$7:$A$156,0)),"")</f>
        <v/>
      </c>
      <c r="C23" s="49">
        <f>IFERROR(INDEX('Patrimônio Geral'!$D$7:$D$156,MATCH($A23,'Patrimônio Geral'!$A$7:$A$156,0)),"")</f>
        <v/>
      </c>
      <c r="D23" s="49">
        <f>IFERROR(INDEX('Patrimônio Geral'!$G$7:$G$156,MATCH($A23,'Patrimônio Geral'!$A$7:$A$156,0)),"")</f>
        <v/>
      </c>
      <c r="E23" s="32" t="n"/>
      <c r="F23" s="50">
        <f>IFERROR(INDEX('Patrimônio Geral'!$K$7:$K$156,MATCH($A23,'Patrimônio Geral'!$A$7:$A$156,0)),"")</f>
        <v/>
      </c>
      <c r="G23" s="51" t="n"/>
      <c r="H23" s="51" t="n"/>
    </row>
    <row r="24" ht="20" customHeight="1">
      <c r="A24" s="30" t="n"/>
      <c r="B24" s="49">
        <f>IFERROR(INDEX('Patrimônio Geral'!$C$7:$C$156,MATCH($A24,'Patrimônio Geral'!$A$7:$A$156,0)),"")</f>
        <v/>
      </c>
      <c r="C24" s="49">
        <f>IFERROR(INDEX('Patrimônio Geral'!$D$7:$D$156,MATCH($A24,'Patrimônio Geral'!$A$7:$A$156,0)),"")</f>
        <v/>
      </c>
      <c r="D24" s="49">
        <f>IFERROR(INDEX('Patrimônio Geral'!$G$7:$G$156,MATCH($A24,'Patrimônio Geral'!$A$7:$A$156,0)),"")</f>
        <v/>
      </c>
      <c r="E24" s="32" t="n"/>
      <c r="F24" s="50">
        <f>IFERROR(INDEX('Patrimônio Geral'!$K$7:$K$156,MATCH($A24,'Patrimônio Geral'!$A$7:$A$156,0)),"")</f>
        <v/>
      </c>
      <c r="G24" s="51" t="n"/>
      <c r="H24" s="51" t="n"/>
    </row>
    <row r="25" ht="20" customHeight="1">
      <c r="A25" s="30" t="n"/>
      <c r="B25" s="49">
        <f>IFERROR(INDEX('Patrimônio Geral'!$C$7:$C$156,MATCH($A25,'Patrimônio Geral'!$A$7:$A$156,0)),"")</f>
        <v/>
      </c>
      <c r="C25" s="49">
        <f>IFERROR(INDEX('Patrimônio Geral'!$D$7:$D$156,MATCH($A25,'Patrimônio Geral'!$A$7:$A$156,0)),"")</f>
        <v/>
      </c>
      <c r="D25" s="49">
        <f>IFERROR(INDEX('Patrimônio Geral'!$G$7:$G$156,MATCH($A25,'Patrimônio Geral'!$A$7:$A$156,0)),"")</f>
        <v/>
      </c>
      <c r="E25" s="32" t="n"/>
      <c r="F25" s="50">
        <f>IFERROR(INDEX('Patrimônio Geral'!$K$7:$K$156,MATCH($A25,'Patrimônio Geral'!$A$7:$A$156,0)),"")</f>
        <v/>
      </c>
      <c r="G25" s="51" t="n"/>
      <c r="H25" s="51" t="n"/>
    </row>
    <row r="26" ht="20" customHeight="1">
      <c r="A26" s="30" t="n"/>
      <c r="B26" s="49">
        <f>IFERROR(INDEX('Patrimônio Geral'!$C$7:$C$156,MATCH($A26,'Patrimônio Geral'!$A$7:$A$156,0)),"")</f>
        <v/>
      </c>
      <c r="C26" s="49">
        <f>IFERROR(INDEX('Patrimônio Geral'!$D$7:$D$156,MATCH($A26,'Patrimônio Geral'!$A$7:$A$156,0)),"")</f>
        <v/>
      </c>
      <c r="D26" s="49">
        <f>IFERROR(INDEX('Patrimônio Geral'!$G$7:$G$156,MATCH($A26,'Patrimônio Geral'!$A$7:$A$156,0)),"")</f>
        <v/>
      </c>
      <c r="E26" s="32" t="n"/>
      <c r="F26" s="50">
        <f>IFERROR(INDEX('Patrimônio Geral'!$K$7:$K$156,MATCH($A26,'Patrimônio Geral'!$A$7:$A$156,0)),"")</f>
        <v/>
      </c>
      <c r="G26" s="51" t="n"/>
      <c r="H26" s="51" t="n"/>
    </row>
    <row r="27" ht="22" customHeight="1">
      <c r="A27" s="21" t="inlineStr">
        <is>
          <t>TOTAL DE REFERÊNCIA DOS ITENS ENTREGUES</t>
        </is>
      </c>
      <c r="F27" s="52">
        <f>SUM(F13:F26)</f>
        <v/>
      </c>
    </row>
    <row r="28" ht="15" customHeight="1">
      <c r="A28" s="53" t="inlineStr">
        <is>
          <t>O valor de referência serve apenas para identificar o bem. Não constitui caução, depósito, garantia nem autorização prévia de desconto.</t>
        </is>
      </c>
    </row>
    <row r="30" ht="20" customHeight="1">
      <c r="A30" s="5" t="inlineStr">
        <is>
          <t xml:space="preserve">  CONDIÇÕES</t>
        </is>
      </c>
    </row>
    <row r="31" ht="24" customHeight="1">
      <c r="A31" s="54" t="inlineStr">
        <is>
          <t>1.  OBJETO E NATUREZA — A COMODANTE entrega à COMODATÁRIA, em COMODATO GRATUITO, nos termos dos artigos 579 e seguintes do Código Civil, as ferramentas e equipamentos relacionados no quadro acima, que permanecem sendo de propriedade integral da COMODANTE.</t>
        </is>
      </c>
    </row>
    <row r="32" ht="24" customHeight="1">
      <c r="A32" s="54" t="inlineStr">
        <is>
          <t>2.  USO — Os itens destinam-se exclusivamente à execução dos serviços contratados. É vedado emprestá-los, sublocá-los, cedê-los ou aliená-los, sob qualquer título.</t>
        </is>
      </c>
    </row>
    <row r="33" ht="24" customHeight="1">
      <c r="A33" s="54" t="inlineStr">
        <is>
          <t>3.  GUARDA — Os itens NÃO podem ser levados para a residência da COMODATÁRIA. A guarda deve ocorrer nas dependências da COMODANTE ou no canteiro de obra, em local seguro indicado pela coordenação.</t>
        </is>
      </c>
    </row>
    <row r="34" ht="24" customHeight="1">
      <c r="A34" s="54" t="inlineStr">
        <is>
          <t>4.  CONSERVAÇÃO — A COMODATÁRIA obriga-se a conservar os itens como se seus fossem, respondendo pela guarda e pelo uso adequado, nos termos do art. 582 do Código Civil.</t>
        </is>
      </c>
    </row>
    <row r="35" ht="24" customHeight="1">
      <c r="A35" s="54" t="inlineStr">
        <is>
          <t>5.  DESGASTE NATURAL — O desgaste decorrente do uso normal e a manutenção preventiva correm por conta da COMODANTE, sem ônus para a COMODATÁRIA.</t>
        </is>
      </c>
    </row>
    <row r="36" ht="34.5" customHeight="1">
      <c r="A36" s="54" t="inlineStr">
        <is>
          <t>6.  DANO OU PERDA — Havendo dano por uso indevido, negligência ou perda, a COMODATÁRIA se compromete a REPOR o item por outro de mesma especificação e em estado equivalente, no prazo de 30 (trinta) dias, adquirindo-o por sua própria conta e da forma que lhe for mais conveniente.</t>
        </is>
      </c>
    </row>
    <row r="37" ht="24" customHeight="1">
      <c r="A37" s="54" t="inlineStr">
        <is>
          <t>7.  FURTO OU ROUBO — Em caso de furto ou roubo, a COMODATÁRIA deve comunicar imediatamente a coordenação e registrar Boletim de Ocorrência em até 48 (quarenta e oito) horas. Comprovado o fato, não haverá ônus de reposição.</t>
        </is>
      </c>
    </row>
    <row r="38" ht="24" customHeight="1">
      <c r="A38" s="54" t="inlineStr">
        <is>
          <t>8.  RESTITUIÇÃO — Os itens devem ser restituídos sempre que solicitados pela COMODANTE e, obrigatoriamente, ao término da prestação de serviços, mediante registro no quadro de devolução.</t>
        </is>
      </c>
    </row>
    <row r="39" ht="24" customHeight="1">
      <c r="A39" s="54" t="inlineStr">
        <is>
          <t>9.  REGISTRO FOTOGRÁFICO — O registro fotográfico do estado dos itens, feito na data da entrega, integra este termo para todos os efeitos.</t>
        </is>
      </c>
    </row>
    <row r="41" ht="20" customHeight="1">
      <c r="A41" s="5" t="inlineStr">
        <is>
          <t xml:space="preserve">  DECLARAÇÃO E ASSINATURAS</t>
        </is>
      </c>
    </row>
    <row r="42" ht="34" customHeight="1">
      <c r="A42" s="55" t="inlineStr">
        <is>
          <t>Declaro ter recebido os itens acima relacionados, conferido seu estado de conservação e estar ciente das condições deste termo, que assino em duas vias de igual teor. Fica a COMODATÁRIA responsável pela guarda e pelo uso adequado dos itens enquanto estiverem sob sua posse.</t>
        </is>
      </c>
    </row>
    <row r="44" ht="8" customHeight="1">
      <c r="A44" s="56" t="n"/>
      <c r="E44" s="56" t="n"/>
    </row>
    <row r="45">
      <c r="A45" s="57" t="inlineStr">
        <is>
          <t>Jackson</t>
        </is>
      </c>
      <c r="E45" s="57" t="inlineStr">
        <is>
          <t>Valvic Marcenaria — Vargas Decor Ltda</t>
        </is>
      </c>
    </row>
    <row r="46">
      <c r="A46" s="58" t="inlineStr">
        <is>
          <t>CNPJ</t>
        </is>
      </c>
      <c r="E46" s="58" t="inlineStr">
        <is>
          <t>Representante legal</t>
        </is>
      </c>
    </row>
    <row r="47" ht="24" customHeight="1">
      <c r="A47" s="59" t="inlineStr">
        <is>
          <t>Belo Horizonte / MG,  ______  de  ____________________  de  __________</t>
        </is>
      </c>
    </row>
    <row r="49" ht="20" customHeight="1">
      <c r="A49" s="5" t="inlineStr">
        <is>
          <t xml:space="preserve">  REGISTRO DE DEVOLUÇÃO          preencher no ato da devolução ou do desligamento</t>
        </is>
      </c>
    </row>
    <row r="50" ht="22" customHeight="1">
      <c r="A50" s="48" t="inlineStr">
        <is>
          <t>Data</t>
        </is>
      </c>
      <c r="B50" s="48" t="inlineStr">
        <is>
          <t>Itens devolvidos</t>
        </is>
      </c>
      <c r="C50" s="48" t="n"/>
      <c r="D50" s="48" t="inlineStr">
        <is>
          <t>Estado na devolução</t>
        </is>
      </c>
      <c r="E50" s="48" t="inlineStr">
        <is>
          <t>Pendências</t>
        </is>
      </c>
      <c r="F50" s="48" t="n"/>
      <c r="G50" s="48" t="inlineStr">
        <is>
          <t>Recebido por</t>
        </is>
      </c>
      <c r="H50" s="48" t="n"/>
    </row>
    <row r="51" ht="22" customHeight="1">
      <c r="A51" s="60" t="n"/>
      <c r="B51" s="31" t="n"/>
      <c r="C51" s="31" t="n"/>
      <c r="D51" s="31" t="n"/>
      <c r="E51" s="31" t="n"/>
      <c r="F51" s="31" t="n"/>
      <c r="G51" s="31" t="n"/>
      <c r="H51" s="31" t="n"/>
    </row>
    <row r="52" ht="22" customHeight="1">
      <c r="A52" s="60" t="n"/>
      <c r="B52" s="31" t="n"/>
      <c r="C52" s="31" t="n"/>
      <c r="D52" s="31" t="n"/>
      <c r="E52" s="31" t="n"/>
      <c r="F52" s="31" t="n"/>
      <c r="G52" s="31" t="n"/>
      <c r="H52" s="31" t="n"/>
    </row>
    <row r="53" ht="22" customHeight="1">
      <c r="A53" s="60" t="n"/>
      <c r="B53" s="31" t="n"/>
      <c r="C53" s="31" t="n"/>
      <c r="D53" s="31" t="n"/>
      <c r="E53" s="31" t="n"/>
      <c r="F53" s="31" t="n"/>
      <c r="G53" s="31" t="n"/>
      <c r="H53" s="31" t="n"/>
    </row>
    <row r="54" ht="15" customHeight="1">
      <c r="A54" s="61" t="inlineStr">
        <is>
          <t>Anexo obrigatório: registro fotográfico do estado dos itens na data da entrega. Sem o anexo, este termo não sustenta pedido de reposição.</t>
        </is>
      </c>
    </row>
  </sheetData>
  <mergeCells count="63">
    <mergeCell ref="F20:H20"/>
    <mergeCell ref="E50:F50"/>
    <mergeCell ref="E45:H45"/>
    <mergeCell ref="A30:H30"/>
    <mergeCell ref="A39:H39"/>
    <mergeCell ref="F21:H21"/>
    <mergeCell ref="G52:H52"/>
    <mergeCell ref="F18:H18"/>
    <mergeCell ref="A46:C46"/>
    <mergeCell ref="B8:D8"/>
    <mergeCell ref="F8:H8"/>
    <mergeCell ref="F26:H26"/>
    <mergeCell ref="A36:H36"/>
    <mergeCell ref="A11:H11"/>
    <mergeCell ref="F17:H17"/>
    <mergeCell ref="A49:H49"/>
    <mergeCell ref="A1:H1"/>
    <mergeCell ref="E52:F52"/>
    <mergeCell ref="A6:H6"/>
    <mergeCell ref="F23:H23"/>
    <mergeCell ref="B52:C52"/>
    <mergeCell ref="E51:F51"/>
    <mergeCell ref="F22:H22"/>
    <mergeCell ref="F13:H13"/>
    <mergeCell ref="F27:H27"/>
    <mergeCell ref="A54:H54"/>
    <mergeCell ref="B9:D9"/>
    <mergeCell ref="A41:H41"/>
    <mergeCell ref="G53:H53"/>
    <mergeCell ref="F9:H9"/>
    <mergeCell ref="A37:H37"/>
    <mergeCell ref="B53:C53"/>
    <mergeCell ref="A27:E27"/>
    <mergeCell ref="A3:H3"/>
    <mergeCell ref="A44:C44"/>
    <mergeCell ref="F14:H14"/>
    <mergeCell ref="A2:H2"/>
    <mergeCell ref="A42:H42"/>
    <mergeCell ref="E44:H44"/>
    <mergeCell ref="A33:H33"/>
    <mergeCell ref="A47:H47"/>
    <mergeCell ref="B7:D7"/>
    <mergeCell ref="A32:H32"/>
    <mergeCell ref="F25:H25"/>
    <mergeCell ref="A4:H4"/>
    <mergeCell ref="F16:H16"/>
    <mergeCell ref="G51:H51"/>
    <mergeCell ref="F19:H19"/>
    <mergeCell ref="A35:H35"/>
    <mergeCell ref="A45:C45"/>
    <mergeCell ref="A38:H38"/>
    <mergeCell ref="B51:C51"/>
    <mergeCell ref="A28:H28"/>
    <mergeCell ref="E46:H46"/>
    <mergeCell ref="G50:H50"/>
    <mergeCell ref="B50:C50"/>
    <mergeCell ref="F12:H12"/>
    <mergeCell ref="F7:H7"/>
    <mergeCell ref="E53:F53"/>
    <mergeCell ref="F15:H15"/>
    <mergeCell ref="A31:H31"/>
    <mergeCell ref="F24:H24"/>
    <mergeCell ref="A34:H34"/>
  </mergeCells>
  <dataValidations count="2">
    <dataValidation sqref="A13:A26" showDropDown="0" showInputMessage="0" showErrorMessage="0" allowBlank="1" type="list">
      <formula1>='Patrimônio Geral'!$A$7:$A$156</formula1>
    </dataValidation>
    <dataValidation sqref="E13:E26" showDropDown="0" showInputMessage="0" showErrorMessage="0" allowBlank="1" type="list">
      <formula1>=Listas!$J$2:$J$5</formula1>
    </dataValidation>
  </dataValidations>
  <pageMargins left="0.45" right="0.35" top="0.4" bottom="0.35" header="0.5" footer="0.5"/>
  <pageSetup orientation="portrait" paperSize="9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H54"/>
  <sheetViews>
    <sheetView showGridLines="0" workbookViewId="0">
      <selection activeCell="A1" sqref="A1"/>
    </sheetView>
  </sheetViews>
  <sheetFormatPr baseColWidth="8" defaultRowHeight="15"/>
  <cols>
    <col width="9" customWidth="1" min="1" max="1"/>
    <col width="34" customWidth="1" min="2" max="2"/>
    <col width="12" customWidth="1" min="3" max="3"/>
    <col width="15" customWidth="1" min="4" max="4"/>
    <col width="9" customWidth="1" min="5" max="5"/>
    <col width="6" customWidth="1" min="6" max="6"/>
    <col width="5" customWidth="1" min="7" max="7"/>
    <col width="6" customWidth="1" min="8" max="8"/>
  </cols>
  <sheetData>
    <row r="1" ht="26" customHeight="1">
      <c r="A1" s="1" t="inlineStr">
        <is>
          <t>VALVIC MARCENARIA</t>
        </is>
      </c>
    </row>
    <row r="2" ht="15" customHeight="1">
      <c r="A2" s="2" t="inlineStr">
        <is>
          <t>Vargas Decor Ltda   ·   CNPJ 17.269.304/0001-51   ·   Belo Horizonte / MG</t>
        </is>
      </c>
    </row>
    <row r="3" ht="28" customHeight="1">
      <c r="A3" s="3" t="inlineStr">
        <is>
          <t>TERMO DE ENTREGA E RESPONSABILIDADE</t>
        </is>
      </c>
    </row>
    <row r="4" ht="17" customHeight="1">
      <c r="A4" s="4" t="inlineStr">
        <is>
          <t>Ferramentas e equipamentos cedidos para uso profissional · vínculo CLT</t>
        </is>
      </c>
    </row>
    <row r="6" ht="20" customHeight="1">
      <c r="A6" s="5" t="inlineStr">
        <is>
          <t xml:space="preserve">  IDENTIFICAÇÃO</t>
        </is>
      </c>
    </row>
    <row r="7" ht="21" customHeight="1">
      <c r="A7" s="45" t="inlineStr">
        <is>
          <t>Nome completo</t>
        </is>
      </c>
      <c r="B7" s="46" t="inlineStr">
        <is>
          <t>Cezar</t>
        </is>
      </c>
      <c r="E7" s="45" t="inlineStr">
        <is>
          <t>CPF / CNPJ</t>
        </is>
      </c>
      <c r="F7" s="47" t="inlineStr"/>
    </row>
    <row r="8" ht="21" customHeight="1">
      <c r="A8" s="45" t="inlineStr">
        <is>
          <t>Função</t>
        </is>
      </c>
      <c r="B8" s="46" t="inlineStr">
        <is>
          <t>Marceneiro</t>
        </is>
      </c>
      <c r="E8" s="45" t="inlineStr">
        <is>
          <t>Vínculo</t>
        </is>
      </c>
      <c r="F8" s="46" t="inlineStr">
        <is>
          <t>CLT</t>
        </is>
      </c>
    </row>
    <row r="9" ht="21" customHeight="1">
      <c r="A9" s="45" t="inlineStr">
        <is>
          <t>Data da entrega</t>
        </is>
      </c>
      <c r="B9" s="47" t="inlineStr"/>
      <c r="E9" s="45" t="inlineStr">
        <is>
          <t>Local de guarda</t>
        </is>
      </c>
      <c r="F9" s="46" t="inlineStr">
        <is>
          <t>Fábrica / canteiro de obra</t>
        </is>
      </c>
    </row>
    <row r="11" ht="20" customHeight="1">
      <c r="A11" s="5" t="inlineStr">
        <is>
          <t xml:space="preserve">  RELAÇÃO DE ITENS ENTREGUES          preencha o código — descrição, marca e valor vêm da aba Patrimônio Geral</t>
        </is>
      </c>
    </row>
    <row r="12" ht="24" customHeight="1">
      <c r="A12" s="48" t="inlineStr">
        <is>
          <t>Código</t>
        </is>
      </c>
      <c r="B12" s="48" t="inlineStr">
        <is>
          <t>Descrição do item</t>
        </is>
      </c>
      <c r="C12" s="48" t="inlineStr">
        <is>
          <t>Marca</t>
        </is>
      </c>
      <c r="D12" s="48" t="inlineStr">
        <is>
          <t>Etiqueta / nº série</t>
        </is>
      </c>
      <c r="E12" s="48" t="inlineStr">
        <is>
          <t>Estado</t>
        </is>
      </c>
      <c r="F12" s="48" t="inlineStr">
        <is>
          <t>Valor de referência</t>
        </is>
      </c>
      <c r="G12" s="48" t="n"/>
      <c r="H12" s="48" t="n"/>
    </row>
    <row r="13" ht="20" customHeight="1">
      <c r="A13" s="30" t="n"/>
      <c r="B13" s="49">
        <f>IFERROR(INDEX('Patrimônio Geral'!$C$7:$C$156,MATCH($A13,'Patrimônio Geral'!$A$7:$A$156,0)),"")</f>
        <v/>
      </c>
      <c r="C13" s="49">
        <f>IFERROR(INDEX('Patrimônio Geral'!$D$7:$D$156,MATCH($A13,'Patrimônio Geral'!$A$7:$A$156,0)),"")</f>
        <v/>
      </c>
      <c r="D13" s="49">
        <f>IFERROR(INDEX('Patrimônio Geral'!$G$7:$G$156,MATCH($A13,'Patrimônio Geral'!$A$7:$A$156,0)),"")</f>
        <v/>
      </c>
      <c r="E13" s="32" t="n"/>
      <c r="F13" s="50">
        <f>IFERROR(INDEX('Patrimônio Geral'!$K$7:$K$156,MATCH($A13,'Patrimônio Geral'!$A$7:$A$156,0)),"")</f>
        <v/>
      </c>
      <c r="G13" s="51" t="n"/>
      <c r="H13" s="51" t="n"/>
    </row>
    <row r="14" ht="20" customHeight="1">
      <c r="A14" s="30" t="n"/>
      <c r="B14" s="49">
        <f>IFERROR(INDEX('Patrimônio Geral'!$C$7:$C$156,MATCH($A14,'Patrimônio Geral'!$A$7:$A$156,0)),"")</f>
        <v/>
      </c>
      <c r="C14" s="49">
        <f>IFERROR(INDEX('Patrimônio Geral'!$D$7:$D$156,MATCH($A14,'Patrimônio Geral'!$A$7:$A$156,0)),"")</f>
        <v/>
      </c>
      <c r="D14" s="49">
        <f>IFERROR(INDEX('Patrimônio Geral'!$G$7:$G$156,MATCH($A14,'Patrimônio Geral'!$A$7:$A$156,0)),"")</f>
        <v/>
      </c>
      <c r="E14" s="32" t="n"/>
      <c r="F14" s="50">
        <f>IFERROR(INDEX('Patrimônio Geral'!$K$7:$K$156,MATCH($A14,'Patrimônio Geral'!$A$7:$A$156,0)),"")</f>
        <v/>
      </c>
      <c r="G14" s="51" t="n"/>
      <c r="H14" s="51" t="n"/>
    </row>
    <row r="15" ht="20" customHeight="1">
      <c r="A15" s="30" t="n"/>
      <c r="B15" s="49">
        <f>IFERROR(INDEX('Patrimônio Geral'!$C$7:$C$156,MATCH($A15,'Patrimônio Geral'!$A$7:$A$156,0)),"")</f>
        <v/>
      </c>
      <c r="C15" s="49">
        <f>IFERROR(INDEX('Patrimônio Geral'!$D$7:$D$156,MATCH($A15,'Patrimônio Geral'!$A$7:$A$156,0)),"")</f>
        <v/>
      </c>
      <c r="D15" s="49">
        <f>IFERROR(INDEX('Patrimônio Geral'!$G$7:$G$156,MATCH($A15,'Patrimônio Geral'!$A$7:$A$156,0)),"")</f>
        <v/>
      </c>
      <c r="E15" s="32" t="n"/>
      <c r="F15" s="50">
        <f>IFERROR(INDEX('Patrimônio Geral'!$K$7:$K$156,MATCH($A15,'Patrimônio Geral'!$A$7:$A$156,0)),"")</f>
        <v/>
      </c>
      <c r="G15" s="51" t="n"/>
      <c r="H15" s="51" t="n"/>
    </row>
    <row r="16" ht="20" customHeight="1">
      <c r="A16" s="30" t="n"/>
      <c r="B16" s="49">
        <f>IFERROR(INDEX('Patrimônio Geral'!$C$7:$C$156,MATCH($A16,'Patrimônio Geral'!$A$7:$A$156,0)),"")</f>
        <v/>
      </c>
      <c r="C16" s="49">
        <f>IFERROR(INDEX('Patrimônio Geral'!$D$7:$D$156,MATCH($A16,'Patrimônio Geral'!$A$7:$A$156,0)),"")</f>
        <v/>
      </c>
      <c r="D16" s="49">
        <f>IFERROR(INDEX('Patrimônio Geral'!$G$7:$G$156,MATCH($A16,'Patrimônio Geral'!$A$7:$A$156,0)),"")</f>
        <v/>
      </c>
      <c r="E16" s="32" t="n"/>
      <c r="F16" s="50">
        <f>IFERROR(INDEX('Patrimônio Geral'!$K$7:$K$156,MATCH($A16,'Patrimônio Geral'!$A$7:$A$156,0)),"")</f>
        <v/>
      </c>
      <c r="G16" s="51" t="n"/>
      <c r="H16" s="51" t="n"/>
    </row>
    <row r="17" ht="20" customHeight="1">
      <c r="A17" s="30" t="n"/>
      <c r="B17" s="49">
        <f>IFERROR(INDEX('Patrimônio Geral'!$C$7:$C$156,MATCH($A17,'Patrimônio Geral'!$A$7:$A$156,0)),"")</f>
        <v/>
      </c>
      <c r="C17" s="49">
        <f>IFERROR(INDEX('Patrimônio Geral'!$D$7:$D$156,MATCH($A17,'Patrimônio Geral'!$A$7:$A$156,0)),"")</f>
        <v/>
      </c>
      <c r="D17" s="49">
        <f>IFERROR(INDEX('Patrimônio Geral'!$G$7:$G$156,MATCH($A17,'Patrimônio Geral'!$A$7:$A$156,0)),"")</f>
        <v/>
      </c>
      <c r="E17" s="32" t="n"/>
      <c r="F17" s="50">
        <f>IFERROR(INDEX('Patrimônio Geral'!$K$7:$K$156,MATCH($A17,'Patrimônio Geral'!$A$7:$A$156,0)),"")</f>
        <v/>
      </c>
      <c r="G17" s="51" t="n"/>
      <c r="H17" s="51" t="n"/>
    </row>
    <row r="18" ht="20" customHeight="1">
      <c r="A18" s="30" t="n"/>
      <c r="B18" s="49">
        <f>IFERROR(INDEX('Patrimônio Geral'!$C$7:$C$156,MATCH($A18,'Patrimônio Geral'!$A$7:$A$156,0)),"")</f>
        <v/>
      </c>
      <c r="C18" s="49">
        <f>IFERROR(INDEX('Patrimônio Geral'!$D$7:$D$156,MATCH($A18,'Patrimônio Geral'!$A$7:$A$156,0)),"")</f>
        <v/>
      </c>
      <c r="D18" s="49">
        <f>IFERROR(INDEX('Patrimônio Geral'!$G$7:$G$156,MATCH($A18,'Patrimônio Geral'!$A$7:$A$156,0)),"")</f>
        <v/>
      </c>
      <c r="E18" s="32" t="n"/>
      <c r="F18" s="50">
        <f>IFERROR(INDEX('Patrimônio Geral'!$K$7:$K$156,MATCH($A18,'Patrimônio Geral'!$A$7:$A$156,0)),"")</f>
        <v/>
      </c>
      <c r="G18" s="51" t="n"/>
      <c r="H18" s="51" t="n"/>
    </row>
    <row r="19" ht="20" customHeight="1">
      <c r="A19" s="30" t="n"/>
      <c r="B19" s="49">
        <f>IFERROR(INDEX('Patrimônio Geral'!$C$7:$C$156,MATCH($A19,'Patrimônio Geral'!$A$7:$A$156,0)),"")</f>
        <v/>
      </c>
      <c r="C19" s="49">
        <f>IFERROR(INDEX('Patrimônio Geral'!$D$7:$D$156,MATCH($A19,'Patrimônio Geral'!$A$7:$A$156,0)),"")</f>
        <v/>
      </c>
      <c r="D19" s="49">
        <f>IFERROR(INDEX('Patrimônio Geral'!$G$7:$G$156,MATCH($A19,'Patrimônio Geral'!$A$7:$A$156,0)),"")</f>
        <v/>
      </c>
      <c r="E19" s="32" t="n"/>
      <c r="F19" s="50">
        <f>IFERROR(INDEX('Patrimônio Geral'!$K$7:$K$156,MATCH($A19,'Patrimônio Geral'!$A$7:$A$156,0)),"")</f>
        <v/>
      </c>
      <c r="G19" s="51" t="n"/>
      <c r="H19" s="51" t="n"/>
    </row>
    <row r="20" ht="20" customHeight="1">
      <c r="A20" s="30" t="n"/>
      <c r="B20" s="49">
        <f>IFERROR(INDEX('Patrimônio Geral'!$C$7:$C$156,MATCH($A20,'Patrimônio Geral'!$A$7:$A$156,0)),"")</f>
        <v/>
      </c>
      <c r="C20" s="49">
        <f>IFERROR(INDEX('Patrimônio Geral'!$D$7:$D$156,MATCH($A20,'Patrimônio Geral'!$A$7:$A$156,0)),"")</f>
        <v/>
      </c>
      <c r="D20" s="49">
        <f>IFERROR(INDEX('Patrimônio Geral'!$G$7:$G$156,MATCH($A20,'Patrimônio Geral'!$A$7:$A$156,0)),"")</f>
        <v/>
      </c>
      <c r="E20" s="32" t="n"/>
      <c r="F20" s="50">
        <f>IFERROR(INDEX('Patrimônio Geral'!$K$7:$K$156,MATCH($A20,'Patrimônio Geral'!$A$7:$A$156,0)),"")</f>
        <v/>
      </c>
      <c r="G20" s="51" t="n"/>
      <c r="H20" s="51" t="n"/>
    </row>
    <row r="21" ht="20" customHeight="1">
      <c r="A21" s="30" t="n"/>
      <c r="B21" s="49">
        <f>IFERROR(INDEX('Patrimônio Geral'!$C$7:$C$156,MATCH($A21,'Patrimônio Geral'!$A$7:$A$156,0)),"")</f>
        <v/>
      </c>
      <c r="C21" s="49">
        <f>IFERROR(INDEX('Patrimônio Geral'!$D$7:$D$156,MATCH($A21,'Patrimônio Geral'!$A$7:$A$156,0)),"")</f>
        <v/>
      </c>
      <c r="D21" s="49">
        <f>IFERROR(INDEX('Patrimônio Geral'!$G$7:$G$156,MATCH($A21,'Patrimônio Geral'!$A$7:$A$156,0)),"")</f>
        <v/>
      </c>
      <c r="E21" s="32" t="n"/>
      <c r="F21" s="50">
        <f>IFERROR(INDEX('Patrimônio Geral'!$K$7:$K$156,MATCH($A21,'Patrimônio Geral'!$A$7:$A$156,0)),"")</f>
        <v/>
      </c>
      <c r="G21" s="51" t="n"/>
      <c r="H21" s="51" t="n"/>
    </row>
    <row r="22" ht="20" customHeight="1">
      <c r="A22" s="30" t="n"/>
      <c r="B22" s="49">
        <f>IFERROR(INDEX('Patrimônio Geral'!$C$7:$C$156,MATCH($A22,'Patrimônio Geral'!$A$7:$A$156,0)),"")</f>
        <v/>
      </c>
      <c r="C22" s="49">
        <f>IFERROR(INDEX('Patrimônio Geral'!$D$7:$D$156,MATCH($A22,'Patrimônio Geral'!$A$7:$A$156,0)),"")</f>
        <v/>
      </c>
      <c r="D22" s="49">
        <f>IFERROR(INDEX('Patrimônio Geral'!$G$7:$G$156,MATCH($A22,'Patrimônio Geral'!$A$7:$A$156,0)),"")</f>
        <v/>
      </c>
      <c r="E22" s="32" t="n"/>
      <c r="F22" s="50">
        <f>IFERROR(INDEX('Patrimônio Geral'!$K$7:$K$156,MATCH($A22,'Patrimônio Geral'!$A$7:$A$156,0)),"")</f>
        <v/>
      </c>
      <c r="G22" s="51" t="n"/>
      <c r="H22" s="51" t="n"/>
    </row>
    <row r="23" ht="20" customHeight="1">
      <c r="A23" s="30" t="n"/>
      <c r="B23" s="49">
        <f>IFERROR(INDEX('Patrimônio Geral'!$C$7:$C$156,MATCH($A23,'Patrimônio Geral'!$A$7:$A$156,0)),"")</f>
        <v/>
      </c>
      <c r="C23" s="49">
        <f>IFERROR(INDEX('Patrimônio Geral'!$D$7:$D$156,MATCH($A23,'Patrimônio Geral'!$A$7:$A$156,0)),"")</f>
        <v/>
      </c>
      <c r="D23" s="49">
        <f>IFERROR(INDEX('Patrimônio Geral'!$G$7:$G$156,MATCH($A23,'Patrimônio Geral'!$A$7:$A$156,0)),"")</f>
        <v/>
      </c>
      <c r="E23" s="32" t="n"/>
      <c r="F23" s="50">
        <f>IFERROR(INDEX('Patrimônio Geral'!$K$7:$K$156,MATCH($A23,'Patrimônio Geral'!$A$7:$A$156,0)),"")</f>
        <v/>
      </c>
      <c r="G23" s="51" t="n"/>
      <c r="H23" s="51" t="n"/>
    </row>
    <row r="24" ht="20" customHeight="1">
      <c r="A24" s="30" t="n"/>
      <c r="B24" s="49">
        <f>IFERROR(INDEX('Patrimônio Geral'!$C$7:$C$156,MATCH($A24,'Patrimônio Geral'!$A$7:$A$156,0)),"")</f>
        <v/>
      </c>
      <c r="C24" s="49">
        <f>IFERROR(INDEX('Patrimônio Geral'!$D$7:$D$156,MATCH($A24,'Patrimônio Geral'!$A$7:$A$156,0)),"")</f>
        <v/>
      </c>
      <c r="D24" s="49">
        <f>IFERROR(INDEX('Patrimônio Geral'!$G$7:$G$156,MATCH($A24,'Patrimônio Geral'!$A$7:$A$156,0)),"")</f>
        <v/>
      </c>
      <c r="E24" s="32" t="n"/>
      <c r="F24" s="50">
        <f>IFERROR(INDEX('Patrimônio Geral'!$K$7:$K$156,MATCH($A24,'Patrimônio Geral'!$A$7:$A$156,0)),"")</f>
        <v/>
      </c>
      <c r="G24" s="51" t="n"/>
      <c r="H24" s="51" t="n"/>
    </row>
    <row r="25" ht="20" customHeight="1">
      <c r="A25" s="30" t="n"/>
      <c r="B25" s="49">
        <f>IFERROR(INDEX('Patrimônio Geral'!$C$7:$C$156,MATCH($A25,'Patrimônio Geral'!$A$7:$A$156,0)),"")</f>
        <v/>
      </c>
      <c r="C25" s="49">
        <f>IFERROR(INDEX('Patrimônio Geral'!$D$7:$D$156,MATCH($A25,'Patrimônio Geral'!$A$7:$A$156,0)),"")</f>
        <v/>
      </c>
      <c r="D25" s="49">
        <f>IFERROR(INDEX('Patrimônio Geral'!$G$7:$G$156,MATCH($A25,'Patrimônio Geral'!$A$7:$A$156,0)),"")</f>
        <v/>
      </c>
      <c r="E25" s="32" t="n"/>
      <c r="F25" s="50">
        <f>IFERROR(INDEX('Patrimônio Geral'!$K$7:$K$156,MATCH($A25,'Patrimônio Geral'!$A$7:$A$156,0)),"")</f>
        <v/>
      </c>
      <c r="G25" s="51" t="n"/>
      <c r="H25" s="51" t="n"/>
    </row>
    <row r="26" ht="20" customHeight="1">
      <c r="A26" s="30" t="n"/>
      <c r="B26" s="49">
        <f>IFERROR(INDEX('Patrimônio Geral'!$C$7:$C$156,MATCH($A26,'Patrimônio Geral'!$A$7:$A$156,0)),"")</f>
        <v/>
      </c>
      <c r="C26" s="49">
        <f>IFERROR(INDEX('Patrimônio Geral'!$D$7:$D$156,MATCH($A26,'Patrimônio Geral'!$A$7:$A$156,0)),"")</f>
        <v/>
      </c>
      <c r="D26" s="49">
        <f>IFERROR(INDEX('Patrimônio Geral'!$G$7:$G$156,MATCH($A26,'Patrimônio Geral'!$A$7:$A$156,0)),"")</f>
        <v/>
      </c>
      <c r="E26" s="32" t="n"/>
      <c r="F26" s="50">
        <f>IFERROR(INDEX('Patrimônio Geral'!$K$7:$K$156,MATCH($A26,'Patrimônio Geral'!$A$7:$A$156,0)),"")</f>
        <v/>
      </c>
      <c r="G26" s="51" t="n"/>
      <c r="H26" s="51" t="n"/>
    </row>
    <row r="27" ht="22" customHeight="1">
      <c r="A27" s="21" t="inlineStr">
        <is>
          <t>TOTAL DE REFERÊNCIA DOS ITENS ENTREGUES</t>
        </is>
      </c>
      <c r="F27" s="52">
        <f>SUM(F13:F26)</f>
        <v/>
      </c>
    </row>
    <row r="28" ht="15" customHeight="1">
      <c r="A28" s="53" t="inlineStr">
        <is>
          <t>O valor de referência serve apenas para identificar o bem. Não constitui caução, depósito, garantia nem autorização prévia de desconto.</t>
        </is>
      </c>
    </row>
    <row r="30" ht="20" customHeight="1">
      <c r="A30" s="5" t="inlineStr">
        <is>
          <t xml:space="preserve">  CONDIÇÕES</t>
        </is>
      </c>
    </row>
    <row r="31" ht="24" customHeight="1">
      <c r="A31" s="54" t="inlineStr">
        <is>
          <t>1.  OBJETO — A EMPRESA entrega ao COLABORADOR, em caráter de cessão para uso exclusivamente profissional, as ferramentas e equipamentos relacionados no quadro acima, que permanecem sendo de propriedade integral da EMPRESA.</t>
        </is>
      </c>
    </row>
    <row r="32" ht="24" customHeight="1">
      <c r="A32" s="54" t="inlineStr">
        <is>
          <t>2.  USO — Os itens destinam-se exclusivamente à execução das atividades de trabalho. É vedado emprestá-los, cedê-los, aliená-los ou utilizá-los em serviços particulares ou para terceiros.</t>
        </is>
      </c>
    </row>
    <row r="33" ht="24" customHeight="1">
      <c r="A33" s="54" t="inlineStr">
        <is>
          <t>3.  GUARDA — Os itens NÃO podem ser levados para a residência do COLABORADOR. A guarda deve ocorrer nas dependências da EMPRESA ou no canteiro de obra, em local seguro indicado pela coordenação.</t>
        </is>
      </c>
    </row>
    <row r="34" ht="24" customHeight="1">
      <c r="A34" s="54" t="inlineStr">
        <is>
          <t>4.  DESGASTE NATURAL — O desgaste decorrente do uso normal e a manutenção preventiva correm por conta da EMPRESA, sem qualquer ônus para o COLABORADOR.</t>
        </is>
      </c>
    </row>
    <row r="35" ht="46" customHeight="1">
      <c r="A35" s="54" t="inlineStr">
        <is>
          <t>5.  DANO POR USO INDEVIDO — Havendo dano decorrente de uso indevido, imprudência ou negligência comprovada, o COLABORADOR se compromete a REPOR o item por outro de mesma especificação e em estado equivalente, no prazo de 30 (trinta) dias, adquirindo-o por sua própria conta e da forma que lhe for mais conveniente. Não havendo reposição no prazo, e MEDIANTE AUTORIZAÇÃO EXPRESSA E ESPECÍFICA do COLABORADOR, o valor poderá ser descontado em folha, nos termos do art. 462, §1º, da CLT.</t>
        </is>
      </c>
    </row>
    <row r="36" ht="24" customHeight="1">
      <c r="A36" s="54" t="inlineStr">
        <is>
          <t>6.  FURTO OU ROUBO — Em caso de furto ou roubo, o COLABORADOR deve comunicar imediatamente a coordenação e registrar Boletim de Ocorrência em até 48 (quarenta e oito) horas. Comprovado o fato, não haverá qualquer ônus para o COLABORADOR.</t>
        </is>
      </c>
    </row>
    <row r="37" ht="24" customHeight="1">
      <c r="A37" s="54" t="inlineStr">
        <is>
          <t>7.  EXTRAVIO — O extravio sem registro de Boletim de Ocorrência equipara-se, para os efeitos deste termo, ao dano por negligência previsto na cláusula 5.</t>
        </is>
      </c>
    </row>
    <row r="38" ht="24" customHeight="1">
      <c r="A38" s="54" t="inlineStr">
        <is>
          <t>8.  DEVOLUÇÃO — Os itens devem ser devolvidos sempre que solicitados pela EMPRESA e, obrigatoriamente, no ato do desligamento, mediante registro no quadro de devolução deste termo.</t>
        </is>
      </c>
    </row>
    <row r="39" ht="24" customHeight="1">
      <c r="A39" s="54" t="inlineStr">
        <is>
          <t>9.  REGISTRO FOTOGRÁFICO — O registro fotográfico do estado dos itens, feito na data da entrega, integra este termo para todos os efeitos.</t>
        </is>
      </c>
    </row>
    <row r="41" ht="20" customHeight="1">
      <c r="A41" s="5" t="inlineStr">
        <is>
          <t xml:space="preserve">  DECLARAÇÃO E ASSINATURAS</t>
        </is>
      </c>
    </row>
    <row r="42" ht="34" customHeight="1">
      <c r="A42" s="55" t="inlineStr">
        <is>
          <t>Declaro ter recebido os itens acima relacionados, conferido seu estado de conservação e estar ciente das condições deste termo, que assino em duas vias de igual teor. Fica o COLABORADOR responsável pela guarda e pelo uso adequado dos itens enquanto estiverem sob sua posse.</t>
        </is>
      </c>
    </row>
    <row r="44" ht="8" customHeight="1">
      <c r="A44" s="56" t="n"/>
      <c r="E44" s="56" t="n"/>
    </row>
    <row r="45">
      <c r="A45" s="57" t="inlineStr">
        <is>
          <t>Cezar</t>
        </is>
      </c>
      <c r="E45" s="57" t="inlineStr">
        <is>
          <t>Valvic Marcenaria — Vargas Decor Ltda</t>
        </is>
      </c>
    </row>
    <row r="46">
      <c r="A46" s="58" t="inlineStr">
        <is>
          <t>CPF / CNPJ</t>
        </is>
      </c>
      <c r="E46" s="58" t="inlineStr">
        <is>
          <t>Representante legal</t>
        </is>
      </c>
    </row>
    <row r="47" ht="24" customHeight="1">
      <c r="A47" s="59" t="inlineStr">
        <is>
          <t>Belo Horizonte / MG,  ______  de  ____________________  de  __________</t>
        </is>
      </c>
    </row>
    <row r="49" ht="20" customHeight="1">
      <c r="A49" s="5" t="inlineStr">
        <is>
          <t xml:space="preserve">  REGISTRO DE DEVOLUÇÃO          preencher no ato da devolução ou do desligamento</t>
        </is>
      </c>
    </row>
    <row r="50" ht="22" customHeight="1">
      <c r="A50" s="48" t="inlineStr">
        <is>
          <t>Data</t>
        </is>
      </c>
      <c r="B50" s="48" t="inlineStr">
        <is>
          <t>Itens devolvidos</t>
        </is>
      </c>
      <c r="C50" s="48" t="n"/>
      <c r="D50" s="48" t="inlineStr">
        <is>
          <t>Estado na devolução</t>
        </is>
      </c>
      <c r="E50" s="48" t="inlineStr">
        <is>
          <t>Pendências</t>
        </is>
      </c>
      <c r="F50" s="48" t="n"/>
      <c r="G50" s="48" t="inlineStr">
        <is>
          <t>Recebido por</t>
        </is>
      </c>
      <c r="H50" s="48" t="n"/>
    </row>
    <row r="51" ht="22" customHeight="1">
      <c r="A51" s="60" t="n"/>
      <c r="B51" s="31" t="n"/>
      <c r="C51" s="31" t="n"/>
      <c r="D51" s="31" t="n"/>
      <c r="E51" s="31" t="n"/>
      <c r="F51" s="31" t="n"/>
      <c r="G51" s="31" t="n"/>
      <c r="H51" s="31" t="n"/>
    </row>
    <row r="52" ht="22" customHeight="1">
      <c r="A52" s="60" t="n"/>
      <c r="B52" s="31" t="n"/>
      <c r="C52" s="31" t="n"/>
      <c r="D52" s="31" t="n"/>
      <c r="E52" s="31" t="n"/>
      <c r="F52" s="31" t="n"/>
      <c r="G52" s="31" t="n"/>
      <c r="H52" s="31" t="n"/>
    </row>
    <row r="53" ht="22" customHeight="1">
      <c r="A53" s="60" t="n"/>
      <c r="B53" s="31" t="n"/>
      <c r="C53" s="31" t="n"/>
      <c r="D53" s="31" t="n"/>
      <c r="E53" s="31" t="n"/>
      <c r="F53" s="31" t="n"/>
      <c r="G53" s="31" t="n"/>
      <c r="H53" s="31" t="n"/>
    </row>
    <row r="54" ht="15" customHeight="1">
      <c r="A54" s="61" t="inlineStr">
        <is>
          <t>Anexo obrigatório: registro fotográfico do estado dos itens na data da entrega. Sem o anexo, este termo não sustenta pedido de reposição.</t>
        </is>
      </c>
    </row>
  </sheetData>
  <mergeCells count="63">
    <mergeCell ref="F20:H20"/>
    <mergeCell ref="E50:F50"/>
    <mergeCell ref="E45:H45"/>
    <mergeCell ref="A30:H30"/>
    <mergeCell ref="A39:H39"/>
    <mergeCell ref="F21:H21"/>
    <mergeCell ref="G52:H52"/>
    <mergeCell ref="F18:H18"/>
    <mergeCell ref="A46:C46"/>
    <mergeCell ref="B8:D8"/>
    <mergeCell ref="F8:H8"/>
    <mergeCell ref="F26:H26"/>
    <mergeCell ref="A36:H36"/>
    <mergeCell ref="A11:H11"/>
    <mergeCell ref="F17:H17"/>
    <mergeCell ref="A49:H49"/>
    <mergeCell ref="A1:H1"/>
    <mergeCell ref="E52:F52"/>
    <mergeCell ref="A6:H6"/>
    <mergeCell ref="F23:H23"/>
    <mergeCell ref="B52:C52"/>
    <mergeCell ref="E51:F51"/>
    <mergeCell ref="F22:H22"/>
    <mergeCell ref="F13:H13"/>
    <mergeCell ref="F27:H27"/>
    <mergeCell ref="A54:H54"/>
    <mergeCell ref="B9:D9"/>
    <mergeCell ref="A41:H41"/>
    <mergeCell ref="G53:H53"/>
    <mergeCell ref="F9:H9"/>
    <mergeCell ref="A37:H37"/>
    <mergeCell ref="B53:C53"/>
    <mergeCell ref="A27:E27"/>
    <mergeCell ref="A3:H3"/>
    <mergeCell ref="A44:C44"/>
    <mergeCell ref="F14:H14"/>
    <mergeCell ref="A2:H2"/>
    <mergeCell ref="A42:H42"/>
    <mergeCell ref="E44:H44"/>
    <mergeCell ref="A33:H33"/>
    <mergeCell ref="A47:H47"/>
    <mergeCell ref="B7:D7"/>
    <mergeCell ref="A32:H32"/>
    <mergeCell ref="F25:H25"/>
    <mergeCell ref="A4:H4"/>
    <mergeCell ref="F16:H16"/>
    <mergeCell ref="G51:H51"/>
    <mergeCell ref="F19:H19"/>
    <mergeCell ref="A35:H35"/>
    <mergeCell ref="A45:C45"/>
    <mergeCell ref="A38:H38"/>
    <mergeCell ref="B51:C51"/>
    <mergeCell ref="A28:H28"/>
    <mergeCell ref="E46:H46"/>
    <mergeCell ref="G50:H50"/>
    <mergeCell ref="B50:C50"/>
    <mergeCell ref="F12:H12"/>
    <mergeCell ref="F7:H7"/>
    <mergeCell ref="E53:F53"/>
    <mergeCell ref="F15:H15"/>
    <mergeCell ref="A31:H31"/>
    <mergeCell ref="F24:H24"/>
    <mergeCell ref="A34:H34"/>
  </mergeCells>
  <dataValidations count="2">
    <dataValidation sqref="A13:A26" showDropDown="0" showInputMessage="0" showErrorMessage="0" allowBlank="1" type="list">
      <formula1>='Patrimônio Geral'!$A$7:$A$156</formula1>
    </dataValidation>
    <dataValidation sqref="E13:E26" showDropDown="0" showInputMessage="0" showErrorMessage="0" allowBlank="1" type="list">
      <formula1>=Listas!$J$2:$J$5</formula1>
    </dataValidation>
  </dataValidations>
  <pageMargins left="0.45" right="0.35" top="0.4" bottom="0.35" header="0.5" footer="0.5"/>
  <pageSetup orientation="portrait" paperSize="9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H54"/>
  <sheetViews>
    <sheetView showGridLines="0" workbookViewId="0">
      <selection activeCell="A1" sqref="A1"/>
    </sheetView>
  </sheetViews>
  <sheetFormatPr baseColWidth="8" defaultRowHeight="15"/>
  <cols>
    <col width="9" customWidth="1" min="1" max="1"/>
    <col width="34" customWidth="1" min="2" max="2"/>
    <col width="12" customWidth="1" min="3" max="3"/>
    <col width="15" customWidth="1" min="4" max="4"/>
    <col width="9" customWidth="1" min="5" max="5"/>
    <col width="6" customWidth="1" min="6" max="6"/>
    <col width="5" customWidth="1" min="7" max="7"/>
    <col width="6" customWidth="1" min="8" max="8"/>
  </cols>
  <sheetData>
    <row r="1" ht="26" customHeight="1">
      <c r="A1" s="1" t="inlineStr">
        <is>
          <t>VALVIC MARCENARIA</t>
        </is>
      </c>
    </row>
    <row r="2" ht="15" customHeight="1">
      <c r="A2" s="2" t="inlineStr">
        <is>
          <t>Vargas Decor Ltda   ·   CNPJ 17.269.304/0001-51   ·   Belo Horizonte / MG</t>
        </is>
      </c>
    </row>
    <row r="3" ht="28" customHeight="1">
      <c r="A3" s="3" t="inlineStr">
        <is>
          <t>TERMO DE ENTREGA E RESPONSABILIDADE</t>
        </is>
      </c>
    </row>
    <row r="4" ht="17" customHeight="1">
      <c r="A4" s="4" t="inlineStr">
        <is>
          <t>Ferramentas e equipamentos cedidos para uso profissional · vínculo CLT</t>
        </is>
      </c>
    </row>
    <row r="6" ht="20" customHeight="1">
      <c r="A6" s="5" t="inlineStr">
        <is>
          <t xml:space="preserve">  IDENTIFICAÇÃO</t>
        </is>
      </c>
    </row>
    <row r="7" ht="21" customHeight="1">
      <c r="A7" s="45" t="inlineStr">
        <is>
          <t>Nome completo</t>
        </is>
      </c>
      <c r="B7" s="46" t="inlineStr">
        <is>
          <t>Jomar</t>
        </is>
      </c>
      <c r="E7" s="45" t="inlineStr">
        <is>
          <t>CPF / CNPJ</t>
        </is>
      </c>
      <c r="F7" s="47" t="inlineStr"/>
    </row>
    <row r="8" ht="21" customHeight="1">
      <c r="A8" s="45" t="inlineStr">
        <is>
          <t>Função</t>
        </is>
      </c>
      <c r="B8" s="46" t="inlineStr">
        <is>
          <t>Marceneiro</t>
        </is>
      </c>
      <c r="E8" s="45" t="inlineStr">
        <is>
          <t>Vínculo</t>
        </is>
      </c>
      <c r="F8" s="46" t="inlineStr">
        <is>
          <t>CLT</t>
        </is>
      </c>
    </row>
    <row r="9" ht="21" customHeight="1">
      <c r="A9" s="45" t="inlineStr">
        <is>
          <t>Data da entrega</t>
        </is>
      </c>
      <c r="B9" s="47" t="inlineStr"/>
      <c r="E9" s="45" t="inlineStr">
        <is>
          <t>Local de guarda</t>
        </is>
      </c>
      <c r="F9" s="46" t="inlineStr">
        <is>
          <t>Fábrica / canteiro de obra</t>
        </is>
      </c>
    </row>
    <row r="11" ht="20" customHeight="1">
      <c r="A11" s="5" t="inlineStr">
        <is>
          <t xml:space="preserve">  RELAÇÃO DE ITENS ENTREGUES          preencha o código — descrição, marca e valor vêm da aba Patrimônio Geral</t>
        </is>
      </c>
    </row>
    <row r="12" ht="24" customHeight="1">
      <c r="A12" s="48" t="inlineStr">
        <is>
          <t>Código</t>
        </is>
      </c>
      <c r="B12" s="48" t="inlineStr">
        <is>
          <t>Descrição do item</t>
        </is>
      </c>
      <c r="C12" s="48" t="inlineStr">
        <is>
          <t>Marca</t>
        </is>
      </c>
      <c r="D12" s="48" t="inlineStr">
        <is>
          <t>Etiqueta / nº série</t>
        </is>
      </c>
      <c r="E12" s="48" t="inlineStr">
        <is>
          <t>Estado</t>
        </is>
      </c>
      <c r="F12" s="48" t="inlineStr">
        <is>
          <t>Valor de referência</t>
        </is>
      </c>
      <c r="G12" s="48" t="n"/>
      <c r="H12" s="48" t="n"/>
    </row>
    <row r="13" ht="20" customHeight="1">
      <c r="A13" s="30" t="n"/>
      <c r="B13" s="49">
        <f>IFERROR(INDEX('Patrimônio Geral'!$C$7:$C$156,MATCH($A13,'Patrimônio Geral'!$A$7:$A$156,0)),"")</f>
        <v/>
      </c>
      <c r="C13" s="49">
        <f>IFERROR(INDEX('Patrimônio Geral'!$D$7:$D$156,MATCH($A13,'Patrimônio Geral'!$A$7:$A$156,0)),"")</f>
        <v/>
      </c>
      <c r="D13" s="49">
        <f>IFERROR(INDEX('Patrimônio Geral'!$G$7:$G$156,MATCH($A13,'Patrimônio Geral'!$A$7:$A$156,0)),"")</f>
        <v/>
      </c>
      <c r="E13" s="32" t="n"/>
      <c r="F13" s="50">
        <f>IFERROR(INDEX('Patrimônio Geral'!$K$7:$K$156,MATCH($A13,'Patrimônio Geral'!$A$7:$A$156,0)),"")</f>
        <v/>
      </c>
      <c r="G13" s="51" t="n"/>
      <c r="H13" s="51" t="n"/>
    </row>
    <row r="14" ht="20" customHeight="1">
      <c r="A14" s="30" t="n"/>
      <c r="B14" s="49">
        <f>IFERROR(INDEX('Patrimônio Geral'!$C$7:$C$156,MATCH($A14,'Patrimônio Geral'!$A$7:$A$156,0)),"")</f>
        <v/>
      </c>
      <c r="C14" s="49">
        <f>IFERROR(INDEX('Patrimônio Geral'!$D$7:$D$156,MATCH($A14,'Patrimônio Geral'!$A$7:$A$156,0)),"")</f>
        <v/>
      </c>
      <c r="D14" s="49">
        <f>IFERROR(INDEX('Patrimônio Geral'!$G$7:$G$156,MATCH($A14,'Patrimônio Geral'!$A$7:$A$156,0)),"")</f>
        <v/>
      </c>
      <c r="E14" s="32" t="n"/>
      <c r="F14" s="50">
        <f>IFERROR(INDEX('Patrimônio Geral'!$K$7:$K$156,MATCH($A14,'Patrimônio Geral'!$A$7:$A$156,0)),"")</f>
        <v/>
      </c>
      <c r="G14" s="51" t="n"/>
      <c r="H14" s="51" t="n"/>
    </row>
    <row r="15" ht="20" customHeight="1">
      <c r="A15" s="30" t="n"/>
      <c r="B15" s="49">
        <f>IFERROR(INDEX('Patrimônio Geral'!$C$7:$C$156,MATCH($A15,'Patrimônio Geral'!$A$7:$A$156,0)),"")</f>
        <v/>
      </c>
      <c r="C15" s="49">
        <f>IFERROR(INDEX('Patrimônio Geral'!$D$7:$D$156,MATCH($A15,'Patrimônio Geral'!$A$7:$A$156,0)),"")</f>
        <v/>
      </c>
      <c r="D15" s="49">
        <f>IFERROR(INDEX('Patrimônio Geral'!$G$7:$G$156,MATCH($A15,'Patrimônio Geral'!$A$7:$A$156,0)),"")</f>
        <v/>
      </c>
      <c r="E15" s="32" t="n"/>
      <c r="F15" s="50">
        <f>IFERROR(INDEX('Patrimônio Geral'!$K$7:$K$156,MATCH($A15,'Patrimônio Geral'!$A$7:$A$156,0)),"")</f>
        <v/>
      </c>
      <c r="G15" s="51" t="n"/>
      <c r="H15" s="51" t="n"/>
    </row>
    <row r="16" ht="20" customHeight="1">
      <c r="A16" s="30" t="n"/>
      <c r="B16" s="49">
        <f>IFERROR(INDEX('Patrimônio Geral'!$C$7:$C$156,MATCH($A16,'Patrimônio Geral'!$A$7:$A$156,0)),"")</f>
        <v/>
      </c>
      <c r="C16" s="49">
        <f>IFERROR(INDEX('Patrimônio Geral'!$D$7:$D$156,MATCH($A16,'Patrimônio Geral'!$A$7:$A$156,0)),"")</f>
        <v/>
      </c>
      <c r="D16" s="49">
        <f>IFERROR(INDEX('Patrimônio Geral'!$G$7:$G$156,MATCH($A16,'Patrimônio Geral'!$A$7:$A$156,0)),"")</f>
        <v/>
      </c>
      <c r="E16" s="32" t="n"/>
      <c r="F16" s="50">
        <f>IFERROR(INDEX('Patrimônio Geral'!$K$7:$K$156,MATCH($A16,'Patrimônio Geral'!$A$7:$A$156,0)),"")</f>
        <v/>
      </c>
      <c r="G16" s="51" t="n"/>
      <c r="H16" s="51" t="n"/>
    </row>
    <row r="17" ht="20" customHeight="1">
      <c r="A17" s="30" t="n"/>
      <c r="B17" s="49">
        <f>IFERROR(INDEX('Patrimônio Geral'!$C$7:$C$156,MATCH($A17,'Patrimônio Geral'!$A$7:$A$156,0)),"")</f>
        <v/>
      </c>
      <c r="C17" s="49">
        <f>IFERROR(INDEX('Patrimônio Geral'!$D$7:$D$156,MATCH($A17,'Patrimônio Geral'!$A$7:$A$156,0)),"")</f>
        <v/>
      </c>
      <c r="D17" s="49">
        <f>IFERROR(INDEX('Patrimônio Geral'!$G$7:$G$156,MATCH($A17,'Patrimônio Geral'!$A$7:$A$156,0)),"")</f>
        <v/>
      </c>
      <c r="E17" s="32" t="n"/>
      <c r="F17" s="50">
        <f>IFERROR(INDEX('Patrimônio Geral'!$K$7:$K$156,MATCH($A17,'Patrimônio Geral'!$A$7:$A$156,0)),"")</f>
        <v/>
      </c>
      <c r="G17" s="51" t="n"/>
      <c r="H17" s="51" t="n"/>
    </row>
    <row r="18" ht="20" customHeight="1">
      <c r="A18" s="30" t="n"/>
      <c r="B18" s="49">
        <f>IFERROR(INDEX('Patrimônio Geral'!$C$7:$C$156,MATCH($A18,'Patrimônio Geral'!$A$7:$A$156,0)),"")</f>
        <v/>
      </c>
      <c r="C18" s="49">
        <f>IFERROR(INDEX('Patrimônio Geral'!$D$7:$D$156,MATCH($A18,'Patrimônio Geral'!$A$7:$A$156,0)),"")</f>
        <v/>
      </c>
      <c r="D18" s="49">
        <f>IFERROR(INDEX('Patrimônio Geral'!$G$7:$G$156,MATCH($A18,'Patrimônio Geral'!$A$7:$A$156,0)),"")</f>
        <v/>
      </c>
      <c r="E18" s="32" t="n"/>
      <c r="F18" s="50">
        <f>IFERROR(INDEX('Patrimônio Geral'!$K$7:$K$156,MATCH($A18,'Patrimônio Geral'!$A$7:$A$156,0)),"")</f>
        <v/>
      </c>
      <c r="G18" s="51" t="n"/>
      <c r="H18" s="51" t="n"/>
    </row>
    <row r="19" ht="20" customHeight="1">
      <c r="A19" s="30" t="n"/>
      <c r="B19" s="49">
        <f>IFERROR(INDEX('Patrimônio Geral'!$C$7:$C$156,MATCH($A19,'Patrimônio Geral'!$A$7:$A$156,0)),"")</f>
        <v/>
      </c>
      <c r="C19" s="49">
        <f>IFERROR(INDEX('Patrimônio Geral'!$D$7:$D$156,MATCH($A19,'Patrimônio Geral'!$A$7:$A$156,0)),"")</f>
        <v/>
      </c>
      <c r="D19" s="49">
        <f>IFERROR(INDEX('Patrimônio Geral'!$G$7:$G$156,MATCH($A19,'Patrimônio Geral'!$A$7:$A$156,0)),"")</f>
        <v/>
      </c>
      <c r="E19" s="32" t="n"/>
      <c r="F19" s="50">
        <f>IFERROR(INDEX('Patrimônio Geral'!$K$7:$K$156,MATCH($A19,'Patrimônio Geral'!$A$7:$A$156,0)),"")</f>
        <v/>
      </c>
      <c r="G19" s="51" t="n"/>
      <c r="H19" s="51" t="n"/>
    </row>
    <row r="20" ht="20" customHeight="1">
      <c r="A20" s="30" t="n"/>
      <c r="B20" s="49">
        <f>IFERROR(INDEX('Patrimônio Geral'!$C$7:$C$156,MATCH($A20,'Patrimônio Geral'!$A$7:$A$156,0)),"")</f>
        <v/>
      </c>
      <c r="C20" s="49">
        <f>IFERROR(INDEX('Patrimônio Geral'!$D$7:$D$156,MATCH($A20,'Patrimônio Geral'!$A$7:$A$156,0)),"")</f>
        <v/>
      </c>
      <c r="D20" s="49">
        <f>IFERROR(INDEX('Patrimônio Geral'!$G$7:$G$156,MATCH($A20,'Patrimônio Geral'!$A$7:$A$156,0)),"")</f>
        <v/>
      </c>
      <c r="E20" s="32" t="n"/>
      <c r="F20" s="50">
        <f>IFERROR(INDEX('Patrimônio Geral'!$K$7:$K$156,MATCH($A20,'Patrimônio Geral'!$A$7:$A$156,0)),"")</f>
        <v/>
      </c>
      <c r="G20" s="51" t="n"/>
      <c r="H20" s="51" t="n"/>
    </row>
    <row r="21" ht="20" customHeight="1">
      <c r="A21" s="30" t="n"/>
      <c r="B21" s="49">
        <f>IFERROR(INDEX('Patrimônio Geral'!$C$7:$C$156,MATCH($A21,'Patrimônio Geral'!$A$7:$A$156,0)),"")</f>
        <v/>
      </c>
      <c r="C21" s="49">
        <f>IFERROR(INDEX('Patrimônio Geral'!$D$7:$D$156,MATCH($A21,'Patrimônio Geral'!$A$7:$A$156,0)),"")</f>
        <v/>
      </c>
      <c r="D21" s="49">
        <f>IFERROR(INDEX('Patrimônio Geral'!$G$7:$G$156,MATCH($A21,'Patrimônio Geral'!$A$7:$A$156,0)),"")</f>
        <v/>
      </c>
      <c r="E21" s="32" t="n"/>
      <c r="F21" s="50">
        <f>IFERROR(INDEX('Patrimônio Geral'!$K$7:$K$156,MATCH($A21,'Patrimônio Geral'!$A$7:$A$156,0)),"")</f>
        <v/>
      </c>
      <c r="G21" s="51" t="n"/>
      <c r="H21" s="51" t="n"/>
    </row>
    <row r="22" ht="20" customHeight="1">
      <c r="A22" s="30" t="n"/>
      <c r="B22" s="49">
        <f>IFERROR(INDEX('Patrimônio Geral'!$C$7:$C$156,MATCH($A22,'Patrimônio Geral'!$A$7:$A$156,0)),"")</f>
        <v/>
      </c>
      <c r="C22" s="49">
        <f>IFERROR(INDEX('Patrimônio Geral'!$D$7:$D$156,MATCH($A22,'Patrimônio Geral'!$A$7:$A$156,0)),"")</f>
        <v/>
      </c>
      <c r="D22" s="49">
        <f>IFERROR(INDEX('Patrimônio Geral'!$G$7:$G$156,MATCH($A22,'Patrimônio Geral'!$A$7:$A$156,0)),"")</f>
        <v/>
      </c>
      <c r="E22" s="32" t="n"/>
      <c r="F22" s="50">
        <f>IFERROR(INDEX('Patrimônio Geral'!$K$7:$K$156,MATCH($A22,'Patrimônio Geral'!$A$7:$A$156,0)),"")</f>
        <v/>
      </c>
      <c r="G22" s="51" t="n"/>
      <c r="H22" s="51" t="n"/>
    </row>
    <row r="23" ht="20" customHeight="1">
      <c r="A23" s="30" t="n"/>
      <c r="B23" s="49">
        <f>IFERROR(INDEX('Patrimônio Geral'!$C$7:$C$156,MATCH($A23,'Patrimônio Geral'!$A$7:$A$156,0)),"")</f>
        <v/>
      </c>
      <c r="C23" s="49">
        <f>IFERROR(INDEX('Patrimônio Geral'!$D$7:$D$156,MATCH($A23,'Patrimônio Geral'!$A$7:$A$156,0)),"")</f>
        <v/>
      </c>
      <c r="D23" s="49">
        <f>IFERROR(INDEX('Patrimônio Geral'!$G$7:$G$156,MATCH($A23,'Patrimônio Geral'!$A$7:$A$156,0)),"")</f>
        <v/>
      </c>
      <c r="E23" s="32" t="n"/>
      <c r="F23" s="50">
        <f>IFERROR(INDEX('Patrimônio Geral'!$K$7:$K$156,MATCH($A23,'Patrimônio Geral'!$A$7:$A$156,0)),"")</f>
        <v/>
      </c>
      <c r="G23" s="51" t="n"/>
      <c r="H23" s="51" t="n"/>
    </row>
    <row r="24" ht="20" customHeight="1">
      <c r="A24" s="30" t="n"/>
      <c r="B24" s="49">
        <f>IFERROR(INDEX('Patrimônio Geral'!$C$7:$C$156,MATCH($A24,'Patrimônio Geral'!$A$7:$A$156,0)),"")</f>
        <v/>
      </c>
      <c r="C24" s="49">
        <f>IFERROR(INDEX('Patrimônio Geral'!$D$7:$D$156,MATCH($A24,'Patrimônio Geral'!$A$7:$A$156,0)),"")</f>
        <v/>
      </c>
      <c r="D24" s="49">
        <f>IFERROR(INDEX('Patrimônio Geral'!$G$7:$G$156,MATCH($A24,'Patrimônio Geral'!$A$7:$A$156,0)),"")</f>
        <v/>
      </c>
      <c r="E24" s="32" t="n"/>
      <c r="F24" s="50">
        <f>IFERROR(INDEX('Patrimônio Geral'!$K$7:$K$156,MATCH($A24,'Patrimônio Geral'!$A$7:$A$156,0)),"")</f>
        <v/>
      </c>
      <c r="G24" s="51" t="n"/>
      <c r="H24" s="51" t="n"/>
    </row>
    <row r="25" ht="20" customHeight="1">
      <c r="A25" s="30" t="n"/>
      <c r="B25" s="49">
        <f>IFERROR(INDEX('Patrimônio Geral'!$C$7:$C$156,MATCH($A25,'Patrimônio Geral'!$A$7:$A$156,0)),"")</f>
        <v/>
      </c>
      <c r="C25" s="49">
        <f>IFERROR(INDEX('Patrimônio Geral'!$D$7:$D$156,MATCH($A25,'Patrimônio Geral'!$A$7:$A$156,0)),"")</f>
        <v/>
      </c>
      <c r="D25" s="49">
        <f>IFERROR(INDEX('Patrimônio Geral'!$G$7:$G$156,MATCH($A25,'Patrimônio Geral'!$A$7:$A$156,0)),"")</f>
        <v/>
      </c>
      <c r="E25" s="32" t="n"/>
      <c r="F25" s="50">
        <f>IFERROR(INDEX('Patrimônio Geral'!$K$7:$K$156,MATCH($A25,'Patrimônio Geral'!$A$7:$A$156,0)),"")</f>
        <v/>
      </c>
      <c r="G25" s="51" t="n"/>
      <c r="H25" s="51" t="n"/>
    </row>
    <row r="26" ht="20" customHeight="1">
      <c r="A26" s="30" t="n"/>
      <c r="B26" s="49">
        <f>IFERROR(INDEX('Patrimônio Geral'!$C$7:$C$156,MATCH($A26,'Patrimônio Geral'!$A$7:$A$156,0)),"")</f>
        <v/>
      </c>
      <c r="C26" s="49">
        <f>IFERROR(INDEX('Patrimônio Geral'!$D$7:$D$156,MATCH($A26,'Patrimônio Geral'!$A$7:$A$156,0)),"")</f>
        <v/>
      </c>
      <c r="D26" s="49">
        <f>IFERROR(INDEX('Patrimônio Geral'!$G$7:$G$156,MATCH($A26,'Patrimônio Geral'!$A$7:$A$156,0)),"")</f>
        <v/>
      </c>
      <c r="E26" s="32" t="n"/>
      <c r="F26" s="50">
        <f>IFERROR(INDEX('Patrimônio Geral'!$K$7:$K$156,MATCH($A26,'Patrimônio Geral'!$A$7:$A$156,0)),"")</f>
        <v/>
      </c>
      <c r="G26" s="51" t="n"/>
      <c r="H26" s="51" t="n"/>
    </row>
    <row r="27" ht="22" customHeight="1">
      <c r="A27" s="21" t="inlineStr">
        <is>
          <t>TOTAL DE REFERÊNCIA DOS ITENS ENTREGUES</t>
        </is>
      </c>
      <c r="F27" s="52">
        <f>SUM(F13:F26)</f>
        <v/>
      </c>
    </row>
    <row r="28" ht="15" customHeight="1">
      <c r="A28" s="53" t="inlineStr">
        <is>
          <t>O valor de referência serve apenas para identificar o bem. Não constitui caução, depósito, garantia nem autorização prévia de desconto.</t>
        </is>
      </c>
    </row>
    <row r="30" ht="20" customHeight="1">
      <c r="A30" s="5" t="inlineStr">
        <is>
          <t xml:space="preserve">  CONDIÇÕES</t>
        </is>
      </c>
    </row>
    <row r="31" ht="24" customHeight="1">
      <c r="A31" s="54" t="inlineStr">
        <is>
          <t>1.  OBJETO — A EMPRESA entrega ao COLABORADOR, em caráter de cessão para uso exclusivamente profissional, as ferramentas e equipamentos relacionados no quadro acima, que permanecem sendo de propriedade integral da EMPRESA.</t>
        </is>
      </c>
    </row>
    <row r="32" ht="24" customHeight="1">
      <c r="A32" s="54" t="inlineStr">
        <is>
          <t>2.  USO — Os itens destinam-se exclusivamente à execução das atividades de trabalho. É vedado emprestá-los, cedê-los, aliená-los ou utilizá-los em serviços particulares ou para terceiros.</t>
        </is>
      </c>
    </row>
    <row r="33" ht="24" customHeight="1">
      <c r="A33" s="54" t="inlineStr">
        <is>
          <t>3.  GUARDA — Os itens NÃO podem ser levados para a residência do COLABORADOR. A guarda deve ocorrer nas dependências da EMPRESA ou no canteiro de obra, em local seguro indicado pela coordenação.</t>
        </is>
      </c>
    </row>
    <row r="34" ht="24" customHeight="1">
      <c r="A34" s="54" t="inlineStr">
        <is>
          <t>4.  DESGASTE NATURAL — O desgaste decorrente do uso normal e a manutenção preventiva correm por conta da EMPRESA, sem qualquer ônus para o COLABORADOR.</t>
        </is>
      </c>
    </row>
    <row r="35" ht="46" customHeight="1">
      <c r="A35" s="54" t="inlineStr">
        <is>
          <t>5.  DANO POR USO INDEVIDO — Havendo dano decorrente de uso indevido, imprudência ou negligência comprovada, o COLABORADOR se compromete a REPOR o item por outro de mesma especificação e em estado equivalente, no prazo de 30 (trinta) dias, adquirindo-o por sua própria conta e da forma que lhe for mais conveniente. Não havendo reposição no prazo, e MEDIANTE AUTORIZAÇÃO EXPRESSA E ESPECÍFICA do COLABORADOR, o valor poderá ser descontado em folha, nos termos do art. 462, §1º, da CLT.</t>
        </is>
      </c>
    </row>
    <row r="36" ht="24" customHeight="1">
      <c r="A36" s="54" t="inlineStr">
        <is>
          <t>6.  FURTO OU ROUBO — Em caso de furto ou roubo, o COLABORADOR deve comunicar imediatamente a coordenação e registrar Boletim de Ocorrência em até 48 (quarenta e oito) horas. Comprovado o fato, não haverá qualquer ônus para o COLABORADOR.</t>
        </is>
      </c>
    </row>
    <row r="37" ht="24" customHeight="1">
      <c r="A37" s="54" t="inlineStr">
        <is>
          <t>7.  EXTRAVIO — O extravio sem registro de Boletim de Ocorrência equipara-se, para os efeitos deste termo, ao dano por negligência previsto na cláusula 5.</t>
        </is>
      </c>
    </row>
    <row r="38" ht="24" customHeight="1">
      <c r="A38" s="54" t="inlineStr">
        <is>
          <t>8.  DEVOLUÇÃO — Os itens devem ser devolvidos sempre que solicitados pela EMPRESA e, obrigatoriamente, no ato do desligamento, mediante registro no quadro de devolução deste termo.</t>
        </is>
      </c>
    </row>
    <row r="39" ht="24" customHeight="1">
      <c r="A39" s="54" t="inlineStr">
        <is>
          <t>9.  REGISTRO FOTOGRÁFICO — O registro fotográfico do estado dos itens, feito na data da entrega, integra este termo para todos os efeitos.</t>
        </is>
      </c>
    </row>
    <row r="41" ht="20" customHeight="1">
      <c r="A41" s="5" t="inlineStr">
        <is>
          <t xml:space="preserve">  DECLARAÇÃO E ASSINATURAS</t>
        </is>
      </c>
    </row>
    <row r="42" ht="34" customHeight="1">
      <c r="A42" s="55" t="inlineStr">
        <is>
          <t>Declaro ter recebido os itens acima relacionados, conferido seu estado de conservação e estar ciente das condições deste termo, que assino em duas vias de igual teor. Fica o COLABORADOR responsável pela guarda e pelo uso adequado dos itens enquanto estiverem sob sua posse.</t>
        </is>
      </c>
    </row>
    <row r="44" ht="8" customHeight="1">
      <c r="A44" s="56" t="n"/>
      <c r="E44" s="56" t="n"/>
    </row>
    <row r="45">
      <c r="A45" s="57" t="inlineStr">
        <is>
          <t>Jomar</t>
        </is>
      </c>
      <c r="E45" s="57" t="inlineStr">
        <is>
          <t>Valvic Marcenaria — Vargas Decor Ltda</t>
        </is>
      </c>
    </row>
    <row r="46">
      <c r="A46" s="58" t="inlineStr">
        <is>
          <t>CPF / CNPJ</t>
        </is>
      </c>
      <c r="E46" s="58" t="inlineStr">
        <is>
          <t>Representante legal</t>
        </is>
      </c>
    </row>
    <row r="47" ht="24" customHeight="1">
      <c r="A47" s="59" t="inlineStr">
        <is>
          <t>Belo Horizonte / MG,  ______  de  ____________________  de  __________</t>
        </is>
      </c>
    </row>
    <row r="49" ht="20" customHeight="1">
      <c r="A49" s="5" t="inlineStr">
        <is>
          <t xml:space="preserve">  REGISTRO DE DEVOLUÇÃO          preencher no ato da devolução ou do desligamento</t>
        </is>
      </c>
    </row>
    <row r="50" ht="22" customHeight="1">
      <c r="A50" s="48" t="inlineStr">
        <is>
          <t>Data</t>
        </is>
      </c>
      <c r="B50" s="48" t="inlineStr">
        <is>
          <t>Itens devolvidos</t>
        </is>
      </c>
      <c r="C50" s="48" t="n"/>
      <c r="D50" s="48" t="inlineStr">
        <is>
          <t>Estado na devolução</t>
        </is>
      </c>
      <c r="E50" s="48" t="inlineStr">
        <is>
          <t>Pendências</t>
        </is>
      </c>
      <c r="F50" s="48" t="n"/>
      <c r="G50" s="48" t="inlineStr">
        <is>
          <t>Recebido por</t>
        </is>
      </c>
      <c r="H50" s="48" t="n"/>
    </row>
    <row r="51" ht="22" customHeight="1">
      <c r="A51" s="60" t="n"/>
      <c r="B51" s="31" t="n"/>
      <c r="C51" s="31" t="n"/>
      <c r="D51" s="31" t="n"/>
      <c r="E51" s="31" t="n"/>
      <c r="F51" s="31" t="n"/>
      <c r="G51" s="31" t="n"/>
      <c r="H51" s="31" t="n"/>
    </row>
    <row r="52" ht="22" customHeight="1">
      <c r="A52" s="60" t="n"/>
      <c r="B52" s="31" t="n"/>
      <c r="C52" s="31" t="n"/>
      <c r="D52" s="31" t="n"/>
      <c r="E52" s="31" t="n"/>
      <c r="F52" s="31" t="n"/>
      <c r="G52" s="31" t="n"/>
      <c r="H52" s="31" t="n"/>
    </row>
    <row r="53" ht="22" customHeight="1">
      <c r="A53" s="60" t="n"/>
      <c r="B53" s="31" t="n"/>
      <c r="C53" s="31" t="n"/>
      <c r="D53" s="31" t="n"/>
      <c r="E53" s="31" t="n"/>
      <c r="F53" s="31" t="n"/>
      <c r="G53" s="31" t="n"/>
      <c r="H53" s="31" t="n"/>
    </row>
    <row r="54" ht="15" customHeight="1">
      <c r="A54" s="61" t="inlineStr">
        <is>
          <t>Anexo obrigatório: registro fotográfico do estado dos itens na data da entrega. Sem o anexo, este termo não sustenta pedido de reposição.</t>
        </is>
      </c>
    </row>
  </sheetData>
  <mergeCells count="63">
    <mergeCell ref="F20:H20"/>
    <mergeCell ref="E50:F50"/>
    <mergeCell ref="E45:H45"/>
    <mergeCell ref="A30:H30"/>
    <mergeCell ref="A39:H39"/>
    <mergeCell ref="F21:H21"/>
    <mergeCell ref="G52:H52"/>
    <mergeCell ref="F18:H18"/>
    <mergeCell ref="A46:C46"/>
    <mergeCell ref="B8:D8"/>
    <mergeCell ref="F8:H8"/>
    <mergeCell ref="F26:H26"/>
    <mergeCell ref="A36:H36"/>
    <mergeCell ref="A11:H11"/>
    <mergeCell ref="F17:H17"/>
    <mergeCell ref="A49:H49"/>
    <mergeCell ref="A1:H1"/>
    <mergeCell ref="E52:F52"/>
    <mergeCell ref="A6:H6"/>
    <mergeCell ref="F23:H23"/>
    <mergeCell ref="B52:C52"/>
    <mergeCell ref="E51:F51"/>
    <mergeCell ref="F22:H22"/>
    <mergeCell ref="F13:H13"/>
    <mergeCell ref="F27:H27"/>
    <mergeCell ref="A54:H54"/>
    <mergeCell ref="B9:D9"/>
    <mergeCell ref="A41:H41"/>
    <mergeCell ref="G53:H53"/>
    <mergeCell ref="F9:H9"/>
    <mergeCell ref="A37:H37"/>
    <mergeCell ref="B53:C53"/>
    <mergeCell ref="A27:E27"/>
    <mergeCell ref="A3:H3"/>
    <mergeCell ref="A44:C44"/>
    <mergeCell ref="F14:H14"/>
    <mergeCell ref="A2:H2"/>
    <mergeCell ref="A42:H42"/>
    <mergeCell ref="E44:H44"/>
    <mergeCell ref="A33:H33"/>
    <mergeCell ref="A47:H47"/>
    <mergeCell ref="B7:D7"/>
    <mergeCell ref="A32:H32"/>
    <mergeCell ref="F25:H25"/>
    <mergeCell ref="A4:H4"/>
    <mergeCell ref="F16:H16"/>
    <mergeCell ref="G51:H51"/>
    <mergeCell ref="F19:H19"/>
    <mergeCell ref="A35:H35"/>
    <mergeCell ref="A45:C45"/>
    <mergeCell ref="A38:H38"/>
    <mergeCell ref="B51:C51"/>
    <mergeCell ref="A28:H28"/>
    <mergeCell ref="E46:H46"/>
    <mergeCell ref="G50:H50"/>
    <mergeCell ref="B50:C50"/>
    <mergeCell ref="F12:H12"/>
    <mergeCell ref="F7:H7"/>
    <mergeCell ref="E53:F53"/>
    <mergeCell ref="F15:H15"/>
    <mergeCell ref="A31:H31"/>
    <mergeCell ref="F24:H24"/>
    <mergeCell ref="A34:H34"/>
  </mergeCells>
  <dataValidations count="2">
    <dataValidation sqref="A13:A26" showDropDown="0" showInputMessage="0" showErrorMessage="0" allowBlank="1" type="list">
      <formula1>='Patrimônio Geral'!$A$7:$A$156</formula1>
    </dataValidation>
    <dataValidation sqref="E13:E26" showDropDown="0" showInputMessage="0" showErrorMessage="0" allowBlank="1" type="list">
      <formula1>=Listas!$J$2:$J$5</formula1>
    </dataValidation>
  </dataValidations>
  <pageMargins left="0.45" right="0.35" top="0.4" bottom="0.35" header="0.5" footer="0.5"/>
  <pageSetup orientation="portrait" paperSize="9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H54"/>
  <sheetViews>
    <sheetView showGridLines="0" workbookViewId="0">
      <selection activeCell="A1" sqref="A1"/>
    </sheetView>
  </sheetViews>
  <sheetFormatPr baseColWidth="8" defaultRowHeight="15"/>
  <cols>
    <col width="9" customWidth="1" min="1" max="1"/>
    <col width="34" customWidth="1" min="2" max="2"/>
    <col width="12" customWidth="1" min="3" max="3"/>
    <col width="15" customWidth="1" min="4" max="4"/>
    <col width="9" customWidth="1" min="5" max="5"/>
    <col width="6" customWidth="1" min="6" max="6"/>
    <col width="5" customWidth="1" min="7" max="7"/>
    <col width="6" customWidth="1" min="8" max="8"/>
  </cols>
  <sheetData>
    <row r="1" ht="26" customHeight="1">
      <c r="A1" s="1" t="inlineStr">
        <is>
          <t>VALVIC MARCENARIA</t>
        </is>
      </c>
    </row>
    <row r="2" ht="15" customHeight="1">
      <c r="A2" s="2" t="inlineStr">
        <is>
          <t>Vargas Decor Ltda   ·   CNPJ 17.269.304/0001-51   ·   Belo Horizonte / MG</t>
        </is>
      </c>
    </row>
    <row r="3" ht="28" customHeight="1">
      <c r="A3" s="3" t="inlineStr">
        <is>
          <t>TERMO DE ENTREGA E RESPONSABILIDADE</t>
        </is>
      </c>
    </row>
    <row r="4" ht="17" customHeight="1">
      <c r="A4" s="4" t="inlineStr">
        <is>
          <t>Ferramentas e equipamentos cedidos para uso profissional · vínculo CLT</t>
        </is>
      </c>
    </row>
    <row r="6" ht="20" customHeight="1">
      <c r="A6" s="5" t="inlineStr">
        <is>
          <t xml:space="preserve">  IDENTIFICAÇÃO</t>
        </is>
      </c>
    </row>
    <row r="7" ht="21" customHeight="1">
      <c r="A7" s="45" t="inlineStr">
        <is>
          <t>Nome completo</t>
        </is>
      </c>
      <c r="B7" s="46" t="inlineStr">
        <is>
          <t>Davi</t>
        </is>
      </c>
      <c r="E7" s="45" t="inlineStr">
        <is>
          <t>CPF / CNPJ</t>
        </is>
      </c>
      <c r="F7" s="47" t="inlineStr"/>
    </row>
    <row r="8" ht="21" customHeight="1">
      <c r="A8" s="45" t="inlineStr">
        <is>
          <t>Função</t>
        </is>
      </c>
      <c r="B8" s="46" t="inlineStr">
        <is>
          <t>Ajudante</t>
        </is>
      </c>
      <c r="E8" s="45" t="inlineStr">
        <is>
          <t>Vínculo</t>
        </is>
      </c>
      <c r="F8" s="46" t="inlineStr">
        <is>
          <t>CLT</t>
        </is>
      </c>
    </row>
    <row r="9" ht="21" customHeight="1">
      <c r="A9" s="45" t="inlineStr">
        <is>
          <t>Data da entrega</t>
        </is>
      </c>
      <c r="B9" s="47" t="inlineStr"/>
      <c r="E9" s="45" t="inlineStr">
        <is>
          <t>Local de guarda</t>
        </is>
      </c>
      <c r="F9" s="46" t="inlineStr">
        <is>
          <t>Fábrica / canteiro de obra</t>
        </is>
      </c>
    </row>
    <row r="11" ht="20" customHeight="1">
      <c r="A11" s="5" t="inlineStr">
        <is>
          <t xml:space="preserve">  RELAÇÃO DE ITENS ENTREGUES          preencha o código — descrição, marca e valor vêm da aba Patrimônio Geral</t>
        </is>
      </c>
    </row>
    <row r="12" ht="24" customHeight="1">
      <c r="A12" s="48" t="inlineStr">
        <is>
          <t>Código</t>
        </is>
      </c>
      <c r="B12" s="48" t="inlineStr">
        <is>
          <t>Descrição do item</t>
        </is>
      </c>
      <c r="C12" s="48" t="inlineStr">
        <is>
          <t>Marca</t>
        </is>
      </c>
      <c r="D12" s="48" t="inlineStr">
        <is>
          <t>Etiqueta / nº série</t>
        </is>
      </c>
      <c r="E12" s="48" t="inlineStr">
        <is>
          <t>Estado</t>
        </is>
      </c>
      <c r="F12" s="48" t="inlineStr">
        <is>
          <t>Valor de referência</t>
        </is>
      </c>
      <c r="G12" s="48" t="n"/>
      <c r="H12" s="48" t="n"/>
    </row>
    <row r="13" ht="20" customHeight="1">
      <c r="A13" s="30" t="n"/>
      <c r="B13" s="49">
        <f>IFERROR(INDEX('Patrimônio Geral'!$C$7:$C$156,MATCH($A13,'Patrimônio Geral'!$A$7:$A$156,0)),"")</f>
        <v/>
      </c>
      <c r="C13" s="49">
        <f>IFERROR(INDEX('Patrimônio Geral'!$D$7:$D$156,MATCH($A13,'Patrimônio Geral'!$A$7:$A$156,0)),"")</f>
        <v/>
      </c>
      <c r="D13" s="49">
        <f>IFERROR(INDEX('Patrimônio Geral'!$G$7:$G$156,MATCH($A13,'Patrimônio Geral'!$A$7:$A$156,0)),"")</f>
        <v/>
      </c>
      <c r="E13" s="32" t="n"/>
      <c r="F13" s="50">
        <f>IFERROR(INDEX('Patrimônio Geral'!$K$7:$K$156,MATCH($A13,'Patrimônio Geral'!$A$7:$A$156,0)),"")</f>
        <v/>
      </c>
      <c r="G13" s="51" t="n"/>
      <c r="H13" s="51" t="n"/>
    </row>
    <row r="14" ht="20" customHeight="1">
      <c r="A14" s="30" t="n"/>
      <c r="B14" s="49">
        <f>IFERROR(INDEX('Patrimônio Geral'!$C$7:$C$156,MATCH($A14,'Patrimônio Geral'!$A$7:$A$156,0)),"")</f>
        <v/>
      </c>
      <c r="C14" s="49">
        <f>IFERROR(INDEX('Patrimônio Geral'!$D$7:$D$156,MATCH($A14,'Patrimônio Geral'!$A$7:$A$156,0)),"")</f>
        <v/>
      </c>
      <c r="D14" s="49">
        <f>IFERROR(INDEX('Patrimônio Geral'!$G$7:$G$156,MATCH($A14,'Patrimônio Geral'!$A$7:$A$156,0)),"")</f>
        <v/>
      </c>
      <c r="E14" s="32" t="n"/>
      <c r="F14" s="50">
        <f>IFERROR(INDEX('Patrimônio Geral'!$K$7:$K$156,MATCH($A14,'Patrimônio Geral'!$A$7:$A$156,0)),"")</f>
        <v/>
      </c>
      <c r="G14" s="51" t="n"/>
      <c r="H14" s="51" t="n"/>
    </row>
    <row r="15" ht="20" customHeight="1">
      <c r="A15" s="30" t="n"/>
      <c r="B15" s="49">
        <f>IFERROR(INDEX('Patrimônio Geral'!$C$7:$C$156,MATCH($A15,'Patrimônio Geral'!$A$7:$A$156,0)),"")</f>
        <v/>
      </c>
      <c r="C15" s="49">
        <f>IFERROR(INDEX('Patrimônio Geral'!$D$7:$D$156,MATCH($A15,'Patrimônio Geral'!$A$7:$A$156,0)),"")</f>
        <v/>
      </c>
      <c r="D15" s="49">
        <f>IFERROR(INDEX('Patrimônio Geral'!$G$7:$G$156,MATCH($A15,'Patrimônio Geral'!$A$7:$A$156,0)),"")</f>
        <v/>
      </c>
      <c r="E15" s="32" t="n"/>
      <c r="F15" s="50">
        <f>IFERROR(INDEX('Patrimônio Geral'!$K$7:$K$156,MATCH($A15,'Patrimônio Geral'!$A$7:$A$156,0)),"")</f>
        <v/>
      </c>
      <c r="G15" s="51" t="n"/>
      <c r="H15" s="51" t="n"/>
    </row>
    <row r="16" ht="20" customHeight="1">
      <c r="A16" s="30" t="n"/>
      <c r="B16" s="49">
        <f>IFERROR(INDEX('Patrimônio Geral'!$C$7:$C$156,MATCH($A16,'Patrimônio Geral'!$A$7:$A$156,0)),"")</f>
        <v/>
      </c>
      <c r="C16" s="49">
        <f>IFERROR(INDEX('Patrimônio Geral'!$D$7:$D$156,MATCH($A16,'Patrimônio Geral'!$A$7:$A$156,0)),"")</f>
        <v/>
      </c>
      <c r="D16" s="49">
        <f>IFERROR(INDEX('Patrimônio Geral'!$G$7:$G$156,MATCH($A16,'Patrimônio Geral'!$A$7:$A$156,0)),"")</f>
        <v/>
      </c>
      <c r="E16" s="32" t="n"/>
      <c r="F16" s="50">
        <f>IFERROR(INDEX('Patrimônio Geral'!$K$7:$K$156,MATCH($A16,'Patrimônio Geral'!$A$7:$A$156,0)),"")</f>
        <v/>
      </c>
      <c r="G16" s="51" t="n"/>
      <c r="H16" s="51" t="n"/>
    </row>
    <row r="17" ht="20" customHeight="1">
      <c r="A17" s="30" t="n"/>
      <c r="B17" s="49">
        <f>IFERROR(INDEX('Patrimônio Geral'!$C$7:$C$156,MATCH($A17,'Patrimônio Geral'!$A$7:$A$156,0)),"")</f>
        <v/>
      </c>
      <c r="C17" s="49">
        <f>IFERROR(INDEX('Patrimônio Geral'!$D$7:$D$156,MATCH($A17,'Patrimônio Geral'!$A$7:$A$156,0)),"")</f>
        <v/>
      </c>
      <c r="D17" s="49">
        <f>IFERROR(INDEX('Patrimônio Geral'!$G$7:$G$156,MATCH($A17,'Patrimônio Geral'!$A$7:$A$156,0)),"")</f>
        <v/>
      </c>
      <c r="E17" s="32" t="n"/>
      <c r="F17" s="50">
        <f>IFERROR(INDEX('Patrimônio Geral'!$K$7:$K$156,MATCH($A17,'Patrimônio Geral'!$A$7:$A$156,0)),"")</f>
        <v/>
      </c>
      <c r="G17" s="51" t="n"/>
      <c r="H17" s="51" t="n"/>
    </row>
    <row r="18" ht="20" customHeight="1">
      <c r="A18" s="30" t="n"/>
      <c r="B18" s="49">
        <f>IFERROR(INDEX('Patrimônio Geral'!$C$7:$C$156,MATCH($A18,'Patrimônio Geral'!$A$7:$A$156,0)),"")</f>
        <v/>
      </c>
      <c r="C18" s="49">
        <f>IFERROR(INDEX('Patrimônio Geral'!$D$7:$D$156,MATCH($A18,'Patrimônio Geral'!$A$7:$A$156,0)),"")</f>
        <v/>
      </c>
      <c r="D18" s="49">
        <f>IFERROR(INDEX('Patrimônio Geral'!$G$7:$G$156,MATCH($A18,'Patrimônio Geral'!$A$7:$A$156,0)),"")</f>
        <v/>
      </c>
      <c r="E18" s="32" t="n"/>
      <c r="F18" s="50">
        <f>IFERROR(INDEX('Patrimônio Geral'!$K$7:$K$156,MATCH($A18,'Patrimônio Geral'!$A$7:$A$156,0)),"")</f>
        <v/>
      </c>
      <c r="G18" s="51" t="n"/>
      <c r="H18" s="51" t="n"/>
    </row>
    <row r="19" ht="20" customHeight="1">
      <c r="A19" s="30" t="n"/>
      <c r="B19" s="49">
        <f>IFERROR(INDEX('Patrimônio Geral'!$C$7:$C$156,MATCH($A19,'Patrimônio Geral'!$A$7:$A$156,0)),"")</f>
        <v/>
      </c>
      <c r="C19" s="49">
        <f>IFERROR(INDEX('Patrimônio Geral'!$D$7:$D$156,MATCH($A19,'Patrimônio Geral'!$A$7:$A$156,0)),"")</f>
        <v/>
      </c>
      <c r="D19" s="49">
        <f>IFERROR(INDEX('Patrimônio Geral'!$G$7:$G$156,MATCH($A19,'Patrimônio Geral'!$A$7:$A$156,0)),"")</f>
        <v/>
      </c>
      <c r="E19" s="32" t="n"/>
      <c r="F19" s="50">
        <f>IFERROR(INDEX('Patrimônio Geral'!$K$7:$K$156,MATCH($A19,'Patrimônio Geral'!$A$7:$A$156,0)),"")</f>
        <v/>
      </c>
      <c r="G19" s="51" t="n"/>
      <c r="H19" s="51" t="n"/>
    </row>
    <row r="20" ht="20" customHeight="1">
      <c r="A20" s="30" t="n"/>
      <c r="B20" s="49">
        <f>IFERROR(INDEX('Patrimônio Geral'!$C$7:$C$156,MATCH($A20,'Patrimônio Geral'!$A$7:$A$156,0)),"")</f>
        <v/>
      </c>
      <c r="C20" s="49">
        <f>IFERROR(INDEX('Patrimônio Geral'!$D$7:$D$156,MATCH($A20,'Patrimônio Geral'!$A$7:$A$156,0)),"")</f>
        <v/>
      </c>
      <c r="D20" s="49">
        <f>IFERROR(INDEX('Patrimônio Geral'!$G$7:$G$156,MATCH($A20,'Patrimônio Geral'!$A$7:$A$156,0)),"")</f>
        <v/>
      </c>
      <c r="E20" s="32" t="n"/>
      <c r="F20" s="50">
        <f>IFERROR(INDEX('Patrimônio Geral'!$K$7:$K$156,MATCH($A20,'Patrimônio Geral'!$A$7:$A$156,0)),"")</f>
        <v/>
      </c>
      <c r="G20" s="51" t="n"/>
      <c r="H20" s="51" t="n"/>
    </row>
    <row r="21" ht="20" customHeight="1">
      <c r="A21" s="30" t="n"/>
      <c r="B21" s="49">
        <f>IFERROR(INDEX('Patrimônio Geral'!$C$7:$C$156,MATCH($A21,'Patrimônio Geral'!$A$7:$A$156,0)),"")</f>
        <v/>
      </c>
      <c r="C21" s="49">
        <f>IFERROR(INDEX('Patrimônio Geral'!$D$7:$D$156,MATCH($A21,'Patrimônio Geral'!$A$7:$A$156,0)),"")</f>
        <v/>
      </c>
      <c r="D21" s="49">
        <f>IFERROR(INDEX('Patrimônio Geral'!$G$7:$G$156,MATCH($A21,'Patrimônio Geral'!$A$7:$A$156,0)),"")</f>
        <v/>
      </c>
      <c r="E21" s="32" t="n"/>
      <c r="F21" s="50">
        <f>IFERROR(INDEX('Patrimônio Geral'!$K$7:$K$156,MATCH($A21,'Patrimônio Geral'!$A$7:$A$156,0)),"")</f>
        <v/>
      </c>
      <c r="G21" s="51" t="n"/>
      <c r="H21" s="51" t="n"/>
    </row>
    <row r="22" ht="20" customHeight="1">
      <c r="A22" s="30" t="n"/>
      <c r="B22" s="49">
        <f>IFERROR(INDEX('Patrimônio Geral'!$C$7:$C$156,MATCH($A22,'Patrimônio Geral'!$A$7:$A$156,0)),"")</f>
        <v/>
      </c>
      <c r="C22" s="49">
        <f>IFERROR(INDEX('Patrimônio Geral'!$D$7:$D$156,MATCH($A22,'Patrimônio Geral'!$A$7:$A$156,0)),"")</f>
        <v/>
      </c>
      <c r="D22" s="49">
        <f>IFERROR(INDEX('Patrimônio Geral'!$G$7:$G$156,MATCH($A22,'Patrimônio Geral'!$A$7:$A$156,0)),"")</f>
        <v/>
      </c>
      <c r="E22" s="32" t="n"/>
      <c r="F22" s="50">
        <f>IFERROR(INDEX('Patrimônio Geral'!$K$7:$K$156,MATCH($A22,'Patrimônio Geral'!$A$7:$A$156,0)),"")</f>
        <v/>
      </c>
      <c r="G22" s="51" t="n"/>
      <c r="H22" s="51" t="n"/>
    </row>
    <row r="23" ht="20" customHeight="1">
      <c r="A23" s="30" t="n"/>
      <c r="B23" s="49">
        <f>IFERROR(INDEX('Patrimônio Geral'!$C$7:$C$156,MATCH($A23,'Patrimônio Geral'!$A$7:$A$156,0)),"")</f>
        <v/>
      </c>
      <c r="C23" s="49">
        <f>IFERROR(INDEX('Patrimônio Geral'!$D$7:$D$156,MATCH($A23,'Patrimônio Geral'!$A$7:$A$156,0)),"")</f>
        <v/>
      </c>
      <c r="D23" s="49">
        <f>IFERROR(INDEX('Patrimônio Geral'!$G$7:$G$156,MATCH($A23,'Patrimônio Geral'!$A$7:$A$156,0)),"")</f>
        <v/>
      </c>
      <c r="E23" s="32" t="n"/>
      <c r="F23" s="50">
        <f>IFERROR(INDEX('Patrimônio Geral'!$K$7:$K$156,MATCH($A23,'Patrimônio Geral'!$A$7:$A$156,0)),"")</f>
        <v/>
      </c>
      <c r="G23" s="51" t="n"/>
      <c r="H23" s="51" t="n"/>
    </row>
    <row r="24" ht="20" customHeight="1">
      <c r="A24" s="30" t="n"/>
      <c r="B24" s="49">
        <f>IFERROR(INDEX('Patrimônio Geral'!$C$7:$C$156,MATCH($A24,'Patrimônio Geral'!$A$7:$A$156,0)),"")</f>
        <v/>
      </c>
      <c r="C24" s="49">
        <f>IFERROR(INDEX('Patrimônio Geral'!$D$7:$D$156,MATCH($A24,'Patrimônio Geral'!$A$7:$A$156,0)),"")</f>
        <v/>
      </c>
      <c r="D24" s="49">
        <f>IFERROR(INDEX('Patrimônio Geral'!$G$7:$G$156,MATCH($A24,'Patrimônio Geral'!$A$7:$A$156,0)),"")</f>
        <v/>
      </c>
      <c r="E24" s="32" t="n"/>
      <c r="F24" s="50">
        <f>IFERROR(INDEX('Patrimônio Geral'!$K$7:$K$156,MATCH($A24,'Patrimônio Geral'!$A$7:$A$156,0)),"")</f>
        <v/>
      </c>
      <c r="G24" s="51" t="n"/>
      <c r="H24" s="51" t="n"/>
    </row>
    <row r="25" ht="20" customHeight="1">
      <c r="A25" s="30" t="n"/>
      <c r="B25" s="49">
        <f>IFERROR(INDEX('Patrimônio Geral'!$C$7:$C$156,MATCH($A25,'Patrimônio Geral'!$A$7:$A$156,0)),"")</f>
        <v/>
      </c>
      <c r="C25" s="49">
        <f>IFERROR(INDEX('Patrimônio Geral'!$D$7:$D$156,MATCH($A25,'Patrimônio Geral'!$A$7:$A$156,0)),"")</f>
        <v/>
      </c>
      <c r="D25" s="49">
        <f>IFERROR(INDEX('Patrimônio Geral'!$G$7:$G$156,MATCH($A25,'Patrimônio Geral'!$A$7:$A$156,0)),"")</f>
        <v/>
      </c>
      <c r="E25" s="32" t="n"/>
      <c r="F25" s="50">
        <f>IFERROR(INDEX('Patrimônio Geral'!$K$7:$K$156,MATCH($A25,'Patrimônio Geral'!$A$7:$A$156,0)),"")</f>
        <v/>
      </c>
      <c r="G25" s="51" t="n"/>
      <c r="H25" s="51" t="n"/>
    </row>
    <row r="26" ht="20" customHeight="1">
      <c r="A26" s="30" t="n"/>
      <c r="B26" s="49">
        <f>IFERROR(INDEX('Patrimônio Geral'!$C$7:$C$156,MATCH($A26,'Patrimônio Geral'!$A$7:$A$156,0)),"")</f>
        <v/>
      </c>
      <c r="C26" s="49">
        <f>IFERROR(INDEX('Patrimônio Geral'!$D$7:$D$156,MATCH($A26,'Patrimônio Geral'!$A$7:$A$156,0)),"")</f>
        <v/>
      </c>
      <c r="D26" s="49">
        <f>IFERROR(INDEX('Patrimônio Geral'!$G$7:$G$156,MATCH($A26,'Patrimônio Geral'!$A$7:$A$156,0)),"")</f>
        <v/>
      </c>
      <c r="E26" s="32" t="n"/>
      <c r="F26" s="50">
        <f>IFERROR(INDEX('Patrimônio Geral'!$K$7:$K$156,MATCH($A26,'Patrimônio Geral'!$A$7:$A$156,0)),"")</f>
        <v/>
      </c>
      <c r="G26" s="51" t="n"/>
      <c r="H26" s="51" t="n"/>
    </row>
    <row r="27" ht="22" customHeight="1">
      <c r="A27" s="21" t="inlineStr">
        <is>
          <t>TOTAL DE REFERÊNCIA DOS ITENS ENTREGUES</t>
        </is>
      </c>
      <c r="F27" s="52">
        <f>SUM(F13:F26)</f>
        <v/>
      </c>
    </row>
    <row r="28" ht="15" customHeight="1">
      <c r="A28" s="53" t="inlineStr">
        <is>
          <t>O valor de referência serve apenas para identificar o bem. Não constitui caução, depósito, garantia nem autorização prévia de desconto.</t>
        </is>
      </c>
    </row>
    <row r="30" ht="20" customHeight="1">
      <c r="A30" s="5" t="inlineStr">
        <is>
          <t xml:space="preserve">  CONDIÇÕES</t>
        </is>
      </c>
    </row>
    <row r="31" ht="24" customHeight="1">
      <c r="A31" s="54" t="inlineStr">
        <is>
          <t>1.  OBJETO — A EMPRESA entrega ao COLABORADOR, em caráter de cessão para uso exclusivamente profissional, as ferramentas e equipamentos relacionados no quadro acima, que permanecem sendo de propriedade integral da EMPRESA.</t>
        </is>
      </c>
    </row>
    <row r="32" ht="24" customHeight="1">
      <c r="A32" s="54" t="inlineStr">
        <is>
          <t>2.  USO — Os itens destinam-se exclusivamente à execução das atividades de trabalho. É vedado emprestá-los, cedê-los, aliená-los ou utilizá-los em serviços particulares ou para terceiros.</t>
        </is>
      </c>
    </row>
    <row r="33" ht="24" customHeight="1">
      <c r="A33" s="54" t="inlineStr">
        <is>
          <t>3.  GUARDA — Os itens NÃO podem ser levados para a residência do COLABORADOR. A guarda deve ocorrer nas dependências da EMPRESA ou no canteiro de obra, em local seguro indicado pela coordenação.</t>
        </is>
      </c>
    </row>
    <row r="34" ht="24" customHeight="1">
      <c r="A34" s="54" t="inlineStr">
        <is>
          <t>4.  DESGASTE NATURAL — O desgaste decorrente do uso normal e a manutenção preventiva correm por conta da EMPRESA, sem qualquer ônus para o COLABORADOR.</t>
        </is>
      </c>
    </row>
    <row r="35" ht="46" customHeight="1">
      <c r="A35" s="54" t="inlineStr">
        <is>
          <t>5.  DANO POR USO INDEVIDO — Havendo dano decorrente de uso indevido, imprudência ou negligência comprovada, o COLABORADOR se compromete a REPOR o item por outro de mesma especificação e em estado equivalente, no prazo de 30 (trinta) dias, adquirindo-o por sua própria conta e da forma que lhe for mais conveniente. Não havendo reposição no prazo, e MEDIANTE AUTORIZAÇÃO EXPRESSA E ESPECÍFICA do COLABORADOR, o valor poderá ser descontado em folha, nos termos do art. 462, §1º, da CLT.</t>
        </is>
      </c>
    </row>
    <row r="36" ht="24" customHeight="1">
      <c r="A36" s="54" t="inlineStr">
        <is>
          <t>6.  FURTO OU ROUBO — Em caso de furto ou roubo, o COLABORADOR deve comunicar imediatamente a coordenação e registrar Boletim de Ocorrência em até 48 (quarenta e oito) horas. Comprovado o fato, não haverá qualquer ônus para o COLABORADOR.</t>
        </is>
      </c>
    </row>
    <row r="37" ht="24" customHeight="1">
      <c r="A37" s="54" t="inlineStr">
        <is>
          <t>7.  EXTRAVIO — O extravio sem registro de Boletim de Ocorrência equipara-se, para os efeitos deste termo, ao dano por negligência previsto na cláusula 5.</t>
        </is>
      </c>
    </row>
    <row r="38" ht="24" customHeight="1">
      <c r="A38" s="54" t="inlineStr">
        <is>
          <t>8.  DEVOLUÇÃO — Os itens devem ser devolvidos sempre que solicitados pela EMPRESA e, obrigatoriamente, no ato do desligamento, mediante registro no quadro de devolução deste termo.</t>
        </is>
      </c>
    </row>
    <row r="39" ht="24" customHeight="1">
      <c r="A39" s="54" t="inlineStr">
        <is>
          <t>9.  REGISTRO FOTOGRÁFICO — O registro fotográfico do estado dos itens, feito na data da entrega, integra este termo para todos os efeitos.</t>
        </is>
      </c>
    </row>
    <row r="41" ht="20" customHeight="1">
      <c r="A41" s="5" t="inlineStr">
        <is>
          <t xml:space="preserve">  DECLARAÇÃO E ASSINATURAS</t>
        </is>
      </c>
    </row>
    <row r="42" ht="34" customHeight="1">
      <c r="A42" s="55" t="inlineStr">
        <is>
          <t>Declaro ter recebido os itens acima relacionados, conferido seu estado de conservação e estar ciente das condições deste termo, que assino em duas vias de igual teor. Fica o COLABORADOR responsável pela guarda e pelo uso adequado dos itens enquanto estiverem sob sua posse.</t>
        </is>
      </c>
    </row>
    <row r="44" ht="8" customHeight="1">
      <c r="A44" s="56" t="n"/>
      <c r="E44" s="56" t="n"/>
    </row>
    <row r="45">
      <c r="A45" s="57" t="inlineStr">
        <is>
          <t>Davi</t>
        </is>
      </c>
      <c r="E45" s="57" t="inlineStr">
        <is>
          <t>Valvic Marcenaria — Vargas Decor Ltda</t>
        </is>
      </c>
    </row>
    <row r="46">
      <c r="A46" s="58" t="inlineStr">
        <is>
          <t>CPF / CNPJ</t>
        </is>
      </c>
      <c r="E46" s="58" t="inlineStr">
        <is>
          <t>Representante legal</t>
        </is>
      </c>
    </row>
    <row r="47" ht="24" customHeight="1">
      <c r="A47" s="59" t="inlineStr">
        <is>
          <t>Belo Horizonte / MG,  ______  de  ____________________  de  __________</t>
        </is>
      </c>
    </row>
    <row r="49" ht="20" customHeight="1">
      <c r="A49" s="5" t="inlineStr">
        <is>
          <t xml:space="preserve">  REGISTRO DE DEVOLUÇÃO          preencher no ato da devolução ou do desligamento</t>
        </is>
      </c>
    </row>
    <row r="50" ht="22" customHeight="1">
      <c r="A50" s="48" t="inlineStr">
        <is>
          <t>Data</t>
        </is>
      </c>
      <c r="B50" s="48" t="inlineStr">
        <is>
          <t>Itens devolvidos</t>
        </is>
      </c>
      <c r="C50" s="48" t="n"/>
      <c r="D50" s="48" t="inlineStr">
        <is>
          <t>Estado na devolução</t>
        </is>
      </c>
      <c r="E50" s="48" t="inlineStr">
        <is>
          <t>Pendências</t>
        </is>
      </c>
      <c r="F50" s="48" t="n"/>
      <c r="G50" s="48" t="inlineStr">
        <is>
          <t>Recebido por</t>
        </is>
      </c>
      <c r="H50" s="48" t="n"/>
    </row>
    <row r="51" ht="22" customHeight="1">
      <c r="A51" s="60" t="n"/>
      <c r="B51" s="31" t="n"/>
      <c r="C51" s="31" t="n"/>
      <c r="D51" s="31" t="n"/>
      <c r="E51" s="31" t="n"/>
      <c r="F51" s="31" t="n"/>
      <c r="G51" s="31" t="n"/>
      <c r="H51" s="31" t="n"/>
    </row>
    <row r="52" ht="22" customHeight="1">
      <c r="A52" s="60" t="n"/>
      <c r="B52" s="31" t="n"/>
      <c r="C52" s="31" t="n"/>
      <c r="D52" s="31" t="n"/>
      <c r="E52" s="31" t="n"/>
      <c r="F52" s="31" t="n"/>
      <c r="G52" s="31" t="n"/>
      <c r="H52" s="31" t="n"/>
    </row>
    <row r="53" ht="22" customHeight="1">
      <c r="A53" s="60" t="n"/>
      <c r="B53" s="31" t="n"/>
      <c r="C53" s="31" t="n"/>
      <c r="D53" s="31" t="n"/>
      <c r="E53" s="31" t="n"/>
      <c r="F53" s="31" t="n"/>
      <c r="G53" s="31" t="n"/>
      <c r="H53" s="31" t="n"/>
    </row>
    <row r="54" ht="15" customHeight="1">
      <c r="A54" s="61" t="inlineStr">
        <is>
          <t>Anexo obrigatório: registro fotográfico do estado dos itens na data da entrega. Sem o anexo, este termo não sustenta pedido de reposição.</t>
        </is>
      </c>
    </row>
  </sheetData>
  <mergeCells count="63">
    <mergeCell ref="F20:H20"/>
    <mergeCell ref="E50:F50"/>
    <mergeCell ref="E45:H45"/>
    <mergeCell ref="A30:H30"/>
    <mergeCell ref="A39:H39"/>
    <mergeCell ref="F21:H21"/>
    <mergeCell ref="G52:H52"/>
    <mergeCell ref="F18:H18"/>
    <mergeCell ref="A46:C46"/>
    <mergeCell ref="B8:D8"/>
    <mergeCell ref="F8:H8"/>
    <mergeCell ref="F26:H26"/>
    <mergeCell ref="A36:H36"/>
    <mergeCell ref="A11:H11"/>
    <mergeCell ref="F17:H17"/>
    <mergeCell ref="A49:H49"/>
    <mergeCell ref="A1:H1"/>
    <mergeCell ref="E52:F52"/>
    <mergeCell ref="A6:H6"/>
    <mergeCell ref="F23:H23"/>
    <mergeCell ref="B52:C52"/>
    <mergeCell ref="E51:F51"/>
    <mergeCell ref="F22:H22"/>
    <mergeCell ref="F13:H13"/>
    <mergeCell ref="F27:H27"/>
    <mergeCell ref="A54:H54"/>
    <mergeCell ref="B9:D9"/>
    <mergeCell ref="A41:H41"/>
    <mergeCell ref="G53:H53"/>
    <mergeCell ref="F9:H9"/>
    <mergeCell ref="A37:H37"/>
    <mergeCell ref="B53:C53"/>
    <mergeCell ref="A27:E27"/>
    <mergeCell ref="A3:H3"/>
    <mergeCell ref="A44:C44"/>
    <mergeCell ref="F14:H14"/>
    <mergeCell ref="A2:H2"/>
    <mergeCell ref="A42:H42"/>
    <mergeCell ref="E44:H44"/>
    <mergeCell ref="A33:H33"/>
    <mergeCell ref="A47:H47"/>
    <mergeCell ref="B7:D7"/>
    <mergeCell ref="A32:H32"/>
    <mergeCell ref="F25:H25"/>
    <mergeCell ref="A4:H4"/>
    <mergeCell ref="F16:H16"/>
    <mergeCell ref="G51:H51"/>
    <mergeCell ref="F19:H19"/>
    <mergeCell ref="A35:H35"/>
    <mergeCell ref="A45:C45"/>
    <mergeCell ref="A38:H38"/>
    <mergeCell ref="B51:C51"/>
    <mergeCell ref="A28:H28"/>
    <mergeCell ref="E46:H46"/>
    <mergeCell ref="G50:H50"/>
    <mergeCell ref="B50:C50"/>
    <mergeCell ref="F12:H12"/>
    <mergeCell ref="F7:H7"/>
    <mergeCell ref="E53:F53"/>
    <mergeCell ref="F15:H15"/>
    <mergeCell ref="A31:H31"/>
    <mergeCell ref="F24:H24"/>
    <mergeCell ref="A34:H34"/>
  </mergeCells>
  <dataValidations count="2">
    <dataValidation sqref="A13:A26" showDropDown="0" showInputMessage="0" showErrorMessage="0" allowBlank="1" type="list">
      <formula1>='Patrimônio Geral'!$A$7:$A$156</formula1>
    </dataValidation>
    <dataValidation sqref="E13:E26" showDropDown="0" showInputMessage="0" showErrorMessage="0" allowBlank="1" type="list">
      <formula1>=Listas!$J$2:$J$5</formula1>
    </dataValidation>
  </dataValidations>
  <pageMargins left="0.45" right="0.35" top="0.4" bottom="0.35" header="0.5" footer="0.5"/>
  <pageSetup orientation="portrait" paperSize="9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H54"/>
  <sheetViews>
    <sheetView showGridLines="0" workbookViewId="0">
      <selection activeCell="A1" sqref="A1"/>
    </sheetView>
  </sheetViews>
  <sheetFormatPr baseColWidth="8" defaultRowHeight="15"/>
  <cols>
    <col width="9" customWidth="1" min="1" max="1"/>
    <col width="34" customWidth="1" min="2" max="2"/>
    <col width="12" customWidth="1" min="3" max="3"/>
    <col width="15" customWidth="1" min="4" max="4"/>
    <col width="9" customWidth="1" min="5" max="5"/>
    <col width="6" customWidth="1" min="6" max="6"/>
    <col width="5" customWidth="1" min="7" max="7"/>
    <col width="6" customWidth="1" min="8" max="8"/>
  </cols>
  <sheetData>
    <row r="1" ht="26" customHeight="1">
      <c r="A1" s="1" t="inlineStr">
        <is>
          <t>VALVIC MARCENARIA</t>
        </is>
      </c>
    </row>
    <row r="2" ht="15" customHeight="1">
      <c r="A2" s="2" t="inlineStr">
        <is>
          <t>Vargas Decor Ltda   ·   CNPJ 17.269.304/0001-51   ·   Belo Horizonte / MG</t>
        </is>
      </c>
    </row>
    <row r="3" ht="28" customHeight="1">
      <c r="A3" s="3" t="inlineStr">
        <is>
          <t>TERMO DE ENTREGA E RESPONSABILIDADE</t>
        </is>
      </c>
    </row>
    <row r="4" ht="17" customHeight="1">
      <c r="A4" s="4" t="inlineStr">
        <is>
          <t>Ferramentas e equipamentos cedidos para uso profissional · vínculo CLT</t>
        </is>
      </c>
    </row>
    <row r="6" ht="20" customHeight="1">
      <c r="A6" s="5" t="inlineStr">
        <is>
          <t xml:space="preserve">  IDENTIFICAÇÃO</t>
        </is>
      </c>
    </row>
    <row r="7" ht="21" customHeight="1">
      <c r="A7" s="45" t="inlineStr">
        <is>
          <t>Nome completo</t>
        </is>
      </c>
      <c r="B7" s="46" t="inlineStr">
        <is>
          <t>Jonathan Godoy</t>
        </is>
      </c>
      <c r="E7" s="45" t="inlineStr">
        <is>
          <t>CPF / CNPJ</t>
        </is>
      </c>
      <c r="F7" s="47" t="inlineStr"/>
    </row>
    <row r="8" ht="21" customHeight="1">
      <c r="A8" s="45" t="inlineStr">
        <is>
          <t>Função</t>
        </is>
      </c>
      <c r="B8" s="46" t="inlineStr">
        <is>
          <t>Ajudante Geral</t>
        </is>
      </c>
      <c r="E8" s="45" t="inlineStr">
        <is>
          <t>Vínculo</t>
        </is>
      </c>
      <c r="F8" s="46" t="inlineStr">
        <is>
          <t>CLT</t>
        </is>
      </c>
    </row>
    <row r="9" ht="21" customHeight="1">
      <c r="A9" s="45" t="inlineStr">
        <is>
          <t>Data da entrega</t>
        </is>
      </c>
      <c r="B9" s="47" t="inlineStr"/>
      <c r="E9" s="45" t="inlineStr">
        <is>
          <t>Local de guarda</t>
        </is>
      </c>
      <c r="F9" s="46" t="inlineStr">
        <is>
          <t>Fábrica / canteiro de obra</t>
        </is>
      </c>
    </row>
    <row r="11" ht="20" customHeight="1">
      <c r="A11" s="5" t="inlineStr">
        <is>
          <t xml:space="preserve">  RELAÇÃO DE ITENS ENTREGUES          preencha o código — descrição, marca e valor vêm da aba Patrimônio Geral</t>
        </is>
      </c>
    </row>
    <row r="12" ht="24" customHeight="1">
      <c r="A12" s="48" t="inlineStr">
        <is>
          <t>Código</t>
        </is>
      </c>
      <c r="B12" s="48" t="inlineStr">
        <is>
          <t>Descrição do item</t>
        </is>
      </c>
      <c r="C12" s="48" t="inlineStr">
        <is>
          <t>Marca</t>
        </is>
      </c>
      <c r="D12" s="48" t="inlineStr">
        <is>
          <t>Etiqueta / nº série</t>
        </is>
      </c>
      <c r="E12" s="48" t="inlineStr">
        <is>
          <t>Estado</t>
        </is>
      </c>
      <c r="F12" s="48" t="inlineStr">
        <is>
          <t>Valor de referência</t>
        </is>
      </c>
      <c r="G12" s="48" t="n"/>
      <c r="H12" s="48" t="n"/>
    </row>
    <row r="13" ht="20" customHeight="1">
      <c r="A13" s="30" t="n"/>
      <c r="B13" s="49">
        <f>IFERROR(INDEX('Patrimônio Geral'!$C$7:$C$156,MATCH($A13,'Patrimônio Geral'!$A$7:$A$156,0)),"")</f>
        <v/>
      </c>
      <c r="C13" s="49">
        <f>IFERROR(INDEX('Patrimônio Geral'!$D$7:$D$156,MATCH($A13,'Patrimônio Geral'!$A$7:$A$156,0)),"")</f>
        <v/>
      </c>
      <c r="D13" s="49">
        <f>IFERROR(INDEX('Patrimônio Geral'!$G$7:$G$156,MATCH($A13,'Patrimônio Geral'!$A$7:$A$156,0)),"")</f>
        <v/>
      </c>
      <c r="E13" s="32" t="n"/>
      <c r="F13" s="50">
        <f>IFERROR(INDEX('Patrimônio Geral'!$K$7:$K$156,MATCH($A13,'Patrimônio Geral'!$A$7:$A$156,0)),"")</f>
        <v/>
      </c>
      <c r="G13" s="51" t="n"/>
      <c r="H13" s="51" t="n"/>
    </row>
    <row r="14" ht="20" customHeight="1">
      <c r="A14" s="30" t="n"/>
      <c r="B14" s="49">
        <f>IFERROR(INDEX('Patrimônio Geral'!$C$7:$C$156,MATCH($A14,'Patrimônio Geral'!$A$7:$A$156,0)),"")</f>
        <v/>
      </c>
      <c r="C14" s="49">
        <f>IFERROR(INDEX('Patrimônio Geral'!$D$7:$D$156,MATCH($A14,'Patrimônio Geral'!$A$7:$A$156,0)),"")</f>
        <v/>
      </c>
      <c r="D14" s="49">
        <f>IFERROR(INDEX('Patrimônio Geral'!$G$7:$G$156,MATCH($A14,'Patrimônio Geral'!$A$7:$A$156,0)),"")</f>
        <v/>
      </c>
      <c r="E14" s="32" t="n"/>
      <c r="F14" s="50">
        <f>IFERROR(INDEX('Patrimônio Geral'!$K$7:$K$156,MATCH($A14,'Patrimônio Geral'!$A$7:$A$156,0)),"")</f>
        <v/>
      </c>
      <c r="G14" s="51" t="n"/>
      <c r="H14" s="51" t="n"/>
    </row>
    <row r="15" ht="20" customHeight="1">
      <c r="A15" s="30" t="n"/>
      <c r="B15" s="49">
        <f>IFERROR(INDEX('Patrimônio Geral'!$C$7:$C$156,MATCH($A15,'Patrimônio Geral'!$A$7:$A$156,0)),"")</f>
        <v/>
      </c>
      <c r="C15" s="49">
        <f>IFERROR(INDEX('Patrimônio Geral'!$D$7:$D$156,MATCH($A15,'Patrimônio Geral'!$A$7:$A$156,0)),"")</f>
        <v/>
      </c>
      <c r="D15" s="49">
        <f>IFERROR(INDEX('Patrimônio Geral'!$G$7:$G$156,MATCH($A15,'Patrimônio Geral'!$A$7:$A$156,0)),"")</f>
        <v/>
      </c>
      <c r="E15" s="32" t="n"/>
      <c r="F15" s="50">
        <f>IFERROR(INDEX('Patrimônio Geral'!$K$7:$K$156,MATCH($A15,'Patrimônio Geral'!$A$7:$A$156,0)),"")</f>
        <v/>
      </c>
      <c r="G15" s="51" t="n"/>
      <c r="H15" s="51" t="n"/>
    </row>
    <row r="16" ht="20" customHeight="1">
      <c r="A16" s="30" t="n"/>
      <c r="B16" s="49">
        <f>IFERROR(INDEX('Patrimônio Geral'!$C$7:$C$156,MATCH($A16,'Patrimônio Geral'!$A$7:$A$156,0)),"")</f>
        <v/>
      </c>
      <c r="C16" s="49">
        <f>IFERROR(INDEX('Patrimônio Geral'!$D$7:$D$156,MATCH($A16,'Patrimônio Geral'!$A$7:$A$156,0)),"")</f>
        <v/>
      </c>
      <c r="D16" s="49">
        <f>IFERROR(INDEX('Patrimônio Geral'!$G$7:$G$156,MATCH($A16,'Patrimônio Geral'!$A$7:$A$156,0)),"")</f>
        <v/>
      </c>
      <c r="E16" s="32" t="n"/>
      <c r="F16" s="50">
        <f>IFERROR(INDEX('Patrimônio Geral'!$K$7:$K$156,MATCH($A16,'Patrimônio Geral'!$A$7:$A$156,0)),"")</f>
        <v/>
      </c>
      <c r="G16" s="51" t="n"/>
      <c r="H16" s="51" t="n"/>
    </row>
    <row r="17" ht="20" customHeight="1">
      <c r="A17" s="30" t="n"/>
      <c r="B17" s="49">
        <f>IFERROR(INDEX('Patrimônio Geral'!$C$7:$C$156,MATCH($A17,'Patrimônio Geral'!$A$7:$A$156,0)),"")</f>
        <v/>
      </c>
      <c r="C17" s="49">
        <f>IFERROR(INDEX('Patrimônio Geral'!$D$7:$D$156,MATCH($A17,'Patrimônio Geral'!$A$7:$A$156,0)),"")</f>
        <v/>
      </c>
      <c r="D17" s="49">
        <f>IFERROR(INDEX('Patrimônio Geral'!$G$7:$G$156,MATCH($A17,'Patrimônio Geral'!$A$7:$A$156,0)),"")</f>
        <v/>
      </c>
      <c r="E17" s="32" t="n"/>
      <c r="F17" s="50">
        <f>IFERROR(INDEX('Patrimônio Geral'!$K$7:$K$156,MATCH($A17,'Patrimônio Geral'!$A$7:$A$156,0)),"")</f>
        <v/>
      </c>
      <c r="G17" s="51" t="n"/>
      <c r="H17" s="51" t="n"/>
    </row>
    <row r="18" ht="20" customHeight="1">
      <c r="A18" s="30" t="n"/>
      <c r="B18" s="49">
        <f>IFERROR(INDEX('Patrimônio Geral'!$C$7:$C$156,MATCH($A18,'Patrimônio Geral'!$A$7:$A$156,0)),"")</f>
        <v/>
      </c>
      <c r="C18" s="49">
        <f>IFERROR(INDEX('Patrimônio Geral'!$D$7:$D$156,MATCH($A18,'Patrimônio Geral'!$A$7:$A$156,0)),"")</f>
        <v/>
      </c>
      <c r="D18" s="49">
        <f>IFERROR(INDEX('Patrimônio Geral'!$G$7:$G$156,MATCH($A18,'Patrimônio Geral'!$A$7:$A$156,0)),"")</f>
        <v/>
      </c>
      <c r="E18" s="32" t="n"/>
      <c r="F18" s="50">
        <f>IFERROR(INDEX('Patrimônio Geral'!$K$7:$K$156,MATCH($A18,'Patrimônio Geral'!$A$7:$A$156,0)),"")</f>
        <v/>
      </c>
      <c r="G18" s="51" t="n"/>
      <c r="H18" s="51" t="n"/>
    </row>
    <row r="19" ht="20" customHeight="1">
      <c r="A19" s="30" t="n"/>
      <c r="B19" s="49">
        <f>IFERROR(INDEX('Patrimônio Geral'!$C$7:$C$156,MATCH($A19,'Patrimônio Geral'!$A$7:$A$156,0)),"")</f>
        <v/>
      </c>
      <c r="C19" s="49">
        <f>IFERROR(INDEX('Patrimônio Geral'!$D$7:$D$156,MATCH($A19,'Patrimônio Geral'!$A$7:$A$156,0)),"")</f>
        <v/>
      </c>
      <c r="D19" s="49">
        <f>IFERROR(INDEX('Patrimônio Geral'!$G$7:$G$156,MATCH($A19,'Patrimônio Geral'!$A$7:$A$156,0)),"")</f>
        <v/>
      </c>
      <c r="E19" s="32" t="n"/>
      <c r="F19" s="50">
        <f>IFERROR(INDEX('Patrimônio Geral'!$K$7:$K$156,MATCH($A19,'Patrimônio Geral'!$A$7:$A$156,0)),"")</f>
        <v/>
      </c>
      <c r="G19" s="51" t="n"/>
      <c r="H19" s="51" t="n"/>
    </row>
    <row r="20" ht="20" customHeight="1">
      <c r="A20" s="30" t="n"/>
      <c r="B20" s="49">
        <f>IFERROR(INDEX('Patrimônio Geral'!$C$7:$C$156,MATCH($A20,'Patrimônio Geral'!$A$7:$A$156,0)),"")</f>
        <v/>
      </c>
      <c r="C20" s="49">
        <f>IFERROR(INDEX('Patrimônio Geral'!$D$7:$D$156,MATCH($A20,'Patrimônio Geral'!$A$7:$A$156,0)),"")</f>
        <v/>
      </c>
      <c r="D20" s="49">
        <f>IFERROR(INDEX('Patrimônio Geral'!$G$7:$G$156,MATCH($A20,'Patrimônio Geral'!$A$7:$A$156,0)),"")</f>
        <v/>
      </c>
      <c r="E20" s="32" t="n"/>
      <c r="F20" s="50">
        <f>IFERROR(INDEX('Patrimônio Geral'!$K$7:$K$156,MATCH($A20,'Patrimônio Geral'!$A$7:$A$156,0)),"")</f>
        <v/>
      </c>
      <c r="G20" s="51" t="n"/>
      <c r="H20" s="51" t="n"/>
    </row>
    <row r="21" ht="20" customHeight="1">
      <c r="A21" s="30" t="n"/>
      <c r="B21" s="49">
        <f>IFERROR(INDEX('Patrimônio Geral'!$C$7:$C$156,MATCH($A21,'Patrimônio Geral'!$A$7:$A$156,0)),"")</f>
        <v/>
      </c>
      <c r="C21" s="49">
        <f>IFERROR(INDEX('Patrimônio Geral'!$D$7:$D$156,MATCH($A21,'Patrimônio Geral'!$A$7:$A$156,0)),"")</f>
        <v/>
      </c>
      <c r="D21" s="49">
        <f>IFERROR(INDEX('Patrimônio Geral'!$G$7:$G$156,MATCH($A21,'Patrimônio Geral'!$A$7:$A$156,0)),"")</f>
        <v/>
      </c>
      <c r="E21" s="32" t="n"/>
      <c r="F21" s="50">
        <f>IFERROR(INDEX('Patrimônio Geral'!$K$7:$K$156,MATCH($A21,'Patrimônio Geral'!$A$7:$A$156,0)),"")</f>
        <v/>
      </c>
      <c r="G21" s="51" t="n"/>
      <c r="H21" s="51" t="n"/>
    </row>
    <row r="22" ht="20" customHeight="1">
      <c r="A22" s="30" t="n"/>
      <c r="B22" s="49">
        <f>IFERROR(INDEX('Patrimônio Geral'!$C$7:$C$156,MATCH($A22,'Patrimônio Geral'!$A$7:$A$156,0)),"")</f>
        <v/>
      </c>
      <c r="C22" s="49">
        <f>IFERROR(INDEX('Patrimônio Geral'!$D$7:$D$156,MATCH($A22,'Patrimônio Geral'!$A$7:$A$156,0)),"")</f>
        <v/>
      </c>
      <c r="D22" s="49">
        <f>IFERROR(INDEX('Patrimônio Geral'!$G$7:$G$156,MATCH($A22,'Patrimônio Geral'!$A$7:$A$156,0)),"")</f>
        <v/>
      </c>
      <c r="E22" s="32" t="n"/>
      <c r="F22" s="50">
        <f>IFERROR(INDEX('Patrimônio Geral'!$K$7:$K$156,MATCH($A22,'Patrimônio Geral'!$A$7:$A$156,0)),"")</f>
        <v/>
      </c>
      <c r="G22" s="51" t="n"/>
      <c r="H22" s="51" t="n"/>
    </row>
    <row r="23" ht="20" customHeight="1">
      <c r="A23" s="30" t="n"/>
      <c r="B23" s="49">
        <f>IFERROR(INDEX('Patrimônio Geral'!$C$7:$C$156,MATCH($A23,'Patrimônio Geral'!$A$7:$A$156,0)),"")</f>
        <v/>
      </c>
      <c r="C23" s="49">
        <f>IFERROR(INDEX('Patrimônio Geral'!$D$7:$D$156,MATCH($A23,'Patrimônio Geral'!$A$7:$A$156,0)),"")</f>
        <v/>
      </c>
      <c r="D23" s="49">
        <f>IFERROR(INDEX('Patrimônio Geral'!$G$7:$G$156,MATCH($A23,'Patrimônio Geral'!$A$7:$A$156,0)),"")</f>
        <v/>
      </c>
      <c r="E23" s="32" t="n"/>
      <c r="F23" s="50">
        <f>IFERROR(INDEX('Patrimônio Geral'!$K$7:$K$156,MATCH($A23,'Patrimônio Geral'!$A$7:$A$156,0)),"")</f>
        <v/>
      </c>
      <c r="G23" s="51" t="n"/>
      <c r="H23" s="51" t="n"/>
    </row>
    <row r="24" ht="20" customHeight="1">
      <c r="A24" s="30" t="n"/>
      <c r="B24" s="49">
        <f>IFERROR(INDEX('Patrimônio Geral'!$C$7:$C$156,MATCH($A24,'Patrimônio Geral'!$A$7:$A$156,0)),"")</f>
        <v/>
      </c>
      <c r="C24" s="49">
        <f>IFERROR(INDEX('Patrimônio Geral'!$D$7:$D$156,MATCH($A24,'Patrimônio Geral'!$A$7:$A$156,0)),"")</f>
        <v/>
      </c>
      <c r="D24" s="49">
        <f>IFERROR(INDEX('Patrimônio Geral'!$G$7:$G$156,MATCH($A24,'Patrimônio Geral'!$A$7:$A$156,0)),"")</f>
        <v/>
      </c>
      <c r="E24" s="32" t="n"/>
      <c r="F24" s="50">
        <f>IFERROR(INDEX('Patrimônio Geral'!$K$7:$K$156,MATCH($A24,'Patrimônio Geral'!$A$7:$A$156,0)),"")</f>
        <v/>
      </c>
      <c r="G24" s="51" t="n"/>
      <c r="H24" s="51" t="n"/>
    </row>
    <row r="25" ht="20" customHeight="1">
      <c r="A25" s="30" t="n"/>
      <c r="B25" s="49">
        <f>IFERROR(INDEX('Patrimônio Geral'!$C$7:$C$156,MATCH($A25,'Patrimônio Geral'!$A$7:$A$156,0)),"")</f>
        <v/>
      </c>
      <c r="C25" s="49">
        <f>IFERROR(INDEX('Patrimônio Geral'!$D$7:$D$156,MATCH($A25,'Patrimônio Geral'!$A$7:$A$156,0)),"")</f>
        <v/>
      </c>
      <c r="D25" s="49">
        <f>IFERROR(INDEX('Patrimônio Geral'!$G$7:$G$156,MATCH($A25,'Patrimônio Geral'!$A$7:$A$156,0)),"")</f>
        <v/>
      </c>
      <c r="E25" s="32" t="n"/>
      <c r="F25" s="50">
        <f>IFERROR(INDEX('Patrimônio Geral'!$K$7:$K$156,MATCH($A25,'Patrimônio Geral'!$A$7:$A$156,0)),"")</f>
        <v/>
      </c>
      <c r="G25" s="51" t="n"/>
      <c r="H25" s="51" t="n"/>
    </row>
    <row r="26" ht="20" customHeight="1">
      <c r="A26" s="30" t="n"/>
      <c r="B26" s="49">
        <f>IFERROR(INDEX('Patrimônio Geral'!$C$7:$C$156,MATCH($A26,'Patrimônio Geral'!$A$7:$A$156,0)),"")</f>
        <v/>
      </c>
      <c r="C26" s="49">
        <f>IFERROR(INDEX('Patrimônio Geral'!$D$7:$D$156,MATCH($A26,'Patrimônio Geral'!$A$7:$A$156,0)),"")</f>
        <v/>
      </c>
      <c r="D26" s="49">
        <f>IFERROR(INDEX('Patrimônio Geral'!$G$7:$G$156,MATCH($A26,'Patrimônio Geral'!$A$7:$A$156,0)),"")</f>
        <v/>
      </c>
      <c r="E26" s="32" t="n"/>
      <c r="F26" s="50">
        <f>IFERROR(INDEX('Patrimônio Geral'!$K$7:$K$156,MATCH($A26,'Patrimônio Geral'!$A$7:$A$156,0)),"")</f>
        <v/>
      </c>
      <c r="G26" s="51" t="n"/>
      <c r="H26" s="51" t="n"/>
    </row>
    <row r="27" ht="22" customHeight="1">
      <c r="A27" s="21" t="inlineStr">
        <is>
          <t>TOTAL DE REFERÊNCIA DOS ITENS ENTREGUES</t>
        </is>
      </c>
      <c r="F27" s="52">
        <f>SUM(F13:F26)</f>
        <v/>
      </c>
    </row>
    <row r="28" ht="15" customHeight="1">
      <c r="A28" s="53" t="inlineStr">
        <is>
          <t>O valor de referência serve apenas para identificar o bem. Não constitui caução, depósito, garantia nem autorização prévia de desconto.</t>
        </is>
      </c>
    </row>
    <row r="30" ht="20" customHeight="1">
      <c r="A30" s="5" t="inlineStr">
        <is>
          <t xml:space="preserve">  CONDIÇÕES</t>
        </is>
      </c>
    </row>
    <row r="31" ht="24" customHeight="1">
      <c r="A31" s="54" t="inlineStr">
        <is>
          <t>1.  OBJETO — A EMPRESA entrega ao COLABORADOR, em caráter de cessão para uso exclusivamente profissional, as ferramentas e equipamentos relacionados no quadro acima, que permanecem sendo de propriedade integral da EMPRESA.</t>
        </is>
      </c>
    </row>
    <row r="32" ht="24" customHeight="1">
      <c r="A32" s="54" t="inlineStr">
        <is>
          <t>2.  USO — Os itens destinam-se exclusivamente à execução das atividades de trabalho. É vedado emprestá-los, cedê-los, aliená-los ou utilizá-los em serviços particulares ou para terceiros.</t>
        </is>
      </c>
    </row>
    <row r="33" ht="24" customHeight="1">
      <c r="A33" s="54" t="inlineStr">
        <is>
          <t>3.  GUARDA — Os itens NÃO podem ser levados para a residência do COLABORADOR. A guarda deve ocorrer nas dependências da EMPRESA ou no canteiro de obra, em local seguro indicado pela coordenação.</t>
        </is>
      </c>
    </row>
    <row r="34" ht="24" customHeight="1">
      <c r="A34" s="54" t="inlineStr">
        <is>
          <t>4.  DESGASTE NATURAL — O desgaste decorrente do uso normal e a manutenção preventiva correm por conta da EMPRESA, sem qualquer ônus para o COLABORADOR.</t>
        </is>
      </c>
    </row>
    <row r="35" ht="46" customHeight="1">
      <c r="A35" s="54" t="inlineStr">
        <is>
          <t>5.  DANO POR USO INDEVIDO — Havendo dano decorrente de uso indevido, imprudência ou negligência comprovada, o COLABORADOR se compromete a REPOR o item por outro de mesma especificação e em estado equivalente, no prazo de 30 (trinta) dias, adquirindo-o por sua própria conta e da forma que lhe for mais conveniente. Não havendo reposição no prazo, e MEDIANTE AUTORIZAÇÃO EXPRESSA E ESPECÍFICA do COLABORADOR, o valor poderá ser descontado em folha, nos termos do art. 462, §1º, da CLT.</t>
        </is>
      </c>
    </row>
    <row r="36" ht="24" customHeight="1">
      <c r="A36" s="54" t="inlineStr">
        <is>
          <t>6.  FURTO OU ROUBO — Em caso de furto ou roubo, o COLABORADOR deve comunicar imediatamente a coordenação e registrar Boletim de Ocorrência em até 48 (quarenta e oito) horas. Comprovado o fato, não haverá qualquer ônus para o COLABORADOR.</t>
        </is>
      </c>
    </row>
    <row r="37" ht="24" customHeight="1">
      <c r="A37" s="54" t="inlineStr">
        <is>
          <t>7.  EXTRAVIO — O extravio sem registro de Boletim de Ocorrência equipara-se, para os efeitos deste termo, ao dano por negligência previsto na cláusula 5.</t>
        </is>
      </c>
    </row>
    <row r="38" ht="24" customHeight="1">
      <c r="A38" s="54" t="inlineStr">
        <is>
          <t>8.  DEVOLUÇÃO — Os itens devem ser devolvidos sempre que solicitados pela EMPRESA e, obrigatoriamente, no ato do desligamento, mediante registro no quadro de devolução deste termo.</t>
        </is>
      </c>
    </row>
    <row r="39" ht="24" customHeight="1">
      <c r="A39" s="54" t="inlineStr">
        <is>
          <t>9.  REGISTRO FOTOGRÁFICO — O registro fotográfico do estado dos itens, feito na data da entrega, integra este termo para todos os efeitos.</t>
        </is>
      </c>
    </row>
    <row r="41" ht="20" customHeight="1">
      <c r="A41" s="5" t="inlineStr">
        <is>
          <t xml:space="preserve">  DECLARAÇÃO E ASSINATURAS</t>
        </is>
      </c>
    </row>
    <row r="42" ht="34" customHeight="1">
      <c r="A42" s="55" t="inlineStr">
        <is>
          <t>Declaro ter recebido os itens acima relacionados, conferido seu estado de conservação e estar ciente das condições deste termo, que assino em duas vias de igual teor. Fica o COLABORADOR responsável pela guarda e pelo uso adequado dos itens enquanto estiverem sob sua posse.</t>
        </is>
      </c>
    </row>
    <row r="44" ht="8" customHeight="1">
      <c r="A44" s="56" t="n"/>
      <c r="E44" s="56" t="n"/>
    </row>
    <row r="45">
      <c r="A45" s="57" t="inlineStr">
        <is>
          <t>Jonathan Godoy</t>
        </is>
      </c>
      <c r="E45" s="57" t="inlineStr">
        <is>
          <t>Valvic Marcenaria — Vargas Decor Ltda</t>
        </is>
      </c>
    </row>
    <row r="46">
      <c r="A46" s="58" t="inlineStr">
        <is>
          <t>CPF / CNPJ</t>
        </is>
      </c>
      <c r="E46" s="58" t="inlineStr">
        <is>
          <t>Representante legal</t>
        </is>
      </c>
    </row>
    <row r="47" ht="24" customHeight="1">
      <c r="A47" s="59" t="inlineStr">
        <is>
          <t>Belo Horizonte / MG,  ______  de  ____________________  de  __________</t>
        </is>
      </c>
    </row>
    <row r="49" ht="20" customHeight="1">
      <c r="A49" s="5" t="inlineStr">
        <is>
          <t xml:space="preserve">  REGISTRO DE DEVOLUÇÃO          preencher no ato da devolução ou do desligamento</t>
        </is>
      </c>
    </row>
    <row r="50" ht="22" customHeight="1">
      <c r="A50" s="48" t="inlineStr">
        <is>
          <t>Data</t>
        </is>
      </c>
      <c r="B50" s="48" t="inlineStr">
        <is>
          <t>Itens devolvidos</t>
        </is>
      </c>
      <c r="C50" s="48" t="n"/>
      <c r="D50" s="48" t="inlineStr">
        <is>
          <t>Estado na devolução</t>
        </is>
      </c>
      <c r="E50" s="48" t="inlineStr">
        <is>
          <t>Pendências</t>
        </is>
      </c>
      <c r="F50" s="48" t="n"/>
      <c r="G50" s="48" t="inlineStr">
        <is>
          <t>Recebido por</t>
        </is>
      </c>
      <c r="H50" s="48" t="n"/>
    </row>
    <row r="51" ht="22" customHeight="1">
      <c r="A51" s="60" t="n"/>
      <c r="B51" s="31" t="n"/>
      <c r="C51" s="31" t="n"/>
      <c r="D51" s="31" t="n"/>
      <c r="E51" s="31" t="n"/>
      <c r="F51" s="31" t="n"/>
      <c r="G51" s="31" t="n"/>
      <c r="H51" s="31" t="n"/>
    </row>
    <row r="52" ht="22" customHeight="1">
      <c r="A52" s="60" t="n"/>
      <c r="B52" s="31" t="n"/>
      <c r="C52" s="31" t="n"/>
      <c r="D52" s="31" t="n"/>
      <c r="E52" s="31" t="n"/>
      <c r="F52" s="31" t="n"/>
      <c r="G52" s="31" t="n"/>
      <c r="H52" s="31" t="n"/>
    </row>
    <row r="53" ht="22" customHeight="1">
      <c r="A53" s="60" t="n"/>
      <c r="B53" s="31" t="n"/>
      <c r="C53" s="31" t="n"/>
      <c r="D53" s="31" t="n"/>
      <c r="E53" s="31" t="n"/>
      <c r="F53" s="31" t="n"/>
      <c r="G53" s="31" t="n"/>
      <c r="H53" s="31" t="n"/>
    </row>
    <row r="54" ht="15" customHeight="1">
      <c r="A54" s="61" t="inlineStr">
        <is>
          <t>Anexo obrigatório: registro fotográfico do estado dos itens na data da entrega. Sem o anexo, este termo não sustenta pedido de reposição.</t>
        </is>
      </c>
    </row>
  </sheetData>
  <mergeCells count="63">
    <mergeCell ref="F20:H20"/>
    <mergeCell ref="E50:F50"/>
    <mergeCell ref="E45:H45"/>
    <mergeCell ref="A30:H30"/>
    <mergeCell ref="A39:H39"/>
    <mergeCell ref="F21:H21"/>
    <mergeCell ref="G52:H52"/>
    <mergeCell ref="F18:H18"/>
    <mergeCell ref="A46:C46"/>
    <mergeCell ref="B8:D8"/>
    <mergeCell ref="F8:H8"/>
    <mergeCell ref="F26:H26"/>
    <mergeCell ref="A36:H36"/>
    <mergeCell ref="A11:H11"/>
    <mergeCell ref="F17:H17"/>
    <mergeCell ref="A49:H49"/>
    <mergeCell ref="A1:H1"/>
    <mergeCell ref="E52:F52"/>
    <mergeCell ref="A6:H6"/>
    <mergeCell ref="F23:H23"/>
    <mergeCell ref="B52:C52"/>
    <mergeCell ref="E51:F51"/>
    <mergeCell ref="F22:H22"/>
    <mergeCell ref="F13:H13"/>
    <mergeCell ref="F27:H27"/>
    <mergeCell ref="A54:H54"/>
    <mergeCell ref="B9:D9"/>
    <mergeCell ref="A41:H41"/>
    <mergeCell ref="G53:H53"/>
    <mergeCell ref="F9:H9"/>
    <mergeCell ref="A37:H37"/>
    <mergeCell ref="B53:C53"/>
    <mergeCell ref="A27:E27"/>
    <mergeCell ref="A3:H3"/>
    <mergeCell ref="A44:C44"/>
    <mergeCell ref="F14:H14"/>
    <mergeCell ref="A2:H2"/>
    <mergeCell ref="A42:H42"/>
    <mergeCell ref="E44:H44"/>
    <mergeCell ref="A33:H33"/>
    <mergeCell ref="A47:H47"/>
    <mergeCell ref="B7:D7"/>
    <mergeCell ref="A32:H32"/>
    <mergeCell ref="F25:H25"/>
    <mergeCell ref="A4:H4"/>
    <mergeCell ref="F16:H16"/>
    <mergeCell ref="G51:H51"/>
    <mergeCell ref="F19:H19"/>
    <mergeCell ref="A35:H35"/>
    <mergeCell ref="A45:C45"/>
    <mergeCell ref="A38:H38"/>
    <mergeCell ref="B51:C51"/>
    <mergeCell ref="A28:H28"/>
    <mergeCell ref="E46:H46"/>
    <mergeCell ref="G50:H50"/>
    <mergeCell ref="B50:C50"/>
    <mergeCell ref="F12:H12"/>
    <mergeCell ref="F7:H7"/>
    <mergeCell ref="E53:F53"/>
    <mergeCell ref="F15:H15"/>
    <mergeCell ref="A31:H31"/>
    <mergeCell ref="F24:H24"/>
    <mergeCell ref="A34:H34"/>
  </mergeCells>
  <dataValidations count="2">
    <dataValidation sqref="A13:A26" showDropDown="0" showInputMessage="0" showErrorMessage="0" allowBlank="1" type="list">
      <formula1>='Patrimônio Geral'!$A$7:$A$156</formula1>
    </dataValidation>
    <dataValidation sqref="E13:E26" showDropDown="0" showInputMessage="0" showErrorMessage="0" allowBlank="1" type="list">
      <formula1>=Listas!$J$2:$J$5</formula1>
    </dataValidation>
  </dataValidations>
  <pageMargins left="0.45" right="0.35" top="0.4" bottom="0.35" header="0.5" footer="0.5"/>
  <pageSetup orientation="portrait" paperSize="9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H54"/>
  <sheetViews>
    <sheetView showGridLines="0" workbookViewId="0">
      <selection activeCell="A1" sqref="A1"/>
    </sheetView>
  </sheetViews>
  <sheetFormatPr baseColWidth="8" defaultRowHeight="15"/>
  <cols>
    <col width="9" customWidth="1" min="1" max="1"/>
    <col width="34" customWidth="1" min="2" max="2"/>
    <col width="12" customWidth="1" min="3" max="3"/>
    <col width="15" customWidth="1" min="4" max="4"/>
    <col width="9" customWidth="1" min="5" max="5"/>
    <col width="6" customWidth="1" min="6" max="6"/>
    <col width="5" customWidth="1" min="7" max="7"/>
    <col width="6" customWidth="1" min="8" max="8"/>
  </cols>
  <sheetData>
    <row r="1" ht="26" customHeight="1">
      <c r="A1" s="1" t="inlineStr">
        <is>
          <t>VALVIC MARCENARIA</t>
        </is>
      </c>
    </row>
    <row r="2" ht="15" customHeight="1">
      <c r="A2" s="2" t="inlineStr">
        <is>
          <t>Vargas Decor Ltda   ·   CNPJ 17.269.304/0001-51   ·   Belo Horizonte / MG</t>
        </is>
      </c>
    </row>
    <row r="3" ht="28" customHeight="1">
      <c r="A3" s="3" t="inlineStr">
        <is>
          <t>TERMO DE ENTREGA E RESPONSABILIDADE</t>
        </is>
      </c>
    </row>
    <row r="4" ht="17" customHeight="1">
      <c r="A4" s="4" t="inlineStr">
        <is>
          <t>Ferramentas e equipamentos cedidos para uso profissional · vínculo CLT</t>
        </is>
      </c>
    </row>
    <row r="6" ht="20" customHeight="1">
      <c r="A6" s="5" t="inlineStr">
        <is>
          <t xml:space="preserve">  IDENTIFICAÇÃO</t>
        </is>
      </c>
    </row>
    <row r="7" ht="21" customHeight="1">
      <c r="A7" s="45" t="inlineStr">
        <is>
          <t>Nome completo</t>
        </is>
      </c>
      <c r="B7" s="46" t="inlineStr">
        <is>
          <t>Joelson</t>
        </is>
      </c>
      <c r="E7" s="45" t="inlineStr">
        <is>
          <t>CPF / CNPJ</t>
        </is>
      </c>
      <c r="F7" s="47" t="inlineStr"/>
    </row>
    <row r="8" ht="21" customHeight="1">
      <c r="A8" s="45" t="inlineStr">
        <is>
          <t>Função</t>
        </is>
      </c>
      <c r="B8" s="46" t="inlineStr">
        <is>
          <t>Operador CNC &amp; Máquinas</t>
        </is>
      </c>
      <c r="E8" s="45" t="inlineStr">
        <is>
          <t>Vínculo</t>
        </is>
      </c>
      <c r="F8" s="46" t="inlineStr">
        <is>
          <t>CLT</t>
        </is>
      </c>
    </row>
    <row r="9" ht="21" customHeight="1">
      <c r="A9" s="45" t="inlineStr">
        <is>
          <t>Data da entrega</t>
        </is>
      </c>
      <c r="B9" s="47" t="inlineStr"/>
      <c r="E9" s="45" t="inlineStr">
        <is>
          <t>Local de guarda</t>
        </is>
      </c>
      <c r="F9" s="46" t="inlineStr">
        <is>
          <t>Fábrica / canteiro de obra</t>
        </is>
      </c>
    </row>
    <row r="11" ht="20" customHeight="1">
      <c r="A11" s="5" t="inlineStr">
        <is>
          <t xml:space="preserve">  RELAÇÃO DE ITENS ENTREGUES          preencha o código — descrição, marca e valor vêm da aba Patrimônio Geral</t>
        </is>
      </c>
    </row>
    <row r="12" ht="24" customHeight="1">
      <c r="A12" s="48" t="inlineStr">
        <is>
          <t>Código</t>
        </is>
      </c>
      <c r="B12" s="48" t="inlineStr">
        <is>
          <t>Descrição do item</t>
        </is>
      </c>
      <c r="C12" s="48" t="inlineStr">
        <is>
          <t>Marca</t>
        </is>
      </c>
      <c r="D12" s="48" t="inlineStr">
        <is>
          <t>Etiqueta / nº série</t>
        </is>
      </c>
      <c r="E12" s="48" t="inlineStr">
        <is>
          <t>Estado</t>
        </is>
      </c>
      <c r="F12" s="48" t="inlineStr">
        <is>
          <t>Valor de referência</t>
        </is>
      </c>
      <c r="G12" s="48" t="n"/>
      <c r="H12" s="48" t="n"/>
    </row>
    <row r="13" ht="20" customHeight="1">
      <c r="A13" s="30" t="n"/>
      <c r="B13" s="49">
        <f>IFERROR(INDEX('Patrimônio Geral'!$C$7:$C$156,MATCH($A13,'Patrimônio Geral'!$A$7:$A$156,0)),"")</f>
        <v/>
      </c>
      <c r="C13" s="49">
        <f>IFERROR(INDEX('Patrimônio Geral'!$D$7:$D$156,MATCH($A13,'Patrimônio Geral'!$A$7:$A$156,0)),"")</f>
        <v/>
      </c>
      <c r="D13" s="49">
        <f>IFERROR(INDEX('Patrimônio Geral'!$G$7:$G$156,MATCH($A13,'Patrimônio Geral'!$A$7:$A$156,0)),"")</f>
        <v/>
      </c>
      <c r="E13" s="32" t="n"/>
      <c r="F13" s="50">
        <f>IFERROR(INDEX('Patrimônio Geral'!$K$7:$K$156,MATCH($A13,'Patrimônio Geral'!$A$7:$A$156,0)),"")</f>
        <v/>
      </c>
      <c r="G13" s="51" t="n"/>
      <c r="H13" s="51" t="n"/>
    </row>
    <row r="14" ht="20" customHeight="1">
      <c r="A14" s="30" t="n"/>
      <c r="B14" s="49">
        <f>IFERROR(INDEX('Patrimônio Geral'!$C$7:$C$156,MATCH($A14,'Patrimônio Geral'!$A$7:$A$156,0)),"")</f>
        <v/>
      </c>
      <c r="C14" s="49">
        <f>IFERROR(INDEX('Patrimônio Geral'!$D$7:$D$156,MATCH($A14,'Patrimônio Geral'!$A$7:$A$156,0)),"")</f>
        <v/>
      </c>
      <c r="D14" s="49">
        <f>IFERROR(INDEX('Patrimônio Geral'!$G$7:$G$156,MATCH($A14,'Patrimônio Geral'!$A$7:$A$156,0)),"")</f>
        <v/>
      </c>
      <c r="E14" s="32" t="n"/>
      <c r="F14" s="50">
        <f>IFERROR(INDEX('Patrimônio Geral'!$K$7:$K$156,MATCH($A14,'Patrimônio Geral'!$A$7:$A$156,0)),"")</f>
        <v/>
      </c>
      <c r="G14" s="51" t="n"/>
      <c r="H14" s="51" t="n"/>
    </row>
    <row r="15" ht="20" customHeight="1">
      <c r="A15" s="30" t="n"/>
      <c r="B15" s="49">
        <f>IFERROR(INDEX('Patrimônio Geral'!$C$7:$C$156,MATCH($A15,'Patrimônio Geral'!$A$7:$A$156,0)),"")</f>
        <v/>
      </c>
      <c r="C15" s="49">
        <f>IFERROR(INDEX('Patrimônio Geral'!$D$7:$D$156,MATCH($A15,'Patrimônio Geral'!$A$7:$A$156,0)),"")</f>
        <v/>
      </c>
      <c r="D15" s="49">
        <f>IFERROR(INDEX('Patrimônio Geral'!$G$7:$G$156,MATCH($A15,'Patrimônio Geral'!$A$7:$A$156,0)),"")</f>
        <v/>
      </c>
      <c r="E15" s="32" t="n"/>
      <c r="F15" s="50">
        <f>IFERROR(INDEX('Patrimônio Geral'!$K$7:$K$156,MATCH($A15,'Patrimônio Geral'!$A$7:$A$156,0)),"")</f>
        <v/>
      </c>
      <c r="G15" s="51" t="n"/>
      <c r="H15" s="51" t="n"/>
    </row>
    <row r="16" ht="20" customHeight="1">
      <c r="A16" s="30" t="n"/>
      <c r="B16" s="49">
        <f>IFERROR(INDEX('Patrimônio Geral'!$C$7:$C$156,MATCH($A16,'Patrimônio Geral'!$A$7:$A$156,0)),"")</f>
        <v/>
      </c>
      <c r="C16" s="49">
        <f>IFERROR(INDEX('Patrimônio Geral'!$D$7:$D$156,MATCH($A16,'Patrimônio Geral'!$A$7:$A$156,0)),"")</f>
        <v/>
      </c>
      <c r="D16" s="49">
        <f>IFERROR(INDEX('Patrimônio Geral'!$G$7:$G$156,MATCH($A16,'Patrimônio Geral'!$A$7:$A$156,0)),"")</f>
        <v/>
      </c>
      <c r="E16" s="32" t="n"/>
      <c r="F16" s="50">
        <f>IFERROR(INDEX('Patrimônio Geral'!$K$7:$K$156,MATCH($A16,'Patrimônio Geral'!$A$7:$A$156,0)),"")</f>
        <v/>
      </c>
      <c r="G16" s="51" t="n"/>
      <c r="H16" s="51" t="n"/>
    </row>
    <row r="17" ht="20" customHeight="1">
      <c r="A17" s="30" t="n"/>
      <c r="B17" s="49">
        <f>IFERROR(INDEX('Patrimônio Geral'!$C$7:$C$156,MATCH($A17,'Patrimônio Geral'!$A$7:$A$156,0)),"")</f>
        <v/>
      </c>
      <c r="C17" s="49">
        <f>IFERROR(INDEX('Patrimônio Geral'!$D$7:$D$156,MATCH($A17,'Patrimônio Geral'!$A$7:$A$156,0)),"")</f>
        <v/>
      </c>
      <c r="D17" s="49">
        <f>IFERROR(INDEX('Patrimônio Geral'!$G$7:$G$156,MATCH($A17,'Patrimônio Geral'!$A$7:$A$156,0)),"")</f>
        <v/>
      </c>
      <c r="E17" s="32" t="n"/>
      <c r="F17" s="50">
        <f>IFERROR(INDEX('Patrimônio Geral'!$K$7:$K$156,MATCH($A17,'Patrimônio Geral'!$A$7:$A$156,0)),"")</f>
        <v/>
      </c>
      <c r="G17" s="51" t="n"/>
      <c r="H17" s="51" t="n"/>
    </row>
    <row r="18" ht="20" customHeight="1">
      <c r="A18" s="30" t="n"/>
      <c r="B18" s="49">
        <f>IFERROR(INDEX('Patrimônio Geral'!$C$7:$C$156,MATCH($A18,'Patrimônio Geral'!$A$7:$A$156,0)),"")</f>
        <v/>
      </c>
      <c r="C18" s="49">
        <f>IFERROR(INDEX('Patrimônio Geral'!$D$7:$D$156,MATCH($A18,'Patrimônio Geral'!$A$7:$A$156,0)),"")</f>
        <v/>
      </c>
      <c r="D18" s="49">
        <f>IFERROR(INDEX('Patrimônio Geral'!$G$7:$G$156,MATCH($A18,'Patrimônio Geral'!$A$7:$A$156,0)),"")</f>
        <v/>
      </c>
      <c r="E18" s="32" t="n"/>
      <c r="F18" s="50">
        <f>IFERROR(INDEX('Patrimônio Geral'!$K$7:$K$156,MATCH($A18,'Patrimônio Geral'!$A$7:$A$156,0)),"")</f>
        <v/>
      </c>
      <c r="G18" s="51" t="n"/>
      <c r="H18" s="51" t="n"/>
    </row>
    <row r="19" ht="20" customHeight="1">
      <c r="A19" s="30" t="n"/>
      <c r="B19" s="49">
        <f>IFERROR(INDEX('Patrimônio Geral'!$C$7:$C$156,MATCH($A19,'Patrimônio Geral'!$A$7:$A$156,0)),"")</f>
        <v/>
      </c>
      <c r="C19" s="49">
        <f>IFERROR(INDEX('Patrimônio Geral'!$D$7:$D$156,MATCH($A19,'Patrimônio Geral'!$A$7:$A$156,0)),"")</f>
        <v/>
      </c>
      <c r="D19" s="49">
        <f>IFERROR(INDEX('Patrimônio Geral'!$G$7:$G$156,MATCH($A19,'Patrimônio Geral'!$A$7:$A$156,0)),"")</f>
        <v/>
      </c>
      <c r="E19" s="32" t="n"/>
      <c r="F19" s="50">
        <f>IFERROR(INDEX('Patrimônio Geral'!$K$7:$K$156,MATCH($A19,'Patrimônio Geral'!$A$7:$A$156,0)),"")</f>
        <v/>
      </c>
      <c r="G19" s="51" t="n"/>
      <c r="H19" s="51" t="n"/>
    </row>
    <row r="20" ht="20" customHeight="1">
      <c r="A20" s="30" t="n"/>
      <c r="B20" s="49">
        <f>IFERROR(INDEX('Patrimônio Geral'!$C$7:$C$156,MATCH($A20,'Patrimônio Geral'!$A$7:$A$156,0)),"")</f>
        <v/>
      </c>
      <c r="C20" s="49">
        <f>IFERROR(INDEX('Patrimônio Geral'!$D$7:$D$156,MATCH($A20,'Patrimônio Geral'!$A$7:$A$156,0)),"")</f>
        <v/>
      </c>
      <c r="D20" s="49">
        <f>IFERROR(INDEX('Patrimônio Geral'!$G$7:$G$156,MATCH($A20,'Patrimônio Geral'!$A$7:$A$156,0)),"")</f>
        <v/>
      </c>
      <c r="E20" s="32" t="n"/>
      <c r="F20" s="50">
        <f>IFERROR(INDEX('Patrimônio Geral'!$K$7:$K$156,MATCH($A20,'Patrimônio Geral'!$A$7:$A$156,0)),"")</f>
        <v/>
      </c>
      <c r="G20" s="51" t="n"/>
      <c r="H20" s="51" t="n"/>
    </row>
    <row r="21" ht="20" customHeight="1">
      <c r="A21" s="30" t="n"/>
      <c r="B21" s="49">
        <f>IFERROR(INDEX('Patrimônio Geral'!$C$7:$C$156,MATCH($A21,'Patrimônio Geral'!$A$7:$A$156,0)),"")</f>
        <v/>
      </c>
      <c r="C21" s="49">
        <f>IFERROR(INDEX('Patrimônio Geral'!$D$7:$D$156,MATCH($A21,'Patrimônio Geral'!$A$7:$A$156,0)),"")</f>
        <v/>
      </c>
      <c r="D21" s="49">
        <f>IFERROR(INDEX('Patrimônio Geral'!$G$7:$G$156,MATCH($A21,'Patrimônio Geral'!$A$7:$A$156,0)),"")</f>
        <v/>
      </c>
      <c r="E21" s="32" t="n"/>
      <c r="F21" s="50">
        <f>IFERROR(INDEX('Patrimônio Geral'!$K$7:$K$156,MATCH($A21,'Patrimônio Geral'!$A$7:$A$156,0)),"")</f>
        <v/>
      </c>
      <c r="G21" s="51" t="n"/>
      <c r="H21" s="51" t="n"/>
    </row>
    <row r="22" ht="20" customHeight="1">
      <c r="A22" s="30" t="n"/>
      <c r="B22" s="49">
        <f>IFERROR(INDEX('Patrimônio Geral'!$C$7:$C$156,MATCH($A22,'Patrimônio Geral'!$A$7:$A$156,0)),"")</f>
        <v/>
      </c>
      <c r="C22" s="49">
        <f>IFERROR(INDEX('Patrimônio Geral'!$D$7:$D$156,MATCH($A22,'Patrimônio Geral'!$A$7:$A$156,0)),"")</f>
        <v/>
      </c>
      <c r="D22" s="49">
        <f>IFERROR(INDEX('Patrimônio Geral'!$G$7:$G$156,MATCH($A22,'Patrimônio Geral'!$A$7:$A$156,0)),"")</f>
        <v/>
      </c>
      <c r="E22" s="32" t="n"/>
      <c r="F22" s="50">
        <f>IFERROR(INDEX('Patrimônio Geral'!$K$7:$K$156,MATCH($A22,'Patrimônio Geral'!$A$7:$A$156,0)),"")</f>
        <v/>
      </c>
      <c r="G22" s="51" t="n"/>
      <c r="H22" s="51" t="n"/>
    </row>
    <row r="23" ht="20" customHeight="1">
      <c r="A23" s="30" t="n"/>
      <c r="B23" s="49">
        <f>IFERROR(INDEX('Patrimônio Geral'!$C$7:$C$156,MATCH($A23,'Patrimônio Geral'!$A$7:$A$156,0)),"")</f>
        <v/>
      </c>
      <c r="C23" s="49">
        <f>IFERROR(INDEX('Patrimônio Geral'!$D$7:$D$156,MATCH($A23,'Patrimônio Geral'!$A$7:$A$156,0)),"")</f>
        <v/>
      </c>
      <c r="D23" s="49">
        <f>IFERROR(INDEX('Patrimônio Geral'!$G$7:$G$156,MATCH($A23,'Patrimônio Geral'!$A$7:$A$156,0)),"")</f>
        <v/>
      </c>
      <c r="E23" s="32" t="n"/>
      <c r="F23" s="50">
        <f>IFERROR(INDEX('Patrimônio Geral'!$K$7:$K$156,MATCH($A23,'Patrimônio Geral'!$A$7:$A$156,0)),"")</f>
        <v/>
      </c>
      <c r="G23" s="51" t="n"/>
      <c r="H23" s="51" t="n"/>
    </row>
    <row r="24" ht="20" customHeight="1">
      <c r="A24" s="30" t="n"/>
      <c r="B24" s="49">
        <f>IFERROR(INDEX('Patrimônio Geral'!$C$7:$C$156,MATCH($A24,'Patrimônio Geral'!$A$7:$A$156,0)),"")</f>
        <v/>
      </c>
      <c r="C24" s="49">
        <f>IFERROR(INDEX('Patrimônio Geral'!$D$7:$D$156,MATCH($A24,'Patrimônio Geral'!$A$7:$A$156,0)),"")</f>
        <v/>
      </c>
      <c r="D24" s="49">
        <f>IFERROR(INDEX('Patrimônio Geral'!$G$7:$G$156,MATCH($A24,'Patrimônio Geral'!$A$7:$A$156,0)),"")</f>
        <v/>
      </c>
      <c r="E24" s="32" t="n"/>
      <c r="F24" s="50">
        <f>IFERROR(INDEX('Patrimônio Geral'!$K$7:$K$156,MATCH($A24,'Patrimônio Geral'!$A$7:$A$156,0)),"")</f>
        <v/>
      </c>
      <c r="G24" s="51" t="n"/>
      <c r="H24" s="51" t="n"/>
    </row>
    <row r="25" ht="20" customHeight="1">
      <c r="A25" s="30" t="n"/>
      <c r="B25" s="49">
        <f>IFERROR(INDEX('Patrimônio Geral'!$C$7:$C$156,MATCH($A25,'Patrimônio Geral'!$A$7:$A$156,0)),"")</f>
        <v/>
      </c>
      <c r="C25" s="49">
        <f>IFERROR(INDEX('Patrimônio Geral'!$D$7:$D$156,MATCH($A25,'Patrimônio Geral'!$A$7:$A$156,0)),"")</f>
        <v/>
      </c>
      <c r="D25" s="49">
        <f>IFERROR(INDEX('Patrimônio Geral'!$G$7:$G$156,MATCH($A25,'Patrimônio Geral'!$A$7:$A$156,0)),"")</f>
        <v/>
      </c>
      <c r="E25" s="32" t="n"/>
      <c r="F25" s="50">
        <f>IFERROR(INDEX('Patrimônio Geral'!$K$7:$K$156,MATCH($A25,'Patrimônio Geral'!$A$7:$A$156,0)),"")</f>
        <v/>
      </c>
      <c r="G25" s="51" t="n"/>
      <c r="H25" s="51" t="n"/>
    </row>
    <row r="26" ht="20" customHeight="1">
      <c r="A26" s="30" t="n"/>
      <c r="B26" s="49">
        <f>IFERROR(INDEX('Patrimônio Geral'!$C$7:$C$156,MATCH($A26,'Patrimônio Geral'!$A$7:$A$156,0)),"")</f>
        <v/>
      </c>
      <c r="C26" s="49">
        <f>IFERROR(INDEX('Patrimônio Geral'!$D$7:$D$156,MATCH($A26,'Patrimônio Geral'!$A$7:$A$156,0)),"")</f>
        <v/>
      </c>
      <c r="D26" s="49">
        <f>IFERROR(INDEX('Patrimônio Geral'!$G$7:$G$156,MATCH($A26,'Patrimônio Geral'!$A$7:$A$156,0)),"")</f>
        <v/>
      </c>
      <c r="E26" s="32" t="n"/>
      <c r="F26" s="50">
        <f>IFERROR(INDEX('Patrimônio Geral'!$K$7:$K$156,MATCH($A26,'Patrimônio Geral'!$A$7:$A$156,0)),"")</f>
        <v/>
      </c>
      <c r="G26" s="51" t="n"/>
      <c r="H26" s="51" t="n"/>
    </row>
    <row r="27" ht="22" customHeight="1">
      <c r="A27" s="21" t="inlineStr">
        <is>
          <t>TOTAL DE REFERÊNCIA DOS ITENS ENTREGUES</t>
        </is>
      </c>
      <c r="F27" s="52">
        <f>SUM(F13:F26)</f>
        <v/>
      </c>
    </row>
    <row r="28" ht="15" customHeight="1">
      <c r="A28" s="53" t="inlineStr">
        <is>
          <t>O valor de referência serve apenas para identificar o bem. Não constitui caução, depósito, garantia nem autorização prévia de desconto.</t>
        </is>
      </c>
    </row>
    <row r="30" ht="20" customHeight="1">
      <c r="A30" s="5" t="inlineStr">
        <is>
          <t xml:space="preserve">  CONDIÇÕES</t>
        </is>
      </c>
    </row>
    <row r="31" ht="24" customHeight="1">
      <c r="A31" s="54" t="inlineStr">
        <is>
          <t>1.  OBJETO — A EMPRESA entrega ao COLABORADOR, em caráter de cessão para uso exclusivamente profissional, as ferramentas e equipamentos relacionados no quadro acima, que permanecem sendo de propriedade integral da EMPRESA.</t>
        </is>
      </c>
    </row>
    <row r="32" ht="24" customHeight="1">
      <c r="A32" s="54" t="inlineStr">
        <is>
          <t>2.  USO — Os itens destinam-se exclusivamente à execução das atividades de trabalho. É vedado emprestá-los, cedê-los, aliená-los ou utilizá-los em serviços particulares ou para terceiros.</t>
        </is>
      </c>
    </row>
    <row r="33" ht="24" customHeight="1">
      <c r="A33" s="54" t="inlineStr">
        <is>
          <t>3.  GUARDA — Os itens NÃO podem ser levados para a residência do COLABORADOR. A guarda deve ocorrer nas dependências da EMPRESA ou no canteiro de obra, em local seguro indicado pela coordenação.</t>
        </is>
      </c>
    </row>
    <row r="34" ht="24" customHeight="1">
      <c r="A34" s="54" t="inlineStr">
        <is>
          <t>4.  DESGASTE NATURAL — O desgaste decorrente do uso normal e a manutenção preventiva correm por conta da EMPRESA, sem qualquer ônus para o COLABORADOR.</t>
        </is>
      </c>
    </row>
    <row r="35" ht="46" customHeight="1">
      <c r="A35" s="54" t="inlineStr">
        <is>
          <t>5.  DANO POR USO INDEVIDO — Havendo dano decorrente de uso indevido, imprudência ou negligência comprovada, o COLABORADOR se compromete a REPOR o item por outro de mesma especificação e em estado equivalente, no prazo de 30 (trinta) dias, adquirindo-o por sua própria conta e da forma que lhe for mais conveniente. Não havendo reposição no prazo, e MEDIANTE AUTORIZAÇÃO EXPRESSA E ESPECÍFICA do COLABORADOR, o valor poderá ser descontado em folha, nos termos do art. 462, §1º, da CLT.</t>
        </is>
      </c>
    </row>
    <row r="36" ht="24" customHeight="1">
      <c r="A36" s="54" t="inlineStr">
        <is>
          <t>6.  FURTO OU ROUBO — Em caso de furto ou roubo, o COLABORADOR deve comunicar imediatamente a coordenação e registrar Boletim de Ocorrência em até 48 (quarenta e oito) horas. Comprovado o fato, não haverá qualquer ônus para o COLABORADOR.</t>
        </is>
      </c>
    </row>
    <row r="37" ht="24" customHeight="1">
      <c r="A37" s="54" t="inlineStr">
        <is>
          <t>7.  EXTRAVIO — O extravio sem registro de Boletim de Ocorrência equipara-se, para os efeitos deste termo, ao dano por negligência previsto na cláusula 5.</t>
        </is>
      </c>
    </row>
    <row r="38" ht="24" customHeight="1">
      <c r="A38" s="54" t="inlineStr">
        <is>
          <t>8.  DEVOLUÇÃO — Os itens devem ser devolvidos sempre que solicitados pela EMPRESA e, obrigatoriamente, no ato do desligamento, mediante registro no quadro de devolução deste termo.</t>
        </is>
      </c>
    </row>
    <row r="39" ht="24" customHeight="1">
      <c r="A39" s="54" t="inlineStr">
        <is>
          <t>9.  REGISTRO FOTOGRÁFICO — O registro fotográfico do estado dos itens, feito na data da entrega, integra este termo para todos os efeitos.</t>
        </is>
      </c>
    </row>
    <row r="41" ht="20" customHeight="1">
      <c r="A41" s="5" t="inlineStr">
        <is>
          <t xml:space="preserve">  DECLARAÇÃO E ASSINATURAS</t>
        </is>
      </c>
    </row>
    <row r="42" ht="34" customHeight="1">
      <c r="A42" s="55" t="inlineStr">
        <is>
          <t>Declaro ter recebido os itens acima relacionados, conferido seu estado de conservação e estar ciente das condições deste termo, que assino em duas vias de igual teor. Fica o COLABORADOR responsável pela guarda e pelo uso adequado dos itens enquanto estiverem sob sua posse.</t>
        </is>
      </c>
    </row>
    <row r="44" ht="8" customHeight="1">
      <c r="A44" s="56" t="n"/>
      <c r="E44" s="56" t="n"/>
    </row>
    <row r="45">
      <c r="A45" s="57" t="inlineStr">
        <is>
          <t>Joelson</t>
        </is>
      </c>
      <c r="E45" s="57" t="inlineStr">
        <is>
          <t>Valvic Marcenaria — Vargas Decor Ltda</t>
        </is>
      </c>
    </row>
    <row r="46">
      <c r="A46" s="58" t="inlineStr">
        <is>
          <t>CPF / CNPJ</t>
        </is>
      </c>
      <c r="E46" s="58" t="inlineStr">
        <is>
          <t>Representante legal</t>
        </is>
      </c>
    </row>
    <row r="47" ht="24" customHeight="1">
      <c r="A47" s="59" t="inlineStr">
        <is>
          <t>Belo Horizonte / MG,  ______  de  ____________________  de  __________</t>
        </is>
      </c>
    </row>
    <row r="49" ht="20" customHeight="1">
      <c r="A49" s="5" t="inlineStr">
        <is>
          <t xml:space="preserve">  REGISTRO DE DEVOLUÇÃO          preencher no ato da devolução ou do desligamento</t>
        </is>
      </c>
    </row>
    <row r="50" ht="22" customHeight="1">
      <c r="A50" s="48" t="inlineStr">
        <is>
          <t>Data</t>
        </is>
      </c>
      <c r="B50" s="48" t="inlineStr">
        <is>
          <t>Itens devolvidos</t>
        </is>
      </c>
      <c r="C50" s="48" t="n"/>
      <c r="D50" s="48" t="inlineStr">
        <is>
          <t>Estado na devolução</t>
        </is>
      </c>
      <c r="E50" s="48" t="inlineStr">
        <is>
          <t>Pendências</t>
        </is>
      </c>
      <c r="F50" s="48" t="n"/>
      <c r="G50" s="48" t="inlineStr">
        <is>
          <t>Recebido por</t>
        </is>
      </c>
      <c r="H50" s="48" t="n"/>
    </row>
    <row r="51" ht="22" customHeight="1">
      <c r="A51" s="60" t="n"/>
      <c r="B51" s="31" t="n"/>
      <c r="C51" s="31" t="n"/>
      <c r="D51" s="31" t="n"/>
      <c r="E51" s="31" t="n"/>
      <c r="F51" s="31" t="n"/>
      <c r="G51" s="31" t="n"/>
      <c r="H51" s="31" t="n"/>
    </row>
    <row r="52" ht="22" customHeight="1">
      <c r="A52" s="60" t="n"/>
      <c r="B52" s="31" t="n"/>
      <c r="C52" s="31" t="n"/>
      <c r="D52" s="31" t="n"/>
      <c r="E52" s="31" t="n"/>
      <c r="F52" s="31" t="n"/>
      <c r="G52" s="31" t="n"/>
      <c r="H52" s="31" t="n"/>
    </row>
    <row r="53" ht="22" customHeight="1">
      <c r="A53" s="60" t="n"/>
      <c r="B53" s="31" t="n"/>
      <c r="C53" s="31" t="n"/>
      <c r="D53" s="31" t="n"/>
      <c r="E53" s="31" t="n"/>
      <c r="F53" s="31" t="n"/>
      <c r="G53" s="31" t="n"/>
      <c r="H53" s="31" t="n"/>
    </row>
    <row r="54" ht="15" customHeight="1">
      <c r="A54" s="61" t="inlineStr">
        <is>
          <t>Anexo obrigatório: registro fotográfico do estado dos itens na data da entrega. Sem o anexo, este termo não sustenta pedido de reposição.</t>
        </is>
      </c>
    </row>
  </sheetData>
  <mergeCells count="63">
    <mergeCell ref="F20:H20"/>
    <mergeCell ref="E50:F50"/>
    <mergeCell ref="E45:H45"/>
    <mergeCell ref="A30:H30"/>
    <mergeCell ref="A39:H39"/>
    <mergeCell ref="F21:H21"/>
    <mergeCell ref="G52:H52"/>
    <mergeCell ref="F18:H18"/>
    <mergeCell ref="A46:C46"/>
    <mergeCell ref="B8:D8"/>
    <mergeCell ref="F8:H8"/>
    <mergeCell ref="F26:H26"/>
    <mergeCell ref="A36:H36"/>
    <mergeCell ref="A11:H11"/>
    <mergeCell ref="F17:H17"/>
    <mergeCell ref="A49:H49"/>
    <mergeCell ref="A1:H1"/>
    <mergeCell ref="E52:F52"/>
    <mergeCell ref="A6:H6"/>
    <mergeCell ref="F23:H23"/>
    <mergeCell ref="B52:C52"/>
    <mergeCell ref="E51:F51"/>
    <mergeCell ref="F22:H22"/>
    <mergeCell ref="F13:H13"/>
    <mergeCell ref="F27:H27"/>
    <mergeCell ref="A54:H54"/>
    <mergeCell ref="B9:D9"/>
    <mergeCell ref="A41:H41"/>
    <mergeCell ref="G53:H53"/>
    <mergeCell ref="F9:H9"/>
    <mergeCell ref="A37:H37"/>
    <mergeCell ref="B53:C53"/>
    <mergeCell ref="A27:E27"/>
    <mergeCell ref="A3:H3"/>
    <mergeCell ref="A44:C44"/>
    <mergeCell ref="F14:H14"/>
    <mergeCell ref="A2:H2"/>
    <mergeCell ref="A42:H42"/>
    <mergeCell ref="E44:H44"/>
    <mergeCell ref="A33:H33"/>
    <mergeCell ref="A47:H47"/>
    <mergeCell ref="B7:D7"/>
    <mergeCell ref="A32:H32"/>
    <mergeCell ref="F25:H25"/>
    <mergeCell ref="A4:H4"/>
    <mergeCell ref="F16:H16"/>
    <mergeCell ref="G51:H51"/>
    <mergeCell ref="F19:H19"/>
    <mergeCell ref="A35:H35"/>
    <mergeCell ref="A45:C45"/>
    <mergeCell ref="A38:H38"/>
    <mergeCell ref="B51:C51"/>
    <mergeCell ref="A28:H28"/>
    <mergeCell ref="E46:H46"/>
    <mergeCell ref="G50:H50"/>
    <mergeCell ref="B50:C50"/>
    <mergeCell ref="F12:H12"/>
    <mergeCell ref="F7:H7"/>
    <mergeCell ref="E53:F53"/>
    <mergeCell ref="F15:H15"/>
    <mergeCell ref="A31:H31"/>
    <mergeCell ref="F24:H24"/>
    <mergeCell ref="A34:H34"/>
  </mergeCells>
  <dataValidations count="2">
    <dataValidation sqref="A13:A26" showDropDown="0" showInputMessage="0" showErrorMessage="0" allowBlank="1" type="list">
      <formula1>='Patrimônio Geral'!$A$7:$A$156</formula1>
    </dataValidation>
    <dataValidation sqref="E13:E26" showDropDown="0" showInputMessage="0" showErrorMessage="0" allowBlank="1" type="list">
      <formula1>=Listas!$J$2:$J$5</formula1>
    </dataValidation>
  </dataValidations>
  <pageMargins left="0.45" right="0.35" top="0.4" bottom="0.35" header="0.5" footer="0.5"/>
  <pageSetup orientation="portrait" paperSize="9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H54"/>
  <sheetViews>
    <sheetView showGridLines="0" workbookViewId="0">
      <selection activeCell="A1" sqref="A1"/>
    </sheetView>
  </sheetViews>
  <sheetFormatPr baseColWidth="8" defaultRowHeight="15"/>
  <cols>
    <col width="9" customWidth="1" min="1" max="1"/>
    <col width="34" customWidth="1" min="2" max="2"/>
    <col width="12" customWidth="1" min="3" max="3"/>
    <col width="15" customWidth="1" min="4" max="4"/>
    <col width="9" customWidth="1" min="5" max="5"/>
    <col width="6" customWidth="1" min="6" max="6"/>
    <col width="5" customWidth="1" min="7" max="7"/>
    <col width="6" customWidth="1" min="8" max="8"/>
  </cols>
  <sheetData>
    <row r="1" ht="26" customHeight="1">
      <c r="A1" s="1" t="inlineStr">
        <is>
          <t>VALVIC MARCENARIA</t>
        </is>
      </c>
    </row>
    <row r="2" ht="15" customHeight="1">
      <c r="A2" s="2" t="inlineStr">
        <is>
          <t>Vargas Decor Ltda   ·   CNPJ 17.269.304/0001-51   ·   Belo Horizonte / MG</t>
        </is>
      </c>
    </row>
    <row r="3" ht="28" customHeight="1">
      <c r="A3" s="3" t="inlineStr">
        <is>
          <t>TERMO DE ENTREGA E RESPONSABILIDADE</t>
        </is>
      </c>
    </row>
    <row r="4" ht="17" customHeight="1">
      <c r="A4" s="4" t="inlineStr">
        <is>
          <t>Ferramentas e equipamentos cedidos para uso profissional · vínculo CLT</t>
        </is>
      </c>
    </row>
    <row r="6" ht="20" customHeight="1">
      <c r="A6" s="5" t="inlineStr">
        <is>
          <t xml:space="preserve">  IDENTIFICAÇÃO</t>
        </is>
      </c>
    </row>
    <row r="7" ht="21" customHeight="1">
      <c r="A7" s="45" t="inlineStr">
        <is>
          <t>Nome completo</t>
        </is>
      </c>
      <c r="B7" s="47" t="inlineStr"/>
      <c r="E7" s="45" t="inlineStr">
        <is>
          <t>CPF / CNPJ</t>
        </is>
      </c>
      <c r="F7" s="47" t="inlineStr"/>
    </row>
    <row r="8" ht="21" customHeight="1">
      <c r="A8" s="45" t="inlineStr">
        <is>
          <t>Função</t>
        </is>
      </c>
      <c r="B8" s="47" t="inlineStr"/>
      <c r="E8" s="45" t="inlineStr">
        <is>
          <t>Vínculo</t>
        </is>
      </c>
      <c r="F8" s="46" t="inlineStr">
        <is>
          <t>CLT</t>
        </is>
      </c>
    </row>
    <row r="9" ht="21" customHeight="1">
      <c r="A9" s="45" t="inlineStr">
        <is>
          <t>Data da entrega</t>
        </is>
      </c>
      <c r="B9" s="47" t="inlineStr"/>
      <c r="E9" s="45" t="inlineStr">
        <is>
          <t>Local de guarda</t>
        </is>
      </c>
      <c r="F9" s="46" t="inlineStr">
        <is>
          <t>Fábrica / canteiro de obra</t>
        </is>
      </c>
    </row>
    <row r="11" ht="20" customHeight="1">
      <c r="A11" s="5" t="inlineStr">
        <is>
          <t xml:space="preserve">  RELAÇÃO DE ITENS ENTREGUES          preencha o código — descrição, marca e valor vêm da aba Patrimônio Geral</t>
        </is>
      </c>
    </row>
    <row r="12" ht="24" customHeight="1">
      <c r="A12" s="48" t="inlineStr">
        <is>
          <t>Código</t>
        </is>
      </c>
      <c r="B12" s="48" t="inlineStr">
        <is>
          <t>Descrição do item</t>
        </is>
      </c>
      <c r="C12" s="48" t="inlineStr">
        <is>
          <t>Marca</t>
        </is>
      </c>
      <c r="D12" s="48" t="inlineStr">
        <is>
          <t>Etiqueta / nº série</t>
        </is>
      </c>
      <c r="E12" s="48" t="inlineStr">
        <is>
          <t>Estado</t>
        </is>
      </c>
      <c r="F12" s="48" t="inlineStr">
        <is>
          <t>Valor de referência</t>
        </is>
      </c>
      <c r="G12" s="48" t="n"/>
      <c r="H12" s="48" t="n"/>
    </row>
    <row r="13" ht="20" customHeight="1">
      <c r="A13" s="30" t="n"/>
      <c r="B13" s="49">
        <f>IFERROR(INDEX('Patrimônio Geral'!$C$7:$C$156,MATCH($A13,'Patrimônio Geral'!$A$7:$A$156,0)),"")</f>
        <v/>
      </c>
      <c r="C13" s="49">
        <f>IFERROR(INDEX('Patrimônio Geral'!$D$7:$D$156,MATCH($A13,'Patrimônio Geral'!$A$7:$A$156,0)),"")</f>
        <v/>
      </c>
      <c r="D13" s="49">
        <f>IFERROR(INDEX('Patrimônio Geral'!$G$7:$G$156,MATCH($A13,'Patrimônio Geral'!$A$7:$A$156,0)),"")</f>
        <v/>
      </c>
      <c r="E13" s="32" t="n"/>
      <c r="F13" s="50">
        <f>IFERROR(INDEX('Patrimônio Geral'!$K$7:$K$156,MATCH($A13,'Patrimônio Geral'!$A$7:$A$156,0)),"")</f>
        <v/>
      </c>
      <c r="G13" s="51" t="n"/>
      <c r="H13" s="51" t="n"/>
    </row>
    <row r="14" ht="20" customHeight="1">
      <c r="A14" s="30" t="n"/>
      <c r="B14" s="49">
        <f>IFERROR(INDEX('Patrimônio Geral'!$C$7:$C$156,MATCH($A14,'Patrimônio Geral'!$A$7:$A$156,0)),"")</f>
        <v/>
      </c>
      <c r="C14" s="49">
        <f>IFERROR(INDEX('Patrimônio Geral'!$D$7:$D$156,MATCH($A14,'Patrimônio Geral'!$A$7:$A$156,0)),"")</f>
        <v/>
      </c>
      <c r="D14" s="49">
        <f>IFERROR(INDEX('Patrimônio Geral'!$G$7:$G$156,MATCH($A14,'Patrimônio Geral'!$A$7:$A$156,0)),"")</f>
        <v/>
      </c>
      <c r="E14" s="32" t="n"/>
      <c r="F14" s="50">
        <f>IFERROR(INDEX('Patrimônio Geral'!$K$7:$K$156,MATCH($A14,'Patrimônio Geral'!$A$7:$A$156,0)),"")</f>
        <v/>
      </c>
      <c r="G14" s="51" t="n"/>
      <c r="H14" s="51" t="n"/>
    </row>
    <row r="15" ht="20" customHeight="1">
      <c r="A15" s="30" t="n"/>
      <c r="B15" s="49">
        <f>IFERROR(INDEX('Patrimônio Geral'!$C$7:$C$156,MATCH($A15,'Patrimônio Geral'!$A$7:$A$156,0)),"")</f>
        <v/>
      </c>
      <c r="C15" s="49">
        <f>IFERROR(INDEX('Patrimônio Geral'!$D$7:$D$156,MATCH($A15,'Patrimônio Geral'!$A$7:$A$156,0)),"")</f>
        <v/>
      </c>
      <c r="D15" s="49">
        <f>IFERROR(INDEX('Patrimônio Geral'!$G$7:$G$156,MATCH($A15,'Patrimônio Geral'!$A$7:$A$156,0)),"")</f>
        <v/>
      </c>
      <c r="E15" s="32" t="n"/>
      <c r="F15" s="50">
        <f>IFERROR(INDEX('Patrimônio Geral'!$K$7:$K$156,MATCH($A15,'Patrimônio Geral'!$A$7:$A$156,0)),"")</f>
        <v/>
      </c>
      <c r="G15" s="51" t="n"/>
      <c r="H15" s="51" t="n"/>
    </row>
    <row r="16" ht="20" customHeight="1">
      <c r="A16" s="30" t="n"/>
      <c r="B16" s="49">
        <f>IFERROR(INDEX('Patrimônio Geral'!$C$7:$C$156,MATCH($A16,'Patrimônio Geral'!$A$7:$A$156,0)),"")</f>
        <v/>
      </c>
      <c r="C16" s="49">
        <f>IFERROR(INDEX('Patrimônio Geral'!$D$7:$D$156,MATCH($A16,'Patrimônio Geral'!$A$7:$A$156,0)),"")</f>
        <v/>
      </c>
      <c r="D16" s="49">
        <f>IFERROR(INDEX('Patrimônio Geral'!$G$7:$G$156,MATCH($A16,'Patrimônio Geral'!$A$7:$A$156,0)),"")</f>
        <v/>
      </c>
      <c r="E16" s="32" t="n"/>
      <c r="F16" s="50">
        <f>IFERROR(INDEX('Patrimônio Geral'!$K$7:$K$156,MATCH($A16,'Patrimônio Geral'!$A$7:$A$156,0)),"")</f>
        <v/>
      </c>
      <c r="G16" s="51" t="n"/>
      <c r="H16" s="51" t="n"/>
    </row>
    <row r="17" ht="20" customHeight="1">
      <c r="A17" s="30" t="n"/>
      <c r="B17" s="49">
        <f>IFERROR(INDEX('Patrimônio Geral'!$C$7:$C$156,MATCH($A17,'Patrimônio Geral'!$A$7:$A$156,0)),"")</f>
        <v/>
      </c>
      <c r="C17" s="49">
        <f>IFERROR(INDEX('Patrimônio Geral'!$D$7:$D$156,MATCH($A17,'Patrimônio Geral'!$A$7:$A$156,0)),"")</f>
        <v/>
      </c>
      <c r="D17" s="49">
        <f>IFERROR(INDEX('Patrimônio Geral'!$G$7:$G$156,MATCH($A17,'Patrimônio Geral'!$A$7:$A$156,0)),"")</f>
        <v/>
      </c>
      <c r="E17" s="32" t="n"/>
      <c r="F17" s="50">
        <f>IFERROR(INDEX('Patrimônio Geral'!$K$7:$K$156,MATCH($A17,'Patrimônio Geral'!$A$7:$A$156,0)),"")</f>
        <v/>
      </c>
      <c r="G17" s="51" t="n"/>
      <c r="H17" s="51" t="n"/>
    </row>
    <row r="18" ht="20" customHeight="1">
      <c r="A18" s="30" t="n"/>
      <c r="B18" s="49">
        <f>IFERROR(INDEX('Patrimônio Geral'!$C$7:$C$156,MATCH($A18,'Patrimônio Geral'!$A$7:$A$156,0)),"")</f>
        <v/>
      </c>
      <c r="C18" s="49">
        <f>IFERROR(INDEX('Patrimônio Geral'!$D$7:$D$156,MATCH($A18,'Patrimônio Geral'!$A$7:$A$156,0)),"")</f>
        <v/>
      </c>
      <c r="D18" s="49">
        <f>IFERROR(INDEX('Patrimônio Geral'!$G$7:$G$156,MATCH($A18,'Patrimônio Geral'!$A$7:$A$156,0)),"")</f>
        <v/>
      </c>
      <c r="E18" s="32" t="n"/>
      <c r="F18" s="50">
        <f>IFERROR(INDEX('Patrimônio Geral'!$K$7:$K$156,MATCH($A18,'Patrimônio Geral'!$A$7:$A$156,0)),"")</f>
        <v/>
      </c>
      <c r="G18" s="51" t="n"/>
      <c r="H18" s="51" t="n"/>
    </row>
    <row r="19" ht="20" customHeight="1">
      <c r="A19" s="30" t="n"/>
      <c r="B19" s="49">
        <f>IFERROR(INDEX('Patrimônio Geral'!$C$7:$C$156,MATCH($A19,'Patrimônio Geral'!$A$7:$A$156,0)),"")</f>
        <v/>
      </c>
      <c r="C19" s="49">
        <f>IFERROR(INDEX('Patrimônio Geral'!$D$7:$D$156,MATCH($A19,'Patrimônio Geral'!$A$7:$A$156,0)),"")</f>
        <v/>
      </c>
      <c r="D19" s="49">
        <f>IFERROR(INDEX('Patrimônio Geral'!$G$7:$G$156,MATCH($A19,'Patrimônio Geral'!$A$7:$A$156,0)),"")</f>
        <v/>
      </c>
      <c r="E19" s="32" t="n"/>
      <c r="F19" s="50">
        <f>IFERROR(INDEX('Patrimônio Geral'!$K$7:$K$156,MATCH($A19,'Patrimônio Geral'!$A$7:$A$156,0)),"")</f>
        <v/>
      </c>
      <c r="G19" s="51" t="n"/>
      <c r="H19" s="51" t="n"/>
    </row>
    <row r="20" ht="20" customHeight="1">
      <c r="A20" s="30" t="n"/>
      <c r="B20" s="49">
        <f>IFERROR(INDEX('Patrimônio Geral'!$C$7:$C$156,MATCH($A20,'Patrimônio Geral'!$A$7:$A$156,0)),"")</f>
        <v/>
      </c>
      <c r="C20" s="49">
        <f>IFERROR(INDEX('Patrimônio Geral'!$D$7:$D$156,MATCH($A20,'Patrimônio Geral'!$A$7:$A$156,0)),"")</f>
        <v/>
      </c>
      <c r="D20" s="49">
        <f>IFERROR(INDEX('Patrimônio Geral'!$G$7:$G$156,MATCH($A20,'Patrimônio Geral'!$A$7:$A$156,0)),"")</f>
        <v/>
      </c>
      <c r="E20" s="32" t="n"/>
      <c r="F20" s="50">
        <f>IFERROR(INDEX('Patrimônio Geral'!$K$7:$K$156,MATCH($A20,'Patrimônio Geral'!$A$7:$A$156,0)),"")</f>
        <v/>
      </c>
      <c r="G20" s="51" t="n"/>
      <c r="H20" s="51" t="n"/>
    </row>
    <row r="21" ht="20" customHeight="1">
      <c r="A21" s="30" t="n"/>
      <c r="B21" s="49">
        <f>IFERROR(INDEX('Patrimônio Geral'!$C$7:$C$156,MATCH($A21,'Patrimônio Geral'!$A$7:$A$156,0)),"")</f>
        <v/>
      </c>
      <c r="C21" s="49">
        <f>IFERROR(INDEX('Patrimônio Geral'!$D$7:$D$156,MATCH($A21,'Patrimônio Geral'!$A$7:$A$156,0)),"")</f>
        <v/>
      </c>
      <c r="D21" s="49">
        <f>IFERROR(INDEX('Patrimônio Geral'!$G$7:$G$156,MATCH($A21,'Patrimônio Geral'!$A$7:$A$156,0)),"")</f>
        <v/>
      </c>
      <c r="E21" s="32" t="n"/>
      <c r="F21" s="50">
        <f>IFERROR(INDEX('Patrimônio Geral'!$K$7:$K$156,MATCH($A21,'Patrimônio Geral'!$A$7:$A$156,0)),"")</f>
        <v/>
      </c>
      <c r="G21" s="51" t="n"/>
      <c r="H21" s="51" t="n"/>
    </row>
    <row r="22" ht="20" customHeight="1">
      <c r="A22" s="30" t="n"/>
      <c r="B22" s="49">
        <f>IFERROR(INDEX('Patrimônio Geral'!$C$7:$C$156,MATCH($A22,'Patrimônio Geral'!$A$7:$A$156,0)),"")</f>
        <v/>
      </c>
      <c r="C22" s="49">
        <f>IFERROR(INDEX('Patrimônio Geral'!$D$7:$D$156,MATCH($A22,'Patrimônio Geral'!$A$7:$A$156,0)),"")</f>
        <v/>
      </c>
      <c r="D22" s="49">
        <f>IFERROR(INDEX('Patrimônio Geral'!$G$7:$G$156,MATCH($A22,'Patrimônio Geral'!$A$7:$A$156,0)),"")</f>
        <v/>
      </c>
      <c r="E22" s="32" t="n"/>
      <c r="F22" s="50">
        <f>IFERROR(INDEX('Patrimônio Geral'!$K$7:$K$156,MATCH($A22,'Patrimônio Geral'!$A$7:$A$156,0)),"")</f>
        <v/>
      </c>
      <c r="G22" s="51" t="n"/>
      <c r="H22" s="51" t="n"/>
    </row>
    <row r="23" ht="20" customHeight="1">
      <c r="A23" s="30" t="n"/>
      <c r="B23" s="49">
        <f>IFERROR(INDEX('Patrimônio Geral'!$C$7:$C$156,MATCH($A23,'Patrimônio Geral'!$A$7:$A$156,0)),"")</f>
        <v/>
      </c>
      <c r="C23" s="49">
        <f>IFERROR(INDEX('Patrimônio Geral'!$D$7:$D$156,MATCH($A23,'Patrimônio Geral'!$A$7:$A$156,0)),"")</f>
        <v/>
      </c>
      <c r="D23" s="49">
        <f>IFERROR(INDEX('Patrimônio Geral'!$G$7:$G$156,MATCH($A23,'Patrimônio Geral'!$A$7:$A$156,0)),"")</f>
        <v/>
      </c>
      <c r="E23" s="32" t="n"/>
      <c r="F23" s="50">
        <f>IFERROR(INDEX('Patrimônio Geral'!$K$7:$K$156,MATCH($A23,'Patrimônio Geral'!$A$7:$A$156,0)),"")</f>
        <v/>
      </c>
      <c r="G23" s="51" t="n"/>
      <c r="H23" s="51" t="n"/>
    </row>
    <row r="24" ht="20" customHeight="1">
      <c r="A24" s="30" t="n"/>
      <c r="B24" s="49">
        <f>IFERROR(INDEX('Patrimônio Geral'!$C$7:$C$156,MATCH($A24,'Patrimônio Geral'!$A$7:$A$156,0)),"")</f>
        <v/>
      </c>
      <c r="C24" s="49">
        <f>IFERROR(INDEX('Patrimônio Geral'!$D$7:$D$156,MATCH($A24,'Patrimônio Geral'!$A$7:$A$156,0)),"")</f>
        <v/>
      </c>
      <c r="D24" s="49">
        <f>IFERROR(INDEX('Patrimônio Geral'!$G$7:$G$156,MATCH($A24,'Patrimônio Geral'!$A$7:$A$156,0)),"")</f>
        <v/>
      </c>
      <c r="E24" s="32" t="n"/>
      <c r="F24" s="50">
        <f>IFERROR(INDEX('Patrimônio Geral'!$K$7:$K$156,MATCH($A24,'Patrimônio Geral'!$A$7:$A$156,0)),"")</f>
        <v/>
      </c>
      <c r="G24" s="51" t="n"/>
      <c r="H24" s="51" t="n"/>
    </row>
    <row r="25" ht="20" customHeight="1">
      <c r="A25" s="30" t="n"/>
      <c r="B25" s="49">
        <f>IFERROR(INDEX('Patrimônio Geral'!$C$7:$C$156,MATCH($A25,'Patrimônio Geral'!$A$7:$A$156,0)),"")</f>
        <v/>
      </c>
      <c r="C25" s="49">
        <f>IFERROR(INDEX('Patrimônio Geral'!$D$7:$D$156,MATCH($A25,'Patrimônio Geral'!$A$7:$A$156,0)),"")</f>
        <v/>
      </c>
      <c r="D25" s="49">
        <f>IFERROR(INDEX('Patrimônio Geral'!$G$7:$G$156,MATCH($A25,'Patrimônio Geral'!$A$7:$A$156,0)),"")</f>
        <v/>
      </c>
      <c r="E25" s="32" t="n"/>
      <c r="F25" s="50">
        <f>IFERROR(INDEX('Patrimônio Geral'!$K$7:$K$156,MATCH($A25,'Patrimônio Geral'!$A$7:$A$156,0)),"")</f>
        <v/>
      </c>
      <c r="G25" s="51" t="n"/>
      <c r="H25" s="51" t="n"/>
    </row>
    <row r="26" ht="20" customHeight="1">
      <c r="A26" s="30" t="n"/>
      <c r="B26" s="49">
        <f>IFERROR(INDEX('Patrimônio Geral'!$C$7:$C$156,MATCH($A26,'Patrimônio Geral'!$A$7:$A$156,0)),"")</f>
        <v/>
      </c>
      <c r="C26" s="49">
        <f>IFERROR(INDEX('Patrimônio Geral'!$D$7:$D$156,MATCH($A26,'Patrimônio Geral'!$A$7:$A$156,0)),"")</f>
        <v/>
      </c>
      <c r="D26" s="49">
        <f>IFERROR(INDEX('Patrimônio Geral'!$G$7:$G$156,MATCH($A26,'Patrimônio Geral'!$A$7:$A$156,0)),"")</f>
        <v/>
      </c>
      <c r="E26" s="32" t="n"/>
      <c r="F26" s="50">
        <f>IFERROR(INDEX('Patrimônio Geral'!$K$7:$K$156,MATCH($A26,'Patrimônio Geral'!$A$7:$A$156,0)),"")</f>
        <v/>
      </c>
      <c r="G26" s="51" t="n"/>
      <c r="H26" s="51" t="n"/>
    </row>
    <row r="27" ht="22" customHeight="1">
      <c r="A27" s="21" t="inlineStr">
        <is>
          <t>TOTAL DE REFERÊNCIA DOS ITENS ENTREGUES</t>
        </is>
      </c>
      <c r="F27" s="52">
        <f>SUM(F13:F26)</f>
        <v/>
      </c>
    </row>
    <row r="28" ht="15" customHeight="1">
      <c r="A28" s="53" t="inlineStr">
        <is>
          <t>O valor de referência serve apenas para identificar o bem. Não constitui caução, depósito, garantia nem autorização prévia de desconto.</t>
        </is>
      </c>
    </row>
    <row r="30" ht="20" customHeight="1">
      <c r="A30" s="5" t="inlineStr">
        <is>
          <t xml:space="preserve">  CONDIÇÕES</t>
        </is>
      </c>
    </row>
    <row r="31" ht="24" customHeight="1">
      <c r="A31" s="54" t="inlineStr">
        <is>
          <t>1.  OBJETO — A EMPRESA entrega ao COLABORADOR, em caráter de cessão para uso exclusivamente profissional, as ferramentas e equipamentos relacionados no quadro acima, que permanecem sendo de propriedade integral da EMPRESA.</t>
        </is>
      </c>
    </row>
    <row r="32" ht="24" customHeight="1">
      <c r="A32" s="54" t="inlineStr">
        <is>
          <t>2.  USO — Os itens destinam-se exclusivamente à execução das atividades de trabalho. É vedado emprestá-los, cedê-los, aliená-los ou utilizá-los em serviços particulares ou para terceiros.</t>
        </is>
      </c>
    </row>
    <row r="33" ht="24" customHeight="1">
      <c r="A33" s="54" t="inlineStr">
        <is>
          <t>3.  GUARDA — Os itens NÃO podem ser levados para a residência do COLABORADOR. A guarda deve ocorrer nas dependências da EMPRESA ou no canteiro de obra, em local seguro indicado pela coordenação.</t>
        </is>
      </c>
    </row>
    <row r="34" ht="24" customHeight="1">
      <c r="A34" s="54" t="inlineStr">
        <is>
          <t>4.  DESGASTE NATURAL — O desgaste decorrente do uso normal e a manutenção preventiva correm por conta da EMPRESA, sem qualquer ônus para o COLABORADOR.</t>
        </is>
      </c>
    </row>
    <row r="35" ht="46" customHeight="1">
      <c r="A35" s="54" t="inlineStr">
        <is>
          <t>5.  DANO POR USO INDEVIDO — Havendo dano decorrente de uso indevido, imprudência ou negligência comprovada, o COLABORADOR se compromete a REPOR o item por outro de mesma especificação e em estado equivalente, no prazo de 30 (trinta) dias, adquirindo-o por sua própria conta e da forma que lhe for mais conveniente. Não havendo reposição no prazo, e MEDIANTE AUTORIZAÇÃO EXPRESSA E ESPECÍFICA do COLABORADOR, o valor poderá ser descontado em folha, nos termos do art. 462, §1º, da CLT.</t>
        </is>
      </c>
    </row>
    <row r="36" ht="24" customHeight="1">
      <c r="A36" s="54" t="inlineStr">
        <is>
          <t>6.  FURTO OU ROUBO — Em caso de furto ou roubo, o COLABORADOR deve comunicar imediatamente a coordenação e registrar Boletim de Ocorrência em até 48 (quarenta e oito) horas. Comprovado o fato, não haverá qualquer ônus para o COLABORADOR.</t>
        </is>
      </c>
    </row>
    <row r="37" ht="24" customHeight="1">
      <c r="A37" s="54" t="inlineStr">
        <is>
          <t>7.  EXTRAVIO — O extravio sem registro de Boletim de Ocorrência equipara-se, para os efeitos deste termo, ao dano por negligência previsto na cláusula 5.</t>
        </is>
      </c>
    </row>
    <row r="38" ht="24" customHeight="1">
      <c r="A38" s="54" t="inlineStr">
        <is>
          <t>8.  DEVOLUÇÃO — Os itens devem ser devolvidos sempre que solicitados pela EMPRESA e, obrigatoriamente, no ato do desligamento, mediante registro no quadro de devolução deste termo.</t>
        </is>
      </c>
    </row>
    <row r="39" ht="24" customHeight="1">
      <c r="A39" s="54" t="inlineStr">
        <is>
          <t>9.  REGISTRO FOTOGRÁFICO — O registro fotográfico do estado dos itens, feito na data da entrega, integra este termo para todos os efeitos.</t>
        </is>
      </c>
    </row>
    <row r="41" ht="20" customHeight="1">
      <c r="A41" s="5" t="inlineStr">
        <is>
          <t xml:space="preserve">  DECLARAÇÃO E ASSINATURAS</t>
        </is>
      </c>
    </row>
    <row r="42" ht="34" customHeight="1">
      <c r="A42" s="55" t="inlineStr">
        <is>
          <t>Declaro ter recebido os itens acima relacionados, conferido seu estado de conservação e estar ciente das condições deste termo, que assino em duas vias de igual teor. Fica o COLABORADOR responsável pela guarda e pelo uso adequado dos itens enquanto estiverem sob sua posse.</t>
        </is>
      </c>
    </row>
    <row r="44" ht="8" customHeight="1">
      <c r="A44" s="56" t="n"/>
      <c r="E44" s="56" t="n"/>
    </row>
    <row r="45">
      <c r="A45" s="57" t="inlineStr"/>
      <c r="E45" s="57" t="inlineStr">
        <is>
          <t>Valvic Marcenaria — Vargas Decor Ltda</t>
        </is>
      </c>
    </row>
    <row r="46">
      <c r="A46" s="58" t="inlineStr">
        <is>
          <t>CPF / CNPJ</t>
        </is>
      </c>
      <c r="E46" s="58" t="inlineStr">
        <is>
          <t>Representante legal</t>
        </is>
      </c>
    </row>
    <row r="47" ht="24" customHeight="1">
      <c r="A47" s="59" t="inlineStr">
        <is>
          <t>Belo Horizonte / MG,  ______  de  ____________________  de  __________</t>
        </is>
      </c>
    </row>
    <row r="49" ht="20" customHeight="1">
      <c r="A49" s="5" t="inlineStr">
        <is>
          <t xml:space="preserve">  REGISTRO DE DEVOLUÇÃO          preencher no ato da devolução ou do desligamento</t>
        </is>
      </c>
    </row>
    <row r="50" ht="22" customHeight="1">
      <c r="A50" s="48" t="inlineStr">
        <is>
          <t>Data</t>
        </is>
      </c>
      <c r="B50" s="48" t="inlineStr">
        <is>
          <t>Itens devolvidos</t>
        </is>
      </c>
      <c r="C50" s="48" t="n"/>
      <c r="D50" s="48" t="inlineStr">
        <is>
          <t>Estado na devolução</t>
        </is>
      </c>
      <c r="E50" s="48" t="inlineStr">
        <is>
          <t>Pendências</t>
        </is>
      </c>
      <c r="F50" s="48" t="n"/>
      <c r="G50" s="48" t="inlineStr">
        <is>
          <t>Recebido por</t>
        </is>
      </c>
      <c r="H50" s="48" t="n"/>
    </row>
    <row r="51" ht="22" customHeight="1">
      <c r="A51" s="60" t="n"/>
      <c r="B51" s="31" t="n"/>
      <c r="C51" s="31" t="n"/>
      <c r="D51" s="31" t="n"/>
      <c r="E51" s="31" t="n"/>
      <c r="F51" s="31" t="n"/>
      <c r="G51" s="31" t="n"/>
      <c r="H51" s="31" t="n"/>
    </row>
    <row r="52" ht="22" customHeight="1">
      <c r="A52" s="60" t="n"/>
      <c r="B52" s="31" t="n"/>
      <c r="C52" s="31" t="n"/>
      <c r="D52" s="31" t="n"/>
      <c r="E52" s="31" t="n"/>
      <c r="F52" s="31" t="n"/>
      <c r="G52" s="31" t="n"/>
      <c r="H52" s="31" t="n"/>
    </row>
    <row r="53" ht="22" customHeight="1">
      <c r="A53" s="60" t="n"/>
      <c r="B53" s="31" t="n"/>
      <c r="C53" s="31" t="n"/>
      <c r="D53" s="31" t="n"/>
      <c r="E53" s="31" t="n"/>
      <c r="F53" s="31" t="n"/>
      <c r="G53" s="31" t="n"/>
      <c r="H53" s="31" t="n"/>
    </row>
    <row r="54" ht="15" customHeight="1">
      <c r="A54" s="61" t="inlineStr">
        <is>
          <t>Anexo obrigatório: registro fotográfico do estado dos itens na data da entrega. Sem o anexo, este termo não sustenta pedido de reposição.</t>
        </is>
      </c>
    </row>
  </sheetData>
  <mergeCells count="63">
    <mergeCell ref="F20:H20"/>
    <mergeCell ref="E50:F50"/>
    <mergeCell ref="E45:H45"/>
    <mergeCell ref="A30:H30"/>
    <mergeCell ref="A39:H39"/>
    <mergeCell ref="F21:H21"/>
    <mergeCell ref="G52:H52"/>
    <mergeCell ref="F18:H18"/>
    <mergeCell ref="A46:C46"/>
    <mergeCell ref="B8:D8"/>
    <mergeCell ref="F8:H8"/>
    <mergeCell ref="F26:H26"/>
    <mergeCell ref="A36:H36"/>
    <mergeCell ref="A11:H11"/>
    <mergeCell ref="F17:H17"/>
    <mergeCell ref="A49:H49"/>
    <mergeCell ref="A1:H1"/>
    <mergeCell ref="E52:F52"/>
    <mergeCell ref="A6:H6"/>
    <mergeCell ref="F23:H23"/>
    <mergeCell ref="B52:C52"/>
    <mergeCell ref="E51:F51"/>
    <mergeCell ref="F22:H22"/>
    <mergeCell ref="F13:H13"/>
    <mergeCell ref="F27:H27"/>
    <mergeCell ref="A54:H54"/>
    <mergeCell ref="B9:D9"/>
    <mergeCell ref="A41:H41"/>
    <mergeCell ref="G53:H53"/>
    <mergeCell ref="F9:H9"/>
    <mergeCell ref="A37:H37"/>
    <mergeCell ref="B53:C53"/>
    <mergeCell ref="A27:E27"/>
    <mergeCell ref="A3:H3"/>
    <mergeCell ref="A44:C44"/>
    <mergeCell ref="F14:H14"/>
    <mergeCell ref="A2:H2"/>
    <mergeCell ref="A42:H42"/>
    <mergeCell ref="E44:H44"/>
    <mergeCell ref="A33:H33"/>
    <mergeCell ref="A47:H47"/>
    <mergeCell ref="B7:D7"/>
    <mergeCell ref="A32:H32"/>
    <mergeCell ref="F25:H25"/>
    <mergeCell ref="A4:H4"/>
    <mergeCell ref="F16:H16"/>
    <mergeCell ref="G51:H51"/>
    <mergeCell ref="F19:H19"/>
    <mergeCell ref="A35:H35"/>
    <mergeCell ref="A45:C45"/>
    <mergeCell ref="A38:H38"/>
    <mergeCell ref="B51:C51"/>
    <mergeCell ref="A28:H28"/>
    <mergeCell ref="E46:H46"/>
    <mergeCell ref="G50:H50"/>
    <mergeCell ref="B50:C50"/>
    <mergeCell ref="F12:H12"/>
    <mergeCell ref="F7:H7"/>
    <mergeCell ref="E53:F53"/>
    <mergeCell ref="F15:H15"/>
    <mergeCell ref="A31:H31"/>
    <mergeCell ref="F24:H24"/>
    <mergeCell ref="A34:H34"/>
  </mergeCells>
  <dataValidations count="2">
    <dataValidation sqref="A13:A26" showDropDown="0" showInputMessage="0" showErrorMessage="0" allowBlank="1" type="list">
      <formula1>='Patrimônio Geral'!$A$7:$A$156</formula1>
    </dataValidation>
    <dataValidation sqref="E13:E26" showDropDown="0" showInputMessage="0" showErrorMessage="0" allowBlank="1" type="list">
      <formula1>=Listas!$J$2:$J$5</formula1>
    </dataValidation>
  </dataValidations>
  <pageMargins left="0.45" right="0.35" top="0.4" bottom="0.35" header="0.5" footer="0.5"/>
  <pageSetup orientation="portrait" paperSize="9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H54"/>
  <sheetViews>
    <sheetView showGridLines="0" workbookViewId="0">
      <selection activeCell="A1" sqref="A1"/>
    </sheetView>
  </sheetViews>
  <sheetFormatPr baseColWidth="8" defaultRowHeight="15"/>
  <cols>
    <col width="9" customWidth="1" min="1" max="1"/>
    <col width="34" customWidth="1" min="2" max="2"/>
    <col width="12" customWidth="1" min="3" max="3"/>
    <col width="15" customWidth="1" min="4" max="4"/>
    <col width="9" customWidth="1" min="5" max="5"/>
    <col width="6" customWidth="1" min="6" max="6"/>
    <col width="5" customWidth="1" min="7" max="7"/>
    <col width="6" customWidth="1" min="8" max="8"/>
  </cols>
  <sheetData>
    <row r="1" ht="26" customHeight="1">
      <c r="A1" s="1" t="inlineStr">
        <is>
          <t>VALVIC MARCENARIA</t>
        </is>
      </c>
    </row>
    <row r="2" ht="15" customHeight="1">
      <c r="A2" s="2" t="inlineStr">
        <is>
          <t>Vargas Decor Ltda   ·   CNPJ 17.269.304/0001-51   ·   Belo Horizonte / MG</t>
        </is>
      </c>
    </row>
    <row r="3" ht="28" customHeight="1">
      <c r="A3" s="3" t="inlineStr">
        <is>
          <t>TERMO DE COMODATO DE FERRAMENTAS</t>
        </is>
      </c>
    </row>
    <row r="4" ht="17" customHeight="1">
      <c r="A4" s="4" t="inlineStr">
        <is>
          <t>Ferramentas e equipamentos cedidos em comodato · prestador de serviços PJ</t>
        </is>
      </c>
    </row>
    <row r="6" ht="20" customHeight="1">
      <c r="A6" s="5" t="inlineStr">
        <is>
          <t xml:space="preserve">  IDENTIFICAÇÃO</t>
        </is>
      </c>
    </row>
    <row r="7" ht="21" customHeight="1">
      <c r="A7" s="45" t="inlineStr">
        <is>
          <t>Nome completo</t>
        </is>
      </c>
      <c r="B7" s="47" t="inlineStr"/>
      <c r="E7" s="45" t="inlineStr">
        <is>
          <t>CPF / CNPJ</t>
        </is>
      </c>
      <c r="F7" s="47" t="inlineStr"/>
    </row>
    <row r="8" ht="21" customHeight="1">
      <c r="A8" s="45" t="inlineStr">
        <is>
          <t>Função</t>
        </is>
      </c>
      <c r="B8" s="47" t="inlineStr"/>
      <c r="E8" s="45" t="inlineStr">
        <is>
          <t>Vínculo</t>
        </is>
      </c>
      <c r="F8" s="46" t="inlineStr">
        <is>
          <t>PJ</t>
        </is>
      </c>
    </row>
    <row r="9" ht="21" customHeight="1">
      <c r="A9" s="45" t="inlineStr">
        <is>
          <t>Data da entrega</t>
        </is>
      </c>
      <c r="B9" s="47" t="inlineStr"/>
      <c r="E9" s="45" t="inlineStr">
        <is>
          <t>Local de guarda</t>
        </is>
      </c>
      <c r="F9" s="46" t="inlineStr">
        <is>
          <t>Fábrica / canteiro de obra</t>
        </is>
      </c>
    </row>
    <row r="11" ht="20" customHeight="1">
      <c r="A11" s="5" t="inlineStr">
        <is>
          <t xml:space="preserve">  RELAÇÃO DE ITENS ENTREGUES          preencha o código — descrição, marca e valor vêm da aba Patrimônio Geral</t>
        </is>
      </c>
    </row>
    <row r="12" ht="24" customHeight="1">
      <c r="A12" s="48" t="inlineStr">
        <is>
          <t>Código</t>
        </is>
      </c>
      <c r="B12" s="48" t="inlineStr">
        <is>
          <t>Descrição do item</t>
        </is>
      </c>
      <c r="C12" s="48" t="inlineStr">
        <is>
          <t>Marca</t>
        </is>
      </c>
      <c r="D12" s="48" t="inlineStr">
        <is>
          <t>Etiqueta / nº série</t>
        </is>
      </c>
      <c r="E12" s="48" t="inlineStr">
        <is>
          <t>Estado</t>
        </is>
      </c>
      <c r="F12" s="48" t="inlineStr">
        <is>
          <t>Valor de referência</t>
        </is>
      </c>
      <c r="G12" s="48" t="n"/>
      <c r="H12" s="48" t="n"/>
    </row>
    <row r="13" ht="20" customHeight="1">
      <c r="A13" s="30" t="n"/>
      <c r="B13" s="49">
        <f>IFERROR(INDEX('Patrimônio Geral'!$C$7:$C$156,MATCH($A13,'Patrimônio Geral'!$A$7:$A$156,0)),"")</f>
        <v/>
      </c>
      <c r="C13" s="49">
        <f>IFERROR(INDEX('Patrimônio Geral'!$D$7:$D$156,MATCH($A13,'Patrimônio Geral'!$A$7:$A$156,0)),"")</f>
        <v/>
      </c>
      <c r="D13" s="49">
        <f>IFERROR(INDEX('Patrimônio Geral'!$G$7:$G$156,MATCH($A13,'Patrimônio Geral'!$A$7:$A$156,0)),"")</f>
        <v/>
      </c>
      <c r="E13" s="32" t="n"/>
      <c r="F13" s="50">
        <f>IFERROR(INDEX('Patrimônio Geral'!$K$7:$K$156,MATCH($A13,'Patrimônio Geral'!$A$7:$A$156,0)),"")</f>
        <v/>
      </c>
      <c r="G13" s="51" t="n"/>
      <c r="H13" s="51" t="n"/>
    </row>
    <row r="14" ht="20" customHeight="1">
      <c r="A14" s="30" t="n"/>
      <c r="B14" s="49">
        <f>IFERROR(INDEX('Patrimônio Geral'!$C$7:$C$156,MATCH($A14,'Patrimônio Geral'!$A$7:$A$156,0)),"")</f>
        <v/>
      </c>
      <c r="C14" s="49">
        <f>IFERROR(INDEX('Patrimônio Geral'!$D$7:$D$156,MATCH($A14,'Patrimônio Geral'!$A$7:$A$156,0)),"")</f>
        <v/>
      </c>
      <c r="D14" s="49">
        <f>IFERROR(INDEX('Patrimônio Geral'!$G$7:$G$156,MATCH($A14,'Patrimônio Geral'!$A$7:$A$156,0)),"")</f>
        <v/>
      </c>
      <c r="E14" s="32" t="n"/>
      <c r="F14" s="50">
        <f>IFERROR(INDEX('Patrimônio Geral'!$K$7:$K$156,MATCH($A14,'Patrimônio Geral'!$A$7:$A$156,0)),"")</f>
        <v/>
      </c>
      <c r="G14" s="51" t="n"/>
      <c r="H14" s="51" t="n"/>
    </row>
    <row r="15" ht="20" customHeight="1">
      <c r="A15" s="30" t="n"/>
      <c r="B15" s="49">
        <f>IFERROR(INDEX('Patrimônio Geral'!$C$7:$C$156,MATCH($A15,'Patrimônio Geral'!$A$7:$A$156,0)),"")</f>
        <v/>
      </c>
      <c r="C15" s="49">
        <f>IFERROR(INDEX('Patrimônio Geral'!$D$7:$D$156,MATCH($A15,'Patrimônio Geral'!$A$7:$A$156,0)),"")</f>
        <v/>
      </c>
      <c r="D15" s="49">
        <f>IFERROR(INDEX('Patrimônio Geral'!$G$7:$G$156,MATCH($A15,'Patrimônio Geral'!$A$7:$A$156,0)),"")</f>
        <v/>
      </c>
      <c r="E15" s="32" t="n"/>
      <c r="F15" s="50">
        <f>IFERROR(INDEX('Patrimônio Geral'!$K$7:$K$156,MATCH($A15,'Patrimônio Geral'!$A$7:$A$156,0)),"")</f>
        <v/>
      </c>
      <c r="G15" s="51" t="n"/>
      <c r="H15" s="51" t="n"/>
    </row>
    <row r="16" ht="20" customHeight="1">
      <c r="A16" s="30" t="n"/>
      <c r="B16" s="49">
        <f>IFERROR(INDEX('Patrimônio Geral'!$C$7:$C$156,MATCH($A16,'Patrimônio Geral'!$A$7:$A$156,0)),"")</f>
        <v/>
      </c>
      <c r="C16" s="49">
        <f>IFERROR(INDEX('Patrimônio Geral'!$D$7:$D$156,MATCH($A16,'Patrimônio Geral'!$A$7:$A$156,0)),"")</f>
        <v/>
      </c>
      <c r="D16" s="49">
        <f>IFERROR(INDEX('Patrimônio Geral'!$G$7:$G$156,MATCH($A16,'Patrimônio Geral'!$A$7:$A$156,0)),"")</f>
        <v/>
      </c>
      <c r="E16" s="32" t="n"/>
      <c r="F16" s="50">
        <f>IFERROR(INDEX('Patrimônio Geral'!$K$7:$K$156,MATCH($A16,'Patrimônio Geral'!$A$7:$A$156,0)),"")</f>
        <v/>
      </c>
      <c r="G16" s="51" t="n"/>
      <c r="H16" s="51" t="n"/>
    </row>
    <row r="17" ht="20" customHeight="1">
      <c r="A17" s="30" t="n"/>
      <c r="B17" s="49">
        <f>IFERROR(INDEX('Patrimônio Geral'!$C$7:$C$156,MATCH($A17,'Patrimônio Geral'!$A$7:$A$156,0)),"")</f>
        <v/>
      </c>
      <c r="C17" s="49">
        <f>IFERROR(INDEX('Patrimônio Geral'!$D$7:$D$156,MATCH($A17,'Patrimônio Geral'!$A$7:$A$156,0)),"")</f>
        <v/>
      </c>
      <c r="D17" s="49">
        <f>IFERROR(INDEX('Patrimônio Geral'!$G$7:$G$156,MATCH($A17,'Patrimônio Geral'!$A$7:$A$156,0)),"")</f>
        <v/>
      </c>
      <c r="E17" s="32" t="n"/>
      <c r="F17" s="50">
        <f>IFERROR(INDEX('Patrimônio Geral'!$K$7:$K$156,MATCH($A17,'Patrimônio Geral'!$A$7:$A$156,0)),"")</f>
        <v/>
      </c>
      <c r="G17" s="51" t="n"/>
      <c r="H17" s="51" t="n"/>
    </row>
    <row r="18" ht="20" customHeight="1">
      <c r="A18" s="30" t="n"/>
      <c r="B18" s="49">
        <f>IFERROR(INDEX('Patrimônio Geral'!$C$7:$C$156,MATCH($A18,'Patrimônio Geral'!$A$7:$A$156,0)),"")</f>
        <v/>
      </c>
      <c r="C18" s="49">
        <f>IFERROR(INDEX('Patrimônio Geral'!$D$7:$D$156,MATCH($A18,'Patrimônio Geral'!$A$7:$A$156,0)),"")</f>
        <v/>
      </c>
      <c r="D18" s="49">
        <f>IFERROR(INDEX('Patrimônio Geral'!$G$7:$G$156,MATCH($A18,'Patrimônio Geral'!$A$7:$A$156,0)),"")</f>
        <v/>
      </c>
      <c r="E18" s="32" t="n"/>
      <c r="F18" s="50">
        <f>IFERROR(INDEX('Patrimônio Geral'!$K$7:$K$156,MATCH($A18,'Patrimônio Geral'!$A$7:$A$156,0)),"")</f>
        <v/>
      </c>
      <c r="G18" s="51" t="n"/>
      <c r="H18" s="51" t="n"/>
    </row>
    <row r="19" ht="20" customHeight="1">
      <c r="A19" s="30" t="n"/>
      <c r="B19" s="49">
        <f>IFERROR(INDEX('Patrimônio Geral'!$C$7:$C$156,MATCH($A19,'Patrimônio Geral'!$A$7:$A$156,0)),"")</f>
        <v/>
      </c>
      <c r="C19" s="49">
        <f>IFERROR(INDEX('Patrimônio Geral'!$D$7:$D$156,MATCH($A19,'Patrimônio Geral'!$A$7:$A$156,0)),"")</f>
        <v/>
      </c>
      <c r="D19" s="49">
        <f>IFERROR(INDEX('Patrimônio Geral'!$G$7:$G$156,MATCH($A19,'Patrimônio Geral'!$A$7:$A$156,0)),"")</f>
        <v/>
      </c>
      <c r="E19" s="32" t="n"/>
      <c r="F19" s="50">
        <f>IFERROR(INDEX('Patrimônio Geral'!$K$7:$K$156,MATCH($A19,'Patrimônio Geral'!$A$7:$A$156,0)),"")</f>
        <v/>
      </c>
      <c r="G19" s="51" t="n"/>
      <c r="H19" s="51" t="n"/>
    </row>
    <row r="20" ht="20" customHeight="1">
      <c r="A20" s="30" t="n"/>
      <c r="B20" s="49">
        <f>IFERROR(INDEX('Patrimônio Geral'!$C$7:$C$156,MATCH($A20,'Patrimônio Geral'!$A$7:$A$156,0)),"")</f>
        <v/>
      </c>
      <c r="C20" s="49">
        <f>IFERROR(INDEX('Patrimônio Geral'!$D$7:$D$156,MATCH($A20,'Patrimônio Geral'!$A$7:$A$156,0)),"")</f>
        <v/>
      </c>
      <c r="D20" s="49">
        <f>IFERROR(INDEX('Patrimônio Geral'!$G$7:$G$156,MATCH($A20,'Patrimônio Geral'!$A$7:$A$156,0)),"")</f>
        <v/>
      </c>
      <c r="E20" s="32" t="n"/>
      <c r="F20" s="50">
        <f>IFERROR(INDEX('Patrimônio Geral'!$K$7:$K$156,MATCH($A20,'Patrimônio Geral'!$A$7:$A$156,0)),"")</f>
        <v/>
      </c>
      <c r="G20" s="51" t="n"/>
      <c r="H20" s="51" t="n"/>
    </row>
    <row r="21" ht="20" customHeight="1">
      <c r="A21" s="30" t="n"/>
      <c r="B21" s="49">
        <f>IFERROR(INDEX('Patrimônio Geral'!$C$7:$C$156,MATCH($A21,'Patrimônio Geral'!$A$7:$A$156,0)),"")</f>
        <v/>
      </c>
      <c r="C21" s="49">
        <f>IFERROR(INDEX('Patrimônio Geral'!$D$7:$D$156,MATCH($A21,'Patrimônio Geral'!$A$7:$A$156,0)),"")</f>
        <v/>
      </c>
      <c r="D21" s="49">
        <f>IFERROR(INDEX('Patrimônio Geral'!$G$7:$G$156,MATCH($A21,'Patrimônio Geral'!$A$7:$A$156,0)),"")</f>
        <v/>
      </c>
      <c r="E21" s="32" t="n"/>
      <c r="F21" s="50">
        <f>IFERROR(INDEX('Patrimônio Geral'!$K$7:$K$156,MATCH($A21,'Patrimônio Geral'!$A$7:$A$156,0)),"")</f>
        <v/>
      </c>
      <c r="G21" s="51" t="n"/>
      <c r="H21" s="51" t="n"/>
    </row>
    <row r="22" ht="20" customHeight="1">
      <c r="A22" s="30" t="n"/>
      <c r="B22" s="49">
        <f>IFERROR(INDEX('Patrimônio Geral'!$C$7:$C$156,MATCH($A22,'Patrimônio Geral'!$A$7:$A$156,0)),"")</f>
        <v/>
      </c>
      <c r="C22" s="49">
        <f>IFERROR(INDEX('Patrimônio Geral'!$D$7:$D$156,MATCH($A22,'Patrimônio Geral'!$A$7:$A$156,0)),"")</f>
        <v/>
      </c>
      <c r="D22" s="49">
        <f>IFERROR(INDEX('Patrimônio Geral'!$G$7:$G$156,MATCH($A22,'Patrimônio Geral'!$A$7:$A$156,0)),"")</f>
        <v/>
      </c>
      <c r="E22" s="32" t="n"/>
      <c r="F22" s="50">
        <f>IFERROR(INDEX('Patrimônio Geral'!$K$7:$K$156,MATCH($A22,'Patrimônio Geral'!$A$7:$A$156,0)),"")</f>
        <v/>
      </c>
      <c r="G22" s="51" t="n"/>
      <c r="H22" s="51" t="n"/>
    </row>
    <row r="23" ht="20" customHeight="1">
      <c r="A23" s="30" t="n"/>
      <c r="B23" s="49">
        <f>IFERROR(INDEX('Patrimônio Geral'!$C$7:$C$156,MATCH($A23,'Patrimônio Geral'!$A$7:$A$156,0)),"")</f>
        <v/>
      </c>
      <c r="C23" s="49">
        <f>IFERROR(INDEX('Patrimônio Geral'!$D$7:$D$156,MATCH($A23,'Patrimônio Geral'!$A$7:$A$156,0)),"")</f>
        <v/>
      </c>
      <c r="D23" s="49">
        <f>IFERROR(INDEX('Patrimônio Geral'!$G$7:$G$156,MATCH($A23,'Patrimônio Geral'!$A$7:$A$156,0)),"")</f>
        <v/>
      </c>
      <c r="E23" s="32" t="n"/>
      <c r="F23" s="50">
        <f>IFERROR(INDEX('Patrimônio Geral'!$K$7:$K$156,MATCH($A23,'Patrimônio Geral'!$A$7:$A$156,0)),"")</f>
        <v/>
      </c>
      <c r="G23" s="51" t="n"/>
      <c r="H23" s="51" t="n"/>
    </row>
    <row r="24" ht="20" customHeight="1">
      <c r="A24" s="30" t="n"/>
      <c r="B24" s="49">
        <f>IFERROR(INDEX('Patrimônio Geral'!$C$7:$C$156,MATCH($A24,'Patrimônio Geral'!$A$7:$A$156,0)),"")</f>
        <v/>
      </c>
      <c r="C24" s="49">
        <f>IFERROR(INDEX('Patrimônio Geral'!$D$7:$D$156,MATCH($A24,'Patrimônio Geral'!$A$7:$A$156,0)),"")</f>
        <v/>
      </c>
      <c r="D24" s="49">
        <f>IFERROR(INDEX('Patrimônio Geral'!$G$7:$G$156,MATCH($A24,'Patrimônio Geral'!$A$7:$A$156,0)),"")</f>
        <v/>
      </c>
      <c r="E24" s="32" t="n"/>
      <c r="F24" s="50">
        <f>IFERROR(INDEX('Patrimônio Geral'!$K$7:$K$156,MATCH($A24,'Patrimônio Geral'!$A$7:$A$156,0)),"")</f>
        <v/>
      </c>
      <c r="G24" s="51" t="n"/>
      <c r="H24" s="51" t="n"/>
    </row>
    <row r="25" ht="20" customHeight="1">
      <c r="A25" s="30" t="n"/>
      <c r="B25" s="49">
        <f>IFERROR(INDEX('Patrimônio Geral'!$C$7:$C$156,MATCH($A25,'Patrimônio Geral'!$A$7:$A$156,0)),"")</f>
        <v/>
      </c>
      <c r="C25" s="49">
        <f>IFERROR(INDEX('Patrimônio Geral'!$D$7:$D$156,MATCH($A25,'Patrimônio Geral'!$A$7:$A$156,0)),"")</f>
        <v/>
      </c>
      <c r="D25" s="49">
        <f>IFERROR(INDEX('Patrimônio Geral'!$G$7:$G$156,MATCH($A25,'Patrimônio Geral'!$A$7:$A$156,0)),"")</f>
        <v/>
      </c>
      <c r="E25" s="32" t="n"/>
      <c r="F25" s="50">
        <f>IFERROR(INDEX('Patrimônio Geral'!$K$7:$K$156,MATCH($A25,'Patrimônio Geral'!$A$7:$A$156,0)),"")</f>
        <v/>
      </c>
      <c r="G25" s="51" t="n"/>
      <c r="H25" s="51" t="n"/>
    </row>
    <row r="26" ht="20" customHeight="1">
      <c r="A26" s="30" t="n"/>
      <c r="B26" s="49">
        <f>IFERROR(INDEX('Patrimônio Geral'!$C$7:$C$156,MATCH($A26,'Patrimônio Geral'!$A$7:$A$156,0)),"")</f>
        <v/>
      </c>
      <c r="C26" s="49">
        <f>IFERROR(INDEX('Patrimônio Geral'!$D$7:$D$156,MATCH($A26,'Patrimônio Geral'!$A$7:$A$156,0)),"")</f>
        <v/>
      </c>
      <c r="D26" s="49">
        <f>IFERROR(INDEX('Patrimônio Geral'!$G$7:$G$156,MATCH($A26,'Patrimônio Geral'!$A$7:$A$156,0)),"")</f>
        <v/>
      </c>
      <c r="E26" s="32" t="n"/>
      <c r="F26" s="50">
        <f>IFERROR(INDEX('Patrimônio Geral'!$K$7:$K$156,MATCH($A26,'Patrimônio Geral'!$A$7:$A$156,0)),"")</f>
        <v/>
      </c>
      <c r="G26" s="51" t="n"/>
      <c r="H26" s="51" t="n"/>
    </row>
    <row r="27" ht="22" customHeight="1">
      <c r="A27" s="21" t="inlineStr">
        <is>
          <t>TOTAL DE REFERÊNCIA DOS ITENS ENTREGUES</t>
        </is>
      </c>
      <c r="F27" s="52">
        <f>SUM(F13:F26)</f>
        <v/>
      </c>
    </row>
    <row r="28" ht="15" customHeight="1">
      <c r="A28" s="53" t="inlineStr">
        <is>
          <t>O valor de referência serve apenas para identificar o bem. Não constitui caução, depósito, garantia nem autorização prévia de desconto.</t>
        </is>
      </c>
    </row>
    <row r="30" ht="20" customHeight="1">
      <c r="A30" s="5" t="inlineStr">
        <is>
          <t xml:space="preserve">  CONDIÇÕES</t>
        </is>
      </c>
    </row>
    <row r="31" ht="24" customHeight="1">
      <c r="A31" s="54" t="inlineStr">
        <is>
          <t>1.  OBJETO E NATUREZA — A COMODANTE entrega à COMODATÁRIA, em COMODATO GRATUITO, nos termos dos artigos 579 e seguintes do Código Civil, as ferramentas e equipamentos relacionados no quadro acima, que permanecem sendo de propriedade integral da COMODANTE.</t>
        </is>
      </c>
    </row>
    <row r="32" ht="24" customHeight="1">
      <c r="A32" s="54" t="inlineStr">
        <is>
          <t>2.  USO — Os itens destinam-se exclusivamente à execução dos serviços contratados. É vedado emprestá-los, sublocá-los, cedê-los ou aliená-los, sob qualquer título.</t>
        </is>
      </c>
    </row>
    <row r="33" ht="24" customHeight="1">
      <c r="A33" s="54" t="inlineStr">
        <is>
          <t>3.  GUARDA — Os itens NÃO podem ser levados para a residência da COMODATÁRIA. A guarda deve ocorrer nas dependências da COMODANTE ou no canteiro de obra, em local seguro indicado pela coordenação.</t>
        </is>
      </c>
    </row>
    <row r="34" ht="24" customHeight="1">
      <c r="A34" s="54" t="inlineStr">
        <is>
          <t>4.  CONSERVAÇÃO — A COMODATÁRIA obriga-se a conservar os itens como se seus fossem, respondendo pela guarda e pelo uso adequado, nos termos do art. 582 do Código Civil.</t>
        </is>
      </c>
    </row>
    <row r="35" ht="24" customHeight="1">
      <c r="A35" s="54" t="inlineStr">
        <is>
          <t>5.  DESGASTE NATURAL — O desgaste decorrente do uso normal e a manutenção preventiva correm por conta da COMODANTE, sem ônus para a COMODATÁRIA.</t>
        </is>
      </c>
    </row>
    <row r="36" ht="34.5" customHeight="1">
      <c r="A36" s="54" t="inlineStr">
        <is>
          <t>6.  DANO OU PERDA — Havendo dano por uso indevido, negligência ou perda, a COMODATÁRIA se compromete a REPOR o item por outro de mesma especificação e em estado equivalente, no prazo de 30 (trinta) dias, adquirindo-o por sua própria conta e da forma que lhe for mais conveniente.</t>
        </is>
      </c>
    </row>
    <row r="37" ht="24" customHeight="1">
      <c r="A37" s="54" t="inlineStr">
        <is>
          <t>7.  FURTO OU ROUBO — Em caso de furto ou roubo, a COMODATÁRIA deve comunicar imediatamente a coordenação e registrar Boletim de Ocorrência em até 48 (quarenta e oito) horas. Comprovado o fato, não haverá ônus de reposição.</t>
        </is>
      </c>
    </row>
    <row r="38" ht="24" customHeight="1">
      <c r="A38" s="54" t="inlineStr">
        <is>
          <t>8.  RESTITUIÇÃO — Os itens devem ser restituídos sempre que solicitados pela COMODANTE e, obrigatoriamente, ao término da prestação de serviços, mediante registro no quadro de devolução.</t>
        </is>
      </c>
    </row>
    <row r="39" ht="24" customHeight="1">
      <c r="A39" s="54" t="inlineStr">
        <is>
          <t>9.  REGISTRO FOTOGRÁFICO — O registro fotográfico do estado dos itens, feito na data da entrega, integra este termo para todos os efeitos.</t>
        </is>
      </c>
    </row>
    <row r="41" ht="20" customHeight="1">
      <c r="A41" s="5" t="inlineStr">
        <is>
          <t xml:space="preserve">  DECLARAÇÃO E ASSINATURAS</t>
        </is>
      </c>
    </row>
    <row r="42" ht="34" customHeight="1">
      <c r="A42" s="55" t="inlineStr">
        <is>
          <t>Declaro ter recebido os itens acima relacionados, conferido seu estado de conservação e estar ciente das condições deste termo, que assino em duas vias de igual teor. Fica a COMODATÁRIA responsável pela guarda e pelo uso adequado dos itens enquanto estiverem sob sua posse.</t>
        </is>
      </c>
    </row>
    <row r="44" ht="8" customHeight="1">
      <c r="A44" s="56" t="n"/>
      <c r="E44" s="56" t="n"/>
    </row>
    <row r="45">
      <c r="A45" s="57" t="inlineStr"/>
      <c r="E45" s="57" t="inlineStr">
        <is>
          <t>Valvic Marcenaria — Vargas Decor Ltda</t>
        </is>
      </c>
    </row>
    <row r="46">
      <c r="A46" s="58" t="inlineStr">
        <is>
          <t>CNPJ</t>
        </is>
      </c>
      <c r="E46" s="58" t="inlineStr">
        <is>
          <t>Representante legal</t>
        </is>
      </c>
    </row>
    <row r="47" ht="24" customHeight="1">
      <c r="A47" s="59" t="inlineStr">
        <is>
          <t>Belo Horizonte / MG,  ______  de  ____________________  de  __________</t>
        </is>
      </c>
    </row>
    <row r="49" ht="20" customHeight="1">
      <c r="A49" s="5" t="inlineStr">
        <is>
          <t xml:space="preserve">  REGISTRO DE DEVOLUÇÃO          preencher no ato da devolução ou do desligamento</t>
        </is>
      </c>
    </row>
    <row r="50" ht="22" customHeight="1">
      <c r="A50" s="48" t="inlineStr">
        <is>
          <t>Data</t>
        </is>
      </c>
      <c r="B50" s="48" t="inlineStr">
        <is>
          <t>Itens devolvidos</t>
        </is>
      </c>
      <c r="C50" s="48" t="n"/>
      <c r="D50" s="48" t="inlineStr">
        <is>
          <t>Estado na devolução</t>
        </is>
      </c>
      <c r="E50" s="48" t="inlineStr">
        <is>
          <t>Pendências</t>
        </is>
      </c>
      <c r="F50" s="48" t="n"/>
      <c r="G50" s="48" t="inlineStr">
        <is>
          <t>Recebido por</t>
        </is>
      </c>
      <c r="H50" s="48" t="n"/>
    </row>
    <row r="51" ht="22" customHeight="1">
      <c r="A51" s="60" t="n"/>
      <c r="B51" s="31" t="n"/>
      <c r="C51" s="31" t="n"/>
      <c r="D51" s="31" t="n"/>
      <c r="E51" s="31" t="n"/>
      <c r="F51" s="31" t="n"/>
      <c r="G51" s="31" t="n"/>
      <c r="H51" s="31" t="n"/>
    </row>
    <row r="52" ht="22" customHeight="1">
      <c r="A52" s="60" t="n"/>
      <c r="B52" s="31" t="n"/>
      <c r="C52" s="31" t="n"/>
      <c r="D52" s="31" t="n"/>
      <c r="E52" s="31" t="n"/>
      <c r="F52" s="31" t="n"/>
      <c r="G52" s="31" t="n"/>
      <c r="H52" s="31" t="n"/>
    </row>
    <row r="53" ht="22" customHeight="1">
      <c r="A53" s="60" t="n"/>
      <c r="B53" s="31" t="n"/>
      <c r="C53" s="31" t="n"/>
      <c r="D53" s="31" t="n"/>
      <c r="E53" s="31" t="n"/>
      <c r="F53" s="31" t="n"/>
      <c r="G53" s="31" t="n"/>
      <c r="H53" s="31" t="n"/>
    </row>
    <row r="54" ht="15" customHeight="1">
      <c r="A54" s="61" t="inlineStr">
        <is>
          <t>Anexo obrigatório: registro fotográfico do estado dos itens na data da entrega. Sem o anexo, este termo não sustenta pedido de reposição.</t>
        </is>
      </c>
    </row>
  </sheetData>
  <mergeCells count="63">
    <mergeCell ref="F20:H20"/>
    <mergeCell ref="E50:F50"/>
    <mergeCell ref="E45:H45"/>
    <mergeCell ref="A30:H30"/>
    <mergeCell ref="A39:H39"/>
    <mergeCell ref="F21:H21"/>
    <mergeCell ref="G52:H52"/>
    <mergeCell ref="F18:H18"/>
    <mergeCell ref="A46:C46"/>
    <mergeCell ref="B8:D8"/>
    <mergeCell ref="F8:H8"/>
    <mergeCell ref="F26:H26"/>
    <mergeCell ref="A36:H36"/>
    <mergeCell ref="A11:H11"/>
    <mergeCell ref="F17:H17"/>
    <mergeCell ref="A49:H49"/>
    <mergeCell ref="A1:H1"/>
    <mergeCell ref="E52:F52"/>
    <mergeCell ref="A6:H6"/>
    <mergeCell ref="F23:H23"/>
    <mergeCell ref="B52:C52"/>
    <mergeCell ref="E51:F51"/>
    <mergeCell ref="F22:H22"/>
    <mergeCell ref="F13:H13"/>
    <mergeCell ref="F27:H27"/>
    <mergeCell ref="A54:H54"/>
    <mergeCell ref="B9:D9"/>
    <mergeCell ref="A41:H41"/>
    <mergeCell ref="G53:H53"/>
    <mergeCell ref="F9:H9"/>
    <mergeCell ref="A37:H37"/>
    <mergeCell ref="B53:C53"/>
    <mergeCell ref="A27:E27"/>
    <mergeCell ref="A3:H3"/>
    <mergeCell ref="A44:C44"/>
    <mergeCell ref="F14:H14"/>
    <mergeCell ref="A2:H2"/>
    <mergeCell ref="A42:H42"/>
    <mergeCell ref="E44:H44"/>
    <mergeCell ref="A33:H33"/>
    <mergeCell ref="A47:H47"/>
    <mergeCell ref="B7:D7"/>
    <mergeCell ref="A32:H32"/>
    <mergeCell ref="F25:H25"/>
    <mergeCell ref="A4:H4"/>
    <mergeCell ref="F16:H16"/>
    <mergeCell ref="G51:H51"/>
    <mergeCell ref="F19:H19"/>
    <mergeCell ref="A35:H35"/>
    <mergeCell ref="A45:C45"/>
    <mergeCell ref="A38:H38"/>
    <mergeCell ref="B51:C51"/>
    <mergeCell ref="A28:H28"/>
    <mergeCell ref="E46:H46"/>
    <mergeCell ref="G50:H50"/>
    <mergeCell ref="B50:C50"/>
    <mergeCell ref="F12:H12"/>
    <mergeCell ref="F7:H7"/>
    <mergeCell ref="E53:F53"/>
    <mergeCell ref="F15:H15"/>
    <mergeCell ref="A31:H31"/>
    <mergeCell ref="F24:H24"/>
    <mergeCell ref="A34:H34"/>
  </mergeCells>
  <dataValidations count="2">
    <dataValidation sqref="A13:A26" showDropDown="0" showInputMessage="0" showErrorMessage="0" allowBlank="1" type="list">
      <formula1>='Patrimônio Geral'!$A$7:$A$156</formula1>
    </dataValidation>
    <dataValidation sqref="E13:E26" showDropDown="0" showInputMessage="0" showErrorMessage="0" allowBlank="1" type="list">
      <formula1>=Listas!$J$2:$J$5</formula1>
    </dataValidation>
  </dataValidations>
  <pageMargins left="0.45" right="0.35" top="0.4" bottom="0.35" header="0.5" footer="0.5"/>
  <pageSetup orientation="portrait" paperSize="9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P31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30" customWidth="1" min="3" max="3"/>
    <col width="22" customWidth="1" min="4" max="4"/>
    <col width="26" customWidth="1" min="6" max="6"/>
    <col width="18" customWidth="1" min="7" max="7"/>
    <col width="22" customWidth="1" min="8" max="8"/>
    <col width="12" customWidth="1" min="9" max="9"/>
    <col width="22" customWidth="1" min="10" max="10"/>
    <col width="24" customWidth="1" min="12" max="12"/>
    <col width="38" customWidth="1" min="14" max="14"/>
    <col width="26" customWidth="1" min="16" max="16"/>
  </cols>
  <sheetData>
    <row r="1">
      <c r="A1" s="62" t="inlineStr">
        <is>
          <t>Colaborador</t>
        </is>
      </c>
      <c r="B1" s="62" t="inlineStr">
        <is>
          <t>Vínculo</t>
        </is>
      </c>
      <c r="C1" s="62" t="inlineStr">
        <is>
          <t>Função</t>
        </is>
      </c>
      <c r="D1" s="62" t="inlineStr">
        <is>
          <t>Documento</t>
        </is>
      </c>
      <c r="F1" s="62" t="inlineStr">
        <is>
          <t>Categoria</t>
        </is>
      </c>
      <c r="G1" s="62" t="inlineStr">
        <is>
          <t>Situação</t>
        </is>
      </c>
      <c r="H1" s="62" t="inlineStr">
        <is>
          <t>Localização</t>
        </is>
      </c>
      <c r="I1" s="62" t="inlineStr">
        <is>
          <t>Sim / Não</t>
        </is>
      </c>
      <c r="J1" s="62" t="inlineStr">
        <is>
          <t>Estado de conservação</t>
        </is>
      </c>
      <c r="L1" s="62" t="inlineStr">
        <is>
          <t>Movimento</t>
        </is>
      </c>
      <c r="N1" s="63" t="inlineStr">
        <is>
          <t>Data de referência do cálculo de depreciação</t>
        </is>
      </c>
      <c r="P1" s="62" t="inlineStr">
        <is>
          <t>Modelo padrão (SKU)</t>
        </is>
      </c>
    </row>
    <row r="2">
      <c r="A2" s="64" t="inlineStr">
        <is>
          <t>Deivson</t>
        </is>
      </c>
      <c r="B2" s="64" t="inlineStr">
        <is>
          <t>PJ</t>
        </is>
      </c>
      <c r="C2" s="64" t="inlineStr">
        <is>
          <t>Coordenador de Produção</t>
        </is>
      </c>
      <c r="D2" s="65" t="inlineStr"/>
      <c r="F2" s="64" t="inlineStr">
        <is>
          <t>Máquina fixa</t>
        </is>
      </c>
      <c r="G2" s="64" t="inlineStr">
        <is>
          <t>Em uso</t>
        </is>
      </c>
      <c r="H2" s="64" t="inlineStr">
        <is>
          <t>Fábrica</t>
        </is>
      </c>
      <c r="I2" s="64" t="inlineStr">
        <is>
          <t>Sim</t>
        </is>
      </c>
      <c r="J2" s="64" t="inlineStr">
        <is>
          <t>Novo</t>
        </is>
      </c>
      <c r="L2" s="64" t="inlineStr">
        <is>
          <t>Entrega</t>
        </is>
      </c>
      <c r="N2" s="66">
        <f>TODAY()</f>
        <v/>
      </c>
      <c r="P2" s="64" t="inlineStr">
        <is>
          <t>PARAF-MAK-DHP482</t>
        </is>
      </c>
    </row>
    <row r="3">
      <c r="A3" s="64" t="inlineStr">
        <is>
          <t>Samuel</t>
        </is>
      </c>
      <c r="B3" s="64" t="inlineStr">
        <is>
          <t>PJ</t>
        </is>
      </c>
      <c r="C3" s="64" t="inlineStr">
        <is>
          <t>Marceneiro Sênior</t>
        </is>
      </c>
      <c r="D3" s="65" t="inlineStr"/>
      <c r="F3" s="64" t="inlineStr">
        <is>
          <t>Ferramenta elétrica</t>
        </is>
      </c>
      <c r="G3" s="64" t="inlineStr">
        <is>
          <t>Em estoque</t>
        </is>
      </c>
      <c r="H3" s="64" t="inlineStr">
        <is>
          <t>Obra</t>
        </is>
      </c>
      <c r="I3" s="64" t="inlineStr">
        <is>
          <t>Não</t>
        </is>
      </c>
      <c r="J3" s="64" t="inlineStr">
        <is>
          <t>Bom</t>
        </is>
      </c>
      <c r="L3" s="64" t="inlineStr">
        <is>
          <t>Devolução</t>
        </is>
      </c>
      <c r="P3" s="64" t="inlineStr">
        <is>
          <t>SERRA-BOS-GKS150</t>
        </is>
      </c>
    </row>
    <row r="4">
      <c r="A4" s="64" t="inlineStr">
        <is>
          <t>Jackson</t>
        </is>
      </c>
      <c r="B4" s="64" t="inlineStr">
        <is>
          <t>PJ</t>
        </is>
      </c>
      <c r="C4" s="64" t="inlineStr">
        <is>
          <t>Marceneiro Pleno</t>
        </is>
      </c>
      <c r="D4" s="65" t="inlineStr"/>
      <c r="F4" s="64" t="inlineStr">
        <is>
          <t>Ferramenta manual</t>
        </is>
      </c>
      <c r="G4" s="64" t="inlineStr">
        <is>
          <t>Em manutenção</t>
        </is>
      </c>
      <c r="H4" s="64" t="inlineStr">
        <is>
          <t>Veículo</t>
        </is>
      </c>
      <c r="J4" s="64" t="inlineStr">
        <is>
          <t>Regular</t>
        </is>
      </c>
      <c r="L4" s="64" t="inlineStr">
        <is>
          <t>Transferência</t>
        </is>
      </c>
      <c r="P4" s="64" t="inlineStr">
        <is>
          <t>TUPIA-MAK-RT0700C</t>
        </is>
      </c>
    </row>
    <row r="5">
      <c r="A5" s="64" t="inlineStr">
        <is>
          <t>Cezar</t>
        </is>
      </c>
      <c r="B5" s="64" t="inlineStr">
        <is>
          <t>CLT</t>
        </is>
      </c>
      <c r="C5" s="64" t="inlineStr">
        <is>
          <t>Marceneiro</t>
        </is>
      </c>
      <c r="D5" s="65" t="inlineStr"/>
      <c r="F5" s="64" t="inlineStr">
        <is>
          <t>Instrumento de medição</t>
        </is>
      </c>
      <c r="G5" s="64" t="inlineStr">
        <is>
          <t>Extraviado</t>
        </is>
      </c>
      <c r="H5" s="64" t="inlineStr">
        <is>
          <t>Escritório</t>
        </is>
      </c>
      <c r="J5" s="64" t="inlineStr">
        <is>
          <t>Ruim</t>
        </is>
      </c>
      <c r="L5" s="64" t="inlineStr">
        <is>
          <t>Envio a manutenção</t>
        </is>
      </c>
      <c r="P5" s="64" t="inlineStr">
        <is>
          <t>LIXA-BOS-GSS140</t>
        </is>
      </c>
    </row>
    <row r="6">
      <c r="A6" s="64" t="inlineStr">
        <is>
          <t>Jomar</t>
        </is>
      </c>
      <c r="B6" s="64" t="inlineStr">
        <is>
          <t>CLT</t>
        </is>
      </c>
      <c r="C6" s="64" t="inlineStr">
        <is>
          <t>Marceneiro</t>
        </is>
      </c>
      <c r="D6" s="65" t="inlineStr"/>
      <c r="F6" s="64" t="inlineStr">
        <is>
          <t>Veículo</t>
        </is>
      </c>
      <c r="G6" s="64" t="inlineStr">
        <is>
          <t>Baixado</t>
        </is>
      </c>
      <c r="H6" s="64" t="inlineStr">
        <is>
          <t>Fornecedor (manutenção)</t>
        </is>
      </c>
      <c r="L6" s="64" t="inlineStr">
        <is>
          <t>Retorno de manutenção</t>
        </is>
      </c>
      <c r="P6" s="64" t="inlineStr">
        <is>
          <t>FORMAO-TRA-4P</t>
        </is>
      </c>
    </row>
    <row r="7">
      <c r="A7" s="64" t="inlineStr">
        <is>
          <t>Davi</t>
        </is>
      </c>
      <c r="B7" s="64" t="inlineStr">
        <is>
          <t>CLT</t>
        </is>
      </c>
      <c r="C7" s="64" t="inlineStr">
        <is>
          <t>Ajudante</t>
        </is>
      </c>
      <c r="D7" s="65" t="inlineStr"/>
      <c r="F7" s="64" t="inlineStr">
        <is>
          <t>Informática</t>
        </is>
      </c>
      <c r="L7" s="64" t="inlineStr">
        <is>
          <t>Baixa</t>
        </is>
      </c>
      <c r="P7" s="64" t="inlineStr">
        <is>
          <t>MARTELO-TRA-27</t>
        </is>
      </c>
    </row>
    <row r="8">
      <c r="A8" s="64" t="inlineStr">
        <is>
          <t>Jonathan Godoy</t>
        </is>
      </c>
      <c r="B8" s="64" t="inlineStr">
        <is>
          <t>CLT</t>
        </is>
      </c>
      <c r="C8" s="64" t="inlineStr">
        <is>
          <t>Ajudante Geral</t>
        </is>
      </c>
      <c r="D8" s="65" t="inlineStr"/>
      <c r="F8" s="64" t="inlineStr">
        <is>
          <t>Mobiliário</t>
        </is>
      </c>
      <c r="P8" s="64" t="inlineStr">
        <is>
          <t>CHAVES-GED-6P</t>
        </is>
      </c>
    </row>
    <row r="9">
      <c r="A9" s="64" t="inlineStr">
        <is>
          <t>Joelson</t>
        </is>
      </c>
      <c r="B9" s="64" t="inlineStr">
        <is>
          <t>CLT</t>
        </is>
      </c>
      <c r="C9" s="64" t="inlineStr">
        <is>
          <t>Operador CNC &amp; Máquinas</t>
        </is>
      </c>
      <c r="D9" s="65" t="inlineStr"/>
      <c r="F9" s="64" t="inlineStr">
        <is>
          <t>Infraestrutura</t>
        </is>
      </c>
      <c r="P9" s="64" t="inlineStr">
        <is>
          <t>SARGENTO-VON-300</t>
        </is>
      </c>
    </row>
    <row r="10">
      <c r="P10" s="64" t="inlineStr">
        <is>
          <t>TRENA-STA-5M</t>
        </is>
      </c>
    </row>
    <row r="11">
      <c r="P11" s="64" t="inlineStr">
        <is>
          <t>ESQUADRO-STA-300</t>
        </is>
      </c>
    </row>
    <row r="12">
      <c r="P12" s="64" t="inlineStr">
        <is>
          <t>LASER-BOS-GLL210</t>
        </is>
      </c>
    </row>
    <row r="13">
      <c r="F13" s="63" t="inlineStr">
        <is>
          <t>Taxas de depreciação sugeridas (% ao ano)</t>
        </is>
      </c>
      <c r="P13" s="64" t="inlineStr">
        <is>
          <t>MALETA-TRA-ORG</t>
        </is>
      </c>
    </row>
    <row r="14">
      <c r="F14" s="67" t="inlineStr">
        <is>
          <t>Máquina fixa</t>
        </is>
      </c>
      <c r="G14" s="68" t="n">
        <v>0.1</v>
      </c>
      <c r="P14" s="64" t="inlineStr"/>
    </row>
    <row r="15">
      <c r="F15" s="67" t="inlineStr">
        <is>
          <t>Ferramenta elétrica</t>
        </is>
      </c>
      <c r="G15" s="68" t="n">
        <v>0.2</v>
      </c>
      <c r="P15" s="64" t="inlineStr"/>
    </row>
    <row r="16">
      <c r="F16" s="67" t="inlineStr">
        <is>
          <t>Ferramenta manual</t>
        </is>
      </c>
      <c r="G16" s="68" t="n">
        <v>0.1</v>
      </c>
      <c r="P16" s="64" t="inlineStr"/>
    </row>
    <row r="17">
      <c r="F17" s="67" t="inlineStr">
        <is>
          <t>Instrumento de medição</t>
        </is>
      </c>
      <c r="G17" s="68" t="n">
        <v>0.2</v>
      </c>
      <c r="P17" s="64" t="inlineStr"/>
    </row>
    <row r="18">
      <c r="F18" s="67" t="inlineStr">
        <is>
          <t>Veículo</t>
        </is>
      </c>
      <c r="G18" s="68" t="n">
        <v>0.2</v>
      </c>
      <c r="P18" s="64" t="inlineStr"/>
    </row>
    <row r="19">
      <c r="F19" s="67" t="inlineStr">
        <is>
          <t>Informática</t>
        </is>
      </c>
      <c r="G19" s="68" t="n">
        <v>0.2</v>
      </c>
      <c r="P19" s="64" t="inlineStr"/>
    </row>
    <row r="20">
      <c r="F20" s="67" t="inlineStr">
        <is>
          <t>Mobiliário</t>
        </is>
      </c>
      <c r="G20" s="68" t="n">
        <v>0.1</v>
      </c>
      <c r="P20" s="64" t="inlineStr"/>
    </row>
    <row r="21">
      <c r="F21" s="67" t="inlineStr">
        <is>
          <t>Infraestrutura</t>
        </is>
      </c>
      <c r="G21" s="68" t="n">
        <v>0.1</v>
      </c>
      <c r="P21" s="64" t="inlineStr"/>
    </row>
    <row r="22">
      <c r="P22" s="64" t="inlineStr"/>
    </row>
    <row r="23">
      <c r="F23" s="69" t="inlineStr">
        <is>
          <t>Confirmar as taxas com o contador antes de fechar o balanço.</t>
        </is>
      </c>
      <c r="P23" s="64" t="inlineStr"/>
    </row>
    <row r="24">
      <c r="P24" s="64" t="inlineStr"/>
    </row>
    <row r="25">
      <c r="P25" s="64" t="inlineStr"/>
    </row>
    <row r="26">
      <c r="P26" s="64" t="inlineStr"/>
    </row>
    <row r="27">
      <c r="P27" s="64" t="inlineStr"/>
    </row>
    <row r="28">
      <c r="P28" s="64" t="inlineStr"/>
    </row>
    <row r="29">
      <c r="P29" s="64" t="inlineStr"/>
    </row>
    <row r="30">
      <c r="P30" s="64" t="inlineStr"/>
    </row>
    <row r="31">
      <c r="P31" s="6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2026-08-11T23:35:22Z</dcterms:created>
  <dcterms:modified xsi:type="dcterms:W3CDTF">2026-08-11T23:35:22Z</dcterms:modified>
</cp:coreProperties>
</file>