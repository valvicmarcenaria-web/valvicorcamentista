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atrimônio Geral" sheetId="2" state="visible" r:id="rId2"/>
    <sheet name="Movimentações" sheetId="3" state="visible" r:id="rId3"/>
    <sheet name="Conferência Mensal" sheetId="4" state="visible" r:id="rId4"/>
    <sheet name="Termo · Deivson" sheetId="5" state="visible" r:id="rId5"/>
    <sheet name="Termo · Samuel" sheetId="6" state="visible" r:id="rId6"/>
    <sheet name="Termo · Jackson" sheetId="7" state="visible" r:id="rId7"/>
    <sheet name="Termo · Cezar" sheetId="8" state="visible" r:id="rId8"/>
    <sheet name="Termo · Jomar" sheetId="9" state="visible" r:id="rId9"/>
    <sheet name="Termo · Davi" sheetId="10" state="visible" r:id="rId10"/>
    <sheet name="Termo · J. Godoy" sheetId="11" state="visible" r:id="rId11"/>
    <sheet name="Termo · Joelson" sheetId="12" state="visible" r:id="rId12"/>
    <sheet name="Termo · MODELO CLT" sheetId="13" state="visible" r:id="rId13"/>
    <sheet name="Termo · MODELO PJ" sheetId="14" state="visible" r:id="rId14"/>
    <sheet name="Listas" sheetId="15" state="visible" r:id="rId15"/>
  </sheets>
  <definedNames>
    <definedName name="_xlnm.Print_Area" localSheetId="0">'Dashboard'!$A$1:$L$39</definedName>
    <definedName name="_xlnm._FilterDatabase" localSheetId="1" hidden="1">'Patrimônio Geral'!$A$6:$W$156</definedName>
    <definedName name="_xlnm.Print_Area" localSheetId="1">'Patrimônio Geral'!$A$1:$W$156</definedName>
    <definedName name="_xlnm._FilterDatabase" localSheetId="2" hidden="1">'Movimentações'!$A$6:$J$106</definedName>
    <definedName name="_xlnm.Print_Area" localSheetId="2">'Movimentações'!$A$1:$J$106</definedName>
    <definedName name="_xlnm.Print_Area" localSheetId="3">'Conferência Mensal'!$A$1:$J$86</definedName>
    <definedName name="_xlnm.Print_Area" localSheetId="4">'Termo · Deivson'!$A$1:$H$54</definedName>
    <definedName name="_xlnm.Print_Area" localSheetId="5">'Termo · Samuel'!$A$1:$H$54</definedName>
    <definedName name="_xlnm.Print_Area" localSheetId="6">'Termo · Jackson'!$A$1:$H$54</definedName>
    <definedName name="_xlnm.Print_Area" localSheetId="7">'Termo · Cezar'!$A$1:$H$54</definedName>
    <definedName name="_xlnm.Print_Area" localSheetId="8">'Termo · Jomar'!$A$1:$H$54</definedName>
    <definedName name="_xlnm.Print_Area" localSheetId="9">'Termo · Davi'!$A$1:$H$54</definedName>
    <definedName name="_xlnm.Print_Area" localSheetId="10">'Termo · J. Godoy'!$A$1:$H$54</definedName>
    <definedName name="_xlnm.Print_Area" localSheetId="11">'Termo · Joelson'!$A$1:$H$54</definedName>
    <definedName name="_xlnm.Print_Area" localSheetId="12">'Termo · MODELO CLT'!$A$1:$H$54</definedName>
    <definedName name="_xlnm.Print_Area" localSheetId="13">'Termo · MODELO PJ'!$A$1:$H$54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D/MM/YYYY"/>
    <numFmt numFmtId="166" formatCode="R$ #,##0.00"/>
    <numFmt numFmtId="167" formatCode="R$ #,##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1B2733"/>
      <sz val="10"/>
    </font>
    <font>
      <name val="Arial"/>
      <b val="1"/>
      <color rgb="000E2038"/>
      <sz val="9"/>
    </font>
    <font>
      <name val="Arial"/>
      <color rgb="001B2733"/>
      <sz val="9"/>
    </font>
    <font>
      <name val="Arial"/>
      <b val="1"/>
      <color rgb="0016314F"/>
      <sz val="11"/>
    </font>
    <font>
      <name val="Arial"/>
      <i val="1"/>
      <color rgb="006C7785"/>
      <sz val="8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FFFFFF"/>
      <sz val="8.5"/>
    </font>
    <font>
      <name val="Arial"/>
      <color rgb="0016314F"/>
      <sz val="9"/>
    </font>
    <font>
      <name val="Arial"/>
      <color rgb="0041505D"/>
      <sz val="9"/>
    </font>
    <font>
      <name val="Arial"/>
      <b val="1"/>
      <color rgb="006C7785"/>
      <sz val="8"/>
    </font>
    <font>
      <name val="Arial"/>
      <b val="1"/>
      <color rgb="000E2038"/>
      <sz val="18"/>
    </font>
    <font>
      <name val="Arial"/>
      <b val="1"/>
      <color rgb="002F7D4F"/>
      <sz val="18"/>
    </font>
    <font>
      <name val="Arial"/>
      <b val="1"/>
      <color rgb="00B0413F"/>
      <sz val="18"/>
    </font>
    <font>
      <name val="Arial"/>
      <b val="1"/>
      <color rgb="002F5D8C"/>
      <sz val="18"/>
    </font>
    <font>
      <name val="Arial"/>
      <b val="1"/>
      <color rgb="000E2038"/>
      <sz val="8"/>
    </font>
    <font>
      <name val="Arial"/>
      <b val="1"/>
      <color rgb="00D8BD80"/>
      <sz val="9"/>
    </font>
    <font>
      <name val="Arial"/>
      <b val="1"/>
      <color rgb="000E2038"/>
      <sz val="10"/>
    </font>
    <font>
      <name val="Arial"/>
      <b val="1"/>
      <color rgb="00D8BD80"/>
      <sz val="11"/>
    </font>
    <font>
      <name val="Arial"/>
      <color rgb="0033414F"/>
      <sz val="8.5"/>
    </font>
    <font>
      <name val="Arial"/>
      <color rgb="0033414F"/>
      <sz val="9"/>
    </font>
    <font>
      <name val="Arial"/>
      <color rgb="006C7785"/>
      <sz val="8"/>
    </font>
    <font>
      <name val="Arial"/>
      <i val="1"/>
      <color rgb="00B0413F"/>
      <sz val="8"/>
    </font>
  </fonts>
  <fills count="8">
    <fill>
      <patternFill/>
    </fill>
    <fill>
      <patternFill patternType="gray125"/>
    </fill>
    <fill>
      <patternFill patternType="solid">
        <fgColor rgb="0016314F"/>
      </patternFill>
    </fill>
    <fill>
      <patternFill patternType="solid">
        <fgColor rgb="00FFF9E3"/>
      </patternFill>
    </fill>
    <fill>
      <patternFill patternType="solid">
        <fgColor rgb="000E2038"/>
      </patternFill>
    </fill>
    <fill>
      <patternFill patternType="solid">
        <fgColor rgb="00F6EDD6"/>
      </patternFill>
    </fill>
    <fill>
      <patternFill patternType="solid">
        <fgColor rgb="00F4F6F8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bottom style="thin">
        <color rgb="00DFDACD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medium">
        <color rgb="00C2A05A"/>
      </left>
      <right style="thin">
        <color rgb="00E8E3D8"/>
      </right>
      <top style="thin">
        <color rgb="00E8E3D8"/>
      </top>
    </border>
    <border>
      <left style="medium">
        <color rgb="00C2A05A"/>
      </left>
      <right style="thin">
        <color rgb="00E8E3D8"/>
      </right>
      <bottom style="thin">
        <color rgb="00E8E3D8"/>
      </bottom>
    </border>
    <border>
      <bottom style="thin">
        <color rgb="00C2A05A"/>
      </bottom>
    </border>
    <border>
      <top style="thin">
        <color rgb="001B2733"/>
      </top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3" fillId="5" borderId="4" applyAlignment="1" pivotButton="0" quotePrefix="0" xfId="0">
      <alignment horizontal="left" vertical="center"/>
    </xf>
    <xf numFmtId="0" fontId="14" fillId="7" borderId="5" applyAlignment="1" pivotButton="0" quotePrefix="0" xfId="0">
      <alignment horizontal="left" vertical="center" indent="1"/>
    </xf>
    <xf numFmtId="3" fontId="15" fillId="7" borderId="6" applyAlignment="1" pivotButton="0" quotePrefix="0" xfId="0">
      <alignment horizontal="left" vertical="center" indent="1"/>
    </xf>
    <xf numFmtId="167" fontId="15" fillId="7" borderId="6" applyAlignment="1" pivotButton="0" quotePrefix="0" xfId="0">
      <alignment horizontal="left" vertical="center" indent="1"/>
    </xf>
    <xf numFmtId="167" fontId="16" fillId="7" borderId="6" applyAlignment="1" pivotButton="0" quotePrefix="0" xfId="0">
      <alignment horizontal="left" vertical="center" indent="1"/>
    </xf>
    <xf numFmtId="167" fontId="17" fillId="7" borderId="6" applyAlignment="1" pivotButton="0" quotePrefix="0" xfId="0">
      <alignment horizontal="left" vertical="center" indent="1"/>
    </xf>
    <xf numFmtId="3" fontId="18" fillId="7" borderId="6" applyAlignment="1" pivotButton="0" quotePrefix="0" xfId="0">
      <alignment horizontal="left" vertical="center" indent="1"/>
    </xf>
    <xf numFmtId="164" fontId="17" fillId="7" borderId="6" applyAlignment="1" pivotButton="0" quotePrefix="0" xfId="0">
      <alignment horizontal="left" vertical="center" indent="1"/>
    </xf>
    <xf numFmtId="3" fontId="16" fillId="7" borderId="6" applyAlignment="1" pivotButton="0" quotePrefix="0" xfId="0">
      <alignment horizontal="left" vertical="center" indent="1"/>
    </xf>
    <xf numFmtId="3" fontId="17" fillId="7" borderId="6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/>
    </xf>
    <xf numFmtId="0" fontId="19" fillId="5" borderId="7" applyAlignment="1" pivotButton="0" quotePrefix="0" xfId="0">
      <alignment horizontal="left" vertical="center"/>
    </xf>
    <xf numFmtId="0" fontId="19" fillId="5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7" fontId="3" fillId="0" borderId="1" pivotButton="0" quotePrefix="0" xfId="0"/>
    <xf numFmtId="0" fontId="1" fillId="4" borderId="0" applyAlignment="1" pivotButton="0" quotePrefix="0" xfId="0">
      <alignment horizontal="left" vertical="center" indent="1"/>
    </xf>
    <xf numFmtId="3" fontId="20" fillId="4" borderId="0" applyAlignment="1" pivotButton="0" quotePrefix="0" xfId="0">
      <alignment horizontal="center" vertical="center"/>
    </xf>
    <xf numFmtId="167" fontId="20" fillId="4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left" vertical="center"/>
    </xf>
    <xf numFmtId="165" fontId="4" fillId="3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166" fontId="4" fillId="3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166" fontId="12" fillId="6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left" vertical="center"/>
    </xf>
    <xf numFmtId="0" fontId="3" fillId="5" borderId="0" pivotButton="0" quotePrefix="0" xfId="0"/>
    <xf numFmtId="0" fontId="13" fillId="0" borderId="0" pivotButton="0" quotePrefix="0" xfId="0"/>
    <xf numFmtId="0" fontId="12" fillId="6" borderId="3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21" fillId="7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left" vertical="center"/>
    </xf>
    <xf numFmtId="0" fontId="11" fillId="2" borderId="4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left" vertical="center"/>
    </xf>
    <xf numFmtId="166" fontId="12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166" fontId="22" fillId="4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0" fillId="0" borderId="8" pivotButton="0" quotePrefix="0" xfId="0"/>
    <xf numFmtId="0" fontId="3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165" fontId="4" fillId="3" borderId="3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2" fillId="3" borderId="1" pivotButton="0" quotePrefix="0" xfId="0"/>
    <xf numFmtId="165" fontId="5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Valvic</author>
  </authors>
  <commentList>
    <comment ref="A6" authorId="0" shapeId="0">
      <text>
        <t>Cada item recebe um código sequencial VLV-0001, VLV-0002…
Nunca reaproveitar código de item baixado.</t>
      </text>
    </comment>
    <comment ref="L6" authorId="0" shapeId="0">
      <text>
        <t>Preenchida automaticamente pela categoria, com base nas taxas da aba Listas.
Confirmar as taxas com o contador.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4" customWidth="1" min="5" max="5"/>
    <col width="26" customWidth="1" min="6" max="6"/>
    <col width="15" customWidth="1" min="7" max="7"/>
    <col width="15" customWidth="1" min="8" max="8"/>
    <col width="4" customWidth="1" min="9" max="9"/>
    <col width="2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PAINEL DE PATRIMÔNIO</t>
        </is>
      </c>
    </row>
    <row r="4" ht="17" customHeight="1">
      <c r="A4" s="4" t="inlineStr">
        <is>
          <t>Números calculados automaticamente a partir da aba Patrimônio Geral</t>
        </is>
      </c>
    </row>
    <row r="6" ht="20" customHeight="1">
      <c r="A6" s="5" t="inlineStr">
        <is>
          <t xml:space="preserve">  POSIÇÃO PATRIMONIAL</t>
        </is>
      </c>
    </row>
    <row r="8" ht="17" customHeight="1">
      <c r="B8" s="6" t="inlineStr">
        <is>
          <t>ITENS CADASTRADOS</t>
        </is>
      </c>
      <c r="F8" s="6" t="inlineStr">
        <is>
          <t>VALOR DE AQUISIÇÃO</t>
        </is>
      </c>
      <c r="J8" s="6" t="inlineStr">
        <is>
          <t>VALOR CONTÁBIL ATUAL</t>
        </is>
      </c>
    </row>
    <row r="9" ht="30" customHeight="1">
      <c r="B9" s="7">
        <f>COUNTIF('Patrimônio Geral'!$A$7:$A$156,"?*")</f>
        <v/>
      </c>
      <c r="F9" s="8">
        <f>SUM('Patrimônio Geral'!$J$7:$J$156)</f>
        <v/>
      </c>
      <c r="J9" s="9">
        <f>SUM('Patrimônio Geral'!$O$7:$O$156)</f>
        <v/>
      </c>
    </row>
    <row r="11" ht="17" customHeight="1">
      <c r="B11" s="6" t="inlineStr">
        <is>
          <t>DEPRECIAÇÃO ACUMULADA</t>
        </is>
      </c>
      <c r="F11" s="6" t="inlineStr">
        <is>
          <t>ITENS CEDIDOS A COLABORADORES</t>
        </is>
      </c>
      <c r="J11" s="6" t="inlineStr">
        <is>
          <t>% DO VALOR JÁ DEPRECIADO</t>
        </is>
      </c>
    </row>
    <row r="12" ht="30" customHeight="1">
      <c r="B12" s="10">
        <f>SUM('Patrimônio Geral'!$N$7:$N$156)</f>
        <v/>
      </c>
      <c r="F12" s="11">
        <f>COUNTIF('Patrimônio Geral'!$R$7:$R$156,"?*")</f>
        <v/>
      </c>
      <c r="J12" s="12">
        <f>IF(SUM('Patrimônio Geral'!$J$7:$J$156)=0,0,SUM('Patrimônio Geral'!$N$7:$N$156)/SUM('Patrimônio Geral'!$J$7:$J$156))</f>
        <v/>
      </c>
    </row>
    <row r="14" ht="20" customHeight="1">
      <c r="A14" s="5" t="inlineStr">
        <is>
          <t xml:space="preserve">  TERMOS DE RESPONSABILIDADE</t>
        </is>
      </c>
    </row>
    <row r="16" ht="17" customHeight="1">
      <c r="B16" s="6" t="inlineStr">
        <is>
          <t>TERMOS ASSINADOS</t>
        </is>
      </c>
      <c r="F16" s="6" t="inlineStr">
        <is>
          <t>ITENS CEDIDOS SEM TERMO</t>
        </is>
      </c>
      <c r="J16" s="6" t="inlineStr">
        <is>
          <t>ITENS EM MANUTENÇÃO OU EXTRAVIADOS</t>
        </is>
      </c>
    </row>
    <row r="17" ht="30" customHeight="1">
      <c r="B17" s="13">
        <f>COUNTIF('Patrimônio Geral'!$V$7:$V$156,"Sim")</f>
        <v/>
      </c>
      <c r="F17" s="14">
        <f>COUNTIFS('Patrimônio Geral'!$R$7:$R$156,"?*",'Patrimônio Geral'!$V$7:$V$156,"&lt;&gt;Sim")</f>
        <v/>
      </c>
      <c r="J17" s="14">
        <f>COUNTIF('Patrimônio Geral'!$P$7:$P$156,"Em manutenção")+COUNTIF('Patrimônio Geral'!$P$7:$P$156,"Extraviado")</f>
        <v/>
      </c>
    </row>
    <row r="19" ht="20" customHeight="1">
      <c r="A19" s="5" t="inlineStr">
        <is>
          <t xml:space="preserve">  DISTRIBUIÇÃO DO PATRIMÔNIO</t>
        </is>
      </c>
    </row>
    <row r="21" ht="19" customHeight="1">
      <c r="B21" s="15" t="inlineStr">
        <is>
          <t xml:space="preserve">  POR CATEGORIA</t>
        </is>
      </c>
      <c r="F21" s="15" t="inlineStr">
        <is>
          <t xml:space="preserve">  POR RESPONSÁVEL</t>
        </is>
      </c>
      <c r="J21" s="15" t="inlineStr">
        <is>
          <t xml:space="preserve">  POR SITUAÇÃO</t>
        </is>
      </c>
    </row>
    <row r="22">
      <c r="B22" s="16" t="inlineStr"/>
      <c r="C22" s="17" t="inlineStr">
        <is>
          <t>Itens</t>
        </is>
      </c>
      <c r="D22" s="17" t="inlineStr">
        <is>
          <t>Valor</t>
        </is>
      </c>
      <c r="F22" s="16" t="inlineStr"/>
      <c r="G22" s="17" t="inlineStr">
        <is>
          <t>Itens</t>
        </is>
      </c>
      <c r="H22" s="17" t="inlineStr">
        <is>
          <t>Valor</t>
        </is>
      </c>
      <c r="J22" s="16" t="inlineStr"/>
      <c r="K22" s="17" t="inlineStr">
        <is>
          <t>Itens</t>
        </is>
      </c>
      <c r="L22" s="17" t="inlineStr">
        <is>
          <t>Valor</t>
        </is>
      </c>
    </row>
    <row r="23" ht="17" customHeight="1">
      <c r="B23" s="18" t="inlineStr">
        <is>
          <t>Máquina fixa</t>
        </is>
      </c>
      <c r="C23" s="19">
        <f>COUNTIF('Patrimônio Geral'!$B$7:$B$156,$B23)</f>
        <v/>
      </c>
      <c r="D23" s="20">
        <f>SUMIF('Patrimônio Geral'!$B$7:$B$156,$B23,'Patrimônio Geral'!$J$7:$J$156)</f>
        <v/>
      </c>
      <c r="F23" s="18" t="inlineStr">
        <is>
          <t>Deivson</t>
        </is>
      </c>
      <c r="G23" s="19">
        <f>COUNTIF('Patrimônio Geral'!$R$7:$R$156,$F23)</f>
        <v/>
      </c>
      <c r="H23" s="20">
        <f>SUMIF('Patrimônio Geral'!$R$7:$R$156,$F23,'Patrimônio Geral'!$J$7:$J$156)</f>
        <v/>
      </c>
      <c r="J23" s="18" t="inlineStr">
        <is>
          <t>Em uso</t>
        </is>
      </c>
      <c r="K23" s="19">
        <f>COUNTIF('Patrimônio Geral'!$P$7:$P$156,$J23)</f>
        <v/>
      </c>
      <c r="L23" s="20">
        <f>SUMIF('Patrimônio Geral'!$P$7:$P$156,$J23,'Patrimônio Geral'!$J$7:$J$156)</f>
        <v/>
      </c>
    </row>
    <row r="24" ht="17" customHeight="1">
      <c r="B24" s="18" t="inlineStr">
        <is>
          <t>Ferramenta elétrica</t>
        </is>
      </c>
      <c r="C24" s="19">
        <f>COUNTIF('Patrimônio Geral'!$B$7:$B$156,$B24)</f>
        <v/>
      </c>
      <c r="D24" s="20">
        <f>SUMIF('Patrimônio Geral'!$B$7:$B$156,$B24,'Patrimônio Geral'!$J$7:$J$156)</f>
        <v/>
      </c>
      <c r="F24" s="18" t="inlineStr">
        <is>
          <t>Samuel</t>
        </is>
      </c>
      <c r="G24" s="19">
        <f>COUNTIF('Patrimônio Geral'!$R$7:$R$156,$F24)</f>
        <v/>
      </c>
      <c r="H24" s="20">
        <f>SUMIF('Patrimônio Geral'!$R$7:$R$156,$F24,'Patrimônio Geral'!$J$7:$J$156)</f>
        <v/>
      </c>
      <c r="J24" s="18" t="inlineStr">
        <is>
          <t>Em estoque</t>
        </is>
      </c>
      <c r="K24" s="19">
        <f>COUNTIF('Patrimônio Geral'!$P$7:$P$156,$J24)</f>
        <v/>
      </c>
      <c r="L24" s="20">
        <f>SUMIF('Patrimônio Geral'!$P$7:$P$156,$J24,'Patrimônio Geral'!$J$7:$J$156)</f>
        <v/>
      </c>
    </row>
    <row r="25" ht="17" customHeight="1">
      <c r="B25" s="18" t="inlineStr">
        <is>
          <t>Ferramenta manual</t>
        </is>
      </c>
      <c r="C25" s="19">
        <f>COUNTIF('Patrimônio Geral'!$B$7:$B$156,$B25)</f>
        <v/>
      </c>
      <c r="D25" s="20">
        <f>SUMIF('Patrimônio Geral'!$B$7:$B$156,$B25,'Patrimônio Geral'!$J$7:$J$156)</f>
        <v/>
      </c>
      <c r="F25" s="18" t="inlineStr">
        <is>
          <t>Jackson</t>
        </is>
      </c>
      <c r="G25" s="19">
        <f>COUNTIF('Patrimônio Geral'!$R$7:$R$156,$F25)</f>
        <v/>
      </c>
      <c r="H25" s="20">
        <f>SUMIF('Patrimônio Geral'!$R$7:$R$156,$F25,'Patrimônio Geral'!$J$7:$J$156)</f>
        <v/>
      </c>
      <c r="J25" s="18" t="inlineStr">
        <is>
          <t>Em manutenção</t>
        </is>
      </c>
      <c r="K25" s="19">
        <f>COUNTIF('Patrimônio Geral'!$P$7:$P$156,$J25)</f>
        <v/>
      </c>
      <c r="L25" s="20">
        <f>SUMIF('Patrimônio Geral'!$P$7:$P$156,$J25,'Patrimônio Geral'!$J$7:$J$156)</f>
        <v/>
      </c>
    </row>
    <row r="26" ht="17" customHeight="1">
      <c r="B26" s="18" t="inlineStr">
        <is>
          <t>Instrumento de medição</t>
        </is>
      </c>
      <c r="C26" s="19">
        <f>COUNTIF('Patrimônio Geral'!$B$7:$B$156,$B26)</f>
        <v/>
      </c>
      <c r="D26" s="20">
        <f>SUMIF('Patrimônio Geral'!$B$7:$B$156,$B26,'Patrimônio Geral'!$J$7:$J$156)</f>
        <v/>
      </c>
      <c r="F26" s="18" t="inlineStr">
        <is>
          <t>Cezar</t>
        </is>
      </c>
      <c r="G26" s="19">
        <f>COUNTIF('Patrimônio Geral'!$R$7:$R$156,$F26)</f>
        <v/>
      </c>
      <c r="H26" s="20">
        <f>SUMIF('Patrimônio Geral'!$R$7:$R$156,$F26,'Patrimônio Geral'!$J$7:$J$156)</f>
        <v/>
      </c>
      <c r="J26" s="18" t="inlineStr">
        <is>
          <t>Extraviado</t>
        </is>
      </c>
      <c r="K26" s="19">
        <f>COUNTIF('Patrimônio Geral'!$P$7:$P$156,$J26)</f>
        <v/>
      </c>
      <c r="L26" s="20">
        <f>SUMIF('Patrimônio Geral'!$P$7:$P$156,$J26,'Patrimônio Geral'!$J$7:$J$156)</f>
        <v/>
      </c>
    </row>
    <row r="27" ht="17" customHeight="1">
      <c r="B27" s="18" t="inlineStr">
        <is>
          <t>Veículo</t>
        </is>
      </c>
      <c r="C27" s="19">
        <f>COUNTIF('Patrimônio Geral'!$B$7:$B$156,$B27)</f>
        <v/>
      </c>
      <c r="D27" s="20">
        <f>SUMIF('Patrimônio Geral'!$B$7:$B$156,$B27,'Patrimônio Geral'!$J$7:$J$156)</f>
        <v/>
      </c>
      <c r="F27" s="18" t="inlineStr">
        <is>
          <t>Jomar</t>
        </is>
      </c>
      <c r="G27" s="19">
        <f>COUNTIF('Patrimônio Geral'!$R$7:$R$156,$F27)</f>
        <v/>
      </c>
      <c r="H27" s="20">
        <f>SUMIF('Patrimônio Geral'!$R$7:$R$156,$F27,'Patrimônio Geral'!$J$7:$J$156)</f>
        <v/>
      </c>
      <c r="J27" s="18" t="inlineStr">
        <is>
          <t>Baixado</t>
        </is>
      </c>
      <c r="K27" s="19">
        <f>COUNTIF('Patrimônio Geral'!$P$7:$P$156,$J27)</f>
        <v/>
      </c>
      <c r="L27" s="20">
        <f>SUMIF('Patrimônio Geral'!$P$7:$P$156,$J27,'Patrimônio Geral'!$J$7:$J$156)</f>
        <v/>
      </c>
    </row>
    <row r="28" ht="17" customHeight="1">
      <c r="B28" s="18" t="inlineStr">
        <is>
          <t>Informática</t>
        </is>
      </c>
      <c r="C28" s="19">
        <f>COUNTIF('Patrimônio Geral'!$B$7:$B$156,$B28)</f>
        <v/>
      </c>
      <c r="D28" s="20">
        <f>SUMIF('Patrimônio Geral'!$B$7:$B$156,$B28,'Patrimônio Geral'!$J$7:$J$156)</f>
        <v/>
      </c>
      <c r="F28" s="18" t="inlineStr">
        <is>
          <t>Davi</t>
        </is>
      </c>
      <c r="G28" s="19">
        <f>COUNTIF('Patrimônio Geral'!$R$7:$R$156,$F28)</f>
        <v/>
      </c>
      <c r="H28" s="20">
        <f>SUMIF('Patrimônio Geral'!$R$7:$R$156,$F28,'Patrimônio Geral'!$J$7:$J$156)</f>
        <v/>
      </c>
    </row>
    <row r="29" ht="17" customHeight="1">
      <c r="B29" s="18" t="inlineStr">
        <is>
          <t>Mobiliário</t>
        </is>
      </c>
      <c r="C29" s="19">
        <f>COUNTIF('Patrimônio Geral'!$B$7:$B$156,$B29)</f>
        <v/>
      </c>
      <c r="D29" s="20">
        <f>SUMIF('Patrimônio Geral'!$B$7:$B$156,$B29,'Patrimônio Geral'!$J$7:$J$156)</f>
        <v/>
      </c>
      <c r="F29" s="18" t="inlineStr">
        <is>
          <t>Jonathan Godoy</t>
        </is>
      </c>
      <c r="G29" s="19">
        <f>COUNTIF('Patrimônio Geral'!$R$7:$R$156,$F29)</f>
        <v/>
      </c>
      <c r="H29" s="20">
        <f>SUMIF('Patrimônio Geral'!$R$7:$R$156,$F29,'Patrimônio Geral'!$J$7:$J$156)</f>
        <v/>
      </c>
    </row>
    <row r="30" ht="17" customHeight="1">
      <c r="B30" s="18" t="inlineStr">
        <is>
          <t>Infraestrutura</t>
        </is>
      </c>
      <c r="C30" s="19">
        <f>COUNTIF('Patrimônio Geral'!$B$7:$B$156,$B30)</f>
        <v/>
      </c>
      <c r="D30" s="20">
        <f>SUMIF('Patrimônio Geral'!$B$7:$B$156,$B30,'Patrimônio Geral'!$J$7:$J$156)</f>
        <v/>
      </c>
      <c r="F30" s="18" t="inlineStr">
        <is>
          <t>Joelson</t>
        </is>
      </c>
      <c r="G30" s="19">
        <f>COUNTIF('Patrimônio Geral'!$R$7:$R$156,$F30)</f>
        <v/>
      </c>
      <c r="H30" s="20">
        <f>SUMIF('Patrimônio Geral'!$R$7:$R$156,$F30,'Patrimônio Geral'!$J$7:$J$156)</f>
        <v/>
      </c>
    </row>
    <row r="31" ht="19" customHeight="1">
      <c r="B31" s="21" t="inlineStr">
        <is>
          <t>Total</t>
        </is>
      </c>
      <c r="C31" s="22">
        <f>SUM(C23:C30)</f>
        <v/>
      </c>
      <c r="D31" s="23">
        <f>SUM(D23:D30)</f>
        <v/>
      </c>
      <c r="F31" s="21" t="inlineStr">
        <is>
          <t>Total</t>
        </is>
      </c>
      <c r="G31" s="22">
        <f>SUM(G23:G30)</f>
        <v/>
      </c>
      <c r="H31" s="23">
        <f>SUM(H23:H30)</f>
        <v/>
      </c>
      <c r="J31" s="21" t="inlineStr">
        <is>
          <t>Total</t>
        </is>
      </c>
      <c r="K31" s="22">
        <f>SUM(K23:K27)</f>
        <v/>
      </c>
      <c r="L31" s="23">
        <f>SUM(L23:L27)</f>
        <v/>
      </c>
    </row>
    <row r="33" ht="20" customHeight="1">
      <c r="A33" s="5" t="inlineStr">
        <is>
          <t xml:space="preserve">  COMO ESTE PAINEL FUNCIONA</t>
        </is>
      </c>
    </row>
    <row r="35" ht="16" customHeight="1">
      <c r="B35" s="24" t="inlineStr">
        <is>
          <t>•  Todos os números vêm da aba Patrimônio Geral e se atualizam sozinhos — nada aqui precisa ser digitado.</t>
        </is>
      </c>
    </row>
    <row r="36" ht="16" customHeight="1">
      <c r="B36" s="24" t="inlineStr">
        <is>
          <t>•  A depreciação é linear e calculada mês a mês desde a data de aquisição, limitada ao valor do bem.</t>
        </is>
      </c>
    </row>
    <row r="37" ht="16" customHeight="1">
      <c r="B37" s="24" t="inlineStr">
        <is>
          <t>•  "Itens cedidos sem termo" é o indicador de risco: todo item nas mãos de alguém precisa de termo assinado.</t>
        </is>
      </c>
    </row>
    <row r="38" ht="16" customHeight="1">
      <c r="B38" s="24" t="inlineStr">
        <is>
          <t>•  A conferência mensal do Deivson alimenta a aba Conferência Mensal e mantém este painel confiável.</t>
        </is>
      </c>
    </row>
  </sheetData>
  <mergeCells count="33">
    <mergeCell ref="B35:L35"/>
    <mergeCell ref="B11:D11"/>
    <mergeCell ref="B8:D8"/>
    <mergeCell ref="B17:D17"/>
    <mergeCell ref="F8:H8"/>
    <mergeCell ref="J9:L9"/>
    <mergeCell ref="F17:H17"/>
    <mergeCell ref="A3:L3"/>
    <mergeCell ref="J11:L11"/>
    <mergeCell ref="A2:L2"/>
    <mergeCell ref="J16:L16"/>
    <mergeCell ref="A33:L33"/>
    <mergeCell ref="A14:L14"/>
    <mergeCell ref="B9:D9"/>
    <mergeCell ref="F9:H9"/>
    <mergeCell ref="J12:L12"/>
    <mergeCell ref="J21:L21"/>
    <mergeCell ref="A4:L4"/>
    <mergeCell ref="B38:L38"/>
    <mergeCell ref="A19:L19"/>
    <mergeCell ref="B37:L37"/>
    <mergeCell ref="J8:L8"/>
    <mergeCell ref="J17:L17"/>
    <mergeCell ref="F11:H11"/>
    <mergeCell ref="B16:D16"/>
    <mergeCell ref="F16:H16"/>
    <mergeCell ref="A1:L1"/>
    <mergeCell ref="A6:L6"/>
    <mergeCell ref="B21:D21"/>
    <mergeCell ref="F12:H12"/>
    <mergeCell ref="B36:L36"/>
    <mergeCell ref="B12:D12"/>
    <mergeCell ref="F21:H21"/>
  </mergeCells>
  <pageMargins left="0.45" right="0.35" top="0.4" bottom="0.3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63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6" customWidth="1" min="3" max="3"/>
    <col width="14" customWidth="1" min="4" max="4"/>
    <col width="16" customWidth="1" min="5" max="5"/>
    <col width="22" customWidth="1" min="6" max="6"/>
    <col width="13" customWidth="1" min="7" max="7"/>
    <col width="18" customWidth="1" min="8" max="8"/>
    <col width="12" customWidth="1" min="9" max="9"/>
    <col width="15" customWidth="1" min="10" max="10"/>
    <col width="10" customWidth="1" min="11" max="11"/>
    <col width="12" customWidth="1" min="12" max="12"/>
    <col width="10" customWidth="1" min="13" max="13"/>
    <col width="16" customWidth="1" min="14" max="14"/>
    <col width="15" customWidth="1" min="15" max="15"/>
    <col width="14" customWidth="1" min="16" max="16"/>
    <col width="15" customWidth="1" min="17" max="17"/>
    <col width="17" customWidth="1" min="18" max="18"/>
    <col width="9" customWidth="1" min="19" max="19"/>
    <col width="14" customWidth="1" min="20" max="20"/>
    <col width="13" customWidth="1" min="21" max="21"/>
    <col width="11" customWidth="1" min="22" max="22"/>
    <col width="34" customWidth="1" min="23" max="23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CONTROLE DE PATRIMÔNIO</t>
        </is>
      </c>
    </row>
    <row r="4" ht="17" customHeight="1">
      <c r="A4" s="4" t="inlineStr">
        <is>
          <t>Cadastro único de todos os bens da empresa · preencha apenas as células de fundo creme</t>
        </is>
      </c>
    </row>
    <row r="6" ht="30" customHeight="1">
      <c r="A6" s="25" t="inlineStr">
        <is>
          <t>Código</t>
        </is>
      </c>
      <c r="B6" s="25" t="inlineStr">
        <is>
          <t>Categoria</t>
        </is>
      </c>
      <c r="C6" s="25" t="inlineStr">
        <is>
          <t>Descrição completa do item</t>
        </is>
      </c>
      <c r="D6" s="25" t="inlineStr">
        <is>
          <t>Marca</t>
        </is>
      </c>
      <c r="E6" s="25" t="inlineStr">
        <is>
          <t>Modelo</t>
        </is>
      </c>
      <c r="F6" s="25" t="inlineStr">
        <is>
          <t>Código de etiqueta / nº de série</t>
        </is>
      </c>
      <c r="G6" s="25" t="inlineStr">
        <is>
          <t>Data de aquisição</t>
        </is>
      </c>
      <c r="H6" s="25" t="inlineStr">
        <is>
          <t>Fornecedor</t>
        </is>
      </c>
      <c r="I6" s="25" t="inlineStr">
        <is>
          <t>Nota fiscal</t>
        </is>
      </c>
      <c r="J6" s="25" t="inlineStr">
        <is>
          <t>Valor de aquisição</t>
        </is>
      </c>
      <c r="K6" s="25" t="inlineStr">
        <is>
          <t>Vida útil (anos)</t>
        </is>
      </c>
      <c r="L6" s="25" t="inlineStr">
        <is>
          <t>Taxa deprec. (% a.a.)</t>
        </is>
      </c>
      <c r="M6" s="25" t="inlineStr">
        <is>
          <t>Meses de uso</t>
        </is>
      </c>
      <c r="N6" s="25" t="inlineStr">
        <is>
          <t>Depreciação acumulada</t>
        </is>
      </c>
      <c r="O6" s="25" t="inlineStr">
        <is>
          <t>Valor contábil atual</t>
        </is>
      </c>
      <c r="P6" s="25" t="inlineStr">
        <is>
          <t>Situação</t>
        </is>
      </c>
      <c r="Q6" s="25" t="inlineStr">
        <is>
          <t>Localização</t>
        </is>
      </c>
      <c r="R6" s="25" t="inlineStr">
        <is>
          <t>Responsável</t>
        </is>
      </c>
      <c r="S6" s="25" t="inlineStr">
        <is>
          <t>Vínculo</t>
        </is>
      </c>
      <c r="T6" s="25" t="inlineStr">
        <is>
          <t>Estado na entrega</t>
        </is>
      </c>
      <c r="U6" s="25" t="inlineStr">
        <is>
          <t>Data de entrega</t>
        </is>
      </c>
      <c r="V6" s="25" t="inlineStr">
        <is>
          <t>Termo assinado</t>
        </is>
      </c>
      <c r="W6" s="25" t="inlineStr">
        <is>
          <t>Observações</t>
        </is>
      </c>
    </row>
    <row r="7" ht="22" customHeight="1">
      <c r="A7" s="26" t="inlineStr">
        <is>
          <t>VLV-0001</t>
        </is>
      </c>
      <c r="B7" s="27" t="inlineStr">
        <is>
          <t>Máquina fixa</t>
        </is>
      </c>
      <c r="C7" s="27" t="inlineStr">
        <is>
          <t>Centro de usinagem CNC Raizen Solid TAF · 380V · 3 eixos</t>
        </is>
      </c>
      <c r="D7" s="27" t="inlineStr">
        <is>
          <t>Raizen</t>
        </is>
      </c>
      <c r="E7" s="27" t="inlineStr">
        <is>
          <t>Solid TAF</t>
        </is>
      </c>
      <c r="F7" s="27" t="n"/>
      <c r="G7" s="28" t="n"/>
      <c r="H7" s="27" t="n"/>
      <c r="I7" s="29" t="n"/>
      <c r="J7" s="30" t="n"/>
      <c r="K7" s="29" t="n">
        <v>10</v>
      </c>
      <c r="L7" s="31">
        <f>IFERROR(INDEX(Listas!$G$14:$G$21,MATCH($B7,Listas!$F$14:$F$21,0)),"")</f>
        <v/>
      </c>
      <c r="M7" s="32">
        <f>IF(OR($G7="",$K7=""),"",MIN($K7*12,MAX(0,DATEDIF($G7,Listas!$N$2,"m"))))</f>
        <v/>
      </c>
      <c r="N7" s="33">
        <f>IF(OR($J7="",$M7=""),"",MIN($J7,ROUND($J7*($L7/12)*$M7,2)))</f>
        <v/>
      </c>
      <c r="O7" s="33">
        <f>IF($J7="","",$J7-IF($N7="",0,$N7))</f>
        <v/>
      </c>
      <c r="P7" s="34" t="inlineStr">
        <is>
          <t>Em uso</t>
        </is>
      </c>
      <c r="Q7" s="34" t="inlineStr">
        <is>
          <t>Fábrica</t>
        </is>
      </c>
      <c r="R7" s="27" t="n"/>
      <c r="S7" s="32">
        <f>IFERROR(INDEX(Listas!$B$2:$B$40,MATCH($R7,Listas!$A$2:$A$40,0)),"")</f>
        <v/>
      </c>
      <c r="T7" s="27" t="n"/>
      <c r="U7" s="28" t="n"/>
      <c r="V7" s="29" t="n"/>
      <c r="W7" s="27" t="n"/>
    </row>
    <row r="8" ht="22" customHeight="1">
      <c r="A8" s="26" t="inlineStr">
        <is>
          <t>VLV-0002</t>
        </is>
      </c>
      <c r="B8" s="27" t="inlineStr">
        <is>
          <t>Máquina fixa</t>
        </is>
      </c>
      <c r="C8" s="27" t="inlineStr">
        <is>
          <t>Coladeira de bordas SCM Minimax ME 25 · fita 0,4 mm · cola EVA</t>
        </is>
      </c>
      <c r="D8" s="27" t="inlineStr">
        <is>
          <t>SCM</t>
        </is>
      </c>
      <c r="E8" s="27" t="inlineStr">
        <is>
          <t>Minimax ME 25</t>
        </is>
      </c>
      <c r="F8" s="27" t="n"/>
      <c r="G8" s="28" t="n"/>
      <c r="H8" s="27" t="n"/>
      <c r="I8" s="29" t="n"/>
      <c r="J8" s="30" t="n"/>
      <c r="K8" s="29" t="n">
        <v>10</v>
      </c>
      <c r="L8" s="31">
        <f>IFERROR(INDEX(Listas!$G$14:$G$21,MATCH($B8,Listas!$F$14:$F$21,0)),"")</f>
        <v/>
      </c>
      <c r="M8" s="32">
        <f>IF(OR($G8="",$K8=""),"",MIN($K8*12,MAX(0,DATEDIF($G8,Listas!$N$2,"m"))))</f>
        <v/>
      </c>
      <c r="N8" s="33">
        <f>IF(OR($J8="",$M8=""),"",MIN($J8,ROUND($J8*($L8/12)*$M8,2)))</f>
        <v/>
      </c>
      <c r="O8" s="33">
        <f>IF($J8="","",$J8-IF($N8="",0,$N8))</f>
        <v/>
      </c>
      <c r="P8" s="34" t="inlineStr">
        <is>
          <t>Em uso</t>
        </is>
      </c>
      <c r="Q8" s="34" t="inlineStr">
        <is>
          <t>Fábrica</t>
        </is>
      </c>
      <c r="R8" s="27" t="n"/>
      <c r="S8" s="32">
        <f>IFERROR(INDEX(Listas!$B$2:$B$40,MATCH($R8,Listas!$A$2:$A$40,0)),"")</f>
        <v/>
      </c>
      <c r="T8" s="27" t="n"/>
      <c r="U8" s="28" t="n"/>
      <c r="V8" s="29" t="n"/>
      <c r="W8" s="27" t="n"/>
    </row>
    <row r="9" ht="22" customHeight="1">
      <c r="A9" s="26" t="inlineStr">
        <is>
          <t>VLV-0003</t>
        </is>
      </c>
      <c r="B9" s="27" t="inlineStr">
        <is>
          <t>Máquina fixa</t>
        </is>
      </c>
      <c r="C9" s="27" t="inlineStr">
        <is>
          <t>Esquadrejadeira Raizen RZN 3200P</t>
        </is>
      </c>
      <c r="D9" s="27" t="inlineStr">
        <is>
          <t>Raizen</t>
        </is>
      </c>
      <c r="E9" s="27" t="inlineStr">
        <is>
          <t>RZN 3200P</t>
        </is>
      </c>
      <c r="F9" s="27" t="n"/>
      <c r="G9" s="28" t="n"/>
      <c r="H9" s="27" t="n"/>
      <c r="I9" s="29" t="n"/>
      <c r="J9" s="30" t="n"/>
      <c r="K9" s="29" t="n">
        <v>10</v>
      </c>
      <c r="L9" s="31">
        <f>IFERROR(INDEX(Listas!$G$14:$G$21,MATCH($B9,Listas!$F$14:$F$21,0)),"")</f>
        <v/>
      </c>
      <c r="M9" s="32">
        <f>IF(OR($G9="",$K9=""),"",MIN($K9*12,MAX(0,DATEDIF($G9,Listas!$N$2,"m"))))</f>
        <v/>
      </c>
      <c r="N9" s="33">
        <f>IF(OR($J9="",$M9=""),"",MIN($J9,ROUND($J9*($L9/12)*$M9,2)))</f>
        <v/>
      </c>
      <c r="O9" s="33">
        <f>IF($J9="","",$J9-IF($N9="",0,$N9))</f>
        <v/>
      </c>
      <c r="P9" s="34" t="inlineStr">
        <is>
          <t>Em uso</t>
        </is>
      </c>
      <c r="Q9" s="34" t="inlineStr">
        <is>
          <t>Fábrica</t>
        </is>
      </c>
      <c r="R9" s="27" t="n"/>
      <c r="S9" s="32">
        <f>IFERROR(INDEX(Listas!$B$2:$B$40,MATCH($R9,Listas!$A$2:$A$40,0)),"")</f>
        <v/>
      </c>
      <c r="T9" s="27" t="n"/>
      <c r="U9" s="28" t="n"/>
      <c r="V9" s="29" t="n"/>
      <c r="W9" s="27" t="n"/>
    </row>
    <row r="10" ht="22" customHeight="1">
      <c r="A10" s="26" t="inlineStr">
        <is>
          <t>VLV-0004</t>
        </is>
      </c>
      <c r="B10" s="27" t="inlineStr">
        <is>
          <t>Máquina fixa</t>
        </is>
      </c>
      <c r="C10" s="27" t="inlineStr">
        <is>
          <t>Compressor de ar</t>
        </is>
      </c>
      <c r="D10" s="27" t="inlineStr"/>
      <c r="E10" s="27" t="inlineStr"/>
      <c r="F10" s="27" t="n"/>
      <c r="G10" s="28" t="n"/>
      <c r="H10" s="27" t="n"/>
      <c r="I10" s="29" t="n"/>
      <c r="J10" s="30" t="n"/>
      <c r="K10" s="29" t="n">
        <v>10</v>
      </c>
      <c r="L10" s="31">
        <f>IFERROR(INDEX(Listas!$G$14:$G$21,MATCH($B10,Listas!$F$14:$F$21,0)),"")</f>
        <v/>
      </c>
      <c r="M10" s="32">
        <f>IF(OR($G10="",$K10=""),"",MIN($K10*12,MAX(0,DATEDIF($G10,Listas!$N$2,"m"))))</f>
        <v/>
      </c>
      <c r="N10" s="33">
        <f>IF(OR($J10="",$M10=""),"",MIN($J10,ROUND($J10*($L10/12)*$M10,2)))</f>
        <v/>
      </c>
      <c r="O10" s="33">
        <f>IF($J10="","",$J10-IF($N10="",0,$N10))</f>
        <v/>
      </c>
      <c r="P10" s="34" t="inlineStr">
        <is>
          <t>Em uso</t>
        </is>
      </c>
      <c r="Q10" s="34" t="inlineStr">
        <is>
          <t>Fábrica</t>
        </is>
      </c>
      <c r="R10" s="27" t="n"/>
      <c r="S10" s="32">
        <f>IFERROR(INDEX(Listas!$B$2:$B$40,MATCH($R10,Listas!$A$2:$A$40,0)),"")</f>
        <v/>
      </c>
      <c r="T10" s="27" t="n"/>
      <c r="U10" s="28" t="n"/>
      <c r="V10" s="29" t="n"/>
      <c r="W10" s="27" t="n"/>
    </row>
    <row r="11" ht="22" customHeight="1">
      <c r="A11" s="26" t="inlineStr">
        <is>
          <t>VLV-0005</t>
        </is>
      </c>
      <c r="B11" s="27" t="inlineStr">
        <is>
          <t>Máquina fixa</t>
        </is>
      </c>
      <c r="C11" s="27" t="inlineStr">
        <is>
          <t>Coletor de pó / exaustão</t>
        </is>
      </c>
      <c r="D11" s="27" t="inlineStr"/>
      <c r="E11" s="27" t="inlineStr"/>
      <c r="F11" s="27" t="n"/>
      <c r="G11" s="28" t="n"/>
      <c r="H11" s="27" t="n"/>
      <c r="I11" s="29" t="n"/>
      <c r="J11" s="30" t="n"/>
      <c r="K11" s="29" t="n">
        <v>10</v>
      </c>
      <c r="L11" s="31">
        <f>IFERROR(INDEX(Listas!$G$14:$G$21,MATCH($B11,Listas!$F$14:$F$21,0)),"")</f>
        <v/>
      </c>
      <c r="M11" s="32">
        <f>IF(OR($G11="",$K11=""),"",MIN($K11*12,MAX(0,DATEDIF($G11,Listas!$N$2,"m"))))</f>
        <v/>
      </c>
      <c r="N11" s="33">
        <f>IF(OR($J11="",$M11=""),"",MIN($J11,ROUND($J11*($L11/12)*$M11,2)))</f>
        <v/>
      </c>
      <c r="O11" s="33">
        <f>IF($J11="","",$J11-IF($N11="",0,$N11))</f>
        <v/>
      </c>
      <c r="P11" s="34" t="inlineStr">
        <is>
          <t>Em uso</t>
        </is>
      </c>
      <c r="Q11" s="34" t="inlineStr">
        <is>
          <t>Fábrica</t>
        </is>
      </c>
      <c r="R11" s="27" t="n"/>
      <c r="S11" s="32">
        <f>IFERROR(INDEX(Listas!$B$2:$B$40,MATCH($R11,Listas!$A$2:$A$40,0)),"")</f>
        <v/>
      </c>
      <c r="T11" s="27" t="n"/>
      <c r="U11" s="28" t="n"/>
      <c r="V11" s="29" t="n"/>
      <c r="W11" s="27" t="n"/>
    </row>
    <row r="12" ht="22" customHeight="1">
      <c r="A12" s="26" t="inlineStr">
        <is>
          <t>VLV-0006</t>
        </is>
      </c>
      <c r="B12" s="27" t="inlineStr">
        <is>
          <t>Veículo</t>
        </is>
      </c>
      <c r="C12" s="27" t="inlineStr">
        <is>
          <t>Chevrolet Montana 2020 · placa QUY4166</t>
        </is>
      </c>
      <c r="D12" s="27" t="inlineStr">
        <is>
          <t>Chevrolet</t>
        </is>
      </c>
      <c r="E12" s="27" t="inlineStr">
        <is>
          <t>Montana 2020</t>
        </is>
      </c>
      <c r="F12" s="27" t="n"/>
      <c r="G12" s="28" t="n"/>
      <c r="H12" s="27" t="n"/>
      <c r="I12" s="29" t="n"/>
      <c r="J12" s="30" t="n"/>
      <c r="K12" s="29" t="n">
        <v>5</v>
      </c>
      <c r="L12" s="31">
        <f>IFERROR(INDEX(Listas!$G$14:$G$21,MATCH($B12,Listas!$F$14:$F$21,0)),"")</f>
        <v/>
      </c>
      <c r="M12" s="32">
        <f>IF(OR($G12="",$K12=""),"",MIN($K12*12,MAX(0,DATEDIF($G12,Listas!$N$2,"m"))))</f>
        <v/>
      </c>
      <c r="N12" s="33">
        <f>IF(OR($J12="",$M12=""),"",MIN($J12,ROUND($J12*($L12/12)*$M12,2)))</f>
        <v/>
      </c>
      <c r="O12" s="33">
        <f>IF($J12="","",$J12-IF($N12="",0,$N12))</f>
        <v/>
      </c>
      <c r="P12" s="34" t="inlineStr">
        <is>
          <t>Em uso</t>
        </is>
      </c>
      <c r="Q12" s="34" t="inlineStr">
        <is>
          <t>Fábrica</t>
        </is>
      </c>
      <c r="R12" s="27" t="n"/>
      <c r="S12" s="32">
        <f>IFERROR(INDEX(Listas!$B$2:$B$40,MATCH($R12,Listas!$A$2:$A$40,0)),"")</f>
        <v/>
      </c>
      <c r="T12" s="27" t="n"/>
      <c r="U12" s="28" t="n"/>
      <c r="V12" s="29" t="n"/>
      <c r="W12" s="27" t="n"/>
    </row>
    <row r="13" ht="22" customHeight="1">
      <c r="A13" s="26" t="inlineStr">
        <is>
          <t>VLV-0007</t>
        </is>
      </c>
      <c r="B13" s="27" t="inlineStr">
        <is>
          <t>Informática</t>
        </is>
      </c>
      <c r="C13" s="27" t="inlineStr">
        <is>
          <t>Computador de escritório</t>
        </is>
      </c>
      <c r="D13" s="27" t="inlineStr"/>
      <c r="E13" s="27" t="inlineStr"/>
      <c r="F13" s="27" t="n"/>
      <c r="G13" s="28" t="n"/>
      <c r="H13" s="27" t="n"/>
      <c r="I13" s="29" t="n"/>
      <c r="J13" s="30" t="n"/>
      <c r="K13" s="29" t="n">
        <v>5</v>
      </c>
      <c r="L13" s="31">
        <f>IFERROR(INDEX(Listas!$G$14:$G$21,MATCH($B13,Listas!$F$14:$F$21,0)),"")</f>
        <v/>
      </c>
      <c r="M13" s="32">
        <f>IF(OR($G13="",$K13=""),"",MIN($K13*12,MAX(0,DATEDIF($G13,Listas!$N$2,"m"))))</f>
        <v/>
      </c>
      <c r="N13" s="33">
        <f>IF(OR($J13="",$M13=""),"",MIN($J13,ROUND($J13*($L13/12)*$M13,2)))</f>
        <v/>
      </c>
      <c r="O13" s="33">
        <f>IF($J13="","",$J13-IF($N13="",0,$N13))</f>
        <v/>
      </c>
      <c r="P13" s="34" t="inlineStr">
        <is>
          <t>Em uso</t>
        </is>
      </c>
      <c r="Q13" s="34" t="inlineStr">
        <is>
          <t>Fábrica</t>
        </is>
      </c>
      <c r="R13" s="27" t="n"/>
      <c r="S13" s="32">
        <f>IFERROR(INDEX(Listas!$B$2:$B$40,MATCH($R13,Listas!$A$2:$A$40,0)),"")</f>
        <v/>
      </c>
      <c r="T13" s="27" t="n"/>
      <c r="U13" s="28" t="n"/>
      <c r="V13" s="29" t="n"/>
      <c r="W13" s="27" t="n"/>
    </row>
    <row r="14" ht="22" customHeight="1">
      <c r="A14" s="26" t="inlineStr">
        <is>
          <t>VLV-0008</t>
        </is>
      </c>
      <c r="B14" s="27" t="inlineStr">
        <is>
          <t>Informática</t>
        </is>
      </c>
      <c r="C14" s="27" t="inlineStr">
        <is>
          <t>Tablet do chão de fábrica</t>
        </is>
      </c>
      <c r="D14" s="27" t="inlineStr"/>
      <c r="E14" s="27" t="inlineStr"/>
      <c r="F14" s="27" t="n"/>
      <c r="G14" s="28" t="n"/>
      <c r="H14" s="27" t="n"/>
      <c r="I14" s="29" t="n"/>
      <c r="J14" s="30" t="n"/>
      <c r="K14" s="29" t="n">
        <v>5</v>
      </c>
      <c r="L14" s="31">
        <f>IFERROR(INDEX(Listas!$G$14:$G$21,MATCH($B14,Listas!$F$14:$F$21,0)),"")</f>
        <v/>
      </c>
      <c r="M14" s="32">
        <f>IF(OR($G14="",$K14=""),"",MIN($K14*12,MAX(0,DATEDIF($G14,Listas!$N$2,"m"))))</f>
        <v/>
      </c>
      <c r="N14" s="33">
        <f>IF(OR($J14="",$M14=""),"",MIN($J14,ROUND($J14*($L14/12)*$M14,2)))</f>
        <v/>
      </c>
      <c r="O14" s="33">
        <f>IF($J14="","",$J14-IF($N14="",0,$N14))</f>
        <v/>
      </c>
      <c r="P14" s="34" t="inlineStr">
        <is>
          <t>Em uso</t>
        </is>
      </c>
      <c r="Q14" s="34" t="inlineStr">
        <is>
          <t>Fábrica</t>
        </is>
      </c>
      <c r="R14" s="27" t="n"/>
      <c r="S14" s="32">
        <f>IFERROR(INDEX(Listas!$B$2:$B$40,MATCH($R14,Listas!$A$2:$A$40,0)),"")</f>
        <v/>
      </c>
      <c r="T14" s="27" t="n"/>
      <c r="U14" s="28" t="n"/>
      <c r="V14" s="29" t="n"/>
      <c r="W14" s="27" t="n"/>
    </row>
    <row r="15" ht="22" customHeight="1">
      <c r="A15" s="26" t="inlineStr">
        <is>
          <t>VLV-0009</t>
        </is>
      </c>
      <c r="B15" s="27" t="inlineStr">
        <is>
          <t>Ferramenta elétrica</t>
        </is>
      </c>
      <c r="C15" s="27" t="inlineStr">
        <is>
          <t>Furador de coluna</t>
        </is>
      </c>
      <c r="D15" s="27" t="inlineStr"/>
      <c r="E15" s="27" t="inlineStr"/>
      <c r="F15" s="27" t="n"/>
      <c r="G15" s="28" t="n"/>
      <c r="H15" s="27" t="n"/>
      <c r="I15" s="29" t="n"/>
      <c r="J15" s="30" t="n"/>
      <c r="K15" s="29" t="n">
        <v>10</v>
      </c>
      <c r="L15" s="31">
        <f>IFERROR(INDEX(Listas!$G$14:$G$21,MATCH($B15,Listas!$F$14:$F$21,0)),"")</f>
        <v/>
      </c>
      <c r="M15" s="32">
        <f>IF(OR($G15="",$K15=""),"",MIN($K15*12,MAX(0,DATEDIF($G15,Listas!$N$2,"m"))))</f>
        <v/>
      </c>
      <c r="N15" s="33">
        <f>IF(OR($J15="",$M15=""),"",MIN($J15,ROUND($J15*($L15/12)*$M15,2)))</f>
        <v/>
      </c>
      <c r="O15" s="33">
        <f>IF($J15="","",$J15-IF($N15="",0,$N15))</f>
        <v/>
      </c>
      <c r="P15" s="34" t="inlineStr">
        <is>
          <t>Em uso</t>
        </is>
      </c>
      <c r="Q15" s="34" t="inlineStr">
        <is>
          <t>Fábrica</t>
        </is>
      </c>
      <c r="R15" s="27" t="n"/>
      <c r="S15" s="32">
        <f>IFERROR(INDEX(Listas!$B$2:$B$40,MATCH($R15,Listas!$A$2:$A$40,0)),"")</f>
        <v/>
      </c>
      <c r="T15" s="27" t="n"/>
      <c r="U15" s="28" t="n"/>
      <c r="V15" s="29" t="n"/>
      <c r="W15" s="27" t="n"/>
    </row>
    <row r="16" ht="22" customHeight="1">
      <c r="A16" s="26" t="inlineStr">
        <is>
          <t>VLV-0010</t>
        </is>
      </c>
      <c r="B16" s="27" t="inlineStr">
        <is>
          <t>Ferramenta elétrica</t>
        </is>
      </c>
      <c r="C16" s="27" t="inlineStr">
        <is>
          <t>Etiquetadora</t>
        </is>
      </c>
      <c r="D16" s="27" t="inlineStr"/>
      <c r="E16" s="27" t="inlineStr"/>
      <c r="F16" s="27" t="n"/>
      <c r="G16" s="28" t="n"/>
      <c r="H16" s="27" t="n"/>
      <c r="I16" s="29" t="n"/>
      <c r="J16" s="30" t="n"/>
      <c r="K16" s="29" t="n">
        <v>10</v>
      </c>
      <c r="L16" s="31">
        <f>IFERROR(INDEX(Listas!$G$14:$G$21,MATCH($B16,Listas!$F$14:$F$21,0)),"")</f>
        <v/>
      </c>
      <c r="M16" s="32">
        <f>IF(OR($G16="",$K16=""),"",MIN($K16*12,MAX(0,DATEDIF($G16,Listas!$N$2,"m"))))</f>
        <v/>
      </c>
      <c r="N16" s="33">
        <f>IF(OR($J16="",$M16=""),"",MIN($J16,ROUND($J16*($L16/12)*$M16,2)))</f>
        <v/>
      </c>
      <c r="O16" s="33">
        <f>IF($J16="","",$J16-IF($N16="",0,$N16))</f>
        <v/>
      </c>
      <c r="P16" s="34" t="inlineStr">
        <is>
          <t>Em uso</t>
        </is>
      </c>
      <c r="Q16" s="34" t="inlineStr">
        <is>
          <t>Fábrica</t>
        </is>
      </c>
      <c r="R16" s="27" t="n"/>
      <c r="S16" s="32">
        <f>IFERROR(INDEX(Listas!$B$2:$B$40,MATCH($R16,Listas!$A$2:$A$40,0)),"")</f>
        <v/>
      </c>
      <c r="T16" s="27" t="n"/>
      <c r="U16" s="28" t="n"/>
      <c r="V16" s="29" t="n"/>
      <c r="W16" s="27" t="n"/>
    </row>
    <row r="17" ht="22" customHeight="1">
      <c r="A17" s="26" t="inlineStr">
        <is>
          <t>VLV-0011</t>
        </is>
      </c>
      <c r="B17" s="27" t="inlineStr">
        <is>
          <t>Ferramenta elétrica</t>
        </is>
      </c>
      <c r="C17" s="27" t="inlineStr">
        <is>
          <t>Parafusadeira / furadeira de impacto a bateria 18V com 2 baterias</t>
        </is>
      </c>
      <c r="D17" s="27" t="inlineStr">
        <is>
          <t>Makita</t>
        </is>
      </c>
      <c r="E17" s="27" t="inlineStr">
        <is>
          <t>DHP482</t>
        </is>
      </c>
      <c r="F17" s="27" t="n"/>
      <c r="G17" s="28" t="n"/>
      <c r="H17" s="27" t="n"/>
      <c r="I17" s="29" t="n"/>
      <c r="J17" s="30" t="n">
        <v>890</v>
      </c>
      <c r="K17" s="29" t="n">
        <v>5</v>
      </c>
      <c r="L17" s="31">
        <f>IFERROR(INDEX(Listas!$G$14:$G$21,MATCH($B17,Listas!$F$14:$F$21,0)),"")</f>
        <v/>
      </c>
      <c r="M17" s="32">
        <f>IF(OR($G17="",$K17=""),"",MIN($K17*12,MAX(0,DATEDIF($G17,Listas!$N$2,"m"))))</f>
        <v/>
      </c>
      <c r="N17" s="33">
        <f>IF(OR($J17="",$M17=""),"",MIN($J17,ROUND($J17*($L17/12)*$M17,2)))</f>
        <v/>
      </c>
      <c r="O17" s="33">
        <f>IF($J17="","",$J17-IF($N17="",0,$N17))</f>
        <v/>
      </c>
      <c r="P17" s="34" t="inlineStr">
        <is>
          <t>Em estoque</t>
        </is>
      </c>
      <c r="Q17" s="34" t="inlineStr">
        <is>
          <t>Fábrica</t>
        </is>
      </c>
      <c r="R17" s="27" t="n"/>
      <c r="S17" s="32">
        <f>IFERROR(INDEX(Listas!$B$2:$B$40,MATCH($R17,Listas!$A$2:$A$40,0)),"")</f>
        <v/>
      </c>
      <c r="T17" s="27" t="n"/>
      <c r="U17" s="28" t="n"/>
      <c r="V17" s="29" t="n"/>
      <c r="W17" s="27" t="n"/>
    </row>
    <row r="18" ht="22" customHeight="1">
      <c r="A18" s="26" t="inlineStr">
        <is>
          <t>VLV-0012</t>
        </is>
      </c>
      <c r="B18" s="27" t="inlineStr">
        <is>
          <t>Ferramenta elétrica</t>
        </is>
      </c>
      <c r="C18" s="27" t="inlineStr">
        <is>
          <t>Serra circular manual 7.1/4"</t>
        </is>
      </c>
      <c r="D18" s="27" t="inlineStr">
        <is>
          <t>Bosch</t>
        </is>
      </c>
      <c r="E18" s="27" t="inlineStr">
        <is>
          <t>GKS 150</t>
        </is>
      </c>
      <c r="F18" s="27" t="n"/>
      <c r="G18" s="28" t="n"/>
      <c r="H18" s="27" t="n"/>
      <c r="I18" s="29" t="n"/>
      <c r="J18" s="30" t="n">
        <v>690</v>
      </c>
      <c r="K18" s="29" t="n">
        <v>5</v>
      </c>
      <c r="L18" s="31">
        <f>IFERROR(INDEX(Listas!$G$14:$G$21,MATCH($B18,Listas!$F$14:$F$21,0)),"")</f>
        <v/>
      </c>
      <c r="M18" s="32">
        <f>IF(OR($G18="",$K18=""),"",MIN($K18*12,MAX(0,DATEDIF($G18,Listas!$N$2,"m"))))</f>
        <v/>
      </c>
      <c r="N18" s="33">
        <f>IF(OR($J18="",$M18=""),"",MIN($J18,ROUND($J18*($L18/12)*$M18,2)))</f>
        <v/>
      </c>
      <c r="O18" s="33">
        <f>IF($J18="","",$J18-IF($N18="",0,$N18))</f>
        <v/>
      </c>
      <c r="P18" s="34" t="inlineStr">
        <is>
          <t>Em estoque</t>
        </is>
      </c>
      <c r="Q18" s="34" t="inlineStr">
        <is>
          <t>Fábrica</t>
        </is>
      </c>
      <c r="R18" s="27" t="n"/>
      <c r="S18" s="32">
        <f>IFERROR(INDEX(Listas!$B$2:$B$40,MATCH($R18,Listas!$A$2:$A$40,0)),"")</f>
        <v/>
      </c>
      <c r="T18" s="27" t="n"/>
      <c r="U18" s="28" t="n"/>
      <c r="V18" s="29" t="n"/>
      <c r="W18" s="27" t="n"/>
    </row>
    <row r="19" ht="22" customHeight="1">
      <c r="A19" s="26" t="inlineStr">
        <is>
          <t>VLV-0013</t>
        </is>
      </c>
      <c r="B19" s="27" t="inlineStr">
        <is>
          <t>Ferramenta elétrica</t>
        </is>
      </c>
      <c r="C19" s="27" t="inlineStr">
        <is>
          <t>Tupia manual 1/4"</t>
        </is>
      </c>
      <c r="D19" s="27" t="inlineStr">
        <is>
          <t>Makita</t>
        </is>
      </c>
      <c r="E19" s="27" t="inlineStr">
        <is>
          <t>RT0700C</t>
        </is>
      </c>
      <c r="F19" s="27" t="n"/>
      <c r="G19" s="28" t="n"/>
      <c r="H19" s="27" t="n"/>
      <c r="I19" s="29" t="n"/>
      <c r="J19" s="30" t="n">
        <v>780</v>
      </c>
      <c r="K19" s="29" t="n">
        <v>5</v>
      </c>
      <c r="L19" s="31">
        <f>IFERROR(INDEX(Listas!$G$14:$G$21,MATCH($B19,Listas!$F$14:$F$21,0)),"")</f>
        <v/>
      </c>
      <c r="M19" s="32">
        <f>IF(OR($G19="",$K19=""),"",MIN($K19*12,MAX(0,DATEDIF($G19,Listas!$N$2,"m"))))</f>
        <v/>
      </c>
      <c r="N19" s="33">
        <f>IF(OR($J19="",$M19=""),"",MIN($J19,ROUND($J19*($L19/12)*$M19,2)))</f>
        <v/>
      </c>
      <c r="O19" s="33">
        <f>IF($J19="","",$J19-IF($N19="",0,$N19))</f>
        <v/>
      </c>
      <c r="P19" s="34" t="inlineStr">
        <is>
          <t>Em estoque</t>
        </is>
      </c>
      <c r="Q19" s="34" t="inlineStr">
        <is>
          <t>Fábrica</t>
        </is>
      </c>
      <c r="R19" s="27" t="n"/>
      <c r="S19" s="32">
        <f>IFERROR(INDEX(Listas!$B$2:$B$40,MATCH($R19,Listas!$A$2:$A$40,0)),"")</f>
        <v/>
      </c>
      <c r="T19" s="27" t="n"/>
      <c r="U19" s="28" t="n"/>
      <c r="V19" s="29" t="n"/>
      <c r="W19" s="27" t="n"/>
    </row>
    <row r="20" ht="22" customHeight="1">
      <c r="A20" s="26" t="inlineStr">
        <is>
          <t>VLV-0014</t>
        </is>
      </c>
      <c r="B20" s="27" t="inlineStr">
        <is>
          <t>Ferramenta elétrica</t>
        </is>
      </c>
      <c r="C20" s="27" t="inlineStr">
        <is>
          <t>Lixadeira orbital 1/4 de folha</t>
        </is>
      </c>
      <c r="D20" s="27" t="inlineStr">
        <is>
          <t>Bosch</t>
        </is>
      </c>
      <c r="E20" s="27" t="inlineStr">
        <is>
          <t>GSS 140</t>
        </is>
      </c>
      <c r="F20" s="27" t="n"/>
      <c r="G20" s="28" t="n"/>
      <c r="H20" s="27" t="n"/>
      <c r="I20" s="29" t="n"/>
      <c r="J20" s="30" t="n">
        <v>380</v>
      </c>
      <c r="K20" s="29" t="n">
        <v>5</v>
      </c>
      <c r="L20" s="31">
        <f>IFERROR(INDEX(Listas!$G$14:$G$21,MATCH($B20,Listas!$F$14:$F$21,0)),"")</f>
        <v/>
      </c>
      <c r="M20" s="32">
        <f>IF(OR($G20="",$K20=""),"",MIN($K20*12,MAX(0,DATEDIF($G20,Listas!$N$2,"m"))))</f>
        <v/>
      </c>
      <c r="N20" s="33">
        <f>IF(OR($J20="",$M20=""),"",MIN($J20,ROUND($J20*($L20/12)*$M20,2)))</f>
        <v/>
      </c>
      <c r="O20" s="33">
        <f>IF($J20="","",$J20-IF($N20="",0,$N20))</f>
        <v/>
      </c>
      <c r="P20" s="34" t="inlineStr">
        <is>
          <t>Em estoque</t>
        </is>
      </c>
      <c r="Q20" s="34" t="inlineStr">
        <is>
          <t>Fábrica</t>
        </is>
      </c>
      <c r="R20" s="27" t="n"/>
      <c r="S20" s="32">
        <f>IFERROR(INDEX(Listas!$B$2:$B$40,MATCH($R20,Listas!$A$2:$A$40,0)),"")</f>
        <v/>
      </c>
      <c r="T20" s="27" t="n"/>
      <c r="U20" s="28" t="n"/>
      <c r="V20" s="29" t="n"/>
      <c r="W20" s="27" t="n"/>
    </row>
    <row r="21" ht="22" customHeight="1">
      <c r="A21" s="26" t="inlineStr">
        <is>
          <t>VLV-0015</t>
        </is>
      </c>
      <c r="B21" s="27" t="inlineStr">
        <is>
          <t>Ferramenta manual</t>
        </is>
      </c>
      <c r="C21" s="27" t="inlineStr">
        <is>
          <t>Jogo de formões 4 peças</t>
        </is>
      </c>
      <c r="D21" s="27" t="inlineStr">
        <is>
          <t>Tramontina</t>
        </is>
      </c>
      <c r="E21" s="27" t="inlineStr"/>
      <c r="F21" s="27" t="n"/>
      <c r="G21" s="28" t="n"/>
      <c r="H21" s="27" t="n"/>
      <c r="I21" s="29" t="n"/>
      <c r="J21" s="30" t="n">
        <v>180</v>
      </c>
      <c r="K21" s="29" t="n">
        <v>10</v>
      </c>
      <c r="L21" s="31">
        <f>IFERROR(INDEX(Listas!$G$14:$G$21,MATCH($B21,Listas!$F$14:$F$21,0)),"")</f>
        <v/>
      </c>
      <c r="M21" s="32">
        <f>IF(OR($G21="",$K21=""),"",MIN($K21*12,MAX(0,DATEDIF($G21,Listas!$N$2,"m"))))</f>
        <v/>
      </c>
      <c r="N21" s="33">
        <f>IF(OR($J21="",$M21=""),"",MIN($J21,ROUND($J21*($L21/12)*$M21,2)))</f>
        <v/>
      </c>
      <c r="O21" s="33">
        <f>IF($J21="","",$J21-IF($N21="",0,$N21))</f>
        <v/>
      </c>
      <c r="P21" s="34" t="inlineStr">
        <is>
          <t>Em estoque</t>
        </is>
      </c>
      <c r="Q21" s="34" t="inlineStr">
        <is>
          <t>Fábrica</t>
        </is>
      </c>
      <c r="R21" s="27" t="n"/>
      <c r="S21" s="32">
        <f>IFERROR(INDEX(Listas!$B$2:$B$40,MATCH($R21,Listas!$A$2:$A$40,0)),"")</f>
        <v/>
      </c>
      <c r="T21" s="27" t="n"/>
      <c r="U21" s="28" t="n"/>
      <c r="V21" s="29" t="n"/>
      <c r="W21" s="27" t="n"/>
    </row>
    <row r="22" ht="22" customHeight="1">
      <c r="A22" s="26" t="inlineStr">
        <is>
          <t>VLV-0016</t>
        </is>
      </c>
      <c r="B22" s="27" t="inlineStr">
        <is>
          <t>Ferramenta manual</t>
        </is>
      </c>
      <c r="C22" s="27" t="inlineStr">
        <is>
          <t>Martelo unha 27 mm cabo de fibra</t>
        </is>
      </c>
      <c r="D22" s="27" t="inlineStr">
        <is>
          <t>Tramontina</t>
        </is>
      </c>
      <c r="E22" s="27" t="inlineStr"/>
      <c r="F22" s="27" t="n"/>
      <c r="G22" s="28" t="n"/>
      <c r="H22" s="27" t="n"/>
      <c r="I22" s="29" t="n"/>
      <c r="J22" s="30" t="n">
        <v>75</v>
      </c>
      <c r="K22" s="29" t="n">
        <v>10</v>
      </c>
      <c r="L22" s="31">
        <f>IFERROR(INDEX(Listas!$G$14:$G$21,MATCH($B22,Listas!$F$14:$F$21,0)),"")</f>
        <v/>
      </c>
      <c r="M22" s="32">
        <f>IF(OR($G22="",$K22=""),"",MIN($K22*12,MAX(0,DATEDIF($G22,Listas!$N$2,"m"))))</f>
        <v/>
      </c>
      <c r="N22" s="33">
        <f>IF(OR($J22="",$M22=""),"",MIN($J22,ROUND($J22*($L22/12)*$M22,2)))</f>
        <v/>
      </c>
      <c r="O22" s="33">
        <f>IF($J22="","",$J22-IF($N22="",0,$N22))</f>
        <v/>
      </c>
      <c r="P22" s="34" t="inlineStr">
        <is>
          <t>Em estoque</t>
        </is>
      </c>
      <c r="Q22" s="34" t="inlineStr">
        <is>
          <t>Fábrica</t>
        </is>
      </c>
      <c r="R22" s="27" t="n"/>
      <c r="S22" s="32">
        <f>IFERROR(INDEX(Listas!$B$2:$B$40,MATCH($R22,Listas!$A$2:$A$40,0)),"")</f>
        <v/>
      </c>
      <c r="T22" s="27" t="n"/>
      <c r="U22" s="28" t="n"/>
      <c r="V22" s="29" t="n"/>
      <c r="W22" s="27" t="n"/>
    </row>
    <row r="23" ht="22" customHeight="1">
      <c r="A23" s="26" t="inlineStr">
        <is>
          <t>VLV-0017</t>
        </is>
      </c>
      <c r="B23" s="27" t="inlineStr">
        <is>
          <t>Ferramenta manual</t>
        </is>
      </c>
      <c r="C23" s="27" t="inlineStr">
        <is>
          <t>Jogo de chaves de fenda e philips 6 peças</t>
        </is>
      </c>
      <c r="D23" s="27" t="inlineStr">
        <is>
          <t>Gedore</t>
        </is>
      </c>
      <c r="E23" s="27" t="inlineStr"/>
      <c r="F23" s="27" t="n"/>
      <c r="G23" s="28" t="n"/>
      <c r="H23" s="27" t="n"/>
      <c r="I23" s="29" t="n"/>
      <c r="J23" s="30" t="n">
        <v>130</v>
      </c>
      <c r="K23" s="29" t="n">
        <v>10</v>
      </c>
      <c r="L23" s="31">
        <f>IFERROR(INDEX(Listas!$G$14:$G$21,MATCH($B23,Listas!$F$14:$F$21,0)),"")</f>
        <v/>
      </c>
      <c r="M23" s="32">
        <f>IF(OR($G23="",$K23=""),"",MIN($K23*12,MAX(0,DATEDIF($G23,Listas!$N$2,"m"))))</f>
        <v/>
      </c>
      <c r="N23" s="33">
        <f>IF(OR($J23="",$M23=""),"",MIN($J23,ROUND($J23*($L23/12)*$M23,2)))</f>
        <v/>
      </c>
      <c r="O23" s="33">
        <f>IF($J23="","",$J23-IF($N23="",0,$N23))</f>
        <v/>
      </c>
      <c r="P23" s="34" t="inlineStr">
        <is>
          <t>Em estoque</t>
        </is>
      </c>
      <c r="Q23" s="34" t="inlineStr">
        <is>
          <t>Fábrica</t>
        </is>
      </c>
      <c r="R23" s="27" t="n"/>
      <c r="S23" s="32">
        <f>IFERROR(INDEX(Listas!$B$2:$B$40,MATCH($R23,Listas!$A$2:$A$40,0)),"")</f>
        <v/>
      </c>
      <c r="T23" s="27" t="n"/>
      <c r="U23" s="28" t="n"/>
      <c r="V23" s="29" t="n"/>
      <c r="W23" s="27" t="n"/>
    </row>
    <row r="24" ht="22" customHeight="1">
      <c r="A24" s="26" t="inlineStr">
        <is>
          <t>VLV-0018</t>
        </is>
      </c>
      <c r="B24" s="27" t="inlineStr">
        <is>
          <t>Ferramenta manual</t>
        </is>
      </c>
      <c r="C24" s="27" t="inlineStr">
        <is>
          <t>Grampo sargento 300 mm — par</t>
        </is>
      </c>
      <c r="D24" s="27" t="inlineStr">
        <is>
          <t>Vonder</t>
        </is>
      </c>
      <c r="E24" s="27" t="inlineStr"/>
      <c r="F24" s="27" t="n"/>
      <c r="G24" s="28" t="n"/>
      <c r="H24" s="27" t="n"/>
      <c r="I24" s="29" t="n"/>
      <c r="J24" s="30" t="n">
        <v>160</v>
      </c>
      <c r="K24" s="29" t="n">
        <v>10</v>
      </c>
      <c r="L24" s="31">
        <f>IFERROR(INDEX(Listas!$G$14:$G$21,MATCH($B24,Listas!$F$14:$F$21,0)),"")</f>
        <v/>
      </c>
      <c r="M24" s="32">
        <f>IF(OR($G24="",$K24=""),"",MIN($K24*12,MAX(0,DATEDIF($G24,Listas!$N$2,"m"))))</f>
        <v/>
      </c>
      <c r="N24" s="33">
        <f>IF(OR($J24="",$M24=""),"",MIN($J24,ROUND($J24*($L24/12)*$M24,2)))</f>
        <v/>
      </c>
      <c r="O24" s="33">
        <f>IF($J24="","",$J24-IF($N24="",0,$N24))</f>
        <v/>
      </c>
      <c r="P24" s="34" t="inlineStr">
        <is>
          <t>Em estoque</t>
        </is>
      </c>
      <c r="Q24" s="34" t="inlineStr">
        <is>
          <t>Fábrica</t>
        </is>
      </c>
      <c r="R24" s="27" t="n"/>
      <c r="S24" s="32">
        <f>IFERROR(INDEX(Listas!$B$2:$B$40,MATCH($R24,Listas!$A$2:$A$40,0)),"")</f>
        <v/>
      </c>
      <c r="T24" s="27" t="n"/>
      <c r="U24" s="28" t="n"/>
      <c r="V24" s="29" t="n"/>
      <c r="W24" s="27" t="n"/>
    </row>
    <row r="25" ht="22" customHeight="1">
      <c r="A25" s="26" t="inlineStr">
        <is>
          <t>VLV-0019</t>
        </is>
      </c>
      <c r="B25" s="27" t="inlineStr">
        <is>
          <t>Instrumento de medição</t>
        </is>
      </c>
      <c r="C25" s="27" t="inlineStr">
        <is>
          <t>Trena 5 m</t>
        </is>
      </c>
      <c r="D25" s="27" t="inlineStr">
        <is>
          <t>Starrett</t>
        </is>
      </c>
      <c r="E25" s="27" t="inlineStr"/>
      <c r="F25" s="27" t="n"/>
      <c r="G25" s="28" t="n"/>
      <c r="H25" s="27" t="n"/>
      <c r="I25" s="29" t="n"/>
      <c r="J25" s="30" t="n">
        <v>55</v>
      </c>
      <c r="K25" s="29" t="n">
        <v>5</v>
      </c>
      <c r="L25" s="31">
        <f>IFERROR(INDEX(Listas!$G$14:$G$21,MATCH($B25,Listas!$F$14:$F$21,0)),"")</f>
        <v/>
      </c>
      <c r="M25" s="32">
        <f>IF(OR($G25="",$K25=""),"",MIN($K25*12,MAX(0,DATEDIF($G25,Listas!$N$2,"m"))))</f>
        <v/>
      </c>
      <c r="N25" s="33">
        <f>IF(OR($J25="",$M25=""),"",MIN($J25,ROUND($J25*($L25/12)*$M25,2)))</f>
        <v/>
      </c>
      <c r="O25" s="33">
        <f>IF($J25="","",$J25-IF($N25="",0,$N25))</f>
        <v/>
      </c>
      <c r="P25" s="34" t="inlineStr">
        <is>
          <t>Em estoque</t>
        </is>
      </c>
      <c r="Q25" s="34" t="inlineStr">
        <is>
          <t>Fábrica</t>
        </is>
      </c>
      <c r="R25" s="27" t="n"/>
      <c r="S25" s="32">
        <f>IFERROR(INDEX(Listas!$B$2:$B$40,MATCH($R25,Listas!$A$2:$A$40,0)),"")</f>
        <v/>
      </c>
      <c r="T25" s="27" t="n"/>
      <c r="U25" s="28" t="n"/>
      <c r="V25" s="29" t="n"/>
      <c r="W25" s="27" t="n"/>
    </row>
    <row r="26" ht="22" customHeight="1">
      <c r="A26" s="26" t="inlineStr">
        <is>
          <t>VLV-0020</t>
        </is>
      </c>
      <c r="B26" s="27" t="inlineStr">
        <is>
          <t>Instrumento de medição</t>
        </is>
      </c>
      <c r="C26" s="27" t="inlineStr">
        <is>
          <t>Esquadro de precisão 300 mm</t>
        </is>
      </c>
      <c r="D26" s="27" t="inlineStr">
        <is>
          <t>Starrett</t>
        </is>
      </c>
      <c r="E26" s="27" t="inlineStr"/>
      <c r="F26" s="27" t="n"/>
      <c r="G26" s="28" t="n"/>
      <c r="H26" s="27" t="n"/>
      <c r="I26" s="29" t="n"/>
      <c r="J26" s="30" t="n">
        <v>120</v>
      </c>
      <c r="K26" s="29" t="n">
        <v>10</v>
      </c>
      <c r="L26" s="31">
        <f>IFERROR(INDEX(Listas!$G$14:$G$21,MATCH($B26,Listas!$F$14:$F$21,0)),"")</f>
        <v/>
      </c>
      <c r="M26" s="32">
        <f>IF(OR($G26="",$K26=""),"",MIN($K26*12,MAX(0,DATEDIF($G26,Listas!$N$2,"m"))))</f>
        <v/>
      </c>
      <c r="N26" s="33">
        <f>IF(OR($J26="",$M26=""),"",MIN($J26,ROUND($J26*($L26/12)*$M26,2)))</f>
        <v/>
      </c>
      <c r="O26" s="33">
        <f>IF($J26="","",$J26-IF($N26="",0,$N26))</f>
        <v/>
      </c>
      <c r="P26" s="34" t="inlineStr">
        <is>
          <t>Em estoque</t>
        </is>
      </c>
      <c r="Q26" s="34" t="inlineStr">
        <is>
          <t>Fábrica</t>
        </is>
      </c>
      <c r="R26" s="27" t="n"/>
      <c r="S26" s="32">
        <f>IFERROR(INDEX(Listas!$B$2:$B$40,MATCH($R26,Listas!$A$2:$A$40,0)),"")</f>
        <v/>
      </c>
      <c r="T26" s="27" t="n"/>
      <c r="U26" s="28" t="n"/>
      <c r="V26" s="29" t="n"/>
      <c r="W26" s="27" t="n"/>
    </row>
    <row r="27" ht="22" customHeight="1">
      <c r="A27" s="26" t="inlineStr">
        <is>
          <t>VLV-0021</t>
        </is>
      </c>
      <c r="B27" s="27" t="inlineStr">
        <is>
          <t>Instrumento de medição</t>
        </is>
      </c>
      <c r="C27" s="27" t="inlineStr">
        <is>
          <t>Nível a laser de linha</t>
        </is>
      </c>
      <c r="D27" s="27" t="inlineStr">
        <is>
          <t>Bosch</t>
        </is>
      </c>
      <c r="E27" s="27" t="inlineStr">
        <is>
          <t>GLL 2-10</t>
        </is>
      </c>
      <c r="F27" s="27" t="n"/>
      <c r="G27" s="28" t="n"/>
      <c r="H27" s="27" t="n"/>
      <c r="I27" s="29" t="n"/>
      <c r="J27" s="30" t="n">
        <v>520</v>
      </c>
      <c r="K27" s="29" t="n">
        <v>5</v>
      </c>
      <c r="L27" s="31">
        <f>IFERROR(INDEX(Listas!$G$14:$G$21,MATCH($B27,Listas!$F$14:$F$21,0)),"")</f>
        <v/>
      </c>
      <c r="M27" s="32">
        <f>IF(OR($G27="",$K27=""),"",MIN($K27*12,MAX(0,DATEDIF($G27,Listas!$N$2,"m"))))</f>
        <v/>
      </c>
      <c r="N27" s="33">
        <f>IF(OR($J27="",$M27=""),"",MIN($J27,ROUND($J27*($L27/12)*$M27,2)))</f>
        <v/>
      </c>
      <c r="O27" s="33">
        <f>IF($J27="","",$J27-IF($N27="",0,$N27))</f>
        <v/>
      </c>
      <c r="P27" s="34" t="inlineStr">
        <is>
          <t>Em estoque</t>
        </is>
      </c>
      <c r="Q27" s="34" t="inlineStr">
        <is>
          <t>Fábrica</t>
        </is>
      </c>
      <c r="R27" s="27" t="n"/>
      <c r="S27" s="32">
        <f>IFERROR(INDEX(Listas!$B$2:$B$40,MATCH($R27,Listas!$A$2:$A$40,0)),"")</f>
        <v/>
      </c>
      <c r="T27" s="27" t="n"/>
      <c r="U27" s="28" t="n"/>
      <c r="V27" s="29" t="n"/>
      <c r="W27" s="27" t="n"/>
    </row>
    <row r="28" ht="22" customHeight="1">
      <c r="A28" s="26" t="inlineStr">
        <is>
          <t>VLV-0022</t>
        </is>
      </c>
      <c r="B28" s="27" t="inlineStr">
        <is>
          <t>Ferramenta manual</t>
        </is>
      </c>
      <c r="C28" s="27" t="inlineStr">
        <is>
          <t>Maleta / caixa organizadora de ferramentas</t>
        </is>
      </c>
      <c r="D28" s="27" t="inlineStr">
        <is>
          <t>Tramontina</t>
        </is>
      </c>
      <c r="E28" s="27" t="inlineStr"/>
      <c r="F28" s="27" t="n"/>
      <c r="G28" s="28" t="n"/>
      <c r="H28" s="27" t="n"/>
      <c r="I28" s="29" t="n"/>
      <c r="J28" s="30" t="n">
        <v>210</v>
      </c>
      <c r="K28" s="29" t="n">
        <v>5</v>
      </c>
      <c r="L28" s="31">
        <f>IFERROR(INDEX(Listas!$G$14:$G$21,MATCH($B28,Listas!$F$14:$F$21,0)),"")</f>
        <v/>
      </c>
      <c r="M28" s="32">
        <f>IF(OR($G28="",$K28=""),"",MIN($K28*12,MAX(0,DATEDIF($G28,Listas!$N$2,"m"))))</f>
        <v/>
      </c>
      <c r="N28" s="33">
        <f>IF(OR($J28="",$M28=""),"",MIN($J28,ROUND($J28*($L28/12)*$M28,2)))</f>
        <v/>
      </c>
      <c r="O28" s="33">
        <f>IF($J28="","",$J28-IF($N28="",0,$N28))</f>
        <v/>
      </c>
      <c r="P28" s="34" t="inlineStr">
        <is>
          <t>Em estoque</t>
        </is>
      </c>
      <c r="Q28" s="34" t="inlineStr">
        <is>
          <t>Fábrica</t>
        </is>
      </c>
      <c r="R28" s="27" t="n"/>
      <c r="S28" s="32">
        <f>IFERROR(INDEX(Listas!$B$2:$B$40,MATCH($R28,Listas!$A$2:$A$40,0)),"")</f>
        <v/>
      </c>
      <c r="T28" s="27" t="n"/>
      <c r="U28" s="28" t="n"/>
      <c r="V28" s="29" t="n"/>
      <c r="W28" s="27" t="n"/>
    </row>
    <row r="29" ht="22" customHeight="1">
      <c r="A29" s="29" t="n"/>
      <c r="B29" s="27" t="n"/>
      <c r="C29" s="27" t="n"/>
      <c r="D29" s="27" t="n"/>
      <c r="E29" s="27" t="n"/>
      <c r="F29" s="27" t="n"/>
      <c r="G29" s="28" t="n"/>
      <c r="H29" s="27" t="n"/>
      <c r="I29" s="29" t="n"/>
      <c r="J29" s="30" t="n"/>
      <c r="K29" s="29" t="n"/>
      <c r="L29" s="31">
        <f>IFERROR(INDEX(Listas!$G$14:$G$21,MATCH($B29,Listas!$F$14:$F$21,0)),"")</f>
        <v/>
      </c>
      <c r="M29" s="32">
        <f>IF(OR($G29="",$K29=""),"",MIN($K29*12,MAX(0,DATEDIF($G29,Listas!$N$2,"m"))))</f>
        <v/>
      </c>
      <c r="N29" s="33">
        <f>IF(OR($J29="",$M29=""),"",MIN($J29,ROUND($J29*($L29/12)*$M29,2)))</f>
        <v/>
      </c>
      <c r="O29" s="33">
        <f>IF($J29="","",$J29-IF($N29="",0,$N29))</f>
        <v/>
      </c>
      <c r="P29" s="27" t="n"/>
      <c r="Q29" s="27" t="n"/>
      <c r="R29" s="27" t="n"/>
      <c r="S29" s="32">
        <f>IFERROR(INDEX(Listas!$B$2:$B$40,MATCH($R29,Listas!$A$2:$A$40,0)),"")</f>
        <v/>
      </c>
      <c r="T29" s="27" t="n"/>
      <c r="U29" s="28" t="n"/>
      <c r="V29" s="29" t="n"/>
      <c r="W29" s="27" t="n"/>
    </row>
    <row r="30" ht="22" customHeight="1">
      <c r="A30" s="29" t="n"/>
      <c r="B30" s="27" t="n"/>
      <c r="C30" s="27" t="n"/>
      <c r="D30" s="27" t="n"/>
      <c r="E30" s="27" t="n"/>
      <c r="F30" s="27" t="n"/>
      <c r="G30" s="28" t="n"/>
      <c r="H30" s="27" t="n"/>
      <c r="I30" s="29" t="n"/>
      <c r="J30" s="30" t="n"/>
      <c r="K30" s="29" t="n"/>
      <c r="L30" s="31">
        <f>IFERROR(INDEX(Listas!$G$14:$G$21,MATCH($B30,Listas!$F$14:$F$21,0)),"")</f>
        <v/>
      </c>
      <c r="M30" s="32">
        <f>IF(OR($G30="",$K30=""),"",MIN($K30*12,MAX(0,DATEDIF($G30,Listas!$N$2,"m"))))</f>
        <v/>
      </c>
      <c r="N30" s="33">
        <f>IF(OR($J30="",$M30=""),"",MIN($J30,ROUND($J30*($L30/12)*$M30,2)))</f>
        <v/>
      </c>
      <c r="O30" s="33">
        <f>IF($J30="","",$J30-IF($N30="",0,$N30))</f>
        <v/>
      </c>
      <c r="P30" s="27" t="n"/>
      <c r="Q30" s="27" t="n"/>
      <c r="R30" s="27" t="n"/>
      <c r="S30" s="32">
        <f>IFERROR(INDEX(Listas!$B$2:$B$40,MATCH($R30,Listas!$A$2:$A$40,0)),"")</f>
        <v/>
      </c>
      <c r="T30" s="27" t="n"/>
      <c r="U30" s="28" t="n"/>
      <c r="V30" s="29" t="n"/>
      <c r="W30" s="27" t="n"/>
    </row>
    <row r="31" ht="22" customHeight="1">
      <c r="A31" s="29" t="n"/>
      <c r="B31" s="27" t="n"/>
      <c r="C31" s="27" t="n"/>
      <c r="D31" s="27" t="n"/>
      <c r="E31" s="27" t="n"/>
      <c r="F31" s="27" t="n"/>
      <c r="G31" s="28" t="n"/>
      <c r="H31" s="27" t="n"/>
      <c r="I31" s="29" t="n"/>
      <c r="J31" s="30" t="n"/>
      <c r="K31" s="29" t="n"/>
      <c r="L31" s="31">
        <f>IFERROR(INDEX(Listas!$G$14:$G$21,MATCH($B31,Listas!$F$14:$F$21,0)),"")</f>
        <v/>
      </c>
      <c r="M31" s="32">
        <f>IF(OR($G31="",$K31=""),"",MIN($K31*12,MAX(0,DATEDIF($G31,Listas!$N$2,"m"))))</f>
        <v/>
      </c>
      <c r="N31" s="33">
        <f>IF(OR($J31="",$M31=""),"",MIN($J31,ROUND($J31*($L31/12)*$M31,2)))</f>
        <v/>
      </c>
      <c r="O31" s="33">
        <f>IF($J31="","",$J31-IF($N31="",0,$N31))</f>
        <v/>
      </c>
      <c r="P31" s="27" t="n"/>
      <c r="Q31" s="27" t="n"/>
      <c r="R31" s="27" t="n"/>
      <c r="S31" s="32">
        <f>IFERROR(INDEX(Listas!$B$2:$B$40,MATCH($R31,Listas!$A$2:$A$40,0)),"")</f>
        <v/>
      </c>
      <c r="T31" s="27" t="n"/>
      <c r="U31" s="28" t="n"/>
      <c r="V31" s="29" t="n"/>
      <c r="W31" s="27" t="n"/>
    </row>
    <row r="32" ht="22" customHeight="1">
      <c r="A32" s="29" t="n"/>
      <c r="B32" s="27" t="n"/>
      <c r="C32" s="27" t="n"/>
      <c r="D32" s="27" t="n"/>
      <c r="E32" s="27" t="n"/>
      <c r="F32" s="27" t="n"/>
      <c r="G32" s="28" t="n"/>
      <c r="H32" s="27" t="n"/>
      <c r="I32" s="29" t="n"/>
      <c r="J32" s="30" t="n"/>
      <c r="K32" s="29" t="n"/>
      <c r="L32" s="31">
        <f>IFERROR(INDEX(Listas!$G$14:$G$21,MATCH($B32,Listas!$F$14:$F$21,0)),"")</f>
        <v/>
      </c>
      <c r="M32" s="32">
        <f>IF(OR($G32="",$K32=""),"",MIN($K32*12,MAX(0,DATEDIF($G32,Listas!$N$2,"m"))))</f>
        <v/>
      </c>
      <c r="N32" s="33">
        <f>IF(OR($J32="",$M32=""),"",MIN($J32,ROUND($J32*($L32/12)*$M32,2)))</f>
        <v/>
      </c>
      <c r="O32" s="33">
        <f>IF($J32="","",$J32-IF($N32="",0,$N32))</f>
        <v/>
      </c>
      <c r="P32" s="27" t="n"/>
      <c r="Q32" s="27" t="n"/>
      <c r="R32" s="27" t="n"/>
      <c r="S32" s="32">
        <f>IFERROR(INDEX(Listas!$B$2:$B$40,MATCH($R32,Listas!$A$2:$A$40,0)),"")</f>
        <v/>
      </c>
      <c r="T32" s="27" t="n"/>
      <c r="U32" s="28" t="n"/>
      <c r="V32" s="29" t="n"/>
      <c r="W32" s="27" t="n"/>
    </row>
    <row r="33" ht="22" customHeight="1">
      <c r="A33" s="29" t="n"/>
      <c r="B33" s="27" t="n"/>
      <c r="C33" s="27" t="n"/>
      <c r="D33" s="27" t="n"/>
      <c r="E33" s="27" t="n"/>
      <c r="F33" s="27" t="n"/>
      <c r="G33" s="28" t="n"/>
      <c r="H33" s="27" t="n"/>
      <c r="I33" s="29" t="n"/>
      <c r="J33" s="30" t="n"/>
      <c r="K33" s="29" t="n"/>
      <c r="L33" s="31">
        <f>IFERROR(INDEX(Listas!$G$14:$G$21,MATCH($B33,Listas!$F$14:$F$21,0)),"")</f>
        <v/>
      </c>
      <c r="M33" s="32">
        <f>IF(OR($G33="",$K33=""),"",MIN($K33*12,MAX(0,DATEDIF($G33,Listas!$N$2,"m"))))</f>
        <v/>
      </c>
      <c r="N33" s="33">
        <f>IF(OR($J33="",$M33=""),"",MIN($J33,ROUND($J33*($L33/12)*$M33,2)))</f>
        <v/>
      </c>
      <c r="O33" s="33">
        <f>IF($J33="","",$J33-IF($N33="",0,$N33))</f>
        <v/>
      </c>
      <c r="P33" s="27" t="n"/>
      <c r="Q33" s="27" t="n"/>
      <c r="R33" s="27" t="n"/>
      <c r="S33" s="32">
        <f>IFERROR(INDEX(Listas!$B$2:$B$40,MATCH($R33,Listas!$A$2:$A$40,0)),"")</f>
        <v/>
      </c>
      <c r="T33" s="27" t="n"/>
      <c r="U33" s="28" t="n"/>
      <c r="V33" s="29" t="n"/>
      <c r="W33" s="27" t="n"/>
    </row>
    <row r="34" ht="22" customHeight="1">
      <c r="A34" s="29" t="n"/>
      <c r="B34" s="27" t="n"/>
      <c r="C34" s="27" t="n"/>
      <c r="D34" s="27" t="n"/>
      <c r="E34" s="27" t="n"/>
      <c r="F34" s="27" t="n"/>
      <c r="G34" s="28" t="n"/>
      <c r="H34" s="27" t="n"/>
      <c r="I34" s="29" t="n"/>
      <c r="J34" s="30" t="n"/>
      <c r="K34" s="29" t="n"/>
      <c r="L34" s="31">
        <f>IFERROR(INDEX(Listas!$G$14:$G$21,MATCH($B34,Listas!$F$14:$F$21,0)),"")</f>
        <v/>
      </c>
      <c r="M34" s="32">
        <f>IF(OR($G34="",$K34=""),"",MIN($K34*12,MAX(0,DATEDIF($G34,Listas!$N$2,"m"))))</f>
        <v/>
      </c>
      <c r="N34" s="33">
        <f>IF(OR($J34="",$M34=""),"",MIN($J34,ROUND($J34*($L34/12)*$M34,2)))</f>
        <v/>
      </c>
      <c r="O34" s="33">
        <f>IF($J34="","",$J34-IF($N34="",0,$N34))</f>
        <v/>
      </c>
      <c r="P34" s="27" t="n"/>
      <c r="Q34" s="27" t="n"/>
      <c r="R34" s="27" t="n"/>
      <c r="S34" s="32">
        <f>IFERROR(INDEX(Listas!$B$2:$B$40,MATCH($R34,Listas!$A$2:$A$40,0)),"")</f>
        <v/>
      </c>
      <c r="T34" s="27" t="n"/>
      <c r="U34" s="28" t="n"/>
      <c r="V34" s="29" t="n"/>
      <c r="W34" s="27" t="n"/>
    </row>
    <row r="35" ht="22" customHeight="1">
      <c r="A35" s="29" t="n"/>
      <c r="B35" s="27" t="n"/>
      <c r="C35" s="27" t="n"/>
      <c r="D35" s="27" t="n"/>
      <c r="E35" s="27" t="n"/>
      <c r="F35" s="27" t="n"/>
      <c r="G35" s="28" t="n"/>
      <c r="H35" s="27" t="n"/>
      <c r="I35" s="29" t="n"/>
      <c r="J35" s="30" t="n"/>
      <c r="K35" s="29" t="n"/>
      <c r="L35" s="31">
        <f>IFERROR(INDEX(Listas!$G$14:$G$21,MATCH($B35,Listas!$F$14:$F$21,0)),"")</f>
        <v/>
      </c>
      <c r="M35" s="32">
        <f>IF(OR($G35="",$K35=""),"",MIN($K35*12,MAX(0,DATEDIF($G35,Listas!$N$2,"m"))))</f>
        <v/>
      </c>
      <c r="N35" s="33">
        <f>IF(OR($J35="",$M35=""),"",MIN($J35,ROUND($J35*($L35/12)*$M35,2)))</f>
        <v/>
      </c>
      <c r="O35" s="33">
        <f>IF($J35="","",$J35-IF($N35="",0,$N35))</f>
        <v/>
      </c>
      <c r="P35" s="27" t="n"/>
      <c r="Q35" s="27" t="n"/>
      <c r="R35" s="27" t="n"/>
      <c r="S35" s="32">
        <f>IFERROR(INDEX(Listas!$B$2:$B$40,MATCH($R35,Listas!$A$2:$A$40,0)),"")</f>
        <v/>
      </c>
      <c r="T35" s="27" t="n"/>
      <c r="U35" s="28" t="n"/>
      <c r="V35" s="29" t="n"/>
      <c r="W35" s="27" t="n"/>
    </row>
    <row r="36" ht="22" customHeight="1">
      <c r="A36" s="29" t="n"/>
      <c r="B36" s="27" t="n"/>
      <c r="C36" s="27" t="n"/>
      <c r="D36" s="27" t="n"/>
      <c r="E36" s="27" t="n"/>
      <c r="F36" s="27" t="n"/>
      <c r="G36" s="28" t="n"/>
      <c r="H36" s="27" t="n"/>
      <c r="I36" s="29" t="n"/>
      <c r="J36" s="30" t="n"/>
      <c r="K36" s="29" t="n"/>
      <c r="L36" s="31">
        <f>IFERROR(INDEX(Listas!$G$14:$G$21,MATCH($B36,Listas!$F$14:$F$21,0)),"")</f>
        <v/>
      </c>
      <c r="M36" s="32">
        <f>IF(OR($G36="",$K36=""),"",MIN($K36*12,MAX(0,DATEDIF($G36,Listas!$N$2,"m"))))</f>
        <v/>
      </c>
      <c r="N36" s="33">
        <f>IF(OR($J36="",$M36=""),"",MIN($J36,ROUND($J36*($L36/12)*$M36,2)))</f>
        <v/>
      </c>
      <c r="O36" s="33">
        <f>IF($J36="","",$J36-IF($N36="",0,$N36))</f>
        <v/>
      </c>
      <c r="P36" s="27" t="n"/>
      <c r="Q36" s="27" t="n"/>
      <c r="R36" s="27" t="n"/>
      <c r="S36" s="32">
        <f>IFERROR(INDEX(Listas!$B$2:$B$40,MATCH($R36,Listas!$A$2:$A$40,0)),"")</f>
        <v/>
      </c>
      <c r="T36" s="27" t="n"/>
      <c r="U36" s="28" t="n"/>
      <c r="V36" s="29" t="n"/>
      <c r="W36" s="27" t="n"/>
    </row>
    <row r="37" ht="22" customHeight="1">
      <c r="A37" s="29" t="n"/>
      <c r="B37" s="27" t="n"/>
      <c r="C37" s="27" t="n"/>
      <c r="D37" s="27" t="n"/>
      <c r="E37" s="27" t="n"/>
      <c r="F37" s="27" t="n"/>
      <c r="G37" s="28" t="n"/>
      <c r="H37" s="27" t="n"/>
      <c r="I37" s="29" t="n"/>
      <c r="J37" s="30" t="n"/>
      <c r="K37" s="29" t="n"/>
      <c r="L37" s="31">
        <f>IFERROR(INDEX(Listas!$G$14:$G$21,MATCH($B37,Listas!$F$14:$F$21,0)),"")</f>
        <v/>
      </c>
      <c r="M37" s="32">
        <f>IF(OR($G37="",$K37=""),"",MIN($K37*12,MAX(0,DATEDIF($G37,Listas!$N$2,"m"))))</f>
        <v/>
      </c>
      <c r="N37" s="33">
        <f>IF(OR($J37="",$M37=""),"",MIN($J37,ROUND($J37*($L37/12)*$M37,2)))</f>
        <v/>
      </c>
      <c r="O37" s="33">
        <f>IF($J37="","",$J37-IF($N37="",0,$N37))</f>
        <v/>
      </c>
      <c r="P37" s="27" t="n"/>
      <c r="Q37" s="27" t="n"/>
      <c r="R37" s="27" t="n"/>
      <c r="S37" s="32">
        <f>IFERROR(INDEX(Listas!$B$2:$B$40,MATCH($R37,Listas!$A$2:$A$40,0)),"")</f>
        <v/>
      </c>
      <c r="T37" s="27" t="n"/>
      <c r="U37" s="28" t="n"/>
      <c r="V37" s="29" t="n"/>
      <c r="W37" s="27" t="n"/>
    </row>
    <row r="38" ht="22" customHeight="1">
      <c r="A38" s="29" t="n"/>
      <c r="B38" s="27" t="n"/>
      <c r="C38" s="27" t="n"/>
      <c r="D38" s="27" t="n"/>
      <c r="E38" s="27" t="n"/>
      <c r="F38" s="27" t="n"/>
      <c r="G38" s="28" t="n"/>
      <c r="H38" s="27" t="n"/>
      <c r="I38" s="29" t="n"/>
      <c r="J38" s="30" t="n"/>
      <c r="K38" s="29" t="n"/>
      <c r="L38" s="31">
        <f>IFERROR(INDEX(Listas!$G$14:$G$21,MATCH($B38,Listas!$F$14:$F$21,0)),"")</f>
        <v/>
      </c>
      <c r="M38" s="32">
        <f>IF(OR($G38="",$K38=""),"",MIN($K38*12,MAX(0,DATEDIF($G38,Listas!$N$2,"m"))))</f>
        <v/>
      </c>
      <c r="N38" s="33">
        <f>IF(OR($J38="",$M38=""),"",MIN($J38,ROUND($J38*($L38/12)*$M38,2)))</f>
        <v/>
      </c>
      <c r="O38" s="33">
        <f>IF($J38="","",$J38-IF($N38="",0,$N38))</f>
        <v/>
      </c>
      <c r="P38" s="27" t="n"/>
      <c r="Q38" s="27" t="n"/>
      <c r="R38" s="27" t="n"/>
      <c r="S38" s="32">
        <f>IFERROR(INDEX(Listas!$B$2:$B$40,MATCH($R38,Listas!$A$2:$A$40,0)),"")</f>
        <v/>
      </c>
      <c r="T38" s="27" t="n"/>
      <c r="U38" s="28" t="n"/>
      <c r="V38" s="29" t="n"/>
      <c r="W38" s="27" t="n"/>
    </row>
    <row r="39" ht="22" customHeight="1">
      <c r="A39" s="29" t="n"/>
      <c r="B39" s="27" t="n"/>
      <c r="C39" s="27" t="n"/>
      <c r="D39" s="27" t="n"/>
      <c r="E39" s="27" t="n"/>
      <c r="F39" s="27" t="n"/>
      <c r="G39" s="28" t="n"/>
      <c r="H39" s="27" t="n"/>
      <c r="I39" s="29" t="n"/>
      <c r="J39" s="30" t="n"/>
      <c r="K39" s="29" t="n"/>
      <c r="L39" s="31">
        <f>IFERROR(INDEX(Listas!$G$14:$G$21,MATCH($B39,Listas!$F$14:$F$21,0)),"")</f>
        <v/>
      </c>
      <c r="M39" s="32">
        <f>IF(OR($G39="",$K39=""),"",MIN($K39*12,MAX(0,DATEDIF($G39,Listas!$N$2,"m"))))</f>
        <v/>
      </c>
      <c r="N39" s="33">
        <f>IF(OR($J39="",$M39=""),"",MIN($J39,ROUND($J39*($L39/12)*$M39,2)))</f>
        <v/>
      </c>
      <c r="O39" s="33">
        <f>IF($J39="","",$J39-IF($N39="",0,$N39))</f>
        <v/>
      </c>
      <c r="P39" s="27" t="n"/>
      <c r="Q39" s="27" t="n"/>
      <c r="R39" s="27" t="n"/>
      <c r="S39" s="32">
        <f>IFERROR(INDEX(Listas!$B$2:$B$40,MATCH($R39,Listas!$A$2:$A$40,0)),"")</f>
        <v/>
      </c>
      <c r="T39" s="27" t="n"/>
      <c r="U39" s="28" t="n"/>
      <c r="V39" s="29" t="n"/>
      <c r="W39" s="27" t="n"/>
    </row>
    <row r="40" ht="22" customHeight="1">
      <c r="A40" s="29" t="n"/>
      <c r="B40" s="27" t="n"/>
      <c r="C40" s="27" t="n"/>
      <c r="D40" s="27" t="n"/>
      <c r="E40" s="27" t="n"/>
      <c r="F40" s="27" t="n"/>
      <c r="G40" s="28" t="n"/>
      <c r="H40" s="27" t="n"/>
      <c r="I40" s="29" t="n"/>
      <c r="J40" s="30" t="n"/>
      <c r="K40" s="29" t="n"/>
      <c r="L40" s="31">
        <f>IFERROR(INDEX(Listas!$G$14:$G$21,MATCH($B40,Listas!$F$14:$F$21,0)),"")</f>
        <v/>
      </c>
      <c r="M40" s="32">
        <f>IF(OR($G40="",$K40=""),"",MIN($K40*12,MAX(0,DATEDIF($G40,Listas!$N$2,"m"))))</f>
        <v/>
      </c>
      <c r="N40" s="33">
        <f>IF(OR($J40="",$M40=""),"",MIN($J40,ROUND($J40*($L40/12)*$M40,2)))</f>
        <v/>
      </c>
      <c r="O40" s="33">
        <f>IF($J40="","",$J40-IF($N40="",0,$N40))</f>
        <v/>
      </c>
      <c r="P40" s="27" t="n"/>
      <c r="Q40" s="27" t="n"/>
      <c r="R40" s="27" t="n"/>
      <c r="S40" s="32">
        <f>IFERROR(INDEX(Listas!$B$2:$B$40,MATCH($R40,Listas!$A$2:$A$40,0)),"")</f>
        <v/>
      </c>
      <c r="T40" s="27" t="n"/>
      <c r="U40" s="28" t="n"/>
      <c r="V40" s="29" t="n"/>
      <c r="W40" s="27" t="n"/>
    </row>
    <row r="41" ht="22" customHeight="1">
      <c r="A41" s="29" t="n"/>
      <c r="B41" s="27" t="n"/>
      <c r="C41" s="27" t="n"/>
      <c r="D41" s="27" t="n"/>
      <c r="E41" s="27" t="n"/>
      <c r="F41" s="27" t="n"/>
      <c r="G41" s="28" t="n"/>
      <c r="H41" s="27" t="n"/>
      <c r="I41" s="29" t="n"/>
      <c r="J41" s="30" t="n"/>
      <c r="K41" s="29" t="n"/>
      <c r="L41" s="31">
        <f>IFERROR(INDEX(Listas!$G$14:$G$21,MATCH($B41,Listas!$F$14:$F$21,0)),"")</f>
        <v/>
      </c>
      <c r="M41" s="32">
        <f>IF(OR($G41="",$K41=""),"",MIN($K41*12,MAX(0,DATEDIF($G41,Listas!$N$2,"m"))))</f>
        <v/>
      </c>
      <c r="N41" s="33">
        <f>IF(OR($J41="",$M41=""),"",MIN($J41,ROUND($J41*($L41/12)*$M41,2)))</f>
        <v/>
      </c>
      <c r="O41" s="33">
        <f>IF($J41="","",$J41-IF($N41="",0,$N41))</f>
        <v/>
      </c>
      <c r="P41" s="27" t="n"/>
      <c r="Q41" s="27" t="n"/>
      <c r="R41" s="27" t="n"/>
      <c r="S41" s="32">
        <f>IFERROR(INDEX(Listas!$B$2:$B$40,MATCH($R41,Listas!$A$2:$A$40,0)),"")</f>
        <v/>
      </c>
      <c r="T41" s="27" t="n"/>
      <c r="U41" s="28" t="n"/>
      <c r="V41" s="29" t="n"/>
      <c r="W41" s="27" t="n"/>
    </row>
    <row r="42" ht="22" customHeight="1">
      <c r="A42" s="29" t="n"/>
      <c r="B42" s="27" t="n"/>
      <c r="C42" s="27" t="n"/>
      <c r="D42" s="27" t="n"/>
      <c r="E42" s="27" t="n"/>
      <c r="F42" s="27" t="n"/>
      <c r="G42" s="28" t="n"/>
      <c r="H42" s="27" t="n"/>
      <c r="I42" s="29" t="n"/>
      <c r="J42" s="30" t="n"/>
      <c r="K42" s="29" t="n"/>
      <c r="L42" s="31">
        <f>IFERROR(INDEX(Listas!$G$14:$G$21,MATCH($B42,Listas!$F$14:$F$21,0)),"")</f>
        <v/>
      </c>
      <c r="M42" s="32">
        <f>IF(OR($G42="",$K42=""),"",MIN($K42*12,MAX(0,DATEDIF($G42,Listas!$N$2,"m"))))</f>
        <v/>
      </c>
      <c r="N42" s="33">
        <f>IF(OR($J42="",$M42=""),"",MIN($J42,ROUND($J42*($L42/12)*$M42,2)))</f>
        <v/>
      </c>
      <c r="O42" s="33">
        <f>IF($J42="","",$J42-IF($N42="",0,$N42))</f>
        <v/>
      </c>
      <c r="P42" s="27" t="n"/>
      <c r="Q42" s="27" t="n"/>
      <c r="R42" s="27" t="n"/>
      <c r="S42" s="32">
        <f>IFERROR(INDEX(Listas!$B$2:$B$40,MATCH($R42,Listas!$A$2:$A$40,0)),"")</f>
        <v/>
      </c>
      <c r="T42" s="27" t="n"/>
      <c r="U42" s="28" t="n"/>
      <c r="V42" s="29" t="n"/>
      <c r="W42" s="27" t="n"/>
    </row>
    <row r="43" ht="22" customHeight="1">
      <c r="A43" s="29" t="n"/>
      <c r="B43" s="27" t="n"/>
      <c r="C43" s="27" t="n"/>
      <c r="D43" s="27" t="n"/>
      <c r="E43" s="27" t="n"/>
      <c r="F43" s="27" t="n"/>
      <c r="G43" s="28" t="n"/>
      <c r="H43" s="27" t="n"/>
      <c r="I43" s="29" t="n"/>
      <c r="J43" s="30" t="n"/>
      <c r="K43" s="29" t="n"/>
      <c r="L43" s="31">
        <f>IFERROR(INDEX(Listas!$G$14:$G$21,MATCH($B43,Listas!$F$14:$F$21,0)),"")</f>
        <v/>
      </c>
      <c r="M43" s="32">
        <f>IF(OR($G43="",$K43=""),"",MIN($K43*12,MAX(0,DATEDIF($G43,Listas!$N$2,"m"))))</f>
        <v/>
      </c>
      <c r="N43" s="33">
        <f>IF(OR($J43="",$M43=""),"",MIN($J43,ROUND($J43*($L43/12)*$M43,2)))</f>
        <v/>
      </c>
      <c r="O43" s="33">
        <f>IF($J43="","",$J43-IF($N43="",0,$N43))</f>
        <v/>
      </c>
      <c r="P43" s="27" t="n"/>
      <c r="Q43" s="27" t="n"/>
      <c r="R43" s="27" t="n"/>
      <c r="S43" s="32">
        <f>IFERROR(INDEX(Listas!$B$2:$B$40,MATCH($R43,Listas!$A$2:$A$40,0)),"")</f>
        <v/>
      </c>
      <c r="T43" s="27" t="n"/>
      <c r="U43" s="28" t="n"/>
      <c r="V43" s="29" t="n"/>
      <c r="W43" s="27" t="n"/>
    </row>
    <row r="44" ht="22" customHeight="1">
      <c r="A44" s="29" t="n"/>
      <c r="B44" s="27" t="n"/>
      <c r="C44" s="27" t="n"/>
      <c r="D44" s="27" t="n"/>
      <c r="E44" s="27" t="n"/>
      <c r="F44" s="27" t="n"/>
      <c r="G44" s="28" t="n"/>
      <c r="H44" s="27" t="n"/>
      <c r="I44" s="29" t="n"/>
      <c r="J44" s="30" t="n"/>
      <c r="K44" s="29" t="n"/>
      <c r="L44" s="31">
        <f>IFERROR(INDEX(Listas!$G$14:$G$21,MATCH($B44,Listas!$F$14:$F$21,0)),"")</f>
        <v/>
      </c>
      <c r="M44" s="32">
        <f>IF(OR($G44="",$K44=""),"",MIN($K44*12,MAX(0,DATEDIF($G44,Listas!$N$2,"m"))))</f>
        <v/>
      </c>
      <c r="N44" s="33">
        <f>IF(OR($J44="",$M44=""),"",MIN($J44,ROUND($J44*($L44/12)*$M44,2)))</f>
        <v/>
      </c>
      <c r="O44" s="33">
        <f>IF($J44="","",$J44-IF($N44="",0,$N44))</f>
        <v/>
      </c>
      <c r="P44" s="27" t="n"/>
      <c r="Q44" s="27" t="n"/>
      <c r="R44" s="27" t="n"/>
      <c r="S44" s="32">
        <f>IFERROR(INDEX(Listas!$B$2:$B$40,MATCH($R44,Listas!$A$2:$A$40,0)),"")</f>
        <v/>
      </c>
      <c r="T44" s="27" t="n"/>
      <c r="U44" s="28" t="n"/>
      <c r="V44" s="29" t="n"/>
      <c r="W44" s="27" t="n"/>
    </row>
    <row r="45" ht="22" customHeight="1">
      <c r="A45" s="29" t="n"/>
      <c r="B45" s="27" t="n"/>
      <c r="C45" s="27" t="n"/>
      <c r="D45" s="27" t="n"/>
      <c r="E45" s="27" t="n"/>
      <c r="F45" s="27" t="n"/>
      <c r="G45" s="28" t="n"/>
      <c r="H45" s="27" t="n"/>
      <c r="I45" s="29" t="n"/>
      <c r="J45" s="30" t="n"/>
      <c r="K45" s="29" t="n"/>
      <c r="L45" s="31">
        <f>IFERROR(INDEX(Listas!$G$14:$G$21,MATCH($B45,Listas!$F$14:$F$21,0)),"")</f>
        <v/>
      </c>
      <c r="M45" s="32">
        <f>IF(OR($G45="",$K45=""),"",MIN($K45*12,MAX(0,DATEDIF($G45,Listas!$N$2,"m"))))</f>
        <v/>
      </c>
      <c r="N45" s="33">
        <f>IF(OR($J45="",$M45=""),"",MIN($J45,ROUND($J45*($L45/12)*$M45,2)))</f>
        <v/>
      </c>
      <c r="O45" s="33">
        <f>IF($J45="","",$J45-IF($N45="",0,$N45))</f>
        <v/>
      </c>
      <c r="P45" s="27" t="n"/>
      <c r="Q45" s="27" t="n"/>
      <c r="R45" s="27" t="n"/>
      <c r="S45" s="32">
        <f>IFERROR(INDEX(Listas!$B$2:$B$40,MATCH($R45,Listas!$A$2:$A$40,0)),"")</f>
        <v/>
      </c>
      <c r="T45" s="27" t="n"/>
      <c r="U45" s="28" t="n"/>
      <c r="V45" s="29" t="n"/>
      <c r="W45" s="27" t="n"/>
    </row>
    <row r="46" ht="22" customHeight="1">
      <c r="A46" s="29" t="n"/>
      <c r="B46" s="27" t="n"/>
      <c r="C46" s="27" t="n"/>
      <c r="D46" s="27" t="n"/>
      <c r="E46" s="27" t="n"/>
      <c r="F46" s="27" t="n"/>
      <c r="G46" s="28" t="n"/>
      <c r="H46" s="27" t="n"/>
      <c r="I46" s="29" t="n"/>
      <c r="J46" s="30" t="n"/>
      <c r="K46" s="29" t="n"/>
      <c r="L46" s="31">
        <f>IFERROR(INDEX(Listas!$G$14:$G$21,MATCH($B46,Listas!$F$14:$F$21,0)),"")</f>
        <v/>
      </c>
      <c r="M46" s="32">
        <f>IF(OR($G46="",$K46=""),"",MIN($K46*12,MAX(0,DATEDIF($G46,Listas!$N$2,"m"))))</f>
        <v/>
      </c>
      <c r="N46" s="33">
        <f>IF(OR($J46="",$M46=""),"",MIN($J46,ROUND($J46*($L46/12)*$M46,2)))</f>
        <v/>
      </c>
      <c r="O46" s="33">
        <f>IF($J46="","",$J46-IF($N46="",0,$N46))</f>
        <v/>
      </c>
      <c r="P46" s="27" t="n"/>
      <c r="Q46" s="27" t="n"/>
      <c r="R46" s="27" t="n"/>
      <c r="S46" s="32">
        <f>IFERROR(INDEX(Listas!$B$2:$B$40,MATCH($R46,Listas!$A$2:$A$40,0)),"")</f>
        <v/>
      </c>
      <c r="T46" s="27" t="n"/>
      <c r="U46" s="28" t="n"/>
      <c r="V46" s="29" t="n"/>
      <c r="W46" s="27" t="n"/>
    </row>
    <row r="47" ht="22" customHeight="1">
      <c r="A47" s="29" t="n"/>
      <c r="B47" s="27" t="n"/>
      <c r="C47" s="27" t="n"/>
      <c r="D47" s="27" t="n"/>
      <c r="E47" s="27" t="n"/>
      <c r="F47" s="27" t="n"/>
      <c r="G47" s="28" t="n"/>
      <c r="H47" s="27" t="n"/>
      <c r="I47" s="29" t="n"/>
      <c r="J47" s="30" t="n"/>
      <c r="K47" s="29" t="n"/>
      <c r="L47" s="31">
        <f>IFERROR(INDEX(Listas!$G$14:$G$21,MATCH($B47,Listas!$F$14:$F$21,0)),"")</f>
        <v/>
      </c>
      <c r="M47" s="32">
        <f>IF(OR($G47="",$K47=""),"",MIN($K47*12,MAX(0,DATEDIF($G47,Listas!$N$2,"m"))))</f>
        <v/>
      </c>
      <c r="N47" s="33">
        <f>IF(OR($J47="",$M47=""),"",MIN($J47,ROUND($J47*($L47/12)*$M47,2)))</f>
        <v/>
      </c>
      <c r="O47" s="33">
        <f>IF($J47="","",$J47-IF($N47="",0,$N47))</f>
        <v/>
      </c>
      <c r="P47" s="27" t="n"/>
      <c r="Q47" s="27" t="n"/>
      <c r="R47" s="27" t="n"/>
      <c r="S47" s="32">
        <f>IFERROR(INDEX(Listas!$B$2:$B$40,MATCH($R47,Listas!$A$2:$A$40,0)),"")</f>
        <v/>
      </c>
      <c r="T47" s="27" t="n"/>
      <c r="U47" s="28" t="n"/>
      <c r="V47" s="29" t="n"/>
      <c r="W47" s="27" t="n"/>
    </row>
    <row r="48" ht="22" customHeight="1">
      <c r="A48" s="29" t="n"/>
      <c r="B48" s="27" t="n"/>
      <c r="C48" s="27" t="n"/>
      <c r="D48" s="27" t="n"/>
      <c r="E48" s="27" t="n"/>
      <c r="F48" s="27" t="n"/>
      <c r="G48" s="28" t="n"/>
      <c r="H48" s="27" t="n"/>
      <c r="I48" s="29" t="n"/>
      <c r="J48" s="30" t="n"/>
      <c r="K48" s="29" t="n"/>
      <c r="L48" s="31">
        <f>IFERROR(INDEX(Listas!$G$14:$G$21,MATCH($B48,Listas!$F$14:$F$21,0)),"")</f>
        <v/>
      </c>
      <c r="M48" s="32">
        <f>IF(OR($G48="",$K48=""),"",MIN($K48*12,MAX(0,DATEDIF($G48,Listas!$N$2,"m"))))</f>
        <v/>
      </c>
      <c r="N48" s="33">
        <f>IF(OR($J48="",$M48=""),"",MIN($J48,ROUND($J48*($L48/12)*$M48,2)))</f>
        <v/>
      </c>
      <c r="O48" s="33">
        <f>IF($J48="","",$J48-IF($N48="",0,$N48))</f>
        <v/>
      </c>
      <c r="P48" s="27" t="n"/>
      <c r="Q48" s="27" t="n"/>
      <c r="R48" s="27" t="n"/>
      <c r="S48" s="32">
        <f>IFERROR(INDEX(Listas!$B$2:$B$40,MATCH($R48,Listas!$A$2:$A$40,0)),"")</f>
        <v/>
      </c>
      <c r="T48" s="27" t="n"/>
      <c r="U48" s="28" t="n"/>
      <c r="V48" s="29" t="n"/>
      <c r="W48" s="27" t="n"/>
    </row>
    <row r="49" ht="22" customHeight="1">
      <c r="A49" s="29" t="n"/>
      <c r="B49" s="27" t="n"/>
      <c r="C49" s="27" t="n"/>
      <c r="D49" s="27" t="n"/>
      <c r="E49" s="27" t="n"/>
      <c r="F49" s="27" t="n"/>
      <c r="G49" s="28" t="n"/>
      <c r="H49" s="27" t="n"/>
      <c r="I49" s="29" t="n"/>
      <c r="J49" s="30" t="n"/>
      <c r="K49" s="29" t="n"/>
      <c r="L49" s="31">
        <f>IFERROR(INDEX(Listas!$G$14:$G$21,MATCH($B49,Listas!$F$14:$F$21,0)),"")</f>
        <v/>
      </c>
      <c r="M49" s="32">
        <f>IF(OR($G49="",$K49=""),"",MIN($K49*12,MAX(0,DATEDIF($G49,Listas!$N$2,"m"))))</f>
        <v/>
      </c>
      <c r="N49" s="33">
        <f>IF(OR($J49="",$M49=""),"",MIN($J49,ROUND($J49*($L49/12)*$M49,2)))</f>
        <v/>
      </c>
      <c r="O49" s="33">
        <f>IF($J49="","",$J49-IF($N49="",0,$N49))</f>
        <v/>
      </c>
      <c r="P49" s="27" t="n"/>
      <c r="Q49" s="27" t="n"/>
      <c r="R49" s="27" t="n"/>
      <c r="S49" s="32">
        <f>IFERROR(INDEX(Listas!$B$2:$B$40,MATCH($R49,Listas!$A$2:$A$40,0)),"")</f>
        <v/>
      </c>
      <c r="T49" s="27" t="n"/>
      <c r="U49" s="28" t="n"/>
      <c r="V49" s="29" t="n"/>
      <c r="W49" s="27" t="n"/>
    </row>
    <row r="50" ht="22" customHeight="1">
      <c r="A50" s="29" t="n"/>
      <c r="B50" s="27" t="n"/>
      <c r="C50" s="27" t="n"/>
      <c r="D50" s="27" t="n"/>
      <c r="E50" s="27" t="n"/>
      <c r="F50" s="27" t="n"/>
      <c r="G50" s="28" t="n"/>
      <c r="H50" s="27" t="n"/>
      <c r="I50" s="29" t="n"/>
      <c r="J50" s="30" t="n"/>
      <c r="K50" s="29" t="n"/>
      <c r="L50" s="31">
        <f>IFERROR(INDEX(Listas!$G$14:$G$21,MATCH($B50,Listas!$F$14:$F$21,0)),"")</f>
        <v/>
      </c>
      <c r="M50" s="32">
        <f>IF(OR($G50="",$K50=""),"",MIN($K50*12,MAX(0,DATEDIF($G50,Listas!$N$2,"m"))))</f>
        <v/>
      </c>
      <c r="N50" s="33">
        <f>IF(OR($J50="",$M50=""),"",MIN($J50,ROUND($J50*($L50/12)*$M50,2)))</f>
        <v/>
      </c>
      <c r="O50" s="33">
        <f>IF($J50="","",$J50-IF($N50="",0,$N50))</f>
        <v/>
      </c>
      <c r="P50" s="27" t="n"/>
      <c r="Q50" s="27" t="n"/>
      <c r="R50" s="27" t="n"/>
      <c r="S50" s="32">
        <f>IFERROR(INDEX(Listas!$B$2:$B$40,MATCH($R50,Listas!$A$2:$A$40,0)),"")</f>
        <v/>
      </c>
      <c r="T50" s="27" t="n"/>
      <c r="U50" s="28" t="n"/>
      <c r="V50" s="29" t="n"/>
      <c r="W50" s="27" t="n"/>
    </row>
    <row r="51" ht="22" customHeight="1">
      <c r="A51" s="29" t="n"/>
      <c r="B51" s="27" t="n"/>
      <c r="C51" s="27" t="n"/>
      <c r="D51" s="27" t="n"/>
      <c r="E51" s="27" t="n"/>
      <c r="F51" s="27" t="n"/>
      <c r="G51" s="28" t="n"/>
      <c r="H51" s="27" t="n"/>
      <c r="I51" s="29" t="n"/>
      <c r="J51" s="30" t="n"/>
      <c r="K51" s="29" t="n"/>
      <c r="L51" s="31">
        <f>IFERROR(INDEX(Listas!$G$14:$G$21,MATCH($B51,Listas!$F$14:$F$21,0)),"")</f>
        <v/>
      </c>
      <c r="M51" s="32">
        <f>IF(OR($G51="",$K51=""),"",MIN($K51*12,MAX(0,DATEDIF($G51,Listas!$N$2,"m"))))</f>
        <v/>
      </c>
      <c r="N51" s="33">
        <f>IF(OR($J51="",$M51=""),"",MIN($J51,ROUND($J51*($L51/12)*$M51,2)))</f>
        <v/>
      </c>
      <c r="O51" s="33">
        <f>IF($J51="","",$J51-IF($N51="",0,$N51))</f>
        <v/>
      </c>
      <c r="P51" s="27" t="n"/>
      <c r="Q51" s="27" t="n"/>
      <c r="R51" s="27" t="n"/>
      <c r="S51" s="32">
        <f>IFERROR(INDEX(Listas!$B$2:$B$40,MATCH($R51,Listas!$A$2:$A$40,0)),"")</f>
        <v/>
      </c>
      <c r="T51" s="27" t="n"/>
      <c r="U51" s="28" t="n"/>
      <c r="V51" s="29" t="n"/>
      <c r="W51" s="27" t="n"/>
    </row>
    <row r="52" ht="22" customHeight="1">
      <c r="A52" s="29" t="n"/>
      <c r="B52" s="27" t="n"/>
      <c r="C52" s="27" t="n"/>
      <c r="D52" s="27" t="n"/>
      <c r="E52" s="27" t="n"/>
      <c r="F52" s="27" t="n"/>
      <c r="G52" s="28" t="n"/>
      <c r="H52" s="27" t="n"/>
      <c r="I52" s="29" t="n"/>
      <c r="J52" s="30" t="n"/>
      <c r="K52" s="29" t="n"/>
      <c r="L52" s="31">
        <f>IFERROR(INDEX(Listas!$G$14:$G$21,MATCH($B52,Listas!$F$14:$F$21,0)),"")</f>
        <v/>
      </c>
      <c r="M52" s="32">
        <f>IF(OR($G52="",$K52=""),"",MIN($K52*12,MAX(0,DATEDIF($G52,Listas!$N$2,"m"))))</f>
        <v/>
      </c>
      <c r="N52" s="33">
        <f>IF(OR($J52="",$M52=""),"",MIN($J52,ROUND($J52*($L52/12)*$M52,2)))</f>
        <v/>
      </c>
      <c r="O52" s="33">
        <f>IF($J52="","",$J52-IF($N52="",0,$N52))</f>
        <v/>
      </c>
      <c r="P52" s="27" t="n"/>
      <c r="Q52" s="27" t="n"/>
      <c r="R52" s="27" t="n"/>
      <c r="S52" s="32">
        <f>IFERROR(INDEX(Listas!$B$2:$B$40,MATCH($R52,Listas!$A$2:$A$40,0)),"")</f>
        <v/>
      </c>
      <c r="T52" s="27" t="n"/>
      <c r="U52" s="28" t="n"/>
      <c r="V52" s="29" t="n"/>
      <c r="W52" s="27" t="n"/>
    </row>
    <row r="53" ht="22" customHeight="1">
      <c r="A53" s="29" t="n"/>
      <c r="B53" s="27" t="n"/>
      <c r="C53" s="27" t="n"/>
      <c r="D53" s="27" t="n"/>
      <c r="E53" s="27" t="n"/>
      <c r="F53" s="27" t="n"/>
      <c r="G53" s="28" t="n"/>
      <c r="H53" s="27" t="n"/>
      <c r="I53" s="29" t="n"/>
      <c r="J53" s="30" t="n"/>
      <c r="K53" s="29" t="n"/>
      <c r="L53" s="31">
        <f>IFERROR(INDEX(Listas!$G$14:$G$21,MATCH($B53,Listas!$F$14:$F$21,0)),"")</f>
        <v/>
      </c>
      <c r="M53" s="32">
        <f>IF(OR($G53="",$K53=""),"",MIN($K53*12,MAX(0,DATEDIF($G53,Listas!$N$2,"m"))))</f>
        <v/>
      </c>
      <c r="N53" s="33">
        <f>IF(OR($J53="",$M53=""),"",MIN($J53,ROUND($J53*($L53/12)*$M53,2)))</f>
        <v/>
      </c>
      <c r="O53" s="33">
        <f>IF($J53="","",$J53-IF($N53="",0,$N53))</f>
        <v/>
      </c>
      <c r="P53" s="27" t="n"/>
      <c r="Q53" s="27" t="n"/>
      <c r="R53" s="27" t="n"/>
      <c r="S53" s="32">
        <f>IFERROR(INDEX(Listas!$B$2:$B$40,MATCH($R53,Listas!$A$2:$A$40,0)),"")</f>
        <v/>
      </c>
      <c r="T53" s="27" t="n"/>
      <c r="U53" s="28" t="n"/>
      <c r="V53" s="29" t="n"/>
      <c r="W53" s="27" t="n"/>
    </row>
    <row r="54" ht="22" customHeight="1">
      <c r="A54" s="29" t="n"/>
      <c r="B54" s="27" t="n"/>
      <c r="C54" s="27" t="n"/>
      <c r="D54" s="27" t="n"/>
      <c r="E54" s="27" t="n"/>
      <c r="F54" s="27" t="n"/>
      <c r="G54" s="28" t="n"/>
      <c r="H54" s="27" t="n"/>
      <c r="I54" s="29" t="n"/>
      <c r="J54" s="30" t="n"/>
      <c r="K54" s="29" t="n"/>
      <c r="L54" s="31">
        <f>IFERROR(INDEX(Listas!$G$14:$G$21,MATCH($B54,Listas!$F$14:$F$21,0)),"")</f>
        <v/>
      </c>
      <c r="M54" s="32">
        <f>IF(OR($G54="",$K54=""),"",MIN($K54*12,MAX(0,DATEDIF($G54,Listas!$N$2,"m"))))</f>
        <v/>
      </c>
      <c r="N54" s="33">
        <f>IF(OR($J54="",$M54=""),"",MIN($J54,ROUND($J54*($L54/12)*$M54,2)))</f>
        <v/>
      </c>
      <c r="O54" s="33">
        <f>IF($J54="","",$J54-IF($N54="",0,$N54))</f>
        <v/>
      </c>
      <c r="P54" s="27" t="n"/>
      <c r="Q54" s="27" t="n"/>
      <c r="R54" s="27" t="n"/>
      <c r="S54" s="32">
        <f>IFERROR(INDEX(Listas!$B$2:$B$40,MATCH($R54,Listas!$A$2:$A$40,0)),"")</f>
        <v/>
      </c>
      <c r="T54" s="27" t="n"/>
      <c r="U54" s="28" t="n"/>
      <c r="V54" s="29" t="n"/>
      <c r="W54" s="27" t="n"/>
    </row>
    <row r="55" ht="22" customHeight="1">
      <c r="A55" s="29" t="n"/>
      <c r="B55" s="27" t="n"/>
      <c r="C55" s="27" t="n"/>
      <c r="D55" s="27" t="n"/>
      <c r="E55" s="27" t="n"/>
      <c r="F55" s="27" t="n"/>
      <c r="G55" s="28" t="n"/>
      <c r="H55" s="27" t="n"/>
      <c r="I55" s="29" t="n"/>
      <c r="J55" s="30" t="n"/>
      <c r="K55" s="29" t="n"/>
      <c r="L55" s="31">
        <f>IFERROR(INDEX(Listas!$G$14:$G$21,MATCH($B55,Listas!$F$14:$F$21,0)),"")</f>
        <v/>
      </c>
      <c r="M55" s="32">
        <f>IF(OR($G55="",$K55=""),"",MIN($K55*12,MAX(0,DATEDIF($G55,Listas!$N$2,"m"))))</f>
        <v/>
      </c>
      <c r="N55" s="33">
        <f>IF(OR($J55="",$M55=""),"",MIN($J55,ROUND($J55*($L55/12)*$M55,2)))</f>
        <v/>
      </c>
      <c r="O55" s="33">
        <f>IF($J55="","",$J55-IF($N55="",0,$N55))</f>
        <v/>
      </c>
      <c r="P55" s="27" t="n"/>
      <c r="Q55" s="27" t="n"/>
      <c r="R55" s="27" t="n"/>
      <c r="S55" s="32">
        <f>IFERROR(INDEX(Listas!$B$2:$B$40,MATCH($R55,Listas!$A$2:$A$40,0)),"")</f>
        <v/>
      </c>
      <c r="T55" s="27" t="n"/>
      <c r="U55" s="28" t="n"/>
      <c r="V55" s="29" t="n"/>
      <c r="W55" s="27" t="n"/>
    </row>
    <row r="56" ht="22" customHeight="1">
      <c r="A56" s="29" t="n"/>
      <c r="B56" s="27" t="n"/>
      <c r="C56" s="27" t="n"/>
      <c r="D56" s="27" t="n"/>
      <c r="E56" s="27" t="n"/>
      <c r="F56" s="27" t="n"/>
      <c r="G56" s="28" t="n"/>
      <c r="H56" s="27" t="n"/>
      <c r="I56" s="29" t="n"/>
      <c r="J56" s="30" t="n"/>
      <c r="K56" s="29" t="n"/>
      <c r="L56" s="31">
        <f>IFERROR(INDEX(Listas!$G$14:$G$21,MATCH($B56,Listas!$F$14:$F$21,0)),"")</f>
        <v/>
      </c>
      <c r="M56" s="32">
        <f>IF(OR($G56="",$K56=""),"",MIN($K56*12,MAX(0,DATEDIF($G56,Listas!$N$2,"m"))))</f>
        <v/>
      </c>
      <c r="N56" s="33">
        <f>IF(OR($J56="",$M56=""),"",MIN($J56,ROUND($J56*($L56/12)*$M56,2)))</f>
        <v/>
      </c>
      <c r="O56" s="33">
        <f>IF($J56="","",$J56-IF($N56="",0,$N56))</f>
        <v/>
      </c>
      <c r="P56" s="27" t="n"/>
      <c r="Q56" s="27" t="n"/>
      <c r="R56" s="27" t="n"/>
      <c r="S56" s="32">
        <f>IFERROR(INDEX(Listas!$B$2:$B$40,MATCH($R56,Listas!$A$2:$A$40,0)),"")</f>
        <v/>
      </c>
      <c r="T56" s="27" t="n"/>
      <c r="U56" s="28" t="n"/>
      <c r="V56" s="29" t="n"/>
      <c r="W56" s="27" t="n"/>
    </row>
    <row r="57" ht="22" customHeight="1">
      <c r="A57" s="29" t="n"/>
      <c r="B57" s="27" t="n"/>
      <c r="C57" s="27" t="n"/>
      <c r="D57" s="27" t="n"/>
      <c r="E57" s="27" t="n"/>
      <c r="F57" s="27" t="n"/>
      <c r="G57" s="28" t="n"/>
      <c r="H57" s="27" t="n"/>
      <c r="I57" s="29" t="n"/>
      <c r="J57" s="30" t="n"/>
      <c r="K57" s="29" t="n"/>
      <c r="L57" s="31">
        <f>IFERROR(INDEX(Listas!$G$14:$G$21,MATCH($B57,Listas!$F$14:$F$21,0)),"")</f>
        <v/>
      </c>
      <c r="M57" s="32">
        <f>IF(OR($G57="",$K57=""),"",MIN($K57*12,MAX(0,DATEDIF($G57,Listas!$N$2,"m"))))</f>
        <v/>
      </c>
      <c r="N57" s="33">
        <f>IF(OR($J57="",$M57=""),"",MIN($J57,ROUND($J57*($L57/12)*$M57,2)))</f>
        <v/>
      </c>
      <c r="O57" s="33">
        <f>IF($J57="","",$J57-IF($N57="",0,$N57))</f>
        <v/>
      </c>
      <c r="P57" s="27" t="n"/>
      <c r="Q57" s="27" t="n"/>
      <c r="R57" s="27" t="n"/>
      <c r="S57" s="32">
        <f>IFERROR(INDEX(Listas!$B$2:$B$40,MATCH($R57,Listas!$A$2:$A$40,0)),"")</f>
        <v/>
      </c>
      <c r="T57" s="27" t="n"/>
      <c r="U57" s="28" t="n"/>
      <c r="V57" s="29" t="n"/>
      <c r="W57" s="27" t="n"/>
    </row>
    <row r="58" ht="22" customHeight="1">
      <c r="A58" s="29" t="n"/>
      <c r="B58" s="27" t="n"/>
      <c r="C58" s="27" t="n"/>
      <c r="D58" s="27" t="n"/>
      <c r="E58" s="27" t="n"/>
      <c r="F58" s="27" t="n"/>
      <c r="G58" s="28" t="n"/>
      <c r="H58" s="27" t="n"/>
      <c r="I58" s="29" t="n"/>
      <c r="J58" s="30" t="n"/>
      <c r="K58" s="29" t="n"/>
      <c r="L58" s="31">
        <f>IFERROR(INDEX(Listas!$G$14:$G$21,MATCH($B58,Listas!$F$14:$F$21,0)),"")</f>
        <v/>
      </c>
      <c r="M58" s="32">
        <f>IF(OR($G58="",$K58=""),"",MIN($K58*12,MAX(0,DATEDIF($G58,Listas!$N$2,"m"))))</f>
        <v/>
      </c>
      <c r="N58" s="33">
        <f>IF(OR($J58="",$M58=""),"",MIN($J58,ROUND($J58*($L58/12)*$M58,2)))</f>
        <v/>
      </c>
      <c r="O58" s="33">
        <f>IF($J58="","",$J58-IF($N58="",0,$N58))</f>
        <v/>
      </c>
      <c r="P58" s="27" t="n"/>
      <c r="Q58" s="27" t="n"/>
      <c r="R58" s="27" t="n"/>
      <c r="S58" s="32">
        <f>IFERROR(INDEX(Listas!$B$2:$B$40,MATCH($R58,Listas!$A$2:$A$40,0)),"")</f>
        <v/>
      </c>
      <c r="T58" s="27" t="n"/>
      <c r="U58" s="28" t="n"/>
      <c r="V58" s="29" t="n"/>
      <c r="W58" s="27" t="n"/>
    </row>
    <row r="59" ht="22" customHeight="1">
      <c r="A59" s="29" t="n"/>
      <c r="B59" s="27" t="n"/>
      <c r="C59" s="27" t="n"/>
      <c r="D59" s="27" t="n"/>
      <c r="E59" s="27" t="n"/>
      <c r="F59" s="27" t="n"/>
      <c r="G59" s="28" t="n"/>
      <c r="H59" s="27" t="n"/>
      <c r="I59" s="29" t="n"/>
      <c r="J59" s="30" t="n"/>
      <c r="K59" s="29" t="n"/>
      <c r="L59" s="31">
        <f>IFERROR(INDEX(Listas!$G$14:$G$21,MATCH($B59,Listas!$F$14:$F$21,0)),"")</f>
        <v/>
      </c>
      <c r="M59" s="32">
        <f>IF(OR($G59="",$K59=""),"",MIN($K59*12,MAX(0,DATEDIF($G59,Listas!$N$2,"m"))))</f>
        <v/>
      </c>
      <c r="N59" s="33">
        <f>IF(OR($J59="",$M59=""),"",MIN($J59,ROUND($J59*($L59/12)*$M59,2)))</f>
        <v/>
      </c>
      <c r="O59" s="33">
        <f>IF($J59="","",$J59-IF($N59="",0,$N59))</f>
        <v/>
      </c>
      <c r="P59" s="27" t="n"/>
      <c r="Q59" s="27" t="n"/>
      <c r="R59" s="27" t="n"/>
      <c r="S59" s="32">
        <f>IFERROR(INDEX(Listas!$B$2:$B$40,MATCH($R59,Listas!$A$2:$A$40,0)),"")</f>
        <v/>
      </c>
      <c r="T59" s="27" t="n"/>
      <c r="U59" s="28" t="n"/>
      <c r="V59" s="29" t="n"/>
      <c r="W59" s="27" t="n"/>
    </row>
    <row r="60" ht="22" customHeight="1">
      <c r="A60" s="29" t="n"/>
      <c r="B60" s="27" t="n"/>
      <c r="C60" s="27" t="n"/>
      <c r="D60" s="27" t="n"/>
      <c r="E60" s="27" t="n"/>
      <c r="F60" s="27" t="n"/>
      <c r="G60" s="28" t="n"/>
      <c r="H60" s="27" t="n"/>
      <c r="I60" s="29" t="n"/>
      <c r="J60" s="30" t="n"/>
      <c r="K60" s="29" t="n"/>
      <c r="L60" s="31">
        <f>IFERROR(INDEX(Listas!$G$14:$G$21,MATCH($B60,Listas!$F$14:$F$21,0)),"")</f>
        <v/>
      </c>
      <c r="M60" s="32">
        <f>IF(OR($G60="",$K60=""),"",MIN($K60*12,MAX(0,DATEDIF($G60,Listas!$N$2,"m"))))</f>
        <v/>
      </c>
      <c r="N60" s="33">
        <f>IF(OR($J60="",$M60=""),"",MIN($J60,ROUND($J60*($L60/12)*$M60,2)))</f>
        <v/>
      </c>
      <c r="O60" s="33">
        <f>IF($J60="","",$J60-IF($N60="",0,$N60))</f>
        <v/>
      </c>
      <c r="P60" s="27" t="n"/>
      <c r="Q60" s="27" t="n"/>
      <c r="R60" s="27" t="n"/>
      <c r="S60" s="32">
        <f>IFERROR(INDEX(Listas!$B$2:$B$40,MATCH($R60,Listas!$A$2:$A$40,0)),"")</f>
        <v/>
      </c>
      <c r="T60" s="27" t="n"/>
      <c r="U60" s="28" t="n"/>
      <c r="V60" s="29" t="n"/>
      <c r="W60" s="27" t="n"/>
    </row>
    <row r="61" ht="22" customHeight="1">
      <c r="A61" s="29" t="n"/>
      <c r="B61" s="27" t="n"/>
      <c r="C61" s="27" t="n"/>
      <c r="D61" s="27" t="n"/>
      <c r="E61" s="27" t="n"/>
      <c r="F61" s="27" t="n"/>
      <c r="G61" s="28" t="n"/>
      <c r="H61" s="27" t="n"/>
      <c r="I61" s="29" t="n"/>
      <c r="J61" s="30" t="n"/>
      <c r="K61" s="29" t="n"/>
      <c r="L61" s="31">
        <f>IFERROR(INDEX(Listas!$G$14:$G$21,MATCH($B61,Listas!$F$14:$F$21,0)),"")</f>
        <v/>
      </c>
      <c r="M61" s="32">
        <f>IF(OR($G61="",$K61=""),"",MIN($K61*12,MAX(0,DATEDIF($G61,Listas!$N$2,"m"))))</f>
        <v/>
      </c>
      <c r="N61" s="33">
        <f>IF(OR($J61="",$M61=""),"",MIN($J61,ROUND($J61*($L61/12)*$M61,2)))</f>
        <v/>
      </c>
      <c r="O61" s="33">
        <f>IF($J61="","",$J61-IF($N61="",0,$N61))</f>
        <v/>
      </c>
      <c r="P61" s="27" t="n"/>
      <c r="Q61" s="27" t="n"/>
      <c r="R61" s="27" t="n"/>
      <c r="S61" s="32">
        <f>IFERROR(INDEX(Listas!$B$2:$B$40,MATCH($R61,Listas!$A$2:$A$40,0)),"")</f>
        <v/>
      </c>
      <c r="T61" s="27" t="n"/>
      <c r="U61" s="28" t="n"/>
      <c r="V61" s="29" t="n"/>
      <c r="W61" s="27" t="n"/>
    </row>
    <row r="62" ht="22" customHeight="1">
      <c r="A62" s="29" t="n"/>
      <c r="B62" s="27" t="n"/>
      <c r="C62" s="27" t="n"/>
      <c r="D62" s="27" t="n"/>
      <c r="E62" s="27" t="n"/>
      <c r="F62" s="27" t="n"/>
      <c r="G62" s="28" t="n"/>
      <c r="H62" s="27" t="n"/>
      <c r="I62" s="29" t="n"/>
      <c r="J62" s="30" t="n"/>
      <c r="K62" s="29" t="n"/>
      <c r="L62" s="31">
        <f>IFERROR(INDEX(Listas!$G$14:$G$21,MATCH($B62,Listas!$F$14:$F$21,0)),"")</f>
        <v/>
      </c>
      <c r="M62" s="32">
        <f>IF(OR($G62="",$K62=""),"",MIN($K62*12,MAX(0,DATEDIF($G62,Listas!$N$2,"m"))))</f>
        <v/>
      </c>
      <c r="N62" s="33">
        <f>IF(OR($J62="",$M62=""),"",MIN($J62,ROUND($J62*($L62/12)*$M62,2)))</f>
        <v/>
      </c>
      <c r="O62" s="33">
        <f>IF($J62="","",$J62-IF($N62="",0,$N62))</f>
        <v/>
      </c>
      <c r="P62" s="27" t="n"/>
      <c r="Q62" s="27" t="n"/>
      <c r="R62" s="27" t="n"/>
      <c r="S62" s="32">
        <f>IFERROR(INDEX(Listas!$B$2:$B$40,MATCH($R62,Listas!$A$2:$A$40,0)),"")</f>
        <v/>
      </c>
      <c r="T62" s="27" t="n"/>
      <c r="U62" s="28" t="n"/>
      <c r="V62" s="29" t="n"/>
      <c r="W62" s="27" t="n"/>
    </row>
    <row r="63" ht="22" customHeight="1">
      <c r="A63" s="29" t="n"/>
      <c r="B63" s="27" t="n"/>
      <c r="C63" s="27" t="n"/>
      <c r="D63" s="27" t="n"/>
      <c r="E63" s="27" t="n"/>
      <c r="F63" s="27" t="n"/>
      <c r="G63" s="28" t="n"/>
      <c r="H63" s="27" t="n"/>
      <c r="I63" s="29" t="n"/>
      <c r="J63" s="30" t="n"/>
      <c r="K63" s="29" t="n"/>
      <c r="L63" s="31">
        <f>IFERROR(INDEX(Listas!$G$14:$G$21,MATCH($B63,Listas!$F$14:$F$21,0)),"")</f>
        <v/>
      </c>
      <c r="M63" s="32">
        <f>IF(OR($G63="",$K63=""),"",MIN($K63*12,MAX(0,DATEDIF($G63,Listas!$N$2,"m"))))</f>
        <v/>
      </c>
      <c r="N63" s="33">
        <f>IF(OR($J63="",$M63=""),"",MIN($J63,ROUND($J63*($L63/12)*$M63,2)))</f>
        <v/>
      </c>
      <c r="O63" s="33">
        <f>IF($J63="","",$J63-IF($N63="",0,$N63))</f>
        <v/>
      </c>
      <c r="P63" s="27" t="n"/>
      <c r="Q63" s="27" t="n"/>
      <c r="R63" s="27" t="n"/>
      <c r="S63" s="32">
        <f>IFERROR(INDEX(Listas!$B$2:$B$40,MATCH($R63,Listas!$A$2:$A$40,0)),"")</f>
        <v/>
      </c>
      <c r="T63" s="27" t="n"/>
      <c r="U63" s="28" t="n"/>
      <c r="V63" s="29" t="n"/>
      <c r="W63" s="27" t="n"/>
    </row>
    <row r="64" ht="22" customHeight="1">
      <c r="A64" s="29" t="n"/>
      <c r="B64" s="27" t="n"/>
      <c r="C64" s="27" t="n"/>
      <c r="D64" s="27" t="n"/>
      <c r="E64" s="27" t="n"/>
      <c r="F64" s="27" t="n"/>
      <c r="G64" s="28" t="n"/>
      <c r="H64" s="27" t="n"/>
      <c r="I64" s="29" t="n"/>
      <c r="J64" s="30" t="n"/>
      <c r="K64" s="29" t="n"/>
      <c r="L64" s="31">
        <f>IFERROR(INDEX(Listas!$G$14:$G$21,MATCH($B64,Listas!$F$14:$F$21,0)),"")</f>
        <v/>
      </c>
      <c r="M64" s="32">
        <f>IF(OR($G64="",$K64=""),"",MIN($K64*12,MAX(0,DATEDIF($G64,Listas!$N$2,"m"))))</f>
        <v/>
      </c>
      <c r="N64" s="33">
        <f>IF(OR($J64="",$M64=""),"",MIN($J64,ROUND($J64*($L64/12)*$M64,2)))</f>
        <v/>
      </c>
      <c r="O64" s="33">
        <f>IF($J64="","",$J64-IF($N64="",0,$N64))</f>
        <v/>
      </c>
      <c r="P64" s="27" t="n"/>
      <c r="Q64" s="27" t="n"/>
      <c r="R64" s="27" t="n"/>
      <c r="S64" s="32">
        <f>IFERROR(INDEX(Listas!$B$2:$B$40,MATCH($R64,Listas!$A$2:$A$40,0)),"")</f>
        <v/>
      </c>
      <c r="T64" s="27" t="n"/>
      <c r="U64" s="28" t="n"/>
      <c r="V64" s="29" t="n"/>
      <c r="W64" s="27" t="n"/>
    </row>
    <row r="65" ht="22" customHeight="1">
      <c r="A65" s="29" t="n"/>
      <c r="B65" s="27" t="n"/>
      <c r="C65" s="27" t="n"/>
      <c r="D65" s="27" t="n"/>
      <c r="E65" s="27" t="n"/>
      <c r="F65" s="27" t="n"/>
      <c r="G65" s="28" t="n"/>
      <c r="H65" s="27" t="n"/>
      <c r="I65" s="29" t="n"/>
      <c r="J65" s="30" t="n"/>
      <c r="K65" s="29" t="n"/>
      <c r="L65" s="31">
        <f>IFERROR(INDEX(Listas!$G$14:$G$21,MATCH($B65,Listas!$F$14:$F$21,0)),"")</f>
        <v/>
      </c>
      <c r="M65" s="32">
        <f>IF(OR($G65="",$K65=""),"",MIN($K65*12,MAX(0,DATEDIF($G65,Listas!$N$2,"m"))))</f>
        <v/>
      </c>
      <c r="N65" s="33">
        <f>IF(OR($J65="",$M65=""),"",MIN($J65,ROUND($J65*($L65/12)*$M65,2)))</f>
        <v/>
      </c>
      <c r="O65" s="33">
        <f>IF($J65="","",$J65-IF($N65="",0,$N65))</f>
        <v/>
      </c>
      <c r="P65" s="27" t="n"/>
      <c r="Q65" s="27" t="n"/>
      <c r="R65" s="27" t="n"/>
      <c r="S65" s="32">
        <f>IFERROR(INDEX(Listas!$B$2:$B$40,MATCH($R65,Listas!$A$2:$A$40,0)),"")</f>
        <v/>
      </c>
      <c r="T65" s="27" t="n"/>
      <c r="U65" s="28" t="n"/>
      <c r="V65" s="29" t="n"/>
      <c r="W65" s="27" t="n"/>
    </row>
    <row r="66" ht="22" customHeight="1">
      <c r="A66" s="29" t="n"/>
      <c r="B66" s="27" t="n"/>
      <c r="C66" s="27" t="n"/>
      <c r="D66" s="27" t="n"/>
      <c r="E66" s="27" t="n"/>
      <c r="F66" s="27" t="n"/>
      <c r="G66" s="28" t="n"/>
      <c r="H66" s="27" t="n"/>
      <c r="I66" s="29" t="n"/>
      <c r="J66" s="30" t="n"/>
      <c r="K66" s="29" t="n"/>
      <c r="L66" s="31">
        <f>IFERROR(INDEX(Listas!$G$14:$G$21,MATCH($B66,Listas!$F$14:$F$21,0)),"")</f>
        <v/>
      </c>
      <c r="M66" s="32">
        <f>IF(OR($G66="",$K66=""),"",MIN($K66*12,MAX(0,DATEDIF($G66,Listas!$N$2,"m"))))</f>
        <v/>
      </c>
      <c r="N66" s="33">
        <f>IF(OR($J66="",$M66=""),"",MIN($J66,ROUND($J66*($L66/12)*$M66,2)))</f>
        <v/>
      </c>
      <c r="O66" s="33">
        <f>IF($J66="","",$J66-IF($N66="",0,$N66))</f>
        <v/>
      </c>
      <c r="P66" s="27" t="n"/>
      <c r="Q66" s="27" t="n"/>
      <c r="R66" s="27" t="n"/>
      <c r="S66" s="32">
        <f>IFERROR(INDEX(Listas!$B$2:$B$40,MATCH($R66,Listas!$A$2:$A$40,0)),"")</f>
        <v/>
      </c>
      <c r="T66" s="27" t="n"/>
      <c r="U66" s="28" t="n"/>
      <c r="V66" s="29" t="n"/>
      <c r="W66" s="27" t="n"/>
    </row>
    <row r="67" ht="22" customHeight="1">
      <c r="A67" s="29" t="n"/>
      <c r="B67" s="27" t="n"/>
      <c r="C67" s="27" t="n"/>
      <c r="D67" s="27" t="n"/>
      <c r="E67" s="27" t="n"/>
      <c r="F67" s="27" t="n"/>
      <c r="G67" s="28" t="n"/>
      <c r="H67" s="27" t="n"/>
      <c r="I67" s="29" t="n"/>
      <c r="J67" s="30" t="n"/>
      <c r="K67" s="29" t="n"/>
      <c r="L67" s="31">
        <f>IFERROR(INDEX(Listas!$G$14:$G$21,MATCH($B67,Listas!$F$14:$F$21,0)),"")</f>
        <v/>
      </c>
      <c r="M67" s="32">
        <f>IF(OR($G67="",$K67=""),"",MIN($K67*12,MAX(0,DATEDIF($G67,Listas!$N$2,"m"))))</f>
        <v/>
      </c>
      <c r="N67" s="33">
        <f>IF(OR($J67="",$M67=""),"",MIN($J67,ROUND($J67*($L67/12)*$M67,2)))</f>
        <v/>
      </c>
      <c r="O67" s="33">
        <f>IF($J67="","",$J67-IF($N67="",0,$N67))</f>
        <v/>
      </c>
      <c r="P67" s="27" t="n"/>
      <c r="Q67" s="27" t="n"/>
      <c r="R67" s="27" t="n"/>
      <c r="S67" s="32">
        <f>IFERROR(INDEX(Listas!$B$2:$B$40,MATCH($R67,Listas!$A$2:$A$40,0)),"")</f>
        <v/>
      </c>
      <c r="T67" s="27" t="n"/>
      <c r="U67" s="28" t="n"/>
      <c r="V67" s="29" t="n"/>
      <c r="W67" s="27" t="n"/>
    </row>
    <row r="68" ht="22" customHeight="1">
      <c r="A68" s="29" t="n"/>
      <c r="B68" s="27" t="n"/>
      <c r="C68" s="27" t="n"/>
      <c r="D68" s="27" t="n"/>
      <c r="E68" s="27" t="n"/>
      <c r="F68" s="27" t="n"/>
      <c r="G68" s="28" t="n"/>
      <c r="H68" s="27" t="n"/>
      <c r="I68" s="29" t="n"/>
      <c r="J68" s="30" t="n"/>
      <c r="K68" s="29" t="n"/>
      <c r="L68" s="31">
        <f>IFERROR(INDEX(Listas!$G$14:$G$21,MATCH($B68,Listas!$F$14:$F$21,0)),"")</f>
        <v/>
      </c>
      <c r="M68" s="32">
        <f>IF(OR($G68="",$K68=""),"",MIN($K68*12,MAX(0,DATEDIF($G68,Listas!$N$2,"m"))))</f>
        <v/>
      </c>
      <c r="N68" s="33">
        <f>IF(OR($J68="",$M68=""),"",MIN($J68,ROUND($J68*($L68/12)*$M68,2)))</f>
        <v/>
      </c>
      <c r="O68" s="33">
        <f>IF($J68="","",$J68-IF($N68="",0,$N68))</f>
        <v/>
      </c>
      <c r="P68" s="27" t="n"/>
      <c r="Q68" s="27" t="n"/>
      <c r="R68" s="27" t="n"/>
      <c r="S68" s="32">
        <f>IFERROR(INDEX(Listas!$B$2:$B$40,MATCH($R68,Listas!$A$2:$A$40,0)),"")</f>
        <v/>
      </c>
      <c r="T68" s="27" t="n"/>
      <c r="U68" s="28" t="n"/>
      <c r="V68" s="29" t="n"/>
      <c r="W68" s="27" t="n"/>
    </row>
    <row r="69" ht="22" customHeight="1">
      <c r="A69" s="29" t="n"/>
      <c r="B69" s="27" t="n"/>
      <c r="C69" s="27" t="n"/>
      <c r="D69" s="27" t="n"/>
      <c r="E69" s="27" t="n"/>
      <c r="F69" s="27" t="n"/>
      <c r="G69" s="28" t="n"/>
      <c r="H69" s="27" t="n"/>
      <c r="I69" s="29" t="n"/>
      <c r="J69" s="30" t="n"/>
      <c r="K69" s="29" t="n"/>
      <c r="L69" s="31">
        <f>IFERROR(INDEX(Listas!$G$14:$G$21,MATCH($B69,Listas!$F$14:$F$21,0)),"")</f>
        <v/>
      </c>
      <c r="M69" s="32">
        <f>IF(OR($G69="",$K69=""),"",MIN($K69*12,MAX(0,DATEDIF($G69,Listas!$N$2,"m"))))</f>
        <v/>
      </c>
      <c r="N69" s="33">
        <f>IF(OR($J69="",$M69=""),"",MIN($J69,ROUND($J69*($L69/12)*$M69,2)))</f>
        <v/>
      </c>
      <c r="O69" s="33">
        <f>IF($J69="","",$J69-IF($N69="",0,$N69))</f>
        <v/>
      </c>
      <c r="P69" s="27" t="n"/>
      <c r="Q69" s="27" t="n"/>
      <c r="R69" s="27" t="n"/>
      <c r="S69" s="32">
        <f>IFERROR(INDEX(Listas!$B$2:$B$40,MATCH($R69,Listas!$A$2:$A$40,0)),"")</f>
        <v/>
      </c>
      <c r="T69" s="27" t="n"/>
      <c r="U69" s="28" t="n"/>
      <c r="V69" s="29" t="n"/>
      <c r="W69" s="27" t="n"/>
    </row>
    <row r="70" ht="22" customHeight="1">
      <c r="A70" s="29" t="n"/>
      <c r="B70" s="27" t="n"/>
      <c r="C70" s="27" t="n"/>
      <c r="D70" s="27" t="n"/>
      <c r="E70" s="27" t="n"/>
      <c r="F70" s="27" t="n"/>
      <c r="G70" s="28" t="n"/>
      <c r="H70" s="27" t="n"/>
      <c r="I70" s="29" t="n"/>
      <c r="J70" s="30" t="n"/>
      <c r="K70" s="29" t="n"/>
      <c r="L70" s="31">
        <f>IFERROR(INDEX(Listas!$G$14:$G$21,MATCH($B70,Listas!$F$14:$F$21,0)),"")</f>
        <v/>
      </c>
      <c r="M70" s="32">
        <f>IF(OR($G70="",$K70=""),"",MIN($K70*12,MAX(0,DATEDIF($G70,Listas!$N$2,"m"))))</f>
        <v/>
      </c>
      <c r="N70" s="33">
        <f>IF(OR($J70="",$M70=""),"",MIN($J70,ROUND($J70*($L70/12)*$M70,2)))</f>
        <v/>
      </c>
      <c r="O70" s="33">
        <f>IF($J70="","",$J70-IF($N70="",0,$N70))</f>
        <v/>
      </c>
      <c r="P70" s="27" t="n"/>
      <c r="Q70" s="27" t="n"/>
      <c r="R70" s="27" t="n"/>
      <c r="S70" s="32">
        <f>IFERROR(INDEX(Listas!$B$2:$B$40,MATCH($R70,Listas!$A$2:$A$40,0)),"")</f>
        <v/>
      </c>
      <c r="T70" s="27" t="n"/>
      <c r="U70" s="28" t="n"/>
      <c r="V70" s="29" t="n"/>
      <c r="W70" s="27" t="n"/>
    </row>
    <row r="71" ht="22" customHeight="1">
      <c r="A71" s="29" t="n"/>
      <c r="B71" s="27" t="n"/>
      <c r="C71" s="27" t="n"/>
      <c r="D71" s="27" t="n"/>
      <c r="E71" s="27" t="n"/>
      <c r="F71" s="27" t="n"/>
      <c r="G71" s="28" t="n"/>
      <c r="H71" s="27" t="n"/>
      <c r="I71" s="29" t="n"/>
      <c r="J71" s="30" t="n"/>
      <c r="K71" s="29" t="n"/>
      <c r="L71" s="31">
        <f>IFERROR(INDEX(Listas!$G$14:$G$21,MATCH($B71,Listas!$F$14:$F$21,0)),"")</f>
        <v/>
      </c>
      <c r="M71" s="32">
        <f>IF(OR($G71="",$K71=""),"",MIN($K71*12,MAX(0,DATEDIF($G71,Listas!$N$2,"m"))))</f>
        <v/>
      </c>
      <c r="N71" s="33">
        <f>IF(OR($J71="",$M71=""),"",MIN($J71,ROUND($J71*($L71/12)*$M71,2)))</f>
        <v/>
      </c>
      <c r="O71" s="33">
        <f>IF($J71="","",$J71-IF($N71="",0,$N71))</f>
        <v/>
      </c>
      <c r="P71" s="27" t="n"/>
      <c r="Q71" s="27" t="n"/>
      <c r="R71" s="27" t="n"/>
      <c r="S71" s="32">
        <f>IFERROR(INDEX(Listas!$B$2:$B$40,MATCH($R71,Listas!$A$2:$A$40,0)),"")</f>
        <v/>
      </c>
      <c r="T71" s="27" t="n"/>
      <c r="U71" s="28" t="n"/>
      <c r="V71" s="29" t="n"/>
      <c r="W71" s="27" t="n"/>
    </row>
    <row r="72" ht="22" customHeight="1">
      <c r="A72" s="29" t="n"/>
      <c r="B72" s="27" t="n"/>
      <c r="C72" s="27" t="n"/>
      <c r="D72" s="27" t="n"/>
      <c r="E72" s="27" t="n"/>
      <c r="F72" s="27" t="n"/>
      <c r="G72" s="28" t="n"/>
      <c r="H72" s="27" t="n"/>
      <c r="I72" s="29" t="n"/>
      <c r="J72" s="30" t="n"/>
      <c r="K72" s="29" t="n"/>
      <c r="L72" s="31">
        <f>IFERROR(INDEX(Listas!$G$14:$G$21,MATCH($B72,Listas!$F$14:$F$21,0)),"")</f>
        <v/>
      </c>
      <c r="M72" s="32">
        <f>IF(OR($G72="",$K72=""),"",MIN($K72*12,MAX(0,DATEDIF($G72,Listas!$N$2,"m"))))</f>
        <v/>
      </c>
      <c r="N72" s="33">
        <f>IF(OR($J72="",$M72=""),"",MIN($J72,ROUND($J72*($L72/12)*$M72,2)))</f>
        <v/>
      </c>
      <c r="O72" s="33">
        <f>IF($J72="","",$J72-IF($N72="",0,$N72))</f>
        <v/>
      </c>
      <c r="P72" s="27" t="n"/>
      <c r="Q72" s="27" t="n"/>
      <c r="R72" s="27" t="n"/>
      <c r="S72" s="32">
        <f>IFERROR(INDEX(Listas!$B$2:$B$40,MATCH($R72,Listas!$A$2:$A$40,0)),"")</f>
        <v/>
      </c>
      <c r="T72" s="27" t="n"/>
      <c r="U72" s="28" t="n"/>
      <c r="V72" s="29" t="n"/>
      <c r="W72" s="27" t="n"/>
    </row>
    <row r="73" ht="22" customHeight="1">
      <c r="A73" s="29" t="n"/>
      <c r="B73" s="27" t="n"/>
      <c r="C73" s="27" t="n"/>
      <c r="D73" s="27" t="n"/>
      <c r="E73" s="27" t="n"/>
      <c r="F73" s="27" t="n"/>
      <c r="G73" s="28" t="n"/>
      <c r="H73" s="27" t="n"/>
      <c r="I73" s="29" t="n"/>
      <c r="J73" s="30" t="n"/>
      <c r="K73" s="29" t="n"/>
      <c r="L73" s="31">
        <f>IFERROR(INDEX(Listas!$G$14:$G$21,MATCH($B73,Listas!$F$14:$F$21,0)),"")</f>
        <v/>
      </c>
      <c r="M73" s="32">
        <f>IF(OR($G73="",$K73=""),"",MIN($K73*12,MAX(0,DATEDIF($G73,Listas!$N$2,"m"))))</f>
        <v/>
      </c>
      <c r="N73" s="33">
        <f>IF(OR($J73="",$M73=""),"",MIN($J73,ROUND($J73*($L73/12)*$M73,2)))</f>
        <v/>
      </c>
      <c r="O73" s="33">
        <f>IF($J73="","",$J73-IF($N73="",0,$N73))</f>
        <v/>
      </c>
      <c r="P73" s="27" t="n"/>
      <c r="Q73" s="27" t="n"/>
      <c r="R73" s="27" t="n"/>
      <c r="S73" s="32">
        <f>IFERROR(INDEX(Listas!$B$2:$B$40,MATCH($R73,Listas!$A$2:$A$40,0)),"")</f>
        <v/>
      </c>
      <c r="T73" s="27" t="n"/>
      <c r="U73" s="28" t="n"/>
      <c r="V73" s="29" t="n"/>
      <c r="W73" s="27" t="n"/>
    </row>
    <row r="74" ht="22" customHeight="1">
      <c r="A74" s="29" t="n"/>
      <c r="B74" s="27" t="n"/>
      <c r="C74" s="27" t="n"/>
      <c r="D74" s="27" t="n"/>
      <c r="E74" s="27" t="n"/>
      <c r="F74" s="27" t="n"/>
      <c r="G74" s="28" t="n"/>
      <c r="H74" s="27" t="n"/>
      <c r="I74" s="29" t="n"/>
      <c r="J74" s="30" t="n"/>
      <c r="K74" s="29" t="n"/>
      <c r="L74" s="31">
        <f>IFERROR(INDEX(Listas!$G$14:$G$21,MATCH($B74,Listas!$F$14:$F$21,0)),"")</f>
        <v/>
      </c>
      <c r="M74" s="32">
        <f>IF(OR($G74="",$K74=""),"",MIN($K74*12,MAX(0,DATEDIF($G74,Listas!$N$2,"m"))))</f>
        <v/>
      </c>
      <c r="N74" s="33">
        <f>IF(OR($J74="",$M74=""),"",MIN($J74,ROUND($J74*($L74/12)*$M74,2)))</f>
        <v/>
      </c>
      <c r="O74" s="33">
        <f>IF($J74="","",$J74-IF($N74="",0,$N74))</f>
        <v/>
      </c>
      <c r="P74" s="27" t="n"/>
      <c r="Q74" s="27" t="n"/>
      <c r="R74" s="27" t="n"/>
      <c r="S74" s="32">
        <f>IFERROR(INDEX(Listas!$B$2:$B$40,MATCH($R74,Listas!$A$2:$A$40,0)),"")</f>
        <v/>
      </c>
      <c r="T74" s="27" t="n"/>
      <c r="U74" s="28" t="n"/>
      <c r="V74" s="29" t="n"/>
      <c r="W74" s="27" t="n"/>
    </row>
    <row r="75" ht="22" customHeight="1">
      <c r="A75" s="29" t="n"/>
      <c r="B75" s="27" t="n"/>
      <c r="C75" s="27" t="n"/>
      <c r="D75" s="27" t="n"/>
      <c r="E75" s="27" t="n"/>
      <c r="F75" s="27" t="n"/>
      <c r="G75" s="28" t="n"/>
      <c r="H75" s="27" t="n"/>
      <c r="I75" s="29" t="n"/>
      <c r="J75" s="30" t="n"/>
      <c r="K75" s="29" t="n"/>
      <c r="L75" s="31">
        <f>IFERROR(INDEX(Listas!$G$14:$G$21,MATCH($B75,Listas!$F$14:$F$21,0)),"")</f>
        <v/>
      </c>
      <c r="M75" s="32">
        <f>IF(OR($G75="",$K75=""),"",MIN($K75*12,MAX(0,DATEDIF($G75,Listas!$N$2,"m"))))</f>
        <v/>
      </c>
      <c r="N75" s="33">
        <f>IF(OR($J75="",$M75=""),"",MIN($J75,ROUND($J75*($L75/12)*$M75,2)))</f>
        <v/>
      </c>
      <c r="O75" s="33">
        <f>IF($J75="","",$J75-IF($N75="",0,$N75))</f>
        <v/>
      </c>
      <c r="P75" s="27" t="n"/>
      <c r="Q75" s="27" t="n"/>
      <c r="R75" s="27" t="n"/>
      <c r="S75" s="32">
        <f>IFERROR(INDEX(Listas!$B$2:$B$40,MATCH($R75,Listas!$A$2:$A$40,0)),"")</f>
        <v/>
      </c>
      <c r="T75" s="27" t="n"/>
      <c r="U75" s="28" t="n"/>
      <c r="V75" s="29" t="n"/>
      <c r="W75" s="27" t="n"/>
    </row>
    <row r="76" ht="22" customHeight="1">
      <c r="A76" s="29" t="n"/>
      <c r="B76" s="27" t="n"/>
      <c r="C76" s="27" t="n"/>
      <c r="D76" s="27" t="n"/>
      <c r="E76" s="27" t="n"/>
      <c r="F76" s="27" t="n"/>
      <c r="G76" s="28" t="n"/>
      <c r="H76" s="27" t="n"/>
      <c r="I76" s="29" t="n"/>
      <c r="J76" s="30" t="n"/>
      <c r="K76" s="29" t="n"/>
      <c r="L76" s="31">
        <f>IFERROR(INDEX(Listas!$G$14:$G$21,MATCH($B76,Listas!$F$14:$F$21,0)),"")</f>
        <v/>
      </c>
      <c r="M76" s="32">
        <f>IF(OR($G76="",$K76=""),"",MIN($K76*12,MAX(0,DATEDIF($G76,Listas!$N$2,"m"))))</f>
        <v/>
      </c>
      <c r="N76" s="33">
        <f>IF(OR($J76="",$M76=""),"",MIN($J76,ROUND($J76*($L76/12)*$M76,2)))</f>
        <v/>
      </c>
      <c r="O76" s="33">
        <f>IF($J76="","",$J76-IF($N76="",0,$N76))</f>
        <v/>
      </c>
      <c r="P76" s="27" t="n"/>
      <c r="Q76" s="27" t="n"/>
      <c r="R76" s="27" t="n"/>
      <c r="S76" s="32">
        <f>IFERROR(INDEX(Listas!$B$2:$B$40,MATCH($R76,Listas!$A$2:$A$40,0)),"")</f>
        <v/>
      </c>
      <c r="T76" s="27" t="n"/>
      <c r="U76" s="28" t="n"/>
      <c r="V76" s="29" t="n"/>
      <c r="W76" s="27" t="n"/>
    </row>
    <row r="77" ht="22" customHeight="1">
      <c r="A77" s="29" t="n"/>
      <c r="B77" s="27" t="n"/>
      <c r="C77" s="27" t="n"/>
      <c r="D77" s="27" t="n"/>
      <c r="E77" s="27" t="n"/>
      <c r="F77" s="27" t="n"/>
      <c r="G77" s="28" t="n"/>
      <c r="H77" s="27" t="n"/>
      <c r="I77" s="29" t="n"/>
      <c r="J77" s="30" t="n"/>
      <c r="K77" s="29" t="n"/>
      <c r="L77" s="31">
        <f>IFERROR(INDEX(Listas!$G$14:$G$21,MATCH($B77,Listas!$F$14:$F$21,0)),"")</f>
        <v/>
      </c>
      <c r="M77" s="32">
        <f>IF(OR($G77="",$K77=""),"",MIN($K77*12,MAX(0,DATEDIF($G77,Listas!$N$2,"m"))))</f>
        <v/>
      </c>
      <c r="N77" s="33">
        <f>IF(OR($J77="",$M77=""),"",MIN($J77,ROUND($J77*($L77/12)*$M77,2)))</f>
        <v/>
      </c>
      <c r="O77" s="33">
        <f>IF($J77="","",$J77-IF($N77="",0,$N77))</f>
        <v/>
      </c>
      <c r="P77" s="27" t="n"/>
      <c r="Q77" s="27" t="n"/>
      <c r="R77" s="27" t="n"/>
      <c r="S77" s="32">
        <f>IFERROR(INDEX(Listas!$B$2:$B$40,MATCH($R77,Listas!$A$2:$A$40,0)),"")</f>
        <v/>
      </c>
      <c r="T77" s="27" t="n"/>
      <c r="U77" s="28" t="n"/>
      <c r="V77" s="29" t="n"/>
      <c r="W77" s="27" t="n"/>
    </row>
    <row r="78" ht="22" customHeight="1">
      <c r="A78" s="29" t="n"/>
      <c r="B78" s="27" t="n"/>
      <c r="C78" s="27" t="n"/>
      <c r="D78" s="27" t="n"/>
      <c r="E78" s="27" t="n"/>
      <c r="F78" s="27" t="n"/>
      <c r="G78" s="28" t="n"/>
      <c r="H78" s="27" t="n"/>
      <c r="I78" s="29" t="n"/>
      <c r="J78" s="30" t="n"/>
      <c r="K78" s="29" t="n"/>
      <c r="L78" s="31">
        <f>IFERROR(INDEX(Listas!$G$14:$G$21,MATCH($B78,Listas!$F$14:$F$21,0)),"")</f>
        <v/>
      </c>
      <c r="M78" s="32">
        <f>IF(OR($G78="",$K78=""),"",MIN($K78*12,MAX(0,DATEDIF($G78,Listas!$N$2,"m"))))</f>
        <v/>
      </c>
      <c r="N78" s="33">
        <f>IF(OR($J78="",$M78=""),"",MIN($J78,ROUND($J78*($L78/12)*$M78,2)))</f>
        <v/>
      </c>
      <c r="O78" s="33">
        <f>IF($J78="","",$J78-IF($N78="",0,$N78))</f>
        <v/>
      </c>
      <c r="P78" s="27" t="n"/>
      <c r="Q78" s="27" t="n"/>
      <c r="R78" s="27" t="n"/>
      <c r="S78" s="32">
        <f>IFERROR(INDEX(Listas!$B$2:$B$40,MATCH($R78,Listas!$A$2:$A$40,0)),"")</f>
        <v/>
      </c>
      <c r="T78" s="27" t="n"/>
      <c r="U78" s="28" t="n"/>
      <c r="V78" s="29" t="n"/>
      <c r="W78" s="27" t="n"/>
    </row>
    <row r="79" ht="22" customHeight="1">
      <c r="A79" s="29" t="n"/>
      <c r="B79" s="27" t="n"/>
      <c r="C79" s="27" t="n"/>
      <c r="D79" s="27" t="n"/>
      <c r="E79" s="27" t="n"/>
      <c r="F79" s="27" t="n"/>
      <c r="G79" s="28" t="n"/>
      <c r="H79" s="27" t="n"/>
      <c r="I79" s="29" t="n"/>
      <c r="J79" s="30" t="n"/>
      <c r="K79" s="29" t="n"/>
      <c r="L79" s="31">
        <f>IFERROR(INDEX(Listas!$G$14:$G$21,MATCH($B79,Listas!$F$14:$F$21,0)),"")</f>
        <v/>
      </c>
      <c r="M79" s="32">
        <f>IF(OR($G79="",$K79=""),"",MIN($K79*12,MAX(0,DATEDIF($G79,Listas!$N$2,"m"))))</f>
        <v/>
      </c>
      <c r="N79" s="33">
        <f>IF(OR($J79="",$M79=""),"",MIN($J79,ROUND($J79*($L79/12)*$M79,2)))</f>
        <v/>
      </c>
      <c r="O79" s="33">
        <f>IF($J79="","",$J79-IF($N79="",0,$N79))</f>
        <v/>
      </c>
      <c r="P79" s="27" t="n"/>
      <c r="Q79" s="27" t="n"/>
      <c r="R79" s="27" t="n"/>
      <c r="S79" s="32">
        <f>IFERROR(INDEX(Listas!$B$2:$B$40,MATCH($R79,Listas!$A$2:$A$40,0)),"")</f>
        <v/>
      </c>
      <c r="T79" s="27" t="n"/>
      <c r="U79" s="28" t="n"/>
      <c r="V79" s="29" t="n"/>
      <c r="W79" s="27" t="n"/>
    </row>
    <row r="80" ht="22" customHeight="1">
      <c r="A80" s="29" t="n"/>
      <c r="B80" s="27" t="n"/>
      <c r="C80" s="27" t="n"/>
      <c r="D80" s="27" t="n"/>
      <c r="E80" s="27" t="n"/>
      <c r="F80" s="27" t="n"/>
      <c r="G80" s="28" t="n"/>
      <c r="H80" s="27" t="n"/>
      <c r="I80" s="29" t="n"/>
      <c r="J80" s="30" t="n"/>
      <c r="K80" s="29" t="n"/>
      <c r="L80" s="31">
        <f>IFERROR(INDEX(Listas!$G$14:$G$21,MATCH($B80,Listas!$F$14:$F$21,0)),"")</f>
        <v/>
      </c>
      <c r="M80" s="32">
        <f>IF(OR($G80="",$K80=""),"",MIN($K80*12,MAX(0,DATEDIF($G80,Listas!$N$2,"m"))))</f>
        <v/>
      </c>
      <c r="N80" s="33">
        <f>IF(OR($J80="",$M80=""),"",MIN($J80,ROUND($J80*($L80/12)*$M80,2)))</f>
        <v/>
      </c>
      <c r="O80" s="33">
        <f>IF($J80="","",$J80-IF($N80="",0,$N80))</f>
        <v/>
      </c>
      <c r="P80" s="27" t="n"/>
      <c r="Q80" s="27" t="n"/>
      <c r="R80" s="27" t="n"/>
      <c r="S80" s="32">
        <f>IFERROR(INDEX(Listas!$B$2:$B$40,MATCH($R80,Listas!$A$2:$A$40,0)),"")</f>
        <v/>
      </c>
      <c r="T80" s="27" t="n"/>
      <c r="U80" s="28" t="n"/>
      <c r="V80" s="29" t="n"/>
      <c r="W80" s="27" t="n"/>
    </row>
    <row r="81" ht="22" customHeight="1">
      <c r="A81" s="29" t="n"/>
      <c r="B81" s="27" t="n"/>
      <c r="C81" s="27" t="n"/>
      <c r="D81" s="27" t="n"/>
      <c r="E81" s="27" t="n"/>
      <c r="F81" s="27" t="n"/>
      <c r="G81" s="28" t="n"/>
      <c r="H81" s="27" t="n"/>
      <c r="I81" s="29" t="n"/>
      <c r="J81" s="30" t="n"/>
      <c r="K81" s="29" t="n"/>
      <c r="L81" s="31">
        <f>IFERROR(INDEX(Listas!$G$14:$G$21,MATCH($B81,Listas!$F$14:$F$21,0)),"")</f>
        <v/>
      </c>
      <c r="M81" s="32">
        <f>IF(OR($G81="",$K81=""),"",MIN($K81*12,MAX(0,DATEDIF($G81,Listas!$N$2,"m"))))</f>
        <v/>
      </c>
      <c r="N81" s="33">
        <f>IF(OR($J81="",$M81=""),"",MIN($J81,ROUND($J81*($L81/12)*$M81,2)))</f>
        <v/>
      </c>
      <c r="O81" s="33">
        <f>IF($J81="","",$J81-IF($N81="",0,$N81))</f>
        <v/>
      </c>
      <c r="P81" s="27" t="n"/>
      <c r="Q81" s="27" t="n"/>
      <c r="R81" s="27" t="n"/>
      <c r="S81" s="32">
        <f>IFERROR(INDEX(Listas!$B$2:$B$40,MATCH($R81,Listas!$A$2:$A$40,0)),"")</f>
        <v/>
      </c>
      <c r="T81" s="27" t="n"/>
      <c r="U81" s="28" t="n"/>
      <c r="V81" s="29" t="n"/>
      <c r="W81" s="27" t="n"/>
    </row>
    <row r="82" ht="22" customHeight="1">
      <c r="A82" s="29" t="n"/>
      <c r="B82" s="27" t="n"/>
      <c r="C82" s="27" t="n"/>
      <c r="D82" s="27" t="n"/>
      <c r="E82" s="27" t="n"/>
      <c r="F82" s="27" t="n"/>
      <c r="G82" s="28" t="n"/>
      <c r="H82" s="27" t="n"/>
      <c r="I82" s="29" t="n"/>
      <c r="J82" s="30" t="n"/>
      <c r="K82" s="29" t="n"/>
      <c r="L82" s="31">
        <f>IFERROR(INDEX(Listas!$G$14:$G$21,MATCH($B82,Listas!$F$14:$F$21,0)),"")</f>
        <v/>
      </c>
      <c r="M82" s="32">
        <f>IF(OR($G82="",$K82=""),"",MIN($K82*12,MAX(0,DATEDIF($G82,Listas!$N$2,"m"))))</f>
        <v/>
      </c>
      <c r="N82" s="33">
        <f>IF(OR($J82="",$M82=""),"",MIN($J82,ROUND($J82*($L82/12)*$M82,2)))</f>
        <v/>
      </c>
      <c r="O82" s="33">
        <f>IF($J82="","",$J82-IF($N82="",0,$N82))</f>
        <v/>
      </c>
      <c r="P82" s="27" t="n"/>
      <c r="Q82" s="27" t="n"/>
      <c r="R82" s="27" t="n"/>
      <c r="S82" s="32">
        <f>IFERROR(INDEX(Listas!$B$2:$B$40,MATCH($R82,Listas!$A$2:$A$40,0)),"")</f>
        <v/>
      </c>
      <c r="T82" s="27" t="n"/>
      <c r="U82" s="28" t="n"/>
      <c r="V82" s="29" t="n"/>
      <c r="W82" s="27" t="n"/>
    </row>
    <row r="83" ht="22" customHeight="1">
      <c r="A83" s="29" t="n"/>
      <c r="B83" s="27" t="n"/>
      <c r="C83" s="27" t="n"/>
      <c r="D83" s="27" t="n"/>
      <c r="E83" s="27" t="n"/>
      <c r="F83" s="27" t="n"/>
      <c r="G83" s="28" t="n"/>
      <c r="H83" s="27" t="n"/>
      <c r="I83" s="29" t="n"/>
      <c r="J83" s="30" t="n"/>
      <c r="K83" s="29" t="n"/>
      <c r="L83" s="31">
        <f>IFERROR(INDEX(Listas!$G$14:$G$21,MATCH($B83,Listas!$F$14:$F$21,0)),"")</f>
        <v/>
      </c>
      <c r="M83" s="32">
        <f>IF(OR($G83="",$K83=""),"",MIN($K83*12,MAX(0,DATEDIF($G83,Listas!$N$2,"m"))))</f>
        <v/>
      </c>
      <c r="N83" s="33">
        <f>IF(OR($J83="",$M83=""),"",MIN($J83,ROUND($J83*($L83/12)*$M83,2)))</f>
        <v/>
      </c>
      <c r="O83" s="33">
        <f>IF($J83="","",$J83-IF($N83="",0,$N83))</f>
        <v/>
      </c>
      <c r="P83" s="27" t="n"/>
      <c r="Q83" s="27" t="n"/>
      <c r="R83" s="27" t="n"/>
      <c r="S83" s="32">
        <f>IFERROR(INDEX(Listas!$B$2:$B$40,MATCH($R83,Listas!$A$2:$A$40,0)),"")</f>
        <v/>
      </c>
      <c r="T83" s="27" t="n"/>
      <c r="U83" s="28" t="n"/>
      <c r="V83" s="29" t="n"/>
      <c r="W83" s="27" t="n"/>
    </row>
    <row r="84" ht="22" customHeight="1">
      <c r="A84" s="29" t="n"/>
      <c r="B84" s="27" t="n"/>
      <c r="C84" s="27" t="n"/>
      <c r="D84" s="27" t="n"/>
      <c r="E84" s="27" t="n"/>
      <c r="F84" s="27" t="n"/>
      <c r="G84" s="28" t="n"/>
      <c r="H84" s="27" t="n"/>
      <c r="I84" s="29" t="n"/>
      <c r="J84" s="30" t="n"/>
      <c r="K84" s="29" t="n"/>
      <c r="L84" s="31">
        <f>IFERROR(INDEX(Listas!$G$14:$G$21,MATCH($B84,Listas!$F$14:$F$21,0)),"")</f>
        <v/>
      </c>
      <c r="M84" s="32">
        <f>IF(OR($G84="",$K84=""),"",MIN($K84*12,MAX(0,DATEDIF($G84,Listas!$N$2,"m"))))</f>
        <v/>
      </c>
      <c r="N84" s="33">
        <f>IF(OR($J84="",$M84=""),"",MIN($J84,ROUND($J84*($L84/12)*$M84,2)))</f>
        <v/>
      </c>
      <c r="O84" s="33">
        <f>IF($J84="","",$J84-IF($N84="",0,$N84))</f>
        <v/>
      </c>
      <c r="P84" s="27" t="n"/>
      <c r="Q84" s="27" t="n"/>
      <c r="R84" s="27" t="n"/>
      <c r="S84" s="32">
        <f>IFERROR(INDEX(Listas!$B$2:$B$40,MATCH($R84,Listas!$A$2:$A$40,0)),"")</f>
        <v/>
      </c>
      <c r="T84" s="27" t="n"/>
      <c r="U84" s="28" t="n"/>
      <c r="V84" s="29" t="n"/>
      <c r="W84" s="27" t="n"/>
    </row>
    <row r="85" ht="22" customHeight="1">
      <c r="A85" s="29" t="n"/>
      <c r="B85" s="27" t="n"/>
      <c r="C85" s="27" t="n"/>
      <c r="D85" s="27" t="n"/>
      <c r="E85" s="27" t="n"/>
      <c r="F85" s="27" t="n"/>
      <c r="G85" s="28" t="n"/>
      <c r="H85" s="27" t="n"/>
      <c r="I85" s="29" t="n"/>
      <c r="J85" s="30" t="n"/>
      <c r="K85" s="29" t="n"/>
      <c r="L85" s="31">
        <f>IFERROR(INDEX(Listas!$G$14:$G$21,MATCH($B85,Listas!$F$14:$F$21,0)),"")</f>
        <v/>
      </c>
      <c r="M85" s="32">
        <f>IF(OR($G85="",$K85=""),"",MIN($K85*12,MAX(0,DATEDIF($G85,Listas!$N$2,"m"))))</f>
        <v/>
      </c>
      <c r="N85" s="33">
        <f>IF(OR($J85="",$M85=""),"",MIN($J85,ROUND($J85*($L85/12)*$M85,2)))</f>
        <v/>
      </c>
      <c r="O85" s="33">
        <f>IF($J85="","",$J85-IF($N85="",0,$N85))</f>
        <v/>
      </c>
      <c r="P85" s="27" t="n"/>
      <c r="Q85" s="27" t="n"/>
      <c r="R85" s="27" t="n"/>
      <c r="S85" s="32">
        <f>IFERROR(INDEX(Listas!$B$2:$B$40,MATCH($R85,Listas!$A$2:$A$40,0)),"")</f>
        <v/>
      </c>
      <c r="T85" s="27" t="n"/>
      <c r="U85" s="28" t="n"/>
      <c r="V85" s="29" t="n"/>
      <c r="W85" s="27" t="n"/>
    </row>
    <row r="86" ht="22" customHeight="1">
      <c r="A86" s="29" t="n"/>
      <c r="B86" s="27" t="n"/>
      <c r="C86" s="27" t="n"/>
      <c r="D86" s="27" t="n"/>
      <c r="E86" s="27" t="n"/>
      <c r="F86" s="27" t="n"/>
      <c r="G86" s="28" t="n"/>
      <c r="H86" s="27" t="n"/>
      <c r="I86" s="29" t="n"/>
      <c r="J86" s="30" t="n"/>
      <c r="K86" s="29" t="n"/>
      <c r="L86" s="31">
        <f>IFERROR(INDEX(Listas!$G$14:$G$21,MATCH($B86,Listas!$F$14:$F$21,0)),"")</f>
        <v/>
      </c>
      <c r="M86" s="32">
        <f>IF(OR($G86="",$K86=""),"",MIN($K86*12,MAX(0,DATEDIF($G86,Listas!$N$2,"m"))))</f>
        <v/>
      </c>
      <c r="N86" s="33">
        <f>IF(OR($J86="",$M86=""),"",MIN($J86,ROUND($J86*($L86/12)*$M86,2)))</f>
        <v/>
      </c>
      <c r="O86" s="33">
        <f>IF($J86="","",$J86-IF($N86="",0,$N86))</f>
        <v/>
      </c>
      <c r="P86" s="27" t="n"/>
      <c r="Q86" s="27" t="n"/>
      <c r="R86" s="27" t="n"/>
      <c r="S86" s="32">
        <f>IFERROR(INDEX(Listas!$B$2:$B$40,MATCH($R86,Listas!$A$2:$A$40,0)),"")</f>
        <v/>
      </c>
      <c r="T86" s="27" t="n"/>
      <c r="U86" s="28" t="n"/>
      <c r="V86" s="29" t="n"/>
      <c r="W86" s="27" t="n"/>
    </row>
    <row r="87" ht="22" customHeight="1">
      <c r="A87" s="29" t="n"/>
      <c r="B87" s="27" t="n"/>
      <c r="C87" s="27" t="n"/>
      <c r="D87" s="27" t="n"/>
      <c r="E87" s="27" t="n"/>
      <c r="F87" s="27" t="n"/>
      <c r="G87" s="28" t="n"/>
      <c r="H87" s="27" t="n"/>
      <c r="I87" s="29" t="n"/>
      <c r="J87" s="30" t="n"/>
      <c r="K87" s="29" t="n"/>
      <c r="L87" s="31">
        <f>IFERROR(INDEX(Listas!$G$14:$G$21,MATCH($B87,Listas!$F$14:$F$21,0)),"")</f>
        <v/>
      </c>
      <c r="M87" s="32">
        <f>IF(OR($G87="",$K87=""),"",MIN($K87*12,MAX(0,DATEDIF($G87,Listas!$N$2,"m"))))</f>
        <v/>
      </c>
      <c r="N87" s="33">
        <f>IF(OR($J87="",$M87=""),"",MIN($J87,ROUND($J87*($L87/12)*$M87,2)))</f>
        <v/>
      </c>
      <c r="O87" s="33">
        <f>IF($J87="","",$J87-IF($N87="",0,$N87))</f>
        <v/>
      </c>
      <c r="P87" s="27" t="n"/>
      <c r="Q87" s="27" t="n"/>
      <c r="R87" s="27" t="n"/>
      <c r="S87" s="32">
        <f>IFERROR(INDEX(Listas!$B$2:$B$40,MATCH($R87,Listas!$A$2:$A$40,0)),"")</f>
        <v/>
      </c>
      <c r="T87" s="27" t="n"/>
      <c r="U87" s="28" t="n"/>
      <c r="V87" s="29" t="n"/>
      <c r="W87" s="27" t="n"/>
    </row>
    <row r="88" ht="22" customHeight="1">
      <c r="A88" s="29" t="n"/>
      <c r="B88" s="27" t="n"/>
      <c r="C88" s="27" t="n"/>
      <c r="D88" s="27" t="n"/>
      <c r="E88" s="27" t="n"/>
      <c r="F88" s="27" t="n"/>
      <c r="G88" s="28" t="n"/>
      <c r="H88" s="27" t="n"/>
      <c r="I88" s="29" t="n"/>
      <c r="J88" s="30" t="n"/>
      <c r="K88" s="29" t="n"/>
      <c r="L88" s="31">
        <f>IFERROR(INDEX(Listas!$G$14:$G$21,MATCH($B88,Listas!$F$14:$F$21,0)),"")</f>
        <v/>
      </c>
      <c r="M88" s="32">
        <f>IF(OR($G88="",$K88=""),"",MIN($K88*12,MAX(0,DATEDIF($G88,Listas!$N$2,"m"))))</f>
        <v/>
      </c>
      <c r="N88" s="33">
        <f>IF(OR($J88="",$M88=""),"",MIN($J88,ROUND($J88*($L88/12)*$M88,2)))</f>
        <v/>
      </c>
      <c r="O88" s="33">
        <f>IF($J88="","",$J88-IF($N88="",0,$N88))</f>
        <v/>
      </c>
      <c r="P88" s="27" t="n"/>
      <c r="Q88" s="27" t="n"/>
      <c r="R88" s="27" t="n"/>
      <c r="S88" s="32">
        <f>IFERROR(INDEX(Listas!$B$2:$B$40,MATCH($R88,Listas!$A$2:$A$40,0)),"")</f>
        <v/>
      </c>
      <c r="T88" s="27" t="n"/>
      <c r="U88" s="28" t="n"/>
      <c r="V88" s="29" t="n"/>
      <c r="W88" s="27" t="n"/>
    </row>
    <row r="89" ht="22" customHeight="1">
      <c r="A89" s="29" t="n"/>
      <c r="B89" s="27" t="n"/>
      <c r="C89" s="27" t="n"/>
      <c r="D89" s="27" t="n"/>
      <c r="E89" s="27" t="n"/>
      <c r="F89" s="27" t="n"/>
      <c r="G89" s="28" t="n"/>
      <c r="H89" s="27" t="n"/>
      <c r="I89" s="29" t="n"/>
      <c r="J89" s="30" t="n"/>
      <c r="K89" s="29" t="n"/>
      <c r="L89" s="31">
        <f>IFERROR(INDEX(Listas!$G$14:$G$21,MATCH($B89,Listas!$F$14:$F$21,0)),"")</f>
        <v/>
      </c>
      <c r="M89" s="32">
        <f>IF(OR($G89="",$K89=""),"",MIN($K89*12,MAX(0,DATEDIF($G89,Listas!$N$2,"m"))))</f>
        <v/>
      </c>
      <c r="N89" s="33">
        <f>IF(OR($J89="",$M89=""),"",MIN($J89,ROUND($J89*($L89/12)*$M89,2)))</f>
        <v/>
      </c>
      <c r="O89" s="33">
        <f>IF($J89="","",$J89-IF($N89="",0,$N89))</f>
        <v/>
      </c>
      <c r="P89" s="27" t="n"/>
      <c r="Q89" s="27" t="n"/>
      <c r="R89" s="27" t="n"/>
      <c r="S89" s="32">
        <f>IFERROR(INDEX(Listas!$B$2:$B$40,MATCH($R89,Listas!$A$2:$A$40,0)),"")</f>
        <v/>
      </c>
      <c r="T89" s="27" t="n"/>
      <c r="U89" s="28" t="n"/>
      <c r="V89" s="29" t="n"/>
      <c r="W89" s="27" t="n"/>
    </row>
    <row r="90" ht="22" customHeight="1">
      <c r="A90" s="29" t="n"/>
      <c r="B90" s="27" t="n"/>
      <c r="C90" s="27" t="n"/>
      <c r="D90" s="27" t="n"/>
      <c r="E90" s="27" t="n"/>
      <c r="F90" s="27" t="n"/>
      <c r="G90" s="28" t="n"/>
      <c r="H90" s="27" t="n"/>
      <c r="I90" s="29" t="n"/>
      <c r="J90" s="30" t="n"/>
      <c r="K90" s="29" t="n"/>
      <c r="L90" s="31">
        <f>IFERROR(INDEX(Listas!$G$14:$G$21,MATCH($B90,Listas!$F$14:$F$21,0)),"")</f>
        <v/>
      </c>
      <c r="M90" s="32">
        <f>IF(OR($G90="",$K90=""),"",MIN($K90*12,MAX(0,DATEDIF($G90,Listas!$N$2,"m"))))</f>
        <v/>
      </c>
      <c r="N90" s="33">
        <f>IF(OR($J90="",$M90=""),"",MIN($J90,ROUND($J90*($L90/12)*$M90,2)))</f>
        <v/>
      </c>
      <c r="O90" s="33">
        <f>IF($J90="","",$J90-IF($N90="",0,$N90))</f>
        <v/>
      </c>
      <c r="P90" s="27" t="n"/>
      <c r="Q90" s="27" t="n"/>
      <c r="R90" s="27" t="n"/>
      <c r="S90" s="32">
        <f>IFERROR(INDEX(Listas!$B$2:$B$40,MATCH($R90,Listas!$A$2:$A$40,0)),"")</f>
        <v/>
      </c>
      <c r="T90" s="27" t="n"/>
      <c r="U90" s="28" t="n"/>
      <c r="V90" s="29" t="n"/>
      <c r="W90" s="27" t="n"/>
    </row>
    <row r="91" ht="22" customHeight="1">
      <c r="A91" s="29" t="n"/>
      <c r="B91" s="27" t="n"/>
      <c r="C91" s="27" t="n"/>
      <c r="D91" s="27" t="n"/>
      <c r="E91" s="27" t="n"/>
      <c r="F91" s="27" t="n"/>
      <c r="G91" s="28" t="n"/>
      <c r="H91" s="27" t="n"/>
      <c r="I91" s="29" t="n"/>
      <c r="J91" s="30" t="n"/>
      <c r="K91" s="29" t="n"/>
      <c r="L91" s="31">
        <f>IFERROR(INDEX(Listas!$G$14:$G$21,MATCH($B91,Listas!$F$14:$F$21,0)),"")</f>
        <v/>
      </c>
      <c r="M91" s="32">
        <f>IF(OR($G91="",$K91=""),"",MIN($K91*12,MAX(0,DATEDIF($G91,Listas!$N$2,"m"))))</f>
        <v/>
      </c>
      <c r="N91" s="33">
        <f>IF(OR($J91="",$M91=""),"",MIN($J91,ROUND($J91*($L91/12)*$M91,2)))</f>
        <v/>
      </c>
      <c r="O91" s="33">
        <f>IF($J91="","",$J91-IF($N91="",0,$N91))</f>
        <v/>
      </c>
      <c r="P91" s="27" t="n"/>
      <c r="Q91" s="27" t="n"/>
      <c r="R91" s="27" t="n"/>
      <c r="S91" s="32">
        <f>IFERROR(INDEX(Listas!$B$2:$B$40,MATCH($R91,Listas!$A$2:$A$40,0)),"")</f>
        <v/>
      </c>
      <c r="T91" s="27" t="n"/>
      <c r="U91" s="28" t="n"/>
      <c r="V91" s="29" t="n"/>
      <c r="W91" s="27" t="n"/>
    </row>
    <row r="92" ht="22" customHeight="1">
      <c r="A92" s="29" t="n"/>
      <c r="B92" s="27" t="n"/>
      <c r="C92" s="27" t="n"/>
      <c r="D92" s="27" t="n"/>
      <c r="E92" s="27" t="n"/>
      <c r="F92" s="27" t="n"/>
      <c r="G92" s="28" t="n"/>
      <c r="H92" s="27" t="n"/>
      <c r="I92" s="29" t="n"/>
      <c r="J92" s="30" t="n"/>
      <c r="K92" s="29" t="n"/>
      <c r="L92" s="31">
        <f>IFERROR(INDEX(Listas!$G$14:$G$21,MATCH($B92,Listas!$F$14:$F$21,0)),"")</f>
        <v/>
      </c>
      <c r="M92" s="32">
        <f>IF(OR($G92="",$K92=""),"",MIN($K92*12,MAX(0,DATEDIF($G92,Listas!$N$2,"m"))))</f>
        <v/>
      </c>
      <c r="N92" s="33">
        <f>IF(OR($J92="",$M92=""),"",MIN($J92,ROUND($J92*($L92/12)*$M92,2)))</f>
        <v/>
      </c>
      <c r="O92" s="33">
        <f>IF($J92="","",$J92-IF($N92="",0,$N92))</f>
        <v/>
      </c>
      <c r="P92" s="27" t="n"/>
      <c r="Q92" s="27" t="n"/>
      <c r="R92" s="27" t="n"/>
      <c r="S92" s="32">
        <f>IFERROR(INDEX(Listas!$B$2:$B$40,MATCH($R92,Listas!$A$2:$A$40,0)),"")</f>
        <v/>
      </c>
      <c r="T92" s="27" t="n"/>
      <c r="U92" s="28" t="n"/>
      <c r="V92" s="29" t="n"/>
      <c r="W92" s="27" t="n"/>
    </row>
    <row r="93" ht="22" customHeight="1">
      <c r="A93" s="29" t="n"/>
      <c r="B93" s="27" t="n"/>
      <c r="C93" s="27" t="n"/>
      <c r="D93" s="27" t="n"/>
      <c r="E93" s="27" t="n"/>
      <c r="F93" s="27" t="n"/>
      <c r="G93" s="28" t="n"/>
      <c r="H93" s="27" t="n"/>
      <c r="I93" s="29" t="n"/>
      <c r="J93" s="30" t="n"/>
      <c r="K93" s="29" t="n"/>
      <c r="L93" s="31">
        <f>IFERROR(INDEX(Listas!$G$14:$G$21,MATCH($B93,Listas!$F$14:$F$21,0)),"")</f>
        <v/>
      </c>
      <c r="M93" s="32">
        <f>IF(OR($G93="",$K93=""),"",MIN($K93*12,MAX(0,DATEDIF($G93,Listas!$N$2,"m"))))</f>
        <v/>
      </c>
      <c r="N93" s="33">
        <f>IF(OR($J93="",$M93=""),"",MIN($J93,ROUND($J93*($L93/12)*$M93,2)))</f>
        <v/>
      </c>
      <c r="O93" s="33">
        <f>IF($J93="","",$J93-IF($N93="",0,$N93))</f>
        <v/>
      </c>
      <c r="P93" s="27" t="n"/>
      <c r="Q93" s="27" t="n"/>
      <c r="R93" s="27" t="n"/>
      <c r="S93" s="32">
        <f>IFERROR(INDEX(Listas!$B$2:$B$40,MATCH($R93,Listas!$A$2:$A$40,0)),"")</f>
        <v/>
      </c>
      <c r="T93" s="27" t="n"/>
      <c r="U93" s="28" t="n"/>
      <c r="V93" s="29" t="n"/>
      <c r="W93" s="27" t="n"/>
    </row>
    <row r="94" ht="22" customHeight="1">
      <c r="A94" s="29" t="n"/>
      <c r="B94" s="27" t="n"/>
      <c r="C94" s="27" t="n"/>
      <c r="D94" s="27" t="n"/>
      <c r="E94" s="27" t="n"/>
      <c r="F94" s="27" t="n"/>
      <c r="G94" s="28" t="n"/>
      <c r="H94" s="27" t="n"/>
      <c r="I94" s="29" t="n"/>
      <c r="J94" s="30" t="n"/>
      <c r="K94" s="29" t="n"/>
      <c r="L94" s="31">
        <f>IFERROR(INDEX(Listas!$G$14:$G$21,MATCH($B94,Listas!$F$14:$F$21,0)),"")</f>
        <v/>
      </c>
      <c r="M94" s="32">
        <f>IF(OR($G94="",$K94=""),"",MIN($K94*12,MAX(0,DATEDIF($G94,Listas!$N$2,"m"))))</f>
        <v/>
      </c>
      <c r="N94" s="33">
        <f>IF(OR($J94="",$M94=""),"",MIN($J94,ROUND($J94*($L94/12)*$M94,2)))</f>
        <v/>
      </c>
      <c r="O94" s="33">
        <f>IF($J94="","",$J94-IF($N94="",0,$N94))</f>
        <v/>
      </c>
      <c r="P94" s="27" t="n"/>
      <c r="Q94" s="27" t="n"/>
      <c r="R94" s="27" t="n"/>
      <c r="S94" s="32">
        <f>IFERROR(INDEX(Listas!$B$2:$B$40,MATCH($R94,Listas!$A$2:$A$40,0)),"")</f>
        <v/>
      </c>
      <c r="T94" s="27" t="n"/>
      <c r="U94" s="28" t="n"/>
      <c r="V94" s="29" t="n"/>
      <c r="W94" s="27" t="n"/>
    </row>
    <row r="95" ht="22" customHeight="1">
      <c r="A95" s="29" t="n"/>
      <c r="B95" s="27" t="n"/>
      <c r="C95" s="27" t="n"/>
      <c r="D95" s="27" t="n"/>
      <c r="E95" s="27" t="n"/>
      <c r="F95" s="27" t="n"/>
      <c r="G95" s="28" t="n"/>
      <c r="H95" s="27" t="n"/>
      <c r="I95" s="29" t="n"/>
      <c r="J95" s="30" t="n"/>
      <c r="K95" s="29" t="n"/>
      <c r="L95" s="31">
        <f>IFERROR(INDEX(Listas!$G$14:$G$21,MATCH($B95,Listas!$F$14:$F$21,0)),"")</f>
        <v/>
      </c>
      <c r="M95" s="32">
        <f>IF(OR($G95="",$K95=""),"",MIN($K95*12,MAX(0,DATEDIF($G95,Listas!$N$2,"m"))))</f>
        <v/>
      </c>
      <c r="N95" s="33">
        <f>IF(OR($J95="",$M95=""),"",MIN($J95,ROUND($J95*($L95/12)*$M95,2)))</f>
        <v/>
      </c>
      <c r="O95" s="33">
        <f>IF($J95="","",$J95-IF($N95="",0,$N95))</f>
        <v/>
      </c>
      <c r="P95" s="27" t="n"/>
      <c r="Q95" s="27" t="n"/>
      <c r="R95" s="27" t="n"/>
      <c r="S95" s="32">
        <f>IFERROR(INDEX(Listas!$B$2:$B$40,MATCH($R95,Listas!$A$2:$A$40,0)),"")</f>
        <v/>
      </c>
      <c r="T95" s="27" t="n"/>
      <c r="U95" s="28" t="n"/>
      <c r="V95" s="29" t="n"/>
      <c r="W95" s="27" t="n"/>
    </row>
    <row r="96" ht="22" customHeight="1">
      <c r="A96" s="29" t="n"/>
      <c r="B96" s="27" t="n"/>
      <c r="C96" s="27" t="n"/>
      <c r="D96" s="27" t="n"/>
      <c r="E96" s="27" t="n"/>
      <c r="F96" s="27" t="n"/>
      <c r="G96" s="28" t="n"/>
      <c r="H96" s="27" t="n"/>
      <c r="I96" s="29" t="n"/>
      <c r="J96" s="30" t="n"/>
      <c r="K96" s="29" t="n"/>
      <c r="L96" s="31">
        <f>IFERROR(INDEX(Listas!$G$14:$G$21,MATCH($B96,Listas!$F$14:$F$21,0)),"")</f>
        <v/>
      </c>
      <c r="M96" s="32">
        <f>IF(OR($G96="",$K96=""),"",MIN($K96*12,MAX(0,DATEDIF($G96,Listas!$N$2,"m"))))</f>
        <v/>
      </c>
      <c r="N96" s="33">
        <f>IF(OR($J96="",$M96=""),"",MIN($J96,ROUND($J96*($L96/12)*$M96,2)))</f>
        <v/>
      </c>
      <c r="O96" s="33">
        <f>IF($J96="","",$J96-IF($N96="",0,$N96))</f>
        <v/>
      </c>
      <c r="P96" s="27" t="n"/>
      <c r="Q96" s="27" t="n"/>
      <c r="R96" s="27" t="n"/>
      <c r="S96" s="32">
        <f>IFERROR(INDEX(Listas!$B$2:$B$40,MATCH($R96,Listas!$A$2:$A$40,0)),"")</f>
        <v/>
      </c>
      <c r="T96" s="27" t="n"/>
      <c r="U96" s="28" t="n"/>
      <c r="V96" s="29" t="n"/>
      <c r="W96" s="27" t="n"/>
    </row>
    <row r="97" ht="22" customHeight="1">
      <c r="A97" s="29" t="n"/>
      <c r="B97" s="27" t="n"/>
      <c r="C97" s="27" t="n"/>
      <c r="D97" s="27" t="n"/>
      <c r="E97" s="27" t="n"/>
      <c r="F97" s="27" t="n"/>
      <c r="G97" s="28" t="n"/>
      <c r="H97" s="27" t="n"/>
      <c r="I97" s="29" t="n"/>
      <c r="J97" s="30" t="n"/>
      <c r="K97" s="29" t="n"/>
      <c r="L97" s="31">
        <f>IFERROR(INDEX(Listas!$G$14:$G$21,MATCH($B97,Listas!$F$14:$F$21,0)),"")</f>
        <v/>
      </c>
      <c r="M97" s="32">
        <f>IF(OR($G97="",$K97=""),"",MIN($K97*12,MAX(0,DATEDIF($G97,Listas!$N$2,"m"))))</f>
        <v/>
      </c>
      <c r="N97" s="33">
        <f>IF(OR($J97="",$M97=""),"",MIN($J97,ROUND($J97*($L97/12)*$M97,2)))</f>
        <v/>
      </c>
      <c r="O97" s="33">
        <f>IF($J97="","",$J97-IF($N97="",0,$N97))</f>
        <v/>
      </c>
      <c r="P97" s="27" t="n"/>
      <c r="Q97" s="27" t="n"/>
      <c r="R97" s="27" t="n"/>
      <c r="S97" s="32">
        <f>IFERROR(INDEX(Listas!$B$2:$B$40,MATCH($R97,Listas!$A$2:$A$40,0)),"")</f>
        <v/>
      </c>
      <c r="T97" s="27" t="n"/>
      <c r="U97" s="28" t="n"/>
      <c r="V97" s="29" t="n"/>
      <c r="W97" s="27" t="n"/>
    </row>
    <row r="98" ht="22" customHeight="1">
      <c r="A98" s="29" t="n"/>
      <c r="B98" s="27" t="n"/>
      <c r="C98" s="27" t="n"/>
      <c r="D98" s="27" t="n"/>
      <c r="E98" s="27" t="n"/>
      <c r="F98" s="27" t="n"/>
      <c r="G98" s="28" t="n"/>
      <c r="H98" s="27" t="n"/>
      <c r="I98" s="29" t="n"/>
      <c r="J98" s="30" t="n"/>
      <c r="K98" s="29" t="n"/>
      <c r="L98" s="31">
        <f>IFERROR(INDEX(Listas!$G$14:$G$21,MATCH($B98,Listas!$F$14:$F$21,0)),"")</f>
        <v/>
      </c>
      <c r="M98" s="32">
        <f>IF(OR($G98="",$K98=""),"",MIN($K98*12,MAX(0,DATEDIF($G98,Listas!$N$2,"m"))))</f>
        <v/>
      </c>
      <c r="N98" s="33">
        <f>IF(OR($J98="",$M98=""),"",MIN($J98,ROUND($J98*($L98/12)*$M98,2)))</f>
        <v/>
      </c>
      <c r="O98" s="33">
        <f>IF($J98="","",$J98-IF($N98="",0,$N98))</f>
        <v/>
      </c>
      <c r="P98" s="27" t="n"/>
      <c r="Q98" s="27" t="n"/>
      <c r="R98" s="27" t="n"/>
      <c r="S98" s="32">
        <f>IFERROR(INDEX(Listas!$B$2:$B$40,MATCH($R98,Listas!$A$2:$A$40,0)),"")</f>
        <v/>
      </c>
      <c r="T98" s="27" t="n"/>
      <c r="U98" s="28" t="n"/>
      <c r="V98" s="29" t="n"/>
      <c r="W98" s="27" t="n"/>
    </row>
    <row r="99" ht="22" customHeight="1">
      <c r="A99" s="29" t="n"/>
      <c r="B99" s="27" t="n"/>
      <c r="C99" s="27" t="n"/>
      <c r="D99" s="27" t="n"/>
      <c r="E99" s="27" t="n"/>
      <c r="F99" s="27" t="n"/>
      <c r="G99" s="28" t="n"/>
      <c r="H99" s="27" t="n"/>
      <c r="I99" s="29" t="n"/>
      <c r="J99" s="30" t="n"/>
      <c r="K99" s="29" t="n"/>
      <c r="L99" s="31">
        <f>IFERROR(INDEX(Listas!$G$14:$G$21,MATCH($B99,Listas!$F$14:$F$21,0)),"")</f>
        <v/>
      </c>
      <c r="M99" s="32">
        <f>IF(OR($G99="",$K99=""),"",MIN($K99*12,MAX(0,DATEDIF($G99,Listas!$N$2,"m"))))</f>
        <v/>
      </c>
      <c r="N99" s="33">
        <f>IF(OR($J99="",$M99=""),"",MIN($J99,ROUND($J99*($L99/12)*$M99,2)))</f>
        <v/>
      </c>
      <c r="O99" s="33">
        <f>IF($J99="","",$J99-IF($N99="",0,$N99))</f>
        <v/>
      </c>
      <c r="P99" s="27" t="n"/>
      <c r="Q99" s="27" t="n"/>
      <c r="R99" s="27" t="n"/>
      <c r="S99" s="32">
        <f>IFERROR(INDEX(Listas!$B$2:$B$40,MATCH($R99,Listas!$A$2:$A$40,0)),"")</f>
        <v/>
      </c>
      <c r="T99" s="27" t="n"/>
      <c r="U99" s="28" t="n"/>
      <c r="V99" s="29" t="n"/>
      <c r="W99" s="27" t="n"/>
    </row>
    <row r="100" ht="22" customHeight="1">
      <c r="A100" s="29" t="n"/>
      <c r="B100" s="27" t="n"/>
      <c r="C100" s="27" t="n"/>
      <c r="D100" s="27" t="n"/>
      <c r="E100" s="27" t="n"/>
      <c r="F100" s="27" t="n"/>
      <c r="G100" s="28" t="n"/>
      <c r="H100" s="27" t="n"/>
      <c r="I100" s="29" t="n"/>
      <c r="J100" s="30" t="n"/>
      <c r="K100" s="29" t="n"/>
      <c r="L100" s="31">
        <f>IFERROR(INDEX(Listas!$G$14:$G$21,MATCH($B100,Listas!$F$14:$F$21,0)),"")</f>
        <v/>
      </c>
      <c r="M100" s="32">
        <f>IF(OR($G100="",$K100=""),"",MIN($K100*12,MAX(0,DATEDIF($G100,Listas!$N$2,"m"))))</f>
        <v/>
      </c>
      <c r="N100" s="33">
        <f>IF(OR($J100="",$M100=""),"",MIN($J100,ROUND($J100*($L100/12)*$M100,2)))</f>
        <v/>
      </c>
      <c r="O100" s="33">
        <f>IF($J100="","",$J100-IF($N100="",0,$N100))</f>
        <v/>
      </c>
      <c r="P100" s="27" t="n"/>
      <c r="Q100" s="27" t="n"/>
      <c r="R100" s="27" t="n"/>
      <c r="S100" s="32">
        <f>IFERROR(INDEX(Listas!$B$2:$B$40,MATCH($R100,Listas!$A$2:$A$40,0)),"")</f>
        <v/>
      </c>
      <c r="T100" s="27" t="n"/>
      <c r="U100" s="28" t="n"/>
      <c r="V100" s="29" t="n"/>
      <c r="W100" s="27" t="n"/>
    </row>
    <row r="101" ht="22" customHeight="1">
      <c r="A101" s="29" t="n"/>
      <c r="B101" s="27" t="n"/>
      <c r="C101" s="27" t="n"/>
      <c r="D101" s="27" t="n"/>
      <c r="E101" s="27" t="n"/>
      <c r="F101" s="27" t="n"/>
      <c r="G101" s="28" t="n"/>
      <c r="H101" s="27" t="n"/>
      <c r="I101" s="29" t="n"/>
      <c r="J101" s="30" t="n"/>
      <c r="K101" s="29" t="n"/>
      <c r="L101" s="31">
        <f>IFERROR(INDEX(Listas!$G$14:$G$21,MATCH($B101,Listas!$F$14:$F$21,0)),"")</f>
        <v/>
      </c>
      <c r="M101" s="32">
        <f>IF(OR($G101="",$K101=""),"",MIN($K101*12,MAX(0,DATEDIF($G101,Listas!$N$2,"m"))))</f>
        <v/>
      </c>
      <c r="N101" s="33">
        <f>IF(OR($J101="",$M101=""),"",MIN($J101,ROUND($J101*($L101/12)*$M101,2)))</f>
        <v/>
      </c>
      <c r="O101" s="33">
        <f>IF($J101="","",$J101-IF($N101="",0,$N101))</f>
        <v/>
      </c>
      <c r="P101" s="27" t="n"/>
      <c r="Q101" s="27" t="n"/>
      <c r="R101" s="27" t="n"/>
      <c r="S101" s="32">
        <f>IFERROR(INDEX(Listas!$B$2:$B$40,MATCH($R101,Listas!$A$2:$A$40,0)),"")</f>
        <v/>
      </c>
      <c r="T101" s="27" t="n"/>
      <c r="U101" s="28" t="n"/>
      <c r="V101" s="29" t="n"/>
      <c r="W101" s="27" t="n"/>
    </row>
    <row r="102" ht="22" customHeight="1">
      <c r="A102" s="29" t="n"/>
      <c r="B102" s="27" t="n"/>
      <c r="C102" s="27" t="n"/>
      <c r="D102" s="27" t="n"/>
      <c r="E102" s="27" t="n"/>
      <c r="F102" s="27" t="n"/>
      <c r="G102" s="28" t="n"/>
      <c r="H102" s="27" t="n"/>
      <c r="I102" s="29" t="n"/>
      <c r="J102" s="30" t="n"/>
      <c r="K102" s="29" t="n"/>
      <c r="L102" s="31">
        <f>IFERROR(INDEX(Listas!$G$14:$G$21,MATCH($B102,Listas!$F$14:$F$21,0)),"")</f>
        <v/>
      </c>
      <c r="M102" s="32">
        <f>IF(OR($G102="",$K102=""),"",MIN($K102*12,MAX(0,DATEDIF($G102,Listas!$N$2,"m"))))</f>
        <v/>
      </c>
      <c r="N102" s="33">
        <f>IF(OR($J102="",$M102=""),"",MIN($J102,ROUND($J102*($L102/12)*$M102,2)))</f>
        <v/>
      </c>
      <c r="O102" s="33">
        <f>IF($J102="","",$J102-IF($N102="",0,$N102))</f>
        <v/>
      </c>
      <c r="P102" s="27" t="n"/>
      <c r="Q102" s="27" t="n"/>
      <c r="R102" s="27" t="n"/>
      <c r="S102" s="32">
        <f>IFERROR(INDEX(Listas!$B$2:$B$40,MATCH($R102,Listas!$A$2:$A$40,0)),"")</f>
        <v/>
      </c>
      <c r="T102" s="27" t="n"/>
      <c r="U102" s="28" t="n"/>
      <c r="V102" s="29" t="n"/>
      <c r="W102" s="27" t="n"/>
    </row>
    <row r="103" ht="22" customHeight="1">
      <c r="A103" s="29" t="n"/>
      <c r="B103" s="27" t="n"/>
      <c r="C103" s="27" t="n"/>
      <c r="D103" s="27" t="n"/>
      <c r="E103" s="27" t="n"/>
      <c r="F103" s="27" t="n"/>
      <c r="G103" s="28" t="n"/>
      <c r="H103" s="27" t="n"/>
      <c r="I103" s="29" t="n"/>
      <c r="J103" s="30" t="n"/>
      <c r="K103" s="29" t="n"/>
      <c r="L103" s="31">
        <f>IFERROR(INDEX(Listas!$G$14:$G$21,MATCH($B103,Listas!$F$14:$F$21,0)),"")</f>
        <v/>
      </c>
      <c r="M103" s="32">
        <f>IF(OR($G103="",$K103=""),"",MIN($K103*12,MAX(0,DATEDIF($G103,Listas!$N$2,"m"))))</f>
        <v/>
      </c>
      <c r="N103" s="33">
        <f>IF(OR($J103="",$M103=""),"",MIN($J103,ROUND($J103*($L103/12)*$M103,2)))</f>
        <v/>
      </c>
      <c r="O103" s="33">
        <f>IF($J103="","",$J103-IF($N103="",0,$N103))</f>
        <v/>
      </c>
      <c r="P103" s="27" t="n"/>
      <c r="Q103" s="27" t="n"/>
      <c r="R103" s="27" t="n"/>
      <c r="S103" s="32">
        <f>IFERROR(INDEX(Listas!$B$2:$B$40,MATCH($R103,Listas!$A$2:$A$40,0)),"")</f>
        <v/>
      </c>
      <c r="T103" s="27" t="n"/>
      <c r="U103" s="28" t="n"/>
      <c r="V103" s="29" t="n"/>
      <c r="W103" s="27" t="n"/>
    </row>
    <row r="104" ht="22" customHeight="1">
      <c r="A104" s="29" t="n"/>
      <c r="B104" s="27" t="n"/>
      <c r="C104" s="27" t="n"/>
      <c r="D104" s="27" t="n"/>
      <c r="E104" s="27" t="n"/>
      <c r="F104" s="27" t="n"/>
      <c r="G104" s="28" t="n"/>
      <c r="H104" s="27" t="n"/>
      <c r="I104" s="29" t="n"/>
      <c r="J104" s="30" t="n"/>
      <c r="K104" s="29" t="n"/>
      <c r="L104" s="31">
        <f>IFERROR(INDEX(Listas!$G$14:$G$21,MATCH($B104,Listas!$F$14:$F$21,0)),"")</f>
        <v/>
      </c>
      <c r="M104" s="32">
        <f>IF(OR($G104="",$K104=""),"",MIN($K104*12,MAX(0,DATEDIF($G104,Listas!$N$2,"m"))))</f>
        <v/>
      </c>
      <c r="N104" s="33">
        <f>IF(OR($J104="",$M104=""),"",MIN($J104,ROUND($J104*($L104/12)*$M104,2)))</f>
        <v/>
      </c>
      <c r="O104" s="33">
        <f>IF($J104="","",$J104-IF($N104="",0,$N104))</f>
        <v/>
      </c>
      <c r="P104" s="27" t="n"/>
      <c r="Q104" s="27" t="n"/>
      <c r="R104" s="27" t="n"/>
      <c r="S104" s="32">
        <f>IFERROR(INDEX(Listas!$B$2:$B$40,MATCH($R104,Listas!$A$2:$A$40,0)),"")</f>
        <v/>
      </c>
      <c r="T104" s="27" t="n"/>
      <c r="U104" s="28" t="n"/>
      <c r="V104" s="29" t="n"/>
      <c r="W104" s="27" t="n"/>
    </row>
    <row r="105" ht="22" customHeight="1">
      <c r="A105" s="29" t="n"/>
      <c r="B105" s="27" t="n"/>
      <c r="C105" s="27" t="n"/>
      <c r="D105" s="27" t="n"/>
      <c r="E105" s="27" t="n"/>
      <c r="F105" s="27" t="n"/>
      <c r="G105" s="28" t="n"/>
      <c r="H105" s="27" t="n"/>
      <c r="I105" s="29" t="n"/>
      <c r="J105" s="30" t="n"/>
      <c r="K105" s="29" t="n"/>
      <c r="L105" s="31">
        <f>IFERROR(INDEX(Listas!$G$14:$G$21,MATCH($B105,Listas!$F$14:$F$21,0)),"")</f>
        <v/>
      </c>
      <c r="M105" s="32">
        <f>IF(OR($G105="",$K105=""),"",MIN($K105*12,MAX(0,DATEDIF($G105,Listas!$N$2,"m"))))</f>
        <v/>
      </c>
      <c r="N105" s="33">
        <f>IF(OR($J105="",$M105=""),"",MIN($J105,ROUND($J105*($L105/12)*$M105,2)))</f>
        <v/>
      </c>
      <c r="O105" s="33">
        <f>IF($J105="","",$J105-IF($N105="",0,$N105))</f>
        <v/>
      </c>
      <c r="P105" s="27" t="n"/>
      <c r="Q105" s="27" t="n"/>
      <c r="R105" s="27" t="n"/>
      <c r="S105" s="32">
        <f>IFERROR(INDEX(Listas!$B$2:$B$40,MATCH($R105,Listas!$A$2:$A$40,0)),"")</f>
        <v/>
      </c>
      <c r="T105" s="27" t="n"/>
      <c r="U105" s="28" t="n"/>
      <c r="V105" s="29" t="n"/>
      <c r="W105" s="27" t="n"/>
    </row>
    <row r="106" ht="22" customHeight="1">
      <c r="A106" s="29" t="n"/>
      <c r="B106" s="27" t="n"/>
      <c r="C106" s="27" t="n"/>
      <c r="D106" s="27" t="n"/>
      <c r="E106" s="27" t="n"/>
      <c r="F106" s="27" t="n"/>
      <c r="G106" s="28" t="n"/>
      <c r="H106" s="27" t="n"/>
      <c r="I106" s="29" t="n"/>
      <c r="J106" s="30" t="n"/>
      <c r="K106" s="29" t="n"/>
      <c r="L106" s="31">
        <f>IFERROR(INDEX(Listas!$G$14:$G$21,MATCH($B106,Listas!$F$14:$F$21,0)),"")</f>
        <v/>
      </c>
      <c r="M106" s="32">
        <f>IF(OR($G106="",$K106=""),"",MIN($K106*12,MAX(0,DATEDIF($G106,Listas!$N$2,"m"))))</f>
        <v/>
      </c>
      <c r="N106" s="33">
        <f>IF(OR($J106="",$M106=""),"",MIN($J106,ROUND($J106*($L106/12)*$M106,2)))</f>
        <v/>
      </c>
      <c r="O106" s="33">
        <f>IF($J106="","",$J106-IF($N106="",0,$N106))</f>
        <v/>
      </c>
      <c r="P106" s="27" t="n"/>
      <c r="Q106" s="27" t="n"/>
      <c r="R106" s="27" t="n"/>
      <c r="S106" s="32">
        <f>IFERROR(INDEX(Listas!$B$2:$B$40,MATCH($R106,Listas!$A$2:$A$40,0)),"")</f>
        <v/>
      </c>
      <c r="T106" s="27" t="n"/>
      <c r="U106" s="28" t="n"/>
      <c r="V106" s="29" t="n"/>
      <c r="W106" s="27" t="n"/>
    </row>
    <row r="107" ht="22" customHeight="1">
      <c r="A107" s="29" t="n"/>
      <c r="B107" s="27" t="n"/>
      <c r="C107" s="27" t="n"/>
      <c r="D107" s="27" t="n"/>
      <c r="E107" s="27" t="n"/>
      <c r="F107" s="27" t="n"/>
      <c r="G107" s="28" t="n"/>
      <c r="H107" s="27" t="n"/>
      <c r="I107" s="29" t="n"/>
      <c r="J107" s="30" t="n"/>
      <c r="K107" s="29" t="n"/>
      <c r="L107" s="31">
        <f>IFERROR(INDEX(Listas!$G$14:$G$21,MATCH($B107,Listas!$F$14:$F$21,0)),"")</f>
        <v/>
      </c>
      <c r="M107" s="32">
        <f>IF(OR($G107="",$K107=""),"",MIN($K107*12,MAX(0,DATEDIF($G107,Listas!$N$2,"m"))))</f>
        <v/>
      </c>
      <c r="N107" s="33">
        <f>IF(OR($J107="",$M107=""),"",MIN($J107,ROUND($J107*($L107/12)*$M107,2)))</f>
        <v/>
      </c>
      <c r="O107" s="33">
        <f>IF($J107="","",$J107-IF($N107="",0,$N107))</f>
        <v/>
      </c>
      <c r="P107" s="27" t="n"/>
      <c r="Q107" s="27" t="n"/>
      <c r="R107" s="27" t="n"/>
      <c r="S107" s="32">
        <f>IFERROR(INDEX(Listas!$B$2:$B$40,MATCH($R107,Listas!$A$2:$A$40,0)),"")</f>
        <v/>
      </c>
      <c r="T107" s="27" t="n"/>
      <c r="U107" s="28" t="n"/>
      <c r="V107" s="29" t="n"/>
      <c r="W107" s="27" t="n"/>
    </row>
    <row r="108" ht="22" customHeight="1">
      <c r="A108" s="29" t="n"/>
      <c r="B108" s="27" t="n"/>
      <c r="C108" s="27" t="n"/>
      <c r="D108" s="27" t="n"/>
      <c r="E108" s="27" t="n"/>
      <c r="F108" s="27" t="n"/>
      <c r="G108" s="28" t="n"/>
      <c r="H108" s="27" t="n"/>
      <c r="I108" s="29" t="n"/>
      <c r="J108" s="30" t="n"/>
      <c r="K108" s="29" t="n"/>
      <c r="L108" s="31">
        <f>IFERROR(INDEX(Listas!$G$14:$G$21,MATCH($B108,Listas!$F$14:$F$21,0)),"")</f>
        <v/>
      </c>
      <c r="M108" s="32">
        <f>IF(OR($G108="",$K108=""),"",MIN($K108*12,MAX(0,DATEDIF($G108,Listas!$N$2,"m"))))</f>
        <v/>
      </c>
      <c r="N108" s="33">
        <f>IF(OR($J108="",$M108=""),"",MIN($J108,ROUND($J108*($L108/12)*$M108,2)))</f>
        <v/>
      </c>
      <c r="O108" s="33">
        <f>IF($J108="","",$J108-IF($N108="",0,$N108))</f>
        <v/>
      </c>
      <c r="P108" s="27" t="n"/>
      <c r="Q108" s="27" t="n"/>
      <c r="R108" s="27" t="n"/>
      <c r="S108" s="32">
        <f>IFERROR(INDEX(Listas!$B$2:$B$40,MATCH($R108,Listas!$A$2:$A$40,0)),"")</f>
        <v/>
      </c>
      <c r="T108" s="27" t="n"/>
      <c r="U108" s="28" t="n"/>
      <c r="V108" s="29" t="n"/>
      <c r="W108" s="27" t="n"/>
    </row>
    <row r="109" ht="22" customHeight="1">
      <c r="A109" s="29" t="n"/>
      <c r="B109" s="27" t="n"/>
      <c r="C109" s="27" t="n"/>
      <c r="D109" s="27" t="n"/>
      <c r="E109" s="27" t="n"/>
      <c r="F109" s="27" t="n"/>
      <c r="G109" s="28" t="n"/>
      <c r="H109" s="27" t="n"/>
      <c r="I109" s="29" t="n"/>
      <c r="J109" s="30" t="n"/>
      <c r="K109" s="29" t="n"/>
      <c r="L109" s="31">
        <f>IFERROR(INDEX(Listas!$G$14:$G$21,MATCH($B109,Listas!$F$14:$F$21,0)),"")</f>
        <v/>
      </c>
      <c r="M109" s="32">
        <f>IF(OR($G109="",$K109=""),"",MIN($K109*12,MAX(0,DATEDIF($G109,Listas!$N$2,"m"))))</f>
        <v/>
      </c>
      <c r="N109" s="33">
        <f>IF(OR($J109="",$M109=""),"",MIN($J109,ROUND($J109*($L109/12)*$M109,2)))</f>
        <v/>
      </c>
      <c r="O109" s="33">
        <f>IF($J109="","",$J109-IF($N109="",0,$N109))</f>
        <v/>
      </c>
      <c r="P109" s="27" t="n"/>
      <c r="Q109" s="27" t="n"/>
      <c r="R109" s="27" t="n"/>
      <c r="S109" s="32">
        <f>IFERROR(INDEX(Listas!$B$2:$B$40,MATCH($R109,Listas!$A$2:$A$40,0)),"")</f>
        <v/>
      </c>
      <c r="T109" s="27" t="n"/>
      <c r="U109" s="28" t="n"/>
      <c r="V109" s="29" t="n"/>
      <c r="W109" s="27" t="n"/>
    </row>
    <row r="110" ht="22" customHeight="1">
      <c r="A110" s="29" t="n"/>
      <c r="B110" s="27" t="n"/>
      <c r="C110" s="27" t="n"/>
      <c r="D110" s="27" t="n"/>
      <c r="E110" s="27" t="n"/>
      <c r="F110" s="27" t="n"/>
      <c r="G110" s="28" t="n"/>
      <c r="H110" s="27" t="n"/>
      <c r="I110" s="29" t="n"/>
      <c r="J110" s="30" t="n"/>
      <c r="K110" s="29" t="n"/>
      <c r="L110" s="31">
        <f>IFERROR(INDEX(Listas!$G$14:$G$21,MATCH($B110,Listas!$F$14:$F$21,0)),"")</f>
        <v/>
      </c>
      <c r="M110" s="32">
        <f>IF(OR($G110="",$K110=""),"",MIN($K110*12,MAX(0,DATEDIF($G110,Listas!$N$2,"m"))))</f>
        <v/>
      </c>
      <c r="N110" s="33">
        <f>IF(OR($J110="",$M110=""),"",MIN($J110,ROUND($J110*($L110/12)*$M110,2)))</f>
        <v/>
      </c>
      <c r="O110" s="33">
        <f>IF($J110="","",$J110-IF($N110="",0,$N110))</f>
        <v/>
      </c>
      <c r="P110" s="27" t="n"/>
      <c r="Q110" s="27" t="n"/>
      <c r="R110" s="27" t="n"/>
      <c r="S110" s="32">
        <f>IFERROR(INDEX(Listas!$B$2:$B$40,MATCH($R110,Listas!$A$2:$A$40,0)),"")</f>
        <v/>
      </c>
      <c r="T110" s="27" t="n"/>
      <c r="U110" s="28" t="n"/>
      <c r="V110" s="29" t="n"/>
      <c r="W110" s="27" t="n"/>
    </row>
    <row r="111" ht="22" customHeight="1">
      <c r="A111" s="29" t="n"/>
      <c r="B111" s="27" t="n"/>
      <c r="C111" s="27" t="n"/>
      <c r="D111" s="27" t="n"/>
      <c r="E111" s="27" t="n"/>
      <c r="F111" s="27" t="n"/>
      <c r="G111" s="28" t="n"/>
      <c r="H111" s="27" t="n"/>
      <c r="I111" s="29" t="n"/>
      <c r="J111" s="30" t="n"/>
      <c r="K111" s="29" t="n"/>
      <c r="L111" s="31">
        <f>IFERROR(INDEX(Listas!$G$14:$G$21,MATCH($B111,Listas!$F$14:$F$21,0)),"")</f>
        <v/>
      </c>
      <c r="M111" s="32">
        <f>IF(OR($G111="",$K111=""),"",MIN($K111*12,MAX(0,DATEDIF($G111,Listas!$N$2,"m"))))</f>
        <v/>
      </c>
      <c r="N111" s="33">
        <f>IF(OR($J111="",$M111=""),"",MIN($J111,ROUND($J111*($L111/12)*$M111,2)))</f>
        <v/>
      </c>
      <c r="O111" s="33">
        <f>IF($J111="","",$J111-IF($N111="",0,$N111))</f>
        <v/>
      </c>
      <c r="P111" s="27" t="n"/>
      <c r="Q111" s="27" t="n"/>
      <c r="R111" s="27" t="n"/>
      <c r="S111" s="32">
        <f>IFERROR(INDEX(Listas!$B$2:$B$40,MATCH($R111,Listas!$A$2:$A$40,0)),"")</f>
        <v/>
      </c>
      <c r="T111" s="27" t="n"/>
      <c r="U111" s="28" t="n"/>
      <c r="V111" s="29" t="n"/>
      <c r="W111" s="27" t="n"/>
    </row>
    <row r="112" ht="22" customHeight="1">
      <c r="A112" s="29" t="n"/>
      <c r="B112" s="27" t="n"/>
      <c r="C112" s="27" t="n"/>
      <c r="D112" s="27" t="n"/>
      <c r="E112" s="27" t="n"/>
      <c r="F112" s="27" t="n"/>
      <c r="G112" s="28" t="n"/>
      <c r="H112" s="27" t="n"/>
      <c r="I112" s="29" t="n"/>
      <c r="J112" s="30" t="n"/>
      <c r="K112" s="29" t="n"/>
      <c r="L112" s="31">
        <f>IFERROR(INDEX(Listas!$G$14:$G$21,MATCH($B112,Listas!$F$14:$F$21,0)),"")</f>
        <v/>
      </c>
      <c r="M112" s="32">
        <f>IF(OR($G112="",$K112=""),"",MIN($K112*12,MAX(0,DATEDIF($G112,Listas!$N$2,"m"))))</f>
        <v/>
      </c>
      <c r="N112" s="33">
        <f>IF(OR($J112="",$M112=""),"",MIN($J112,ROUND($J112*($L112/12)*$M112,2)))</f>
        <v/>
      </c>
      <c r="O112" s="33">
        <f>IF($J112="","",$J112-IF($N112="",0,$N112))</f>
        <v/>
      </c>
      <c r="P112" s="27" t="n"/>
      <c r="Q112" s="27" t="n"/>
      <c r="R112" s="27" t="n"/>
      <c r="S112" s="32">
        <f>IFERROR(INDEX(Listas!$B$2:$B$40,MATCH($R112,Listas!$A$2:$A$40,0)),"")</f>
        <v/>
      </c>
      <c r="T112" s="27" t="n"/>
      <c r="U112" s="28" t="n"/>
      <c r="V112" s="29" t="n"/>
      <c r="W112" s="27" t="n"/>
    </row>
    <row r="113" ht="22" customHeight="1">
      <c r="A113" s="29" t="n"/>
      <c r="B113" s="27" t="n"/>
      <c r="C113" s="27" t="n"/>
      <c r="D113" s="27" t="n"/>
      <c r="E113" s="27" t="n"/>
      <c r="F113" s="27" t="n"/>
      <c r="G113" s="28" t="n"/>
      <c r="H113" s="27" t="n"/>
      <c r="I113" s="29" t="n"/>
      <c r="J113" s="30" t="n"/>
      <c r="K113" s="29" t="n"/>
      <c r="L113" s="31">
        <f>IFERROR(INDEX(Listas!$G$14:$G$21,MATCH($B113,Listas!$F$14:$F$21,0)),"")</f>
        <v/>
      </c>
      <c r="M113" s="32">
        <f>IF(OR($G113="",$K113=""),"",MIN($K113*12,MAX(0,DATEDIF($G113,Listas!$N$2,"m"))))</f>
        <v/>
      </c>
      <c r="N113" s="33">
        <f>IF(OR($J113="",$M113=""),"",MIN($J113,ROUND($J113*($L113/12)*$M113,2)))</f>
        <v/>
      </c>
      <c r="O113" s="33">
        <f>IF($J113="","",$J113-IF($N113="",0,$N113))</f>
        <v/>
      </c>
      <c r="P113" s="27" t="n"/>
      <c r="Q113" s="27" t="n"/>
      <c r="R113" s="27" t="n"/>
      <c r="S113" s="32">
        <f>IFERROR(INDEX(Listas!$B$2:$B$40,MATCH($R113,Listas!$A$2:$A$40,0)),"")</f>
        <v/>
      </c>
      <c r="T113" s="27" t="n"/>
      <c r="U113" s="28" t="n"/>
      <c r="V113" s="29" t="n"/>
      <c r="W113" s="27" t="n"/>
    </row>
    <row r="114" ht="22" customHeight="1">
      <c r="A114" s="29" t="n"/>
      <c r="B114" s="27" t="n"/>
      <c r="C114" s="27" t="n"/>
      <c r="D114" s="27" t="n"/>
      <c r="E114" s="27" t="n"/>
      <c r="F114" s="27" t="n"/>
      <c r="G114" s="28" t="n"/>
      <c r="H114" s="27" t="n"/>
      <c r="I114" s="29" t="n"/>
      <c r="J114" s="30" t="n"/>
      <c r="K114" s="29" t="n"/>
      <c r="L114" s="31">
        <f>IFERROR(INDEX(Listas!$G$14:$G$21,MATCH($B114,Listas!$F$14:$F$21,0)),"")</f>
        <v/>
      </c>
      <c r="M114" s="32">
        <f>IF(OR($G114="",$K114=""),"",MIN($K114*12,MAX(0,DATEDIF($G114,Listas!$N$2,"m"))))</f>
        <v/>
      </c>
      <c r="N114" s="33">
        <f>IF(OR($J114="",$M114=""),"",MIN($J114,ROUND($J114*($L114/12)*$M114,2)))</f>
        <v/>
      </c>
      <c r="O114" s="33">
        <f>IF($J114="","",$J114-IF($N114="",0,$N114))</f>
        <v/>
      </c>
      <c r="P114" s="27" t="n"/>
      <c r="Q114" s="27" t="n"/>
      <c r="R114" s="27" t="n"/>
      <c r="S114" s="32">
        <f>IFERROR(INDEX(Listas!$B$2:$B$40,MATCH($R114,Listas!$A$2:$A$40,0)),"")</f>
        <v/>
      </c>
      <c r="T114" s="27" t="n"/>
      <c r="U114" s="28" t="n"/>
      <c r="V114" s="29" t="n"/>
      <c r="W114" s="27" t="n"/>
    </row>
    <row r="115" ht="22" customHeight="1">
      <c r="A115" s="29" t="n"/>
      <c r="B115" s="27" t="n"/>
      <c r="C115" s="27" t="n"/>
      <c r="D115" s="27" t="n"/>
      <c r="E115" s="27" t="n"/>
      <c r="F115" s="27" t="n"/>
      <c r="G115" s="28" t="n"/>
      <c r="H115" s="27" t="n"/>
      <c r="I115" s="29" t="n"/>
      <c r="J115" s="30" t="n"/>
      <c r="K115" s="29" t="n"/>
      <c r="L115" s="31">
        <f>IFERROR(INDEX(Listas!$G$14:$G$21,MATCH($B115,Listas!$F$14:$F$21,0)),"")</f>
        <v/>
      </c>
      <c r="M115" s="32">
        <f>IF(OR($G115="",$K115=""),"",MIN($K115*12,MAX(0,DATEDIF($G115,Listas!$N$2,"m"))))</f>
        <v/>
      </c>
      <c r="N115" s="33">
        <f>IF(OR($J115="",$M115=""),"",MIN($J115,ROUND($J115*($L115/12)*$M115,2)))</f>
        <v/>
      </c>
      <c r="O115" s="33">
        <f>IF($J115="","",$J115-IF($N115="",0,$N115))</f>
        <v/>
      </c>
      <c r="P115" s="27" t="n"/>
      <c r="Q115" s="27" t="n"/>
      <c r="R115" s="27" t="n"/>
      <c r="S115" s="32">
        <f>IFERROR(INDEX(Listas!$B$2:$B$40,MATCH($R115,Listas!$A$2:$A$40,0)),"")</f>
        <v/>
      </c>
      <c r="T115" s="27" t="n"/>
      <c r="U115" s="28" t="n"/>
      <c r="V115" s="29" t="n"/>
      <c r="W115" s="27" t="n"/>
    </row>
    <row r="116" ht="22" customHeight="1">
      <c r="A116" s="29" t="n"/>
      <c r="B116" s="27" t="n"/>
      <c r="C116" s="27" t="n"/>
      <c r="D116" s="27" t="n"/>
      <c r="E116" s="27" t="n"/>
      <c r="F116" s="27" t="n"/>
      <c r="G116" s="28" t="n"/>
      <c r="H116" s="27" t="n"/>
      <c r="I116" s="29" t="n"/>
      <c r="J116" s="30" t="n"/>
      <c r="K116" s="29" t="n"/>
      <c r="L116" s="31">
        <f>IFERROR(INDEX(Listas!$G$14:$G$21,MATCH($B116,Listas!$F$14:$F$21,0)),"")</f>
        <v/>
      </c>
      <c r="M116" s="32">
        <f>IF(OR($G116="",$K116=""),"",MIN($K116*12,MAX(0,DATEDIF($G116,Listas!$N$2,"m"))))</f>
        <v/>
      </c>
      <c r="N116" s="33">
        <f>IF(OR($J116="",$M116=""),"",MIN($J116,ROUND($J116*($L116/12)*$M116,2)))</f>
        <v/>
      </c>
      <c r="O116" s="33">
        <f>IF($J116="","",$J116-IF($N116="",0,$N116))</f>
        <v/>
      </c>
      <c r="P116" s="27" t="n"/>
      <c r="Q116" s="27" t="n"/>
      <c r="R116" s="27" t="n"/>
      <c r="S116" s="32">
        <f>IFERROR(INDEX(Listas!$B$2:$B$40,MATCH($R116,Listas!$A$2:$A$40,0)),"")</f>
        <v/>
      </c>
      <c r="T116" s="27" t="n"/>
      <c r="U116" s="28" t="n"/>
      <c r="V116" s="29" t="n"/>
      <c r="W116" s="27" t="n"/>
    </row>
    <row r="117" ht="22" customHeight="1">
      <c r="A117" s="29" t="n"/>
      <c r="B117" s="27" t="n"/>
      <c r="C117" s="27" t="n"/>
      <c r="D117" s="27" t="n"/>
      <c r="E117" s="27" t="n"/>
      <c r="F117" s="27" t="n"/>
      <c r="G117" s="28" t="n"/>
      <c r="H117" s="27" t="n"/>
      <c r="I117" s="29" t="n"/>
      <c r="J117" s="30" t="n"/>
      <c r="K117" s="29" t="n"/>
      <c r="L117" s="31">
        <f>IFERROR(INDEX(Listas!$G$14:$G$21,MATCH($B117,Listas!$F$14:$F$21,0)),"")</f>
        <v/>
      </c>
      <c r="M117" s="32">
        <f>IF(OR($G117="",$K117=""),"",MIN($K117*12,MAX(0,DATEDIF($G117,Listas!$N$2,"m"))))</f>
        <v/>
      </c>
      <c r="N117" s="33">
        <f>IF(OR($J117="",$M117=""),"",MIN($J117,ROUND($J117*($L117/12)*$M117,2)))</f>
        <v/>
      </c>
      <c r="O117" s="33">
        <f>IF($J117="","",$J117-IF($N117="",0,$N117))</f>
        <v/>
      </c>
      <c r="P117" s="27" t="n"/>
      <c r="Q117" s="27" t="n"/>
      <c r="R117" s="27" t="n"/>
      <c r="S117" s="32">
        <f>IFERROR(INDEX(Listas!$B$2:$B$40,MATCH($R117,Listas!$A$2:$A$40,0)),"")</f>
        <v/>
      </c>
      <c r="T117" s="27" t="n"/>
      <c r="U117" s="28" t="n"/>
      <c r="V117" s="29" t="n"/>
      <c r="W117" s="27" t="n"/>
    </row>
    <row r="118" ht="22" customHeight="1">
      <c r="A118" s="29" t="n"/>
      <c r="B118" s="27" t="n"/>
      <c r="C118" s="27" t="n"/>
      <c r="D118" s="27" t="n"/>
      <c r="E118" s="27" t="n"/>
      <c r="F118" s="27" t="n"/>
      <c r="G118" s="28" t="n"/>
      <c r="H118" s="27" t="n"/>
      <c r="I118" s="29" t="n"/>
      <c r="J118" s="30" t="n"/>
      <c r="K118" s="29" t="n"/>
      <c r="L118" s="31">
        <f>IFERROR(INDEX(Listas!$G$14:$G$21,MATCH($B118,Listas!$F$14:$F$21,0)),"")</f>
        <v/>
      </c>
      <c r="M118" s="32">
        <f>IF(OR($G118="",$K118=""),"",MIN($K118*12,MAX(0,DATEDIF($G118,Listas!$N$2,"m"))))</f>
        <v/>
      </c>
      <c r="N118" s="33">
        <f>IF(OR($J118="",$M118=""),"",MIN($J118,ROUND($J118*($L118/12)*$M118,2)))</f>
        <v/>
      </c>
      <c r="O118" s="33">
        <f>IF($J118="","",$J118-IF($N118="",0,$N118))</f>
        <v/>
      </c>
      <c r="P118" s="27" t="n"/>
      <c r="Q118" s="27" t="n"/>
      <c r="R118" s="27" t="n"/>
      <c r="S118" s="32">
        <f>IFERROR(INDEX(Listas!$B$2:$B$40,MATCH($R118,Listas!$A$2:$A$40,0)),"")</f>
        <v/>
      </c>
      <c r="T118" s="27" t="n"/>
      <c r="U118" s="28" t="n"/>
      <c r="V118" s="29" t="n"/>
      <c r="W118" s="27" t="n"/>
    </row>
    <row r="119" ht="22" customHeight="1">
      <c r="A119" s="29" t="n"/>
      <c r="B119" s="27" t="n"/>
      <c r="C119" s="27" t="n"/>
      <c r="D119" s="27" t="n"/>
      <c r="E119" s="27" t="n"/>
      <c r="F119" s="27" t="n"/>
      <c r="G119" s="28" t="n"/>
      <c r="H119" s="27" t="n"/>
      <c r="I119" s="29" t="n"/>
      <c r="J119" s="30" t="n"/>
      <c r="K119" s="29" t="n"/>
      <c r="L119" s="31">
        <f>IFERROR(INDEX(Listas!$G$14:$G$21,MATCH($B119,Listas!$F$14:$F$21,0)),"")</f>
        <v/>
      </c>
      <c r="M119" s="32">
        <f>IF(OR($G119="",$K119=""),"",MIN($K119*12,MAX(0,DATEDIF($G119,Listas!$N$2,"m"))))</f>
        <v/>
      </c>
      <c r="N119" s="33">
        <f>IF(OR($J119="",$M119=""),"",MIN($J119,ROUND($J119*($L119/12)*$M119,2)))</f>
        <v/>
      </c>
      <c r="O119" s="33">
        <f>IF($J119="","",$J119-IF($N119="",0,$N119))</f>
        <v/>
      </c>
      <c r="P119" s="27" t="n"/>
      <c r="Q119" s="27" t="n"/>
      <c r="R119" s="27" t="n"/>
      <c r="S119" s="32">
        <f>IFERROR(INDEX(Listas!$B$2:$B$40,MATCH($R119,Listas!$A$2:$A$40,0)),"")</f>
        <v/>
      </c>
      <c r="T119" s="27" t="n"/>
      <c r="U119" s="28" t="n"/>
      <c r="V119" s="29" t="n"/>
      <c r="W119" s="27" t="n"/>
    </row>
    <row r="120" ht="22" customHeight="1">
      <c r="A120" s="29" t="n"/>
      <c r="B120" s="27" t="n"/>
      <c r="C120" s="27" t="n"/>
      <c r="D120" s="27" t="n"/>
      <c r="E120" s="27" t="n"/>
      <c r="F120" s="27" t="n"/>
      <c r="G120" s="28" t="n"/>
      <c r="H120" s="27" t="n"/>
      <c r="I120" s="29" t="n"/>
      <c r="J120" s="30" t="n"/>
      <c r="K120" s="29" t="n"/>
      <c r="L120" s="31">
        <f>IFERROR(INDEX(Listas!$G$14:$G$21,MATCH($B120,Listas!$F$14:$F$21,0)),"")</f>
        <v/>
      </c>
      <c r="M120" s="32">
        <f>IF(OR($G120="",$K120=""),"",MIN($K120*12,MAX(0,DATEDIF($G120,Listas!$N$2,"m"))))</f>
        <v/>
      </c>
      <c r="N120" s="33">
        <f>IF(OR($J120="",$M120=""),"",MIN($J120,ROUND($J120*($L120/12)*$M120,2)))</f>
        <v/>
      </c>
      <c r="O120" s="33">
        <f>IF($J120="","",$J120-IF($N120="",0,$N120))</f>
        <v/>
      </c>
      <c r="P120" s="27" t="n"/>
      <c r="Q120" s="27" t="n"/>
      <c r="R120" s="27" t="n"/>
      <c r="S120" s="32">
        <f>IFERROR(INDEX(Listas!$B$2:$B$40,MATCH($R120,Listas!$A$2:$A$40,0)),"")</f>
        <v/>
      </c>
      <c r="T120" s="27" t="n"/>
      <c r="U120" s="28" t="n"/>
      <c r="V120" s="29" t="n"/>
      <c r="W120" s="27" t="n"/>
    </row>
    <row r="121" ht="22" customHeight="1">
      <c r="A121" s="29" t="n"/>
      <c r="B121" s="27" t="n"/>
      <c r="C121" s="27" t="n"/>
      <c r="D121" s="27" t="n"/>
      <c r="E121" s="27" t="n"/>
      <c r="F121" s="27" t="n"/>
      <c r="G121" s="28" t="n"/>
      <c r="H121" s="27" t="n"/>
      <c r="I121" s="29" t="n"/>
      <c r="J121" s="30" t="n"/>
      <c r="K121" s="29" t="n"/>
      <c r="L121" s="31">
        <f>IFERROR(INDEX(Listas!$G$14:$G$21,MATCH($B121,Listas!$F$14:$F$21,0)),"")</f>
        <v/>
      </c>
      <c r="M121" s="32">
        <f>IF(OR($G121="",$K121=""),"",MIN($K121*12,MAX(0,DATEDIF($G121,Listas!$N$2,"m"))))</f>
        <v/>
      </c>
      <c r="N121" s="33">
        <f>IF(OR($J121="",$M121=""),"",MIN($J121,ROUND($J121*($L121/12)*$M121,2)))</f>
        <v/>
      </c>
      <c r="O121" s="33">
        <f>IF($J121="","",$J121-IF($N121="",0,$N121))</f>
        <v/>
      </c>
      <c r="P121" s="27" t="n"/>
      <c r="Q121" s="27" t="n"/>
      <c r="R121" s="27" t="n"/>
      <c r="S121" s="32">
        <f>IFERROR(INDEX(Listas!$B$2:$B$40,MATCH($R121,Listas!$A$2:$A$40,0)),"")</f>
        <v/>
      </c>
      <c r="T121" s="27" t="n"/>
      <c r="U121" s="28" t="n"/>
      <c r="V121" s="29" t="n"/>
      <c r="W121" s="27" t="n"/>
    </row>
    <row r="122" ht="22" customHeight="1">
      <c r="A122" s="29" t="n"/>
      <c r="B122" s="27" t="n"/>
      <c r="C122" s="27" t="n"/>
      <c r="D122" s="27" t="n"/>
      <c r="E122" s="27" t="n"/>
      <c r="F122" s="27" t="n"/>
      <c r="G122" s="28" t="n"/>
      <c r="H122" s="27" t="n"/>
      <c r="I122" s="29" t="n"/>
      <c r="J122" s="30" t="n"/>
      <c r="K122" s="29" t="n"/>
      <c r="L122" s="31">
        <f>IFERROR(INDEX(Listas!$G$14:$G$21,MATCH($B122,Listas!$F$14:$F$21,0)),"")</f>
        <v/>
      </c>
      <c r="M122" s="32">
        <f>IF(OR($G122="",$K122=""),"",MIN($K122*12,MAX(0,DATEDIF($G122,Listas!$N$2,"m"))))</f>
        <v/>
      </c>
      <c r="N122" s="33">
        <f>IF(OR($J122="",$M122=""),"",MIN($J122,ROUND($J122*($L122/12)*$M122,2)))</f>
        <v/>
      </c>
      <c r="O122" s="33">
        <f>IF($J122="","",$J122-IF($N122="",0,$N122))</f>
        <v/>
      </c>
      <c r="P122" s="27" t="n"/>
      <c r="Q122" s="27" t="n"/>
      <c r="R122" s="27" t="n"/>
      <c r="S122" s="32">
        <f>IFERROR(INDEX(Listas!$B$2:$B$40,MATCH($R122,Listas!$A$2:$A$40,0)),"")</f>
        <v/>
      </c>
      <c r="T122" s="27" t="n"/>
      <c r="U122" s="28" t="n"/>
      <c r="V122" s="29" t="n"/>
      <c r="W122" s="27" t="n"/>
    </row>
    <row r="123" ht="22" customHeight="1">
      <c r="A123" s="29" t="n"/>
      <c r="B123" s="27" t="n"/>
      <c r="C123" s="27" t="n"/>
      <c r="D123" s="27" t="n"/>
      <c r="E123" s="27" t="n"/>
      <c r="F123" s="27" t="n"/>
      <c r="G123" s="28" t="n"/>
      <c r="H123" s="27" t="n"/>
      <c r="I123" s="29" t="n"/>
      <c r="J123" s="30" t="n"/>
      <c r="K123" s="29" t="n"/>
      <c r="L123" s="31">
        <f>IFERROR(INDEX(Listas!$G$14:$G$21,MATCH($B123,Listas!$F$14:$F$21,0)),"")</f>
        <v/>
      </c>
      <c r="M123" s="32">
        <f>IF(OR($G123="",$K123=""),"",MIN($K123*12,MAX(0,DATEDIF($G123,Listas!$N$2,"m"))))</f>
        <v/>
      </c>
      <c r="N123" s="33">
        <f>IF(OR($J123="",$M123=""),"",MIN($J123,ROUND($J123*($L123/12)*$M123,2)))</f>
        <v/>
      </c>
      <c r="O123" s="33">
        <f>IF($J123="","",$J123-IF($N123="",0,$N123))</f>
        <v/>
      </c>
      <c r="P123" s="27" t="n"/>
      <c r="Q123" s="27" t="n"/>
      <c r="R123" s="27" t="n"/>
      <c r="S123" s="32">
        <f>IFERROR(INDEX(Listas!$B$2:$B$40,MATCH($R123,Listas!$A$2:$A$40,0)),"")</f>
        <v/>
      </c>
      <c r="T123" s="27" t="n"/>
      <c r="U123" s="28" t="n"/>
      <c r="V123" s="29" t="n"/>
      <c r="W123" s="27" t="n"/>
    </row>
    <row r="124" ht="22" customHeight="1">
      <c r="A124" s="29" t="n"/>
      <c r="B124" s="27" t="n"/>
      <c r="C124" s="27" t="n"/>
      <c r="D124" s="27" t="n"/>
      <c r="E124" s="27" t="n"/>
      <c r="F124" s="27" t="n"/>
      <c r="G124" s="28" t="n"/>
      <c r="H124" s="27" t="n"/>
      <c r="I124" s="29" t="n"/>
      <c r="J124" s="30" t="n"/>
      <c r="K124" s="29" t="n"/>
      <c r="L124" s="31">
        <f>IFERROR(INDEX(Listas!$G$14:$G$21,MATCH($B124,Listas!$F$14:$F$21,0)),"")</f>
        <v/>
      </c>
      <c r="M124" s="32">
        <f>IF(OR($G124="",$K124=""),"",MIN($K124*12,MAX(0,DATEDIF($G124,Listas!$N$2,"m"))))</f>
        <v/>
      </c>
      <c r="N124" s="33">
        <f>IF(OR($J124="",$M124=""),"",MIN($J124,ROUND($J124*($L124/12)*$M124,2)))</f>
        <v/>
      </c>
      <c r="O124" s="33">
        <f>IF($J124="","",$J124-IF($N124="",0,$N124))</f>
        <v/>
      </c>
      <c r="P124" s="27" t="n"/>
      <c r="Q124" s="27" t="n"/>
      <c r="R124" s="27" t="n"/>
      <c r="S124" s="32">
        <f>IFERROR(INDEX(Listas!$B$2:$B$40,MATCH($R124,Listas!$A$2:$A$40,0)),"")</f>
        <v/>
      </c>
      <c r="T124" s="27" t="n"/>
      <c r="U124" s="28" t="n"/>
      <c r="V124" s="29" t="n"/>
      <c r="W124" s="27" t="n"/>
    </row>
    <row r="125" ht="22" customHeight="1">
      <c r="A125" s="29" t="n"/>
      <c r="B125" s="27" t="n"/>
      <c r="C125" s="27" t="n"/>
      <c r="D125" s="27" t="n"/>
      <c r="E125" s="27" t="n"/>
      <c r="F125" s="27" t="n"/>
      <c r="G125" s="28" t="n"/>
      <c r="H125" s="27" t="n"/>
      <c r="I125" s="29" t="n"/>
      <c r="J125" s="30" t="n"/>
      <c r="K125" s="29" t="n"/>
      <c r="L125" s="31">
        <f>IFERROR(INDEX(Listas!$G$14:$G$21,MATCH($B125,Listas!$F$14:$F$21,0)),"")</f>
        <v/>
      </c>
      <c r="M125" s="32">
        <f>IF(OR($G125="",$K125=""),"",MIN($K125*12,MAX(0,DATEDIF($G125,Listas!$N$2,"m"))))</f>
        <v/>
      </c>
      <c r="N125" s="33">
        <f>IF(OR($J125="",$M125=""),"",MIN($J125,ROUND($J125*($L125/12)*$M125,2)))</f>
        <v/>
      </c>
      <c r="O125" s="33">
        <f>IF($J125="","",$J125-IF($N125="",0,$N125))</f>
        <v/>
      </c>
      <c r="P125" s="27" t="n"/>
      <c r="Q125" s="27" t="n"/>
      <c r="R125" s="27" t="n"/>
      <c r="S125" s="32">
        <f>IFERROR(INDEX(Listas!$B$2:$B$40,MATCH($R125,Listas!$A$2:$A$40,0)),"")</f>
        <v/>
      </c>
      <c r="T125" s="27" t="n"/>
      <c r="U125" s="28" t="n"/>
      <c r="V125" s="29" t="n"/>
      <c r="W125" s="27" t="n"/>
    </row>
    <row r="126" ht="22" customHeight="1">
      <c r="A126" s="29" t="n"/>
      <c r="B126" s="27" t="n"/>
      <c r="C126" s="27" t="n"/>
      <c r="D126" s="27" t="n"/>
      <c r="E126" s="27" t="n"/>
      <c r="F126" s="27" t="n"/>
      <c r="G126" s="28" t="n"/>
      <c r="H126" s="27" t="n"/>
      <c r="I126" s="29" t="n"/>
      <c r="J126" s="30" t="n"/>
      <c r="K126" s="29" t="n"/>
      <c r="L126" s="31">
        <f>IFERROR(INDEX(Listas!$G$14:$G$21,MATCH($B126,Listas!$F$14:$F$21,0)),"")</f>
        <v/>
      </c>
      <c r="M126" s="32">
        <f>IF(OR($G126="",$K126=""),"",MIN($K126*12,MAX(0,DATEDIF($G126,Listas!$N$2,"m"))))</f>
        <v/>
      </c>
      <c r="N126" s="33">
        <f>IF(OR($J126="",$M126=""),"",MIN($J126,ROUND($J126*($L126/12)*$M126,2)))</f>
        <v/>
      </c>
      <c r="O126" s="33">
        <f>IF($J126="","",$J126-IF($N126="",0,$N126))</f>
        <v/>
      </c>
      <c r="P126" s="27" t="n"/>
      <c r="Q126" s="27" t="n"/>
      <c r="R126" s="27" t="n"/>
      <c r="S126" s="32">
        <f>IFERROR(INDEX(Listas!$B$2:$B$40,MATCH($R126,Listas!$A$2:$A$40,0)),"")</f>
        <v/>
      </c>
      <c r="T126" s="27" t="n"/>
      <c r="U126" s="28" t="n"/>
      <c r="V126" s="29" t="n"/>
      <c r="W126" s="27" t="n"/>
    </row>
    <row r="127" ht="22" customHeight="1">
      <c r="A127" s="29" t="n"/>
      <c r="B127" s="27" t="n"/>
      <c r="C127" s="27" t="n"/>
      <c r="D127" s="27" t="n"/>
      <c r="E127" s="27" t="n"/>
      <c r="F127" s="27" t="n"/>
      <c r="G127" s="28" t="n"/>
      <c r="H127" s="27" t="n"/>
      <c r="I127" s="29" t="n"/>
      <c r="J127" s="30" t="n"/>
      <c r="K127" s="29" t="n"/>
      <c r="L127" s="31">
        <f>IFERROR(INDEX(Listas!$G$14:$G$21,MATCH($B127,Listas!$F$14:$F$21,0)),"")</f>
        <v/>
      </c>
      <c r="M127" s="32">
        <f>IF(OR($G127="",$K127=""),"",MIN($K127*12,MAX(0,DATEDIF($G127,Listas!$N$2,"m"))))</f>
        <v/>
      </c>
      <c r="N127" s="33">
        <f>IF(OR($J127="",$M127=""),"",MIN($J127,ROUND($J127*($L127/12)*$M127,2)))</f>
        <v/>
      </c>
      <c r="O127" s="33">
        <f>IF($J127="","",$J127-IF($N127="",0,$N127))</f>
        <v/>
      </c>
      <c r="P127" s="27" t="n"/>
      <c r="Q127" s="27" t="n"/>
      <c r="R127" s="27" t="n"/>
      <c r="S127" s="32">
        <f>IFERROR(INDEX(Listas!$B$2:$B$40,MATCH($R127,Listas!$A$2:$A$40,0)),"")</f>
        <v/>
      </c>
      <c r="T127" s="27" t="n"/>
      <c r="U127" s="28" t="n"/>
      <c r="V127" s="29" t="n"/>
      <c r="W127" s="27" t="n"/>
    </row>
    <row r="128" ht="22" customHeight="1">
      <c r="A128" s="29" t="n"/>
      <c r="B128" s="27" t="n"/>
      <c r="C128" s="27" t="n"/>
      <c r="D128" s="27" t="n"/>
      <c r="E128" s="27" t="n"/>
      <c r="F128" s="27" t="n"/>
      <c r="G128" s="28" t="n"/>
      <c r="H128" s="27" t="n"/>
      <c r="I128" s="29" t="n"/>
      <c r="J128" s="30" t="n"/>
      <c r="K128" s="29" t="n"/>
      <c r="L128" s="31">
        <f>IFERROR(INDEX(Listas!$G$14:$G$21,MATCH($B128,Listas!$F$14:$F$21,0)),"")</f>
        <v/>
      </c>
      <c r="M128" s="32">
        <f>IF(OR($G128="",$K128=""),"",MIN($K128*12,MAX(0,DATEDIF($G128,Listas!$N$2,"m"))))</f>
        <v/>
      </c>
      <c r="N128" s="33">
        <f>IF(OR($J128="",$M128=""),"",MIN($J128,ROUND($J128*($L128/12)*$M128,2)))</f>
        <v/>
      </c>
      <c r="O128" s="33">
        <f>IF($J128="","",$J128-IF($N128="",0,$N128))</f>
        <v/>
      </c>
      <c r="P128" s="27" t="n"/>
      <c r="Q128" s="27" t="n"/>
      <c r="R128" s="27" t="n"/>
      <c r="S128" s="32">
        <f>IFERROR(INDEX(Listas!$B$2:$B$40,MATCH($R128,Listas!$A$2:$A$40,0)),"")</f>
        <v/>
      </c>
      <c r="T128" s="27" t="n"/>
      <c r="U128" s="28" t="n"/>
      <c r="V128" s="29" t="n"/>
      <c r="W128" s="27" t="n"/>
    </row>
    <row r="129" ht="22" customHeight="1">
      <c r="A129" s="29" t="n"/>
      <c r="B129" s="27" t="n"/>
      <c r="C129" s="27" t="n"/>
      <c r="D129" s="27" t="n"/>
      <c r="E129" s="27" t="n"/>
      <c r="F129" s="27" t="n"/>
      <c r="G129" s="28" t="n"/>
      <c r="H129" s="27" t="n"/>
      <c r="I129" s="29" t="n"/>
      <c r="J129" s="30" t="n"/>
      <c r="K129" s="29" t="n"/>
      <c r="L129" s="31">
        <f>IFERROR(INDEX(Listas!$G$14:$G$21,MATCH($B129,Listas!$F$14:$F$21,0)),"")</f>
        <v/>
      </c>
      <c r="M129" s="32">
        <f>IF(OR($G129="",$K129=""),"",MIN($K129*12,MAX(0,DATEDIF($G129,Listas!$N$2,"m"))))</f>
        <v/>
      </c>
      <c r="N129" s="33">
        <f>IF(OR($J129="",$M129=""),"",MIN($J129,ROUND($J129*($L129/12)*$M129,2)))</f>
        <v/>
      </c>
      <c r="O129" s="33">
        <f>IF($J129="","",$J129-IF($N129="",0,$N129))</f>
        <v/>
      </c>
      <c r="P129" s="27" t="n"/>
      <c r="Q129" s="27" t="n"/>
      <c r="R129" s="27" t="n"/>
      <c r="S129" s="32">
        <f>IFERROR(INDEX(Listas!$B$2:$B$40,MATCH($R129,Listas!$A$2:$A$40,0)),"")</f>
        <v/>
      </c>
      <c r="T129" s="27" t="n"/>
      <c r="U129" s="28" t="n"/>
      <c r="V129" s="29" t="n"/>
      <c r="W129" s="27" t="n"/>
    </row>
    <row r="130" ht="22" customHeight="1">
      <c r="A130" s="29" t="n"/>
      <c r="B130" s="27" t="n"/>
      <c r="C130" s="27" t="n"/>
      <c r="D130" s="27" t="n"/>
      <c r="E130" s="27" t="n"/>
      <c r="F130" s="27" t="n"/>
      <c r="G130" s="28" t="n"/>
      <c r="H130" s="27" t="n"/>
      <c r="I130" s="29" t="n"/>
      <c r="J130" s="30" t="n"/>
      <c r="K130" s="29" t="n"/>
      <c r="L130" s="31">
        <f>IFERROR(INDEX(Listas!$G$14:$G$21,MATCH($B130,Listas!$F$14:$F$21,0)),"")</f>
        <v/>
      </c>
      <c r="M130" s="32">
        <f>IF(OR($G130="",$K130=""),"",MIN($K130*12,MAX(0,DATEDIF($G130,Listas!$N$2,"m"))))</f>
        <v/>
      </c>
      <c r="N130" s="33">
        <f>IF(OR($J130="",$M130=""),"",MIN($J130,ROUND($J130*($L130/12)*$M130,2)))</f>
        <v/>
      </c>
      <c r="O130" s="33">
        <f>IF($J130="","",$J130-IF($N130="",0,$N130))</f>
        <v/>
      </c>
      <c r="P130" s="27" t="n"/>
      <c r="Q130" s="27" t="n"/>
      <c r="R130" s="27" t="n"/>
      <c r="S130" s="32">
        <f>IFERROR(INDEX(Listas!$B$2:$B$40,MATCH($R130,Listas!$A$2:$A$40,0)),"")</f>
        <v/>
      </c>
      <c r="T130" s="27" t="n"/>
      <c r="U130" s="28" t="n"/>
      <c r="V130" s="29" t="n"/>
      <c r="W130" s="27" t="n"/>
    </row>
    <row r="131" ht="22" customHeight="1">
      <c r="A131" s="29" t="n"/>
      <c r="B131" s="27" t="n"/>
      <c r="C131" s="27" t="n"/>
      <c r="D131" s="27" t="n"/>
      <c r="E131" s="27" t="n"/>
      <c r="F131" s="27" t="n"/>
      <c r="G131" s="28" t="n"/>
      <c r="H131" s="27" t="n"/>
      <c r="I131" s="29" t="n"/>
      <c r="J131" s="30" t="n"/>
      <c r="K131" s="29" t="n"/>
      <c r="L131" s="31">
        <f>IFERROR(INDEX(Listas!$G$14:$G$21,MATCH($B131,Listas!$F$14:$F$21,0)),"")</f>
        <v/>
      </c>
      <c r="M131" s="32">
        <f>IF(OR($G131="",$K131=""),"",MIN($K131*12,MAX(0,DATEDIF($G131,Listas!$N$2,"m"))))</f>
        <v/>
      </c>
      <c r="N131" s="33">
        <f>IF(OR($J131="",$M131=""),"",MIN($J131,ROUND($J131*($L131/12)*$M131,2)))</f>
        <v/>
      </c>
      <c r="O131" s="33">
        <f>IF($J131="","",$J131-IF($N131="",0,$N131))</f>
        <v/>
      </c>
      <c r="P131" s="27" t="n"/>
      <c r="Q131" s="27" t="n"/>
      <c r="R131" s="27" t="n"/>
      <c r="S131" s="32">
        <f>IFERROR(INDEX(Listas!$B$2:$B$40,MATCH($R131,Listas!$A$2:$A$40,0)),"")</f>
        <v/>
      </c>
      <c r="T131" s="27" t="n"/>
      <c r="U131" s="28" t="n"/>
      <c r="V131" s="29" t="n"/>
      <c r="W131" s="27" t="n"/>
    </row>
    <row r="132" ht="22" customHeight="1">
      <c r="A132" s="29" t="n"/>
      <c r="B132" s="27" t="n"/>
      <c r="C132" s="27" t="n"/>
      <c r="D132" s="27" t="n"/>
      <c r="E132" s="27" t="n"/>
      <c r="F132" s="27" t="n"/>
      <c r="G132" s="28" t="n"/>
      <c r="H132" s="27" t="n"/>
      <c r="I132" s="29" t="n"/>
      <c r="J132" s="30" t="n"/>
      <c r="K132" s="29" t="n"/>
      <c r="L132" s="31">
        <f>IFERROR(INDEX(Listas!$G$14:$G$21,MATCH($B132,Listas!$F$14:$F$21,0)),"")</f>
        <v/>
      </c>
      <c r="M132" s="32">
        <f>IF(OR($G132="",$K132=""),"",MIN($K132*12,MAX(0,DATEDIF($G132,Listas!$N$2,"m"))))</f>
        <v/>
      </c>
      <c r="N132" s="33">
        <f>IF(OR($J132="",$M132=""),"",MIN($J132,ROUND($J132*($L132/12)*$M132,2)))</f>
        <v/>
      </c>
      <c r="O132" s="33">
        <f>IF($J132="","",$J132-IF($N132="",0,$N132))</f>
        <v/>
      </c>
      <c r="P132" s="27" t="n"/>
      <c r="Q132" s="27" t="n"/>
      <c r="R132" s="27" t="n"/>
      <c r="S132" s="32">
        <f>IFERROR(INDEX(Listas!$B$2:$B$40,MATCH($R132,Listas!$A$2:$A$40,0)),"")</f>
        <v/>
      </c>
      <c r="T132" s="27" t="n"/>
      <c r="U132" s="28" t="n"/>
      <c r="V132" s="29" t="n"/>
      <c r="W132" s="27" t="n"/>
    </row>
    <row r="133" ht="22" customHeight="1">
      <c r="A133" s="29" t="n"/>
      <c r="B133" s="27" t="n"/>
      <c r="C133" s="27" t="n"/>
      <c r="D133" s="27" t="n"/>
      <c r="E133" s="27" t="n"/>
      <c r="F133" s="27" t="n"/>
      <c r="G133" s="28" t="n"/>
      <c r="H133" s="27" t="n"/>
      <c r="I133" s="29" t="n"/>
      <c r="J133" s="30" t="n"/>
      <c r="K133" s="29" t="n"/>
      <c r="L133" s="31">
        <f>IFERROR(INDEX(Listas!$G$14:$G$21,MATCH($B133,Listas!$F$14:$F$21,0)),"")</f>
        <v/>
      </c>
      <c r="M133" s="32">
        <f>IF(OR($G133="",$K133=""),"",MIN($K133*12,MAX(0,DATEDIF($G133,Listas!$N$2,"m"))))</f>
        <v/>
      </c>
      <c r="N133" s="33">
        <f>IF(OR($J133="",$M133=""),"",MIN($J133,ROUND($J133*($L133/12)*$M133,2)))</f>
        <v/>
      </c>
      <c r="O133" s="33">
        <f>IF($J133="","",$J133-IF($N133="",0,$N133))</f>
        <v/>
      </c>
      <c r="P133" s="27" t="n"/>
      <c r="Q133" s="27" t="n"/>
      <c r="R133" s="27" t="n"/>
      <c r="S133" s="32">
        <f>IFERROR(INDEX(Listas!$B$2:$B$40,MATCH($R133,Listas!$A$2:$A$40,0)),"")</f>
        <v/>
      </c>
      <c r="T133" s="27" t="n"/>
      <c r="U133" s="28" t="n"/>
      <c r="V133" s="29" t="n"/>
      <c r="W133" s="27" t="n"/>
    </row>
    <row r="134" ht="22" customHeight="1">
      <c r="A134" s="29" t="n"/>
      <c r="B134" s="27" t="n"/>
      <c r="C134" s="27" t="n"/>
      <c r="D134" s="27" t="n"/>
      <c r="E134" s="27" t="n"/>
      <c r="F134" s="27" t="n"/>
      <c r="G134" s="28" t="n"/>
      <c r="H134" s="27" t="n"/>
      <c r="I134" s="29" t="n"/>
      <c r="J134" s="30" t="n"/>
      <c r="K134" s="29" t="n"/>
      <c r="L134" s="31">
        <f>IFERROR(INDEX(Listas!$G$14:$G$21,MATCH($B134,Listas!$F$14:$F$21,0)),"")</f>
        <v/>
      </c>
      <c r="M134" s="32">
        <f>IF(OR($G134="",$K134=""),"",MIN($K134*12,MAX(0,DATEDIF($G134,Listas!$N$2,"m"))))</f>
        <v/>
      </c>
      <c r="N134" s="33">
        <f>IF(OR($J134="",$M134=""),"",MIN($J134,ROUND($J134*($L134/12)*$M134,2)))</f>
        <v/>
      </c>
      <c r="O134" s="33">
        <f>IF($J134="","",$J134-IF($N134="",0,$N134))</f>
        <v/>
      </c>
      <c r="P134" s="27" t="n"/>
      <c r="Q134" s="27" t="n"/>
      <c r="R134" s="27" t="n"/>
      <c r="S134" s="32">
        <f>IFERROR(INDEX(Listas!$B$2:$B$40,MATCH($R134,Listas!$A$2:$A$40,0)),"")</f>
        <v/>
      </c>
      <c r="T134" s="27" t="n"/>
      <c r="U134" s="28" t="n"/>
      <c r="V134" s="29" t="n"/>
      <c r="W134" s="27" t="n"/>
    </row>
    <row r="135" ht="22" customHeight="1">
      <c r="A135" s="29" t="n"/>
      <c r="B135" s="27" t="n"/>
      <c r="C135" s="27" t="n"/>
      <c r="D135" s="27" t="n"/>
      <c r="E135" s="27" t="n"/>
      <c r="F135" s="27" t="n"/>
      <c r="G135" s="28" t="n"/>
      <c r="H135" s="27" t="n"/>
      <c r="I135" s="29" t="n"/>
      <c r="J135" s="30" t="n"/>
      <c r="K135" s="29" t="n"/>
      <c r="L135" s="31">
        <f>IFERROR(INDEX(Listas!$G$14:$G$21,MATCH($B135,Listas!$F$14:$F$21,0)),"")</f>
        <v/>
      </c>
      <c r="M135" s="32">
        <f>IF(OR($G135="",$K135=""),"",MIN($K135*12,MAX(0,DATEDIF($G135,Listas!$N$2,"m"))))</f>
        <v/>
      </c>
      <c r="N135" s="33">
        <f>IF(OR($J135="",$M135=""),"",MIN($J135,ROUND($J135*($L135/12)*$M135,2)))</f>
        <v/>
      </c>
      <c r="O135" s="33">
        <f>IF($J135="","",$J135-IF($N135="",0,$N135))</f>
        <v/>
      </c>
      <c r="P135" s="27" t="n"/>
      <c r="Q135" s="27" t="n"/>
      <c r="R135" s="27" t="n"/>
      <c r="S135" s="32">
        <f>IFERROR(INDEX(Listas!$B$2:$B$40,MATCH($R135,Listas!$A$2:$A$40,0)),"")</f>
        <v/>
      </c>
      <c r="T135" s="27" t="n"/>
      <c r="U135" s="28" t="n"/>
      <c r="V135" s="29" t="n"/>
      <c r="W135" s="27" t="n"/>
    </row>
    <row r="136" ht="22" customHeight="1">
      <c r="A136" s="29" t="n"/>
      <c r="B136" s="27" t="n"/>
      <c r="C136" s="27" t="n"/>
      <c r="D136" s="27" t="n"/>
      <c r="E136" s="27" t="n"/>
      <c r="F136" s="27" t="n"/>
      <c r="G136" s="28" t="n"/>
      <c r="H136" s="27" t="n"/>
      <c r="I136" s="29" t="n"/>
      <c r="J136" s="30" t="n"/>
      <c r="K136" s="29" t="n"/>
      <c r="L136" s="31">
        <f>IFERROR(INDEX(Listas!$G$14:$G$21,MATCH($B136,Listas!$F$14:$F$21,0)),"")</f>
        <v/>
      </c>
      <c r="M136" s="32">
        <f>IF(OR($G136="",$K136=""),"",MIN($K136*12,MAX(0,DATEDIF($G136,Listas!$N$2,"m"))))</f>
        <v/>
      </c>
      <c r="N136" s="33">
        <f>IF(OR($J136="",$M136=""),"",MIN($J136,ROUND($J136*($L136/12)*$M136,2)))</f>
        <v/>
      </c>
      <c r="O136" s="33">
        <f>IF($J136="","",$J136-IF($N136="",0,$N136))</f>
        <v/>
      </c>
      <c r="P136" s="27" t="n"/>
      <c r="Q136" s="27" t="n"/>
      <c r="R136" s="27" t="n"/>
      <c r="S136" s="32">
        <f>IFERROR(INDEX(Listas!$B$2:$B$40,MATCH($R136,Listas!$A$2:$A$40,0)),"")</f>
        <v/>
      </c>
      <c r="T136" s="27" t="n"/>
      <c r="U136" s="28" t="n"/>
      <c r="V136" s="29" t="n"/>
      <c r="W136" s="27" t="n"/>
    </row>
    <row r="137" ht="22" customHeight="1">
      <c r="A137" s="29" t="n"/>
      <c r="B137" s="27" t="n"/>
      <c r="C137" s="27" t="n"/>
      <c r="D137" s="27" t="n"/>
      <c r="E137" s="27" t="n"/>
      <c r="F137" s="27" t="n"/>
      <c r="G137" s="28" t="n"/>
      <c r="H137" s="27" t="n"/>
      <c r="I137" s="29" t="n"/>
      <c r="J137" s="30" t="n"/>
      <c r="K137" s="29" t="n"/>
      <c r="L137" s="31">
        <f>IFERROR(INDEX(Listas!$G$14:$G$21,MATCH($B137,Listas!$F$14:$F$21,0)),"")</f>
        <v/>
      </c>
      <c r="M137" s="32">
        <f>IF(OR($G137="",$K137=""),"",MIN($K137*12,MAX(0,DATEDIF($G137,Listas!$N$2,"m"))))</f>
        <v/>
      </c>
      <c r="N137" s="33">
        <f>IF(OR($J137="",$M137=""),"",MIN($J137,ROUND($J137*($L137/12)*$M137,2)))</f>
        <v/>
      </c>
      <c r="O137" s="33">
        <f>IF($J137="","",$J137-IF($N137="",0,$N137))</f>
        <v/>
      </c>
      <c r="P137" s="27" t="n"/>
      <c r="Q137" s="27" t="n"/>
      <c r="R137" s="27" t="n"/>
      <c r="S137" s="32">
        <f>IFERROR(INDEX(Listas!$B$2:$B$40,MATCH($R137,Listas!$A$2:$A$40,0)),"")</f>
        <v/>
      </c>
      <c r="T137" s="27" t="n"/>
      <c r="U137" s="28" t="n"/>
      <c r="V137" s="29" t="n"/>
      <c r="W137" s="27" t="n"/>
    </row>
    <row r="138" ht="22" customHeight="1">
      <c r="A138" s="29" t="n"/>
      <c r="B138" s="27" t="n"/>
      <c r="C138" s="27" t="n"/>
      <c r="D138" s="27" t="n"/>
      <c r="E138" s="27" t="n"/>
      <c r="F138" s="27" t="n"/>
      <c r="G138" s="28" t="n"/>
      <c r="H138" s="27" t="n"/>
      <c r="I138" s="29" t="n"/>
      <c r="J138" s="30" t="n"/>
      <c r="K138" s="29" t="n"/>
      <c r="L138" s="31">
        <f>IFERROR(INDEX(Listas!$G$14:$G$21,MATCH($B138,Listas!$F$14:$F$21,0)),"")</f>
        <v/>
      </c>
      <c r="M138" s="32">
        <f>IF(OR($G138="",$K138=""),"",MIN($K138*12,MAX(0,DATEDIF($G138,Listas!$N$2,"m"))))</f>
        <v/>
      </c>
      <c r="N138" s="33">
        <f>IF(OR($J138="",$M138=""),"",MIN($J138,ROUND($J138*($L138/12)*$M138,2)))</f>
        <v/>
      </c>
      <c r="O138" s="33">
        <f>IF($J138="","",$J138-IF($N138="",0,$N138))</f>
        <v/>
      </c>
      <c r="P138" s="27" t="n"/>
      <c r="Q138" s="27" t="n"/>
      <c r="R138" s="27" t="n"/>
      <c r="S138" s="32">
        <f>IFERROR(INDEX(Listas!$B$2:$B$40,MATCH($R138,Listas!$A$2:$A$40,0)),"")</f>
        <v/>
      </c>
      <c r="T138" s="27" t="n"/>
      <c r="U138" s="28" t="n"/>
      <c r="V138" s="29" t="n"/>
      <c r="W138" s="27" t="n"/>
    </row>
    <row r="139" ht="22" customHeight="1">
      <c r="A139" s="29" t="n"/>
      <c r="B139" s="27" t="n"/>
      <c r="C139" s="27" t="n"/>
      <c r="D139" s="27" t="n"/>
      <c r="E139" s="27" t="n"/>
      <c r="F139" s="27" t="n"/>
      <c r="G139" s="28" t="n"/>
      <c r="H139" s="27" t="n"/>
      <c r="I139" s="29" t="n"/>
      <c r="J139" s="30" t="n"/>
      <c r="K139" s="29" t="n"/>
      <c r="L139" s="31">
        <f>IFERROR(INDEX(Listas!$G$14:$G$21,MATCH($B139,Listas!$F$14:$F$21,0)),"")</f>
        <v/>
      </c>
      <c r="M139" s="32">
        <f>IF(OR($G139="",$K139=""),"",MIN($K139*12,MAX(0,DATEDIF($G139,Listas!$N$2,"m"))))</f>
        <v/>
      </c>
      <c r="N139" s="33">
        <f>IF(OR($J139="",$M139=""),"",MIN($J139,ROUND($J139*($L139/12)*$M139,2)))</f>
        <v/>
      </c>
      <c r="O139" s="33">
        <f>IF($J139="","",$J139-IF($N139="",0,$N139))</f>
        <v/>
      </c>
      <c r="P139" s="27" t="n"/>
      <c r="Q139" s="27" t="n"/>
      <c r="R139" s="27" t="n"/>
      <c r="S139" s="32">
        <f>IFERROR(INDEX(Listas!$B$2:$B$40,MATCH($R139,Listas!$A$2:$A$40,0)),"")</f>
        <v/>
      </c>
      <c r="T139" s="27" t="n"/>
      <c r="U139" s="28" t="n"/>
      <c r="V139" s="29" t="n"/>
      <c r="W139" s="27" t="n"/>
    </row>
    <row r="140" ht="22" customHeight="1">
      <c r="A140" s="29" t="n"/>
      <c r="B140" s="27" t="n"/>
      <c r="C140" s="27" t="n"/>
      <c r="D140" s="27" t="n"/>
      <c r="E140" s="27" t="n"/>
      <c r="F140" s="27" t="n"/>
      <c r="G140" s="28" t="n"/>
      <c r="H140" s="27" t="n"/>
      <c r="I140" s="29" t="n"/>
      <c r="J140" s="30" t="n"/>
      <c r="K140" s="29" t="n"/>
      <c r="L140" s="31">
        <f>IFERROR(INDEX(Listas!$G$14:$G$21,MATCH($B140,Listas!$F$14:$F$21,0)),"")</f>
        <v/>
      </c>
      <c r="M140" s="32">
        <f>IF(OR($G140="",$K140=""),"",MIN($K140*12,MAX(0,DATEDIF($G140,Listas!$N$2,"m"))))</f>
        <v/>
      </c>
      <c r="N140" s="33">
        <f>IF(OR($J140="",$M140=""),"",MIN($J140,ROUND($J140*($L140/12)*$M140,2)))</f>
        <v/>
      </c>
      <c r="O140" s="33">
        <f>IF($J140="","",$J140-IF($N140="",0,$N140))</f>
        <v/>
      </c>
      <c r="P140" s="27" t="n"/>
      <c r="Q140" s="27" t="n"/>
      <c r="R140" s="27" t="n"/>
      <c r="S140" s="32">
        <f>IFERROR(INDEX(Listas!$B$2:$B$40,MATCH($R140,Listas!$A$2:$A$40,0)),"")</f>
        <v/>
      </c>
      <c r="T140" s="27" t="n"/>
      <c r="U140" s="28" t="n"/>
      <c r="V140" s="29" t="n"/>
      <c r="W140" s="27" t="n"/>
    </row>
    <row r="141" ht="22" customHeight="1">
      <c r="A141" s="29" t="n"/>
      <c r="B141" s="27" t="n"/>
      <c r="C141" s="27" t="n"/>
      <c r="D141" s="27" t="n"/>
      <c r="E141" s="27" t="n"/>
      <c r="F141" s="27" t="n"/>
      <c r="G141" s="28" t="n"/>
      <c r="H141" s="27" t="n"/>
      <c r="I141" s="29" t="n"/>
      <c r="J141" s="30" t="n"/>
      <c r="K141" s="29" t="n"/>
      <c r="L141" s="31">
        <f>IFERROR(INDEX(Listas!$G$14:$G$21,MATCH($B141,Listas!$F$14:$F$21,0)),"")</f>
        <v/>
      </c>
      <c r="M141" s="32">
        <f>IF(OR($G141="",$K141=""),"",MIN($K141*12,MAX(0,DATEDIF($G141,Listas!$N$2,"m"))))</f>
        <v/>
      </c>
      <c r="N141" s="33">
        <f>IF(OR($J141="",$M141=""),"",MIN($J141,ROUND($J141*($L141/12)*$M141,2)))</f>
        <v/>
      </c>
      <c r="O141" s="33">
        <f>IF($J141="","",$J141-IF($N141="",0,$N141))</f>
        <v/>
      </c>
      <c r="P141" s="27" t="n"/>
      <c r="Q141" s="27" t="n"/>
      <c r="R141" s="27" t="n"/>
      <c r="S141" s="32">
        <f>IFERROR(INDEX(Listas!$B$2:$B$40,MATCH($R141,Listas!$A$2:$A$40,0)),"")</f>
        <v/>
      </c>
      <c r="T141" s="27" t="n"/>
      <c r="U141" s="28" t="n"/>
      <c r="V141" s="29" t="n"/>
      <c r="W141" s="27" t="n"/>
    </row>
    <row r="142" ht="22" customHeight="1">
      <c r="A142" s="29" t="n"/>
      <c r="B142" s="27" t="n"/>
      <c r="C142" s="27" t="n"/>
      <c r="D142" s="27" t="n"/>
      <c r="E142" s="27" t="n"/>
      <c r="F142" s="27" t="n"/>
      <c r="G142" s="28" t="n"/>
      <c r="H142" s="27" t="n"/>
      <c r="I142" s="29" t="n"/>
      <c r="J142" s="30" t="n"/>
      <c r="K142" s="29" t="n"/>
      <c r="L142" s="31">
        <f>IFERROR(INDEX(Listas!$G$14:$G$21,MATCH($B142,Listas!$F$14:$F$21,0)),"")</f>
        <v/>
      </c>
      <c r="M142" s="32">
        <f>IF(OR($G142="",$K142=""),"",MIN($K142*12,MAX(0,DATEDIF($G142,Listas!$N$2,"m"))))</f>
        <v/>
      </c>
      <c r="N142" s="33">
        <f>IF(OR($J142="",$M142=""),"",MIN($J142,ROUND($J142*($L142/12)*$M142,2)))</f>
        <v/>
      </c>
      <c r="O142" s="33">
        <f>IF($J142="","",$J142-IF($N142="",0,$N142))</f>
        <v/>
      </c>
      <c r="P142" s="27" t="n"/>
      <c r="Q142" s="27" t="n"/>
      <c r="R142" s="27" t="n"/>
      <c r="S142" s="32">
        <f>IFERROR(INDEX(Listas!$B$2:$B$40,MATCH($R142,Listas!$A$2:$A$40,0)),"")</f>
        <v/>
      </c>
      <c r="T142" s="27" t="n"/>
      <c r="U142" s="28" t="n"/>
      <c r="V142" s="29" t="n"/>
      <c r="W142" s="27" t="n"/>
    </row>
    <row r="143" ht="22" customHeight="1">
      <c r="A143" s="29" t="n"/>
      <c r="B143" s="27" t="n"/>
      <c r="C143" s="27" t="n"/>
      <c r="D143" s="27" t="n"/>
      <c r="E143" s="27" t="n"/>
      <c r="F143" s="27" t="n"/>
      <c r="G143" s="28" t="n"/>
      <c r="H143" s="27" t="n"/>
      <c r="I143" s="29" t="n"/>
      <c r="J143" s="30" t="n"/>
      <c r="K143" s="29" t="n"/>
      <c r="L143" s="31">
        <f>IFERROR(INDEX(Listas!$G$14:$G$21,MATCH($B143,Listas!$F$14:$F$21,0)),"")</f>
        <v/>
      </c>
      <c r="M143" s="32">
        <f>IF(OR($G143="",$K143=""),"",MIN($K143*12,MAX(0,DATEDIF($G143,Listas!$N$2,"m"))))</f>
        <v/>
      </c>
      <c r="N143" s="33">
        <f>IF(OR($J143="",$M143=""),"",MIN($J143,ROUND($J143*($L143/12)*$M143,2)))</f>
        <v/>
      </c>
      <c r="O143" s="33">
        <f>IF($J143="","",$J143-IF($N143="",0,$N143))</f>
        <v/>
      </c>
      <c r="P143" s="27" t="n"/>
      <c r="Q143" s="27" t="n"/>
      <c r="R143" s="27" t="n"/>
      <c r="S143" s="32">
        <f>IFERROR(INDEX(Listas!$B$2:$B$40,MATCH($R143,Listas!$A$2:$A$40,0)),"")</f>
        <v/>
      </c>
      <c r="T143" s="27" t="n"/>
      <c r="U143" s="28" t="n"/>
      <c r="V143" s="29" t="n"/>
      <c r="W143" s="27" t="n"/>
    </row>
    <row r="144" ht="22" customHeight="1">
      <c r="A144" s="29" t="n"/>
      <c r="B144" s="27" t="n"/>
      <c r="C144" s="27" t="n"/>
      <c r="D144" s="27" t="n"/>
      <c r="E144" s="27" t="n"/>
      <c r="F144" s="27" t="n"/>
      <c r="G144" s="28" t="n"/>
      <c r="H144" s="27" t="n"/>
      <c r="I144" s="29" t="n"/>
      <c r="J144" s="30" t="n"/>
      <c r="K144" s="29" t="n"/>
      <c r="L144" s="31">
        <f>IFERROR(INDEX(Listas!$G$14:$G$21,MATCH($B144,Listas!$F$14:$F$21,0)),"")</f>
        <v/>
      </c>
      <c r="M144" s="32">
        <f>IF(OR($G144="",$K144=""),"",MIN($K144*12,MAX(0,DATEDIF($G144,Listas!$N$2,"m"))))</f>
        <v/>
      </c>
      <c r="N144" s="33">
        <f>IF(OR($J144="",$M144=""),"",MIN($J144,ROUND($J144*($L144/12)*$M144,2)))</f>
        <v/>
      </c>
      <c r="O144" s="33">
        <f>IF($J144="","",$J144-IF($N144="",0,$N144))</f>
        <v/>
      </c>
      <c r="P144" s="27" t="n"/>
      <c r="Q144" s="27" t="n"/>
      <c r="R144" s="27" t="n"/>
      <c r="S144" s="32">
        <f>IFERROR(INDEX(Listas!$B$2:$B$40,MATCH($R144,Listas!$A$2:$A$40,0)),"")</f>
        <v/>
      </c>
      <c r="T144" s="27" t="n"/>
      <c r="U144" s="28" t="n"/>
      <c r="V144" s="29" t="n"/>
      <c r="W144" s="27" t="n"/>
    </row>
    <row r="145" ht="22" customHeight="1">
      <c r="A145" s="29" t="n"/>
      <c r="B145" s="27" t="n"/>
      <c r="C145" s="27" t="n"/>
      <c r="D145" s="27" t="n"/>
      <c r="E145" s="27" t="n"/>
      <c r="F145" s="27" t="n"/>
      <c r="G145" s="28" t="n"/>
      <c r="H145" s="27" t="n"/>
      <c r="I145" s="29" t="n"/>
      <c r="J145" s="30" t="n"/>
      <c r="K145" s="29" t="n"/>
      <c r="L145" s="31">
        <f>IFERROR(INDEX(Listas!$G$14:$G$21,MATCH($B145,Listas!$F$14:$F$21,0)),"")</f>
        <v/>
      </c>
      <c r="M145" s="32">
        <f>IF(OR($G145="",$K145=""),"",MIN($K145*12,MAX(0,DATEDIF($G145,Listas!$N$2,"m"))))</f>
        <v/>
      </c>
      <c r="N145" s="33">
        <f>IF(OR($J145="",$M145=""),"",MIN($J145,ROUND($J145*($L145/12)*$M145,2)))</f>
        <v/>
      </c>
      <c r="O145" s="33">
        <f>IF($J145="","",$J145-IF($N145="",0,$N145))</f>
        <v/>
      </c>
      <c r="P145" s="27" t="n"/>
      <c r="Q145" s="27" t="n"/>
      <c r="R145" s="27" t="n"/>
      <c r="S145" s="32">
        <f>IFERROR(INDEX(Listas!$B$2:$B$40,MATCH($R145,Listas!$A$2:$A$40,0)),"")</f>
        <v/>
      </c>
      <c r="T145" s="27" t="n"/>
      <c r="U145" s="28" t="n"/>
      <c r="V145" s="29" t="n"/>
      <c r="W145" s="27" t="n"/>
    </row>
    <row r="146" ht="22" customHeight="1">
      <c r="A146" s="29" t="n"/>
      <c r="B146" s="27" t="n"/>
      <c r="C146" s="27" t="n"/>
      <c r="D146" s="27" t="n"/>
      <c r="E146" s="27" t="n"/>
      <c r="F146" s="27" t="n"/>
      <c r="G146" s="28" t="n"/>
      <c r="H146" s="27" t="n"/>
      <c r="I146" s="29" t="n"/>
      <c r="J146" s="30" t="n"/>
      <c r="K146" s="29" t="n"/>
      <c r="L146" s="31">
        <f>IFERROR(INDEX(Listas!$G$14:$G$21,MATCH($B146,Listas!$F$14:$F$21,0)),"")</f>
        <v/>
      </c>
      <c r="M146" s="32">
        <f>IF(OR($G146="",$K146=""),"",MIN($K146*12,MAX(0,DATEDIF($G146,Listas!$N$2,"m"))))</f>
        <v/>
      </c>
      <c r="N146" s="33">
        <f>IF(OR($J146="",$M146=""),"",MIN($J146,ROUND($J146*($L146/12)*$M146,2)))</f>
        <v/>
      </c>
      <c r="O146" s="33">
        <f>IF($J146="","",$J146-IF($N146="",0,$N146))</f>
        <v/>
      </c>
      <c r="P146" s="27" t="n"/>
      <c r="Q146" s="27" t="n"/>
      <c r="R146" s="27" t="n"/>
      <c r="S146" s="32">
        <f>IFERROR(INDEX(Listas!$B$2:$B$40,MATCH($R146,Listas!$A$2:$A$40,0)),"")</f>
        <v/>
      </c>
      <c r="T146" s="27" t="n"/>
      <c r="U146" s="28" t="n"/>
      <c r="V146" s="29" t="n"/>
      <c r="W146" s="27" t="n"/>
    </row>
    <row r="147" ht="22" customHeight="1">
      <c r="A147" s="29" t="n"/>
      <c r="B147" s="27" t="n"/>
      <c r="C147" s="27" t="n"/>
      <c r="D147" s="27" t="n"/>
      <c r="E147" s="27" t="n"/>
      <c r="F147" s="27" t="n"/>
      <c r="G147" s="28" t="n"/>
      <c r="H147" s="27" t="n"/>
      <c r="I147" s="29" t="n"/>
      <c r="J147" s="30" t="n"/>
      <c r="K147" s="29" t="n"/>
      <c r="L147" s="31">
        <f>IFERROR(INDEX(Listas!$G$14:$G$21,MATCH($B147,Listas!$F$14:$F$21,0)),"")</f>
        <v/>
      </c>
      <c r="M147" s="32">
        <f>IF(OR($G147="",$K147=""),"",MIN($K147*12,MAX(0,DATEDIF($G147,Listas!$N$2,"m"))))</f>
        <v/>
      </c>
      <c r="N147" s="33">
        <f>IF(OR($J147="",$M147=""),"",MIN($J147,ROUND($J147*($L147/12)*$M147,2)))</f>
        <v/>
      </c>
      <c r="O147" s="33">
        <f>IF($J147="","",$J147-IF($N147="",0,$N147))</f>
        <v/>
      </c>
      <c r="P147" s="27" t="n"/>
      <c r="Q147" s="27" t="n"/>
      <c r="R147" s="27" t="n"/>
      <c r="S147" s="32">
        <f>IFERROR(INDEX(Listas!$B$2:$B$40,MATCH($R147,Listas!$A$2:$A$40,0)),"")</f>
        <v/>
      </c>
      <c r="T147" s="27" t="n"/>
      <c r="U147" s="28" t="n"/>
      <c r="V147" s="29" t="n"/>
      <c r="W147" s="27" t="n"/>
    </row>
    <row r="148" ht="22" customHeight="1">
      <c r="A148" s="29" t="n"/>
      <c r="B148" s="27" t="n"/>
      <c r="C148" s="27" t="n"/>
      <c r="D148" s="27" t="n"/>
      <c r="E148" s="27" t="n"/>
      <c r="F148" s="27" t="n"/>
      <c r="G148" s="28" t="n"/>
      <c r="H148" s="27" t="n"/>
      <c r="I148" s="29" t="n"/>
      <c r="J148" s="30" t="n"/>
      <c r="K148" s="29" t="n"/>
      <c r="L148" s="31">
        <f>IFERROR(INDEX(Listas!$G$14:$G$21,MATCH($B148,Listas!$F$14:$F$21,0)),"")</f>
        <v/>
      </c>
      <c r="M148" s="32">
        <f>IF(OR($G148="",$K148=""),"",MIN($K148*12,MAX(0,DATEDIF($G148,Listas!$N$2,"m"))))</f>
        <v/>
      </c>
      <c r="N148" s="33">
        <f>IF(OR($J148="",$M148=""),"",MIN($J148,ROUND($J148*($L148/12)*$M148,2)))</f>
        <v/>
      </c>
      <c r="O148" s="33">
        <f>IF($J148="","",$J148-IF($N148="",0,$N148))</f>
        <v/>
      </c>
      <c r="P148" s="27" t="n"/>
      <c r="Q148" s="27" t="n"/>
      <c r="R148" s="27" t="n"/>
      <c r="S148" s="32">
        <f>IFERROR(INDEX(Listas!$B$2:$B$40,MATCH($R148,Listas!$A$2:$A$40,0)),"")</f>
        <v/>
      </c>
      <c r="T148" s="27" t="n"/>
      <c r="U148" s="28" t="n"/>
      <c r="V148" s="29" t="n"/>
      <c r="W148" s="27" t="n"/>
    </row>
    <row r="149" ht="22" customHeight="1">
      <c r="A149" s="29" t="n"/>
      <c r="B149" s="27" t="n"/>
      <c r="C149" s="27" t="n"/>
      <c r="D149" s="27" t="n"/>
      <c r="E149" s="27" t="n"/>
      <c r="F149" s="27" t="n"/>
      <c r="G149" s="28" t="n"/>
      <c r="H149" s="27" t="n"/>
      <c r="I149" s="29" t="n"/>
      <c r="J149" s="30" t="n"/>
      <c r="K149" s="29" t="n"/>
      <c r="L149" s="31">
        <f>IFERROR(INDEX(Listas!$G$14:$G$21,MATCH($B149,Listas!$F$14:$F$21,0)),"")</f>
        <v/>
      </c>
      <c r="M149" s="32">
        <f>IF(OR($G149="",$K149=""),"",MIN($K149*12,MAX(0,DATEDIF($G149,Listas!$N$2,"m"))))</f>
        <v/>
      </c>
      <c r="N149" s="33">
        <f>IF(OR($J149="",$M149=""),"",MIN($J149,ROUND($J149*($L149/12)*$M149,2)))</f>
        <v/>
      </c>
      <c r="O149" s="33">
        <f>IF($J149="","",$J149-IF($N149="",0,$N149))</f>
        <v/>
      </c>
      <c r="P149" s="27" t="n"/>
      <c r="Q149" s="27" t="n"/>
      <c r="R149" s="27" t="n"/>
      <c r="S149" s="32">
        <f>IFERROR(INDEX(Listas!$B$2:$B$40,MATCH($R149,Listas!$A$2:$A$40,0)),"")</f>
        <v/>
      </c>
      <c r="T149" s="27" t="n"/>
      <c r="U149" s="28" t="n"/>
      <c r="V149" s="29" t="n"/>
      <c r="W149" s="27" t="n"/>
    </row>
    <row r="150" ht="22" customHeight="1">
      <c r="A150" s="29" t="n"/>
      <c r="B150" s="27" t="n"/>
      <c r="C150" s="27" t="n"/>
      <c r="D150" s="27" t="n"/>
      <c r="E150" s="27" t="n"/>
      <c r="F150" s="27" t="n"/>
      <c r="G150" s="28" t="n"/>
      <c r="H150" s="27" t="n"/>
      <c r="I150" s="29" t="n"/>
      <c r="J150" s="30" t="n"/>
      <c r="K150" s="29" t="n"/>
      <c r="L150" s="31">
        <f>IFERROR(INDEX(Listas!$G$14:$G$21,MATCH($B150,Listas!$F$14:$F$21,0)),"")</f>
        <v/>
      </c>
      <c r="M150" s="32">
        <f>IF(OR($G150="",$K150=""),"",MIN($K150*12,MAX(0,DATEDIF($G150,Listas!$N$2,"m"))))</f>
        <v/>
      </c>
      <c r="N150" s="33">
        <f>IF(OR($J150="",$M150=""),"",MIN($J150,ROUND($J150*($L150/12)*$M150,2)))</f>
        <v/>
      </c>
      <c r="O150" s="33">
        <f>IF($J150="","",$J150-IF($N150="",0,$N150))</f>
        <v/>
      </c>
      <c r="P150" s="27" t="n"/>
      <c r="Q150" s="27" t="n"/>
      <c r="R150" s="27" t="n"/>
      <c r="S150" s="32">
        <f>IFERROR(INDEX(Listas!$B$2:$B$40,MATCH($R150,Listas!$A$2:$A$40,0)),"")</f>
        <v/>
      </c>
      <c r="T150" s="27" t="n"/>
      <c r="U150" s="28" t="n"/>
      <c r="V150" s="29" t="n"/>
      <c r="W150" s="27" t="n"/>
    </row>
    <row r="151" ht="22" customHeight="1">
      <c r="A151" s="29" t="n"/>
      <c r="B151" s="27" t="n"/>
      <c r="C151" s="27" t="n"/>
      <c r="D151" s="27" t="n"/>
      <c r="E151" s="27" t="n"/>
      <c r="F151" s="27" t="n"/>
      <c r="G151" s="28" t="n"/>
      <c r="H151" s="27" t="n"/>
      <c r="I151" s="29" t="n"/>
      <c r="J151" s="30" t="n"/>
      <c r="K151" s="29" t="n"/>
      <c r="L151" s="31">
        <f>IFERROR(INDEX(Listas!$G$14:$G$21,MATCH($B151,Listas!$F$14:$F$21,0)),"")</f>
        <v/>
      </c>
      <c r="M151" s="32">
        <f>IF(OR($G151="",$K151=""),"",MIN($K151*12,MAX(0,DATEDIF($G151,Listas!$N$2,"m"))))</f>
        <v/>
      </c>
      <c r="N151" s="33">
        <f>IF(OR($J151="",$M151=""),"",MIN($J151,ROUND($J151*($L151/12)*$M151,2)))</f>
        <v/>
      </c>
      <c r="O151" s="33">
        <f>IF($J151="","",$J151-IF($N151="",0,$N151))</f>
        <v/>
      </c>
      <c r="P151" s="27" t="n"/>
      <c r="Q151" s="27" t="n"/>
      <c r="R151" s="27" t="n"/>
      <c r="S151" s="32">
        <f>IFERROR(INDEX(Listas!$B$2:$B$40,MATCH($R151,Listas!$A$2:$A$40,0)),"")</f>
        <v/>
      </c>
      <c r="T151" s="27" t="n"/>
      <c r="U151" s="28" t="n"/>
      <c r="V151" s="29" t="n"/>
      <c r="W151" s="27" t="n"/>
    </row>
    <row r="152" ht="22" customHeight="1">
      <c r="A152" s="29" t="n"/>
      <c r="B152" s="27" t="n"/>
      <c r="C152" s="27" t="n"/>
      <c r="D152" s="27" t="n"/>
      <c r="E152" s="27" t="n"/>
      <c r="F152" s="27" t="n"/>
      <c r="G152" s="28" t="n"/>
      <c r="H152" s="27" t="n"/>
      <c r="I152" s="29" t="n"/>
      <c r="J152" s="30" t="n"/>
      <c r="K152" s="29" t="n"/>
      <c r="L152" s="31">
        <f>IFERROR(INDEX(Listas!$G$14:$G$21,MATCH($B152,Listas!$F$14:$F$21,0)),"")</f>
        <v/>
      </c>
      <c r="M152" s="32">
        <f>IF(OR($G152="",$K152=""),"",MIN($K152*12,MAX(0,DATEDIF($G152,Listas!$N$2,"m"))))</f>
        <v/>
      </c>
      <c r="N152" s="33">
        <f>IF(OR($J152="",$M152=""),"",MIN($J152,ROUND($J152*($L152/12)*$M152,2)))</f>
        <v/>
      </c>
      <c r="O152" s="33">
        <f>IF($J152="","",$J152-IF($N152="",0,$N152))</f>
        <v/>
      </c>
      <c r="P152" s="27" t="n"/>
      <c r="Q152" s="27" t="n"/>
      <c r="R152" s="27" t="n"/>
      <c r="S152" s="32">
        <f>IFERROR(INDEX(Listas!$B$2:$B$40,MATCH($R152,Listas!$A$2:$A$40,0)),"")</f>
        <v/>
      </c>
      <c r="T152" s="27" t="n"/>
      <c r="U152" s="28" t="n"/>
      <c r="V152" s="29" t="n"/>
      <c r="W152" s="27" t="n"/>
    </row>
    <row r="153" ht="22" customHeight="1">
      <c r="A153" s="29" t="n"/>
      <c r="B153" s="27" t="n"/>
      <c r="C153" s="27" t="n"/>
      <c r="D153" s="27" t="n"/>
      <c r="E153" s="27" t="n"/>
      <c r="F153" s="27" t="n"/>
      <c r="G153" s="28" t="n"/>
      <c r="H153" s="27" t="n"/>
      <c r="I153" s="29" t="n"/>
      <c r="J153" s="30" t="n"/>
      <c r="K153" s="29" t="n"/>
      <c r="L153" s="31">
        <f>IFERROR(INDEX(Listas!$G$14:$G$21,MATCH($B153,Listas!$F$14:$F$21,0)),"")</f>
        <v/>
      </c>
      <c r="M153" s="32">
        <f>IF(OR($G153="",$K153=""),"",MIN($K153*12,MAX(0,DATEDIF($G153,Listas!$N$2,"m"))))</f>
        <v/>
      </c>
      <c r="N153" s="33">
        <f>IF(OR($J153="",$M153=""),"",MIN($J153,ROUND($J153*($L153/12)*$M153,2)))</f>
        <v/>
      </c>
      <c r="O153" s="33">
        <f>IF($J153="","",$J153-IF($N153="",0,$N153))</f>
        <v/>
      </c>
      <c r="P153" s="27" t="n"/>
      <c r="Q153" s="27" t="n"/>
      <c r="R153" s="27" t="n"/>
      <c r="S153" s="32">
        <f>IFERROR(INDEX(Listas!$B$2:$B$40,MATCH($R153,Listas!$A$2:$A$40,0)),"")</f>
        <v/>
      </c>
      <c r="T153" s="27" t="n"/>
      <c r="U153" s="28" t="n"/>
      <c r="V153" s="29" t="n"/>
      <c r="W153" s="27" t="n"/>
    </row>
    <row r="154" ht="22" customHeight="1">
      <c r="A154" s="29" t="n"/>
      <c r="B154" s="27" t="n"/>
      <c r="C154" s="27" t="n"/>
      <c r="D154" s="27" t="n"/>
      <c r="E154" s="27" t="n"/>
      <c r="F154" s="27" t="n"/>
      <c r="G154" s="28" t="n"/>
      <c r="H154" s="27" t="n"/>
      <c r="I154" s="29" t="n"/>
      <c r="J154" s="30" t="n"/>
      <c r="K154" s="29" t="n"/>
      <c r="L154" s="31">
        <f>IFERROR(INDEX(Listas!$G$14:$G$21,MATCH($B154,Listas!$F$14:$F$21,0)),"")</f>
        <v/>
      </c>
      <c r="M154" s="32">
        <f>IF(OR($G154="",$K154=""),"",MIN($K154*12,MAX(0,DATEDIF($G154,Listas!$N$2,"m"))))</f>
        <v/>
      </c>
      <c r="N154" s="33">
        <f>IF(OR($J154="",$M154=""),"",MIN($J154,ROUND($J154*($L154/12)*$M154,2)))</f>
        <v/>
      </c>
      <c r="O154" s="33">
        <f>IF($J154="","",$J154-IF($N154="",0,$N154))</f>
        <v/>
      </c>
      <c r="P154" s="27" t="n"/>
      <c r="Q154" s="27" t="n"/>
      <c r="R154" s="27" t="n"/>
      <c r="S154" s="32">
        <f>IFERROR(INDEX(Listas!$B$2:$B$40,MATCH($R154,Listas!$A$2:$A$40,0)),"")</f>
        <v/>
      </c>
      <c r="T154" s="27" t="n"/>
      <c r="U154" s="28" t="n"/>
      <c r="V154" s="29" t="n"/>
      <c r="W154" s="27" t="n"/>
    </row>
    <row r="155" ht="22" customHeight="1">
      <c r="A155" s="29" t="n"/>
      <c r="B155" s="27" t="n"/>
      <c r="C155" s="27" t="n"/>
      <c r="D155" s="27" t="n"/>
      <c r="E155" s="27" t="n"/>
      <c r="F155" s="27" t="n"/>
      <c r="G155" s="28" t="n"/>
      <c r="H155" s="27" t="n"/>
      <c r="I155" s="29" t="n"/>
      <c r="J155" s="30" t="n"/>
      <c r="K155" s="29" t="n"/>
      <c r="L155" s="31">
        <f>IFERROR(INDEX(Listas!$G$14:$G$21,MATCH($B155,Listas!$F$14:$F$21,0)),"")</f>
        <v/>
      </c>
      <c r="M155" s="32">
        <f>IF(OR($G155="",$K155=""),"",MIN($K155*12,MAX(0,DATEDIF($G155,Listas!$N$2,"m"))))</f>
        <v/>
      </c>
      <c r="N155" s="33">
        <f>IF(OR($J155="",$M155=""),"",MIN($J155,ROUND($J155*($L155/12)*$M155,2)))</f>
        <v/>
      </c>
      <c r="O155" s="33">
        <f>IF($J155="","",$J155-IF($N155="",0,$N155))</f>
        <v/>
      </c>
      <c r="P155" s="27" t="n"/>
      <c r="Q155" s="27" t="n"/>
      <c r="R155" s="27" t="n"/>
      <c r="S155" s="32">
        <f>IFERROR(INDEX(Listas!$B$2:$B$40,MATCH($R155,Listas!$A$2:$A$40,0)),"")</f>
        <v/>
      </c>
      <c r="T155" s="27" t="n"/>
      <c r="U155" s="28" t="n"/>
      <c r="V155" s="29" t="n"/>
      <c r="W155" s="27" t="n"/>
    </row>
    <row r="156" ht="22" customHeight="1">
      <c r="A156" s="29" t="n"/>
      <c r="B156" s="27" t="n"/>
      <c r="C156" s="27" t="n"/>
      <c r="D156" s="27" t="n"/>
      <c r="E156" s="27" t="n"/>
      <c r="F156" s="27" t="n"/>
      <c r="G156" s="28" t="n"/>
      <c r="H156" s="27" t="n"/>
      <c r="I156" s="29" t="n"/>
      <c r="J156" s="30" t="n"/>
      <c r="K156" s="29" t="n"/>
      <c r="L156" s="31">
        <f>IFERROR(INDEX(Listas!$G$14:$G$21,MATCH($B156,Listas!$F$14:$F$21,0)),"")</f>
        <v/>
      </c>
      <c r="M156" s="32">
        <f>IF(OR($G156="",$K156=""),"",MIN($K156*12,MAX(0,DATEDIF($G156,Listas!$N$2,"m"))))</f>
        <v/>
      </c>
      <c r="N156" s="33">
        <f>IF(OR($J156="",$M156=""),"",MIN($J156,ROUND($J156*($L156/12)*$M156,2)))</f>
        <v/>
      </c>
      <c r="O156" s="33">
        <f>IF($J156="","",$J156-IF($N156="",0,$N156))</f>
        <v/>
      </c>
      <c r="P156" s="27" t="n"/>
      <c r="Q156" s="27" t="n"/>
      <c r="R156" s="27" t="n"/>
      <c r="S156" s="32">
        <f>IFERROR(INDEX(Listas!$B$2:$B$40,MATCH($R156,Listas!$A$2:$A$40,0)),"")</f>
        <v/>
      </c>
      <c r="T156" s="27" t="n"/>
      <c r="U156" s="28" t="n"/>
      <c r="V156" s="29" t="n"/>
      <c r="W156" s="27" t="n"/>
    </row>
    <row r="158">
      <c r="A158" s="35" t="inlineStr">
        <is>
          <t xml:space="preserve">  COMO USAR ESTA ABA</t>
        </is>
      </c>
    </row>
    <row r="159">
      <c r="A159" s="36" t="inlineStr">
        <is>
          <t>1.  Células de fundo creme são de preenchimento manual. Células de fundo cinza-azulado são calculadas — não editar.</t>
        </is>
      </c>
    </row>
    <row r="160">
      <c r="A160" s="36" t="inlineStr">
        <is>
          <t>2.  As dez primeiras linhas são o parque instalado já conhecido: complete data de aquisição, valor, fornecedor e nota fiscal.</t>
        </is>
      </c>
    </row>
    <row r="161">
      <c r="A161" s="36" t="inlineStr">
        <is>
          <t>3.  As doze linhas seguintes são um kit de referência com valores de exemplo — ajuste conforme a compra real.</t>
        </is>
      </c>
    </row>
    <row r="162">
      <c r="A162" s="36" t="inlineStr">
        <is>
          <t>4.  Depreciação linear: valor de aquisição × taxa anual ÷ 12 × meses de uso, limitada ao valor de aquisição.</t>
        </is>
      </c>
    </row>
    <row r="163">
      <c r="A163" s="36" t="inlineStr">
        <is>
          <t>5.  Ao ceder um item, preencha Responsável, Estado na entrega e Data de entrega, e gere o termo na aba da pessoa.</t>
        </is>
      </c>
    </row>
  </sheetData>
  <autoFilter ref="A6:W156"/>
  <mergeCells count="10">
    <mergeCell ref="A163:H163"/>
    <mergeCell ref="A162:H162"/>
    <mergeCell ref="A1:W1"/>
    <mergeCell ref="A4:W4"/>
    <mergeCell ref="A160:H160"/>
    <mergeCell ref="A3:W3"/>
    <mergeCell ref="A161:H161"/>
    <mergeCell ref="A2:W2"/>
    <mergeCell ref="A158:H158"/>
    <mergeCell ref="A159:H159"/>
  </mergeCells>
  <dataValidations count="6">
    <dataValidation sqref="B7:B156" showDropDown="0" showInputMessage="0" showErrorMessage="0" allowBlank="1" type="list">
      <formula1>=Listas!$F$2:$F$9</formula1>
    </dataValidation>
    <dataValidation sqref="P7:P156" showDropDown="0" showInputMessage="0" showErrorMessage="0" allowBlank="1" type="list">
      <formula1>=Listas!$G$2:$G$6</formula1>
    </dataValidation>
    <dataValidation sqref="Q7:Q156" showDropDown="0" showInputMessage="0" showErrorMessage="0" allowBlank="1" type="list">
      <formula1>=Listas!$H$2:$H$6</formula1>
    </dataValidation>
    <dataValidation sqref="R7:R156" showDropDown="0" showInputMessage="0" showErrorMessage="0" allowBlank="1" type="list">
      <formula1>=Listas!$A$2:$A$9</formula1>
    </dataValidation>
    <dataValidation sqref="T7:T156" showDropDown="0" showInputMessage="0" showErrorMessage="0" allowBlank="1" type="list">
      <formula1>=Listas!$J$2:$J$5</formula1>
    </dataValidation>
    <dataValidation sqref="V7:V156" showDropDown="0" showInputMessage="0" showErrorMessage="0" allowBlank="1" type="list">
      <formula1>=Listas!$I$2:$I$3</formula1>
    </dataValidation>
  </dataValidations>
  <pageMargins left="0.45" right="0.35" top="0.4" bottom="0.35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44" customWidth="1" min="3" max="3"/>
    <col width="18" customWidth="1" min="4" max="4"/>
    <col width="20" customWidth="1" min="5" max="5"/>
    <col width="20" customWidth="1" min="6" max="6"/>
    <col width="16" customWidth="1" min="7" max="7"/>
    <col width="20" customWidth="1" min="8" max="8"/>
    <col width="18" customWidth="1" min="9" max="9"/>
    <col width="40" customWidth="1" min="10" max="10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MOVIMENTAÇÕES</t>
        </is>
      </c>
    </row>
    <row r="4" ht="17" customHeight="1">
      <c r="A4" s="4" t="inlineStr">
        <is>
          <t>Histórico de entregas, devoluções, manutenções e baixas — uma linha por evento</t>
        </is>
      </c>
    </row>
    <row r="6" ht="30" customHeight="1">
      <c r="A6" s="25" t="inlineStr">
        <is>
          <t>Data</t>
        </is>
      </c>
      <c r="B6" s="25" t="inlineStr">
        <is>
          <t>Código do item</t>
        </is>
      </c>
      <c r="C6" s="25" t="inlineStr">
        <is>
          <t>Descrição</t>
        </is>
      </c>
      <c r="D6" s="25" t="inlineStr">
        <is>
          <t>Movimento</t>
        </is>
      </c>
      <c r="E6" s="25" t="inlineStr">
        <is>
          <t>De</t>
        </is>
      </c>
      <c r="F6" s="25" t="inlineStr">
        <is>
          <t>Para</t>
        </is>
      </c>
      <c r="G6" s="25" t="inlineStr">
        <is>
          <t>Estado do item</t>
        </is>
      </c>
      <c r="H6" s="25" t="inlineStr">
        <is>
          <t>Documento / termo</t>
        </is>
      </c>
      <c r="I6" s="25" t="inlineStr">
        <is>
          <t>Registrado por</t>
        </is>
      </c>
      <c r="J6" s="25" t="inlineStr">
        <is>
          <t>Observações</t>
        </is>
      </c>
    </row>
    <row r="7" ht="20" customHeight="1">
      <c r="A7" s="28" t="n"/>
      <c r="B7" s="29" t="n"/>
      <c r="C7" s="37">
        <f>IFERROR(INDEX('Patrimônio Geral'!$C$7:$C$156,MATCH($B7,'Patrimônio Geral'!$A$7:$A$156,0)),"")</f>
        <v/>
      </c>
      <c r="D7" s="29" t="n"/>
      <c r="E7" s="27" t="n"/>
      <c r="F7" s="27" t="n"/>
      <c r="G7" s="29" t="n"/>
      <c r="H7" s="27" t="n"/>
      <c r="I7" s="27" t="n"/>
      <c r="J7" s="27" t="n"/>
    </row>
    <row r="8" ht="20" customHeight="1">
      <c r="A8" s="28" t="n"/>
      <c r="B8" s="29" t="n"/>
      <c r="C8" s="37">
        <f>IFERROR(INDEX('Patrimônio Geral'!$C$7:$C$156,MATCH($B8,'Patrimônio Geral'!$A$7:$A$156,0)),"")</f>
        <v/>
      </c>
      <c r="D8" s="29" t="n"/>
      <c r="E8" s="27" t="n"/>
      <c r="F8" s="27" t="n"/>
      <c r="G8" s="29" t="n"/>
      <c r="H8" s="27" t="n"/>
      <c r="I8" s="27" t="n"/>
      <c r="J8" s="27" t="n"/>
    </row>
    <row r="9" ht="20" customHeight="1">
      <c r="A9" s="28" t="n"/>
      <c r="B9" s="29" t="n"/>
      <c r="C9" s="37">
        <f>IFERROR(INDEX('Patrimônio Geral'!$C$7:$C$156,MATCH($B9,'Patrimônio Geral'!$A$7:$A$156,0)),"")</f>
        <v/>
      </c>
      <c r="D9" s="29" t="n"/>
      <c r="E9" s="27" t="n"/>
      <c r="F9" s="27" t="n"/>
      <c r="G9" s="29" t="n"/>
      <c r="H9" s="27" t="n"/>
      <c r="I9" s="27" t="n"/>
      <c r="J9" s="27" t="n"/>
    </row>
    <row r="10" ht="20" customHeight="1">
      <c r="A10" s="28" t="n"/>
      <c r="B10" s="29" t="n"/>
      <c r="C10" s="37">
        <f>IFERROR(INDEX('Patrimônio Geral'!$C$7:$C$156,MATCH($B10,'Patrimônio Geral'!$A$7:$A$156,0)),"")</f>
        <v/>
      </c>
      <c r="D10" s="29" t="n"/>
      <c r="E10" s="27" t="n"/>
      <c r="F10" s="27" t="n"/>
      <c r="G10" s="29" t="n"/>
      <c r="H10" s="27" t="n"/>
      <c r="I10" s="27" t="n"/>
      <c r="J10" s="27" t="n"/>
    </row>
    <row r="11" ht="20" customHeight="1">
      <c r="A11" s="28" t="n"/>
      <c r="B11" s="29" t="n"/>
      <c r="C11" s="37">
        <f>IFERROR(INDEX('Patrimônio Geral'!$C$7:$C$156,MATCH($B11,'Patrimônio Geral'!$A$7:$A$156,0)),"")</f>
        <v/>
      </c>
      <c r="D11" s="29" t="n"/>
      <c r="E11" s="27" t="n"/>
      <c r="F11" s="27" t="n"/>
      <c r="G11" s="29" t="n"/>
      <c r="H11" s="27" t="n"/>
      <c r="I11" s="27" t="n"/>
      <c r="J11" s="27" t="n"/>
    </row>
    <row r="12" ht="20" customHeight="1">
      <c r="A12" s="28" t="n"/>
      <c r="B12" s="29" t="n"/>
      <c r="C12" s="37">
        <f>IFERROR(INDEX('Patrimônio Geral'!$C$7:$C$156,MATCH($B12,'Patrimônio Geral'!$A$7:$A$156,0)),"")</f>
        <v/>
      </c>
      <c r="D12" s="29" t="n"/>
      <c r="E12" s="27" t="n"/>
      <c r="F12" s="27" t="n"/>
      <c r="G12" s="29" t="n"/>
      <c r="H12" s="27" t="n"/>
      <c r="I12" s="27" t="n"/>
      <c r="J12" s="27" t="n"/>
    </row>
    <row r="13" ht="20" customHeight="1">
      <c r="A13" s="28" t="n"/>
      <c r="B13" s="29" t="n"/>
      <c r="C13" s="37">
        <f>IFERROR(INDEX('Patrimônio Geral'!$C$7:$C$156,MATCH($B13,'Patrimônio Geral'!$A$7:$A$156,0)),"")</f>
        <v/>
      </c>
      <c r="D13" s="29" t="n"/>
      <c r="E13" s="27" t="n"/>
      <c r="F13" s="27" t="n"/>
      <c r="G13" s="29" t="n"/>
      <c r="H13" s="27" t="n"/>
      <c r="I13" s="27" t="n"/>
      <c r="J13" s="27" t="n"/>
    </row>
    <row r="14" ht="20" customHeight="1">
      <c r="A14" s="28" t="n"/>
      <c r="B14" s="29" t="n"/>
      <c r="C14" s="37">
        <f>IFERROR(INDEX('Patrimônio Geral'!$C$7:$C$156,MATCH($B14,'Patrimônio Geral'!$A$7:$A$156,0)),"")</f>
        <v/>
      </c>
      <c r="D14" s="29" t="n"/>
      <c r="E14" s="27" t="n"/>
      <c r="F14" s="27" t="n"/>
      <c r="G14" s="29" t="n"/>
      <c r="H14" s="27" t="n"/>
      <c r="I14" s="27" t="n"/>
      <c r="J14" s="27" t="n"/>
    </row>
    <row r="15" ht="20" customHeight="1">
      <c r="A15" s="28" t="n"/>
      <c r="B15" s="29" t="n"/>
      <c r="C15" s="37">
        <f>IFERROR(INDEX('Patrimônio Geral'!$C$7:$C$156,MATCH($B15,'Patrimônio Geral'!$A$7:$A$156,0)),"")</f>
        <v/>
      </c>
      <c r="D15" s="29" t="n"/>
      <c r="E15" s="27" t="n"/>
      <c r="F15" s="27" t="n"/>
      <c r="G15" s="29" t="n"/>
      <c r="H15" s="27" t="n"/>
      <c r="I15" s="27" t="n"/>
      <c r="J15" s="27" t="n"/>
    </row>
    <row r="16" ht="20" customHeight="1">
      <c r="A16" s="28" t="n"/>
      <c r="B16" s="29" t="n"/>
      <c r="C16" s="37">
        <f>IFERROR(INDEX('Patrimônio Geral'!$C$7:$C$156,MATCH($B16,'Patrimônio Geral'!$A$7:$A$156,0)),"")</f>
        <v/>
      </c>
      <c r="D16" s="29" t="n"/>
      <c r="E16" s="27" t="n"/>
      <c r="F16" s="27" t="n"/>
      <c r="G16" s="29" t="n"/>
      <c r="H16" s="27" t="n"/>
      <c r="I16" s="27" t="n"/>
      <c r="J16" s="27" t="n"/>
    </row>
    <row r="17" ht="20" customHeight="1">
      <c r="A17" s="28" t="n"/>
      <c r="B17" s="29" t="n"/>
      <c r="C17" s="37">
        <f>IFERROR(INDEX('Patrimônio Geral'!$C$7:$C$156,MATCH($B17,'Patrimônio Geral'!$A$7:$A$156,0)),"")</f>
        <v/>
      </c>
      <c r="D17" s="29" t="n"/>
      <c r="E17" s="27" t="n"/>
      <c r="F17" s="27" t="n"/>
      <c r="G17" s="29" t="n"/>
      <c r="H17" s="27" t="n"/>
      <c r="I17" s="27" t="n"/>
      <c r="J17" s="27" t="n"/>
    </row>
    <row r="18" ht="20" customHeight="1">
      <c r="A18" s="28" t="n"/>
      <c r="B18" s="29" t="n"/>
      <c r="C18" s="37">
        <f>IFERROR(INDEX('Patrimônio Geral'!$C$7:$C$156,MATCH($B18,'Patrimônio Geral'!$A$7:$A$156,0)),"")</f>
        <v/>
      </c>
      <c r="D18" s="29" t="n"/>
      <c r="E18" s="27" t="n"/>
      <c r="F18" s="27" t="n"/>
      <c r="G18" s="29" t="n"/>
      <c r="H18" s="27" t="n"/>
      <c r="I18" s="27" t="n"/>
      <c r="J18" s="27" t="n"/>
    </row>
    <row r="19" ht="20" customHeight="1">
      <c r="A19" s="28" t="n"/>
      <c r="B19" s="29" t="n"/>
      <c r="C19" s="37">
        <f>IFERROR(INDEX('Patrimônio Geral'!$C$7:$C$156,MATCH($B19,'Patrimônio Geral'!$A$7:$A$156,0)),"")</f>
        <v/>
      </c>
      <c r="D19" s="29" t="n"/>
      <c r="E19" s="27" t="n"/>
      <c r="F19" s="27" t="n"/>
      <c r="G19" s="29" t="n"/>
      <c r="H19" s="27" t="n"/>
      <c r="I19" s="27" t="n"/>
      <c r="J19" s="27" t="n"/>
    </row>
    <row r="20" ht="20" customHeight="1">
      <c r="A20" s="28" t="n"/>
      <c r="B20" s="29" t="n"/>
      <c r="C20" s="37">
        <f>IFERROR(INDEX('Patrimônio Geral'!$C$7:$C$156,MATCH($B20,'Patrimônio Geral'!$A$7:$A$156,0)),"")</f>
        <v/>
      </c>
      <c r="D20" s="29" t="n"/>
      <c r="E20" s="27" t="n"/>
      <c r="F20" s="27" t="n"/>
      <c r="G20" s="29" t="n"/>
      <c r="H20" s="27" t="n"/>
      <c r="I20" s="27" t="n"/>
      <c r="J20" s="27" t="n"/>
    </row>
    <row r="21" ht="20" customHeight="1">
      <c r="A21" s="28" t="n"/>
      <c r="B21" s="29" t="n"/>
      <c r="C21" s="37">
        <f>IFERROR(INDEX('Patrimônio Geral'!$C$7:$C$156,MATCH($B21,'Patrimônio Geral'!$A$7:$A$156,0)),"")</f>
        <v/>
      </c>
      <c r="D21" s="29" t="n"/>
      <c r="E21" s="27" t="n"/>
      <c r="F21" s="27" t="n"/>
      <c r="G21" s="29" t="n"/>
      <c r="H21" s="27" t="n"/>
      <c r="I21" s="27" t="n"/>
      <c r="J21" s="27" t="n"/>
    </row>
    <row r="22" ht="20" customHeight="1">
      <c r="A22" s="28" t="n"/>
      <c r="B22" s="29" t="n"/>
      <c r="C22" s="37">
        <f>IFERROR(INDEX('Patrimônio Geral'!$C$7:$C$156,MATCH($B22,'Patrimônio Geral'!$A$7:$A$156,0)),"")</f>
        <v/>
      </c>
      <c r="D22" s="29" t="n"/>
      <c r="E22" s="27" t="n"/>
      <c r="F22" s="27" t="n"/>
      <c r="G22" s="29" t="n"/>
      <c r="H22" s="27" t="n"/>
      <c r="I22" s="27" t="n"/>
      <c r="J22" s="27" t="n"/>
    </row>
    <row r="23" ht="20" customHeight="1">
      <c r="A23" s="28" t="n"/>
      <c r="B23" s="29" t="n"/>
      <c r="C23" s="37">
        <f>IFERROR(INDEX('Patrimônio Geral'!$C$7:$C$156,MATCH($B23,'Patrimônio Geral'!$A$7:$A$156,0)),"")</f>
        <v/>
      </c>
      <c r="D23" s="29" t="n"/>
      <c r="E23" s="27" t="n"/>
      <c r="F23" s="27" t="n"/>
      <c r="G23" s="29" t="n"/>
      <c r="H23" s="27" t="n"/>
      <c r="I23" s="27" t="n"/>
      <c r="J23" s="27" t="n"/>
    </row>
    <row r="24" ht="20" customHeight="1">
      <c r="A24" s="28" t="n"/>
      <c r="B24" s="29" t="n"/>
      <c r="C24" s="37">
        <f>IFERROR(INDEX('Patrimônio Geral'!$C$7:$C$156,MATCH($B24,'Patrimônio Geral'!$A$7:$A$156,0)),"")</f>
        <v/>
      </c>
      <c r="D24" s="29" t="n"/>
      <c r="E24" s="27" t="n"/>
      <c r="F24" s="27" t="n"/>
      <c r="G24" s="29" t="n"/>
      <c r="H24" s="27" t="n"/>
      <c r="I24" s="27" t="n"/>
      <c r="J24" s="27" t="n"/>
    </row>
    <row r="25" ht="20" customHeight="1">
      <c r="A25" s="28" t="n"/>
      <c r="B25" s="29" t="n"/>
      <c r="C25" s="37">
        <f>IFERROR(INDEX('Patrimônio Geral'!$C$7:$C$156,MATCH($B25,'Patrimônio Geral'!$A$7:$A$156,0)),"")</f>
        <v/>
      </c>
      <c r="D25" s="29" t="n"/>
      <c r="E25" s="27" t="n"/>
      <c r="F25" s="27" t="n"/>
      <c r="G25" s="29" t="n"/>
      <c r="H25" s="27" t="n"/>
      <c r="I25" s="27" t="n"/>
      <c r="J25" s="27" t="n"/>
    </row>
    <row r="26" ht="20" customHeight="1">
      <c r="A26" s="28" t="n"/>
      <c r="B26" s="29" t="n"/>
      <c r="C26" s="37">
        <f>IFERROR(INDEX('Patrimônio Geral'!$C$7:$C$156,MATCH($B26,'Patrimônio Geral'!$A$7:$A$156,0)),"")</f>
        <v/>
      </c>
      <c r="D26" s="29" t="n"/>
      <c r="E26" s="27" t="n"/>
      <c r="F26" s="27" t="n"/>
      <c r="G26" s="29" t="n"/>
      <c r="H26" s="27" t="n"/>
      <c r="I26" s="27" t="n"/>
      <c r="J26" s="27" t="n"/>
    </row>
    <row r="27" ht="20" customHeight="1">
      <c r="A27" s="28" t="n"/>
      <c r="B27" s="29" t="n"/>
      <c r="C27" s="37">
        <f>IFERROR(INDEX('Patrimônio Geral'!$C$7:$C$156,MATCH($B27,'Patrimônio Geral'!$A$7:$A$156,0)),"")</f>
        <v/>
      </c>
      <c r="D27" s="29" t="n"/>
      <c r="E27" s="27" t="n"/>
      <c r="F27" s="27" t="n"/>
      <c r="G27" s="29" t="n"/>
      <c r="H27" s="27" t="n"/>
      <c r="I27" s="27" t="n"/>
      <c r="J27" s="27" t="n"/>
    </row>
    <row r="28" ht="20" customHeight="1">
      <c r="A28" s="28" t="n"/>
      <c r="B28" s="29" t="n"/>
      <c r="C28" s="37">
        <f>IFERROR(INDEX('Patrimônio Geral'!$C$7:$C$156,MATCH($B28,'Patrimônio Geral'!$A$7:$A$156,0)),"")</f>
        <v/>
      </c>
      <c r="D28" s="29" t="n"/>
      <c r="E28" s="27" t="n"/>
      <c r="F28" s="27" t="n"/>
      <c r="G28" s="29" t="n"/>
      <c r="H28" s="27" t="n"/>
      <c r="I28" s="27" t="n"/>
      <c r="J28" s="27" t="n"/>
    </row>
    <row r="29" ht="20" customHeight="1">
      <c r="A29" s="28" t="n"/>
      <c r="B29" s="29" t="n"/>
      <c r="C29" s="37">
        <f>IFERROR(INDEX('Patrimônio Geral'!$C$7:$C$156,MATCH($B29,'Patrimônio Geral'!$A$7:$A$156,0)),"")</f>
        <v/>
      </c>
      <c r="D29" s="29" t="n"/>
      <c r="E29" s="27" t="n"/>
      <c r="F29" s="27" t="n"/>
      <c r="G29" s="29" t="n"/>
      <c r="H29" s="27" t="n"/>
      <c r="I29" s="27" t="n"/>
      <c r="J29" s="27" t="n"/>
    </row>
    <row r="30" ht="20" customHeight="1">
      <c r="A30" s="28" t="n"/>
      <c r="B30" s="29" t="n"/>
      <c r="C30" s="37">
        <f>IFERROR(INDEX('Patrimônio Geral'!$C$7:$C$156,MATCH($B30,'Patrimônio Geral'!$A$7:$A$156,0)),"")</f>
        <v/>
      </c>
      <c r="D30" s="29" t="n"/>
      <c r="E30" s="27" t="n"/>
      <c r="F30" s="27" t="n"/>
      <c r="G30" s="29" t="n"/>
      <c r="H30" s="27" t="n"/>
      <c r="I30" s="27" t="n"/>
      <c r="J30" s="27" t="n"/>
    </row>
    <row r="31" ht="20" customHeight="1">
      <c r="A31" s="28" t="n"/>
      <c r="B31" s="29" t="n"/>
      <c r="C31" s="37">
        <f>IFERROR(INDEX('Patrimônio Geral'!$C$7:$C$156,MATCH($B31,'Patrimônio Geral'!$A$7:$A$156,0)),"")</f>
        <v/>
      </c>
      <c r="D31" s="29" t="n"/>
      <c r="E31" s="27" t="n"/>
      <c r="F31" s="27" t="n"/>
      <c r="G31" s="29" t="n"/>
      <c r="H31" s="27" t="n"/>
      <c r="I31" s="27" t="n"/>
      <c r="J31" s="27" t="n"/>
    </row>
    <row r="32" ht="20" customHeight="1">
      <c r="A32" s="28" t="n"/>
      <c r="B32" s="29" t="n"/>
      <c r="C32" s="37">
        <f>IFERROR(INDEX('Patrimônio Geral'!$C$7:$C$156,MATCH($B32,'Patrimônio Geral'!$A$7:$A$156,0)),"")</f>
        <v/>
      </c>
      <c r="D32" s="29" t="n"/>
      <c r="E32" s="27" t="n"/>
      <c r="F32" s="27" t="n"/>
      <c r="G32" s="29" t="n"/>
      <c r="H32" s="27" t="n"/>
      <c r="I32" s="27" t="n"/>
      <c r="J32" s="27" t="n"/>
    </row>
    <row r="33" ht="20" customHeight="1">
      <c r="A33" s="28" t="n"/>
      <c r="B33" s="29" t="n"/>
      <c r="C33" s="37">
        <f>IFERROR(INDEX('Patrimônio Geral'!$C$7:$C$156,MATCH($B33,'Patrimônio Geral'!$A$7:$A$156,0)),"")</f>
        <v/>
      </c>
      <c r="D33" s="29" t="n"/>
      <c r="E33" s="27" t="n"/>
      <c r="F33" s="27" t="n"/>
      <c r="G33" s="29" t="n"/>
      <c r="H33" s="27" t="n"/>
      <c r="I33" s="27" t="n"/>
      <c r="J33" s="27" t="n"/>
    </row>
    <row r="34" ht="20" customHeight="1">
      <c r="A34" s="28" t="n"/>
      <c r="B34" s="29" t="n"/>
      <c r="C34" s="37">
        <f>IFERROR(INDEX('Patrimônio Geral'!$C$7:$C$156,MATCH($B34,'Patrimônio Geral'!$A$7:$A$156,0)),"")</f>
        <v/>
      </c>
      <c r="D34" s="29" t="n"/>
      <c r="E34" s="27" t="n"/>
      <c r="F34" s="27" t="n"/>
      <c r="G34" s="29" t="n"/>
      <c r="H34" s="27" t="n"/>
      <c r="I34" s="27" t="n"/>
      <c r="J34" s="27" t="n"/>
    </row>
    <row r="35" ht="20" customHeight="1">
      <c r="A35" s="28" t="n"/>
      <c r="B35" s="29" t="n"/>
      <c r="C35" s="37">
        <f>IFERROR(INDEX('Patrimônio Geral'!$C$7:$C$156,MATCH($B35,'Patrimônio Geral'!$A$7:$A$156,0)),"")</f>
        <v/>
      </c>
      <c r="D35" s="29" t="n"/>
      <c r="E35" s="27" t="n"/>
      <c r="F35" s="27" t="n"/>
      <c r="G35" s="29" t="n"/>
      <c r="H35" s="27" t="n"/>
      <c r="I35" s="27" t="n"/>
      <c r="J35" s="27" t="n"/>
    </row>
    <row r="36" ht="20" customHeight="1">
      <c r="A36" s="28" t="n"/>
      <c r="B36" s="29" t="n"/>
      <c r="C36" s="37">
        <f>IFERROR(INDEX('Patrimônio Geral'!$C$7:$C$156,MATCH($B36,'Patrimônio Geral'!$A$7:$A$156,0)),"")</f>
        <v/>
      </c>
      <c r="D36" s="29" t="n"/>
      <c r="E36" s="27" t="n"/>
      <c r="F36" s="27" t="n"/>
      <c r="G36" s="29" t="n"/>
      <c r="H36" s="27" t="n"/>
      <c r="I36" s="27" t="n"/>
      <c r="J36" s="27" t="n"/>
    </row>
    <row r="37" ht="20" customHeight="1">
      <c r="A37" s="28" t="n"/>
      <c r="B37" s="29" t="n"/>
      <c r="C37" s="37">
        <f>IFERROR(INDEX('Patrimônio Geral'!$C$7:$C$156,MATCH($B37,'Patrimônio Geral'!$A$7:$A$156,0)),"")</f>
        <v/>
      </c>
      <c r="D37" s="29" t="n"/>
      <c r="E37" s="27" t="n"/>
      <c r="F37" s="27" t="n"/>
      <c r="G37" s="29" t="n"/>
      <c r="H37" s="27" t="n"/>
      <c r="I37" s="27" t="n"/>
      <c r="J37" s="27" t="n"/>
    </row>
    <row r="38" ht="20" customHeight="1">
      <c r="A38" s="28" t="n"/>
      <c r="B38" s="29" t="n"/>
      <c r="C38" s="37">
        <f>IFERROR(INDEX('Patrimônio Geral'!$C$7:$C$156,MATCH($B38,'Patrimônio Geral'!$A$7:$A$156,0)),"")</f>
        <v/>
      </c>
      <c r="D38" s="29" t="n"/>
      <c r="E38" s="27" t="n"/>
      <c r="F38" s="27" t="n"/>
      <c r="G38" s="29" t="n"/>
      <c r="H38" s="27" t="n"/>
      <c r="I38" s="27" t="n"/>
      <c r="J38" s="27" t="n"/>
    </row>
    <row r="39" ht="20" customHeight="1">
      <c r="A39" s="28" t="n"/>
      <c r="B39" s="29" t="n"/>
      <c r="C39" s="37">
        <f>IFERROR(INDEX('Patrimônio Geral'!$C$7:$C$156,MATCH($B39,'Patrimônio Geral'!$A$7:$A$156,0)),"")</f>
        <v/>
      </c>
      <c r="D39" s="29" t="n"/>
      <c r="E39" s="27" t="n"/>
      <c r="F39" s="27" t="n"/>
      <c r="G39" s="29" t="n"/>
      <c r="H39" s="27" t="n"/>
      <c r="I39" s="27" t="n"/>
      <c r="J39" s="27" t="n"/>
    </row>
    <row r="40" ht="20" customHeight="1">
      <c r="A40" s="28" t="n"/>
      <c r="B40" s="29" t="n"/>
      <c r="C40" s="37">
        <f>IFERROR(INDEX('Patrimônio Geral'!$C$7:$C$156,MATCH($B40,'Patrimônio Geral'!$A$7:$A$156,0)),"")</f>
        <v/>
      </c>
      <c r="D40" s="29" t="n"/>
      <c r="E40" s="27" t="n"/>
      <c r="F40" s="27" t="n"/>
      <c r="G40" s="29" t="n"/>
      <c r="H40" s="27" t="n"/>
      <c r="I40" s="27" t="n"/>
      <c r="J40" s="27" t="n"/>
    </row>
    <row r="41" ht="20" customHeight="1">
      <c r="A41" s="28" t="n"/>
      <c r="B41" s="29" t="n"/>
      <c r="C41" s="37">
        <f>IFERROR(INDEX('Patrimônio Geral'!$C$7:$C$156,MATCH($B41,'Patrimônio Geral'!$A$7:$A$156,0)),"")</f>
        <v/>
      </c>
      <c r="D41" s="29" t="n"/>
      <c r="E41" s="27" t="n"/>
      <c r="F41" s="27" t="n"/>
      <c r="G41" s="29" t="n"/>
      <c r="H41" s="27" t="n"/>
      <c r="I41" s="27" t="n"/>
      <c r="J41" s="27" t="n"/>
    </row>
    <row r="42" ht="20" customHeight="1">
      <c r="A42" s="28" t="n"/>
      <c r="B42" s="29" t="n"/>
      <c r="C42" s="37">
        <f>IFERROR(INDEX('Patrimônio Geral'!$C$7:$C$156,MATCH($B42,'Patrimônio Geral'!$A$7:$A$156,0)),"")</f>
        <v/>
      </c>
      <c r="D42" s="29" t="n"/>
      <c r="E42" s="27" t="n"/>
      <c r="F42" s="27" t="n"/>
      <c r="G42" s="29" t="n"/>
      <c r="H42" s="27" t="n"/>
      <c r="I42" s="27" t="n"/>
      <c r="J42" s="27" t="n"/>
    </row>
    <row r="43" ht="20" customHeight="1">
      <c r="A43" s="28" t="n"/>
      <c r="B43" s="29" t="n"/>
      <c r="C43" s="37">
        <f>IFERROR(INDEX('Patrimônio Geral'!$C$7:$C$156,MATCH($B43,'Patrimônio Geral'!$A$7:$A$156,0)),"")</f>
        <v/>
      </c>
      <c r="D43" s="29" t="n"/>
      <c r="E43" s="27" t="n"/>
      <c r="F43" s="27" t="n"/>
      <c r="G43" s="29" t="n"/>
      <c r="H43" s="27" t="n"/>
      <c r="I43" s="27" t="n"/>
      <c r="J43" s="27" t="n"/>
    </row>
    <row r="44" ht="20" customHeight="1">
      <c r="A44" s="28" t="n"/>
      <c r="B44" s="29" t="n"/>
      <c r="C44" s="37">
        <f>IFERROR(INDEX('Patrimônio Geral'!$C$7:$C$156,MATCH($B44,'Patrimônio Geral'!$A$7:$A$156,0)),"")</f>
        <v/>
      </c>
      <c r="D44" s="29" t="n"/>
      <c r="E44" s="27" t="n"/>
      <c r="F44" s="27" t="n"/>
      <c r="G44" s="29" t="n"/>
      <c r="H44" s="27" t="n"/>
      <c r="I44" s="27" t="n"/>
      <c r="J44" s="27" t="n"/>
    </row>
    <row r="45" ht="20" customHeight="1">
      <c r="A45" s="28" t="n"/>
      <c r="B45" s="29" t="n"/>
      <c r="C45" s="37">
        <f>IFERROR(INDEX('Patrimônio Geral'!$C$7:$C$156,MATCH($B45,'Patrimônio Geral'!$A$7:$A$156,0)),"")</f>
        <v/>
      </c>
      <c r="D45" s="29" t="n"/>
      <c r="E45" s="27" t="n"/>
      <c r="F45" s="27" t="n"/>
      <c r="G45" s="29" t="n"/>
      <c r="H45" s="27" t="n"/>
      <c r="I45" s="27" t="n"/>
      <c r="J45" s="27" t="n"/>
    </row>
    <row r="46" ht="20" customHeight="1">
      <c r="A46" s="28" t="n"/>
      <c r="B46" s="29" t="n"/>
      <c r="C46" s="37">
        <f>IFERROR(INDEX('Patrimônio Geral'!$C$7:$C$156,MATCH($B46,'Patrimônio Geral'!$A$7:$A$156,0)),"")</f>
        <v/>
      </c>
      <c r="D46" s="29" t="n"/>
      <c r="E46" s="27" t="n"/>
      <c r="F46" s="27" t="n"/>
      <c r="G46" s="29" t="n"/>
      <c r="H46" s="27" t="n"/>
      <c r="I46" s="27" t="n"/>
      <c r="J46" s="27" t="n"/>
    </row>
    <row r="47" ht="20" customHeight="1">
      <c r="A47" s="28" t="n"/>
      <c r="B47" s="29" t="n"/>
      <c r="C47" s="37">
        <f>IFERROR(INDEX('Patrimônio Geral'!$C$7:$C$156,MATCH($B47,'Patrimônio Geral'!$A$7:$A$156,0)),"")</f>
        <v/>
      </c>
      <c r="D47" s="29" t="n"/>
      <c r="E47" s="27" t="n"/>
      <c r="F47" s="27" t="n"/>
      <c r="G47" s="29" t="n"/>
      <c r="H47" s="27" t="n"/>
      <c r="I47" s="27" t="n"/>
      <c r="J47" s="27" t="n"/>
    </row>
    <row r="48" ht="20" customHeight="1">
      <c r="A48" s="28" t="n"/>
      <c r="B48" s="29" t="n"/>
      <c r="C48" s="37">
        <f>IFERROR(INDEX('Patrimônio Geral'!$C$7:$C$156,MATCH($B48,'Patrimônio Geral'!$A$7:$A$156,0)),"")</f>
        <v/>
      </c>
      <c r="D48" s="29" t="n"/>
      <c r="E48" s="27" t="n"/>
      <c r="F48" s="27" t="n"/>
      <c r="G48" s="29" t="n"/>
      <c r="H48" s="27" t="n"/>
      <c r="I48" s="27" t="n"/>
      <c r="J48" s="27" t="n"/>
    </row>
    <row r="49" ht="20" customHeight="1">
      <c r="A49" s="28" t="n"/>
      <c r="B49" s="29" t="n"/>
      <c r="C49" s="37">
        <f>IFERROR(INDEX('Patrimônio Geral'!$C$7:$C$156,MATCH($B49,'Patrimônio Geral'!$A$7:$A$156,0)),"")</f>
        <v/>
      </c>
      <c r="D49" s="29" t="n"/>
      <c r="E49" s="27" t="n"/>
      <c r="F49" s="27" t="n"/>
      <c r="G49" s="29" t="n"/>
      <c r="H49" s="27" t="n"/>
      <c r="I49" s="27" t="n"/>
      <c r="J49" s="27" t="n"/>
    </row>
    <row r="50" ht="20" customHeight="1">
      <c r="A50" s="28" t="n"/>
      <c r="B50" s="29" t="n"/>
      <c r="C50" s="37">
        <f>IFERROR(INDEX('Patrimônio Geral'!$C$7:$C$156,MATCH($B50,'Patrimônio Geral'!$A$7:$A$156,0)),"")</f>
        <v/>
      </c>
      <c r="D50" s="29" t="n"/>
      <c r="E50" s="27" t="n"/>
      <c r="F50" s="27" t="n"/>
      <c r="G50" s="29" t="n"/>
      <c r="H50" s="27" t="n"/>
      <c r="I50" s="27" t="n"/>
      <c r="J50" s="27" t="n"/>
    </row>
    <row r="51" ht="20" customHeight="1">
      <c r="A51" s="28" t="n"/>
      <c r="B51" s="29" t="n"/>
      <c r="C51" s="37">
        <f>IFERROR(INDEX('Patrimônio Geral'!$C$7:$C$156,MATCH($B51,'Patrimônio Geral'!$A$7:$A$156,0)),"")</f>
        <v/>
      </c>
      <c r="D51" s="29" t="n"/>
      <c r="E51" s="27" t="n"/>
      <c r="F51" s="27" t="n"/>
      <c r="G51" s="29" t="n"/>
      <c r="H51" s="27" t="n"/>
      <c r="I51" s="27" t="n"/>
      <c r="J51" s="27" t="n"/>
    </row>
    <row r="52" ht="20" customHeight="1">
      <c r="A52" s="28" t="n"/>
      <c r="B52" s="29" t="n"/>
      <c r="C52" s="37">
        <f>IFERROR(INDEX('Patrimônio Geral'!$C$7:$C$156,MATCH($B52,'Patrimônio Geral'!$A$7:$A$156,0)),"")</f>
        <v/>
      </c>
      <c r="D52" s="29" t="n"/>
      <c r="E52" s="27" t="n"/>
      <c r="F52" s="27" t="n"/>
      <c r="G52" s="29" t="n"/>
      <c r="H52" s="27" t="n"/>
      <c r="I52" s="27" t="n"/>
      <c r="J52" s="27" t="n"/>
    </row>
    <row r="53" ht="20" customHeight="1">
      <c r="A53" s="28" t="n"/>
      <c r="B53" s="29" t="n"/>
      <c r="C53" s="37">
        <f>IFERROR(INDEX('Patrimônio Geral'!$C$7:$C$156,MATCH($B53,'Patrimônio Geral'!$A$7:$A$156,0)),"")</f>
        <v/>
      </c>
      <c r="D53" s="29" t="n"/>
      <c r="E53" s="27" t="n"/>
      <c r="F53" s="27" t="n"/>
      <c r="G53" s="29" t="n"/>
      <c r="H53" s="27" t="n"/>
      <c r="I53" s="27" t="n"/>
      <c r="J53" s="27" t="n"/>
    </row>
    <row r="54" ht="20" customHeight="1">
      <c r="A54" s="28" t="n"/>
      <c r="B54" s="29" t="n"/>
      <c r="C54" s="37">
        <f>IFERROR(INDEX('Patrimônio Geral'!$C$7:$C$156,MATCH($B54,'Patrimônio Geral'!$A$7:$A$156,0)),"")</f>
        <v/>
      </c>
      <c r="D54" s="29" t="n"/>
      <c r="E54" s="27" t="n"/>
      <c r="F54" s="27" t="n"/>
      <c r="G54" s="29" t="n"/>
      <c r="H54" s="27" t="n"/>
      <c r="I54" s="27" t="n"/>
      <c r="J54" s="27" t="n"/>
    </row>
    <row r="55" ht="20" customHeight="1">
      <c r="A55" s="28" t="n"/>
      <c r="B55" s="29" t="n"/>
      <c r="C55" s="37">
        <f>IFERROR(INDEX('Patrimônio Geral'!$C$7:$C$156,MATCH($B55,'Patrimônio Geral'!$A$7:$A$156,0)),"")</f>
        <v/>
      </c>
      <c r="D55" s="29" t="n"/>
      <c r="E55" s="27" t="n"/>
      <c r="F55" s="27" t="n"/>
      <c r="G55" s="29" t="n"/>
      <c r="H55" s="27" t="n"/>
      <c r="I55" s="27" t="n"/>
      <c r="J55" s="27" t="n"/>
    </row>
    <row r="56" ht="20" customHeight="1">
      <c r="A56" s="28" t="n"/>
      <c r="B56" s="29" t="n"/>
      <c r="C56" s="37">
        <f>IFERROR(INDEX('Patrimônio Geral'!$C$7:$C$156,MATCH($B56,'Patrimônio Geral'!$A$7:$A$156,0)),"")</f>
        <v/>
      </c>
      <c r="D56" s="29" t="n"/>
      <c r="E56" s="27" t="n"/>
      <c r="F56" s="27" t="n"/>
      <c r="G56" s="29" t="n"/>
      <c r="H56" s="27" t="n"/>
      <c r="I56" s="27" t="n"/>
      <c r="J56" s="27" t="n"/>
    </row>
    <row r="57" ht="20" customHeight="1">
      <c r="A57" s="28" t="n"/>
      <c r="B57" s="29" t="n"/>
      <c r="C57" s="37">
        <f>IFERROR(INDEX('Patrimônio Geral'!$C$7:$C$156,MATCH($B57,'Patrimônio Geral'!$A$7:$A$156,0)),"")</f>
        <v/>
      </c>
      <c r="D57" s="29" t="n"/>
      <c r="E57" s="27" t="n"/>
      <c r="F57" s="27" t="n"/>
      <c r="G57" s="29" t="n"/>
      <c r="H57" s="27" t="n"/>
      <c r="I57" s="27" t="n"/>
      <c r="J57" s="27" t="n"/>
    </row>
    <row r="58" ht="20" customHeight="1">
      <c r="A58" s="28" t="n"/>
      <c r="B58" s="29" t="n"/>
      <c r="C58" s="37">
        <f>IFERROR(INDEX('Patrimônio Geral'!$C$7:$C$156,MATCH($B58,'Patrimônio Geral'!$A$7:$A$156,0)),"")</f>
        <v/>
      </c>
      <c r="D58" s="29" t="n"/>
      <c r="E58" s="27" t="n"/>
      <c r="F58" s="27" t="n"/>
      <c r="G58" s="29" t="n"/>
      <c r="H58" s="27" t="n"/>
      <c r="I58" s="27" t="n"/>
      <c r="J58" s="27" t="n"/>
    </row>
    <row r="59" ht="20" customHeight="1">
      <c r="A59" s="28" t="n"/>
      <c r="B59" s="29" t="n"/>
      <c r="C59" s="37">
        <f>IFERROR(INDEX('Patrimônio Geral'!$C$7:$C$156,MATCH($B59,'Patrimônio Geral'!$A$7:$A$156,0)),"")</f>
        <v/>
      </c>
      <c r="D59" s="29" t="n"/>
      <c r="E59" s="27" t="n"/>
      <c r="F59" s="27" t="n"/>
      <c r="G59" s="29" t="n"/>
      <c r="H59" s="27" t="n"/>
      <c r="I59" s="27" t="n"/>
      <c r="J59" s="27" t="n"/>
    </row>
    <row r="60" ht="20" customHeight="1">
      <c r="A60" s="28" t="n"/>
      <c r="B60" s="29" t="n"/>
      <c r="C60" s="37">
        <f>IFERROR(INDEX('Patrimônio Geral'!$C$7:$C$156,MATCH($B60,'Patrimônio Geral'!$A$7:$A$156,0)),"")</f>
        <v/>
      </c>
      <c r="D60" s="29" t="n"/>
      <c r="E60" s="27" t="n"/>
      <c r="F60" s="27" t="n"/>
      <c r="G60" s="29" t="n"/>
      <c r="H60" s="27" t="n"/>
      <c r="I60" s="27" t="n"/>
      <c r="J60" s="27" t="n"/>
    </row>
    <row r="61" ht="20" customHeight="1">
      <c r="A61" s="28" t="n"/>
      <c r="B61" s="29" t="n"/>
      <c r="C61" s="37">
        <f>IFERROR(INDEX('Patrimônio Geral'!$C$7:$C$156,MATCH($B61,'Patrimônio Geral'!$A$7:$A$156,0)),"")</f>
        <v/>
      </c>
      <c r="D61" s="29" t="n"/>
      <c r="E61" s="27" t="n"/>
      <c r="F61" s="27" t="n"/>
      <c r="G61" s="29" t="n"/>
      <c r="H61" s="27" t="n"/>
      <c r="I61" s="27" t="n"/>
      <c r="J61" s="27" t="n"/>
    </row>
    <row r="62" ht="20" customHeight="1">
      <c r="A62" s="28" t="n"/>
      <c r="B62" s="29" t="n"/>
      <c r="C62" s="37">
        <f>IFERROR(INDEX('Patrimônio Geral'!$C$7:$C$156,MATCH($B62,'Patrimônio Geral'!$A$7:$A$156,0)),"")</f>
        <v/>
      </c>
      <c r="D62" s="29" t="n"/>
      <c r="E62" s="27" t="n"/>
      <c r="F62" s="27" t="n"/>
      <c r="G62" s="29" t="n"/>
      <c r="H62" s="27" t="n"/>
      <c r="I62" s="27" t="n"/>
      <c r="J62" s="27" t="n"/>
    </row>
    <row r="63" ht="20" customHeight="1">
      <c r="A63" s="28" t="n"/>
      <c r="B63" s="29" t="n"/>
      <c r="C63" s="37">
        <f>IFERROR(INDEX('Patrimônio Geral'!$C$7:$C$156,MATCH($B63,'Patrimônio Geral'!$A$7:$A$156,0)),"")</f>
        <v/>
      </c>
      <c r="D63" s="29" t="n"/>
      <c r="E63" s="27" t="n"/>
      <c r="F63" s="27" t="n"/>
      <c r="G63" s="29" t="n"/>
      <c r="H63" s="27" t="n"/>
      <c r="I63" s="27" t="n"/>
      <c r="J63" s="27" t="n"/>
    </row>
    <row r="64" ht="20" customHeight="1">
      <c r="A64" s="28" t="n"/>
      <c r="B64" s="29" t="n"/>
      <c r="C64" s="37">
        <f>IFERROR(INDEX('Patrimônio Geral'!$C$7:$C$156,MATCH($B64,'Patrimônio Geral'!$A$7:$A$156,0)),"")</f>
        <v/>
      </c>
      <c r="D64" s="29" t="n"/>
      <c r="E64" s="27" t="n"/>
      <c r="F64" s="27" t="n"/>
      <c r="G64" s="29" t="n"/>
      <c r="H64" s="27" t="n"/>
      <c r="I64" s="27" t="n"/>
      <c r="J64" s="27" t="n"/>
    </row>
    <row r="65" ht="20" customHeight="1">
      <c r="A65" s="28" t="n"/>
      <c r="B65" s="29" t="n"/>
      <c r="C65" s="37">
        <f>IFERROR(INDEX('Patrimônio Geral'!$C$7:$C$156,MATCH($B65,'Patrimônio Geral'!$A$7:$A$156,0)),"")</f>
        <v/>
      </c>
      <c r="D65" s="29" t="n"/>
      <c r="E65" s="27" t="n"/>
      <c r="F65" s="27" t="n"/>
      <c r="G65" s="29" t="n"/>
      <c r="H65" s="27" t="n"/>
      <c r="I65" s="27" t="n"/>
      <c r="J65" s="27" t="n"/>
    </row>
    <row r="66" ht="20" customHeight="1">
      <c r="A66" s="28" t="n"/>
      <c r="B66" s="29" t="n"/>
      <c r="C66" s="37">
        <f>IFERROR(INDEX('Patrimônio Geral'!$C$7:$C$156,MATCH($B66,'Patrimônio Geral'!$A$7:$A$156,0)),"")</f>
        <v/>
      </c>
      <c r="D66" s="29" t="n"/>
      <c r="E66" s="27" t="n"/>
      <c r="F66" s="27" t="n"/>
      <c r="G66" s="29" t="n"/>
      <c r="H66" s="27" t="n"/>
      <c r="I66" s="27" t="n"/>
      <c r="J66" s="27" t="n"/>
    </row>
    <row r="67" ht="20" customHeight="1">
      <c r="A67" s="28" t="n"/>
      <c r="B67" s="29" t="n"/>
      <c r="C67" s="37">
        <f>IFERROR(INDEX('Patrimônio Geral'!$C$7:$C$156,MATCH($B67,'Patrimônio Geral'!$A$7:$A$156,0)),"")</f>
        <v/>
      </c>
      <c r="D67" s="29" t="n"/>
      <c r="E67" s="27" t="n"/>
      <c r="F67" s="27" t="n"/>
      <c r="G67" s="29" t="n"/>
      <c r="H67" s="27" t="n"/>
      <c r="I67" s="27" t="n"/>
      <c r="J67" s="27" t="n"/>
    </row>
    <row r="68" ht="20" customHeight="1">
      <c r="A68" s="28" t="n"/>
      <c r="B68" s="29" t="n"/>
      <c r="C68" s="37">
        <f>IFERROR(INDEX('Patrimônio Geral'!$C$7:$C$156,MATCH($B68,'Patrimônio Geral'!$A$7:$A$156,0)),"")</f>
        <v/>
      </c>
      <c r="D68" s="29" t="n"/>
      <c r="E68" s="27" t="n"/>
      <c r="F68" s="27" t="n"/>
      <c r="G68" s="29" t="n"/>
      <c r="H68" s="27" t="n"/>
      <c r="I68" s="27" t="n"/>
      <c r="J68" s="27" t="n"/>
    </row>
    <row r="69" ht="20" customHeight="1">
      <c r="A69" s="28" t="n"/>
      <c r="B69" s="29" t="n"/>
      <c r="C69" s="37">
        <f>IFERROR(INDEX('Patrimônio Geral'!$C$7:$C$156,MATCH($B69,'Patrimônio Geral'!$A$7:$A$156,0)),"")</f>
        <v/>
      </c>
      <c r="D69" s="29" t="n"/>
      <c r="E69" s="27" t="n"/>
      <c r="F69" s="27" t="n"/>
      <c r="G69" s="29" t="n"/>
      <c r="H69" s="27" t="n"/>
      <c r="I69" s="27" t="n"/>
      <c r="J69" s="27" t="n"/>
    </row>
    <row r="70" ht="20" customHeight="1">
      <c r="A70" s="28" t="n"/>
      <c r="B70" s="29" t="n"/>
      <c r="C70" s="37">
        <f>IFERROR(INDEX('Patrimônio Geral'!$C$7:$C$156,MATCH($B70,'Patrimônio Geral'!$A$7:$A$156,0)),"")</f>
        <v/>
      </c>
      <c r="D70" s="29" t="n"/>
      <c r="E70" s="27" t="n"/>
      <c r="F70" s="27" t="n"/>
      <c r="G70" s="29" t="n"/>
      <c r="H70" s="27" t="n"/>
      <c r="I70" s="27" t="n"/>
      <c r="J70" s="27" t="n"/>
    </row>
    <row r="71" ht="20" customHeight="1">
      <c r="A71" s="28" t="n"/>
      <c r="B71" s="29" t="n"/>
      <c r="C71" s="37">
        <f>IFERROR(INDEX('Patrimônio Geral'!$C$7:$C$156,MATCH($B71,'Patrimônio Geral'!$A$7:$A$156,0)),"")</f>
        <v/>
      </c>
      <c r="D71" s="29" t="n"/>
      <c r="E71" s="27" t="n"/>
      <c r="F71" s="27" t="n"/>
      <c r="G71" s="29" t="n"/>
      <c r="H71" s="27" t="n"/>
      <c r="I71" s="27" t="n"/>
      <c r="J71" s="27" t="n"/>
    </row>
    <row r="72" ht="20" customHeight="1">
      <c r="A72" s="28" t="n"/>
      <c r="B72" s="29" t="n"/>
      <c r="C72" s="37">
        <f>IFERROR(INDEX('Patrimônio Geral'!$C$7:$C$156,MATCH($B72,'Patrimônio Geral'!$A$7:$A$156,0)),"")</f>
        <v/>
      </c>
      <c r="D72" s="29" t="n"/>
      <c r="E72" s="27" t="n"/>
      <c r="F72" s="27" t="n"/>
      <c r="G72" s="29" t="n"/>
      <c r="H72" s="27" t="n"/>
      <c r="I72" s="27" t="n"/>
      <c r="J72" s="27" t="n"/>
    </row>
    <row r="73" ht="20" customHeight="1">
      <c r="A73" s="28" t="n"/>
      <c r="B73" s="29" t="n"/>
      <c r="C73" s="37">
        <f>IFERROR(INDEX('Patrimônio Geral'!$C$7:$C$156,MATCH($B73,'Patrimônio Geral'!$A$7:$A$156,0)),"")</f>
        <v/>
      </c>
      <c r="D73" s="29" t="n"/>
      <c r="E73" s="27" t="n"/>
      <c r="F73" s="27" t="n"/>
      <c r="G73" s="29" t="n"/>
      <c r="H73" s="27" t="n"/>
      <c r="I73" s="27" t="n"/>
      <c r="J73" s="27" t="n"/>
    </row>
    <row r="74" ht="20" customHeight="1">
      <c r="A74" s="28" t="n"/>
      <c r="B74" s="29" t="n"/>
      <c r="C74" s="37">
        <f>IFERROR(INDEX('Patrimônio Geral'!$C$7:$C$156,MATCH($B74,'Patrimônio Geral'!$A$7:$A$156,0)),"")</f>
        <v/>
      </c>
      <c r="D74" s="29" t="n"/>
      <c r="E74" s="27" t="n"/>
      <c r="F74" s="27" t="n"/>
      <c r="G74" s="29" t="n"/>
      <c r="H74" s="27" t="n"/>
      <c r="I74" s="27" t="n"/>
      <c r="J74" s="27" t="n"/>
    </row>
    <row r="75" ht="20" customHeight="1">
      <c r="A75" s="28" t="n"/>
      <c r="B75" s="29" t="n"/>
      <c r="C75" s="37">
        <f>IFERROR(INDEX('Patrimônio Geral'!$C$7:$C$156,MATCH($B75,'Patrimônio Geral'!$A$7:$A$156,0)),"")</f>
        <v/>
      </c>
      <c r="D75" s="29" t="n"/>
      <c r="E75" s="27" t="n"/>
      <c r="F75" s="27" t="n"/>
      <c r="G75" s="29" t="n"/>
      <c r="H75" s="27" t="n"/>
      <c r="I75" s="27" t="n"/>
      <c r="J75" s="27" t="n"/>
    </row>
    <row r="76" ht="20" customHeight="1">
      <c r="A76" s="28" t="n"/>
      <c r="B76" s="29" t="n"/>
      <c r="C76" s="37">
        <f>IFERROR(INDEX('Patrimônio Geral'!$C$7:$C$156,MATCH($B76,'Patrimônio Geral'!$A$7:$A$156,0)),"")</f>
        <v/>
      </c>
      <c r="D76" s="29" t="n"/>
      <c r="E76" s="27" t="n"/>
      <c r="F76" s="27" t="n"/>
      <c r="G76" s="29" t="n"/>
      <c r="H76" s="27" t="n"/>
      <c r="I76" s="27" t="n"/>
      <c r="J76" s="27" t="n"/>
    </row>
    <row r="77" ht="20" customHeight="1">
      <c r="A77" s="28" t="n"/>
      <c r="B77" s="29" t="n"/>
      <c r="C77" s="37">
        <f>IFERROR(INDEX('Patrimônio Geral'!$C$7:$C$156,MATCH($B77,'Patrimônio Geral'!$A$7:$A$156,0)),"")</f>
        <v/>
      </c>
      <c r="D77" s="29" t="n"/>
      <c r="E77" s="27" t="n"/>
      <c r="F77" s="27" t="n"/>
      <c r="G77" s="29" t="n"/>
      <c r="H77" s="27" t="n"/>
      <c r="I77" s="27" t="n"/>
      <c r="J77" s="27" t="n"/>
    </row>
    <row r="78" ht="20" customHeight="1">
      <c r="A78" s="28" t="n"/>
      <c r="B78" s="29" t="n"/>
      <c r="C78" s="37">
        <f>IFERROR(INDEX('Patrimônio Geral'!$C$7:$C$156,MATCH($B78,'Patrimônio Geral'!$A$7:$A$156,0)),"")</f>
        <v/>
      </c>
      <c r="D78" s="29" t="n"/>
      <c r="E78" s="27" t="n"/>
      <c r="F78" s="27" t="n"/>
      <c r="G78" s="29" t="n"/>
      <c r="H78" s="27" t="n"/>
      <c r="I78" s="27" t="n"/>
      <c r="J78" s="27" t="n"/>
    </row>
    <row r="79" ht="20" customHeight="1">
      <c r="A79" s="28" t="n"/>
      <c r="B79" s="29" t="n"/>
      <c r="C79" s="37">
        <f>IFERROR(INDEX('Patrimônio Geral'!$C$7:$C$156,MATCH($B79,'Patrimônio Geral'!$A$7:$A$156,0)),"")</f>
        <v/>
      </c>
      <c r="D79" s="29" t="n"/>
      <c r="E79" s="27" t="n"/>
      <c r="F79" s="27" t="n"/>
      <c r="G79" s="29" t="n"/>
      <c r="H79" s="27" t="n"/>
      <c r="I79" s="27" t="n"/>
      <c r="J79" s="27" t="n"/>
    </row>
    <row r="80" ht="20" customHeight="1">
      <c r="A80" s="28" t="n"/>
      <c r="B80" s="29" t="n"/>
      <c r="C80" s="37">
        <f>IFERROR(INDEX('Patrimônio Geral'!$C$7:$C$156,MATCH($B80,'Patrimônio Geral'!$A$7:$A$156,0)),"")</f>
        <v/>
      </c>
      <c r="D80" s="29" t="n"/>
      <c r="E80" s="27" t="n"/>
      <c r="F80" s="27" t="n"/>
      <c r="G80" s="29" t="n"/>
      <c r="H80" s="27" t="n"/>
      <c r="I80" s="27" t="n"/>
      <c r="J80" s="27" t="n"/>
    </row>
    <row r="81" ht="20" customHeight="1">
      <c r="A81" s="28" t="n"/>
      <c r="B81" s="29" t="n"/>
      <c r="C81" s="37">
        <f>IFERROR(INDEX('Patrimônio Geral'!$C$7:$C$156,MATCH($B81,'Patrimônio Geral'!$A$7:$A$156,0)),"")</f>
        <v/>
      </c>
      <c r="D81" s="29" t="n"/>
      <c r="E81" s="27" t="n"/>
      <c r="F81" s="27" t="n"/>
      <c r="G81" s="29" t="n"/>
      <c r="H81" s="27" t="n"/>
      <c r="I81" s="27" t="n"/>
      <c r="J81" s="27" t="n"/>
    </row>
    <row r="82" ht="20" customHeight="1">
      <c r="A82" s="28" t="n"/>
      <c r="B82" s="29" t="n"/>
      <c r="C82" s="37">
        <f>IFERROR(INDEX('Patrimônio Geral'!$C$7:$C$156,MATCH($B82,'Patrimônio Geral'!$A$7:$A$156,0)),"")</f>
        <v/>
      </c>
      <c r="D82" s="29" t="n"/>
      <c r="E82" s="27" t="n"/>
      <c r="F82" s="27" t="n"/>
      <c r="G82" s="29" t="n"/>
      <c r="H82" s="27" t="n"/>
      <c r="I82" s="27" t="n"/>
      <c r="J82" s="27" t="n"/>
    </row>
    <row r="83" ht="20" customHeight="1">
      <c r="A83" s="28" t="n"/>
      <c r="B83" s="29" t="n"/>
      <c r="C83" s="37">
        <f>IFERROR(INDEX('Patrimônio Geral'!$C$7:$C$156,MATCH($B83,'Patrimônio Geral'!$A$7:$A$156,0)),"")</f>
        <v/>
      </c>
      <c r="D83" s="29" t="n"/>
      <c r="E83" s="27" t="n"/>
      <c r="F83" s="27" t="n"/>
      <c r="G83" s="29" t="n"/>
      <c r="H83" s="27" t="n"/>
      <c r="I83" s="27" t="n"/>
      <c r="J83" s="27" t="n"/>
    </row>
    <row r="84" ht="20" customHeight="1">
      <c r="A84" s="28" t="n"/>
      <c r="B84" s="29" t="n"/>
      <c r="C84" s="37">
        <f>IFERROR(INDEX('Patrimônio Geral'!$C$7:$C$156,MATCH($B84,'Patrimônio Geral'!$A$7:$A$156,0)),"")</f>
        <v/>
      </c>
      <c r="D84" s="29" t="n"/>
      <c r="E84" s="27" t="n"/>
      <c r="F84" s="27" t="n"/>
      <c r="G84" s="29" t="n"/>
      <c r="H84" s="27" t="n"/>
      <c r="I84" s="27" t="n"/>
      <c r="J84" s="27" t="n"/>
    </row>
    <row r="85" ht="20" customHeight="1">
      <c r="A85" s="28" t="n"/>
      <c r="B85" s="29" t="n"/>
      <c r="C85" s="37">
        <f>IFERROR(INDEX('Patrimônio Geral'!$C$7:$C$156,MATCH($B85,'Patrimônio Geral'!$A$7:$A$156,0)),"")</f>
        <v/>
      </c>
      <c r="D85" s="29" t="n"/>
      <c r="E85" s="27" t="n"/>
      <c r="F85" s="27" t="n"/>
      <c r="G85" s="29" t="n"/>
      <c r="H85" s="27" t="n"/>
      <c r="I85" s="27" t="n"/>
      <c r="J85" s="27" t="n"/>
    </row>
    <row r="86" ht="20" customHeight="1">
      <c r="A86" s="28" t="n"/>
      <c r="B86" s="29" t="n"/>
      <c r="C86" s="37">
        <f>IFERROR(INDEX('Patrimônio Geral'!$C$7:$C$156,MATCH($B86,'Patrimônio Geral'!$A$7:$A$156,0)),"")</f>
        <v/>
      </c>
      <c r="D86" s="29" t="n"/>
      <c r="E86" s="27" t="n"/>
      <c r="F86" s="27" t="n"/>
      <c r="G86" s="29" t="n"/>
      <c r="H86" s="27" t="n"/>
      <c r="I86" s="27" t="n"/>
      <c r="J86" s="27" t="n"/>
    </row>
    <row r="87" ht="20" customHeight="1">
      <c r="A87" s="28" t="n"/>
      <c r="B87" s="29" t="n"/>
      <c r="C87" s="37">
        <f>IFERROR(INDEX('Patrimônio Geral'!$C$7:$C$156,MATCH($B87,'Patrimônio Geral'!$A$7:$A$156,0)),"")</f>
        <v/>
      </c>
      <c r="D87" s="29" t="n"/>
      <c r="E87" s="27" t="n"/>
      <c r="F87" s="27" t="n"/>
      <c r="G87" s="29" t="n"/>
      <c r="H87" s="27" t="n"/>
      <c r="I87" s="27" t="n"/>
      <c r="J87" s="27" t="n"/>
    </row>
    <row r="88" ht="20" customHeight="1">
      <c r="A88" s="28" t="n"/>
      <c r="B88" s="29" t="n"/>
      <c r="C88" s="37">
        <f>IFERROR(INDEX('Patrimônio Geral'!$C$7:$C$156,MATCH($B88,'Patrimônio Geral'!$A$7:$A$156,0)),"")</f>
        <v/>
      </c>
      <c r="D88" s="29" t="n"/>
      <c r="E88" s="27" t="n"/>
      <c r="F88" s="27" t="n"/>
      <c r="G88" s="29" t="n"/>
      <c r="H88" s="27" t="n"/>
      <c r="I88" s="27" t="n"/>
      <c r="J88" s="27" t="n"/>
    </row>
    <row r="89" ht="20" customHeight="1">
      <c r="A89" s="28" t="n"/>
      <c r="B89" s="29" t="n"/>
      <c r="C89" s="37">
        <f>IFERROR(INDEX('Patrimônio Geral'!$C$7:$C$156,MATCH($B89,'Patrimônio Geral'!$A$7:$A$156,0)),"")</f>
        <v/>
      </c>
      <c r="D89" s="29" t="n"/>
      <c r="E89" s="27" t="n"/>
      <c r="F89" s="27" t="n"/>
      <c r="G89" s="29" t="n"/>
      <c r="H89" s="27" t="n"/>
      <c r="I89" s="27" t="n"/>
      <c r="J89" s="27" t="n"/>
    </row>
    <row r="90" ht="20" customHeight="1">
      <c r="A90" s="28" t="n"/>
      <c r="B90" s="29" t="n"/>
      <c r="C90" s="37">
        <f>IFERROR(INDEX('Patrimônio Geral'!$C$7:$C$156,MATCH($B90,'Patrimônio Geral'!$A$7:$A$156,0)),"")</f>
        <v/>
      </c>
      <c r="D90" s="29" t="n"/>
      <c r="E90" s="27" t="n"/>
      <c r="F90" s="27" t="n"/>
      <c r="G90" s="29" t="n"/>
      <c r="H90" s="27" t="n"/>
      <c r="I90" s="27" t="n"/>
      <c r="J90" s="27" t="n"/>
    </row>
    <row r="91" ht="20" customHeight="1">
      <c r="A91" s="28" t="n"/>
      <c r="B91" s="29" t="n"/>
      <c r="C91" s="37">
        <f>IFERROR(INDEX('Patrimônio Geral'!$C$7:$C$156,MATCH($B91,'Patrimônio Geral'!$A$7:$A$156,0)),"")</f>
        <v/>
      </c>
      <c r="D91" s="29" t="n"/>
      <c r="E91" s="27" t="n"/>
      <c r="F91" s="27" t="n"/>
      <c r="G91" s="29" t="n"/>
      <c r="H91" s="27" t="n"/>
      <c r="I91" s="27" t="n"/>
      <c r="J91" s="27" t="n"/>
    </row>
    <row r="92" ht="20" customHeight="1">
      <c r="A92" s="28" t="n"/>
      <c r="B92" s="29" t="n"/>
      <c r="C92" s="37">
        <f>IFERROR(INDEX('Patrimônio Geral'!$C$7:$C$156,MATCH($B92,'Patrimônio Geral'!$A$7:$A$156,0)),"")</f>
        <v/>
      </c>
      <c r="D92" s="29" t="n"/>
      <c r="E92" s="27" t="n"/>
      <c r="F92" s="27" t="n"/>
      <c r="G92" s="29" t="n"/>
      <c r="H92" s="27" t="n"/>
      <c r="I92" s="27" t="n"/>
      <c r="J92" s="27" t="n"/>
    </row>
    <row r="93" ht="20" customHeight="1">
      <c r="A93" s="28" t="n"/>
      <c r="B93" s="29" t="n"/>
      <c r="C93" s="37">
        <f>IFERROR(INDEX('Patrimônio Geral'!$C$7:$C$156,MATCH($B93,'Patrimônio Geral'!$A$7:$A$156,0)),"")</f>
        <v/>
      </c>
      <c r="D93" s="29" t="n"/>
      <c r="E93" s="27" t="n"/>
      <c r="F93" s="27" t="n"/>
      <c r="G93" s="29" t="n"/>
      <c r="H93" s="27" t="n"/>
      <c r="I93" s="27" t="n"/>
      <c r="J93" s="27" t="n"/>
    </row>
    <row r="94" ht="20" customHeight="1">
      <c r="A94" s="28" t="n"/>
      <c r="B94" s="29" t="n"/>
      <c r="C94" s="37">
        <f>IFERROR(INDEX('Patrimônio Geral'!$C$7:$C$156,MATCH($B94,'Patrimônio Geral'!$A$7:$A$156,0)),"")</f>
        <v/>
      </c>
      <c r="D94" s="29" t="n"/>
      <c r="E94" s="27" t="n"/>
      <c r="F94" s="27" t="n"/>
      <c r="G94" s="29" t="n"/>
      <c r="H94" s="27" t="n"/>
      <c r="I94" s="27" t="n"/>
      <c r="J94" s="27" t="n"/>
    </row>
    <row r="95" ht="20" customHeight="1">
      <c r="A95" s="28" t="n"/>
      <c r="B95" s="29" t="n"/>
      <c r="C95" s="37">
        <f>IFERROR(INDEX('Patrimônio Geral'!$C$7:$C$156,MATCH($B95,'Patrimônio Geral'!$A$7:$A$156,0)),"")</f>
        <v/>
      </c>
      <c r="D95" s="29" t="n"/>
      <c r="E95" s="27" t="n"/>
      <c r="F95" s="27" t="n"/>
      <c r="G95" s="29" t="n"/>
      <c r="H95" s="27" t="n"/>
      <c r="I95" s="27" t="n"/>
      <c r="J95" s="27" t="n"/>
    </row>
    <row r="96" ht="20" customHeight="1">
      <c r="A96" s="28" t="n"/>
      <c r="B96" s="29" t="n"/>
      <c r="C96" s="37">
        <f>IFERROR(INDEX('Patrimônio Geral'!$C$7:$C$156,MATCH($B96,'Patrimônio Geral'!$A$7:$A$156,0)),"")</f>
        <v/>
      </c>
      <c r="D96" s="29" t="n"/>
      <c r="E96" s="27" t="n"/>
      <c r="F96" s="27" t="n"/>
      <c r="G96" s="29" t="n"/>
      <c r="H96" s="27" t="n"/>
      <c r="I96" s="27" t="n"/>
      <c r="J96" s="27" t="n"/>
    </row>
    <row r="97" ht="20" customHeight="1">
      <c r="A97" s="28" t="n"/>
      <c r="B97" s="29" t="n"/>
      <c r="C97" s="37">
        <f>IFERROR(INDEX('Patrimônio Geral'!$C$7:$C$156,MATCH($B97,'Patrimônio Geral'!$A$7:$A$156,0)),"")</f>
        <v/>
      </c>
      <c r="D97" s="29" t="n"/>
      <c r="E97" s="27" t="n"/>
      <c r="F97" s="27" t="n"/>
      <c r="G97" s="29" t="n"/>
      <c r="H97" s="27" t="n"/>
      <c r="I97" s="27" t="n"/>
      <c r="J97" s="27" t="n"/>
    </row>
    <row r="98" ht="20" customHeight="1">
      <c r="A98" s="28" t="n"/>
      <c r="B98" s="29" t="n"/>
      <c r="C98" s="37">
        <f>IFERROR(INDEX('Patrimônio Geral'!$C$7:$C$156,MATCH($B98,'Patrimônio Geral'!$A$7:$A$156,0)),"")</f>
        <v/>
      </c>
      <c r="D98" s="29" t="n"/>
      <c r="E98" s="27" t="n"/>
      <c r="F98" s="27" t="n"/>
      <c r="G98" s="29" t="n"/>
      <c r="H98" s="27" t="n"/>
      <c r="I98" s="27" t="n"/>
      <c r="J98" s="27" t="n"/>
    </row>
    <row r="99" ht="20" customHeight="1">
      <c r="A99" s="28" t="n"/>
      <c r="B99" s="29" t="n"/>
      <c r="C99" s="37">
        <f>IFERROR(INDEX('Patrimônio Geral'!$C$7:$C$156,MATCH($B99,'Patrimônio Geral'!$A$7:$A$156,0)),"")</f>
        <v/>
      </c>
      <c r="D99" s="29" t="n"/>
      <c r="E99" s="27" t="n"/>
      <c r="F99" s="27" t="n"/>
      <c r="G99" s="29" t="n"/>
      <c r="H99" s="27" t="n"/>
      <c r="I99" s="27" t="n"/>
      <c r="J99" s="27" t="n"/>
    </row>
    <row r="100" ht="20" customHeight="1">
      <c r="A100" s="28" t="n"/>
      <c r="B100" s="29" t="n"/>
      <c r="C100" s="37">
        <f>IFERROR(INDEX('Patrimônio Geral'!$C$7:$C$156,MATCH($B100,'Patrimônio Geral'!$A$7:$A$156,0)),"")</f>
        <v/>
      </c>
      <c r="D100" s="29" t="n"/>
      <c r="E100" s="27" t="n"/>
      <c r="F100" s="27" t="n"/>
      <c r="G100" s="29" t="n"/>
      <c r="H100" s="27" t="n"/>
      <c r="I100" s="27" t="n"/>
      <c r="J100" s="27" t="n"/>
    </row>
    <row r="101" ht="20" customHeight="1">
      <c r="A101" s="28" t="n"/>
      <c r="B101" s="29" t="n"/>
      <c r="C101" s="37">
        <f>IFERROR(INDEX('Patrimônio Geral'!$C$7:$C$156,MATCH($B101,'Patrimônio Geral'!$A$7:$A$156,0)),"")</f>
        <v/>
      </c>
      <c r="D101" s="29" t="n"/>
      <c r="E101" s="27" t="n"/>
      <c r="F101" s="27" t="n"/>
      <c r="G101" s="29" t="n"/>
      <c r="H101" s="27" t="n"/>
      <c r="I101" s="27" t="n"/>
      <c r="J101" s="27" t="n"/>
    </row>
    <row r="102" ht="20" customHeight="1">
      <c r="A102" s="28" t="n"/>
      <c r="B102" s="29" t="n"/>
      <c r="C102" s="37">
        <f>IFERROR(INDEX('Patrimônio Geral'!$C$7:$C$156,MATCH($B102,'Patrimônio Geral'!$A$7:$A$156,0)),"")</f>
        <v/>
      </c>
      <c r="D102" s="29" t="n"/>
      <c r="E102" s="27" t="n"/>
      <c r="F102" s="27" t="n"/>
      <c r="G102" s="29" t="n"/>
      <c r="H102" s="27" t="n"/>
      <c r="I102" s="27" t="n"/>
      <c r="J102" s="27" t="n"/>
    </row>
    <row r="103" ht="20" customHeight="1">
      <c r="A103" s="28" t="n"/>
      <c r="B103" s="29" t="n"/>
      <c r="C103" s="37">
        <f>IFERROR(INDEX('Patrimônio Geral'!$C$7:$C$156,MATCH($B103,'Patrimônio Geral'!$A$7:$A$156,0)),"")</f>
        <v/>
      </c>
      <c r="D103" s="29" t="n"/>
      <c r="E103" s="27" t="n"/>
      <c r="F103" s="27" t="n"/>
      <c r="G103" s="29" t="n"/>
      <c r="H103" s="27" t="n"/>
      <c r="I103" s="27" t="n"/>
      <c r="J103" s="27" t="n"/>
    </row>
    <row r="104" ht="20" customHeight="1">
      <c r="A104" s="28" t="n"/>
      <c r="B104" s="29" t="n"/>
      <c r="C104" s="37">
        <f>IFERROR(INDEX('Patrimônio Geral'!$C$7:$C$156,MATCH($B104,'Patrimônio Geral'!$A$7:$A$156,0)),"")</f>
        <v/>
      </c>
      <c r="D104" s="29" t="n"/>
      <c r="E104" s="27" t="n"/>
      <c r="F104" s="27" t="n"/>
      <c r="G104" s="29" t="n"/>
      <c r="H104" s="27" t="n"/>
      <c r="I104" s="27" t="n"/>
      <c r="J104" s="27" t="n"/>
    </row>
    <row r="105" ht="20" customHeight="1">
      <c r="A105" s="28" t="n"/>
      <c r="B105" s="29" t="n"/>
      <c r="C105" s="37">
        <f>IFERROR(INDEX('Patrimônio Geral'!$C$7:$C$156,MATCH($B105,'Patrimônio Geral'!$A$7:$A$156,0)),"")</f>
        <v/>
      </c>
      <c r="D105" s="29" t="n"/>
      <c r="E105" s="27" t="n"/>
      <c r="F105" s="27" t="n"/>
      <c r="G105" s="29" t="n"/>
      <c r="H105" s="27" t="n"/>
      <c r="I105" s="27" t="n"/>
      <c r="J105" s="27" t="n"/>
    </row>
    <row r="106" ht="20" customHeight="1">
      <c r="A106" s="28" t="n"/>
      <c r="B106" s="29" t="n"/>
      <c r="C106" s="37">
        <f>IFERROR(INDEX('Patrimônio Geral'!$C$7:$C$156,MATCH($B106,'Patrimônio Geral'!$A$7:$A$156,0)),"")</f>
        <v/>
      </c>
      <c r="D106" s="29" t="n"/>
      <c r="E106" s="27" t="n"/>
      <c r="F106" s="27" t="n"/>
      <c r="G106" s="29" t="n"/>
      <c r="H106" s="27" t="n"/>
      <c r="I106" s="27" t="n"/>
      <c r="J106" s="27" t="n"/>
    </row>
  </sheetData>
  <autoFilter ref="A6:J106"/>
  <mergeCells count="4">
    <mergeCell ref="A1:J1"/>
    <mergeCell ref="A4:J4"/>
    <mergeCell ref="A3:J3"/>
    <mergeCell ref="A2:J2"/>
  </mergeCells>
  <dataValidations count="2">
    <dataValidation sqref="D7:D106" showDropDown="0" showInputMessage="0" showErrorMessage="0" allowBlank="1" type="list">
      <formula1>=Listas!$L$2:$L$7</formula1>
    </dataValidation>
    <dataValidation sqref="E7:F106" showDropDown="0" showInputMessage="0" showErrorMessage="0" allowBlank="1" type="list">
      <formula1>=Listas!$A$2:$A$9</formula1>
    </dataValidation>
  </dataValidations>
  <pageMargins left="0.45" right="0.35" top="0.4" bottom="0.3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46" customWidth="1" min="2" max="2"/>
    <col width="18" customWidth="1" min="3" max="3"/>
    <col width="16" customWidth="1" min="4" max="4"/>
    <col width="12" customWidth="1" min="5" max="5"/>
    <col width="18" customWidth="1" min="6" max="6"/>
    <col width="26" customWidth="1" min="7" max="7"/>
    <col width="30" customWidth="1" min="8" max="8"/>
    <col width="13" customWidth="1" min="9" max="9"/>
    <col width="18" customWidth="1" min="10" max="10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CONFERÊNCIA MENSAL</t>
        </is>
      </c>
    </row>
    <row r="4" ht="17" customHeight="1">
      <c r="A4" s="4" t="inlineStr">
        <is>
          <t>Checagem física do patrimônio · responsável pela conferência: Deivson · periodicidade mensal</t>
        </is>
      </c>
    </row>
    <row r="6" ht="30" customHeight="1">
      <c r="A6" s="25" t="inlineStr">
        <is>
          <t>Código</t>
        </is>
      </c>
      <c r="B6" s="25" t="inlineStr">
        <is>
          <t>Descrição</t>
        </is>
      </c>
      <c r="C6" s="25" t="inlineStr">
        <is>
          <t>Responsável</t>
        </is>
      </c>
      <c r="D6" s="25" t="inlineStr">
        <is>
          <t>Localização</t>
        </is>
      </c>
      <c r="E6" s="25" t="inlineStr">
        <is>
          <t>Conferido?</t>
        </is>
      </c>
      <c r="F6" s="25" t="inlineStr">
        <is>
          <t>Estado encontrado</t>
        </is>
      </c>
      <c r="G6" s="25" t="inlineStr">
        <is>
          <t>Divergência</t>
        </is>
      </c>
      <c r="H6" s="25" t="inlineStr">
        <is>
          <t>Ação tomada</t>
        </is>
      </c>
      <c r="I6" s="25" t="inlineStr">
        <is>
          <t>Data</t>
        </is>
      </c>
      <c r="J6" s="25" t="inlineStr">
        <is>
          <t>Conferido por</t>
        </is>
      </c>
    </row>
    <row r="7" ht="20" customHeight="1">
      <c r="A7" s="29" t="n"/>
      <c r="B7" s="37">
        <f>IFERROR(INDEX('Patrimônio Geral'!$C$7:$C$156,MATCH($A7,'Patrimônio Geral'!$A$7:$A$156,0)),"")</f>
        <v/>
      </c>
      <c r="C7" s="37">
        <f>IFERROR(INDEX('Patrimônio Geral'!$R$7:$R$156,MATCH($A7,'Patrimônio Geral'!$A$7:$A$156,0)),"")</f>
        <v/>
      </c>
      <c r="D7" s="37">
        <f>IFERROR(INDEX('Patrimônio Geral'!$Q$7:$Q$156,MATCH($A7,'Patrimônio Geral'!$A$7:$A$156,0)),"")</f>
        <v/>
      </c>
      <c r="E7" s="29" t="n"/>
      <c r="F7" s="27" t="n"/>
      <c r="G7" s="27" t="n"/>
      <c r="H7" s="27" t="n"/>
      <c r="I7" s="28" t="n"/>
      <c r="J7" s="27" t="n"/>
    </row>
    <row r="8" ht="20" customHeight="1">
      <c r="A8" s="29" t="n"/>
      <c r="B8" s="37">
        <f>IFERROR(INDEX('Patrimônio Geral'!$C$7:$C$156,MATCH($A8,'Patrimônio Geral'!$A$7:$A$156,0)),"")</f>
        <v/>
      </c>
      <c r="C8" s="37">
        <f>IFERROR(INDEX('Patrimônio Geral'!$R$7:$R$156,MATCH($A8,'Patrimônio Geral'!$A$7:$A$156,0)),"")</f>
        <v/>
      </c>
      <c r="D8" s="37">
        <f>IFERROR(INDEX('Patrimônio Geral'!$Q$7:$Q$156,MATCH($A8,'Patrimônio Geral'!$A$7:$A$156,0)),"")</f>
        <v/>
      </c>
      <c r="E8" s="29" t="n"/>
      <c r="F8" s="27" t="n"/>
      <c r="G8" s="27" t="n"/>
      <c r="H8" s="27" t="n"/>
      <c r="I8" s="28" t="n"/>
      <c r="J8" s="27" t="n"/>
    </row>
    <row r="9" ht="20" customHeight="1">
      <c r="A9" s="29" t="n"/>
      <c r="B9" s="37">
        <f>IFERROR(INDEX('Patrimônio Geral'!$C$7:$C$156,MATCH($A9,'Patrimônio Geral'!$A$7:$A$156,0)),"")</f>
        <v/>
      </c>
      <c r="C9" s="37">
        <f>IFERROR(INDEX('Patrimônio Geral'!$R$7:$R$156,MATCH($A9,'Patrimônio Geral'!$A$7:$A$156,0)),"")</f>
        <v/>
      </c>
      <c r="D9" s="37">
        <f>IFERROR(INDEX('Patrimônio Geral'!$Q$7:$Q$156,MATCH($A9,'Patrimônio Geral'!$A$7:$A$156,0)),"")</f>
        <v/>
      </c>
      <c r="E9" s="29" t="n"/>
      <c r="F9" s="27" t="n"/>
      <c r="G9" s="27" t="n"/>
      <c r="H9" s="27" t="n"/>
      <c r="I9" s="28" t="n"/>
      <c r="J9" s="27" t="n"/>
    </row>
    <row r="10" ht="20" customHeight="1">
      <c r="A10" s="29" t="n"/>
      <c r="B10" s="37">
        <f>IFERROR(INDEX('Patrimônio Geral'!$C$7:$C$156,MATCH($A10,'Patrimônio Geral'!$A$7:$A$156,0)),"")</f>
        <v/>
      </c>
      <c r="C10" s="37">
        <f>IFERROR(INDEX('Patrimônio Geral'!$R$7:$R$156,MATCH($A10,'Patrimônio Geral'!$A$7:$A$156,0)),"")</f>
        <v/>
      </c>
      <c r="D10" s="37">
        <f>IFERROR(INDEX('Patrimônio Geral'!$Q$7:$Q$156,MATCH($A10,'Patrimônio Geral'!$A$7:$A$156,0)),"")</f>
        <v/>
      </c>
      <c r="E10" s="29" t="n"/>
      <c r="F10" s="27" t="n"/>
      <c r="G10" s="27" t="n"/>
      <c r="H10" s="27" t="n"/>
      <c r="I10" s="28" t="n"/>
      <c r="J10" s="27" t="n"/>
    </row>
    <row r="11" ht="20" customHeight="1">
      <c r="A11" s="29" t="n"/>
      <c r="B11" s="37">
        <f>IFERROR(INDEX('Patrimônio Geral'!$C$7:$C$156,MATCH($A11,'Patrimônio Geral'!$A$7:$A$156,0)),"")</f>
        <v/>
      </c>
      <c r="C11" s="37">
        <f>IFERROR(INDEX('Patrimônio Geral'!$R$7:$R$156,MATCH($A11,'Patrimônio Geral'!$A$7:$A$156,0)),"")</f>
        <v/>
      </c>
      <c r="D11" s="37">
        <f>IFERROR(INDEX('Patrimônio Geral'!$Q$7:$Q$156,MATCH($A11,'Patrimônio Geral'!$A$7:$A$156,0)),"")</f>
        <v/>
      </c>
      <c r="E11" s="29" t="n"/>
      <c r="F11" s="27" t="n"/>
      <c r="G11" s="27" t="n"/>
      <c r="H11" s="27" t="n"/>
      <c r="I11" s="28" t="n"/>
      <c r="J11" s="27" t="n"/>
    </row>
    <row r="12" ht="20" customHeight="1">
      <c r="A12" s="29" t="n"/>
      <c r="B12" s="37">
        <f>IFERROR(INDEX('Patrimônio Geral'!$C$7:$C$156,MATCH($A12,'Patrimônio Geral'!$A$7:$A$156,0)),"")</f>
        <v/>
      </c>
      <c r="C12" s="37">
        <f>IFERROR(INDEX('Patrimônio Geral'!$R$7:$R$156,MATCH($A12,'Patrimônio Geral'!$A$7:$A$156,0)),"")</f>
        <v/>
      </c>
      <c r="D12" s="37">
        <f>IFERROR(INDEX('Patrimônio Geral'!$Q$7:$Q$156,MATCH($A12,'Patrimônio Geral'!$A$7:$A$156,0)),"")</f>
        <v/>
      </c>
      <c r="E12" s="29" t="n"/>
      <c r="F12" s="27" t="n"/>
      <c r="G12" s="27" t="n"/>
      <c r="H12" s="27" t="n"/>
      <c r="I12" s="28" t="n"/>
      <c r="J12" s="27" t="n"/>
    </row>
    <row r="13" ht="20" customHeight="1">
      <c r="A13" s="29" t="n"/>
      <c r="B13" s="37">
        <f>IFERROR(INDEX('Patrimônio Geral'!$C$7:$C$156,MATCH($A13,'Patrimônio Geral'!$A$7:$A$156,0)),"")</f>
        <v/>
      </c>
      <c r="C13" s="37">
        <f>IFERROR(INDEX('Patrimônio Geral'!$R$7:$R$156,MATCH($A13,'Patrimônio Geral'!$A$7:$A$156,0)),"")</f>
        <v/>
      </c>
      <c r="D13" s="37">
        <f>IFERROR(INDEX('Patrimônio Geral'!$Q$7:$Q$156,MATCH($A13,'Patrimônio Geral'!$A$7:$A$156,0)),"")</f>
        <v/>
      </c>
      <c r="E13" s="29" t="n"/>
      <c r="F13" s="27" t="n"/>
      <c r="G13" s="27" t="n"/>
      <c r="H13" s="27" t="n"/>
      <c r="I13" s="28" t="n"/>
      <c r="J13" s="27" t="n"/>
    </row>
    <row r="14" ht="20" customHeight="1">
      <c r="A14" s="29" t="n"/>
      <c r="B14" s="37">
        <f>IFERROR(INDEX('Patrimônio Geral'!$C$7:$C$156,MATCH($A14,'Patrimônio Geral'!$A$7:$A$156,0)),"")</f>
        <v/>
      </c>
      <c r="C14" s="37">
        <f>IFERROR(INDEX('Patrimônio Geral'!$R$7:$R$156,MATCH($A14,'Patrimônio Geral'!$A$7:$A$156,0)),"")</f>
        <v/>
      </c>
      <c r="D14" s="37">
        <f>IFERROR(INDEX('Patrimônio Geral'!$Q$7:$Q$156,MATCH($A14,'Patrimônio Geral'!$A$7:$A$156,0)),"")</f>
        <v/>
      </c>
      <c r="E14" s="29" t="n"/>
      <c r="F14" s="27" t="n"/>
      <c r="G14" s="27" t="n"/>
      <c r="H14" s="27" t="n"/>
      <c r="I14" s="28" t="n"/>
      <c r="J14" s="27" t="n"/>
    </row>
    <row r="15" ht="20" customHeight="1">
      <c r="A15" s="29" t="n"/>
      <c r="B15" s="37">
        <f>IFERROR(INDEX('Patrimônio Geral'!$C$7:$C$156,MATCH($A15,'Patrimônio Geral'!$A$7:$A$156,0)),"")</f>
        <v/>
      </c>
      <c r="C15" s="37">
        <f>IFERROR(INDEX('Patrimônio Geral'!$R$7:$R$156,MATCH($A15,'Patrimônio Geral'!$A$7:$A$156,0)),"")</f>
        <v/>
      </c>
      <c r="D15" s="37">
        <f>IFERROR(INDEX('Patrimônio Geral'!$Q$7:$Q$156,MATCH($A15,'Patrimônio Geral'!$A$7:$A$156,0)),"")</f>
        <v/>
      </c>
      <c r="E15" s="29" t="n"/>
      <c r="F15" s="27" t="n"/>
      <c r="G15" s="27" t="n"/>
      <c r="H15" s="27" t="n"/>
      <c r="I15" s="28" t="n"/>
      <c r="J15" s="27" t="n"/>
    </row>
    <row r="16" ht="20" customHeight="1">
      <c r="A16" s="29" t="n"/>
      <c r="B16" s="37">
        <f>IFERROR(INDEX('Patrimônio Geral'!$C$7:$C$156,MATCH($A16,'Patrimônio Geral'!$A$7:$A$156,0)),"")</f>
        <v/>
      </c>
      <c r="C16" s="37">
        <f>IFERROR(INDEX('Patrimônio Geral'!$R$7:$R$156,MATCH($A16,'Patrimônio Geral'!$A$7:$A$156,0)),"")</f>
        <v/>
      </c>
      <c r="D16" s="37">
        <f>IFERROR(INDEX('Patrimônio Geral'!$Q$7:$Q$156,MATCH($A16,'Patrimônio Geral'!$A$7:$A$156,0)),"")</f>
        <v/>
      </c>
      <c r="E16" s="29" t="n"/>
      <c r="F16" s="27" t="n"/>
      <c r="G16" s="27" t="n"/>
      <c r="H16" s="27" t="n"/>
      <c r="I16" s="28" t="n"/>
      <c r="J16" s="27" t="n"/>
    </row>
    <row r="17" ht="20" customHeight="1">
      <c r="A17" s="29" t="n"/>
      <c r="B17" s="37">
        <f>IFERROR(INDEX('Patrimônio Geral'!$C$7:$C$156,MATCH($A17,'Patrimônio Geral'!$A$7:$A$156,0)),"")</f>
        <v/>
      </c>
      <c r="C17" s="37">
        <f>IFERROR(INDEX('Patrimônio Geral'!$R$7:$R$156,MATCH($A17,'Patrimônio Geral'!$A$7:$A$156,0)),"")</f>
        <v/>
      </c>
      <c r="D17" s="37">
        <f>IFERROR(INDEX('Patrimônio Geral'!$Q$7:$Q$156,MATCH($A17,'Patrimônio Geral'!$A$7:$A$156,0)),"")</f>
        <v/>
      </c>
      <c r="E17" s="29" t="n"/>
      <c r="F17" s="27" t="n"/>
      <c r="G17" s="27" t="n"/>
      <c r="H17" s="27" t="n"/>
      <c r="I17" s="28" t="n"/>
      <c r="J17" s="27" t="n"/>
    </row>
    <row r="18" ht="20" customHeight="1">
      <c r="A18" s="29" t="n"/>
      <c r="B18" s="37">
        <f>IFERROR(INDEX('Patrimônio Geral'!$C$7:$C$156,MATCH($A18,'Patrimônio Geral'!$A$7:$A$156,0)),"")</f>
        <v/>
      </c>
      <c r="C18" s="37">
        <f>IFERROR(INDEX('Patrimônio Geral'!$R$7:$R$156,MATCH($A18,'Patrimônio Geral'!$A$7:$A$156,0)),"")</f>
        <v/>
      </c>
      <c r="D18" s="37">
        <f>IFERROR(INDEX('Patrimônio Geral'!$Q$7:$Q$156,MATCH($A18,'Patrimônio Geral'!$A$7:$A$156,0)),"")</f>
        <v/>
      </c>
      <c r="E18" s="29" t="n"/>
      <c r="F18" s="27" t="n"/>
      <c r="G18" s="27" t="n"/>
      <c r="H18" s="27" t="n"/>
      <c r="I18" s="28" t="n"/>
      <c r="J18" s="27" t="n"/>
    </row>
    <row r="19" ht="20" customHeight="1">
      <c r="A19" s="29" t="n"/>
      <c r="B19" s="37">
        <f>IFERROR(INDEX('Patrimônio Geral'!$C$7:$C$156,MATCH($A19,'Patrimônio Geral'!$A$7:$A$156,0)),"")</f>
        <v/>
      </c>
      <c r="C19" s="37">
        <f>IFERROR(INDEX('Patrimônio Geral'!$R$7:$R$156,MATCH($A19,'Patrimônio Geral'!$A$7:$A$156,0)),"")</f>
        <v/>
      </c>
      <c r="D19" s="37">
        <f>IFERROR(INDEX('Patrimônio Geral'!$Q$7:$Q$156,MATCH($A19,'Patrimônio Geral'!$A$7:$A$156,0)),"")</f>
        <v/>
      </c>
      <c r="E19" s="29" t="n"/>
      <c r="F19" s="27" t="n"/>
      <c r="G19" s="27" t="n"/>
      <c r="H19" s="27" t="n"/>
      <c r="I19" s="28" t="n"/>
      <c r="J19" s="27" t="n"/>
    </row>
    <row r="20" ht="20" customHeight="1">
      <c r="A20" s="29" t="n"/>
      <c r="B20" s="37">
        <f>IFERROR(INDEX('Patrimônio Geral'!$C$7:$C$156,MATCH($A20,'Patrimônio Geral'!$A$7:$A$156,0)),"")</f>
        <v/>
      </c>
      <c r="C20" s="37">
        <f>IFERROR(INDEX('Patrimônio Geral'!$R$7:$R$156,MATCH($A20,'Patrimônio Geral'!$A$7:$A$156,0)),"")</f>
        <v/>
      </c>
      <c r="D20" s="37">
        <f>IFERROR(INDEX('Patrimônio Geral'!$Q$7:$Q$156,MATCH($A20,'Patrimônio Geral'!$A$7:$A$156,0)),"")</f>
        <v/>
      </c>
      <c r="E20" s="29" t="n"/>
      <c r="F20" s="27" t="n"/>
      <c r="G20" s="27" t="n"/>
      <c r="H20" s="27" t="n"/>
      <c r="I20" s="28" t="n"/>
      <c r="J20" s="27" t="n"/>
    </row>
    <row r="21" ht="20" customHeight="1">
      <c r="A21" s="29" t="n"/>
      <c r="B21" s="37">
        <f>IFERROR(INDEX('Patrimônio Geral'!$C$7:$C$156,MATCH($A21,'Patrimônio Geral'!$A$7:$A$156,0)),"")</f>
        <v/>
      </c>
      <c r="C21" s="37">
        <f>IFERROR(INDEX('Patrimônio Geral'!$R$7:$R$156,MATCH($A21,'Patrimônio Geral'!$A$7:$A$156,0)),"")</f>
        <v/>
      </c>
      <c r="D21" s="37">
        <f>IFERROR(INDEX('Patrimônio Geral'!$Q$7:$Q$156,MATCH($A21,'Patrimônio Geral'!$A$7:$A$156,0)),"")</f>
        <v/>
      </c>
      <c r="E21" s="29" t="n"/>
      <c r="F21" s="27" t="n"/>
      <c r="G21" s="27" t="n"/>
      <c r="H21" s="27" t="n"/>
      <c r="I21" s="28" t="n"/>
      <c r="J21" s="27" t="n"/>
    </row>
    <row r="22" ht="20" customHeight="1">
      <c r="A22" s="29" t="n"/>
      <c r="B22" s="37">
        <f>IFERROR(INDEX('Patrimônio Geral'!$C$7:$C$156,MATCH($A22,'Patrimônio Geral'!$A$7:$A$156,0)),"")</f>
        <v/>
      </c>
      <c r="C22" s="37">
        <f>IFERROR(INDEX('Patrimônio Geral'!$R$7:$R$156,MATCH($A22,'Patrimônio Geral'!$A$7:$A$156,0)),"")</f>
        <v/>
      </c>
      <c r="D22" s="37">
        <f>IFERROR(INDEX('Patrimônio Geral'!$Q$7:$Q$156,MATCH($A22,'Patrimônio Geral'!$A$7:$A$156,0)),"")</f>
        <v/>
      </c>
      <c r="E22" s="29" t="n"/>
      <c r="F22" s="27" t="n"/>
      <c r="G22" s="27" t="n"/>
      <c r="H22" s="27" t="n"/>
      <c r="I22" s="28" t="n"/>
      <c r="J22" s="27" t="n"/>
    </row>
    <row r="23" ht="20" customHeight="1">
      <c r="A23" s="29" t="n"/>
      <c r="B23" s="37">
        <f>IFERROR(INDEX('Patrimônio Geral'!$C$7:$C$156,MATCH($A23,'Patrimônio Geral'!$A$7:$A$156,0)),"")</f>
        <v/>
      </c>
      <c r="C23" s="37">
        <f>IFERROR(INDEX('Patrimônio Geral'!$R$7:$R$156,MATCH($A23,'Patrimônio Geral'!$A$7:$A$156,0)),"")</f>
        <v/>
      </c>
      <c r="D23" s="37">
        <f>IFERROR(INDEX('Patrimônio Geral'!$Q$7:$Q$156,MATCH($A23,'Patrimônio Geral'!$A$7:$A$156,0)),"")</f>
        <v/>
      </c>
      <c r="E23" s="29" t="n"/>
      <c r="F23" s="27" t="n"/>
      <c r="G23" s="27" t="n"/>
      <c r="H23" s="27" t="n"/>
      <c r="I23" s="28" t="n"/>
      <c r="J23" s="27" t="n"/>
    </row>
    <row r="24" ht="20" customHeight="1">
      <c r="A24" s="29" t="n"/>
      <c r="B24" s="37">
        <f>IFERROR(INDEX('Patrimônio Geral'!$C$7:$C$156,MATCH($A24,'Patrimônio Geral'!$A$7:$A$156,0)),"")</f>
        <v/>
      </c>
      <c r="C24" s="37">
        <f>IFERROR(INDEX('Patrimônio Geral'!$R$7:$R$156,MATCH($A24,'Patrimônio Geral'!$A$7:$A$156,0)),"")</f>
        <v/>
      </c>
      <c r="D24" s="37">
        <f>IFERROR(INDEX('Patrimônio Geral'!$Q$7:$Q$156,MATCH($A24,'Patrimônio Geral'!$A$7:$A$156,0)),"")</f>
        <v/>
      </c>
      <c r="E24" s="29" t="n"/>
      <c r="F24" s="27" t="n"/>
      <c r="G24" s="27" t="n"/>
      <c r="H24" s="27" t="n"/>
      <c r="I24" s="28" t="n"/>
      <c r="J24" s="27" t="n"/>
    </row>
    <row r="25" ht="20" customHeight="1">
      <c r="A25" s="29" t="n"/>
      <c r="B25" s="37">
        <f>IFERROR(INDEX('Patrimônio Geral'!$C$7:$C$156,MATCH($A25,'Patrimônio Geral'!$A$7:$A$156,0)),"")</f>
        <v/>
      </c>
      <c r="C25" s="37">
        <f>IFERROR(INDEX('Patrimônio Geral'!$R$7:$R$156,MATCH($A25,'Patrimônio Geral'!$A$7:$A$156,0)),"")</f>
        <v/>
      </c>
      <c r="D25" s="37">
        <f>IFERROR(INDEX('Patrimônio Geral'!$Q$7:$Q$156,MATCH($A25,'Patrimônio Geral'!$A$7:$A$156,0)),"")</f>
        <v/>
      </c>
      <c r="E25" s="29" t="n"/>
      <c r="F25" s="27" t="n"/>
      <c r="G25" s="27" t="n"/>
      <c r="H25" s="27" t="n"/>
      <c r="I25" s="28" t="n"/>
      <c r="J25" s="27" t="n"/>
    </row>
    <row r="26" ht="20" customHeight="1">
      <c r="A26" s="29" t="n"/>
      <c r="B26" s="37">
        <f>IFERROR(INDEX('Patrimônio Geral'!$C$7:$C$156,MATCH($A26,'Patrimônio Geral'!$A$7:$A$156,0)),"")</f>
        <v/>
      </c>
      <c r="C26" s="37">
        <f>IFERROR(INDEX('Patrimônio Geral'!$R$7:$R$156,MATCH($A26,'Patrimônio Geral'!$A$7:$A$156,0)),"")</f>
        <v/>
      </c>
      <c r="D26" s="37">
        <f>IFERROR(INDEX('Patrimônio Geral'!$Q$7:$Q$156,MATCH($A26,'Patrimônio Geral'!$A$7:$A$156,0)),"")</f>
        <v/>
      </c>
      <c r="E26" s="29" t="n"/>
      <c r="F26" s="27" t="n"/>
      <c r="G26" s="27" t="n"/>
      <c r="H26" s="27" t="n"/>
      <c r="I26" s="28" t="n"/>
      <c r="J26" s="27" t="n"/>
    </row>
    <row r="27" ht="20" customHeight="1">
      <c r="A27" s="29" t="n"/>
      <c r="B27" s="37">
        <f>IFERROR(INDEX('Patrimônio Geral'!$C$7:$C$156,MATCH($A27,'Patrimônio Geral'!$A$7:$A$156,0)),"")</f>
        <v/>
      </c>
      <c r="C27" s="37">
        <f>IFERROR(INDEX('Patrimônio Geral'!$R$7:$R$156,MATCH($A27,'Patrimônio Geral'!$A$7:$A$156,0)),"")</f>
        <v/>
      </c>
      <c r="D27" s="37">
        <f>IFERROR(INDEX('Patrimônio Geral'!$Q$7:$Q$156,MATCH($A27,'Patrimônio Geral'!$A$7:$A$156,0)),"")</f>
        <v/>
      </c>
      <c r="E27" s="29" t="n"/>
      <c r="F27" s="27" t="n"/>
      <c r="G27" s="27" t="n"/>
      <c r="H27" s="27" t="n"/>
      <c r="I27" s="28" t="n"/>
      <c r="J27" s="27" t="n"/>
    </row>
    <row r="28" ht="20" customHeight="1">
      <c r="A28" s="29" t="n"/>
      <c r="B28" s="37">
        <f>IFERROR(INDEX('Patrimônio Geral'!$C$7:$C$156,MATCH($A28,'Patrimônio Geral'!$A$7:$A$156,0)),"")</f>
        <v/>
      </c>
      <c r="C28" s="37">
        <f>IFERROR(INDEX('Patrimônio Geral'!$R$7:$R$156,MATCH($A28,'Patrimônio Geral'!$A$7:$A$156,0)),"")</f>
        <v/>
      </c>
      <c r="D28" s="37">
        <f>IFERROR(INDEX('Patrimônio Geral'!$Q$7:$Q$156,MATCH($A28,'Patrimônio Geral'!$A$7:$A$156,0)),"")</f>
        <v/>
      </c>
      <c r="E28" s="29" t="n"/>
      <c r="F28" s="27" t="n"/>
      <c r="G28" s="27" t="n"/>
      <c r="H28" s="27" t="n"/>
      <c r="I28" s="28" t="n"/>
      <c r="J28" s="27" t="n"/>
    </row>
    <row r="29" ht="20" customHeight="1">
      <c r="A29" s="29" t="n"/>
      <c r="B29" s="37">
        <f>IFERROR(INDEX('Patrimônio Geral'!$C$7:$C$156,MATCH($A29,'Patrimônio Geral'!$A$7:$A$156,0)),"")</f>
        <v/>
      </c>
      <c r="C29" s="37">
        <f>IFERROR(INDEX('Patrimônio Geral'!$R$7:$R$156,MATCH($A29,'Patrimônio Geral'!$A$7:$A$156,0)),"")</f>
        <v/>
      </c>
      <c r="D29" s="37">
        <f>IFERROR(INDEX('Patrimônio Geral'!$Q$7:$Q$156,MATCH($A29,'Patrimônio Geral'!$A$7:$A$156,0)),"")</f>
        <v/>
      </c>
      <c r="E29" s="29" t="n"/>
      <c r="F29" s="27" t="n"/>
      <c r="G29" s="27" t="n"/>
      <c r="H29" s="27" t="n"/>
      <c r="I29" s="28" t="n"/>
      <c r="J29" s="27" t="n"/>
    </row>
    <row r="30" ht="20" customHeight="1">
      <c r="A30" s="29" t="n"/>
      <c r="B30" s="37">
        <f>IFERROR(INDEX('Patrimônio Geral'!$C$7:$C$156,MATCH($A30,'Patrimônio Geral'!$A$7:$A$156,0)),"")</f>
        <v/>
      </c>
      <c r="C30" s="37">
        <f>IFERROR(INDEX('Patrimônio Geral'!$R$7:$R$156,MATCH($A30,'Patrimônio Geral'!$A$7:$A$156,0)),"")</f>
        <v/>
      </c>
      <c r="D30" s="37">
        <f>IFERROR(INDEX('Patrimônio Geral'!$Q$7:$Q$156,MATCH($A30,'Patrimônio Geral'!$A$7:$A$156,0)),"")</f>
        <v/>
      </c>
      <c r="E30" s="29" t="n"/>
      <c r="F30" s="27" t="n"/>
      <c r="G30" s="27" t="n"/>
      <c r="H30" s="27" t="n"/>
      <c r="I30" s="28" t="n"/>
      <c r="J30" s="27" t="n"/>
    </row>
    <row r="31" ht="20" customHeight="1">
      <c r="A31" s="29" t="n"/>
      <c r="B31" s="37">
        <f>IFERROR(INDEX('Patrimônio Geral'!$C$7:$C$156,MATCH($A31,'Patrimônio Geral'!$A$7:$A$156,0)),"")</f>
        <v/>
      </c>
      <c r="C31" s="37">
        <f>IFERROR(INDEX('Patrimônio Geral'!$R$7:$R$156,MATCH($A31,'Patrimônio Geral'!$A$7:$A$156,0)),"")</f>
        <v/>
      </c>
      <c r="D31" s="37">
        <f>IFERROR(INDEX('Patrimônio Geral'!$Q$7:$Q$156,MATCH($A31,'Patrimônio Geral'!$A$7:$A$156,0)),"")</f>
        <v/>
      </c>
      <c r="E31" s="29" t="n"/>
      <c r="F31" s="27" t="n"/>
      <c r="G31" s="27" t="n"/>
      <c r="H31" s="27" t="n"/>
      <c r="I31" s="28" t="n"/>
      <c r="J31" s="27" t="n"/>
    </row>
    <row r="32" ht="20" customHeight="1">
      <c r="A32" s="29" t="n"/>
      <c r="B32" s="37">
        <f>IFERROR(INDEX('Patrimônio Geral'!$C$7:$C$156,MATCH($A32,'Patrimônio Geral'!$A$7:$A$156,0)),"")</f>
        <v/>
      </c>
      <c r="C32" s="37">
        <f>IFERROR(INDEX('Patrimônio Geral'!$R$7:$R$156,MATCH($A32,'Patrimônio Geral'!$A$7:$A$156,0)),"")</f>
        <v/>
      </c>
      <c r="D32" s="37">
        <f>IFERROR(INDEX('Patrimônio Geral'!$Q$7:$Q$156,MATCH($A32,'Patrimônio Geral'!$A$7:$A$156,0)),"")</f>
        <v/>
      </c>
      <c r="E32" s="29" t="n"/>
      <c r="F32" s="27" t="n"/>
      <c r="G32" s="27" t="n"/>
      <c r="H32" s="27" t="n"/>
      <c r="I32" s="28" t="n"/>
      <c r="J32" s="27" t="n"/>
    </row>
    <row r="33" ht="20" customHeight="1">
      <c r="A33" s="29" t="n"/>
      <c r="B33" s="37">
        <f>IFERROR(INDEX('Patrimônio Geral'!$C$7:$C$156,MATCH($A33,'Patrimônio Geral'!$A$7:$A$156,0)),"")</f>
        <v/>
      </c>
      <c r="C33" s="37">
        <f>IFERROR(INDEX('Patrimônio Geral'!$R$7:$R$156,MATCH($A33,'Patrimônio Geral'!$A$7:$A$156,0)),"")</f>
        <v/>
      </c>
      <c r="D33" s="37">
        <f>IFERROR(INDEX('Patrimônio Geral'!$Q$7:$Q$156,MATCH($A33,'Patrimônio Geral'!$A$7:$A$156,0)),"")</f>
        <v/>
      </c>
      <c r="E33" s="29" t="n"/>
      <c r="F33" s="27" t="n"/>
      <c r="G33" s="27" t="n"/>
      <c r="H33" s="27" t="n"/>
      <c r="I33" s="28" t="n"/>
      <c r="J33" s="27" t="n"/>
    </row>
    <row r="34" ht="20" customHeight="1">
      <c r="A34" s="29" t="n"/>
      <c r="B34" s="37">
        <f>IFERROR(INDEX('Patrimônio Geral'!$C$7:$C$156,MATCH($A34,'Patrimônio Geral'!$A$7:$A$156,0)),"")</f>
        <v/>
      </c>
      <c r="C34" s="37">
        <f>IFERROR(INDEX('Patrimônio Geral'!$R$7:$R$156,MATCH($A34,'Patrimônio Geral'!$A$7:$A$156,0)),"")</f>
        <v/>
      </c>
      <c r="D34" s="37">
        <f>IFERROR(INDEX('Patrimônio Geral'!$Q$7:$Q$156,MATCH($A34,'Patrimônio Geral'!$A$7:$A$156,0)),"")</f>
        <v/>
      </c>
      <c r="E34" s="29" t="n"/>
      <c r="F34" s="27" t="n"/>
      <c r="G34" s="27" t="n"/>
      <c r="H34" s="27" t="n"/>
      <c r="I34" s="28" t="n"/>
      <c r="J34" s="27" t="n"/>
    </row>
    <row r="35" ht="20" customHeight="1">
      <c r="A35" s="29" t="n"/>
      <c r="B35" s="37">
        <f>IFERROR(INDEX('Patrimônio Geral'!$C$7:$C$156,MATCH($A35,'Patrimônio Geral'!$A$7:$A$156,0)),"")</f>
        <v/>
      </c>
      <c r="C35" s="37">
        <f>IFERROR(INDEX('Patrimônio Geral'!$R$7:$R$156,MATCH($A35,'Patrimônio Geral'!$A$7:$A$156,0)),"")</f>
        <v/>
      </c>
      <c r="D35" s="37">
        <f>IFERROR(INDEX('Patrimônio Geral'!$Q$7:$Q$156,MATCH($A35,'Patrimônio Geral'!$A$7:$A$156,0)),"")</f>
        <v/>
      </c>
      <c r="E35" s="29" t="n"/>
      <c r="F35" s="27" t="n"/>
      <c r="G35" s="27" t="n"/>
      <c r="H35" s="27" t="n"/>
      <c r="I35" s="28" t="n"/>
      <c r="J35" s="27" t="n"/>
    </row>
    <row r="36" ht="20" customHeight="1">
      <c r="A36" s="29" t="n"/>
      <c r="B36" s="37">
        <f>IFERROR(INDEX('Patrimônio Geral'!$C$7:$C$156,MATCH($A36,'Patrimônio Geral'!$A$7:$A$156,0)),"")</f>
        <v/>
      </c>
      <c r="C36" s="37">
        <f>IFERROR(INDEX('Patrimônio Geral'!$R$7:$R$156,MATCH($A36,'Patrimônio Geral'!$A$7:$A$156,0)),"")</f>
        <v/>
      </c>
      <c r="D36" s="37">
        <f>IFERROR(INDEX('Patrimônio Geral'!$Q$7:$Q$156,MATCH($A36,'Patrimônio Geral'!$A$7:$A$156,0)),"")</f>
        <v/>
      </c>
      <c r="E36" s="29" t="n"/>
      <c r="F36" s="27" t="n"/>
      <c r="G36" s="27" t="n"/>
      <c r="H36" s="27" t="n"/>
      <c r="I36" s="28" t="n"/>
      <c r="J36" s="27" t="n"/>
    </row>
    <row r="37" ht="20" customHeight="1">
      <c r="A37" s="29" t="n"/>
      <c r="B37" s="37">
        <f>IFERROR(INDEX('Patrimônio Geral'!$C$7:$C$156,MATCH($A37,'Patrimônio Geral'!$A$7:$A$156,0)),"")</f>
        <v/>
      </c>
      <c r="C37" s="37">
        <f>IFERROR(INDEX('Patrimônio Geral'!$R$7:$R$156,MATCH($A37,'Patrimônio Geral'!$A$7:$A$156,0)),"")</f>
        <v/>
      </c>
      <c r="D37" s="37">
        <f>IFERROR(INDEX('Patrimônio Geral'!$Q$7:$Q$156,MATCH($A37,'Patrimônio Geral'!$A$7:$A$156,0)),"")</f>
        <v/>
      </c>
      <c r="E37" s="29" t="n"/>
      <c r="F37" s="27" t="n"/>
      <c r="G37" s="27" t="n"/>
      <c r="H37" s="27" t="n"/>
      <c r="I37" s="28" t="n"/>
      <c r="J37" s="27" t="n"/>
    </row>
    <row r="38" ht="20" customHeight="1">
      <c r="A38" s="29" t="n"/>
      <c r="B38" s="37">
        <f>IFERROR(INDEX('Patrimônio Geral'!$C$7:$C$156,MATCH($A38,'Patrimônio Geral'!$A$7:$A$156,0)),"")</f>
        <v/>
      </c>
      <c r="C38" s="37">
        <f>IFERROR(INDEX('Patrimônio Geral'!$R$7:$R$156,MATCH($A38,'Patrimônio Geral'!$A$7:$A$156,0)),"")</f>
        <v/>
      </c>
      <c r="D38" s="37">
        <f>IFERROR(INDEX('Patrimônio Geral'!$Q$7:$Q$156,MATCH($A38,'Patrimônio Geral'!$A$7:$A$156,0)),"")</f>
        <v/>
      </c>
      <c r="E38" s="29" t="n"/>
      <c r="F38" s="27" t="n"/>
      <c r="G38" s="27" t="n"/>
      <c r="H38" s="27" t="n"/>
      <c r="I38" s="28" t="n"/>
      <c r="J38" s="27" t="n"/>
    </row>
    <row r="39" ht="20" customHeight="1">
      <c r="A39" s="29" t="n"/>
      <c r="B39" s="37">
        <f>IFERROR(INDEX('Patrimônio Geral'!$C$7:$C$156,MATCH($A39,'Patrimônio Geral'!$A$7:$A$156,0)),"")</f>
        <v/>
      </c>
      <c r="C39" s="37">
        <f>IFERROR(INDEX('Patrimônio Geral'!$R$7:$R$156,MATCH($A39,'Patrimônio Geral'!$A$7:$A$156,0)),"")</f>
        <v/>
      </c>
      <c r="D39" s="37">
        <f>IFERROR(INDEX('Patrimônio Geral'!$Q$7:$Q$156,MATCH($A39,'Patrimônio Geral'!$A$7:$A$156,0)),"")</f>
        <v/>
      </c>
      <c r="E39" s="29" t="n"/>
      <c r="F39" s="27" t="n"/>
      <c r="G39" s="27" t="n"/>
      <c r="H39" s="27" t="n"/>
      <c r="I39" s="28" t="n"/>
      <c r="J39" s="27" t="n"/>
    </row>
    <row r="40" ht="20" customHeight="1">
      <c r="A40" s="29" t="n"/>
      <c r="B40" s="37">
        <f>IFERROR(INDEX('Patrimônio Geral'!$C$7:$C$156,MATCH($A40,'Patrimônio Geral'!$A$7:$A$156,0)),"")</f>
        <v/>
      </c>
      <c r="C40" s="37">
        <f>IFERROR(INDEX('Patrimônio Geral'!$R$7:$R$156,MATCH($A40,'Patrimônio Geral'!$A$7:$A$156,0)),"")</f>
        <v/>
      </c>
      <c r="D40" s="37">
        <f>IFERROR(INDEX('Patrimônio Geral'!$Q$7:$Q$156,MATCH($A40,'Patrimônio Geral'!$A$7:$A$156,0)),"")</f>
        <v/>
      </c>
      <c r="E40" s="29" t="n"/>
      <c r="F40" s="27" t="n"/>
      <c r="G40" s="27" t="n"/>
      <c r="H40" s="27" t="n"/>
      <c r="I40" s="28" t="n"/>
      <c r="J40" s="27" t="n"/>
    </row>
    <row r="41" ht="20" customHeight="1">
      <c r="A41" s="29" t="n"/>
      <c r="B41" s="37">
        <f>IFERROR(INDEX('Patrimônio Geral'!$C$7:$C$156,MATCH($A41,'Patrimônio Geral'!$A$7:$A$156,0)),"")</f>
        <v/>
      </c>
      <c r="C41" s="37">
        <f>IFERROR(INDEX('Patrimônio Geral'!$R$7:$R$156,MATCH($A41,'Patrimônio Geral'!$A$7:$A$156,0)),"")</f>
        <v/>
      </c>
      <c r="D41" s="37">
        <f>IFERROR(INDEX('Patrimônio Geral'!$Q$7:$Q$156,MATCH($A41,'Patrimônio Geral'!$A$7:$A$156,0)),"")</f>
        <v/>
      </c>
      <c r="E41" s="29" t="n"/>
      <c r="F41" s="27" t="n"/>
      <c r="G41" s="27" t="n"/>
      <c r="H41" s="27" t="n"/>
      <c r="I41" s="28" t="n"/>
      <c r="J41" s="27" t="n"/>
    </row>
    <row r="42" ht="20" customHeight="1">
      <c r="A42" s="29" t="n"/>
      <c r="B42" s="37">
        <f>IFERROR(INDEX('Patrimônio Geral'!$C$7:$C$156,MATCH($A42,'Patrimônio Geral'!$A$7:$A$156,0)),"")</f>
        <v/>
      </c>
      <c r="C42" s="37">
        <f>IFERROR(INDEX('Patrimônio Geral'!$R$7:$R$156,MATCH($A42,'Patrimônio Geral'!$A$7:$A$156,0)),"")</f>
        <v/>
      </c>
      <c r="D42" s="37">
        <f>IFERROR(INDEX('Patrimônio Geral'!$Q$7:$Q$156,MATCH($A42,'Patrimônio Geral'!$A$7:$A$156,0)),"")</f>
        <v/>
      </c>
      <c r="E42" s="29" t="n"/>
      <c r="F42" s="27" t="n"/>
      <c r="G42" s="27" t="n"/>
      <c r="H42" s="27" t="n"/>
      <c r="I42" s="28" t="n"/>
      <c r="J42" s="27" t="n"/>
    </row>
    <row r="43" ht="20" customHeight="1">
      <c r="A43" s="29" t="n"/>
      <c r="B43" s="37">
        <f>IFERROR(INDEX('Patrimônio Geral'!$C$7:$C$156,MATCH($A43,'Patrimônio Geral'!$A$7:$A$156,0)),"")</f>
        <v/>
      </c>
      <c r="C43" s="37">
        <f>IFERROR(INDEX('Patrimônio Geral'!$R$7:$R$156,MATCH($A43,'Patrimônio Geral'!$A$7:$A$156,0)),"")</f>
        <v/>
      </c>
      <c r="D43" s="37">
        <f>IFERROR(INDEX('Patrimônio Geral'!$Q$7:$Q$156,MATCH($A43,'Patrimônio Geral'!$A$7:$A$156,0)),"")</f>
        <v/>
      </c>
      <c r="E43" s="29" t="n"/>
      <c r="F43" s="27" t="n"/>
      <c r="G43" s="27" t="n"/>
      <c r="H43" s="27" t="n"/>
      <c r="I43" s="28" t="n"/>
      <c r="J43" s="27" t="n"/>
    </row>
    <row r="44" ht="20" customHeight="1">
      <c r="A44" s="29" t="n"/>
      <c r="B44" s="37">
        <f>IFERROR(INDEX('Patrimônio Geral'!$C$7:$C$156,MATCH($A44,'Patrimônio Geral'!$A$7:$A$156,0)),"")</f>
        <v/>
      </c>
      <c r="C44" s="37">
        <f>IFERROR(INDEX('Patrimônio Geral'!$R$7:$R$156,MATCH($A44,'Patrimônio Geral'!$A$7:$A$156,0)),"")</f>
        <v/>
      </c>
      <c r="D44" s="37">
        <f>IFERROR(INDEX('Patrimônio Geral'!$Q$7:$Q$156,MATCH($A44,'Patrimônio Geral'!$A$7:$A$156,0)),"")</f>
        <v/>
      </c>
      <c r="E44" s="29" t="n"/>
      <c r="F44" s="27" t="n"/>
      <c r="G44" s="27" t="n"/>
      <c r="H44" s="27" t="n"/>
      <c r="I44" s="28" t="n"/>
      <c r="J44" s="27" t="n"/>
    </row>
    <row r="45" ht="20" customHeight="1">
      <c r="A45" s="29" t="n"/>
      <c r="B45" s="37">
        <f>IFERROR(INDEX('Patrimônio Geral'!$C$7:$C$156,MATCH($A45,'Patrimônio Geral'!$A$7:$A$156,0)),"")</f>
        <v/>
      </c>
      <c r="C45" s="37">
        <f>IFERROR(INDEX('Patrimônio Geral'!$R$7:$R$156,MATCH($A45,'Patrimônio Geral'!$A$7:$A$156,0)),"")</f>
        <v/>
      </c>
      <c r="D45" s="37">
        <f>IFERROR(INDEX('Patrimônio Geral'!$Q$7:$Q$156,MATCH($A45,'Patrimônio Geral'!$A$7:$A$156,0)),"")</f>
        <v/>
      </c>
      <c r="E45" s="29" t="n"/>
      <c r="F45" s="27" t="n"/>
      <c r="G45" s="27" t="n"/>
      <c r="H45" s="27" t="n"/>
      <c r="I45" s="28" t="n"/>
      <c r="J45" s="27" t="n"/>
    </row>
    <row r="46" ht="20" customHeight="1">
      <c r="A46" s="29" t="n"/>
      <c r="B46" s="37">
        <f>IFERROR(INDEX('Patrimônio Geral'!$C$7:$C$156,MATCH($A46,'Patrimônio Geral'!$A$7:$A$156,0)),"")</f>
        <v/>
      </c>
      <c r="C46" s="37">
        <f>IFERROR(INDEX('Patrimônio Geral'!$R$7:$R$156,MATCH($A46,'Patrimônio Geral'!$A$7:$A$156,0)),"")</f>
        <v/>
      </c>
      <c r="D46" s="37">
        <f>IFERROR(INDEX('Patrimônio Geral'!$Q$7:$Q$156,MATCH($A46,'Patrimônio Geral'!$A$7:$A$156,0)),"")</f>
        <v/>
      </c>
      <c r="E46" s="29" t="n"/>
      <c r="F46" s="27" t="n"/>
      <c r="G46" s="27" t="n"/>
      <c r="H46" s="27" t="n"/>
      <c r="I46" s="28" t="n"/>
      <c r="J46" s="27" t="n"/>
    </row>
    <row r="47" ht="20" customHeight="1">
      <c r="A47" s="29" t="n"/>
      <c r="B47" s="37">
        <f>IFERROR(INDEX('Patrimônio Geral'!$C$7:$C$156,MATCH($A47,'Patrimônio Geral'!$A$7:$A$156,0)),"")</f>
        <v/>
      </c>
      <c r="C47" s="37">
        <f>IFERROR(INDEX('Patrimônio Geral'!$R$7:$R$156,MATCH($A47,'Patrimônio Geral'!$A$7:$A$156,0)),"")</f>
        <v/>
      </c>
      <c r="D47" s="37">
        <f>IFERROR(INDEX('Patrimônio Geral'!$Q$7:$Q$156,MATCH($A47,'Patrimônio Geral'!$A$7:$A$156,0)),"")</f>
        <v/>
      </c>
      <c r="E47" s="29" t="n"/>
      <c r="F47" s="27" t="n"/>
      <c r="G47" s="27" t="n"/>
      <c r="H47" s="27" t="n"/>
      <c r="I47" s="28" t="n"/>
      <c r="J47" s="27" t="n"/>
    </row>
    <row r="48" ht="20" customHeight="1">
      <c r="A48" s="29" t="n"/>
      <c r="B48" s="37">
        <f>IFERROR(INDEX('Patrimônio Geral'!$C$7:$C$156,MATCH($A48,'Patrimônio Geral'!$A$7:$A$156,0)),"")</f>
        <v/>
      </c>
      <c r="C48" s="37">
        <f>IFERROR(INDEX('Patrimônio Geral'!$R$7:$R$156,MATCH($A48,'Patrimônio Geral'!$A$7:$A$156,0)),"")</f>
        <v/>
      </c>
      <c r="D48" s="37">
        <f>IFERROR(INDEX('Patrimônio Geral'!$Q$7:$Q$156,MATCH($A48,'Patrimônio Geral'!$A$7:$A$156,0)),"")</f>
        <v/>
      </c>
      <c r="E48" s="29" t="n"/>
      <c r="F48" s="27" t="n"/>
      <c r="G48" s="27" t="n"/>
      <c r="H48" s="27" t="n"/>
      <c r="I48" s="28" t="n"/>
      <c r="J48" s="27" t="n"/>
    </row>
    <row r="49" ht="20" customHeight="1">
      <c r="A49" s="29" t="n"/>
      <c r="B49" s="37">
        <f>IFERROR(INDEX('Patrimônio Geral'!$C$7:$C$156,MATCH($A49,'Patrimônio Geral'!$A$7:$A$156,0)),"")</f>
        <v/>
      </c>
      <c r="C49" s="37">
        <f>IFERROR(INDEX('Patrimônio Geral'!$R$7:$R$156,MATCH($A49,'Patrimônio Geral'!$A$7:$A$156,0)),"")</f>
        <v/>
      </c>
      <c r="D49" s="37">
        <f>IFERROR(INDEX('Patrimônio Geral'!$Q$7:$Q$156,MATCH($A49,'Patrimônio Geral'!$A$7:$A$156,0)),"")</f>
        <v/>
      </c>
      <c r="E49" s="29" t="n"/>
      <c r="F49" s="27" t="n"/>
      <c r="G49" s="27" t="n"/>
      <c r="H49" s="27" t="n"/>
      <c r="I49" s="28" t="n"/>
      <c r="J49" s="27" t="n"/>
    </row>
    <row r="50" ht="20" customHeight="1">
      <c r="A50" s="29" t="n"/>
      <c r="B50" s="37">
        <f>IFERROR(INDEX('Patrimônio Geral'!$C$7:$C$156,MATCH($A50,'Patrimônio Geral'!$A$7:$A$156,0)),"")</f>
        <v/>
      </c>
      <c r="C50" s="37">
        <f>IFERROR(INDEX('Patrimônio Geral'!$R$7:$R$156,MATCH($A50,'Patrimônio Geral'!$A$7:$A$156,0)),"")</f>
        <v/>
      </c>
      <c r="D50" s="37">
        <f>IFERROR(INDEX('Patrimônio Geral'!$Q$7:$Q$156,MATCH($A50,'Patrimônio Geral'!$A$7:$A$156,0)),"")</f>
        <v/>
      </c>
      <c r="E50" s="29" t="n"/>
      <c r="F50" s="27" t="n"/>
      <c r="G50" s="27" t="n"/>
      <c r="H50" s="27" t="n"/>
      <c r="I50" s="28" t="n"/>
      <c r="J50" s="27" t="n"/>
    </row>
    <row r="51" ht="20" customHeight="1">
      <c r="A51" s="29" t="n"/>
      <c r="B51" s="37">
        <f>IFERROR(INDEX('Patrimônio Geral'!$C$7:$C$156,MATCH($A51,'Patrimônio Geral'!$A$7:$A$156,0)),"")</f>
        <v/>
      </c>
      <c r="C51" s="37">
        <f>IFERROR(INDEX('Patrimônio Geral'!$R$7:$R$156,MATCH($A51,'Patrimônio Geral'!$A$7:$A$156,0)),"")</f>
        <v/>
      </c>
      <c r="D51" s="37">
        <f>IFERROR(INDEX('Patrimônio Geral'!$Q$7:$Q$156,MATCH($A51,'Patrimônio Geral'!$A$7:$A$156,0)),"")</f>
        <v/>
      </c>
      <c r="E51" s="29" t="n"/>
      <c r="F51" s="27" t="n"/>
      <c r="G51" s="27" t="n"/>
      <c r="H51" s="27" t="n"/>
      <c r="I51" s="28" t="n"/>
      <c r="J51" s="27" t="n"/>
    </row>
    <row r="52" ht="20" customHeight="1">
      <c r="A52" s="29" t="n"/>
      <c r="B52" s="37">
        <f>IFERROR(INDEX('Patrimônio Geral'!$C$7:$C$156,MATCH($A52,'Patrimônio Geral'!$A$7:$A$156,0)),"")</f>
        <v/>
      </c>
      <c r="C52" s="37">
        <f>IFERROR(INDEX('Patrimônio Geral'!$R$7:$R$156,MATCH($A52,'Patrimônio Geral'!$A$7:$A$156,0)),"")</f>
        <v/>
      </c>
      <c r="D52" s="37">
        <f>IFERROR(INDEX('Patrimônio Geral'!$Q$7:$Q$156,MATCH($A52,'Patrimônio Geral'!$A$7:$A$156,0)),"")</f>
        <v/>
      </c>
      <c r="E52" s="29" t="n"/>
      <c r="F52" s="27" t="n"/>
      <c r="G52" s="27" t="n"/>
      <c r="H52" s="27" t="n"/>
      <c r="I52" s="28" t="n"/>
      <c r="J52" s="27" t="n"/>
    </row>
    <row r="53" ht="20" customHeight="1">
      <c r="A53" s="29" t="n"/>
      <c r="B53" s="37">
        <f>IFERROR(INDEX('Patrimônio Geral'!$C$7:$C$156,MATCH($A53,'Patrimônio Geral'!$A$7:$A$156,0)),"")</f>
        <v/>
      </c>
      <c r="C53" s="37">
        <f>IFERROR(INDEX('Patrimônio Geral'!$R$7:$R$156,MATCH($A53,'Patrimônio Geral'!$A$7:$A$156,0)),"")</f>
        <v/>
      </c>
      <c r="D53" s="37">
        <f>IFERROR(INDEX('Patrimônio Geral'!$Q$7:$Q$156,MATCH($A53,'Patrimônio Geral'!$A$7:$A$156,0)),"")</f>
        <v/>
      </c>
      <c r="E53" s="29" t="n"/>
      <c r="F53" s="27" t="n"/>
      <c r="G53" s="27" t="n"/>
      <c r="H53" s="27" t="n"/>
      <c r="I53" s="28" t="n"/>
      <c r="J53" s="27" t="n"/>
    </row>
    <row r="54" ht="20" customHeight="1">
      <c r="A54" s="29" t="n"/>
      <c r="B54" s="37">
        <f>IFERROR(INDEX('Patrimônio Geral'!$C$7:$C$156,MATCH($A54,'Patrimônio Geral'!$A$7:$A$156,0)),"")</f>
        <v/>
      </c>
      <c r="C54" s="37">
        <f>IFERROR(INDEX('Patrimônio Geral'!$R$7:$R$156,MATCH($A54,'Patrimônio Geral'!$A$7:$A$156,0)),"")</f>
        <v/>
      </c>
      <c r="D54" s="37">
        <f>IFERROR(INDEX('Patrimônio Geral'!$Q$7:$Q$156,MATCH($A54,'Patrimônio Geral'!$A$7:$A$156,0)),"")</f>
        <v/>
      </c>
      <c r="E54" s="29" t="n"/>
      <c r="F54" s="27" t="n"/>
      <c r="G54" s="27" t="n"/>
      <c r="H54" s="27" t="n"/>
      <c r="I54" s="28" t="n"/>
      <c r="J54" s="27" t="n"/>
    </row>
    <row r="55" ht="20" customHeight="1">
      <c r="A55" s="29" t="n"/>
      <c r="B55" s="37">
        <f>IFERROR(INDEX('Patrimônio Geral'!$C$7:$C$156,MATCH($A55,'Patrimônio Geral'!$A$7:$A$156,0)),"")</f>
        <v/>
      </c>
      <c r="C55" s="37">
        <f>IFERROR(INDEX('Patrimônio Geral'!$R$7:$R$156,MATCH($A55,'Patrimônio Geral'!$A$7:$A$156,0)),"")</f>
        <v/>
      </c>
      <c r="D55" s="37">
        <f>IFERROR(INDEX('Patrimônio Geral'!$Q$7:$Q$156,MATCH($A55,'Patrimônio Geral'!$A$7:$A$156,0)),"")</f>
        <v/>
      </c>
      <c r="E55" s="29" t="n"/>
      <c r="F55" s="27" t="n"/>
      <c r="G55" s="27" t="n"/>
      <c r="H55" s="27" t="n"/>
      <c r="I55" s="28" t="n"/>
      <c r="J55" s="27" t="n"/>
    </row>
    <row r="56" ht="20" customHeight="1">
      <c r="A56" s="29" t="n"/>
      <c r="B56" s="37">
        <f>IFERROR(INDEX('Patrimônio Geral'!$C$7:$C$156,MATCH($A56,'Patrimônio Geral'!$A$7:$A$156,0)),"")</f>
        <v/>
      </c>
      <c r="C56" s="37">
        <f>IFERROR(INDEX('Patrimônio Geral'!$R$7:$R$156,MATCH($A56,'Patrimônio Geral'!$A$7:$A$156,0)),"")</f>
        <v/>
      </c>
      <c r="D56" s="37">
        <f>IFERROR(INDEX('Patrimônio Geral'!$Q$7:$Q$156,MATCH($A56,'Patrimônio Geral'!$A$7:$A$156,0)),"")</f>
        <v/>
      </c>
      <c r="E56" s="29" t="n"/>
      <c r="F56" s="27" t="n"/>
      <c r="G56" s="27" t="n"/>
      <c r="H56" s="27" t="n"/>
      <c r="I56" s="28" t="n"/>
      <c r="J56" s="27" t="n"/>
    </row>
    <row r="57" ht="20" customHeight="1">
      <c r="A57" s="29" t="n"/>
      <c r="B57" s="37">
        <f>IFERROR(INDEX('Patrimônio Geral'!$C$7:$C$156,MATCH($A57,'Patrimônio Geral'!$A$7:$A$156,0)),"")</f>
        <v/>
      </c>
      <c r="C57" s="37">
        <f>IFERROR(INDEX('Patrimônio Geral'!$R$7:$R$156,MATCH($A57,'Patrimônio Geral'!$A$7:$A$156,0)),"")</f>
        <v/>
      </c>
      <c r="D57" s="37">
        <f>IFERROR(INDEX('Patrimônio Geral'!$Q$7:$Q$156,MATCH($A57,'Patrimônio Geral'!$A$7:$A$156,0)),"")</f>
        <v/>
      </c>
      <c r="E57" s="29" t="n"/>
      <c r="F57" s="27" t="n"/>
      <c r="G57" s="27" t="n"/>
      <c r="H57" s="27" t="n"/>
      <c r="I57" s="28" t="n"/>
      <c r="J57" s="27" t="n"/>
    </row>
    <row r="58" ht="20" customHeight="1">
      <c r="A58" s="29" t="n"/>
      <c r="B58" s="37">
        <f>IFERROR(INDEX('Patrimônio Geral'!$C$7:$C$156,MATCH($A58,'Patrimônio Geral'!$A$7:$A$156,0)),"")</f>
        <v/>
      </c>
      <c r="C58" s="37">
        <f>IFERROR(INDEX('Patrimônio Geral'!$R$7:$R$156,MATCH($A58,'Patrimônio Geral'!$A$7:$A$156,0)),"")</f>
        <v/>
      </c>
      <c r="D58" s="37">
        <f>IFERROR(INDEX('Patrimônio Geral'!$Q$7:$Q$156,MATCH($A58,'Patrimônio Geral'!$A$7:$A$156,0)),"")</f>
        <v/>
      </c>
      <c r="E58" s="29" t="n"/>
      <c r="F58" s="27" t="n"/>
      <c r="G58" s="27" t="n"/>
      <c r="H58" s="27" t="n"/>
      <c r="I58" s="28" t="n"/>
      <c r="J58" s="27" t="n"/>
    </row>
    <row r="59" ht="20" customHeight="1">
      <c r="A59" s="29" t="n"/>
      <c r="B59" s="37">
        <f>IFERROR(INDEX('Patrimônio Geral'!$C$7:$C$156,MATCH($A59,'Patrimônio Geral'!$A$7:$A$156,0)),"")</f>
        <v/>
      </c>
      <c r="C59" s="37">
        <f>IFERROR(INDEX('Patrimônio Geral'!$R$7:$R$156,MATCH($A59,'Patrimônio Geral'!$A$7:$A$156,0)),"")</f>
        <v/>
      </c>
      <c r="D59" s="37">
        <f>IFERROR(INDEX('Patrimônio Geral'!$Q$7:$Q$156,MATCH($A59,'Patrimônio Geral'!$A$7:$A$156,0)),"")</f>
        <v/>
      </c>
      <c r="E59" s="29" t="n"/>
      <c r="F59" s="27" t="n"/>
      <c r="G59" s="27" t="n"/>
      <c r="H59" s="27" t="n"/>
      <c r="I59" s="28" t="n"/>
      <c r="J59" s="27" t="n"/>
    </row>
    <row r="60" ht="20" customHeight="1">
      <c r="A60" s="29" t="n"/>
      <c r="B60" s="37">
        <f>IFERROR(INDEX('Patrimônio Geral'!$C$7:$C$156,MATCH($A60,'Patrimônio Geral'!$A$7:$A$156,0)),"")</f>
        <v/>
      </c>
      <c r="C60" s="37">
        <f>IFERROR(INDEX('Patrimônio Geral'!$R$7:$R$156,MATCH($A60,'Patrimônio Geral'!$A$7:$A$156,0)),"")</f>
        <v/>
      </c>
      <c r="D60" s="37">
        <f>IFERROR(INDEX('Patrimônio Geral'!$Q$7:$Q$156,MATCH($A60,'Patrimônio Geral'!$A$7:$A$156,0)),"")</f>
        <v/>
      </c>
      <c r="E60" s="29" t="n"/>
      <c r="F60" s="27" t="n"/>
      <c r="G60" s="27" t="n"/>
      <c r="H60" s="27" t="n"/>
      <c r="I60" s="28" t="n"/>
      <c r="J60" s="27" t="n"/>
    </row>
    <row r="61" ht="20" customHeight="1">
      <c r="A61" s="29" t="n"/>
      <c r="B61" s="37">
        <f>IFERROR(INDEX('Patrimônio Geral'!$C$7:$C$156,MATCH($A61,'Patrimônio Geral'!$A$7:$A$156,0)),"")</f>
        <v/>
      </c>
      <c r="C61" s="37">
        <f>IFERROR(INDEX('Patrimônio Geral'!$R$7:$R$156,MATCH($A61,'Patrimônio Geral'!$A$7:$A$156,0)),"")</f>
        <v/>
      </c>
      <c r="D61" s="37">
        <f>IFERROR(INDEX('Patrimônio Geral'!$Q$7:$Q$156,MATCH($A61,'Patrimônio Geral'!$A$7:$A$156,0)),"")</f>
        <v/>
      </c>
      <c r="E61" s="29" t="n"/>
      <c r="F61" s="27" t="n"/>
      <c r="G61" s="27" t="n"/>
      <c r="H61" s="27" t="n"/>
      <c r="I61" s="28" t="n"/>
      <c r="J61" s="27" t="n"/>
    </row>
    <row r="62" ht="20" customHeight="1">
      <c r="A62" s="29" t="n"/>
      <c r="B62" s="37">
        <f>IFERROR(INDEX('Patrimônio Geral'!$C$7:$C$156,MATCH($A62,'Patrimônio Geral'!$A$7:$A$156,0)),"")</f>
        <v/>
      </c>
      <c r="C62" s="37">
        <f>IFERROR(INDEX('Patrimônio Geral'!$R$7:$R$156,MATCH($A62,'Patrimônio Geral'!$A$7:$A$156,0)),"")</f>
        <v/>
      </c>
      <c r="D62" s="37">
        <f>IFERROR(INDEX('Patrimônio Geral'!$Q$7:$Q$156,MATCH($A62,'Patrimônio Geral'!$A$7:$A$156,0)),"")</f>
        <v/>
      </c>
      <c r="E62" s="29" t="n"/>
      <c r="F62" s="27" t="n"/>
      <c r="G62" s="27" t="n"/>
      <c r="H62" s="27" t="n"/>
      <c r="I62" s="28" t="n"/>
      <c r="J62" s="27" t="n"/>
    </row>
    <row r="63" ht="20" customHeight="1">
      <c r="A63" s="29" t="n"/>
      <c r="B63" s="37">
        <f>IFERROR(INDEX('Patrimônio Geral'!$C$7:$C$156,MATCH($A63,'Patrimônio Geral'!$A$7:$A$156,0)),"")</f>
        <v/>
      </c>
      <c r="C63" s="37">
        <f>IFERROR(INDEX('Patrimônio Geral'!$R$7:$R$156,MATCH($A63,'Patrimônio Geral'!$A$7:$A$156,0)),"")</f>
        <v/>
      </c>
      <c r="D63" s="37">
        <f>IFERROR(INDEX('Patrimônio Geral'!$Q$7:$Q$156,MATCH($A63,'Patrimônio Geral'!$A$7:$A$156,0)),"")</f>
        <v/>
      </c>
      <c r="E63" s="29" t="n"/>
      <c r="F63" s="27" t="n"/>
      <c r="G63" s="27" t="n"/>
      <c r="H63" s="27" t="n"/>
      <c r="I63" s="28" t="n"/>
      <c r="J63" s="27" t="n"/>
    </row>
    <row r="64" ht="20" customHeight="1">
      <c r="A64" s="29" t="n"/>
      <c r="B64" s="37">
        <f>IFERROR(INDEX('Patrimônio Geral'!$C$7:$C$156,MATCH($A64,'Patrimônio Geral'!$A$7:$A$156,0)),"")</f>
        <v/>
      </c>
      <c r="C64" s="37">
        <f>IFERROR(INDEX('Patrimônio Geral'!$R$7:$R$156,MATCH($A64,'Patrimônio Geral'!$A$7:$A$156,0)),"")</f>
        <v/>
      </c>
      <c r="D64" s="37">
        <f>IFERROR(INDEX('Patrimônio Geral'!$Q$7:$Q$156,MATCH($A64,'Patrimônio Geral'!$A$7:$A$156,0)),"")</f>
        <v/>
      </c>
      <c r="E64" s="29" t="n"/>
      <c r="F64" s="27" t="n"/>
      <c r="G64" s="27" t="n"/>
      <c r="H64" s="27" t="n"/>
      <c r="I64" s="28" t="n"/>
      <c r="J64" s="27" t="n"/>
    </row>
    <row r="65" ht="20" customHeight="1">
      <c r="A65" s="29" t="n"/>
      <c r="B65" s="37">
        <f>IFERROR(INDEX('Patrimônio Geral'!$C$7:$C$156,MATCH($A65,'Patrimônio Geral'!$A$7:$A$156,0)),"")</f>
        <v/>
      </c>
      <c r="C65" s="37">
        <f>IFERROR(INDEX('Patrimônio Geral'!$R$7:$R$156,MATCH($A65,'Patrimônio Geral'!$A$7:$A$156,0)),"")</f>
        <v/>
      </c>
      <c r="D65" s="37">
        <f>IFERROR(INDEX('Patrimônio Geral'!$Q$7:$Q$156,MATCH($A65,'Patrimônio Geral'!$A$7:$A$156,0)),"")</f>
        <v/>
      </c>
      <c r="E65" s="29" t="n"/>
      <c r="F65" s="27" t="n"/>
      <c r="G65" s="27" t="n"/>
      <c r="H65" s="27" t="n"/>
      <c r="I65" s="28" t="n"/>
      <c r="J65" s="27" t="n"/>
    </row>
    <row r="66" ht="20" customHeight="1">
      <c r="A66" s="29" t="n"/>
      <c r="B66" s="37">
        <f>IFERROR(INDEX('Patrimônio Geral'!$C$7:$C$156,MATCH($A66,'Patrimônio Geral'!$A$7:$A$156,0)),"")</f>
        <v/>
      </c>
      <c r="C66" s="37">
        <f>IFERROR(INDEX('Patrimônio Geral'!$R$7:$R$156,MATCH($A66,'Patrimônio Geral'!$A$7:$A$156,0)),"")</f>
        <v/>
      </c>
      <c r="D66" s="37">
        <f>IFERROR(INDEX('Patrimônio Geral'!$Q$7:$Q$156,MATCH($A66,'Patrimônio Geral'!$A$7:$A$156,0)),"")</f>
        <v/>
      </c>
      <c r="E66" s="29" t="n"/>
      <c r="F66" s="27" t="n"/>
      <c r="G66" s="27" t="n"/>
      <c r="H66" s="27" t="n"/>
      <c r="I66" s="28" t="n"/>
      <c r="J66" s="27" t="n"/>
    </row>
    <row r="67" ht="20" customHeight="1">
      <c r="A67" s="29" t="n"/>
      <c r="B67" s="37">
        <f>IFERROR(INDEX('Patrimônio Geral'!$C$7:$C$156,MATCH($A67,'Patrimônio Geral'!$A$7:$A$156,0)),"")</f>
        <v/>
      </c>
      <c r="C67" s="37">
        <f>IFERROR(INDEX('Patrimônio Geral'!$R$7:$R$156,MATCH($A67,'Patrimônio Geral'!$A$7:$A$156,0)),"")</f>
        <v/>
      </c>
      <c r="D67" s="37">
        <f>IFERROR(INDEX('Patrimônio Geral'!$Q$7:$Q$156,MATCH($A67,'Patrimônio Geral'!$A$7:$A$156,0)),"")</f>
        <v/>
      </c>
      <c r="E67" s="29" t="n"/>
      <c r="F67" s="27" t="n"/>
      <c r="G67" s="27" t="n"/>
      <c r="H67" s="27" t="n"/>
      <c r="I67" s="28" t="n"/>
      <c r="J67" s="27" t="n"/>
    </row>
    <row r="68" ht="20" customHeight="1">
      <c r="A68" s="29" t="n"/>
      <c r="B68" s="37">
        <f>IFERROR(INDEX('Patrimônio Geral'!$C$7:$C$156,MATCH($A68,'Patrimônio Geral'!$A$7:$A$156,0)),"")</f>
        <v/>
      </c>
      <c r="C68" s="37">
        <f>IFERROR(INDEX('Patrimônio Geral'!$R$7:$R$156,MATCH($A68,'Patrimônio Geral'!$A$7:$A$156,0)),"")</f>
        <v/>
      </c>
      <c r="D68" s="37">
        <f>IFERROR(INDEX('Patrimônio Geral'!$Q$7:$Q$156,MATCH($A68,'Patrimônio Geral'!$A$7:$A$156,0)),"")</f>
        <v/>
      </c>
      <c r="E68" s="29" t="n"/>
      <c r="F68" s="27" t="n"/>
      <c r="G68" s="27" t="n"/>
      <c r="H68" s="27" t="n"/>
      <c r="I68" s="28" t="n"/>
      <c r="J68" s="27" t="n"/>
    </row>
    <row r="69" ht="20" customHeight="1">
      <c r="A69" s="29" t="n"/>
      <c r="B69" s="37">
        <f>IFERROR(INDEX('Patrimônio Geral'!$C$7:$C$156,MATCH($A69,'Patrimônio Geral'!$A$7:$A$156,0)),"")</f>
        <v/>
      </c>
      <c r="C69" s="37">
        <f>IFERROR(INDEX('Patrimônio Geral'!$R$7:$R$156,MATCH($A69,'Patrimônio Geral'!$A$7:$A$156,0)),"")</f>
        <v/>
      </c>
      <c r="D69" s="37">
        <f>IFERROR(INDEX('Patrimônio Geral'!$Q$7:$Q$156,MATCH($A69,'Patrimônio Geral'!$A$7:$A$156,0)),"")</f>
        <v/>
      </c>
      <c r="E69" s="29" t="n"/>
      <c r="F69" s="27" t="n"/>
      <c r="G69" s="27" t="n"/>
      <c r="H69" s="27" t="n"/>
      <c r="I69" s="28" t="n"/>
      <c r="J69" s="27" t="n"/>
    </row>
    <row r="70" ht="20" customHeight="1">
      <c r="A70" s="29" t="n"/>
      <c r="B70" s="37">
        <f>IFERROR(INDEX('Patrimônio Geral'!$C$7:$C$156,MATCH($A70,'Patrimônio Geral'!$A$7:$A$156,0)),"")</f>
        <v/>
      </c>
      <c r="C70" s="37">
        <f>IFERROR(INDEX('Patrimônio Geral'!$R$7:$R$156,MATCH($A70,'Patrimônio Geral'!$A$7:$A$156,0)),"")</f>
        <v/>
      </c>
      <c r="D70" s="37">
        <f>IFERROR(INDEX('Patrimônio Geral'!$Q$7:$Q$156,MATCH($A70,'Patrimônio Geral'!$A$7:$A$156,0)),"")</f>
        <v/>
      </c>
      <c r="E70" s="29" t="n"/>
      <c r="F70" s="27" t="n"/>
      <c r="G70" s="27" t="n"/>
      <c r="H70" s="27" t="n"/>
      <c r="I70" s="28" t="n"/>
      <c r="J70" s="27" t="n"/>
    </row>
    <row r="71" ht="20" customHeight="1">
      <c r="A71" s="29" t="n"/>
      <c r="B71" s="37">
        <f>IFERROR(INDEX('Patrimônio Geral'!$C$7:$C$156,MATCH($A71,'Patrimônio Geral'!$A$7:$A$156,0)),"")</f>
        <v/>
      </c>
      <c r="C71" s="37">
        <f>IFERROR(INDEX('Patrimônio Geral'!$R$7:$R$156,MATCH($A71,'Patrimônio Geral'!$A$7:$A$156,0)),"")</f>
        <v/>
      </c>
      <c r="D71" s="37">
        <f>IFERROR(INDEX('Patrimônio Geral'!$Q$7:$Q$156,MATCH($A71,'Patrimônio Geral'!$A$7:$A$156,0)),"")</f>
        <v/>
      </c>
      <c r="E71" s="29" t="n"/>
      <c r="F71" s="27" t="n"/>
      <c r="G71" s="27" t="n"/>
      <c r="H71" s="27" t="n"/>
      <c r="I71" s="28" t="n"/>
      <c r="J71" s="27" t="n"/>
    </row>
    <row r="72" ht="20" customHeight="1">
      <c r="A72" s="29" t="n"/>
      <c r="B72" s="37">
        <f>IFERROR(INDEX('Patrimônio Geral'!$C$7:$C$156,MATCH($A72,'Patrimônio Geral'!$A$7:$A$156,0)),"")</f>
        <v/>
      </c>
      <c r="C72" s="37">
        <f>IFERROR(INDEX('Patrimônio Geral'!$R$7:$R$156,MATCH($A72,'Patrimônio Geral'!$A$7:$A$156,0)),"")</f>
        <v/>
      </c>
      <c r="D72" s="37">
        <f>IFERROR(INDEX('Patrimônio Geral'!$Q$7:$Q$156,MATCH($A72,'Patrimônio Geral'!$A$7:$A$156,0)),"")</f>
        <v/>
      </c>
      <c r="E72" s="29" t="n"/>
      <c r="F72" s="27" t="n"/>
      <c r="G72" s="27" t="n"/>
      <c r="H72" s="27" t="n"/>
      <c r="I72" s="28" t="n"/>
      <c r="J72" s="27" t="n"/>
    </row>
    <row r="73" ht="20" customHeight="1">
      <c r="A73" s="29" t="n"/>
      <c r="B73" s="37">
        <f>IFERROR(INDEX('Patrimônio Geral'!$C$7:$C$156,MATCH($A73,'Patrimônio Geral'!$A$7:$A$156,0)),"")</f>
        <v/>
      </c>
      <c r="C73" s="37">
        <f>IFERROR(INDEX('Patrimônio Geral'!$R$7:$R$156,MATCH($A73,'Patrimônio Geral'!$A$7:$A$156,0)),"")</f>
        <v/>
      </c>
      <c r="D73" s="37">
        <f>IFERROR(INDEX('Patrimônio Geral'!$Q$7:$Q$156,MATCH($A73,'Patrimônio Geral'!$A$7:$A$156,0)),"")</f>
        <v/>
      </c>
      <c r="E73" s="29" t="n"/>
      <c r="F73" s="27" t="n"/>
      <c r="G73" s="27" t="n"/>
      <c r="H73" s="27" t="n"/>
      <c r="I73" s="28" t="n"/>
      <c r="J73" s="27" t="n"/>
    </row>
    <row r="74" ht="20" customHeight="1">
      <c r="A74" s="29" t="n"/>
      <c r="B74" s="37">
        <f>IFERROR(INDEX('Patrimônio Geral'!$C$7:$C$156,MATCH($A74,'Patrimônio Geral'!$A$7:$A$156,0)),"")</f>
        <v/>
      </c>
      <c r="C74" s="37">
        <f>IFERROR(INDEX('Patrimônio Geral'!$R$7:$R$156,MATCH($A74,'Patrimônio Geral'!$A$7:$A$156,0)),"")</f>
        <v/>
      </c>
      <c r="D74" s="37">
        <f>IFERROR(INDEX('Patrimônio Geral'!$Q$7:$Q$156,MATCH($A74,'Patrimônio Geral'!$A$7:$A$156,0)),"")</f>
        <v/>
      </c>
      <c r="E74" s="29" t="n"/>
      <c r="F74" s="27" t="n"/>
      <c r="G74" s="27" t="n"/>
      <c r="H74" s="27" t="n"/>
      <c r="I74" s="28" t="n"/>
      <c r="J74" s="27" t="n"/>
    </row>
    <row r="75" ht="20" customHeight="1">
      <c r="A75" s="29" t="n"/>
      <c r="B75" s="37">
        <f>IFERROR(INDEX('Patrimônio Geral'!$C$7:$C$156,MATCH($A75,'Patrimônio Geral'!$A$7:$A$156,0)),"")</f>
        <v/>
      </c>
      <c r="C75" s="37">
        <f>IFERROR(INDEX('Patrimônio Geral'!$R$7:$R$156,MATCH($A75,'Patrimônio Geral'!$A$7:$A$156,0)),"")</f>
        <v/>
      </c>
      <c r="D75" s="37">
        <f>IFERROR(INDEX('Patrimônio Geral'!$Q$7:$Q$156,MATCH($A75,'Patrimônio Geral'!$A$7:$A$156,0)),"")</f>
        <v/>
      </c>
      <c r="E75" s="29" t="n"/>
      <c r="F75" s="27" t="n"/>
      <c r="G75" s="27" t="n"/>
      <c r="H75" s="27" t="n"/>
      <c r="I75" s="28" t="n"/>
      <c r="J75" s="27" t="n"/>
    </row>
    <row r="76" ht="20" customHeight="1">
      <c r="A76" s="29" t="n"/>
      <c r="B76" s="37">
        <f>IFERROR(INDEX('Patrimônio Geral'!$C$7:$C$156,MATCH($A76,'Patrimônio Geral'!$A$7:$A$156,0)),"")</f>
        <v/>
      </c>
      <c r="C76" s="37">
        <f>IFERROR(INDEX('Patrimônio Geral'!$R$7:$R$156,MATCH($A76,'Patrimônio Geral'!$A$7:$A$156,0)),"")</f>
        <v/>
      </c>
      <c r="D76" s="37">
        <f>IFERROR(INDEX('Patrimônio Geral'!$Q$7:$Q$156,MATCH($A76,'Patrimônio Geral'!$A$7:$A$156,0)),"")</f>
        <v/>
      </c>
      <c r="E76" s="29" t="n"/>
      <c r="F76" s="27" t="n"/>
      <c r="G76" s="27" t="n"/>
      <c r="H76" s="27" t="n"/>
      <c r="I76" s="28" t="n"/>
      <c r="J76" s="27" t="n"/>
    </row>
    <row r="77" ht="20" customHeight="1">
      <c r="A77" s="29" t="n"/>
      <c r="B77" s="37">
        <f>IFERROR(INDEX('Patrimônio Geral'!$C$7:$C$156,MATCH($A77,'Patrimônio Geral'!$A$7:$A$156,0)),"")</f>
        <v/>
      </c>
      <c r="C77" s="37">
        <f>IFERROR(INDEX('Patrimônio Geral'!$R$7:$R$156,MATCH($A77,'Patrimônio Geral'!$A$7:$A$156,0)),"")</f>
        <v/>
      </c>
      <c r="D77" s="37">
        <f>IFERROR(INDEX('Patrimônio Geral'!$Q$7:$Q$156,MATCH($A77,'Patrimônio Geral'!$A$7:$A$156,0)),"")</f>
        <v/>
      </c>
      <c r="E77" s="29" t="n"/>
      <c r="F77" s="27" t="n"/>
      <c r="G77" s="27" t="n"/>
      <c r="H77" s="27" t="n"/>
      <c r="I77" s="28" t="n"/>
      <c r="J77" s="27" t="n"/>
    </row>
    <row r="78" ht="20" customHeight="1">
      <c r="A78" s="29" t="n"/>
      <c r="B78" s="37">
        <f>IFERROR(INDEX('Patrimônio Geral'!$C$7:$C$156,MATCH($A78,'Patrimônio Geral'!$A$7:$A$156,0)),"")</f>
        <v/>
      </c>
      <c r="C78" s="37">
        <f>IFERROR(INDEX('Patrimônio Geral'!$R$7:$R$156,MATCH($A78,'Patrimônio Geral'!$A$7:$A$156,0)),"")</f>
        <v/>
      </c>
      <c r="D78" s="37">
        <f>IFERROR(INDEX('Patrimônio Geral'!$Q$7:$Q$156,MATCH($A78,'Patrimônio Geral'!$A$7:$A$156,0)),"")</f>
        <v/>
      </c>
      <c r="E78" s="29" t="n"/>
      <c r="F78" s="27" t="n"/>
      <c r="G78" s="27" t="n"/>
      <c r="H78" s="27" t="n"/>
      <c r="I78" s="28" t="n"/>
      <c r="J78" s="27" t="n"/>
    </row>
    <row r="79" ht="20" customHeight="1">
      <c r="A79" s="29" t="n"/>
      <c r="B79" s="37">
        <f>IFERROR(INDEX('Patrimônio Geral'!$C$7:$C$156,MATCH($A79,'Patrimônio Geral'!$A$7:$A$156,0)),"")</f>
        <v/>
      </c>
      <c r="C79" s="37">
        <f>IFERROR(INDEX('Patrimônio Geral'!$R$7:$R$156,MATCH($A79,'Patrimônio Geral'!$A$7:$A$156,0)),"")</f>
        <v/>
      </c>
      <c r="D79" s="37">
        <f>IFERROR(INDEX('Patrimônio Geral'!$Q$7:$Q$156,MATCH($A79,'Patrimônio Geral'!$A$7:$A$156,0)),"")</f>
        <v/>
      </c>
      <c r="E79" s="29" t="n"/>
      <c r="F79" s="27" t="n"/>
      <c r="G79" s="27" t="n"/>
      <c r="H79" s="27" t="n"/>
      <c r="I79" s="28" t="n"/>
      <c r="J79" s="27" t="n"/>
    </row>
    <row r="80" ht="20" customHeight="1">
      <c r="A80" s="29" t="n"/>
      <c r="B80" s="37">
        <f>IFERROR(INDEX('Patrimônio Geral'!$C$7:$C$156,MATCH($A80,'Patrimônio Geral'!$A$7:$A$156,0)),"")</f>
        <v/>
      </c>
      <c r="C80" s="37">
        <f>IFERROR(INDEX('Patrimônio Geral'!$R$7:$R$156,MATCH($A80,'Patrimônio Geral'!$A$7:$A$156,0)),"")</f>
        <v/>
      </c>
      <c r="D80" s="37">
        <f>IFERROR(INDEX('Patrimônio Geral'!$Q$7:$Q$156,MATCH($A80,'Patrimônio Geral'!$A$7:$A$156,0)),"")</f>
        <v/>
      </c>
      <c r="E80" s="29" t="n"/>
      <c r="F80" s="27" t="n"/>
      <c r="G80" s="27" t="n"/>
      <c r="H80" s="27" t="n"/>
      <c r="I80" s="28" t="n"/>
      <c r="J80" s="27" t="n"/>
    </row>
    <row r="81" ht="20" customHeight="1">
      <c r="A81" s="29" t="n"/>
      <c r="B81" s="37">
        <f>IFERROR(INDEX('Patrimônio Geral'!$C$7:$C$156,MATCH($A81,'Patrimônio Geral'!$A$7:$A$156,0)),"")</f>
        <v/>
      </c>
      <c r="C81" s="37">
        <f>IFERROR(INDEX('Patrimônio Geral'!$R$7:$R$156,MATCH($A81,'Patrimônio Geral'!$A$7:$A$156,0)),"")</f>
        <v/>
      </c>
      <c r="D81" s="37">
        <f>IFERROR(INDEX('Patrimônio Geral'!$Q$7:$Q$156,MATCH($A81,'Patrimônio Geral'!$A$7:$A$156,0)),"")</f>
        <v/>
      </c>
      <c r="E81" s="29" t="n"/>
      <c r="F81" s="27" t="n"/>
      <c r="G81" s="27" t="n"/>
      <c r="H81" s="27" t="n"/>
      <c r="I81" s="28" t="n"/>
      <c r="J81" s="27" t="n"/>
    </row>
    <row r="82" ht="20" customHeight="1">
      <c r="A82" s="29" t="n"/>
      <c r="B82" s="37">
        <f>IFERROR(INDEX('Patrimônio Geral'!$C$7:$C$156,MATCH($A82,'Patrimônio Geral'!$A$7:$A$156,0)),"")</f>
        <v/>
      </c>
      <c r="C82" s="37">
        <f>IFERROR(INDEX('Patrimônio Geral'!$R$7:$R$156,MATCH($A82,'Patrimônio Geral'!$A$7:$A$156,0)),"")</f>
        <v/>
      </c>
      <c r="D82" s="37">
        <f>IFERROR(INDEX('Patrimônio Geral'!$Q$7:$Q$156,MATCH($A82,'Patrimônio Geral'!$A$7:$A$156,0)),"")</f>
        <v/>
      </c>
      <c r="E82" s="29" t="n"/>
      <c r="F82" s="27" t="n"/>
      <c r="G82" s="27" t="n"/>
      <c r="H82" s="27" t="n"/>
      <c r="I82" s="28" t="n"/>
      <c r="J82" s="27" t="n"/>
    </row>
    <row r="83" ht="20" customHeight="1">
      <c r="A83" s="29" t="n"/>
      <c r="B83" s="37">
        <f>IFERROR(INDEX('Patrimônio Geral'!$C$7:$C$156,MATCH($A83,'Patrimônio Geral'!$A$7:$A$156,0)),"")</f>
        <v/>
      </c>
      <c r="C83" s="37">
        <f>IFERROR(INDEX('Patrimônio Geral'!$R$7:$R$156,MATCH($A83,'Patrimônio Geral'!$A$7:$A$156,0)),"")</f>
        <v/>
      </c>
      <c r="D83" s="37">
        <f>IFERROR(INDEX('Patrimônio Geral'!$Q$7:$Q$156,MATCH($A83,'Patrimônio Geral'!$A$7:$A$156,0)),"")</f>
        <v/>
      </c>
      <c r="E83" s="29" t="n"/>
      <c r="F83" s="27" t="n"/>
      <c r="G83" s="27" t="n"/>
      <c r="H83" s="27" t="n"/>
      <c r="I83" s="28" t="n"/>
      <c r="J83" s="27" t="n"/>
    </row>
    <row r="84" ht="20" customHeight="1">
      <c r="A84" s="29" t="n"/>
      <c r="B84" s="37">
        <f>IFERROR(INDEX('Patrimônio Geral'!$C$7:$C$156,MATCH($A84,'Patrimônio Geral'!$A$7:$A$156,0)),"")</f>
        <v/>
      </c>
      <c r="C84" s="37">
        <f>IFERROR(INDEX('Patrimônio Geral'!$R$7:$R$156,MATCH($A84,'Patrimônio Geral'!$A$7:$A$156,0)),"")</f>
        <v/>
      </c>
      <c r="D84" s="37">
        <f>IFERROR(INDEX('Patrimônio Geral'!$Q$7:$Q$156,MATCH($A84,'Patrimônio Geral'!$A$7:$A$156,0)),"")</f>
        <v/>
      </c>
      <c r="E84" s="29" t="n"/>
      <c r="F84" s="27" t="n"/>
      <c r="G84" s="27" t="n"/>
      <c r="H84" s="27" t="n"/>
      <c r="I84" s="28" t="n"/>
      <c r="J84" s="27" t="n"/>
    </row>
    <row r="85" ht="20" customHeight="1">
      <c r="A85" s="29" t="n"/>
      <c r="B85" s="37">
        <f>IFERROR(INDEX('Patrimônio Geral'!$C$7:$C$156,MATCH($A85,'Patrimônio Geral'!$A$7:$A$156,0)),"")</f>
        <v/>
      </c>
      <c r="C85" s="37">
        <f>IFERROR(INDEX('Patrimônio Geral'!$R$7:$R$156,MATCH($A85,'Patrimônio Geral'!$A$7:$A$156,0)),"")</f>
        <v/>
      </c>
      <c r="D85" s="37">
        <f>IFERROR(INDEX('Patrimônio Geral'!$Q$7:$Q$156,MATCH($A85,'Patrimônio Geral'!$A$7:$A$156,0)),"")</f>
        <v/>
      </c>
      <c r="E85" s="29" t="n"/>
      <c r="F85" s="27" t="n"/>
      <c r="G85" s="27" t="n"/>
      <c r="H85" s="27" t="n"/>
      <c r="I85" s="28" t="n"/>
      <c r="J85" s="27" t="n"/>
    </row>
    <row r="86" ht="20" customHeight="1">
      <c r="A86" s="29" t="n"/>
      <c r="B86" s="37">
        <f>IFERROR(INDEX('Patrimônio Geral'!$C$7:$C$156,MATCH($A86,'Patrimônio Geral'!$A$7:$A$156,0)),"")</f>
        <v/>
      </c>
      <c r="C86" s="37">
        <f>IFERROR(INDEX('Patrimônio Geral'!$R$7:$R$156,MATCH($A86,'Patrimônio Geral'!$A$7:$A$156,0)),"")</f>
        <v/>
      </c>
      <c r="D86" s="37">
        <f>IFERROR(INDEX('Patrimônio Geral'!$Q$7:$Q$156,MATCH($A86,'Patrimônio Geral'!$A$7:$A$156,0)),"")</f>
        <v/>
      </c>
      <c r="E86" s="29" t="n"/>
      <c r="F86" s="27" t="n"/>
      <c r="G86" s="27" t="n"/>
      <c r="H86" s="27" t="n"/>
      <c r="I86" s="28" t="n"/>
      <c r="J86" s="27" t="n"/>
    </row>
  </sheetData>
  <mergeCells count="4">
    <mergeCell ref="A1:J1"/>
    <mergeCell ref="A4:J4"/>
    <mergeCell ref="A3:J3"/>
    <mergeCell ref="A2:J2"/>
  </mergeCells>
  <dataValidations count="2">
    <dataValidation sqref="E7:E86" showDropDown="0" showInputMessage="0" showErrorMessage="0" allowBlank="1" type="list">
      <formula1>=Listas!$I$2:$I$3</formula1>
    </dataValidation>
    <dataValidation sqref="F7:F8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COMODATO DE FERRAMENTAS</t>
        </is>
      </c>
    </row>
    <row r="4" ht="17" customHeight="1">
      <c r="A4" s="4" t="inlineStr">
        <is>
          <t>Ferramentas e equipamentos cedidos em comodato · prestador de serviços PJ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Deivson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Coordenador de Produção</t>
        </is>
      </c>
      <c r="E8" s="38" t="inlineStr">
        <is>
          <t>Vínculo</t>
        </is>
      </c>
      <c r="F8" s="39" t="inlineStr">
        <is>
          <t>PJ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E NATUREZA — A COMODANTE entrega à COMODATÁRIA, em COMODATO GRATUITO, nos termos dos artigos 579 e seguintes do Código Civil, as ferramentas e equipamentos relacionados no quadro acima, que permanecem sendo de propriedade integral da COMODANTE.</t>
        </is>
      </c>
    </row>
    <row r="32" ht="24" customHeight="1">
      <c r="A32" s="47" t="inlineStr">
        <is>
          <t>2.  USO — Os itens destinam-se exclusivamente à execução dos serviços contratados. É vedado emprestá-los, sublocá-los, cedê-los ou aliená-los, sob qualquer título.</t>
        </is>
      </c>
    </row>
    <row r="33" ht="24" customHeight="1">
      <c r="A33" s="47" t="inlineStr">
        <is>
          <t>3.  GUARDA — Os itens NÃO podem ser levados para a residência da COMODATÁRIA. A guarda deve ocorrer nas dependências da COMODANTE ou no canteiro de obra, em local seguro indicado pela coordenação.</t>
        </is>
      </c>
    </row>
    <row r="34" ht="24" customHeight="1">
      <c r="A34" s="47" t="inlineStr">
        <is>
          <t>4.  CONSERVAÇÃO — A COMODATÁRIA obriga-se a conservar os itens como se seus fossem, respondendo pela guarda e pelo uso adequado, nos termos do art. 582 do Código Civil.</t>
        </is>
      </c>
    </row>
    <row r="35" ht="24" customHeight="1">
      <c r="A35" s="47" t="inlineStr">
        <is>
          <t>5.  DESGASTE NATURAL — O desgaste decorrente do uso normal e a manutenção preventiva correm por conta da COMODANTE, sem ônus para a COMODATÁRIA.</t>
        </is>
      </c>
    </row>
    <row r="36" ht="34.5" customHeight="1">
      <c r="A36" s="47" t="inlineStr">
        <is>
          <t>6.  DANO OU PERDA — Havendo dano por uso indevido, negligência ou perda, a COMODATÁRIA se compromete a REPOR o item por outro de mesma especificação e em estado equivalente, no prazo de 30 (trinta) dias, adquirindo-o por sua própria conta e da forma que lhe for mais conveniente.</t>
        </is>
      </c>
    </row>
    <row r="37" ht="24" customHeight="1">
      <c r="A37" s="47" t="inlineStr">
        <is>
          <t>7.  FURTO OU ROUBO — Em caso de furto ou roubo, a COMODATÁRIA deve comunicar imediatamente a coordenação e registrar Boletim de Ocorrência em até 48 (quarenta e oito) horas. Comprovado o fato, não haverá ônus de reposição.</t>
        </is>
      </c>
    </row>
    <row r="38" ht="24" customHeight="1">
      <c r="A38" s="47" t="inlineStr">
        <is>
          <t>8.  RESTITUIÇÃO — Os itens devem ser restituídos sempre que solicitados pela COMODANTE e, obrigatoriamente, ao término da prestação de serviços, mediante registro no quadro de devolução.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a COMODATÁRIA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Deivson</t>
        </is>
      </c>
      <c r="E45" s="50" t="inlineStr">
        <is>
          <t>Valvic Marcenaria — Vargas Decor Ltda</t>
        </is>
      </c>
    </row>
    <row r="46">
      <c r="A46" s="51" t="inlineStr">
        <is>
          <t>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COMODATO DE FERRAMENTAS</t>
        </is>
      </c>
    </row>
    <row r="4" ht="17" customHeight="1">
      <c r="A4" s="4" t="inlineStr">
        <is>
          <t>Ferramentas e equipamentos cedidos em comodato · prestador de serviços PJ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Samuel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Marceneiro Sênior</t>
        </is>
      </c>
      <c r="E8" s="38" t="inlineStr">
        <is>
          <t>Vínculo</t>
        </is>
      </c>
      <c r="F8" s="39" t="inlineStr">
        <is>
          <t>PJ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E NATUREZA — A COMODANTE entrega à COMODATÁRIA, em COMODATO GRATUITO, nos termos dos artigos 579 e seguintes do Código Civil, as ferramentas e equipamentos relacionados no quadro acima, que permanecem sendo de propriedade integral da COMODANTE.</t>
        </is>
      </c>
    </row>
    <row r="32" ht="24" customHeight="1">
      <c r="A32" s="47" t="inlineStr">
        <is>
          <t>2.  USO — Os itens destinam-se exclusivamente à execução dos serviços contratados. É vedado emprestá-los, sublocá-los, cedê-los ou aliená-los, sob qualquer título.</t>
        </is>
      </c>
    </row>
    <row r="33" ht="24" customHeight="1">
      <c r="A33" s="47" t="inlineStr">
        <is>
          <t>3.  GUARDA — Os itens NÃO podem ser levados para a residência da COMODATÁRIA. A guarda deve ocorrer nas dependências da COMODANTE ou no canteiro de obra, em local seguro indicado pela coordenação.</t>
        </is>
      </c>
    </row>
    <row r="34" ht="24" customHeight="1">
      <c r="A34" s="47" t="inlineStr">
        <is>
          <t>4.  CONSERVAÇÃO — A COMODATÁRIA obriga-se a conservar os itens como se seus fossem, respondendo pela guarda e pelo uso adequado, nos termos do art. 582 do Código Civil.</t>
        </is>
      </c>
    </row>
    <row r="35" ht="24" customHeight="1">
      <c r="A35" s="47" t="inlineStr">
        <is>
          <t>5.  DESGASTE NATURAL — O desgaste decorrente do uso normal e a manutenção preventiva correm por conta da COMODANTE, sem ônus para a COMODATÁRIA.</t>
        </is>
      </c>
    </row>
    <row r="36" ht="34.5" customHeight="1">
      <c r="A36" s="47" t="inlineStr">
        <is>
          <t>6.  DANO OU PERDA — Havendo dano por uso indevido, negligência ou perda, a COMODATÁRIA se compromete a REPOR o item por outro de mesma especificação e em estado equivalente, no prazo de 30 (trinta) dias, adquirindo-o por sua própria conta e da forma que lhe for mais conveniente.</t>
        </is>
      </c>
    </row>
    <row r="37" ht="24" customHeight="1">
      <c r="A37" s="47" t="inlineStr">
        <is>
          <t>7.  FURTO OU ROUBO — Em caso de furto ou roubo, a COMODATÁRIA deve comunicar imediatamente a coordenação e registrar Boletim de Ocorrência em até 48 (quarenta e oito) horas. Comprovado o fato, não haverá ônus de reposição.</t>
        </is>
      </c>
    </row>
    <row r="38" ht="24" customHeight="1">
      <c r="A38" s="47" t="inlineStr">
        <is>
          <t>8.  RESTITUIÇÃO — Os itens devem ser restituídos sempre que solicitados pela COMODANTE e, obrigatoriamente, ao término da prestação de serviços, mediante registro no quadro de devolução.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a COMODATÁRIA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Samuel</t>
        </is>
      </c>
      <c r="E45" s="50" t="inlineStr">
        <is>
          <t>Valvic Marcenaria — Vargas Decor Ltda</t>
        </is>
      </c>
    </row>
    <row r="46">
      <c r="A46" s="51" t="inlineStr">
        <is>
          <t>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COMODATO DE FERRAMENTAS</t>
        </is>
      </c>
    </row>
    <row r="4" ht="17" customHeight="1">
      <c r="A4" s="4" t="inlineStr">
        <is>
          <t>Ferramentas e equipamentos cedidos em comodato · prestador de serviços PJ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Jackson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Marceneiro Pleno</t>
        </is>
      </c>
      <c r="E8" s="38" t="inlineStr">
        <is>
          <t>Vínculo</t>
        </is>
      </c>
      <c r="F8" s="39" t="inlineStr">
        <is>
          <t>PJ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E NATUREZA — A COMODANTE entrega à COMODATÁRIA, em COMODATO GRATUITO, nos termos dos artigos 579 e seguintes do Código Civil, as ferramentas e equipamentos relacionados no quadro acima, que permanecem sendo de propriedade integral da COMODANTE.</t>
        </is>
      </c>
    </row>
    <row r="32" ht="24" customHeight="1">
      <c r="A32" s="47" t="inlineStr">
        <is>
          <t>2.  USO — Os itens destinam-se exclusivamente à execução dos serviços contratados. É vedado emprestá-los, sublocá-los, cedê-los ou aliená-los, sob qualquer título.</t>
        </is>
      </c>
    </row>
    <row r="33" ht="24" customHeight="1">
      <c r="A33" s="47" t="inlineStr">
        <is>
          <t>3.  GUARDA — Os itens NÃO podem ser levados para a residência da COMODATÁRIA. A guarda deve ocorrer nas dependências da COMODANTE ou no canteiro de obra, em local seguro indicado pela coordenação.</t>
        </is>
      </c>
    </row>
    <row r="34" ht="24" customHeight="1">
      <c r="A34" s="47" t="inlineStr">
        <is>
          <t>4.  CONSERVAÇÃO — A COMODATÁRIA obriga-se a conservar os itens como se seus fossem, respondendo pela guarda e pelo uso adequado, nos termos do art. 582 do Código Civil.</t>
        </is>
      </c>
    </row>
    <row r="35" ht="24" customHeight="1">
      <c r="A35" s="47" t="inlineStr">
        <is>
          <t>5.  DESGASTE NATURAL — O desgaste decorrente do uso normal e a manutenção preventiva correm por conta da COMODANTE, sem ônus para a COMODATÁRIA.</t>
        </is>
      </c>
    </row>
    <row r="36" ht="34.5" customHeight="1">
      <c r="A36" s="47" t="inlineStr">
        <is>
          <t>6.  DANO OU PERDA — Havendo dano por uso indevido, negligência ou perda, a COMODATÁRIA se compromete a REPOR o item por outro de mesma especificação e em estado equivalente, no prazo de 30 (trinta) dias, adquirindo-o por sua própria conta e da forma que lhe for mais conveniente.</t>
        </is>
      </c>
    </row>
    <row r="37" ht="24" customHeight="1">
      <c r="A37" s="47" t="inlineStr">
        <is>
          <t>7.  FURTO OU ROUBO — Em caso de furto ou roubo, a COMODATÁRIA deve comunicar imediatamente a coordenação e registrar Boletim de Ocorrência em até 48 (quarenta e oito) horas. Comprovado o fato, não haverá ônus de reposição.</t>
        </is>
      </c>
    </row>
    <row r="38" ht="24" customHeight="1">
      <c r="A38" s="47" t="inlineStr">
        <is>
          <t>8.  RESTITUIÇÃO — Os itens devem ser restituídos sempre que solicitados pela COMODANTE e, obrigatoriamente, ao término da prestação de serviços, mediante registro no quadro de devolução.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a COMODATÁRIA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Jackson</t>
        </is>
      </c>
      <c r="E45" s="50" t="inlineStr">
        <is>
          <t>Valvic Marcenaria — Vargas Decor Ltda</t>
        </is>
      </c>
    </row>
    <row r="46">
      <c r="A46" s="51" t="inlineStr">
        <is>
          <t>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ENTREGA E RESPONSABILIDADE</t>
        </is>
      </c>
    </row>
    <row r="4" ht="17" customHeight="1">
      <c r="A4" s="4" t="inlineStr">
        <is>
          <t>Ferramentas e equipamentos cedidos para uso profissional · vínculo CLT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Cezar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Marceneiro</t>
        </is>
      </c>
      <c r="E8" s="38" t="inlineStr">
        <is>
          <t>Vínculo</t>
        </is>
      </c>
      <c r="F8" s="39" t="inlineStr">
        <is>
          <t>CLT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— A EMPRESA entrega ao COLABORADOR, em caráter de cessão para uso exclusivamente profissional, as ferramentas e equipamentos relacionados no quadro acima, que permanecem sendo de propriedade integral da EMPRESA.</t>
        </is>
      </c>
    </row>
    <row r="32" ht="24" customHeight="1">
      <c r="A32" s="47" t="inlineStr">
        <is>
          <t>2.  USO — Os itens destinam-se exclusivamente à execução das atividades de trabalho. É vedado emprestá-los, cedê-los, aliená-los ou utilizá-los em serviços particulares ou para terceiros.</t>
        </is>
      </c>
    </row>
    <row r="33" ht="24" customHeight="1">
      <c r="A33" s="47" t="inlineStr">
        <is>
          <t>3.  GUARDA — Os itens NÃO podem ser levados para a residência do COLABORADOR. A guarda deve ocorrer nas dependências da EMPRESA ou no canteiro de obra, em local seguro indicado pela coordenação.</t>
        </is>
      </c>
    </row>
    <row r="34" ht="24" customHeight="1">
      <c r="A34" s="47" t="inlineStr">
        <is>
          <t>4.  DESGASTE NATURAL — O desgaste decorrente do uso normal e a manutenção preventiva correm por conta da EMPRESA, sem qualquer ônus para o COLABORADOR.</t>
        </is>
      </c>
    </row>
    <row r="35" ht="46" customHeight="1">
      <c r="A35" s="47" t="inlineStr">
        <is>
          <t>5.  DANO POR USO INDEVIDO — Havendo dano decorrente de uso indevido, imprudência ou negligência comprovada, o COLABORADOR se compromete a REPOR o item por outro de mesma especificação e em estado equivalente, no prazo de 30 (trinta) dias, adquirindo-o por sua própria conta e da forma que lhe for mais conveniente. Não havendo reposição no prazo, e MEDIANTE AUTORIZAÇÃO EXPRESSA E ESPECÍFICA do COLABORADOR, o valor poderá ser descontado em folha, nos termos do art. 462, §1º, da CLT.</t>
        </is>
      </c>
    </row>
    <row r="36" ht="24" customHeight="1">
      <c r="A36" s="47" t="inlineStr">
        <is>
          <t>6.  FURTO OU ROUBO — Em caso de furto ou roubo, o COLABORADOR deve comunicar imediatamente a coordenação e registrar Boletim de Ocorrência em até 48 (quarenta e oito) horas. Comprovado o fato, não haverá qualquer ônus para o COLABORADOR.</t>
        </is>
      </c>
    </row>
    <row r="37" ht="24" customHeight="1">
      <c r="A37" s="47" t="inlineStr">
        <is>
          <t>7.  EXTRAVIO — O extravio sem registro de Boletim de Ocorrência equipara-se, para os efeitos deste termo, ao dano por negligência previsto na cláusula 5.</t>
        </is>
      </c>
    </row>
    <row r="38" ht="24" customHeight="1">
      <c r="A38" s="47" t="inlineStr">
        <is>
          <t>8.  DEVOLUÇÃO — Os itens devem ser devolvidos sempre que solicitados pela EMPRESA e, obrigatoriamente, no ato do desligamento, mediante registro no quadro de devolução deste termo.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o COLABORADOR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Cezar</t>
        </is>
      </c>
      <c r="E45" s="50" t="inlineStr">
        <is>
          <t>Valvic Marcenaria — Vargas Decor Ltda</t>
        </is>
      </c>
    </row>
    <row r="46">
      <c r="A46" s="51" t="inlineStr">
        <is>
          <t>CPF / 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ENTREGA E RESPONSABILIDADE</t>
        </is>
      </c>
    </row>
    <row r="4" ht="17" customHeight="1">
      <c r="A4" s="4" t="inlineStr">
        <is>
          <t>Ferramentas e equipamentos cedidos para uso profissional · vínculo CLT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Jomar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Marceneiro</t>
        </is>
      </c>
      <c r="E8" s="38" t="inlineStr">
        <is>
          <t>Vínculo</t>
        </is>
      </c>
      <c r="F8" s="39" t="inlineStr">
        <is>
          <t>CLT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— A EMPRESA entrega ao COLABORADOR, em caráter de cessão para uso exclusivamente profissional, as ferramentas e equipamentos relacionados no quadro acima, que permanecem sendo de propriedade integral da EMPRESA.</t>
        </is>
      </c>
    </row>
    <row r="32" ht="24" customHeight="1">
      <c r="A32" s="47" t="inlineStr">
        <is>
          <t>2.  USO — Os itens destinam-se exclusivamente à execução das atividades de trabalho. É vedado emprestá-los, cedê-los, aliená-los ou utilizá-los em serviços particulares ou para terceiros.</t>
        </is>
      </c>
    </row>
    <row r="33" ht="24" customHeight="1">
      <c r="A33" s="47" t="inlineStr">
        <is>
          <t>3.  GUARDA — Os itens NÃO podem ser levados para a residência do COLABORADOR. A guarda deve ocorrer nas dependências da EMPRESA ou no canteiro de obra, em local seguro indicado pela coordenação.</t>
        </is>
      </c>
    </row>
    <row r="34" ht="24" customHeight="1">
      <c r="A34" s="47" t="inlineStr">
        <is>
          <t>4.  DESGASTE NATURAL — O desgaste decorrente do uso normal e a manutenção preventiva correm por conta da EMPRESA, sem qualquer ônus para o COLABORADOR.</t>
        </is>
      </c>
    </row>
    <row r="35" ht="46" customHeight="1">
      <c r="A35" s="47" t="inlineStr">
        <is>
          <t>5.  DANO POR USO INDEVIDO — Havendo dano decorrente de uso indevido, imprudência ou negligência comprovada, o COLABORADOR se compromete a REPOR o item por outro de mesma especificação e em estado equivalente, no prazo de 30 (trinta) dias, adquirindo-o por sua própria conta e da forma que lhe for mais conveniente. Não havendo reposição no prazo, e MEDIANTE AUTORIZAÇÃO EXPRESSA E ESPECÍFICA do COLABORADOR, o valor poderá ser descontado em folha, nos termos do art. 462, §1º, da CLT.</t>
        </is>
      </c>
    </row>
    <row r="36" ht="24" customHeight="1">
      <c r="A36" s="47" t="inlineStr">
        <is>
          <t>6.  FURTO OU ROUBO — Em caso de furto ou roubo, o COLABORADOR deve comunicar imediatamente a coordenação e registrar Boletim de Ocorrência em até 48 (quarenta e oito) horas. Comprovado o fato, não haverá qualquer ônus para o COLABORADOR.</t>
        </is>
      </c>
    </row>
    <row r="37" ht="24" customHeight="1">
      <c r="A37" s="47" t="inlineStr">
        <is>
          <t>7.  EXTRAVIO — O extravio sem registro de Boletim de Ocorrência equipara-se, para os efeitos deste termo, ao dano por negligência previsto na cláusula 5.</t>
        </is>
      </c>
    </row>
    <row r="38" ht="24" customHeight="1">
      <c r="A38" s="47" t="inlineStr">
        <is>
          <t>8.  DEVOLUÇÃO — Os itens devem ser devolvidos sempre que solicitados pela EMPRESA e, obrigatoriamente, no ato do desligamento, mediante registro no quadro de devolução deste termo.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o COLABORADOR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Jomar</t>
        </is>
      </c>
      <c r="E45" s="50" t="inlineStr">
        <is>
          <t>Valvic Marcenaria — Vargas Decor Ltda</t>
        </is>
      </c>
    </row>
    <row r="46">
      <c r="A46" s="51" t="inlineStr">
        <is>
          <t>CPF / 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ENTREGA E RESPONSABILIDADE</t>
        </is>
      </c>
    </row>
    <row r="4" ht="17" customHeight="1">
      <c r="A4" s="4" t="inlineStr">
        <is>
          <t>Ferramentas e equipamentos cedidos para uso profissional · vínculo CLT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Davi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Ajudante</t>
        </is>
      </c>
      <c r="E8" s="38" t="inlineStr">
        <is>
          <t>Vínculo</t>
        </is>
      </c>
      <c r="F8" s="39" t="inlineStr">
        <is>
          <t>CLT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— A EMPRESA entrega ao COLABORADOR, em caráter de cessão para uso exclusivamente profissional, as ferramentas e equipamentos relacionados no quadro acima, que permanecem sendo de propriedade integral da EMPRESA.</t>
        </is>
      </c>
    </row>
    <row r="32" ht="24" customHeight="1">
      <c r="A32" s="47" t="inlineStr">
        <is>
          <t>2.  USO — Os itens destinam-se exclusivamente à execução das atividades de trabalho. É vedado emprestá-los, cedê-los, aliená-los ou utilizá-los em serviços particulares ou para terceiros.</t>
        </is>
      </c>
    </row>
    <row r="33" ht="24" customHeight="1">
      <c r="A33" s="47" t="inlineStr">
        <is>
          <t>3.  GUARDA — Os itens NÃO podem ser levados para a residência do COLABORADOR. A guarda deve ocorrer nas dependências da EMPRESA ou no canteiro de obra, em local seguro indicado pela coordenação.</t>
        </is>
      </c>
    </row>
    <row r="34" ht="24" customHeight="1">
      <c r="A34" s="47" t="inlineStr">
        <is>
          <t>4.  DESGASTE NATURAL — O desgaste decorrente do uso normal e a manutenção preventiva correm por conta da EMPRESA, sem qualquer ônus para o COLABORADOR.</t>
        </is>
      </c>
    </row>
    <row r="35" ht="46" customHeight="1">
      <c r="A35" s="47" t="inlineStr">
        <is>
          <t>5.  DANO POR USO INDEVIDO — Havendo dano decorrente de uso indevido, imprudência ou negligência comprovada, o COLABORADOR se compromete a REPOR o item por outro de mesma especificação e em estado equivalente, no prazo de 30 (trinta) dias, adquirindo-o por sua própria conta e da forma que lhe for mais conveniente. Não havendo reposição no prazo, e MEDIANTE AUTORIZAÇÃO EXPRESSA E ESPECÍFICA do COLABORADOR, o valor poderá ser descontado em folha, nos termos do art. 462, §1º, da CLT.</t>
        </is>
      </c>
    </row>
    <row r="36" ht="24" customHeight="1">
      <c r="A36" s="47" t="inlineStr">
        <is>
          <t>6.  FURTO OU ROUBO — Em caso de furto ou roubo, o COLABORADOR deve comunicar imediatamente a coordenação e registrar Boletim de Ocorrência em até 48 (quarenta e oito) horas. Comprovado o fato, não haverá qualquer ônus para o COLABORADOR.</t>
        </is>
      </c>
    </row>
    <row r="37" ht="24" customHeight="1">
      <c r="A37" s="47" t="inlineStr">
        <is>
          <t>7.  EXTRAVIO — O extravio sem registro de Boletim de Ocorrência equipara-se, para os efeitos deste termo, ao dano por negligência previsto na cláusula 5.</t>
        </is>
      </c>
    </row>
    <row r="38" ht="24" customHeight="1">
      <c r="A38" s="47" t="inlineStr">
        <is>
          <t>8.  DEVOLUÇÃO — Os itens devem ser devolvidos sempre que solicitados pela EMPRESA e, obrigatoriamente, no ato do desligamento, mediante registro no quadro de devolução deste termo.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o COLABORADOR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Davi</t>
        </is>
      </c>
      <c r="E45" s="50" t="inlineStr">
        <is>
          <t>Valvic Marcenaria — Vargas Decor Ltda</t>
        </is>
      </c>
    </row>
    <row r="46">
      <c r="A46" s="51" t="inlineStr">
        <is>
          <t>CPF / 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ENTREGA E RESPONSABILIDADE</t>
        </is>
      </c>
    </row>
    <row r="4" ht="17" customHeight="1">
      <c r="A4" s="4" t="inlineStr">
        <is>
          <t>Ferramentas e equipamentos cedidos para uso profissional · vínculo CLT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Jonathan Godoy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Ajudante Geral</t>
        </is>
      </c>
      <c r="E8" s="38" t="inlineStr">
        <is>
          <t>Vínculo</t>
        </is>
      </c>
      <c r="F8" s="39" t="inlineStr">
        <is>
          <t>CLT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— A EMPRESA entrega ao COLABORADOR, em caráter de cessão para uso exclusivamente profissional, as ferramentas e equipamentos relacionados no quadro acima, que permanecem sendo de propriedade integral da EMPRESA.</t>
        </is>
      </c>
    </row>
    <row r="32" ht="24" customHeight="1">
      <c r="A32" s="47" t="inlineStr">
        <is>
          <t>2.  USO — Os itens destinam-se exclusivamente à execução das atividades de trabalho. É vedado emprestá-los, cedê-los, aliená-los ou utilizá-los em serviços particulares ou para terceiros.</t>
        </is>
      </c>
    </row>
    <row r="33" ht="24" customHeight="1">
      <c r="A33" s="47" t="inlineStr">
        <is>
          <t>3.  GUARDA — Os itens NÃO podem ser levados para a residência do COLABORADOR. A guarda deve ocorrer nas dependências da EMPRESA ou no canteiro de obra, em local seguro indicado pela coordenação.</t>
        </is>
      </c>
    </row>
    <row r="34" ht="24" customHeight="1">
      <c r="A34" s="47" t="inlineStr">
        <is>
          <t>4.  DESGASTE NATURAL — O desgaste decorrente do uso normal e a manutenção preventiva correm por conta da EMPRESA, sem qualquer ônus para o COLABORADOR.</t>
        </is>
      </c>
    </row>
    <row r="35" ht="46" customHeight="1">
      <c r="A35" s="47" t="inlineStr">
        <is>
          <t>5.  DANO POR USO INDEVIDO — Havendo dano decorrente de uso indevido, imprudência ou negligência comprovada, o COLABORADOR se compromete a REPOR o item por outro de mesma especificação e em estado equivalente, no prazo de 30 (trinta) dias, adquirindo-o por sua própria conta e da forma que lhe for mais conveniente. Não havendo reposição no prazo, e MEDIANTE AUTORIZAÇÃO EXPRESSA E ESPECÍFICA do COLABORADOR, o valor poderá ser descontado em folha, nos termos do art. 462, §1º, da CLT.</t>
        </is>
      </c>
    </row>
    <row r="36" ht="24" customHeight="1">
      <c r="A36" s="47" t="inlineStr">
        <is>
          <t>6.  FURTO OU ROUBO — Em caso de furto ou roubo, o COLABORADOR deve comunicar imediatamente a coordenação e registrar Boletim de Ocorrência em até 48 (quarenta e oito) horas. Comprovado o fato, não haverá qualquer ônus para o COLABORADOR.</t>
        </is>
      </c>
    </row>
    <row r="37" ht="24" customHeight="1">
      <c r="A37" s="47" t="inlineStr">
        <is>
          <t>7.  EXTRAVIO — O extravio sem registro de Boletim de Ocorrência equipara-se, para os efeitos deste termo, ao dano por negligência previsto na cláusula 5.</t>
        </is>
      </c>
    </row>
    <row r="38" ht="24" customHeight="1">
      <c r="A38" s="47" t="inlineStr">
        <is>
          <t>8.  DEVOLUÇÃO — Os itens devem ser devolvidos sempre que solicitados pela EMPRESA e, obrigatoriamente, no ato do desligamento, mediante registro no quadro de devolução deste termo.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o COLABORADOR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Jonathan Godoy</t>
        </is>
      </c>
      <c r="E45" s="50" t="inlineStr">
        <is>
          <t>Valvic Marcenaria — Vargas Decor Ltda</t>
        </is>
      </c>
    </row>
    <row r="46">
      <c r="A46" s="51" t="inlineStr">
        <is>
          <t>CPF / 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ENTREGA E RESPONSABILIDADE</t>
        </is>
      </c>
    </row>
    <row r="4" ht="17" customHeight="1">
      <c r="A4" s="4" t="inlineStr">
        <is>
          <t>Ferramentas e equipamentos cedidos para uso profissional · vínculo CLT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39" t="inlineStr">
        <is>
          <t>Joelson</t>
        </is>
      </c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39" t="inlineStr">
        <is>
          <t>Operador CNC &amp; Máquinas</t>
        </is>
      </c>
      <c r="E8" s="38" t="inlineStr">
        <is>
          <t>Vínculo</t>
        </is>
      </c>
      <c r="F8" s="39" t="inlineStr">
        <is>
          <t>CLT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— A EMPRESA entrega ao COLABORADOR, em caráter de cessão para uso exclusivamente profissional, as ferramentas e equipamentos relacionados no quadro acima, que permanecem sendo de propriedade integral da EMPRESA.</t>
        </is>
      </c>
    </row>
    <row r="32" ht="24" customHeight="1">
      <c r="A32" s="47" t="inlineStr">
        <is>
          <t>2.  USO — Os itens destinam-se exclusivamente à execução das atividades de trabalho. É vedado emprestá-los, cedê-los, aliená-los ou utilizá-los em serviços particulares ou para terceiros.</t>
        </is>
      </c>
    </row>
    <row r="33" ht="24" customHeight="1">
      <c r="A33" s="47" t="inlineStr">
        <is>
          <t>3.  GUARDA — Os itens NÃO podem ser levados para a residência do COLABORADOR. A guarda deve ocorrer nas dependências da EMPRESA ou no canteiro de obra, em local seguro indicado pela coordenação.</t>
        </is>
      </c>
    </row>
    <row r="34" ht="24" customHeight="1">
      <c r="A34" s="47" t="inlineStr">
        <is>
          <t>4.  DESGASTE NATURAL — O desgaste decorrente do uso normal e a manutenção preventiva correm por conta da EMPRESA, sem qualquer ônus para o COLABORADOR.</t>
        </is>
      </c>
    </row>
    <row r="35" ht="46" customHeight="1">
      <c r="A35" s="47" t="inlineStr">
        <is>
          <t>5.  DANO POR USO INDEVIDO — Havendo dano decorrente de uso indevido, imprudência ou negligência comprovada, o COLABORADOR se compromete a REPOR o item por outro de mesma especificação e em estado equivalente, no prazo de 30 (trinta) dias, adquirindo-o por sua própria conta e da forma que lhe for mais conveniente. Não havendo reposição no prazo, e MEDIANTE AUTORIZAÇÃO EXPRESSA E ESPECÍFICA do COLABORADOR, o valor poderá ser descontado em folha, nos termos do art. 462, §1º, da CLT.</t>
        </is>
      </c>
    </row>
    <row r="36" ht="24" customHeight="1">
      <c r="A36" s="47" t="inlineStr">
        <is>
          <t>6.  FURTO OU ROUBO — Em caso de furto ou roubo, o COLABORADOR deve comunicar imediatamente a coordenação e registrar Boletim de Ocorrência em até 48 (quarenta e oito) horas. Comprovado o fato, não haverá qualquer ônus para o COLABORADOR.</t>
        </is>
      </c>
    </row>
    <row r="37" ht="24" customHeight="1">
      <c r="A37" s="47" t="inlineStr">
        <is>
          <t>7.  EXTRAVIO — O extravio sem registro de Boletim de Ocorrência equipara-se, para os efeitos deste termo, ao dano por negligência previsto na cláusula 5.</t>
        </is>
      </c>
    </row>
    <row r="38" ht="24" customHeight="1">
      <c r="A38" s="47" t="inlineStr">
        <is>
          <t>8.  DEVOLUÇÃO — Os itens devem ser devolvidos sempre que solicitados pela EMPRESA e, obrigatoriamente, no ato do desligamento, mediante registro no quadro de devolução deste termo.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o COLABORADOR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>
        <is>
          <t>Joelson</t>
        </is>
      </c>
      <c r="E45" s="50" t="inlineStr">
        <is>
          <t>Valvic Marcenaria — Vargas Decor Ltda</t>
        </is>
      </c>
    </row>
    <row r="46">
      <c r="A46" s="51" t="inlineStr">
        <is>
          <t>CPF / 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ENTREGA E RESPONSABILIDADE</t>
        </is>
      </c>
    </row>
    <row r="4" ht="17" customHeight="1">
      <c r="A4" s="4" t="inlineStr">
        <is>
          <t>Ferramentas e equipamentos cedidos para uso profissional · vínculo CLT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40" t="inlineStr"/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40" t="inlineStr"/>
      <c r="E8" s="38" t="inlineStr">
        <is>
          <t>Vínculo</t>
        </is>
      </c>
      <c r="F8" s="39" t="inlineStr">
        <is>
          <t>CLT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— A EMPRESA entrega ao COLABORADOR, em caráter de cessão para uso exclusivamente profissional, as ferramentas e equipamentos relacionados no quadro acima, que permanecem sendo de propriedade integral da EMPRESA.</t>
        </is>
      </c>
    </row>
    <row r="32" ht="24" customHeight="1">
      <c r="A32" s="47" t="inlineStr">
        <is>
          <t>2.  USO — Os itens destinam-se exclusivamente à execução das atividades de trabalho. É vedado emprestá-los, cedê-los, aliená-los ou utilizá-los em serviços particulares ou para terceiros.</t>
        </is>
      </c>
    </row>
    <row r="33" ht="24" customHeight="1">
      <c r="A33" s="47" t="inlineStr">
        <is>
          <t>3.  GUARDA — Os itens NÃO podem ser levados para a residência do COLABORADOR. A guarda deve ocorrer nas dependências da EMPRESA ou no canteiro de obra, em local seguro indicado pela coordenação.</t>
        </is>
      </c>
    </row>
    <row r="34" ht="24" customHeight="1">
      <c r="A34" s="47" t="inlineStr">
        <is>
          <t>4.  DESGASTE NATURAL — O desgaste decorrente do uso normal e a manutenção preventiva correm por conta da EMPRESA, sem qualquer ônus para o COLABORADOR.</t>
        </is>
      </c>
    </row>
    <row r="35" ht="46" customHeight="1">
      <c r="A35" s="47" t="inlineStr">
        <is>
          <t>5.  DANO POR USO INDEVIDO — Havendo dano decorrente de uso indevido, imprudência ou negligência comprovada, o COLABORADOR se compromete a REPOR o item por outro de mesma especificação e em estado equivalente, no prazo de 30 (trinta) dias, adquirindo-o por sua própria conta e da forma que lhe for mais conveniente. Não havendo reposição no prazo, e MEDIANTE AUTORIZAÇÃO EXPRESSA E ESPECÍFICA do COLABORADOR, o valor poderá ser descontado em folha, nos termos do art. 462, §1º, da CLT.</t>
        </is>
      </c>
    </row>
    <row r="36" ht="24" customHeight="1">
      <c r="A36" s="47" t="inlineStr">
        <is>
          <t>6.  FURTO OU ROUBO — Em caso de furto ou roubo, o COLABORADOR deve comunicar imediatamente a coordenação e registrar Boletim de Ocorrência em até 48 (quarenta e oito) horas. Comprovado o fato, não haverá qualquer ônus para o COLABORADOR.</t>
        </is>
      </c>
    </row>
    <row r="37" ht="24" customHeight="1">
      <c r="A37" s="47" t="inlineStr">
        <is>
          <t>7.  EXTRAVIO — O extravio sem registro de Boletim de Ocorrência equipara-se, para os efeitos deste termo, ao dano por negligência previsto na cláusula 5.</t>
        </is>
      </c>
    </row>
    <row r="38" ht="24" customHeight="1">
      <c r="A38" s="47" t="inlineStr">
        <is>
          <t>8.  DEVOLUÇÃO — Os itens devem ser devolvidos sempre que solicitados pela EMPRESA e, obrigatoriamente, no ato do desligamento, mediante registro no quadro de devolução deste termo.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o COLABORADOR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/>
      <c r="E45" s="50" t="inlineStr">
        <is>
          <t>Valvic Marcenaria — Vargas Decor Ltda</t>
        </is>
      </c>
    </row>
    <row r="46">
      <c r="A46" s="51" t="inlineStr">
        <is>
          <t>CPF / 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5" customWidth="1" min="4" max="4"/>
    <col width="9" customWidth="1" min="5" max="5"/>
    <col width="6" customWidth="1" min="6" max="6"/>
    <col width="5" customWidth="1" min="7" max="7"/>
    <col width="6" customWidth="1" min="8" max="8"/>
  </cols>
  <sheetData>
    <row r="1" ht="26" customHeight="1">
      <c r="A1" s="1" t="inlineStr">
        <is>
          <t>VALVIC MARCENARIA</t>
        </is>
      </c>
    </row>
    <row r="2" ht="15" customHeight="1">
      <c r="A2" s="2" t="inlineStr">
        <is>
          <t>Vargas Decor Ltda   ·   CNPJ 17.269.304/0001-51   ·   Belo Horizonte / MG</t>
        </is>
      </c>
    </row>
    <row r="3" ht="28" customHeight="1">
      <c r="A3" s="3" t="inlineStr">
        <is>
          <t>TERMO DE COMODATO DE FERRAMENTAS</t>
        </is>
      </c>
    </row>
    <row r="4" ht="17" customHeight="1">
      <c r="A4" s="4" t="inlineStr">
        <is>
          <t>Ferramentas e equipamentos cedidos em comodato · prestador de serviços PJ</t>
        </is>
      </c>
    </row>
    <row r="6" ht="20" customHeight="1">
      <c r="A6" s="5" t="inlineStr">
        <is>
          <t xml:space="preserve">  IDENTIFICAÇÃO</t>
        </is>
      </c>
    </row>
    <row r="7" ht="21" customHeight="1">
      <c r="A7" s="38" t="inlineStr">
        <is>
          <t>Nome completo</t>
        </is>
      </c>
      <c r="B7" s="40" t="inlineStr"/>
      <c r="E7" s="38" t="inlineStr">
        <is>
          <t>CPF / CNPJ</t>
        </is>
      </c>
      <c r="F7" s="40" t="inlineStr"/>
    </row>
    <row r="8" ht="21" customHeight="1">
      <c r="A8" s="38" t="inlineStr">
        <is>
          <t>Função</t>
        </is>
      </c>
      <c r="B8" s="40" t="inlineStr"/>
      <c r="E8" s="38" t="inlineStr">
        <is>
          <t>Vínculo</t>
        </is>
      </c>
      <c r="F8" s="39" t="inlineStr">
        <is>
          <t>PJ</t>
        </is>
      </c>
    </row>
    <row r="9" ht="21" customHeight="1">
      <c r="A9" s="38" t="inlineStr">
        <is>
          <t>Data da entrega</t>
        </is>
      </c>
      <c r="B9" s="40" t="inlineStr"/>
      <c r="E9" s="38" t="inlineStr">
        <is>
          <t>Local de guarda</t>
        </is>
      </c>
      <c r="F9" s="39" t="inlineStr">
        <is>
          <t>Fábrica / canteiro de obra</t>
        </is>
      </c>
    </row>
    <row r="11" ht="20" customHeight="1">
      <c r="A11" s="5" t="inlineStr">
        <is>
          <t xml:space="preserve">  RELAÇÃO DE ITENS ENTREGUES          preencha o código — descrição, marca e valor vêm da aba Patrimônio Geral</t>
        </is>
      </c>
    </row>
    <row r="12" ht="24" customHeight="1">
      <c r="A12" s="41" t="inlineStr">
        <is>
          <t>Código</t>
        </is>
      </c>
      <c r="B12" s="41" t="inlineStr">
        <is>
          <t>Descrição do item</t>
        </is>
      </c>
      <c r="C12" s="41" t="inlineStr">
        <is>
          <t>Marca</t>
        </is>
      </c>
      <c r="D12" s="41" t="inlineStr">
        <is>
          <t>Etiqueta / nº série</t>
        </is>
      </c>
      <c r="E12" s="41" t="inlineStr">
        <is>
          <t>Estado</t>
        </is>
      </c>
      <c r="F12" s="41" t="inlineStr">
        <is>
          <t>Valor de referência</t>
        </is>
      </c>
      <c r="G12" s="41" t="n"/>
      <c r="H12" s="41" t="n"/>
    </row>
    <row r="13" ht="20" customHeight="1">
      <c r="A13" s="26" t="n"/>
      <c r="B13" s="42">
        <f>IFERROR(INDEX('Patrimônio Geral'!$C$7:$C$156,MATCH($A13,'Patrimônio Geral'!$A$7:$A$156,0)),"")</f>
        <v/>
      </c>
      <c r="C13" s="42">
        <f>IFERROR(INDEX('Patrimônio Geral'!$D$7:$D$156,MATCH($A13,'Patrimônio Geral'!$A$7:$A$156,0)),"")</f>
        <v/>
      </c>
      <c r="D13" s="42">
        <f>IFERROR(INDEX('Patrimônio Geral'!$F$7:$F$156,MATCH($A13,'Patrimônio Geral'!$A$7:$A$156,0)),"")</f>
        <v/>
      </c>
      <c r="E13" s="29" t="n"/>
      <c r="F13" s="43">
        <f>IFERROR(INDEX('Patrimônio Geral'!$J$7:$J$156,MATCH($A13,'Patrimônio Geral'!$A$7:$A$156,0)),"")</f>
        <v/>
      </c>
      <c r="G13" s="44" t="n"/>
      <c r="H13" s="44" t="n"/>
    </row>
    <row r="14" ht="20" customHeight="1">
      <c r="A14" s="26" t="n"/>
      <c r="B14" s="42">
        <f>IFERROR(INDEX('Patrimônio Geral'!$C$7:$C$156,MATCH($A14,'Patrimônio Geral'!$A$7:$A$156,0)),"")</f>
        <v/>
      </c>
      <c r="C14" s="42">
        <f>IFERROR(INDEX('Patrimônio Geral'!$D$7:$D$156,MATCH($A14,'Patrimônio Geral'!$A$7:$A$156,0)),"")</f>
        <v/>
      </c>
      <c r="D14" s="42">
        <f>IFERROR(INDEX('Patrimônio Geral'!$F$7:$F$156,MATCH($A14,'Patrimônio Geral'!$A$7:$A$156,0)),"")</f>
        <v/>
      </c>
      <c r="E14" s="29" t="n"/>
      <c r="F14" s="43">
        <f>IFERROR(INDEX('Patrimônio Geral'!$J$7:$J$156,MATCH($A14,'Patrimônio Geral'!$A$7:$A$156,0)),"")</f>
        <v/>
      </c>
      <c r="G14" s="44" t="n"/>
      <c r="H14" s="44" t="n"/>
    </row>
    <row r="15" ht="20" customHeight="1">
      <c r="A15" s="26" t="n"/>
      <c r="B15" s="42">
        <f>IFERROR(INDEX('Patrimônio Geral'!$C$7:$C$156,MATCH($A15,'Patrimônio Geral'!$A$7:$A$156,0)),"")</f>
        <v/>
      </c>
      <c r="C15" s="42">
        <f>IFERROR(INDEX('Patrimônio Geral'!$D$7:$D$156,MATCH($A15,'Patrimônio Geral'!$A$7:$A$156,0)),"")</f>
        <v/>
      </c>
      <c r="D15" s="42">
        <f>IFERROR(INDEX('Patrimônio Geral'!$F$7:$F$156,MATCH($A15,'Patrimônio Geral'!$A$7:$A$156,0)),"")</f>
        <v/>
      </c>
      <c r="E15" s="29" t="n"/>
      <c r="F15" s="43">
        <f>IFERROR(INDEX('Patrimônio Geral'!$J$7:$J$156,MATCH($A15,'Patrimônio Geral'!$A$7:$A$156,0)),"")</f>
        <v/>
      </c>
      <c r="G15" s="44" t="n"/>
      <c r="H15" s="44" t="n"/>
    </row>
    <row r="16" ht="20" customHeight="1">
      <c r="A16" s="26" t="n"/>
      <c r="B16" s="42">
        <f>IFERROR(INDEX('Patrimônio Geral'!$C$7:$C$156,MATCH($A16,'Patrimônio Geral'!$A$7:$A$156,0)),"")</f>
        <v/>
      </c>
      <c r="C16" s="42">
        <f>IFERROR(INDEX('Patrimônio Geral'!$D$7:$D$156,MATCH($A16,'Patrimônio Geral'!$A$7:$A$156,0)),"")</f>
        <v/>
      </c>
      <c r="D16" s="42">
        <f>IFERROR(INDEX('Patrimônio Geral'!$F$7:$F$156,MATCH($A16,'Patrimônio Geral'!$A$7:$A$156,0)),"")</f>
        <v/>
      </c>
      <c r="E16" s="29" t="n"/>
      <c r="F16" s="43">
        <f>IFERROR(INDEX('Patrimônio Geral'!$J$7:$J$156,MATCH($A16,'Patrimônio Geral'!$A$7:$A$156,0)),"")</f>
        <v/>
      </c>
      <c r="G16" s="44" t="n"/>
      <c r="H16" s="44" t="n"/>
    </row>
    <row r="17" ht="20" customHeight="1">
      <c r="A17" s="26" t="n"/>
      <c r="B17" s="42">
        <f>IFERROR(INDEX('Patrimônio Geral'!$C$7:$C$156,MATCH($A17,'Patrimônio Geral'!$A$7:$A$156,0)),"")</f>
        <v/>
      </c>
      <c r="C17" s="42">
        <f>IFERROR(INDEX('Patrimônio Geral'!$D$7:$D$156,MATCH($A17,'Patrimônio Geral'!$A$7:$A$156,0)),"")</f>
        <v/>
      </c>
      <c r="D17" s="42">
        <f>IFERROR(INDEX('Patrimônio Geral'!$F$7:$F$156,MATCH($A17,'Patrimônio Geral'!$A$7:$A$156,0)),"")</f>
        <v/>
      </c>
      <c r="E17" s="29" t="n"/>
      <c r="F17" s="43">
        <f>IFERROR(INDEX('Patrimônio Geral'!$J$7:$J$156,MATCH($A17,'Patrimônio Geral'!$A$7:$A$156,0)),"")</f>
        <v/>
      </c>
      <c r="G17" s="44" t="n"/>
      <c r="H17" s="44" t="n"/>
    </row>
    <row r="18" ht="20" customHeight="1">
      <c r="A18" s="26" t="n"/>
      <c r="B18" s="42">
        <f>IFERROR(INDEX('Patrimônio Geral'!$C$7:$C$156,MATCH($A18,'Patrimônio Geral'!$A$7:$A$156,0)),"")</f>
        <v/>
      </c>
      <c r="C18" s="42">
        <f>IFERROR(INDEX('Patrimônio Geral'!$D$7:$D$156,MATCH($A18,'Patrimônio Geral'!$A$7:$A$156,0)),"")</f>
        <v/>
      </c>
      <c r="D18" s="42">
        <f>IFERROR(INDEX('Patrimônio Geral'!$F$7:$F$156,MATCH($A18,'Patrimônio Geral'!$A$7:$A$156,0)),"")</f>
        <v/>
      </c>
      <c r="E18" s="29" t="n"/>
      <c r="F18" s="43">
        <f>IFERROR(INDEX('Patrimônio Geral'!$J$7:$J$156,MATCH($A18,'Patrimônio Geral'!$A$7:$A$156,0)),"")</f>
        <v/>
      </c>
      <c r="G18" s="44" t="n"/>
      <c r="H18" s="44" t="n"/>
    </row>
    <row r="19" ht="20" customHeight="1">
      <c r="A19" s="26" t="n"/>
      <c r="B19" s="42">
        <f>IFERROR(INDEX('Patrimônio Geral'!$C$7:$C$156,MATCH($A19,'Patrimônio Geral'!$A$7:$A$156,0)),"")</f>
        <v/>
      </c>
      <c r="C19" s="42">
        <f>IFERROR(INDEX('Patrimônio Geral'!$D$7:$D$156,MATCH($A19,'Patrimônio Geral'!$A$7:$A$156,0)),"")</f>
        <v/>
      </c>
      <c r="D19" s="42">
        <f>IFERROR(INDEX('Patrimônio Geral'!$F$7:$F$156,MATCH($A19,'Patrimônio Geral'!$A$7:$A$156,0)),"")</f>
        <v/>
      </c>
      <c r="E19" s="29" t="n"/>
      <c r="F19" s="43">
        <f>IFERROR(INDEX('Patrimônio Geral'!$J$7:$J$156,MATCH($A19,'Patrimônio Geral'!$A$7:$A$156,0)),"")</f>
        <v/>
      </c>
      <c r="G19" s="44" t="n"/>
      <c r="H19" s="44" t="n"/>
    </row>
    <row r="20" ht="20" customHeight="1">
      <c r="A20" s="26" t="n"/>
      <c r="B20" s="42">
        <f>IFERROR(INDEX('Patrimônio Geral'!$C$7:$C$156,MATCH($A20,'Patrimônio Geral'!$A$7:$A$156,0)),"")</f>
        <v/>
      </c>
      <c r="C20" s="42">
        <f>IFERROR(INDEX('Patrimônio Geral'!$D$7:$D$156,MATCH($A20,'Patrimônio Geral'!$A$7:$A$156,0)),"")</f>
        <v/>
      </c>
      <c r="D20" s="42">
        <f>IFERROR(INDEX('Patrimônio Geral'!$F$7:$F$156,MATCH($A20,'Patrimônio Geral'!$A$7:$A$156,0)),"")</f>
        <v/>
      </c>
      <c r="E20" s="29" t="n"/>
      <c r="F20" s="43">
        <f>IFERROR(INDEX('Patrimônio Geral'!$J$7:$J$156,MATCH($A20,'Patrimônio Geral'!$A$7:$A$156,0)),"")</f>
        <v/>
      </c>
      <c r="G20" s="44" t="n"/>
      <c r="H20" s="44" t="n"/>
    </row>
    <row r="21" ht="20" customHeight="1">
      <c r="A21" s="26" t="n"/>
      <c r="B21" s="42">
        <f>IFERROR(INDEX('Patrimônio Geral'!$C$7:$C$156,MATCH($A21,'Patrimônio Geral'!$A$7:$A$156,0)),"")</f>
        <v/>
      </c>
      <c r="C21" s="42">
        <f>IFERROR(INDEX('Patrimônio Geral'!$D$7:$D$156,MATCH($A21,'Patrimônio Geral'!$A$7:$A$156,0)),"")</f>
        <v/>
      </c>
      <c r="D21" s="42">
        <f>IFERROR(INDEX('Patrimônio Geral'!$F$7:$F$156,MATCH($A21,'Patrimônio Geral'!$A$7:$A$156,0)),"")</f>
        <v/>
      </c>
      <c r="E21" s="29" t="n"/>
      <c r="F21" s="43">
        <f>IFERROR(INDEX('Patrimônio Geral'!$J$7:$J$156,MATCH($A21,'Patrimônio Geral'!$A$7:$A$156,0)),"")</f>
        <v/>
      </c>
      <c r="G21" s="44" t="n"/>
      <c r="H21" s="44" t="n"/>
    </row>
    <row r="22" ht="20" customHeight="1">
      <c r="A22" s="26" t="n"/>
      <c r="B22" s="42">
        <f>IFERROR(INDEX('Patrimônio Geral'!$C$7:$C$156,MATCH($A22,'Patrimônio Geral'!$A$7:$A$156,0)),"")</f>
        <v/>
      </c>
      <c r="C22" s="42">
        <f>IFERROR(INDEX('Patrimônio Geral'!$D$7:$D$156,MATCH($A22,'Patrimônio Geral'!$A$7:$A$156,0)),"")</f>
        <v/>
      </c>
      <c r="D22" s="42">
        <f>IFERROR(INDEX('Patrimônio Geral'!$F$7:$F$156,MATCH($A22,'Patrimônio Geral'!$A$7:$A$156,0)),"")</f>
        <v/>
      </c>
      <c r="E22" s="29" t="n"/>
      <c r="F22" s="43">
        <f>IFERROR(INDEX('Patrimônio Geral'!$J$7:$J$156,MATCH($A22,'Patrimônio Geral'!$A$7:$A$156,0)),"")</f>
        <v/>
      </c>
      <c r="G22" s="44" t="n"/>
      <c r="H22" s="44" t="n"/>
    </row>
    <row r="23" ht="20" customHeight="1">
      <c r="A23" s="26" t="n"/>
      <c r="B23" s="42">
        <f>IFERROR(INDEX('Patrimônio Geral'!$C$7:$C$156,MATCH($A23,'Patrimônio Geral'!$A$7:$A$156,0)),"")</f>
        <v/>
      </c>
      <c r="C23" s="42">
        <f>IFERROR(INDEX('Patrimônio Geral'!$D$7:$D$156,MATCH($A23,'Patrimônio Geral'!$A$7:$A$156,0)),"")</f>
        <v/>
      </c>
      <c r="D23" s="42">
        <f>IFERROR(INDEX('Patrimônio Geral'!$F$7:$F$156,MATCH($A23,'Patrimônio Geral'!$A$7:$A$156,0)),"")</f>
        <v/>
      </c>
      <c r="E23" s="29" t="n"/>
      <c r="F23" s="43">
        <f>IFERROR(INDEX('Patrimônio Geral'!$J$7:$J$156,MATCH($A23,'Patrimônio Geral'!$A$7:$A$156,0)),"")</f>
        <v/>
      </c>
      <c r="G23" s="44" t="n"/>
      <c r="H23" s="44" t="n"/>
    </row>
    <row r="24" ht="20" customHeight="1">
      <c r="A24" s="26" t="n"/>
      <c r="B24" s="42">
        <f>IFERROR(INDEX('Patrimônio Geral'!$C$7:$C$156,MATCH($A24,'Patrimônio Geral'!$A$7:$A$156,0)),"")</f>
        <v/>
      </c>
      <c r="C24" s="42">
        <f>IFERROR(INDEX('Patrimônio Geral'!$D$7:$D$156,MATCH($A24,'Patrimônio Geral'!$A$7:$A$156,0)),"")</f>
        <v/>
      </c>
      <c r="D24" s="42">
        <f>IFERROR(INDEX('Patrimônio Geral'!$F$7:$F$156,MATCH($A24,'Patrimônio Geral'!$A$7:$A$156,0)),"")</f>
        <v/>
      </c>
      <c r="E24" s="29" t="n"/>
      <c r="F24" s="43">
        <f>IFERROR(INDEX('Patrimônio Geral'!$J$7:$J$156,MATCH($A24,'Patrimônio Geral'!$A$7:$A$156,0)),"")</f>
        <v/>
      </c>
      <c r="G24" s="44" t="n"/>
      <c r="H24" s="44" t="n"/>
    </row>
    <row r="25" ht="20" customHeight="1">
      <c r="A25" s="26" t="n"/>
      <c r="B25" s="42">
        <f>IFERROR(INDEX('Patrimônio Geral'!$C$7:$C$156,MATCH($A25,'Patrimônio Geral'!$A$7:$A$156,0)),"")</f>
        <v/>
      </c>
      <c r="C25" s="42">
        <f>IFERROR(INDEX('Patrimônio Geral'!$D$7:$D$156,MATCH($A25,'Patrimônio Geral'!$A$7:$A$156,0)),"")</f>
        <v/>
      </c>
      <c r="D25" s="42">
        <f>IFERROR(INDEX('Patrimônio Geral'!$F$7:$F$156,MATCH($A25,'Patrimônio Geral'!$A$7:$A$156,0)),"")</f>
        <v/>
      </c>
      <c r="E25" s="29" t="n"/>
      <c r="F25" s="43">
        <f>IFERROR(INDEX('Patrimônio Geral'!$J$7:$J$156,MATCH($A25,'Patrimônio Geral'!$A$7:$A$156,0)),"")</f>
        <v/>
      </c>
      <c r="G25" s="44" t="n"/>
      <c r="H25" s="44" t="n"/>
    </row>
    <row r="26" ht="20" customHeight="1">
      <c r="A26" s="26" t="n"/>
      <c r="B26" s="42">
        <f>IFERROR(INDEX('Patrimônio Geral'!$C$7:$C$156,MATCH($A26,'Patrimônio Geral'!$A$7:$A$156,0)),"")</f>
        <v/>
      </c>
      <c r="C26" s="42">
        <f>IFERROR(INDEX('Patrimônio Geral'!$D$7:$D$156,MATCH($A26,'Patrimônio Geral'!$A$7:$A$156,0)),"")</f>
        <v/>
      </c>
      <c r="D26" s="42">
        <f>IFERROR(INDEX('Patrimônio Geral'!$F$7:$F$156,MATCH($A26,'Patrimônio Geral'!$A$7:$A$156,0)),"")</f>
        <v/>
      </c>
      <c r="E26" s="29" t="n"/>
      <c r="F26" s="43">
        <f>IFERROR(INDEX('Patrimônio Geral'!$J$7:$J$156,MATCH($A26,'Patrimônio Geral'!$A$7:$A$156,0)),"")</f>
        <v/>
      </c>
      <c r="G26" s="44" t="n"/>
      <c r="H26" s="44" t="n"/>
    </row>
    <row r="27" ht="22" customHeight="1">
      <c r="A27" s="21" t="inlineStr">
        <is>
          <t>TOTAL DE REFERÊNCIA DOS ITENS ENTREGUES</t>
        </is>
      </c>
      <c r="F27" s="45">
        <f>SUM(F13:F26)</f>
        <v/>
      </c>
    </row>
    <row r="28" ht="15" customHeight="1">
      <c r="A28" s="46" t="inlineStr">
        <is>
          <t>O valor de referência serve apenas para identificar o bem. Não constitui caução, depósito, garantia nem autorização prévia de desconto.</t>
        </is>
      </c>
    </row>
    <row r="30" ht="20" customHeight="1">
      <c r="A30" s="5" t="inlineStr">
        <is>
          <t xml:space="preserve">  CONDIÇÕES</t>
        </is>
      </c>
    </row>
    <row r="31" ht="24" customHeight="1">
      <c r="A31" s="47" t="inlineStr">
        <is>
          <t>1.  OBJETO E NATUREZA — A COMODANTE entrega à COMODATÁRIA, em COMODATO GRATUITO, nos termos dos artigos 579 e seguintes do Código Civil, as ferramentas e equipamentos relacionados no quadro acima, que permanecem sendo de propriedade integral da COMODANTE.</t>
        </is>
      </c>
    </row>
    <row r="32" ht="24" customHeight="1">
      <c r="A32" s="47" t="inlineStr">
        <is>
          <t>2.  USO — Os itens destinam-se exclusivamente à execução dos serviços contratados. É vedado emprestá-los, sublocá-los, cedê-los ou aliená-los, sob qualquer título.</t>
        </is>
      </c>
    </row>
    <row r="33" ht="24" customHeight="1">
      <c r="A33" s="47" t="inlineStr">
        <is>
          <t>3.  GUARDA — Os itens NÃO podem ser levados para a residência da COMODATÁRIA. A guarda deve ocorrer nas dependências da COMODANTE ou no canteiro de obra, em local seguro indicado pela coordenação.</t>
        </is>
      </c>
    </row>
    <row r="34" ht="24" customHeight="1">
      <c r="A34" s="47" t="inlineStr">
        <is>
          <t>4.  CONSERVAÇÃO — A COMODATÁRIA obriga-se a conservar os itens como se seus fossem, respondendo pela guarda e pelo uso adequado, nos termos do art. 582 do Código Civil.</t>
        </is>
      </c>
    </row>
    <row r="35" ht="24" customHeight="1">
      <c r="A35" s="47" t="inlineStr">
        <is>
          <t>5.  DESGASTE NATURAL — O desgaste decorrente do uso normal e a manutenção preventiva correm por conta da COMODANTE, sem ônus para a COMODATÁRIA.</t>
        </is>
      </c>
    </row>
    <row r="36" ht="34.5" customHeight="1">
      <c r="A36" s="47" t="inlineStr">
        <is>
          <t>6.  DANO OU PERDA — Havendo dano por uso indevido, negligência ou perda, a COMODATÁRIA se compromete a REPOR o item por outro de mesma especificação e em estado equivalente, no prazo de 30 (trinta) dias, adquirindo-o por sua própria conta e da forma que lhe for mais conveniente.</t>
        </is>
      </c>
    </row>
    <row r="37" ht="24" customHeight="1">
      <c r="A37" s="47" t="inlineStr">
        <is>
          <t>7.  FURTO OU ROUBO — Em caso de furto ou roubo, a COMODATÁRIA deve comunicar imediatamente a coordenação e registrar Boletim de Ocorrência em até 48 (quarenta e oito) horas. Comprovado o fato, não haverá ônus de reposição.</t>
        </is>
      </c>
    </row>
    <row r="38" ht="24" customHeight="1">
      <c r="A38" s="47" t="inlineStr">
        <is>
          <t>8.  RESTITUIÇÃO — Os itens devem ser restituídos sempre que solicitados pela COMODANTE e, obrigatoriamente, ao término da prestação de serviços, mediante registro no quadro de devolução.</t>
        </is>
      </c>
    </row>
    <row r="39" ht="24" customHeight="1">
      <c r="A39" s="47" t="inlineStr">
        <is>
          <t>9.  REGISTRO FOTOGRÁFICO — O registro fotográfico do estado dos itens, feito na data da entrega, integra este termo para todos os efeitos.</t>
        </is>
      </c>
    </row>
    <row r="41" ht="20" customHeight="1">
      <c r="A41" s="5" t="inlineStr">
        <is>
          <t xml:space="preserve">  DECLARAÇÃO E ASSINATURAS</t>
        </is>
      </c>
    </row>
    <row r="42" ht="34" customHeight="1">
      <c r="A42" s="48" t="inlineStr">
        <is>
          <t>Declaro ter recebido os itens acima relacionados, conferido seu estado de conservação e estar ciente das condições deste termo, que assino em duas vias de igual teor. Fica a COMODATÁRIA responsável pela guarda e pelo uso adequado dos itens enquanto estiverem sob sua posse.</t>
        </is>
      </c>
    </row>
    <row r="44" ht="8" customHeight="1">
      <c r="A44" s="49" t="n"/>
      <c r="E44" s="49" t="n"/>
    </row>
    <row r="45">
      <c r="A45" s="50" t="inlineStr"/>
      <c r="E45" s="50" t="inlineStr">
        <is>
          <t>Valvic Marcenaria — Vargas Decor Ltda</t>
        </is>
      </c>
    </row>
    <row r="46">
      <c r="A46" s="51" t="inlineStr">
        <is>
          <t>CNPJ</t>
        </is>
      </c>
      <c r="E46" s="51" t="inlineStr">
        <is>
          <t>Representante legal</t>
        </is>
      </c>
    </row>
    <row r="47" ht="24" customHeight="1">
      <c r="A47" s="52" t="inlineStr">
        <is>
          <t>Belo Horizonte / MG,  ______  de  ____________________  de  __________</t>
        </is>
      </c>
    </row>
    <row r="49" ht="20" customHeight="1">
      <c r="A49" s="5" t="inlineStr">
        <is>
          <t xml:space="preserve">  REGISTRO DE DEVOLUÇÃO          preencher no ato da devolução ou do desligamento</t>
        </is>
      </c>
    </row>
    <row r="50" ht="22" customHeight="1">
      <c r="A50" s="41" t="inlineStr">
        <is>
          <t>Data</t>
        </is>
      </c>
      <c r="B50" s="41" t="inlineStr">
        <is>
          <t>Itens devolvidos</t>
        </is>
      </c>
      <c r="C50" s="41" t="n"/>
      <c r="D50" s="41" t="inlineStr">
        <is>
          <t>Estado na devolução</t>
        </is>
      </c>
      <c r="E50" s="41" t="inlineStr">
        <is>
          <t>Pendências</t>
        </is>
      </c>
      <c r="F50" s="41" t="n"/>
      <c r="G50" s="41" t="inlineStr">
        <is>
          <t>Recebido por</t>
        </is>
      </c>
      <c r="H50" s="41" t="n"/>
    </row>
    <row r="51" ht="22" customHeight="1">
      <c r="A51" s="53" t="n"/>
      <c r="B51" s="27" t="n"/>
      <c r="C51" s="27" t="n"/>
      <c r="D51" s="27" t="n"/>
      <c r="E51" s="27" t="n"/>
      <c r="F51" s="27" t="n"/>
      <c r="G51" s="27" t="n"/>
      <c r="H51" s="27" t="n"/>
    </row>
    <row r="52" ht="22" customHeight="1">
      <c r="A52" s="53" t="n"/>
      <c r="B52" s="27" t="n"/>
      <c r="C52" s="27" t="n"/>
      <c r="D52" s="27" t="n"/>
      <c r="E52" s="27" t="n"/>
      <c r="F52" s="27" t="n"/>
      <c r="G52" s="27" t="n"/>
      <c r="H52" s="27" t="n"/>
    </row>
    <row r="53" ht="22" customHeight="1">
      <c r="A53" s="53" t="n"/>
      <c r="B53" s="27" t="n"/>
      <c r="C53" s="27" t="n"/>
      <c r="D53" s="27" t="n"/>
      <c r="E53" s="27" t="n"/>
      <c r="F53" s="27" t="n"/>
      <c r="G53" s="27" t="n"/>
      <c r="H53" s="27" t="n"/>
    </row>
    <row r="54" ht="15" customHeight="1">
      <c r="A54" s="54" t="inlineStr">
        <is>
          <t>Anexo obrigatório: registro fotográfico do estado dos itens na data da entrega. Sem o anexo, este termo não sustenta pedido de reposição.</t>
        </is>
      </c>
    </row>
  </sheetData>
  <mergeCells count="63">
    <mergeCell ref="F20:H20"/>
    <mergeCell ref="E50:F50"/>
    <mergeCell ref="E45:H45"/>
    <mergeCell ref="A30:H30"/>
    <mergeCell ref="A39:H39"/>
    <mergeCell ref="F21:H21"/>
    <mergeCell ref="G52:H52"/>
    <mergeCell ref="F18:H18"/>
    <mergeCell ref="A46:C46"/>
    <mergeCell ref="B8:D8"/>
    <mergeCell ref="F8:H8"/>
    <mergeCell ref="F26:H26"/>
    <mergeCell ref="A36:H36"/>
    <mergeCell ref="A11:H11"/>
    <mergeCell ref="F17:H17"/>
    <mergeCell ref="A49:H49"/>
    <mergeCell ref="A1:H1"/>
    <mergeCell ref="E52:F52"/>
    <mergeCell ref="A6:H6"/>
    <mergeCell ref="F23:H23"/>
    <mergeCell ref="B52:C52"/>
    <mergeCell ref="E51:F51"/>
    <mergeCell ref="F22:H22"/>
    <mergeCell ref="F13:H13"/>
    <mergeCell ref="F27:H27"/>
    <mergeCell ref="A54:H54"/>
    <mergeCell ref="B9:D9"/>
    <mergeCell ref="A41:H41"/>
    <mergeCell ref="G53:H53"/>
    <mergeCell ref="F9:H9"/>
    <mergeCell ref="A37:H37"/>
    <mergeCell ref="B53:C53"/>
    <mergeCell ref="A27:E27"/>
    <mergeCell ref="A3:H3"/>
    <mergeCell ref="A44:C44"/>
    <mergeCell ref="F14:H14"/>
    <mergeCell ref="A2:H2"/>
    <mergeCell ref="A42:H42"/>
    <mergeCell ref="E44:H44"/>
    <mergeCell ref="A33:H33"/>
    <mergeCell ref="A47:H47"/>
    <mergeCell ref="B7:D7"/>
    <mergeCell ref="A32:H32"/>
    <mergeCell ref="F25:H25"/>
    <mergeCell ref="A4:H4"/>
    <mergeCell ref="F16:H16"/>
    <mergeCell ref="G51:H51"/>
    <mergeCell ref="F19:H19"/>
    <mergeCell ref="A35:H35"/>
    <mergeCell ref="A45:C45"/>
    <mergeCell ref="A38:H38"/>
    <mergeCell ref="B51:C51"/>
    <mergeCell ref="A28:H28"/>
    <mergeCell ref="E46:H46"/>
    <mergeCell ref="G50:H50"/>
    <mergeCell ref="B50:C50"/>
    <mergeCell ref="F12:H12"/>
    <mergeCell ref="F7:H7"/>
    <mergeCell ref="E53:F53"/>
    <mergeCell ref="F15:H15"/>
    <mergeCell ref="A31:H31"/>
    <mergeCell ref="F24:H24"/>
    <mergeCell ref="A34:H34"/>
  </mergeCells>
  <dataValidations count="2">
    <dataValidation sqref="A13:A26" showDropDown="0" showInputMessage="0" showErrorMessage="0" allowBlank="1" type="list">
      <formula1>='Patrimônio Geral'!$A$7:$A$156</formula1>
    </dataValidation>
    <dataValidation sqref="E13:E26" showDropDown="0" showInputMessage="0" showErrorMessage="0" allowBlank="1" type="list">
      <formula1>=Listas!$J$2:$J$5</formula1>
    </dataValidation>
  </dataValidations>
  <pageMargins left="0.45" right="0.35" top="0.4" bottom="0.3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30" customWidth="1" min="3" max="3"/>
    <col width="22" customWidth="1" min="4" max="4"/>
    <col width="26" customWidth="1" min="6" max="6"/>
    <col width="18" customWidth="1" min="7" max="7"/>
    <col width="22" customWidth="1" min="8" max="8"/>
    <col width="12" customWidth="1" min="9" max="9"/>
    <col width="22" customWidth="1" min="10" max="10"/>
    <col width="24" customWidth="1" min="12" max="12"/>
    <col width="38" customWidth="1" min="14" max="14"/>
  </cols>
  <sheetData>
    <row r="1">
      <c r="A1" s="55" t="inlineStr">
        <is>
          <t>Colaborador</t>
        </is>
      </c>
      <c r="B1" s="55" t="inlineStr">
        <is>
          <t>Vínculo</t>
        </is>
      </c>
      <c r="C1" s="55" t="inlineStr">
        <is>
          <t>Função</t>
        </is>
      </c>
      <c r="D1" s="55" t="inlineStr">
        <is>
          <t>Documento</t>
        </is>
      </c>
      <c r="F1" s="55" t="inlineStr">
        <is>
          <t>Categoria</t>
        </is>
      </c>
      <c r="G1" s="55" t="inlineStr">
        <is>
          <t>Situação</t>
        </is>
      </c>
      <c r="H1" s="55" t="inlineStr">
        <is>
          <t>Localização</t>
        </is>
      </c>
      <c r="I1" s="55" t="inlineStr">
        <is>
          <t>Sim / Não</t>
        </is>
      </c>
      <c r="J1" s="55" t="inlineStr">
        <is>
          <t>Estado de conservação</t>
        </is>
      </c>
      <c r="L1" s="55" t="inlineStr">
        <is>
          <t>Movimento</t>
        </is>
      </c>
      <c r="N1" s="56" t="inlineStr">
        <is>
          <t>Data de referência do cálculo de depreciação</t>
        </is>
      </c>
    </row>
    <row r="2">
      <c r="A2" s="57" t="inlineStr">
        <is>
          <t>Deivson</t>
        </is>
      </c>
      <c r="B2" s="57" t="inlineStr">
        <is>
          <t>PJ</t>
        </is>
      </c>
      <c r="C2" s="57" t="inlineStr">
        <is>
          <t>Coordenador de Produção</t>
        </is>
      </c>
      <c r="D2" s="58" t="inlineStr"/>
      <c r="F2" s="57" t="inlineStr">
        <is>
          <t>Máquina fixa</t>
        </is>
      </c>
      <c r="G2" s="57" t="inlineStr">
        <is>
          <t>Em uso</t>
        </is>
      </c>
      <c r="H2" s="57" t="inlineStr">
        <is>
          <t>Fábrica</t>
        </is>
      </c>
      <c r="I2" s="57" t="inlineStr">
        <is>
          <t>Sim</t>
        </is>
      </c>
      <c r="J2" s="57" t="inlineStr">
        <is>
          <t>Novo</t>
        </is>
      </c>
      <c r="L2" s="57" t="inlineStr">
        <is>
          <t>Entrega</t>
        </is>
      </c>
      <c r="N2" s="59">
        <f>TODAY()</f>
        <v/>
      </c>
    </row>
    <row r="3">
      <c r="A3" s="57" t="inlineStr">
        <is>
          <t>Samuel</t>
        </is>
      </c>
      <c r="B3" s="57" t="inlineStr">
        <is>
          <t>PJ</t>
        </is>
      </c>
      <c r="C3" s="57" t="inlineStr">
        <is>
          <t>Marceneiro Sênior</t>
        </is>
      </c>
      <c r="D3" s="58" t="inlineStr"/>
      <c r="F3" s="57" t="inlineStr">
        <is>
          <t>Ferramenta elétrica</t>
        </is>
      </c>
      <c r="G3" s="57" t="inlineStr">
        <is>
          <t>Em estoque</t>
        </is>
      </c>
      <c r="H3" s="57" t="inlineStr">
        <is>
          <t>Obra</t>
        </is>
      </c>
      <c r="I3" s="57" t="inlineStr">
        <is>
          <t>Não</t>
        </is>
      </c>
      <c r="J3" s="57" t="inlineStr">
        <is>
          <t>Bom</t>
        </is>
      </c>
      <c r="L3" s="57" t="inlineStr">
        <is>
          <t>Devolução</t>
        </is>
      </c>
    </row>
    <row r="4">
      <c r="A4" s="57" t="inlineStr">
        <is>
          <t>Jackson</t>
        </is>
      </c>
      <c r="B4" s="57" t="inlineStr">
        <is>
          <t>PJ</t>
        </is>
      </c>
      <c r="C4" s="57" t="inlineStr">
        <is>
          <t>Marceneiro Pleno</t>
        </is>
      </c>
      <c r="D4" s="58" t="inlineStr"/>
      <c r="F4" s="57" t="inlineStr">
        <is>
          <t>Ferramenta manual</t>
        </is>
      </c>
      <c r="G4" s="57" t="inlineStr">
        <is>
          <t>Em manutenção</t>
        </is>
      </c>
      <c r="H4" s="57" t="inlineStr">
        <is>
          <t>Veículo</t>
        </is>
      </c>
      <c r="J4" s="57" t="inlineStr">
        <is>
          <t>Regular</t>
        </is>
      </c>
      <c r="L4" s="57" t="inlineStr">
        <is>
          <t>Transferência</t>
        </is>
      </c>
    </row>
    <row r="5">
      <c r="A5" s="57" t="inlineStr">
        <is>
          <t>Cezar</t>
        </is>
      </c>
      <c r="B5" s="57" t="inlineStr">
        <is>
          <t>CLT</t>
        </is>
      </c>
      <c r="C5" s="57" t="inlineStr">
        <is>
          <t>Marceneiro</t>
        </is>
      </c>
      <c r="D5" s="58" t="inlineStr"/>
      <c r="F5" s="57" t="inlineStr">
        <is>
          <t>Instrumento de medição</t>
        </is>
      </c>
      <c r="G5" s="57" t="inlineStr">
        <is>
          <t>Extraviado</t>
        </is>
      </c>
      <c r="H5" s="57" t="inlineStr">
        <is>
          <t>Escritório</t>
        </is>
      </c>
      <c r="J5" s="57" t="inlineStr">
        <is>
          <t>Ruim</t>
        </is>
      </c>
      <c r="L5" s="57" t="inlineStr">
        <is>
          <t>Envio a manutenção</t>
        </is>
      </c>
    </row>
    <row r="6">
      <c r="A6" s="57" t="inlineStr">
        <is>
          <t>Jomar</t>
        </is>
      </c>
      <c r="B6" s="57" t="inlineStr">
        <is>
          <t>CLT</t>
        </is>
      </c>
      <c r="C6" s="57" t="inlineStr">
        <is>
          <t>Marceneiro</t>
        </is>
      </c>
      <c r="D6" s="58" t="inlineStr"/>
      <c r="F6" s="57" t="inlineStr">
        <is>
          <t>Veículo</t>
        </is>
      </c>
      <c r="G6" s="57" t="inlineStr">
        <is>
          <t>Baixado</t>
        </is>
      </c>
      <c r="H6" s="57" t="inlineStr">
        <is>
          <t>Fornecedor (manutenção)</t>
        </is>
      </c>
      <c r="L6" s="57" t="inlineStr">
        <is>
          <t>Retorno de manutenção</t>
        </is>
      </c>
    </row>
    <row r="7">
      <c r="A7" s="57" t="inlineStr">
        <is>
          <t>Davi</t>
        </is>
      </c>
      <c r="B7" s="57" t="inlineStr">
        <is>
          <t>CLT</t>
        </is>
      </c>
      <c r="C7" s="57" t="inlineStr">
        <is>
          <t>Ajudante</t>
        </is>
      </c>
      <c r="D7" s="58" t="inlineStr"/>
      <c r="F7" s="57" t="inlineStr">
        <is>
          <t>Informática</t>
        </is>
      </c>
      <c r="L7" s="57" t="inlineStr">
        <is>
          <t>Baixa</t>
        </is>
      </c>
    </row>
    <row r="8">
      <c r="A8" s="57" t="inlineStr">
        <is>
          <t>Jonathan Godoy</t>
        </is>
      </c>
      <c r="B8" s="57" t="inlineStr">
        <is>
          <t>CLT</t>
        </is>
      </c>
      <c r="C8" s="57" t="inlineStr">
        <is>
          <t>Ajudante Geral</t>
        </is>
      </c>
      <c r="D8" s="58" t="inlineStr"/>
      <c r="F8" s="57" t="inlineStr">
        <is>
          <t>Mobiliário</t>
        </is>
      </c>
    </row>
    <row r="9">
      <c r="A9" s="57" t="inlineStr">
        <is>
          <t>Joelson</t>
        </is>
      </c>
      <c r="B9" s="57" t="inlineStr">
        <is>
          <t>CLT</t>
        </is>
      </c>
      <c r="C9" s="57" t="inlineStr">
        <is>
          <t>Operador CNC &amp; Máquinas</t>
        </is>
      </c>
      <c r="D9" s="58" t="inlineStr"/>
      <c r="F9" s="57" t="inlineStr">
        <is>
          <t>Infraestrutura</t>
        </is>
      </c>
    </row>
    <row r="13">
      <c r="F13" s="56" t="inlineStr">
        <is>
          <t>Taxas de depreciação sugeridas (% ao ano)</t>
        </is>
      </c>
    </row>
    <row r="14">
      <c r="F14" s="60" t="inlineStr">
        <is>
          <t>Máquina fixa</t>
        </is>
      </c>
      <c r="G14" s="61" t="n">
        <v>0.1</v>
      </c>
    </row>
    <row r="15">
      <c r="F15" s="60" t="inlineStr">
        <is>
          <t>Ferramenta elétrica</t>
        </is>
      </c>
      <c r="G15" s="61" t="n">
        <v>0.2</v>
      </c>
    </row>
    <row r="16">
      <c r="F16" s="60" t="inlineStr">
        <is>
          <t>Ferramenta manual</t>
        </is>
      </c>
      <c r="G16" s="61" t="n">
        <v>0.1</v>
      </c>
    </row>
    <row r="17">
      <c r="F17" s="60" t="inlineStr">
        <is>
          <t>Instrumento de medição</t>
        </is>
      </c>
      <c r="G17" s="61" t="n">
        <v>0.2</v>
      </c>
    </row>
    <row r="18">
      <c r="F18" s="60" t="inlineStr">
        <is>
          <t>Veículo</t>
        </is>
      </c>
      <c r="G18" s="61" t="n">
        <v>0.2</v>
      </c>
    </row>
    <row r="19">
      <c r="F19" s="60" t="inlineStr">
        <is>
          <t>Informática</t>
        </is>
      </c>
      <c r="G19" s="61" t="n">
        <v>0.2</v>
      </c>
    </row>
    <row r="20">
      <c r="F20" s="60" t="inlineStr">
        <is>
          <t>Mobiliário</t>
        </is>
      </c>
      <c r="G20" s="61" t="n">
        <v>0.1</v>
      </c>
    </row>
    <row r="21">
      <c r="F21" s="60" t="inlineStr">
        <is>
          <t>Infraestrutura</t>
        </is>
      </c>
      <c r="G21" s="61" t="n">
        <v>0.1</v>
      </c>
    </row>
    <row r="23">
      <c r="F23" s="62" t="inlineStr">
        <is>
          <t>Confirmar as taxas com o contador antes de fechar o balanço.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2026-08-11T23:10:46Z</dcterms:created>
  <dcterms:modified xsi:type="dcterms:W3CDTF">2026-08-11T23:10:47Z</dcterms:modified>
</cp:coreProperties>
</file>