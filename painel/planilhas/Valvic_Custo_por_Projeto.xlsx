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Luiz " sheetId="5" state="visible" r:id="rId5"/>
    <sheet name="Jairo" sheetId="6" state="visible" r:id="rId6"/>
    <sheet name="Andrea " sheetId="7" state="visible" r:id="rId7"/>
    <sheet name="Cristiane Chrys Andrade" sheetId="8" state="visible" r:id="rId8"/>
    <sheet name="EPE Formas " sheetId="9" state="visible" r:id="rId9"/>
    <sheet name="Flavia " sheetId="10" state="visible" r:id="rId10"/>
    <sheet name="Graciene " sheetId="11" state="visible" r:id="rId11"/>
    <sheet name="Larissa " sheetId="12" state="visible" r:id="rId12"/>
    <sheet name="Leonardo " sheetId="13" state="visible" r:id="rId13"/>
    <sheet name="Carla Dresller" sheetId="14" state="visible" r:id="rId14"/>
    <sheet name="Maria " sheetId="15" state="visible" r:id="rId15"/>
    <sheet name="Nadia " sheetId="16" state="visible" r:id="rId16"/>
    <sheet name="Shelf" sheetId="17" state="visible" r:id="rId17"/>
    <sheet name="Simony" sheetId="18" state="visible" r:id="rId18"/>
    <sheet name="Exemplo P-2026-041" sheetId="19" state="visible" r:id="rId19"/>
    <sheet name="Listas" sheetId="20" state="visible" r:id="rId20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Listas!$A$2:$A$14</definedName>
    <definedName name="VENDEDOR">Listas!$B$2:$B$6</definedName>
    <definedName name="CAUSA_RETRABALHO">Listas!$C$2:$C$10</definedName>
    <definedName name="PROJETISTA">Listas!$H$2:$H$5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Modelo'!$A$1:$M$189</definedName>
    <definedName name="_xlnm.Print_Area" localSheetId="3">'Ana Carolina '!$A$1:$M$189</definedName>
    <definedName name="_xlnm.Print_Area" localSheetId="4">'Luiz '!$A$1:$M$189</definedName>
    <definedName name="_xlnm.Print_Area" localSheetId="5">'Jairo'!$A$1:$M$189</definedName>
    <definedName name="_xlnm.Print_Area" localSheetId="6">'Andrea '!$A$1:$M$189</definedName>
    <definedName name="_xlnm.Print_Area" localSheetId="7">'Cristiane Chrys Andrade'!$A$1:$M$189</definedName>
    <definedName name="_xlnm.Print_Area" localSheetId="8">'EPE Formas '!$A$1:$M$189</definedName>
    <definedName name="_xlnm.Print_Area" localSheetId="9">'Flavia '!$A$1:$M$189</definedName>
    <definedName name="_xlnm.Print_Area" localSheetId="10">'Graciene '!$A$1:$M$189</definedName>
    <definedName name="_xlnm.Print_Area" localSheetId="11">'Larissa '!$A$1:$M$189</definedName>
    <definedName name="_xlnm.Print_Area" localSheetId="12">'Leonardo '!$A$1:$M$189</definedName>
    <definedName name="_xlnm.Print_Area" localSheetId="13">'Carla Dresller'!$A$1:$M$189</definedName>
    <definedName name="_xlnm.Print_Area" localSheetId="14">'Maria '!$A$1:$M$189</definedName>
    <definedName name="_xlnm.Print_Area" localSheetId="15">'Nadia '!$A$1:$M$189</definedName>
    <definedName name="_xlnm.Print_Area" localSheetId="16">'Shelf'!$A$1:$M$189</definedName>
    <definedName name="_xlnm.Print_Area" localSheetId="17">'Simony'!$A$1:$M$189</definedName>
    <definedName name="_xlnm.Print_Area" localSheetId="18">'Exemplo P-2026-041'!$A$1:$M$189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R$ #,##0"/>
    <numFmt numFmtId="165" formatCode="0.0%"/>
    <numFmt numFmtId="166" formatCode="DD/MM/YYYY"/>
    <numFmt numFmtId="167" formatCode="+0.0;-0.0;0.0"/>
    <numFmt numFmtId="168" formatCode="R$ #,##0.00"/>
    <numFmt numFmtId="169" formatCode="+0.0%;-0.0%;0.0%"/>
    <numFmt numFmtId="170" formatCode="0 &quot;dias&quot;"/>
    <numFmt numFmtId="171" formatCode="+0%;-0%;0%"/>
    <numFmt numFmtId="172" formatCode="&quot;ainda a comprar  &quot;R$ #,##0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b val="1"/>
      <color rgb="000E2038"/>
      <sz val="9.5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color rgb="001B2733"/>
      <sz val="9"/>
    </font>
    <font>
      <name val="Arial"/>
      <b val="1"/>
      <color rgb="0016314F"/>
      <sz val="9"/>
    </font>
    <font>
      <name val="Arial"/>
      <b val="1"/>
      <color rgb="00D8BD80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11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DFDACD"/>
      </bottom>
    </border>
    <border>
      <left/>
      <right/>
      <top/>
      <bottom style="medium">
        <color rgb="00C2A05A"/>
      </bottom>
      <diagonal/>
    </border>
    <border>
      <left/>
      <right style="thin">
        <color rgb="00E8E3D8"/>
      </right>
      <top/>
      <bottom/>
      <diagonal/>
    </border>
    <border>
      <left/>
      <right style="thin">
        <color rgb="00E8E3D8"/>
      </right>
      <top/>
      <bottom style="thin">
        <color rgb="00E8E3D8"/>
      </bottom>
      <diagonal/>
    </border>
    <border>
      <left/>
      <right/>
      <top/>
      <bottom style="thin">
        <color rgb="00E8E3D8"/>
      </bottom>
      <diagonal/>
    </border>
    <border>
      <left/>
      <right style="thin">
        <color rgb="0016314F"/>
      </right>
      <top/>
      <bottom/>
      <diagonal/>
    </border>
    <border>
      <left/>
      <right style="thin">
        <color rgb="0016314F"/>
      </right>
      <top/>
      <bottom style="medium">
        <color rgb="00C2A05A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38" fillId="4" borderId="1" applyAlignment="1" pivotButton="0" quotePrefix="0" xfId="0">
      <alignment horizontal="center" vertical="center"/>
    </xf>
    <xf numFmtId="165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6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right" vertical="center" indent="1"/>
    </xf>
    <xf numFmtId="165" fontId="11" fillId="7" borderId="1" applyAlignment="1" pivotButton="0" quotePrefix="0" xfId="0">
      <alignment horizontal="center" vertical="center"/>
    </xf>
    <xf numFmtId="167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4" fontId="16" fillId="3" borderId="1" applyAlignment="1" pivotButton="0" quotePrefix="0" xfId="0">
      <alignment horizontal="right" vertical="center" indent="1"/>
    </xf>
    <xf numFmtId="165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4" fontId="12" fillId="7" borderId="1" applyAlignment="1" pivotButton="0" quotePrefix="0" xfId="0">
      <alignment horizontal="right" vertical="center" indent="1"/>
    </xf>
    <xf numFmtId="169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6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7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71" fontId="12" fillId="7" borderId="1" applyAlignment="1" pivotButton="0" quotePrefix="0" xfId="0">
      <alignment horizontal="center" vertical="center"/>
    </xf>
    <xf numFmtId="165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71" fontId="17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5" fontId="16" fillId="2" borderId="1" applyAlignment="1" pivotButton="0" quotePrefix="0" xfId="0">
      <alignment horizontal="center" vertical="center"/>
    </xf>
    <xf numFmtId="165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2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5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165" fontId="20" fillId="6" borderId="1" applyAlignment="1" pivotButton="0" quotePrefix="0" xfId="0">
      <alignment horizontal="center" vertical="center"/>
    </xf>
    <xf numFmtId="0" fontId="24" fillId="2" borderId="1" applyAlignment="1" pivotButton="0" quotePrefix="0" xfId="0">
      <alignment horizontal="right" vertical="center" indent="1"/>
    </xf>
    <xf numFmtId="168" fontId="25" fillId="2" borderId="1" applyAlignment="1" pivotButton="0" quotePrefix="0" xfId="0">
      <alignment horizontal="right" vertical="center" indent="1"/>
    </xf>
    <xf numFmtId="165" fontId="17" fillId="2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8" fontId="27" fillId="6" borderId="1" applyAlignment="1" pivotButton="0" quotePrefix="0" xfId="0">
      <alignment horizontal="right" vertical="center" indent="1"/>
    </xf>
    <xf numFmtId="168" fontId="12" fillId="7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29" fillId="7" borderId="1" applyAlignment="1" pivotButton="0" quotePrefix="0" xfId="0">
      <alignment horizontal="right" vertical="center" indent="1"/>
    </xf>
    <xf numFmtId="168" fontId="30" fillId="7" borderId="1" applyAlignment="1" pivotButton="0" quotePrefix="0" xfId="0">
      <alignment horizontal="righ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6" fillId="3" borderId="1" applyAlignment="1" pivotButton="0" quotePrefix="0" xfId="0">
      <alignment horizontal="left" vertical="center" indent="1"/>
    </xf>
    <xf numFmtId="0" fontId="33" fillId="6" borderId="1" applyAlignment="1" pivotButton="0" quotePrefix="0" xfId="0">
      <alignment horizontal="left" vertical="center" indent="1"/>
    </xf>
    <xf numFmtId="166" fontId="10" fillId="6" borderId="1" applyAlignment="1" pivotButton="0" quotePrefix="0" xfId="0">
      <alignment horizontal="center" vertical="center"/>
    </xf>
    <xf numFmtId="168" fontId="12" fillId="6" borderId="1" applyAlignment="1" pivotButton="0" quotePrefix="0" xfId="0">
      <alignment horizontal="right" vertical="center" indent="1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4" fillId="0" borderId="4" pivotButton="0" quotePrefix="0" xfId="0"/>
    <xf numFmtId="0" fontId="22" fillId="0" borderId="4" pivotButton="0" quotePrefix="0" xfId="0"/>
    <xf numFmtId="0" fontId="45" fillId="0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8" pivotButton="0" quotePrefix="0" xfId="0"/>
    <xf numFmtId="0" fontId="0" fillId="0" borderId="7" pivotButton="0" quotePrefix="0" xfId="0"/>
    <xf numFmtId="164" fontId="38" fillId="4" borderId="1" applyAlignment="1" pivotButton="0" quotePrefix="0" xfId="0">
      <alignment horizontal="center" vertical="center"/>
    </xf>
    <xf numFmtId="165" fontId="38" fillId="4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right" vertical="center" indent="1"/>
    </xf>
    <xf numFmtId="165" fontId="11" fillId="7" borderId="1" applyAlignment="1" pivotButton="0" quotePrefix="0" xfId="0">
      <alignment horizontal="center" vertical="center"/>
    </xf>
    <xf numFmtId="167" fontId="12" fillId="7" borderId="1" applyAlignment="1" pivotButton="0" quotePrefix="0" xfId="0">
      <alignment horizontal="center" vertical="center"/>
    </xf>
    <xf numFmtId="164" fontId="16" fillId="3" borderId="1" applyAlignment="1" pivotButton="0" quotePrefix="0" xfId="0">
      <alignment horizontal="right" vertical="center" indent="1"/>
    </xf>
    <xf numFmtId="165" fontId="16" fillId="3" borderId="1" applyAlignment="1" pivotButton="0" quotePrefix="0" xfId="0">
      <alignment horizontal="center" vertical="center"/>
    </xf>
    <xf numFmtId="0" fontId="0" fillId="0" borderId="10" pivotButton="0" quotePrefix="0" xfId="0"/>
    <xf numFmtId="164" fontId="12" fillId="7" borderId="1" applyAlignment="1" pivotButton="0" quotePrefix="0" xfId="0">
      <alignment horizontal="right" vertical="center" indent="1"/>
    </xf>
    <xf numFmtId="169" fontId="6" fillId="7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170" fontId="6" fillId="7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165" fontId="13" fillId="7" borderId="1" applyAlignment="1" pivotButton="0" quotePrefix="0" xfId="0">
      <alignment horizontal="center" vertical="center"/>
    </xf>
    <xf numFmtId="171" fontId="17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165" fontId="16" fillId="2" borderId="1" applyAlignment="1" pivotButton="0" quotePrefix="0" xfId="0">
      <alignment horizontal="center" vertical="center"/>
    </xf>
    <xf numFmtId="165" fontId="19" fillId="2" borderId="1" applyAlignment="1" pivotButton="0" quotePrefix="0" xfId="0">
      <alignment horizontal="center" vertical="center"/>
    </xf>
    <xf numFmtId="172" fontId="21" fillId="4" borderId="1" applyAlignment="1" pivotButton="0" quotePrefix="0" xfId="0">
      <alignment horizontal="center" vertical="center"/>
    </xf>
    <xf numFmtId="165" fontId="22" fillId="7" borderId="1" applyAlignment="1" pivotButton="0" quotePrefix="0" xfId="0">
      <alignment horizontal="center" vertical="center"/>
    </xf>
    <xf numFmtId="165" fontId="20" fillId="6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6" fontId="10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>None</a:t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>None</a:t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>None</a:t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>None</a:t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COMO USAR ESTA PLANILHA</t>
        </is>
      </c>
    </row>
    <row r="4" ht="17" customHeight="1">
      <c r="A4" s="6" t="inlineStr">
        <is>
          <t>Custo direto por projeto · orçado × realizado · eficiência do orçamento</t>
        </is>
      </c>
    </row>
    <row r="6" ht="20" customHeight="1">
      <c r="A6" s="8" t="inlineStr">
        <is>
          <t xml:space="preserve">  PARA QUE SERVE</t>
        </is>
      </c>
      <c r="B6" s="97" t="n"/>
      <c r="C6" s="97" t="n"/>
      <c r="D6" s="97" t="n"/>
      <c r="E6" s="97" t="n"/>
      <c r="F6" s="97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7" t="n"/>
      <c r="C11" s="97" t="n"/>
      <c r="D11" s="97" t="n"/>
      <c r="E11" s="97" t="n"/>
      <c r="F11" s="97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7" t="n"/>
      <c r="C22" s="97" t="n"/>
      <c r="D22" s="97" t="n"/>
      <c r="E22" s="97" t="n"/>
      <c r="F22" s="97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7" t="n"/>
      <c r="C32" s="97" t="n"/>
      <c r="D32" s="97" t="n"/>
      <c r="E32" s="97" t="n"/>
      <c r="F32" s="97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7" t="n"/>
      <c r="C39" s="97" t="n"/>
      <c r="D39" s="97" t="n"/>
      <c r="E39" s="97" t="n"/>
      <c r="F39" s="97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7" t="n"/>
      <c r="C47" s="97" t="n"/>
      <c r="D47" s="97" t="n"/>
      <c r="E47" s="97" t="n"/>
      <c r="F47" s="97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7" t="n"/>
      <c r="C53" s="97" t="n"/>
      <c r="D53" s="97" t="n"/>
      <c r="E53" s="97" t="n"/>
      <c r="F53" s="97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7" t="n"/>
      <c r="C60" s="97" t="n"/>
      <c r="D60" s="97" t="n"/>
      <c r="E60" s="97" t="n"/>
      <c r="F60" s="97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PAINEL GERAL DE CUSTO POR PROJETO</t>
        </is>
      </c>
    </row>
    <row r="4" ht="17" customHeight="1">
      <c r="A4" s="6" t="inlineStr">
        <is>
          <t>Cada linha puxa uma ficha · digite o nome exato da aba na coluna ABA e o resto aparece sozinho</t>
        </is>
      </c>
    </row>
    <row r="5" ht="6" customHeight="1"/>
    <row r="6" ht="14" customHeight="1">
      <c r="A6" s="12" t="inlineStr">
        <is>
          <t>PROJETOS</t>
        </is>
      </c>
      <c r="D6" s="12" t="inlineStr">
        <is>
          <t>VENDIDO</t>
        </is>
      </c>
      <c r="G6" s="12" t="inlineStr">
        <is>
          <t>CUSTO TOTAL</t>
        </is>
      </c>
      <c r="J6" s="12" t="inlineStr">
        <is>
          <t>AINDA A COMPRAR</t>
        </is>
      </c>
      <c r="M6" s="12" t="inlineStr">
        <is>
          <t>MARGEM DE CONTRIB.</t>
        </is>
      </c>
      <c r="O6" s="12" t="inlineStr">
        <is>
          <t>MC MÉDIA</t>
        </is>
      </c>
      <c r="Q6" s="12" t="inlineStr">
        <is>
          <t>ENTREGA NO PRAZO</t>
        </is>
      </c>
    </row>
    <row r="7" ht="32" customHeight="1">
      <c r="A7" s="14">
        <f>COUNTA($B$11:$B$50)</f>
        <v/>
      </c>
      <c r="B7" s="98" t="n"/>
      <c r="C7" s="99" t="n"/>
      <c r="D7" s="100">
        <f>ROUND(SUM($J$11:$J$50),2)</f>
        <v/>
      </c>
      <c r="E7" s="98" t="n"/>
      <c r="F7" s="99" t="n"/>
      <c r="G7" s="100">
        <f>ROUND(SUM($K$11:$K$50),2)</f>
        <v/>
      </c>
      <c r="H7" s="98" t="n"/>
      <c r="I7" s="99" t="n"/>
      <c r="J7" s="100">
        <f>ROUND(SUM($L$11:$L$50),2)</f>
        <v/>
      </c>
      <c r="K7" s="98" t="n"/>
      <c r="L7" s="99" t="n"/>
      <c r="M7" s="100">
        <f>ROUND(SUM($M$11:$M$50),2)</f>
        <v/>
      </c>
      <c r="N7" s="99" t="n"/>
      <c r="O7" s="101">
        <f>IF(SUM($J$11:$J$50)=0,"",SUM($M$11:$M$50)/SUM($J$11:$J$50))</f>
        <v/>
      </c>
      <c r="P7" s="99" t="n"/>
      <c r="Q7" s="18">
        <f>IF(COUNTIF($I$11:$I$50,"No prazo")+COUNTIF($I$11:$I$50,"Atrasado")=0,"",COUNTIF($I$11:$I$50,"No prazo")/(COUNTIF($I$11:$I$50,"No prazo")+COUNTIF($I$11:$I$50,"Atrasado")))</f>
        <v/>
      </c>
      <c r="R7" s="99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7" t="n"/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  <c r="Q9" s="97" t="n"/>
      <c r="R9" s="97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102">
        <f>IFERROR(INDIRECT("'"&amp;$B11&amp;"'!F7"),"")</f>
        <v/>
      </c>
      <c r="F11" s="102">
        <f>IFERROR(INDIRECT("'"&amp;$B11&amp;"'!H7"),"")</f>
        <v/>
      </c>
      <c r="G11" s="102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103">
        <f>IFERROR(INDIRECT("'"&amp;$B11&amp;"'!A13"),"")</f>
        <v/>
      </c>
      <c r="K11" s="103">
        <f>IFERROR(INDIRECT("'"&amp;$B11&amp;"'!C13"),"")</f>
        <v/>
      </c>
      <c r="L11" s="103">
        <f>IFERROR(INDIRECT("'"&amp;$B11&amp;"'!I24"),"")</f>
        <v/>
      </c>
      <c r="M11" s="103">
        <f>IFERROR(INDIRECT("'"&amp;$B11&amp;"'!E13"),"")</f>
        <v/>
      </c>
      <c r="N11" s="104">
        <f>IFERROR(INDIRECT("'"&amp;$B11&amp;"'!G13"),"")</f>
        <v/>
      </c>
      <c r="O11" s="104">
        <f>IFERROR(INDIRECT("'"&amp;$B11&amp;"'!H13"),"")</f>
        <v/>
      </c>
      <c r="P11" s="105">
        <f>IF(OR($N11="",$O11=""),"",ROUND(($N11-$O11)*100,1))</f>
        <v/>
      </c>
      <c r="Q11" s="103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Luiz </t>
        </is>
      </c>
      <c r="C12" s="22">
        <f>IFERROR(INDIRECT("'"&amp;$B12&amp;"'!A7"),"")</f>
        <v/>
      </c>
      <c r="D12" s="22">
        <f>IFERROR(INDIRECT("'"&amp;$B12&amp;"'!A9"),"")</f>
        <v/>
      </c>
      <c r="E12" s="102">
        <f>IFERROR(INDIRECT("'"&amp;$B12&amp;"'!F7"),"")</f>
        <v/>
      </c>
      <c r="F12" s="102">
        <f>IFERROR(INDIRECT("'"&amp;$B12&amp;"'!H7"),"")</f>
        <v/>
      </c>
      <c r="G12" s="102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103">
        <f>IFERROR(INDIRECT("'"&amp;$B12&amp;"'!A13"),"")</f>
        <v/>
      </c>
      <c r="K12" s="103">
        <f>IFERROR(INDIRECT("'"&amp;$B12&amp;"'!C13"),"")</f>
        <v/>
      </c>
      <c r="L12" s="103">
        <f>IFERROR(INDIRECT("'"&amp;$B12&amp;"'!I24"),"")</f>
        <v/>
      </c>
      <c r="M12" s="103">
        <f>IFERROR(INDIRECT("'"&amp;$B12&amp;"'!E13"),"")</f>
        <v/>
      </c>
      <c r="N12" s="104">
        <f>IFERROR(INDIRECT("'"&amp;$B12&amp;"'!G13"),"")</f>
        <v/>
      </c>
      <c r="O12" s="104">
        <f>IFERROR(INDIRECT("'"&amp;$B12&amp;"'!H13"),"")</f>
        <v/>
      </c>
      <c r="P12" s="105">
        <f>IF(OR($N12="",$O12=""),"",ROUND(($N12-$O12)*100,1))</f>
        <v/>
      </c>
      <c r="Q12" s="103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inlineStr">
        <is>
          <t>Jairo</t>
        </is>
      </c>
      <c r="C13" s="22">
        <f>IFERROR(INDIRECT("'"&amp;$B13&amp;"'!A7"),"")</f>
        <v/>
      </c>
      <c r="D13" s="22">
        <f>IFERROR(INDIRECT("'"&amp;$B13&amp;"'!A9"),"")</f>
        <v/>
      </c>
      <c r="E13" s="102">
        <f>IFERROR(INDIRECT("'"&amp;$B13&amp;"'!F7"),"")</f>
        <v/>
      </c>
      <c r="F13" s="102">
        <f>IFERROR(INDIRECT("'"&amp;$B13&amp;"'!H7"),"")</f>
        <v/>
      </c>
      <c r="G13" s="102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103">
        <f>IFERROR(INDIRECT("'"&amp;$B13&amp;"'!A13"),"")</f>
        <v/>
      </c>
      <c r="K13" s="103">
        <f>IFERROR(INDIRECT("'"&amp;$B13&amp;"'!C13"),"")</f>
        <v/>
      </c>
      <c r="L13" s="103">
        <f>IFERROR(INDIRECT("'"&amp;$B13&amp;"'!I24"),"")</f>
        <v/>
      </c>
      <c r="M13" s="103">
        <f>IFERROR(INDIRECT("'"&amp;$B13&amp;"'!E13"),"")</f>
        <v/>
      </c>
      <c r="N13" s="104">
        <f>IFERROR(INDIRECT("'"&amp;$B13&amp;"'!G13"),"")</f>
        <v/>
      </c>
      <c r="O13" s="104">
        <f>IFERROR(INDIRECT("'"&amp;$B13&amp;"'!H13"),"")</f>
        <v/>
      </c>
      <c r="P13" s="105">
        <f>IF(OR($N13="",$O13=""),"",ROUND(($N13-$O13)*100,1))</f>
        <v/>
      </c>
      <c r="Q13" s="103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Andrea </t>
        </is>
      </c>
      <c r="C14" s="22">
        <f>IFERROR(INDIRECT("'"&amp;$B14&amp;"'!A7"),"")</f>
        <v/>
      </c>
      <c r="D14" s="22">
        <f>IFERROR(INDIRECT("'"&amp;$B14&amp;"'!A9"),"")</f>
        <v/>
      </c>
      <c r="E14" s="102">
        <f>IFERROR(INDIRECT("'"&amp;$B14&amp;"'!F7"),"")</f>
        <v/>
      </c>
      <c r="F14" s="102">
        <f>IFERROR(INDIRECT("'"&amp;$B14&amp;"'!H7"),"")</f>
        <v/>
      </c>
      <c r="G14" s="102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103">
        <f>IFERROR(INDIRECT("'"&amp;$B14&amp;"'!A13"),"")</f>
        <v/>
      </c>
      <c r="K14" s="103">
        <f>IFERROR(INDIRECT("'"&amp;$B14&amp;"'!C13"),"")</f>
        <v/>
      </c>
      <c r="L14" s="103">
        <f>IFERROR(INDIRECT("'"&amp;$B14&amp;"'!I24"),"")</f>
        <v/>
      </c>
      <c r="M14" s="103">
        <f>IFERROR(INDIRECT("'"&amp;$B14&amp;"'!E13"),"")</f>
        <v/>
      </c>
      <c r="N14" s="104">
        <f>IFERROR(INDIRECT("'"&amp;$B14&amp;"'!G13"),"")</f>
        <v/>
      </c>
      <c r="O14" s="104">
        <f>IFERROR(INDIRECT("'"&amp;$B14&amp;"'!H13"),"")</f>
        <v/>
      </c>
      <c r="P14" s="105">
        <f>IF(OR($N14="",$O14=""),"",ROUND(($N14-$O14)*100,1))</f>
        <v/>
      </c>
      <c r="Q14" s="103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inlineStr">
        <is>
          <t>Cristiane Chrys Andrade</t>
        </is>
      </c>
      <c r="C15" s="22">
        <f>IFERROR(INDIRECT("'"&amp;$B15&amp;"'!A7"),"")</f>
        <v/>
      </c>
      <c r="D15" s="22">
        <f>IFERROR(INDIRECT("'"&amp;$B15&amp;"'!A9"),"")</f>
        <v/>
      </c>
      <c r="E15" s="102">
        <f>IFERROR(INDIRECT("'"&amp;$B15&amp;"'!F7"),"")</f>
        <v/>
      </c>
      <c r="F15" s="102">
        <f>IFERROR(INDIRECT("'"&amp;$B15&amp;"'!H7"),"")</f>
        <v/>
      </c>
      <c r="G15" s="102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103">
        <f>IFERROR(INDIRECT("'"&amp;$B15&amp;"'!A13"),"")</f>
        <v/>
      </c>
      <c r="K15" s="103">
        <f>IFERROR(INDIRECT("'"&amp;$B15&amp;"'!C13"),"")</f>
        <v/>
      </c>
      <c r="L15" s="103">
        <f>IFERROR(INDIRECT("'"&amp;$B15&amp;"'!I24"),"")</f>
        <v/>
      </c>
      <c r="M15" s="103">
        <f>IFERROR(INDIRECT("'"&amp;$B15&amp;"'!E13"),"")</f>
        <v/>
      </c>
      <c r="N15" s="104">
        <f>IFERROR(INDIRECT("'"&amp;$B15&amp;"'!G13"),"")</f>
        <v/>
      </c>
      <c r="O15" s="104">
        <f>IFERROR(INDIRECT("'"&amp;$B15&amp;"'!H13"),"")</f>
        <v/>
      </c>
      <c r="P15" s="105">
        <f>IF(OR($N15="",$O15=""),"",ROUND(($N15-$O15)*100,1))</f>
        <v/>
      </c>
      <c r="Q15" s="103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inlineStr">
        <is>
          <t xml:space="preserve">EPE Formas </t>
        </is>
      </c>
      <c r="C16" s="22">
        <f>IFERROR(INDIRECT("'"&amp;$B16&amp;"'!A7"),"")</f>
        <v/>
      </c>
      <c r="D16" s="22">
        <f>IFERROR(INDIRECT("'"&amp;$B16&amp;"'!A9"),"")</f>
        <v/>
      </c>
      <c r="E16" s="102">
        <f>IFERROR(INDIRECT("'"&amp;$B16&amp;"'!F7"),"")</f>
        <v/>
      </c>
      <c r="F16" s="102">
        <f>IFERROR(INDIRECT("'"&amp;$B16&amp;"'!H7"),"")</f>
        <v/>
      </c>
      <c r="G16" s="102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103">
        <f>IFERROR(INDIRECT("'"&amp;$B16&amp;"'!A13"),"")</f>
        <v/>
      </c>
      <c r="K16" s="103">
        <f>IFERROR(INDIRECT("'"&amp;$B16&amp;"'!C13"),"")</f>
        <v/>
      </c>
      <c r="L16" s="103">
        <f>IFERROR(INDIRECT("'"&amp;$B16&amp;"'!I24"),"")</f>
        <v/>
      </c>
      <c r="M16" s="103">
        <f>IFERROR(INDIRECT("'"&amp;$B16&amp;"'!E13"),"")</f>
        <v/>
      </c>
      <c r="N16" s="104">
        <f>IFERROR(INDIRECT("'"&amp;$B16&amp;"'!G13"),"")</f>
        <v/>
      </c>
      <c r="O16" s="104">
        <f>IFERROR(INDIRECT("'"&amp;$B16&amp;"'!H13"),"")</f>
        <v/>
      </c>
      <c r="P16" s="105">
        <f>IF(OR($N16="",$O16=""),"",ROUND(($N16-$O16)*100,1))</f>
        <v/>
      </c>
      <c r="Q16" s="103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Flavia </t>
        </is>
      </c>
      <c r="C17" s="22">
        <f>IFERROR(INDIRECT("'"&amp;$B17&amp;"'!A7"),"")</f>
        <v/>
      </c>
      <c r="D17" s="22">
        <f>IFERROR(INDIRECT("'"&amp;$B17&amp;"'!A9"),"")</f>
        <v/>
      </c>
      <c r="E17" s="102">
        <f>IFERROR(INDIRECT("'"&amp;$B17&amp;"'!F7"),"")</f>
        <v/>
      </c>
      <c r="F17" s="102">
        <f>IFERROR(INDIRECT("'"&amp;$B17&amp;"'!H7"),"")</f>
        <v/>
      </c>
      <c r="G17" s="102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103">
        <f>IFERROR(INDIRECT("'"&amp;$B17&amp;"'!A13"),"")</f>
        <v/>
      </c>
      <c r="K17" s="103">
        <f>IFERROR(INDIRECT("'"&amp;$B17&amp;"'!C13"),"")</f>
        <v/>
      </c>
      <c r="L17" s="103">
        <f>IFERROR(INDIRECT("'"&amp;$B17&amp;"'!I24"),"")</f>
        <v/>
      </c>
      <c r="M17" s="103">
        <f>IFERROR(INDIRECT("'"&amp;$B17&amp;"'!E13"),"")</f>
        <v/>
      </c>
      <c r="N17" s="104">
        <f>IFERROR(INDIRECT("'"&amp;$B17&amp;"'!G13"),"")</f>
        <v/>
      </c>
      <c r="O17" s="104">
        <f>IFERROR(INDIRECT("'"&amp;$B17&amp;"'!H13"),"")</f>
        <v/>
      </c>
      <c r="P17" s="105">
        <f>IF(OR($N17="",$O17=""),"",ROUND(($N17-$O17)*100,1))</f>
        <v/>
      </c>
      <c r="Q17" s="103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Graciene </t>
        </is>
      </c>
      <c r="C18" s="22">
        <f>IFERROR(INDIRECT("'"&amp;$B18&amp;"'!A7"),"")</f>
        <v/>
      </c>
      <c r="D18" s="22">
        <f>IFERROR(INDIRECT("'"&amp;$B18&amp;"'!A9"),"")</f>
        <v/>
      </c>
      <c r="E18" s="102">
        <f>IFERROR(INDIRECT("'"&amp;$B18&amp;"'!F7"),"")</f>
        <v/>
      </c>
      <c r="F18" s="102">
        <f>IFERROR(INDIRECT("'"&amp;$B18&amp;"'!H7"),"")</f>
        <v/>
      </c>
      <c r="G18" s="102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103">
        <f>IFERROR(INDIRECT("'"&amp;$B18&amp;"'!A13"),"")</f>
        <v/>
      </c>
      <c r="K18" s="103">
        <f>IFERROR(INDIRECT("'"&amp;$B18&amp;"'!C13"),"")</f>
        <v/>
      </c>
      <c r="L18" s="103">
        <f>IFERROR(INDIRECT("'"&amp;$B18&amp;"'!I24"),"")</f>
        <v/>
      </c>
      <c r="M18" s="103">
        <f>IFERROR(INDIRECT("'"&amp;$B18&amp;"'!E13"),"")</f>
        <v/>
      </c>
      <c r="N18" s="104">
        <f>IFERROR(INDIRECT("'"&amp;$B18&amp;"'!G13"),"")</f>
        <v/>
      </c>
      <c r="O18" s="104">
        <f>IFERROR(INDIRECT("'"&amp;$B18&amp;"'!H13"),"")</f>
        <v/>
      </c>
      <c r="P18" s="105">
        <f>IF(OR($N18="",$O18=""),"",ROUND(($N18-$O18)*100,1))</f>
        <v/>
      </c>
      <c r="Q18" s="103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Larissa </t>
        </is>
      </c>
      <c r="C19" s="22">
        <f>IFERROR(INDIRECT("'"&amp;$B19&amp;"'!A7"),"")</f>
        <v/>
      </c>
      <c r="D19" s="22">
        <f>IFERROR(INDIRECT("'"&amp;$B19&amp;"'!A9"),"")</f>
        <v/>
      </c>
      <c r="E19" s="102">
        <f>IFERROR(INDIRECT("'"&amp;$B19&amp;"'!F7"),"")</f>
        <v/>
      </c>
      <c r="F19" s="102">
        <f>IFERROR(INDIRECT("'"&amp;$B19&amp;"'!H7"),"")</f>
        <v/>
      </c>
      <c r="G19" s="102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103">
        <f>IFERROR(INDIRECT("'"&amp;$B19&amp;"'!A13"),"")</f>
        <v/>
      </c>
      <c r="K19" s="103">
        <f>IFERROR(INDIRECT("'"&amp;$B19&amp;"'!C13"),"")</f>
        <v/>
      </c>
      <c r="L19" s="103">
        <f>IFERROR(INDIRECT("'"&amp;$B19&amp;"'!I24"),"")</f>
        <v/>
      </c>
      <c r="M19" s="103">
        <f>IFERROR(INDIRECT("'"&amp;$B19&amp;"'!E13"),"")</f>
        <v/>
      </c>
      <c r="N19" s="104">
        <f>IFERROR(INDIRECT("'"&amp;$B19&amp;"'!G13"),"")</f>
        <v/>
      </c>
      <c r="O19" s="104">
        <f>IFERROR(INDIRECT("'"&amp;$B19&amp;"'!H13"),"")</f>
        <v/>
      </c>
      <c r="P19" s="105">
        <f>IF(OR($N19="",$O19=""),"",ROUND(($N19-$O19)*100,1))</f>
        <v/>
      </c>
      <c r="Q19" s="103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Leonardo </t>
        </is>
      </c>
      <c r="C20" s="22">
        <f>IFERROR(INDIRECT("'"&amp;$B20&amp;"'!A7"),"")</f>
        <v/>
      </c>
      <c r="D20" s="22">
        <f>IFERROR(INDIRECT("'"&amp;$B20&amp;"'!A9"),"")</f>
        <v/>
      </c>
      <c r="E20" s="102">
        <f>IFERROR(INDIRECT("'"&amp;$B20&amp;"'!F7"),"")</f>
        <v/>
      </c>
      <c r="F20" s="102">
        <f>IFERROR(INDIRECT("'"&amp;$B20&amp;"'!H7"),"")</f>
        <v/>
      </c>
      <c r="G20" s="102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103">
        <f>IFERROR(INDIRECT("'"&amp;$B20&amp;"'!A13"),"")</f>
        <v/>
      </c>
      <c r="K20" s="103">
        <f>IFERROR(INDIRECT("'"&amp;$B20&amp;"'!C13"),"")</f>
        <v/>
      </c>
      <c r="L20" s="103">
        <f>IFERROR(INDIRECT("'"&amp;$B20&amp;"'!I24"),"")</f>
        <v/>
      </c>
      <c r="M20" s="103">
        <f>IFERROR(INDIRECT("'"&amp;$B20&amp;"'!E13"),"")</f>
        <v/>
      </c>
      <c r="N20" s="104">
        <f>IFERROR(INDIRECT("'"&amp;$B20&amp;"'!G13"),"")</f>
        <v/>
      </c>
      <c r="O20" s="104">
        <f>IFERROR(INDIRECT("'"&amp;$B20&amp;"'!H13"),"")</f>
        <v/>
      </c>
      <c r="P20" s="105">
        <f>IF(OR($N20="",$O20=""),"",ROUND(($N20-$O20)*100,1))</f>
        <v/>
      </c>
      <c r="Q20" s="103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102">
        <f>IFERROR(INDIRECT("'"&amp;$B21&amp;"'!F7"),"")</f>
        <v/>
      </c>
      <c r="F21" s="102">
        <f>IFERROR(INDIRECT("'"&amp;$B21&amp;"'!H7"),"")</f>
        <v/>
      </c>
      <c r="G21" s="102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103">
        <f>IFERROR(INDIRECT("'"&amp;$B21&amp;"'!A13"),"")</f>
        <v/>
      </c>
      <c r="K21" s="103">
        <f>IFERROR(INDIRECT("'"&amp;$B21&amp;"'!C13"),"")</f>
        <v/>
      </c>
      <c r="L21" s="103">
        <f>IFERROR(INDIRECT("'"&amp;$B21&amp;"'!I24"),"")</f>
        <v/>
      </c>
      <c r="M21" s="103">
        <f>IFERROR(INDIRECT("'"&amp;$B21&amp;"'!E13"),"")</f>
        <v/>
      </c>
      <c r="N21" s="104">
        <f>IFERROR(INDIRECT("'"&amp;$B21&amp;"'!G13"),"")</f>
        <v/>
      </c>
      <c r="O21" s="104">
        <f>IFERROR(INDIRECT("'"&amp;$B21&amp;"'!H13"),"")</f>
        <v/>
      </c>
      <c r="P21" s="105">
        <f>IF(OR($N21="",$O21=""),"",ROUND(($N21-$O21)*100,1))</f>
        <v/>
      </c>
      <c r="Q21" s="103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102">
        <f>IFERROR(INDIRECT("'"&amp;$B22&amp;"'!F7"),"")</f>
        <v/>
      </c>
      <c r="F22" s="102">
        <f>IFERROR(INDIRECT("'"&amp;$B22&amp;"'!H7"),"")</f>
        <v/>
      </c>
      <c r="G22" s="102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103">
        <f>IFERROR(INDIRECT("'"&amp;$B22&amp;"'!A13"),"")</f>
        <v/>
      </c>
      <c r="K22" s="103">
        <f>IFERROR(INDIRECT("'"&amp;$B22&amp;"'!C13"),"")</f>
        <v/>
      </c>
      <c r="L22" s="103">
        <f>IFERROR(INDIRECT("'"&amp;$B22&amp;"'!I24"),"")</f>
        <v/>
      </c>
      <c r="M22" s="103">
        <f>IFERROR(INDIRECT("'"&amp;$B22&amp;"'!E13"),"")</f>
        <v/>
      </c>
      <c r="N22" s="104">
        <f>IFERROR(INDIRECT("'"&amp;$B22&amp;"'!G13"),"")</f>
        <v/>
      </c>
      <c r="O22" s="104">
        <f>IFERROR(INDIRECT("'"&amp;$B22&amp;"'!H13"),"")</f>
        <v/>
      </c>
      <c r="P22" s="105">
        <f>IF(OR($N22="",$O22=""),"",ROUND(($N22-$O22)*100,1))</f>
        <v/>
      </c>
      <c r="Q22" s="103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102">
        <f>IFERROR(INDIRECT("'"&amp;$B23&amp;"'!F7"),"")</f>
        <v/>
      </c>
      <c r="F23" s="102">
        <f>IFERROR(INDIRECT("'"&amp;$B23&amp;"'!H7"),"")</f>
        <v/>
      </c>
      <c r="G23" s="102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103">
        <f>IFERROR(INDIRECT("'"&amp;$B23&amp;"'!A13"),"")</f>
        <v/>
      </c>
      <c r="K23" s="103">
        <f>IFERROR(INDIRECT("'"&amp;$B23&amp;"'!C13"),"")</f>
        <v/>
      </c>
      <c r="L23" s="103">
        <f>IFERROR(INDIRECT("'"&amp;$B23&amp;"'!I24"),"")</f>
        <v/>
      </c>
      <c r="M23" s="103">
        <f>IFERROR(INDIRECT("'"&amp;$B23&amp;"'!E13"),"")</f>
        <v/>
      </c>
      <c r="N23" s="104">
        <f>IFERROR(INDIRECT("'"&amp;$B23&amp;"'!G13"),"")</f>
        <v/>
      </c>
      <c r="O23" s="104">
        <f>IFERROR(INDIRECT("'"&amp;$B23&amp;"'!H13"),"")</f>
        <v/>
      </c>
      <c r="P23" s="105">
        <f>IF(OR($N23="",$O23=""),"",ROUND(($N23-$O23)*100,1))</f>
        <v/>
      </c>
      <c r="Q23" s="103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inlineStr">
        <is>
          <t>Shelf</t>
        </is>
      </c>
      <c r="C24" s="22">
        <f>IFERROR(INDIRECT("'"&amp;$B24&amp;"'!A7"),"")</f>
        <v/>
      </c>
      <c r="D24" s="22">
        <f>IFERROR(INDIRECT("'"&amp;$B24&amp;"'!A9"),"")</f>
        <v/>
      </c>
      <c r="E24" s="102">
        <f>IFERROR(INDIRECT("'"&amp;$B24&amp;"'!F7"),"")</f>
        <v/>
      </c>
      <c r="F24" s="102">
        <f>IFERROR(INDIRECT("'"&amp;$B24&amp;"'!H7"),"")</f>
        <v/>
      </c>
      <c r="G24" s="102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103">
        <f>IFERROR(INDIRECT("'"&amp;$B24&amp;"'!A13"),"")</f>
        <v/>
      </c>
      <c r="K24" s="103">
        <f>IFERROR(INDIRECT("'"&amp;$B24&amp;"'!C13"),"")</f>
        <v/>
      </c>
      <c r="L24" s="103">
        <f>IFERROR(INDIRECT("'"&amp;$B24&amp;"'!I24"),"")</f>
        <v/>
      </c>
      <c r="M24" s="103">
        <f>IFERROR(INDIRECT("'"&amp;$B24&amp;"'!E13"),"")</f>
        <v/>
      </c>
      <c r="N24" s="104">
        <f>IFERROR(INDIRECT("'"&amp;$B24&amp;"'!G13"),"")</f>
        <v/>
      </c>
      <c r="O24" s="104">
        <f>IFERROR(INDIRECT("'"&amp;$B24&amp;"'!H13"),"")</f>
        <v/>
      </c>
      <c r="P24" s="105">
        <f>IF(OR($N24="",$O24=""),"",ROUND(($N24-$O24)*100,1))</f>
        <v/>
      </c>
      <c r="Q24" s="103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inlineStr">
        <is>
          <t>Simony</t>
        </is>
      </c>
      <c r="C25" s="22">
        <f>IFERROR(INDIRECT("'"&amp;$B25&amp;"'!A7"),"")</f>
        <v/>
      </c>
      <c r="D25" s="22">
        <f>IFERROR(INDIRECT("'"&amp;$B25&amp;"'!A9"),"")</f>
        <v/>
      </c>
      <c r="E25" s="102">
        <f>IFERROR(INDIRECT("'"&amp;$B25&amp;"'!F7"),"")</f>
        <v/>
      </c>
      <c r="F25" s="102">
        <f>IFERROR(INDIRECT("'"&amp;$B25&amp;"'!H7"),"")</f>
        <v/>
      </c>
      <c r="G25" s="102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103">
        <f>IFERROR(INDIRECT("'"&amp;$B25&amp;"'!A13"),"")</f>
        <v/>
      </c>
      <c r="K25" s="103">
        <f>IFERROR(INDIRECT("'"&amp;$B25&amp;"'!C13"),"")</f>
        <v/>
      </c>
      <c r="L25" s="103">
        <f>IFERROR(INDIRECT("'"&amp;$B25&amp;"'!I24"),"")</f>
        <v/>
      </c>
      <c r="M25" s="103">
        <f>IFERROR(INDIRECT("'"&amp;$B25&amp;"'!E13"),"")</f>
        <v/>
      </c>
      <c r="N25" s="104">
        <f>IFERROR(INDIRECT("'"&amp;$B25&amp;"'!G13"),"")</f>
        <v/>
      </c>
      <c r="O25" s="104">
        <f>IFERROR(INDIRECT("'"&amp;$B25&amp;"'!H13"),"")</f>
        <v/>
      </c>
      <c r="P25" s="105">
        <f>IF(OR($N25="",$O25=""),"",ROUND(($N25-$O25)*100,1))</f>
        <v/>
      </c>
      <c r="Q25" s="103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inlineStr">
        <is>
          <t>Exemplo P-2026-041</t>
        </is>
      </c>
      <c r="C26" s="22">
        <f>IFERROR(INDIRECT("'"&amp;$B26&amp;"'!A7"),"")</f>
        <v/>
      </c>
      <c r="D26" s="22">
        <f>IFERROR(INDIRECT("'"&amp;$B26&amp;"'!A9"),"")</f>
        <v/>
      </c>
      <c r="E26" s="102">
        <f>IFERROR(INDIRECT("'"&amp;$B26&amp;"'!F7"),"")</f>
        <v/>
      </c>
      <c r="F26" s="102">
        <f>IFERROR(INDIRECT("'"&amp;$B26&amp;"'!H7"),"")</f>
        <v/>
      </c>
      <c r="G26" s="102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103">
        <f>IFERROR(INDIRECT("'"&amp;$B26&amp;"'!A13"),"")</f>
        <v/>
      </c>
      <c r="K26" s="103">
        <f>IFERROR(INDIRECT("'"&amp;$B26&amp;"'!C13"),"")</f>
        <v/>
      </c>
      <c r="L26" s="103">
        <f>IFERROR(INDIRECT("'"&amp;$B26&amp;"'!I24"),"")</f>
        <v/>
      </c>
      <c r="M26" s="103">
        <f>IFERROR(INDIRECT("'"&amp;$B26&amp;"'!E13"),"")</f>
        <v/>
      </c>
      <c r="N26" s="104">
        <f>IFERROR(INDIRECT("'"&amp;$B26&amp;"'!G13"),"")</f>
        <v/>
      </c>
      <c r="O26" s="104">
        <f>IFERROR(INDIRECT("'"&amp;$B26&amp;"'!H13"),"")</f>
        <v/>
      </c>
      <c r="P26" s="105">
        <f>IF(OR($N26="",$O26=""),"",ROUND(($N26-$O26)*100,1))</f>
        <v/>
      </c>
      <c r="Q26" s="103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n"/>
      <c r="C27" s="22">
        <f>IFERROR(INDIRECT("'"&amp;$B27&amp;"'!A7"),"")</f>
        <v/>
      </c>
      <c r="D27" s="22">
        <f>IFERROR(INDIRECT("'"&amp;$B27&amp;"'!A9"),"")</f>
        <v/>
      </c>
      <c r="E27" s="102">
        <f>IFERROR(INDIRECT("'"&amp;$B27&amp;"'!F7"),"")</f>
        <v/>
      </c>
      <c r="F27" s="102">
        <f>IFERROR(INDIRECT("'"&amp;$B27&amp;"'!H7"),"")</f>
        <v/>
      </c>
      <c r="G27" s="102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103">
        <f>IFERROR(INDIRECT("'"&amp;$B27&amp;"'!A13"),"")</f>
        <v/>
      </c>
      <c r="K27" s="103">
        <f>IFERROR(INDIRECT("'"&amp;$B27&amp;"'!C13"),"")</f>
        <v/>
      </c>
      <c r="L27" s="103">
        <f>IFERROR(INDIRECT("'"&amp;$B27&amp;"'!I24"),"")</f>
        <v/>
      </c>
      <c r="M27" s="103">
        <f>IFERROR(INDIRECT("'"&amp;$B27&amp;"'!E13"),"")</f>
        <v/>
      </c>
      <c r="N27" s="104">
        <f>IFERROR(INDIRECT("'"&amp;$B27&amp;"'!G13"),"")</f>
        <v/>
      </c>
      <c r="O27" s="104">
        <f>IFERROR(INDIRECT("'"&amp;$B27&amp;"'!H13"),"")</f>
        <v/>
      </c>
      <c r="P27" s="105">
        <f>IF(OR($N27="",$O27=""),"",ROUND(($N27-$O27)*100,1))</f>
        <v/>
      </c>
      <c r="Q27" s="103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102">
        <f>IFERROR(INDIRECT("'"&amp;$B28&amp;"'!F7"),"")</f>
        <v/>
      </c>
      <c r="F28" s="102">
        <f>IFERROR(INDIRECT("'"&amp;$B28&amp;"'!H7"),"")</f>
        <v/>
      </c>
      <c r="G28" s="102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103">
        <f>IFERROR(INDIRECT("'"&amp;$B28&amp;"'!A13"),"")</f>
        <v/>
      </c>
      <c r="K28" s="103">
        <f>IFERROR(INDIRECT("'"&amp;$B28&amp;"'!C13"),"")</f>
        <v/>
      </c>
      <c r="L28" s="103">
        <f>IFERROR(INDIRECT("'"&amp;$B28&amp;"'!I24"),"")</f>
        <v/>
      </c>
      <c r="M28" s="103">
        <f>IFERROR(INDIRECT("'"&amp;$B28&amp;"'!E13"),"")</f>
        <v/>
      </c>
      <c r="N28" s="104">
        <f>IFERROR(INDIRECT("'"&amp;$B28&amp;"'!G13"),"")</f>
        <v/>
      </c>
      <c r="O28" s="104">
        <f>IFERROR(INDIRECT("'"&amp;$B28&amp;"'!H13"),"")</f>
        <v/>
      </c>
      <c r="P28" s="105">
        <f>IF(OR($N28="",$O28=""),"",ROUND(($N28-$O28)*100,1))</f>
        <v/>
      </c>
      <c r="Q28" s="103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102">
        <f>IFERROR(INDIRECT("'"&amp;$B29&amp;"'!F7"),"")</f>
        <v/>
      </c>
      <c r="F29" s="102">
        <f>IFERROR(INDIRECT("'"&amp;$B29&amp;"'!H7"),"")</f>
        <v/>
      </c>
      <c r="G29" s="102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103">
        <f>IFERROR(INDIRECT("'"&amp;$B29&amp;"'!A13"),"")</f>
        <v/>
      </c>
      <c r="K29" s="103">
        <f>IFERROR(INDIRECT("'"&amp;$B29&amp;"'!C13"),"")</f>
        <v/>
      </c>
      <c r="L29" s="103">
        <f>IFERROR(INDIRECT("'"&amp;$B29&amp;"'!I24"),"")</f>
        <v/>
      </c>
      <c r="M29" s="103">
        <f>IFERROR(INDIRECT("'"&amp;$B29&amp;"'!E13"),"")</f>
        <v/>
      </c>
      <c r="N29" s="104">
        <f>IFERROR(INDIRECT("'"&amp;$B29&amp;"'!G13"),"")</f>
        <v/>
      </c>
      <c r="O29" s="104">
        <f>IFERROR(INDIRECT("'"&amp;$B29&amp;"'!H13"),"")</f>
        <v/>
      </c>
      <c r="P29" s="105">
        <f>IF(OR($N29="",$O29=""),"",ROUND(($N29-$O29)*100,1))</f>
        <v/>
      </c>
      <c r="Q29" s="103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102">
        <f>IFERROR(INDIRECT("'"&amp;$B30&amp;"'!F7"),"")</f>
        <v/>
      </c>
      <c r="F30" s="102">
        <f>IFERROR(INDIRECT("'"&amp;$B30&amp;"'!H7"),"")</f>
        <v/>
      </c>
      <c r="G30" s="102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103">
        <f>IFERROR(INDIRECT("'"&amp;$B30&amp;"'!A13"),"")</f>
        <v/>
      </c>
      <c r="K30" s="103">
        <f>IFERROR(INDIRECT("'"&amp;$B30&amp;"'!C13"),"")</f>
        <v/>
      </c>
      <c r="L30" s="103">
        <f>IFERROR(INDIRECT("'"&amp;$B30&amp;"'!I24"),"")</f>
        <v/>
      </c>
      <c r="M30" s="103">
        <f>IFERROR(INDIRECT("'"&amp;$B30&amp;"'!E13"),"")</f>
        <v/>
      </c>
      <c r="N30" s="104">
        <f>IFERROR(INDIRECT("'"&amp;$B30&amp;"'!G13"),"")</f>
        <v/>
      </c>
      <c r="O30" s="104">
        <f>IFERROR(INDIRECT("'"&amp;$B30&amp;"'!H13"),"")</f>
        <v/>
      </c>
      <c r="P30" s="105">
        <f>IF(OR($N30="",$O30=""),"",ROUND(($N30-$O30)*100,1))</f>
        <v/>
      </c>
      <c r="Q30" s="103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102">
        <f>IFERROR(INDIRECT("'"&amp;$B31&amp;"'!F7"),"")</f>
        <v/>
      </c>
      <c r="F31" s="102">
        <f>IFERROR(INDIRECT("'"&amp;$B31&amp;"'!H7"),"")</f>
        <v/>
      </c>
      <c r="G31" s="102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103">
        <f>IFERROR(INDIRECT("'"&amp;$B31&amp;"'!A13"),"")</f>
        <v/>
      </c>
      <c r="K31" s="103">
        <f>IFERROR(INDIRECT("'"&amp;$B31&amp;"'!C13"),"")</f>
        <v/>
      </c>
      <c r="L31" s="103">
        <f>IFERROR(INDIRECT("'"&amp;$B31&amp;"'!I24"),"")</f>
        <v/>
      </c>
      <c r="M31" s="103">
        <f>IFERROR(INDIRECT("'"&amp;$B31&amp;"'!E13"),"")</f>
        <v/>
      </c>
      <c r="N31" s="104">
        <f>IFERROR(INDIRECT("'"&amp;$B31&amp;"'!G13"),"")</f>
        <v/>
      </c>
      <c r="O31" s="104">
        <f>IFERROR(INDIRECT("'"&amp;$B31&amp;"'!H13"),"")</f>
        <v/>
      </c>
      <c r="P31" s="105">
        <f>IF(OR($N31="",$O31=""),"",ROUND(($N31-$O31)*100,1))</f>
        <v/>
      </c>
      <c r="Q31" s="103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102">
        <f>IFERROR(INDIRECT("'"&amp;$B32&amp;"'!F7"),"")</f>
        <v/>
      </c>
      <c r="F32" s="102">
        <f>IFERROR(INDIRECT("'"&amp;$B32&amp;"'!H7"),"")</f>
        <v/>
      </c>
      <c r="G32" s="102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103">
        <f>IFERROR(INDIRECT("'"&amp;$B32&amp;"'!A13"),"")</f>
        <v/>
      </c>
      <c r="K32" s="103">
        <f>IFERROR(INDIRECT("'"&amp;$B32&amp;"'!C13"),"")</f>
        <v/>
      </c>
      <c r="L32" s="103">
        <f>IFERROR(INDIRECT("'"&amp;$B32&amp;"'!I24"),"")</f>
        <v/>
      </c>
      <c r="M32" s="103">
        <f>IFERROR(INDIRECT("'"&amp;$B32&amp;"'!E13"),"")</f>
        <v/>
      </c>
      <c r="N32" s="104">
        <f>IFERROR(INDIRECT("'"&amp;$B32&amp;"'!G13"),"")</f>
        <v/>
      </c>
      <c r="O32" s="104">
        <f>IFERROR(INDIRECT("'"&amp;$B32&amp;"'!H13"),"")</f>
        <v/>
      </c>
      <c r="P32" s="105">
        <f>IF(OR($N32="",$O32=""),"",ROUND(($N32-$O32)*100,1))</f>
        <v/>
      </c>
      <c r="Q32" s="103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102">
        <f>IFERROR(INDIRECT("'"&amp;$B33&amp;"'!F7"),"")</f>
        <v/>
      </c>
      <c r="F33" s="102">
        <f>IFERROR(INDIRECT("'"&amp;$B33&amp;"'!H7"),"")</f>
        <v/>
      </c>
      <c r="G33" s="102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103">
        <f>IFERROR(INDIRECT("'"&amp;$B33&amp;"'!A13"),"")</f>
        <v/>
      </c>
      <c r="K33" s="103">
        <f>IFERROR(INDIRECT("'"&amp;$B33&amp;"'!C13"),"")</f>
        <v/>
      </c>
      <c r="L33" s="103">
        <f>IFERROR(INDIRECT("'"&amp;$B33&amp;"'!I24"),"")</f>
        <v/>
      </c>
      <c r="M33" s="103">
        <f>IFERROR(INDIRECT("'"&amp;$B33&amp;"'!E13"),"")</f>
        <v/>
      </c>
      <c r="N33" s="104">
        <f>IFERROR(INDIRECT("'"&amp;$B33&amp;"'!G13"),"")</f>
        <v/>
      </c>
      <c r="O33" s="104">
        <f>IFERROR(INDIRECT("'"&amp;$B33&amp;"'!H13"),"")</f>
        <v/>
      </c>
      <c r="P33" s="105">
        <f>IF(OR($N33="",$O33=""),"",ROUND(($N33-$O33)*100,1))</f>
        <v/>
      </c>
      <c r="Q33" s="103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102">
        <f>IFERROR(INDIRECT("'"&amp;$B34&amp;"'!F7"),"")</f>
        <v/>
      </c>
      <c r="F34" s="102">
        <f>IFERROR(INDIRECT("'"&amp;$B34&amp;"'!H7"),"")</f>
        <v/>
      </c>
      <c r="G34" s="102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103">
        <f>IFERROR(INDIRECT("'"&amp;$B34&amp;"'!A13"),"")</f>
        <v/>
      </c>
      <c r="K34" s="103">
        <f>IFERROR(INDIRECT("'"&amp;$B34&amp;"'!C13"),"")</f>
        <v/>
      </c>
      <c r="L34" s="103">
        <f>IFERROR(INDIRECT("'"&amp;$B34&amp;"'!I24"),"")</f>
        <v/>
      </c>
      <c r="M34" s="103">
        <f>IFERROR(INDIRECT("'"&amp;$B34&amp;"'!E13"),"")</f>
        <v/>
      </c>
      <c r="N34" s="104">
        <f>IFERROR(INDIRECT("'"&amp;$B34&amp;"'!G13"),"")</f>
        <v/>
      </c>
      <c r="O34" s="104">
        <f>IFERROR(INDIRECT("'"&amp;$B34&amp;"'!H13"),"")</f>
        <v/>
      </c>
      <c r="P34" s="105">
        <f>IF(OR($N34="",$O34=""),"",ROUND(($N34-$O34)*100,1))</f>
        <v/>
      </c>
      <c r="Q34" s="103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102">
        <f>IFERROR(INDIRECT("'"&amp;$B35&amp;"'!F7"),"")</f>
        <v/>
      </c>
      <c r="F35" s="102">
        <f>IFERROR(INDIRECT("'"&amp;$B35&amp;"'!H7"),"")</f>
        <v/>
      </c>
      <c r="G35" s="102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103">
        <f>IFERROR(INDIRECT("'"&amp;$B35&amp;"'!A13"),"")</f>
        <v/>
      </c>
      <c r="K35" s="103">
        <f>IFERROR(INDIRECT("'"&amp;$B35&amp;"'!C13"),"")</f>
        <v/>
      </c>
      <c r="L35" s="103">
        <f>IFERROR(INDIRECT("'"&amp;$B35&amp;"'!I24"),"")</f>
        <v/>
      </c>
      <c r="M35" s="103">
        <f>IFERROR(INDIRECT("'"&amp;$B35&amp;"'!E13"),"")</f>
        <v/>
      </c>
      <c r="N35" s="104">
        <f>IFERROR(INDIRECT("'"&amp;$B35&amp;"'!G13"),"")</f>
        <v/>
      </c>
      <c r="O35" s="104">
        <f>IFERROR(INDIRECT("'"&amp;$B35&amp;"'!H13"),"")</f>
        <v/>
      </c>
      <c r="P35" s="105">
        <f>IF(OR($N35="",$O35=""),"",ROUND(($N35-$O35)*100,1))</f>
        <v/>
      </c>
      <c r="Q35" s="103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102">
        <f>IFERROR(INDIRECT("'"&amp;$B36&amp;"'!F7"),"")</f>
        <v/>
      </c>
      <c r="F36" s="102">
        <f>IFERROR(INDIRECT("'"&amp;$B36&amp;"'!H7"),"")</f>
        <v/>
      </c>
      <c r="G36" s="102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103">
        <f>IFERROR(INDIRECT("'"&amp;$B36&amp;"'!A13"),"")</f>
        <v/>
      </c>
      <c r="K36" s="103">
        <f>IFERROR(INDIRECT("'"&amp;$B36&amp;"'!C13"),"")</f>
        <v/>
      </c>
      <c r="L36" s="103">
        <f>IFERROR(INDIRECT("'"&amp;$B36&amp;"'!I24"),"")</f>
        <v/>
      </c>
      <c r="M36" s="103">
        <f>IFERROR(INDIRECT("'"&amp;$B36&amp;"'!E13"),"")</f>
        <v/>
      </c>
      <c r="N36" s="104">
        <f>IFERROR(INDIRECT("'"&amp;$B36&amp;"'!G13"),"")</f>
        <v/>
      </c>
      <c r="O36" s="104">
        <f>IFERROR(INDIRECT("'"&amp;$B36&amp;"'!H13"),"")</f>
        <v/>
      </c>
      <c r="P36" s="105">
        <f>IF(OR($N36="",$O36=""),"",ROUND(($N36-$O36)*100,1))</f>
        <v/>
      </c>
      <c r="Q36" s="103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102">
        <f>IFERROR(INDIRECT("'"&amp;$B37&amp;"'!F7"),"")</f>
        <v/>
      </c>
      <c r="F37" s="102">
        <f>IFERROR(INDIRECT("'"&amp;$B37&amp;"'!H7"),"")</f>
        <v/>
      </c>
      <c r="G37" s="102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103">
        <f>IFERROR(INDIRECT("'"&amp;$B37&amp;"'!A13"),"")</f>
        <v/>
      </c>
      <c r="K37" s="103">
        <f>IFERROR(INDIRECT("'"&amp;$B37&amp;"'!C13"),"")</f>
        <v/>
      </c>
      <c r="L37" s="103">
        <f>IFERROR(INDIRECT("'"&amp;$B37&amp;"'!I24"),"")</f>
        <v/>
      </c>
      <c r="M37" s="103">
        <f>IFERROR(INDIRECT("'"&amp;$B37&amp;"'!E13"),"")</f>
        <v/>
      </c>
      <c r="N37" s="104">
        <f>IFERROR(INDIRECT("'"&amp;$B37&amp;"'!G13"),"")</f>
        <v/>
      </c>
      <c r="O37" s="104">
        <f>IFERROR(INDIRECT("'"&amp;$B37&amp;"'!H13"),"")</f>
        <v/>
      </c>
      <c r="P37" s="105">
        <f>IF(OR($N37="",$O37=""),"",ROUND(($N37-$O37)*100,1))</f>
        <v/>
      </c>
      <c r="Q37" s="103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102">
        <f>IFERROR(INDIRECT("'"&amp;$B38&amp;"'!F7"),"")</f>
        <v/>
      </c>
      <c r="F38" s="102">
        <f>IFERROR(INDIRECT("'"&amp;$B38&amp;"'!H7"),"")</f>
        <v/>
      </c>
      <c r="G38" s="102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103">
        <f>IFERROR(INDIRECT("'"&amp;$B38&amp;"'!A13"),"")</f>
        <v/>
      </c>
      <c r="K38" s="103">
        <f>IFERROR(INDIRECT("'"&amp;$B38&amp;"'!C13"),"")</f>
        <v/>
      </c>
      <c r="L38" s="103">
        <f>IFERROR(INDIRECT("'"&amp;$B38&amp;"'!I24"),"")</f>
        <v/>
      </c>
      <c r="M38" s="103">
        <f>IFERROR(INDIRECT("'"&amp;$B38&amp;"'!E13"),"")</f>
        <v/>
      </c>
      <c r="N38" s="104">
        <f>IFERROR(INDIRECT("'"&amp;$B38&amp;"'!G13"),"")</f>
        <v/>
      </c>
      <c r="O38" s="104">
        <f>IFERROR(INDIRECT("'"&amp;$B38&amp;"'!H13"),"")</f>
        <v/>
      </c>
      <c r="P38" s="105">
        <f>IF(OR($N38="",$O38=""),"",ROUND(($N38-$O38)*100,1))</f>
        <v/>
      </c>
      <c r="Q38" s="103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102">
        <f>IFERROR(INDIRECT("'"&amp;$B39&amp;"'!F7"),"")</f>
        <v/>
      </c>
      <c r="F39" s="102">
        <f>IFERROR(INDIRECT("'"&amp;$B39&amp;"'!H7"),"")</f>
        <v/>
      </c>
      <c r="G39" s="102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103">
        <f>IFERROR(INDIRECT("'"&amp;$B39&amp;"'!A13"),"")</f>
        <v/>
      </c>
      <c r="K39" s="103">
        <f>IFERROR(INDIRECT("'"&amp;$B39&amp;"'!C13"),"")</f>
        <v/>
      </c>
      <c r="L39" s="103">
        <f>IFERROR(INDIRECT("'"&amp;$B39&amp;"'!I24"),"")</f>
        <v/>
      </c>
      <c r="M39" s="103">
        <f>IFERROR(INDIRECT("'"&amp;$B39&amp;"'!E13"),"")</f>
        <v/>
      </c>
      <c r="N39" s="104">
        <f>IFERROR(INDIRECT("'"&amp;$B39&amp;"'!G13"),"")</f>
        <v/>
      </c>
      <c r="O39" s="104">
        <f>IFERROR(INDIRECT("'"&amp;$B39&amp;"'!H13"),"")</f>
        <v/>
      </c>
      <c r="P39" s="105">
        <f>IF(OR($N39="",$O39=""),"",ROUND(($N39-$O39)*100,1))</f>
        <v/>
      </c>
      <c r="Q39" s="103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102">
        <f>IFERROR(INDIRECT("'"&amp;$B40&amp;"'!F7"),"")</f>
        <v/>
      </c>
      <c r="F40" s="102">
        <f>IFERROR(INDIRECT("'"&amp;$B40&amp;"'!H7"),"")</f>
        <v/>
      </c>
      <c r="G40" s="102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103">
        <f>IFERROR(INDIRECT("'"&amp;$B40&amp;"'!A13"),"")</f>
        <v/>
      </c>
      <c r="K40" s="103">
        <f>IFERROR(INDIRECT("'"&amp;$B40&amp;"'!C13"),"")</f>
        <v/>
      </c>
      <c r="L40" s="103">
        <f>IFERROR(INDIRECT("'"&amp;$B40&amp;"'!I24"),"")</f>
        <v/>
      </c>
      <c r="M40" s="103">
        <f>IFERROR(INDIRECT("'"&amp;$B40&amp;"'!E13"),"")</f>
        <v/>
      </c>
      <c r="N40" s="104">
        <f>IFERROR(INDIRECT("'"&amp;$B40&amp;"'!G13"),"")</f>
        <v/>
      </c>
      <c r="O40" s="104">
        <f>IFERROR(INDIRECT("'"&amp;$B40&amp;"'!H13"),"")</f>
        <v/>
      </c>
      <c r="P40" s="105">
        <f>IF(OR($N40="",$O40=""),"",ROUND(($N40-$O40)*100,1))</f>
        <v/>
      </c>
      <c r="Q40" s="103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102">
        <f>IFERROR(INDIRECT("'"&amp;$B41&amp;"'!F7"),"")</f>
        <v/>
      </c>
      <c r="F41" s="102">
        <f>IFERROR(INDIRECT("'"&amp;$B41&amp;"'!H7"),"")</f>
        <v/>
      </c>
      <c r="G41" s="102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103">
        <f>IFERROR(INDIRECT("'"&amp;$B41&amp;"'!A13"),"")</f>
        <v/>
      </c>
      <c r="K41" s="103">
        <f>IFERROR(INDIRECT("'"&amp;$B41&amp;"'!C13"),"")</f>
        <v/>
      </c>
      <c r="L41" s="103">
        <f>IFERROR(INDIRECT("'"&amp;$B41&amp;"'!I24"),"")</f>
        <v/>
      </c>
      <c r="M41" s="103">
        <f>IFERROR(INDIRECT("'"&amp;$B41&amp;"'!E13"),"")</f>
        <v/>
      </c>
      <c r="N41" s="104">
        <f>IFERROR(INDIRECT("'"&amp;$B41&amp;"'!G13"),"")</f>
        <v/>
      </c>
      <c r="O41" s="104">
        <f>IFERROR(INDIRECT("'"&amp;$B41&amp;"'!H13"),"")</f>
        <v/>
      </c>
      <c r="P41" s="105">
        <f>IF(OR($N41="",$O41=""),"",ROUND(($N41-$O41)*100,1))</f>
        <v/>
      </c>
      <c r="Q41" s="103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102">
        <f>IFERROR(INDIRECT("'"&amp;$B42&amp;"'!F7"),"")</f>
        <v/>
      </c>
      <c r="F42" s="102">
        <f>IFERROR(INDIRECT("'"&amp;$B42&amp;"'!H7"),"")</f>
        <v/>
      </c>
      <c r="G42" s="102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103">
        <f>IFERROR(INDIRECT("'"&amp;$B42&amp;"'!A13"),"")</f>
        <v/>
      </c>
      <c r="K42" s="103">
        <f>IFERROR(INDIRECT("'"&amp;$B42&amp;"'!C13"),"")</f>
        <v/>
      </c>
      <c r="L42" s="103">
        <f>IFERROR(INDIRECT("'"&amp;$B42&amp;"'!I24"),"")</f>
        <v/>
      </c>
      <c r="M42" s="103">
        <f>IFERROR(INDIRECT("'"&amp;$B42&amp;"'!E13"),"")</f>
        <v/>
      </c>
      <c r="N42" s="104">
        <f>IFERROR(INDIRECT("'"&amp;$B42&amp;"'!G13"),"")</f>
        <v/>
      </c>
      <c r="O42" s="104">
        <f>IFERROR(INDIRECT("'"&amp;$B42&amp;"'!H13"),"")</f>
        <v/>
      </c>
      <c r="P42" s="105">
        <f>IF(OR($N42="",$O42=""),"",ROUND(($N42-$O42)*100,1))</f>
        <v/>
      </c>
      <c r="Q42" s="103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102">
        <f>IFERROR(INDIRECT("'"&amp;$B43&amp;"'!F7"),"")</f>
        <v/>
      </c>
      <c r="F43" s="102">
        <f>IFERROR(INDIRECT("'"&amp;$B43&amp;"'!H7"),"")</f>
        <v/>
      </c>
      <c r="G43" s="102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103">
        <f>IFERROR(INDIRECT("'"&amp;$B43&amp;"'!A13"),"")</f>
        <v/>
      </c>
      <c r="K43" s="103">
        <f>IFERROR(INDIRECT("'"&amp;$B43&amp;"'!C13"),"")</f>
        <v/>
      </c>
      <c r="L43" s="103">
        <f>IFERROR(INDIRECT("'"&amp;$B43&amp;"'!I24"),"")</f>
        <v/>
      </c>
      <c r="M43" s="103">
        <f>IFERROR(INDIRECT("'"&amp;$B43&amp;"'!E13"),"")</f>
        <v/>
      </c>
      <c r="N43" s="104">
        <f>IFERROR(INDIRECT("'"&amp;$B43&amp;"'!G13"),"")</f>
        <v/>
      </c>
      <c r="O43" s="104">
        <f>IFERROR(INDIRECT("'"&amp;$B43&amp;"'!H13"),"")</f>
        <v/>
      </c>
      <c r="P43" s="105">
        <f>IF(OR($N43="",$O43=""),"",ROUND(($N43-$O43)*100,1))</f>
        <v/>
      </c>
      <c r="Q43" s="103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102">
        <f>IFERROR(INDIRECT("'"&amp;$B44&amp;"'!F7"),"")</f>
        <v/>
      </c>
      <c r="F44" s="102">
        <f>IFERROR(INDIRECT("'"&amp;$B44&amp;"'!H7"),"")</f>
        <v/>
      </c>
      <c r="G44" s="102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103">
        <f>IFERROR(INDIRECT("'"&amp;$B44&amp;"'!A13"),"")</f>
        <v/>
      </c>
      <c r="K44" s="103">
        <f>IFERROR(INDIRECT("'"&amp;$B44&amp;"'!C13"),"")</f>
        <v/>
      </c>
      <c r="L44" s="103">
        <f>IFERROR(INDIRECT("'"&amp;$B44&amp;"'!I24"),"")</f>
        <v/>
      </c>
      <c r="M44" s="103">
        <f>IFERROR(INDIRECT("'"&amp;$B44&amp;"'!E13"),"")</f>
        <v/>
      </c>
      <c r="N44" s="104">
        <f>IFERROR(INDIRECT("'"&amp;$B44&amp;"'!G13"),"")</f>
        <v/>
      </c>
      <c r="O44" s="104">
        <f>IFERROR(INDIRECT("'"&amp;$B44&amp;"'!H13"),"")</f>
        <v/>
      </c>
      <c r="P44" s="105">
        <f>IF(OR($N44="",$O44=""),"",ROUND(($N44-$O44)*100,1))</f>
        <v/>
      </c>
      <c r="Q44" s="103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102">
        <f>IFERROR(INDIRECT("'"&amp;$B45&amp;"'!F7"),"")</f>
        <v/>
      </c>
      <c r="F45" s="102">
        <f>IFERROR(INDIRECT("'"&amp;$B45&amp;"'!H7"),"")</f>
        <v/>
      </c>
      <c r="G45" s="102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103">
        <f>IFERROR(INDIRECT("'"&amp;$B45&amp;"'!A13"),"")</f>
        <v/>
      </c>
      <c r="K45" s="103">
        <f>IFERROR(INDIRECT("'"&amp;$B45&amp;"'!C13"),"")</f>
        <v/>
      </c>
      <c r="L45" s="103">
        <f>IFERROR(INDIRECT("'"&amp;$B45&amp;"'!I24"),"")</f>
        <v/>
      </c>
      <c r="M45" s="103">
        <f>IFERROR(INDIRECT("'"&amp;$B45&amp;"'!E13"),"")</f>
        <v/>
      </c>
      <c r="N45" s="104">
        <f>IFERROR(INDIRECT("'"&amp;$B45&amp;"'!G13"),"")</f>
        <v/>
      </c>
      <c r="O45" s="104">
        <f>IFERROR(INDIRECT("'"&amp;$B45&amp;"'!H13"),"")</f>
        <v/>
      </c>
      <c r="P45" s="105">
        <f>IF(OR($N45="",$O45=""),"",ROUND(($N45-$O45)*100,1))</f>
        <v/>
      </c>
      <c r="Q45" s="103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102">
        <f>IFERROR(INDIRECT("'"&amp;$B46&amp;"'!F7"),"")</f>
        <v/>
      </c>
      <c r="F46" s="102">
        <f>IFERROR(INDIRECT("'"&amp;$B46&amp;"'!H7"),"")</f>
        <v/>
      </c>
      <c r="G46" s="102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103">
        <f>IFERROR(INDIRECT("'"&amp;$B46&amp;"'!A13"),"")</f>
        <v/>
      </c>
      <c r="K46" s="103">
        <f>IFERROR(INDIRECT("'"&amp;$B46&amp;"'!C13"),"")</f>
        <v/>
      </c>
      <c r="L46" s="103">
        <f>IFERROR(INDIRECT("'"&amp;$B46&amp;"'!I24"),"")</f>
        <v/>
      </c>
      <c r="M46" s="103">
        <f>IFERROR(INDIRECT("'"&amp;$B46&amp;"'!E13"),"")</f>
        <v/>
      </c>
      <c r="N46" s="104">
        <f>IFERROR(INDIRECT("'"&amp;$B46&amp;"'!G13"),"")</f>
        <v/>
      </c>
      <c r="O46" s="104">
        <f>IFERROR(INDIRECT("'"&amp;$B46&amp;"'!H13"),"")</f>
        <v/>
      </c>
      <c r="P46" s="105">
        <f>IF(OR($N46="",$O46=""),"",ROUND(($N46-$O46)*100,1))</f>
        <v/>
      </c>
      <c r="Q46" s="103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102">
        <f>IFERROR(INDIRECT("'"&amp;$B47&amp;"'!F7"),"")</f>
        <v/>
      </c>
      <c r="F47" s="102">
        <f>IFERROR(INDIRECT("'"&amp;$B47&amp;"'!H7"),"")</f>
        <v/>
      </c>
      <c r="G47" s="102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103">
        <f>IFERROR(INDIRECT("'"&amp;$B47&amp;"'!A13"),"")</f>
        <v/>
      </c>
      <c r="K47" s="103">
        <f>IFERROR(INDIRECT("'"&amp;$B47&amp;"'!C13"),"")</f>
        <v/>
      </c>
      <c r="L47" s="103">
        <f>IFERROR(INDIRECT("'"&amp;$B47&amp;"'!I24"),"")</f>
        <v/>
      </c>
      <c r="M47" s="103">
        <f>IFERROR(INDIRECT("'"&amp;$B47&amp;"'!E13"),"")</f>
        <v/>
      </c>
      <c r="N47" s="104">
        <f>IFERROR(INDIRECT("'"&amp;$B47&amp;"'!G13"),"")</f>
        <v/>
      </c>
      <c r="O47" s="104">
        <f>IFERROR(INDIRECT("'"&amp;$B47&amp;"'!H13"),"")</f>
        <v/>
      </c>
      <c r="P47" s="105">
        <f>IF(OR($N47="",$O47=""),"",ROUND(($N47-$O47)*100,1))</f>
        <v/>
      </c>
      <c r="Q47" s="103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102">
        <f>IFERROR(INDIRECT("'"&amp;$B48&amp;"'!F7"),"")</f>
        <v/>
      </c>
      <c r="F48" s="102">
        <f>IFERROR(INDIRECT("'"&amp;$B48&amp;"'!H7"),"")</f>
        <v/>
      </c>
      <c r="G48" s="102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103">
        <f>IFERROR(INDIRECT("'"&amp;$B48&amp;"'!A13"),"")</f>
        <v/>
      </c>
      <c r="K48" s="103">
        <f>IFERROR(INDIRECT("'"&amp;$B48&amp;"'!C13"),"")</f>
        <v/>
      </c>
      <c r="L48" s="103">
        <f>IFERROR(INDIRECT("'"&amp;$B48&amp;"'!I24"),"")</f>
        <v/>
      </c>
      <c r="M48" s="103">
        <f>IFERROR(INDIRECT("'"&amp;$B48&amp;"'!E13"),"")</f>
        <v/>
      </c>
      <c r="N48" s="104">
        <f>IFERROR(INDIRECT("'"&amp;$B48&amp;"'!G13"),"")</f>
        <v/>
      </c>
      <c r="O48" s="104">
        <f>IFERROR(INDIRECT("'"&amp;$B48&amp;"'!H13"),"")</f>
        <v/>
      </c>
      <c r="P48" s="105">
        <f>IF(OR($N48="",$O48=""),"",ROUND(($N48-$O48)*100,1))</f>
        <v/>
      </c>
      <c r="Q48" s="103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102">
        <f>IFERROR(INDIRECT("'"&amp;$B49&amp;"'!F7"),"")</f>
        <v/>
      </c>
      <c r="F49" s="102">
        <f>IFERROR(INDIRECT("'"&amp;$B49&amp;"'!H7"),"")</f>
        <v/>
      </c>
      <c r="G49" s="102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103">
        <f>IFERROR(INDIRECT("'"&amp;$B49&amp;"'!A13"),"")</f>
        <v/>
      </c>
      <c r="K49" s="103">
        <f>IFERROR(INDIRECT("'"&amp;$B49&amp;"'!C13"),"")</f>
        <v/>
      </c>
      <c r="L49" s="103">
        <f>IFERROR(INDIRECT("'"&amp;$B49&amp;"'!I24"),"")</f>
        <v/>
      </c>
      <c r="M49" s="103">
        <f>IFERROR(INDIRECT("'"&amp;$B49&amp;"'!E13"),"")</f>
        <v/>
      </c>
      <c r="N49" s="104">
        <f>IFERROR(INDIRECT("'"&amp;$B49&amp;"'!G13"),"")</f>
        <v/>
      </c>
      <c r="O49" s="104">
        <f>IFERROR(INDIRECT("'"&amp;$B49&amp;"'!H13"),"")</f>
        <v/>
      </c>
      <c r="P49" s="105">
        <f>IF(OR($N49="",$O49=""),"",ROUND(($N49-$O49)*100,1))</f>
        <v/>
      </c>
      <c r="Q49" s="103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102">
        <f>IFERROR(INDIRECT("'"&amp;$B50&amp;"'!F7"),"")</f>
        <v/>
      </c>
      <c r="F50" s="102">
        <f>IFERROR(INDIRECT("'"&amp;$B50&amp;"'!H7"),"")</f>
        <v/>
      </c>
      <c r="G50" s="102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103">
        <f>IFERROR(INDIRECT("'"&amp;$B50&amp;"'!A13"),"")</f>
        <v/>
      </c>
      <c r="K50" s="103">
        <f>IFERROR(INDIRECT("'"&amp;$B50&amp;"'!C13"),"")</f>
        <v/>
      </c>
      <c r="L50" s="103">
        <f>IFERROR(INDIRECT("'"&amp;$B50&amp;"'!I24"),"")</f>
        <v/>
      </c>
      <c r="M50" s="103">
        <f>IFERROR(INDIRECT("'"&amp;$B50&amp;"'!E13"),"")</f>
        <v/>
      </c>
      <c r="N50" s="104">
        <f>IFERROR(INDIRECT("'"&amp;$B50&amp;"'!G13"),"")</f>
        <v/>
      </c>
      <c r="O50" s="104">
        <f>IFERROR(INDIRECT("'"&amp;$B50&amp;"'!H13"),"")</f>
        <v/>
      </c>
      <c r="P50" s="105">
        <f>IF(OR($N50="",$O50=""),"",ROUND(($N50-$O50)*100,1))</f>
        <v/>
      </c>
      <c r="Q50" s="103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98" t="n"/>
      <c r="C51" s="98" t="n"/>
      <c r="D51" s="98" t="n"/>
      <c r="E51" s="98" t="n"/>
      <c r="F51" s="98" t="n"/>
      <c r="G51" s="98" t="n"/>
      <c r="H51" s="98" t="n"/>
      <c r="I51" s="99" t="n"/>
      <c r="J51" s="106">
        <f>ROUND(SUM(J11:J50),2)</f>
        <v/>
      </c>
      <c r="K51" s="106">
        <f>ROUND(SUM(K11:K50),2)</f>
        <v/>
      </c>
      <c r="L51" s="106">
        <f>ROUND(SUM(L11:L50),2)</f>
        <v/>
      </c>
      <c r="M51" s="106">
        <f>ROUND(SUM(M11:M50),2)</f>
        <v/>
      </c>
      <c r="N51" s="107">
        <f>IF($J$51=0,"",$M$51/$J$51)</f>
        <v/>
      </c>
      <c r="O51" s="32" t="n"/>
      <c r="P51" s="99" t="n"/>
      <c r="Q51" s="106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7" t="n"/>
      <c r="C53" s="97" t="n"/>
      <c r="D53" s="97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  <c r="P53" s="97" t="n"/>
      <c r="Q53" s="97" t="n"/>
      <c r="R53" s="97" t="n"/>
    </row>
    <row r="54" ht="26" customHeight="1">
      <c r="A54" s="19" t="inlineStr">
        <is>
          <t>Categoria</t>
        </is>
      </c>
      <c r="B54" s="97" t="n"/>
      <c r="C54" s="108" t="n"/>
      <c r="D54" s="19" t="inlineStr">
        <is>
          <t>Orçado (R$)</t>
        </is>
      </c>
      <c r="E54" s="108" t="n"/>
      <c r="F54" s="19" t="inlineStr">
        <is>
          <t>Realizado (R$)</t>
        </is>
      </c>
      <c r="G54" s="108" t="n"/>
      <c r="H54" s="19" t="inlineStr">
        <is>
          <t>Desvio (R$)</t>
        </is>
      </c>
      <c r="I54" s="108" t="n"/>
      <c r="J54" s="19" t="inlineStr">
        <is>
          <t>Desvio (%)</t>
        </is>
      </c>
      <c r="K54" s="108" t="n"/>
      <c r="L54" s="19" t="inlineStr">
        <is>
          <t>% da venda</t>
        </is>
      </c>
      <c r="M54" s="108" t="n"/>
      <c r="N54" s="19" t="inlineStr">
        <is>
          <t>Leitura</t>
        </is>
      </c>
      <c r="O54" s="97" t="n"/>
      <c r="P54" s="97" t="n"/>
      <c r="Q54" s="97" t="n"/>
      <c r="R54" s="108" t="n"/>
    </row>
    <row r="55" ht="19" customHeight="1">
      <c r="A55" s="36" t="inlineStr">
        <is>
          <t>Custos de venda</t>
        </is>
      </c>
      <c r="B55" s="98" t="n"/>
      <c r="C55" s="99" t="n"/>
      <c r="D55" s="103">
        <f>ROUND(SUM(AH$11:AH$50),2)</f>
        <v/>
      </c>
      <c r="E55" s="99" t="n"/>
      <c r="F55" s="103">
        <f>ROUND(SUM(AI$11:AI$50),2)</f>
        <v/>
      </c>
      <c r="G55" s="99" t="n"/>
      <c r="H55" s="109">
        <f>ROUND($F55-$D55,2)</f>
        <v/>
      </c>
      <c r="I55" s="99" t="n"/>
      <c r="J55" s="110">
        <f>IF($D55=0,"",$F55/$D55-1)</f>
        <v/>
      </c>
      <c r="K55" s="99" t="n"/>
      <c r="L55" s="104">
        <f>IF($J$51=0,"",$F55/$J$51)</f>
        <v/>
      </c>
      <c r="M55" s="99" t="n"/>
      <c r="N55" s="41">
        <f>IF($D55=0,"—",IF($J55&gt;0.1,"Estourou mais de 10% — revisar a premissa",IF($J55&lt;-0.1,"Sobrou mais de 10% — orçamento pode estar gordo","Dentro do previsto")))</f>
        <v/>
      </c>
      <c r="O55" s="98" t="n"/>
      <c r="P55" s="98" t="n"/>
      <c r="Q55" s="98" t="n"/>
      <c r="R55" s="99" t="n"/>
    </row>
    <row r="56" ht="19" customHeight="1">
      <c r="A56" s="36" t="inlineStr">
        <is>
          <t>Comissões operacionais</t>
        </is>
      </c>
      <c r="B56" s="98" t="n"/>
      <c r="C56" s="99" t="n"/>
      <c r="D56" s="103">
        <f>ROUND(SUM(AJ$11:AJ$50),2)</f>
        <v/>
      </c>
      <c r="E56" s="99" t="n"/>
      <c r="F56" s="103">
        <f>ROUND(SUM(AK$11:AK$50),2)</f>
        <v/>
      </c>
      <c r="G56" s="99" t="n"/>
      <c r="H56" s="109">
        <f>ROUND($F56-$D56,2)</f>
        <v/>
      </c>
      <c r="I56" s="99" t="n"/>
      <c r="J56" s="110">
        <f>IF($D56=0,"",$F56/$D56-1)</f>
        <v/>
      </c>
      <c r="K56" s="99" t="n"/>
      <c r="L56" s="104">
        <f>IF($J$51=0,"",$F56/$J$51)</f>
        <v/>
      </c>
      <c r="M56" s="99" t="n"/>
      <c r="N56" s="41">
        <f>IF($D56=0,"—",IF($J56&gt;0.1,"Estourou mais de 10% — revisar a premissa",IF($J56&lt;-0.1,"Sobrou mais de 10% — orçamento pode estar gordo","Dentro do previsto")))</f>
        <v/>
      </c>
      <c r="O56" s="98" t="n"/>
      <c r="P56" s="98" t="n"/>
      <c r="Q56" s="98" t="n"/>
      <c r="R56" s="99" t="n"/>
    </row>
    <row r="57" ht="19" customHeight="1">
      <c r="A57" s="36" t="inlineStr">
        <is>
          <t>Material</t>
        </is>
      </c>
      <c r="B57" s="98" t="n"/>
      <c r="C57" s="99" t="n"/>
      <c r="D57" s="103">
        <f>ROUND(SUM(AL$11:AL$50),2)</f>
        <v/>
      </c>
      <c r="E57" s="99" t="n"/>
      <c r="F57" s="103">
        <f>ROUND(SUM(AM$11:AM$50),2)</f>
        <v/>
      </c>
      <c r="G57" s="99" t="n"/>
      <c r="H57" s="109">
        <f>ROUND($F57-$D57,2)</f>
        <v/>
      </c>
      <c r="I57" s="99" t="n"/>
      <c r="J57" s="110">
        <f>IF($D57=0,"",$F57/$D57-1)</f>
        <v/>
      </c>
      <c r="K57" s="99" t="n"/>
      <c r="L57" s="104">
        <f>IF($J$51=0,"",$F57/$J$51)</f>
        <v/>
      </c>
      <c r="M57" s="99" t="n"/>
      <c r="N57" s="41">
        <f>IF($D57=0,"—",IF($J57&gt;0.1,"Estourou mais de 10% — revisar a premissa",IF($J57&lt;-0.1,"Sobrou mais de 10% — orçamento pode estar gordo","Dentro do previsto")))</f>
        <v/>
      </c>
      <c r="O57" s="98" t="n"/>
      <c r="P57" s="98" t="n"/>
      <c r="Q57" s="98" t="n"/>
      <c r="R57" s="99" t="n"/>
    </row>
    <row r="58" ht="19" customHeight="1">
      <c r="A58" s="36" t="inlineStr">
        <is>
          <t>Serviços terceirizados</t>
        </is>
      </c>
      <c r="B58" s="98" t="n"/>
      <c r="C58" s="99" t="n"/>
      <c r="D58" s="103">
        <f>ROUND(SUM(AN$11:AN$50),2)</f>
        <v/>
      </c>
      <c r="E58" s="99" t="n"/>
      <c r="F58" s="103">
        <f>ROUND(SUM(AO$11:AO$50),2)</f>
        <v/>
      </c>
      <c r="G58" s="99" t="n"/>
      <c r="H58" s="109">
        <f>ROUND($F58-$D58,2)</f>
        <v/>
      </c>
      <c r="I58" s="99" t="n"/>
      <c r="J58" s="110">
        <f>IF($D58=0,"",$F58/$D58-1)</f>
        <v/>
      </c>
      <c r="K58" s="99" t="n"/>
      <c r="L58" s="104">
        <f>IF($J$51=0,"",$F58/$J$51)</f>
        <v/>
      </c>
      <c r="M58" s="99" t="n"/>
      <c r="N58" s="41">
        <f>IF($D58=0,"—",IF($J58&gt;0.1,"Estourou mais de 10% — revisar a premissa",IF($J58&lt;-0.1,"Sobrou mais de 10% — orçamento pode estar gordo","Dentro do previsto")))</f>
        <v/>
      </c>
      <c r="O58" s="98" t="n"/>
      <c r="P58" s="98" t="n"/>
      <c r="Q58" s="98" t="n"/>
      <c r="R58" s="99" t="n"/>
    </row>
    <row r="59" ht="19" customHeight="1">
      <c r="A59" s="36" t="inlineStr">
        <is>
          <t>Logística</t>
        </is>
      </c>
      <c r="B59" s="98" t="n"/>
      <c r="C59" s="99" t="n"/>
      <c r="D59" s="103">
        <f>ROUND(SUM(AP$11:AP$50),2)</f>
        <v/>
      </c>
      <c r="E59" s="99" t="n"/>
      <c r="F59" s="103">
        <f>ROUND(SUM(AQ$11:AQ$50),2)</f>
        <v/>
      </c>
      <c r="G59" s="99" t="n"/>
      <c r="H59" s="109">
        <f>ROUND($F59-$D59,2)</f>
        <v/>
      </c>
      <c r="I59" s="99" t="n"/>
      <c r="J59" s="110">
        <f>IF($D59=0,"",$F59/$D59-1)</f>
        <v/>
      </c>
      <c r="K59" s="99" t="n"/>
      <c r="L59" s="104">
        <f>IF($J$51=0,"",$F59/$J$51)</f>
        <v/>
      </c>
      <c r="M59" s="99" t="n"/>
      <c r="N59" s="41">
        <f>IF($D59=0,"—",IF($J59&gt;0.1,"Estourou mais de 10% — revisar a premissa",IF($J59&lt;-0.1,"Sobrou mais de 10% — orçamento pode estar gordo","Dentro do previsto")))</f>
        <v/>
      </c>
      <c r="O59" s="98" t="n"/>
      <c r="P59" s="98" t="n"/>
      <c r="Q59" s="98" t="n"/>
      <c r="R59" s="99" t="n"/>
    </row>
    <row r="60" ht="19" customHeight="1">
      <c r="A60" s="36" t="inlineStr">
        <is>
          <t>Retrabalho</t>
        </is>
      </c>
      <c r="B60" s="98" t="n"/>
      <c r="C60" s="99" t="n"/>
      <c r="D60" s="103">
        <f>ROUND(SUM(AR$11:AR$50),2)</f>
        <v/>
      </c>
      <c r="E60" s="99" t="n"/>
      <c r="F60" s="103">
        <f>ROUND(SUM(AS$11:AS$50),2)</f>
        <v/>
      </c>
      <c r="G60" s="99" t="n"/>
      <c r="H60" s="109">
        <f>ROUND($F60-$D60,2)</f>
        <v/>
      </c>
      <c r="I60" s="99" t="n"/>
      <c r="J60" s="110">
        <f>IF($D60=0,"",$F60/$D60-1)</f>
        <v/>
      </c>
      <c r="K60" s="99" t="n"/>
      <c r="L60" s="104">
        <f>IF($J$51=0,"",$F60/$J$51)</f>
        <v/>
      </c>
      <c r="M60" s="99" t="n"/>
      <c r="N60" s="41">
        <f>IF($D60=0,"—",IF($J60&gt;0.1,"Estourou mais de 10% — revisar a premissa",IF($J60&lt;-0.1,"Sobrou mais de 10% — orçamento pode estar gordo","Dentro do previsto")))</f>
        <v/>
      </c>
      <c r="O60" s="98" t="n"/>
      <c r="P60" s="98" t="n"/>
      <c r="Q60" s="98" t="n"/>
      <c r="R60" s="99" t="n"/>
    </row>
    <row r="62" ht="20" customHeight="1">
      <c r="A62" s="8" t="inlineStr">
        <is>
          <t xml:space="preserve">  LEITURAS          frases montadas a partir dos números acima</t>
        </is>
      </c>
      <c r="B62" s="97" t="n"/>
      <c r="C62" s="97" t="n"/>
      <c r="D62" s="97" t="n"/>
      <c r="E62" s="97" t="n"/>
      <c r="F62" s="97" t="n"/>
      <c r="G62" s="97" t="n"/>
      <c r="H62" s="97" t="n"/>
      <c r="I62" s="97" t="n"/>
      <c r="J62" s="97" t="n"/>
      <c r="K62" s="97" t="n"/>
      <c r="L62" s="97" t="n"/>
      <c r="M62" s="97" t="n"/>
      <c r="N62" s="97" t="n"/>
      <c r="O62" s="97" t="n"/>
      <c r="P62" s="97" t="n"/>
      <c r="Q62" s="97" t="n"/>
      <c r="R62" s="97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98" t="n"/>
      <c r="C68" s="98" t="n"/>
      <c r="D68" s="98" t="n"/>
      <c r="E68" s="98" t="n"/>
      <c r="F68" s="98" t="n"/>
      <c r="G68" s="98" t="n"/>
      <c r="H68" s="98" t="n"/>
      <c r="I68" s="98" t="n"/>
      <c r="J68" s="98" t="n"/>
      <c r="K68" s="98" t="n"/>
      <c r="L68" s="98" t="n"/>
      <c r="M68" s="98" t="n"/>
      <c r="N68" s="98" t="n"/>
      <c r="O68" s="98" t="n"/>
      <c r="P68" s="98" t="n"/>
      <c r="Q68" s="98" t="n"/>
      <c r="R68" s="99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n"/>
      <c r="B7" s="98" t="n"/>
      <c r="C7" s="99" t="n"/>
      <c r="D7" s="45" t="n"/>
      <c r="E7" s="99" t="n"/>
      <c r="F7" s="111" t="n"/>
      <c r="G7" s="99" t="n"/>
      <c r="H7" s="111" t="n"/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n"/>
      <c r="E9" s="99" t="n"/>
      <c r="F9" s="48" t="n"/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n"/>
      <c r="B127" s="87" t="n"/>
      <c r="C127" s="99" t="n"/>
      <c r="D127" s="125" t="n"/>
      <c r="E127" s="89" t="n"/>
      <c r="F127" s="99" t="n"/>
      <c r="G127" s="90" t="n"/>
      <c r="H127" s="99" t="n"/>
      <c r="I127" s="91" t="n"/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>Ana Carolina Abreu</t>
        </is>
      </c>
      <c r="B7" s="98" t="n"/>
      <c r="C7" s="99" t="n"/>
      <c r="D7" s="45" t="n">
        <v>66</v>
      </c>
      <c r="E7" s="99" t="n"/>
      <c r="F7" s="111" t="n">
        <v>46210</v>
      </c>
      <c r="G7" s="99" t="n"/>
      <c r="H7" s="111" t="n">
        <v>46310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>10 Ambientes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102300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>
        <v>0.1</v>
      </c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inlineStr">
        <is>
          <t>Sala - paineis</t>
        </is>
      </c>
      <c r="B43" s="122">
        <f>IF(OR($C43="",$A$13="",$A$13=0),"",$C43/$A$13)</f>
        <v/>
      </c>
      <c r="C43" s="77" t="n">
        <v>31900</v>
      </c>
      <c r="D43" s="76" t="inlineStr">
        <is>
          <t>Jackson</t>
        </is>
      </c>
      <c r="E43" s="123" t="n">
        <v>0.025</v>
      </c>
      <c r="F43" s="53">
        <f>IF(OR($B43="",$E43="",$D$39=""),"",ROUND($B43*$D$39*$E43,2))</f>
        <v/>
      </c>
      <c r="G43" s="76" t="n"/>
      <c r="H43" s="123" t="n">
        <v>0.025</v>
      </c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inlineStr">
        <is>
          <t>Sala - louçaria</t>
        </is>
      </c>
      <c r="B44" s="122">
        <f>IF(OR($C44="",$A$13="",$A$13=0),"",$C44/$A$13)</f>
        <v/>
      </c>
      <c r="C44" s="77" t="n">
        <v>9500</v>
      </c>
      <c r="D44" s="76" t="inlineStr">
        <is>
          <t>Jhon</t>
        </is>
      </c>
      <c r="E44" s="123" t="n">
        <v>0.025</v>
      </c>
      <c r="F44" s="53">
        <f>IF(OR($B44="",$E44="",$D$39=""),"",ROUND($B44*$D$39*$E44,2))</f>
        <v/>
      </c>
      <c r="G44" s="76" t="n"/>
      <c r="H44" s="123" t="n">
        <v>0.025</v>
      </c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inlineStr">
        <is>
          <t>Cozinha</t>
        </is>
      </c>
      <c r="B45" s="122">
        <f>IF(OR($C45="",$A$13="",$A$13=0),"",$C45/$A$13)</f>
        <v/>
      </c>
      <c r="C45" s="77" t="n">
        <v>30000</v>
      </c>
      <c r="D45" s="76" t="inlineStr">
        <is>
          <t>Jhon</t>
        </is>
      </c>
      <c r="E45" s="123" t="n">
        <v>0.027</v>
      </c>
      <c r="F45" s="53">
        <f>IF(OR($B45="",$E45="",$D$39=""),"",ROUND($B45*$D$39*$E45,2))</f>
        <v/>
      </c>
      <c r="G45" s="76" t="inlineStr">
        <is>
          <t>Samuel</t>
        </is>
      </c>
      <c r="H45" s="123" t="n">
        <v>0.025</v>
      </c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inlineStr">
        <is>
          <t>Rouparia</t>
        </is>
      </c>
      <c r="B46" s="122">
        <f>IF(OR($C46="",$A$13="",$A$13=0),"",$C46/$A$13)</f>
        <v/>
      </c>
      <c r="C46" s="77" t="n">
        <v>3500</v>
      </c>
      <c r="D46" s="76" t="inlineStr">
        <is>
          <t>Jhon</t>
        </is>
      </c>
      <c r="E46" s="123" t="n">
        <v>0.025</v>
      </c>
      <c r="F46" s="53">
        <f>IF(OR($B46="",$E46="",$D$39=""),"",ROUND($B46*$D$39*$E46,2))</f>
        <v/>
      </c>
      <c r="G46" s="76" t="n"/>
      <c r="H46" s="123" t="n">
        <v>0.025</v>
      </c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inlineStr">
        <is>
          <t>Banho social</t>
        </is>
      </c>
      <c r="B47" s="122">
        <f>IF(OR($C47="",$A$13="",$A$13=0),"",$C47/$A$13)</f>
        <v/>
      </c>
      <c r="C47" s="77" t="n">
        <v>6180</v>
      </c>
      <c r="D47" s="76" t="n"/>
      <c r="E47" s="123" t="n">
        <v>0.025</v>
      </c>
      <c r="F47" s="53">
        <f>IF(OR($B47="",$E47="",$D$39=""),"",ROUND($B47*$D$39*$E47,2))</f>
        <v/>
      </c>
      <c r="G47" s="76" t="n"/>
      <c r="H47" s="123" t="n">
        <v>0.025</v>
      </c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inlineStr">
        <is>
          <t>Banho casal</t>
        </is>
      </c>
      <c r="B48" s="122">
        <f>IF(OR($C48="",$A$13="",$A$13=0),"",$C48/$A$13)</f>
        <v/>
      </c>
      <c r="C48" s="77" t="n">
        <v>6720</v>
      </c>
      <c r="D48" s="76" t="n"/>
      <c r="E48" s="123" t="n">
        <v>0.025</v>
      </c>
      <c r="F48" s="53">
        <f>IF(OR($B48="",$E48="",$D$39=""),"",ROUND($B48*$D$39*$E48,2))</f>
        <v/>
      </c>
      <c r="G48" s="76" t="n"/>
      <c r="H48" s="123" t="n">
        <v>0.025</v>
      </c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inlineStr">
        <is>
          <t>Lavabo</t>
        </is>
      </c>
      <c r="B49" s="122">
        <f>IF(OR($C49="",$A$13="",$A$13=0),"",$C49/$A$13)</f>
        <v/>
      </c>
      <c r="C49" s="77" t="n">
        <v>4210</v>
      </c>
      <c r="D49" s="76" t="n"/>
      <c r="E49" s="123" t="n">
        <v>0.025</v>
      </c>
      <c r="F49" s="53">
        <f>IF(OR($B49="",$E49="",$D$39=""),"",ROUND($B49*$D$39*$E49,2))</f>
        <v/>
      </c>
      <c r="G49" s="76" t="n"/>
      <c r="H49" s="123" t="n">
        <v>0.025</v>
      </c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inlineStr">
        <is>
          <t>Lavanderia</t>
        </is>
      </c>
      <c r="B50" s="122">
        <f>IF(OR($C50="",$A$13="",$A$13=0),"",$C50/$A$13)</f>
        <v/>
      </c>
      <c r="C50" s="77" t="n">
        <v>10300</v>
      </c>
      <c r="D50" s="76" t="n"/>
      <c r="E50" s="123" t="n">
        <v>0.025</v>
      </c>
      <c r="F50" s="53">
        <f>IF(OR($B50="",$E50="",$D$39=""),"",ROUND($B50*$D$39*$E50,2))</f>
        <v/>
      </c>
      <c r="G50" s="76" t="n"/>
      <c r="H50" s="123" t="n">
        <v>0.025</v>
      </c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>
        <v>0.025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>
        <v>0.025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>mdf</t>
        </is>
      </c>
      <c r="B127" s="87" t="inlineStr">
        <is>
          <t>MDF e MDP</t>
        </is>
      </c>
      <c r="C127" s="99" t="n"/>
      <c r="D127" s="125" t="n">
        <v>46282</v>
      </c>
      <c r="E127" s="89" t="n">
        <v>835</v>
      </c>
      <c r="F127" s="99" t="n"/>
      <c r="G127" s="90" t="inlineStr">
        <is>
          <t>PIX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 xml:space="preserve">frete </t>
        </is>
      </c>
      <c r="B128" s="87" t="inlineStr">
        <is>
          <t>Carreto e entrega</t>
        </is>
      </c>
      <c r="C128" s="99" t="n"/>
      <c r="D128" s="125" t="n">
        <v>46282</v>
      </c>
      <c r="E128" s="89" t="n">
        <v>69</v>
      </c>
      <c r="F128" s="99" t="n"/>
      <c r="G128" s="90" t="inlineStr">
        <is>
          <t>pix</t>
        </is>
      </c>
      <c r="H128" s="99" t="n"/>
      <c r="I128" s="91" t="inlineStr">
        <is>
          <t>Pago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>carreto mdf</t>
        </is>
      </c>
      <c r="B129" s="87" t="inlineStr">
        <is>
          <t>Frete de material</t>
        </is>
      </c>
      <c r="C129" s="99" t="n"/>
      <c r="D129" s="125" t="n">
        <v>46287</v>
      </c>
      <c r="E129" s="89" t="n">
        <v>250</v>
      </c>
      <c r="F129" s="99" t="n"/>
      <c r="G129" s="90" t="inlineStr">
        <is>
          <t>PIX</t>
        </is>
      </c>
      <c r="H129" s="99" t="n"/>
      <c r="I129" s="91" t="inlineStr">
        <is>
          <t>Comprado (a pagar)</t>
        </is>
      </c>
      <c r="J129" s="98" t="n"/>
      <c r="K129" s="98" t="n"/>
      <c r="L129" s="98" t="n"/>
      <c r="M129" s="99" t="n"/>
    </row>
    <row r="130" ht="17" customHeight="1">
      <c r="A130" s="76" t="inlineStr">
        <is>
          <t xml:space="preserve">vidros canelado e laqueado </t>
        </is>
      </c>
      <c r="B130" s="87" t="inlineStr">
        <is>
          <t>Vidros e espelhos</t>
        </is>
      </c>
      <c r="C130" s="99" t="n"/>
      <c r="D130" s="125" t="n">
        <v>46290</v>
      </c>
      <c r="E130" s="89" t="n">
        <v>290.23</v>
      </c>
      <c r="F130" s="99" t="n"/>
      <c r="G130" s="90" t="inlineStr">
        <is>
          <t>PIX</t>
        </is>
      </c>
      <c r="H130" s="99" t="n"/>
      <c r="I130" s="91" t="inlineStr">
        <is>
          <t>Pago</t>
        </is>
      </c>
      <c r="J130" s="98" t="n"/>
      <c r="K130" s="98" t="n"/>
      <c r="L130" s="98" t="n"/>
      <c r="M130" s="99" t="n"/>
    </row>
    <row r="131" ht="17" customHeight="1">
      <c r="A131" s="76" t="inlineStr">
        <is>
          <t xml:space="preserve">fita de borda </t>
        </is>
      </c>
      <c r="B131" s="87" t="inlineStr">
        <is>
          <t>Fita de borda</t>
        </is>
      </c>
      <c r="C131" s="99" t="n"/>
      <c r="D131" s="125" t="n">
        <v>46293</v>
      </c>
      <c r="E131" s="89" t="n">
        <v>222</v>
      </c>
      <c r="F131" s="99" t="n"/>
      <c r="G131" s="90" t="inlineStr">
        <is>
          <t>PIX</t>
        </is>
      </c>
      <c r="H131" s="99" t="n"/>
      <c r="I131" s="91" t="inlineStr">
        <is>
          <t>Pago</t>
        </is>
      </c>
      <c r="J131" s="98" t="n"/>
      <c r="K131" s="98" t="n"/>
      <c r="L131" s="98" t="n"/>
      <c r="M131" s="99" t="n"/>
    </row>
    <row r="132" ht="17" customHeight="1">
      <c r="A132" s="76" t="inlineStr">
        <is>
          <t xml:space="preserve">uber </t>
        </is>
      </c>
      <c r="B132" s="87" t="inlineStr">
        <is>
          <t>Uber e aplicativo</t>
        </is>
      </c>
      <c r="C132" s="99" t="n"/>
      <c r="D132" s="125" t="n">
        <v>46293</v>
      </c>
      <c r="E132" s="89" t="n">
        <v>12.29</v>
      </c>
      <c r="F132" s="99" t="n"/>
      <c r="G132" s="90" t="inlineStr">
        <is>
          <t>Cartão de crédito</t>
        </is>
      </c>
      <c r="H132" s="99" t="n"/>
      <c r="I132" s="91" t="inlineStr">
        <is>
          <t>Comprado (a pagar)</t>
        </is>
      </c>
      <c r="J132" s="98" t="n"/>
      <c r="K132" s="98" t="n"/>
      <c r="L132" s="98" t="n"/>
      <c r="M132" s="99" t="n"/>
    </row>
    <row r="133" ht="17" customHeight="1">
      <c r="A133" s="76" t="inlineStr">
        <is>
          <t xml:space="preserve">mdf </t>
        </is>
      </c>
      <c r="B133" s="87" t="inlineStr">
        <is>
          <t>MDF e MDP</t>
        </is>
      </c>
      <c r="C133" s="99" t="n"/>
      <c r="D133" s="125" t="n">
        <v>46290</v>
      </c>
      <c r="E133" s="89" t="n">
        <v>6260.45</v>
      </c>
      <c r="F133" s="99" t="n"/>
      <c r="G133" s="90" t="inlineStr">
        <is>
          <t>Boleto</t>
        </is>
      </c>
      <c r="H133" s="99" t="n"/>
      <c r="I133" s="91" t="inlineStr">
        <is>
          <t>Comprado (a pagar)</t>
        </is>
      </c>
      <c r="J133" s="98" t="n"/>
      <c r="K133" s="98" t="n"/>
      <c r="L133" s="98" t="n"/>
      <c r="M133" s="99" t="n"/>
    </row>
    <row r="134" ht="17" customHeight="1">
      <c r="A134" s="76" t="inlineStr">
        <is>
          <t>articulado blum</t>
        </is>
      </c>
      <c r="B134" s="87" t="inlineStr">
        <is>
          <t>Ferragens</t>
        </is>
      </c>
      <c r="C134" s="99" t="n"/>
      <c r="D134" s="125" t="n">
        <v>46297</v>
      </c>
      <c r="E134" s="89" t="n">
        <v>433</v>
      </c>
      <c r="F134" s="99" t="n"/>
      <c r="G134" s="90" t="inlineStr">
        <is>
          <t>Boleto</t>
        </is>
      </c>
      <c r="H134" s="99" t="n"/>
      <c r="I134" s="91" t="inlineStr">
        <is>
          <t>Comprado (a pagar)</t>
        </is>
      </c>
      <c r="J134" s="98" t="n"/>
      <c r="K134" s="98" t="n"/>
      <c r="L134" s="98" t="n"/>
      <c r="M134" s="99" t="n"/>
    </row>
    <row r="135" ht="17" customHeight="1">
      <c r="A135" s="76" t="inlineStr">
        <is>
          <t xml:space="preserve">carreto moveis </t>
        </is>
      </c>
      <c r="B135" s="87" t="inlineStr">
        <is>
          <t>Carreto e entrega</t>
        </is>
      </c>
      <c r="C135" s="99" t="n"/>
      <c r="D135" s="125" t="n">
        <v>46294</v>
      </c>
      <c r="E135" s="89" t="n">
        <v>250</v>
      </c>
      <c r="F135" s="99" t="n"/>
      <c r="G135" s="90" t="inlineStr">
        <is>
          <t>PIX</t>
        </is>
      </c>
      <c r="H135" s="99" t="n"/>
      <c r="I135" s="91" t="inlineStr">
        <is>
          <t>Comprado (a pagar)</t>
        </is>
      </c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>Luiz</t>
        </is>
      </c>
      <c r="B7" s="98" t="n"/>
      <c r="C7" s="99" t="n"/>
      <c r="D7" s="45" t="n">
        <v>72</v>
      </c>
      <c r="E7" s="99" t="n"/>
      <c r="F7" s="111" t="n">
        <v>46232</v>
      </c>
      <c r="G7" s="99" t="n"/>
      <c r="H7" s="111" t="n">
        <v>46291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 xml:space="preserve">Guarda Roupa 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20000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inlineStr">
        <is>
          <t>completo</t>
        </is>
      </c>
      <c r="B43" s="122">
        <f>IF(OR($C43="",$A$13="",$A$13=0),"",$C43/$A$13)</f>
        <v/>
      </c>
      <c r="C43" s="77" t="n">
        <v>20000</v>
      </c>
      <c r="D43" s="76" t="inlineStr">
        <is>
          <t>Jhon</t>
        </is>
      </c>
      <c r="E43" s="123" t="n">
        <v>0.025</v>
      </c>
      <c r="F43" s="53">
        <f>IF(OR($B43="",$E43="",$D$39=""),"",ROUND($B43*$D$39*$E43,2))</f>
        <v/>
      </c>
      <c r="G43" s="76" t="inlineStr">
        <is>
          <t>jackson/cesar</t>
        </is>
      </c>
      <c r="H43" s="123" t="n">
        <v>0.02</v>
      </c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>
        <v>0.025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>
        <v>0.025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>mdf e fitas</t>
        </is>
      </c>
      <c r="B127" s="87" t="inlineStr">
        <is>
          <t>MDF e MDP</t>
        </is>
      </c>
      <c r="C127" s="99" t="n"/>
      <c r="D127" s="125" t="n">
        <v>46280</v>
      </c>
      <c r="E127" s="89" t="n">
        <v>4266.23</v>
      </c>
      <c r="F127" s="99" t="n"/>
      <c r="G127" s="90" t="inlineStr">
        <is>
          <t>Cartão de crédito</t>
        </is>
      </c>
      <c r="H127" s="99" t="n"/>
      <c r="I127" s="91" t="inlineStr">
        <is>
          <t>Comprado (a pagar)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>Ferragens</t>
        </is>
      </c>
      <c r="B128" s="87" t="inlineStr">
        <is>
          <t>Ferragens</t>
        </is>
      </c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inlineStr">
        <is>
          <t>Sábado do Jonh</t>
        </is>
      </c>
      <c r="B129" s="87" t="inlineStr">
        <is>
          <t>Outro terceirizado</t>
        </is>
      </c>
      <c r="C129" s="99" t="n"/>
      <c r="D129" s="125" t="n">
        <v>46284</v>
      </c>
      <c r="E129" s="89" t="n">
        <v>250</v>
      </c>
      <c r="F129" s="99" t="n"/>
      <c r="G129" s="90" t="inlineStr">
        <is>
          <t>PIX</t>
        </is>
      </c>
      <c r="H129" s="99" t="n"/>
      <c r="I129" s="91" t="inlineStr">
        <is>
          <t>Pago</t>
        </is>
      </c>
      <c r="J129" s="98" t="n"/>
      <c r="K129" s="98" t="n"/>
      <c r="L129" s="98" t="n"/>
      <c r="M129" s="99" t="n"/>
    </row>
    <row r="130" ht="17" customHeight="1">
      <c r="A130" s="76" t="inlineStr">
        <is>
          <t xml:space="preserve">mdf </t>
        </is>
      </c>
      <c r="B130" s="87" t="inlineStr">
        <is>
          <t>MDF e MDP</t>
        </is>
      </c>
      <c r="C130" s="99" t="n"/>
      <c r="D130" s="125" t="n">
        <v>46287</v>
      </c>
      <c r="E130" s="89" t="n">
        <v>504.9</v>
      </c>
      <c r="F130" s="99" t="n"/>
      <c r="G130" s="90" t="inlineStr">
        <is>
          <t>Cartão de crédito</t>
        </is>
      </c>
      <c r="H130" s="99" t="n"/>
      <c r="I130" s="91" t="inlineStr">
        <is>
          <t>Comprado (a pagar)</t>
        </is>
      </c>
      <c r="J130" s="98" t="n"/>
      <c r="K130" s="98" t="n"/>
      <c r="L130" s="98" t="n"/>
      <c r="M130" s="99" t="n"/>
    </row>
    <row r="131" ht="17" customHeight="1">
      <c r="A131" s="76" t="inlineStr">
        <is>
          <t xml:space="preserve">vidros </t>
        </is>
      </c>
      <c r="B131" s="87" t="inlineStr">
        <is>
          <t>Vidros e espelhos</t>
        </is>
      </c>
      <c r="C131" s="99" t="n"/>
      <c r="D131" s="125" t="n">
        <v>46289</v>
      </c>
      <c r="E131" s="89" t="n">
        <v>167.88</v>
      </c>
      <c r="F131" s="99" t="n"/>
      <c r="G131" s="90" t="inlineStr">
        <is>
          <t>PIX</t>
        </is>
      </c>
      <c r="H131" s="99" t="n"/>
      <c r="I131" s="91" t="inlineStr">
        <is>
          <t>Pago</t>
        </is>
      </c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Jairo Samuel </t>
        </is>
      </c>
      <c r="B7" s="98" t="n"/>
      <c r="C7" s="99" t="n"/>
      <c r="D7" s="45" t="n">
        <v>74</v>
      </c>
      <c r="E7" s="99" t="n"/>
      <c r="F7" s="111" t="n">
        <v>46240</v>
      </c>
      <c r="G7" s="99" t="n"/>
      <c r="H7" s="111" t="n">
        <v>46295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inlineStr">
        <is>
          <t xml:space="preserve">Jonathan 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63000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>
        <v>0.1</v>
      </c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inlineStr">
        <is>
          <t>Sala Cristaleira</t>
        </is>
      </c>
      <c r="B43" s="122">
        <f>IF(OR($C43="",$A$13="",$A$13=0),"",$C43/$A$13)</f>
        <v/>
      </c>
      <c r="C43" s="77" t="n">
        <v>10000</v>
      </c>
      <c r="D43" s="76" t="inlineStr">
        <is>
          <t>Terceiro / avulso</t>
        </is>
      </c>
      <c r="E43" s="123" t="n">
        <v>0.025</v>
      </c>
      <c r="F43" s="53">
        <f>IF(OR($B43="",$E43="",$D$39=""),"",ROUND($B43*$D$39*$E43,2))</f>
        <v/>
      </c>
      <c r="G43" s="76" t="n"/>
      <c r="H43" s="123" t="n">
        <v>0.025</v>
      </c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inlineStr">
        <is>
          <t>cozinha</t>
        </is>
      </c>
      <c r="B44" s="122">
        <f>IF(OR($C44="",$A$13="",$A$13=0),"",$C44/$A$13)</f>
        <v/>
      </c>
      <c r="C44" s="77" t="n">
        <v>28000</v>
      </c>
      <c r="D44" s="76" t="inlineStr">
        <is>
          <t>Jhon</t>
        </is>
      </c>
      <c r="E44" s="123" t="n">
        <v>0.02</v>
      </c>
      <c r="F44" s="53">
        <f>IF(OR($B44="",$E44="",$D$39=""),"",ROUND($B44*$D$39*$E44,2))</f>
        <v/>
      </c>
      <c r="G44" s="76" t="n"/>
      <c r="H44" s="123" t="n">
        <v>0.02</v>
      </c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inlineStr">
        <is>
          <t>quarto hospede cabeceira</t>
        </is>
      </c>
      <c r="B45" s="122">
        <f>IF(OR($C45="",$A$13="",$A$13=0),"",$C45/$A$13)</f>
        <v/>
      </c>
      <c r="C45" s="77" t="n">
        <v>5000</v>
      </c>
      <c r="D45" s="76" t="n"/>
      <c r="E45" s="123" t="n">
        <v>0.025</v>
      </c>
      <c r="F45" s="53">
        <f>IF(OR($B45="",$E45="",$D$39=""),"",ROUND($B45*$D$39*$E45,2))</f>
        <v/>
      </c>
      <c r="G45" s="76" t="n"/>
      <c r="H45" s="123" t="n">
        <v>0.025</v>
      </c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inlineStr">
        <is>
          <t>quarto hospede roupeiro</t>
        </is>
      </c>
      <c r="B46" s="122">
        <f>IF(OR($C46="",$A$13="",$A$13=0),"",$C46/$A$13)</f>
        <v/>
      </c>
      <c r="C46" s="77" t="n">
        <v>12700</v>
      </c>
      <c r="D46" s="76" t="inlineStr">
        <is>
          <t>Jhon</t>
        </is>
      </c>
      <c r="E46" s="123" t="n">
        <v>0.025</v>
      </c>
      <c r="F46" s="53">
        <f>IF(OR($B46="",$E46="",$D$39=""),"",ROUND($B46*$D$39*$E46,2))</f>
        <v/>
      </c>
      <c r="G46" s="76" t="inlineStr">
        <is>
          <t>Jhon</t>
        </is>
      </c>
      <c r="H46" s="123" t="n">
        <v>0.025</v>
      </c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inlineStr">
        <is>
          <t>quarto suite + painel e mesa</t>
        </is>
      </c>
      <c r="B47" s="122">
        <f>IF(OR($C47="",$A$13="",$A$13=0),"",$C47/$A$13)</f>
        <v/>
      </c>
      <c r="C47" s="77" t="n">
        <v>14700</v>
      </c>
      <c r="D47" s="76" t="inlineStr">
        <is>
          <t>Jhon</t>
        </is>
      </c>
      <c r="E47" s="123" t="n">
        <v>0.025</v>
      </c>
      <c r="F47" s="53">
        <f>IF(OR($B47="",$E47="",$D$39=""),"",ROUND($B47*$D$39*$E47,2))</f>
        <v/>
      </c>
      <c r="G47" s="76" t="inlineStr">
        <is>
          <t>Jhon</t>
        </is>
      </c>
      <c r="H47" s="123" t="n">
        <v>0.025</v>
      </c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inlineStr">
        <is>
          <t>Jhon</t>
        </is>
      </c>
      <c r="E48" s="123" t="n">
        <v>0.02</v>
      </c>
      <c r="F48" s="53">
        <f>IF(OR($B48="",$E48="",$D$39=""),"",ROUND($B48*$D$39*$E48,2))</f>
        <v/>
      </c>
      <c r="G48" s="76" t="inlineStr">
        <is>
          <t>Jhon</t>
        </is>
      </c>
      <c r="H48" s="123" t="n">
        <v>0.025</v>
      </c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>
        <v>0.025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>
        <v>0.025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 xml:space="preserve">vidro </t>
        </is>
      </c>
      <c r="B127" s="87" t="inlineStr">
        <is>
          <t>Vidros e espelhos</t>
        </is>
      </c>
      <c r="C127" s="99" t="n"/>
      <c r="D127" s="125" t="n">
        <v>46289</v>
      </c>
      <c r="E127" s="89" t="n">
        <v>740</v>
      </c>
      <c r="F127" s="99" t="n"/>
      <c r="G127" s="90" t="inlineStr">
        <is>
          <t>PIX</t>
        </is>
      </c>
      <c r="H127" s="99" t="n"/>
      <c r="I127" s="91" t="inlineStr">
        <is>
          <t>Comprado (a pagar)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 xml:space="preserve">puxador </t>
        </is>
      </c>
      <c r="B128" s="87" t="inlineStr">
        <is>
          <t>Ferragens</t>
        </is>
      </c>
      <c r="C128" s="99" t="n"/>
      <c r="D128" s="125" t="n">
        <v>46289</v>
      </c>
      <c r="E128" s="89" t="n">
        <v>80</v>
      </c>
      <c r="F128" s="99" t="n"/>
      <c r="G128" s="90" t="inlineStr">
        <is>
          <t>PIX</t>
        </is>
      </c>
      <c r="H128" s="99" t="n"/>
      <c r="I128" s="91" t="inlineStr">
        <is>
          <t>Comprado (a pagar)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 xml:space="preserve">mão francesa </t>
        </is>
      </c>
      <c r="B129" s="87" t="inlineStr">
        <is>
          <t>Ferragens</t>
        </is>
      </c>
      <c r="C129" s="99" t="n"/>
      <c r="D129" s="125" t="n">
        <v>46291</v>
      </c>
      <c r="E129" s="89" t="n">
        <v>119.9</v>
      </c>
      <c r="F129" s="99" t="n"/>
      <c r="G129" s="90" t="inlineStr">
        <is>
          <t>PIX</t>
        </is>
      </c>
      <c r="H129" s="99" t="n"/>
      <c r="I129" s="91" t="inlineStr">
        <is>
          <t>Pago</t>
        </is>
      </c>
      <c r="J129" s="98" t="n"/>
      <c r="K129" s="98" t="n"/>
      <c r="L129" s="98" t="n"/>
      <c r="M129" s="99" t="n"/>
    </row>
    <row r="130" ht="17" customHeight="1">
      <c r="A130" s="76" t="inlineStr">
        <is>
          <t>tecido e espuma</t>
        </is>
      </c>
      <c r="B130" s="87" t="inlineStr">
        <is>
          <t>Acabamento</t>
        </is>
      </c>
      <c r="C130" s="99" t="n"/>
      <c r="D130" s="125" t="n">
        <v>46293</v>
      </c>
      <c r="E130" s="89" t="n">
        <v>354.75</v>
      </c>
      <c r="F130" s="99" t="n"/>
      <c r="G130" s="90" t="inlineStr">
        <is>
          <t>Cartão de crédito</t>
        </is>
      </c>
      <c r="H130" s="99" t="n"/>
      <c r="I130" s="91" t="inlineStr">
        <is>
          <t>Comprado (a pagar)</t>
        </is>
      </c>
      <c r="J130" s="98" t="n"/>
      <c r="K130" s="98" t="n"/>
      <c r="L130" s="98" t="n"/>
      <c r="M130" s="99" t="n"/>
    </row>
    <row r="131" ht="17" customHeight="1">
      <c r="A131" s="76" t="inlineStr">
        <is>
          <t xml:space="preserve">mdf  e fita </t>
        </is>
      </c>
      <c r="B131" s="87" t="inlineStr">
        <is>
          <t>MDF e MDP</t>
        </is>
      </c>
      <c r="C131" s="99" t="n"/>
      <c r="D131" s="125" t="n">
        <v>46290</v>
      </c>
      <c r="E131" s="89" t="n">
        <v>9605.190000000001</v>
      </c>
      <c r="F131" s="99" t="n"/>
      <c r="G131" s="90" t="inlineStr">
        <is>
          <t>Boleto</t>
        </is>
      </c>
      <c r="H131" s="99" t="n"/>
      <c r="I131" s="91" t="inlineStr">
        <is>
          <t>Comprado (a pagar)</t>
        </is>
      </c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>Andrea Luciene Monerat</t>
        </is>
      </c>
      <c r="B7" s="98" t="n"/>
      <c r="C7" s="99" t="n"/>
      <c r="D7" s="45" t="n">
        <v>68</v>
      </c>
      <c r="E7" s="99" t="n"/>
      <c r="F7" s="111" t="n">
        <v>46220</v>
      </c>
      <c r="G7" s="99" t="n"/>
      <c r="H7" s="111" t="n">
        <v>46280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 xml:space="preserve">1 Ambiente 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47000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>
        <v>0.1</v>
      </c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n"/>
      <c r="B127" s="87" t="n"/>
      <c r="C127" s="99" t="n"/>
      <c r="D127" s="125" t="n"/>
      <c r="E127" s="89" t="n"/>
      <c r="F127" s="99" t="n"/>
      <c r="G127" s="90" t="n"/>
      <c r="H127" s="99" t="n"/>
      <c r="I127" s="91" t="n"/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>Cristiane Andrade</t>
        </is>
      </c>
      <c r="B7" s="98" t="n"/>
      <c r="C7" s="99" t="n"/>
      <c r="D7" s="45" t="n">
        <v>78</v>
      </c>
      <c r="E7" s="99" t="n"/>
      <c r="F7" s="111" t="n">
        <v>46248</v>
      </c>
      <c r="G7" s="99" t="n"/>
      <c r="H7" s="111" t="n">
        <v>46298</v>
      </c>
      <c r="I7" s="99" t="n"/>
      <c r="J7" s="111" t="n">
        <v>46298</v>
      </c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 xml:space="preserve">3 Ambientes+Adega 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47500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>Argola/ Mercado livre</t>
        </is>
      </c>
      <c r="B127" s="87" t="inlineStr">
        <is>
          <t>Acabamento</t>
        </is>
      </c>
      <c r="C127" s="99" t="n"/>
      <c r="D127" s="125" t="n">
        <v>46259</v>
      </c>
      <c r="E127" s="89" t="n">
        <v>170</v>
      </c>
      <c r="F127" s="99" t="n"/>
      <c r="G127" s="90" t="inlineStr">
        <is>
          <t>PIX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>porta de vidro</t>
        </is>
      </c>
      <c r="B128" s="87" t="inlineStr">
        <is>
          <t>Vidros e espelhos</t>
        </is>
      </c>
      <c r="C128" s="99" t="n"/>
      <c r="D128" s="125" t="n">
        <v>46254</v>
      </c>
      <c r="E128" s="89" t="n">
        <v>1403.06</v>
      </c>
      <c r="F128" s="99" t="n"/>
      <c r="G128" s="90" t="inlineStr">
        <is>
          <t>PIX</t>
        </is>
      </c>
      <c r="H128" s="99" t="n"/>
      <c r="I128" s="91" t="inlineStr">
        <is>
          <t>Pago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>rodizio com freio/ casa do marceneiro</t>
        </is>
      </c>
      <c r="B129" s="87" t="inlineStr">
        <is>
          <t>Ferragens</t>
        </is>
      </c>
      <c r="C129" s="99" t="n"/>
      <c r="D129" s="125" t="n">
        <v>46259</v>
      </c>
      <c r="E129" s="89" t="n">
        <v>39.98</v>
      </c>
      <c r="F129" s="99" t="n"/>
      <c r="G129" s="90" t="inlineStr">
        <is>
          <t>Boleto</t>
        </is>
      </c>
      <c r="H129" s="99" t="n"/>
      <c r="I129" s="91" t="inlineStr">
        <is>
          <t>Comprado (a pagar)</t>
        </is>
      </c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Epe Formas </t>
        </is>
      </c>
      <c r="B7" s="98" t="n"/>
      <c r="C7" s="99" t="n"/>
      <c r="D7" s="45" t="n">
        <v>81</v>
      </c>
      <c r="E7" s="99" t="n"/>
      <c r="F7" s="111" t="n">
        <v>46258</v>
      </c>
      <c r="G7" s="99" t="n"/>
      <c r="H7" s="111" t="n">
        <v>46318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73000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n"/>
      <c r="B127" s="87" t="n"/>
      <c r="C127" s="99" t="n"/>
      <c r="D127" s="125" t="n"/>
      <c r="E127" s="89" t="n"/>
      <c r="F127" s="99" t="n"/>
      <c r="G127" s="90" t="n"/>
      <c r="H127" s="99" t="n"/>
      <c r="I127" s="91" t="n"/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Flavia Moacir </t>
        </is>
      </c>
      <c r="B7" s="98" t="n"/>
      <c r="C7" s="99" t="n"/>
      <c r="D7" s="45" t="n">
        <v>76</v>
      </c>
      <c r="E7" s="99" t="n"/>
      <c r="F7" s="111" t="n">
        <v>42589</v>
      </c>
      <c r="G7" s="99" t="n"/>
      <c r="H7" s="111" t="n">
        <v>42646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 xml:space="preserve">Portas+ Paineis 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15000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inlineStr">
        <is>
          <t>completo</t>
        </is>
      </c>
      <c r="B43" s="122">
        <f>IF(OR($C43="",$A$13="",$A$13=0),"",$C43/$A$13)</f>
        <v/>
      </c>
      <c r="C43" s="77" t="n">
        <v>15000</v>
      </c>
      <c r="D43" s="76" t="inlineStr">
        <is>
          <t>Ronald</t>
        </is>
      </c>
      <c r="E43" s="123" t="n">
        <v>0.025</v>
      </c>
      <c r="F43" s="53">
        <f>IF(OR($B43="",$E43="",$D$39=""),"",ROUND($B43*$D$39*$E43,2))</f>
        <v/>
      </c>
      <c r="G43" s="76" t="inlineStr">
        <is>
          <t>Jackson</t>
        </is>
      </c>
      <c r="H43" s="123" t="n">
        <v>0.025</v>
      </c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>
        <v>0.025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>
        <v>0.025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 xml:space="preserve">fitas </t>
        </is>
      </c>
      <c r="B127" s="87" t="inlineStr">
        <is>
          <t>Fita de borda</t>
        </is>
      </c>
      <c r="C127" s="99" t="n"/>
      <c r="D127" s="125" t="n">
        <v>46255</v>
      </c>
      <c r="E127" s="89" t="n">
        <v>114</v>
      </c>
      <c r="F127" s="99" t="n"/>
      <c r="G127" s="90" t="inlineStr">
        <is>
          <t>PIX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>mdf</t>
        </is>
      </c>
      <c r="B128" s="87" t="inlineStr">
        <is>
          <t>MDF e MDP</t>
        </is>
      </c>
      <c r="C128" s="99" t="n"/>
      <c r="D128" s="125" t="n">
        <v>46267</v>
      </c>
      <c r="E128" s="89" t="n">
        <v>1685.27</v>
      </c>
      <c r="F128" s="99" t="n"/>
      <c r="G128" s="90" t="inlineStr">
        <is>
          <t>Boleto</t>
        </is>
      </c>
      <c r="H128" s="99" t="n"/>
      <c r="I128" s="91" t="inlineStr">
        <is>
          <t>Comprado (a pagar)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>mdf</t>
        </is>
      </c>
      <c r="B129" s="87" t="inlineStr">
        <is>
          <t>MDF e MDP</t>
        </is>
      </c>
      <c r="C129" s="99" t="n"/>
      <c r="D129" s="125" t="n">
        <v>46287</v>
      </c>
      <c r="E129" s="89" t="n">
        <v>1283.8</v>
      </c>
      <c r="F129" s="99" t="n"/>
      <c r="G129" s="90" t="inlineStr">
        <is>
          <t>Cartão de crédito</t>
        </is>
      </c>
      <c r="H129" s="99" t="n"/>
      <c r="I129" s="91" t="inlineStr">
        <is>
          <t>Comprado (a pagar)</t>
        </is>
      </c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Graciene Elba Dos Santos </t>
        </is>
      </c>
      <c r="B7" s="98" t="n"/>
      <c r="C7" s="99" t="n"/>
      <c r="D7" s="45" t="n">
        <v>85</v>
      </c>
      <c r="E7" s="99" t="n"/>
      <c r="F7" s="111" t="n">
        <v>46318</v>
      </c>
      <c r="G7" s="99" t="n"/>
      <c r="H7" s="111" t="n">
        <v>46348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5000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n"/>
      <c r="B127" s="87" t="n"/>
      <c r="C127" s="99" t="n"/>
      <c r="D127" s="125" t="n"/>
      <c r="E127" s="89" t="n"/>
      <c r="F127" s="99" t="n"/>
      <c r="G127" s="90" t="n"/>
      <c r="H127" s="99" t="n"/>
      <c r="I127" s="91" t="n"/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Larissa Fernanda </t>
        </is>
      </c>
      <c r="B7" s="98" t="n"/>
      <c r="C7" s="99" t="n"/>
      <c r="D7" s="45" t="n">
        <v>84</v>
      </c>
      <c r="E7" s="99" t="n"/>
      <c r="F7" s="111" t="n">
        <v>46281</v>
      </c>
      <c r="G7" s="99" t="n"/>
      <c r="H7" s="111" t="n">
        <v>46341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88800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n"/>
      <c r="B127" s="87" t="n"/>
      <c r="C127" s="99" t="n"/>
      <c r="D127" s="125" t="n"/>
      <c r="E127" s="89" t="n"/>
      <c r="F127" s="99" t="n"/>
      <c r="G127" s="90" t="n"/>
      <c r="H127" s="99" t="n"/>
      <c r="I127" s="91" t="n"/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Leonardo dos Santos </t>
        </is>
      </c>
      <c r="B7" s="98" t="n"/>
      <c r="C7" s="99" t="n"/>
      <c r="D7" s="45" t="n">
        <v>80</v>
      </c>
      <c r="E7" s="99" t="n"/>
      <c r="F7" s="111" t="n">
        <v>46255</v>
      </c>
      <c r="G7" s="99" t="n"/>
      <c r="H7" s="111" t="n">
        <v>46282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>1 Ambientes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55800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>
        <v>2000</v>
      </c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 xml:space="preserve">RT Bruna </t>
        </is>
      </c>
      <c r="B127" s="87" t="inlineStr">
        <is>
          <t>comissão</t>
        </is>
      </c>
      <c r="C127" s="99" t="n"/>
      <c r="D127" s="125" t="n">
        <v>46258</v>
      </c>
      <c r="E127" s="89" t="n">
        <v>2000</v>
      </c>
      <c r="F127" s="99" t="n"/>
      <c r="G127" s="90" t="inlineStr">
        <is>
          <t>PIX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>Carla Dresller</t>
        </is>
      </c>
      <c r="B7" s="98" t="n"/>
      <c r="C7" s="99" t="n"/>
      <c r="D7" s="45" t="n">
        <v>65</v>
      </c>
      <c r="E7" s="99" t="n"/>
      <c r="F7" s="111" t="n">
        <v>46190</v>
      </c>
      <c r="G7" s="99" t="n"/>
      <c r="H7" s="111" t="n">
        <v>46258</v>
      </c>
      <c r="I7" s="99" t="n"/>
      <c r="J7" s="111" t="n">
        <v>46277</v>
      </c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>1 Ambientes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27000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>
        <v>285.35</v>
      </c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 xml:space="preserve">uber </t>
        </is>
      </c>
      <c r="B127" s="87" t="inlineStr">
        <is>
          <t>Uber e aplicativo</t>
        </is>
      </c>
      <c r="C127" s="99" t="n"/>
      <c r="D127" s="125" t="n">
        <v>46260</v>
      </c>
      <c r="E127" s="89" t="n">
        <v>15.08</v>
      </c>
      <c r="F127" s="99" t="n"/>
      <c r="G127" s="90" t="inlineStr">
        <is>
          <t>Cartão de crédito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>carreto/Neto</t>
        </is>
      </c>
      <c r="B128" s="87" t="inlineStr">
        <is>
          <t>Carreto e entrega</t>
        </is>
      </c>
      <c r="C128" s="99" t="n"/>
      <c r="D128" s="125" t="n">
        <v>46260</v>
      </c>
      <c r="E128" s="89" t="n">
        <v>200</v>
      </c>
      <c r="F128" s="99" t="n"/>
      <c r="G128" s="90" t="inlineStr">
        <is>
          <t>A combinar</t>
        </is>
      </c>
      <c r="H128" s="99" t="n"/>
      <c r="I128" s="91" t="inlineStr">
        <is>
          <t>Comprado (a pagar)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 xml:space="preserve">portas / Alumindoor </t>
        </is>
      </c>
      <c r="B129" s="87" t="inlineStr">
        <is>
          <t>Vidros e espelhos</t>
        </is>
      </c>
      <c r="C129" s="99" t="n"/>
      <c r="D129" s="125" t="n">
        <v>46255</v>
      </c>
      <c r="E129" s="89" t="n">
        <v>1300</v>
      </c>
      <c r="F129" s="99" t="n"/>
      <c r="G129" s="90" t="inlineStr">
        <is>
          <t>PIX</t>
        </is>
      </c>
      <c r="H129" s="99" t="n"/>
      <c r="I129" s="91" t="inlineStr">
        <is>
          <t>Comprado (a pagar)</t>
        </is>
      </c>
      <c r="J129" s="98" t="n"/>
      <c r="K129" s="98" t="n"/>
      <c r="L129" s="98" t="n"/>
      <c r="M129" s="99" t="n"/>
    </row>
    <row r="130" ht="17" customHeight="1">
      <c r="A130" s="76" t="inlineStr">
        <is>
          <t xml:space="preserve">sensor e drive / mercado livre </t>
        </is>
      </c>
      <c r="B130" s="87" t="inlineStr">
        <is>
          <t>Acabamento</t>
        </is>
      </c>
      <c r="C130" s="99" t="n"/>
      <c r="D130" s="125" t="n">
        <v>46255</v>
      </c>
      <c r="E130" s="89" t="n">
        <v>118.52</v>
      </c>
      <c r="F130" s="99" t="n"/>
      <c r="G130" s="90" t="inlineStr">
        <is>
          <t>PIX</t>
        </is>
      </c>
      <c r="H130" s="99" t="n"/>
      <c r="I130" s="91" t="inlineStr">
        <is>
          <t>Pago</t>
        </is>
      </c>
      <c r="J130" s="98" t="n"/>
      <c r="K130" s="98" t="n"/>
      <c r="L130" s="98" t="n"/>
      <c r="M130" s="99" t="n"/>
    </row>
    <row r="131" ht="17" customHeight="1">
      <c r="A131" s="76" t="inlineStr">
        <is>
          <t>puxador /casaa do marceneiro</t>
        </is>
      </c>
      <c r="B131" s="87" t="inlineStr">
        <is>
          <t>Acabamento</t>
        </is>
      </c>
      <c r="C131" s="99" t="n"/>
      <c r="D131" s="125" t="n">
        <v>46258</v>
      </c>
      <c r="E131" s="89" t="n">
        <v>45.8</v>
      </c>
      <c r="F131" s="99" t="n"/>
      <c r="G131" s="90" t="inlineStr">
        <is>
          <t>Boleto</t>
        </is>
      </c>
      <c r="H131" s="99" t="n"/>
      <c r="I131" s="91" t="inlineStr">
        <is>
          <t>Comprado (a pagar)</t>
        </is>
      </c>
      <c r="J131" s="98" t="n"/>
      <c r="K131" s="98" t="n"/>
      <c r="L131" s="98" t="n"/>
      <c r="M131" s="99" t="n"/>
    </row>
    <row r="132" ht="17" customHeight="1">
      <c r="A132" s="76" t="inlineStr">
        <is>
          <t xml:space="preserve">RO 82/ mercado livre </t>
        </is>
      </c>
      <c r="B132" s="87" t="inlineStr">
        <is>
          <t>Ferragens</t>
        </is>
      </c>
      <c r="C132" s="99" t="n"/>
      <c r="D132" s="125" t="n">
        <v>46258</v>
      </c>
      <c r="E132" s="89" t="n">
        <v>353</v>
      </c>
      <c r="F132" s="99" t="n"/>
      <c r="G132" s="90" t="inlineStr">
        <is>
          <t>PIX</t>
        </is>
      </c>
      <c r="H132" s="99" t="n"/>
      <c r="I132" s="91" t="inlineStr">
        <is>
          <t>Pago</t>
        </is>
      </c>
      <c r="J132" s="98" t="n"/>
      <c r="K132" s="98" t="n"/>
      <c r="L132" s="98" t="n"/>
      <c r="M132" s="99" t="n"/>
    </row>
    <row r="133" ht="17" customHeight="1">
      <c r="A133" s="76" t="inlineStr">
        <is>
          <t xml:space="preserve">trilho/ mercado livre </t>
        </is>
      </c>
      <c r="B133" s="87" t="inlineStr">
        <is>
          <t>Ferragens</t>
        </is>
      </c>
      <c r="C133" s="99" t="n"/>
      <c r="D133" s="125" t="n">
        <v>46258</v>
      </c>
      <c r="E133" s="89" t="n">
        <v>235</v>
      </c>
      <c r="F133" s="99" t="n"/>
      <c r="G133" s="90" t="inlineStr">
        <is>
          <t>PIX</t>
        </is>
      </c>
      <c r="H133" s="99" t="n"/>
      <c r="I133" s="91" t="inlineStr">
        <is>
          <t>Pago</t>
        </is>
      </c>
      <c r="J133" s="98" t="n"/>
      <c r="K133" s="98" t="n"/>
      <c r="L133" s="98" t="n"/>
      <c r="M133" s="99" t="n"/>
    </row>
    <row r="134" ht="17" customHeight="1">
      <c r="A134" s="76" t="inlineStr">
        <is>
          <t xml:space="preserve">fita /veredas </t>
        </is>
      </c>
      <c r="B134" s="87" t="inlineStr">
        <is>
          <t>Fita de borda</t>
        </is>
      </c>
      <c r="C134" s="99" t="n"/>
      <c r="D134" s="125" t="n">
        <v>46260</v>
      </c>
      <c r="E134" s="89" t="n">
        <v>55.5</v>
      </c>
      <c r="F134" s="99" t="n"/>
      <c r="G134" s="90" t="inlineStr">
        <is>
          <t>PIX</t>
        </is>
      </c>
      <c r="H134" s="99" t="n"/>
      <c r="I134" s="91" t="inlineStr">
        <is>
          <t>Pago</t>
        </is>
      </c>
      <c r="J134" s="98" t="n"/>
      <c r="K134" s="98" t="n"/>
      <c r="L134" s="98" t="n"/>
      <c r="M134" s="99" t="n"/>
    </row>
    <row r="135" ht="17" customHeight="1">
      <c r="A135" s="76" t="inlineStr">
        <is>
          <t xml:space="preserve">fita /veredas </t>
        </is>
      </c>
      <c r="B135" s="87" t="inlineStr">
        <is>
          <t>Fita de borda</t>
        </is>
      </c>
      <c r="C135" s="99" t="n"/>
      <c r="D135" s="125" t="n">
        <v>46260</v>
      </c>
      <c r="E135" s="89" t="n">
        <v>59</v>
      </c>
      <c r="F135" s="99" t="n"/>
      <c r="G135" s="90" t="inlineStr">
        <is>
          <t>PIX</t>
        </is>
      </c>
      <c r="H135" s="99" t="n"/>
      <c r="I135" s="91" t="inlineStr">
        <is>
          <t>Pago</t>
        </is>
      </c>
      <c r="J135" s="98" t="n"/>
      <c r="K135" s="98" t="n"/>
      <c r="L135" s="98" t="n"/>
      <c r="M135" s="99" t="n"/>
    </row>
    <row r="136" ht="17" customHeight="1">
      <c r="A136" s="76" t="inlineStr">
        <is>
          <t xml:space="preserve">uber </t>
        </is>
      </c>
      <c r="B136" s="87" t="inlineStr">
        <is>
          <t>Uber e aplicativo</t>
        </is>
      </c>
      <c r="C136" s="99" t="n"/>
      <c r="D136" s="125" t="n">
        <v>46261</v>
      </c>
      <c r="E136" s="89" t="n">
        <v>16.66</v>
      </c>
      <c r="F136" s="99" t="n"/>
      <c r="G136" s="90" t="inlineStr">
        <is>
          <t>Cartão de crédito</t>
        </is>
      </c>
      <c r="H136" s="99" t="n"/>
      <c r="I136" s="91" t="inlineStr">
        <is>
          <t>Pago</t>
        </is>
      </c>
      <c r="J136" s="98" t="n"/>
      <c r="K136" s="98" t="n"/>
      <c r="L136" s="98" t="n"/>
      <c r="M136" s="99" t="n"/>
    </row>
    <row r="137" ht="17" customHeight="1">
      <c r="A137" s="76" t="inlineStr">
        <is>
          <t>mdf e mdp — lançado à mão na ficha antiga, conferir</t>
        </is>
      </c>
      <c r="B137" s="87" t="inlineStr">
        <is>
          <t>MDF e MDP</t>
        </is>
      </c>
      <c r="C137" s="99" t="n"/>
      <c r="D137" s="125" t="n"/>
      <c r="E137" s="89" t="n">
        <v>285.35</v>
      </c>
      <c r="F137" s="99" t="n"/>
      <c r="G137" s="90" t="n"/>
      <c r="H137" s="99" t="n"/>
      <c r="I137" s="91" t="inlineStr">
        <is>
          <t>Pago</t>
        </is>
      </c>
      <c r="J137" s="98" t="n"/>
      <c r="K137" s="98" t="n"/>
      <c r="L137" s="98" t="n"/>
      <c r="M137" s="99" t="n"/>
    </row>
    <row r="138" ht="17" customHeight="1">
      <c r="A138" s="76" t="inlineStr">
        <is>
          <t>consumíveis — lançado à mão na ficha antiga, conferir</t>
        </is>
      </c>
      <c r="B138" s="87" t="inlineStr">
        <is>
          <t>Consumíveis</t>
        </is>
      </c>
      <c r="C138" s="99" t="n"/>
      <c r="D138" s="125" t="n"/>
      <c r="E138" s="89" t="n">
        <v>45.8</v>
      </c>
      <c r="F138" s="99" t="n"/>
      <c r="G138" s="90" t="n"/>
      <c r="H138" s="99" t="n"/>
      <c r="I138" s="91" t="inlineStr">
        <is>
          <t>Pago</t>
        </is>
      </c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Sa  Gondolas/Maria </t>
        </is>
      </c>
      <c r="B7" s="98" t="n"/>
      <c r="C7" s="99" t="n"/>
      <c r="D7" s="45" t="n">
        <v>41</v>
      </c>
      <c r="E7" s="99" t="n"/>
      <c r="F7" s="111" t="n">
        <v>46111</v>
      </c>
      <c r="G7" s="99" t="n"/>
      <c r="H7" s="111" t="inlineStr">
        <is>
          <t>30/06/0226</t>
        </is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117738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 xml:space="preserve">mini spot/mercado livre </t>
        </is>
      </c>
      <c r="B127" s="87" t="inlineStr">
        <is>
          <t>Acabamento</t>
        </is>
      </c>
      <c r="C127" s="99" t="n"/>
      <c r="D127" s="125" t="n">
        <v>46255</v>
      </c>
      <c r="E127" s="89" t="n">
        <v>99.98999999999999</v>
      </c>
      <c r="F127" s="99" t="n"/>
      <c r="G127" s="90" t="inlineStr">
        <is>
          <t>PIX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>mdf</t>
        </is>
      </c>
      <c r="B128" s="87" t="inlineStr">
        <is>
          <t>MDF e MDP</t>
        </is>
      </c>
      <c r="C128" s="99" t="n"/>
      <c r="D128" s="125" t="n">
        <v>46265</v>
      </c>
      <c r="E128" s="89" t="n">
        <v>1483.72</v>
      </c>
      <c r="F128" s="99" t="n"/>
      <c r="G128" s="90" t="inlineStr">
        <is>
          <t>Boleto</t>
        </is>
      </c>
      <c r="H128" s="99" t="n"/>
      <c r="I128" s="91" t="inlineStr">
        <is>
          <t>Comprado (a pagar)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 xml:space="preserve">barra puxador rometal </t>
        </is>
      </c>
      <c r="B129" s="87" t="inlineStr">
        <is>
          <t>Ferragens</t>
        </is>
      </c>
      <c r="C129" s="99" t="n"/>
      <c r="D129" s="125" t="n">
        <v>46267</v>
      </c>
      <c r="E129" s="89" t="n"/>
      <c r="F129" s="99" t="n"/>
      <c r="G129" s="90" t="inlineStr">
        <is>
          <t>Boleto</t>
        </is>
      </c>
      <c r="H129" s="99" t="n"/>
      <c r="I129" s="91" t="inlineStr">
        <is>
          <t>Pago</t>
        </is>
      </c>
      <c r="J129" s="98" t="n"/>
      <c r="K129" s="98" t="n"/>
      <c r="L129" s="98" t="n"/>
      <c r="M129" s="99" t="n"/>
    </row>
    <row r="130" ht="17" customHeight="1">
      <c r="A130" s="76" t="inlineStr">
        <is>
          <t>2 portas de vidro</t>
        </is>
      </c>
      <c r="B130" s="87" t="inlineStr">
        <is>
          <t>Vidros e espelhos</t>
        </is>
      </c>
      <c r="C130" s="99" t="n"/>
      <c r="D130" s="125" t="n">
        <v>46275</v>
      </c>
      <c r="E130" s="89" t="n">
        <v>365</v>
      </c>
      <c r="F130" s="99" t="n"/>
      <c r="G130" s="90" t="inlineStr">
        <is>
          <t>PIX</t>
        </is>
      </c>
      <c r="H130" s="99" t="n"/>
      <c r="I130" s="91" t="inlineStr">
        <is>
          <t>Comprado (a pagar)</t>
        </is>
      </c>
      <c r="J130" s="98" t="n"/>
      <c r="K130" s="98" t="n"/>
      <c r="L130" s="98" t="n"/>
      <c r="M130" s="99" t="n"/>
    </row>
    <row r="131" ht="17" customHeight="1">
      <c r="A131" s="76" t="inlineStr">
        <is>
          <t xml:space="preserve">mdf </t>
        </is>
      </c>
      <c r="B131" s="87" t="inlineStr">
        <is>
          <t>MDF e MDP</t>
        </is>
      </c>
      <c r="C131" s="99" t="n"/>
      <c r="D131" s="125" t="n">
        <v>46280</v>
      </c>
      <c r="E131" s="89" t="n">
        <v>7499.3</v>
      </c>
      <c r="F131" s="99" t="n"/>
      <c r="G131" s="90" t="inlineStr">
        <is>
          <t>Cartão de crédito</t>
        </is>
      </c>
      <c r="H131" s="99" t="n"/>
      <c r="I131" s="91" t="inlineStr">
        <is>
          <t>Comprado (a pagar)</t>
        </is>
      </c>
      <c r="J131" s="98" t="n"/>
      <c r="K131" s="98" t="n"/>
      <c r="L131" s="98" t="n"/>
      <c r="M131" s="99" t="n"/>
    </row>
    <row r="132" ht="17" customHeight="1">
      <c r="A132" s="76" t="inlineStr">
        <is>
          <t xml:space="preserve">puxador zen </t>
        </is>
      </c>
      <c r="B132" s="87" t="inlineStr">
        <is>
          <t>Ferragens</t>
        </is>
      </c>
      <c r="C132" s="99" t="n"/>
      <c r="D132" s="125" t="n">
        <v>46281</v>
      </c>
      <c r="E132" s="89" t="n">
        <v>143.37</v>
      </c>
      <c r="F132" s="99" t="n"/>
      <c r="G132" s="90" t="inlineStr">
        <is>
          <t xml:space="preserve">pix </t>
        </is>
      </c>
      <c r="H132" s="99" t="n"/>
      <c r="I132" s="91" t="inlineStr">
        <is>
          <t>Pago</t>
        </is>
      </c>
      <c r="J132" s="98" t="n"/>
      <c r="K132" s="98" t="n"/>
      <c r="L132" s="98" t="n"/>
      <c r="M132" s="99" t="n"/>
    </row>
    <row r="133" ht="17" customHeight="1">
      <c r="A133" s="76" t="inlineStr">
        <is>
          <t xml:space="preserve">vidro extra clear </t>
        </is>
      </c>
      <c r="B133" s="87" t="inlineStr">
        <is>
          <t>Vidraceiro</t>
        </is>
      </c>
      <c r="C133" s="99" t="n"/>
      <c r="D133" s="125" t="n">
        <v>46281</v>
      </c>
      <c r="E133" s="89" t="n">
        <v>1200</v>
      </c>
      <c r="F133" s="99" t="n"/>
      <c r="G133" s="90" t="inlineStr">
        <is>
          <t xml:space="preserve">pix </t>
        </is>
      </c>
      <c r="H133" s="99" t="n"/>
      <c r="I133" s="91" t="inlineStr">
        <is>
          <t>Pago</t>
        </is>
      </c>
      <c r="J133" s="98" t="n"/>
      <c r="K133" s="98" t="n"/>
      <c r="L133" s="98" t="n"/>
      <c r="M133" s="99" t="n"/>
    </row>
    <row r="134" ht="17" customHeight="1">
      <c r="A134" s="76" t="inlineStr">
        <is>
          <t xml:space="preserve">porta de vidro </t>
        </is>
      </c>
      <c r="B134" s="87" t="inlineStr">
        <is>
          <t>Vidraceiro</t>
        </is>
      </c>
      <c r="C134" s="99" t="n"/>
      <c r="D134" s="125" t="n">
        <v>46279</v>
      </c>
      <c r="E134" s="89" t="n">
        <v>1140</v>
      </c>
      <c r="F134" s="99" t="n"/>
      <c r="G134" s="90" t="inlineStr">
        <is>
          <t>PIX</t>
        </is>
      </c>
      <c r="H134" s="99" t="n"/>
      <c r="I134" s="91" t="inlineStr">
        <is>
          <t>Comprado (a pagar)</t>
        </is>
      </c>
      <c r="J134" s="98" t="n"/>
      <c r="K134" s="98" t="n"/>
      <c r="L134" s="98" t="n"/>
      <c r="M134" s="99" t="n"/>
    </row>
    <row r="135" ht="17" customHeight="1">
      <c r="A135" s="76" t="inlineStr">
        <is>
          <t xml:space="preserve">drive </t>
        </is>
      </c>
      <c r="B135" s="87" t="inlineStr">
        <is>
          <t>Acabamento</t>
        </is>
      </c>
      <c r="C135" s="99" t="n"/>
      <c r="D135" s="125" t="n">
        <v>46283</v>
      </c>
      <c r="E135" s="89" t="n">
        <v>16.4</v>
      </c>
      <c r="F135" s="99" t="n"/>
      <c r="G135" s="90" t="inlineStr">
        <is>
          <t>pix</t>
        </is>
      </c>
      <c r="H135" s="99" t="n"/>
      <c r="I135" s="91" t="inlineStr">
        <is>
          <t>Pago</t>
        </is>
      </c>
      <c r="J135" s="98" t="n"/>
      <c r="K135" s="98" t="n"/>
      <c r="L135" s="98" t="n"/>
      <c r="M135" s="99" t="n"/>
    </row>
    <row r="136" ht="17" customHeight="1">
      <c r="A136" s="76" t="inlineStr">
        <is>
          <t>ccarreto vidro extra clear</t>
        </is>
      </c>
      <c r="B136" s="87" t="inlineStr">
        <is>
          <t>Vidros e espelhos</t>
        </is>
      </c>
      <c r="C136" s="99" t="n"/>
      <c r="D136" s="125" t="n">
        <v>46287</v>
      </c>
      <c r="E136" s="89" t="n">
        <v>300</v>
      </c>
      <c r="F136" s="99" t="n"/>
      <c r="G136" s="90" t="inlineStr">
        <is>
          <t>PIX</t>
        </is>
      </c>
      <c r="H136" s="99" t="n"/>
      <c r="I136" s="91" t="inlineStr">
        <is>
          <t>Comprado (a pagar)</t>
        </is>
      </c>
      <c r="J136" s="98" t="n"/>
      <c r="K136" s="98" t="n"/>
      <c r="L136" s="98" t="n"/>
      <c r="M136" s="99" t="n"/>
    </row>
    <row r="137" ht="17" customHeight="1">
      <c r="A137" s="76" t="inlineStr">
        <is>
          <t>mdf</t>
        </is>
      </c>
      <c r="B137" s="87" t="inlineStr">
        <is>
          <t>MDF e MDP</t>
        </is>
      </c>
      <c r="C137" s="99" t="n"/>
      <c r="D137" s="125" t="n">
        <v>46287</v>
      </c>
      <c r="E137" s="89" t="n">
        <v>1324.5</v>
      </c>
      <c r="F137" s="99" t="n"/>
      <c r="G137" s="90" t="inlineStr">
        <is>
          <t>Cartão de crédito</t>
        </is>
      </c>
      <c r="H137" s="99" t="n"/>
      <c r="I137" s="91" t="inlineStr">
        <is>
          <t>Comprado (a pagar)</t>
        </is>
      </c>
      <c r="J137" s="98" t="n"/>
      <c r="K137" s="98" t="n"/>
      <c r="L137" s="98" t="n"/>
      <c r="M137" s="99" t="n"/>
    </row>
    <row r="138" ht="17" customHeight="1">
      <c r="A138" s="76" t="inlineStr">
        <is>
          <t xml:space="preserve">spot </t>
        </is>
      </c>
      <c r="B138" s="87" t="inlineStr">
        <is>
          <t>Acabamento</t>
        </is>
      </c>
      <c r="C138" s="99" t="n"/>
      <c r="D138" s="125" t="n">
        <v>46288</v>
      </c>
      <c r="E138" s="89" t="n">
        <v>26.9</v>
      </c>
      <c r="F138" s="99" t="n"/>
      <c r="G138" s="90" t="inlineStr">
        <is>
          <t>PIX</t>
        </is>
      </c>
      <c r="H138" s="99" t="n"/>
      <c r="I138" s="91" t="inlineStr">
        <is>
          <t>Pago</t>
        </is>
      </c>
      <c r="J138" s="98" t="n"/>
      <c r="K138" s="98" t="n"/>
      <c r="L138" s="98" t="n"/>
      <c r="M138" s="99" t="n"/>
    </row>
    <row r="139" ht="17" customHeight="1">
      <c r="A139" s="76" t="inlineStr">
        <is>
          <t xml:space="preserve">roda bike </t>
        </is>
      </c>
      <c r="B139" s="87" t="inlineStr">
        <is>
          <t>Ferragens</t>
        </is>
      </c>
      <c r="C139" s="99" t="n"/>
      <c r="D139" s="125" t="n">
        <v>46290</v>
      </c>
      <c r="E139" s="89" t="n">
        <v>600</v>
      </c>
      <c r="F139" s="99" t="n"/>
      <c r="G139" s="90" t="inlineStr">
        <is>
          <t>Cartão de crédito</t>
        </is>
      </c>
      <c r="H139" s="99" t="n"/>
      <c r="I139" s="91" t="inlineStr">
        <is>
          <t>Comprado (a pagar)</t>
        </is>
      </c>
      <c r="J139" s="98" t="n"/>
      <c r="K139" s="98" t="n"/>
      <c r="L139" s="98" t="n"/>
      <c r="M139" s="99" t="n"/>
    </row>
    <row r="140" ht="17" customHeight="1">
      <c r="A140" s="76" t="inlineStr">
        <is>
          <t xml:space="preserve">fita </t>
        </is>
      </c>
      <c r="B140" s="87" t="inlineStr">
        <is>
          <t>Fita de borda</t>
        </is>
      </c>
      <c r="C140" s="99" t="n"/>
      <c r="D140" s="125" t="n">
        <v>46290</v>
      </c>
      <c r="E140" s="89" t="n">
        <v>108</v>
      </c>
      <c r="F140" s="99" t="n"/>
      <c r="G140" s="90" t="inlineStr">
        <is>
          <t>PIX</t>
        </is>
      </c>
      <c r="H140" s="99" t="n"/>
      <c r="I140" s="91" t="inlineStr">
        <is>
          <t>Pago</t>
        </is>
      </c>
      <c r="J140" s="98" t="n"/>
      <c r="K140" s="98" t="n"/>
      <c r="L140" s="98" t="n"/>
      <c r="M140" s="99" t="n"/>
    </row>
    <row r="141" ht="17" customHeight="1">
      <c r="A141" s="76" t="inlineStr">
        <is>
          <t>fida de borda</t>
        </is>
      </c>
      <c r="B141" s="87" t="inlineStr">
        <is>
          <t>Fita de borda</t>
        </is>
      </c>
      <c r="C141" s="99" t="n"/>
      <c r="D141" s="125" t="n">
        <v>46291</v>
      </c>
      <c r="E141" s="89" t="n">
        <v>100</v>
      </c>
      <c r="F141" s="99" t="n"/>
      <c r="G141" s="90" t="inlineStr">
        <is>
          <t>PIX</t>
        </is>
      </c>
      <c r="H141" s="99" t="n"/>
      <c r="I141" s="91" t="inlineStr">
        <is>
          <t>Pago</t>
        </is>
      </c>
      <c r="J141" s="98" t="n"/>
      <c r="K141" s="98" t="n"/>
      <c r="L141" s="98" t="n"/>
      <c r="M141" s="99" t="n"/>
    </row>
    <row r="142" ht="17" customHeight="1">
      <c r="A142" s="76" t="inlineStr">
        <is>
          <t xml:space="preserve">cola para vidro </t>
        </is>
      </c>
      <c r="B142" s="87" t="inlineStr">
        <is>
          <t>Consumíveis</t>
        </is>
      </c>
      <c r="C142" s="99" t="n"/>
      <c r="D142" s="125" t="n">
        <v>46297</v>
      </c>
      <c r="E142" s="89" t="n">
        <v>250</v>
      </c>
      <c r="F142" s="99" t="n"/>
      <c r="G142" s="90" t="inlineStr">
        <is>
          <t>PIX</t>
        </is>
      </c>
      <c r="H142" s="99" t="n"/>
      <c r="I142" s="91" t="inlineStr">
        <is>
          <t>Pago</t>
        </is>
      </c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>Nadia Naouaf</t>
        </is>
      </c>
      <c r="B7" s="98" t="n"/>
      <c r="C7" s="99" t="n"/>
      <c r="D7" s="45" t="n">
        <v>79</v>
      </c>
      <c r="E7" s="99" t="n"/>
      <c r="F7" s="111" t="n">
        <v>46251</v>
      </c>
      <c r="G7" s="99" t="n"/>
      <c r="H7" s="111" t="n">
        <v>46306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>5 Ambientes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112500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inlineStr">
        <is>
          <t>Lavandeira 1</t>
        </is>
      </c>
      <c r="B43" s="122">
        <f>IF(OR($C43="",$A$13="",$A$13=0),"",$C43/$A$13)</f>
        <v/>
      </c>
      <c r="C43" s="77" t="n">
        <v>4910</v>
      </c>
      <c r="D43" s="76" t="n"/>
      <c r="E43" s="123" t="n">
        <v>0.025</v>
      </c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inlineStr">
        <is>
          <t>Lavandeira 2</t>
        </is>
      </c>
      <c r="B44" s="122">
        <f>IF(OR($C44="",$A$13="",$A$13=0),"",$C44/$A$13)</f>
        <v/>
      </c>
      <c r="C44" s="77" t="n">
        <v>4910</v>
      </c>
      <c r="D44" s="76" t="n"/>
      <c r="E44" s="123" t="n">
        <v>0.025</v>
      </c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inlineStr">
        <is>
          <t>cozinha (inferiores, superiores, ilha)</t>
        </is>
      </c>
      <c r="B45" s="122">
        <f>IF(OR($C45="",$A$13="",$A$13=0),"",$C45/$A$13)</f>
        <v/>
      </c>
      <c r="C45" s="77" t="n">
        <v>56610</v>
      </c>
      <c r="D45" s="76" t="n"/>
      <c r="E45" s="123" t="n">
        <v>0.025</v>
      </c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inlineStr">
        <is>
          <t>cristaleira 1</t>
        </is>
      </c>
      <c r="B46" s="122">
        <f>IF(OR($C46="",$A$13="",$A$13=0),"",$C46/$A$13)</f>
        <v/>
      </c>
      <c r="C46" s="77" t="n">
        <v>4740</v>
      </c>
      <c r="D46" s="76" t="n"/>
      <c r="E46" s="123" t="n">
        <v>0.025</v>
      </c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inlineStr">
        <is>
          <t>cristaleira 2</t>
        </is>
      </c>
      <c r="B47" s="122">
        <f>IF(OR($C47="",$A$13="",$A$13=0),"",$C47/$A$13)</f>
        <v/>
      </c>
      <c r="C47" s="77" t="n">
        <v>3360</v>
      </c>
      <c r="D47" s="76" t="n"/>
      <c r="E47" s="123" t="n">
        <v>0.025</v>
      </c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inlineStr">
        <is>
          <t>painel de tv</t>
        </is>
      </c>
      <c r="B48" s="122">
        <f>IF(OR($C48="",$A$13="",$A$13=0),"",$C48/$A$13)</f>
        <v/>
      </c>
      <c r="C48" s="77" t="n">
        <v>1890</v>
      </c>
      <c r="D48" s="76" t="n"/>
      <c r="E48" s="123" t="n">
        <v>0.025</v>
      </c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inlineStr">
        <is>
          <t>closet</t>
        </is>
      </c>
      <c r="B49" s="122">
        <f>IF(OR($C49="",$A$13="",$A$13=0),"",$C49/$A$13)</f>
        <v/>
      </c>
      <c r="C49" s="77" t="n">
        <v>30790</v>
      </c>
      <c r="D49" s="76" t="n"/>
      <c r="E49" s="123" t="n">
        <v>0.025</v>
      </c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inlineStr">
        <is>
          <t>armário corredor</t>
        </is>
      </c>
      <c r="B50" s="122">
        <f>IF(OR($C50="",$A$13="",$A$13=0),"",$C50/$A$13)</f>
        <v/>
      </c>
      <c r="C50" s="77" t="n">
        <v>5290</v>
      </c>
      <c r="D50" s="76" t="n"/>
      <c r="E50" s="123" t="n">
        <v>0.025</v>
      </c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n"/>
      <c r="B127" s="87" t="n"/>
      <c r="C127" s="99" t="n"/>
      <c r="D127" s="125" t="n"/>
      <c r="E127" s="89" t="n"/>
      <c r="F127" s="99" t="n"/>
      <c r="G127" s="90" t="n"/>
      <c r="H127" s="99" t="n"/>
      <c r="I127" s="91" t="n"/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Shelf </t>
        </is>
      </c>
      <c r="B7" s="98" t="n"/>
      <c r="C7" s="99" t="n"/>
      <c r="D7" s="45" t="n">
        <v>83</v>
      </c>
      <c r="E7" s="99" t="n"/>
      <c r="F7" s="111" t="n">
        <v>46281</v>
      </c>
      <c r="G7" s="99" t="n"/>
      <c r="H7" s="111" t="n">
        <v>46346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21855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n"/>
      <c r="B111" s="76" t="n"/>
      <c r="C111" s="98" t="n"/>
      <c r="D111" s="99" t="n"/>
      <c r="E111" s="84" t="n"/>
      <c r="F111" s="99" t="n"/>
      <c r="G111" s="70" t="n"/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n"/>
      <c r="B112" s="76" t="n"/>
      <c r="C112" s="98" t="n"/>
      <c r="D112" s="99" t="n"/>
      <c r="E112" s="84" t="n"/>
      <c r="F112" s="99" t="n"/>
      <c r="G112" s="70" t="n"/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n"/>
      <c r="B127" s="87" t="n"/>
      <c r="C127" s="99" t="n"/>
      <c r="D127" s="125" t="n"/>
      <c r="E127" s="89" t="n"/>
      <c r="F127" s="99" t="n"/>
      <c r="G127" s="90" t="n"/>
      <c r="H127" s="99" t="n"/>
      <c r="I127" s="91" t="n"/>
      <c r="J127" s="98" t="n"/>
      <c r="K127" s="98" t="n"/>
      <c r="L127" s="98" t="n"/>
      <c r="M127" s="99" t="n"/>
    </row>
    <row r="128" ht="17" customHeight="1">
      <c r="A128" s="76" t="n"/>
      <c r="B128" s="87" t="n"/>
      <c r="C128" s="99" t="n"/>
      <c r="D128" s="125" t="n"/>
      <c r="E128" s="89" t="n"/>
      <c r="F128" s="99" t="n"/>
      <c r="G128" s="90" t="n"/>
      <c r="H128" s="99" t="n"/>
      <c r="I128" s="91" t="n"/>
      <c r="J128" s="98" t="n"/>
      <c r="K128" s="98" t="n"/>
      <c r="L128" s="98" t="n"/>
      <c r="M128" s="99" t="n"/>
    </row>
    <row r="129" ht="17" customHeight="1">
      <c r="A129" s="76" t="n"/>
      <c r="B129" s="87" t="n"/>
      <c r="C129" s="99" t="n"/>
      <c r="D129" s="125" t="n"/>
      <c r="E129" s="89" t="n"/>
      <c r="F129" s="99" t="n"/>
      <c r="G129" s="90" t="n"/>
      <c r="H129" s="99" t="n"/>
      <c r="I129" s="91" t="n"/>
      <c r="J129" s="98" t="n"/>
      <c r="K129" s="98" t="n"/>
      <c r="L129" s="98" t="n"/>
      <c r="M129" s="99" t="n"/>
    </row>
    <row r="130" ht="17" customHeight="1">
      <c r="A130" s="76" t="n"/>
      <c r="B130" s="87" t="n"/>
      <c r="C130" s="99" t="n"/>
      <c r="D130" s="125" t="n"/>
      <c r="E130" s="89" t="n"/>
      <c r="F130" s="99" t="n"/>
      <c r="G130" s="90" t="n"/>
      <c r="H130" s="99" t="n"/>
      <c r="I130" s="91" t="n"/>
      <c r="J130" s="98" t="n"/>
      <c r="K130" s="98" t="n"/>
      <c r="L130" s="98" t="n"/>
      <c r="M130" s="99" t="n"/>
    </row>
    <row r="131" ht="17" customHeight="1">
      <c r="A131" s="76" t="n"/>
      <c r="B131" s="87" t="n"/>
      <c r="C131" s="99" t="n"/>
      <c r="D131" s="125" t="n"/>
      <c r="E131" s="89" t="n"/>
      <c r="F131" s="99" t="n"/>
      <c r="G131" s="90" t="n"/>
      <c r="H131" s="99" t="n"/>
      <c r="I131" s="91" t="n"/>
      <c r="J131" s="98" t="n"/>
      <c r="K131" s="98" t="n"/>
      <c r="L131" s="98" t="n"/>
      <c r="M131" s="99" t="n"/>
    </row>
    <row r="132" ht="17" customHeight="1">
      <c r="A132" s="76" t="n"/>
      <c r="B132" s="87" t="n"/>
      <c r="C132" s="99" t="n"/>
      <c r="D132" s="125" t="n"/>
      <c r="E132" s="89" t="n"/>
      <c r="F132" s="99" t="n"/>
      <c r="G132" s="90" t="n"/>
      <c r="H132" s="99" t="n"/>
      <c r="I132" s="91" t="n"/>
      <c r="J132" s="98" t="n"/>
      <c r="K132" s="98" t="n"/>
      <c r="L132" s="98" t="n"/>
      <c r="M132" s="99" t="n"/>
    </row>
    <row r="133" ht="17" customHeight="1">
      <c r="A133" s="76" t="n"/>
      <c r="B133" s="87" t="n"/>
      <c r="C133" s="99" t="n"/>
      <c r="D133" s="125" t="n"/>
      <c r="E133" s="89" t="n"/>
      <c r="F133" s="99" t="n"/>
      <c r="G133" s="90" t="n"/>
      <c r="H133" s="99" t="n"/>
      <c r="I133" s="91" t="n"/>
      <c r="J133" s="98" t="n"/>
      <c r="K133" s="98" t="n"/>
      <c r="L133" s="98" t="n"/>
      <c r="M133" s="99" t="n"/>
    </row>
    <row r="134" ht="17" customHeight="1">
      <c r="A134" s="76" t="n"/>
      <c r="B134" s="87" t="n"/>
      <c r="C134" s="99" t="n"/>
      <c r="D134" s="125" t="n"/>
      <c r="E134" s="89" t="n"/>
      <c r="F134" s="99" t="n"/>
      <c r="G134" s="90" t="n"/>
      <c r="H134" s="99" t="n"/>
      <c r="I134" s="91" t="n"/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 xml:space="preserve">Simony Fernandes </t>
        </is>
      </c>
      <c r="B7" s="98" t="n"/>
      <c r="C7" s="99" t="n"/>
      <c r="D7" s="45" t="n">
        <v>55</v>
      </c>
      <c r="E7" s="99" t="n"/>
      <c r="F7" s="111" t="n">
        <v>46199</v>
      </c>
      <c r="G7" s="99" t="n"/>
      <c r="H7" s="111" t="n">
        <v>46251</v>
      </c>
      <c r="I7" s="99" t="n"/>
      <c r="J7" s="111" t="n"/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n"/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/>
      <c r="D28" s="68" t="n">
        <v>34850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n"/>
      <c r="B43" s="122">
        <f>IF(OR($C43="",$A$13="",$A$13=0),"",$C43/$A$13)</f>
        <v/>
      </c>
      <c r="C43" s="77" t="n"/>
      <c r="D43" s="76" t="n"/>
      <c r="E43" s="123" t="n"/>
      <c r="F43" s="53">
        <f>IF(OR($B43="",$E43="",$D$39=""),"",ROUND($B43*$D$39*$E43,2))</f>
        <v/>
      </c>
      <c r="G43" s="76" t="n"/>
      <c r="H43" s="123" t="n"/>
      <c r="I43" s="53">
        <f>IF(OR($B43="",$H43="",$D$39=""),"",ROUND($B43*$D$39*$H43,2))</f>
        <v/>
      </c>
      <c r="J43" s="76" t="n"/>
      <c r="K43" s="123" t="n"/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n"/>
      <c r="B44" s="122">
        <f>IF(OR($C44="",$A$13="",$A$13=0),"",$C44/$A$13)</f>
        <v/>
      </c>
      <c r="C44" s="77" t="n"/>
      <c r="D44" s="76" t="n"/>
      <c r="E44" s="123" t="n"/>
      <c r="F44" s="53">
        <f>IF(OR($B44="",$E44="",$D$39=""),"",ROUND($B44*$D$39*$E44,2))</f>
        <v/>
      </c>
      <c r="G44" s="76" t="n"/>
      <c r="H44" s="123" t="n"/>
      <c r="I44" s="53">
        <f>IF(OR($B44="",$H44="",$D$39=""),"",ROUND($B44*$D$39*$H44,2))</f>
        <v/>
      </c>
      <c r="J44" s="76" t="n"/>
      <c r="K44" s="123" t="n"/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n"/>
      <c r="B45" s="122">
        <f>IF(OR($C45="",$A$13="",$A$13=0),"",$C45/$A$13)</f>
        <v/>
      </c>
      <c r="C45" s="77" t="n"/>
      <c r="D45" s="76" t="n"/>
      <c r="E45" s="123" t="n"/>
      <c r="F45" s="53">
        <f>IF(OR($B45="",$E45="",$D$39=""),"",ROUND($B45*$D$39*$E45,2))</f>
        <v/>
      </c>
      <c r="G45" s="76" t="n"/>
      <c r="H45" s="123" t="n"/>
      <c r="I45" s="53">
        <f>IF(OR($B45="",$H45="",$D$39=""),"",ROUND($B45*$D$39*$H45,2))</f>
        <v/>
      </c>
      <c r="J45" s="76" t="n"/>
      <c r="K45" s="123" t="n"/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n"/>
      <c r="B46" s="122">
        <f>IF(OR($C46="",$A$13="",$A$13=0),"",$C46/$A$13)</f>
        <v/>
      </c>
      <c r="C46" s="77" t="n"/>
      <c r="D46" s="76" t="n"/>
      <c r="E46" s="123" t="n"/>
      <c r="F46" s="53">
        <f>IF(OR($B46="",$E46="",$D$39=""),"",ROUND($B46*$D$39*$E46,2))</f>
        <v/>
      </c>
      <c r="G46" s="76" t="n"/>
      <c r="H46" s="123" t="n"/>
      <c r="I46" s="53">
        <f>IF(OR($B46="",$H46="",$D$39=""),"",ROUND($B46*$D$39*$H46,2))</f>
        <v/>
      </c>
      <c r="J46" s="76" t="n"/>
      <c r="K46" s="123" t="n"/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/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/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/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/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/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/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/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/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/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/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/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/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/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/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/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inlineStr">
        <is>
          <t xml:space="preserve">porta/ arranhada/ venuzuelanos </t>
        </is>
      </c>
      <c r="B111" s="76" t="inlineStr">
        <is>
          <t>Erro de produção</t>
        </is>
      </c>
      <c r="C111" s="98" t="n"/>
      <c r="D111" s="99" t="n"/>
      <c r="E111" s="84" t="n">
        <v>305.48</v>
      </c>
      <c r="F111" s="99" t="n"/>
      <c r="G111" s="70" t="inlineStr">
        <is>
          <t xml:space="preserve">comprar outra chapa para refazer </t>
        </is>
      </c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inlineStr">
        <is>
          <t xml:space="preserve">pedido de espelho/vidro </t>
        </is>
      </c>
      <c r="B112" s="76" t="inlineStr">
        <is>
          <t>erro no pedido</t>
        </is>
      </c>
      <c r="C112" s="98" t="n"/>
      <c r="D112" s="99" t="n"/>
      <c r="E112" s="84" t="n">
        <v>645</v>
      </c>
      <c r="F112" s="99" t="n"/>
      <c r="G112" s="70" t="inlineStr">
        <is>
          <t xml:space="preserve">fazer espelhos </t>
        </is>
      </c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n"/>
      <c r="B113" s="76" t="n"/>
      <c r="C113" s="98" t="n"/>
      <c r="D113" s="99" t="n"/>
      <c r="E113" s="84" t="n"/>
      <c r="F113" s="99" t="n"/>
      <c r="G113" s="70" t="n"/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/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 xml:space="preserve">mdf e fitas </t>
        </is>
      </c>
      <c r="B127" s="87" t="inlineStr">
        <is>
          <t>MDF e MDP</t>
        </is>
      </c>
      <c r="C127" s="99" t="n"/>
      <c r="D127" s="125" t="n">
        <v>46262</v>
      </c>
      <c r="E127" s="89" t="n">
        <v>5950.91</v>
      </c>
      <c r="F127" s="99" t="n"/>
      <c r="G127" s="90" t="inlineStr">
        <is>
          <t>PIX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 xml:space="preserve">mdf  </t>
        </is>
      </c>
      <c r="B128" s="87" t="inlineStr">
        <is>
          <t>MDF e MDP</t>
        </is>
      </c>
      <c r="C128" s="99" t="n"/>
      <c r="D128" s="125" t="n">
        <v>46262</v>
      </c>
      <c r="E128" s="89" t="n">
        <v>450.5</v>
      </c>
      <c r="F128" s="99" t="n"/>
      <c r="G128" s="90" t="inlineStr">
        <is>
          <t>PIX</t>
        </is>
      </c>
      <c r="H128" s="99" t="n"/>
      <c r="I128" s="91" t="inlineStr">
        <is>
          <t>Pago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>06 puxador slim</t>
        </is>
      </c>
      <c r="B129" s="87" t="inlineStr">
        <is>
          <t>Ferragens</t>
        </is>
      </c>
      <c r="C129" s="99" t="n"/>
      <c r="D129" s="125" t="n">
        <v>46267</v>
      </c>
      <c r="E129" s="89" t="n">
        <v>135</v>
      </c>
      <c r="F129" s="99" t="n"/>
      <c r="G129" s="90" t="inlineStr">
        <is>
          <t>Boleto</t>
        </is>
      </c>
      <c r="H129" s="99" t="n"/>
      <c r="I129" s="91" t="inlineStr">
        <is>
          <t>Comprado (a pagar)</t>
        </is>
      </c>
      <c r="J129" s="98" t="n"/>
      <c r="K129" s="98" t="n"/>
      <c r="L129" s="98" t="n"/>
      <c r="M129" s="99" t="n"/>
    </row>
    <row r="130" ht="17" customHeight="1">
      <c r="A130" s="76" t="inlineStr">
        <is>
          <t xml:space="preserve">3 perfil de aluminio </t>
        </is>
      </c>
      <c r="B130" s="87" t="inlineStr">
        <is>
          <t>Ferragens</t>
        </is>
      </c>
      <c r="C130" s="99" t="n"/>
      <c r="D130" s="125" t="n">
        <v>46281</v>
      </c>
      <c r="E130" s="89" t="n">
        <v>261</v>
      </c>
      <c r="F130" s="99" t="n"/>
      <c r="G130" s="90" t="inlineStr">
        <is>
          <t>PIX</t>
        </is>
      </c>
      <c r="H130" s="99" t="n"/>
      <c r="I130" s="91" t="inlineStr">
        <is>
          <t>Pago</t>
        </is>
      </c>
      <c r="J130" s="98" t="n"/>
      <c r="K130" s="98" t="n"/>
      <c r="L130" s="98" t="n"/>
      <c r="M130" s="99" t="n"/>
    </row>
    <row r="131" ht="17" customHeight="1">
      <c r="A131" s="76" t="inlineStr">
        <is>
          <t xml:space="preserve">5 Espelhos </t>
        </is>
      </c>
      <c r="B131" s="87" t="inlineStr">
        <is>
          <t>Vidraceiro</t>
        </is>
      </c>
      <c r="C131" s="99" t="n"/>
      <c r="D131" s="125" t="n">
        <v>46282</v>
      </c>
      <c r="E131" s="89" t="n">
        <v>517.27</v>
      </c>
      <c r="F131" s="99" t="n"/>
      <c r="G131" s="90" t="inlineStr">
        <is>
          <t>PIX</t>
        </is>
      </c>
      <c r="H131" s="99" t="n"/>
      <c r="I131" s="91" t="inlineStr">
        <is>
          <t>Pago</t>
        </is>
      </c>
      <c r="J131" s="98" t="n"/>
      <c r="K131" s="98" t="n"/>
      <c r="L131" s="98" t="n"/>
      <c r="M131" s="99" t="n"/>
    </row>
    <row r="132" ht="17" customHeight="1">
      <c r="A132" s="76" t="inlineStr">
        <is>
          <t xml:space="preserve">uber </t>
        </is>
      </c>
      <c r="B132" s="87" t="inlineStr">
        <is>
          <t>Uber e aplicativo</t>
        </is>
      </c>
      <c r="C132" s="99" t="n"/>
      <c r="D132" s="125" t="n">
        <v>46282</v>
      </c>
      <c r="E132" s="89" t="n">
        <v>40</v>
      </c>
      <c r="F132" s="99" t="n"/>
      <c r="G132" s="90" t="inlineStr">
        <is>
          <t>PIX</t>
        </is>
      </c>
      <c r="H132" s="99" t="n"/>
      <c r="I132" s="91" t="inlineStr">
        <is>
          <t>Pago</t>
        </is>
      </c>
      <c r="J132" s="98" t="n"/>
      <c r="K132" s="98" t="n"/>
      <c r="L132" s="98" t="n"/>
      <c r="M132" s="99" t="n"/>
    </row>
    <row r="133" ht="17" customHeight="1">
      <c r="A133" s="76" t="inlineStr">
        <is>
          <t xml:space="preserve">carreto </t>
        </is>
      </c>
      <c r="B133" s="87" t="inlineStr">
        <is>
          <t>Frete de material</t>
        </is>
      </c>
      <c r="C133" s="99" t="n"/>
      <c r="D133" s="125" t="n">
        <v>46283</v>
      </c>
      <c r="E133" s="89" t="n">
        <v>363.14</v>
      </c>
      <c r="F133" s="99" t="n"/>
      <c r="G133" s="90" t="inlineStr">
        <is>
          <t>PIX</t>
        </is>
      </c>
      <c r="H133" s="99" t="n"/>
      <c r="I133" s="91" t="inlineStr">
        <is>
          <t>Pago</t>
        </is>
      </c>
      <c r="J133" s="98" t="n"/>
      <c r="K133" s="98" t="n"/>
      <c r="L133" s="98" t="n"/>
      <c r="M133" s="99" t="n"/>
    </row>
    <row r="134" ht="17" customHeight="1">
      <c r="A134" s="76" t="inlineStr">
        <is>
          <t xml:space="preserve">carreto </t>
        </is>
      </c>
      <c r="B134" s="87" t="inlineStr">
        <is>
          <t>Carreto e entrega</t>
        </is>
      </c>
      <c r="C134" s="99" t="n"/>
      <c r="D134" s="125" t="n">
        <v>46286</v>
      </c>
      <c r="E134" s="89" t="n">
        <v>250</v>
      </c>
      <c r="F134" s="99" t="n"/>
      <c r="G134" s="90" t="inlineStr">
        <is>
          <t>PIX</t>
        </is>
      </c>
      <c r="H134" s="99" t="n"/>
      <c r="I134" s="91" t="inlineStr">
        <is>
          <t>Pago</t>
        </is>
      </c>
      <c r="J134" s="98" t="n"/>
      <c r="K134" s="98" t="n"/>
      <c r="L134" s="98" t="n"/>
      <c r="M134" s="99" t="n"/>
    </row>
    <row r="135" ht="17" customHeight="1">
      <c r="A135" s="76" t="n"/>
      <c r="B135" s="87" t="n"/>
      <c r="C135" s="99" t="n"/>
      <c r="D135" s="125" t="n"/>
      <c r="E135" s="89" t="n"/>
      <c r="F135" s="99" t="n"/>
      <c r="G135" s="90" t="n"/>
      <c r="H135" s="99" t="n"/>
      <c r="I135" s="91" t="n"/>
      <c r="J135" s="98" t="n"/>
      <c r="K135" s="98" t="n"/>
      <c r="L135" s="98" t="n"/>
      <c r="M135" s="99" t="n"/>
    </row>
    <row r="136" ht="17" customHeight="1">
      <c r="A136" s="76" t="n"/>
      <c r="B136" s="87" t="n"/>
      <c r="C136" s="99" t="n"/>
      <c r="D136" s="125" t="n"/>
      <c r="E136" s="89" t="n"/>
      <c r="F136" s="99" t="n"/>
      <c r="G136" s="90" t="n"/>
      <c r="H136" s="99" t="n"/>
      <c r="I136" s="91" t="n"/>
      <c r="J136" s="98" t="n"/>
      <c r="K136" s="98" t="n"/>
      <c r="L136" s="98" t="n"/>
      <c r="M136" s="99" t="n"/>
    </row>
    <row r="137" ht="17" customHeight="1">
      <c r="A137" s="76" t="n"/>
      <c r="B137" s="87" t="n"/>
      <c r="C137" s="99" t="n"/>
      <c r="D137" s="125" t="n"/>
      <c r="E137" s="89" t="n"/>
      <c r="F137" s="99" t="n"/>
      <c r="G137" s="90" t="n"/>
      <c r="H137" s="99" t="n"/>
      <c r="I137" s="91" t="n"/>
      <c r="J137" s="98" t="n"/>
      <c r="K137" s="98" t="n"/>
      <c r="L137" s="98" t="n"/>
      <c r="M137" s="99" t="n"/>
    </row>
    <row r="138" ht="17" customHeight="1">
      <c r="A138" s="76" t="n"/>
      <c r="B138" s="87" t="n"/>
      <c r="C138" s="99" t="n"/>
      <c r="D138" s="125" t="n"/>
      <c r="E138" s="89" t="n"/>
      <c r="F138" s="99" t="n"/>
      <c r="G138" s="90" t="n"/>
      <c r="H138" s="99" t="n"/>
      <c r="I138" s="91" t="n"/>
      <c r="J138" s="98" t="n"/>
      <c r="K138" s="98" t="n"/>
      <c r="L138" s="98" t="n"/>
      <c r="M138" s="99" t="n"/>
    </row>
    <row r="139" ht="17" customHeight="1">
      <c r="A139" s="76" t="n"/>
      <c r="B139" s="87" t="n"/>
      <c r="C139" s="99" t="n"/>
      <c r="D139" s="125" t="n"/>
      <c r="E139" s="89" t="n"/>
      <c r="F139" s="99" t="n"/>
      <c r="G139" s="90" t="n"/>
      <c r="H139" s="99" t="n"/>
      <c r="I139" s="91" t="n"/>
      <c r="J139" s="98" t="n"/>
      <c r="K139" s="98" t="n"/>
      <c r="L139" s="98" t="n"/>
      <c r="M139" s="99" t="n"/>
    </row>
    <row r="140" ht="17" customHeight="1">
      <c r="A140" s="76" t="n"/>
      <c r="B140" s="87" t="n"/>
      <c r="C140" s="99" t="n"/>
      <c r="D140" s="125" t="n"/>
      <c r="E140" s="89" t="n"/>
      <c r="F140" s="99" t="n"/>
      <c r="G140" s="90" t="n"/>
      <c r="H140" s="99" t="n"/>
      <c r="I140" s="91" t="n"/>
      <c r="J140" s="98" t="n"/>
      <c r="K140" s="98" t="n"/>
      <c r="L140" s="98" t="n"/>
      <c r="M140" s="99" t="n"/>
    </row>
    <row r="141" ht="17" customHeight="1">
      <c r="A141" s="76" t="n"/>
      <c r="B141" s="87" t="n"/>
      <c r="C141" s="99" t="n"/>
      <c r="D141" s="125" t="n"/>
      <c r="E141" s="89" t="n"/>
      <c r="F141" s="99" t="n"/>
      <c r="G141" s="90" t="n"/>
      <c r="H141" s="99" t="n"/>
      <c r="I141" s="91" t="n"/>
      <c r="J141" s="98" t="n"/>
      <c r="K141" s="98" t="n"/>
      <c r="L141" s="98" t="n"/>
      <c r="M141" s="99" t="n"/>
    </row>
    <row r="142" ht="17" customHeight="1">
      <c r="A142" s="76" t="n"/>
      <c r="B142" s="87" t="n"/>
      <c r="C142" s="99" t="n"/>
      <c r="D142" s="125" t="n"/>
      <c r="E142" s="89" t="n"/>
      <c r="F142" s="99" t="n"/>
      <c r="G142" s="90" t="n"/>
      <c r="H142" s="99" t="n"/>
      <c r="I142" s="91" t="n"/>
      <c r="J142" s="98" t="n"/>
      <c r="K142" s="98" t="n"/>
      <c r="L142" s="98" t="n"/>
      <c r="M142" s="99" t="n"/>
    </row>
    <row r="143" ht="17" customHeight="1">
      <c r="A143" s="76" t="n"/>
      <c r="B143" s="87" t="n"/>
      <c r="C143" s="99" t="n"/>
      <c r="D143" s="125" t="n"/>
      <c r="E143" s="89" t="n"/>
      <c r="F143" s="99" t="n"/>
      <c r="G143" s="90" t="n"/>
      <c r="H143" s="99" t="n"/>
      <c r="I143" s="91" t="n"/>
      <c r="J143" s="98" t="n"/>
      <c r="K143" s="98" t="n"/>
      <c r="L143" s="98" t="n"/>
      <c r="M143" s="99" t="n"/>
    </row>
    <row r="144" ht="17" customHeight="1">
      <c r="A144" s="76" t="n"/>
      <c r="B144" s="87" t="n"/>
      <c r="C144" s="99" t="n"/>
      <c r="D144" s="125" t="n"/>
      <c r="E144" s="89" t="n"/>
      <c r="F144" s="99" t="n"/>
      <c r="G144" s="90" t="n"/>
      <c r="H144" s="99" t="n"/>
      <c r="I144" s="91" t="n"/>
      <c r="J144" s="98" t="n"/>
      <c r="K144" s="98" t="n"/>
      <c r="L144" s="98" t="n"/>
      <c r="M144" s="99" t="n"/>
    </row>
    <row r="145" ht="17" customHeight="1">
      <c r="A145" s="76" t="n"/>
      <c r="B145" s="87" t="n"/>
      <c r="C145" s="99" t="n"/>
      <c r="D145" s="125" t="n"/>
      <c r="E145" s="89" t="n"/>
      <c r="F145" s="99" t="n"/>
      <c r="G145" s="90" t="n"/>
      <c r="H145" s="99" t="n"/>
      <c r="I145" s="91" t="n"/>
      <c r="J145" s="98" t="n"/>
      <c r="K145" s="98" t="n"/>
      <c r="L145" s="98" t="n"/>
      <c r="M145" s="99" t="n"/>
    </row>
    <row r="146" ht="17" customHeight="1">
      <c r="A146" s="76" t="n"/>
      <c r="B146" s="87" t="n"/>
      <c r="C146" s="99" t="n"/>
      <c r="D146" s="125" t="n"/>
      <c r="E146" s="89" t="n"/>
      <c r="F146" s="99" t="n"/>
      <c r="G146" s="90" t="n"/>
      <c r="H146" s="99" t="n"/>
      <c r="I146" s="91" t="n"/>
      <c r="J146" s="98" t="n"/>
      <c r="K146" s="98" t="n"/>
      <c r="L146" s="98" t="n"/>
      <c r="M146" s="99" t="n"/>
    </row>
    <row r="147" ht="17" customHeight="1">
      <c r="A147" s="76" t="n"/>
      <c r="B147" s="87" t="n"/>
      <c r="C147" s="99" t="n"/>
      <c r="D147" s="125" t="n"/>
      <c r="E147" s="89" t="n"/>
      <c r="F147" s="99" t="n"/>
      <c r="G147" s="90" t="n"/>
      <c r="H147" s="99" t="n"/>
      <c r="I147" s="91" t="n"/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M189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6" customWidth="1" min="10" max="10"/>
    <col width="8" customWidth="1" min="11" max="11"/>
    <col width="13" customWidth="1" min="12" max="12"/>
    <col width="14" customWidth="1" min="13" max="13"/>
  </cols>
  <sheetData>
    <row r="1" ht="26" customHeight="1">
      <c r="A1" s="1" t="inlineStr">
        <is>
          <t>VALVIC MARCENARIA</t>
        </is>
      </c>
    </row>
    <row r="2" ht="15" customHeight="1">
      <c r="A2" s="3" t="inlineStr">
        <is>
          <t>Vargas Decor Ltda   ·   CNPJ 17.269.304/0001-51   ·   Belo Horizonte / MG</t>
        </is>
      </c>
    </row>
    <row r="3" ht="28" customHeight="1">
      <c r="A3" s="4" t="inlineStr">
        <is>
          <t>FICHA DE CUSTO DO PROJETO</t>
        </is>
      </c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</row>
    <row r="5" ht="6" customHeight="1"/>
    <row r="6" ht="13" customHeight="1">
      <c r="A6" s="44" t="inlineStr">
        <is>
          <t>CLIENTE</t>
        </is>
      </c>
      <c r="D6" s="44" t="inlineStr">
        <is>
          <t>Nº DO PROJETO</t>
        </is>
      </c>
      <c r="F6" s="44" t="inlineStr">
        <is>
          <t>DATA DE ENTRADA</t>
        </is>
      </c>
      <c r="H6" s="44" t="inlineStr">
        <is>
          <t>ENTREGA PREVISTA</t>
        </is>
      </c>
      <c r="J6" s="44" t="inlineStr">
        <is>
          <t>ENTREGA REAL</t>
        </is>
      </c>
    </row>
    <row r="7" ht="21" customHeight="1">
      <c r="A7" s="45" t="inlineStr">
        <is>
          <t>Jonathan Vargas</t>
        </is>
      </c>
      <c r="B7" s="98" t="n"/>
      <c r="C7" s="99" t="n"/>
      <c r="D7" s="45" t="inlineStr">
        <is>
          <t>P-2026-041</t>
        </is>
      </c>
      <c r="E7" s="99" t="n"/>
      <c r="F7" s="111" t="n">
        <v>46154</v>
      </c>
      <c r="G7" s="99" t="n"/>
      <c r="H7" s="111" t="n">
        <v>46233</v>
      </c>
      <c r="I7" s="99" t="n"/>
      <c r="J7" s="111" t="n">
        <v>46240</v>
      </c>
      <c r="K7" s="98" t="n"/>
      <c r="L7" s="98" t="n"/>
      <c r="M7" s="99" t="n"/>
    </row>
    <row r="8" ht="13" customHeight="1">
      <c r="A8" s="44" t="inlineStr">
        <is>
          <t>PROJETO</t>
        </is>
      </c>
      <c r="D8" s="44" t="inlineStr">
        <is>
          <t>VENDEDOR</t>
        </is>
      </c>
      <c r="F8" s="44" t="inlineStr">
        <is>
          <t>COORDENADOR</t>
        </is>
      </c>
      <c r="H8" s="44" t="inlineStr">
        <is>
          <t>DIAS DE ATRASO</t>
        </is>
      </c>
      <c r="J8" s="44" t="inlineStr">
        <is>
          <t>SITUAÇÃO DA ENTREGA</t>
        </is>
      </c>
    </row>
    <row r="9" ht="21" customHeight="1">
      <c r="A9" s="45" t="inlineStr">
        <is>
          <t>Apartamento completo — 4 ambientes</t>
        </is>
      </c>
      <c r="B9" s="98" t="n"/>
      <c r="C9" s="99" t="n"/>
      <c r="D9" s="45" t="inlineStr">
        <is>
          <t>Jonathan</t>
        </is>
      </c>
      <c r="E9" s="99" t="n"/>
      <c r="F9" s="48" t="inlineStr">
        <is>
          <t>Deivison</t>
        </is>
      </c>
      <c r="G9" s="99" t="n"/>
      <c r="H9" s="112">
        <f>IF(OR($H$7="",$J$7=""),"",$J$7-$H$7)</f>
        <v/>
      </c>
      <c r="I9" s="99" t="n"/>
      <c r="J9" s="50">
        <f>IF($H$7="","",IF($J$7="",IF(TODAY()&gt;$H$7,"Atrasado","Em produção"),IF($H$9&lt;=0,"No prazo","Atrasado")))</f>
        <v/>
      </c>
      <c r="K9" s="98" t="n"/>
      <c r="L9" s="98" t="n"/>
      <c r="M9" s="99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</row>
    <row r="12" ht="13" customHeight="1">
      <c r="A12" s="44" t="inlineStr">
        <is>
          <t>VALOR DE VENDA</t>
        </is>
      </c>
      <c r="C12" s="44" t="inlineStr">
        <is>
          <t>CUSTO TOTAL</t>
        </is>
      </c>
      <c r="E12" s="44" t="inlineStr">
        <is>
          <t>MARGEM DE CONTRIBUIÇÃO</t>
        </is>
      </c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</row>
    <row r="13" ht="30" customHeight="1">
      <c r="A13" s="113">
        <f>IF($D$28="",$C$28,$D$28)</f>
        <v/>
      </c>
      <c r="B13" s="99" t="n"/>
      <c r="C13" s="113">
        <f>IF($D$22=0,"",$D$22)</f>
        <v/>
      </c>
      <c r="D13" s="99" t="n"/>
      <c r="E13" s="113">
        <f>IF($A$13="","",$D$23)</f>
        <v/>
      </c>
      <c r="F13" s="99" t="n"/>
      <c r="G13" s="114">
        <f>IF(OR($A$13="",$A$13=0),"",$D$23/$A$13)</f>
        <v/>
      </c>
      <c r="H13" s="114">
        <f>IF(OR($C$28="",$C$28=0),"",$C$23/$C$28)</f>
        <v/>
      </c>
      <c r="I13" s="113">
        <f>IF(OR($C$22=0,$D$22=0),"",ROUND($D$22-$C$22,2))</f>
        <v/>
      </c>
      <c r="J13" s="98" t="n"/>
      <c r="K13" s="98" t="n"/>
      <c r="L13" s="98" t="n"/>
      <c r="M13" s="99" t="n"/>
    </row>
    <row r="14" ht="8" customHeight="1"/>
    <row r="15" ht="26" customHeight="1">
      <c r="A15" s="19" t="inlineStr">
        <is>
          <t>Resumo por categoria</t>
        </is>
      </c>
      <c r="B15" s="108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108" t="n"/>
      <c r="G15" s="19" t="inlineStr">
        <is>
          <t>Desvio (%)</t>
        </is>
      </c>
      <c r="H15" s="19" t="inlineStr">
        <is>
          <t>% da venda realizada</t>
        </is>
      </c>
      <c r="I15" s="97" t="n"/>
      <c r="J15" s="97" t="n"/>
      <c r="K15" s="97" t="n"/>
      <c r="L15" s="97" t="n"/>
      <c r="M15" s="108" t="n"/>
    </row>
    <row r="16" ht="18" customHeight="1">
      <c r="A16" s="36" t="inlineStr">
        <is>
          <t>Custos de venda</t>
        </is>
      </c>
      <c r="B16" s="99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99" t="n"/>
      <c r="G16" s="115">
        <f>IF(OR($C16="",$C16=0,$D16=""),"",$D16/$C16-1)</f>
        <v/>
      </c>
      <c r="H16" s="116">
        <f>IF(OR($D16="",$A$13="",$A$13=0),"",$D16/$A$13)</f>
        <v/>
      </c>
      <c r="I16" s="98" t="n"/>
      <c r="J16" s="98" t="n"/>
      <c r="K16" s="98" t="n"/>
      <c r="L16" s="98" t="n"/>
      <c r="M16" s="99" t="n"/>
    </row>
    <row r="17" ht="18" customHeight="1">
      <c r="A17" s="36" t="inlineStr">
        <is>
          <t>Comissões operacionais</t>
        </is>
      </c>
      <c r="B17" s="99" t="n"/>
      <c r="C17" s="53">
        <f>IF(C63="","",C63)</f>
        <v/>
      </c>
      <c r="D17" s="53">
        <f>IF(D63="","",D63)</f>
        <v/>
      </c>
      <c r="E17" s="53">
        <f>IF(OR($C17="",$D17=""),"",ROUND($D17-$C17,2))</f>
        <v/>
      </c>
      <c r="F17" s="99" t="n"/>
      <c r="G17" s="115">
        <f>IF(OR($C17="",$C17=0,$D17=""),"",$D17/$C17-1)</f>
        <v/>
      </c>
      <c r="H17" s="116">
        <f>IF(OR($D17="",$A$13="",$A$13=0),"",$D17/$A$13)</f>
        <v/>
      </c>
      <c r="I17" s="98" t="n"/>
      <c r="J17" s="98" t="n"/>
      <c r="K17" s="98" t="n"/>
      <c r="L17" s="98" t="n"/>
      <c r="M17" s="99" t="n"/>
    </row>
    <row r="18" ht="18" customHeight="1">
      <c r="A18" s="36" t="inlineStr">
        <is>
          <t>Material</t>
        </is>
      </c>
      <c r="B18" s="99" t="n"/>
      <c r="C18" s="53">
        <f>IF(C96="","",C96)</f>
        <v/>
      </c>
      <c r="D18" s="53">
        <f>IF(D96="","",D96)</f>
        <v/>
      </c>
      <c r="E18" s="53">
        <f>IF(OR($C18="",$D18=""),"",ROUND($D18-$C18,2))</f>
        <v/>
      </c>
      <c r="F18" s="99" t="n"/>
      <c r="G18" s="115">
        <f>IF(OR($C18="",$C18=0,$D18=""),"",$D18/$C18-1)</f>
        <v/>
      </c>
      <c r="H18" s="116">
        <f>IF(OR($D18="",$A$13="",$A$13=0),"",$D18/$A$13)</f>
        <v/>
      </c>
      <c r="I18" s="98" t="n"/>
      <c r="J18" s="98" t="n"/>
      <c r="K18" s="98" t="n"/>
      <c r="L18" s="98" t="n"/>
      <c r="M18" s="99" t="n"/>
    </row>
    <row r="19" ht="18" customHeight="1">
      <c r="A19" s="36" t="inlineStr">
        <is>
          <t>Serviços terceirizados</t>
        </is>
      </c>
      <c r="B19" s="99" t="n"/>
      <c r="C19" s="53">
        <f>IF(C101="","",C101)</f>
        <v/>
      </c>
      <c r="D19" s="53">
        <f>IF(D101="","",D101)</f>
        <v/>
      </c>
      <c r="E19" s="53">
        <f>IF(OR($C19="",$D19=""),"",ROUND($D19-$C19,2))</f>
        <v/>
      </c>
      <c r="F19" s="99" t="n"/>
      <c r="G19" s="115">
        <f>IF(OR($C19="",$C19=0,$D19=""),"",$D19/$C19-1)</f>
        <v/>
      </c>
      <c r="H19" s="116">
        <f>IF(OR($D19="",$A$13="",$A$13=0),"",$D19/$A$13)</f>
        <v/>
      </c>
      <c r="I19" s="98" t="n"/>
      <c r="J19" s="98" t="n"/>
      <c r="K19" s="98" t="n"/>
      <c r="L19" s="98" t="n"/>
      <c r="M19" s="99" t="n"/>
    </row>
    <row r="20" ht="18" customHeight="1">
      <c r="A20" s="36" t="inlineStr">
        <is>
          <t>Logística</t>
        </is>
      </c>
      <c r="B20" s="99" t="n"/>
      <c r="C20" s="53">
        <f>IF(C107="","",C107)</f>
        <v/>
      </c>
      <c r="D20" s="53">
        <f>IF(D107="","",D107)</f>
        <v/>
      </c>
      <c r="E20" s="53">
        <f>IF(OR($C20="",$D20=""),"",ROUND($D20-$C20,2))</f>
        <v/>
      </c>
      <c r="F20" s="99" t="n"/>
      <c r="G20" s="115">
        <f>IF(OR($C20="",$C20=0,$D20=""),"",$D20/$C20-1)</f>
        <v/>
      </c>
      <c r="H20" s="116">
        <f>IF(OR($D20="",$A$13="",$A$13=0),"",$D20/$A$13)</f>
        <v/>
      </c>
      <c r="I20" s="98" t="n"/>
      <c r="J20" s="98" t="n"/>
      <c r="K20" s="98" t="n"/>
      <c r="L20" s="98" t="n"/>
      <c r="M20" s="99" t="n"/>
    </row>
    <row r="21" ht="18" customHeight="1">
      <c r="A21" s="36" t="inlineStr">
        <is>
          <t>Retrabalho</t>
        </is>
      </c>
      <c r="B21" s="99" t="n"/>
      <c r="C21" s="53">
        <f>IF(C123="","",C123)</f>
        <v/>
      </c>
      <c r="D21" s="53">
        <f>IF(D123="","",D123)</f>
        <v/>
      </c>
      <c r="E21" s="53">
        <f>IF(OR($C21="",$D21=""),"",ROUND($D21-$C21,2))</f>
        <v/>
      </c>
      <c r="F21" s="99" t="n"/>
      <c r="G21" s="115">
        <f>IF(OR($C21="",$C21=0,$D21=""),"",$D21/$C21-1)</f>
        <v/>
      </c>
      <c r="H21" s="116">
        <f>IF(OR($D21="",$A$13="",$A$13=0),"",$D21/$A$13)</f>
        <v/>
      </c>
      <c r="I21" s="98" t="n"/>
      <c r="J21" s="98" t="n"/>
      <c r="K21" s="98" t="n"/>
      <c r="L21" s="98" t="n"/>
      <c r="M21" s="99" t="n"/>
    </row>
    <row r="22" ht="22" customHeight="1">
      <c r="A22" s="31" t="inlineStr">
        <is>
          <t>(=) CUSTO TOTAL DO PROJETO</t>
        </is>
      </c>
      <c r="B22" s="99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99" t="n"/>
      <c r="G22" s="117">
        <f>IF(OR($C$22="",$C$22=0),"",$D$22/$C$22-1)</f>
        <v/>
      </c>
      <c r="H22" s="118">
        <f>IF(OR($A$13="",$A$13=0),"",$D$22/$A$13)</f>
        <v/>
      </c>
      <c r="I22" s="98" t="n"/>
      <c r="J22" s="98" t="n"/>
      <c r="K22" s="98" t="n"/>
      <c r="L22" s="98" t="n"/>
      <c r="M22" s="99" t="n"/>
    </row>
    <row r="23" ht="28" customHeight="1">
      <c r="A23" s="60" t="inlineStr">
        <is>
          <t>(=) MARGEM DE CONTRIBUIÇÃO</t>
        </is>
      </c>
      <c r="B23" s="99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99" t="n"/>
      <c r="G23" s="119">
        <f>IF(OR($C$28="",$C$28=0),"",$C$23/$C$28)</f>
        <v/>
      </c>
      <c r="H23" s="120">
        <f>IF(OR($A$13="",$A$13=0),"",$D$23/$A$13)</f>
        <v/>
      </c>
      <c r="I23" s="98" t="n"/>
      <c r="J23" s="98" t="n"/>
      <c r="K23" s="98" t="n"/>
      <c r="L23" s="98" t="n"/>
      <c r="M23" s="99" t="n"/>
    </row>
    <row r="24" ht="22" customHeight="1">
      <c r="A24" s="66">
        <f>IF($A$13="","",IF(ROUND(SUMIF($I$127:$I$186,"A comprar",$E$127:$E$186),2)+ROUND(SUMIF($I$127:$I$186,"Comprado (a pagar)",$E$127:$E$186),2)=0,"   Nenhuma compra pendente lançada — o custo realizado já é o custo final.","   Já comprado e ainda a pagar: "&amp;TEXT(ROUND(SUMIF($I$127:$I$186,"Comprado (a pagar)",$E$127:$E$186),2),"R$ #,##0")&amp;"   ·   custo projetado: "&amp;TEXT($D$22+ROUND(SUMIF($I$127:$I$186,"A comprar",$E$127:$E$186),2),"R$ #,##0")&amp;"   ·   MC projetada: "&amp;TEXT(($A$13-$D$22-ROUND(SUMIF($I$127:$I$186,"A comprar",$E$127:$E$186),2))/$A$13,"0.0%")))</f>
        <v/>
      </c>
      <c r="B24" s="98" t="n"/>
      <c r="C24" s="98" t="n"/>
      <c r="D24" s="98" t="n"/>
      <c r="E24" s="98" t="n"/>
      <c r="F24" s="98" t="n"/>
      <c r="G24" s="98" t="n"/>
      <c r="H24" s="99" t="n"/>
      <c r="I24" s="121">
        <f>IF($A$13="","",ROUND(SUMIF($I$127:$I$186,"A comprar",$E$127:$E$186),2))</f>
        <v/>
      </c>
      <c r="J24" s="98" t="n"/>
      <c r="K24" s="98" t="n"/>
      <c r="L24" s="98" t="n"/>
      <c r="M24" s="99" t="n"/>
    </row>
    <row r="25" ht="8" customHeight="1"/>
    <row r="26" ht="20" customHeight="1">
      <c r="A26" s="8" t="inlineStr">
        <is>
          <t xml:space="preserve">  1 · VALOR DE VENDA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108" t="n"/>
      <c r="G27" s="19" t="inlineStr">
        <is>
          <t>% da venda</t>
        </is>
      </c>
      <c r="H27" s="19" t="inlineStr">
        <is>
          <t>Observação</t>
        </is>
      </c>
      <c r="I27" s="97" t="n"/>
      <c r="J27" s="97" t="n"/>
      <c r="K27" s="97" t="n"/>
      <c r="L27" s="97" t="n"/>
      <c r="M27" s="108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99" t="n"/>
      <c r="G28" s="122" t="n"/>
      <c r="H28" s="70" t="inlineStr">
        <is>
          <t>Orçado = valor da proposta · Realizado = valor fechado</t>
        </is>
      </c>
      <c r="I28" s="98" t="n"/>
      <c r="J28" s="98" t="n"/>
      <c r="K28" s="98" t="n"/>
      <c r="L28" s="98" t="n"/>
      <c r="M28" s="99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7" t="n"/>
      <c r="C30" s="97" t="n"/>
      <c r="D30" s="97" t="n"/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108" t="n"/>
      <c r="G31" s="19" t="inlineStr">
        <is>
          <t>% da venda</t>
        </is>
      </c>
      <c r="H31" s="19" t="inlineStr">
        <is>
          <t>Observação</t>
        </is>
      </c>
      <c r="I31" s="97" t="n"/>
      <c r="J31" s="97" t="n"/>
      <c r="K31" s="97" t="n"/>
      <c r="L31" s="97" t="n"/>
      <c r="M31" s="108" t="n"/>
    </row>
    <row r="32" ht="17" customHeight="1">
      <c r="A32" s="36" t="inlineStr">
        <is>
          <t>Impostos sobre a nota (Simples)</t>
        </is>
      </c>
      <c r="B32" s="123" t="n">
        <v>0.075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99" t="n"/>
      <c r="G32" s="122">
        <f>IF(OR($D32="",$A$13="",$A$13=0),"",$D32/$A$13)</f>
        <v/>
      </c>
      <c r="H32" s="70" t="inlineStr">
        <is>
          <t>% sobre o valor de venda</t>
        </is>
      </c>
      <c r="I32" s="98" t="n"/>
      <c r="J32" s="98" t="n"/>
      <c r="K32" s="98" t="n"/>
      <c r="L32" s="98" t="n"/>
      <c r="M32" s="99" t="n"/>
    </row>
    <row r="33" ht="17" customHeight="1">
      <c r="A33" s="36" t="inlineStr">
        <is>
          <t>Taxa de máquina de cartão</t>
        </is>
      </c>
      <c r="B33" s="123" t="n">
        <v>0.02</v>
      </c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99" t="n"/>
      <c r="G33" s="122">
        <f>IF(OR($D33="",$A$13="",$A$13=0),"",$D33/$A$13)</f>
        <v/>
      </c>
      <c r="H33" s="70" t="inlineStr">
        <is>
          <t>% sobre o valor de venda</t>
        </is>
      </c>
      <c r="I33" s="98" t="n"/>
      <c r="J33" s="98" t="n"/>
      <c r="K33" s="98" t="n"/>
      <c r="L33" s="98" t="n"/>
      <c r="M33" s="99" t="n"/>
    </row>
    <row r="34" ht="17" customHeight="1">
      <c r="A34" s="36" t="inlineStr">
        <is>
          <t>Taxas de transação (PIX, boleto, TED)</t>
        </is>
      </c>
      <c r="B34" s="37" t="n"/>
      <c r="C34" s="68" t="n">
        <v>120</v>
      </c>
      <c r="D34" s="68" t="n">
        <v>148</v>
      </c>
      <c r="E34" s="53">
        <f>IF(OR($C34="",$D34=""),"",ROUND($D34-$C34,2))</f>
        <v/>
      </c>
      <c r="F34" s="99" t="n"/>
      <c r="G34" s="122">
        <f>IF(OR($D34="",$A$13="",$A$13=0),"",$D34/$A$13)</f>
        <v/>
      </c>
      <c r="H34" s="70" t="inlineStr">
        <is>
          <t>valor em reais</t>
        </is>
      </c>
      <c r="I34" s="98" t="n"/>
      <c r="J34" s="98" t="n"/>
      <c r="K34" s="98" t="n"/>
      <c r="L34" s="98" t="n"/>
      <c r="M34" s="99" t="n"/>
    </row>
    <row r="35" ht="17" customHeight="1">
      <c r="A35" s="36" t="inlineStr">
        <is>
          <t>Comissão de venda (vendedor)</t>
        </is>
      </c>
      <c r="B35" s="123" t="n">
        <v>0.03</v>
      </c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99" t="n"/>
      <c r="G35" s="122">
        <f>IF(OR($D35="",$A$13="",$A$13=0),"",$D35/$A$13)</f>
        <v/>
      </c>
      <c r="H35" s="70" t="inlineStr">
        <is>
          <t>% sobre o valor de venda</t>
        </is>
      </c>
      <c r="I35" s="98" t="n"/>
      <c r="J35" s="98" t="n"/>
      <c r="K35" s="98" t="n"/>
      <c r="L35" s="98" t="n"/>
      <c r="M35" s="99" t="n"/>
    </row>
    <row r="36" ht="17" customHeight="1">
      <c r="A36" s="36" t="inlineStr">
        <is>
          <t>Projeto / anteprojeto (externo)</t>
        </is>
      </c>
      <c r="B36" s="37" t="n"/>
      <c r="C36" s="68" t="n">
        <v>1500</v>
      </c>
      <c r="D36" s="68" t="n">
        <v>1500</v>
      </c>
      <c r="E36" s="53">
        <f>IF(OR($C36="",$D36=""),"",ROUND($D36-$C36,2))</f>
        <v/>
      </c>
      <c r="F36" s="99" t="n"/>
      <c r="G36" s="122">
        <f>IF(OR($D36="",$A$13="",$A$13=0),"",$D36/$A$13)</f>
        <v/>
      </c>
      <c r="H36" s="70" t="inlineStr">
        <is>
          <t>projetista ou arquiteto contratado para o projeto</t>
        </is>
      </c>
      <c r="I36" s="98" t="n"/>
      <c r="J36" s="98" t="n"/>
      <c r="K36" s="98" t="n"/>
      <c r="L36" s="98" t="n"/>
      <c r="M36" s="99" t="n"/>
    </row>
    <row r="37" ht="17" customHeight="1">
      <c r="A37" s="36" t="inlineStr">
        <is>
          <t>RT do parceiro</t>
        </is>
      </c>
      <c r="B37" s="123" t="n">
        <v>0.05</v>
      </c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99" t="n"/>
      <c r="G37" s="122">
        <f>IF(OR($D37="",$A$13="",$A$13=0),"",$D37/$A$13)</f>
        <v/>
      </c>
      <c r="H37" s="70" t="inlineStr">
        <is>
          <t>% sobre o líquido: venda menos impostos, máquina e taxas</t>
        </is>
      </c>
      <c r="I37" s="98" t="n"/>
      <c r="J37" s="98" t="n"/>
      <c r="K37" s="98" t="n"/>
      <c r="L37" s="98" t="n"/>
      <c r="M37" s="99" t="n"/>
    </row>
    <row r="38" ht="20" customHeight="1">
      <c r="A38" s="31" t="inlineStr">
        <is>
          <t>(=) SUBTOTAL DOS CUSTOS DE VENDA</t>
        </is>
      </c>
      <c r="B38" s="99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99" t="n"/>
      <c r="G38" s="118">
        <f>IF(OR($A$13="",$A$13=0),"",$D38/$A$13)</f>
        <v/>
      </c>
      <c r="H38" s="32" t="n"/>
      <c r="I38" s="98" t="n"/>
      <c r="J38" s="98" t="n"/>
      <c r="K38" s="98" t="n"/>
      <c r="L38" s="98" t="n"/>
      <c r="M38" s="99" t="n"/>
    </row>
    <row r="39" ht="24" customHeight="1">
      <c r="A39" s="72" t="inlineStr">
        <is>
          <t>(=) RECEITA LÍQUIDA</t>
        </is>
      </c>
      <c r="B39" s="99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99" t="n"/>
      <c r="G39" s="124">
        <f>IF(OR($A$13="",$A$13=0),"",$D$39/$A$13)</f>
        <v/>
      </c>
      <c r="H39" s="75" t="inlineStr">
        <is>
          <t>É esta a base das comissões: coordenação, produção, montagem e projetista</t>
        </is>
      </c>
      <c r="I39" s="98" t="n"/>
      <c r="J39" s="98" t="n"/>
      <c r="K39" s="98" t="n"/>
      <c r="L39" s="98" t="n"/>
      <c r="M39" s="99" t="n"/>
    </row>
    <row r="40" ht="8" customHeight="1"/>
    <row r="41" ht="20" customHeight="1">
      <c r="A41" s="8" t="inlineStr">
        <is>
          <t xml:space="preserve">  3 · AMBIENTES, PRODUÇÃO, MONTAGEM E PROJETO          cada ambiente com quem produziu, quem montou e quem projetou · a comissão incide sobre a receita líquida</t>
        </is>
      </c>
      <c r="B41" s="97" t="n"/>
      <c r="C41" s="97" t="n"/>
      <c r="D41" s="97" t="n"/>
      <c r="E41" s="97" t="n"/>
      <c r="F41" s="97" t="n"/>
      <c r="G41" s="97" t="n"/>
      <c r="H41" s="97" t="n"/>
      <c r="I41" s="97" t="n"/>
      <c r="J41" s="97" t="n"/>
      <c r="K41" s="97" t="n"/>
      <c r="L41" s="97" t="n"/>
      <c r="M41" s="97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Projetista — quem</t>
        </is>
      </c>
      <c r="K42" s="19" t="inlineStr">
        <is>
          <t>%</t>
        </is>
      </c>
      <c r="L42" s="19" t="inlineStr">
        <is>
          <t>Comissão projetista (R$)</t>
        </is>
      </c>
      <c r="M42" s="19" t="inlineStr">
        <is>
          <t>Total do ambiente</t>
        </is>
      </c>
    </row>
    <row r="43" ht="18" customHeight="1">
      <c r="A43" s="76" t="inlineStr">
        <is>
          <t>Cozinha</t>
        </is>
      </c>
      <c r="B43" s="122">
        <f>IF(OR($C43="",$A$13="",$A$13=0),"",$C43/$A$13)</f>
        <v/>
      </c>
      <c r="C43" s="77" t="n">
        <v>30000</v>
      </c>
      <c r="D43" s="76" t="inlineStr">
        <is>
          <t>Jackson</t>
        </is>
      </c>
      <c r="E43" s="123" t="n">
        <v>0.03</v>
      </c>
      <c r="F43" s="53">
        <f>IF(OR($B43="",$E43="",$D$39=""),"",ROUND($B43*$D$39*$E43,2))</f>
        <v/>
      </c>
      <c r="G43" s="76" t="inlineStr">
        <is>
          <t>Samuel</t>
        </is>
      </c>
      <c r="H43" s="123" t="n">
        <v>0.02</v>
      </c>
      <c r="I43" s="53">
        <f>IF(OR($B43="",$H43="",$D$39=""),"",ROUND($B43*$D$39*$H43,2))</f>
        <v/>
      </c>
      <c r="J43" s="76" t="inlineStr">
        <is>
          <t>Lorrane</t>
        </is>
      </c>
      <c r="K43" s="123" t="n">
        <v>0.01</v>
      </c>
      <c r="L43" s="53">
        <f>IF(OR($B43="",$K43="",$D$39=""),"",ROUND($B43*$D$39*$K43,2))</f>
        <v/>
      </c>
      <c r="M43" s="78">
        <f>IF(AND($F43="",$I43="",$L43=""),"",ROUND(IF($F43="",0,$F43)+IF($I43="",0,$I43)+IF($L43="",0,$L43),2))</f>
        <v/>
      </c>
    </row>
    <row r="44" ht="18" customHeight="1">
      <c r="A44" s="76" t="inlineStr">
        <is>
          <t>Suíte</t>
        </is>
      </c>
      <c r="B44" s="122">
        <f>IF(OR($C44="",$A$13="",$A$13=0),"",$C44/$A$13)</f>
        <v/>
      </c>
      <c r="C44" s="77" t="n">
        <v>20000</v>
      </c>
      <c r="D44" s="76" t="inlineStr">
        <is>
          <t>Samuel</t>
        </is>
      </c>
      <c r="E44" s="123" t="n">
        <v>0.03</v>
      </c>
      <c r="F44" s="53">
        <f>IF(OR($B44="",$E44="",$D$39=""),"",ROUND($B44*$D$39*$E44,2))</f>
        <v/>
      </c>
      <c r="G44" s="76" t="inlineStr">
        <is>
          <t>Cesar</t>
        </is>
      </c>
      <c r="H44" s="123" t="n">
        <v>0.02</v>
      </c>
      <c r="I44" s="53">
        <f>IF(OR($B44="",$H44="",$D$39=""),"",ROUND($B44*$D$39*$H44,2))</f>
        <v/>
      </c>
      <c r="J44" s="76" t="inlineStr">
        <is>
          <t>Lorrane</t>
        </is>
      </c>
      <c r="K44" s="123" t="n">
        <v>0.01</v>
      </c>
      <c r="L44" s="53">
        <f>IF(OR($B44="",$K44="",$D$39=""),"",ROUND($B44*$D$39*$K44,2))</f>
        <v/>
      </c>
      <c r="M44" s="78">
        <f>IF(AND($F44="",$I44="",$L44=""),"",ROUND(IF($F44="",0,$F44)+IF($I44="",0,$I44)+IF($L44="",0,$L44),2))</f>
        <v/>
      </c>
    </row>
    <row r="45" ht="18" customHeight="1">
      <c r="A45" s="76" t="inlineStr">
        <is>
          <t>Lavanderia</t>
        </is>
      </c>
      <c r="B45" s="122">
        <f>IF(OR($C45="",$A$13="",$A$13=0),"",$C45/$A$13)</f>
        <v/>
      </c>
      <c r="C45" s="77" t="n">
        <v>10000</v>
      </c>
      <c r="D45" s="76" t="inlineStr">
        <is>
          <t>Joelson</t>
        </is>
      </c>
      <c r="E45" s="123" t="n">
        <v>0.03</v>
      </c>
      <c r="F45" s="53">
        <f>IF(OR($B45="",$E45="",$D$39=""),"",ROUND($B45*$D$39*$E45,2))</f>
        <v/>
      </c>
      <c r="G45" s="76" t="inlineStr">
        <is>
          <t>Samuel</t>
        </is>
      </c>
      <c r="H45" s="123" t="n">
        <v>0.02</v>
      </c>
      <c r="I45" s="53">
        <f>IF(OR($B45="",$H45="",$D$39=""),"",ROUND($B45*$D$39*$H45,2))</f>
        <v/>
      </c>
      <c r="J45" s="76" t="inlineStr">
        <is>
          <t>Lucas</t>
        </is>
      </c>
      <c r="K45" s="123" t="n">
        <v>0.01</v>
      </c>
      <c r="L45" s="53">
        <f>IF(OR($B45="",$K45="",$D$39=""),"",ROUND($B45*$D$39*$K45,2))</f>
        <v/>
      </c>
      <c r="M45" s="78">
        <f>IF(AND($F45="",$I45="",$L45=""),"",ROUND(IF($F45="",0,$F45)+IF($I45="",0,$I45)+IF($L45="",0,$L45),2))</f>
        <v/>
      </c>
    </row>
    <row r="46" ht="18" customHeight="1">
      <c r="A46" s="76" t="inlineStr">
        <is>
          <t>Sala</t>
        </is>
      </c>
      <c r="B46" s="122">
        <f>IF(OR($C46="",$A$13="",$A$13=0),"",$C46/$A$13)</f>
        <v/>
      </c>
      <c r="C46" s="77" t="n">
        <v>30000</v>
      </c>
      <c r="D46" s="76" t="inlineStr">
        <is>
          <t>Deivison</t>
        </is>
      </c>
      <c r="E46" s="123" t="n">
        <v>0.03</v>
      </c>
      <c r="F46" s="53">
        <f>IF(OR($B46="",$E46="",$D$39=""),"",ROUND($B46*$D$39*$E46,2))</f>
        <v/>
      </c>
      <c r="G46" s="76" t="inlineStr">
        <is>
          <t>Jackson</t>
        </is>
      </c>
      <c r="H46" s="123" t="n">
        <v>0.02</v>
      </c>
      <c r="I46" s="53">
        <f>IF(OR($B46="",$H46="",$D$39=""),"",ROUND($B46*$D$39*$H46,2))</f>
        <v/>
      </c>
      <c r="J46" s="76" t="inlineStr">
        <is>
          <t>Lucas</t>
        </is>
      </c>
      <c r="K46" s="123" t="n">
        <v>0.01</v>
      </c>
      <c r="L46" s="53">
        <f>IF(OR($B46="",$K46="",$D$39=""),"",ROUND($B46*$D$39*$K46,2))</f>
        <v/>
      </c>
      <c r="M46" s="78">
        <f>IF(AND($F46="",$I46="",$L46=""),"",ROUND(IF($F46="",0,$F46)+IF($I46="",0,$I46)+IF($L46="",0,$L46),2))</f>
        <v/>
      </c>
    </row>
    <row r="47" ht="18" customHeight="1">
      <c r="A47" s="76" t="n"/>
      <c r="B47" s="122">
        <f>IF(OR($C47="",$A$13="",$A$13=0),"",$C47/$A$13)</f>
        <v/>
      </c>
      <c r="C47" s="77" t="n"/>
      <c r="D47" s="76" t="n"/>
      <c r="E47" s="123" t="n"/>
      <c r="F47" s="53">
        <f>IF(OR($B47="",$E47="",$D$39=""),"",ROUND($B47*$D$39*$E47,2))</f>
        <v/>
      </c>
      <c r="G47" s="76" t="n"/>
      <c r="H47" s="123" t="n"/>
      <c r="I47" s="53">
        <f>IF(OR($B47="",$H47="",$D$39=""),"",ROUND($B47*$D$39*$H47,2))</f>
        <v/>
      </c>
      <c r="J47" s="76" t="n"/>
      <c r="K47" s="123" t="n"/>
      <c r="L47" s="53">
        <f>IF(OR($B47="",$K47="",$D$39=""),"",ROUND($B47*$D$39*$K47,2))</f>
        <v/>
      </c>
      <c r="M47" s="78">
        <f>IF(AND($F47="",$I47="",$L47=""),"",ROUND(IF($F47="",0,$F47)+IF($I47="",0,$I47)+IF($L47="",0,$L47),2))</f>
        <v/>
      </c>
    </row>
    <row r="48" ht="18" customHeight="1">
      <c r="A48" s="76" t="n"/>
      <c r="B48" s="122">
        <f>IF(OR($C48="",$A$13="",$A$13=0),"",$C48/$A$13)</f>
        <v/>
      </c>
      <c r="C48" s="77" t="n"/>
      <c r="D48" s="76" t="n"/>
      <c r="E48" s="123" t="n"/>
      <c r="F48" s="53">
        <f>IF(OR($B48="",$E48="",$D$39=""),"",ROUND($B48*$D$39*$E48,2))</f>
        <v/>
      </c>
      <c r="G48" s="76" t="n"/>
      <c r="H48" s="123" t="n"/>
      <c r="I48" s="53">
        <f>IF(OR($B48="",$H48="",$D$39=""),"",ROUND($B48*$D$39*$H48,2))</f>
        <v/>
      </c>
      <c r="J48" s="76" t="n"/>
      <c r="K48" s="123" t="n"/>
      <c r="L48" s="53">
        <f>IF(OR($B48="",$K48="",$D$39=""),"",ROUND($B48*$D$39*$K48,2))</f>
        <v/>
      </c>
      <c r="M48" s="78">
        <f>IF(AND($F48="",$I48="",$L48=""),"",ROUND(IF($F48="",0,$F48)+IF($I48="",0,$I48)+IF($L48="",0,$L48),2))</f>
        <v/>
      </c>
    </row>
    <row r="49" ht="18" customHeight="1">
      <c r="A49" s="76" t="n"/>
      <c r="B49" s="122">
        <f>IF(OR($C49="",$A$13="",$A$13=0),"",$C49/$A$13)</f>
        <v/>
      </c>
      <c r="C49" s="77" t="n"/>
      <c r="D49" s="76" t="n"/>
      <c r="E49" s="123" t="n"/>
      <c r="F49" s="53">
        <f>IF(OR($B49="",$E49="",$D$39=""),"",ROUND($B49*$D$39*$E49,2))</f>
        <v/>
      </c>
      <c r="G49" s="76" t="n"/>
      <c r="H49" s="123" t="n"/>
      <c r="I49" s="53">
        <f>IF(OR($B49="",$H49="",$D$39=""),"",ROUND($B49*$D$39*$H49,2))</f>
        <v/>
      </c>
      <c r="J49" s="76" t="n"/>
      <c r="K49" s="123" t="n"/>
      <c r="L49" s="53">
        <f>IF(OR($B49="",$K49="",$D$39=""),"",ROUND($B49*$D$39*$K49,2))</f>
        <v/>
      </c>
      <c r="M49" s="78">
        <f>IF(AND($F49="",$I49="",$L49=""),"",ROUND(IF($F49="",0,$F49)+IF($I49="",0,$I49)+IF($L49="",0,$L49),2))</f>
        <v/>
      </c>
    </row>
    <row r="50" ht="18" customHeight="1">
      <c r="A50" s="76" t="n"/>
      <c r="B50" s="122">
        <f>IF(OR($C50="",$A$13="",$A$13=0),"",$C50/$A$13)</f>
        <v/>
      </c>
      <c r="C50" s="77" t="n"/>
      <c r="D50" s="76" t="n"/>
      <c r="E50" s="123" t="n"/>
      <c r="F50" s="53">
        <f>IF(OR($B50="",$E50="",$D$39=""),"",ROUND($B50*$D$39*$E50,2))</f>
        <v/>
      </c>
      <c r="G50" s="76" t="n"/>
      <c r="H50" s="123" t="n"/>
      <c r="I50" s="53">
        <f>IF(OR($B50="",$H50="",$D$39=""),"",ROUND($B50*$D$39*$H50,2))</f>
        <v/>
      </c>
      <c r="J50" s="76" t="n"/>
      <c r="K50" s="123" t="n"/>
      <c r="L50" s="53">
        <f>IF(OR($B50="",$K50="",$D$39=""),"",ROUND($B50*$D$39*$K50,2))</f>
        <v/>
      </c>
      <c r="M50" s="78">
        <f>IF(AND($F50="",$I50="",$L50=""),"",ROUND(IF($F50="",0,$F50)+IF($I50="",0,$I50)+IF($L50="",0,$L50),2))</f>
        <v/>
      </c>
    </row>
    <row r="51" ht="18" customHeight="1">
      <c r="A51" s="76" t="n"/>
      <c r="B51" s="122">
        <f>IF(OR($C51="",$A$13="",$A$13=0),"",$C51/$A$13)</f>
        <v/>
      </c>
      <c r="C51" s="77" t="n"/>
      <c r="D51" s="76" t="n"/>
      <c r="E51" s="123" t="n"/>
      <c r="F51" s="53">
        <f>IF(OR($B51="",$E51="",$D$39=""),"",ROUND($B51*$D$39*$E51,2))</f>
        <v/>
      </c>
      <c r="G51" s="76" t="n"/>
      <c r="H51" s="123" t="n"/>
      <c r="I51" s="53">
        <f>IF(OR($B51="",$H51="",$D$39=""),"",ROUND($B51*$D$39*$H51,2))</f>
        <v/>
      </c>
      <c r="J51" s="76" t="n"/>
      <c r="K51" s="123" t="n"/>
      <c r="L51" s="53">
        <f>IF(OR($B51="",$K51="",$D$39=""),"",ROUND($B51*$D$39*$K51,2))</f>
        <v/>
      </c>
      <c r="M51" s="78">
        <f>IF(AND($F51="",$I51="",$L51=""),"",ROUND(IF($F51="",0,$F51)+IF($I51="",0,$I51)+IF($L51="",0,$L51),2))</f>
        <v/>
      </c>
    </row>
    <row r="52" ht="18" customHeight="1">
      <c r="A52" s="76" t="n"/>
      <c r="B52" s="122">
        <f>IF(OR($C52="",$A$13="",$A$13=0),"",$C52/$A$13)</f>
        <v/>
      </c>
      <c r="C52" s="77" t="n"/>
      <c r="D52" s="76" t="n"/>
      <c r="E52" s="123" t="n"/>
      <c r="F52" s="53">
        <f>IF(OR($B52="",$E52="",$D$39=""),"",ROUND($B52*$D$39*$E52,2))</f>
        <v/>
      </c>
      <c r="G52" s="76" t="n"/>
      <c r="H52" s="123" t="n"/>
      <c r="I52" s="53">
        <f>IF(OR($B52="",$H52="",$D$39=""),"",ROUND($B52*$D$39*$H52,2))</f>
        <v/>
      </c>
      <c r="J52" s="76" t="n"/>
      <c r="K52" s="123" t="n"/>
      <c r="L52" s="53">
        <f>IF(OR($B52="",$K52="",$D$39=""),"",ROUND($B52*$D$39*$K52,2))</f>
        <v/>
      </c>
      <c r="M52" s="78">
        <f>IF(AND($F52="",$I52="",$L52=""),"",ROUND(IF($F52="",0,$F52)+IF($I52="",0,$I52)+IF($L52="",0,$L52),2))</f>
        <v/>
      </c>
    </row>
    <row r="53" ht="18" customHeight="1">
      <c r="A53" s="76" t="n"/>
      <c r="B53" s="122">
        <f>IF(OR($C53="",$A$13="",$A$13=0),"",$C53/$A$13)</f>
        <v/>
      </c>
      <c r="C53" s="77" t="n"/>
      <c r="D53" s="76" t="n"/>
      <c r="E53" s="123" t="n"/>
      <c r="F53" s="53">
        <f>IF(OR($B53="",$E53="",$D$39=""),"",ROUND($B53*$D$39*$E53,2))</f>
        <v/>
      </c>
      <c r="G53" s="76" t="n"/>
      <c r="H53" s="123" t="n"/>
      <c r="I53" s="53">
        <f>IF(OR($B53="",$H53="",$D$39=""),"",ROUND($B53*$D$39*$H53,2))</f>
        <v/>
      </c>
      <c r="J53" s="76" t="n"/>
      <c r="K53" s="123" t="n"/>
      <c r="L53" s="53">
        <f>IF(OR($B53="",$K53="",$D$39=""),"",ROUND($B53*$D$39*$K53,2))</f>
        <v/>
      </c>
      <c r="M53" s="78">
        <f>IF(AND($F53="",$I53="",$L53=""),"",ROUND(IF($F53="",0,$F53)+IF($I53="",0,$I53)+IF($L53="",0,$L53),2))</f>
        <v/>
      </c>
    </row>
    <row r="54" ht="18" customHeight="1">
      <c r="A54" s="76" t="n"/>
      <c r="B54" s="122">
        <f>IF(OR($C54="",$A$13="",$A$13=0),"",$C54/$A$13)</f>
        <v/>
      </c>
      <c r="C54" s="77" t="n"/>
      <c r="D54" s="76" t="n"/>
      <c r="E54" s="123" t="n"/>
      <c r="F54" s="53">
        <f>IF(OR($B54="",$E54="",$D$39=""),"",ROUND($B54*$D$39*$E54,2))</f>
        <v/>
      </c>
      <c r="G54" s="76" t="n"/>
      <c r="H54" s="123" t="n"/>
      <c r="I54" s="53">
        <f>IF(OR($B54="",$H54="",$D$39=""),"",ROUND($B54*$D$39*$H54,2))</f>
        <v/>
      </c>
      <c r="J54" s="76" t="n"/>
      <c r="K54" s="123" t="n"/>
      <c r="L54" s="53">
        <f>IF(OR($B54="",$K54="",$D$39=""),"",ROUND($B54*$D$39*$K54,2))</f>
        <v/>
      </c>
      <c r="M54" s="78">
        <f>IF(AND($F54="",$I54="",$L54=""),"",ROUND(IF($F54="",0,$F54)+IF($I54="",0,$I54)+IF($L54="",0,$L54),2))</f>
        <v/>
      </c>
    </row>
    <row r="55" ht="20" customHeight="1">
      <c r="A55" s="31" t="inlineStr">
        <is>
          <t>SOMA DOS AMBIENTES</t>
        </is>
      </c>
      <c r="B55" s="118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99" t="n"/>
      <c r="F55" s="57">
        <f>ROUND(SUM(F43:F54),2)</f>
        <v/>
      </c>
      <c r="G55" s="32" t="n"/>
      <c r="H55" s="99" t="n"/>
      <c r="I55" s="57">
        <f>ROUND(SUM(I43:I54),2)</f>
        <v/>
      </c>
      <c r="J55" s="32" t="n"/>
      <c r="K55" s="99" t="n"/>
      <c r="L55" s="57">
        <f>ROUND(SUM(L43:L54),2)</f>
        <v/>
      </c>
      <c r="M55" s="57">
        <f>ROUND(SUM(M43:M54),2)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7" t="n"/>
      <c r="C57" s="97" t="n"/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108" t="n"/>
      <c r="G58" s="19" t="inlineStr">
        <is>
          <t>% da venda</t>
        </is>
      </c>
      <c r="H58" s="19" t="inlineStr">
        <is>
          <t>Observação</t>
        </is>
      </c>
      <c r="I58" s="97" t="n"/>
      <c r="J58" s="97" t="n"/>
      <c r="K58" s="97" t="n"/>
      <c r="L58" s="97" t="n"/>
      <c r="M58" s="108" t="n"/>
    </row>
    <row r="59" ht="17" customHeight="1">
      <c r="A59" s="36" t="inlineStr">
        <is>
          <t>Coordenação de produção</t>
        </is>
      </c>
      <c r="B59" s="123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99" t="n"/>
      <c r="G59" s="122">
        <f>IF(OR($D59="",$A$13="",$A$13=0),"",$D59/$A$13)</f>
        <v/>
      </c>
      <c r="H59" s="70" t="inlineStr">
        <is>
          <t>quem coordena está na identificação, no topo da ficha</t>
        </is>
      </c>
      <c r="I59" s="98" t="n"/>
      <c r="J59" s="98" t="n"/>
      <c r="K59" s="98" t="n"/>
      <c r="L59" s="98" t="n"/>
      <c r="M59" s="99" t="n"/>
    </row>
    <row r="60" ht="17" customHeight="1">
      <c r="A60" s="36" t="inlineStr">
        <is>
          <t>Comissão de produção</t>
        </is>
      </c>
      <c r="B60" s="123" t="n">
        <v>0.03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99" t="n"/>
      <c r="G60" s="122">
        <f>IF(OR($D60="",$A$13="",$A$13=0),"",$D60/$A$13)</f>
        <v/>
      </c>
      <c r="H60" s="70" t="inlineStr">
        <is>
          <t>orçado = % único estimado · realizado = soma dos ambientes</t>
        </is>
      </c>
      <c r="I60" s="98" t="n"/>
      <c r="J60" s="98" t="n"/>
      <c r="K60" s="98" t="n"/>
      <c r="L60" s="98" t="n"/>
      <c r="M60" s="99" t="n"/>
    </row>
    <row r="61" ht="17" customHeight="1">
      <c r="A61" s="36" t="inlineStr">
        <is>
          <t>Comissão de montagem</t>
        </is>
      </c>
      <c r="B61" s="123" t="n">
        <v>0.02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99" t="n"/>
      <c r="G61" s="122">
        <f>IF(OR($D61="",$A$13="",$A$13=0),"",$D61/$A$13)</f>
        <v/>
      </c>
      <c r="H61" s="70" t="inlineStr">
        <is>
          <t>orçado = % único estimado · realizado = soma dos ambientes</t>
        </is>
      </c>
      <c r="I61" s="98" t="n"/>
      <c r="J61" s="98" t="n"/>
      <c r="K61" s="98" t="n"/>
      <c r="L61" s="98" t="n"/>
      <c r="M61" s="99" t="n"/>
    </row>
    <row r="62" ht="17" customHeight="1">
      <c r="A62" s="36" t="inlineStr">
        <is>
          <t>Comissão de projetista</t>
        </is>
      </c>
      <c r="B62" s="123" t="n">
        <v>0.01</v>
      </c>
      <c r="C62" s="53">
        <f>IF($B62="","",ROUND($B62*$C$39,2))</f>
        <v/>
      </c>
      <c r="D62" s="53">
        <f>IF($L$55=0,"",$L$55)</f>
        <v/>
      </c>
      <c r="E62" s="53">
        <f>IF(OR($C62="",$D62=""),"",ROUND($D62-$C62,2))</f>
        <v/>
      </c>
      <c r="F62" s="99" t="n"/>
      <c r="G62" s="122">
        <f>IF(OR($D62="",$A$13="",$A$13=0),"",$D62/$A$13)</f>
        <v/>
      </c>
      <c r="H62" s="70" t="inlineStr">
        <is>
          <t>quem projetou cada ambiente está na coluna J do bloco 3</t>
        </is>
      </c>
      <c r="I62" s="98" t="n"/>
      <c r="J62" s="98" t="n"/>
      <c r="K62" s="98" t="n"/>
      <c r="L62" s="98" t="n"/>
      <c r="M62" s="99" t="n"/>
    </row>
    <row r="63" ht="20" customHeight="1">
      <c r="A63" s="31" t="inlineStr">
        <is>
          <t>(=) SUBTOTAL DAS COMISSÕES</t>
        </is>
      </c>
      <c r="B63" s="99" t="n"/>
      <c r="C63" s="57">
        <f>ROUND(SUM(C59:C62),2)</f>
        <v/>
      </c>
      <c r="D63" s="57">
        <f>ROUND(SUM(D59:D62),2)</f>
        <v/>
      </c>
      <c r="E63" s="57">
        <f>ROUND($D63-$C63,2)</f>
        <v/>
      </c>
      <c r="F63" s="99" t="n"/>
      <c r="G63" s="118">
        <f>IF(OR($A$13="",$A$13=0),"",$D63/$A$13)</f>
        <v/>
      </c>
      <c r="H63" s="32" t="n"/>
      <c r="I63" s="98" t="n"/>
      <c r="J63" s="98" t="n"/>
      <c r="K63" s="98" t="n"/>
      <c r="L63" s="98" t="n"/>
      <c r="M63" s="99" t="n"/>
    </row>
    <row r="64" ht="8" customHeight="1"/>
    <row r="65" ht="20" customHeight="1">
      <c r="A65" s="8" t="inlineStr">
        <is>
          <t xml:space="preserve">  5 · COMISSÕES POR COLABORADOR          consolidado automático — quem produziu, quem montou, quem projetou e o coordenador</t>
        </is>
      </c>
      <c r="B65" s="97" t="n"/>
      <c r="C65" s="97" t="n"/>
      <c r="D65" s="97" t="n"/>
      <c r="E65" s="97" t="n"/>
      <c r="F65" s="97" t="n"/>
      <c r="G65" s="97" t="n"/>
      <c r="H65" s="97" t="n"/>
      <c r="I65" s="97" t="n"/>
      <c r="J65" s="97" t="n"/>
      <c r="K65" s="97" t="n"/>
      <c r="L65" s="97" t="n"/>
      <c r="M65" s="97" t="n"/>
    </row>
    <row r="66" ht="26" customHeight="1">
      <c r="A66" s="19" t="inlineStr">
        <is>
          <t>Colaborador</t>
        </is>
      </c>
      <c r="B66" s="19" t="inlineStr">
        <is>
          <t>Produção (R$)</t>
        </is>
      </c>
      <c r="C66" s="108" t="n"/>
      <c r="D66" s="19" t="inlineStr">
        <is>
          <t>Montagem (R$)</t>
        </is>
      </c>
      <c r="E66" s="108" t="n"/>
      <c r="F66" s="19" t="inlineStr">
        <is>
          <t>Projeto (R$)</t>
        </is>
      </c>
      <c r="G66" s="108" t="n"/>
      <c r="H66" s="19" t="inlineStr">
        <is>
          <t>Coordenação (R$)</t>
        </is>
      </c>
      <c r="I66" s="108" t="n"/>
      <c r="J66" s="19" t="inlineStr">
        <is>
          <t>Total no projeto (R$)</t>
        </is>
      </c>
      <c r="K66" s="97" t="n"/>
      <c r="L66" s="97" t="n"/>
      <c r="M66" s="108" t="n"/>
    </row>
    <row r="67" ht="17" customHeight="1">
      <c r="A67" s="80" t="inlineStr">
        <is>
          <t>Deivison</t>
        </is>
      </c>
      <c r="B67" s="53">
        <f>IF($A67="","",ROUND(SUMIF($D$43:$D$54,$A67,$F$43:$F$54),2))</f>
        <v/>
      </c>
      <c r="C67" s="99" t="n"/>
      <c r="D67" s="53">
        <f>IF($A67="","",ROUND(SUMIF($G$43:$G$54,$A67,$I$43:$I$54),2))</f>
        <v/>
      </c>
      <c r="E67" s="99" t="n"/>
      <c r="F67" s="53">
        <f>IF($A67="","",ROUND(SUMIF($J$43:$J$54,$A67,$L$43:$L$54),2))</f>
        <v/>
      </c>
      <c r="G67" s="99" t="n"/>
      <c r="H67" s="53">
        <f>IF($A67="","",IF($A67=$F$9,IF($D$59="",0,$D$59),0))</f>
        <v/>
      </c>
      <c r="I67" s="99" t="n"/>
      <c r="J67" s="81">
        <f>IF($A67="","",ROUND($B67+$D67+$F67+$H67,2))</f>
        <v/>
      </c>
      <c r="K67" s="98" t="n"/>
      <c r="L67" s="98" t="n"/>
      <c r="M67" s="99" t="n"/>
    </row>
    <row r="68" ht="17" customHeight="1">
      <c r="A68" s="80" t="inlineStr">
        <is>
          <t>Ronald</t>
        </is>
      </c>
      <c r="B68" s="53">
        <f>IF($A68="","",ROUND(SUMIF($D$43:$D$54,$A68,$F$43:$F$54),2))</f>
        <v/>
      </c>
      <c r="C68" s="99" t="n"/>
      <c r="D68" s="53">
        <f>IF($A68="","",ROUND(SUMIF($G$43:$G$54,$A68,$I$43:$I$54),2))</f>
        <v/>
      </c>
      <c r="E68" s="99" t="n"/>
      <c r="F68" s="53">
        <f>IF($A68="","",ROUND(SUMIF($J$43:$J$54,$A68,$L$43:$L$54),2))</f>
        <v/>
      </c>
      <c r="G68" s="99" t="n"/>
      <c r="H68" s="53">
        <f>IF($A68="","",IF($A68=$F$9,IF($D$59="",0,$D$59),0))</f>
        <v/>
      </c>
      <c r="I68" s="99" t="n"/>
      <c r="J68" s="81">
        <f>IF($A68="","",ROUND($B68+$D68+$F68+$H68,2))</f>
        <v/>
      </c>
      <c r="K68" s="98" t="n"/>
      <c r="L68" s="98" t="n"/>
      <c r="M68" s="99" t="n"/>
    </row>
    <row r="69" ht="17" customHeight="1">
      <c r="A69" s="80" t="inlineStr">
        <is>
          <t>Samuel</t>
        </is>
      </c>
      <c r="B69" s="53">
        <f>IF($A69="","",ROUND(SUMIF($D$43:$D$54,$A69,$F$43:$F$54),2))</f>
        <v/>
      </c>
      <c r="C69" s="99" t="n"/>
      <c r="D69" s="53">
        <f>IF($A69="","",ROUND(SUMIF($G$43:$G$54,$A69,$I$43:$I$54),2))</f>
        <v/>
      </c>
      <c r="E69" s="99" t="n"/>
      <c r="F69" s="53">
        <f>IF($A69="","",ROUND(SUMIF($J$43:$J$54,$A69,$L$43:$L$54),2))</f>
        <v/>
      </c>
      <c r="G69" s="99" t="n"/>
      <c r="H69" s="53">
        <f>IF($A69="","",IF($A69=$F$9,IF($D$59="",0,$D$59),0))</f>
        <v/>
      </c>
      <c r="I69" s="99" t="n"/>
      <c r="J69" s="81">
        <f>IF($A69="","",ROUND($B69+$D69+$F69+$H69,2))</f>
        <v/>
      </c>
      <c r="K69" s="98" t="n"/>
      <c r="L69" s="98" t="n"/>
      <c r="M69" s="99" t="n"/>
    </row>
    <row r="70" ht="17" customHeight="1">
      <c r="A70" s="80" t="inlineStr">
        <is>
          <t>Cesar</t>
        </is>
      </c>
      <c r="B70" s="53">
        <f>IF($A70="","",ROUND(SUMIF($D$43:$D$54,$A70,$F$43:$F$54),2))</f>
        <v/>
      </c>
      <c r="C70" s="99" t="n"/>
      <c r="D70" s="53">
        <f>IF($A70="","",ROUND(SUMIF($G$43:$G$54,$A70,$I$43:$I$54),2))</f>
        <v/>
      </c>
      <c r="E70" s="99" t="n"/>
      <c r="F70" s="53">
        <f>IF($A70="","",ROUND(SUMIF($J$43:$J$54,$A70,$L$43:$L$54),2))</f>
        <v/>
      </c>
      <c r="G70" s="99" t="n"/>
      <c r="H70" s="53">
        <f>IF($A70="","",IF($A70=$F$9,IF($D$59="",0,$D$59),0))</f>
        <v/>
      </c>
      <c r="I70" s="99" t="n"/>
      <c r="J70" s="81">
        <f>IF($A70="","",ROUND($B70+$D70+$F70+$H70,2))</f>
        <v/>
      </c>
      <c r="K70" s="98" t="n"/>
      <c r="L70" s="98" t="n"/>
      <c r="M70" s="99" t="n"/>
    </row>
    <row r="71" ht="17" customHeight="1">
      <c r="A71" s="80" t="inlineStr">
        <is>
          <t>Jackson</t>
        </is>
      </c>
      <c r="B71" s="53">
        <f>IF($A71="","",ROUND(SUMIF($D$43:$D$54,$A71,$F$43:$F$54),2))</f>
        <v/>
      </c>
      <c r="C71" s="99" t="n"/>
      <c r="D71" s="53">
        <f>IF($A71="","",ROUND(SUMIF($G$43:$G$54,$A71,$I$43:$I$54),2))</f>
        <v/>
      </c>
      <c r="E71" s="99" t="n"/>
      <c r="F71" s="53">
        <f>IF($A71="","",ROUND(SUMIF($J$43:$J$54,$A71,$L$43:$L$54),2))</f>
        <v/>
      </c>
      <c r="G71" s="99" t="n"/>
      <c r="H71" s="53">
        <f>IF($A71="","",IF($A71=$F$9,IF($D$59="",0,$D$59),0))</f>
        <v/>
      </c>
      <c r="I71" s="99" t="n"/>
      <c r="J71" s="81">
        <f>IF($A71="","",ROUND($B71+$D71+$F71+$H71,2))</f>
        <v/>
      </c>
      <c r="K71" s="98" t="n"/>
      <c r="L71" s="98" t="n"/>
      <c r="M71" s="99" t="n"/>
    </row>
    <row r="72" ht="17" customHeight="1">
      <c r="A72" s="80" t="inlineStr">
        <is>
          <t>Jhon</t>
        </is>
      </c>
      <c r="B72" s="53">
        <f>IF($A72="","",ROUND(SUMIF($D$43:$D$54,$A72,$F$43:$F$54),2))</f>
        <v/>
      </c>
      <c r="C72" s="99" t="n"/>
      <c r="D72" s="53">
        <f>IF($A72="","",ROUND(SUMIF($G$43:$G$54,$A72,$I$43:$I$54),2))</f>
        <v/>
      </c>
      <c r="E72" s="99" t="n"/>
      <c r="F72" s="53">
        <f>IF($A72="","",ROUND(SUMIF($J$43:$J$54,$A72,$L$43:$L$54),2))</f>
        <v/>
      </c>
      <c r="G72" s="99" t="n"/>
      <c r="H72" s="53">
        <f>IF($A72="","",IF($A72=$F$9,IF($D$59="",0,$D$59),0))</f>
        <v/>
      </c>
      <c r="I72" s="99" t="n"/>
      <c r="J72" s="81">
        <f>IF($A72="","",ROUND($B72+$D72+$F72+$H72,2))</f>
        <v/>
      </c>
      <c r="K72" s="98" t="n"/>
      <c r="L72" s="98" t="n"/>
      <c r="M72" s="99" t="n"/>
    </row>
    <row r="73" ht="17" customHeight="1">
      <c r="A73" s="80" t="inlineStr">
        <is>
          <t>Joelson</t>
        </is>
      </c>
      <c r="B73" s="53">
        <f>IF($A73="","",ROUND(SUMIF($D$43:$D$54,$A73,$F$43:$F$54),2))</f>
        <v/>
      </c>
      <c r="C73" s="99" t="n"/>
      <c r="D73" s="53">
        <f>IF($A73="","",ROUND(SUMIF($G$43:$G$54,$A73,$I$43:$I$54),2))</f>
        <v/>
      </c>
      <c r="E73" s="99" t="n"/>
      <c r="F73" s="53">
        <f>IF($A73="","",ROUND(SUMIF($J$43:$J$54,$A73,$L$43:$L$54),2))</f>
        <v/>
      </c>
      <c r="G73" s="99" t="n"/>
      <c r="H73" s="53">
        <f>IF($A73="","",IF($A73=$F$9,IF($D$59="",0,$D$59),0))</f>
        <v/>
      </c>
      <c r="I73" s="99" t="n"/>
      <c r="J73" s="81">
        <f>IF($A73="","",ROUND($B73+$D73+$F73+$H73,2))</f>
        <v/>
      </c>
      <c r="K73" s="98" t="n"/>
      <c r="L73" s="98" t="n"/>
      <c r="M73" s="99" t="n"/>
    </row>
    <row r="74" ht="17" customHeight="1">
      <c r="A74" s="80" t="inlineStr">
        <is>
          <t>Davi</t>
        </is>
      </c>
      <c r="B74" s="53">
        <f>IF($A74="","",ROUND(SUMIF($D$43:$D$54,$A74,$F$43:$F$54),2))</f>
        <v/>
      </c>
      <c r="C74" s="99" t="n"/>
      <c r="D74" s="53">
        <f>IF($A74="","",ROUND(SUMIF($G$43:$G$54,$A74,$I$43:$I$54),2))</f>
        <v/>
      </c>
      <c r="E74" s="99" t="n"/>
      <c r="F74" s="53">
        <f>IF($A74="","",ROUND(SUMIF($J$43:$J$54,$A74,$L$43:$L$54),2))</f>
        <v/>
      </c>
      <c r="G74" s="99" t="n"/>
      <c r="H74" s="53">
        <f>IF($A74="","",IF($A74=$F$9,IF($D$59="",0,$D$59),0))</f>
        <v/>
      </c>
      <c r="I74" s="99" t="n"/>
      <c r="J74" s="81">
        <f>IF($A74="","",ROUND($B74+$D74+$F74+$H74,2))</f>
        <v/>
      </c>
      <c r="K74" s="98" t="n"/>
      <c r="L74" s="98" t="n"/>
      <c r="M74" s="99" t="n"/>
    </row>
    <row r="75" ht="17" customHeight="1">
      <c r="A75" s="80" t="inlineStr">
        <is>
          <t>Jomar</t>
        </is>
      </c>
      <c r="B75" s="53">
        <f>IF($A75="","",ROUND(SUMIF($D$43:$D$54,$A75,$F$43:$F$54),2))</f>
        <v/>
      </c>
      <c r="C75" s="99" t="n"/>
      <c r="D75" s="53">
        <f>IF($A75="","",ROUND(SUMIF($G$43:$G$54,$A75,$I$43:$I$54),2))</f>
        <v/>
      </c>
      <c r="E75" s="99" t="n"/>
      <c r="F75" s="53">
        <f>IF($A75="","",ROUND(SUMIF($J$43:$J$54,$A75,$L$43:$L$54),2))</f>
        <v/>
      </c>
      <c r="G75" s="99" t="n"/>
      <c r="H75" s="53">
        <f>IF($A75="","",IF($A75=$F$9,IF($D$59="",0,$D$59),0))</f>
        <v/>
      </c>
      <c r="I75" s="99" t="n"/>
      <c r="J75" s="81">
        <f>IF($A75="","",ROUND($B75+$D75+$F75+$H75,2))</f>
        <v/>
      </c>
      <c r="K75" s="98" t="n"/>
      <c r="L75" s="98" t="n"/>
      <c r="M75" s="99" t="n"/>
    </row>
    <row r="76" ht="17" customHeight="1">
      <c r="A76" s="80" t="inlineStr">
        <is>
          <t>Bruno</t>
        </is>
      </c>
      <c r="B76" s="53">
        <f>IF($A76="","",ROUND(SUMIF($D$43:$D$54,$A76,$F$43:$F$54),2))</f>
        <v/>
      </c>
      <c r="C76" s="99" t="n"/>
      <c r="D76" s="53">
        <f>IF($A76="","",ROUND(SUMIF($G$43:$G$54,$A76,$I$43:$I$54),2))</f>
        <v/>
      </c>
      <c r="E76" s="99" t="n"/>
      <c r="F76" s="53">
        <f>IF($A76="","",ROUND(SUMIF($J$43:$J$54,$A76,$L$43:$L$54),2))</f>
        <v/>
      </c>
      <c r="G76" s="99" t="n"/>
      <c r="H76" s="53">
        <f>IF($A76="","",IF($A76=$F$9,IF($D$59="",0,$D$59),0))</f>
        <v/>
      </c>
      <c r="I76" s="99" t="n"/>
      <c r="J76" s="81">
        <f>IF($A76="","",ROUND($B76+$D76+$F76+$H76,2))</f>
        <v/>
      </c>
      <c r="K76" s="98" t="n"/>
      <c r="L76" s="98" t="n"/>
      <c r="M76" s="99" t="n"/>
    </row>
    <row r="77" ht="17" customHeight="1">
      <c r="A77" s="80" t="inlineStr">
        <is>
          <t>Wallace</t>
        </is>
      </c>
      <c r="B77" s="53">
        <f>IF($A77="","",ROUND(SUMIF($D$43:$D$54,$A77,$F$43:$F$54),2))</f>
        <v/>
      </c>
      <c r="C77" s="99" t="n"/>
      <c r="D77" s="53">
        <f>IF($A77="","",ROUND(SUMIF($G$43:$G$54,$A77,$I$43:$I$54),2))</f>
        <v/>
      </c>
      <c r="E77" s="99" t="n"/>
      <c r="F77" s="53">
        <f>IF($A77="","",ROUND(SUMIF($J$43:$J$54,$A77,$L$43:$L$54),2))</f>
        <v/>
      </c>
      <c r="G77" s="99" t="n"/>
      <c r="H77" s="53">
        <f>IF($A77="","",IF($A77=$F$9,IF($D$59="",0,$D$59),0))</f>
        <v/>
      </c>
      <c r="I77" s="99" t="n"/>
      <c r="J77" s="81">
        <f>IF($A77="","",ROUND($B77+$D77+$F77+$H77,2))</f>
        <v/>
      </c>
      <c r="K77" s="98" t="n"/>
      <c r="L77" s="98" t="n"/>
      <c r="M77" s="99" t="n"/>
    </row>
    <row r="78" ht="17" customHeight="1">
      <c r="A78" s="80" t="inlineStr">
        <is>
          <t>Douglas</t>
        </is>
      </c>
      <c r="B78" s="53">
        <f>IF($A78="","",ROUND(SUMIF($D$43:$D$54,$A78,$F$43:$F$54),2))</f>
        <v/>
      </c>
      <c r="C78" s="99" t="n"/>
      <c r="D78" s="53">
        <f>IF($A78="","",ROUND(SUMIF($G$43:$G$54,$A78,$I$43:$I$54),2))</f>
        <v/>
      </c>
      <c r="E78" s="99" t="n"/>
      <c r="F78" s="53">
        <f>IF($A78="","",ROUND(SUMIF($J$43:$J$54,$A78,$L$43:$L$54),2))</f>
        <v/>
      </c>
      <c r="G78" s="99" t="n"/>
      <c r="H78" s="53">
        <f>IF($A78="","",IF($A78=$F$9,IF($D$59="",0,$D$59),0))</f>
        <v/>
      </c>
      <c r="I78" s="99" t="n"/>
      <c r="J78" s="81">
        <f>IF($A78="","",ROUND($B78+$D78+$F78+$H78,2))</f>
        <v/>
      </c>
      <c r="K78" s="98" t="n"/>
      <c r="L78" s="98" t="n"/>
      <c r="M78" s="99" t="n"/>
    </row>
    <row r="79" ht="17" customHeight="1">
      <c r="A79" s="80" t="inlineStr">
        <is>
          <t>Terceiro / avulso</t>
        </is>
      </c>
      <c r="B79" s="53">
        <f>IF($A79="","",ROUND(SUMIF($D$43:$D$54,$A79,$F$43:$F$54),2))</f>
        <v/>
      </c>
      <c r="C79" s="99" t="n"/>
      <c r="D79" s="53">
        <f>IF($A79="","",ROUND(SUMIF($G$43:$G$54,$A79,$I$43:$I$54),2))</f>
        <v/>
      </c>
      <c r="E79" s="99" t="n"/>
      <c r="F79" s="53">
        <f>IF($A79="","",ROUND(SUMIF($J$43:$J$54,$A79,$L$43:$L$54),2))</f>
        <v/>
      </c>
      <c r="G79" s="99" t="n"/>
      <c r="H79" s="53">
        <f>IF($A79="","",IF($A79=$F$9,IF($D$59="",0,$D$59),0))</f>
        <v/>
      </c>
      <c r="I79" s="99" t="n"/>
      <c r="J79" s="81">
        <f>IF($A79="","",ROUND($B79+$D79+$F79+$H79,2))</f>
        <v/>
      </c>
      <c r="K79" s="98" t="n"/>
      <c r="L79" s="98" t="n"/>
      <c r="M79" s="99" t="n"/>
    </row>
    <row r="80" ht="17" customHeight="1">
      <c r="A80" s="80" t="inlineStr">
        <is>
          <t>Lorrane</t>
        </is>
      </c>
      <c r="B80" s="53">
        <f>IF($A80="","",ROUND(SUMIF($D$43:$D$54,$A80,$F$43:$F$54),2))</f>
        <v/>
      </c>
      <c r="C80" s="99" t="n"/>
      <c r="D80" s="53">
        <f>IF($A80="","",ROUND(SUMIF($G$43:$G$54,$A80,$I$43:$I$54),2))</f>
        <v/>
      </c>
      <c r="E80" s="99" t="n"/>
      <c r="F80" s="53">
        <f>IF($A80="","",ROUND(SUMIF($J$43:$J$54,$A80,$L$43:$L$54),2))</f>
        <v/>
      </c>
      <c r="G80" s="99" t="n"/>
      <c r="H80" s="53">
        <f>IF($A80="","",IF($A80=$F$9,IF($D$59="",0,$D$59),0))</f>
        <v/>
      </c>
      <c r="I80" s="99" t="n"/>
      <c r="J80" s="81">
        <f>IF($A80="","",ROUND($B80+$D80+$F80+$H80,2))</f>
        <v/>
      </c>
      <c r="K80" s="98" t="n"/>
      <c r="L80" s="98" t="n"/>
      <c r="M80" s="99" t="n"/>
    </row>
    <row r="81" ht="17" customHeight="1">
      <c r="A81" s="80" t="inlineStr">
        <is>
          <t>Lucas</t>
        </is>
      </c>
      <c r="B81" s="53">
        <f>IF($A81="","",ROUND(SUMIF($D$43:$D$54,$A81,$F$43:$F$54),2))</f>
        <v/>
      </c>
      <c r="C81" s="99" t="n"/>
      <c r="D81" s="53">
        <f>IF($A81="","",ROUND(SUMIF($G$43:$G$54,$A81,$I$43:$I$54),2))</f>
        <v/>
      </c>
      <c r="E81" s="99" t="n"/>
      <c r="F81" s="53">
        <f>IF($A81="","",ROUND(SUMIF($J$43:$J$54,$A81,$L$43:$L$54),2))</f>
        <v/>
      </c>
      <c r="G81" s="99" t="n"/>
      <c r="H81" s="53">
        <f>IF($A81="","",IF($A81=$F$9,IF($D$59="",0,$D$59),0))</f>
        <v/>
      </c>
      <c r="I81" s="99" t="n"/>
      <c r="J81" s="81">
        <f>IF($A81="","",ROUND($B81+$D81+$F81+$H81,2))</f>
        <v/>
      </c>
      <c r="K81" s="98" t="n"/>
      <c r="L81" s="98" t="n"/>
      <c r="M81" s="99" t="n"/>
    </row>
    <row r="82" ht="17" customHeight="1">
      <c r="A82" s="80" t="inlineStr">
        <is>
          <t>Bruna</t>
        </is>
      </c>
      <c r="B82" s="53">
        <f>IF($A82="","",ROUND(SUMIF($D$43:$D$54,$A82,$F$43:$F$54),2))</f>
        <v/>
      </c>
      <c r="C82" s="99" t="n"/>
      <c r="D82" s="53">
        <f>IF($A82="","",ROUND(SUMIF($G$43:$G$54,$A82,$I$43:$I$54),2))</f>
        <v/>
      </c>
      <c r="E82" s="99" t="n"/>
      <c r="F82" s="53">
        <f>IF($A82="","",ROUND(SUMIF($J$43:$J$54,$A82,$L$43:$L$54),2))</f>
        <v/>
      </c>
      <c r="G82" s="99" t="n"/>
      <c r="H82" s="53">
        <f>IF($A82="","",IF($A82=$F$9,IF($D$59="",0,$D$59),0))</f>
        <v/>
      </c>
      <c r="I82" s="99" t="n"/>
      <c r="J82" s="81">
        <f>IF($A82="","",ROUND($B82+$D82+$F82+$H82,2))</f>
        <v/>
      </c>
      <c r="K82" s="98" t="n"/>
      <c r="L82" s="98" t="n"/>
      <c r="M82" s="99" t="n"/>
    </row>
    <row r="83" ht="17" customHeight="1">
      <c r="A83" s="80" t="inlineStr">
        <is>
          <t>Externo / avulso</t>
        </is>
      </c>
      <c r="B83" s="53">
        <f>IF($A83="","",ROUND(SUMIF($D$43:$D$54,$A83,$F$43:$F$54),2))</f>
        <v/>
      </c>
      <c r="C83" s="99" t="n"/>
      <c r="D83" s="53">
        <f>IF($A83="","",ROUND(SUMIF($G$43:$G$54,$A83,$I$43:$I$54),2))</f>
        <v/>
      </c>
      <c r="E83" s="99" t="n"/>
      <c r="F83" s="53">
        <f>IF($A83="","",ROUND(SUMIF($J$43:$J$54,$A83,$L$43:$L$54),2))</f>
        <v/>
      </c>
      <c r="G83" s="99" t="n"/>
      <c r="H83" s="53">
        <f>IF($A83="","",IF($A83=$F$9,IF($D$59="",0,$D$59),0))</f>
        <v/>
      </c>
      <c r="I83" s="99" t="n"/>
      <c r="J83" s="81">
        <f>IF($A83="","",ROUND($B83+$D83+$F83+$H83,2))</f>
        <v/>
      </c>
      <c r="K83" s="98" t="n"/>
      <c r="L83" s="98" t="n"/>
      <c r="M83" s="99" t="n"/>
    </row>
    <row r="84" ht="17" customHeight="1">
      <c r="A84" s="80" t="n"/>
      <c r="B84" s="53">
        <f>IF($A84="","",ROUND(SUMIF($D$43:$D$54,$A84,$F$43:$F$54),2))</f>
        <v/>
      </c>
      <c r="C84" s="99" t="n"/>
      <c r="D84" s="53">
        <f>IF($A84="","",ROUND(SUMIF($G$43:$G$54,$A84,$I$43:$I$54),2))</f>
        <v/>
      </c>
      <c r="E84" s="99" t="n"/>
      <c r="F84" s="53">
        <f>IF($A84="","",ROUND(SUMIF($J$43:$J$54,$A84,$L$43:$L$54),2))</f>
        <v/>
      </c>
      <c r="G84" s="99" t="n"/>
      <c r="H84" s="53">
        <f>IF($A84="","",IF($A84=$F$9,IF($D$59="",0,$D$59),0))</f>
        <v/>
      </c>
      <c r="I84" s="99" t="n"/>
      <c r="J84" s="81">
        <f>IF($A84="","",ROUND($B84+$D84+$F84+$H84,2))</f>
        <v/>
      </c>
      <c r="K84" s="98" t="n"/>
      <c r="L84" s="98" t="n"/>
      <c r="M84" s="99" t="n"/>
    </row>
    <row r="85" ht="20" customHeight="1">
      <c r="A85" s="31" t="inlineStr">
        <is>
          <t>TOTAL</t>
        </is>
      </c>
      <c r="B85" s="57">
        <f>ROUND(SUM(B67:B84),2)</f>
        <v/>
      </c>
      <c r="C85" s="99" t="n"/>
      <c r="D85" s="57">
        <f>ROUND(SUM(D67:D84),2)</f>
        <v/>
      </c>
      <c r="E85" s="99" t="n"/>
      <c r="F85" s="57">
        <f>ROUND(SUM(F67:F84),2)</f>
        <v/>
      </c>
      <c r="G85" s="99" t="n"/>
      <c r="H85" s="57">
        <f>ROUND(SUM(H67:H84),2)</f>
        <v/>
      </c>
      <c r="I85" s="99" t="n"/>
      <c r="J85" s="57">
        <f>ROUND(SUM(J67:J84),2)</f>
        <v/>
      </c>
      <c r="K85" s="98" t="n"/>
      <c r="L85" s="98" t="n"/>
      <c r="M85" s="99" t="n"/>
    </row>
    <row r="86" ht="8" customHeight="1"/>
    <row r="87" ht="20" customHeight="1">
      <c r="A87" s="8" t="inlineStr">
        <is>
          <t xml:space="preserve">  6 · MATERIAL, TERCEIRIZADOS E LOGÍSTICA          o orçado você digita · o realizado vem sozinho do livro de lançamentos, lá no fim da ficha</t>
        </is>
      </c>
      <c r="B87" s="97" t="n"/>
      <c r="C87" s="97" t="n"/>
      <c r="D87" s="97" t="n"/>
      <c r="E87" s="97" t="n"/>
      <c r="F87" s="97" t="n"/>
      <c r="G87" s="97" t="n"/>
      <c r="H87" s="97" t="n"/>
      <c r="I87" s="97" t="n"/>
      <c r="J87" s="97" t="n"/>
      <c r="K87" s="97" t="n"/>
      <c r="L87" s="97" t="n"/>
      <c r="M87" s="97" t="n"/>
    </row>
    <row r="88" ht="30" customHeight="1">
      <c r="A88" s="19" t="inlineStr">
        <is>
          <t>Categoria</t>
        </is>
      </c>
      <c r="B88" s="19" t="inlineStr"/>
      <c r="C88" s="19" t="inlineStr">
        <is>
          <t>Orçado (R$)</t>
        </is>
      </c>
      <c r="D88" s="19" t="inlineStr">
        <is>
          <t>Realizado (R$)</t>
        </is>
      </c>
      <c r="E88" s="19" t="inlineStr">
        <is>
          <t>Desvio (R$)</t>
        </is>
      </c>
      <c r="F88" s="108" t="n"/>
      <c r="G88" s="19" t="inlineStr">
        <is>
          <t>Ainda a comprar</t>
        </is>
      </c>
      <c r="H88" s="19" t="inlineStr">
        <is>
          <t>Comprado, ainda a pagar</t>
        </is>
      </c>
      <c r="I88" s="97" t="n"/>
      <c r="J88" s="97" t="n"/>
      <c r="K88" s="97" t="n"/>
      <c r="L88" s="97" t="n"/>
      <c r="M88" s="108" t="n"/>
    </row>
    <row r="89" ht="17" customHeight="1">
      <c r="A89" s="36" t="inlineStr">
        <is>
          <t>MDF e MDP</t>
        </is>
      </c>
      <c r="B89" s="37" t="n"/>
      <c r="C89" s="68" t="n">
        <v>14500</v>
      </c>
      <c r="D89" s="53">
        <f>ROUND(SUMIFS($E$127:$E$186,$B$127:$B$186,$A89,$I$127:$I$186,"Comprado (a pagar)")+SUMIFS($E$127:$E$186,$B$127:$B$186,$A89,$I$127:$I$186,"Pago"),2)</f>
        <v/>
      </c>
      <c r="E89" s="53">
        <f>IF($C89="","",ROUND($D89-$C89,2))</f>
        <v/>
      </c>
      <c r="F89" s="99" t="n"/>
      <c r="G89" s="82">
        <f>ROUND(SUMIFS($E$127:$E$186,$B$127:$B$186,$A89,$I$127:$I$186,"A comprar"),2)</f>
        <v/>
      </c>
      <c r="H89" s="83">
        <f>ROUND(SUMIFS($E$127:$E$186,$B$127:$B$186,$A89,$I$127:$I$186,"Comprado (a pagar)"),2)</f>
        <v/>
      </c>
      <c r="I89" s="98" t="n"/>
      <c r="J89" s="98" t="n"/>
      <c r="K89" s="98" t="n"/>
      <c r="L89" s="98" t="n"/>
      <c r="M89" s="99" t="n"/>
    </row>
    <row r="90" ht="17" customHeight="1">
      <c r="A90" s="36" t="inlineStr">
        <is>
          <t>Fita de borda</t>
        </is>
      </c>
      <c r="B90" s="37" t="n"/>
      <c r="C90" s="68" t="n">
        <v>900</v>
      </c>
      <c r="D90" s="53">
        <f>ROUND(SUMIFS($E$127:$E$186,$B$127:$B$186,$A90,$I$127:$I$186,"Comprado (a pagar)")+SUMIFS($E$127:$E$186,$B$127:$B$186,$A90,$I$127:$I$186,"Pago"),2)</f>
        <v/>
      </c>
      <c r="E90" s="53">
        <f>IF($C90="","",ROUND($D90-$C90,2))</f>
        <v/>
      </c>
      <c r="F90" s="99" t="n"/>
      <c r="G90" s="82">
        <f>ROUND(SUMIFS($E$127:$E$186,$B$127:$B$186,$A90,$I$127:$I$186,"A comprar"),2)</f>
        <v/>
      </c>
      <c r="H90" s="83">
        <f>ROUND(SUMIFS($E$127:$E$186,$B$127:$B$186,$A90,$I$127:$I$186,"Comprado (a pagar)"),2)</f>
        <v/>
      </c>
      <c r="I90" s="98" t="n"/>
      <c r="J90" s="98" t="n"/>
      <c r="K90" s="98" t="n"/>
      <c r="L90" s="98" t="n"/>
      <c r="M90" s="99" t="n"/>
    </row>
    <row r="91" ht="17" customHeight="1">
      <c r="A91" s="36" t="inlineStr">
        <is>
          <t>Ferragens</t>
        </is>
      </c>
      <c r="B91" s="37" t="n"/>
      <c r="C91" s="68" t="n">
        <v>6800</v>
      </c>
      <c r="D91" s="53">
        <f>ROUND(SUMIFS($E$127:$E$186,$B$127:$B$186,$A91,$I$127:$I$186,"Comprado (a pagar)")+SUMIFS($E$127:$E$186,$B$127:$B$186,$A91,$I$127:$I$186,"Pago"),2)</f>
        <v/>
      </c>
      <c r="E91" s="53">
        <f>IF($C91="","",ROUND($D91-$C91,2))</f>
        <v/>
      </c>
      <c r="F91" s="99" t="n"/>
      <c r="G91" s="82">
        <f>ROUND(SUMIFS($E$127:$E$186,$B$127:$B$186,$A91,$I$127:$I$186,"A comprar"),2)</f>
        <v/>
      </c>
      <c r="H91" s="83">
        <f>ROUND(SUMIFS($E$127:$E$186,$B$127:$B$186,$A91,$I$127:$I$186,"Comprado (a pagar)"),2)</f>
        <v/>
      </c>
      <c r="I91" s="98" t="n"/>
      <c r="J91" s="98" t="n"/>
      <c r="K91" s="98" t="n"/>
      <c r="L91" s="98" t="n"/>
      <c r="M91" s="99" t="n"/>
    </row>
    <row r="92" ht="17" customHeight="1">
      <c r="A92" s="36" t="inlineStr">
        <is>
          <t>Vidros e espelhos</t>
        </is>
      </c>
      <c r="B92" s="37" t="n"/>
      <c r="C92" s="68" t="n">
        <v>2200</v>
      </c>
      <c r="D92" s="53">
        <f>ROUND(SUMIFS($E$127:$E$186,$B$127:$B$186,$A92,$I$127:$I$186,"Comprado (a pagar)")+SUMIFS($E$127:$E$186,$B$127:$B$186,$A92,$I$127:$I$186,"Pago"),2)</f>
        <v/>
      </c>
      <c r="E92" s="53">
        <f>IF($C92="","",ROUND($D92-$C92,2))</f>
        <v/>
      </c>
      <c r="F92" s="99" t="n"/>
      <c r="G92" s="82">
        <f>ROUND(SUMIFS($E$127:$E$186,$B$127:$B$186,$A92,$I$127:$I$186,"A comprar"),2)</f>
        <v/>
      </c>
      <c r="H92" s="83">
        <f>ROUND(SUMIFS($E$127:$E$186,$B$127:$B$186,$A92,$I$127:$I$186,"Comprado (a pagar)"),2)</f>
        <v/>
      </c>
      <c r="I92" s="98" t="n"/>
      <c r="J92" s="98" t="n"/>
      <c r="K92" s="98" t="n"/>
      <c r="L92" s="98" t="n"/>
      <c r="M92" s="99" t="n"/>
    </row>
    <row r="93" ht="17" customHeight="1">
      <c r="A93" s="36" t="inlineStr">
        <is>
          <t>Esquadrias</t>
        </is>
      </c>
      <c r="B93" s="37" t="n"/>
      <c r="C93" s="68" t="n"/>
      <c r="D93" s="53">
        <f>ROUND(SUMIFS($E$127:$E$186,$B$127:$B$186,$A93,$I$127:$I$186,"Comprado (a pagar)")+SUMIFS($E$127:$E$186,$B$127:$B$186,$A93,$I$127:$I$186,"Pago"),2)</f>
        <v/>
      </c>
      <c r="E93" s="53">
        <f>IF($C93="","",ROUND($D93-$C93,2))</f>
        <v/>
      </c>
      <c r="F93" s="99" t="n"/>
      <c r="G93" s="82">
        <f>ROUND(SUMIFS($E$127:$E$186,$B$127:$B$186,$A93,$I$127:$I$186,"A comprar"),2)</f>
        <v/>
      </c>
      <c r="H93" s="83">
        <f>ROUND(SUMIFS($E$127:$E$186,$B$127:$B$186,$A93,$I$127:$I$186,"Comprado (a pagar)"),2)</f>
        <v/>
      </c>
      <c r="I93" s="98" t="n"/>
      <c r="J93" s="98" t="n"/>
      <c r="K93" s="98" t="n"/>
      <c r="L93" s="98" t="n"/>
      <c r="M93" s="99" t="n"/>
    </row>
    <row r="94" ht="17" customHeight="1">
      <c r="A94" s="36" t="inlineStr">
        <is>
          <t>Lâmina natural</t>
        </is>
      </c>
      <c r="B94" s="37" t="n"/>
      <c r="C94" s="68" t="n">
        <v>3200</v>
      </c>
      <c r="D94" s="53">
        <f>ROUND(SUMIFS($E$127:$E$186,$B$127:$B$186,$A94,$I$127:$I$186,"Comprado (a pagar)")+SUMIFS($E$127:$E$186,$B$127:$B$186,$A94,$I$127:$I$186,"Pago"),2)</f>
        <v/>
      </c>
      <c r="E94" s="53">
        <f>IF($C94="","",ROUND($D94-$C94,2))</f>
        <v/>
      </c>
      <c r="F94" s="99" t="n"/>
      <c r="G94" s="82">
        <f>ROUND(SUMIFS($E$127:$E$186,$B$127:$B$186,$A94,$I$127:$I$186,"A comprar"),2)</f>
        <v/>
      </c>
      <c r="H94" s="83">
        <f>ROUND(SUMIFS($E$127:$E$186,$B$127:$B$186,$A94,$I$127:$I$186,"Comprado (a pagar)"),2)</f>
        <v/>
      </c>
      <c r="I94" s="98" t="n"/>
      <c r="J94" s="98" t="n"/>
      <c r="K94" s="98" t="n"/>
      <c r="L94" s="98" t="n"/>
      <c r="M94" s="99" t="n"/>
    </row>
    <row r="95" ht="17" customHeight="1">
      <c r="A95" s="36" t="inlineStr">
        <is>
          <t>Consumíveis</t>
        </is>
      </c>
      <c r="B95" s="37" t="n"/>
      <c r="C95" s="68" t="n">
        <v>1100</v>
      </c>
      <c r="D95" s="53">
        <f>ROUND(SUMIFS($E$127:$E$186,$B$127:$B$186,$A95,$I$127:$I$186,"Comprado (a pagar)")+SUMIFS($E$127:$E$186,$B$127:$B$186,$A95,$I$127:$I$186,"Pago"),2)</f>
        <v/>
      </c>
      <c r="E95" s="53">
        <f>IF($C95="","",ROUND($D95-$C95,2))</f>
        <v/>
      </c>
      <c r="F95" s="99" t="n"/>
      <c r="G95" s="82">
        <f>ROUND(SUMIFS($E$127:$E$186,$B$127:$B$186,$A95,$I$127:$I$186,"A comprar"),2)</f>
        <v/>
      </c>
      <c r="H95" s="83">
        <f>ROUND(SUMIFS($E$127:$E$186,$B$127:$B$186,$A95,$I$127:$I$186,"Comprado (a pagar)"),2)</f>
        <v/>
      </c>
      <c r="I95" s="98" t="n"/>
      <c r="J95" s="98" t="n"/>
      <c r="K95" s="98" t="n"/>
      <c r="L95" s="98" t="n"/>
      <c r="M95" s="99" t="n"/>
    </row>
    <row r="96" ht="20" customHeight="1">
      <c r="A96" s="31" t="inlineStr">
        <is>
          <t>(=) SUBTOTAL · MATERIAL</t>
        </is>
      </c>
      <c r="B96" s="99" t="n"/>
      <c r="C96" s="57">
        <f>ROUND(SUM(C89:C95),2)</f>
        <v/>
      </c>
      <c r="D96" s="57">
        <f>ROUND(SUM(D89:D95),2)</f>
        <v/>
      </c>
      <c r="E96" s="57">
        <f>ROUND(SUM(E89:E95),2)</f>
        <v/>
      </c>
      <c r="F96" s="99" t="n"/>
      <c r="G96" s="57">
        <f>ROUND(SUM(G89:G95),2)</f>
        <v/>
      </c>
      <c r="H96" s="57">
        <f>ROUND(SUM(H89:H95),2)</f>
        <v/>
      </c>
      <c r="I96" s="98" t="n"/>
      <c r="J96" s="98" t="n"/>
      <c r="K96" s="98" t="n"/>
      <c r="L96" s="98" t="n"/>
      <c r="M96" s="99" t="n"/>
    </row>
    <row r="97" ht="17" customHeight="1">
      <c r="A97" s="36" t="inlineStr">
        <is>
          <t>Acabamento</t>
        </is>
      </c>
      <c r="B97" s="37" t="n"/>
      <c r="C97" s="68" t="n">
        <v>4800</v>
      </c>
      <c r="D97" s="53">
        <f>ROUND(SUMIFS($E$127:$E$186,$B$127:$B$186,$A97,$I$127:$I$186,"Comprado (a pagar)")+SUMIFS($E$127:$E$186,$B$127:$B$186,$A97,$I$127:$I$186,"Pago"),2)</f>
        <v/>
      </c>
      <c r="E97" s="53">
        <f>IF($C97="","",ROUND($D97-$C97,2))</f>
        <v/>
      </c>
      <c r="F97" s="99" t="n"/>
      <c r="G97" s="82">
        <f>ROUND(SUMIFS($E$127:$E$186,$B$127:$B$186,$A97,$I$127:$I$186,"A comprar"),2)</f>
        <v/>
      </c>
      <c r="H97" s="83">
        <f>ROUND(SUMIFS($E$127:$E$186,$B$127:$B$186,$A97,$I$127:$I$186,"Comprado (a pagar)"),2)</f>
        <v/>
      </c>
      <c r="I97" s="98" t="n"/>
      <c r="J97" s="98" t="n"/>
      <c r="K97" s="98" t="n"/>
      <c r="L97" s="98" t="n"/>
      <c r="M97" s="99" t="n"/>
    </row>
    <row r="98" ht="17" customHeight="1">
      <c r="A98" s="36" t="inlineStr">
        <is>
          <t>Serralheria</t>
        </is>
      </c>
      <c r="B98" s="37" t="n"/>
      <c r="C98" s="68" t="n">
        <v>1500</v>
      </c>
      <c r="D98" s="53">
        <f>ROUND(SUMIFS($E$127:$E$186,$B$127:$B$186,$A98,$I$127:$I$186,"Comprado (a pagar)")+SUMIFS($E$127:$E$186,$B$127:$B$186,$A98,$I$127:$I$186,"Pago"),2)</f>
        <v/>
      </c>
      <c r="E98" s="53">
        <f>IF($C98="","",ROUND($D98-$C98,2))</f>
        <v/>
      </c>
      <c r="F98" s="99" t="n"/>
      <c r="G98" s="82">
        <f>ROUND(SUMIFS($E$127:$E$186,$B$127:$B$186,$A98,$I$127:$I$186,"A comprar"),2)</f>
        <v/>
      </c>
      <c r="H98" s="83">
        <f>ROUND(SUMIFS($E$127:$E$186,$B$127:$B$186,$A98,$I$127:$I$186,"Comprado (a pagar)"),2)</f>
        <v/>
      </c>
      <c r="I98" s="98" t="n"/>
      <c r="J98" s="98" t="n"/>
      <c r="K98" s="98" t="n"/>
      <c r="L98" s="98" t="n"/>
      <c r="M98" s="99" t="n"/>
    </row>
    <row r="99" ht="17" customHeight="1">
      <c r="A99" s="36" t="inlineStr">
        <is>
          <t>Vidraceiro</t>
        </is>
      </c>
      <c r="B99" s="37" t="n"/>
      <c r="C99" s="68" t="n">
        <v>900</v>
      </c>
      <c r="D99" s="53">
        <f>ROUND(SUMIFS($E$127:$E$186,$B$127:$B$186,$A99,$I$127:$I$186,"Comprado (a pagar)")+SUMIFS($E$127:$E$186,$B$127:$B$186,$A99,$I$127:$I$186,"Pago"),2)</f>
        <v/>
      </c>
      <c r="E99" s="53">
        <f>IF($C99="","",ROUND($D99-$C99,2))</f>
        <v/>
      </c>
      <c r="F99" s="99" t="n"/>
      <c r="G99" s="82">
        <f>ROUND(SUMIFS($E$127:$E$186,$B$127:$B$186,$A99,$I$127:$I$186,"A comprar"),2)</f>
        <v/>
      </c>
      <c r="H99" s="83">
        <f>ROUND(SUMIFS($E$127:$E$186,$B$127:$B$186,$A99,$I$127:$I$186,"Comprado (a pagar)"),2)</f>
        <v/>
      </c>
      <c r="I99" s="98" t="n"/>
      <c r="J99" s="98" t="n"/>
      <c r="K99" s="98" t="n"/>
      <c r="L99" s="98" t="n"/>
      <c r="M99" s="99" t="n"/>
    </row>
    <row r="100" ht="17" customHeight="1">
      <c r="A100" s="36" t="inlineStr">
        <is>
          <t>Outro terceirizado</t>
        </is>
      </c>
      <c r="B100" s="37" t="n"/>
      <c r="C100" s="68" t="n"/>
      <c r="D100" s="53">
        <f>ROUND(SUMIFS($E$127:$E$186,$B$127:$B$186,$A100,$I$127:$I$186,"Comprado (a pagar)")+SUMIFS($E$127:$E$186,$B$127:$B$186,$A100,$I$127:$I$186,"Pago"),2)</f>
        <v/>
      </c>
      <c r="E100" s="53">
        <f>IF($C100="","",ROUND($D100-$C100,2))</f>
        <v/>
      </c>
      <c r="F100" s="99" t="n"/>
      <c r="G100" s="82">
        <f>ROUND(SUMIFS($E$127:$E$186,$B$127:$B$186,$A100,$I$127:$I$186,"A comprar"),2)</f>
        <v/>
      </c>
      <c r="H100" s="83">
        <f>ROUND(SUMIFS($E$127:$E$186,$B$127:$B$186,$A100,$I$127:$I$186,"Comprado (a pagar)"),2)</f>
        <v/>
      </c>
      <c r="I100" s="98" t="n"/>
      <c r="J100" s="98" t="n"/>
      <c r="K100" s="98" t="n"/>
      <c r="L100" s="98" t="n"/>
      <c r="M100" s="99" t="n"/>
    </row>
    <row r="101" ht="20" customHeight="1">
      <c r="A101" s="31" t="inlineStr">
        <is>
          <t>(=) SUBTOTAL · SERVIÇOS TERCEIRIZADOS</t>
        </is>
      </c>
      <c r="B101" s="99" t="n"/>
      <c r="C101" s="57">
        <f>ROUND(SUM(C97:C100),2)</f>
        <v/>
      </c>
      <c r="D101" s="57">
        <f>ROUND(SUM(D97:D100),2)</f>
        <v/>
      </c>
      <c r="E101" s="57">
        <f>ROUND(SUM(E97:E100),2)</f>
        <v/>
      </c>
      <c r="F101" s="99" t="n"/>
      <c r="G101" s="57">
        <f>ROUND(SUM(G97:G100),2)</f>
        <v/>
      </c>
      <c r="H101" s="57">
        <f>ROUND(SUM(H97:H100),2)</f>
        <v/>
      </c>
      <c r="I101" s="98" t="n"/>
      <c r="J101" s="98" t="n"/>
      <c r="K101" s="98" t="n"/>
      <c r="L101" s="98" t="n"/>
      <c r="M101" s="99" t="n"/>
    </row>
    <row r="102" ht="17" customHeight="1">
      <c r="A102" s="36" t="inlineStr">
        <is>
          <t>Uber e aplicativo</t>
        </is>
      </c>
      <c r="B102" s="37" t="n"/>
      <c r="C102" s="68" t="n">
        <v>250</v>
      </c>
      <c r="D102" s="53">
        <f>ROUND(SUMIFS($E$127:$E$186,$B$127:$B$186,$A102,$I$127:$I$186,"Comprado (a pagar)")+SUMIFS($E$127:$E$186,$B$127:$B$186,$A102,$I$127:$I$186,"Pago"),2)</f>
        <v/>
      </c>
      <c r="E102" s="53">
        <f>IF($C102="","",ROUND($D102-$C102,2))</f>
        <v/>
      </c>
      <c r="F102" s="99" t="n"/>
      <c r="G102" s="82">
        <f>ROUND(SUMIFS($E$127:$E$186,$B$127:$B$186,$A102,$I$127:$I$186,"A comprar"),2)</f>
        <v/>
      </c>
      <c r="H102" s="83">
        <f>ROUND(SUMIFS($E$127:$E$186,$B$127:$B$186,$A102,$I$127:$I$186,"Comprado (a pagar)"),2)</f>
        <v/>
      </c>
      <c r="I102" s="98" t="n"/>
      <c r="J102" s="98" t="n"/>
      <c r="K102" s="98" t="n"/>
      <c r="L102" s="98" t="n"/>
      <c r="M102" s="99" t="n"/>
    </row>
    <row r="103" ht="17" customHeight="1">
      <c r="A103" s="36" t="inlineStr">
        <is>
          <t>Carreto e entrega</t>
        </is>
      </c>
      <c r="B103" s="37" t="n"/>
      <c r="C103" s="68" t="n">
        <v>900</v>
      </c>
      <c r="D103" s="53">
        <f>ROUND(SUMIFS($E$127:$E$186,$B$127:$B$186,$A103,$I$127:$I$186,"Comprado (a pagar)")+SUMIFS($E$127:$E$186,$B$127:$B$186,$A103,$I$127:$I$186,"Pago"),2)</f>
        <v/>
      </c>
      <c r="E103" s="53">
        <f>IF($C103="","",ROUND($D103-$C103,2))</f>
        <v/>
      </c>
      <c r="F103" s="99" t="n"/>
      <c r="G103" s="82">
        <f>ROUND(SUMIFS($E$127:$E$186,$B$127:$B$186,$A103,$I$127:$I$186,"A comprar"),2)</f>
        <v/>
      </c>
      <c r="H103" s="83">
        <f>ROUND(SUMIFS($E$127:$E$186,$B$127:$B$186,$A103,$I$127:$I$186,"Comprado (a pagar)"),2)</f>
        <v/>
      </c>
      <c r="I103" s="98" t="n"/>
      <c r="J103" s="98" t="n"/>
      <c r="K103" s="98" t="n"/>
      <c r="L103" s="98" t="n"/>
      <c r="M103" s="99" t="n"/>
    </row>
    <row r="104" ht="17" customHeight="1">
      <c r="A104" s="36" t="inlineStr">
        <is>
          <t>Deslocamento da equipe</t>
        </is>
      </c>
      <c r="B104" s="37" t="n"/>
      <c r="C104" s="68" t="n">
        <v>400</v>
      </c>
      <c r="D104" s="53">
        <f>ROUND(SUMIFS($E$127:$E$186,$B$127:$B$186,$A104,$I$127:$I$186,"Comprado (a pagar)")+SUMIFS($E$127:$E$186,$B$127:$B$186,$A104,$I$127:$I$186,"Pago"),2)</f>
        <v/>
      </c>
      <c r="E104" s="53">
        <f>IF($C104="","",ROUND($D104-$C104,2))</f>
        <v/>
      </c>
      <c r="F104" s="99" t="n"/>
      <c r="G104" s="82">
        <f>ROUND(SUMIFS($E$127:$E$186,$B$127:$B$186,$A104,$I$127:$I$186,"A comprar"),2)</f>
        <v/>
      </c>
      <c r="H104" s="83">
        <f>ROUND(SUMIFS($E$127:$E$186,$B$127:$B$186,$A104,$I$127:$I$186,"Comprado (a pagar)"),2)</f>
        <v/>
      </c>
      <c r="I104" s="98" t="n"/>
      <c r="J104" s="98" t="n"/>
      <c r="K104" s="98" t="n"/>
      <c r="L104" s="98" t="n"/>
      <c r="M104" s="99" t="n"/>
    </row>
    <row r="105" ht="17" customHeight="1">
      <c r="A105" s="36" t="inlineStr">
        <is>
          <t>Frete de material</t>
        </is>
      </c>
      <c r="B105" s="37" t="n"/>
      <c r="C105" s="68" t="n">
        <v>350</v>
      </c>
      <c r="D105" s="53">
        <f>ROUND(SUMIFS($E$127:$E$186,$B$127:$B$186,$A105,$I$127:$I$186,"Comprado (a pagar)")+SUMIFS($E$127:$E$186,$B$127:$B$186,$A105,$I$127:$I$186,"Pago"),2)</f>
        <v/>
      </c>
      <c r="E105" s="53">
        <f>IF($C105="","",ROUND($D105-$C105,2))</f>
        <v/>
      </c>
      <c r="F105" s="99" t="n"/>
      <c r="G105" s="82">
        <f>ROUND(SUMIFS($E$127:$E$186,$B$127:$B$186,$A105,$I$127:$I$186,"A comprar"),2)</f>
        <v/>
      </c>
      <c r="H105" s="83">
        <f>ROUND(SUMIFS($E$127:$E$186,$B$127:$B$186,$A105,$I$127:$I$186,"Comprado (a pagar)"),2)</f>
        <v/>
      </c>
      <c r="I105" s="98" t="n"/>
      <c r="J105" s="98" t="n"/>
      <c r="K105" s="98" t="n"/>
      <c r="L105" s="98" t="n"/>
      <c r="M105" s="99" t="n"/>
    </row>
    <row r="106" ht="17" customHeight="1">
      <c r="A106" s="36" t="inlineStr">
        <is>
          <t>Estacionamento e pedágio</t>
        </is>
      </c>
      <c r="B106" s="37" t="n"/>
      <c r="C106" s="68" t="n">
        <v>100</v>
      </c>
      <c r="D106" s="53">
        <f>ROUND(SUMIFS($E$127:$E$186,$B$127:$B$186,$A106,$I$127:$I$186,"Comprado (a pagar)")+SUMIFS($E$127:$E$186,$B$127:$B$186,$A106,$I$127:$I$186,"Pago"),2)</f>
        <v/>
      </c>
      <c r="E106" s="53">
        <f>IF($C106="","",ROUND($D106-$C106,2))</f>
        <v/>
      </c>
      <c r="F106" s="99" t="n"/>
      <c r="G106" s="82">
        <f>ROUND(SUMIFS($E$127:$E$186,$B$127:$B$186,$A106,$I$127:$I$186,"A comprar"),2)</f>
        <v/>
      </c>
      <c r="H106" s="83">
        <f>ROUND(SUMIFS($E$127:$E$186,$B$127:$B$186,$A106,$I$127:$I$186,"Comprado (a pagar)"),2)</f>
        <v/>
      </c>
      <c r="I106" s="98" t="n"/>
      <c r="J106" s="98" t="n"/>
      <c r="K106" s="98" t="n"/>
      <c r="L106" s="98" t="n"/>
      <c r="M106" s="99" t="n"/>
    </row>
    <row r="107" ht="20" customHeight="1">
      <c r="A107" s="31" t="inlineStr">
        <is>
          <t>(=) SUBTOTAL · LOGÍSTICA</t>
        </is>
      </c>
      <c r="B107" s="99" t="n"/>
      <c r="C107" s="57">
        <f>ROUND(SUM(C102:C106),2)</f>
        <v/>
      </c>
      <c r="D107" s="57">
        <f>ROUND(SUM(D102:D106),2)</f>
        <v/>
      </c>
      <c r="E107" s="57">
        <f>ROUND(SUM(E102:E106),2)</f>
        <v/>
      </c>
      <c r="F107" s="99" t="n"/>
      <c r="G107" s="57">
        <f>ROUND(SUM(G102:G106),2)</f>
        <v/>
      </c>
      <c r="H107" s="57">
        <f>ROUND(SUM(H102:H106),2)</f>
        <v/>
      </c>
      <c r="I107" s="98" t="n"/>
      <c r="J107" s="98" t="n"/>
      <c r="K107" s="98" t="n"/>
      <c r="L107" s="98" t="n"/>
      <c r="M107" s="99" t="n"/>
    </row>
    <row r="108" ht="8" customHeight="1"/>
    <row r="109" ht="20" customHeight="1">
      <c r="A109" s="8" t="inlineStr">
        <is>
          <t xml:space="preserve">  7 · RETRABALHO          o que aconteceu, por que aconteceu e quanto custou — é aqui que o orçamento aprende</t>
        </is>
      </c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</row>
    <row r="110" ht="26" customHeight="1">
      <c r="A110" s="19" t="inlineStr">
        <is>
          <t>O que aconteceu</t>
        </is>
      </c>
      <c r="B110" s="19" t="inlineStr">
        <is>
          <t>Causa</t>
        </is>
      </c>
      <c r="C110" s="97" t="n"/>
      <c r="D110" s="108" t="n"/>
      <c r="E110" s="19" t="inlineStr">
        <is>
          <t>Custo estimado (R$)</t>
        </is>
      </c>
      <c r="F110" s="108" t="n"/>
      <c r="G110" s="19" t="inlineStr">
        <is>
          <t>Providência / responsável</t>
        </is>
      </c>
      <c r="H110" s="97" t="n"/>
      <c r="I110" s="97" t="n"/>
      <c r="J110" s="97" t="n"/>
      <c r="K110" s="97" t="n"/>
      <c r="L110" s="97" t="n"/>
      <c r="M110" s="108" t="n"/>
    </row>
    <row r="111" ht="18" customHeight="1">
      <c r="A111" s="76" t="inlineStr">
        <is>
          <t>Porta da cozinha empenou depois de instalada</t>
        </is>
      </c>
      <c r="B111" s="76" t="inlineStr">
        <is>
          <t>Falha de material</t>
        </is>
      </c>
      <c r="C111" s="98" t="n"/>
      <c r="D111" s="99" t="n"/>
      <c r="E111" s="84" t="n">
        <v>850</v>
      </c>
      <c r="F111" s="99" t="n"/>
      <c r="G111" s="70" t="inlineStr">
        <is>
          <t>Refeita em MDF de outro lote · fornecedor notificado</t>
        </is>
      </c>
      <c r="H111" s="98" t="n"/>
      <c r="I111" s="98" t="n"/>
      <c r="J111" s="98" t="n"/>
      <c r="K111" s="98" t="n"/>
      <c r="L111" s="98" t="n"/>
      <c r="M111" s="99" t="n"/>
    </row>
    <row r="112" ht="18" customHeight="1">
      <c r="A112" s="76" t="inlineStr">
        <is>
          <t>Nicho da suíte 4 cm fora da medida</t>
        </is>
      </c>
      <c r="B112" s="76" t="inlineStr">
        <is>
          <t>Erro de medição</t>
        </is>
      </c>
      <c r="C112" s="98" t="n"/>
      <c r="D112" s="99" t="n"/>
      <c r="E112" s="84" t="n">
        <v>1200</v>
      </c>
      <c r="F112" s="99" t="n"/>
      <c r="G112" s="70" t="inlineStr">
        <is>
          <t>Refeito · medição passa a ser conferida por 2 pessoas</t>
        </is>
      </c>
      <c r="H112" s="98" t="n"/>
      <c r="I112" s="98" t="n"/>
      <c r="J112" s="98" t="n"/>
      <c r="K112" s="98" t="n"/>
      <c r="L112" s="98" t="n"/>
      <c r="M112" s="99" t="n"/>
    </row>
    <row r="113" ht="18" customHeight="1">
      <c r="A113" s="76" t="inlineStr">
        <is>
          <t>Risco no tampo da lavanderia no transporte</t>
        </is>
      </c>
      <c r="B113" s="76" t="inlineStr">
        <is>
          <t>Dano no transporte</t>
        </is>
      </c>
      <c r="C113" s="98" t="n"/>
      <c r="D113" s="99" t="n"/>
      <c r="E113" s="84" t="n">
        <v>320</v>
      </c>
      <c r="F113" s="99" t="n"/>
      <c r="G113" s="70" t="inlineStr">
        <is>
          <t>Polido no local · exigir manta no carreto</t>
        </is>
      </c>
      <c r="H113" s="98" t="n"/>
      <c r="I113" s="98" t="n"/>
      <c r="J113" s="98" t="n"/>
      <c r="K113" s="98" t="n"/>
      <c r="L113" s="98" t="n"/>
      <c r="M113" s="99" t="n"/>
    </row>
    <row r="114" ht="18" customHeight="1">
      <c r="A114" s="76" t="n"/>
      <c r="B114" s="76" t="n"/>
      <c r="C114" s="98" t="n"/>
      <c r="D114" s="99" t="n"/>
      <c r="E114" s="84" t="n"/>
      <c r="F114" s="99" t="n"/>
      <c r="G114" s="70" t="n"/>
      <c r="H114" s="98" t="n"/>
      <c r="I114" s="98" t="n"/>
      <c r="J114" s="98" t="n"/>
      <c r="K114" s="98" t="n"/>
      <c r="L114" s="98" t="n"/>
      <c r="M114" s="99" t="n"/>
    </row>
    <row r="115" ht="18" customHeight="1">
      <c r="A115" s="76" t="n"/>
      <c r="B115" s="76" t="n"/>
      <c r="C115" s="98" t="n"/>
      <c r="D115" s="99" t="n"/>
      <c r="E115" s="84" t="n"/>
      <c r="F115" s="99" t="n"/>
      <c r="G115" s="70" t="n"/>
      <c r="H115" s="98" t="n"/>
      <c r="I115" s="98" t="n"/>
      <c r="J115" s="98" t="n"/>
      <c r="K115" s="98" t="n"/>
      <c r="L115" s="98" t="n"/>
      <c r="M115" s="99" t="n"/>
    </row>
    <row r="116" ht="18" customHeight="1">
      <c r="A116" s="76" t="n"/>
      <c r="B116" s="76" t="n"/>
      <c r="C116" s="98" t="n"/>
      <c r="D116" s="99" t="n"/>
      <c r="E116" s="84" t="n"/>
      <c r="F116" s="99" t="n"/>
      <c r="G116" s="70" t="n"/>
      <c r="H116" s="98" t="n"/>
      <c r="I116" s="98" t="n"/>
      <c r="J116" s="98" t="n"/>
      <c r="K116" s="98" t="n"/>
      <c r="L116" s="98" t="n"/>
      <c r="M116" s="99" t="n"/>
    </row>
    <row r="117" ht="18" customHeight="1">
      <c r="A117" s="76" t="n"/>
      <c r="B117" s="76" t="n"/>
      <c r="C117" s="98" t="n"/>
      <c r="D117" s="99" t="n"/>
      <c r="E117" s="84" t="n"/>
      <c r="F117" s="99" t="n"/>
      <c r="G117" s="70" t="n"/>
      <c r="H117" s="98" t="n"/>
      <c r="I117" s="98" t="n"/>
      <c r="J117" s="98" t="n"/>
      <c r="K117" s="98" t="n"/>
      <c r="L117" s="98" t="n"/>
      <c r="M117" s="99" t="n"/>
    </row>
    <row r="118" ht="18" customHeight="1">
      <c r="A118" s="76" t="n"/>
      <c r="B118" s="76" t="n"/>
      <c r="C118" s="98" t="n"/>
      <c r="D118" s="99" t="n"/>
      <c r="E118" s="84" t="n"/>
      <c r="F118" s="99" t="n"/>
      <c r="G118" s="70" t="n"/>
      <c r="H118" s="98" t="n"/>
      <c r="I118" s="98" t="n"/>
      <c r="J118" s="98" t="n"/>
      <c r="K118" s="98" t="n"/>
      <c r="L118" s="98" t="n"/>
      <c r="M118" s="99" t="n"/>
    </row>
    <row r="119" ht="18" customHeight="1">
      <c r="A119" s="76" t="n"/>
      <c r="B119" s="76" t="n"/>
      <c r="C119" s="98" t="n"/>
      <c r="D119" s="99" t="n"/>
      <c r="E119" s="84" t="n"/>
      <c r="F119" s="99" t="n"/>
      <c r="G119" s="70" t="n"/>
      <c r="H119" s="98" t="n"/>
      <c r="I119" s="98" t="n"/>
      <c r="J119" s="98" t="n"/>
      <c r="K119" s="98" t="n"/>
      <c r="L119" s="98" t="n"/>
      <c r="M119" s="99" t="n"/>
    </row>
    <row r="120" ht="18" customHeight="1">
      <c r="A120" s="76" t="n"/>
      <c r="B120" s="76" t="n"/>
      <c r="C120" s="98" t="n"/>
      <c r="D120" s="99" t="n"/>
      <c r="E120" s="84" t="n"/>
      <c r="F120" s="99" t="n"/>
      <c r="G120" s="70" t="n"/>
      <c r="H120" s="98" t="n"/>
      <c r="I120" s="98" t="n"/>
      <c r="J120" s="98" t="n"/>
      <c r="K120" s="98" t="n"/>
      <c r="L120" s="98" t="n"/>
      <c r="M120" s="99" t="n"/>
    </row>
    <row r="121" ht="18" customHeight="1">
      <c r="A121" s="76" t="n"/>
      <c r="B121" s="76" t="n"/>
      <c r="C121" s="98" t="n"/>
      <c r="D121" s="99" t="n"/>
      <c r="E121" s="84" t="n"/>
      <c r="F121" s="99" t="n"/>
      <c r="G121" s="70" t="n"/>
      <c r="H121" s="98" t="n"/>
      <c r="I121" s="98" t="n"/>
      <c r="J121" s="98" t="n"/>
      <c r="K121" s="98" t="n"/>
      <c r="L121" s="98" t="n"/>
      <c r="M121" s="99" t="n"/>
    </row>
    <row r="122" ht="18" customHeight="1">
      <c r="A122" s="76" t="n"/>
      <c r="B122" s="76" t="n"/>
      <c r="C122" s="98" t="n"/>
      <c r="D122" s="99" t="n"/>
      <c r="E122" s="84" t="n"/>
      <c r="F122" s="99" t="n"/>
      <c r="G122" s="70" t="n"/>
      <c r="H122" s="98" t="n"/>
      <c r="I122" s="98" t="n"/>
      <c r="J122" s="98" t="n"/>
      <c r="K122" s="98" t="n"/>
      <c r="L122" s="98" t="n"/>
      <c r="M122" s="99" t="n"/>
    </row>
    <row r="123" ht="20" customHeight="1">
      <c r="A123" s="31" t="inlineStr">
        <is>
          <t>CONTINGÊNCIA PREVISTA NO ORÇAMENTO  →</t>
        </is>
      </c>
      <c r="B123" s="99" t="n"/>
      <c r="C123" s="85" t="n">
        <v>1500</v>
      </c>
      <c r="D123" s="57">
        <f>ROUND(SUM($E$111:$E$122),2)</f>
        <v/>
      </c>
      <c r="E123" s="57">
        <f>ROUND($D$123-IF($C$123="",0,$C$123),2)</f>
        <v/>
      </c>
      <c r="F123" s="99" t="n"/>
      <c r="G123" s="118">
        <f>IF(OR($A$13="",$A$13=0),"",$D$123/$A$13)</f>
        <v/>
      </c>
      <c r="H123" s="86" t="inlineStr">
        <is>
          <t>orçado = a contingência prevista · realizado = a soma acima</t>
        </is>
      </c>
      <c r="I123" s="98" t="n"/>
      <c r="J123" s="98" t="n"/>
      <c r="K123" s="98" t="n"/>
      <c r="L123" s="98" t="n"/>
      <c r="M123" s="99" t="n"/>
    </row>
    <row r="124" ht="8" customHeight="1"/>
    <row r="125" ht="20" customHeight="1">
      <c r="A125" s="8" t="inlineStr">
        <is>
          <t xml:space="preserve">  8 · LIVRO DE COMPRAS E DESPESAS DO PROJETO          uma linha por compra, na ordem em que acontecer · pode inserir linhas à vontade aqui</t>
        </is>
      </c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</row>
    <row r="126" ht="28" customHeight="1">
      <c r="A126" s="19" t="inlineStr">
        <is>
          <t>Descrição / fornecedor</t>
        </is>
      </c>
      <c r="B126" s="19" t="inlineStr">
        <is>
          <t>Categoria</t>
        </is>
      </c>
      <c r="C126" s="108" t="n"/>
      <c r="D126" s="19" t="inlineStr">
        <is>
          <t>Data</t>
        </is>
      </c>
      <c r="E126" s="19" t="inlineStr">
        <is>
          <t>Valor (R$)</t>
        </is>
      </c>
      <c r="F126" s="108" t="n"/>
      <c r="G126" s="19" t="inlineStr">
        <is>
          <t>Forma de pagamento</t>
        </is>
      </c>
      <c r="H126" s="108" t="n"/>
      <c r="I126" s="19" t="inlineStr">
        <is>
          <t>Status</t>
        </is>
      </c>
      <c r="J126" s="97" t="n"/>
      <c r="K126" s="97" t="n"/>
      <c r="L126" s="97" t="n"/>
      <c r="M126" s="108" t="n"/>
    </row>
    <row r="127" ht="17" customHeight="1">
      <c r="A127" s="76" t="inlineStr">
        <is>
          <t>MADEGEM — chapas brancas TX</t>
        </is>
      </c>
      <c r="B127" s="87" t="inlineStr">
        <is>
          <t>MDF e MDP</t>
        </is>
      </c>
      <c r="C127" s="99" t="n"/>
      <c r="D127" s="125" t="n">
        <v>46154</v>
      </c>
      <c r="E127" s="89" t="n">
        <v>8200</v>
      </c>
      <c r="F127" s="99" t="n"/>
      <c r="G127" s="90" t="inlineStr">
        <is>
          <t>PIX</t>
        </is>
      </c>
      <c r="H127" s="99" t="n"/>
      <c r="I127" s="91" t="inlineStr">
        <is>
          <t>Pago</t>
        </is>
      </c>
      <c r="J127" s="98" t="n"/>
      <c r="K127" s="98" t="n"/>
      <c r="L127" s="98" t="n"/>
      <c r="M127" s="99" t="n"/>
    </row>
    <row r="128" ht="17" customHeight="1">
      <c r="A128" s="76" t="inlineStr">
        <is>
          <t>Frete das chapas</t>
        </is>
      </c>
      <c r="B128" s="87" t="inlineStr">
        <is>
          <t>Frete de material</t>
        </is>
      </c>
      <c r="C128" s="99" t="n"/>
      <c r="D128" s="125" t="n">
        <v>46154</v>
      </c>
      <c r="E128" s="89" t="n">
        <v>350</v>
      </c>
      <c r="F128" s="99" t="n"/>
      <c r="G128" s="90" t="inlineStr">
        <is>
          <t>Dinheiro</t>
        </is>
      </c>
      <c r="H128" s="99" t="n"/>
      <c r="I128" s="91" t="inlineStr">
        <is>
          <t>Pago</t>
        </is>
      </c>
      <c r="J128" s="98" t="n"/>
      <c r="K128" s="98" t="n"/>
      <c r="L128" s="98" t="n"/>
      <c r="M128" s="99" t="n"/>
    </row>
    <row r="129" ht="17" customHeight="1">
      <c r="A129" s="76" t="inlineStr">
        <is>
          <t>Consumíveis — parafuso e cola</t>
        </is>
      </c>
      <c r="B129" s="87" t="inlineStr">
        <is>
          <t>Consumíveis</t>
        </is>
      </c>
      <c r="C129" s="99" t="n"/>
      <c r="D129" s="125" t="n">
        <v>46157</v>
      </c>
      <c r="E129" s="89" t="n">
        <v>640</v>
      </c>
      <c r="F129" s="99" t="n"/>
      <c r="G129" s="90" t="inlineStr">
        <is>
          <t>Dinheiro</t>
        </is>
      </c>
      <c r="H129" s="99" t="n"/>
      <c r="I129" s="91" t="inlineStr">
        <is>
          <t>Pago</t>
        </is>
      </c>
      <c r="J129" s="98" t="n"/>
      <c r="K129" s="98" t="n"/>
      <c r="L129" s="98" t="n"/>
      <c r="M129" s="99" t="n"/>
    </row>
    <row r="130" ht="17" customHeight="1">
      <c r="A130" s="76" t="inlineStr">
        <is>
          <t>Lâmina natural freijó</t>
        </is>
      </c>
      <c r="B130" s="87" t="inlineStr">
        <is>
          <t>Lâmina natural</t>
        </is>
      </c>
      <c r="C130" s="99" t="n"/>
      <c r="D130" s="125" t="n">
        <v>46161</v>
      </c>
      <c r="E130" s="89" t="n">
        <v>3200</v>
      </c>
      <c r="F130" s="99" t="n"/>
      <c r="G130" s="90" t="inlineStr">
        <is>
          <t>PIX</t>
        </is>
      </c>
      <c r="H130" s="99" t="n"/>
      <c r="I130" s="91" t="inlineStr">
        <is>
          <t>Pago</t>
        </is>
      </c>
      <c r="J130" s="98" t="n"/>
      <c r="K130" s="98" t="n"/>
      <c r="L130" s="98" t="n"/>
      <c r="M130" s="99" t="n"/>
    </row>
    <row r="131" ht="17" customHeight="1">
      <c r="A131" s="76" t="inlineStr">
        <is>
          <t>Bigfer — corrediças e dobradiças</t>
        </is>
      </c>
      <c r="B131" s="87" t="inlineStr">
        <is>
          <t>Ferragens</t>
        </is>
      </c>
      <c r="C131" s="99" t="n"/>
      <c r="D131" s="125" t="n">
        <v>46162</v>
      </c>
      <c r="E131" s="89" t="n">
        <v>4300</v>
      </c>
      <c r="F131" s="99" t="n"/>
      <c r="G131" s="90" t="inlineStr">
        <is>
          <t>Cartão parcelado</t>
        </is>
      </c>
      <c r="H131" s="99" t="n"/>
      <c r="I131" s="91" t="inlineStr">
        <is>
          <t>Pago</t>
        </is>
      </c>
      <c r="J131" s="98" t="n"/>
      <c r="K131" s="98" t="n"/>
      <c r="L131" s="98" t="n"/>
      <c r="M131" s="99" t="n"/>
    </row>
    <row r="132" ht="17" customHeight="1">
      <c r="A132" s="76" t="inlineStr">
        <is>
          <t>Uber — medição e conferência</t>
        </is>
      </c>
      <c r="B132" s="87" t="inlineStr">
        <is>
          <t>Uber e aplicativo</t>
        </is>
      </c>
      <c r="C132" s="99" t="n"/>
      <c r="D132" s="125" t="n">
        <v>46164</v>
      </c>
      <c r="E132" s="89" t="n">
        <v>230</v>
      </c>
      <c r="F132" s="99" t="n"/>
      <c r="G132" s="90" t="inlineStr">
        <is>
          <t>PIX</t>
        </is>
      </c>
      <c r="H132" s="99" t="n"/>
      <c r="I132" s="91" t="inlineStr">
        <is>
          <t>Pago</t>
        </is>
      </c>
      <c r="J132" s="98" t="n"/>
      <c r="K132" s="98" t="n"/>
      <c r="L132" s="98" t="n"/>
      <c r="M132" s="99" t="n"/>
    </row>
    <row r="133" ht="17" customHeight="1">
      <c r="A133" s="76" t="inlineStr">
        <is>
          <t>MADEGEM — complemento de chapas</t>
        </is>
      </c>
      <c r="B133" s="87" t="inlineStr">
        <is>
          <t>MDF e MDP</t>
        </is>
      </c>
      <c r="C133" s="99" t="n"/>
      <c r="D133" s="125" t="n">
        <v>46170</v>
      </c>
      <c r="E133" s="89" t="n">
        <v>5180</v>
      </c>
      <c r="F133" s="99" t="n"/>
      <c r="G133" s="90" t="inlineStr">
        <is>
          <t>Boleto</t>
        </is>
      </c>
      <c r="H133" s="99" t="n"/>
      <c r="I133" s="91" t="inlineStr">
        <is>
          <t>Pago</t>
        </is>
      </c>
      <c r="J133" s="98" t="n"/>
      <c r="K133" s="98" t="n"/>
      <c r="L133" s="98" t="n"/>
      <c r="M133" s="99" t="n"/>
    </row>
    <row r="134" ht="17" customHeight="1">
      <c r="A134" s="76" t="inlineStr">
        <is>
          <t>Fita de borda 6 cores</t>
        </is>
      </c>
      <c r="B134" s="87" t="inlineStr">
        <is>
          <t>Fita de borda</t>
        </is>
      </c>
      <c r="C134" s="99" t="n"/>
      <c r="D134" s="125" t="n">
        <v>46170</v>
      </c>
      <c r="E134" s="89" t="n">
        <v>1120</v>
      </c>
      <c r="F134" s="99" t="n"/>
      <c r="G134" s="90" t="inlineStr">
        <is>
          <t>PIX</t>
        </is>
      </c>
      <c r="H134" s="99" t="n"/>
      <c r="I134" s="91" t="inlineStr">
        <is>
          <t>Pago</t>
        </is>
      </c>
      <c r="J134" s="98" t="n"/>
      <c r="K134" s="98" t="n"/>
      <c r="L134" s="98" t="n"/>
      <c r="M134" s="99" t="n"/>
    </row>
    <row r="135" ht="17" customHeight="1">
      <c r="A135" s="76" t="inlineStr">
        <is>
          <t>Consumíveis — lixa e tíner</t>
        </is>
      </c>
      <c r="B135" s="87" t="inlineStr">
        <is>
          <t>Consumíveis</t>
        </is>
      </c>
      <c r="C135" s="99" t="n"/>
      <c r="D135" s="125" t="n">
        <v>46176</v>
      </c>
      <c r="E135" s="89" t="n">
        <v>465</v>
      </c>
      <c r="F135" s="99" t="n"/>
      <c r="G135" s="90" t="inlineStr">
        <is>
          <t>PIX</t>
        </is>
      </c>
      <c r="H135" s="99" t="n"/>
      <c r="I135" s="91" t="inlineStr">
        <is>
          <t>Pago</t>
        </is>
      </c>
      <c r="J135" s="98" t="n"/>
      <c r="K135" s="98" t="n"/>
      <c r="L135" s="98" t="n"/>
      <c r="M135" s="99" t="n"/>
    </row>
    <row r="136" ht="17" customHeight="1">
      <c r="A136" s="76" t="inlineStr">
        <is>
          <t>JR Ferragens — puxadores</t>
        </is>
      </c>
      <c r="B136" s="87" t="inlineStr">
        <is>
          <t>Ferragens</t>
        </is>
      </c>
      <c r="C136" s="99" t="n"/>
      <c r="D136" s="125" t="n">
        <v>46184</v>
      </c>
      <c r="E136" s="89" t="n">
        <v>3150</v>
      </c>
      <c r="F136" s="99" t="n"/>
      <c r="G136" s="90" t="inlineStr">
        <is>
          <t>PIX</t>
        </is>
      </c>
      <c r="H136" s="99" t="n"/>
      <c r="I136" s="91" t="inlineStr">
        <is>
          <t>Pago</t>
        </is>
      </c>
      <c r="J136" s="98" t="n"/>
      <c r="K136" s="98" t="n"/>
      <c r="L136" s="98" t="n"/>
      <c r="M136" s="99" t="n"/>
    </row>
    <row r="137" ht="17" customHeight="1">
      <c r="A137" s="76" t="inlineStr">
        <is>
          <t>MADEGEM — reposição pós-retrabalho</t>
        </is>
      </c>
      <c r="B137" s="87" t="inlineStr">
        <is>
          <t>MDF e MDP</t>
        </is>
      </c>
      <c r="C137" s="99" t="n"/>
      <c r="D137" s="125" t="n">
        <v>46187</v>
      </c>
      <c r="E137" s="89" t="n">
        <v>2600</v>
      </c>
      <c r="F137" s="99" t="n"/>
      <c r="G137" s="90" t="inlineStr">
        <is>
          <t>Boleto</t>
        </is>
      </c>
      <c r="H137" s="99" t="n"/>
      <c r="I137" s="91" t="inlineStr">
        <is>
          <t>Comprado (a pagar)</t>
        </is>
      </c>
      <c r="J137" s="98" t="n"/>
      <c r="K137" s="98" t="n"/>
      <c r="L137" s="98" t="n"/>
      <c r="M137" s="99" t="n"/>
    </row>
    <row r="138" ht="17" customHeight="1">
      <c r="A138" s="76" t="inlineStr">
        <is>
          <t>Consumíveis — estopa e adesivo</t>
        </is>
      </c>
      <c r="B138" s="87" t="inlineStr">
        <is>
          <t>Consumíveis</t>
        </is>
      </c>
      <c r="C138" s="99" t="n"/>
      <c r="D138" s="125" t="n">
        <v>46198</v>
      </c>
      <c r="E138" s="89" t="n">
        <v>360</v>
      </c>
      <c r="F138" s="99" t="n"/>
      <c r="G138" s="90" t="inlineStr">
        <is>
          <t>Dinheiro</t>
        </is>
      </c>
      <c r="H138" s="99" t="n"/>
      <c r="I138" s="91" t="inlineStr">
        <is>
          <t>Pago</t>
        </is>
      </c>
      <c r="J138" s="98" t="n"/>
      <c r="K138" s="98" t="n"/>
      <c r="L138" s="98" t="n"/>
      <c r="M138" s="99" t="n"/>
    </row>
    <row r="139" ht="17" customHeight="1">
      <c r="A139" s="76" t="inlineStr">
        <is>
          <t>Serralheria — estrutura da bancada</t>
        </is>
      </c>
      <c r="B139" s="87" t="inlineStr">
        <is>
          <t>Serralheria</t>
        </is>
      </c>
      <c r="C139" s="99" t="n"/>
      <c r="D139" s="125" t="n">
        <v>46199</v>
      </c>
      <c r="E139" s="89" t="n">
        <v>1500</v>
      </c>
      <c r="F139" s="99" t="n"/>
      <c r="G139" s="90" t="inlineStr">
        <is>
          <t>PIX</t>
        </is>
      </c>
      <c r="H139" s="99" t="n"/>
      <c r="I139" s="91" t="inlineStr">
        <is>
          <t>Pago</t>
        </is>
      </c>
      <c r="J139" s="98" t="n"/>
      <c r="K139" s="98" t="n"/>
      <c r="L139" s="98" t="n"/>
      <c r="M139" s="99" t="n"/>
    </row>
    <row r="140" ht="17" customHeight="1">
      <c r="A140" s="76" t="inlineStr">
        <is>
          <t>Espelho da suíte</t>
        </is>
      </c>
      <c r="B140" s="87" t="inlineStr">
        <is>
          <t>Vidros e espelhos</t>
        </is>
      </c>
      <c r="C140" s="99" t="n"/>
      <c r="D140" s="125" t="n">
        <v>46205</v>
      </c>
      <c r="E140" s="89" t="n">
        <v>2200</v>
      </c>
      <c r="F140" s="99" t="n"/>
      <c r="G140" s="90" t="inlineStr">
        <is>
          <t>Boleto</t>
        </is>
      </c>
      <c r="H140" s="99" t="n"/>
      <c r="I140" s="91" t="inlineStr">
        <is>
          <t>Comprado (a pagar)</t>
        </is>
      </c>
      <c r="J140" s="98" t="n"/>
      <c r="K140" s="98" t="n"/>
      <c r="L140" s="98" t="n"/>
      <c r="M140" s="99" t="n"/>
    </row>
    <row r="141" ht="17" customHeight="1">
      <c r="A141" s="76" t="inlineStr">
        <is>
          <t>Vidraceiro — instalação</t>
        </is>
      </c>
      <c r="B141" s="87" t="inlineStr">
        <is>
          <t>Vidraceiro</t>
        </is>
      </c>
      <c r="C141" s="99" t="n"/>
      <c r="D141" s="125" t="n">
        <v>46207</v>
      </c>
      <c r="E141" s="89" t="n">
        <v>1250</v>
      </c>
      <c r="F141" s="99" t="n"/>
      <c r="G141" s="90" t="inlineStr">
        <is>
          <t>PIX</t>
        </is>
      </c>
      <c r="H141" s="99" t="n"/>
      <c r="I141" s="91" t="inlineStr">
        <is>
          <t>Pago</t>
        </is>
      </c>
      <c r="J141" s="98" t="n"/>
      <c r="K141" s="98" t="n"/>
      <c r="L141" s="98" t="n"/>
      <c r="M141" s="99" t="n"/>
    </row>
    <row r="142" ht="17" customHeight="1">
      <c r="A142" s="76" t="inlineStr">
        <is>
          <t>Laqueação das portas</t>
        </is>
      </c>
      <c r="B142" s="87" t="inlineStr">
        <is>
          <t>Acabamento</t>
        </is>
      </c>
      <c r="C142" s="99" t="n"/>
      <c r="D142" s="125" t="n">
        <v>46213</v>
      </c>
      <c r="E142" s="89" t="n">
        <v>5400</v>
      </c>
      <c r="F142" s="99" t="n"/>
      <c r="G142" s="90" t="inlineStr">
        <is>
          <t>Faturado 30 dias</t>
        </is>
      </c>
      <c r="H142" s="99" t="n"/>
      <c r="I142" s="91" t="inlineStr">
        <is>
          <t>Comprado (a pagar)</t>
        </is>
      </c>
      <c r="J142" s="98" t="n"/>
      <c r="K142" s="98" t="n"/>
      <c r="L142" s="98" t="n"/>
      <c r="M142" s="99" t="n"/>
    </row>
    <row r="143" ht="17" customHeight="1">
      <c r="A143" s="76" t="inlineStr">
        <is>
          <t>Carreto — 1ª entrega</t>
        </is>
      </c>
      <c r="B143" s="87" t="inlineStr">
        <is>
          <t>Carreto e entrega</t>
        </is>
      </c>
      <c r="C143" s="99" t="n"/>
      <c r="D143" s="125" t="n">
        <v>46231</v>
      </c>
      <c r="E143" s="89" t="n">
        <v>650</v>
      </c>
      <c r="F143" s="99" t="n"/>
      <c r="G143" s="90" t="inlineStr">
        <is>
          <t>PIX</t>
        </is>
      </c>
      <c r="H143" s="99" t="n"/>
      <c r="I143" s="91" t="inlineStr">
        <is>
          <t>Pago</t>
        </is>
      </c>
      <c r="J143" s="98" t="n"/>
      <c r="K143" s="98" t="n"/>
      <c r="L143" s="98" t="n"/>
      <c r="M143" s="99" t="n"/>
    </row>
    <row r="144" ht="17" customHeight="1">
      <c r="A144" s="76" t="inlineStr">
        <is>
          <t>Uber — acerto final com o cliente</t>
        </is>
      </c>
      <c r="B144" s="87" t="inlineStr">
        <is>
          <t>Uber e aplicativo</t>
        </is>
      </c>
      <c r="C144" s="99" t="n"/>
      <c r="D144" s="125" t="n">
        <v>46233</v>
      </c>
      <c r="E144" s="89" t="n">
        <v>180</v>
      </c>
      <c r="F144" s="99" t="n"/>
      <c r="G144" s="90" t="inlineStr">
        <is>
          <t>PIX</t>
        </is>
      </c>
      <c r="H144" s="99" t="n"/>
      <c r="I144" s="91" t="inlineStr">
        <is>
          <t>Pago</t>
        </is>
      </c>
      <c r="J144" s="98" t="n"/>
      <c r="K144" s="98" t="n"/>
      <c r="L144" s="98" t="n"/>
      <c r="M144" s="99" t="n"/>
    </row>
    <row r="145" ht="17" customHeight="1">
      <c r="A145" s="76" t="inlineStr">
        <is>
          <t>Carreto — 2ª entrega e retorno</t>
        </is>
      </c>
      <c r="B145" s="87" t="inlineStr">
        <is>
          <t>Carreto e entrega</t>
        </is>
      </c>
      <c r="C145" s="99" t="n"/>
      <c r="D145" s="125" t="n">
        <v>46239</v>
      </c>
      <c r="E145" s="89" t="n">
        <v>500</v>
      </c>
      <c r="F145" s="99" t="n"/>
      <c r="G145" s="90" t="inlineStr">
        <is>
          <t>PIX</t>
        </is>
      </c>
      <c r="H145" s="99" t="n"/>
      <c r="I145" s="91" t="inlineStr">
        <is>
          <t>Pago</t>
        </is>
      </c>
      <c r="J145" s="98" t="n"/>
      <c r="K145" s="98" t="n"/>
      <c r="L145" s="98" t="n"/>
      <c r="M145" s="99" t="n"/>
    </row>
    <row r="146" ht="17" customHeight="1">
      <c r="A146" s="76" t="inlineStr">
        <is>
          <t>Deslocamento da equipe de montagem</t>
        </is>
      </c>
      <c r="B146" s="87" t="inlineStr">
        <is>
          <t>Deslocamento da equipe</t>
        </is>
      </c>
      <c r="C146" s="99" t="n"/>
      <c r="D146" s="125" t="n">
        <v>46239</v>
      </c>
      <c r="E146" s="89" t="n">
        <v>620</v>
      </c>
      <c r="F146" s="99" t="n"/>
      <c r="G146" s="90" t="inlineStr">
        <is>
          <t>Dinheiro</t>
        </is>
      </c>
      <c r="H146" s="99" t="n"/>
      <c r="I146" s="91" t="inlineStr">
        <is>
          <t>Pago</t>
        </is>
      </c>
      <c r="J146" s="98" t="n"/>
      <c r="K146" s="98" t="n"/>
      <c r="L146" s="98" t="n"/>
      <c r="M146" s="99" t="n"/>
    </row>
    <row r="147" ht="17" customHeight="1">
      <c r="A147" s="76" t="inlineStr">
        <is>
          <t>Estacionamento e pedágio</t>
        </is>
      </c>
      <c r="B147" s="87" t="inlineStr">
        <is>
          <t>Estacionamento e pedágio</t>
        </is>
      </c>
      <c r="C147" s="99" t="n"/>
      <c r="D147" s="125" t="n">
        <v>46240</v>
      </c>
      <c r="E147" s="89" t="n">
        <v>185</v>
      </c>
      <c r="F147" s="99" t="n"/>
      <c r="G147" s="90" t="inlineStr">
        <is>
          <t>Dinheiro</t>
        </is>
      </c>
      <c r="H147" s="99" t="n"/>
      <c r="I147" s="91" t="inlineStr">
        <is>
          <t>Pago</t>
        </is>
      </c>
      <c r="J147" s="98" t="n"/>
      <c r="K147" s="98" t="n"/>
      <c r="L147" s="98" t="n"/>
      <c r="M147" s="99" t="n"/>
    </row>
    <row r="148" ht="17" customHeight="1">
      <c r="A148" s="76" t="n"/>
      <c r="B148" s="87" t="n"/>
      <c r="C148" s="99" t="n"/>
      <c r="D148" s="125" t="n"/>
      <c r="E148" s="89" t="n"/>
      <c r="F148" s="99" t="n"/>
      <c r="G148" s="90" t="n"/>
      <c r="H148" s="99" t="n"/>
      <c r="I148" s="91" t="n"/>
      <c r="J148" s="98" t="n"/>
      <c r="K148" s="98" t="n"/>
      <c r="L148" s="98" t="n"/>
      <c r="M148" s="99" t="n"/>
    </row>
    <row r="149" ht="17" customHeight="1">
      <c r="A149" s="76" t="n"/>
      <c r="B149" s="87" t="n"/>
      <c r="C149" s="99" t="n"/>
      <c r="D149" s="125" t="n"/>
      <c r="E149" s="89" t="n"/>
      <c r="F149" s="99" t="n"/>
      <c r="G149" s="90" t="n"/>
      <c r="H149" s="99" t="n"/>
      <c r="I149" s="91" t="n"/>
      <c r="J149" s="98" t="n"/>
      <c r="K149" s="98" t="n"/>
      <c r="L149" s="98" t="n"/>
      <c r="M149" s="99" t="n"/>
    </row>
    <row r="150" ht="17" customHeight="1">
      <c r="A150" s="76" t="n"/>
      <c r="B150" s="87" t="n"/>
      <c r="C150" s="99" t="n"/>
      <c r="D150" s="125" t="n"/>
      <c r="E150" s="89" t="n"/>
      <c r="F150" s="99" t="n"/>
      <c r="G150" s="90" t="n"/>
      <c r="H150" s="99" t="n"/>
      <c r="I150" s="91" t="n"/>
      <c r="J150" s="98" t="n"/>
      <c r="K150" s="98" t="n"/>
      <c r="L150" s="98" t="n"/>
      <c r="M150" s="99" t="n"/>
    </row>
    <row r="151" ht="17" customHeight="1">
      <c r="A151" s="76" t="n"/>
      <c r="B151" s="87" t="n"/>
      <c r="C151" s="99" t="n"/>
      <c r="D151" s="125" t="n"/>
      <c r="E151" s="89" t="n"/>
      <c r="F151" s="99" t="n"/>
      <c r="G151" s="90" t="n"/>
      <c r="H151" s="99" t="n"/>
      <c r="I151" s="91" t="n"/>
      <c r="J151" s="98" t="n"/>
      <c r="K151" s="98" t="n"/>
      <c r="L151" s="98" t="n"/>
      <c r="M151" s="99" t="n"/>
    </row>
    <row r="152" ht="17" customHeight="1">
      <c r="A152" s="76" t="n"/>
      <c r="B152" s="87" t="n"/>
      <c r="C152" s="99" t="n"/>
      <c r="D152" s="125" t="n"/>
      <c r="E152" s="89" t="n"/>
      <c r="F152" s="99" t="n"/>
      <c r="G152" s="90" t="n"/>
      <c r="H152" s="99" t="n"/>
      <c r="I152" s="91" t="n"/>
      <c r="J152" s="98" t="n"/>
      <c r="K152" s="98" t="n"/>
      <c r="L152" s="98" t="n"/>
      <c r="M152" s="99" t="n"/>
    </row>
    <row r="153" ht="17" customHeight="1">
      <c r="A153" s="76" t="n"/>
      <c r="B153" s="87" t="n"/>
      <c r="C153" s="99" t="n"/>
      <c r="D153" s="125" t="n"/>
      <c r="E153" s="89" t="n"/>
      <c r="F153" s="99" t="n"/>
      <c r="G153" s="90" t="n"/>
      <c r="H153" s="99" t="n"/>
      <c r="I153" s="91" t="n"/>
      <c r="J153" s="98" t="n"/>
      <c r="K153" s="98" t="n"/>
      <c r="L153" s="98" t="n"/>
      <c r="M153" s="99" t="n"/>
    </row>
    <row r="154" ht="17" customHeight="1">
      <c r="A154" s="76" t="n"/>
      <c r="B154" s="87" t="n"/>
      <c r="C154" s="99" t="n"/>
      <c r="D154" s="125" t="n"/>
      <c r="E154" s="89" t="n"/>
      <c r="F154" s="99" t="n"/>
      <c r="G154" s="90" t="n"/>
      <c r="H154" s="99" t="n"/>
      <c r="I154" s="91" t="n"/>
      <c r="J154" s="98" t="n"/>
      <c r="K154" s="98" t="n"/>
      <c r="L154" s="98" t="n"/>
      <c r="M154" s="99" t="n"/>
    </row>
    <row r="155" ht="17" customHeight="1">
      <c r="A155" s="76" t="n"/>
      <c r="B155" s="87" t="n"/>
      <c r="C155" s="99" t="n"/>
      <c r="D155" s="125" t="n"/>
      <c r="E155" s="89" t="n"/>
      <c r="F155" s="99" t="n"/>
      <c r="G155" s="90" t="n"/>
      <c r="H155" s="99" t="n"/>
      <c r="I155" s="91" t="n"/>
      <c r="J155" s="98" t="n"/>
      <c r="K155" s="98" t="n"/>
      <c r="L155" s="98" t="n"/>
      <c r="M155" s="99" t="n"/>
    </row>
    <row r="156" ht="17" customHeight="1">
      <c r="A156" s="76" t="n"/>
      <c r="B156" s="87" t="n"/>
      <c r="C156" s="99" t="n"/>
      <c r="D156" s="125" t="n"/>
      <c r="E156" s="89" t="n"/>
      <c r="F156" s="99" t="n"/>
      <c r="G156" s="90" t="n"/>
      <c r="H156" s="99" t="n"/>
      <c r="I156" s="91" t="n"/>
      <c r="J156" s="98" t="n"/>
      <c r="K156" s="98" t="n"/>
      <c r="L156" s="98" t="n"/>
      <c r="M156" s="99" t="n"/>
    </row>
    <row r="157" ht="17" customHeight="1">
      <c r="A157" s="76" t="n"/>
      <c r="B157" s="87" t="n"/>
      <c r="C157" s="99" t="n"/>
      <c r="D157" s="125" t="n"/>
      <c r="E157" s="89" t="n"/>
      <c r="F157" s="99" t="n"/>
      <c r="G157" s="90" t="n"/>
      <c r="H157" s="99" t="n"/>
      <c r="I157" s="91" t="n"/>
      <c r="J157" s="98" t="n"/>
      <c r="K157" s="98" t="n"/>
      <c r="L157" s="98" t="n"/>
      <c r="M157" s="99" t="n"/>
    </row>
    <row r="158" ht="17" customHeight="1">
      <c r="A158" s="76" t="n"/>
      <c r="B158" s="87" t="n"/>
      <c r="C158" s="99" t="n"/>
      <c r="D158" s="125" t="n"/>
      <c r="E158" s="89" t="n"/>
      <c r="F158" s="99" t="n"/>
      <c r="G158" s="90" t="n"/>
      <c r="H158" s="99" t="n"/>
      <c r="I158" s="91" t="n"/>
      <c r="J158" s="98" t="n"/>
      <c r="K158" s="98" t="n"/>
      <c r="L158" s="98" t="n"/>
      <c r="M158" s="99" t="n"/>
    </row>
    <row r="159" ht="17" customHeight="1">
      <c r="A159" s="76" t="n"/>
      <c r="B159" s="87" t="n"/>
      <c r="C159" s="99" t="n"/>
      <c r="D159" s="125" t="n"/>
      <c r="E159" s="89" t="n"/>
      <c r="F159" s="99" t="n"/>
      <c r="G159" s="90" t="n"/>
      <c r="H159" s="99" t="n"/>
      <c r="I159" s="91" t="n"/>
      <c r="J159" s="98" t="n"/>
      <c r="K159" s="98" t="n"/>
      <c r="L159" s="98" t="n"/>
      <c r="M159" s="99" t="n"/>
    </row>
    <row r="160" ht="17" customHeight="1">
      <c r="A160" s="76" t="n"/>
      <c r="B160" s="87" t="n"/>
      <c r="C160" s="99" t="n"/>
      <c r="D160" s="125" t="n"/>
      <c r="E160" s="89" t="n"/>
      <c r="F160" s="99" t="n"/>
      <c r="G160" s="90" t="n"/>
      <c r="H160" s="99" t="n"/>
      <c r="I160" s="91" t="n"/>
      <c r="J160" s="98" t="n"/>
      <c r="K160" s="98" t="n"/>
      <c r="L160" s="98" t="n"/>
      <c r="M160" s="99" t="n"/>
    </row>
    <row r="161" ht="17" customHeight="1">
      <c r="A161" s="76" t="n"/>
      <c r="B161" s="87" t="n"/>
      <c r="C161" s="99" t="n"/>
      <c r="D161" s="125" t="n"/>
      <c r="E161" s="89" t="n"/>
      <c r="F161" s="99" t="n"/>
      <c r="G161" s="90" t="n"/>
      <c r="H161" s="99" t="n"/>
      <c r="I161" s="91" t="n"/>
      <c r="J161" s="98" t="n"/>
      <c r="K161" s="98" t="n"/>
      <c r="L161" s="98" t="n"/>
      <c r="M161" s="99" t="n"/>
    </row>
    <row r="162" ht="17" customHeight="1">
      <c r="A162" s="76" t="n"/>
      <c r="B162" s="87" t="n"/>
      <c r="C162" s="99" t="n"/>
      <c r="D162" s="125" t="n"/>
      <c r="E162" s="89" t="n"/>
      <c r="F162" s="99" t="n"/>
      <c r="G162" s="90" t="n"/>
      <c r="H162" s="99" t="n"/>
      <c r="I162" s="91" t="n"/>
      <c r="J162" s="98" t="n"/>
      <c r="K162" s="98" t="n"/>
      <c r="L162" s="98" t="n"/>
      <c r="M162" s="99" t="n"/>
    </row>
    <row r="163" ht="17" customHeight="1">
      <c r="A163" s="76" t="n"/>
      <c r="B163" s="87" t="n"/>
      <c r="C163" s="99" t="n"/>
      <c r="D163" s="125" t="n"/>
      <c r="E163" s="89" t="n"/>
      <c r="F163" s="99" t="n"/>
      <c r="G163" s="90" t="n"/>
      <c r="H163" s="99" t="n"/>
      <c r="I163" s="91" t="n"/>
      <c r="J163" s="98" t="n"/>
      <c r="K163" s="98" t="n"/>
      <c r="L163" s="98" t="n"/>
      <c r="M163" s="99" t="n"/>
    </row>
    <row r="164" ht="17" customHeight="1">
      <c r="A164" s="76" t="n"/>
      <c r="B164" s="87" t="n"/>
      <c r="C164" s="99" t="n"/>
      <c r="D164" s="125" t="n"/>
      <c r="E164" s="89" t="n"/>
      <c r="F164" s="99" t="n"/>
      <c r="G164" s="90" t="n"/>
      <c r="H164" s="99" t="n"/>
      <c r="I164" s="91" t="n"/>
      <c r="J164" s="98" t="n"/>
      <c r="K164" s="98" t="n"/>
      <c r="L164" s="98" t="n"/>
      <c r="M164" s="99" t="n"/>
    </row>
    <row r="165" ht="17" customHeight="1">
      <c r="A165" s="76" t="n"/>
      <c r="B165" s="87" t="n"/>
      <c r="C165" s="99" t="n"/>
      <c r="D165" s="125" t="n"/>
      <c r="E165" s="89" t="n"/>
      <c r="F165" s="99" t="n"/>
      <c r="G165" s="90" t="n"/>
      <c r="H165" s="99" t="n"/>
      <c r="I165" s="91" t="n"/>
      <c r="J165" s="98" t="n"/>
      <c r="K165" s="98" t="n"/>
      <c r="L165" s="98" t="n"/>
      <c r="M165" s="99" t="n"/>
    </row>
    <row r="166" ht="17" customHeight="1">
      <c r="A166" s="76" t="n"/>
      <c r="B166" s="87" t="n"/>
      <c r="C166" s="99" t="n"/>
      <c r="D166" s="125" t="n"/>
      <c r="E166" s="89" t="n"/>
      <c r="F166" s="99" t="n"/>
      <c r="G166" s="90" t="n"/>
      <c r="H166" s="99" t="n"/>
      <c r="I166" s="91" t="n"/>
      <c r="J166" s="98" t="n"/>
      <c r="K166" s="98" t="n"/>
      <c r="L166" s="98" t="n"/>
      <c r="M166" s="99" t="n"/>
    </row>
    <row r="167" ht="17" customHeight="1">
      <c r="A167" s="76" t="n"/>
      <c r="B167" s="87" t="n"/>
      <c r="C167" s="99" t="n"/>
      <c r="D167" s="125" t="n"/>
      <c r="E167" s="89" t="n"/>
      <c r="F167" s="99" t="n"/>
      <c r="G167" s="90" t="n"/>
      <c r="H167" s="99" t="n"/>
      <c r="I167" s="91" t="n"/>
      <c r="J167" s="98" t="n"/>
      <c r="K167" s="98" t="n"/>
      <c r="L167" s="98" t="n"/>
      <c r="M167" s="99" t="n"/>
    </row>
    <row r="168" ht="17" customHeight="1">
      <c r="A168" s="76" t="n"/>
      <c r="B168" s="87" t="n"/>
      <c r="C168" s="99" t="n"/>
      <c r="D168" s="125" t="n"/>
      <c r="E168" s="89" t="n"/>
      <c r="F168" s="99" t="n"/>
      <c r="G168" s="90" t="n"/>
      <c r="H168" s="99" t="n"/>
      <c r="I168" s="91" t="n"/>
      <c r="J168" s="98" t="n"/>
      <c r="K168" s="98" t="n"/>
      <c r="L168" s="98" t="n"/>
      <c r="M168" s="99" t="n"/>
    </row>
    <row r="169" ht="17" customHeight="1">
      <c r="A169" s="76" t="n"/>
      <c r="B169" s="87" t="n"/>
      <c r="C169" s="99" t="n"/>
      <c r="D169" s="125" t="n"/>
      <c r="E169" s="89" t="n"/>
      <c r="F169" s="99" t="n"/>
      <c r="G169" s="90" t="n"/>
      <c r="H169" s="99" t="n"/>
      <c r="I169" s="91" t="n"/>
      <c r="J169" s="98" t="n"/>
      <c r="K169" s="98" t="n"/>
      <c r="L169" s="98" t="n"/>
      <c r="M169" s="99" t="n"/>
    </row>
    <row r="170" ht="17" customHeight="1">
      <c r="A170" s="76" t="n"/>
      <c r="B170" s="87" t="n"/>
      <c r="C170" s="99" t="n"/>
      <c r="D170" s="125" t="n"/>
      <c r="E170" s="89" t="n"/>
      <c r="F170" s="99" t="n"/>
      <c r="G170" s="90" t="n"/>
      <c r="H170" s="99" t="n"/>
      <c r="I170" s="91" t="n"/>
      <c r="J170" s="98" t="n"/>
      <c r="K170" s="98" t="n"/>
      <c r="L170" s="98" t="n"/>
      <c r="M170" s="99" t="n"/>
    </row>
    <row r="171" ht="17" customHeight="1">
      <c r="A171" s="76" t="n"/>
      <c r="B171" s="87" t="n"/>
      <c r="C171" s="99" t="n"/>
      <c r="D171" s="125" t="n"/>
      <c r="E171" s="89" t="n"/>
      <c r="F171" s="99" t="n"/>
      <c r="G171" s="90" t="n"/>
      <c r="H171" s="99" t="n"/>
      <c r="I171" s="91" t="n"/>
      <c r="J171" s="98" t="n"/>
      <c r="K171" s="98" t="n"/>
      <c r="L171" s="98" t="n"/>
      <c r="M171" s="99" t="n"/>
    </row>
    <row r="172" ht="17" customHeight="1">
      <c r="A172" s="76" t="n"/>
      <c r="B172" s="87" t="n"/>
      <c r="C172" s="99" t="n"/>
      <c r="D172" s="125" t="n"/>
      <c r="E172" s="89" t="n"/>
      <c r="F172" s="99" t="n"/>
      <c r="G172" s="90" t="n"/>
      <c r="H172" s="99" t="n"/>
      <c r="I172" s="91" t="n"/>
      <c r="J172" s="98" t="n"/>
      <c r="K172" s="98" t="n"/>
      <c r="L172" s="98" t="n"/>
      <c r="M172" s="99" t="n"/>
    </row>
    <row r="173" ht="17" customHeight="1">
      <c r="A173" s="76" t="n"/>
      <c r="B173" s="87" t="n"/>
      <c r="C173" s="99" t="n"/>
      <c r="D173" s="125" t="n"/>
      <c r="E173" s="89" t="n"/>
      <c r="F173" s="99" t="n"/>
      <c r="G173" s="90" t="n"/>
      <c r="H173" s="99" t="n"/>
      <c r="I173" s="91" t="n"/>
      <c r="J173" s="98" t="n"/>
      <c r="K173" s="98" t="n"/>
      <c r="L173" s="98" t="n"/>
      <c r="M173" s="99" t="n"/>
    </row>
    <row r="174" ht="17" customHeight="1">
      <c r="A174" s="76" t="n"/>
      <c r="B174" s="87" t="n"/>
      <c r="C174" s="99" t="n"/>
      <c r="D174" s="125" t="n"/>
      <c r="E174" s="89" t="n"/>
      <c r="F174" s="99" t="n"/>
      <c r="G174" s="90" t="n"/>
      <c r="H174" s="99" t="n"/>
      <c r="I174" s="91" t="n"/>
      <c r="J174" s="98" t="n"/>
      <c r="K174" s="98" t="n"/>
      <c r="L174" s="98" t="n"/>
      <c r="M174" s="99" t="n"/>
    </row>
    <row r="175" ht="17" customHeight="1">
      <c r="A175" s="76" t="n"/>
      <c r="B175" s="87" t="n"/>
      <c r="C175" s="99" t="n"/>
      <c r="D175" s="125" t="n"/>
      <c r="E175" s="89" t="n"/>
      <c r="F175" s="99" t="n"/>
      <c r="G175" s="90" t="n"/>
      <c r="H175" s="99" t="n"/>
      <c r="I175" s="91" t="n"/>
      <c r="J175" s="98" t="n"/>
      <c r="K175" s="98" t="n"/>
      <c r="L175" s="98" t="n"/>
      <c r="M175" s="99" t="n"/>
    </row>
    <row r="176" ht="17" customHeight="1">
      <c r="A176" s="76" t="n"/>
      <c r="B176" s="87" t="n"/>
      <c r="C176" s="99" t="n"/>
      <c r="D176" s="125" t="n"/>
      <c r="E176" s="89" t="n"/>
      <c r="F176" s="99" t="n"/>
      <c r="G176" s="90" t="n"/>
      <c r="H176" s="99" t="n"/>
      <c r="I176" s="91" t="n"/>
      <c r="J176" s="98" t="n"/>
      <c r="K176" s="98" t="n"/>
      <c r="L176" s="98" t="n"/>
      <c r="M176" s="99" t="n"/>
    </row>
    <row r="177" ht="17" customHeight="1">
      <c r="A177" s="76" t="n"/>
      <c r="B177" s="87" t="n"/>
      <c r="C177" s="99" t="n"/>
      <c r="D177" s="125" t="n"/>
      <c r="E177" s="89" t="n"/>
      <c r="F177" s="99" t="n"/>
      <c r="G177" s="90" t="n"/>
      <c r="H177" s="99" t="n"/>
      <c r="I177" s="91" t="n"/>
      <c r="J177" s="98" t="n"/>
      <c r="K177" s="98" t="n"/>
      <c r="L177" s="98" t="n"/>
      <c r="M177" s="99" t="n"/>
    </row>
    <row r="178" ht="17" customHeight="1">
      <c r="A178" s="76" t="n"/>
      <c r="B178" s="87" t="n"/>
      <c r="C178" s="99" t="n"/>
      <c r="D178" s="125" t="n"/>
      <c r="E178" s="89" t="n"/>
      <c r="F178" s="99" t="n"/>
      <c r="G178" s="90" t="n"/>
      <c r="H178" s="99" t="n"/>
      <c r="I178" s="91" t="n"/>
      <c r="J178" s="98" t="n"/>
      <c r="K178" s="98" t="n"/>
      <c r="L178" s="98" t="n"/>
      <c r="M178" s="99" t="n"/>
    </row>
    <row r="179" ht="17" customHeight="1">
      <c r="A179" s="76" t="n"/>
      <c r="B179" s="87" t="n"/>
      <c r="C179" s="99" t="n"/>
      <c r="D179" s="125" t="n"/>
      <c r="E179" s="89" t="n"/>
      <c r="F179" s="99" t="n"/>
      <c r="G179" s="90" t="n"/>
      <c r="H179" s="99" t="n"/>
      <c r="I179" s="91" t="n"/>
      <c r="J179" s="98" t="n"/>
      <c r="K179" s="98" t="n"/>
      <c r="L179" s="98" t="n"/>
      <c r="M179" s="99" t="n"/>
    </row>
    <row r="180" ht="17" customHeight="1">
      <c r="A180" s="76" t="n"/>
      <c r="B180" s="87" t="n"/>
      <c r="C180" s="99" t="n"/>
      <c r="D180" s="125" t="n"/>
      <c r="E180" s="89" t="n"/>
      <c r="F180" s="99" t="n"/>
      <c r="G180" s="90" t="n"/>
      <c r="H180" s="99" t="n"/>
      <c r="I180" s="91" t="n"/>
      <c r="J180" s="98" t="n"/>
      <c r="K180" s="98" t="n"/>
      <c r="L180" s="98" t="n"/>
      <c r="M180" s="99" t="n"/>
    </row>
    <row r="181" ht="17" customHeight="1">
      <c r="A181" s="76" t="n"/>
      <c r="B181" s="87" t="n"/>
      <c r="C181" s="99" t="n"/>
      <c r="D181" s="125" t="n"/>
      <c r="E181" s="89" t="n"/>
      <c r="F181" s="99" t="n"/>
      <c r="G181" s="90" t="n"/>
      <c r="H181" s="99" t="n"/>
      <c r="I181" s="91" t="n"/>
      <c r="J181" s="98" t="n"/>
      <c r="K181" s="98" t="n"/>
      <c r="L181" s="98" t="n"/>
      <c r="M181" s="99" t="n"/>
    </row>
    <row r="182" ht="17" customHeight="1">
      <c r="A182" s="76" t="n"/>
      <c r="B182" s="87" t="n"/>
      <c r="C182" s="99" t="n"/>
      <c r="D182" s="125" t="n"/>
      <c r="E182" s="89" t="n"/>
      <c r="F182" s="99" t="n"/>
      <c r="G182" s="90" t="n"/>
      <c r="H182" s="99" t="n"/>
      <c r="I182" s="91" t="n"/>
      <c r="J182" s="98" t="n"/>
      <c r="K182" s="98" t="n"/>
      <c r="L182" s="98" t="n"/>
      <c r="M182" s="99" t="n"/>
    </row>
    <row r="183" ht="17" customHeight="1">
      <c r="A183" s="76" t="n"/>
      <c r="B183" s="87" t="n"/>
      <c r="C183" s="99" t="n"/>
      <c r="D183" s="125" t="n"/>
      <c r="E183" s="89" t="n"/>
      <c r="F183" s="99" t="n"/>
      <c r="G183" s="90" t="n"/>
      <c r="H183" s="99" t="n"/>
      <c r="I183" s="91" t="n"/>
      <c r="J183" s="98" t="n"/>
      <c r="K183" s="98" t="n"/>
      <c r="L183" s="98" t="n"/>
      <c r="M183" s="99" t="n"/>
    </row>
    <row r="184" ht="17" customHeight="1">
      <c r="A184" s="76" t="n"/>
      <c r="B184" s="87" t="n"/>
      <c r="C184" s="99" t="n"/>
      <c r="D184" s="125" t="n"/>
      <c r="E184" s="89" t="n"/>
      <c r="F184" s="99" t="n"/>
      <c r="G184" s="90" t="n"/>
      <c r="H184" s="99" t="n"/>
      <c r="I184" s="91" t="n"/>
      <c r="J184" s="98" t="n"/>
      <c r="K184" s="98" t="n"/>
      <c r="L184" s="98" t="n"/>
      <c r="M184" s="99" t="n"/>
    </row>
    <row r="185" ht="17" customHeight="1">
      <c r="A185" s="76" t="n"/>
      <c r="B185" s="87" t="n"/>
      <c r="C185" s="99" t="n"/>
      <c r="D185" s="125" t="n"/>
      <c r="E185" s="89" t="n"/>
      <c r="F185" s="99" t="n"/>
      <c r="G185" s="90" t="n"/>
      <c r="H185" s="99" t="n"/>
      <c r="I185" s="91" t="n"/>
      <c r="J185" s="98" t="n"/>
      <c r="K185" s="98" t="n"/>
      <c r="L185" s="98" t="n"/>
      <c r="M185" s="99" t="n"/>
    </row>
    <row r="186" ht="17" customHeight="1">
      <c r="A186" s="76" t="n"/>
      <c r="B186" s="87" t="n"/>
      <c r="C186" s="99" t="n"/>
      <c r="D186" s="125" t="n"/>
      <c r="E186" s="89" t="n"/>
      <c r="F186" s="99" t="n"/>
      <c r="G186" s="90" t="n"/>
      <c r="H186" s="99" t="n"/>
      <c r="I186" s="91" t="n"/>
      <c r="J186" s="98" t="n"/>
      <c r="K186" s="98" t="n"/>
      <c r="L186" s="98" t="n"/>
      <c r="M186" s="99" t="n"/>
    </row>
    <row r="187" ht="22" customHeight="1">
      <c r="A187" s="31" t="inlineStr">
        <is>
          <t>TOTAL LANÇADO NO LIVRO</t>
        </is>
      </c>
      <c r="B187" s="98" t="n"/>
      <c r="C187" s="98" t="n"/>
      <c r="D187" s="99" t="n"/>
      <c r="E187" s="56">
        <f>ROUND(SUM($E$127:$E$186),2)</f>
        <v/>
      </c>
      <c r="F187" s="99" t="n"/>
      <c r="G187" s="92">
        <f>IF(COUNTA($B$127:$B$186)=COUNT($E$127:$E$186),"lançamentos: "&amp;COUNT($E$127:$E$186)&amp;" · todos classificados","ATENÇÃO: "&amp;(COUNT($E$127:$E$186)-COUNTA($B$127:$B$186))&amp;" lançamento(s) sem categoria")</f>
        <v/>
      </c>
      <c r="H187" s="98" t="n"/>
      <c r="I187" s="98" t="n"/>
      <c r="J187" s="98" t="n"/>
      <c r="K187" s="98" t="n"/>
      <c r="L187" s="98" t="n"/>
      <c r="M187" s="99" t="n"/>
    </row>
    <row r="189" ht="50" customHeight="1">
      <c r="A189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9" t="n"/>
    </row>
  </sheetData>
  <mergeCells count="543">
    <mergeCell ref="H21:M21"/>
    <mergeCell ref="G114:M114"/>
    <mergeCell ref="A15:B15"/>
    <mergeCell ref="A107:B107"/>
    <mergeCell ref="B141:C141"/>
    <mergeCell ref="H88:M88"/>
    <mergeCell ref="E142:F142"/>
    <mergeCell ref="H9:I9"/>
    <mergeCell ref="J76:M76"/>
    <mergeCell ref="H90:M90"/>
    <mergeCell ref="E171:F171"/>
    <mergeCell ref="I159:M159"/>
    <mergeCell ref="I134:M134"/>
    <mergeCell ref="H27:M27"/>
    <mergeCell ref="E137:F137"/>
    <mergeCell ref="G137:H137"/>
    <mergeCell ref="D70:E70"/>
    <mergeCell ref="G117:M117"/>
    <mergeCell ref="E173:F173"/>
    <mergeCell ref="F70:G70"/>
    <mergeCell ref="E148:F148"/>
    <mergeCell ref="G148:H148"/>
    <mergeCell ref="B78:C78"/>
    <mergeCell ref="D7:E7"/>
    <mergeCell ref="I161:M161"/>
    <mergeCell ref="D78:E78"/>
    <mergeCell ref="E166:F166"/>
    <mergeCell ref="G139:H139"/>
    <mergeCell ref="D71:E71"/>
    <mergeCell ref="F71:G71"/>
    <mergeCell ref="G112:M112"/>
    <mergeCell ref="E168:F168"/>
    <mergeCell ref="G168:H168"/>
    <mergeCell ref="H103:M103"/>
    <mergeCell ref="G143:H143"/>
    <mergeCell ref="D73:E73"/>
    <mergeCell ref="B154:C154"/>
    <mergeCell ref="A39:B39"/>
    <mergeCell ref="B129:C129"/>
    <mergeCell ref="E117:F117"/>
    <mergeCell ref="I174:M174"/>
    <mergeCell ref="A24:H24"/>
    <mergeCell ref="B156:C156"/>
    <mergeCell ref="B131:C131"/>
    <mergeCell ref="J71:M71"/>
    <mergeCell ref="E161:F161"/>
    <mergeCell ref="J8:M8"/>
    <mergeCell ref="J73:M73"/>
    <mergeCell ref="D66:E66"/>
    <mergeCell ref="G127:H127"/>
    <mergeCell ref="F66:G66"/>
    <mergeCell ref="H18:M18"/>
    <mergeCell ref="J77:M77"/>
    <mergeCell ref="H75:I75"/>
    <mergeCell ref="J68:M68"/>
    <mergeCell ref="B84:C84"/>
    <mergeCell ref="H91:M91"/>
    <mergeCell ref="I142:M142"/>
    <mergeCell ref="E110:F110"/>
    <mergeCell ref="E16:F16"/>
    <mergeCell ref="E187:F187"/>
    <mergeCell ref="I169:M169"/>
    <mergeCell ref="G138:H138"/>
    <mergeCell ref="B142:C142"/>
    <mergeCell ref="B80:C80"/>
    <mergeCell ref="H93:M93"/>
    <mergeCell ref="E174:F174"/>
    <mergeCell ref="B79:C79"/>
    <mergeCell ref="E18:F18"/>
    <mergeCell ref="D79:E79"/>
    <mergeCell ref="G140:H140"/>
    <mergeCell ref="B144:C144"/>
    <mergeCell ref="F73:G73"/>
    <mergeCell ref="B81:C81"/>
    <mergeCell ref="I164:M164"/>
    <mergeCell ref="D81:E81"/>
    <mergeCell ref="H17:M17"/>
    <mergeCell ref="E92:F92"/>
    <mergeCell ref="H19:M19"/>
    <mergeCell ref="E94:F94"/>
    <mergeCell ref="H37:M37"/>
    <mergeCell ref="B170:C170"/>
    <mergeCell ref="E31:F31"/>
    <mergeCell ref="E158:F158"/>
    <mergeCell ref="H104:M104"/>
    <mergeCell ref="I130:M130"/>
    <mergeCell ref="E133:F133"/>
    <mergeCell ref="G133:H133"/>
    <mergeCell ref="B172:C172"/>
    <mergeCell ref="E95:F95"/>
    <mergeCell ref="E89:F89"/>
    <mergeCell ref="H106:M106"/>
    <mergeCell ref="A87:M87"/>
    <mergeCell ref="B113:D113"/>
    <mergeCell ref="I132:M132"/>
    <mergeCell ref="E162:F162"/>
    <mergeCell ref="G135:H135"/>
    <mergeCell ref="J74:M74"/>
    <mergeCell ref="D55:E55"/>
    <mergeCell ref="G153:H153"/>
    <mergeCell ref="B115:D115"/>
    <mergeCell ref="D67:E67"/>
    <mergeCell ref="B76:C76"/>
    <mergeCell ref="E164:F164"/>
    <mergeCell ref="G164:H164"/>
    <mergeCell ref="D69:E69"/>
    <mergeCell ref="F69:G69"/>
    <mergeCell ref="B150:C150"/>
    <mergeCell ref="I183:M183"/>
    <mergeCell ref="E17:F17"/>
    <mergeCell ref="E88:F88"/>
    <mergeCell ref="E126:F126"/>
    <mergeCell ref="I145:M145"/>
    <mergeCell ref="B152:C152"/>
    <mergeCell ref="E180:F180"/>
    <mergeCell ref="I185:M185"/>
    <mergeCell ref="E19:F19"/>
    <mergeCell ref="B145:C145"/>
    <mergeCell ref="I147:M147"/>
    <mergeCell ref="G146:H146"/>
    <mergeCell ref="B181:C181"/>
    <mergeCell ref="E182:F182"/>
    <mergeCell ref="J55:K55"/>
    <mergeCell ref="B147:C147"/>
    <mergeCell ref="I186:M186"/>
    <mergeCell ref="J6:M6"/>
    <mergeCell ref="H20:M20"/>
    <mergeCell ref="E179:F179"/>
    <mergeCell ref="F67:G67"/>
    <mergeCell ref="D82:E82"/>
    <mergeCell ref="I138:M138"/>
    <mergeCell ref="F82:G82"/>
    <mergeCell ref="A3:M3"/>
    <mergeCell ref="E37:F37"/>
    <mergeCell ref="E97:F97"/>
    <mergeCell ref="E159:F159"/>
    <mergeCell ref="G159:H159"/>
    <mergeCell ref="H8:I8"/>
    <mergeCell ref="B163:C163"/>
    <mergeCell ref="I140:M140"/>
    <mergeCell ref="E145:F145"/>
    <mergeCell ref="E139:F139"/>
    <mergeCell ref="G161:H161"/>
    <mergeCell ref="B165:C165"/>
    <mergeCell ref="I133:M133"/>
    <mergeCell ref="E111:F111"/>
    <mergeCell ref="G136:H136"/>
    <mergeCell ref="B77:C77"/>
    <mergeCell ref="D6:E6"/>
    <mergeCell ref="I135:M135"/>
    <mergeCell ref="D77:E77"/>
    <mergeCell ref="E63:F63"/>
    <mergeCell ref="J82:M82"/>
    <mergeCell ref="A101:B101"/>
    <mergeCell ref="H33:M33"/>
    <mergeCell ref="D72:E72"/>
    <mergeCell ref="F72:G72"/>
    <mergeCell ref="B178:C178"/>
    <mergeCell ref="H72:I72"/>
    <mergeCell ref="I24:M24"/>
    <mergeCell ref="E27:F27"/>
    <mergeCell ref="E119:F119"/>
    <mergeCell ref="H35:M35"/>
    <mergeCell ref="A41:M41"/>
    <mergeCell ref="E116:F116"/>
    <mergeCell ref="E91:F91"/>
    <mergeCell ref="I153:M153"/>
    <mergeCell ref="E183:F183"/>
    <mergeCell ref="G183:H183"/>
    <mergeCell ref="A6:C6"/>
    <mergeCell ref="E22:F22"/>
    <mergeCell ref="E93:F93"/>
    <mergeCell ref="H39:M39"/>
    <mergeCell ref="G149:H149"/>
    <mergeCell ref="B111:D111"/>
    <mergeCell ref="G185:H185"/>
    <mergeCell ref="H59:M59"/>
    <mergeCell ref="H89:M89"/>
    <mergeCell ref="E122:F122"/>
    <mergeCell ref="G151:H151"/>
    <mergeCell ref="G178:H178"/>
    <mergeCell ref="F6:G6"/>
    <mergeCell ref="H61:M61"/>
    <mergeCell ref="F83:G83"/>
    <mergeCell ref="H83:I83"/>
    <mergeCell ref="I179:M179"/>
    <mergeCell ref="E38:F38"/>
    <mergeCell ref="E147:F147"/>
    <mergeCell ref="I141:M141"/>
    <mergeCell ref="F85:G85"/>
    <mergeCell ref="H85:I85"/>
    <mergeCell ref="G175:H175"/>
    <mergeCell ref="B179:C179"/>
    <mergeCell ref="A11:M11"/>
    <mergeCell ref="G162:H162"/>
    <mergeCell ref="B166:C166"/>
    <mergeCell ref="I12:M12"/>
    <mergeCell ref="E186:F186"/>
    <mergeCell ref="I143:M143"/>
    <mergeCell ref="G177:H177"/>
    <mergeCell ref="E104:F104"/>
    <mergeCell ref="B174:C174"/>
    <mergeCell ref="G122:M122"/>
    <mergeCell ref="B168:C168"/>
    <mergeCell ref="D9:E9"/>
    <mergeCell ref="H80:I80"/>
    <mergeCell ref="F9:G9"/>
    <mergeCell ref="J83:M83"/>
    <mergeCell ref="B169:C169"/>
    <mergeCell ref="J85:M85"/>
    <mergeCell ref="H34:M34"/>
    <mergeCell ref="E130:F130"/>
    <mergeCell ref="G155:H155"/>
    <mergeCell ref="G130:H130"/>
    <mergeCell ref="B134:C134"/>
    <mergeCell ref="H36:M36"/>
    <mergeCell ref="E160:F160"/>
    <mergeCell ref="A109:M109"/>
    <mergeCell ref="E141:F141"/>
    <mergeCell ref="E135:F135"/>
    <mergeCell ref="B71:C71"/>
    <mergeCell ref="I154:M154"/>
    <mergeCell ref="E132:F132"/>
    <mergeCell ref="G157:H157"/>
    <mergeCell ref="G132:H132"/>
    <mergeCell ref="E107:F107"/>
    <mergeCell ref="H73:I73"/>
    <mergeCell ref="E143:F143"/>
    <mergeCell ref="G172:H172"/>
    <mergeCell ref="I156:M156"/>
    <mergeCell ref="G186:H186"/>
    <mergeCell ref="H96:M96"/>
    <mergeCell ref="G120:M120"/>
    <mergeCell ref="B162:C162"/>
    <mergeCell ref="G152:H152"/>
    <mergeCell ref="E59:F59"/>
    <mergeCell ref="A21:B21"/>
    <mergeCell ref="B114:D114"/>
    <mergeCell ref="H62:M62"/>
    <mergeCell ref="H84:I84"/>
    <mergeCell ref="E61:F61"/>
    <mergeCell ref="A23:B23"/>
    <mergeCell ref="I180:M180"/>
    <mergeCell ref="I167:M167"/>
    <mergeCell ref="A96:B96"/>
    <mergeCell ref="I182:M182"/>
    <mergeCell ref="E112:F112"/>
    <mergeCell ref="I13:M13"/>
    <mergeCell ref="B126:C126"/>
    <mergeCell ref="B117:D117"/>
    <mergeCell ref="J66:M66"/>
    <mergeCell ref="B119:D119"/>
    <mergeCell ref="A123:B123"/>
    <mergeCell ref="B112:D112"/>
    <mergeCell ref="A16:B16"/>
    <mergeCell ref="E138:F138"/>
    <mergeCell ref="H22:M22"/>
    <mergeCell ref="J72:M72"/>
    <mergeCell ref="A18:B18"/>
    <mergeCell ref="H70:I70"/>
    <mergeCell ref="I162:M162"/>
    <mergeCell ref="B73:C73"/>
    <mergeCell ref="E167:F167"/>
    <mergeCell ref="I177:M177"/>
    <mergeCell ref="H7:I7"/>
    <mergeCell ref="I155:M155"/>
    <mergeCell ref="B137:C137"/>
    <mergeCell ref="E169:F169"/>
    <mergeCell ref="I170:M170"/>
    <mergeCell ref="B74:C74"/>
    <mergeCell ref="I157:M157"/>
    <mergeCell ref="B68:C68"/>
    <mergeCell ref="D74:E74"/>
    <mergeCell ref="B139:C139"/>
    <mergeCell ref="D68:E68"/>
    <mergeCell ref="B122:D122"/>
    <mergeCell ref="H76:I76"/>
    <mergeCell ref="I172:M172"/>
    <mergeCell ref="G121:M121"/>
    <mergeCell ref="E62:F62"/>
    <mergeCell ref="G110:M110"/>
    <mergeCell ref="G176:H176"/>
    <mergeCell ref="E156:F156"/>
    <mergeCell ref="I175:M175"/>
    <mergeCell ref="E153:F153"/>
    <mergeCell ref="H99:M99"/>
    <mergeCell ref="B67:C67"/>
    <mergeCell ref="E128:F128"/>
    <mergeCell ref="E155:F155"/>
    <mergeCell ref="G128:H128"/>
    <mergeCell ref="G184:H184"/>
    <mergeCell ref="J67:M67"/>
    <mergeCell ref="G171:H171"/>
    <mergeCell ref="H101:M101"/>
    <mergeCell ref="B69:C69"/>
    <mergeCell ref="I127:M127"/>
    <mergeCell ref="E157:F157"/>
    <mergeCell ref="I176:M176"/>
    <mergeCell ref="J9:M9"/>
    <mergeCell ref="J69:M69"/>
    <mergeCell ref="B127:C127"/>
    <mergeCell ref="A17:B17"/>
    <mergeCell ref="A19:B19"/>
    <mergeCell ref="H71:I71"/>
    <mergeCell ref="E146:F146"/>
    <mergeCell ref="I178:M178"/>
    <mergeCell ref="E12:F12"/>
    <mergeCell ref="B138:C138"/>
    <mergeCell ref="E175:F175"/>
    <mergeCell ref="E185:F185"/>
    <mergeCell ref="B140:C140"/>
    <mergeCell ref="E170:F170"/>
    <mergeCell ref="A30:M30"/>
    <mergeCell ref="H105:M105"/>
    <mergeCell ref="D75:E75"/>
    <mergeCell ref="F75:G75"/>
    <mergeCell ref="H15:M15"/>
    <mergeCell ref="E90:F90"/>
    <mergeCell ref="B110:D110"/>
    <mergeCell ref="H107:M107"/>
    <mergeCell ref="E154:F154"/>
    <mergeCell ref="G154:H154"/>
    <mergeCell ref="B158:C158"/>
    <mergeCell ref="G129:H129"/>
    <mergeCell ref="E172:F172"/>
    <mergeCell ref="A63:B63"/>
    <mergeCell ref="H102:M102"/>
    <mergeCell ref="B160:C160"/>
    <mergeCell ref="I128:M128"/>
    <mergeCell ref="G131:H131"/>
    <mergeCell ref="E58:F58"/>
    <mergeCell ref="B153:C153"/>
    <mergeCell ref="J75:M75"/>
    <mergeCell ref="B72:C72"/>
    <mergeCell ref="G119:M119"/>
    <mergeCell ref="B184:C184"/>
    <mergeCell ref="G126:H126"/>
    <mergeCell ref="E20:F20"/>
    <mergeCell ref="H28:M28"/>
    <mergeCell ref="E177:F177"/>
    <mergeCell ref="E13:F13"/>
    <mergeCell ref="I146:M146"/>
    <mergeCell ref="B148:C148"/>
    <mergeCell ref="B82:C82"/>
    <mergeCell ref="E149:F149"/>
    <mergeCell ref="E176:F176"/>
    <mergeCell ref="E114:F114"/>
    <mergeCell ref="I181:M181"/>
    <mergeCell ref="A1:M1"/>
    <mergeCell ref="E15:F15"/>
    <mergeCell ref="G142:H142"/>
    <mergeCell ref="B146:C146"/>
    <mergeCell ref="H23:M23"/>
    <mergeCell ref="E178:F178"/>
    <mergeCell ref="A65:M65"/>
    <mergeCell ref="B83:C83"/>
    <mergeCell ref="B143:C143"/>
    <mergeCell ref="D83:E83"/>
    <mergeCell ref="E144:F144"/>
    <mergeCell ref="G144:H144"/>
    <mergeCell ref="A38:B38"/>
    <mergeCell ref="B85:C85"/>
    <mergeCell ref="D85:E85"/>
    <mergeCell ref="G173:H173"/>
    <mergeCell ref="H67:I67"/>
    <mergeCell ref="F78:G78"/>
    <mergeCell ref="E106:F106"/>
    <mergeCell ref="H78:I78"/>
    <mergeCell ref="H123:M123"/>
    <mergeCell ref="E33:F33"/>
    <mergeCell ref="A4:M4"/>
    <mergeCell ref="B159:C159"/>
    <mergeCell ref="D80:E80"/>
    <mergeCell ref="I136:M136"/>
    <mergeCell ref="H16:M16"/>
    <mergeCell ref="G170:H170"/>
    <mergeCell ref="E35:F35"/>
    <mergeCell ref="B167:C167"/>
    <mergeCell ref="B161:C161"/>
    <mergeCell ref="H6:I6"/>
    <mergeCell ref="I129:M129"/>
    <mergeCell ref="B136:C136"/>
    <mergeCell ref="E28:F28"/>
    <mergeCell ref="I131:M131"/>
    <mergeCell ref="B175:C175"/>
    <mergeCell ref="J84:M84"/>
    <mergeCell ref="J78:M78"/>
    <mergeCell ref="A9:C9"/>
    <mergeCell ref="H92:M92"/>
    <mergeCell ref="J80:M80"/>
    <mergeCell ref="D8:E8"/>
    <mergeCell ref="J79:M79"/>
    <mergeCell ref="G150:H150"/>
    <mergeCell ref="H31:M31"/>
    <mergeCell ref="H58:M58"/>
    <mergeCell ref="E21:F21"/>
    <mergeCell ref="H82:I82"/>
    <mergeCell ref="I149:M149"/>
    <mergeCell ref="H98:M98"/>
    <mergeCell ref="H60:M60"/>
    <mergeCell ref="F68:G68"/>
    <mergeCell ref="E129:F129"/>
    <mergeCell ref="E23:F23"/>
    <mergeCell ref="D84:E84"/>
    <mergeCell ref="G113:M113"/>
    <mergeCell ref="G145:H145"/>
    <mergeCell ref="F84:G84"/>
    <mergeCell ref="B149:C149"/>
    <mergeCell ref="I151:M151"/>
    <mergeCell ref="B155:C155"/>
    <mergeCell ref="E181:F181"/>
    <mergeCell ref="G181:H181"/>
    <mergeCell ref="I126:M126"/>
    <mergeCell ref="E131:F131"/>
    <mergeCell ref="G160:H160"/>
    <mergeCell ref="I144:M144"/>
    <mergeCell ref="G147:H147"/>
    <mergeCell ref="B151:C151"/>
    <mergeCell ref="G174:H174"/>
    <mergeCell ref="F80:G80"/>
    <mergeCell ref="F79:G79"/>
    <mergeCell ref="H79:I79"/>
    <mergeCell ref="E34:F34"/>
    <mergeCell ref="B182:C182"/>
    <mergeCell ref="E105:F105"/>
    <mergeCell ref="E99:F99"/>
    <mergeCell ref="F81:G81"/>
    <mergeCell ref="H81:I81"/>
    <mergeCell ref="E36:F36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E136:F136"/>
    <mergeCell ref="G165:H165"/>
    <mergeCell ref="I137:M137"/>
    <mergeCell ref="E115:F115"/>
    <mergeCell ref="E102:F102"/>
    <mergeCell ref="A2:M2"/>
    <mergeCell ref="G158:H158"/>
    <mergeCell ref="B120:D120"/>
    <mergeCell ref="I139:M139"/>
    <mergeCell ref="G169:H169"/>
    <mergeCell ref="B66:C66"/>
    <mergeCell ref="E127:F127"/>
    <mergeCell ref="A125:M125"/>
    <mergeCell ref="F74:G74"/>
    <mergeCell ref="B180:C180"/>
    <mergeCell ref="H74:I74"/>
    <mergeCell ref="H68:I68"/>
    <mergeCell ref="B130:C130"/>
    <mergeCell ref="H32:M32"/>
    <mergeCell ref="D76:E76"/>
    <mergeCell ref="F76:G76"/>
    <mergeCell ref="I150:M150"/>
    <mergeCell ref="G115:M115"/>
    <mergeCell ref="B132:C132"/>
    <mergeCell ref="B157:C157"/>
    <mergeCell ref="H69:I69"/>
    <mergeCell ref="I165:M165"/>
    <mergeCell ref="I152:M152"/>
    <mergeCell ref="B186:C186"/>
    <mergeCell ref="G116:M116"/>
    <mergeCell ref="E120:F120"/>
    <mergeCell ref="H63:M63"/>
    <mergeCell ref="G118:M118"/>
    <mergeCell ref="A26:M26"/>
    <mergeCell ref="E184:F184"/>
    <mergeCell ref="A7:C7"/>
    <mergeCell ref="E121:F121"/>
    <mergeCell ref="B185:C185"/>
    <mergeCell ref="E151:F151"/>
    <mergeCell ref="H94:M94"/>
    <mergeCell ref="E123:F123"/>
    <mergeCell ref="E150:F150"/>
    <mergeCell ref="E39:F39"/>
    <mergeCell ref="G179:H179"/>
    <mergeCell ref="I163:M163"/>
    <mergeCell ref="F7:G7"/>
    <mergeCell ref="B176:C176"/>
    <mergeCell ref="G166:H166"/>
    <mergeCell ref="G141:H141"/>
    <mergeCell ref="E103:F103"/>
    <mergeCell ref="E152:F152"/>
    <mergeCell ref="E118:F118"/>
    <mergeCell ref="F8:G8"/>
    <mergeCell ref="A12:B12"/>
    <mergeCell ref="C12:D12"/>
    <mergeCell ref="G167:H167"/>
    <mergeCell ref="B171:C171"/>
    <mergeCell ref="H66:I66"/>
    <mergeCell ref="H38:M38"/>
    <mergeCell ref="F77:G77"/>
    <mergeCell ref="H77:I77"/>
    <mergeCell ref="E32:F32"/>
    <mergeCell ref="B133:C133"/>
    <mergeCell ref="E134:F134"/>
    <mergeCell ref="G187:M187"/>
    <mergeCell ref="G134:H134"/>
    <mergeCell ref="A57:M57"/>
    <mergeCell ref="E96:F96"/>
    <mergeCell ref="B173:C173"/>
    <mergeCell ref="B75:C75"/>
    <mergeCell ref="I158:M158"/>
    <mergeCell ref="B135:C135"/>
    <mergeCell ref="I168:M168"/>
    <mergeCell ref="E98:F98"/>
    <mergeCell ref="I160:M160"/>
    <mergeCell ref="E165:F165"/>
    <mergeCell ref="B116:D116"/>
    <mergeCell ref="E140:F140"/>
    <mergeCell ref="H100:M100"/>
    <mergeCell ref="B70:C70"/>
    <mergeCell ref="G156:H156"/>
    <mergeCell ref="G111:M111"/>
    <mergeCell ref="B118:D118"/>
    <mergeCell ref="A8:C8"/>
    <mergeCell ref="E60:F60"/>
    <mergeCell ref="I184:M184"/>
    <mergeCell ref="J81:M81"/>
    <mergeCell ref="I171:M171"/>
    <mergeCell ref="H95:M95"/>
    <mergeCell ref="B128:C128"/>
    <mergeCell ref="G180:H180"/>
    <mergeCell ref="A187:D187"/>
    <mergeCell ref="I173:M173"/>
    <mergeCell ref="H97:M97"/>
    <mergeCell ref="I148:M148"/>
    <mergeCell ref="G55:H55"/>
    <mergeCell ref="A20:B20"/>
    <mergeCell ref="B121:D121"/>
    <mergeCell ref="I166:M166"/>
    <mergeCell ref="G182:H182"/>
    <mergeCell ref="A189:M189"/>
    <mergeCell ref="J70:M70"/>
    <mergeCell ref="A13:B13"/>
    <mergeCell ref="C13:D13"/>
    <mergeCell ref="J7:M7"/>
  </mergeCells>
  <conditionalFormatting sqref="I127:M186">
    <cfRule type="expression" priority="1" dxfId="0" stopIfTrue="1">
      <formula>$I127="Pago"</formula>
    </cfRule>
    <cfRule type="expression" priority="2" dxfId="3" stopIfTrue="1">
      <formula>$I127="Comprado (a pagar)"</formula>
    </cfRule>
    <cfRule type="expression" priority="3" dxfId="1" stopIfTrue="1">
      <formula>$I127="A comprar"</formula>
    </cfRule>
  </conditionalFormatting>
  <conditionalFormatting sqref="A127:M186">
    <cfRule type="expression" priority="4" dxfId="6">
      <formula>AND($E127&lt;&gt;"",$B127="")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9:F107">
    <cfRule type="expression" priority="7" dxfId="4">
      <formula>AND($E89&lt;&gt;"",$E89&gt;0)</formula>
    </cfRule>
    <cfRule type="expression" priority="8" dxfId="5">
      <formula>AND($E89&lt;&gt;"",$E89&lt;0)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J43:J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67:A8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1:B12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7:B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7:G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7:I18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93" t="inlineStr">
        <is>
          <t>Equipe (comissões)</t>
        </is>
      </c>
      <c r="B1" s="93" t="inlineStr">
        <is>
          <t>Vendedor</t>
        </is>
      </c>
      <c r="C1" s="93" t="inlineStr">
        <is>
          <t>Causa do retrabalho</t>
        </is>
      </c>
      <c r="D1" s="93" t="inlineStr">
        <is>
          <t>Categoria de compra</t>
        </is>
      </c>
      <c r="E1" s="93" t="inlineStr">
        <is>
          <t>Forma de pagamento</t>
        </is>
      </c>
      <c r="F1" s="93" t="inlineStr">
        <is>
          <t>Status da compra</t>
        </is>
      </c>
      <c r="G1" s="93" t="inlineStr">
        <is>
          <t>O que entra nesta categoria</t>
        </is>
      </c>
      <c r="H1" s="93" t="inlineStr">
        <is>
          <t>Projetista</t>
        </is>
      </c>
      <c r="I1" s="93" t="inlineStr">
        <is>
          <t>Para que servem</t>
        </is>
      </c>
    </row>
    <row r="2" ht="32" customHeight="1">
      <c r="A2" s="94" t="inlineStr">
        <is>
          <t>Deivison</t>
        </is>
      </c>
      <c r="B2" s="94" t="inlineStr">
        <is>
          <t>Jonathan</t>
        </is>
      </c>
      <c r="C2" s="94" t="inlineStr">
        <is>
          <t>Erro de projeto</t>
        </is>
      </c>
      <c r="D2" s="94" t="inlineStr">
        <is>
          <t>MDF e MDP</t>
        </is>
      </c>
      <c r="E2" s="94" t="inlineStr">
        <is>
          <t>PIX</t>
        </is>
      </c>
      <c r="F2" s="94" t="inlineStr">
        <is>
          <t>A comprar</t>
        </is>
      </c>
      <c r="G2" s="95" t="inlineStr">
        <is>
          <t>chapas cruas e revestidas, por cor e espessura</t>
        </is>
      </c>
      <c r="H2" s="94" t="inlineStr">
        <is>
          <t>Lorrane</t>
        </is>
      </c>
      <c r="I2" s="96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94" t="inlineStr">
        <is>
          <t>Ronald</t>
        </is>
      </c>
      <c r="B3" s="94" t="inlineStr">
        <is>
          <t>Vitor</t>
        </is>
      </c>
      <c r="C3" s="94" t="inlineStr">
        <is>
          <t>Erro de medição</t>
        </is>
      </c>
      <c r="D3" s="94" t="inlineStr">
        <is>
          <t>Fita de borda</t>
        </is>
      </c>
      <c r="E3" s="94" t="inlineStr">
        <is>
          <t>Boleto</t>
        </is>
      </c>
      <c r="F3" s="94" t="inlineStr">
        <is>
          <t>Comprado (a pagar)</t>
        </is>
      </c>
      <c r="G3" s="95" t="inlineStr">
        <is>
          <t>fita de borda de todas as cores e espessuras</t>
        </is>
      </c>
      <c r="H3" s="94" t="inlineStr">
        <is>
          <t>Lucas</t>
        </is>
      </c>
      <c r="I3" s="96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94" t="inlineStr">
        <is>
          <t>Samuel</t>
        </is>
      </c>
      <c r="B4" s="94" t="inlineStr">
        <is>
          <t>Indicação</t>
        </is>
      </c>
      <c r="C4" s="94" t="inlineStr">
        <is>
          <t>Erro de produção</t>
        </is>
      </c>
      <c r="D4" s="94" t="inlineStr">
        <is>
          <t>Ferragens</t>
        </is>
      </c>
      <c r="E4" s="94" t="inlineStr">
        <is>
          <t>Cartão de crédito</t>
        </is>
      </c>
      <c r="F4" s="94" t="inlineStr">
        <is>
          <t>Pago</t>
        </is>
      </c>
      <c r="G4" s="95" t="inlineStr">
        <is>
          <t>corrediças, dobradiças, puxadores, pistões, suportes</t>
        </is>
      </c>
      <c r="H4" s="94" t="inlineStr">
        <is>
          <t>Bruna</t>
        </is>
      </c>
      <c r="I4" s="96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94" t="inlineStr">
        <is>
          <t>Cesar</t>
        </is>
      </c>
      <c r="B5" s="94" t="inlineStr">
        <is>
          <t>Arquiteto parceiro</t>
        </is>
      </c>
      <c r="C5" s="94" t="inlineStr">
        <is>
          <t>Erro de montagem</t>
        </is>
      </c>
      <c r="D5" s="94" t="inlineStr">
        <is>
          <t>Vidros e espelhos</t>
        </is>
      </c>
      <c r="E5" s="94" t="inlineStr">
        <is>
          <t>Cartão parcelado</t>
        </is>
      </c>
      <c r="G5" s="95" t="inlineStr">
        <is>
          <t>vidro, espelho e cristal comprados prontos</t>
        </is>
      </c>
      <c r="H5" s="94" t="inlineStr">
        <is>
          <t>Externo / avulso</t>
        </is>
      </c>
      <c r="I5" s="96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94" t="inlineStr">
        <is>
          <t>Jackson</t>
        </is>
      </c>
      <c r="B6" s="94" t="inlineStr">
        <is>
          <t>Outro</t>
        </is>
      </c>
      <c r="C6" s="94" t="inlineStr">
        <is>
          <t>Falha de material</t>
        </is>
      </c>
      <c r="D6" s="94" t="inlineStr">
        <is>
          <t>Esquadrias</t>
        </is>
      </c>
      <c r="E6" s="94" t="inlineStr">
        <is>
          <t>Dinheiro</t>
        </is>
      </c>
      <c r="G6" s="95" t="inlineStr">
        <is>
          <t>perfis de alumínio, portas de perfil e box</t>
        </is>
      </c>
      <c r="I6" s="96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94" t="inlineStr">
        <is>
          <t>Jhon</t>
        </is>
      </c>
      <c r="C7" s="94" t="inlineStr">
        <is>
          <t>Dano no transporte</t>
        </is>
      </c>
      <c r="D7" s="94" t="inlineStr">
        <is>
          <t>Lâmina natural</t>
        </is>
      </c>
      <c r="E7" s="94" t="inlineStr">
        <is>
          <t>Transferência</t>
        </is>
      </c>
      <c r="G7" s="95" t="inlineStr">
        <is>
          <t>lâmina de madeira natural e compostos</t>
        </is>
      </c>
      <c r="I7" s="96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94" t="inlineStr">
        <is>
          <t>Joelson</t>
        </is>
      </c>
      <c r="C8" s="94" t="inlineStr">
        <is>
          <t>Mudança pedida pelo cliente</t>
        </is>
      </c>
      <c r="D8" s="94" t="inlineStr">
        <is>
          <t>Consumíveis</t>
        </is>
      </c>
      <c r="E8" s="94" t="inlineStr">
        <is>
          <t>Faturado 30 dias</t>
        </is>
      </c>
      <c r="G8" s="95" t="inlineStr">
        <is>
          <t>parafuso, adesivo, tíner, estopa, lixa, disco, broca</t>
        </is>
      </c>
    </row>
    <row r="9">
      <c r="A9" s="94" t="inlineStr">
        <is>
          <t>Davi</t>
        </is>
      </c>
      <c r="C9" s="94" t="inlineStr">
        <is>
          <t>Falha de fornecedor</t>
        </is>
      </c>
      <c r="D9" s="94" t="inlineStr">
        <is>
          <t>Acabamento</t>
        </is>
      </c>
      <c r="E9" s="94" t="inlineStr">
        <is>
          <t>A combinar</t>
        </is>
      </c>
      <c r="G9" s="95" t="inlineStr">
        <is>
          <t>pintura, laca, verniz e envernizamento terceirizado</t>
        </is>
      </c>
    </row>
    <row r="10">
      <c r="A10" s="94" t="inlineStr">
        <is>
          <t>Jomar</t>
        </is>
      </c>
      <c r="C10" s="94" t="inlineStr">
        <is>
          <t>Outro</t>
        </is>
      </c>
      <c r="D10" s="94" t="inlineStr">
        <is>
          <t>Serralheria</t>
        </is>
      </c>
      <c r="G10" s="95" t="inlineStr">
        <is>
          <t>estruturas metálicas feitas fora</t>
        </is>
      </c>
    </row>
    <row r="11">
      <c r="A11" s="94" t="inlineStr">
        <is>
          <t>Bruno</t>
        </is>
      </c>
      <c r="D11" s="94" t="inlineStr">
        <is>
          <t>Vidraceiro</t>
        </is>
      </c>
      <c r="G11" s="95" t="inlineStr">
        <is>
          <t>corte e instalação de vidro por terceiro</t>
        </is>
      </c>
    </row>
    <row r="12">
      <c r="A12" s="94" t="inlineStr">
        <is>
          <t>Wallace</t>
        </is>
      </c>
      <c r="D12" s="94" t="inlineStr">
        <is>
          <t>Outro terceirizado</t>
        </is>
      </c>
      <c r="G12" s="95" t="inlineStr">
        <is>
          <t>qualquer serviço feito fora da fábrica</t>
        </is>
      </c>
    </row>
    <row r="13">
      <c r="A13" s="94" t="inlineStr">
        <is>
          <t>Douglas</t>
        </is>
      </c>
      <c r="D13" s="94" t="inlineStr">
        <is>
          <t>Uber e aplicativo</t>
        </is>
      </c>
      <c r="G13" s="95" t="inlineStr">
        <is>
          <t>corrida de medição, conferência e visita</t>
        </is>
      </c>
    </row>
    <row r="14">
      <c r="A14" s="94" t="inlineStr">
        <is>
          <t>Terceiro / avulso</t>
        </is>
      </c>
      <c r="D14" s="94" t="inlineStr">
        <is>
          <t>Carreto e entrega</t>
        </is>
      </c>
      <c r="G14" s="95" t="inlineStr">
        <is>
          <t>transporte do móvel pronto até a obra</t>
        </is>
      </c>
    </row>
    <row r="15">
      <c r="D15" s="94" t="inlineStr">
        <is>
          <t>Deslocamento da equipe</t>
        </is>
      </c>
      <c r="G15" s="95" t="inlineStr">
        <is>
          <t>ida e volta da equipe de montagem</t>
        </is>
      </c>
    </row>
    <row r="16">
      <c r="D16" s="94" t="inlineStr">
        <is>
          <t>Frete de material</t>
        </is>
      </c>
      <c r="G16" s="95" t="inlineStr">
        <is>
          <t>entrega de material do fornecedor até a fábrica</t>
        </is>
      </c>
    </row>
    <row r="17">
      <c r="D17" s="94" t="inlineStr">
        <is>
          <t>Estacionamento e pedágio</t>
        </is>
      </c>
      <c r="G17" s="95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2026-10-03T19:52:09Z</dcterms:created>
  <dcterms:modified xsi:type="dcterms:W3CDTF">2026-10-03T19:53:12Z</dcterms:modified>
</cp:coreProperties>
</file>