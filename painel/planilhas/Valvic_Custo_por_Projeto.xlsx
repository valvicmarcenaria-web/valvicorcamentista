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Modelo'!$A$1:$O$195</definedName>
    <definedName name="_xlnm.Print_Area" localSheetId="3">'Ana Carolina '!$A$1:$O$195</definedName>
    <definedName name="_xlnm.Print_Area" localSheetId="4">'Andrea '!$A$1:$O$195</definedName>
    <definedName name="_xlnm.Print_Area" localSheetId="5">'Cristiane Chrys Andrade'!$A$1:$O$195</definedName>
    <definedName name="_xlnm.Print_Area" localSheetId="6">'EPE Formas '!$A$1:$O$195</definedName>
    <definedName name="_xlnm.Print_Area" localSheetId="7">'Flavia '!$A$1:$O$195</definedName>
    <definedName name="_xlnm.Print_Area" localSheetId="8">'Jairo'!$A$1:$O$195</definedName>
    <definedName name="_xlnm.Print_Area" localSheetId="9">'Graciene '!$A$1:$O$195</definedName>
    <definedName name="_xlnm.Print_Area" localSheetId="10">'Larissa '!$A$1:$O$195</definedName>
    <definedName name="_xlnm.Print_Area" localSheetId="11">'Leonardo '!$A$1:$O$195</definedName>
    <definedName name="_xlnm.Print_Area" localSheetId="12">'Luiz '!$A$1:$O$195</definedName>
    <definedName name="_xlnm.Print_Area" localSheetId="13">'Carla Dresller'!$A$1:$O$195</definedName>
    <definedName name="_xlnm.Print_Area" localSheetId="14">'Maria '!$A$1:$O$195</definedName>
    <definedName name="_xlnm.Print_Area" localSheetId="15">'Nadia '!$A$1:$O$195</definedName>
    <definedName name="_xlnm.Print_Area" localSheetId="16">'Richard'!$A$1:$O$195</definedName>
    <definedName name="_xlnm.Print_Area" localSheetId="17">'Shelf'!$A$1:$O$195</definedName>
    <definedName name="_xlnm.Print_Area" localSheetId="18">'Simony'!$A$1:$O$195</definedName>
    <definedName name="_xlnm.Print_Area" localSheetId="19">'Exemplo P-2026-041'!$A$1:$O$195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>
        <v>0.03</v>
      </c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>
        <v>0.02</v>
      </c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>
        <v>0.01</v>
      </c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Jhon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Joelson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Davi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Jomar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Bruno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Wallace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Douglas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Terceiro / avulso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Lorrane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Lucas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Bruna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Externo / avulso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n"/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>
        <v>14500</v>
      </c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>
        <v>900</v>
      </c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>
        <v>6800</v>
      </c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>
        <v>2200</v>
      </c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>
        <v>3200</v>
      </c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>
        <v>1100</v>
      </c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>
        <v>4800</v>
      </c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>
        <v>1500</v>
      </c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>
        <v>900</v>
      </c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>
        <v>250</v>
      </c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>
        <v>900</v>
      </c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>
        <v>400</v>
      </c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>
        <v>350</v>
      </c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>
        <v>100</v>
      </c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inlineStr">
        <is>
          <t>Porta da cozinha empenou depois de instalada</t>
        </is>
      </c>
      <c r="B117" s="80" t="inlineStr">
        <is>
          <t>Falha de material</t>
        </is>
      </c>
      <c r="C117" s="46" t="n"/>
      <c r="D117" s="46" t="n"/>
      <c r="E117" s="88" t="n">
        <v>850</v>
      </c>
      <c r="F117" s="46" t="n"/>
      <c r="G117" s="70" t="inlineStr">
        <is>
          <t>Refeita em MDF de outro lote · fornecedor notificado</t>
        </is>
      </c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inlineStr">
        <is>
          <t>Nicho da suíte 4 cm fora da medida</t>
        </is>
      </c>
      <c r="B118" s="80" t="inlineStr">
        <is>
          <t>Erro de medição</t>
        </is>
      </c>
      <c r="C118" s="46" t="n"/>
      <c r="D118" s="46" t="n"/>
      <c r="E118" s="88" t="n">
        <v>1200</v>
      </c>
      <c r="F118" s="46" t="n"/>
      <c r="G118" s="70" t="inlineStr">
        <is>
          <t>Refeito · medição passa a ser conferida por 2 pessoas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Risco no tampo da lavanderia no transporte</t>
        </is>
      </c>
      <c r="B119" s="80" t="inlineStr">
        <is>
          <t>Dano no transporte</t>
        </is>
      </c>
      <c r="C119" s="46" t="n"/>
      <c r="D119" s="46" t="n"/>
      <c r="E119" s="88" t="n">
        <v>320</v>
      </c>
      <c r="F119" s="46" t="n"/>
      <c r="G119" s="70" t="inlineStr">
        <is>
          <t>Polido no local · exigir manta no carreto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>
        <v>1500</v>
      </c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inlineStr">
        <is>
          <t>MADEGEM — chapas brancas TX</t>
        </is>
      </c>
      <c r="B133" s="91" t="inlineStr">
        <is>
          <t>MDF e MDP</t>
        </is>
      </c>
      <c r="C133" s="46" t="n"/>
      <c r="D133" s="72" t="n">
        <v>46154</v>
      </c>
      <c r="E133" s="92" t="n">
        <v>8200</v>
      </c>
      <c r="F133" s="46" t="n"/>
      <c r="G133" s="93" t="inlineStr">
        <is>
          <t>PIX</t>
        </is>
      </c>
      <c r="H133" s="46" t="n"/>
      <c r="I133" s="94" t="inlineStr">
        <is>
          <t>Pago</t>
        </is>
      </c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inlineStr">
        <is>
          <t>Frete das chapas</t>
        </is>
      </c>
      <c r="B134" s="91" t="inlineStr">
        <is>
          <t>Frete de material</t>
        </is>
      </c>
      <c r="C134" s="46" t="n"/>
      <c r="D134" s="72" t="n">
        <v>46154</v>
      </c>
      <c r="E134" s="92" t="n">
        <v>350</v>
      </c>
      <c r="F134" s="46" t="n"/>
      <c r="G134" s="93" t="inlineStr">
        <is>
          <t>Dinheiro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Consumíveis — parafuso e cola</t>
        </is>
      </c>
      <c r="B135" s="91" t="inlineStr">
        <is>
          <t>Consumíveis</t>
        </is>
      </c>
      <c r="C135" s="46" t="n"/>
      <c r="D135" s="72" t="n">
        <v>46157</v>
      </c>
      <c r="E135" s="92" t="n">
        <v>640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Lâmina natural freijó</t>
        </is>
      </c>
      <c r="B136" s="91" t="inlineStr">
        <is>
          <t>Lâmina natural</t>
        </is>
      </c>
      <c r="C136" s="46" t="n"/>
      <c r="D136" s="72" t="n">
        <v>46161</v>
      </c>
      <c r="E136" s="92" t="n">
        <v>3200</v>
      </c>
      <c r="F136" s="46" t="n"/>
      <c r="G136" s="93" t="inlineStr">
        <is>
          <t>PIX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Bigfer — corrediças e dobradiças</t>
        </is>
      </c>
      <c r="B137" s="91" t="inlineStr">
        <is>
          <t>Ferragens</t>
        </is>
      </c>
      <c r="C137" s="46" t="n"/>
      <c r="D137" s="72" t="n">
        <v>46162</v>
      </c>
      <c r="E137" s="92" t="n">
        <v>4300</v>
      </c>
      <c r="F137" s="46" t="n"/>
      <c r="G137" s="93" t="inlineStr">
        <is>
          <t>Cartão parcelado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Uber — medição e conferência</t>
        </is>
      </c>
      <c r="B138" s="91" t="inlineStr">
        <is>
          <t>Uber e aplicativo</t>
        </is>
      </c>
      <c r="C138" s="46" t="n"/>
      <c r="D138" s="72" t="n">
        <v>46164</v>
      </c>
      <c r="E138" s="92" t="n">
        <v>230</v>
      </c>
      <c r="F138" s="46" t="n"/>
      <c r="G138" s="93" t="inlineStr">
        <is>
          <t>PIX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MADEGEM — complemento de chapas</t>
        </is>
      </c>
      <c r="B139" s="91" t="inlineStr">
        <is>
          <t>MDF e MDP</t>
        </is>
      </c>
      <c r="C139" s="46" t="n"/>
      <c r="D139" s="72" t="n">
        <v>46170</v>
      </c>
      <c r="E139" s="92" t="n">
        <v>5180</v>
      </c>
      <c r="F139" s="46" t="n"/>
      <c r="G139" s="93" t="inlineStr">
        <is>
          <t>Boleto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Fita de borda 6 cores</t>
        </is>
      </c>
      <c r="B140" s="91" t="inlineStr">
        <is>
          <t>Fita de borda</t>
        </is>
      </c>
      <c r="C140" s="46" t="n"/>
      <c r="D140" s="72" t="n">
        <v>46170</v>
      </c>
      <c r="E140" s="92" t="n">
        <v>1120</v>
      </c>
      <c r="F140" s="46" t="n"/>
      <c r="G140" s="93" t="inlineStr">
        <is>
          <t>PIX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Consumíveis — lixa e tíner</t>
        </is>
      </c>
      <c r="B141" s="91" t="inlineStr">
        <is>
          <t>Consumíveis</t>
        </is>
      </c>
      <c r="C141" s="46" t="n"/>
      <c r="D141" s="72" t="n">
        <v>46176</v>
      </c>
      <c r="E141" s="92" t="n">
        <v>465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JR Ferragens — puxadores</t>
        </is>
      </c>
      <c r="B142" s="91" t="inlineStr">
        <is>
          <t>Ferragens</t>
        </is>
      </c>
      <c r="C142" s="46" t="n"/>
      <c r="D142" s="72" t="n">
        <v>46184</v>
      </c>
      <c r="E142" s="92" t="n">
        <v>3150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MADEGEM — reposição pós-retrabalho</t>
        </is>
      </c>
      <c r="B143" s="91" t="inlineStr">
        <is>
          <t>MDF e MDP</t>
        </is>
      </c>
      <c r="C143" s="46" t="n"/>
      <c r="D143" s="72" t="n">
        <v>46187</v>
      </c>
      <c r="E143" s="92" t="n">
        <v>2600</v>
      </c>
      <c r="F143" s="46" t="n"/>
      <c r="G143" s="93" t="inlineStr">
        <is>
          <t>Boleto</t>
        </is>
      </c>
      <c r="H143" s="46" t="n"/>
      <c r="I143" s="94" t="inlineStr">
        <is>
          <t>Comprado (a pagar)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Consumíveis — estopa e adesivo</t>
        </is>
      </c>
      <c r="B144" s="91" t="inlineStr">
        <is>
          <t>Consumíveis</t>
        </is>
      </c>
      <c r="C144" s="46" t="n"/>
      <c r="D144" s="72" t="n">
        <v>46198</v>
      </c>
      <c r="E144" s="92" t="n">
        <v>360</v>
      </c>
      <c r="F144" s="46" t="n"/>
      <c r="G144" s="93" t="inlineStr">
        <is>
          <t>Dinheiro</t>
        </is>
      </c>
      <c r="H144" s="46" t="n"/>
      <c r="I144" s="94" t="inlineStr">
        <is>
          <t>Pago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Serralheria — estrutura da bancada</t>
        </is>
      </c>
      <c r="B145" s="91" t="inlineStr">
        <is>
          <t>Serralheria</t>
        </is>
      </c>
      <c r="C145" s="46" t="n"/>
      <c r="D145" s="72" t="n">
        <v>46199</v>
      </c>
      <c r="E145" s="92" t="n">
        <v>1500</v>
      </c>
      <c r="F145" s="46" t="n"/>
      <c r="G145" s="93" t="inlineStr">
        <is>
          <t>PIX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Espelho da suíte</t>
        </is>
      </c>
      <c r="B146" s="91" t="inlineStr">
        <is>
          <t>Vidros e espelhos</t>
        </is>
      </c>
      <c r="C146" s="46" t="n"/>
      <c r="D146" s="72" t="n">
        <v>46205</v>
      </c>
      <c r="E146" s="92" t="n">
        <v>2200</v>
      </c>
      <c r="F146" s="46" t="n"/>
      <c r="G146" s="93" t="inlineStr">
        <is>
          <t>Boleto</t>
        </is>
      </c>
      <c r="H146" s="46" t="n"/>
      <c r="I146" s="94" t="inlineStr">
        <is>
          <t>Comprado (a pagar)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Vidraceiro — instalação</t>
        </is>
      </c>
      <c r="B147" s="91" t="inlineStr">
        <is>
          <t>Vidraceiro</t>
        </is>
      </c>
      <c r="C147" s="46" t="n"/>
      <c r="D147" s="72" t="n">
        <v>46207</v>
      </c>
      <c r="E147" s="92" t="n">
        <v>1250</v>
      </c>
      <c r="F147" s="46" t="n"/>
      <c r="G147" s="93" t="inlineStr">
        <is>
          <t>PIX</t>
        </is>
      </c>
      <c r="H147" s="46" t="n"/>
      <c r="I147" s="94" t="inlineStr">
        <is>
          <t>Pago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Laqueação das portas</t>
        </is>
      </c>
      <c r="B148" s="91" t="inlineStr">
        <is>
          <t>Acabamento</t>
        </is>
      </c>
      <c r="C148" s="46" t="n"/>
      <c r="D148" s="72" t="n">
        <v>46213</v>
      </c>
      <c r="E148" s="92" t="n">
        <v>5400</v>
      </c>
      <c r="F148" s="46" t="n"/>
      <c r="G148" s="93" t="inlineStr">
        <is>
          <t>Faturado 30 dias</t>
        </is>
      </c>
      <c r="H148" s="46" t="n"/>
      <c r="I148" s="94" t="inlineStr">
        <is>
          <t>Comprado (a pagar)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Carreto — 1ª entrega</t>
        </is>
      </c>
      <c r="B149" s="91" t="inlineStr">
        <is>
          <t>Carreto e entrega</t>
        </is>
      </c>
      <c r="C149" s="46" t="n"/>
      <c r="D149" s="72" t="n">
        <v>46231</v>
      </c>
      <c r="E149" s="92" t="n">
        <v>650</v>
      </c>
      <c r="F149" s="46" t="n"/>
      <c r="G149" s="93" t="inlineStr">
        <is>
          <t>PIX</t>
        </is>
      </c>
      <c r="H149" s="46" t="n"/>
      <c r="I149" s="94" t="inlineStr">
        <is>
          <t>Pago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Uber — acerto final com o cliente</t>
        </is>
      </c>
      <c r="B150" s="91" t="inlineStr">
        <is>
          <t>Uber e aplicativo</t>
        </is>
      </c>
      <c r="C150" s="46" t="n"/>
      <c r="D150" s="72" t="n">
        <v>46233</v>
      </c>
      <c r="E150" s="92" t="n">
        <v>180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Carreto — 2ª entrega e retorno</t>
        </is>
      </c>
      <c r="B151" s="91" t="inlineStr">
        <is>
          <t>Carreto e entrega</t>
        </is>
      </c>
      <c r="C151" s="46" t="n"/>
      <c r="D151" s="72" t="n">
        <v>46239</v>
      </c>
      <c r="E151" s="92" t="n">
        <v>500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Deslocamento da equipe de montagem</t>
        </is>
      </c>
      <c r="B152" s="91" t="inlineStr">
        <is>
          <t>Deslocamento da equipe</t>
        </is>
      </c>
      <c r="C152" s="46" t="n"/>
      <c r="D152" s="72" t="n">
        <v>46239</v>
      </c>
      <c r="E152" s="92" t="n">
        <v>620</v>
      </c>
      <c r="F152" s="46" t="n"/>
      <c r="G152" s="93" t="inlineStr">
        <is>
          <t>Dinheiro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Estacionamento e pedágio</t>
        </is>
      </c>
      <c r="B153" s="91" t="inlineStr">
        <is>
          <t>Estacionamento e pedágio</t>
        </is>
      </c>
      <c r="C153" s="46" t="n"/>
      <c r="D153" s="72" t="n">
        <v>46240</v>
      </c>
      <c r="E153" s="92" t="n">
        <v>185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  <c r="R1" s="96" t="inlineStr">
        <is>
          <t>Data de entrada</t>
        </is>
      </c>
      <c r="S1" s="96" t="inlineStr">
        <is>
          <t>Coordenador</t>
        </is>
      </c>
      <c r="T1" s="96" t="inlineStr">
        <is>
          <t>Comissão coordenação</t>
        </is>
      </c>
      <c r="U1" s="96" t="inlineStr">
        <is>
          <t>Receita líquida do projeto</t>
        </is>
      </c>
      <c r="V1" s="96" t="inlineStr">
        <is>
          <t>Valor de venda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  <c r="R2" s="100">
        <f>IF($C2="","",IF('Ana Carolina '!$F$7="","",'Ana Carolina '!$F$7))</f>
        <v/>
      </c>
      <c r="S2" s="97">
        <f>IF($C2="","",IF('Ana Carolina '!$F$9="","",'Ana Carolina '!$F$9))</f>
        <v/>
      </c>
      <c r="T2" s="99">
        <f>IF($C2="","",IF('Ana Carolina '!$D$65="",0,'Ana Carolina '!$D$65))</f>
        <v/>
      </c>
      <c r="U2" s="99">
        <f>IF($C2="","",IF('Ana Carolina '!$D$45="",0,'Ana Carolina '!$D$45))</f>
        <v/>
      </c>
      <c r="V2" s="99">
        <f>IF($C2="","",IF('Ana Carolina '!$A$13="",0,'Ana Carolina '!$A$13))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  <c r="R3" s="100">
        <f>IF($C3="","",IF('Ana Carolina '!$F$7="","",'Ana Carolina '!$F$7))</f>
        <v/>
      </c>
      <c r="S3" s="97" t="n"/>
      <c r="T3" s="99" t="n"/>
      <c r="U3" s="99" t="n"/>
      <c r="V3" s="99" t="n"/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  <c r="R4" s="100">
        <f>IF($C4="","",IF('Ana Carolina '!$F$7="","",'Ana Carolina '!$F$7))</f>
        <v/>
      </c>
      <c r="S4" s="97" t="n"/>
      <c r="T4" s="99" t="n"/>
      <c r="U4" s="99" t="n"/>
      <c r="V4" s="99" t="n"/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  <c r="R5" s="100">
        <f>IF($C5="","",IF('Ana Carolina '!$F$7="","",'Ana Carolina '!$F$7))</f>
        <v/>
      </c>
      <c r="S5" s="97" t="n"/>
      <c r="T5" s="99" t="n"/>
      <c r="U5" s="99" t="n"/>
      <c r="V5" s="99" t="n"/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  <c r="R6" s="100">
        <f>IF($C6="","",IF('Ana Carolina '!$F$7="","",'Ana Carolina '!$F$7))</f>
        <v/>
      </c>
      <c r="S6" s="97" t="n"/>
      <c r="T6" s="99" t="n"/>
      <c r="U6" s="99" t="n"/>
      <c r="V6" s="99" t="n"/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  <c r="R7" s="100">
        <f>IF($C7="","",IF('Ana Carolina '!$F$7="","",'Ana Carolina '!$F$7))</f>
        <v/>
      </c>
      <c r="S7" s="97" t="n"/>
      <c r="T7" s="99" t="n"/>
      <c r="U7" s="99" t="n"/>
      <c r="V7" s="99" t="n"/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  <c r="R8" s="100">
        <f>IF($C8="","",IF('Ana Carolina '!$F$7="","",'Ana Carolina '!$F$7))</f>
        <v/>
      </c>
      <c r="S8" s="97" t="n"/>
      <c r="T8" s="99" t="n"/>
      <c r="U8" s="99" t="n"/>
      <c r="V8" s="99" t="n"/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  <c r="R9" s="100">
        <f>IF($C9="","",IF('Ana Carolina '!$F$7="","",'Ana Carolina '!$F$7))</f>
        <v/>
      </c>
      <c r="S9" s="97" t="n"/>
      <c r="T9" s="99" t="n"/>
      <c r="U9" s="99" t="n"/>
      <c r="V9" s="99" t="n"/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  <c r="R10" s="100">
        <f>IF($C10="","",IF('Ana Carolina '!$F$7="","",'Ana Carolina '!$F$7))</f>
        <v/>
      </c>
      <c r="S10" s="97" t="n"/>
      <c r="T10" s="99" t="n"/>
      <c r="U10" s="99" t="n"/>
      <c r="V10" s="99" t="n"/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  <c r="R11" s="100">
        <f>IF($C11="","",IF('Ana Carolina '!$F$7="","",'Ana Carolina '!$F$7))</f>
        <v/>
      </c>
      <c r="S11" s="97" t="n"/>
      <c r="T11" s="99" t="n"/>
      <c r="U11" s="99" t="n"/>
      <c r="V11" s="99" t="n"/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  <c r="R12" s="100">
        <f>IF($C12="","",IF('Ana Carolina '!$F$7="","",'Ana Carolina '!$F$7))</f>
        <v/>
      </c>
      <c r="S12" s="97" t="n"/>
      <c r="T12" s="99" t="n"/>
      <c r="U12" s="99" t="n"/>
      <c r="V12" s="99" t="n"/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  <c r="R13" s="100">
        <f>IF($C13="","",IF('Ana Carolina '!$F$7="","",'Ana Carolina '!$F$7))</f>
        <v/>
      </c>
      <c r="S13" s="97" t="n"/>
      <c r="T13" s="99" t="n"/>
      <c r="U13" s="99" t="n"/>
      <c r="V13" s="99" t="n"/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  <c r="R14" s="100">
        <f>IF($C14="","",IF('Andrea '!$F$7="","",'Andrea '!$F$7))</f>
        <v/>
      </c>
      <c r="S14" s="97">
        <f>IF($C14="","",IF('Andrea '!$F$9="","",'Andrea '!$F$9))</f>
        <v/>
      </c>
      <c r="T14" s="99">
        <f>IF($C14="","",IF('Andrea '!$D$65="",0,'Andrea '!$D$65))</f>
        <v/>
      </c>
      <c r="U14" s="99">
        <f>IF($C14="","",IF('Andrea '!$D$45="",0,'Andrea '!$D$45))</f>
        <v/>
      </c>
      <c r="V14" s="99">
        <f>IF($C14="","",IF('Andrea '!$A$13="",0,'Andrea '!$A$13))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  <c r="R15" s="100">
        <f>IF($C15="","",IF('Andrea '!$F$7="","",'Andrea '!$F$7))</f>
        <v/>
      </c>
      <c r="S15" s="97" t="n"/>
      <c r="T15" s="99" t="n"/>
      <c r="U15" s="99" t="n"/>
      <c r="V15" s="99" t="n"/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  <c r="R16" s="100">
        <f>IF($C16="","",IF('Andrea '!$F$7="","",'Andrea '!$F$7))</f>
        <v/>
      </c>
      <c r="S16" s="97" t="n"/>
      <c r="T16" s="99" t="n"/>
      <c r="U16" s="99" t="n"/>
      <c r="V16" s="99" t="n"/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  <c r="R17" s="100">
        <f>IF($C17="","",IF('Andrea '!$F$7="","",'Andrea '!$F$7))</f>
        <v/>
      </c>
      <c r="S17" s="97" t="n"/>
      <c r="T17" s="99" t="n"/>
      <c r="U17" s="99" t="n"/>
      <c r="V17" s="99" t="n"/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  <c r="R18" s="100">
        <f>IF($C18="","",IF('Andrea '!$F$7="","",'Andrea '!$F$7))</f>
        <v/>
      </c>
      <c r="S18" s="97" t="n"/>
      <c r="T18" s="99" t="n"/>
      <c r="U18" s="99" t="n"/>
      <c r="V18" s="99" t="n"/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  <c r="R19" s="100">
        <f>IF($C19="","",IF('Andrea '!$F$7="","",'Andrea '!$F$7))</f>
        <v/>
      </c>
      <c r="S19" s="97" t="n"/>
      <c r="T19" s="99" t="n"/>
      <c r="U19" s="99" t="n"/>
      <c r="V19" s="99" t="n"/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  <c r="R20" s="100">
        <f>IF($C20="","",IF('Andrea '!$F$7="","",'Andrea '!$F$7))</f>
        <v/>
      </c>
      <c r="S20" s="97" t="n"/>
      <c r="T20" s="99" t="n"/>
      <c r="U20" s="99" t="n"/>
      <c r="V20" s="99" t="n"/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  <c r="R21" s="100">
        <f>IF($C21="","",IF('Andrea '!$F$7="","",'Andrea '!$F$7))</f>
        <v/>
      </c>
      <c r="S21" s="97" t="n"/>
      <c r="T21" s="99" t="n"/>
      <c r="U21" s="99" t="n"/>
      <c r="V21" s="99" t="n"/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  <c r="R22" s="100">
        <f>IF($C22="","",IF('Andrea '!$F$7="","",'Andrea '!$F$7))</f>
        <v/>
      </c>
      <c r="S22" s="97" t="n"/>
      <c r="T22" s="99" t="n"/>
      <c r="U22" s="99" t="n"/>
      <c r="V22" s="99" t="n"/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  <c r="R23" s="100">
        <f>IF($C23="","",IF('Andrea '!$F$7="","",'Andrea '!$F$7))</f>
        <v/>
      </c>
      <c r="S23" s="97" t="n"/>
      <c r="T23" s="99" t="n"/>
      <c r="U23" s="99" t="n"/>
      <c r="V23" s="99" t="n"/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  <c r="R24" s="100">
        <f>IF($C24="","",IF('Andrea '!$F$7="","",'Andrea '!$F$7))</f>
        <v/>
      </c>
      <c r="S24" s="97" t="n"/>
      <c r="T24" s="99" t="n"/>
      <c r="U24" s="99" t="n"/>
      <c r="V24" s="99" t="n"/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  <c r="R25" s="100">
        <f>IF($C25="","",IF('Andrea '!$F$7="","",'Andrea '!$F$7))</f>
        <v/>
      </c>
      <c r="S25" s="97" t="n"/>
      <c r="T25" s="99" t="n"/>
      <c r="U25" s="99" t="n"/>
      <c r="V25" s="99" t="n"/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  <c r="R26" s="100">
        <f>IF($C26="","",IF('Cristiane Chrys Andrade'!$F$7="","",'Cristiane Chrys Andrade'!$F$7))</f>
        <v/>
      </c>
      <c r="S26" s="97">
        <f>IF($C26="","",IF('Cristiane Chrys Andrade'!$F$9="","",'Cristiane Chrys Andrade'!$F$9))</f>
        <v/>
      </c>
      <c r="T26" s="99">
        <f>IF($C26="","",IF('Cristiane Chrys Andrade'!$D$65="",0,'Cristiane Chrys Andrade'!$D$65))</f>
        <v/>
      </c>
      <c r="U26" s="99">
        <f>IF($C26="","",IF('Cristiane Chrys Andrade'!$D$45="",0,'Cristiane Chrys Andrade'!$D$45))</f>
        <v/>
      </c>
      <c r="V26" s="99">
        <f>IF($C26="","",IF('Cristiane Chrys Andrade'!$A$13="",0,'Cristiane Chrys Andrade'!$A$13))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  <c r="R27" s="100">
        <f>IF($C27="","",IF('Cristiane Chrys Andrade'!$F$7="","",'Cristiane Chrys Andrade'!$F$7))</f>
        <v/>
      </c>
      <c r="S27" s="97" t="n"/>
      <c r="T27" s="99" t="n"/>
      <c r="U27" s="99" t="n"/>
      <c r="V27" s="99" t="n"/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  <c r="R28" s="100">
        <f>IF($C28="","",IF('Cristiane Chrys Andrade'!$F$7="","",'Cristiane Chrys Andrade'!$F$7))</f>
        <v/>
      </c>
      <c r="S28" s="97" t="n"/>
      <c r="T28" s="99" t="n"/>
      <c r="U28" s="99" t="n"/>
      <c r="V28" s="99" t="n"/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  <c r="R29" s="100">
        <f>IF($C29="","",IF('Cristiane Chrys Andrade'!$F$7="","",'Cristiane Chrys Andrade'!$F$7))</f>
        <v/>
      </c>
      <c r="S29" s="97" t="n"/>
      <c r="T29" s="99" t="n"/>
      <c r="U29" s="99" t="n"/>
      <c r="V29" s="99" t="n"/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  <c r="R30" s="100">
        <f>IF($C30="","",IF('Cristiane Chrys Andrade'!$F$7="","",'Cristiane Chrys Andrade'!$F$7))</f>
        <v/>
      </c>
      <c r="S30" s="97" t="n"/>
      <c r="T30" s="99" t="n"/>
      <c r="U30" s="99" t="n"/>
      <c r="V30" s="99" t="n"/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  <c r="R31" s="100">
        <f>IF($C31="","",IF('Cristiane Chrys Andrade'!$F$7="","",'Cristiane Chrys Andrade'!$F$7))</f>
        <v/>
      </c>
      <c r="S31" s="97" t="n"/>
      <c r="T31" s="99" t="n"/>
      <c r="U31" s="99" t="n"/>
      <c r="V31" s="99" t="n"/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  <c r="R32" s="100">
        <f>IF($C32="","",IF('Cristiane Chrys Andrade'!$F$7="","",'Cristiane Chrys Andrade'!$F$7))</f>
        <v/>
      </c>
      <c r="S32" s="97" t="n"/>
      <c r="T32" s="99" t="n"/>
      <c r="U32" s="99" t="n"/>
      <c r="V32" s="99" t="n"/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  <c r="R33" s="100">
        <f>IF($C33="","",IF('Cristiane Chrys Andrade'!$F$7="","",'Cristiane Chrys Andrade'!$F$7))</f>
        <v/>
      </c>
      <c r="S33" s="97" t="n"/>
      <c r="T33" s="99" t="n"/>
      <c r="U33" s="99" t="n"/>
      <c r="V33" s="99" t="n"/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  <c r="R34" s="100">
        <f>IF($C34="","",IF('Cristiane Chrys Andrade'!$F$7="","",'Cristiane Chrys Andrade'!$F$7))</f>
        <v/>
      </c>
      <c r="S34" s="97" t="n"/>
      <c r="T34" s="99" t="n"/>
      <c r="U34" s="99" t="n"/>
      <c r="V34" s="99" t="n"/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  <c r="R35" s="100">
        <f>IF($C35="","",IF('Cristiane Chrys Andrade'!$F$7="","",'Cristiane Chrys Andrade'!$F$7))</f>
        <v/>
      </c>
      <c r="S35" s="97" t="n"/>
      <c r="T35" s="99" t="n"/>
      <c r="U35" s="99" t="n"/>
      <c r="V35" s="99" t="n"/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  <c r="R36" s="100">
        <f>IF($C36="","",IF('Cristiane Chrys Andrade'!$F$7="","",'Cristiane Chrys Andrade'!$F$7))</f>
        <v/>
      </c>
      <c r="S36" s="97" t="n"/>
      <c r="T36" s="99" t="n"/>
      <c r="U36" s="99" t="n"/>
      <c r="V36" s="99" t="n"/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  <c r="R37" s="100">
        <f>IF($C37="","",IF('Cristiane Chrys Andrade'!$F$7="","",'Cristiane Chrys Andrade'!$F$7))</f>
        <v/>
      </c>
      <c r="S37" s="97" t="n"/>
      <c r="T37" s="99" t="n"/>
      <c r="U37" s="99" t="n"/>
      <c r="V37" s="99" t="n"/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  <c r="R38" s="100">
        <f>IF($C38="","",IF('EPE Formas '!$F$7="","",'EPE Formas '!$F$7))</f>
        <v/>
      </c>
      <c r="S38" s="97">
        <f>IF($C38="","",IF('EPE Formas '!$F$9="","",'EPE Formas '!$F$9))</f>
        <v/>
      </c>
      <c r="T38" s="99">
        <f>IF($C38="","",IF('EPE Formas '!$D$65="",0,'EPE Formas '!$D$65))</f>
        <v/>
      </c>
      <c r="U38" s="99">
        <f>IF($C38="","",IF('EPE Formas '!$D$45="",0,'EPE Formas '!$D$45))</f>
        <v/>
      </c>
      <c r="V38" s="99">
        <f>IF($C38="","",IF('EPE Formas '!$A$13="",0,'EPE Formas '!$A$13))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  <c r="R39" s="100">
        <f>IF($C39="","",IF('EPE Formas '!$F$7="","",'EPE Formas '!$F$7))</f>
        <v/>
      </c>
      <c r="S39" s="97" t="n"/>
      <c r="T39" s="99" t="n"/>
      <c r="U39" s="99" t="n"/>
      <c r="V39" s="99" t="n"/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  <c r="R40" s="100">
        <f>IF($C40="","",IF('EPE Formas '!$F$7="","",'EPE Formas '!$F$7))</f>
        <v/>
      </c>
      <c r="S40" s="97" t="n"/>
      <c r="T40" s="99" t="n"/>
      <c r="U40" s="99" t="n"/>
      <c r="V40" s="99" t="n"/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  <c r="R41" s="100">
        <f>IF($C41="","",IF('EPE Formas '!$F$7="","",'EPE Formas '!$F$7))</f>
        <v/>
      </c>
      <c r="S41" s="97" t="n"/>
      <c r="T41" s="99" t="n"/>
      <c r="U41" s="99" t="n"/>
      <c r="V41" s="99" t="n"/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  <c r="R42" s="100">
        <f>IF($C42="","",IF('EPE Formas '!$F$7="","",'EPE Formas '!$F$7))</f>
        <v/>
      </c>
      <c r="S42" s="97" t="n"/>
      <c r="T42" s="99" t="n"/>
      <c r="U42" s="99" t="n"/>
      <c r="V42" s="99" t="n"/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  <c r="R43" s="100">
        <f>IF($C43="","",IF('EPE Formas '!$F$7="","",'EPE Formas '!$F$7))</f>
        <v/>
      </c>
      <c r="S43" s="97" t="n"/>
      <c r="T43" s="99" t="n"/>
      <c r="U43" s="99" t="n"/>
      <c r="V43" s="99" t="n"/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  <c r="R44" s="100">
        <f>IF($C44="","",IF('EPE Formas '!$F$7="","",'EPE Formas '!$F$7))</f>
        <v/>
      </c>
      <c r="S44" s="97" t="n"/>
      <c r="T44" s="99" t="n"/>
      <c r="U44" s="99" t="n"/>
      <c r="V44" s="99" t="n"/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  <c r="R45" s="100">
        <f>IF($C45="","",IF('EPE Formas '!$F$7="","",'EPE Formas '!$F$7))</f>
        <v/>
      </c>
      <c r="S45" s="97" t="n"/>
      <c r="T45" s="99" t="n"/>
      <c r="U45" s="99" t="n"/>
      <c r="V45" s="99" t="n"/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  <c r="R46" s="100">
        <f>IF($C46="","",IF('EPE Formas '!$F$7="","",'EPE Formas '!$F$7))</f>
        <v/>
      </c>
      <c r="S46" s="97" t="n"/>
      <c r="T46" s="99" t="n"/>
      <c r="U46" s="99" t="n"/>
      <c r="V46" s="99" t="n"/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  <c r="R47" s="100">
        <f>IF($C47="","",IF('EPE Formas '!$F$7="","",'EPE Formas '!$F$7))</f>
        <v/>
      </c>
      <c r="S47" s="97" t="n"/>
      <c r="T47" s="99" t="n"/>
      <c r="U47" s="99" t="n"/>
      <c r="V47" s="99" t="n"/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  <c r="R48" s="100">
        <f>IF($C48="","",IF('EPE Formas '!$F$7="","",'EPE Formas '!$F$7))</f>
        <v/>
      </c>
      <c r="S48" s="97" t="n"/>
      <c r="T48" s="99" t="n"/>
      <c r="U48" s="99" t="n"/>
      <c r="V48" s="99" t="n"/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  <c r="R49" s="100">
        <f>IF($C49="","",IF('EPE Formas '!$F$7="","",'EPE Formas '!$F$7))</f>
        <v/>
      </c>
      <c r="S49" s="97" t="n"/>
      <c r="T49" s="99" t="n"/>
      <c r="U49" s="99" t="n"/>
      <c r="V49" s="99" t="n"/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  <c r="R50" s="100">
        <f>IF($C50="","",IF('Flavia '!$F$7="","",'Flavia '!$F$7))</f>
        <v/>
      </c>
      <c r="S50" s="97">
        <f>IF($C50="","",IF('Flavia '!$F$9="","",'Flavia '!$F$9))</f>
        <v/>
      </c>
      <c r="T50" s="99">
        <f>IF($C50="","",IF('Flavia '!$D$65="",0,'Flavia '!$D$65))</f>
        <v/>
      </c>
      <c r="U50" s="99">
        <f>IF($C50="","",IF('Flavia '!$D$45="",0,'Flavia '!$D$45))</f>
        <v/>
      </c>
      <c r="V50" s="99">
        <f>IF($C50="","",IF('Flavia '!$A$13="",0,'Flavia '!$A$13))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  <c r="R51" s="100">
        <f>IF($C51="","",IF('Flavia '!$F$7="","",'Flavia '!$F$7))</f>
        <v/>
      </c>
      <c r="S51" s="97" t="n"/>
      <c r="T51" s="99" t="n"/>
      <c r="U51" s="99" t="n"/>
      <c r="V51" s="99" t="n"/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  <c r="R52" s="100">
        <f>IF($C52="","",IF('Flavia '!$F$7="","",'Flavia '!$F$7))</f>
        <v/>
      </c>
      <c r="S52" s="97" t="n"/>
      <c r="T52" s="99" t="n"/>
      <c r="U52" s="99" t="n"/>
      <c r="V52" s="99" t="n"/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  <c r="R53" s="100">
        <f>IF($C53="","",IF('Flavia '!$F$7="","",'Flavia '!$F$7))</f>
        <v/>
      </c>
      <c r="S53" s="97" t="n"/>
      <c r="T53" s="99" t="n"/>
      <c r="U53" s="99" t="n"/>
      <c r="V53" s="99" t="n"/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  <c r="R54" s="100">
        <f>IF($C54="","",IF('Flavia '!$F$7="","",'Flavia '!$F$7))</f>
        <v/>
      </c>
      <c r="S54" s="97" t="n"/>
      <c r="T54" s="99" t="n"/>
      <c r="U54" s="99" t="n"/>
      <c r="V54" s="99" t="n"/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  <c r="R55" s="100">
        <f>IF($C55="","",IF('Flavia '!$F$7="","",'Flavia '!$F$7))</f>
        <v/>
      </c>
      <c r="S55" s="97" t="n"/>
      <c r="T55" s="99" t="n"/>
      <c r="U55" s="99" t="n"/>
      <c r="V55" s="99" t="n"/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  <c r="R56" s="100">
        <f>IF($C56="","",IF('Flavia '!$F$7="","",'Flavia '!$F$7))</f>
        <v/>
      </c>
      <c r="S56" s="97" t="n"/>
      <c r="T56" s="99" t="n"/>
      <c r="U56" s="99" t="n"/>
      <c r="V56" s="99" t="n"/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  <c r="R57" s="100">
        <f>IF($C57="","",IF('Flavia '!$F$7="","",'Flavia '!$F$7))</f>
        <v/>
      </c>
      <c r="S57" s="97" t="n"/>
      <c r="T57" s="99" t="n"/>
      <c r="U57" s="99" t="n"/>
      <c r="V57" s="99" t="n"/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  <c r="R58" s="100">
        <f>IF($C58="","",IF('Flavia '!$F$7="","",'Flavia '!$F$7))</f>
        <v/>
      </c>
      <c r="S58" s="97" t="n"/>
      <c r="T58" s="99" t="n"/>
      <c r="U58" s="99" t="n"/>
      <c r="V58" s="99" t="n"/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  <c r="R59" s="100">
        <f>IF($C59="","",IF('Flavia '!$F$7="","",'Flavia '!$F$7))</f>
        <v/>
      </c>
      <c r="S59" s="97" t="n"/>
      <c r="T59" s="99" t="n"/>
      <c r="U59" s="99" t="n"/>
      <c r="V59" s="99" t="n"/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  <c r="R60" s="100">
        <f>IF($C60="","",IF('Flavia '!$F$7="","",'Flavia '!$F$7))</f>
        <v/>
      </c>
      <c r="S60" s="97" t="n"/>
      <c r="T60" s="99" t="n"/>
      <c r="U60" s="99" t="n"/>
      <c r="V60" s="99" t="n"/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  <c r="R61" s="100">
        <f>IF($C61="","",IF('Flavia '!$F$7="","",'Flavia '!$F$7))</f>
        <v/>
      </c>
      <c r="S61" s="97" t="n"/>
      <c r="T61" s="99" t="n"/>
      <c r="U61" s="99" t="n"/>
      <c r="V61" s="99" t="n"/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  <c r="R62" s="100">
        <f>IF($C62="","",IF('Jairo'!$F$7="","",'Jairo'!$F$7))</f>
        <v/>
      </c>
      <c r="S62" s="97">
        <f>IF($C62="","",IF('Jairo'!$F$9="","",'Jairo'!$F$9))</f>
        <v/>
      </c>
      <c r="T62" s="99">
        <f>IF($C62="","",IF('Jairo'!$D$65="",0,'Jairo'!$D$65))</f>
        <v/>
      </c>
      <c r="U62" s="99">
        <f>IF($C62="","",IF('Jairo'!$D$45="",0,'Jairo'!$D$45))</f>
        <v/>
      </c>
      <c r="V62" s="99">
        <f>IF($C62="","",IF('Jairo'!$A$13="",0,'Jairo'!$A$13))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  <c r="R63" s="100">
        <f>IF($C63="","",IF('Jairo'!$F$7="","",'Jairo'!$F$7))</f>
        <v/>
      </c>
      <c r="S63" s="97" t="n"/>
      <c r="T63" s="99" t="n"/>
      <c r="U63" s="99" t="n"/>
      <c r="V63" s="99" t="n"/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  <c r="R64" s="100">
        <f>IF($C64="","",IF('Jairo'!$F$7="","",'Jairo'!$F$7))</f>
        <v/>
      </c>
      <c r="S64" s="97" t="n"/>
      <c r="T64" s="99" t="n"/>
      <c r="U64" s="99" t="n"/>
      <c r="V64" s="99" t="n"/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  <c r="R65" s="100">
        <f>IF($C65="","",IF('Jairo'!$F$7="","",'Jairo'!$F$7))</f>
        <v/>
      </c>
      <c r="S65" s="97" t="n"/>
      <c r="T65" s="99" t="n"/>
      <c r="U65" s="99" t="n"/>
      <c r="V65" s="99" t="n"/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  <c r="R66" s="100">
        <f>IF($C66="","",IF('Jairo'!$F$7="","",'Jairo'!$F$7))</f>
        <v/>
      </c>
      <c r="S66" s="97" t="n"/>
      <c r="T66" s="99" t="n"/>
      <c r="U66" s="99" t="n"/>
      <c r="V66" s="99" t="n"/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  <c r="R67" s="100">
        <f>IF($C67="","",IF('Jairo'!$F$7="","",'Jairo'!$F$7))</f>
        <v/>
      </c>
      <c r="S67" s="97" t="n"/>
      <c r="T67" s="99" t="n"/>
      <c r="U67" s="99" t="n"/>
      <c r="V67" s="99" t="n"/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  <c r="R68" s="100">
        <f>IF($C68="","",IF('Jairo'!$F$7="","",'Jairo'!$F$7))</f>
        <v/>
      </c>
      <c r="S68" s="97" t="n"/>
      <c r="T68" s="99" t="n"/>
      <c r="U68" s="99" t="n"/>
      <c r="V68" s="99" t="n"/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  <c r="R69" s="100">
        <f>IF($C69="","",IF('Jairo'!$F$7="","",'Jairo'!$F$7))</f>
        <v/>
      </c>
      <c r="S69" s="97" t="n"/>
      <c r="T69" s="99" t="n"/>
      <c r="U69" s="99" t="n"/>
      <c r="V69" s="99" t="n"/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  <c r="R70" s="100">
        <f>IF($C70="","",IF('Jairo'!$F$7="","",'Jairo'!$F$7))</f>
        <v/>
      </c>
      <c r="S70" s="97" t="n"/>
      <c r="T70" s="99" t="n"/>
      <c r="U70" s="99" t="n"/>
      <c r="V70" s="99" t="n"/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  <c r="R71" s="100">
        <f>IF($C71="","",IF('Jairo'!$F$7="","",'Jairo'!$F$7))</f>
        <v/>
      </c>
      <c r="S71" s="97" t="n"/>
      <c r="T71" s="99" t="n"/>
      <c r="U71" s="99" t="n"/>
      <c r="V71" s="99" t="n"/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  <c r="R72" s="100">
        <f>IF($C72="","",IF('Jairo'!$F$7="","",'Jairo'!$F$7))</f>
        <v/>
      </c>
      <c r="S72" s="97" t="n"/>
      <c r="T72" s="99" t="n"/>
      <c r="U72" s="99" t="n"/>
      <c r="V72" s="99" t="n"/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  <c r="R73" s="100">
        <f>IF($C73="","",IF('Jairo'!$F$7="","",'Jairo'!$F$7))</f>
        <v/>
      </c>
      <c r="S73" s="97" t="n"/>
      <c r="T73" s="99" t="n"/>
      <c r="U73" s="99" t="n"/>
      <c r="V73" s="99" t="n"/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  <c r="R74" s="100">
        <f>IF($C74="","",IF('Graciene '!$F$7="","",'Graciene '!$F$7))</f>
        <v/>
      </c>
      <c r="S74" s="97">
        <f>IF($C74="","",IF('Graciene '!$F$9="","",'Graciene '!$F$9))</f>
        <v/>
      </c>
      <c r="T74" s="99">
        <f>IF($C74="","",IF('Graciene '!$D$65="",0,'Graciene '!$D$65))</f>
        <v/>
      </c>
      <c r="U74" s="99">
        <f>IF($C74="","",IF('Graciene '!$D$45="",0,'Graciene '!$D$45))</f>
        <v/>
      </c>
      <c r="V74" s="99">
        <f>IF($C74="","",IF('Graciene '!$A$13="",0,'Graciene '!$A$13))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  <c r="R75" s="100">
        <f>IF($C75="","",IF('Graciene '!$F$7="","",'Graciene '!$F$7))</f>
        <v/>
      </c>
      <c r="S75" s="97" t="n"/>
      <c r="T75" s="99" t="n"/>
      <c r="U75" s="99" t="n"/>
      <c r="V75" s="99" t="n"/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  <c r="R76" s="100">
        <f>IF($C76="","",IF('Graciene '!$F$7="","",'Graciene '!$F$7))</f>
        <v/>
      </c>
      <c r="S76" s="97" t="n"/>
      <c r="T76" s="99" t="n"/>
      <c r="U76" s="99" t="n"/>
      <c r="V76" s="99" t="n"/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  <c r="R77" s="100">
        <f>IF($C77="","",IF('Graciene '!$F$7="","",'Graciene '!$F$7))</f>
        <v/>
      </c>
      <c r="S77" s="97" t="n"/>
      <c r="T77" s="99" t="n"/>
      <c r="U77" s="99" t="n"/>
      <c r="V77" s="99" t="n"/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  <c r="R78" s="100">
        <f>IF($C78="","",IF('Graciene '!$F$7="","",'Graciene '!$F$7))</f>
        <v/>
      </c>
      <c r="S78" s="97" t="n"/>
      <c r="T78" s="99" t="n"/>
      <c r="U78" s="99" t="n"/>
      <c r="V78" s="99" t="n"/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  <c r="R79" s="100">
        <f>IF($C79="","",IF('Graciene '!$F$7="","",'Graciene '!$F$7))</f>
        <v/>
      </c>
      <c r="S79" s="97" t="n"/>
      <c r="T79" s="99" t="n"/>
      <c r="U79" s="99" t="n"/>
      <c r="V79" s="99" t="n"/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  <c r="R80" s="100">
        <f>IF($C80="","",IF('Graciene '!$F$7="","",'Graciene '!$F$7))</f>
        <v/>
      </c>
      <c r="S80" s="97" t="n"/>
      <c r="T80" s="99" t="n"/>
      <c r="U80" s="99" t="n"/>
      <c r="V80" s="99" t="n"/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  <c r="R81" s="100">
        <f>IF($C81="","",IF('Graciene '!$F$7="","",'Graciene '!$F$7))</f>
        <v/>
      </c>
      <c r="S81" s="97" t="n"/>
      <c r="T81" s="99" t="n"/>
      <c r="U81" s="99" t="n"/>
      <c r="V81" s="99" t="n"/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  <c r="R82" s="100">
        <f>IF($C82="","",IF('Graciene '!$F$7="","",'Graciene '!$F$7))</f>
        <v/>
      </c>
      <c r="S82" s="97" t="n"/>
      <c r="T82" s="99" t="n"/>
      <c r="U82" s="99" t="n"/>
      <c r="V82" s="99" t="n"/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  <c r="R83" s="100">
        <f>IF($C83="","",IF('Graciene '!$F$7="","",'Graciene '!$F$7))</f>
        <v/>
      </c>
      <c r="S83" s="97" t="n"/>
      <c r="T83" s="99" t="n"/>
      <c r="U83" s="99" t="n"/>
      <c r="V83" s="99" t="n"/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  <c r="R84" s="100">
        <f>IF($C84="","",IF('Graciene '!$F$7="","",'Graciene '!$F$7))</f>
        <v/>
      </c>
      <c r="S84" s="97" t="n"/>
      <c r="T84" s="99" t="n"/>
      <c r="U84" s="99" t="n"/>
      <c r="V84" s="99" t="n"/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  <c r="R85" s="100">
        <f>IF($C85="","",IF('Graciene '!$F$7="","",'Graciene '!$F$7))</f>
        <v/>
      </c>
      <c r="S85" s="97" t="n"/>
      <c r="T85" s="99" t="n"/>
      <c r="U85" s="99" t="n"/>
      <c r="V85" s="99" t="n"/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  <c r="R86" s="100">
        <f>IF($C86="","",IF('Larissa '!$F$7="","",'Larissa '!$F$7))</f>
        <v/>
      </c>
      <c r="S86" s="97">
        <f>IF($C86="","",IF('Larissa '!$F$9="","",'Larissa '!$F$9))</f>
        <v/>
      </c>
      <c r="T86" s="99">
        <f>IF($C86="","",IF('Larissa '!$D$65="",0,'Larissa '!$D$65))</f>
        <v/>
      </c>
      <c r="U86" s="99">
        <f>IF($C86="","",IF('Larissa '!$D$45="",0,'Larissa '!$D$45))</f>
        <v/>
      </c>
      <c r="V86" s="99">
        <f>IF($C86="","",IF('Larissa '!$A$13="",0,'Larissa '!$A$13))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  <c r="R87" s="100">
        <f>IF($C87="","",IF('Larissa '!$F$7="","",'Larissa '!$F$7))</f>
        <v/>
      </c>
      <c r="S87" s="97" t="n"/>
      <c r="T87" s="99" t="n"/>
      <c r="U87" s="99" t="n"/>
      <c r="V87" s="99" t="n"/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  <c r="R88" s="100">
        <f>IF($C88="","",IF('Larissa '!$F$7="","",'Larissa '!$F$7))</f>
        <v/>
      </c>
      <c r="S88" s="97" t="n"/>
      <c r="T88" s="99" t="n"/>
      <c r="U88" s="99" t="n"/>
      <c r="V88" s="99" t="n"/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  <c r="R89" s="100">
        <f>IF($C89="","",IF('Larissa '!$F$7="","",'Larissa '!$F$7))</f>
        <v/>
      </c>
      <c r="S89" s="97" t="n"/>
      <c r="T89" s="99" t="n"/>
      <c r="U89" s="99" t="n"/>
      <c r="V89" s="99" t="n"/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  <c r="R90" s="100">
        <f>IF($C90="","",IF('Larissa '!$F$7="","",'Larissa '!$F$7))</f>
        <v/>
      </c>
      <c r="S90" s="97" t="n"/>
      <c r="T90" s="99" t="n"/>
      <c r="U90" s="99" t="n"/>
      <c r="V90" s="99" t="n"/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  <c r="R91" s="100">
        <f>IF($C91="","",IF('Larissa '!$F$7="","",'Larissa '!$F$7))</f>
        <v/>
      </c>
      <c r="S91" s="97" t="n"/>
      <c r="T91" s="99" t="n"/>
      <c r="U91" s="99" t="n"/>
      <c r="V91" s="99" t="n"/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  <c r="R92" s="100">
        <f>IF($C92="","",IF('Larissa '!$F$7="","",'Larissa '!$F$7))</f>
        <v/>
      </c>
      <c r="S92" s="97" t="n"/>
      <c r="T92" s="99" t="n"/>
      <c r="U92" s="99" t="n"/>
      <c r="V92" s="99" t="n"/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  <c r="R93" s="100">
        <f>IF($C93="","",IF('Larissa '!$F$7="","",'Larissa '!$F$7))</f>
        <v/>
      </c>
      <c r="S93" s="97" t="n"/>
      <c r="T93" s="99" t="n"/>
      <c r="U93" s="99" t="n"/>
      <c r="V93" s="99" t="n"/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  <c r="R94" s="100">
        <f>IF($C94="","",IF('Larissa '!$F$7="","",'Larissa '!$F$7))</f>
        <v/>
      </c>
      <c r="S94" s="97" t="n"/>
      <c r="T94" s="99" t="n"/>
      <c r="U94" s="99" t="n"/>
      <c r="V94" s="99" t="n"/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  <c r="R95" s="100">
        <f>IF($C95="","",IF('Larissa '!$F$7="","",'Larissa '!$F$7))</f>
        <v/>
      </c>
      <c r="S95" s="97" t="n"/>
      <c r="T95" s="99" t="n"/>
      <c r="U95" s="99" t="n"/>
      <c r="V95" s="99" t="n"/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  <c r="R96" s="100">
        <f>IF($C96="","",IF('Larissa '!$F$7="","",'Larissa '!$F$7))</f>
        <v/>
      </c>
      <c r="S96" s="97" t="n"/>
      <c r="T96" s="99" t="n"/>
      <c r="U96" s="99" t="n"/>
      <c r="V96" s="99" t="n"/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  <c r="R97" s="100">
        <f>IF($C97="","",IF('Larissa '!$F$7="","",'Larissa '!$F$7))</f>
        <v/>
      </c>
      <c r="S97" s="97" t="n"/>
      <c r="T97" s="99" t="n"/>
      <c r="U97" s="99" t="n"/>
      <c r="V97" s="99" t="n"/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  <c r="R98" s="100">
        <f>IF($C98="","",IF('Leonardo '!$F$7="","",'Leonardo '!$F$7))</f>
        <v/>
      </c>
      <c r="S98" s="97">
        <f>IF($C98="","",IF('Leonardo '!$F$9="","",'Leonardo '!$F$9))</f>
        <v/>
      </c>
      <c r="T98" s="99">
        <f>IF($C98="","",IF('Leonardo '!$D$65="",0,'Leonardo '!$D$65))</f>
        <v/>
      </c>
      <c r="U98" s="99">
        <f>IF($C98="","",IF('Leonardo '!$D$45="",0,'Leonardo '!$D$45))</f>
        <v/>
      </c>
      <c r="V98" s="99">
        <f>IF($C98="","",IF('Leonardo '!$A$13="",0,'Leonardo '!$A$13))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  <c r="R99" s="100">
        <f>IF($C99="","",IF('Leonardo '!$F$7="","",'Leonardo '!$F$7))</f>
        <v/>
      </c>
      <c r="S99" s="97" t="n"/>
      <c r="T99" s="99" t="n"/>
      <c r="U99" s="99" t="n"/>
      <c r="V99" s="99" t="n"/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  <c r="R100" s="100">
        <f>IF($C100="","",IF('Leonardo '!$F$7="","",'Leonardo '!$F$7))</f>
        <v/>
      </c>
      <c r="S100" s="97" t="n"/>
      <c r="T100" s="99" t="n"/>
      <c r="U100" s="99" t="n"/>
      <c r="V100" s="99" t="n"/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  <c r="R101" s="100">
        <f>IF($C101="","",IF('Leonardo '!$F$7="","",'Leonardo '!$F$7))</f>
        <v/>
      </c>
      <c r="S101" s="97" t="n"/>
      <c r="T101" s="99" t="n"/>
      <c r="U101" s="99" t="n"/>
      <c r="V101" s="99" t="n"/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  <c r="R102" s="100">
        <f>IF($C102="","",IF('Leonardo '!$F$7="","",'Leonardo '!$F$7))</f>
        <v/>
      </c>
      <c r="S102" s="97" t="n"/>
      <c r="T102" s="99" t="n"/>
      <c r="U102" s="99" t="n"/>
      <c r="V102" s="99" t="n"/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  <c r="R103" s="100">
        <f>IF($C103="","",IF('Leonardo '!$F$7="","",'Leonardo '!$F$7))</f>
        <v/>
      </c>
      <c r="S103" s="97" t="n"/>
      <c r="T103" s="99" t="n"/>
      <c r="U103" s="99" t="n"/>
      <c r="V103" s="99" t="n"/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  <c r="R104" s="100">
        <f>IF($C104="","",IF('Leonardo '!$F$7="","",'Leonardo '!$F$7))</f>
        <v/>
      </c>
      <c r="S104" s="97" t="n"/>
      <c r="T104" s="99" t="n"/>
      <c r="U104" s="99" t="n"/>
      <c r="V104" s="99" t="n"/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  <c r="R105" s="100">
        <f>IF($C105="","",IF('Leonardo '!$F$7="","",'Leonardo '!$F$7))</f>
        <v/>
      </c>
      <c r="S105" s="97" t="n"/>
      <c r="T105" s="99" t="n"/>
      <c r="U105" s="99" t="n"/>
      <c r="V105" s="99" t="n"/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  <c r="R106" s="100">
        <f>IF($C106="","",IF('Leonardo '!$F$7="","",'Leonardo '!$F$7))</f>
        <v/>
      </c>
      <c r="S106" s="97" t="n"/>
      <c r="T106" s="99" t="n"/>
      <c r="U106" s="99" t="n"/>
      <c r="V106" s="99" t="n"/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  <c r="R107" s="100">
        <f>IF($C107="","",IF('Leonardo '!$F$7="","",'Leonardo '!$F$7))</f>
        <v/>
      </c>
      <c r="S107" s="97" t="n"/>
      <c r="T107" s="99" t="n"/>
      <c r="U107" s="99" t="n"/>
      <c r="V107" s="99" t="n"/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  <c r="R108" s="100">
        <f>IF($C108="","",IF('Leonardo '!$F$7="","",'Leonardo '!$F$7))</f>
        <v/>
      </c>
      <c r="S108" s="97" t="n"/>
      <c r="T108" s="99" t="n"/>
      <c r="U108" s="99" t="n"/>
      <c r="V108" s="99" t="n"/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  <c r="R109" s="100">
        <f>IF($C109="","",IF('Leonardo '!$F$7="","",'Leonardo '!$F$7))</f>
        <v/>
      </c>
      <c r="S109" s="97" t="n"/>
      <c r="T109" s="99" t="n"/>
      <c r="U109" s="99" t="n"/>
      <c r="V109" s="99" t="n"/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  <c r="R110" s="100">
        <f>IF($C110="","",IF('Luiz '!$F$7="","",'Luiz '!$F$7))</f>
        <v/>
      </c>
      <c r="S110" s="97">
        <f>IF($C110="","",IF('Luiz '!$F$9="","",'Luiz '!$F$9))</f>
        <v/>
      </c>
      <c r="T110" s="99">
        <f>IF($C110="","",IF('Luiz '!$D$65="",0,'Luiz '!$D$65))</f>
        <v/>
      </c>
      <c r="U110" s="99">
        <f>IF($C110="","",IF('Luiz '!$D$45="",0,'Luiz '!$D$45))</f>
        <v/>
      </c>
      <c r="V110" s="99">
        <f>IF($C110="","",IF('Luiz '!$A$13="",0,'Luiz '!$A$13))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  <c r="R111" s="100">
        <f>IF($C111="","",IF('Luiz '!$F$7="","",'Luiz '!$F$7))</f>
        <v/>
      </c>
      <c r="S111" s="97" t="n"/>
      <c r="T111" s="99" t="n"/>
      <c r="U111" s="99" t="n"/>
      <c r="V111" s="99" t="n"/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  <c r="R112" s="100">
        <f>IF($C112="","",IF('Luiz '!$F$7="","",'Luiz '!$F$7))</f>
        <v/>
      </c>
      <c r="S112" s="97" t="n"/>
      <c r="T112" s="99" t="n"/>
      <c r="U112" s="99" t="n"/>
      <c r="V112" s="99" t="n"/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  <c r="R113" s="100">
        <f>IF($C113="","",IF('Luiz '!$F$7="","",'Luiz '!$F$7))</f>
        <v/>
      </c>
      <c r="S113" s="97" t="n"/>
      <c r="T113" s="99" t="n"/>
      <c r="U113" s="99" t="n"/>
      <c r="V113" s="99" t="n"/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  <c r="R114" s="100">
        <f>IF($C114="","",IF('Luiz '!$F$7="","",'Luiz '!$F$7))</f>
        <v/>
      </c>
      <c r="S114" s="97" t="n"/>
      <c r="T114" s="99" t="n"/>
      <c r="U114" s="99" t="n"/>
      <c r="V114" s="99" t="n"/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  <c r="R115" s="100">
        <f>IF($C115="","",IF('Luiz '!$F$7="","",'Luiz '!$F$7))</f>
        <v/>
      </c>
      <c r="S115" s="97" t="n"/>
      <c r="T115" s="99" t="n"/>
      <c r="U115" s="99" t="n"/>
      <c r="V115" s="99" t="n"/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  <c r="R116" s="100">
        <f>IF($C116="","",IF('Luiz '!$F$7="","",'Luiz '!$F$7))</f>
        <v/>
      </c>
      <c r="S116" s="97" t="n"/>
      <c r="T116" s="99" t="n"/>
      <c r="U116" s="99" t="n"/>
      <c r="V116" s="99" t="n"/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  <c r="R117" s="100">
        <f>IF($C117="","",IF('Luiz '!$F$7="","",'Luiz '!$F$7))</f>
        <v/>
      </c>
      <c r="S117" s="97" t="n"/>
      <c r="T117" s="99" t="n"/>
      <c r="U117" s="99" t="n"/>
      <c r="V117" s="99" t="n"/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  <c r="R118" s="100">
        <f>IF($C118="","",IF('Luiz '!$F$7="","",'Luiz '!$F$7))</f>
        <v/>
      </c>
      <c r="S118" s="97" t="n"/>
      <c r="T118" s="99" t="n"/>
      <c r="U118" s="99" t="n"/>
      <c r="V118" s="99" t="n"/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  <c r="R119" s="100">
        <f>IF($C119="","",IF('Luiz '!$F$7="","",'Luiz '!$F$7))</f>
        <v/>
      </c>
      <c r="S119" s="97" t="n"/>
      <c r="T119" s="99" t="n"/>
      <c r="U119" s="99" t="n"/>
      <c r="V119" s="99" t="n"/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  <c r="R120" s="100">
        <f>IF($C120="","",IF('Luiz '!$F$7="","",'Luiz '!$F$7))</f>
        <v/>
      </c>
      <c r="S120" s="97" t="n"/>
      <c r="T120" s="99" t="n"/>
      <c r="U120" s="99" t="n"/>
      <c r="V120" s="99" t="n"/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  <c r="R121" s="100">
        <f>IF($C121="","",IF('Luiz '!$F$7="","",'Luiz '!$F$7))</f>
        <v/>
      </c>
      <c r="S121" s="97" t="n"/>
      <c r="T121" s="99" t="n"/>
      <c r="U121" s="99" t="n"/>
      <c r="V121" s="99" t="n"/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  <c r="R122" s="100">
        <f>IF($C122="","",IF('Carla Dresller'!$F$7="","",'Carla Dresller'!$F$7))</f>
        <v/>
      </c>
      <c r="S122" s="97">
        <f>IF($C122="","",IF('Carla Dresller'!$F$9="","",'Carla Dresller'!$F$9))</f>
        <v/>
      </c>
      <c r="T122" s="99">
        <f>IF($C122="","",IF('Carla Dresller'!$D$65="",0,'Carla Dresller'!$D$65))</f>
        <v/>
      </c>
      <c r="U122" s="99">
        <f>IF($C122="","",IF('Carla Dresller'!$D$45="",0,'Carla Dresller'!$D$45))</f>
        <v/>
      </c>
      <c r="V122" s="99">
        <f>IF($C122="","",IF('Carla Dresller'!$A$13="",0,'Carla Dresller'!$A$13))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  <c r="R123" s="100">
        <f>IF($C123="","",IF('Carla Dresller'!$F$7="","",'Carla Dresller'!$F$7))</f>
        <v/>
      </c>
      <c r="S123" s="97" t="n"/>
      <c r="T123" s="99" t="n"/>
      <c r="U123" s="99" t="n"/>
      <c r="V123" s="99" t="n"/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  <c r="R124" s="100">
        <f>IF($C124="","",IF('Carla Dresller'!$F$7="","",'Carla Dresller'!$F$7))</f>
        <v/>
      </c>
      <c r="S124" s="97" t="n"/>
      <c r="T124" s="99" t="n"/>
      <c r="U124" s="99" t="n"/>
      <c r="V124" s="99" t="n"/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  <c r="R125" s="100">
        <f>IF($C125="","",IF('Carla Dresller'!$F$7="","",'Carla Dresller'!$F$7))</f>
        <v/>
      </c>
      <c r="S125" s="97" t="n"/>
      <c r="T125" s="99" t="n"/>
      <c r="U125" s="99" t="n"/>
      <c r="V125" s="99" t="n"/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  <c r="R126" s="100">
        <f>IF($C126="","",IF('Carla Dresller'!$F$7="","",'Carla Dresller'!$F$7))</f>
        <v/>
      </c>
      <c r="S126" s="97" t="n"/>
      <c r="T126" s="99" t="n"/>
      <c r="U126" s="99" t="n"/>
      <c r="V126" s="99" t="n"/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  <c r="R127" s="100">
        <f>IF($C127="","",IF('Carla Dresller'!$F$7="","",'Carla Dresller'!$F$7))</f>
        <v/>
      </c>
      <c r="S127" s="97" t="n"/>
      <c r="T127" s="99" t="n"/>
      <c r="U127" s="99" t="n"/>
      <c r="V127" s="99" t="n"/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  <c r="R128" s="100">
        <f>IF($C128="","",IF('Carla Dresller'!$F$7="","",'Carla Dresller'!$F$7))</f>
        <v/>
      </c>
      <c r="S128" s="97" t="n"/>
      <c r="T128" s="99" t="n"/>
      <c r="U128" s="99" t="n"/>
      <c r="V128" s="99" t="n"/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  <c r="R129" s="100">
        <f>IF($C129="","",IF('Carla Dresller'!$F$7="","",'Carla Dresller'!$F$7))</f>
        <v/>
      </c>
      <c r="S129" s="97" t="n"/>
      <c r="T129" s="99" t="n"/>
      <c r="U129" s="99" t="n"/>
      <c r="V129" s="99" t="n"/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  <c r="R130" s="100">
        <f>IF($C130="","",IF('Carla Dresller'!$F$7="","",'Carla Dresller'!$F$7))</f>
        <v/>
      </c>
      <c r="S130" s="97" t="n"/>
      <c r="T130" s="99" t="n"/>
      <c r="U130" s="99" t="n"/>
      <c r="V130" s="99" t="n"/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  <c r="R131" s="100">
        <f>IF($C131="","",IF('Carla Dresller'!$F$7="","",'Carla Dresller'!$F$7))</f>
        <v/>
      </c>
      <c r="S131" s="97" t="n"/>
      <c r="T131" s="99" t="n"/>
      <c r="U131" s="99" t="n"/>
      <c r="V131" s="99" t="n"/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  <c r="R132" s="100">
        <f>IF($C132="","",IF('Carla Dresller'!$F$7="","",'Carla Dresller'!$F$7))</f>
        <v/>
      </c>
      <c r="S132" s="97" t="n"/>
      <c r="T132" s="99" t="n"/>
      <c r="U132" s="99" t="n"/>
      <c r="V132" s="99" t="n"/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  <c r="R133" s="100">
        <f>IF($C133="","",IF('Carla Dresller'!$F$7="","",'Carla Dresller'!$F$7))</f>
        <v/>
      </c>
      <c r="S133" s="97" t="n"/>
      <c r="T133" s="99" t="n"/>
      <c r="U133" s="99" t="n"/>
      <c r="V133" s="99" t="n"/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  <c r="R134" s="100">
        <f>IF($C134="","",IF('Maria '!$F$7="","",'Maria '!$F$7))</f>
        <v/>
      </c>
      <c r="S134" s="97">
        <f>IF($C134="","",IF('Maria '!$F$9="","",'Maria '!$F$9))</f>
        <v/>
      </c>
      <c r="T134" s="99">
        <f>IF($C134="","",IF('Maria '!$D$65="",0,'Maria '!$D$65))</f>
        <v/>
      </c>
      <c r="U134" s="99">
        <f>IF($C134="","",IF('Maria '!$D$45="",0,'Maria '!$D$45))</f>
        <v/>
      </c>
      <c r="V134" s="99">
        <f>IF($C134="","",IF('Maria '!$A$13="",0,'Maria '!$A$13))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  <c r="R135" s="100">
        <f>IF($C135="","",IF('Maria '!$F$7="","",'Maria '!$F$7))</f>
        <v/>
      </c>
      <c r="S135" s="97" t="n"/>
      <c r="T135" s="99" t="n"/>
      <c r="U135" s="99" t="n"/>
      <c r="V135" s="99" t="n"/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  <c r="R136" s="100">
        <f>IF($C136="","",IF('Maria '!$F$7="","",'Maria '!$F$7))</f>
        <v/>
      </c>
      <c r="S136" s="97" t="n"/>
      <c r="T136" s="99" t="n"/>
      <c r="U136" s="99" t="n"/>
      <c r="V136" s="99" t="n"/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  <c r="R137" s="100">
        <f>IF($C137="","",IF('Maria '!$F$7="","",'Maria '!$F$7))</f>
        <v/>
      </c>
      <c r="S137" s="97" t="n"/>
      <c r="T137" s="99" t="n"/>
      <c r="U137" s="99" t="n"/>
      <c r="V137" s="99" t="n"/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  <c r="R138" s="100">
        <f>IF($C138="","",IF('Maria '!$F$7="","",'Maria '!$F$7))</f>
        <v/>
      </c>
      <c r="S138" s="97" t="n"/>
      <c r="T138" s="99" t="n"/>
      <c r="U138" s="99" t="n"/>
      <c r="V138" s="99" t="n"/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  <c r="R139" s="100">
        <f>IF($C139="","",IF('Maria '!$F$7="","",'Maria '!$F$7))</f>
        <v/>
      </c>
      <c r="S139" s="97" t="n"/>
      <c r="T139" s="99" t="n"/>
      <c r="U139" s="99" t="n"/>
      <c r="V139" s="99" t="n"/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  <c r="R140" s="100">
        <f>IF($C140="","",IF('Maria '!$F$7="","",'Maria '!$F$7))</f>
        <v/>
      </c>
      <c r="S140" s="97" t="n"/>
      <c r="T140" s="99" t="n"/>
      <c r="U140" s="99" t="n"/>
      <c r="V140" s="99" t="n"/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  <c r="R141" s="100">
        <f>IF($C141="","",IF('Maria '!$F$7="","",'Maria '!$F$7))</f>
        <v/>
      </c>
      <c r="S141" s="97" t="n"/>
      <c r="T141" s="99" t="n"/>
      <c r="U141" s="99" t="n"/>
      <c r="V141" s="99" t="n"/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  <c r="R142" s="100">
        <f>IF($C142="","",IF('Maria '!$F$7="","",'Maria '!$F$7))</f>
        <v/>
      </c>
      <c r="S142" s="97" t="n"/>
      <c r="T142" s="99" t="n"/>
      <c r="U142" s="99" t="n"/>
      <c r="V142" s="99" t="n"/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  <c r="R143" s="100">
        <f>IF($C143="","",IF('Maria '!$F$7="","",'Maria '!$F$7))</f>
        <v/>
      </c>
      <c r="S143" s="97" t="n"/>
      <c r="T143" s="99" t="n"/>
      <c r="U143" s="99" t="n"/>
      <c r="V143" s="99" t="n"/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  <c r="R144" s="100">
        <f>IF($C144="","",IF('Maria '!$F$7="","",'Maria '!$F$7))</f>
        <v/>
      </c>
      <c r="S144" s="97" t="n"/>
      <c r="T144" s="99" t="n"/>
      <c r="U144" s="99" t="n"/>
      <c r="V144" s="99" t="n"/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  <c r="R145" s="100">
        <f>IF($C145="","",IF('Maria '!$F$7="","",'Maria '!$F$7))</f>
        <v/>
      </c>
      <c r="S145" s="97" t="n"/>
      <c r="T145" s="99" t="n"/>
      <c r="U145" s="99" t="n"/>
      <c r="V145" s="99" t="n"/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  <c r="R146" s="100">
        <f>IF($C146="","",IF('Nadia '!$F$7="","",'Nadia '!$F$7))</f>
        <v/>
      </c>
      <c r="S146" s="97">
        <f>IF($C146="","",IF('Nadia '!$F$9="","",'Nadia '!$F$9))</f>
        <v/>
      </c>
      <c r="T146" s="99">
        <f>IF($C146="","",IF('Nadia '!$D$65="",0,'Nadia '!$D$65))</f>
        <v/>
      </c>
      <c r="U146" s="99">
        <f>IF($C146="","",IF('Nadia '!$D$45="",0,'Nadia '!$D$45))</f>
        <v/>
      </c>
      <c r="V146" s="99">
        <f>IF($C146="","",IF('Nadia '!$A$13="",0,'Nadia '!$A$13))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  <c r="R147" s="100">
        <f>IF($C147="","",IF('Nadia '!$F$7="","",'Nadia '!$F$7))</f>
        <v/>
      </c>
      <c r="S147" s="97" t="n"/>
      <c r="T147" s="99" t="n"/>
      <c r="U147" s="99" t="n"/>
      <c r="V147" s="99" t="n"/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  <c r="R148" s="100">
        <f>IF($C148="","",IF('Nadia '!$F$7="","",'Nadia '!$F$7))</f>
        <v/>
      </c>
      <c r="S148" s="97" t="n"/>
      <c r="T148" s="99" t="n"/>
      <c r="U148" s="99" t="n"/>
      <c r="V148" s="99" t="n"/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  <c r="R149" s="100">
        <f>IF($C149="","",IF('Nadia '!$F$7="","",'Nadia '!$F$7))</f>
        <v/>
      </c>
      <c r="S149" s="97" t="n"/>
      <c r="T149" s="99" t="n"/>
      <c r="U149" s="99" t="n"/>
      <c r="V149" s="99" t="n"/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  <c r="R150" s="100">
        <f>IF($C150="","",IF('Nadia '!$F$7="","",'Nadia '!$F$7))</f>
        <v/>
      </c>
      <c r="S150" s="97" t="n"/>
      <c r="T150" s="99" t="n"/>
      <c r="U150" s="99" t="n"/>
      <c r="V150" s="99" t="n"/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  <c r="R151" s="100">
        <f>IF($C151="","",IF('Nadia '!$F$7="","",'Nadia '!$F$7))</f>
        <v/>
      </c>
      <c r="S151" s="97" t="n"/>
      <c r="T151" s="99" t="n"/>
      <c r="U151" s="99" t="n"/>
      <c r="V151" s="99" t="n"/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  <c r="R152" s="100">
        <f>IF($C152="","",IF('Nadia '!$F$7="","",'Nadia '!$F$7))</f>
        <v/>
      </c>
      <c r="S152" s="97" t="n"/>
      <c r="T152" s="99" t="n"/>
      <c r="U152" s="99" t="n"/>
      <c r="V152" s="99" t="n"/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  <c r="R153" s="100">
        <f>IF($C153="","",IF('Nadia '!$F$7="","",'Nadia '!$F$7))</f>
        <v/>
      </c>
      <c r="S153" s="97" t="n"/>
      <c r="T153" s="99" t="n"/>
      <c r="U153" s="99" t="n"/>
      <c r="V153" s="99" t="n"/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  <c r="R154" s="100">
        <f>IF($C154="","",IF('Nadia '!$F$7="","",'Nadia '!$F$7))</f>
        <v/>
      </c>
      <c r="S154" s="97" t="n"/>
      <c r="T154" s="99" t="n"/>
      <c r="U154" s="99" t="n"/>
      <c r="V154" s="99" t="n"/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  <c r="R155" s="100">
        <f>IF($C155="","",IF('Nadia '!$F$7="","",'Nadia '!$F$7))</f>
        <v/>
      </c>
      <c r="S155" s="97" t="n"/>
      <c r="T155" s="99" t="n"/>
      <c r="U155" s="99" t="n"/>
      <c r="V155" s="99" t="n"/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  <c r="R156" s="100">
        <f>IF($C156="","",IF('Nadia '!$F$7="","",'Nadia '!$F$7))</f>
        <v/>
      </c>
      <c r="S156" s="97" t="n"/>
      <c r="T156" s="99" t="n"/>
      <c r="U156" s="99" t="n"/>
      <c r="V156" s="99" t="n"/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  <c r="R157" s="100">
        <f>IF($C157="","",IF('Nadia '!$F$7="","",'Nadia '!$F$7))</f>
        <v/>
      </c>
      <c r="S157" s="97" t="n"/>
      <c r="T157" s="99" t="n"/>
      <c r="U157" s="99" t="n"/>
      <c r="V157" s="99" t="n"/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  <c r="R158" s="100">
        <f>IF($C158="","",IF('Richard'!$F$7="","",'Richard'!$F$7))</f>
        <v/>
      </c>
      <c r="S158" s="97">
        <f>IF($C158="","",IF('Richard'!$F$9="","",'Richard'!$F$9))</f>
        <v/>
      </c>
      <c r="T158" s="99">
        <f>IF($C158="","",IF('Richard'!$D$65="",0,'Richard'!$D$65))</f>
        <v/>
      </c>
      <c r="U158" s="99">
        <f>IF($C158="","",IF('Richard'!$D$45="",0,'Richard'!$D$45))</f>
        <v/>
      </c>
      <c r="V158" s="99">
        <f>IF($C158="","",IF('Richard'!$A$13="",0,'Richard'!$A$13))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  <c r="R159" s="100">
        <f>IF($C159="","",IF('Richard'!$F$7="","",'Richard'!$F$7))</f>
        <v/>
      </c>
      <c r="S159" s="97" t="n"/>
      <c r="T159" s="99" t="n"/>
      <c r="U159" s="99" t="n"/>
      <c r="V159" s="99" t="n"/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  <c r="R160" s="100">
        <f>IF($C160="","",IF('Richard'!$F$7="","",'Richard'!$F$7))</f>
        <v/>
      </c>
      <c r="S160" s="97" t="n"/>
      <c r="T160" s="99" t="n"/>
      <c r="U160" s="99" t="n"/>
      <c r="V160" s="99" t="n"/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  <c r="R161" s="100">
        <f>IF($C161="","",IF('Richard'!$F$7="","",'Richard'!$F$7))</f>
        <v/>
      </c>
      <c r="S161" s="97" t="n"/>
      <c r="T161" s="99" t="n"/>
      <c r="U161" s="99" t="n"/>
      <c r="V161" s="99" t="n"/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  <c r="R162" s="100">
        <f>IF($C162="","",IF('Richard'!$F$7="","",'Richard'!$F$7))</f>
        <v/>
      </c>
      <c r="S162" s="97" t="n"/>
      <c r="T162" s="99" t="n"/>
      <c r="U162" s="99" t="n"/>
      <c r="V162" s="99" t="n"/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  <c r="R163" s="100">
        <f>IF($C163="","",IF('Richard'!$F$7="","",'Richard'!$F$7))</f>
        <v/>
      </c>
      <c r="S163" s="97" t="n"/>
      <c r="T163" s="99" t="n"/>
      <c r="U163" s="99" t="n"/>
      <c r="V163" s="99" t="n"/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  <c r="R164" s="100">
        <f>IF($C164="","",IF('Richard'!$F$7="","",'Richard'!$F$7))</f>
        <v/>
      </c>
      <c r="S164" s="97" t="n"/>
      <c r="T164" s="99" t="n"/>
      <c r="U164" s="99" t="n"/>
      <c r="V164" s="99" t="n"/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  <c r="R165" s="100">
        <f>IF($C165="","",IF('Richard'!$F$7="","",'Richard'!$F$7))</f>
        <v/>
      </c>
      <c r="S165" s="97" t="n"/>
      <c r="T165" s="99" t="n"/>
      <c r="U165" s="99" t="n"/>
      <c r="V165" s="99" t="n"/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  <c r="R166" s="100">
        <f>IF($C166="","",IF('Richard'!$F$7="","",'Richard'!$F$7))</f>
        <v/>
      </c>
      <c r="S166" s="97" t="n"/>
      <c r="T166" s="99" t="n"/>
      <c r="U166" s="99" t="n"/>
      <c r="V166" s="99" t="n"/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  <c r="R167" s="100">
        <f>IF($C167="","",IF('Richard'!$F$7="","",'Richard'!$F$7))</f>
        <v/>
      </c>
      <c r="S167" s="97" t="n"/>
      <c r="T167" s="99" t="n"/>
      <c r="U167" s="99" t="n"/>
      <c r="V167" s="99" t="n"/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  <c r="R168" s="100">
        <f>IF($C168="","",IF('Richard'!$F$7="","",'Richard'!$F$7))</f>
        <v/>
      </c>
      <c r="S168" s="97" t="n"/>
      <c r="T168" s="99" t="n"/>
      <c r="U168" s="99" t="n"/>
      <c r="V168" s="99" t="n"/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  <c r="R169" s="100">
        <f>IF($C169="","",IF('Richard'!$F$7="","",'Richard'!$F$7))</f>
        <v/>
      </c>
      <c r="S169" s="97" t="n"/>
      <c r="T169" s="99" t="n"/>
      <c r="U169" s="99" t="n"/>
      <c r="V169" s="99" t="n"/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  <c r="R170" s="100">
        <f>IF($C170="","",IF('Shelf'!$F$7="","",'Shelf'!$F$7))</f>
        <v/>
      </c>
      <c r="S170" s="97">
        <f>IF($C170="","",IF('Shelf'!$F$9="","",'Shelf'!$F$9))</f>
        <v/>
      </c>
      <c r="T170" s="99">
        <f>IF($C170="","",IF('Shelf'!$D$65="",0,'Shelf'!$D$65))</f>
        <v/>
      </c>
      <c r="U170" s="99">
        <f>IF($C170="","",IF('Shelf'!$D$45="",0,'Shelf'!$D$45))</f>
        <v/>
      </c>
      <c r="V170" s="99">
        <f>IF($C170="","",IF('Shelf'!$A$13="",0,'Shelf'!$A$13))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  <c r="R171" s="100">
        <f>IF($C171="","",IF('Shelf'!$F$7="","",'Shelf'!$F$7))</f>
        <v/>
      </c>
      <c r="S171" s="97" t="n"/>
      <c r="T171" s="99" t="n"/>
      <c r="U171" s="99" t="n"/>
      <c r="V171" s="99" t="n"/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  <c r="R172" s="100">
        <f>IF($C172="","",IF('Shelf'!$F$7="","",'Shelf'!$F$7))</f>
        <v/>
      </c>
      <c r="S172" s="97" t="n"/>
      <c r="T172" s="99" t="n"/>
      <c r="U172" s="99" t="n"/>
      <c r="V172" s="99" t="n"/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  <c r="R173" s="100">
        <f>IF($C173="","",IF('Shelf'!$F$7="","",'Shelf'!$F$7))</f>
        <v/>
      </c>
      <c r="S173" s="97" t="n"/>
      <c r="T173" s="99" t="n"/>
      <c r="U173" s="99" t="n"/>
      <c r="V173" s="99" t="n"/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  <c r="R174" s="100">
        <f>IF($C174="","",IF('Shelf'!$F$7="","",'Shelf'!$F$7))</f>
        <v/>
      </c>
      <c r="S174" s="97" t="n"/>
      <c r="T174" s="99" t="n"/>
      <c r="U174" s="99" t="n"/>
      <c r="V174" s="99" t="n"/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  <c r="R175" s="100">
        <f>IF($C175="","",IF('Shelf'!$F$7="","",'Shelf'!$F$7))</f>
        <v/>
      </c>
      <c r="S175" s="97" t="n"/>
      <c r="T175" s="99" t="n"/>
      <c r="U175" s="99" t="n"/>
      <c r="V175" s="99" t="n"/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  <c r="R176" s="100">
        <f>IF($C176="","",IF('Shelf'!$F$7="","",'Shelf'!$F$7))</f>
        <v/>
      </c>
      <c r="S176" s="97" t="n"/>
      <c r="T176" s="99" t="n"/>
      <c r="U176" s="99" t="n"/>
      <c r="V176" s="99" t="n"/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  <c r="R177" s="100">
        <f>IF($C177="","",IF('Shelf'!$F$7="","",'Shelf'!$F$7))</f>
        <v/>
      </c>
      <c r="S177" s="97" t="n"/>
      <c r="T177" s="99" t="n"/>
      <c r="U177" s="99" t="n"/>
      <c r="V177" s="99" t="n"/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  <c r="R178" s="100">
        <f>IF($C178="","",IF('Shelf'!$F$7="","",'Shelf'!$F$7))</f>
        <v/>
      </c>
      <c r="S178" s="97" t="n"/>
      <c r="T178" s="99" t="n"/>
      <c r="U178" s="99" t="n"/>
      <c r="V178" s="99" t="n"/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  <c r="R179" s="100">
        <f>IF($C179="","",IF('Shelf'!$F$7="","",'Shelf'!$F$7))</f>
        <v/>
      </c>
      <c r="S179" s="97" t="n"/>
      <c r="T179" s="99" t="n"/>
      <c r="U179" s="99" t="n"/>
      <c r="V179" s="99" t="n"/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  <c r="R180" s="100">
        <f>IF($C180="","",IF('Shelf'!$F$7="","",'Shelf'!$F$7))</f>
        <v/>
      </c>
      <c r="S180" s="97" t="n"/>
      <c r="T180" s="99" t="n"/>
      <c r="U180" s="99" t="n"/>
      <c r="V180" s="99" t="n"/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  <c r="R181" s="100">
        <f>IF($C181="","",IF('Shelf'!$F$7="","",'Shelf'!$F$7))</f>
        <v/>
      </c>
      <c r="S181" s="97" t="n"/>
      <c r="T181" s="99" t="n"/>
      <c r="U181" s="99" t="n"/>
      <c r="V181" s="99" t="n"/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  <c r="R182" s="100">
        <f>IF($C182="","",IF('Simony'!$F$7="","",'Simony'!$F$7))</f>
        <v/>
      </c>
      <c r="S182" s="97">
        <f>IF($C182="","",IF('Simony'!$F$9="","",'Simony'!$F$9))</f>
        <v/>
      </c>
      <c r="T182" s="99">
        <f>IF($C182="","",IF('Simony'!$D$65="",0,'Simony'!$D$65))</f>
        <v/>
      </c>
      <c r="U182" s="99">
        <f>IF($C182="","",IF('Simony'!$D$45="",0,'Simony'!$D$45))</f>
        <v/>
      </c>
      <c r="V182" s="99">
        <f>IF($C182="","",IF('Simony'!$A$13="",0,'Simony'!$A$13))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  <c r="R183" s="100">
        <f>IF($C183="","",IF('Simony'!$F$7="","",'Simony'!$F$7))</f>
        <v/>
      </c>
      <c r="S183" s="97" t="n"/>
      <c r="T183" s="99" t="n"/>
      <c r="U183" s="99" t="n"/>
      <c r="V183" s="99" t="n"/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  <c r="R184" s="100">
        <f>IF($C184="","",IF('Simony'!$F$7="","",'Simony'!$F$7))</f>
        <v/>
      </c>
      <c r="S184" s="97" t="n"/>
      <c r="T184" s="99" t="n"/>
      <c r="U184" s="99" t="n"/>
      <c r="V184" s="99" t="n"/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  <c r="R185" s="100">
        <f>IF($C185="","",IF('Simony'!$F$7="","",'Simony'!$F$7))</f>
        <v/>
      </c>
      <c r="S185" s="97" t="n"/>
      <c r="T185" s="99" t="n"/>
      <c r="U185" s="99" t="n"/>
      <c r="V185" s="99" t="n"/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  <c r="R186" s="100">
        <f>IF($C186="","",IF('Simony'!$F$7="","",'Simony'!$F$7))</f>
        <v/>
      </c>
      <c r="S186" s="97" t="n"/>
      <c r="T186" s="99" t="n"/>
      <c r="U186" s="99" t="n"/>
      <c r="V186" s="99" t="n"/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  <c r="R187" s="100">
        <f>IF($C187="","",IF('Simony'!$F$7="","",'Simony'!$F$7))</f>
        <v/>
      </c>
      <c r="S187" s="97" t="n"/>
      <c r="T187" s="99" t="n"/>
      <c r="U187" s="99" t="n"/>
      <c r="V187" s="99" t="n"/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  <c r="R188" s="100">
        <f>IF($C188="","",IF('Simony'!$F$7="","",'Simony'!$F$7))</f>
        <v/>
      </c>
      <c r="S188" s="97" t="n"/>
      <c r="T188" s="99" t="n"/>
      <c r="U188" s="99" t="n"/>
      <c r="V188" s="99" t="n"/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  <c r="R189" s="100">
        <f>IF($C189="","",IF('Simony'!$F$7="","",'Simony'!$F$7))</f>
        <v/>
      </c>
      <c r="S189" s="97" t="n"/>
      <c r="T189" s="99" t="n"/>
      <c r="U189" s="99" t="n"/>
      <c r="V189" s="99" t="n"/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  <c r="R190" s="100">
        <f>IF($C190="","",IF('Simony'!$F$7="","",'Simony'!$F$7))</f>
        <v/>
      </c>
      <c r="S190" s="97" t="n"/>
      <c r="T190" s="99" t="n"/>
      <c r="U190" s="99" t="n"/>
      <c r="V190" s="99" t="n"/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  <c r="R191" s="100">
        <f>IF($C191="","",IF('Simony'!$F$7="","",'Simony'!$F$7))</f>
        <v/>
      </c>
      <c r="S191" s="97" t="n"/>
      <c r="T191" s="99" t="n"/>
      <c r="U191" s="99" t="n"/>
      <c r="V191" s="99" t="n"/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  <c r="R192" s="100">
        <f>IF($C192="","",IF('Simony'!$F$7="","",'Simony'!$F$7))</f>
        <v/>
      </c>
      <c r="S192" s="97" t="n"/>
      <c r="T192" s="99" t="n"/>
      <c r="U192" s="99" t="n"/>
      <c r="V192" s="99" t="n"/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  <c r="R193" s="100">
        <f>IF($C193="","",IF('Simony'!$F$7="","",'Simony'!$F$7))</f>
        <v/>
      </c>
      <c r="S193" s="97" t="n"/>
      <c r="T193" s="99" t="n"/>
      <c r="U193" s="99" t="n"/>
      <c r="V193" s="99" t="n"/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  <c r="R194" s="100">
        <f>IF($C194="","",IF('Exemplo P-2026-041'!$F$7="","",'Exemplo P-2026-041'!$F$7))</f>
        <v/>
      </c>
      <c r="S194" s="97">
        <f>IF($C194="","",IF('Exemplo P-2026-041'!$F$9="","",'Exemplo P-2026-041'!$F$9))</f>
        <v/>
      </c>
      <c r="T194" s="99">
        <f>IF($C194="","",IF('Exemplo P-2026-041'!$D$65="",0,'Exemplo P-2026-041'!$D$65))</f>
        <v/>
      </c>
      <c r="U194" s="99">
        <f>IF($C194="","",IF('Exemplo P-2026-041'!$D$45="",0,'Exemplo P-2026-041'!$D$45))</f>
        <v/>
      </c>
      <c r="V194" s="99">
        <f>IF($C194="","",IF('Exemplo P-2026-041'!$A$13="",0,'Exemplo P-2026-041'!$A$13))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  <c r="R195" s="100">
        <f>IF($C195="","",IF('Exemplo P-2026-041'!$F$7="","",'Exemplo P-2026-041'!$F$7))</f>
        <v/>
      </c>
      <c r="S195" s="97" t="n"/>
      <c r="T195" s="99" t="n"/>
      <c r="U195" s="99" t="n"/>
      <c r="V195" s="99" t="n"/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  <c r="R196" s="100">
        <f>IF($C196="","",IF('Exemplo P-2026-041'!$F$7="","",'Exemplo P-2026-041'!$F$7))</f>
        <v/>
      </c>
      <c r="S196" s="97" t="n"/>
      <c r="T196" s="99" t="n"/>
      <c r="U196" s="99" t="n"/>
      <c r="V196" s="99" t="n"/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  <c r="R197" s="100">
        <f>IF($C197="","",IF('Exemplo P-2026-041'!$F$7="","",'Exemplo P-2026-041'!$F$7))</f>
        <v/>
      </c>
      <c r="S197" s="97" t="n"/>
      <c r="T197" s="99" t="n"/>
      <c r="U197" s="99" t="n"/>
      <c r="V197" s="99" t="n"/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  <c r="R198" s="100">
        <f>IF($C198="","",IF('Exemplo P-2026-041'!$F$7="","",'Exemplo P-2026-041'!$F$7))</f>
        <v/>
      </c>
      <c r="S198" s="97" t="n"/>
      <c r="T198" s="99" t="n"/>
      <c r="U198" s="99" t="n"/>
      <c r="V198" s="99" t="n"/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  <c r="R199" s="100">
        <f>IF($C199="","",IF('Exemplo P-2026-041'!$F$7="","",'Exemplo P-2026-041'!$F$7))</f>
        <v/>
      </c>
      <c r="S199" s="97" t="n"/>
      <c r="T199" s="99" t="n"/>
      <c r="U199" s="99" t="n"/>
      <c r="V199" s="99" t="n"/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  <c r="R200" s="100">
        <f>IF($C200="","",IF('Exemplo P-2026-041'!$F$7="","",'Exemplo P-2026-041'!$F$7))</f>
        <v/>
      </c>
      <c r="S200" s="97" t="n"/>
      <c r="T200" s="99" t="n"/>
      <c r="U200" s="99" t="n"/>
      <c r="V200" s="99" t="n"/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  <c r="R201" s="100">
        <f>IF($C201="","",IF('Exemplo P-2026-041'!$F$7="","",'Exemplo P-2026-041'!$F$7))</f>
        <v/>
      </c>
      <c r="S201" s="97" t="n"/>
      <c r="T201" s="99" t="n"/>
      <c r="U201" s="99" t="n"/>
      <c r="V201" s="99" t="n"/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  <c r="R202" s="100">
        <f>IF($C202="","",IF('Exemplo P-2026-041'!$F$7="","",'Exemplo P-2026-041'!$F$7))</f>
        <v/>
      </c>
      <c r="S202" s="97" t="n"/>
      <c r="T202" s="99" t="n"/>
      <c r="U202" s="99" t="n"/>
      <c r="V202" s="99" t="n"/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  <c r="R203" s="100">
        <f>IF($C203="","",IF('Exemplo P-2026-041'!$F$7="","",'Exemplo P-2026-041'!$F$7))</f>
        <v/>
      </c>
      <c r="S203" s="97" t="n"/>
      <c r="T203" s="99" t="n"/>
      <c r="U203" s="99" t="n"/>
      <c r="V203" s="99" t="n"/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  <c r="R204" s="100">
        <f>IF($C204="","",IF('Exemplo P-2026-041'!$F$7="","",'Exemplo P-2026-041'!$F$7))</f>
        <v/>
      </c>
      <c r="S204" s="97" t="n"/>
      <c r="T204" s="99" t="n"/>
      <c r="U204" s="99" t="n"/>
      <c r="V204" s="99" t="n"/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  <c r="R205" s="100">
        <f>IF($C205="","",IF('Exemplo P-2026-041'!$F$7="","",'Exemplo P-2026-041'!$F$7))</f>
        <v/>
      </c>
      <c r="S205" s="97" t="n"/>
      <c r="T205" s="99" t="n"/>
      <c r="U205" s="99" t="n"/>
      <c r="V205" s="9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Bruna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H5" s="102" t="inlineStr">
        <is>
          <t>Externo / avulso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Jhon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Joelson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Davi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Jomar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Bruno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Wallace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Douglas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Terceiro / avulso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2026-10-20T23:20:32Z</dcterms:created>
  <dcterms:modified xsi:type="dcterms:W3CDTF">2026-10-20T23:20:37Z</dcterms:modified>
</cp:coreProperties>
</file>