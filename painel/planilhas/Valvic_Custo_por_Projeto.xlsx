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Exemplo P-2026-041" sheetId="4" state="visible" r:id="rId4"/>
    <sheet name="Listas" sheetId="5" state="visible" r:id="rId5"/>
  </sheets>
  <definedNames>
    <definedName name="_xlnm.Print_Area" localSheetId="0">'Instruções'!$A$1:$F$56</definedName>
    <definedName name="_xlnm.Print_Area" localSheetId="1">'Painel Geral'!$A$1:$Q$68</definedName>
    <definedName name="_xlnm.Print_Area" localSheetId="2">'Ficha Modelo'!$A$1:$J$116</definedName>
    <definedName name="_xlnm.Print_Area" localSheetId="3">'Exemplo P-2026-041'!$A$1:$J$116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+0.0;-0.0;0.0"/>
    <numFmt numFmtId="171" formatCode="+0.0%;-0.0%;0.0%"/>
  </numFmts>
  <fonts count="4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7A5B17"/>
      <sz val="9.5"/>
    </font>
    <font>
      <name val="Arial"/>
      <b val="1"/>
      <color rgb="00FFFFFF"/>
      <sz val="10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b val="1"/>
      <color rgb="000E2038"/>
      <sz val="9.5"/>
    </font>
    <font>
      <name val="Arial"/>
      <b val="1"/>
      <color rgb="0016314F"/>
      <sz val="9.5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b val="1"/>
      <color rgb="00B0413F"/>
      <sz val="9.5"/>
    </font>
    <font>
      <name val="Arial"/>
      <color rgb="006C7785"/>
      <sz val="9.5"/>
    </font>
    <font>
      <name val="Arial"/>
      <b val="1"/>
      <color rgb="00D8BD80"/>
      <sz val="11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color rgb="0041505D"/>
      <sz val="8.5"/>
    </font>
    <font>
      <name val="Arial"/>
      <b val="1"/>
      <color rgb="006C7785"/>
      <sz val="8"/>
    </font>
    <font>
      <name val="Arial"/>
      <b val="1"/>
      <color rgb="000E2038"/>
      <sz val="15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5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DFDACD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7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0" fillId="0" borderId="0" applyAlignment="1" pivotButton="0" quotePrefix="0" xfId="0">
      <alignment horizontal="left" vertical="center" wrapText="1"/>
    </xf>
    <xf numFmtId="0" fontId="41" fillId="4" borderId="0" applyAlignment="1" pivotButton="0" quotePrefix="0" xfId="0">
      <alignment horizontal="left" vertical="center" wrapText="1"/>
    </xf>
    <xf numFmtId="0" fontId="31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32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32" fillId="4" borderId="1" applyAlignment="1" pivotButton="0" quotePrefix="0" xfId="0">
      <alignment horizontal="center" vertical="center"/>
    </xf>
    <xf numFmtId="167" fontId="32" fillId="4" borderId="1" applyAlignment="1" pivotButton="0" quotePrefix="0" xfId="0">
      <alignment horizontal="center" vertical="center"/>
    </xf>
    <xf numFmtId="9" fontId="32" fillId="4" borderId="1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left" vertical="center" indent="1"/>
    </xf>
    <xf numFmtId="0" fontId="11" fillId="7" borderId="1" applyAlignment="1" pivotButton="0" quotePrefix="0" xfId="0">
      <alignment horizontal="left" vertical="center" indent="1"/>
    </xf>
    <xf numFmtId="164" fontId="11" fillId="7" borderId="1" applyAlignment="1" pivotButton="0" quotePrefix="0" xfId="0">
      <alignment horizontal="center" vertical="center"/>
    </xf>
    <xf numFmtId="1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right" vertical="center" indent="1"/>
    </xf>
    <xf numFmtId="167" fontId="11" fillId="7" borderId="1" applyAlignment="1" pivotButton="0" quotePrefix="0" xfId="0">
      <alignment horizontal="center" vertical="center"/>
    </xf>
    <xf numFmtId="170" fontId="22" fillId="7" borderId="1" applyAlignment="1" pivotButton="0" quotePrefix="0" xfId="0">
      <alignment horizontal="center" vertical="center"/>
    </xf>
    <xf numFmtId="0" fontId="34" fillId="7" borderId="1" applyAlignment="1" pivotButton="0" quotePrefix="0" xfId="0">
      <alignment horizontal="center" vertical="center"/>
    </xf>
    <xf numFmtId="168" fontId="35" fillId="0" borderId="0" pivotButton="0" quotePrefix="0" xfId="0"/>
    <xf numFmtId="0" fontId="15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6" fillId="3" borderId="1" applyAlignment="1" pivotButton="0" quotePrefix="0" xfId="0">
      <alignment horizontal="right" vertical="center" indent="1"/>
    </xf>
    <xf numFmtId="167" fontId="16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0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22" fillId="7" borderId="1" applyAlignment="1" pivotButton="0" quotePrefix="0" xfId="0">
      <alignment horizontal="right" vertical="center" indent="1"/>
    </xf>
    <xf numFmtId="171" fontId="6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indent="1"/>
    </xf>
    <xf numFmtId="0" fontId="36" fillId="5" borderId="0" applyAlignment="1" pivotButton="0" quotePrefix="0" xfId="0">
      <alignment horizontal="left" vertical="center" wrapText="1" indent="1"/>
    </xf>
    <xf numFmtId="0" fontId="30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168" fontId="10" fillId="6" borderId="1" applyAlignment="1" pivotButton="0" quotePrefix="0" xfId="0">
      <alignment horizontal="right" vertical="center" indent="1"/>
    </xf>
    <xf numFmtId="168" fontId="11" fillId="7" borderId="1" applyAlignment="1" pivotButton="0" quotePrefix="0" xfId="0">
      <alignment horizontal="right" vertical="center" indent="1"/>
    </xf>
    <xf numFmtId="167" fontId="12" fillId="7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 indent="1"/>
    </xf>
    <xf numFmtId="167" fontId="14" fillId="6" borderId="1" applyAlignment="1" pivotButton="0" quotePrefix="0" xfId="0">
      <alignment horizontal="center" vertical="center"/>
    </xf>
    <xf numFmtId="168" fontId="16" fillId="3" borderId="1" applyAlignment="1" pivotButton="0" quotePrefix="0" xfId="0">
      <alignment horizontal="right" vertical="center" indent="1"/>
    </xf>
    <xf numFmtId="167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19" fillId="2" borderId="1" applyAlignment="1" pivotButton="0" quotePrefix="0" xfId="0">
      <alignment horizontal="right" vertical="center" indent="1"/>
    </xf>
    <xf numFmtId="168" fontId="16" fillId="2" borderId="1" applyAlignment="1" pivotButton="0" quotePrefix="0" xfId="0">
      <alignment horizontal="right" vertical="center" indent="1"/>
    </xf>
    <xf numFmtId="167" fontId="17" fillId="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left" vertical="center" indent="1"/>
    </xf>
    <xf numFmtId="0" fontId="10" fillId="6" borderId="1" applyAlignment="1" pivotButton="0" quotePrefix="0" xfId="0">
      <alignment horizontal="left" vertical="center" indent="1"/>
    </xf>
    <xf numFmtId="168" fontId="21" fillId="6" borderId="1" applyAlignment="1" pivotButton="0" quotePrefix="0" xfId="0">
      <alignment horizontal="right" vertical="center" indent="1"/>
    </xf>
    <xf numFmtId="168" fontId="22" fillId="7" borderId="1" applyAlignment="1" pivotButton="0" quotePrefix="0" xfId="0">
      <alignment horizontal="right" vertical="center" indent="1"/>
    </xf>
    <xf numFmtId="0" fontId="23" fillId="3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left" vertical="center" indent="1"/>
    </xf>
    <xf numFmtId="168" fontId="24" fillId="7" borderId="1" applyAlignment="1" pivotButton="0" quotePrefix="0" xfId="0">
      <alignment horizontal="right" vertical="center" indent="1"/>
    </xf>
    <xf numFmtId="168" fontId="25" fillId="6" borderId="1" applyAlignment="1" pivotButton="0" quotePrefix="0" xfId="0">
      <alignment horizontal="right" vertical="center" indent="1"/>
    </xf>
    <xf numFmtId="168" fontId="16" fillId="6" borderId="1" applyAlignment="1" pivotButton="0" quotePrefix="0" xfId="0">
      <alignment horizontal="right" vertical="center" indent="1"/>
    </xf>
    <xf numFmtId="0" fontId="20" fillId="3" borderId="1" applyAlignment="1" pivotButton="0" quotePrefix="0" xfId="0">
      <alignment horizontal="left" vertical="center" indent="1"/>
    </xf>
    <xf numFmtId="169" fontId="22" fillId="7" borderId="1" applyAlignment="1" pivotButton="0" quotePrefix="0" xfId="0">
      <alignment horizontal="center" vertical="center"/>
    </xf>
    <xf numFmtId="167" fontId="26" fillId="7" borderId="1" applyAlignment="1" pivotButton="0" quotePrefix="0" xfId="0">
      <alignment horizontal="center" vertical="center"/>
    </xf>
    <xf numFmtId="168" fontId="27" fillId="3" borderId="1" applyAlignment="1" pivotButton="0" quotePrefix="0" xfId="0">
      <alignment horizontal="right" vertical="center" indent="1"/>
    </xf>
    <xf numFmtId="169" fontId="17" fillId="3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right" vertical="center" indent="1"/>
    </xf>
    <xf numFmtId="168" fontId="29" fillId="2" borderId="1" applyAlignment="1" pivotButton="0" quotePrefix="0" xfId="0">
      <alignment horizontal="right" vertical="center" indent="1"/>
    </xf>
    <xf numFmtId="167" fontId="16" fillId="2" borderId="1" applyAlignment="1" pivotButton="0" quotePrefix="0" xfId="0">
      <alignment horizontal="center" vertical="center"/>
    </xf>
    <xf numFmtId="167" fontId="29" fillId="2" borderId="1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 vertical="center"/>
    </xf>
    <xf numFmtId="0" fontId="38" fillId="0" borderId="4" pivotButton="0" quotePrefix="0" xfId="0"/>
    <xf numFmtId="0" fontId="39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ont>
        <b val="1"/>
        <color rgb="002F7D4F"/>
      </font>
    </dxf>
    <dxf>
      <fill>
        <patternFill patternType="solid">
          <fgColor rgb="00FBE7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Geral'!M10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Geral'!$M$11:$M$50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você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Ainda na venda, lance o ORÇADO (valor da proposta) e o REALIZADO (valor fechado). A diferença entre os dois já é informação: é o quanto você deu de desconto.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um, e para cada ambiente quem produziu e quem montou, com o % de comissão.</t>
        </is>
      </c>
    </row>
    <row r="18" ht="24" customHeight="1">
      <c r="A18" s="10" t="inlineStr">
        <is>
          <t xml:space="preserve">   6 · Conforme o projeto anda, lance material, terceirizados, logística e retrabalho na coluna REALIZADO.</t>
        </is>
      </c>
    </row>
    <row r="19" ht="24" customHeight="1">
      <c r="A19" s="10" t="inlineStr">
        <is>
          <t xml:space="preserve">   7 · Vá ao Painel Geral e escreva o nome da aba nova numa linha livre da coluna ABA.</t>
        </is>
      </c>
    </row>
    <row r="20" ht="8" customHeight="1"/>
    <row r="21" ht="20" customHeight="1">
      <c r="A21" s="8" t="inlineStr">
        <is>
          <t xml:space="preserve">  A CASCATA DE CÁLCULO — A ORDEM IMPORTA</t>
        </is>
      </c>
      <c r="B21" s="9" t="n"/>
      <c r="C21" s="9" t="n"/>
      <c r="D21" s="9" t="n"/>
      <c r="E21" s="9" t="n"/>
      <c r="F21" s="9" t="n"/>
    </row>
    <row r="22" ht="4" customHeight="1"/>
    <row r="23" ht="24" customHeight="1">
      <c r="A23" s="10" t="inlineStr">
        <is>
          <t xml:space="preserve">   Valor de venda  −  custos de venda (impostos, máquina, taxas, comissão de venda, projeto, RT)  =  RECEITA LÍQUIDA</t>
        </is>
      </c>
    </row>
    <row r="24" ht="30" customHeight="1">
      <c r="A24" s="10" t="inlineStr">
        <is>
          <t xml:space="preserve">   A receita líquida é a base das comissões de coordenação, produção e montagem. Não é o valor de venda. Isso reduz a comissão e é proposital: o marceneiro não deve ser comissionado sobre o imposto e sobre o RT do arquiteto.</t>
        </is>
      </c>
    </row>
    <row r="25" ht="24" customHeight="1">
      <c r="A25" s="10" t="inlineStr">
        <is>
          <t xml:space="preserve">   O RT tem uma base própria: incide sobre a venda menos impostos, máquina e taxas de transação — como você pediu.</t>
        </is>
      </c>
    </row>
    <row r="26" ht="30" customHeight="1">
      <c r="A26" s="10" t="inlineStr">
        <is>
          <t xml:space="preserve">   Depois da receita líquida saem, na ordem: comissões, material, terceirizados, logística e retrabalho. O que sobra é a MARGEM DE CONTRIBUIÇÃO do projeto.</t>
        </is>
      </c>
    </row>
    <row r="27" ht="8" customHeight="1"/>
    <row r="28" ht="20" customHeight="1">
      <c r="A28" s="8" t="inlineStr">
        <is>
          <t xml:space="preserve">  COMO FUNCIONAM AS COMISSÕES POR AMBIENTE</t>
        </is>
      </c>
      <c r="B28" s="9" t="n"/>
      <c r="C28" s="9" t="n"/>
      <c r="D28" s="9" t="n"/>
      <c r="E28" s="9" t="n"/>
      <c r="F28" s="9" t="n"/>
    </row>
    <row r="29" ht="4" customHeight="1"/>
    <row r="30" ht="30" customHeight="1">
      <c r="A30" s="10" t="inlineStr">
        <is>
          <t xml:space="preserve">   Cada ambiente tem um valor em reais. A planilha calcula o % que ele representa do projeto e aplica esse % sobre a receita líquida — essa é a base do ambiente.</t>
        </is>
      </c>
    </row>
    <row r="31" ht="30" customHeight="1">
      <c r="A31" s="10" t="inlineStr">
        <is>
          <t xml:space="preserve">   Sobre a base do ambiente incidem dois percentuais: o de quem produziu e o de quem montou. Pessoas diferentes em ambientes diferentes, cada uma com seu percentual.</t>
        </is>
      </c>
    </row>
    <row r="32" ht="30" customHeight="1">
      <c r="A32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33" ht="30" customHeight="1">
      <c r="A33" s="10" t="inlineStr">
        <is>
          <t xml:space="preserve">   A tabela "Comissões por colaborador" soma tudo automaticamente: quanto cada pessoa leva de produção, de montagem e de coordenação naquele projeto.</t>
        </is>
      </c>
    </row>
    <row r="34" ht="24" customHeight="1">
      <c r="A34" s="10" t="inlineStr">
        <is>
          <t xml:space="preserve">   A soma dos ambientes precisa fechar com o valor de venda. A própria linha de total avisa quando não fecha.</t>
        </is>
      </c>
    </row>
    <row r="35" ht="8" customHeight="1"/>
    <row r="36" ht="20" customHeight="1">
      <c r="A36" s="8" t="inlineStr">
        <is>
          <t xml:space="preserve">  RETRABALHO — A PARTE QUE MAIS ENSINA</t>
        </is>
      </c>
      <c r="B36" s="9" t="n"/>
      <c r="C36" s="9" t="n"/>
      <c r="D36" s="9" t="n"/>
      <c r="E36" s="9" t="n"/>
      <c r="F36" s="9" t="n"/>
    </row>
    <row r="37" ht="4" customHeight="1"/>
    <row r="38" ht="30" customHeight="1">
      <c r="A38" s="10" t="inlineStr">
        <is>
          <t xml:space="preserve">   Registre o que aconteceu, a causa (menu suspenso) e o custo estimado. Não precisa ser exato: o valor aproximado já serve.</t>
        </is>
      </c>
    </row>
    <row r="39" ht="30" customHeight="1">
      <c r="A39" s="10" t="inlineStr">
        <is>
          <t xml:space="preserve">   No orçamento você lança a CONTINGÊNCIA prevista. O desvio entre a contingência e o retrabalho real é o que diz se a sua provisão está no tamanho certo.</t>
        </is>
      </c>
    </row>
    <row r="40" ht="30" customHeight="1">
      <c r="A40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41" ht="8" customHeight="1"/>
    <row r="42" ht="20" customHeight="1">
      <c r="A42" s="8" t="inlineStr">
        <is>
          <t xml:space="preserve">  O PAINEL GERAL</t>
        </is>
      </c>
      <c r="B42" s="9" t="n"/>
      <c r="C42" s="9" t="n"/>
      <c r="D42" s="9" t="n"/>
      <c r="E42" s="9" t="n"/>
      <c r="F42" s="9" t="n"/>
    </row>
    <row r="43" ht="4" customHeight="1"/>
    <row r="44" ht="30" customHeight="1">
      <c r="A44" s="10" t="inlineStr">
        <is>
          <t xml:space="preserve">   Seis indicadores no topo: nº de projetos, vendido, custo total, margem em reais, margem média e percentual de entrega no prazo.</t>
        </is>
      </c>
    </row>
    <row r="45" ht="30" customHeight="1">
      <c r="A45" s="10" t="inlineStr">
        <is>
          <t xml:space="preserve">   A tabela de projetos puxa cada ficha pelo nome da aba. Se o nome estiver errado, a linha fica em branco — não quebra.</t>
        </is>
      </c>
    </row>
    <row r="46" ht="30" customHeight="1">
      <c r="A46" s="10" t="inlineStr">
        <is>
          <t xml:space="preserve">   O bloco "Onde o orçamento erra" soma todos os projetos por categoria e mostra em qual delas você mais estoura. É o retorno direto para a Lavinia ajustar a base de orçamento.</t>
        </is>
      </c>
    </row>
    <row r="47" ht="18" customHeight="1">
      <c r="A47" s="10" t="inlineStr">
        <is>
          <t xml:space="preserve">   Dois gráficos: margem por projeto e desvio do orçamento por categoria.</t>
        </is>
      </c>
    </row>
    <row r="48" ht="8" customHeight="1"/>
    <row r="49" ht="20" customHeight="1">
      <c r="A49" s="8" t="inlineStr">
        <is>
          <t xml:space="preserve">  CUIDADOS</t>
        </is>
      </c>
      <c r="B49" s="9" t="n"/>
      <c r="C49" s="9" t="n"/>
      <c r="D49" s="9" t="n"/>
      <c r="E49" s="9" t="n"/>
      <c r="F49" s="9" t="n"/>
    </row>
    <row r="50" ht="4" customHeight="1"/>
    <row r="51" ht="30" customHeight="1">
      <c r="A51" s="10" t="inlineStr">
        <is>
          <t xml:space="preserve">   Não insira nem apague linhas dentro da ficha. O Painel Geral procura os números em endereços fixos — se a ficha mudar de forma, ele lê a célula errada.</t>
        </is>
      </c>
    </row>
    <row r="52" ht="30" customHeight="1">
      <c r="A52" s="10" t="inlineStr">
        <is>
          <t xml:space="preserve">   Para acrescentar ambientes, colaboradores ou linhas de retrabalho, use as linhas de sobra que já existem em cada bloco.</t>
        </is>
      </c>
    </row>
    <row r="53" ht="30" customHeight="1">
      <c r="A53" s="10" t="inlineStr">
        <is>
          <t xml:space="preserve">   A margem calculada aqui é de CONTRIBUIÇÃO: ela ainda não paga o custo fixo da empresa. Um projeto com 30% de MC não deu 30% de lucro.</t>
        </is>
      </c>
    </row>
    <row r="54" ht="30" customHeight="1">
      <c r="A54" s="10" t="inlineStr">
        <is>
          <t xml:space="preserve">   O custo de retrabalho é estimado por você. Ele não sai de nota fiscal — é a sua leitura do prejuízo, e vale mais registrada por alto do que não registrada.</t>
        </is>
      </c>
    </row>
    <row r="55" ht="8" customHeight="1"/>
    <row r="56" ht="26" customHeight="1">
      <c r="A56" s="11" t="inlineStr">
        <is>
          <t xml:space="preserve">   Abas:   Instruções  ·  Painel Geral  ·  Ficha Modelo (duplique esta)  ·  Exemplo P-2026-041 (preenchido)  ·  Listas</t>
        </is>
      </c>
      <c r="B56" s="7" t="n"/>
      <c r="C56" s="7" t="n"/>
      <c r="D56" s="7" t="n"/>
      <c r="E56" s="7" t="n"/>
      <c r="F56" s="7" t="n"/>
    </row>
  </sheetData>
  <mergeCells count="41">
    <mergeCell ref="A16:F16"/>
    <mergeCell ref="A54:F54"/>
    <mergeCell ref="A46:F46"/>
    <mergeCell ref="A18:F18"/>
    <mergeCell ref="A56:F56"/>
    <mergeCell ref="A3:F3"/>
    <mergeCell ref="A21:F21"/>
    <mergeCell ref="A26:F26"/>
    <mergeCell ref="A2:F2"/>
    <mergeCell ref="A33:F33"/>
    <mergeCell ref="A47:F47"/>
    <mergeCell ref="A42:F42"/>
    <mergeCell ref="A14:F14"/>
    <mergeCell ref="A23:F23"/>
    <mergeCell ref="A32:F32"/>
    <mergeCell ref="A8:F8"/>
    <mergeCell ref="A17:F17"/>
    <mergeCell ref="A4:F4"/>
    <mergeCell ref="A53:F53"/>
    <mergeCell ref="A38:F38"/>
    <mergeCell ref="A52:F52"/>
    <mergeCell ref="A28:F28"/>
    <mergeCell ref="A13:F13"/>
    <mergeCell ref="A19:F19"/>
    <mergeCell ref="A44:F44"/>
    <mergeCell ref="A9:F9"/>
    <mergeCell ref="A31:F31"/>
    <mergeCell ref="A34:F34"/>
    <mergeCell ref="A40:F40"/>
    <mergeCell ref="A30:F30"/>
    <mergeCell ref="A39:F39"/>
    <mergeCell ref="A15:F15"/>
    <mergeCell ref="A24:F24"/>
    <mergeCell ref="A11:F11"/>
    <mergeCell ref="A49:F49"/>
    <mergeCell ref="A51:F51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8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9" customWidth="1" min="13" max="13"/>
    <col width="9" customWidth="1" min="14" max="14"/>
    <col width="9" customWidth="1" min="15" max="15"/>
    <col width="14" customWidth="1" min="16" max="16"/>
    <col width="26" customWidth="1" min="17" max="17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MARGEM DE CONTRIB.</t>
        </is>
      </c>
      <c r="K6" s="13" t="n"/>
      <c r="L6" s="13" t="n"/>
      <c r="M6" s="12" t="inlineStr">
        <is>
          <t>MC MÉDIA</t>
        </is>
      </c>
      <c r="N6" s="13" t="n"/>
      <c r="O6" s="12" t="inlineStr">
        <is>
          <t>ENTREGA NO PRAZO</t>
        </is>
      </c>
      <c r="P6" s="13" t="n"/>
      <c r="Q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7">
        <f>IF(SUM($J$11:$J$50)=0,"",SUM($L$11:$L$50)/SUM($J$11:$J$50))</f>
        <v/>
      </c>
      <c r="N7" s="15" t="n"/>
      <c r="O7" s="18">
        <f>IF(COUNTIF($I$11:$I$50,"No prazo")+COUNTIF($I$11:$I$50,"Atrasado")=0,"",COUNTIF($I$11:$I$50,"No prazo")/(COUNTIF($I$11:$I$50,"No prazo")+COUNTIF($I$11:$I$50,"Atrasado")))</f>
        <v/>
      </c>
      <c r="P7" s="15" t="n"/>
      <c r="Q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MC (R$)</t>
        </is>
      </c>
      <c r="M10" s="19" t="inlineStr">
        <is>
          <t>MC %</t>
        </is>
      </c>
      <c r="N10" s="19" t="inlineStr">
        <is>
          <t>MC % orç.</t>
        </is>
      </c>
      <c r="O10" s="19" t="inlineStr">
        <is>
          <t>Δ p.p.</t>
        </is>
      </c>
      <c r="P10" s="19" t="inlineStr">
        <is>
          <t>Desvio de custo</t>
        </is>
      </c>
      <c r="Q10" s="19" t="inlineStr">
        <is>
          <t>Diagnóstico</t>
        </is>
      </c>
    </row>
    <row r="11" ht="17" customHeight="1">
      <c r="A11" s="20" t="n">
        <v>1</v>
      </c>
      <c r="B11" s="21" t="inlineStr">
        <is>
          <t>Exemplo P-2026-041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IFERROR(INDIRECT("'"&amp;$B11&amp;"'!E13"),"")</f>
        <v/>
      </c>
      <c r="M11" s="27">
        <f>IFERROR(INDIRECT("'"&amp;$B11&amp;"'!G13"),"")</f>
        <v/>
      </c>
      <c r="N11" s="27">
        <f>IFERROR(INDIRECT("'"&amp;$B11&amp;"'!H13"),"")</f>
        <v/>
      </c>
      <c r="O11" s="28">
        <f>IF(OR($M11="",$N11=""),"",ROUND(($M11-$N11)*100,1))</f>
        <v/>
      </c>
      <c r="P11" s="26">
        <f>IFERROR(INDIRECT("'"&amp;$B11&amp;"'!I13"),"")</f>
        <v/>
      </c>
      <c r="Q11" s="29">
        <f>IF($M11="","",IF($M11&gt;=0.35,"Margem boa",IF($M11&gt;=0.25,"Margem apertada","Margem crítica")))</f>
        <v/>
      </c>
      <c r="AH11" s="30">
        <f>IFERROR(INDIRECT("'"&amp;$B11&amp;"'!C107"),"")</f>
        <v/>
      </c>
      <c r="AI11" s="30">
        <f>IFERROR(INDIRECT("'"&amp;$B11&amp;"'!D107"),"")</f>
        <v/>
      </c>
      <c r="AJ11" s="30">
        <f>IFERROR(INDIRECT("'"&amp;$B11&amp;"'!C108"),"")</f>
        <v/>
      </c>
      <c r="AK11" s="30">
        <f>IFERROR(INDIRECT("'"&amp;$B11&amp;"'!D108"),"")</f>
        <v/>
      </c>
      <c r="AL11" s="30">
        <f>IFERROR(INDIRECT("'"&amp;$B11&amp;"'!C109"),"")</f>
        <v/>
      </c>
      <c r="AM11" s="30">
        <f>IFERROR(INDIRECT("'"&amp;$B11&amp;"'!D109"),"")</f>
        <v/>
      </c>
      <c r="AN11" s="30">
        <f>IFERROR(INDIRECT("'"&amp;$B11&amp;"'!C110"),"")</f>
        <v/>
      </c>
      <c r="AO11" s="30">
        <f>IFERROR(INDIRECT("'"&amp;$B11&amp;"'!D110"),"")</f>
        <v/>
      </c>
      <c r="AP11" s="30">
        <f>IFERROR(INDIRECT("'"&amp;$B11&amp;"'!C111"),"")</f>
        <v/>
      </c>
      <c r="AQ11" s="30">
        <f>IFERROR(INDIRECT("'"&amp;$B11&amp;"'!D111"),"")</f>
        <v/>
      </c>
      <c r="AR11" s="30">
        <f>IFERROR(INDIRECT("'"&amp;$B11&amp;"'!C112"),"")</f>
        <v/>
      </c>
      <c r="AS11" s="30">
        <f>IFERROR(INDIRECT("'"&amp;$B11&amp;"'!D112"),"")</f>
        <v/>
      </c>
    </row>
    <row r="12" ht="17" customHeight="1">
      <c r="A12" s="20" t="n">
        <v>2</v>
      </c>
      <c r="B12" s="21" t="n"/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IFERROR(INDIRECT("'"&amp;$B12&amp;"'!E13"),"")</f>
        <v/>
      </c>
      <c r="M12" s="27">
        <f>IFERROR(INDIRECT("'"&amp;$B12&amp;"'!G13"),"")</f>
        <v/>
      </c>
      <c r="N12" s="27">
        <f>IFERROR(INDIRECT("'"&amp;$B12&amp;"'!H13"),"")</f>
        <v/>
      </c>
      <c r="O12" s="28">
        <f>IF(OR($M12="",$N12=""),"",ROUND(($M12-$N12)*100,1))</f>
        <v/>
      </c>
      <c r="P12" s="26">
        <f>IFERROR(INDIRECT("'"&amp;$B12&amp;"'!I13"),"")</f>
        <v/>
      </c>
      <c r="Q12" s="29">
        <f>IF($M12="","",IF($M12&gt;=0.35,"Margem boa",IF($M12&gt;=0.25,"Margem apertada","Margem crítica")))</f>
        <v/>
      </c>
      <c r="AH12" s="30">
        <f>IFERROR(INDIRECT("'"&amp;$B12&amp;"'!C107"),"")</f>
        <v/>
      </c>
      <c r="AI12" s="30">
        <f>IFERROR(INDIRECT("'"&amp;$B12&amp;"'!D107"),"")</f>
        <v/>
      </c>
      <c r="AJ12" s="30">
        <f>IFERROR(INDIRECT("'"&amp;$B12&amp;"'!C108"),"")</f>
        <v/>
      </c>
      <c r="AK12" s="30">
        <f>IFERROR(INDIRECT("'"&amp;$B12&amp;"'!D108"),"")</f>
        <v/>
      </c>
      <c r="AL12" s="30">
        <f>IFERROR(INDIRECT("'"&amp;$B12&amp;"'!C109"),"")</f>
        <v/>
      </c>
      <c r="AM12" s="30">
        <f>IFERROR(INDIRECT("'"&amp;$B12&amp;"'!D109"),"")</f>
        <v/>
      </c>
      <c r="AN12" s="30">
        <f>IFERROR(INDIRECT("'"&amp;$B12&amp;"'!C110"),"")</f>
        <v/>
      </c>
      <c r="AO12" s="30">
        <f>IFERROR(INDIRECT("'"&amp;$B12&amp;"'!D110"),"")</f>
        <v/>
      </c>
      <c r="AP12" s="30">
        <f>IFERROR(INDIRECT("'"&amp;$B12&amp;"'!C111"),"")</f>
        <v/>
      </c>
      <c r="AQ12" s="30">
        <f>IFERROR(INDIRECT("'"&amp;$B12&amp;"'!D111"),"")</f>
        <v/>
      </c>
      <c r="AR12" s="30">
        <f>IFERROR(INDIRECT("'"&amp;$B12&amp;"'!C112"),"")</f>
        <v/>
      </c>
      <c r="AS12" s="30">
        <f>IFERROR(INDIRECT("'"&amp;$B12&amp;"'!D112"),"")</f>
        <v/>
      </c>
    </row>
    <row r="13" ht="17" customHeight="1">
      <c r="A13" s="20" t="n">
        <v>3</v>
      </c>
      <c r="B13" s="21" t="n"/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IFERROR(INDIRECT("'"&amp;$B13&amp;"'!E13"),"")</f>
        <v/>
      </c>
      <c r="M13" s="27">
        <f>IFERROR(INDIRECT("'"&amp;$B13&amp;"'!G13"),"")</f>
        <v/>
      </c>
      <c r="N13" s="27">
        <f>IFERROR(INDIRECT("'"&amp;$B13&amp;"'!H13"),"")</f>
        <v/>
      </c>
      <c r="O13" s="28">
        <f>IF(OR($M13="",$N13=""),"",ROUND(($M13-$N13)*100,1))</f>
        <v/>
      </c>
      <c r="P13" s="26">
        <f>IFERROR(INDIRECT("'"&amp;$B13&amp;"'!I13"),"")</f>
        <v/>
      </c>
      <c r="Q13" s="29">
        <f>IF($M13="","",IF($M13&gt;=0.35,"Margem boa",IF($M13&gt;=0.25,"Margem apertada","Margem crítica")))</f>
        <v/>
      </c>
      <c r="AH13" s="30">
        <f>IFERROR(INDIRECT("'"&amp;$B13&amp;"'!C107"),"")</f>
        <v/>
      </c>
      <c r="AI13" s="30">
        <f>IFERROR(INDIRECT("'"&amp;$B13&amp;"'!D107"),"")</f>
        <v/>
      </c>
      <c r="AJ13" s="30">
        <f>IFERROR(INDIRECT("'"&amp;$B13&amp;"'!C108"),"")</f>
        <v/>
      </c>
      <c r="AK13" s="30">
        <f>IFERROR(INDIRECT("'"&amp;$B13&amp;"'!D108"),"")</f>
        <v/>
      </c>
      <c r="AL13" s="30">
        <f>IFERROR(INDIRECT("'"&amp;$B13&amp;"'!C109"),"")</f>
        <v/>
      </c>
      <c r="AM13" s="30">
        <f>IFERROR(INDIRECT("'"&amp;$B13&amp;"'!D109"),"")</f>
        <v/>
      </c>
      <c r="AN13" s="30">
        <f>IFERROR(INDIRECT("'"&amp;$B13&amp;"'!C110"),"")</f>
        <v/>
      </c>
      <c r="AO13" s="30">
        <f>IFERROR(INDIRECT("'"&amp;$B13&amp;"'!D110"),"")</f>
        <v/>
      </c>
      <c r="AP13" s="30">
        <f>IFERROR(INDIRECT("'"&amp;$B13&amp;"'!C111"),"")</f>
        <v/>
      </c>
      <c r="AQ13" s="30">
        <f>IFERROR(INDIRECT("'"&amp;$B13&amp;"'!D111"),"")</f>
        <v/>
      </c>
      <c r="AR13" s="30">
        <f>IFERROR(INDIRECT("'"&amp;$B13&amp;"'!C112"),"")</f>
        <v/>
      </c>
      <c r="AS13" s="30">
        <f>IFERROR(INDIRECT("'"&amp;$B13&amp;"'!D112"),"")</f>
        <v/>
      </c>
    </row>
    <row r="14" ht="17" customHeight="1">
      <c r="A14" s="20" t="n">
        <v>4</v>
      </c>
      <c r="B14" s="21" t="n"/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IFERROR(INDIRECT("'"&amp;$B14&amp;"'!E13"),"")</f>
        <v/>
      </c>
      <c r="M14" s="27">
        <f>IFERROR(INDIRECT("'"&amp;$B14&amp;"'!G13"),"")</f>
        <v/>
      </c>
      <c r="N14" s="27">
        <f>IFERROR(INDIRECT("'"&amp;$B14&amp;"'!H13"),"")</f>
        <v/>
      </c>
      <c r="O14" s="28">
        <f>IF(OR($M14="",$N14=""),"",ROUND(($M14-$N14)*100,1))</f>
        <v/>
      </c>
      <c r="P14" s="26">
        <f>IFERROR(INDIRECT("'"&amp;$B14&amp;"'!I13"),"")</f>
        <v/>
      </c>
      <c r="Q14" s="29">
        <f>IF($M14="","",IF($M14&gt;=0.35,"Margem boa",IF($M14&gt;=0.25,"Margem apertada","Margem crítica")))</f>
        <v/>
      </c>
      <c r="AH14" s="30">
        <f>IFERROR(INDIRECT("'"&amp;$B14&amp;"'!C107"),"")</f>
        <v/>
      </c>
      <c r="AI14" s="30">
        <f>IFERROR(INDIRECT("'"&amp;$B14&amp;"'!D107"),"")</f>
        <v/>
      </c>
      <c r="AJ14" s="30">
        <f>IFERROR(INDIRECT("'"&amp;$B14&amp;"'!C108"),"")</f>
        <v/>
      </c>
      <c r="AK14" s="30">
        <f>IFERROR(INDIRECT("'"&amp;$B14&amp;"'!D108"),"")</f>
        <v/>
      </c>
      <c r="AL14" s="30">
        <f>IFERROR(INDIRECT("'"&amp;$B14&amp;"'!C109"),"")</f>
        <v/>
      </c>
      <c r="AM14" s="30">
        <f>IFERROR(INDIRECT("'"&amp;$B14&amp;"'!D109"),"")</f>
        <v/>
      </c>
      <c r="AN14" s="30">
        <f>IFERROR(INDIRECT("'"&amp;$B14&amp;"'!C110"),"")</f>
        <v/>
      </c>
      <c r="AO14" s="30">
        <f>IFERROR(INDIRECT("'"&amp;$B14&amp;"'!D110"),"")</f>
        <v/>
      </c>
      <c r="AP14" s="30">
        <f>IFERROR(INDIRECT("'"&amp;$B14&amp;"'!C111"),"")</f>
        <v/>
      </c>
      <c r="AQ14" s="30">
        <f>IFERROR(INDIRECT("'"&amp;$B14&amp;"'!D111"),"")</f>
        <v/>
      </c>
      <c r="AR14" s="30">
        <f>IFERROR(INDIRECT("'"&amp;$B14&amp;"'!C112"),"")</f>
        <v/>
      </c>
      <c r="AS14" s="30">
        <f>IFERROR(INDIRECT("'"&amp;$B14&amp;"'!D112"),"")</f>
        <v/>
      </c>
    </row>
    <row r="15" ht="17" customHeight="1">
      <c r="A15" s="20" t="n">
        <v>5</v>
      </c>
      <c r="B15" s="21" t="n"/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IFERROR(INDIRECT("'"&amp;$B15&amp;"'!E13"),"")</f>
        <v/>
      </c>
      <c r="M15" s="27">
        <f>IFERROR(INDIRECT("'"&amp;$B15&amp;"'!G13"),"")</f>
        <v/>
      </c>
      <c r="N15" s="27">
        <f>IFERROR(INDIRECT("'"&amp;$B15&amp;"'!H13"),"")</f>
        <v/>
      </c>
      <c r="O15" s="28">
        <f>IF(OR($M15="",$N15=""),"",ROUND(($M15-$N15)*100,1))</f>
        <v/>
      </c>
      <c r="P15" s="26">
        <f>IFERROR(INDIRECT("'"&amp;$B15&amp;"'!I13"),"")</f>
        <v/>
      </c>
      <c r="Q15" s="29">
        <f>IF($M15="","",IF($M15&gt;=0.35,"Margem boa",IF($M15&gt;=0.25,"Margem apertada","Margem crítica")))</f>
        <v/>
      </c>
      <c r="AH15" s="30">
        <f>IFERROR(INDIRECT("'"&amp;$B15&amp;"'!C107"),"")</f>
        <v/>
      </c>
      <c r="AI15" s="30">
        <f>IFERROR(INDIRECT("'"&amp;$B15&amp;"'!D107"),"")</f>
        <v/>
      </c>
      <c r="AJ15" s="30">
        <f>IFERROR(INDIRECT("'"&amp;$B15&amp;"'!C108"),"")</f>
        <v/>
      </c>
      <c r="AK15" s="30">
        <f>IFERROR(INDIRECT("'"&amp;$B15&amp;"'!D108"),"")</f>
        <v/>
      </c>
      <c r="AL15" s="30">
        <f>IFERROR(INDIRECT("'"&amp;$B15&amp;"'!C109"),"")</f>
        <v/>
      </c>
      <c r="AM15" s="30">
        <f>IFERROR(INDIRECT("'"&amp;$B15&amp;"'!D109"),"")</f>
        <v/>
      </c>
      <c r="AN15" s="30">
        <f>IFERROR(INDIRECT("'"&amp;$B15&amp;"'!C110"),"")</f>
        <v/>
      </c>
      <c r="AO15" s="30">
        <f>IFERROR(INDIRECT("'"&amp;$B15&amp;"'!D110"),"")</f>
        <v/>
      </c>
      <c r="AP15" s="30">
        <f>IFERROR(INDIRECT("'"&amp;$B15&amp;"'!C111"),"")</f>
        <v/>
      </c>
      <c r="AQ15" s="30">
        <f>IFERROR(INDIRECT("'"&amp;$B15&amp;"'!D111"),"")</f>
        <v/>
      </c>
      <c r="AR15" s="30">
        <f>IFERROR(INDIRECT("'"&amp;$B15&amp;"'!C112"),"")</f>
        <v/>
      </c>
      <c r="AS15" s="30">
        <f>IFERROR(INDIRECT("'"&amp;$B15&amp;"'!D112"),"")</f>
        <v/>
      </c>
    </row>
    <row r="16" ht="17" customHeight="1">
      <c r="A16" s="20" t="n">
        <v>6</v>
      </c>
      <c r="B16" s="21" t="n"/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IFERROR(INDIRECT("'"&amp;$B16&amp;"'!E13"),"")</f>
        <v/>
      </c>
      <c r="M16" s="27">
        <f>IFERROR(INDIRECT("'"&amp;$B16&amp;"'!G13"),"")</f>
        <v/>
      </c>
      <c r="N16" s="27">
        <f>IFERROR(INDIRECT("'"&amp;$B16&amp;"'!H13"),"")</f>
        <v/>
      </c>
      <c r="O16" s="28">
        <f>IF(OR($M16="",$N16=""),"",ROUND(($M16-$N16)*100,1))</f>
        <v/>
      </c>
      <c r="P16" s="26">
        <f>IFERROR(INDIRECT("'"&amp;$B16&amp;"'!I13"),"")</f>
        <v/>
      </c>
      <c r="Q16" s="29">
        <f>IF($M16="","",IF($M16&gt;=0.35,"Margem boa",IF($M16&gt;=0.25,"Margem apertada","Margem crítica")))</f>
        <v/>
      </c>
      <c r="AH16" s="30">
        <f>IFERROR(INDIRECT("'"&amp;$B16&amp;"'!C107"),"")</f>
        <v/>
      </c>
      <c r="AI16" s="30">
        <f>IFERROR(INDIRECT("'"&amp;$B16&amp;"'!D107"),"")</f>
        <v/>
      </c>
      <c r="AJ16" s="30">
        <f>IFERROR(INDIRECT("'"&amp;$B16&amp;"'!C108"),"")</f>
        <v/>
      </c>
      <c r="AK16" s="30">
        <f>IFERROR(INDIRECT("'"&amp;$B16&amp;"'!D108"),"")</f>
        <v/>
      </c>
      <c r="AL16" s="30">
        <f>IFERROR(INDIRECT("'"&amp;$B16&amp;"'!C109"),"")</f>
        <v/>
      </c>
      <c r="AM16" s="30">
        <f>IFERROR(INDIRECT("'"&amp;$B16&amp;"'!D109"),"")</f>
        <v/>
      </c>
      <c r="AN16" s="30">
        <f>IFERROR(INDIRECT("'"&amp;$B16&amp;"'!C110"),"")</f>
        <v/>
      </c>
      <c r="AO16" s="30">
        <f>IFERROR(INDIRECT("'"&amp;$B16&amp;"'!D110"),"")</f>
        <v/>
      </c>
      <c r="AP16" s="30">
        <f>IFERROR(INDIRECT("'"&amp;$B16&amp;"'!C111"),"")</f>
        <v/>
      </c>
      <c r="AQ16" s="30">
        <f>IFERROR(INDIRECT("'"&amp;$B16&amp;"'!D111"),"")</f>
        <v/>
      </c>
      <c r="AR16" s="30">
        <f>IFERROR(INDIRECT("'"&amp;$B16&amp;"'!C112"),"")</f>
        <v/>
      </c>
      <c r="AS16" s="30">
        <f>IFERROR(INDIRECT("'"&amp;$B16&amp;"'!D112"),"")</f>
        <v/>
      </c>
    </row>
    <row r="17" ht="17" customHeight="1">
      <c r="A17" s="20" t="n">
        <v>7</v>
      </c>
      <c r="B17" s="21" t="n"/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IFERROR(INDIRECT("'"&amp;$B17&amp;"'!E13"),"")</f>
        <v/>
      </c>
      <c r="M17" s="27">
        <f>IFERROR(INDIRECT("'"&amp;$B17&amp;"'!G13"),"")</f>
        <v/>
      </c>
      <c r="N17" s="27">
        <f>IFERROR(INDIRECT("'"&amp;$B17&amp;"'!H13"),"")</f>
        <v/>
      </c>
      <c r="O17" s="28">
        <f>IF(OR($M17="",$N17=""),"",ROUND(($M17-$N17)*100,1))</f>
        <v/>
      </c>
      <c r="P17" s="26">
        <f>IFERROR(INDIRECT("'"&amp;$B17&amp;"'!I13"),"")</f>
        <v/>
      </c>
      <c r="Q17" s="29">
        <f>IF($M17="","",IF($M17&gt;=0.35,"Margem boa",IF($M17&gt;=0.25,"Margem apertada","Margem crítica")))</f>
        <v/>
      </c>
      <c r="AH17" s="30">
        <f>IFERROR(INDIRECT("'"&amp;$B17&amp;"'!C107"),"")</f>
        <v/>
      </c>
      <c r="AI17" s="30">
        <f>IFERROR(INDIRECT("'"&amp;$B17&amp;"'!D107"),"")</f>
        <v/>
      </c>
      <c r="AJ17" s="30">
        <f>IFERROR(INDIRECT("'"&amp;$B17&amp;"'!C108"),"")</f>
        <v/>
      </c>
      <c r="AK17" s="30">
        <f>IFERROR(INDIRECT("'"&amp;$B17&amp;"'!D108"),"")</f>
        <v/>
      </c>
      <c r="AL17" s="30">
        <f>IFERROR(INDIRECT("'"&amp;$B17&amp;"'!C109"),"")</f>
        <v/>
      </c>
      <c r="AM17" s="30">
        <f>IFERROR(INDIRECT("'"&amp;$B17&amp;"'!D109"),"")</f>
        <v/>
      </c>
      <c r="AN17" s="30">
        <f>IFERROR(INDIRECT("'"&amp;$B17&amp;"'!C110"),"")</f>
        <v/>
      </c>
      <c r="AO17" s="30">
        <f>IFERROR(INDIRECT("'"&amp;$B17&amp;"'!D110"),"")</f>
        <v/>
      </c>
      <c r="AP17" s="30">
        <f>IFERROR(INDIRECT("'"&amp;$B17&amp;"'!C111"),"")</f>
        <v/>
      </c>
      <c r="AQ17" s="30">
        <f>IFERROR(INDIRECT("'"&amp;$B17&amp;"'!D111"),"")</f>
        <v/>
      </c>
      <c r="AR17" s="30">
        <f>IFERROR(INDIRECT("'"&amp;$B17&amp;"'!C112"),"")</f>
        <v/>
      </c>
      <c r="AS17" s="30">
        <f>IFERROR(INDIRECT("'"&amp;$B17&amp;"'!D112"),"")</f>
        <v/>
      </c>
    </row>
    <row r="18" ht="17" customHeight="1">
      <c r="A18" s="20" t="n">
        <v>8</v>
      </c>
      <c r="B18" s="21" t="n"/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IFERROR(INDIRECT("'"&amp;$B18&amp;"'!E13"),"")</f>
        <v/>
      </c>
      <c r="M18" s="27">
        <f>IFERROR(INDIRECT("'"&amp;$B18&amp;"'!G13"),"")</f>
        <v/>
      </c>
      <c r="N18" s="27">
        <f>IFERROR(INDIRECT("'"&amp;$B18&amp;"'!H13"),"")</f>
        <v/>
      </c>
      <c r="O18" s="28">
        <f>IF(OR($M18="",$N18=""),"",ROUND(($M18-$N18)*100,1))</f>
        <v/>
      </c>
      <c r="P18" s="26">
        <f>IFERROR(INDIRECT("'"&amp;$B18&amp;"'!I13"),"")</f>
        <v/>
      </c>
      <c r="Q18" s="29">
        <f>IF($M18="","",IF($M18&gt;=0.35,"Margem boa",IF($M18&gt;=0.25,"Margem apertada","Margem crítica")))</f>
        <v/>
      </c>
      <c r="AH18" s="30">
        <f>IFERROR(INDIRECT("'"&amp;$B18&amp;"'!C107"),"")</f>
        <v/>
      </c>
      <c r="AI18" s="30">
        <f>IFERROR(INDIRECT("'"&amp;$B18&amp;"'!D107"),"")</f>
        <v/>
      </c>
      <c r="AJ18" s="30">
        <f>IFERROR(INDIRECT("'"&amp;$B18&amp;"'!C108"),"")</f>
        <v/>
      </c>
      <c r="AK18" s="30">
        <f>IFERROR(INDIRECT("'"&amp;$B18&amp;"'!D108"),"")</f>
        <v/>
      </c>
      <c r="AL18" s="30">
        <f>IFERROR(INDIRECT("'"&amp;$B18&amp;"'!C109"),"")</f>
        <v/>
      </c>
      <c r="AM18" s="30">
        <f>IFERROR(INDIRECT("'"&amp;$B18&amp;"'!D109"),"")</f>
        <v/>
      </c>
      <c r="AN18" s="30">
        <f>IFERROR(INDIRECT("'"&amp;$B18&amp;"'!C110"),"")</f>
        <v/>
      </c>
      <c r="AO18" s="30">
        <f>IFERROR(INDIRECT("'"&amp;$B18&amp;"'!D110"),"")</f>
        <v/>
      </c>
      <c r="AP18" s="30">
        <f>IFERROR(INDIRECT("'"&amp;$B18&amp;"'!C111"),"")</f>
        <v/>
      </c>
      <c r="AQ18" s="30">
        <f>IFERROR(INDIRECT("'"&amp;$B18&amp;"'!D111"),"")</f>
        <v/>
      </c>
      <c r="AR18" s="30">
        <f>IFERROR(INDIRECT("'"&amp;$B18&amp;"'!C112"),"")</f>
        <v/>
      </c>
      <c r="AS18" s="30">
        <f>IFERROR(INDIRECT("'"&amp;$B18&amp;"'!D112"),"")</f>
        <v/>
      </c>
    </row>
    <row r="19" ht="17" customHeight="1">
      <c r="A19" s="20" t="n">
        <v>9</v>
      </c>
      <c r="B19" s="21" t="n"/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IFERROR(INDIRECT("'"&amp;$B19&amp;"'!E13"),"")</f>
        <v/>
      </c>
      <c r="M19" s="27">
        <f>IFERROR(INDIRECT("'"&amp;$B19&amp;"'!G13"),"")</f>
        <v/>
      </c>
      <c r="N19" s="27">
        <f>IFERROR(INDIRECT("'"&amp;$B19&amp;"'!H13"),"")</f>
        <v/>
      </c>
      <c r="O19" s="28">
        <f>IF(OR($M19="",$N19=""),"",ROUND(($M19-$N19)*100,1))</f>
        <v/>
      </c>
      <c r="P19" s="26">
        <f>IFERROR(INDIRECT("'"&amp;$B19&amp;"'!I13"),"")</f>
        <v/>
      </c>
      <c r="Q19" s="29">
        <f>IF($M19="","",IF($M19&gt;=0.35,"Margem boa",IF($M19&gt;=0.25,"Margem apertada","Margem crítica")))</f>
        <v/>
      </c>
      <c r="AH19" s="30">
        <f>IFERROR(INDIRECT("'"&amp;$B19&amp;"'!C107"),"")</f>
        <v/>
      </c>
      <c r="AI19" s="30">
        <f>IFERROR(INDIRECT("'"&amp;$B19&amp;"'!D107"),"")</f>
        <v/>
      </c>
      <c r="AJ19" s="30">
        <f>IFERROR(INDIRECT("'"&amp;$B19&amp;"'!C108"),"")</f>
        <v/>
      </c>
      <c r="AK19" s="30">
        <f>IFERROR(INDIRECT("'"&amp;$B19&amp;"'!D108"),"")</f>
        <v/>
      </c>
      <c r="AL19" s="30">
        <f>IFERROR(INDIRECT("'"&amp;$B19&amp;"'!C109"),"")</f>
        <v/>
      </c>
      <c r="AM19" s="30">
        <f>IFERROR(INDIRECT("'"&amp;$B19&amp;"'!D109"),"")</f>
        <v/>
      </c>
      <c r="AN19" s="30">
        <f>IFERROR(INDIRECT("'"&amp;$B19&amp;"'!C110"),"")</f>
        <v/>
      </c>
      <c r="AO19" s="30">
        <f>IFERROR(INDIRECT("'"&amp;$B19&amp;"'!D110"),"")</f>
        <v/>
      </c>
      <c r="AP19" s="30">
        <f>IFERROR(INDIRECT("'"&amp;$B19&amp;"'!C111"),"")</f>
        <v/>
      </c>
      <c r="AQ19" s="30">
        <f>IFERROR(INDIRECT("'"&amp;$B19&amp;"'!D111"),"")</f>
        <v/>
      </c>
      <c r="AR19" s="30">
        <f>IFERROR(INDIRECT("'"&amp;$B19&amp;"'!C112"),"")</f>
        <v/>
      </c>
      <c r="AS19" s="30">
        <f>IFERROR(INDIRECT("'"&amp;$B19&amp;"'!D112"),"")</f>
        <v/>
      </c>
    </row>
    <row r="20" ht="17" customHeight="1">
      <c r="A20" s="20" t="n">
        <v>10</v>
      </c>
      <c r="B20" s="21" t="n"/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IFERROR(INDIRECT("'"&amp;$B20&amp;"'!E13"),"")</f>
        <v/>
      </c>
      <c r="M20" s="27">
        <f>IFERROR(INDIRECT("'"&amp;$B20&amp;"'!G13"),"")</f>
        <v/>
      </c>
      <c r="N20" s="27">
        <f>IFERROR(INDIRECT("'"&amp;$B20&amp;"'!H13"),"")</f>
        <v/>
      </c>
      <c r="O20" s="28">
        <f>IF(OR($M20="",$N20=""),"",ROUND(($M20-$N20)*100,1))</f>
        <v/>
      </c>
      <c r="P20" s="26">
        <f>IFERROR(INDIRECT("'"&amp;$B20&amp;"'!I13"),"")</f>
        <v/>
      </c>
      <c r="Q20" s="29">
        <f>IF($M20="","",IF($M20&gt;=0.35,"Margem boa",IF($M20&gt;=0.25,"Margem apertada","Margem crítica")))</f>
        <v/>
      </c>
      <c r="AH20" s="30">
        <f>IFERROR(INDIRECT("'"&amp;$B20&amp;"'!C107"),"")</f>
        <v/>
      </c>
      <c r="AI20" s="30">
        <f>IFERROR(INDIRECT("'"&amp;$B20&amp;"'!D107"),"")</f>
        <v/>
      </c>
      <c r="AJ20" s="30">
        <f>IFERROR(INDIRECT("'"&amp;$B20&amp;"'!C108"),"")</f>
        <v/>
      </c>
      <c r="AK20" s="30">
        <f>IFERROR(INDIRECT("'"&amp;$B20&amp;"'!D108"),"")</f>
        <v/>
      </c>
      <c r="AL20" s="30">
        <f>IFERROR(INDIRECT("'"&amp;$B20&amp;"'!C109"),"")</f>
        <v/>
      </c>
      <c r="AM20" s="30">
        <f>IFERROR(INDIRECT("'"&amp;$B20&amp;"'!D109"),"")</f>
        <v/>
      </c>
      <c r="AN20" s="30">
        <f>IFERROR(INDIRECT("'"&amp;$B20&amp;"'!C110"),"")</f>
        <v/>
      </c>
      <c r="AO20" s="30">
        <f>IFERROR(INDIRECT("'"&amp;$B20&amp;"'!D110"),"")</f>
        <v/>
      </c>
      <c r="AP20" s="30">
        <f>IFERROR(INDIRECT("'"&amp;$B20&amp;"'!C111"),"")</f>
        <v/>
      </c>
      <c r="AQ20" s="30">
        <f>IFERROR(INDIRECT("'"&amp;$B20&amp;"'!D111"),"")</f>
        <v/>
      </c>
      <c r="AR20" s="30">
        <f>IFERROR(INDIRECT("'"&amp;$B20&amp;"'!C112"),"")</f>
        <v/>
      </c>
      <c r="AS20" s="30">
        <f>IFERROR(INDIRECT("'"&amp;$B20&amp;"'!D112"),"")</f>
        <v/>
      </c>
    </row>
    <row r="21" ht="17" customHeight="1">
      <c r="A21" s="20" t="n">
        <v>11</v>
      </c>
      <c r="B21" s="21" t="n"/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IFERROR(INDIRECT("'"&amp;$B21&amp;"'!E13"),"")</f>
        <v/>
      </c>
      <c r="M21" s="27">
        <f>IFERROR(INDIRECT("'"&amp;$B21&amp;"'!G13"),"")</f>
        <v/>
      </c>
      <c r="N21" s="27">
        <f>IFERROR(INDIRECT("'"&amp;$B21&amp;"'!H13"),"")</f>
        <v/>
      </c>
      <c r="O21" s="28">
        <f>IF(OR($M21="",$N21=""),"",ROUND(($M21-$N21)*100,1))</f>
        <v/>
      </c>
      <c r="P21" s="26">
        <f>IFERROR(INDIRECT("'"&amp;$B21&amp;"'!I13"),"")</f>
        <v/>
      </c>
      <c r="Q21" s="29">
        <f>IF($M21="","",IF($M21&gt;=0.35,"Margem boa",IF($M21&gt;=0.25,"Margem apertada","Margem crítica")))</f>
        <v/>
      </c>
      <c r="AH21" s="30">
        <f>IFERROR(INDIRECT("'"&amp;$B21&amp;"'!C107"),"")</f>
        <v/>
      </c>
      <c r="AI21" s="30">
        <f>IFERROR(INDIRECT("'"&amp;$B21&amp;"'!D107"),"")</f>
        <v/>
      </c>
      <c r="AJ21" s="30">
        <f>IFERROR(INDIRECT("'"&amp;$B21&amp;"'!C108"),"")</f>
        <v/>
      </c>
      <c r="AK21" s="30">
        <f>IFERROR(INDIRECT("'"&amp;$B21&amp;"'!D108"),"")</f>
        <v/>
      </c>
      <c r="AL21" s="30">
        <f>IFERROR(INDIRECT("'"&amp;$B21&amp;"'!C109"),"")</f>
        <v/>
      </c>
      <c r="AM21" s="30">
        <f>IFERROR(INDIRECT("'"&amp;$B21&amp;"'!D109"),"")</f>
        <v/>
      </c>
      <c r="AN21" s="30">
        <f>IFERROR(INDIRECT("'"&amp;$B21&amp;"'!C110"),"")</f>
        <v/>
      </c>
      <c r="AO21" s="30">
        <f>IFERROR(INDIRECT("'"&amp;$B21&amp;"'!D110"),"")</f>
        <v/>
      </c>
      <c r="AP21" s="30">
        <f>IFERROR(INDIRECT("'"&amp;$B21&amp;"'!C111"),"")</f>
        <v/>
      </c>
      <c r="AQ21" s="30">
        <f>IFERROR(INDIRECT("'"&amp;$B21&amp;"'!D111"),"")</f>
        <v/>
      </c>
      <c r="AR21" s="30">
        <f>IFERROR(INDIRECT("'"&amp;$B21&amp;"'!C112"),"")</f>
        <v/>
      </c>
      <c r="AS21" s="30">
        <f>IFERROR(INDIRECT("'"&amp;$B21&amp;"'!D112"),"")</f>
        <v/>
      </c>
    </row>
    <row r="22" ht="17" customHeight="1">
      <c r="A22" s="20" t="n">
        <v>12</v>
      </c>
      <c r="B22" s="21" t="n"/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IFERROR(INDIRECT("'"&amp;$B22&amp;"'!E13"),"")</f>
        <v/>
      </c>
      <c r="M22" s="27">
        <f>IFERROR(INDIRECT("'"&amp;$B22&amp;"'!G13"),"")</f>
        <v/>
      </c>
      <c r="N22" s="27">
        <f>IFERROR(INDIRECT("'"&amp;$B22&amp;"'!H13"),"")</f>
        <v/>
      </c>
      <c r="O22" s="28">
        <f>IF(OR($M22="",$N22=""),"",ROUND(($M22-$N22)*100,1))</f>
        <v/>
      </c>
      <c r="P22" s="26">
        <f>IFERROR(INDIRECT("'"&amp;$B22&amp;"'!I13"),"")</f>
        <v/>
      </c>
      <c r="Q22" s="29">
        <f>IF($M22="","",IF($M22&gt;=0.35,"Margem boa",IF($M22&gt;=0.25,"Margem apertada","Margem crítica")))</f>
        <v/>
      </c>
      <c r="AH22" s="30">
        <f>IFERROR(INDIRECT("'"&amp;$B22&amp;"'!C107"),"")</f>
        <v/>
      </c>
      <c r="AI22" s="30">
        <f>IFERROR(INDIRECT("'"&amp;$B22&amp;"'!D107"),"")</f>
        <v/>
      </c>
      <c r="AJ22" s="30">
        <f>IFERROR(INDIRECT("'"&amp;$B22&amp;"'!C108"),"")</f>
        <v/>
      </c>
      <c r="AK22" s="30">
        <f>IFERROR(INDIRECT("'"&amp;$B22&amp;"'!D108"),"")</f>
        <v/>
      </c>
      <c r="AL22" s="30">
        <f>IFERROR(INDIRECT("'"&amp;$B22&amp;"'!C109"),"")</f>
        <v/>
      </c>
      <c r="AM22" s="30">
        <f>IFERROR(INDIRECT("'"&amp;$B22&amp;"'!D109"),"")</f>
        <v/>
      </c>
      <c r="AN22" s="30">
        <f>IFERROR(INDIRECT("'"&amp;$B22&amp;"'!C110"),"")</f>
        <v/>
      </c>
      <c r="AO22" s="30">
        <f>IFERROR(INDIRECT("'"&amp;$B22&amp;"'!D110"),"")</f>
        <v/>
      </c>
      <c r="AP22" s="30">
        <f>IFERROR(INDIRECT("'"&amp;$B22&amp;"'!C111"),"")</f>
        <v/>
      </c>
      <c r="AQ22" s="30">
        <f>IFERROR(INDIRECT("'"&amp;$B22&amp;"'!D111"),"")</f>
        <v/>
      </c>
      <c r="AR22" s="30">
        <f>IFERROR(INDIRECT("'"&amp;$B22&amp;"'!C112"),"")</f>
        <v/>
      </c>
      <c r="AS22" s="30">
        <f>IFERROR(INDIRECT("'"&amp;$B22&amp;"'!D112"),"")</f>
        <v/>
      </c>
    </row>
    <row r="23" ht="17" customHeight="1">
      <c r="A23" s="20" t="n">
        <v>13</v>
      </c>
      <c r="B23" s="21" t="n"/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IFERROR(INDIRECT("'"&amp;$B23&amp;"'!E13"),"")</f>
        <v/>
      </c>
      <c r="M23" s="27">
        <f>IFERROR(INDIRECT("'"&amp;$B23&amp;"'!G13"),"")</f>
        <v/>
      </c>
      <c r="N23" s="27">
        <f>IFERROR(INDIRECT("'"&amp;$B23&amp;"'!H13"),"")</f>
        <v/>
      </c>
      <c r="O23" s="28">
        <f>IF(OR($M23="",$N23=""),"",ROUND(($M23-$N23)*100,1))</f>
        <v/>
      </c>
      <c r="P23" s="26">
        <f>IFERROR(INDIRECT("'"&amp;$B23&amp;"'!I13"),"")</f>
        <v/>
      </c>
      <c r="Q23" s="29">
        <f>IF($M23="","",IF($M23&gt;=0.35,"Margem boa",IF($M23&gt;=0.25,"Margem apertada","Margem crítica")))</f>
        <v/>
      </c>
      <c r="AH23" s="30">
        <f>IFERROR(INDIRECT("'"&amp;$B23&amp;"'!C107"),"")</f>
        <v/>
      </c>
      <c r="AI23" s="30">
        <f>IFERROR(INDIRECT("'"&amp;$B23&amp;"'!D107"),"")</f>
        <v/>
      </c>
      <c r="AJ23" s="30">
        <f>IFERROR(INDIRECT("'"&amp;$B23&amp;"'!C108"),"")</f>
        <v/>
      </c>
      <c r="AK23" s="30">
        <f>IFERROR(INDIRECT("'"&amp;$B23&amp;"'!D108"),"")</f>
        <v/>
      </c>
      <c r="AL23" s="30">
        <f>IFERROR(INDIRECT("'"&amp;$B23&amp;"'!C109"),"")</f>
        <v/>
      </c>
      <c r="AM23" s="30">
        <f>IFERROR(INDIRECT("'"&amp;$B23&amp;"'!D109"),"")</f>
        <v/>
      </c>
      <c r="AN23" s="30">
        <f>IFERROR(INDIRECT("'"&amp;$B23&amp;"'!C110"),"")</f>
        <v/>
      </c>
      <c r="AO23" s="30">
        <f>IFERROR(INDIRECT("'"&amp;$B23&amp;"'!D110"),"")</f>
        <v/>
      </c>
      <c r="AP23" s="30">
        <f>IFERROR(INDIRECT("'"&amp;$B23&amp;"'!C111"),"")</f>
        <v/>
      </c>
      <c r="AQ23" s="30">
        <f>IFERROR(INDIRECT("'"&amp;$B23&amp;"'!D111"),"")</f>
        <v/>
      </c>
      <c r="AR23" s="30">
        <f>IFERROR(INDIRECT("'"&amp;$B23&amp;"'!C112"),"")</f>
        <v/>
      </c>
      <c r="AS23" s="30">
        <f>IFERROR(INDIRECT("'"&amp;$B23&amp;"'!D112"),"")</f>
        <v/>
      </c>
    </row>
    <row r="24" ht="17" customHeight="1">
      <c r="A24" s="20" t="n">
        <v>14</v>
      </c>
      <c r="B24" s="21" t="n"/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IFERROR(INDIRECT("'"&amp;$B24&amp;"'!E13"),"")</f>
        <v/>
      </c>
      <c r="M24" s="27">
        <f>IFERROR(INDIRECT("'"&amp;$B24&amp;"'!G13"),"")</f>
        <v/>
      </c>
      <c r="N24" s="27">
        <f>IFERROR(INDIRECT("'"&amp;$B24&amp;"'!H13"),"")</f>
        <v/>
      </c>
      <c r="O24" s="28">
        <f>IF(OR($M24="",$N24=""),"",ROUND(($M24-$N24)*100,1))</f>
        <v/>
      </c>
      <c r="P24" s="26">
        <f>IFERROR(INDIRECT("'"&amp;$B24&amp;"'!I13"),"")</f>
        <v/>
      </c>
      <c r="Q24" s="29">
        <f>IF($M24="","",IF($M24&gt;=0.35,"Margem boa",IF($M24&gt;=0.25,"Margem apertada","Margem crítica")))</f>
        <v/>
      </c>
      <c r="AH24" s="30">
        <f>IFERROR(INDIRECT("'"&amp;$B24&amp;"'!C107"),"")</f>
        <v/>
      </c>
      <c r="AI24" s="30">
        <f>IFERROR(INDIRECT("'"&amp;$B24&amp;"'!D107"),"")</f>
        <v/>
      </c>
      <c r="AJ24" s="30">
        <f>IFERROR(INDIRECT("'"&amp;$B24&amp;"'!C108"),"")</f>
        <v/>
      </c>
      <c r="AK24" s="30">
        <f>IFERROR(INDIRECT("'"&amp;$B24&amp;"'!D108"),"")</f>
        <v/>
      </c>
      <c r="AL24" s="30">
        <f>IFERROR(INDIRECT("'"&amp;$B24&amp;"'!C109"),"")</f>
        <v/>
      </c>
      <c r="AM24" s="30">
        <f>IFERROR(INDIRECT("'"&amp;$B24&amp;"'!D109"),"")</f>
        <v/>
      </c>
      <c r="AN24" s="30">
        <f>IFERROR(INDIRECT("'"&amp;$B24&amp;"'!C110"),"")</f>
        <v/>
      </c>
      <c r="AO24" s="30">
        <f>IFERROR(INDIRECT("'"&amp;$B24&amp;"'!D110"),"")</f>
        <v/>
      </c>
      <c r="AP24" s="30">
        <f>IFERROR(INDIRECT("'"&amp;$B24&amp;"'!C111"),"")</f>
        <v/>
      </c>
      <c r="AQ24" s="30">
        <f>IFERROR(INDIRECT("'"&amp;$B24&amp;"'!D111"),"")</f>
        <v/>
      </c>
      <c r="AR24" s="30">
        <f>IFERROR(INDIRECT("'"&amp;$B24&amp;"'!C112"),"")</f>
        <v/>
      </c>
      <c r="AS24" s="30">
        <f>IFERROR(INDIRECT("'"&amp;$B24&amp;"'!D112"),"")</f>
        <v/>
      </c>
    </row>
    <row r="25" ht="17" customHeight="1">
      <c r="A25" s="20" t="n">
        <v>15</v>
      </c>
      <c r="B25" s="21" t="n"/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IFERROR(INDIRECT("'"&amp;$B25&amp;"'!E13"),"")</f>
        <v/>
      </c>
      <c r="M25" s="27">
        <f>IFERROR(INDIRECT("'"&amp;$B25&amp;"'!G13"),"")</f>
        <v/>
      </c>
      <c r="N25" s="27">
        <f>IFERROR(INDIRECT("'"&amp;$B25&amp;"'!H13"),"")</f>
        <v/>
      </c>
      <c r="O25" s="28">
        <f>IF(OR($M25="",$N25=""),"",ROUND(($M25-$N25)*100,1))</f>
        <v/>
      </c>
      <c r="P25" s="26">
        <f>IFERROR(INDIRECT("'"&amp;$B25&amp;"'!I13"),"")</f>
        <v/>
      </c>
      <c r="Q25" s="29">
        <f>IF($M25="","",IF($M25&gt;=0.35,"Margem boa",IF($M25&gt;=0.25,"Margem apertada","Margem crítica")))</f>
        <v/>
      </c>
      <c r="AH25" s="30">
        <f>IFERROR(INDIRECT("'"&amp;$B25&amp;"'!C107"),"")</f>
        <v/>
      </c>
      <c r="AI25" s="30">
        <f>IFERROR(INDIRECT("'"&amp;$B25&amp;"'!D107"),"")</f>
        <v/>
      </c>
      <c r="AJ25" s="30">
        <f>IFERROR(INDIRECT("'"&amp;$B25&amp;"'!C108"),"")</f>
        <v/>
      </c>
      <c r="AK25" s="30">
        <f>IFERROR(INDIRECT("'"&amp;$B25&amp;"'!D108"),"")</f>
        <v/>
      </c>
      <c r="AL25" s="30">
        <f>IFERROR(INDIRECT("'"&amp;$B25&amp;"'!C109"),"")</f>
        <v/>
      </c>
      <c r="AM25" s="30">
        <f>IFERROR(INDIRECT("'"&amp;$B25&amp;"'!D109"),"")</f>
        <v/>
      </c>
      <c r="AN25" s="30">
        <f>IFERROR(INDIRECT("'"&amp;$B25&amp;"'!C110"),"")</f>
        <v/>
      </c>
      <c r="AO25" s="30">
        <f>IFERROR(INDIRECT("'"&amp;$B25&amp;"'!D110"),"")</f>
        <v/>
      </c>
      <c r="AP25" s="30">
        <f>IFERROR(INDIRECT("'"&amp;$B25&amp;"'!C111"),"")</f>
        <v/>
      </c>
      <c r="AQ25" s="30">
        <f>IFERROR(INDIRECT("'"&amp;$B25&amp;"'!D111"),"")</f>
        <v/>
      </c>
      <c r="AR25" s="30">
        <f>IFERROR(INDIRECT("'"&amp;$B25&amp;"'!C112"),"")</f>
        <v/>
      </c>
      <c r="AS25" s="30">
        <f>IFERROR(INDIRECT("'"&amp;$B25&amp;"'!D112"),"")</f>
        <v/>
      </c>
    </row>
    <row r="26" ht="17" customHeight="1">
      <c r="A26" s="20" t="n">
        <v>16</v>
      </c>
      <c r="B26" s="21" t="n"/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IFERROR(INDIRECT("'"&amp;$B26&amp;"'!E13"),"")</f>
        <v/>
      </c>
      <c r="M26" s="27">
        <f>IFERROR(INDIRECT("'"&amp;$B26&amp;"'!G13"),"")</f>
        <v/>
      </c>
      <c r="N26" s="27">
        <f>IFERROR(INDIRECT("'"&amp;$B26&amp;"'!H13"),"")</f>
        <v/>
      </c>
      <c r="O26" s="28">
        <f>IF(OR($M26="",$N26=""),"",ROUND(($M26-$N26)*100,1))</f>
        <v/>
      </c>
      <c r="P26" s="26">
        <f>IFERROR(INDIRECT("'"&amp;$B26&amp;"'!I13"),"")</f>
        <v/>
      </c>
      <c r="Q26" s="29">
        <f>IF($M26="","",IF($M26&gt;=0.35,"Margem boa",IF($M26&gt;=0.25,"Margem apertada","Margem crítica")))</f>
        <v/>
      </c>
      <c r="AH26" s="30">
        <f>IFERROR(INDIRECT("'"&amp;$B26&amp;"'!C107"),"")</f>
        <v/>
      </c>
      <c r="AI26" s="30">
        <f>IFERROR(INDIRECT("'"&amp;$B26&amp;"'!D107"),"")</f>
        <v/>
      </c>
      <c r="AJ26" s="30">
        <f>IFERROR(INDIRECT("'"&amp;$B26&amp;"'!C108"),"")</f>
        <v/>
      </c>
      <c r="AK26" s="30">
        <f>IFERROR(INDIRECT("'"&amp;$B26&amp;"'!D108"),"")</f>
        <v/>
      </c>
      <c r="AL26" s="30">
        <f>IFERROR(INDIRECT("'"&amp;$B26&amp;"'!C109"),"")</f>
        <v/>
      </c>
      <c r="AM26" s="30">
        <f>IFERROR(INDIRECT("'"&amp;$B26&amp;"'!D109"),"")</f>
        <v/>
      </c>
      <c r="AN26" s="30">
        <f>IFERROR(INDIRECT("'"&amp;$B26&amp;"'!C110"),"")</f>
        <v/>
      </c>
      <c r="AO26" s="30">
        <f>IFERROR(INDIRECT("'"&amp;$B26&amp;"'!D110"),"")</f>
        <v/>
      </c>
      <c r="AP26" s="30">
        <f>IFERROR(INDIRECT("'"&amp;$B26&amp;"'!C111"),"")</f>
        <v/>
      </c>
      <c r="AQ26" s="30">
        <f>IFERROR(INDIRECT("'"&amp;$B26&amp;"'!D111"),"")</f>
        <v/>
      </c>
      <c r="AR26" s="30">
        <f>IFERROR(INDIRECT("'"&amp;$B26&amp;"'!C112"),"")</f>
        <v/>
      </c>
      <c r="AS26" s="30">
        <f>IFERROR(INDIRECT("'"&amp;$B26&amp;"'!D112"),"")</f>
        <v/>
      </c>
    </row>
    <row r="27" ht="17" customHeight="1">
      <c r="A27" s="20" t="n">
        <v>17</v>
      </c>
      <c r="B27" s="21" t="n"/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IFERROR(INDIRECT("'"&amp;$B27&amp;"'!E13"),"")</f>
        <v/>
      </c>
      <c r="M27" s="27">
        <f>IFERROR(INDIRECT("'"&amp;$B27&amp;"'!G13"),"")</f>
        <v/>
      </c>
      <c r="N27" s="27">
        <f>IFERROR(INDIRECT("'"&amp;$B27&amp;"'!H13"),"")</f>
        <v/>
      </c>
      <c r="O27" s="28">
        <f>IF(OR($M27="",$N27=""),"",ROUND(($M27-$N27)*100,1))</f>
        <v/>
      </c>
      <c r="P27" s="26">
        <f>IFERROR(INDIRECT("'"&amp;$B27&amp;"'!I13"),"")</f>
        <v/>
      </c>
      <c r="Q27" s="29">
        <f>IF($M27="","",IF($M27&gt;=0.35,"Margem boa",IF($M27&gt;=0.25,"Margem apertada","Margem crítica")))</f>
        <v/>
      </c>
      <c r="AH27" s="30">
        <f>IFERROR(INDIRECT("'"&amp;$B27&amp;"'!C107"),"")</f>
        <v/>
      </c>
      <c r="AI27" s="30">
        <f>IFERROR(INDIRECT("'"&amp;$B27&amp;"'!D107"),"")</f>
        <v/>
      </c>
      <c r="AJ27" s="30">
        <f>IFERROR(INDIRECT("'"&amp;$B27&amp;"'!C108"),"")</f>
        <v/>
      </c>
      <c r="AK27" s="30">
        <f>IFERROR(INDIRECT("'"&amp;$B27&amp;"'!D108"),"")</f>
        <v/>
      </c>
      <c r="AL27" s="30">
        <f>IFERROR(INDIRECT("'"&amp;$B27&amp;"'!C109"),"")</f>
        <v/>
      </c>
      <c r="AM27" s="30">
        <f>IFERROR(INDIRECT("'"&amp;$B27&amp;"'!D109"),"")</f>
        <v/>
      </c>
      <c r="AN27" s="30">
        <f>IFERROR(INDIRECT("'"&amp;$B27&amp;"'!C110"),"")</f>
        <v/>
      </c>
      <c r="AO27" s="30">
        <f>IFERROR(INDIRECT("'"&amp;$B27&amp;"'!D110"),"")</f>
        <v/>
      </c>
      <c r="AP27" s="30">
        <f>IFERROR(INDIRECT("'"&amp;$B27&amp;"'!C111"),"")</f>
        <v/>
      </c>
      <c r="AQ27" s="30">
        <f>IFERROR(INDIRECT("'"&amp;$B27&amp;"'!D111"),"")</f>
        <v/>
      </c>
      <c r="AR27" s="30">
        <f>IFERROR(INDIRECT("'"&amp;$B27&amp;"'!C112"),"")</f>
        <v/>
      </c>
      <c r="AS27" s="30">
        <f>IFERROR(INDIRECT("'"&amp;$B27&amp;"'!D112"),"")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IFERROR(INDIRECT("'"&amp;$B28&amp;"'!E13"),"")</f>
        <v/>
      </c>
      <c r="M28" s="27">
        <f>IFERROR(INDIRECT("'"&amp;$B28&amp;"'!G13"),"")</f>
        <v/>
      </c>
      <c r="N28" s="27">
        <f>IFERROR(INDIRECT("'"&amp;$B28&amp;"'!H13"),"")</f>
        <v/>
      </c>
      <c r="O28" s="28">
        <f>IF(OR($M28="",$N28=""),"",ROUND(($M28-$N28)*100,1))</f>
        <v/>
      </c>
      <c r="P28" s="26">
        <f>IFERROR(INDIRECT("'"&amp;$B28&amp;"'!I13"),"")</f>
        <v/>
      </c>
      <c r="Q28" s="29">
        <f>IF($M28="","",IF($M28&gt;=0.35,"Margem boa",IF($M28&gt;=0.25,"Margem apertada","Margem crítica")))</f>
        <v/>
      </c>
      <c r="AH28" s="30">
        <f>IFERROR(INDIRECT("'"&amp;$B28&amp;"'!C107"),"")</f>
        <v/>
      </c>
      <c r="AI28" s="30">
        <f>IFERROR(INDIRECT("'"&amp;$B28&amp;"'!D107"),"")</f>
        <v/>
      </c>
      <c r="AJ28" s="30">
        <f>IFERROR(INDIRECT("'"&amp;$B28&amp;"'!C108"),"")</f>
        <v/>
      </c>
      <c r="AK28" s="30">
        <f>IFERROR(INDIRECT("'"&amp;$B28&amp;"'!D108"),"")</f>
        <v/>
      </c>
      <c r="AL28" s="30">
        <f>IFERROR(INDIRECT("'"&amp;$B28&amp;"'!C109"),"")</f>
        <v/>
      </c>
      <c r="AM28" s="30">
        <f>IFERROR(INDIRECT("'"&amp;$B28&amp;"'!D109"),"")</f>
        <v/>
      </c>
      <c r="AN28" s="30">
        <f>IFERROR(INDIRECT("'"&amp;$B28&amp;"'!C110"),"")</f>
        <v/>
      </c>
      <c r="AO28" s="30">
        <f>IFERROR(INDIRECT("'"&amp;$B28&amp;"'!D110"),"")</f>
        <v/>
      </c>
      <c r="AP28" s="30">
        <f>IFERROR(INDIRECT("'"&amp;$B28&amp;"'!C111"),"")</f>
        <v/>
      </c>
      <c r="AQ28" s="30">
        <f>IFERROR(INDIRECT("'"&amp;$B28&amp;"'!D111"),"")</f>
        <v/>
      </c>
      <c r="AR28" s="30">
        <f>IFERROR(INDIRECT("'"&amp;$B28&amp;"'!C112"),"")</f>
        <v/>
      </c>
      <c r="AS28" s="30">
        <f>IFERROR(INDIRECT("'"&amp;$B28&amp;"'!D112"),"")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IFERROR(INDIRECT("'"&amp;$B29&amp;"'!E13"),"")</f>
        <v/>
      </c>
      <c r="M29" s="27">
        <f>IFERROR(INDIRECT("'"&amp;$B29&amp;"'!G13"),"")</f>
        <v/>
      </c>
      <c r="N29" s="27">
        <f>IFERROR(INDIRECT("'"&amp;$B29&amp;"'!H13"),"")</f>
        <v/>
      </c>
      <c r="O29" s="28">
        <f>IF(OR($M29="",$N29=""),"",ROUND(($M29-$N29)*100,1))</f>
        <v/>
      </c>
      <c r="P29" s="26">
        <f>IFERROR(INDIRECT("'"&amp;$B29&amp;"'!I13"),"")</f>
        <v/>
      </c>
      <c r="Q29" s="29">
        <f>IF($M29="","",IF($M29&gt;=0.35,"Margem boa",IF($M29&gt;=0.25,"Margem apertada","Margem crítica")))</f>
        <v/>
      </c>
      <c r="AH29" s="30">
        <f>IFERROR(INDIRECT("'"&amp;$B29&amp;"'!C107"),"")</f>
        <v/>
      </c>
      <c r="AI29" s="30">
        <f>IFERROR(INDIRECT("'"&amp;$B29&amp;"'!D107"),"")</f>
        <v/>
      </c>
      <c r="AJ29" s="30">
        <f>IFERROR(INDIRECT("'"&amp;$B29&amp;"'!C108"),"")</f>
        <v/>
      </c>
      <c r="AK29" s="30">
        <f>IFERROR(INDIRECT("'"&amp;$B29&amp;"'!D108"),"")</f>
        <v/>
      </c>
      <c r="AL29" s="30">
        <f>IFERROR(INDIRECT("'"&amp;$B29&amp;"'!C109"),"")</f>
        <v/>
      </c>
      <c r="AM29" s="30">
        <f>IFERROR(INDIRECT("'"&amp;$B29&amp;"'!D109"),"")</f>
        <v/>
      </c>
      <c r="AN29" s="30">
        <f>IFERROR(INDIRECT("'"&amp;$B29&amp;"'!C110"),"")</f>
        <v/>
      </c>
      <c r="AO29" s="30">
        <f>IFERROR(INDIRECT("'"&amp;$B29&amp;"'!D110"),"")</f>
        <v/>
      </c>
      <c r="AP29" s="30">
        <f>IFERROR(INDIRECT("'"&amp;$B29&amp;"'!C111"),"")</f>
        <v/>
      </c>
      <c r="AQ29" s="30">
        <f>IFERROR(INDIRECT("'"&amp;$B29&amp;"'!D111"),"")</f>
        <v/>
      </c>
      <c r="AR29" s="30">
        <f>IFERROR(INDIRECT("'"&amp;$B29&amp;"'!C112"),"")</f>
        <v/>
      </c>
      <c r="AS29" s="30">
        <f>IFERROR(INDIRECT("'"&amp;$B29&amp;"'!D112"),"")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IFERROR(INDIRECT("'"&amp;$B30&amp;"'!E13"),"")</f>
        <v/>
      </c>
      <c r="M30" s="27">
        <f>IFERROR(INDIRECT("'"&amp;$B30&amp;"'!G13"),"")</f>
        <v/>
      </c>
      <c r="N30" s="27">
        <f>IFERROR(INDIRECT("'"&amp;$B30&amp;"'!H13"),"")</f>
        <v/>
      </c>
      <c r="O30" s="28">
        <f>IF(OR($M30="",$N30=""),"",ROUND(($M30-$N30)*100,1))</f>
        <v/>
      </c>
      <c r="P30" s="26">
        <f>IFERROR(INDIRECT("'"&amp;$B30&amp;"'!I13"),"")</f>
        <v/>
      </c>
      <c r="Q30" s="29">
        <f>IF($M30="","",IF($M30&gt;=0.35,"Margem boa",IF($M30&gt;=0.25,"Margem apertada","Margem crítica")))</f>
        <v/>
      </c>
      <c r="AH30" s="30">
        <f>IFERROR(INDIRECT("'"&amp;$B30&amp;"'!C107"),"")</f>
        <v/>
      </c>
      <c r="AI30" s="30">
        <f>IFERROR(INDIRECT("'"&amp;$B30&amp;"'!D107"),"")</f>
        <v/>
      </c>
      <c r="AJ30" s="30">
        <f>IFERROR(INDIRECT("'"&amp;$B30&amp;"'!C108"),"")</f>
        <v/>
      </c>
      <c r="AK30" s="30">
        <f>IFERROR(INDIRECT("'"&amp;$B30&amp;"'!D108"),"")</f>
        <v/>
      </c>
      <c r="AL30" s="30">
        <f>IFERROR(INDIRECT("'"&amp;$B30&amp;"'!C109"),"")</f>
        <v/>
      </c>
      <c r="AM30" s="30">
        <f>IFERROR(INDIRECT("'"&amp;$B30&amp;"'!D109"),"")</f>
        <v/>
      </c>
      <c r="AN30" s="30">
        <f>IFERROR(INDIRECT("'"&amp;$B30&amp;"'!C110"),"")</f>
        <v/>
      </c>
      <c r="AO30" s="30">
        <f>IFERROR(INDIRECT("'"&amp;$B30&amp;"'!D110"),"")</f>
        <v/>
      </c>
      <c r="AP30" s="30">
        <f>IFERROR(INDIRECT("'"&amp;$B30&amp;"'!C111"),"")</f>
        <v/>
      </c>
      <c r="AQ30" s="30">
        <f>IFERROR(INDIRECT("'"&amp;$B30&amp;"'!D111"),"")</f>
        <v/>
      </c>
      <c r="AR30" s="30">
        <f>IFERROR(INDIRECT("'"&amp;$B30&amp;"'!C112"),"")</f>
        <v/>
      </c>
      <c r="AS30" s="30">
        <f>IFERROR(INDIRECT("'"&amp;$B30&amp;"'!D112"),"")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IFERROR(INDIRECT("'"&amp;$B31&amp;"'!E13"),"")</f>
        <v/>
      </c>
      <c r="M31" s="27">
        <f>IFERROR(INDIRECT("'"&amp;$B31&amp;"'!G13"),"")</f>
        <v/>
      </c>
      <c r="N31" s="27">
        <f>IFERROR(INDIRECT("'"&amp;$B31&amp;"'!H13"),"")</f>
        <v/>
      </c>
      <c r="O31" s="28">
        <f>IF(OR($M31="",$N31=""),"",ROUND(($M31-$N31)*100,1))</f>
        <v/>
      </c>
      <c r="P31" s="26">
        <f>IFERROR(INDIRECT("'"&amp;$B31&amp;"'!I13"),"")</f>
        <v/>
      </c>
      <c r="Q31" s="29">
        <f>IF($M31="","",IF($M31&gt;=0.35,"Margem boa",IF($M31&gt;=0.25,"Margem apertada","Margem crítica")))</f>
        <v/>
      </c>
      <c r="AH31" s="30">
        <f>IFERROR(INDIRECT("'"&amp;$B31&amp;"'!C107"),"")</f>
        <v/>
      </c>
      <c r="AI31" s="30">
        <f>IFERROR(INDIRECT("'"&amp;$B31&amp;"'!D107"),"")</f>
        <v/>
      </c>
      <c r="AJ31" s="30">
        <f>IFERROR(INDIRECT("'"&amp;$B31&amp;"'!C108"),"")</f>
        <v/>
      </c>
      <c r="AK31" s="30">
        <f>IFERROR(INDIRECT("'"&amp;$B31&amp;"'!D108"),"")</f>
        <v/>
      </c>
      <c r="AL31" s="30">
        <f>IFERROR(INDIRECT("'"&amp;$B31&amp;"'!C109"),"")</f>
        <v/>
      </c>
      <c r="AM31" s="30">
        <f>IFERROR(INDIRECT("'"&amp;$B31&amp;"'!D109"),"")</f>
        <v/>
      </c>
      <c r="AN31" s="30">
        <f>IFERROR(INDIRECT("'"&amp;$B31&amp;"'!C110"),"")</f>
        <v/>
      </c>
      <c r="AO31" s="30">
        <f>IFERROR(INDIRECT("'"&amp;$B31&amp;"'!D110"),"")</f>
        <v/>
      </c>
      <c r="AP31" s="30">
        <f>IFERROR(INDIRECT("'"&amp;$B31&amp;"'!C111"),"")</f>
        <v/>
      </c>
      <c r="AQ31" s="30">
        <f>IFERROR(INDIRECT("'"&amp;$B31&amp;"'!D111"),"")</f>
        <v/>
      </c>
      <c r="AR31" s="30">
        <f>IFERROR(INDIRECT("'"&amp;$B31&amp;"'!C112"),"")</f>
        <v/>
      </c>
      <c r="AS31" s="30">
        <f>IFERROR(INDIRECT("'"&amp;$B31&amp;"'!D112"),"")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IFERROR(INDIRECT("'"&amp;$B32&amp;"'!E13"),"")</f>
        <v/>
      </c>
      <c r="M32" s="27">
        <f>IFERROR(INDIRECT("'"&amp;$B32&amp;"'!G13"),"")</f>
        <v/>
      </c>
      <c r="N32" s="27">
        <f>IFERROR(INDIRECT("'"&amp;$B32&amp;"'!H13"),"")</f>
        <v/>
      </c>
      <c r="O32" s="28">
        <f>IF(OR($M32="",$N32=""),"",ROUND(($M32-$N32)*100,1))</f>
        <v/>
      </c>
      <c r="P32" s="26">
        <f>IFERROR(INDIRECT("'"&amp;$B32&amp;"'!I13"),"")</f>
        <v/>
      </c>
      <c r="Q32" s="29">
        <f>IF($M32="","",IF($M32&gt;=0.35,"Margem boa",IF($M32&gt;=0.25,"Margem apertada","Margem crítica")))</f>
        <v/>
      </c>
      <c r="AH32" s="30">
        <f>IFERROR(INDIRECT("'"&amp;$B32&amp;"'!C107"),"")</f>
        <v/>
      </c>
      <c r="AI32" s="30">
        <f>IFERROR(INDIRECT("'"&amp;$B32&amp;"'!D107"),"")</f>
        <v/>
      </c>
      <c r="AJ32" s="30">
        <f>IFERROR(INDIRECT("'"&amp;$B32&amp;"'!C108"),"")</f>
        <v/>
      </c>
      <c r="AK32" s="30">
        <f>IFERROR(INDIRECT("'"&amp;$B32&amp;"'!D108"),"")</f>
        <v/>
      </c>
      <c r="AL32" s="30">
        <f>IFERROR(INDIRECT("'"&amp;$B32&amp;"'!C109"),"")</f>
        <v/>
      </c>
      <c r="AM32" s="30">
        <f>IFERROR(INDIRECT("'"&amp;$B32&amp;"'!D109"),"")</f>
        <v/>
      </c>
      <c r="AN32" s="30">
        <f>IFERROR(INDIRECT("'"&amp;$B32&amp;"'!C110"),"")</f>
        <v/>
      </c>
      <c r="AO32" s="30">
        <f>IFERROR(INDIRECT("'"&amp;$B32&amp;"'!D110"),"")</f>
        <v/>
      </c>
      <c r="AP32" s="30">
        <f>IFERROR(INDIRECT("'"&amp;$B32&amp;"'!C111"),"")</f>
        <v/>
      </c>
      <c r="AQ32" s="30">
        <f>IFERROR(INDIRECT("'"&amp;$B32&amp;"'!D111"),"")</f>
        <v/>
      </c>
      <c r="AR32" s="30">
        <f>IFERROR(INDIRECT("'"&amp;$B32&amp;"'!C112"),"")</f>
        <v/>
      </c>
      <c r="AS32" s="30">
        <f>IFERROR(INDIRECT("'"&amp;$B32&amp;"'!D112"),"")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IFERROR(INDIRECT("'"&amp;$B33&amp;"'!E13"),"")</f>
        <v/>
      </c>
      <c r="M33" s="27">
        <f>IFERROR(INDIRECT("'"&amp;$B33&amp;"'!G13"),"")</f>
        <v/>
      </c>
      <c r="N33" s="27">
        <f>IFERROR(INDIRECT("'"&amp;$B33&amp;"'!H13"),"")</f>
        <v/>
      </c>
      <c r="O33" s="28">
        <f>IF(OR($M33="",$N33=""),"",ROUND(($M33-$N33)*100,1))</f>
        <v/>
      </c>
      <c r="P33" s="26">
        <f>IFERROR(INDIRECT("'"&amp;$B33&amp;"'!I13"),"")</f>
        <v/>
      </c>
      <c r="Q33" s="29">
        <f>IF($M33="","",IF($M33&gt;=0.35,"Margem boa",IF($M33&gt;=0.25,"Margem apertada","Margem crítica")))</f>
        <v/>
      </c>
      <c r="AH33" s="30">
        <f>IFERROR(INDIRECT("'"&amp;$B33&amp;"'!C107"),"")</f>
        <v/>
      </c>
      <c r="AI33" s="30">
        <f>IFERROR(INDIRECT("'"&amp;$B33&amp;"'!D107"),"")</f>
        <v/>
      </c>
      <c r="AJ33" s="30">
        <f>IFERROR(INDIRECT("'"&amp;$B33&amp;"'!C108"),"")</f>
        <v/>
      </c>
      <c r="AK33" s="30">
        <f>IFERROR(INDIRECT("'"&amp;$B33&amp;"'!D108"),"")</f>
        <v/>
      </c>
      <c r="AL33" s="30">
        <f>IFERROR(INDIRECT("'"&amp;$B33&amp;"'!C109"),"")</f>
        <v/>
      </c>
      <c r="AM33" s="30">
        <f>IFERROR(INDIRECT("'"&amp;$B33&amp;"'!D109"),"")</f>
        <v/>
      </c>
      <c r="AN33" s="30">
        <f>IFERROR(INDIRECT("'"&amp;$B33&amp;"'!C110"),"")</f>
        <v/>
      </c>
      <c r="AO33" s="30">
        <f>IFERROR(INDIRECT("'"&amp;$B33&amp;"'!D110"),"")</f>
        <v/>
      </c>
      <c r="AP33" s="30">
        <f>IFERROR(INDIRECT("'"&amp;$B33&amp;"'!C111"),"")</f>
        <v/>
      </c>
      <c r="AQ33" s="30">
        <f>IFERROR(INDIRECT("'"&amp;$B33&amp;"'!D111"),"")</f>
        <v/>
      </c>
      <c r="AR33" s="30">
        <f>IFERROR(INDIRECT("'"&amp;$B33&amp;"'!C112"),"")</f>
        <v/>
      </c>
      <c r="AS33" s="30">
        <f>IFERROR(INDIRECT("'"&amp;$B33&amp;"'!D112"),"")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IFERROR(INDIRECT("'"&amp;$B34&amp;"'!E13"),"")</f>
        <v/>
      </c>
      <c r="M34" s="27">
        <f>IFERROR(INDIRECT("'"&amp;$B34&amp;"'!G13"),"")</f>
        <v/>
      </c>
      <c r="N34" s="27">
        <f>IFERROR(INDIRECT("'"&amp;$B34&amp;"'!H13"),"")</f>
        <v/>
      </c>
      <c r="O34" s="28">
        <f>IF(OR($M34="",$N34=""),"",ROUND(($M34-$N34)*100,1))</f>
        <v/>
      </c>
      <c r="P34" s="26">
        <f>IFERROR(INDIRECT("'"&amp;$B34&amp;"'!I13"),"")</f>
        <v/>
      </c>
      <c r="Q34" s="29">
        <f>IF($M34="","",IF($M34&gt;=0.35,"Margem boa",IF($M34&gt;=0.25,"Margem apertada","Margem crítica")))</f>
        <v/>
      </c>
      <c r="AH34" s="30">
        <f>IFERROR(INDIRECT("'"&amp;$B34&amp;"'!C107"),"")</f>
        <v/>
      </c>
      <c r="AI34" s="30">
        <f>IFERROR(INDIRECT("'"&amp;$B34&amp;"'!D107"),"")</f>
        <v/>
      </c>
      <c r="AJ34" s="30">
        <f>IFERROR(INDIRECT("'"&amp;$B34&amp;"'!C108"),"")</f>
        <v/>
      </c>
      <c r="AK34" s="30">
        <f>IFERROR(INDIRECT("'"&amp;$B34&amp;"'!D108"),"")</f>
        <v/>
      </c>
      <c r="AL34" s="30">
        <f>IFERROR(INDIRECT("'"&amp;$B34&amp;"'!C109"),"")</f>
        <v/>
      </c>
      <c r="AM34" s="30">
        <f>IFERROR(INDIRECT("'"&amp;$B34&amp;"'!D109"),"")</f>
        <v/>
      </c>
      <c r="AN34" s="30">
        <f>IFERROR(INDIRECT("'"&amp;$B34&amp;"'!C110"),"")</f>
        <v/>
      </c>
      <c r="AO34" s="30">
        <f>IFERROR(INDIRECT("'"&amp;$B34&amp;"'!D110"),"")</f>
        <v/>
      </c>
      <c r="AP34" s="30">
        <f>IFERROR(INDIRECT("'"&amp;$B34&amp;"'!C111"),"")</f>
        <v/>
      </c>
      <c r="AQ34" s="30">
        <f>IFERROR(INDIRECT("'"&amp;$B34&amp;"'!D111"),"")</f>
        <v/>
      </c>
      <c r="AR34" s="30">
        <f>IFERROR(INDIRECT("'"&amp;$B34&amp;"'!C112"),"")</f>
        <v/>
      </c>
      <c r="AS34" s="30">
        <f>IFERROR(INDIRECT("'"&amp;$B34&amp;"'!D112"),"")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IFERROR(INDIRECT("'"&amp;$B35&amp;"'!E13"),"")</f>
        <v/>
      </c>
      <c r="M35" s="27">
        <f>IFERROR(INDIRECT("'"&amp;$B35&amp;"'!G13"),"")</f>
        <v/>
      </c>
      <c r="N35" s="27">
        <f>IFERROR(INDIRECT("'"&amp;$B35&amp;"'!H13"),"")</f>
        <v/>
      </c>
      <c r="O35" s="28">
        <f>IF(OR($M35="",$N35=""),"",ROUND(($M35-$N35)*100,1))</f>
        <v/>
      </c>
      <c r="P35" s="26">
        <f>IFERROR(INDIRECT("'"&amp;$B35&amp;"'!I13"),"")</f>
        <v/>
      </c>
      <c r="Q35" s="29">
        <f>IF($M35="","",IF($M35&gt;=0.35,"Margem boa",IF($M35&gt;=0.25,"Margem apertada","Margem crítica")))</f>
        <v/>
      </c>
      <c r="AH35" s="30">
        <f>IFERROR(INDIRECT("'"&amp;$B35&amp;"'!C107"),"")</f>
        <v/>
      </c>
      <c r="AI35" s="30">
        <f>IFERROR(INDIRECT("'"&amp;$B35&amp;"'!D107"),"")</f>
        <v/>
      </c>
      <c r="AJ35" s="30">
        <f>IFERROR(INDIRECT("'"&amp;$B35&amp;"'!C108"),"")</f>
        <v/>
      </c>
      <c r="AK35" s="30">
        <f>IFERROR(INDIRECT("'"&amp;$B35&amp;"'!D108"),"")</f>
        <v/>
      </c>
      <c r="AL35" s="30">
        <f>IFERROR(INDIRECT("'"&amp;$B35&amp;"'!C109"),"")</f>
        <v/>
      </c>
      <c r="AM35" s="30">
        <f>IFERROR(INDIRECT("'"&amp;$B35&amp;"'!D109"),"")</f>
        <v/>
      </c>
      <c r="AN35" s="30">
        <f>IFERROR(INDIRECT("'"&amp;$B35&amp;"'!C110"),"")</f>
        <v/>
      </c>
      <c r="AO35" s="30">
        <f>IFERROR(INDIRECT("'"&amp;$B35&amp;"'!D110"),"")</f>
        <v/>
      </c>
      <c r="AP35" s="30">
        <f>IFERROR(INDIRECT("'"&amp;$B35&amp;"'!C111"),"")</f>
        <v/>
      </c>
      <c r="AQ35" s="30">
        <f>IFERROR(INDIRECT("'"&amp;$B35&amp;"'!D111"),"")</f>
        <v/>
      </c>
      <c r="AR35" s="30">
        <f>IFERROR(INDIRECT("'"&amp;$B35&amp;"'!C112"),"")</f>
        <v/>
      </c>
      <c r="AS35" s="30">
        <f>IFERROR(INDIRECT("'"&amp;$B35&amp;"'!D112"),"")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IFERROR(INDIRECT("'"&amp;$B36&amp;"'!E13"),"")</f>
        <v/>
      </c>
      <c r="M36" s="27">
        <f>IFERROR(INDIRECT("'"&amp;$B36&amp;"'!G13"),"")</f>
        <v/>
      </c>
      <c r="N36" s="27">
        <f>IFERROR(INDIRECT("'"&amp;$B36&amp;"'!H13"),"")</f>
        <v/>
      </c>
      <c r="O36" s="28">
        <f>IF(OR($M36="",$N36=""),"",ROUND(($M36-$N36)*100,1))</f>
        <v/>
      </c>
      <c r="P36" s="26">
        <f>IFERROR(INDIRECT("'"&amp;$B36&amp;"'!I13"),"")</f>
        <v/>
      </c>
      <c r="Q36" s="29">
        <f>IF($M36="","",IF($M36&gt;=0.35,"Margem boa",IF($M36&gt;=0.25,"Margem apertada","Margem crítica")))</f>
        <v/>
      </c>
      <c r="AH36" s="30">
        <f>IFERROR(INDIRECT("'"&amp;$B36&amp;"'!C107"),"")</f>
        <v/>
      </c>
      <c r="AI36" s="30">
        <f>IFERROR(INDIRECT("'"&amp;$B36&amp;"'!D107"),"")</f>
        <v/>
      </c>
      <c r="AJ36" s="30">
        <f>IFERROR(INDIRECT("'"&amp;$B36&amp;"'!C108"),"")</f>
        <v/>
      </c>
      <c r="AK36" s="30">
        <f>IFERROR(INDIRECT("'"&amp;$B36&amp;"'!D108"),"")</f>
        <v/>
      </c>
      <c r="AL36" s="30">
        <f>IFERROR(INDIRECT("'"&amp;$B36&amp;"'!C109"),"")</f>
        <v/>
      </c>
      <c r="AM36" s="30">
        <f>IFERROR(INDIRECT("'"&amp;$B36&amp;"'!D109"),"")</f>
        <v/>
      </c>
      <c r="AN36" s="30">
        <f>IFERROR(INDIRECT("'"&amp;$B36&amp;"'!C110"),"")</f>
        <v/>
      </c>
      <c r="AO36" s="30">
        <f>IFERROR(INDIRECT("'"&amp;$B36&amp;"'!D110"),"")</f>
        <v/>
      </c>
      <c r="AP36" s="30">
        <f>IFERROR(INDIRECT("'"&amp;$B36&amp;"'!C111"),"")</f>
        <v/>
      </c>
      <c r="AQ36" s="30">
        <f>IFERROR(INDIRECT("'"&amp;$B36&amp;"'!D111"),"")</f>
        <v/>
      </c>
      <c r="AR36" s="30">
        <f>IFERROR(INDIRECT("'"&amp;$B36&amp;"'!C112"),"")</f>
        <v/>
      </c>
      <c r="AS36" s="30">
        <f>IFERROR(INDIRECT("'"&amp;$B36&amp;"'!D112"),"")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IFERROR(INDIRECT("'"&amp;$B37&amp;"'!E13"),"")</f>
        <v/>
      </c>
      <c r="M37" s="27">
        <f>IFERROR(INDIRECT("'"&amp;$B37&amp;"'!G13"),"")</f>
        <v/>
      </c>
      <c r="N37" s="27">
        <f>IFERROR(INDIRECT("'"&amp;$B37&amp;"'!H13"),"")</f>
        <v/>
      </c>
      <c r="O37" s="28">
        <f>IF(OR($M37="",$N37=""),"",ROUND(($M37-$N37)*100,1))</f>
        <v/>
      </c>
      <c r="P37" s="26">
        <f>IFERROR(INDIRECT("'"&amp;$B37&amp;"'!I13"),"")</f>
        <v/>
      </c>
      <c r="Q37" s="29">
        <f>IF($M37="","",IF($M37&gt;=0.35,"Margem boa",IF($M37&gt;=0.25,"Margem apertada","Margem crítica")))</f>
        <v/>
      </c>
      <c r="AH37" s="30">
        <f>IFERROR(INDIRECT("'"&amp;$B37&amp;"'!C107"),"")</f>
        <v/>
      </c>
      <c r="AI37" s="30">
        <f>IFERROR(INDIRECT("'"&amp;$B37&amp;"'!D107"),"")</f>
        <v/>
      </c>
      <c r="AJ37" s="30">
        <f>IFERROR(INDIRECT("'"&amp;$B37&amp;"'!C108"),"")</f>
        <v/>
      </c>
      <c r="AK37" s="30">
        <f>IFERROR(INDIRECT("'"&amp;$B37&amp;"'!D108"),"")</f>
        <v/>
      </c>
      <c r="AL37" s="30">
        <f>IFERROR(INDIRECT("'"&amp;$B37&amp;"'!C109"),"")</f>
        <v/>
      </c>
      <c r="AM37" s="30">
        <f>IFERROR(INDIRECT("'"&amp;$B37&amp;"'!D109"),"")</f>
        <v/>
      </c>
      <c r="AN37" s="30">
        <f>IFERROR(INDIRECT("'"&amp;$B37&amp;"'!C110"),"")</f>
        <v/>
      </c>
      <c r="AO37" s="30">
        <f>IFERROR(INDIRECT("'"&amp;$B37&amp;"'!D110"),"")</f>
        <v/>
      </c>
      <c r="AP37" s="30">
        <f>IFERROR(INDIRECT("'"&amp;$B37&amp;"'!C111"),"")</f>
        <v/>
      </c>
      <c r="AQ37" s="30">
        <f>IFERROR(INDIRECT("'"&amp;$B37&amp;"'!D111"),"")</f>
        <v/>
      </c>
      <c r="AR37" s="30">
        <f>IFERROR(INDIRECT("'"&amp;$B37&amp;"'!C112"),"")</f>
        <v/>
      </c>
      <c r="AS37" s="30">
        <f>IFERROR(INDIRECT("'"&amp;$B37&amp;"'!D112"),"")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IFERROR(INDIRECT("'"&amp;$B38&amp;"'!E13"),"")</f>
        <v/>
      </c>
      <c r="M38" s="27">
        <f>IFERROR(INDIRECT("'"&amp;$B38&amp;"'!G13"),"")</f>
        <v/>
      </c>
      <c r="N38" s="27">
        <f>IFERROR(INDIRECT("'"&amp;$B38&amp;"'!H13"),"")</f>
        <v/>
      </c>
      <c r="O38" s="28">
        <f>IF(OR($M38="",$N38=""),"",ROUND(($M38-$N38)*100,1))</f>
        <v/>
      </c>
      <c r="P38" s="26">
        <f>IFERROR(INDIRECT("'"&amp;$B38&amp;"'!I13"),"")</f>
        <v/>
      </c>
      <c r="Q38" s="29">
        <f>IF($M38="","",IF($M38&gt;=0.35,"Margem boa",IF($M38&gt;=0.25,"Margem apertada","Margem crítica")))</f>
        <v/>
      </c>
      <c r="AH38" s="30">
        <f>IFERROR(INDIRECT("'"&amp;$B38&amp;"'!C107"),"")</f>
        <v/>
      </c>
      <c r="AI38" s="30">
        <f>IFERROR(INDIRECT("'"&amp;$B38&amp;"'!D107"),"")</f>
        <v/>
      </c>
      <c r="AJ38" s="30">
        <f>IFERROR(INDIRECT("'"&amp;$B38&amp;"'!C108"),"")</f>
        <v/>
      </c>
      <c r="AK38" s="30">
        <f>IFERROR(INDIRECT("'"&amp;$B38&amp;"'!D108"),"")</f>
        <v/>
      </c>
      <c r="AL38" s="30">
        <f>IFERROR(INDIRECT("'"&amp;$B38&amp;"'!C109"),"")</f>
        <v/>
      </c>
      <c r="AM38" s="30">
        <f>IFERROR(INDIRECT("'"&amp;$B38&amp;"'!D109"),"")</f>
        <v/>
      </c>
      <c r="AN38" s="30">
        <f>IFERROR(INDIRECT("'"&amp;$B38&amp;"'!C110"),"")</f>
        <v/>
      </c>
      <c r="AO38" s="30">
        <f>IFERROR(INDIRECT("'"&amp;$B38&amp;"'!D110"),"")</f>
        <v/>
      </c>
      <c r="AP38" s="30">
        <f>IFERROR(INDIRECT("'"&amp;$B38&amp;"'!C111"),"")</f>
        <v/>
      </c>
      <c r="AQ38" s="30">
        <f>IFERROR(INDIRECT("'"&amp;$B38&amp;"'!D111"),"")</f>
        <v/>
      </c>
      <c r="AR38" s="30">
        <f>IFERROR(INDIRECT("'"&amp;$B38&amp;"'!C112"),"")</f>
        <v/>
      </c>
      <c r="AS38" s="30">
        <f>IFERROR(INDIRECT("'"&amp;$B38&amp;"'!D112"),"")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IFERROR(INDIRECT("'"&amp;$B39&amp;"'!E13"),"")</f>
        <v/>
      </c>
      <c r="M39" s="27">
        <f>IFERROR(INDIRECT("'"&amp;$B39&amp;"'!G13"),"")</f>
        <v/>
      </c>
      <c r="N39" s="27">
        <f>IFERROR(INDIRECT("'"&amp;$B39&amp;"'!H13"),"")</f>
        <v/>
      </c>
      <c r="O39" s="28">
        <f>IF(OR($M39="",$N39=""),"",ROUND(($M39-$N39)*100,1))</f>
        <v/>
      </c>
      <c r="P39" s="26">
        <f>IFERROR(INDIRECT("'"&amp;$B39&amp;"'!I13"),"")</f>
        <v/>
      </c>
      <c r="Q39" s="29">
        <f>IF($M39="","",IF($M39&gt;=0.35,"Margem boa",IF($M39&gt;=0.25,"Margem apertada","Margem crítica")))</f>
        <v/>
      </c>
      <c r="AH39" s="30">
        <f>IFERROR(INDIRECT("'"&amp;$B39&amp;"'!C107"),"")</f>
        <v/>
      </c>
      <c r="AI39" s="30">
        <f>IFERROR(INDIRECT("'"&amp;$B39&amp;"'!D107"),"")</f>
        <v/>
      </c>
      <c r="AJ39" s="30">
        <f>IFERROR(INDIRECT("'"&amp;$B39&amp;"'!C108"),"")</f>
        <v/>
      </c>
      <c r="AK39" s="30">
        <f>IFERROR(INDIRECT("'"&amp;$B39&amp;"'!D108"),"")</f>
        <v/>
      </c>
      <c r="AL39" s="30">
        <f>IFERROR(INDIRECT("'"&amp;$B39&amp;"'!C109"),"")</f>
        <v/>
      </c>
      <c r="AM39" s="30">
        <f>IFERROR(INDIRECT("'"&amp;$B39&amp;"'!D109"),"")</f>
        <v/>
      </c>
      <c r="AN39" s="30">
        <f>IFERROR(INDIRECT("'"&amp;$B39&amp;"'!C110"),"")</f>
        <v/>
      </c>
      <c r="AO39" s="30">
        <f>IFERROR(INDIRECT("'"&amp;$B39&amp;"'!D110"),"")</f>
        <v/>
      </c>
      <c r="AP39" s="30">
        <f>IFERROR(INDIRECT("'"&amp;$B39&amp;"'!C111"),"")</f>
        <v/>
      </c>
      <c r="AQ39" s="30">
        <f>IFERROR(INDIRECT("'"&amp;$B39&amp;"'!D111"),"")</f>
        <v/>
      </c>
      <c r="AR39" s="30">
        <f>IFERROR(INDIRECT("'"&amp;$B39&amp;"'!C112"),"")</f>
        <v/>
      </c>
      <c r="AS39" s="30">
        <f>IFERROR(INDIRECT("'"&amp;$B39&amp;"'!D112"),"")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IFERROR(INDIRECT("'"&amp;$B40&amp;"'!E13"),"")</f>
        <v/>
      </c>
      <c r="M40" s="27">
        <f>IFERROR(INDIRECT("'"&amp;$B40&amp;"'!G13"),"")</f>
        <v/>
      </c>
      <c r="N40" s="27">
        <f>IFERROR(INDIRECT("'"&amp;$B40&amp;"'!H13"),"")</f>
        <v/>
      </c>
      <c r="O40" s="28">
        <f>IF(OR($M40="",$N40=""),"",ROUND(($M40-$N40)*100,1))</f>
        <v/>
      </c>
      <c r="P40" s="26">
        <f>IFERROR(INDIRECT("'"&amp;$B40&amp;"'!I13"),"")</f>
        <v/>
      </c>
      <c r="Q40" s="29">
        <f>IF($M40="","",IF($M40&gt;=0.35,"Margem boa",IF($M40&gt;=0.25,"Margem apertada","Margem crítica")))</f>
        <v/>
      </c>
      <c r="AH40" s="30">
        <f>IFERROR(INDIRECT("'"&amp;$B40&amp;"'!C107"),"")</f>
        <v/>
      </c>
      <c r="AI40" s="30">
        <f>IFERROR(INDIRECT("'"&amp;$B40&amp;"'!D107"),"")</f>
        <v/>
      </c>
      <c r="AJ40" s="30">
        <f>IFERROR(INDIRECT("'"&amp;$B40&amp;"'!C108"),"")</f>
        <v/>
      </c>
      <c r="AK40" s="30">
        <f>IFERROR(INDIRECT("'"&amp;$B40&amp;"'!D108"),"")</f>
        <v/>
      </c>
      <c r="AL40" s="30">
        <f>IFERROR(INDIRECT("'"&amp;$B40&amp;"'!C109"),"")</f>
        <v/>
      </c>
      <c r="AM40" s="30">
        <f>IFERROR(INDIRECT("'"&amp;$B40&amp;"'!D109"),"")</f>
        <v/>
      </c>
      <c r="AN40" s="30">
        <f>IFERROR(INDIRECT("'"&amp;$B40&amp;"'!C110"),"")</f>
        <v/>
      </c>
      <c r="AO40" s="30">
        <f>IFERROR(INDIRECT("'"&amp;$B40&amp;"'!D110"),"")</f>
        <v/>
      </c>
      <c r="AP40" s="30">
        <f>IFERROR(INDIRECT("'"&amp;$B40&amp;"'!C111"),"")</f>
        <v/>
      </c>
      <c r="AQ40" s="30">
        <f>IFERROR(INDIRECT("'"&amp;$B40&amp;"'!D111"),"")</f>
        <v/>
      </c>
      <c r="AR40" s="30">
        <f>IFERROR(INDIRECT("'"&amp;$B40&amp;"'!C112"),"")</f>
        <v/>
      </c>
      <c r="AS40" s="30">
        <f>IFERROR(INDIRECT("'"&amp;$B40&amp;"'!D112"),"")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IFERROR(INDIRECT("'"&amp;$B41&amp;"'!E13"),"")</f>
        <v/>
      </c>
      <c r="M41" s="27">
        <f>IFERROR(INDIRECT("'"&amp;$B41&amp;"'!G13"),"")</f>
        <v/>
      </c>
      <c r="N41" s="27">
        <f>IFERROR(INDIRECT("'"&amp;$B41&amp;"'!H13"),"")</f>
        <v/>
      </c>
      <c r="O41" s="28">
        <f>IF(OR($M41="",$N41=""),"",ROUND(($M41-$N41)*100,1))</f>
        <v/>
      </c>
      <c r="P41" s="26">
        <f>IFERROR(INDIRECT("'"&amp;$B41&amp;"'!I13"),"")</f>
        <v/>
      </c>
      <c r="Q41" s="29">
        <f>IF($M41="","",IF($M41&gt;=0.35,"Margem boa",IF($M41&gt;=0.25,"Margem apertada","Margem crítica")))</f>
        <v/>
      </c>
      <c r="AH41" s="30">
        <f>IFERROR(INDIRECT("'"&amp;$B41&amp;"'!C107"),"")</f>
        <v/>
      </c>
      <c r="AI41" s="30">
        <f>IFERROR(INDIRECT("'"&amp;$B41&amp;"'!D107"),"")</f>
        <v/>
      </c>
      <c r="AJ41" s="30">
        <f>IFERROR(INDIRECT("'"&amp;$B41&amp;"'!C108"),"")</f>
        <v/>
      </c>
      <c r="AK41" s="30">
        <f>IFERROR(INDIRECT("'"&amp;$B41&amp;"'!D108"),"")</f>
        <v/>
      </c>
      <c r="AL41" s="30">
        <f>IFERROR(INDIRECT("'"&amp;$B41&amp;"'!C109"),"")</f>
        <v/>
      </c>
      <c r="AM41" s="30">
        <f>IFERROR(INDIRECT("'"&amp;$B41&amp;"'!D109"),"")</f>
        <v/>
      </c>
      <c r="AN41" s="30">
        <f>IFERROR(INDIRECT("'"&amp;$B41&amp;"'!C110"),"")</f>
        <v/>
      </c>
      <c r="AO41" s="30">
        <f>IFERROR(INDIRECT("'"&amp;$B41&amp;"'!D110"),"")</f>
        <v/>
      </c>
      <c r="AP41" s="30">
        <f>IFERROR(INDIRECT("'"&amp;$B41&amp;"'!C111"),"")</f>
        <v/>
      </c>
      <c r="AQ41" s="30">
        <f>IFERROR(INDIRECT("'"&amp;$B41&amp;"'!D111"),"")</f>
        <v/>
      </c>
      <c r="AR41" s="30">
        <f>IFERROR(INDIRECT("'"&amp;$B41&amp;"'!C112"),"")</f>
        <v/>
      </c>
      <c r="AS41" s="30">
        <f>IFERROR(INDIRECT("'"&amp;$B41&amp;"'!D112"),"")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IFERROR(INDIRECT("'"&amp;$B42&amp;"'!E13"),"")</f>
        <v/>
      </c>
      <c r="M42" s="27">
        <f>IFERROR(INDIRECT("'"&amp;$B42&amp;"'!G13"),"")</f>
        <v/>
      </c>
      <c r="N42" s="27">
        <f>IFERROR(INDIRECT("'"&amp;$B42&amp;"'!H13"),"")</f>
        <v/>
      </c>
      <c r="O42" s="28">
        <f>IF(OR($M42="",$N42=""),"",ROUND(($M42-$N42)*100,1))</f>
        <v/>
      </c>
      <c r="P42" s="26">
        <f>IFERROR(INDIRECT("'"&amp;$B42&amp;"'!I13"),"")</f>
        <v/>
      </c>
      <c r="Q42" s="29">
        <f>IF($M42="","",IF($M42&gt;=0.35,"Margem boa",IF($M42&gt;=0.25,"Margem apertada","Margem crítica")))</f>
        <v/>
      </c>
      <c r="AH42" s="30">
        <f>IFERROR(INDIRECT("'"&amp;$B42&amp;"'!C107"),"")</f>
        <v/>
      </c>
      <c r="AI42" s="30">
        <f>IFERROR(INDIRECT("'"&amp;$B42&amp;"'!D107"),"")</f>
        <v/>
      </c>
      <c r="AJ42" s="30">
        <f>IFERROR(INDIRECT("'"&amp;$B42&amp;"'!C108"),"")</f>
        <v/>
      </c>
      <c r="AK42" s="30">
        <f>IFERROR(INDIRECT("'"&amp;$B42&amp;"'!D108"),"")</f>
        <v/>
      </c>
      <c r="AL42" s="30">
        <f>IFERROR(INDIRECT("'"&amp;$B42&amp;"'!C109"),"")</f>
        <v/>
      </c>
      <c r="AM42" s="30">
        <f>IFERROR(INDIRECT("'"&amp;$B42&amp;"'!D109"),"")</f>
        <v/>
      </c>
      <c r="AN42" s="30">
        <f>IFERROR(INDIRECT("'"&amp;$B42&amp;"'!C110"),"")</f>
        <v/>
      </c>
      <c r="AO42" s="30">
        <f>IFERROR(INDIRECT("'"&amp;$B42&amp;"'!D110"),"")</f>
        <v/>
      </c>
      <c r="AP42" s="30">
        <f>IFERROR(INDIRECT("'"&amp;$B42&amp;"'!C111"),"")</f>
        <v/>
      </c>
      <c r="AQ42" s="30">
        <f>IFERROR(INDIRECT("'"&amp;$B42&amp;"'!D111"),"")</f>
        <v/>
      </c>
      <c r="AR42" s="30">
        <f>IFERROR(INDIRECT("'"&amp;$B42&amp;"'!C112"),"")</f>
        <v/>
      </c>
      <c r="AS42" s="30">
        <f>IFERROR(INDIRECT("'"&amp;$B42&amp;"'!D112"),"")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IFERROR(INDIRECT("'"&amp;$B43&amp;"'!E13"),"")</f>
        <v/>
      </c>
      <c r="M43" s="27">
        <f>IFERROR(INDIRECT("'"&amp;$B43&amp;"'!G13"),"")</f>
        <v/>
      </c>
      <c r="N43" s="27">
        <f>IFERROR(INDIRECT("'"&amp;$B43&amp;"'!H13"),"")</f>
        <v/>
      </c>
      <c r="O43" s="28">
        <f>IF(OR($M43="",$N43=""),"",ROUND(($M43-$N43)*100,1))</f>
        <v/>
      </c>
      <c r="P43" s="26">
        <f>IFERROR(INDIRECT("'"&amp;$B43&amp;"'!I13"),"")</f>
        <v/>
      </c>
      <c r="Q43" s="29">
        <f>IF($M43="","",IF($M43&gt;=0.35,"Margem boa",IF($M43&gt;=0.25,"Margem apertada","Margem crítica")))</f>
        <v/>
      </c>
      <c r="AH43" s="30">
        <f>IFERROR(INDIRECT("'"&amp;$B43&amp;"'!C107"),"")</f>
        <v/>
      </c>
      <c r="AI43" s="30">
        <f>IFERROR(INDIRECT("'"&amp;$B43&amp;"'!D107"),"")</f>
        <v/>
      </c>
      <c r="AJ43" s="30">
        <f>IFERROR(INDIRECT("'"&amp;$B43&amp;"'!C108"),"")</f>
        <v/>
      </c>
      <c r="AK43" s="30">
        <f>IFERROR(INDIRECT("'"&amp;$B43&amp;"'!D108"),"")</f>
        <v/>
      </c>
      <c r="AL43" s="30">
        <f>IFERROR(INDIRECT("'"&amp;$B43&amp;"'!C109"),"")</f>
        <v/>
      </c>
      <c r="AM43" s="30">
        <f>IFERROR(INDIRECT("'"&amp;$B43&amp;"'!D109"),"")</f>
        <v/>
      </c>
      <c r="AN43" s="30">
        <f>IFERROR(INDIRECT("'"&amp;$B43&amp;"'!C110"),"")</f>
        <v/>
      </c>
      <c r="AO43" s="30">
        <f>IFERROR(INDIRECT("'"&amp;$B43&amp;"'!D110"),"")</f>
        <v/>
      </c>
      <c r="AP43" s="30">
        <f>IFERROR(INDIRECT("'"&amp;$B43&amp;"'!C111"),"")</f>
        <v/>
      </c>
      <c r="AQ43" s="30">
        <f>IFERROR(INDIRECT("'"&amp;$B43&amp;"'!D111"),"")</f>
        <v/>
      </c>
      <c r="AR43" s="30">
        <f>IFERROR(INDIRECT("'"&amp;$B43&amp;"'!C112"),"")</f>
        <v/>
      </c>
      <c r="AS43" s="30">
        <f>IFERROR(INDIRECT("'"&amp;$B43&amp;"'!D112"),"")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IFERROR(INDIRECT("'"&amp;$B44&amp;"'!E13"),"")</f>
        <v/>
      </c>
      <c r="M44" s="27">
        <f>IFERROR(INDIRECT("'"&amp;$B44&amp;"'!G13"),"")</f>
        <v/>
      </c>
      <c r="N44" s="27">
        <f>IFERROR(INDIRECT("'"&amp;$B44&amp;"'!H13"),"")</f>
        <v/>
      </c>
      <c r="O44" s="28">
        <f>IF(OR($M44="",$N44=""),"",ROUND(($M44-$N44)*100,1))</f>
        <v/>
      </c>
      <c r="P44" s="26">
        <f>IFERROR(INDIRECT("'"&amp;$B44&amp;"'!I13"),"")</f>
        <v/>
      </c>
      <c r="Q44" s="29">
        <f>IF($M44="","",IF($M44&gt;=0.35,"Margem boa",IF($M44&gt;=0.25,"Margem apertada","Margem crítica")))</f>
        <v/>
      </c>
      <c r="AH44" s="30">
        <f>IFERROR(INDIRECT("'"&amp;$B44&amp;"'!C107"),"")</f>
        <v/>
      </c>
      <c r="AI44" s="30">
        <f>IFERROR(INDIRECT("'"&amp;$B44&amp;"'!D107"),"")</f>
        <v/>
      </c>
      <c r="AJ44" s="30">
        <f>IFERROR(INDIRECT("'"&amp;$B44&amp;"'!C108"),"")</f>
        <v/>
      </c>
      <c r="AK44" s="30">
        <f>IFERROR(INDIRECT("'"&amp;$B44&amp;"'!D108"),"")</f>
        <v/>
      </c>
      <c r="AL44" s="30">
        <f>IFERROR(INDIRECT("'"&amp;$B44&amp;"'!C109"),"")</f>
        <v/>
      </c>
      <c r="AM44" s="30">
        <f>IFERROR(INDIRECT("'"&amp;$B44&amp;"'!D109"),"")</f>
        <v/>
      </c>
      <c r="AN44" s="30">
        <f>IFERROR(INDIRECT("'"&amp;$B44&amp;"'!C110"),"")</f>
        <v/>
      </c>
      <c r="AO44" s="30">
        <f>IFERROR(INDIRECT("'"&amp;$B44&amp;"'!D110"),"")</f>
        <v/>
      </c>
      <c r="AP44" s="30">
        <f>IFERROR(INDIRECT("'"&amp;$B44&amp;"'!C111"),"")</f>
        <v/>
      </c>
      <c r="AQ44" s="30">
        <f>IFERROR(INDIRECT("'"&amp;$B44&amp;"'!D111"),"")</f>
        <v/>
      </c>
      <c r="AR44" s="30">
        <f>IFERROR(INDIRECT("'"&amp;$B44&amp;"'!C112"),"")</f>
        <v/>
      </c>
      <c r="AS44" s="30">
        <f>IFERROR(INDIRECT("'"&amp;$B44&amp;"'!D112"),"")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IFERROR(INDIRECT("'"&amp;$B45&amp;"'!E13"),"")</f>
        <v/>
      </c>
      <c r="M45" s="27">
        <f>IFERROR(INDIRECT("'"&amp;$B45&amp;"'!G13"),"")</f>
        <v/>
      </c>
      <c r="N45" s="27">
        <f>IFERROR(INDIRECT("'"&amp;$B45&amp;"'!H13"),"")</f>
        <v/>
      </c>
      <c r="O45" s="28">
        <f>IF(OR($M45="",$N45=""),"",ROUND(($M45-$N45)*100,1))</f>
        <v/>
      </c>
      <c r="P45" s="26">
        <f>IFERROR(INDIRECT("'"&amp;$B45&amp;"'!I13"),"")</f>
        <v/>
      </c>
      <c r="Q45" s="29">
        <f>IF($M45="","",IF($M45&gt;=0.35,"Margem boa",IF($M45&gt;=0.25,"Margem apertada","Margem crítica")))</f>
        <v/>
      </c>
      <c r="AH45" s="30">
        <f>IFERROR(INDIRECT("'"&amp;$B45&amp;"'!C107"),"")</f>
        <v/>
      </c>
      <c r="AI45" s="30">
        <f>IFERROR(INDIRECT("'"&amp;$B45&amp;"'!D107"),"")</f>
        <v/>
      </c>
      <c r="AJ45" s="30">
        <f>IFERROR(INDIRECT("'"&amp;$B45&amp;"'!C108"),"")</f>
        <v/>
      </c>
      <c r="AK45" s="30">
        <f>IFERROR(INDIRECT("'"&amp;$B45&amp;"'!D108"),"")</f>
        <v/>
      </c>
      <c r="AL45" s="30">
        <f>IFERROR(INDIRECT("'"&amp;$B45&amp;"'!C109"),"")</f>
        <v/>
      </c>
      <c r="AM45" s="30">
        <f>IFERROR(INDIRECT("'"&amp;$B45&amp;"'!D109"),"")</f>
        <v/>
      </c>
      <c r="AN45" s="30">
        <f>IFERROR(INDIRECT("'"&amp;$B45&amp;"'!C110"),"")</f>
        <v/>
      </c>
      <c r="AO45" s="30">
        <f>IFERROR(INDIRECT("'"&amp;$B45&amp;"'!D110"),"")</f>
        <v/>
      </c>
      <c r="AP45" s="30">
        <f>IFERROR(INDIRECT("'"&amp;$B45&amp;"'!C111"),"")</f>
        <v/>
      </c>
      <c r="AQ45" s="30">
        <f>IFERROR(INDIRECT("'"&amp;$B45&amp;"'!D111"),"")</f>
        <v/>
      </c>
      <c r="AR45" s="30">
        <f>IFERROR(INDIRECT("'"&amp;$B45&amp;"'!C112"),"")</f>
        <v/>
      </c>
      <c r="AS45" s="30">
        <f>IFERROR(INDIRECT("'"&amp;$B45&amp;"'!D112"),"")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IFERROR(INDIRECT("'"&amp;$B46&amp;"'!E13"),"")</f>
        <v/>
      </c>
      <c r="M46" s="27">
        <f>IFERROR(INDIRECT("'"&amp;$B46&amp;"'!G13"),"")</f>
        <v/>
      </c>
      <c r="N46" s="27">
        <f>IFERROR(INDIRECT("'"&amp;$B46&amp;"'!H13"),"")</f>
        <v/>
      </c>
      <c r="O46" s="28">
        <f>IF(OR($M46="",$N46=""),"",ROUND(($M46-$N46)*100,1))</f>
        <v/>
      </c>
      <c r="P46" s="26">
        <f>IFERROR(INDIRECT("'"&amp;$B46&amp;"'!I13"),"")</f>
        <v/>
      </c>
      <c r="Q46" s="29">
        <f>IF($M46="","",IF($M46&gt;=0.35,"Margem boa",IF($M46&gt;=0.25,"Margem apertada","Margem crítica")))</f>
        <v/>
      </c>
      <c r="AH46" s="30">
        <f>IFERROR(INDIRECT("'"&amp;$B46&amp;"'!C107"),"")</f>
        <v/>
      </c>
      <c r="AI46" s="30">
        <f>IFERROR(INDIRECT("'"&amp;$B46&amp;"'!D107"),"")</f>
        <v/>
      </c>
      <c r="AJ46" s="30">
        <f>IFERROR(INDIRECT("'"&amp;$B46&amp;"'!C108"),"")</f>
        <v/>
      </c>
      <c r="AK46" s="30">
        <f>IFERROR(INDIRECT("'"&amp;$B46&amp;"'!D108"),"")</f>
        <v/>
      </c>
      <c r="AL46" s="30">
        <f>IFERROR(INDIRECT("'"&amp;$B46&amp;"'!C109"),"")</f>
        <v/>
      </c>
      <c r="AM46" s="30">
        <f>IFERROR(INDIRECT("'"&amp;$B46&amp;"'!D109"),"")</f>
        <v/>
      </c>
      <c r="AN46" s="30">
        <f>IFERROR(INDIRECT("'"&amp;$B46&amp;"'!C110"),"")</f>
        <v/>
      </c>
      <c r="AO46" s="30">
        <f>IFERROR(INDIRECT("'"&amp;$B46&amp;"'!D110"),"")</f>
        <v/>
      </c>
      <c r="AP46" s="30">
        <f>IFERROR(INDIRECT("'"&amp;$B46&amp;"'!C111"),"")</f>
        <v/>
      </c>
      <c r="AQ46" s="30">
        <f>IFERROR(INDIRECT("'"&amp;$B46&amp;"'!D111"),"")</f>
        <v/>
      </c>
      <c r="AR46" s="30">
        <f>IFERROR(INDIRECT("'"&amp;$B46&amp;"'!C112"),"")</f>
        <v/>
      </c>
      <c r="AS46" s="30">
        <f>IFERROR(INDIRECT("'"&amp;$B46&amp;"'!D112"),"")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IFERROR(INDIRECT("'"&amp;$B47&amp;"'!E13"),"")</f>
        <v/>
      </c>
      <c r="M47" s="27">
        <f>IFERROR(INDIRECT("'"&amp;$B47&amp;"'!G13"),"")</f>
        <v/>
      </c>
      <c r="N47" s="27">
        <f>IFERROR(INDIRECT("'"&amp;$B47&amp;"'!H13"),"")</f>
        <v/>
      </c>
      <c r="O47" s="28">
        <f>IF(OR($M47="",$N47=""),"",ROUND(($M47-$N47)*100,1))</f>
        <v/>
      </c>
      <c r="P47" s="26">
        <f>IFERROR(INDIRECT("'"&amp;$B47&amp;"'!I13"),"")</f>
        <v/>
      </c>
      <c r="Q47" s="29">
        <f>IF($M47="","",IF($M47&gt;=0.35,"Margem boa",IF($M47&gt;=0.25,"Margem apertada","Margem crítica")))</f>
        <v/>
      </c>
      <c r="AH47" s="30">
        <f>IFERROR(INDIRECT("'"&amp;$B47&amp;"'!C107"),"")</f>
        <v/>
      </c>
      <c r="AI47" s="30">
        <f>IFERROR(INDIRECT("'"&amp;$B47&amp;"'!D107"),"")</f>
        <v/>
      </c>
      <c r="AJ47" s="30">
        <f>IFERROR(INDIRECT("'"&amp;$B47&amp;"'!C108"),"")</f>
        <v/>
      </c>
      <c r="AK47" s="30">
        <f>IFERROR(INDIRECT("'"&amp;$B47&amp;"'!D108"),"")</f>
        <v/>
      </c>
      <c r="AL47" s="30">
        <f>IFERROR(INDIRECT("'"&amp;$B47&amp;"'!C109"),"")</f>
        <v/>
      </c>
      <c r="AM47" s="30">
        <f>IFERROR(INDIRECT("'"&amp;$B47&amp;"'!D109"),"")</f>
        <v/>
      </c>
      <c r="AN47" s="30">
        <f>IFERROR(INDIRECT("'"&amp;$B47&amp;"'!C110"),"")</f>
        <v/>
      </c>
      <c r="AO47" s="30">
        <f>IFERROR(INDIRECT("'"&amp;$B47&amp;"'!D110"),"")</f>
        <v/>
      </c>
      <c r="AP47" s="30">
        <f>IFERROR(INDIRECT("'"&amp;$B47&amp;"'!C111"),"")</f>
        <v/>
      </c>
      <c r="AQ47" s="30">
        <f>IFERROR(INDIRECT("'"&amp;$B47&amp;"'!D111"),"")</f>
        <v/>
      </c>
      <c r="AR47" s="30">
        <f>IFERROR(INDIRECT("'"&amp;$B47&amp;"'!C112"),"")</f>
        <v/>
      </c>
      <c r="AS47" s="30">
        <f>IFERROR(INDIRECT("'"&amp;$B47&amp;"'!D112"),"")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IFERROR(INDIRECT("'"&amp;$B48&amp;"'!E13"),"")</f>
        <v/>
      </c>
      <c r="M48" s="27">
        <f>IFERROR(INDIRECT("'"&amp;$B48&amp;"'!G13"),"")</f>
        <v/>
      </c>
      <c r="N48" s="27">
        <f>IFERROR(INDIRECT("'"&amp;$B48&amp;"'!H13"),"")</f>
        <v/>
      </c>
      <c r="O48" s="28">
        <f>IF(OR($M48="",$N48=""),"",ROUND(($M48-$N48)*100,1))</f>
        <v/>
      </c>
      <c r="P48" s="26">
        <f>IFERROR(INDIRECT("'"&amp;$B48&amp;"'!I13"),"")</f>
        <v/>
      </c>
      <c r="Q48" s="29">
        <f>IF($M48="","",IF($M48&gt;=0.35,"Margem boa",IF($M48&gt;=0.25,"Margem apertada","Margem crítica")))</f>
        <v/>
      </c>
      <c r="AH48" s="30">
        <f>IFERROR(INDIRECT("'"&amp;$B48&amp;"'!C107"),"")</f>
        <v/>
      </c>
      <c r="AI48" s="30">
        <f>IFERROR(INDIRECT("'"&amp;$B48&amp;"'!D107"),"")</f>
        <v/>
      </c>
      <c r="AJ48" s="30">
        <f>IFERROR(INDIRECT("'"&amp;$B48&amp;"'!C108"),"")</f>
        <v/>
      </c>
      <c r="AK48" s="30">
        <f>IFERROR(INDIRECT("'"&amp;$B48&amp;"'!D108"),"")</f>
        <v/>
      </c>
      <c r="AL48" s="30">
        <f>IFERROR(INDIRECT("'"&amp;$B48&amp;"'!C109"),"")</f>
        <v/>
      </c>
      <c r="AM48" s="30">
        <f>IFERROR(INDIRECT("'"&amp;$B48&amp;"'!D109"),"")</f>
        <v/>
      </c>
      <c r="AN48" s="30">
        <f>IFERROR(INDIRECT("'"&amp;$B48&amp;"'!C110"),"")</f>
        <v/>
      </c>
      <c r="AO48" s="30">
        <f>IFERROR(INDIRECT("'"&amp;$B48&amp;"'!D110"),"")</f>
        <v/>
      </c>
      <c r="AP48" s="30">
        <f>IFERROR(INDIRECT("'"&amp;$B48&amp;"'!C111"),"")</f>
        <v/>
      </c>
      <c r="AQ48" s="30">
        <f>IFERROR(INDIRECT("'"&amp;$B48&amp;"'!D111"),"")</f>
        <v/>
      </c>
      <c r="AR48" s="30">
        <f>IFERROR(INDIRECT("'"&amp;$B48&amp;"'!C112"),"")</f>
        <v/>
      </c>
      <c r="AS48" s="30">
        <f>IFERROR(INDIRECT("'"&amp;$B48&amp;"'!D112"),"")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IFERROR(INDIRECT("'"&amp;$B49&amp;"'!E13"),"")</f>
        <v/>
      </c>
      <c r="M49" s="27">
        <f>IFERROR(INDIRECT("'"&amp;$B49&amp;"'!G13"),"")</f>
        <v/>
      </c>
      <c r="N49" s="27">
        <f>IFERROR(INDIRECT("'"&amp;$B49&amp;"'!H13"),"")</f>
        <v/>
      </c>
      <c r="O49" s="28">
        <f>IF(OR($M49="",$N49=""),"",ROUND(($M49-$N49)*100,1))</f>
        <v/>
      </c>
      <c r="P49" s="26">
        <f>IFERROR(INDIRECT("'"&amp;$B49&amp;"'!I13"),"")</f>
        <v/>
      </c>
      <c r="Q49" s="29">
        <f>IF($M49="","",IF($M49&gt;=0.35,"Margem boa",IF($M49&gt;=0.25,"Margem apertada","Margem crítica")))</f>
        <v/>
      </c>
      <c r="AH49" s="30">
        <f>IFERROR(INDIRECT("'"&amp;$B49&amp;"'!C107"),"")</f>
        <v/>
      </c>
      <c r="AI49" s="30">
        <f>IFERROR(INDIRECT("'"&amp;$B49&amp;"'!D107"),"")</f>
        <v/>
      </c>
      <c r="AJ49" s="30">
        <f>IFERROR(INDIRECT("'"&amp;$B49&amp;"'!C108"),"")</f>
        <v/>
      </c>
      <c r="AK49" s="30">
        <f>IFERROR(INDIRECT("'"&amp;$B49&amp;"'!D108"),"")</f>
        <v/>
      </c>
      <c r="AL49" s="30">
        <f>IFERROR(INDIRECT("'"&amp;$B49&amp;"'!C109"),"")</f>
        <v/>
      </c>
      <c r="AM49" s="30">
        <f>IFERROR(INDIRECT("'"&amp;$B49&amp;"'!D109"),"")</f>
        <v/>
      </c>
      <c r="AN49" s="30">
        <f>IFERROR(INDIRECT("'"&amp;$B49&amp;"'!C110"),"")</f>
        <v/>
      </c>
      <c r="AO49" s="30">
        <f>IFERROR(INDIRECT("'"&amp;$B49&amp;"'!D110"),"")</f>
        <v/>
      </c>
      <c r="AP49" s="30">
        <f>IFERROR(INDIRECT("'"&amp;$B49&amp;"'!C111"),"")</f>
        <v/>
      </c>
      <c r="AQ49" s="30">
        <f>IFERROR(INDIRECT("'"&amp;$B49&amp;"'!D111"),"")</f>
        <v/>
      </c>
      <c r="AR49" s="30">
        <f>IFERROR(INDIRECT("'"&amp;$B49&amp;"'!C112"),"")</f>
        <v/>
      </c>
      <c r="AS49" s="30">
        <f>IFERROR(INDIRECT("'"&amp;$B49&amp;"'!D112"),"")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IFERROR(INDIRECT("'"&amp;$B50&amp;"'!E13"),"")</f>
        <v/>
      </c>
      <c r="M50" s="27">
        <f>IFERROR(INDIRECT("'"&amp;$B50&amp;"'!G13"),"")</f>
        <v/>
      </c>
      <c r="N50" s="27">
        <f>IFERROR(INDIRECT("'"&amp;$B50&amp;"'!H13"),"")</f>
        <v/>
      </c>
      <c r="O50" s="28">
        <f>IF(OR($M50="",$N50=""),"",ROUND(($M50-$N50)*100,1))</f>
        <v/>
      </c>
      <c r="P50" s="26">
        <f>IFERROR(INDIRECT("'"&amp;$B50&amp;"'!I13"),"")</f>
        <v/>
      </c>
      <c r="Q50" s="29">
        <f>IF($M50="","",IF($M50&gt;=0.35,"Margem boa",IF($M50&gt;=0.25,"Margem apertada","Margem crítica")))</f>
        <v/>
      </c>
      <c r="AH50" s="30">
        <f>IFERROR(INDIRECT("'"&amp;$B50&amp;"'!C107"),"")</f>
        <v/>
      </c>
      <c r="AI50" s="30">
        <f>IFERROR(INDIRECT("'"&amp;$B50&amp;"'!D107"),"")</f>
        <v/>
      </c>
      <c r="AJ50" s="30">
        <f>IFERROR(INDIRECT("'"&amp;$B50&amp;"'!C108"),"")</f>
        <v/>
      </c>
      <c r="AK50" s="30">
        <f>IFERROR(INDIRECT("'"&amp;$B50&amp;"'!D108"),"")</f>
        <v/>
      </c>
      <c r="AL50" s="30">
        <f>IFERROR(INDIRECT("'"&amp;$B50&amp;"'!C109"),"")</f>
        <v/>
      </c>
      <c r="AM50" s="30">
        <f>IFERROR(INDIRECT("'"&amp;$B50&amp;"'!D109"),"")</f>
        <v/>
      </c>
      <c r="AN50" s="30">
        <f>IFERROR(INDIRECT("'"&amp;$B50&amp;"'!C110"),"")</f>
        <v/>
      </c>
      <c r="AO50" s="30">
        <f>IFERROR(INDIRECT("'"&amp;$B50&amp;"'!D110"),"")</f>
        <v/>
      </c>
      <c r="AP50" s="30">
        <f>IFERROR(INDIRECT("'"&amp;$B50&amp;"'!C111"),"")</f>
        <v/>
      </c>
      <c r="AQ50" s="30">
        <f>IFERROR(INDIRECT("'"&amp;$B50&amp;"'!D111"),"")</f>
        <v/>
      </c>
      <c r="AR50" s="30">
        <f>IFERROR(INDIRECT("'"&amp;$B50&amp;"'!C112"),"")</f>
        <v/>
      </c>
      <c r="AS50" s="30">
        <f>IFERROR(INDIRECT("'"&amp;$B50&amp;"'!D112"),"")</f>
        <v/>
      </c>
    </row>
    <row r="51" ht="20" customHeight="1">
      <c r="A51" s="31" t="inlineStr">
        <is>
          <t>TOTAL</t>
        </is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3">
        <f>ROUND(SUM(J11:J50),2)</f>
        <v/>
      </c>
      <c r="K51" s="33">
        <f>ROUND(SUM(K11:K50),2)</f>
        <v/>
      </c>
      <c r="L51" s="33">
        <f>ROUND(SUM(L11:L50),2)</f>
        <v/>
      </c>
      <c r="M51" s="34">
        <f>IF($J$51=0,"",$L$51/$J$51)</f>
        <v/>
      </c>
      <c r="N51" s="32" t="n"/>
      <c r="O51" s="32" t="n"/>
      <c r="P51" s="33">
        <f>ROUND(SUM($P$11:$P$50),2)</f>
        <v/>
      </c>
      <c r="Q51" s="32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</row>
    <row r="54" ht="26" customHeight="1">
      <c r="A54" s="19" t="inlineStr">
        <is>
          <t>Categoria</t>
        </is>
      </c>
      <c r="B54" s="35" t="n"/>
      <c r="C54" s="35" t="n"/>
      <c r="D54" s="19" t="inlineStr">
        <is>
          <t>Orçado (R$)</t>
        </is>
      </c>
      <c r="E54" s="35" t="n"/>
      <c r="F54" s="19" t="inlineStr">
        <is>
          <t>Realizado (R$)</t>
        </is>
      </c>
      <c r="G54" s="35" t="n"/>
      <c r="H54" s="19" t="inlineStr">
        <is>
          <t>Desvio (R$)</t>
        </is>
      </c>
      <c r="I54" s="35" t="n"/>
      <c r="J54" s="19" t="inlineStr">
        <is>
          <t>Desvio (%)</t>
        </is>
      </c>
      <c r="K54" s="35" t="n"/>
      <c r="L54" s="19" t="inlineStr">
        <is>
          <t>% da venda</t>
        </is>
      </c>
      <c r="M54" s="35" t="n"/>
      <c r="N54" s="19" t="inlineStr">
        <is>
          <t>Leitura</t>
        </is>
      </c>
      <c r="O54" s="35" t="n"/>
      <c r="P54" s="35" t="n"/>
      <c r="Q54" s="35" t="n"/>
    </row>
    <row r="55" ht="19" customHeight="1">
      <c r="A55" s="36" t="inlineStr">
        <is>
          <t>Custos de venda</t>
        </is>
      </c>
      <c r="B55" s="37" t="n"/>
      <c r="C55" s="37" t="n"/>
      <c r="D55" s="26">
        <f>ROUND(SUM(AH$11:AH$50),2)</f>
        <v/>
      </c>
      <c r="E55" s="38" t="n"/>
      <c r="F55" s="26">
        <f>ROUND(SUM(AI$11:AI$50),2)</f>
        <v/>
      </c>
      <c r="G55" s="38" t="n"/>
      <c r="H55" s="39">
        <f>ROUND($F55-$D55,2)</f>
        <v/>
      </c>
      <c r="I55" s="38" t="n"/>
      <c r="J55" s="40">
        <f>IF($D55=0,"",$F55/$D55-1)</f>
        <v/>
      </c>
      <c r="K55" s="38" t="n"/>
      <c r="L55" s="27">
        <f>IF($J$51=0,"",$F55/$J$51)</f>
        <v/>
      </c>
      <c r="M55" s="38" t="n"/>
      <c r="N55" s="41">
        <f>IF($D55=0,"—",IF($J55&gt;0.1,"Estourou mais de 10% — revisar a premissa",IF($J55&lt;-0.1,"Sobrou mais de 10% — orçamento pode estar gordo","Dentro do previsto")))</f>
        <v/>
      </c>
      <c r="O55" s="38" t="n"/>
      <c r="P55" s="38" t="n"/>
      <c r="Q55" s="38" t="n"/>
    </row>
    <row r="56" ht="19" customHeight="1">
      <c r="A56" s="36" t="inlineStr">
        <is>
          <t>Comissões operacionais</t>
        </is>
      </c>
      <c r="B56" s="37" t="n"/>
      <c r="C56" s="37" t="n"/>
      <c r="D56" s="26">
        <f>ROUND(SUM(AJ$11:AJ$50),2)</f>
        <v/>
      </c>
      <c r="E56" s="38" t="n"/>
      <c r="F56" s="26">
        <f>ROUND(SUM(AK$11:AK$50),2)</f>
        <v/>
      </c>
      <c r="G56" s="38" t="n"/>
      <c r="H56" s="39">
        <f>ROUND($F56-$D56,2)</f>
        <v/>
      </c>
      <c r="I56" s="38" t="n"/>
      <c r="J56" s="40">
        <f>IF($D56=0,"",$F56/$D56-1)</f>
        <v/>
      </c>
      <c r="K56" s="38" t="n"/>
      <c r="L56" s="27">
        <f>IF($J$51=0,"",$F56/$J$51)</f>
        <v/>
      </c>
      <c r="M56" s="38" t="n"/>
      <c r="N56" s="41">
        <f>IF($D56=0,"—",IF($J56&gt;0.1,"Estourou mais de 10% — revisar a premissa",IF($J56&lt;-0.1,"Sobrou mais de 10% — orçamento pode estar gordo","Dentro do previsto")))</f>
        <v/>
      </c>
      <c r="O56" s="38" t="n"/>
      <c r="P56" s="38" t="n"/>
      <c r="Q56" s="38" t="n"/>
    </row>
    <row r="57" ht="19" customHeight="1">
      <c r="A57" s="36" t="inlineStr">
        <is>
          <t>Material</t>
        </is>
      </c>
      <c r="B57" s="37" t="n"/>
      <c r="C57" s="37" t="n"/>
      <c r="D57" s="26">
        <f>ROUND(SUM(AL$11:AL$50),2)</f>
        <v/>
      </c>
      <c r="E57" s="38" t="n"/>
      <c r="F57" s="26">
        <f>ROUND(SUM(AM$11:AM$50),2)</f>
        <v/>
      </c>
      <c r="G57" s="38" t="n"/>
      <c r="H57" s="39">
        <f>ROUND($F57-$D57,2)</f>
        <v/>
      </c>
      <c r="I57" s="38" t="n"/>
      <c r="J57" s="40">
        <f>IF($D57=0,"",$F57/$D57-1)</f>
        <v/>
      </c>
      <c r="K57" s="38" t="n"/>
      <c r="L57" s="27">
        <f>IF($J$51=0,"",$F57/$J$51)</f>
        <v/>
      </c>
      <c r="M57" s="38" t="n"/>
      <c r="N57" s="41">
        <f>IF($D57=0,"—",IF($J57&gt;0.1,"Estourou mais de 10% — revisar a premissa",IF($J57&lt;-0.1,"Sobrou mais de 10% — orçamento pode estar gordo","Dentro do previsto")))</f>
        <v/>
      </c>
      <c r="O57" s="38" t="n"/>
      <c r="P57" s="38" t="n"/>
      <c r="Q57" s="38" t="n"/>
    </row>
    <row r="58" ht="19" customHeight="1">
      <c r="A58" s="36" t="inlineStr">
        <is>
          <t>Serviços terceirizados</t>
        </is>
      </c>
      <c r="B58" s="37" t="n"/>
      <c r="C58" s="37" t="n"/>
      <c r="D58" s="26">
        <f>ROUND(SUM(AN$11:AN$50),2)</f>
        <v/>
      </c>
      <c r="E58" s="38" t="n"/>
      <c r="F58" s="26">
        <f>ROUND(SUM(AO$11:AO$50),2)</f>
        <v/>
      </c>
      <c r="G58" s="38" t="n"/>
      <c r="H58" s="39">
        <f>ROUND($F58-$D58,2)</f>
        <v/>
      </c>
      <c r="I58" s="38" t="n"/>
      <c r="J58" s="40">
        <f>IF($D58=0,"",$F58/$D58-1)</f>
        <v/>
      </c>
      <c r="K58" s="38" t="n"/>
      <c r="L58" s="27">
        <f>IF($J$51=0,"",$F58/$J$51)</f>
        <v/>
      </c>
      <c r="M58" s="38" t="n"/>
      <c r="N58" s="41">
        <f>IF($D58=0,"—",IF($J58&gt;0.1,"Estourou mais de 10% — revisar a premissa",IF($J58&lt;-0.1,"Sobrou mais de 10% — orçamento pode estar gordo","Dentro do previsto")))</f>
        <v/>
      </c>
      <c r="O58" s="38" t="n"/>
      <c r="P58" s="38" t="n"/>
      <c r="Q58" s="38" t="n"/>
    </row>
    <row r="59" ht="19" customHeight="1">
      <c r="A59" s="36" t="inlineStr">
        <is>
          <t>Logística</t>
        </is>
      </c>
      <c r="B59" s="37" t="n"/>
      <c r="C59" s="37" t="n"/>
      <c r="D59" s="26">
        <f>ROUND(SUM(AP$11:AP$50),2)</f>
        <v/>
      </c>
      <c r="E59" s="38" t="n"/>
      <c r="F59" s="26">
        <f>ROUND(SUM(AQ$11:AQ$50),2)</f>
        <v/>
      </c>
      <c r="G59" s="38" t="n"/>
      <c r="H59" s="39">
        <f>ROUND($F59-$D59,2)</f>
        <v/>
      </c>
      <c r="I59" s="38" t="n"/>
      <c r="J59" s="40">
        <f>IF($D59=0,"",$F59/$D59-1)</f>
        <v/>
      </c>
      <c r="K59" s="38" t="n"/>
      <c r="L59" s="27">
        <f>IF($J$51=0,"",$F59/$J$51)</f>
        <v/>
      </c>
      <c r="M59" s="38" t="n"/>
      <c r="N59" s="41">
        <f>IF($D59=0,"—",IF($J59&gt;0.1,"Estourou mais de 10% — revisar a premissa",IF($J59&lt;-0.1,"Sobrou mais de 10% — orçamento pode estar gordo","Dentro do previsto")))</f>
        <v/>
      </c>
      <c r="O59" s="38" t="n"/>
      <c r="P59" s="38" t="n"/>
      <c r="Q59" s="38" t="n"/>
    </row>
    <row r="60" ht="19" customHeight="1">
      <c r="A60" s="36" t="inlineStr">
        <is>
          <t>Retrabalho</t>
        </is>
      </c>
      <c r="B60" s="37" t="n"/>
      <c r="C60" s="37" t="n"/>
      <c r="D60" s="26">
        <f>ROUND(SUM(AR$11:AR$50),2)</f>
        <v/>
      </c>
      <c r="E60" s="38" t="n"/>
      <c r="F60" s="26">
        <f>ROUND(SUM(AS$11:AS$50),2)</f>
        <v/>
      </c>
      <c r="G60" s="38" t="n"/>
      <c r="H60" s="39">
        <f>ROUND($F60-$D60,2)</f>
        <v/>
      </c>
      <c r="I60" s="38" t="n"/>
      <c r="J60" s="40">
        <f>IF($D60=0,"",$F60/$D60-1)</f>
        <v/>
      </c>
      <c r="K60" s="38" t="n"/>
      <c r="L60" s="27">
        <f>IF($J$51=0,"",$F60/$J$51)</f>
        <v/>
      </c>
      <c r="M60" s="38" t="n"/>
      <c r="N60" s="41">
        <f>IF($D60=0,"—",IF($J60&gt;0.1,"Estourou mais de 10% — revisar a premissa",IF($J60&lt;-0.1,"Sobrou mais de 10% — orçamento pode estar gordo","Dentro do previsto")))</f>
        <v/>
      </c>
      <c r="O60" s="38" t="n"/>
      <c r="P60" s="38" t="n"/>
      <c r="Q60" s="38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</row>
    <row r="63" ht="22" customHeight="1">
      <c r="A63" s="42">
        <f>"Carteira lançada: "&amp;COUNTA($B$11:$B$50)&amp;" projeto(s), "&amp;TEXT($J$51,"R$ #,##0")&amp;" de venda e "&amp;TEXT($L$51,"R$ #,##0")&amp;" de margem de contribuição — "&amp;TEXT($M$51,"0.0%")&amp;"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</row>
    <row r="64" ht="22" customHeight="1">
      <c r="A64" s="42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</row>
    <row r="65" ht="22" customHeight="1">
      <c r="A65" s="42">
        <f>"Margem: "&amp;COUNTIF($Q$11:$Q$50,"Margem crítica")&amp;" projeto(s) abaixo de 25%, "&amp;COUNTIF($Q$11:$Q$50,"Margem apertada")&amp;" entre 25% e 35% e "&amp;COUNTIF($Q$11:$Q$50,"Margem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</row>
    <row r="66" ht="22" customHeight="1">
      <c r="A66" s="42">
        <f>"Entrega: "&amp;COUNTIF($I$11:$I$50,"No prazo")&amp;" no prazo, "&amp;COUNTIF($I$11:$I$50,"Atrasado")&amp;" atrasado(s) e "&amp;COUNTIF($I$11:$I$50,"Em produção")&amp;" ainda em produção. Atraso médio dos entregues: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</row>
    <row r="67" ht="8" customHeight="1"/>
    <row r="68" ht="46" customHeight="1">
      <c r="A68" s="43" t="inlineStr">
        <is>
          <t xml:space="preserve">  Como alimentar: a cada projeto novo, clique com o botão direito na aba "Ficha Modelo" → Mover ou copiar → Criar uma cópia, renomeie a cópia (ex.: P-2026-042 Maria) e escreva esse mesmo nome numa linha livre da coluna ABA aqui. Todo o resto desta tela se preenche sozinho. Se o nome estiver errado ou a aba não existir, a linha simplesmente fica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</row>
  </sheetData>
  <mergeCells count="75">
    <mergeCell ref="J6:L6"/>
    <mergeCell ref="N59:Q59"/>
    <mergeCell ref="D60:E60"/>
    <mergeCell ref="A9:Q9"/>
    <mergeCell ref="G6:I6"/>
    <mergeCell ref="F54:G54"/>
    <mergeCell ref="N60:Q60"/>
    <mergeCell ref="H54:I54"/>
    <mergeCell ref="A56:C56"/>
    <mergeCell ref="J57:K57"/>
    <mergeCell ref="A64:Q64"/>
    <mergeCell ref="H55:I55"/>
    <mergeCell ref="L57:M57"/>
    <mergeCell ref="N51:O51"/>
    <mergeCell ref="D7:F7"/>
    <mergeCell ref="A55:C55"/>
    <mergeCell ref="H58:I58"/>
    <mergeCell ref="A57:C57"/>
    <mergeCell ref="A1:Q1"/>
    <mergeCell ref="J59:K59"/>
    <mergeCell ref="J60:K60"/>
    <mergeCell ref="J7:L7"/>
    <mergeCell ref="H56:I56"/>
    <mergeCell ref="F59:G59"/>
    <mergeCell ref="F55:G55"/>
    <mergeCell ref="H59:I59"/>
    <mergeCell ref="D57:E57"/>
    <mergeCell ref="H60:I60"/>
    <mergeCell ref="N55:Q55"/>
    <mergeCell ref="A65:Q65"/>
    <mergeCell ref="A68:Q68"/>
    <mergeCell ref="N54:Q54"/>
    <mergeCell ref="A66:Q66"/>
    <mergeCell ref="J55:K55"/>
    <mergeCell ref="L55:M55"/>
    <mergeCell ref="A63:Q63"/>
    <mergeCell ref="M7:N7"/>
    <mergeCell ref="A3:Q3"/>
    <mergeCell ref="M6:N6"/>
    <mergeCell ref="L58:M58"/>
    <mergeCell ref="J54:K54"/>
    <mergeCell ref="N56:Q56"/>
    <mergeCell ref="L54:M54"/>
    <mergeCell ref="A58:C58"/>
    <mergeCell ref="A2:Q2"/>
    <mergeCell ref="O7:Q7"/>
    <mergeCell ref="H57:I57"/>
    <mergeCell ref="D56:E56"/>
    <mergeCell ref="D58:E58"/>
    <mergeCell ref="A59:C59"/>
    <mergeCell ref="F56:G56"/>
    <mergeCell ref="F58:G58"/>
    <mergeCell ref="L60:M60"/>
    <mergeCell ref="J56:K56"/>
    <mergeCell ref="L56:M56"/>
    <mergeCell ref="A60:C60"/>
    <mergeCell ref="D55:E55"/>
    <mergeCell ref="A51:I51"/>
    <mergeCell ref="O6:Q6"/>
    <mergeCell ref="N58:Q58"/>
    <mergeCell ref="L59:M59"/>
    <mergeCell ref="A53:Q53"/>
    <mergeCell ref="A4:Q4"/>
    <mergeCell ref="A6:C6"/>
    <mergeCell ref="D6:F6"/>
    <mergeCell ref="F60:G60"/>
    <mergeCell ref="A62:Q62"/>
    <mergeCell ref="D54:E54"/>
    <mergeCell ref="J58:K58"/>
    <mergeCell ref="A7:C7"/>
    <mergeCell ref="G7:I7"/>
    <mergeCell ref="F57:G57"/>
    <mergeCell ref="D59:E59"/>
    <mergeCell ref="A54:C54"/>
    <mergeCell ref="N57:Q57"/>
  </mergeCells>
  <conditionalFormatting sqref="Q11:Q50">
    <cfRule type="expression" priority="1" dxfId="0" stopIfTrue="1">
      <formula>$Q11="Margem boa"</formula>
    </cfRule>
    <cfRule type="expression" priority="2" dxfId="1" stopIfTrue="1">
      <formula>$Q11="Margem apertada"</formula>
    </cfRule>
    <cfRule type="expression" priority="3" dxfId="2" stopIfTrue="1">
      <formula>$Q11="Margem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P11:P50">
    <cfRule type="expression" priority="7" dxfId="4">
      <formula>AND($P11&lt;&gt;"",$P11&gt;0)</formula>
    </cfRule>
    <cfRule type="expression" priority="8" dxfId="5">
      <formula>AND($P11&lt;&gt;"",$P11&lt;0)</formula>
    </cfRule>
  </conditionalFormatting>
  <conditionalFormatting sqref="N55:Q60">
    <cfRule type="expression" priority="9" dxfId="2" stopIfTrue="1">
      <formula>LEFT($N55,8)="Estourou"</formula>
    </cfRule>
    <cfRule type="expression" priority="10" dxfId="1" stopIfTrue="1">
      <formula>LEFT($N55,6)="Sobrou"</formula>
    </cfRule>
    <cfRule type="expression" priority="11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1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4" customWidth="1" min="10" max="10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17" customHeight="1">
      <c r="A4" s="6" t="inlineStr">
        <is>
          <t>Fundo creme = você preenche · fundo cinza = calculado · duplique esta aba a cada projeto novo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</row>
    <row r="7" ht="21" customHeight="1">
      <c r="A7" s="45" t="n"/>
      <c r="B7" s="46" t="n"/>
      <c r="C7" s="46" t="n"/>
      <c r="D7" s="45" t="n"/>
      <c r="E7" s="46" t="n"/>
      <c r="F7" s="47" t="n"/>
      <c r="G7" s="46" t="n"/>
      <c r="H7" s="47" t="n"/>
      <c r="I7" s="46" t="n"/>
      <c r="J7" s="47" t="n"/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</row>
    <row r="9" ht="21" customHeight="1">
      <c r="A9" s="45" t="n"/>
      <c r="B9" s="46" t="n"/>
      <c r="C9" s="46" t="n"/>
      <c r="D9" s="45" t="n"/>
      <c r="E9" s="46" t="n"/>
      <c r="F9" s="48" t="n"/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</row>
    <row r="10" ht="8" customHeight="1"/>
    <row r="11" ht="20" customHeight="1">
      <c r="A11" s="8" t="inlineStr">
        <is>
          <t xml:space="preserve">  RESULTADO DO PROJETO          atualiza sozinho conforme você lança os custos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</row>
    <row r="13" ht="30" customHeight="1">
      <c r="A13" s="51">
        <f>IF($D$17="",$C$17,$D$17)</f>
        <v/>
      </c>
      <c r="B13" s="15" t="n"/>
      <c r="C13" s="51">
        <f>IF($D$113=0,"",$D$113)</f>
        <v/>
      </c>
      <c r="D13" s="15" t="n"/>
      <c r="E13" s="51">
        <f>IF($A$13="","",$D$114)</f>
        <v/>
      </c>
      <c r="F13" s="15" t="n"/>
      <c r="G13" s="52">
        <f>IF(OR($A$13="",$A$13=0),"",$D$114/$A$13)</f>
        <v/>
      </c>
      <c r="H13" s="52">
        <f>IF(OR($C$17="",$C$17=0),"",$C$114/$C$17)</f>
        <v/>
      </c>
      <c r="I13" s="51">
        <f>IF(OR($C$113=0,$D$113=0),"",ROUND($D$113-$C$113,2))</f>
        <v/>
      </c>
      <c r="J13" s="15" t="n"/>
    </row>
    <row r="14" ht="8" customHeight="1"/>
    <row r="15" ht="20" customHeight="1">
      <c r="A15" s="8" t="inlineStr">
        <is>
          <t xml:space="preserve">  1 · VALOR DE VENDA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 ht="26" customHeight="1">
      <c r="A16" s="19" t="inlineStr">
        <is>
          <t>Item</t>
        </is>
      </c>
      <c r="B16" s="19" t="inlineStr">
        <is>
          <t>%</t>
        </is>
      </c>
      <c r="C16" s="19" t="inlineStr">
        <is>
          <t>Orçado (R$)</t>
        </is>
      </c>
      <c r="D16" s="19" t="inlineStr">
        <is>
          <t>Realizado (R$)</t>
        </is>
      </c>
      <c r="E16" s="19" t="inlineStr">
        <is>
          <t>Desvio (R$)</t>
        </is>
      </c>
      <c r="F16" s="35" t="n"/>
      <c r="G16" s="19" t="inlineStr">
        <is>
          <t>% da venda</t>
        </is>
      </c>
      <c r="H16" s="19" t="inlineStr">
        <is>
          <t>Observação</t>
        </is>
      </c>
      <c r="I16" s="35" t="n"/>
      <c r="J16" s="35" t="n"/>
    </row>
    <row r="17" ht="17" customHeight="1">
      <c r="A17" s="36" t="inlineStr">
        <is>
          <t>Valor de venda do projeto</t>
        </is>
      </c>
      <c r="B17" s="37" t="n"/>
      <c r="C17" s="53" t="n"/>
      <c r="D17" s="53" t="n"/>
      <c r="E17" s="54">
        <f>IF(OR($C17="",$D17=""),"",ROUND($D17-$C17,2))</f>
        <v/>
      </c>
      <c r="F17" s="38" t="n"/>
      <c r="G17" s="55" t="n"/>
      <c r="H17" s="56" t="inlineStr">
        <is>
          <t>Orçado = valor da proposta · Realizado = valor fechado</t>
        </is>
      </c>
      <c r="I17" s="46" t="n"/>
      <c r="J17" s="46" t="n"/>
    </row>
    <row r="18" ht="8" customHeight="1"/>
    <row r="19" ht="20" customHeight="1">
      <c r="A19" s="8" t="inlineStr">
        <is>
          <t xml:space="preserve">  2 · CUSTOS DE VENDA          tudo que sai por causa da venda · define a RECEITA LÍQUIDA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 ht="26" customHeight="1">
      <c r="A20" s="19" t="inlineStr">
        <is>
          <t>Item</t>
        </is>
      </c>
      <c r="B20" s="19" t="inlineStr">
        <is>
          <t>%</t>
        </is>
      </c>
      <c r="C20" s="19" t="inlineStr">
        <is>
          <t>Orçado (R$)</t>
        </is>
      </c>
      <c r="D20" s="19" t="inlineStr">
        <is>
          <t>Realizado (R$)</t>
        </is>
      </c>
      <c r="E20" s="19" t="inlineStr">
        <is>
          <t>Desvio (R$)</t>
        </is>
      </c>
      <c r="F20" s="35" t="n"/>
      <c r="G20" s="19" t="inlineStr">
        <is>
          <t>% da venda</t>
        </is>
      </c>
      <c r="H20" s="19" t="inlineStr">
        <is>
          <t>Observação</t>
        </is>
      </c>
      <c r="I20" s="35" t="n"/>
      <c r="J20" s="35" t="n"/>
    </row>
    <row r="21" ht="17" customHeight="1">
      <c r="A21" s="36" t="inlineStr">
        <is>
          <t>Impostos sobre a nota (Simples)</t>
        </is>
      </c>
      <c r="B21" s="57" t="n"/>
      <c r="C21" s="54">
        <f>IF($B21="","",ROUND($B21*$C$17,2))</f>
        <v/>
      </c>
      <c r="D21" s="54">
        <f>IF($B21="","",ROUND($B21*$A$13,2))</f>
        <v/>
      </c>
      <c r="E21" s="54">
        <f>IF(OR($C21="",$D21=""),"",ROUND($D21-$C21,2))</f>
        <v/>
      </c>
      <c r="F21" s="38" t="n"/>
      <c r="G21" s="55">
        <f>IF(OR($D21="",$A$13="",$A$13=0),"",$D21/$A$13)</f>
        <v/>
      </c>
      <c r="H21" s="56" t="inlineStr">
        <is>
          <t>% sobre o valor de venda</t>
        </is>
      </c>
      <c r="I21" s="46" t="n"/>
      <c r="J21" s="46" t="n"/>
    </row>
    <row r="22" ht="17" customHeight="1">
      <c r="A22" s="36" t="inlineStr">
        <is>
          <t>Taxa de máquina de cartão</t>
        </is>
      </c>
      <c r="B22" s="57" t="n"/>
      <c r="C22" s="54">
        <f>IF($B22="","",ROUND($B22*$C$17,2))</f>
        <v/>
      </c>
      <c r="D22" s="54">
        <f>IF($B22="","",ROUND($B22*$A$13,2))</f>
        <v/>
      </c>
      <c r="E22" s="54">
        <f>IF(OR($C22="",$D22=""),"",ROUND($D22-$C22,2))</f>
        <v/>
      </c>
      <c r="F22" s="38" t="n"/>
      <c r="G22" s="55">
        <f>IF(OR($D22="",$A$13="",$A$13=0),"",$D22/$A$13)</f>
        <v/>
      </c>
      <c r="H22" s="56" t="inlineStr">
        <is>
          <t>% sobre o valor de venda</t>
        </is>
      </c>
      <c r="I22" s="46" t="n"/>
      <c r="J22" s="46" t="n"/>
    </row>
    <row r="23" ht="17" customHeight="1">
      <c r="A23" s="36" t="inlineStr">
        <is>
          <t>Taxas de transação (PIX, boleto, TED)</t>
        </is>
      </c>
      <c r="B23" s="37" t="n"/>
      <c r="C23" s="53" t="n"/>
      <c r="D23" s="53" t="n"/>
      <c r="E23" s="54">
        <f>IF(OR($C23="",$D23=""),"",ROUND($D23-$C23,2))</f>
        <v/>
      </c>
      <c r="F23" s="38" t="n"/>
      <c r="G23" s="55">
        <f>IF(OR($D23="",$A$13="",$A$13=0),"",$D23/$A$13)</f>
        <v/>
      </c>
      <c r="H23" s="56" t="inlineStr">
        <is>
          <t>valor em reais</t>
        </is>
      </c>
      <c r="I23" s="46" t="n"/>
      <c r="J23" s="46" t="n"/>
    </row>
    <row r="24" ht="17" customHeight="1">
      <c r="A24" s="36" t="inlineStr">
        <is>
          <t>Comissão de venda (vendedor)</t>
        </is>
      </c>
      <c r="B24" s="57" t="n"/>
      <c r="C24" s="54">
        <f>IF($B24="","",ROUND($B24*$C$17,2))</f>
        <v/>
      </c>
      <c r="D24" s="54">
        <f>IF($B24="","",ROUND($B24*$A$13,2))</f>
        <v/>
      </c>
      <c r="E24" s="54">
        <f>IF(OR($C24="",$D24=""),"",ROUND($D24-$C24,2))</f>
        <v/>
      </c>
      <c r="F24" s="38" t="n"/>
      <c r="G24" s="55">
        <f>IF(OR($D24="",$A$13="",$A$13=0),"",$D24/$A$13)</f>
        <v/>
      </c>
      <c r="H24" s="56" t="inlineStr">
        <is>
          <t>% sobre o valor de venda</t>
        </is>
      </c>
      <c r="I24" s="46" t="n"/>
      <c r="J24" s="46" t="n"/>
    </row>
    <row r="25" ht="17" customHeight="1">
      <c r="A25" s="36" t="inlineStr">
        <is>
          <t>Projeto / anteprojeto (externo)</t>
        </is>
      </c>
      <c r="B25" s="37" t="n"/>
      <c r="C25" s="53" t="n"/>
      <c r="D25" s="53" t="n"/>
      <c r="E25" s="54">
        <f>IF(OR($C25="",$D25=""),"",ROUND($D25-$C25,2))</f>
        <v/>
      </c>
      <c r="F25" s="38" t="n"/>
      <c r="G25" s="55">
        <f>IF(OR($D25="",$A$13="",$A$13=0),"",$D25/$A$13)</f>
        <v/>
      </c>
      <c r="H25" s="56" t="inlineStr">
        <is>
          <t>projetista ou arquiteto contratado para o projeto</t>
        </is>
      </c>
      <c r="I25" s="46" t="n"/>
      <c r="J25" s="46" t="n"/>
    </row>
    <row r="26" ht="17" customHeight="1">
      <c r="A26" s="36" t="inlineStr">
        <is>
          <t>RT do parceiro</t>
        </is>
      </c>
      <c r="B26" s="57" t="n"/>
      <c r="C26" s="54">
        <f>IF($B26="","",ROUND($B26*($C$17-SUM($C$21:$C$23)),2))</f>
        <v/>
      </c>
      <c r="D26" s="54">
        <f>IF($B26="","",ROUND($B26*($A$13-SUM($D$21:$D$23)),2))</f>
        <v/>
      </c>
      <c r="E26" s="54">
        <f>IF(OR($C26="",$D26=""),"",ROUND($D26-$C26,2))</f>
        <v/>
      </c>
      <c r="F26" s="38" t="n"/>
      <c r="G26" s="55">
        <f>IF(OR($D26="",$A$13="",$A$13=0),"",$D26/$A$13)</f>
        <v/>
      </c>
      <c r="H26" s="56" t="inlineStr">
        <is>
          <t>% sobre o líquido: venda menos impostos, máquina e taxas</t>
        </is>
      </c>
      <c r="I26" s="46" t="n"/>
      <c r="J26" s="46" t="n"/>
    </row>
    <row r="27" ht="20" customHeight="1">
      <c r="A27" s="31" t="inlineStr">
        <is>
          <t>(=) SUBTOTAL DOS CUSTOS DE VENDA</t>
        </is>
      </c>
      <c r="B27" s="32" t="n"/>
      <c r="C27" s="58">
        <f>ROUND(SUM(C21:C26),2)</f>
        <v/>
      </c>
      <c r="D27" s="58">
        <f>ROUND(SUM(D21:D26),2)</f>
        <v/>
      </c>
      <c r="E27" s="58">
        <f>ROUND($D27-$C27,2)</f>
        <v/>
      </c>
      <c r="F27" s="32" t="n"/>
      <c r="G27" s="59">
        <f>IF(OR($A$13="",$A$13=0),"",$D27/$A$13)</f>
        <v/>
      </c>
      <c r="H27" s="32" t="n"/>
      <c r="I27" s="32" t="n"/>
      <c r="J27" s="32" t="n"/>
    </row>
    <row r="28" ht="24" customHeight="1">
      <c r="A28" s="60" t="inlineStr">
        <is>
          <t>(=) RECEITA LÍQUIDA</t>
        </is>
      </c>
      <c r="B28" s="61" t="n"/>
      <c r="C28" s="62">
        <f>ROUND($C$17-$C$27,2)</f>
        <v/>
      </c>
      <c r="D28" s="62">
        <f>ROUND($A$13-$D$27,2)</f>
        <v/>
      </c>
      <c r="E28" s="63">
        <f>ROUND($D$28-$C$28,2)</f>
        <v/>
      </c>
      <c r="F28" s="61" t="n"/>
      <c r="G28" s="64">
        <f>IF(OR($A$13="",$A$13=0),"",$D$28/$A$13)</f>
        <v/>
      </c>
      <c r="H28" s="65" t="inlineStr">
        <is>
          <t>É esta a base das comissões de coordenação, produção e montagem</t>
        </is>
      </c>
      <c r="I28" s="61" t="n"/>
      <c r="J28" s="61" t="n"/>
    </row>
    <row r="29" ht="8" customHeight="1"/>
    <row r="30" ht="20" customHeight="1">
      <c r="A30" s="8" t="inlineStr">
        <is>
          <t xml:space="preserve">  3 · AMBIENTES, PRODUÇÃO E MONTAGEM          um projeto tem vários ambientes · cada um com seu produtor e seu montador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 ht="32" customHeight="1">
      <c r="A31" s="19" t="inlineStr">
        <is>
          <t>Ambiente</t>
        </is>
      </c>
      <c r="B31" s="19" t="inlineStr">
        <is>
          <t>% do total</t>
        </is>
      </c>
      <c r="C31" s="19" t="inlineStr">
        <is>
          <t>Valor do ambiente (R$)</t>
        </is>
      </c>
      <c r="D31" s="19" t="inlineStr">
        <is>
          <t>Produção — quem</t>
        </is>
      </c>
      <c r="E31" s="19" t="inlineStr">
        <is>
          <t>%</t>
        </is>
      </c>
      <c r="F31" s="19" t="inlineStr">
        <is>
          <t>Comissão produção (R$)</t>
        </is>
      </c>
      <c r="G31" s="19" t="inlineStr">
        <is>
          <t>Montagem — quem</t>
        </is>
      </c>
      <c r="H31" s="19" t="inlineStr">
        <is>
          <t>%</t>
        </is>
      </c>
      <c r="I31" s="19" t="inlineStr">
        <is>
          <t>Comissão montagem (R$)</t>
        </is>
      </c>
      <c r="J31" s="19" t="inlineStr">
        <is>
          <t>Total do ambiente</t>
        </is>
      </c>
    </row>
    <row r="32" ht="18" customHeight="1">
      <c r="A32" s="66" t="n"/>
      <c r="B32" s="55">
        <f>IF(OR($C32="",$A$13="",$A$13=0),"",$C32/$A$13)</f>
        <v/>
      </c>
      <c r="C32" s="67" t="n"/>
      <c r="D32" s="66" t="n"/>
      <c r="E32" s="57" t="n"/>
      <c r="F32" s="54">
        <f>IF(OR($B32="",$E32="",$D$28=""),"",ROUND($B32*$D$28*$E32,2))</f>
        <v/>
      </c>
      <c r="G32" s="66" t="n"/>
      <c r="H32" s="57" t="n"/>
      <c r="I32" s="54">
        <f>IF(OR($B32="",$H32="",$D$28=""),"",ROUND($B32*$D$28*$H32,2))</f>
        <v/>
      </c>
      <c r="J32" s="68">
        <f>IF(AND($F32="",$I32=""),"",ROUND(IF($F32="",0,$F32)+IF($I32="",0,$I32),2))</f>
        <v/>
      </c>
    </row>
    <row r="33" ht="18" customHeight="1">
      <c r="A33" s="66" t="n"/>
      <c r="B33" s="55">
        <f>IF(OR($C33="",$A$13="",$A$13=0),"",$C33/$A$13)</f>
        <v/>
      </c>
      <c r="C33" s="67" t="n"/>
      <c r="D33" s="66" t="n"/>
      <c r="E33" s="57" t="n"/>
      <c r="F33" s="54">
        <f>IF(OR($B33="",$E33="",$D$28=""),"",ROUND($B33*$D$28*$E33,2))</f>
        <v/>
      </c>
      <c r="G33" s="66" t="n"/>
      <c r="H33" s="57" t="n"/>
      <c r="I33" s="54">
        <f>IF(OR($B33="",$H33="",$D$28=""),"",ROUND($B33*$D$28*$H33,2))</f>
        <v/>
      </c>
      <c r="J33" s="68">
        <f>IF(AND($F33="",$I33=""),"",ROUND(IF($F33="",0,$F33)+IF($I33="",0,$I33),2))</f>
        <v/>
      </c>
    </row>
    <row r="34" ht="18" customHeight="1">
      <c r="A34" s="66" t="n"/>
      <c r="B34" s="55">
        <f>IF(OR($C34="",$A$13="",$A$13=0),"",$C34/$A$13)</f>
        <v/>
      </c>
      <c r="C34" s="67" t="n"/>
      <c r="D34" s="66" t="n"/>
      <c r="E34" s="57" t="n"/>
      <c r="F34" s="54">
        <f>IF(OR($B34="",$E34="",$D$28=""),"",ROUND($B34*$D$28*$E34,2))</f>
        <v/>
      </c>
      <c r="G34" s="66" t="n"/>
      <c r="H34" s="57" t="n"/>
      <c r="I34" s="54">
        <f>IF(OR($B34="",$H34="",$D$28=""),"",ROUND($B34*$D$28*$H34,2))</f>
        <v/>
      </c>
      <c r="J34" s="68">
        <f>IF(AND($F34="",$I34=""),"",ROUND(IF($F34="",0,$F34)+IF($I34="",0,$I34),2))</f>
        <v/>
      </c>
    </row>
    <row r="35" ht="18" customHeight="1">
      <c r="A35" s="66" t="n"/>
      <c r="B35" s="55">
        <f>IF(OR($C35="",$A$13="",$A$13=0),"",$C35/$A$13)</f>
        <v/>
      </c>
      <c r="C35" s="67" t="n"/>
      <c r="D35" s="66" t="n"/>
      <c r="E35" s="57" t="n"/>
      <c r="F35" s="54">
        <f>IF(OR($B35="",$E35="",$D$28=""),"",ROUND($B35*$D$28*$E35,2))</f>
        <v/>
      </c>
      <c r="G35" s="66" t="n"/>
      <c r="H35" s="57" t="n"/>
      <c r="I35" s="54">
        <f>IF(OR($B35="",$H35="",$D$28=""),"",ROUND($B35*$D$28*$H35,2))</f>
        <v/>
      </c>
      <c r="J35" s="68">
        <f>IF(AND($F35="",$I35=""),"",ROUND(IF($F35="",0,$F35)+IF($I35="",0,$I35),2))</f>
        <v/>
      </c>
    </row>
    <row r="36" ht="18" customHeight="1">
      <c r="A36" s="66" t="n"/>
      <c r="B36" s="55">
        <f>IF(OR($C36="",$A$13="",$A$13=0),"",$C36/$A$13)</f>
        <v/>
      </c>
      <c r="C36" s="67" t="n"/>
      <c r="D36" s="66" t="n"/>
      <c r="E36" s="57" t="n"/>
      <c r="F36" s="54">
        <f>IF(OR($B36="",$E36="",$D$28=""),"",ROUND($B36*$D$28*$E36,2))</f>
        <v/>
      </c>
      <c r="G36" s="66" t="n"/>
      <c r="H36" s="57" t="n"/>
      <c r="I36" s="54">
        <f>IF(OR($B36="",$H36="",$D$28=""),"",ROUND($B36*$D$28*$H36,2))</f>
        <v/>
      </c>
      <c r="J36" s="68">
        <f>IF(AND($F36="",$I36=""),"",ROUND(IF($F36="",0,$F36)+IF($I36="",0,$I36),2))</f>
        <v/>
      </c>
    </row>
    <row r="37" ht="18" customHeight="1">
      <c r="A37" s="66" t="n"/>
      <c r="B37" s="55">
        <f>IF(OR($C37="",$A$13="",$A$13=0),"",$C37/$A$13)</f>
        <v/>
      </c>
      <c r="C37" s="67" t="n"/>
      <c r="D37" s="66" t="n"/>
      <c r="E37" s="57" t="n"/>
      <c r="F37" s="54">
        <f>IF(OR($B37="",$E37="",$D$28=""),"",ROUND($B37*$D$28*$E37,2))</f>
        <v/>
      </c>
      <c r="G37" s="66" t="n"/>
      <c r="H37" s="57" t="n"/>
      <c r="I37" s="54">
        <f>IF(OR($B37="",$H37="",$D$28=""),"",ROUND($B37*$D$28*$H37,2))</f>
        <v/>
      </c>
      <c r="J37" s="68">
        <f>IF(AND($F37="",$I37=""),"",ROUND(IF($F37="",0,$F37)+IF($I37="",0,$I37),2))</f>
        <v/>
      </c>
    </row>
    <row r="38" ht="18" customHeight="1">
      <c r="A38" s="66" t="n"/>
      <c r="B38" s="55">
        <f>IF(OR($C38="",$A$13="",$A$13=0),"",$C38/$A$13)</f>
        <v/>
      </c>
      <c r="C38" s="67" t="n"/>
      <c r="D38" s="66" t="n"/>
      <c r="E38" s="57" t="n"/>
      <c r="F38" s="54">
        <f>IF(OR($B38="",$E38="",$D$28=""),"",ROUND($B38*$D$28*$E38,2))</f>
        <v/>
      </c>
      <c r="G38" s="66" t="n"/>
      <c r="H38" s="57" t="n"/>
      <c r="I38" s="54">
        <f>IF(OR($B38="",$H38="",$D$28=""),"",ROUND($B38*$D$28*$H38,2))</f>
        <v/>
      </c>
      <c r="J38" s="68">
        <f>IF(AND($F38="",$I38=""),"",ROUND(IF($F38="",0,$F38)+IF($I38="",0,$I38),2))</f>
        <v/>
      </c>
    </row>
    <row r="39" ht="18" customHeight="1">
      <c r="A39" s="66" t="n"/>
      <c r="B39" s="55">
        <f>IF(OR($C39="",$A$13="",$A$13=0),"",$C39/$A$13)</f>
        <v/>
      </c>
      <c r="C39" s="67" t="n"/>
      <c r="D39" s="66" t="n"/>
      <c r="E39" s="57" t="n"/>
      <c r="F39" s="54">
        <f>IF(OR($B39="",$E39="",$D$28=""),"",ROUND($B39*$D$28*$E39,2))</f>
        <v/>
      </c>
      <c r="G39" s="66" t="n"/>
      <c r="H39" s="57" t="n"/>
      <c r="I39" s="54">
        <f>IF(OR($B39="",$H39="",$D$28=""),"",ROUND($B39*$D$28*$H39,2))</f>
        <v/>
      </c>
      <c r="J39" s="68">
        <f>IF(AND($F39="",$I39=""),"",ROUND(IF($F39="",0,$F39)+IF($I39="",0,$I39),2))</f>
        <v/>
      </c>
    </row>
    <row r="40" ht="18" customHeight="1">
      <c r="A40" s="66" t="n"/>
      <c r="B40" s="55">
        <f>IF(OR($C40="",$A$13="",$A$13=0),"",$C40/$A$13)</f>
        <v/>
      </c>
      <c r="C40" s="67" t="n"/>
      <c r="D40" s="66" t="n"/>
      <c r="E40" s="57" t="n"/>
      <c r="F40" s="54">
        <f>IF(OR($B40="",$E40="",$D$28=""),"",ROUND($B40*$D$28*$E40,2))</f>
        <v/>
      </c>
      <c r="G40" s="66" t="n"/>
      <c r="H40" s="57" t="n"/>
      <c r="I40" s="54">
        <f>IF(OR($B40="",$H40="",$D$28=""),"",ROUND($B40*$D$28*$H40,2))</f>
        <v/>
      </c>
      <c r="J40" s="68">
        <f>IF(AND($F40="",$I40=""),"",ROUND(IF($F40="",0,$F40)+IF($I40="",0,$I40),2))</f>
        <v/>
      </c>
    </row>
    <row r="41" ht="18" customHeight="1">
      <c r="A41" s="66" t="n"/>
      <c r="B41" s="55">
        <f>IF(OR($C41="",$A$13="",$A$13=0),"",$C41/$A$13)</f>
        <v/>
      </c>
      <c r="C41" s="67" t="n"/>
      <c r="D41" s="66" t="n"/>
      <c r="E41" s="57" t="n"/>
      <c r="F41" s="54">
        <f>IF(OR($B41="",$E41="",$D$28=""),"",ROUND($B41*$D$28*$E41,2))</f>
        <v/>
      </c>
      <c r="G41" s="66" t="n"/>
      <c r="H41" s="57" t="n"/>
      <c r="I41" s="54">
        <f>IF(OR($B41="",$H41="",$D$28=""),"",ROUND($B41*$D$28*$H41,2))</f>
        <v/>
      </c>
      <c r="J41" s="68">
        <f>IF(AND($F41="",$I41=""),"",ROUND(IF($F41="",0,$F41)+IF($I41="",0,$I41),2))</f>
        <v/>
      </c>
    </row>
    <row r="42" ht="20" customHeight="1">
      <c r="A42" s="31" t="inlineStr">
        <is>
          <t>SOMA DOS AMBIENTES</t>
        </is>
      </c>
      <c r="B42" s="59">
        <f>IF($A$13=0,"",$C$42/$A$13)</f>
        <v/>
      </c>
      <c r="C42" s="58">
        <f>ROUND(SUM(C32:C41),2)</f>
        <v/>
      </c>
      <c r="D42" s="69">
        <f>IF($C$42=0,"—",IF(ROUND($C$42-$A$13,2)=0,"OK · os ambientes somam o valor de venda","ATENÇÃO: diferença de "&amp;TEXT($C$42-$A$13,"R$ #,##0.00")))</f>
        <v/>
      </c>
      <c r="E42" s="32" t="n"/>
      <c r="F42" s="58">
        <f>ROUND(SUM(F32:F41),2)</f>
        <v/>
      </c>
      <c r="G42" s="32" t="n"/>
      <c r="H42" s="32" t="n"/>
      <c r="I42" s="58">
        <f>ROUND(SUM(I32:I41),2)</f>
        <v/>
      </c>
      <c r="J42" s="58">
        <f>ROUND(SUM(J32:J41),2)</f>
        <v/>
      </c>
    </row>
    <row r="43" ht="8" customHeight="1"/>
    <row r="44" ht="20" customHeight="1">
      <c r="A44" s="8" t="inlineStr">
        <is>
          <t xml:space="preserve">  4 · COMISSÕES OPERACIONAIS          calculadas sobre a RECEITA LÍQUIDA · o realizado vem dos ambientes acima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</row>
    <row r="45" ht="26" customHeight="1">
      <c r="A45" s="19" t="inlineStr">
        <is>
          <t>Item</t>
        </is>
      </c>
      <c r="B45" s="19" t="inlineStr">
        <is>
          <t>%</t>
        </is>
      </c>
      <c r="C45" s="19" t="inlineStr">
        <is>
          <t>Orçado (R$)</t>
        </is>
      </c>
      <c r="D45" s="19" t="inlineStr">
        <is>
          <t>Realizado (R$)</t>
        </is>
      </c>
      <c r="E45" s="19" t="inlineStr">
        <is>
          <t>Desvio (R$)</t>
        </is>
      </c>
      <c r="F45" s="35" t="n"/>
      <c r="G45" s="19" t="inlineStr">
        <is>
          <t>% da venda</t>
        </is>
      </c>
      <c r="H45" s="19" t="inlineStr">
        <is>
          <t>Observação</t>
        </is>
      </c>
      <c r="I45" s="35" t="n"/>
      <c r="J45" s="35" t="n"/>
    </row>
    <row r="46" ht="17" customHeight="1">
      <c r="A46" s="36" t="inlineStr">
        <is>
          <t>Coordenação de produção</t>
        </is>
      </c>
      <c r="B46" s="57" t="n"/>
      <c r="C46" s="54">
        <f>IF($B46="","",ROUND($B46*$C$28,2))</f>
        <v/>
      </c>
      <c r="D46" s="54">
        <f>IF($B46="","",ROUND($B46*$D$28,2))</f>
        <v/>
      </c>
      <c r="E46" s="54">
        <f>IF(OR($C46="",$D46=""),"",ROUND($D46-$C46,2))</f>
        <v/>
      </c>
      <c r="F46" s="38" t="n"/>
      <c r="G46" s="55">
        <f>IF(OR($D46="",$A$13="",$A$13=0),"",$D46/$A$13)</f>
        <v/>
      </c>
      <c r="H46" s="56" t="inlineStr">
        <is>
          <t>quem coordena está na identificação, no topo da ficha</t>
        </is>
      </c>
      <c r="I46" s="46" t="n"/>
      <c r="J46" s="46" t="n"/>
    </row>
    <row r="47" ht="17" customHeight="1">
      <c r="A47" s="36" t="inlineStr">
        <is>
          <t>Comissão de produção</t>
        </is>
      </c>
      <c r="B47" s="57" t="n"/>
      <c r="C47" s="54">
        <f>IF($B47="","",ROUND($B47*$C$28,2))</f>
        <v/>
      </c>
      <c r="D47" s="54">
        <f>IF($F$42=0,"",$F$42)</f>
        <v/>
      </c>
      <c r="E47" s="54">
        <f>IF(OR($C47="",$D47=""),"",ROUND($D47-$C47,2))</f>
        <v/>
      </c>
      <c r="F47" s="38" t="n"/>
      <c r="G47" s="55">
        <f>IF(OR($D47="",$A$13="",$A$13=0),"",$D47/$A$13)</f>
        <v/>
      </c>
      <c r="H47" s="56" t="inlineStr">
        <is>
          <t>orçado = % único estimado · realizado = soma dos ambientes</t>
        </is>
      </c>
      <c r="I47" s="46" t="n"/>
      <c r="J47" s="46" t="n"/>
    </row>
    <row r="48" ht="17" customHeight="1">
      <c r="A48" s="36" t="inlineStr">
        <is>
          <t>Comissão de montagem</t>
        </is>
      </c>
      <c r="B48" s="57" t="n"/>
      <c r="C48" s="54">
        <f>IF($B48="","",ROUND($B48*$C$28,2))</f>
        <v/>
      </c>
      <c r="D48" s="54">
        <f>IF($I$42=0,"",$I$42)</f>
        <v/>
      </c>
      <c r="E48" s="54">
        <f>IF(OR($C48="",$D48=""),"",ROUND($D48-$C48,2))</f>
        <v/>
      </c>
      <c r="F48" s="38" t="n"/>
      <c r="G48" s="55">
        <f>IF(OR($D48="",$A$13="",$A$13=0),"",$D48/$A$13)</f>
        <v/>
      </c>
      <c r="H48" s="56" t="inlineStr">
        <is>
          <t>orçado = % único estimado · realizado = soma dos ambientes</t>
        </is>
      </c>
      <c r="I48" s="46" t="n"/>
      <c r="J48" s="46" t="n"/>
    </row>
    <row r="49" ht="20" customHeight="1">
      <c r="A49" s="31" t="inlineStr">
        <is>
          <t>(=) SUBTOTAL DAS COMISSÕES</t>
        </is>
      </c>
      <c r="B49" s="32" t="n"/>
      <c r="C49" s="58">
        <f>ROUND(SUM(C46:C48),2)</f>
        <v/>
      </c>
      <c r="D49" s="58">
        <f>ROUND(SUM(D46:D48),2)</f>
        <v/>
      </c>
      <c r="E49" s="58">
        <f>ROUND($D49-$C49,2)</f>
        <v/>
      </c>
      <c r="F49" s="32" t="n"/>
      <c r="G49" s="59">
        <f>IF(OR($A$13="",$A$13=0),"",$D49/$A$13)</f>
        <v/>
      </c>
      <c r="H49" s="32" t="n"/>
      <c r="I49" s="32" t="n"/>
      <c r="J49" s="32" t="n"/>
    </row>
    <row r="50" ht="8" customHeight="1"/>
    <row r="51" ht="20" customHeight="1">
      <c r="A51" s="8" t="inlineStr">
        <is>
          <t xml:space="preserve">  5 · COMISSÕES POR COLABORADOR          consolidado automático — quem recebe o quê neste projeto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</row>
    <row r="52" ht="26" customHeight="1">
      <c r="A52" s="19" t="inlineStr">
        <is>
          <t>Colaborador</t>
        </is>
      </c>
      <c r="B52" s="19" t="inlineStr">
        <is>
          <t>Produção (R$)</t>
        </is>
      </c>
      <c r="C52" s="35" t="n"/>
      <c r="D52" s="19" t="inlineStr">
        <is>
          <t>Montagem (R$)</t>
        </is>
      </c>
      <c r="E52" s="35" t="n"/>
      <c r="F52" s="19" t="inlineStr">
        <is>
          <t>Coordenação (R$)</t>
        </is>
      </c>
      <c r="G52" s="35" t="n"/>
      <c r="H52" s="19" t="inlineStr">
        <is>
          <t>Total no projeto (R$)</t>
        </is>
      </c>
      <c r="I52" s="35" t="n"/>
      <c r="J52" s="35" t="n"/>
    </row>
    <row r="53" ht="17" customHeight="1">
      <c r="A53" s="70" t="inlineStr">
        <is>
          <t>Deivson</t>
        </is>
      </c>
      <c r="B53" s="54">
        <f>IF($A53="","",ROUND(SUMIF($D$32:$D$41,$A53,$F$32:$F$41),2))</f>
        <v/>
      </c>
      <c r="C53" s="38" t="n"/>
      <c r="D53" s="54">
        <f>IF($A53="","",ROUND(SUMIF($G$32:$G$41,$A53,$I$32:$I$41),2))</f>
        <v/>
      </c>
      <c r="E53" s="38" t="n"/>
      <c r="F53" s="54">
        <f>IF($A53="","",IF($A53=$F$9,IF($D$46="",0,$D$46),0))</f>
        <v/>
      </c>
      <c r="G53" s="38" t="n"/>
      <c r="H53" s="71">
        <f>IF($A53="","",ROUND($B53+$D53+$F53,2))</f>
        <v/>
      </c>
      <c r="I53" s="38" t="n"/>
      <c r="J53" s="38" t="n"/>
    </row>
    <row r="54" ht="17" customHeight="1">
      <c r="A54" s="70" t="inlineStr">
        <is>
          <t>Samuel</t>
        </is>
      </c>
      <c r="B54" s="54">
        <f>IF($A54="","",ROUND(SUMIF($D$32:$D$41,$A54,$F$32:$F$41),2))</f>
        <v/>
      </c>
      <c r="C54" s="38" t="n"/>
      <c r="D54" s="54">
        <f>IF($A54="","",ROUND(SUMIF($G$32:$G$41,$A54,$I$32:$I$41),2))</f>
        <v/>
      </c>
      <c r="E54" s="38" t="n"/>
      <c r="F54" s="54">
        <f>IF($A54="","",IF($A54=$F$9,IF($D$46="",0,$D$46),0))</f>
        <v/>
      </c>
      <c r="G54" s="38" t="n"/>
      <c r="H54" s="71">
        <f>IF($A54="","",ROUND($B54+$D54+$F54,2))</f>
        <v/>
      </c>
      <c r="I54" s="38" t="n"/>
      <c r="J54" s="38" t="n"/>
    </row>
    <row r="55" ht="17" customHeight="1">
      <c r="A55" s="70" t="inlineStr">
        <is>
          <t>Cezar</t>
        </is>
      </c>
      <c r="B55" s="54">
        <f>IF($A55="","",ROUND(SUMIF($D$32:$D$41,$A55,$F$32:$F$41),2))</f>
        <v/>
      </c>
      <c r="C55" s="38" t="n"/>
      <c r="D55" s="54">
        <f>IF($A55="","",ROUND(SUMIF($G$32:$G$41,$A55,$I$32:$I$41),2))</f>
        <v/>
      </c>
      <c r="E55" s="38" t="n"/>
      <c r="F55" s="54">
        <f>IF($A55="","",IF($A55=$F$9,IF($D$46="",0,$D$46),0))</f>
        <v/>
      </c>
      <c r="G55" s="38" t="n"/>
      <c r="H55" s="71">
        <f>IF($A55="","",ROUND($B55+$D55+$F55,2))</f>
        <v/>
      </c>
      <c r="I55" s="38" t="n"/>
      <c r="J55" s="38" t="n"/>
    </row>
    <row r="56" ht="17" customHeight="1">
      <c r="A56" s="70" t="inlineStr">
        <is>
          <t>Jackson</t>
        </is>
      </c>
      <c r="B56" s="54">
        <f>IF($A56="","",ROUND(SUMIF($D$32:$D$41,$A56,$F$32:$F$41),2))</f>
        <v/>
      </c>
      <c r="C56" s="38" t="n"/>
      <c r="D56" s="54">
        <f>IF($A56="","",ROUND(SUMIF($G$32:$G$41,$A56,$I$32:$I$41),2))</f>
        <v/>
      </c>
      <c r="E56" s="38" t="n"/>
      <c r="F56" s="54">
        <f>IF($A56="","",IF($A56=$F$9,IF($D$46="",0,$D$46),0))</f>
        <v/>
      </c>
      <c r="G56" s="38" t="n"/>
      <c r="H56" s="71">
        <f>IF($A56="","",ROUND($B56+$D56+$F56,2))</f>
        <v/>
      </c>
      <c r="I56" s="38" t="n"/>
      <c r="J56" s="38" t="n"/>
    </row>
    <row r="57" ht="17" customHeight="1">
      <c r="A57" s="70" t="inlineStr">
        <is>
          <t>Filipe</t>
        </is>
      </c>
      <c r="B57" s="54">
        <f>IF($A57="","",ROUND(SUMIF($D$32:$D$41,$A57,$F$32:$F$41),2))</f>
        <v/>
      </c>
      <c r="C57" s="38" t="n"/>
      <c r="D57" s="54">
        <f>IF($A57="","",ROUND(SUMIF($G$32:$G$41,$A57,$I$32:$I$41),2))</f>
        <v/>
      </c>
      <c r="E57" s="38" t="n"/>
      <c r="F57" s="54">
        <f>IF($A57="","",IF($A57=$F$9,IF($D$46="",0,$D$46),0))</f>
        <v/>
      </c>
      <c r="G57" s="38" t="n"/>
      <c r="H57" s="71">
        <f>IF($A57="","",ROUND($B57+$D57+$F57,2))</f>
        <v/>
      </c>
      <c r="I57" s="38" t="n"/>
      <c r="J57" s="38" t="n"/>
    </row>
    <row r="58" ht="17" customHeight="1">
      <c r="A58" s="70" t="inlineStr">
        <is>
          <t>Joelson</t>
        </is>
      </c>
      <c r="B58" s="54">
        <f>IF($A58="","",ROUND(SUMIF($D$32:$D$41,$A58,$F$32:$F$41),2))</f>
        <v/>
      </c>
      <c r="C58" s="38" t="n"/>
      <c r="D58" s="54">
        <f>IF($A58="","",ROUND(SUMIF($G$32:$G$41,$A58,$I$32:$I$41),2))</f>
        <v/>
      </c>
      <c r="E58" s="38" t="n"/>
      <c r="F58" s="54">
        <f>IF($A58="","",IF($A58=$F$9,IF($D$46="",0,$D$46),0))</f>
        <v/>
      </c>
      <c r="G58" s="38" t="n"/>
      <c r="H58" s="71">
        <f>IF($A58="","",ROUND($B58+$D58+$F58,2))</f>
        <v/>
      </c>
      <c r="I58" s="38" t="n"/>
      <c r="J58" s="38" t="n"/>
    </row>
    <row r="59" ht="17" customHeight="1">
      <c r="A59" s="70" t="inlineStr">
        <is>
          <t>Jomar</t>
        </is>
      </c>
      <c r="B59" s="54">
        <f>IF($A59="","",ROUND(SUMIF($D$32:$D$41,$A59,$F$32:$F$41),2))</f>
        <v/>
      </c>
      <c r="C59" s="38" t="n"/>
      <c r="D59" s="54">
        <f>IF($A59="","",ROUND(SUMIF($G$32:$G$41,$A59,$I$32:$I$41),2))</f>
        <v/>
      </c>
      <c r="E59" s="38" t="n"/>
      <c r="F59" s="54">
        <f>IF($A59="","",IF($A59=$F$9,IF($D$46="",0,$D$46),0))</f>
        <v/>
      </c>
      <c r="G59" s="38" t="n"/>
      <c r="H59" s="71">
        <f>IF($A59="","",ROUND($B59+$D59+$F59,2))</f>
        <v/>
      </c>
      <c r="I59" s="38" t="n"/>
      <c r="J59" s="38" t="n"/>
    </row>
    <row r="60" ht="17" customHeight="1">
      <c r="A60" s="70" t="inlineStr">
        <is>
          <t>Jonathan Godoy</t>
        </is>
      </c>
      <c r="B60" s="54">
        <f>IF($A60="","",ROUND(SUMIF($D$32:$D$41,$A60,$F$32:$F$41),2))</f>
        <v/>
      </c>
      <c r="C60" s="38" t="n"/>
      <c r="D60" s="54">
        <f>IF($A60="","",ROUND(SUMIF($G$32:$G$41,$A60,$I$32:$I$41),2))</f>
        <v/>
      </c>
      <c r="E60" s="38" t="n"/>
      <c r="F60" s="54">
        <f>IF($A60="","",IF($A60=$F$9,IF($D$46="",0,$D$46),0))</f>
        <v/>
      </c>
      <c r="G60" s="38" t="n"/>
      <c r="H60" s="71">
        <f>IF($A60="","",ROUND($B60+$D60+$F60,2))</f>
        <v/>
      </c>
      <c r="I60" s="38" t="n"/>
      <c r="J60" s="38" t="n"/>
    </row>
    <row r="61" ht="17" customHeight="1">
      <c r="A61" s="70" t="inlineStr">
        <is>
          <t>Bruna</t>
        </is>
      </c>
      <c r="B61" s="54">
        <f>IF($A61="","",ROUND(SUMIF($D$32:$D$41,$A61,$F$32:$F$41),2))</f>
        <v/>
      </c>
      <c r="C61" s="38" t="n"/>
      <c r="D61" s="54">
        <f>IF($A61="","",ROUND(SUMIF($G$32:$G$41,$A61,$I$32:$I$41),2))</f>
        <v/>
      </c>
      <c r="E61" s="38" t="n"/>
      <c r="F61" s="54">
        <f>IF($A61="","",IF($A61=$F$9,IF($D$46="",0,$D$46),0))</f>
        <v/>
      </c>
      <c r="G61" s="38" t="n"/>
      <c r="H61" s="71">
        <f>IF($A61="","",ROUND($B61+$D61+$F61,2))</f>
        <v/>
      </c>
      <c r="I61" s="38" t="n"/>
      <c r="J61" s="38" t="n"/>
    </row>
    <row r="62" ht="17" customHeight="1">
      <c r="A62" s="70" t="inlineStr">
        <is>
          <t>Hugo</t>
        </is>
      </c>
      <c r="B62" s="54">
        <f>IF($A62="","",ROUND(SUMIF($D$32:$D$41,$A62,$F$32:$F$41),2))</f>
        <v/>
      </c>
      <c r="C62" s="38" t="n"/>
      <c r="D62" s="54">
        <f>IF($A62="","",ROUND(SUMIF($G$32:$G$41,$A62,$I$32:$I$41),2))</f>
        <v/>
      </c>
      <c r="E62" s="38" t="n"/>
      <c r="F62" s="54">
        <f>IF($A62="","",IF($A62=$F$9,IF($D$46="",0,$D$46),0))</f>
        <v/>
      </c>
      <c r="G62" s="38" t="n"/>
      <c r="H62" s="71">
        <f>IF($A62="","",ROUND($B62+$D62+$F62,2))</f>
        <v/>
      </c>
      <c r="I62" s="38" t="n"/>
      <c r="J62" s="38" t="n"/>
    </row>
    <row r="63" ht="17" customHeight="1">
      <c r="A63" s="70" t="inlineStr">
        <is>
          <t>Karla</t>
        </is>
      </c>
      <c r="B63" s="54">
        <f>IF($A63="","",ROUND(SUMIF($D$32:$D$41,$A63,$F$32:$F$41),2))</f>
        <v/>
      </c>
      <c r="C63" s="38" t="n"/>
      <c r="D63" s="54">
        <f>IF($A63="","",ROUND(SUMIF($G$32:$G$41,$A63,$I$32:$I$41),2))</f>
        <v/>
      </c>
      <c r="E63" s="38" t="n"/>
      <c r="F63" s="54">
        <f>IF($A63="","",IF($A63=$F$9,IF($D$46="",0,$D$46),0))</f>
        <v/>
      </c>
      <c r="G63" s="38" t="n"/>
      <c r="H63" s="71">
        <f>IF($A63="","",ROUND($B63+$D63+$F63,2))</f>
        <v/>
      </c>
      <c r="I63" s="38" t="n"/>
      <c r="J63" s="38" t="n"/>
    </row>
    <row r="64" ht="17" customHeight="1">
      <c r="A64" s="70" t="inlineStr">
        <is>
          <t>Terceiro / avulso</t>
        </is>
      </c>
      <c r="B64" s="54">
        <f>IF($A64="","",ROUND(SUMIF($D$32:$D$41,$A64,$F$32:$F$41),2))</f>
        <v/>
      </c>
      <c r="C64" s="38" t="n"/>
      <c r="D64" s="54">
        <f>IF($A64="","",ROUND(SUMIF($G$32:$G$41,$A64,$I$32:$I$41),2))</f>
        <v/>
      </c>
      <c r="E64" s="38" t="n"/>
      <c r="F64" s="54">
        <f>IF($A64="","",IF($A64=$F$9,IF($D$46="",0,$D$46),0))</f>
        <v/>
      </c>
      <c r="G64" s="38" t="n"/>
      <c r="H64" s="71">
        <f>IF($A64="","",ROUND($B64+$D64+$F64,2))</f>
        <v/>
      </c>
      <c r="I64" s="38" t="n"/>
      <c r="J64" s="38" t="n"/>
    </row>
    <row r="65" ht="20" customHeight="1">
      <c r="A65" s="31" t="inlineStr">
        <is>
          <t>TOTAL</t>
        </is>
      </c>
      <c r="B65" s="58">
        <f>ROUND(SUM(B53:B64),2)</f>
        <v/>
      </c>
      <c r="C65" s="32" t="n"/>
      <c r="D65" s="58">
        <f>ROUND(SUM(D53:D64),2)</f>
        <v/>
      </c>
      <c r="E65" s="32" t="n"/>
      <c r="F65" s="58">
        <f>ROUND(SUM(F53:F64),2)</f>
        <v/>
      </c>
      <c r="G65" s="32" t="n"/>
      <c r="H65" s="58">
        <f>ROUND(SUM(H53:H64),2)</f>
        <v/>
      </c>
      <c r="I65" s="32" t="n"/>
      <c r="J65" s="32" t="n"/>
    </row>
    <row r="66" ht="8" customHeight="1"/>
    <row r="67" ht="20" customHeight="1">
      <c r="A67" s="8" t="inlineStr">
        <is>
          <t xml:space="preserve">  6 · MATERIAL          custo direto de insumo comprado para este projeto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</row>
    <row r="68" ht="26" customHeight="1">
      <c r="A68" s="19" t="inlineStr">
        <is>
          <t>Item</t>
        </is>
      </c>
      <c r="B68" s="19" t="inlineStr">
        <is>
          <t>%</t>
        </is>
      </c>
      <c r="C68" s="19" t="inlineStr">
        <is>
          <t>Orçado (R$)</t>
        </is>
      </c>
      <c r="D68" s="19" t="inlineStr">
        <is>
          <t>Realizado (R$)</t>
        </is>
      </c>
      <c r="E68" s="19" t="inlineStr">
        <is>
          <t>Desvio (R$)</t>
        </is>
      </c>
      <c r="F68" s="35" t="n"/>
      <c r="G68" s="19" t="inlineStr">
        <is>
          <t>% da venda</t>
        </is>
      </c>
      <c r="H68" s="19" t="inlineStr">
        <is>
          <t>Observação</t>
        </is>
      </c>
      <c r="I68" s="35" t="n"/>
      <c r="J68" s="35" t="n"/>
    </row>
    <row r="69" ht="17" customHeight="1">
      <c r="A69" s="36" t="inlineStr">
        <is>
          <t>MDF / MDP (chapas)</t>
        </is>
      </c>
      <c r="B69" s="37" t="n"/>
      <c r="C69" s="53" t="n"/>
      <c r="D69" s="53" t="n"/>
      <c r="E69" s="54">
        <f>IF(OR($C69="",$D69=""),"",ROUND($D69-$C69,2))</f>
        <v/>
      </c>
      <c r="F69" s="38" t="n"/>
      <c r="G69" s="55">
        <f>IF(OR($D69="",$A$13="",$A$13=0),"",$D69/$A$13)</f>
        <v/>
      </c>
      <c r="H69" s="56" t="n"/>
      <c r="I69" s="46" t="n"/>
      <c r="J69" s="46" t="n"/>
    </row>
    <row r="70" ht="17" customHeight="1">
      <c r="A70" s="36" t="inlineStr">
        <is>
          <t>Fita de borda</t>
        </is>
      </c>
      <c r="B70" s="37" t="n"/>
      <c r="C70" s="53" t="n"/>
      <c r="D70" s="53" t="n"/>
      <c r="E70" s="54">
        <f>IF(OR($C70="",$D70=""),"",ROUND($D70-$C70,2))</f>
        <v/>
      </c>
      <c r="F70" s="38" t="n"/>
      <c r="G70" s="55">
        <f>IF(OR($D70="",$A$13="",$A$13=0),"",$D70/$A$13)</f>
        <v/>
      </c>
      <c r="H70" s="56" t="n"/>
      <c r="I70" s="46" t="n"/>
      <c r="J70" s="46" t="n"/>
    </row>
    <row r="71" ht="17" customHeight="1">
      <c r="A71" s="36" t="inlineStr">
        <is>
          <t>Ferragens e acessórios</t>
        </is>
      </c>
      <c r="B71" s="37" t="n"/>
      <c r="C71" s="53" t="n"/>
      <c r="D71" s="53" t="n"/>
      <c r="E71" s="54">
        <f>IF(OR($C71="",$D71=""),"",ROUND($D71-$C71,2))</f>
        <v/>
      </c>
      <c r="F71" s="38" t="n"/>
      <c r="G71" s="55">
        <f>IF(OR($D71="",$A$13="",$A$13=0),"",$D71/$A$13)</f>
        <v/>
      </c>
      <c r="H71" s="56" t="n"/>
      <c r="I71" s="46" t="n"/>
      <c r="J71" s="46" t="n"/>
    </row>
    <row r="72" ht="17" customHeight="1">
      <c r="A72" s="36" t="inlineStr">
        <is>
          <t>Vidros e espelhos</t>
        </is>
      </c>
      <c r="B72" s="37" t="n"/>
      <c r="C72" s="53" t="n"/>
      <c r="D72" s="53" t="n"/>
      <c r="E72" s="54">
        <f>IF(OR($C72="",$D72=""),"",ROUND($D72-$C72,2))</f>
        <v/>
      </c>
      <c r="F72" s="38" t="n"/>
      <c r="G72" s="55">
        <f>IF(OR($D72="",$A$13="",$A$13=0),"",$D72/$A$13)</f>
        <v/>
      </c>
      <c r="H72" s="56" t="n"/>
      <c r="I72" s="46" t="n"/>
      <c r="J72" s="46" t="n"/>
    </row>
    <row r="73" ht="17" customHeight="1">
      <c r="A73" s="36" t="inlineStr">
        <is>
          <t>Esquadrias</t>
        </is>
      </c>
      <c r="B73" s="37" t="n"/>
      <c r="C73" s="53" t="n"/>
      <c r="D73" s="53" t="n"/>
      <c r="E73" s="54">
        <f>IF(OR($C73="",$D73=""),"",ROUND($D73-$C73,2))</f>
        <v/>
      </c>
      <c r="F73" s="38" t="n"/>
      <c r="G73" s="55">
        <f>IF(OR($D73="",$A$13="",$A$13=0),"",$D73/$A$13)</f>
        <v/>
      </c>
      <c r="H73" s="56" t="n"/>
      <c r="I73" s="46" t="n"/>
      <c r="J73" s="46" t="n"/>
    </row>
    <row r="74" ht="17" customHeight="1">
      <c r="A74" s="36" t="inlineStr">
        <is>
          <t>Lâmina natural</t>
        </is>
      </c>
      <c r="B74" s="37" t="n"/>
      <c r="C74" s="53" t="n"/>
      <c r="D74" s="53" t="n"/>
      <c r="E74" s="54">
        <f>IF(OR($C74="",$D74=""),"",ROUND($D74-$C74,2))</f>
        <v/>
      </c>
      <c r="F74" s="38" t="n"/>
      <c r="G74" s="55">
        <f>IF(OR($D74="",$A$13="",$A$13=0),"",$D74/$A$13)</f>
        <v/>
      </c>
      <c r="H74" s="56" t="n"/>
      <c r="I74" s="46" t="n"/>
      <c r="J74" s="46" t="n"/>
    </row>
    <row r="75" ht="17" customHeight="1">
      <c r="A75" s="36" t="inlineStr">
        <is>
          <t>Consumíveis (parafuso, adesivo, tíner, estopa, lixa)</t>
        </is>
      </c>
      <c r="B75" s="37" t="n"/>
      <c r="C75" s="53" t="n"/>
      <c r="D75" s="53" t="n"/>
      <c r="E75" s="54">
        <f>IF(OR($C75="",$D75=""),"",ROUND($D75-$C75,2))</f>
        <v/>
      </c>
      <c r="F75" s="38" t="n"/>
      <c r="G75" s="55">
        <f>IF(OR($D75="",$A$13="",$A$13=0),"",$D75/$A$13)</f>
        <v/>
      </c>
      <c r="H75" s="56" t="n"/>
      <c r="I75" s="46" t="n"/>
      <c r="J75" s="46" t="n"/>
    </row>
    <row r="76" ht="20" customHeight="1">
      <c r="A76" s="31" t="inlineStr">
        <is>
          <t>(=) SUBTOTAL DE MATERIAL</t>
        </is>
      </c>
      <c r="B76" s="32" t="n"/>
      <c r="C76" s="58">
        <f>ROUND(SUM(C69:C75),2)</f>
        <v/>
      </c>
      <c r="D76" s="58">
        <f>ROUND(SUM(D69:D75),2)</f>
        <v/>
      </c>
      <c r="E76" s="58">
        <f>ROUND($D76-$C76,2)</f>
        <v/>
      </c>
      <c r="F76" s="32" t="n"/>
      <c r="G76" s="59">
        <f>IF(OR($A$13="",$A$13=0),"",$D76/$A$13)</f>
        <v/>
      </c>
      <c r="H76" s="32" t="n"/>
      <c r="I76" s="32" t="n"/>
      <c r="J76" s="32" t="n"/>
    </row>
    <row r="77" ht="8" customHeight="1"/>
    <row r="78" ht="20" customHeight="1">
      <c r="A78" s="8" t="inlineStr">
        <is>
          <t xml:space="preserve">  7 · SERVIÇOS TERCEIRIZADOS          o que foi feito fora da fábrica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</row>
    <row r="79" ht="26" customHeight="1">
      <c r="A79" s="19" t="inlineStr">
        <is>
          <t>Item</t>
        </is>
      </c>
      <c r="B79" s="19" t="inlineStr">
        <is>
          <t>%</t>
        </is>
      </c>
      <c r="C79" s="19" t="inlineStr">
        <is>
          <t>Orçado (R$)</t>
        </is>
      </c>
      <c r="D79" s="19" t="inlineStr">
        <is>
          <t>Realizado (R$)</t>
        </is>
      </c>
      <c r="E79" s="19" t="inlineStr">
        <is>
          <t>Desvio (R$)</t>
        </is>
      </c>
      <c r="F79" s="35" t="n"/>
      <c r="G79" s="19" t="inlineStr">
        <is>
          <t>% da venda</t>
        </is>
      </c>
      <c r="H79" s="19" t="inlineStr">
        <is>
          <t>Observação</t>
        </is>
      </c>
      <c r="I79" s="35" t="n"/>
      <c r="J79" s="35" t="n"/>
    </row>
    <row r="80" ht="17" customHeight="1">
      <c r="A80" s="36" t="inlineStr">
        <is>
          <t>Acabamento (pintura / laca)</t>
        </is>
      </c>
      <c r="B80" s="37" t="n"/>
      <c r="C80" s="53" t="n"/>
      <c r="D80" s="53" t="n"/>
      <c r="E80" s="54">
        <f>IF(OR($C80="",$D80=""),"",ROUND($D80-$C80,2))</f>
        <v/>
      </c>
      <c r="F80" s="38" t="n"/>
      <c r="G80" s="55">
        <f>IF(OR($D80="",$A$13="",$A$13=0),"",$D80/$A$13)</f>
        <v/>
      </c>
      <c r="H80" s="56" t="n"/>
      <c r="I80" s="46" t="n"/>
      <c r="J80" s="46" t="n"/>
    </row>
    <row r="81" ht="17" customHeight="1">
      <c r="A81" s="36" t="inlineStr">
        <is>
          <t>Serralheria</t>
        </is>
      </c>
      <c r="B81" s="37" t="n"/>
      <c r="C81" s="53" t="n"/>
      <c r="D81" s="53" t="n"/>
      <c r="E81" s="54">
        <f>IF(OR($C81="",$D81=""),"",ROUND($D81-$C81,2))</f>
        <v/>
      </c>
      <c r="F81" s="38" t="n"/>
      <c r="G81" s="55">
        <f>IF(OR($D81="",$A$13="",$A$13=0),"",$D81/$A$13)</f>
        <v/>
      </c>
      <c r="H81" s="56" t="n"/>
      <c r="I81" s="46" t="n"/>
      <c r="J81" s="46" t="n"/>
    </row>
    <row r="82" ht="17" customHeight="1">
      <c r="A82" s="36" t="inlineStr">
        <is>
          <t>Vidraceiro</t>
        </is>
      </c>
      <c r="B82" s="37" t="n"/>
      <c r="C82" s="53" t="n"/>
      <c r="D82" s="53" t="n"/>
      <c r="E82" s="54">
        <f>IF(OR($C82="",$D82=""),"",ROUND($D82-$C82,2))</f>
        <v/>
      </c>
      <c r="F82" s="38" t="n"/>
      <c r="G82" s="55">
        <f>IF(OR($D82="",$A$13="",$A$13=0),"",$D82/$A$13)</f>
        <v/>
      </c>
      <c r="H82" s="56" t="n"/>
      <c r="I82" s="46" t="n"/>
      <c r="J82" s="46" t="n"/>
    </row>
    <row r="83" ht="17" customHeight="1">
      <c r="A83" s="36" t="inlineStr">
        <is>
          <t>Outro terceirizado</t>
        </is>
      </c>
      <c r="B83" s="37" t="n"/>
      <c r="C83" s="53" t="n"/>
      <c r="D83" s="53" t="n"/>
      <c r="E83" s="54">
        <f>IF(OR($C83="",$D83=""),"",ROUND($D83-$C83,2))</f>
        <v/>
      </c>
      <c r="F83" s="38" t="n"/>
      <c r="G83" s="55">
        <f>IF(OR($D83="",$A$13="",$A$13=0),"",$D83/$A$13)</f>
        <v/>
      </c>
      <c r="H83" s="56" t="n"/>
      <c r="I83" s="46" t="n"/>
      <c r="J83" s="46" t="n"/>
    </row>
    <row r="84" ht="20" customHeight="1">
      <c r="A84" s="31" t="inlineStr">
        <is>
          <t>(=) SUBTOTAL DE TERCEIRIZADOS</t>
        </is>
      </c>
      <c r="B84" s="32" t="n"/>
      <c r="C84" s="58">
        <f>ROUND(SUM(C80:C83),2)</f>
        <v/>
      </c>
      <c r="D84" s="58">
        <f>ROUND(SUM(D80:D83),2)</f>
        <v/>
      </c>
      <c r="E84" s="58">
        <f>ROUND($D84-$C84,2)</f>
        <v/>
      </c>
      <c r="F84" s="32" t="n"/>
      <c r="G84" s="59">
        <f>IF(OR($A$13="",$A$13=0),"",$D84/$A$13)</f>
        <v/>
      </c>
      <c r="H84" s="32" t="n"/>
      <c r="I84" s="32" t="n"/>
      <c r="J84" s="32" t="n"/>
    </row>
    <row r="85" ht="8" customHeight="1"/>
    <row r="86" ht="20" customHeight="1">
      <c r="A86" s="8" t="inlineStr">
        <is>
          <t xml:space="preserve">  8 · CUSTOS LOGÍSTICOS          deslocamento de gente, de material e de móvel pronto</t>
        </is>
      </c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</row>
    <row r="87" ht="26" customHeight="1">
      <c r="A87" s="19" t="inlineStr">
        <is>
          <t>Item</t>
        </is>
      </c>
      <c r="B87" s="19" t="inlineStr">
        <is>
          <t>%</t>
        </is>
      </c>
      <c r="C87" s="19" t="inlineStr">
        <is>
          <t>Orçado (R$)</t>
        </is>
      </c>
      <c r="D87" s="19" t="inlineStr">
        <is>
          <t>Realizado (R$)</t>
        </is>
      </c>
      <c r="E87" s="19" t="inlineStr">
        <is>
          <t>Desvio (R$)</t>
        </is>
      </c>
      <c r="F87" s="35" t="n"/>
      <c r="G87" s="19" t="inlineStr">
        <is>
          <t>% da venda</t>
        </is>
      </c>
      <c r="H87" s="19" t="inlineStr">
        <is>
          <t>Observação</t>
        </is>
      </c>
      <c r="I87" s="35" t="n"/>
      <c r="J87" s="35" t="n"/>
    </row>
    <row r="88" ht="17" customHeight="1">
      <c r="A88" s="36" t="inlineStr">
        <is>
          <t>Uber / aplicativo</t>
        </is>
      </c>
      <c r="B88" s="37" t="n"/>
      <c r="C88" s="53" t="n"/>
      <c r="D88" s="53" t="n"/>
      <c r="E88" s="54">
        <f>IF(OR($C88="",$D88=""),"",ROUND($D88-$C88,2))</f>
        <v/>
      </c>
      <c r="F88" s="38" t="n"/>
      <c r="G88" s="55">
        <f>IF(OR($D88="",$A$13="",$A$13=0),"",$D88/$A$13)</f>
        <v/>
      </c>
      <c r="H88" s="56" t="n"/>
      <c r="I88" s="46" t="n"/>
      <c r="J88" s="46" t="n"/>
    </row>
    <row r="89" ht="17" customHeight="1">
      <c r="A89" s="36" t="inlineStr">
        <is>
          <t>Carreto e frete de entrega</t>
        </is>
      </c>
      <c r="B89" s="37" t="n"/>
      <c r="C89" s="53" t="n"/>
      <c r="D89" s="53" t="n"/>
      <c r="E89" s="54">
        <f>IF(OR($C89="",$D89=""),"",ROUND($D89-$C89,2))</f>
        <v/>
      </c>
      <c r="F89" s="38" t="n"/>
      <c r="G89" s="55">
        <f>IF(OR($D89="",$A$13="",$A$13=0),"",$D89/$A$13)</f>
        <v/>
      </c>
      <c r="H89" s="56" t="n"/>
      <c r="I89" s="46" t="n"/>
      <c r="J89" s="46" t="n"/>
    </row>
    <row r="90" ht="17" customHeight="1">
      <c r="A90" s="36" t="inlineStr">
        <is>
          <t>Logística da equipe (deslocamento)</t>
        </is>
      </c>
      <c r="B90" s="37" t="n"/>
      <c r="C90" s="53" t="n"/>
      <c r="D90" s="53" t="n"/>
      <c r="E90" s="54">
        <f>IF(OR($C90="",$D90=""),"",ROUND($D90-$C90,2))</f>
        <v/>
      </c>
      <c r="F90" s="38" t="n"/>
      <c r="G90" s="55">
        <f>IF(OR($D90="",$A$13="",$A$13=0),"",$D90/$A$13)</f>
        <v/>
      </c>
      <c r="H90" s="56" t="n"/>
      <c r="I90" s="46" t="n"/>
      <c r="J90" s="46" t="n"/>
    </row>
    <row r="91" ht="17" customHeight="1">
      <c r="A91" s="36" t="inlineStr">
        <is>
          <t>Frete de material</t>
        </is>
      </c>
      <c r="B91" s="37" t="n"/>
      <c r="C91" s="53" t="n"/>
      <c r="D91" s="53" t="n"/>
      <c r="E91" s="54">
        <f>IF(OR($C91="",$D91=""),"",ROUND($D91-$C91,2))</f>
        <v/>
      </c>
      <c r="F91" s="38" t="n"/>
      <c r="G91" s="55">
        <f>IF(OR($D91="",$A$13="",$A$13=0),"",$D91/$A$13)</f>
        <v/>
      </c>
      <c r="H91" s="56" t="n"/>
      <c r="I91" s="46" t="n"/>
      <c r="J91" s="46" t="n"/>
    </row>
    <row r="92" ht="17" customHeight="1">
      <c r="A92" s="36" t="inlineStr">
        <is>
          <t>Estacionamento, pedágio e outros</t>
        </is>
      </c>
      <c r="B92" s="37" t="n"/>
      <c r="C92" s="53" t="n"/>
      <c r="D92" s="53" t="n"/>
      <c r="E92" s="54">
        <f>IF(OR($C92="",$D92=""),"",ROUND($D92-$C92,2))</f>
        <v/>
      </c>
      <c r="F92" s="38" t="n"/>
      <c r="G92" s="55">
        <f>IF(OR($D92="",$A$13="",$A$13=0),"",$D92/$A$13)</f>
        <v/>
      </c>
      <c r="H92" s="56" t="n"/>
      <c r="I92" s="46" t="n"/>
      <c r="J92" s="46" t="n"/>
    </row>
    <row r="93" ht="20" customHeight="1">
      <c r="A93" s="31" t="inlineStr">
        <is>
          <t>(=) SUBTOTAL DE LOGÍSTICA</t>
        </is>
      </c>
      <c r="B93" s="32" t="n"/>
      <c r="C93" s="58">
        <f>ROUND(SUM(C88:C92),2)</f>
        <v/>
      </c>
      <c r="D93" s="58">
        <f>ROUND(SUM(D88:D92),2)</f>
        <v/>
      </c>
      <c r="E93" s="58">
        <f>ROUND($D93-$C93,2)</f>
        <v/>
      </c>
      <c r="F93" s="32" t="n"/>
      <c r="G93" s="59">
        <f>IF(OR($A$13="",$A$13=0),"",$D93/$A$13)</f>
        <v/>
      </c>
      <c r="H93" s="32" t="n"/>
      <c r="I93" s="32" t="n"/>
      <c r="J93" s="32" t="n"/>
    </row>
    <row r="94" ht="8" customHeight="1"/>
    <row r="95" ht="20" customHeight="1">
      <c r="A95" s="8" t="inlineStr">
        <is>
          <t xml:space="preserve">  9 · RETRABALHO          o que aconteceu, por que aconteceu e quanto custou — é aqui que o orçamento aprende</t>
        </is>
      </c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</row>
    <row r="96" ht="26" customHeight="1">
      <c r="A96" s="19" t="inlineStr">
        <is>
          <t>O que aconteceu</t>
        </is>
      </c>
      <c r="B96" s="19" t="inlineStr">
        <is>
          <t>Causa</t>
        </is>
      </c>
      <c r="C96" s="35" t="n"/>
      <c r="D96" s="35" t="n"/>
      <c r="E96" s="19" t="inlineStr">
        <is>
          <t>Custo estimado (R$)</t>
        </is>
      </c>
      <c r="F96" s="35" t="n"/>
      <c r="G96" s="19" t="inlineStr">
        <is>
          <t>Providência / responsável</t>
        </is>
      </c>
      <c r="H96" s="35" t="n"/>
      <c r="I96" s="35" t="n"/>
      <c r="J96" s="35" t="n"/>
    </row>
    <row r="97" ht="18" customHeight="1">
      <c r="A97" s="66" t="n"/>
      <c r="B97" s="66" t="n"/>
      <c r="C97" s="46" t="n"/>
      <c r="D97" s="46" t="n"/>
      <c r="E97" s="72" t="n"/>
      <c r="F97" s="46" t="n"/>
      <c r="G97" s="56" t="n"/>
      <c r="H97" s="46" t="n"/>
      <c r="I97" s="46" t="n"/>
      <c r="J97" s="46" t="n"/>
    </row>
    <row r="98" ht="18" customHeight="1">
      <c r="A98" s="66" t="n"/>
      <c r="B98" s="66" t="n"/>
      <c r="C98" s="46" t="n"/>
      <c r="D98" s="46" t="n"/>
      <c r="E98" s="72" t="n"/>
      <c r="F98" s="46" t="n"/>
      <c r="G98" s="56" t="n"/>
      <c r="H98" s="46" t="n"/>
      <c r="I98" s="46" t="n"/>
      <c r="J98" s="46" t="n"/>
    </row>
    <row r="99" ht="18" customHeight="1">
      <c r="A99" s="66" t="n"/>
      <c r="B99" s="66" t="n"/>
      <c r="C99" s="46" t="n"/>
      <c r="D99" s="46" t="n"/>
      <c r="E99" s="72" t="n"/>
      <c r="F99" s="46" t="n"/>
      <c r="G99" s="56" t="n"/>
      <c r="H99" s="46" t="n"/>
      <c r="I99" s="46" t="n"/>
      <c r="J99" s="46" t="n"/>
    </row>
    <row r="100" ht="18" customHeight="1">
      <c r="A100" s="66" t="n"/>
      <c r="B100" s="66" t="n"/>
      <c r="C100" s="46" t="n"/>
      <c r="D100" s="46" t="n"/>
      <c r="E100" s="72" t="n"/>
      <c r="F100" s="46" t="n"/>
      <c r="G100" s="56" t="n"/>
      <c r="H100" s="46" t="n"/>
      <c r="I100" s="46" t="n"/>
      <c r="J100" s="46" t="n"/>
    </row>
    <row r="101" ht="18" customHeight="1">
      <c r="A101" s="66" t="n"/>
      <c r="B101" s="66" t="n"/>
      <c r="C101" s="46" t="n"/>
      <c r="D101" s="46" t="n"/>
      <c r="E101" s="72" t="n"/>
      <c r="F101" s="46" t="n"/>
      <c r="G101" s="56" t="n"/>
      <c r="H101" s="46" t="n"/>
      <c r="I101" s="46" t="n"/>
      <c r="J101" s="46" t="n"/>
    </row>
    <row r="102" ht="18" customHeight="1">
      <c r="A102" s="66" t="n"/>
      <c r="B102" s="66" t="n"/>
      <c r="C102" s="46" t="n"/>
      <c r="D102" s="46" t="n"/>
      <c r="E102" s="72" t="n"/>
      <c r="F102" s="46" t="n"/>
      <c r="G102" s="56" t="n"/>
      <c r="H102" s="46" t="n"/>
      <c r="I102" s="46" t="n"/>
      <c r="J102" s="46" t="n"/>
    </row>
    <row r="103" ht="20" customHeight="1">
      <c r="A103" s="31" t="inlineStr">
        <is>
          <t>CONTINGÊNCIA PREVISTA NO ORÇAMENTO  →</t>
        </is>
      </c>
      <c r="B103" s="32" t="n"/>
      <c r="C103" s="73" t="n"/>
      <c r="D103" s="58">
        <f>ROUND(SUM($E$97:$E$102),2)</f>
        <v/>
      </c>
      <c r="E103" s="58">
        <f>ROUND($D$103-IF($C$103="",0,$C$103),2)</f>
        <v/>
      </c>
      <c r="F103" s="32" t="n"/>
      <c r="G103" s="59">
        <f>IF(OR($A$13="",$A$13=0),"",$D$103/$A$13)</f>
        <v/>
      </c>
      <c r="H103" s="74" t="inlineStr">
        <is>
          <t>orçado = a contingência que você previu · realizado = a soma acima</t>
        </is>
      </c>
      <c r="I103" s="32" t="n"/>
      <c r="J103" s="32" t="n"/>
    </row>
    <row r="104" ht="8" customHeight="1"/>
    <row r="105" ht="20" customHeight="1">
      <c r="A105" s="8" t="inlineStr">
        <is>
          <t xml:space="preserve">  10 · RESUMO E MARGEM DE CONTRIBUIÇÃO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</row>
    <row r="106" ht="26" customHeight="1">
      <c r="A106" s="19" t="inlineStr">
        <is>
          <t>Categoria</t>
        </is>
      </c>
      <c r="B106" s="19" t="inlineStr"/>
      <c r="C106" s="19" t="inlineStr">
        <is>
          <t>Orçado (R$)</t>
        </is>
      </c>
      <c r="D106" s="19" t="inlineStr">
        <is>
          <t>Realizado (R$)</t>
        </is>
      </c>
      <c r="E106" s="19" t="inlineStr">
        <is>
          <t>Desvio (R$)</t>
        </is>
      </c>
      <c r="F106" s="35" t="n"/>
      <c r="G106" s="19" t="inlineStr">
        <is>
          <t>Desvio (%)</t>
        </is>
      </c>
      <c r="H106" s="19" t="inlineStr">
        <is>
          <t>% da venda realizada</t>
        </is>
      </c>
      <c r="I106" s="35" t="n"/>
      <c r="J106" s="35" t="n"/>
    </row>
    <row r="107" ht="18" customHeight="1">
      <c r="A107" s="36" t="inlineStr">
        <is>
          <t>Custos de venda</t>
        </is>
      </c>
      <c r="B107" s="37" t="n"/>
      <c r="C107" s="54">
        <f>IF(C27="","",C27)</f>
        <v/>
      </c>
      <c r="D107" s="54">
        <f>IF(D27="","",D27)</f>
        <v/>
      </c>
      <c r="E107" s="54">
        <f>IF(OR($C107="",$D107=""),"",ROUND($D107-$C107,2))</f>
        <v/>
      </c>
      <c r="F107" s="38" t="n"/>
      <c r="G107" s="75">
        <f>IF(OR($C107="",$C107=0,$D107=""),"",$D107/$C107-1)</f>
        <v/>
      </c>
      <c r="H107" s="76">
        <f>IF(OR($D107="",$A$13="",$A$13=0),"",$D107/$A$13)</f>
        <v/>
      </c>
      <c r="I107" s="38" t="n"/>
      <c r="J107" s="38" t="n"/>
    </row>
    <row r="108" ht="18" customHeight="1">
      <c r="A108" s="36" t="inlineStr">
        <is>
          <t>Comissões operacionais</t>
        </is>
      </c>
      <c r="B108" s="37" t="n"/>
      <c r="C108" s="54">
        <f>IF(C49="","",C49)</f>
        <v/>
      </c>
      <c r="D108" s="54">
        <f>IF(D49="","",D49)</f>
        <v/>
      </c>
      <c r="E108" s="54">
        <f>IF(OR($C108="",$D108=""),"",ROUND($D108-$C108,2))</f>
        <v/>
      </c>
      <c r="F108" s="38" t="n"/>
      <c r="G108" s="75">
        <f>IF(OR($C108="",$C108=0,$D108=""),"",$D108/$C108-1)</f>
        <v/>
      </c>
      <c r="H108" s="76">
        <f>IF(OR($D108="",$A$13="",$A$13=0),"",$D108/$A$13)</f>
        <v/>
      </c>
      <c r="I108" s="38" t="n"/>
      <c r="J108" s="38" t="n"/>
    </row>
    <row r="109" ht="18" customHeight="1">
      <c r="A109" s="36" t="inlineStr">
        <is>
          <t>Material</t>
        </is>
      </c>
      <c r="B109" s="37" t="n"/>
      <c r="C109" s="54">
        <f>IF(C76="","",C76)</f>
        <v/>
      </c>
      <c r="D109" s="54">
        <f>IF(D76="","",D76)</f>
        <v/>
      </c>
      <c r="E109" s="54">
        <f>IF(OR($C109="",$D109=""),"",ROUND($D109-$C109,2))</f>
        <v/>
      </c>
      <c r="F109" s="38" t="n"/>
      <c r="G109" s="75">
        <f>IF(OR($C109="",$C109=0,$D109=""),"",$D109/$C109-1)</f>
        <v/>
      </c>
      <c r="H109" s="76">
        <f>IF(OR($D109="",$A$13="",$A$13=0),"",$D109/$A$13)</f>
        <v/>
      </c>
      <c r="I109" s="38" t="n"/>
      <c r="J109" s="38" t="n"/>
    </row>
    <row r="110" ht="18" customHeight="1">
      <c r="A110" s="36" t="inlineStr">
        <is>
          <t>Serviços terceirizados</t>
        </is>
      </c>
      <c r="B110" s="37" t="n"/>
      <c r="C110" s="54">
        <f>IF(C84="","",C84)</f>
        <v/>
      </c>
      <c r="D110" s="54">
        <f>IF(D84="","",D84)</f>
        <v/>
      </c>
      <c r="E110" s="54">
        <f>IF(OR($C110="",$D110=""),"",ROUND($D110-$C110,2))</f>
        <v/>
      </c>
      <c r="F110" s="38" t="n"/>
      <c r="G110" s="75">
        <f>IF(OR($C110="",$C110=0,$D110=""),"",$D110/$C110-1)</f>
        <v/>
      </c>
      <c r="H110" s="76">
        <f>IF(OR($D110="",$A$13="",$A$13=0),"",$D110/$A$13)</f>
        <v/>
      </c>
      <c r="I110" s="38" t="n"/>
      <c r="J110" s="38" t="n"/>
    </row>
    <row r="111" ht="18" customHeight="1">
      <c r="A111" s="36" t="inlineStr">
        <is>
          <t>Logística</t>
        </is>
      </c>
      <c r="B111" s="37" t="n"/>
      <c r="C111" s="54">
        <f>IF(C93="","",C93)</f>
        <v/>
      </c>
      <c r="D111" s="54">
        <f>IF(D93="","",D93)</f>
        <v/>
      </c>
      <c r="E111" s="54">
        <f>IF(OR($C111="",$D111=""),"",ROUND($D111-$C111,2))</f>
        <v/>
      </c>
      <c r="F111" s="38" t="n"/>
      <c r="G111" s="75">
        <f>IF(OR($C111="",$C111=0,$D111=""),"",$D111/$C111-1)</f>
        <v/>
      </c>
      <c r="H111" s="76">
        <f>IF(OR($D111="",$A$13="",$A$13=0),"",$D111/$A$13)</f>
        <v/>
      </c>
      <c r="I111" s="38" t="n"/>
      <c r="J111" s="38" t="n"/>
    </row>
    <row r="112" ht="18" customHeight="1">
      <c r="A112" s="36" t="inlineStr">
        <is>
          <t>Retrabalho</t>
        </is>
      </c>
      <c r="B112" s="37" t="n"/>
      <c r="C112" s="54">
        <f>IF(C103="","",C103)</f>
        <v/>
      </c>
      <c r="D112" s="54">
        <f>IF(D103="","",D103)</f>
        <v/>
      </c>
      <c r="E112" s="54">
        <f>IF(OR($C112="",$D112=""),"",ROUND($D112-$C112,2))</f>
        <v/>
      </c>
      <c r="F112" s="38" t="n"/>
      <c r="G112" s="75">
        <f>IF(OR($C112="",$C112=0,$D112=""),"",$D112/$C112-1)</f>
        <v/>
      </c>
      <c r="H112" s="76">
        <f>IF(OR($D112="",$A$13="",$A$13=0),"",$D112/$A$13)</f>
        <v/>
      </c>
      <c r="I112" s="38" t="n"/>
      <c r="J112" s="38" t="n"/>
    </row>
    <row r="113" ht="22" customHeight="1">
      <c r="A113" s="31" t="inlineStr">
        <is>
          <t>(=) CUSTO TOTAL DO PROJETO</t>
        </is>
      </c>
      <c r="B113" s="32" t="n"/>
      <c r="C113" s="77">
        <f>ROUND(SUM(C107:C112),2)</f>
        <v/>
      </c>
      <c r="D113" s="77">
        <f>ROUND(SUM(D107:D112),2)</f>
        <v/>
      </c>
      <c r="E113" s="58">
        <f>ROUND($D$113-$C$113,2)</f>
        <v/>
      </c>
      <c r="F113" s="32" t="n"/>
      <c r="G113" s="78">
        <f>IF(OR($C$113="",$C$113=0),"",$D$113/$C$113-1)</f>
        <v/>
      </c>
      <c r="H113" s="59">
        <f>IF(OR($A$13="",$A$13=0),"",$D$113/$A$13)</f>
        <v/>
      </c>
      <c r="I113" s="32" t="n"/>
      <c r="J113" s="32" t="n"/>
    </row>
    <row r="114" ht="28" customHeight="1">
      <c r="A114" s="79" t="inlineStr">
        <is>
          <t>(=) MARGEM DE CONTRIBUIÇÃO</t>
        </is>
      </c>
      <c r="B114" s="61" t="n"/>
      <c r="C114" s="80">
        <f>ROUND($C$17-$C$113,2)</f>
        <v/>
      </c>
      <c r="D114" s="80">
        <f>ROUND($A$13-$D$113,2)</f>
        <v/>
      </c>
      <c r="E114" s="63">
        <f>ROUND($D$114-$C$114,2)</f>
        <v/>
      </c>
      <c r="F114" s="61" t="n"/>
      <c r="G114" s="81">
        <f>IF(OR($C$17="",$C$17=0),"",$C$114/$C$17)</f>
        <v/>
      </c>
      <c r="H114" s="82">
        <f>IF(OR($A$13="",$A$13=0),"",$D$114/$A$13)</f>
        <v/>
      </c>
      <c r="I114" s="61" t="n"/>
      <c r="J114" s="61" t="n"/>
    </row>
    <row r="116" ht="46" customHeight="1">
      <c r="A116" s="43" t="inlineStr">
        <is>
          <t xml:space="preserve">  Como usar: preencha primeiro a coluna ORÇADO com o que o orçamento previu, e vá preenchendo a coluna REALIZADO conforme o projeto anda. O desvio de cada linha é o que mostra onde o orçamento erra. As comissões de coordenação, produção e montagem incidem sobre a RECEITA LÍQUIDA (linha destacada), não sobre o valor de venda. A soma dos ambientes precisa fechar com o valor de venda — a própria tabela avisa quando não fecha.</t>
        </is>
      </c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</row>
  </sheetData>
  <mergeCells count="230">
    <mergeCell ref="D60:E60"/>
    <mergeCell ref="E71:F71"/>
    <mergeCell ref="A107:B107"/>
    <mergeCell ref="H110:J110"/>
    <mergeCell ref="E111:F111"/>
    <mergeCell ref="E23:F23"/>
    <mergeCell ref="H17:J17"/>
    <mergeCell ref="H69:J69"/>
    <mergeCell ref="H9:I9"/>
    <mergeCell ref="E79:F79"/>
    <mergeCell ref="H109:J109"/>
    <mergeCell ref="D6:E6"/>
    <mergeCell ref="E73:F73"/>
    <mergeCell ref="E87:F87"/>
    <mergeCell ref="H84:J84"/>
    <mergeCell ref="H22:J22"/>
    <mergeCell ref="H75:J75"/>
    <mergeCell ref="G96:J96"/>
    <mergeCell ref="B61:C61"/>
    <mergeCell ref="D61:E61"/>
    <mergeCell ref="H111:J111"/>
    <mergeCell ref="A27:B27"/>
    <mergeCell ref="H74:J74"/>
    <mergeCell ref="E99:F99"/>
    <mergeCell ref="D7:E7"/>
    <mergeCell ref="A76:B76"/>
    <mergeCell ref="H92:J92"/>
    <mergeCell ref="E49:F49"/>
    <mergeCell ref="E27:F27"/>
    <mergeCell ref="D62:E62"/>
    <mergeCell ref="D56:E56"/>
    <mergeCell ref="E101:F101"/>
    <mergeCell ref="F56:G56"/>
    <mergeCell ref="A109:B109"/>
    <mergeCell ref="E113:F113"/>
    <mergeCell ref="B55:C55"/>
    <mergeCell ref="E91:F91"/>
    <mergeCell ref="B64:C64"/>
    <mergeCell ref="E100:F100"/>
    <mergeCell ref="D64:E64"/>
    <mergeCell ref="A6:C6"/>
    <mergeCell ref="A3:J3"/>
    <mergeCell ref="A28:B28"/>
    <mergeCell ref="B96:D96"/>
    <mergeCell ref="H58:J58"/>
    <mergeCell ref="E75:F75"/>
    <mergeCell ref="E22:F22"/>
    <mergeCell ref="A95:J95"/>
    <mergeCell ref="I13:J13"/>
    <mergeCell ref="B63:C63"/>
    <mergeCell ref="E93:F93"/>
    <mergeCell ref="A111:B111"/>
    <mergeCell ref="E102:F102"/>
    <mergeCell ref="F57:G57"/>
    <mergeCell ref="H64:J64"/>
    <mergeCell ref="H21:J21"/>
    <mergeCell ref="H73:J73"/>
    <mergeCell ref="E12:F12"/>
    <mergeCell ref="B98:D98"/>
    <mergeCell ref="H60:J60"/>
    <mergeCell ref="F54:G54"/>
    <mergeCell ref="F63:G63"/>
    <mergeCell ref="A103:B103"/>
    <mergeCell ref="A4:J4"/>
    <mergeCell ref="F6:G6"/>
    <mergeCell ref="G100:J100"/>
    <mergeCell ref="E48:F48"/>
    <mergeCell ref="A44:J44"/>
    <mergeCell ref="H16:J16"/>
    <mergeCell ref="G102:J102"/>
    <mergeCell ref="B99:D99"/>
    <mergeCell ref="H57:J57"/>
    <mergeCell ref="A67:J67"/>
    <mergeCell ref="H27:J27"/>
    <mergeCell ref="A15:J15"/>
    <mergeCell ref="B53:C53"/>
    <mergeCell ref="D53:E53"/>
    <mergeCell ref="F62:G62"/>
    <mergeCell ref="E90:F90"/>
    <mergeCell ref="G97:J97"/>
    <mergeCell ref="B100:D100"/>
    <mergeCell ref="E26:F26"/>
    <mergeCell ref="D9:E9"/>
    <mergeCell ref="E110:F110"/>
    <mergeCell ref="F9:G9"/>
    <mergeCell ref="H20:J20"/>
    <mergeCell ref="F61:G61"/>
    <mergeCell ref="H103:J103"/>
    <mergeCell ref="E16:F16"/>
    <mergeCell ref="H112:J112"/>
    <mergeCell ref="E76:F76"/>
    <mergeCell ref="E25:F25"/>
    <mergeCell ref="B102:D102"/>
    <mergeCell ref="A93:B93"/>
    <mergeCell ref="A2:J2"/>
    <mergeCell ref="A86:J86"/>
    <mergeCell ref="A7:C7"/>
    <mergeCell ref="H114:J114"/>
    <mergeCell ref="H59:J59"/>
    <mergeCell ref="F64:G64"/>
    <mergeCell ref="H46:J46"/>
    <mergeCell ref="B54:C54"/>
    <mergeCell ref="H89:J89"/>
    <mergeCell ref="E68:F68"/>
    <mergeCell ref="D63:E63"/>
    <mergeCell ref="A49:B49"/>
    <mergeCell ref="G42:H42"/>
    <mergeCell ref="H52:J52"/>
    <mergeCell ref="H79:J79"/>
    <mergeCell ref="H108:J108"/>
    <mergeCell ref="H61:J61"/>
    <mergeCell ref="H88:J88"/>
    <mergeCell ref="H70:J70"/>
    <mergeCell ref="E83:F83"/>
    <mergeCell ref="B56:C56"/>
    <mergeCell ref="E92:F92"/>
    <mergeCell ref="D65:E65"/>
    <mergeCell ref="H45:J45"/>
    <mergeCell ref="F7:G7"/>
    <mergeCell ref="B58:C58"/>
    <mergeCell ref="G99:J99"/>
    <mergeCell ref="B52:C52"/>
    <mergeCell ref="H81:J81"/>
    <mergeCell ref="E20:F20"/>
    <mergeCell ref="D52:E52"/>
    <mergeCell ref="F53:G53"/>
    <mergeCell ref="H90:J90"/>
    <mergeCell ref="E107:F107"/>
    <mergeCell ref="E103:F103"/>
    <mergeCell ref="A30:J30"/>
    <mergeCell ref="H65:J65"/>
    <mergeCell ref="H47:J47"/>
    <mergeCell ref="B60:C60"/>
    <mergeCell ref="E13:F13"/>
    <mergeCell ref="E69:F69"/>
    <mergeCell ref="E84:F84"/>
    <mergeCell ref="H87:J87"/>
    <mergeCell ref="B57:C57"/>
    <mergeCell ref="F8:G8"/>
    <mergeCell ref="A12:B12"/>
    <mergeCell ref="A51:J51"/>
    <mergeCell ref="C12:D12"/>
    <mergeCell ref="H71:J71"/>
    <mergeCell ref="H24:J24"/>
    <mergeCell ref="E109:F109"/>
    <mergeCell ref="E114:F114"/>
    <mergeCell ref="H76:J76"/>
    <mergeCell ref="E46:F46"/>
    <mergeCell ref="H107:J107"/>
    <mergeCell ref="E108:F108"/>
    <mergeCell ref="A113:B113"/>
    <mergeCell ref="E80:F80"/>
    <mergeCell ref="E89:F89"/>
    <mergeCell ref="G101:J101"/>
    <mergeCell ref="H26:J26"/>
    <mergeCell ref="H82:J82"/>
    <mergeCell ref="H53:J53"/>
    <mergeCell ref="E70:F70"/>
    <mergeCell ref="H63:J63"/>
    <mergeCell ref="D55:E55"/>
    <mergeCell ref="E72:F72"/>
    <mergeCell ref="H55:J55"/>
    <mergeCell ref="E81:F81"/>
    <mergeCell ref="E112:F112"/>
    <mergeCell ref="H113:J113"/>
    <mergeCell ref="D54:E54"/>
    <mergeCell ref="E96:F96"/>
    <mergeCell ref="A116:J116"/>
    <mergeCell ref="H49:J49"/>
    <mergeCell ref="B62:C62"/>
    <mergeCell ref="E24:F24"/>
    <mergeCell ref="B59:C59"/>
    <mergeCell ref="B101:D101"/>
    <mergeCell ref="E106:F106"/>
    <mergeCell ref="F65:G65"/>
    <mergeCell ref="E98:F98"/>
    <mergeCell ref="A110:B110"/>
    <mergeCell ref="E17:F17"/>
    <mergeCell ref="E88:F88"/>
    <mergeCell ref="A19:J19"/>
    <mergeCell ref="E82:F82"/>
    <mergeCell ref="F59:G59"/>
    <mergeCell ref="F55:G55"/>
    <mergeCell ref="H6:I6"/>
    <mergeCell ref="H72:J72"/>
    <mergeCell ref="H28:J28"/>
    <mergeCell ref="D57:E57"/>
    <mergeCell ref="A8:C8"/>
    <mergeCell ref="H80:J80"/>
    <mergeCell ref="A108:B108"/>
    <mergeCell ref="E28:F28"/>
    <mergeCell ref="A84:B84"/>
    <mergeCell ref="H83:J83"/>
    <mergeCell ref="H48:J48"/>
    <mergeCell ref="E74:F74"/>
    <mergeCell ref="G98:J98"/>
    <mergeCell ref="A11:J11"/>
    <mergeCell ref="A1:J1"/>
    <mergeCell ref="I12:J12"/>
    <mergeCell ref="H62:J62"/>
    <mergeCell ref="H7:I7"/>
    <mergeCell ref="H23:J23"/>
    <mergeCell ref="A78:J78"/>
    <mergeCell ref="H106:J106"/>
    <mergeCell ref="A9:C9"/>
    <mergeCell ref="E45:F45"/>
    <mergeCell ref="B97:D97"/>
    <mergeCell ref="D58:E58"/>
    <mergeCell ref="A114:B114"/>
    <mergeCell ref="F58:G58"/>
    <mergeCell ref="H91:J91"/>
    <mergeCell ref="B65:C65"/>
    <mergeCell ref="F52:G52"/>
    <mergeCell ref="D8:E8"/>
    <mergeCell ref="H54:J54"/>
    <mergeCell ref="D42:E42"/>
    <mergeCell ref="A112:B112"/>
    <mergeCell ref="F60:G60"/>
    <mergeCell ref="H93:J93"/>
    <mergeCell ref="A105:J105"/>
    <mergeCell ref="A13:B13"/>
    <mergeCell ref="E97:F97"/>
    <mergeCell ref="C13:D13"/>
    <mergeCell ref="H8:I8"/>
    <mergeCell ref="H56:J56"/>
    <mergeCell ref="H68:J68"/>
    <mergeCell ref="H25:J25"/>
    <mergeCell ref="D59:E59"/>
    <mergeCell ref="E47:F47"/>
    <mergeCell ref="E21:F21"/>
  </mergeCells>
  <conditionalFormatting sqref="E107:F113">
    <cfRule type="expression" priority="1" dxfId="4">
      <formula>AND($E107&lt;&gt;"",$E107&gt;0)</formula>
    </cfRule>
    <cfRule type="expression" priority="2" dxfId="5">
      <formula>AND($E107&lt;&gt;"",$E107&lt;0)</formula>
    </cfRule>
  </conditionalFormatting>
  <conditionalFormatting sqref="E27:F27">
    <cfRule type="expression" priority="3" dxfId="4">
      <formula>AND($E27&lt;&gt;"",$E27&gt;0)</formula>
    </cfRule>
    <cfRule type="expression" priority="4" dxfId="5">
      <formula>AND($E27&lt;&gt;"",$E27&lt;0)</formula>
    </cfRule>
  </conditionalFormatting>
  <conditionalFormatting sqref="J9">
    <cfRule type="expression" priority="5" dxfId="0" stopIfTrue="1">
      <formula>$J$9="No prazo"</formula>
    </cfRule>
    <cfRule type="expression" priority="6" dxfId="2">
      <formula>$J$9="Atrasado"</formula>
    </cfRule>
  </conditionalFormatting>
  <conditionalFormatting sqref="A13:J13">
    <cfRule type="expression" priority="7" dxfId="6">
      <formula>AND($G$13&lt;&gt;"",$G$13&lt;0.25)</formula>
    </cfRule>
  </conditionalFormatting>
  <dataValidations count="6">
    <dataValidation sqref="D32:D41" showDropDown="0" showInputMessage="0" showErrorMessage="0" allowBlank="1" type="list">
      <formula1>=Listas!$A$2:$A$13</formula1>
    </dataValidation>
    <dataValidation sqref="G32:G41" showDropDown="0" showInputMessage="0" showErrorMessage="0" allowBlank="1" type="list">
      <formula1>=Listas!$A$2:$A$13</formula1>
    </dataValidation>
    <dataValidation sqref="A53:A64" showDropDown="0" showInputMessage="0" showErrorMessage="0" allowBlank="1" type="list">
      <formula1>=Listas!$A$2:$A$13</formula1>
    </dataValidation>
    <dataValidation sqref="B97:B102" showDropDown="0" showInputMessage="0" showErrorMessage="0" allowBlank="1" type="list">
      <formula1>=Listas!$C$2:$C$10</formula1>
    </dataValidation>
    <dataValidation sqref="D7:E7" showDropDown="0" showInputMessage="0" showErrorMessage="0" allowBlank="1" type="list">
      <formula1>=Listas!$B$2:$B$6</formula1>
    </dataValidation>
    <dataValidation sqref="F9:G9" showDropDown="0" showInputMessage="0" showErrorMessage="0" allowBlank="1" type="list">
      <formula1>=Listas!$A$2:$A$13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4" customWidth="1" min="3" max="3"/>
    <col width="18" customWidth="1" min="4" max="4"/>
    <col width="8" customWidth="1" min="5" max="5"/>
    <col width="13" customWidth="1" min="6" max="6"/>
    <col width="18" customWidth="1" min="7" max="7"/>
    <col width="8" customWidth="1" min="8" max="8"/>
    <col width="13" customWidth="1" min="9" max="9"/>
    <col width="14" customWidth="1" min="10" max="10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17" customHeight="1">
      <c r="A4" s="6" t="inlineStr">
        <is>
          <t>Fundo creme = você preenche · fundo cinza = calculado · duplique esta aba a cada projeto novo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 ht="6" customHeight="1"/>
    <row r="6" ht="13" customHeight="1">
      <c r="A6" s="44" t="inlineStr">
        <is>
          <t>CLIENTE</t>
        </is>
      </c>
      <c r="B6" s="13" t="n"/>
      <c r="C6" s="13" t="n"/>
      <c r="D6" s="44" t="inlineStr">
        <is>
          <t>Nº DO PROJETO</t>
        </is>
      </c>
      <c r="E6" s="13" t="n"/>
      <c r="F6" s="44" t="inlineStr">
        <is>
          <t>DATA DE ENTRADA</t>
        </is>
      </c>
      <c r="G6" s="13" t="n"/>
      <c r="H6" s="44" t="inlineStr">
        <is>
          <t>ENTREGA PREVISTA</t>
        </is>
      </c>
      <c r="I6" s="13" t="n"/>
      <c r="J6" s="44" t="inlineStr">
        <is>
          <t>ENTREGA REAL</t>
        </is>
      </c>
    </row>
    <row r="7" ht="21" customHeight="1">
      <c r="A7" s="45" t="inlineStr">
        <is>
          <t>Jonathan Vargas</t>
        </is>
      </c>
      <c r="B7" s="46" t="n"/>
      <c r="C7" s="46" t="n"/>
      <c r="D7" s="45" t="inlineStr">
        <is>
          <t>P-2026-041</t>
        </is>
      </c>
      <c r="E7" s="46" t="n"/>
      <c r="F7" s="47" t="n">
        <v>46154</v>
      </c>
      <c r="G7" s="46" t="n"/>
      <c r="H7" s="47" t="n">
        <v>46233</v>
      </c>
      <c r="I7" s="46" t="n"/>
      <c r="J7" s="47" t="n">
        <v>46240</v>
      </c>
    </row>
    <row r="8" ht="13" customHeight="1">
      <c r="A8" s="44" t="inlineStr">
        <is>
          <t>PROJETO</t>
        </is>
      </c>
      <c r="B8" s="13" t="n"/>
      <c r="C8" s="13" t="n"/>
      <c r="D8" s="44" t="inlineStr">
        <is>
          <t>VENDEDOR</t>
        </is>
      </c>
      <c r="E8" s="13" t="n"/>
      <c r="F8" s="44" t="inlineStr">
        <is>
          <t>COORDENADOR</t>
        </is>
      </c>
      <c r="G8" s="13" t="n"/>
      <c r="H8" s="44" t="inlineStr">
        <is>
          <t>DIAS DE ATRASO</t>
        </is>
      </c>
      <c r="I8" s="13" t="n"/>
      <c r="J8" s="44" t="inlineStr">
        <is>
          <t>SITUAÇÃO DA ENTREGA</t>
        </is>
      </c>
    </row>
    <row r="9" ht="21" customHeight="1">
      <c r="A9" s="45" t="inlineStr">
        <is>
          <t>Apartamento completo — 4 ambientes</t>
        </is>
      </c>
      <c r="B9" s="46" t="n"/>
      <c r="C9" s="46" t="n"/>
      <c r="D9" s="45" t="inlineStr">
        <is>
          <t>Jonathan</t>
        </is>
      </c>
      <c r="E9" s="46" t="n"/>
      <c r="F9" s="48" t="inlineStr">
        <is>
          <t>Deivson</t>
        </is>
      </c>
      <c r="G9" s="46" t="n"/>
      <c r="H9" s="49">
        <f>IF(OR($H$7="",$J$7=""),"",$J$7-$H$7)</f>
        <v/>
      </c>
      <c r="I9" s="38" t="n"/>
      <c r="J9" s="50">
        <f>IF($H$7="","",IF($J$7="",IF(TODAY()&gt;$H$7,"Atrasado","Em produção"),IF($H$9&lt;=0,"No prazo","Atrasado")))</f>
        <v/>
      </c>
    </row>
    <row r="10" ht="8" customHeight="1"/>
    <row r="11" ht="20" customHeight="1">
      <c r="A11" s="8" t="inlineStr">
        <is>
          <t xml:space="preserve">  RESULTADO DO PROJETO          atualiza sozinho conforme você lança os custos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 ht="13" customHeight="1">
      <c r="A12" s="44" t="inlineStr">
        <is>
          <t>VALOR DE VENDA</t>
        </is>
      </c>
      <c r="B12" s="13" t="n"/>
      <c r="C12" s="44" t="inlineStr">
        <is>
          <t>CUSTO TOTAL</t>
        </is>
      </c>
      <c r="D12" s="13" t="n"/>
      <c r="E12" s="44" t="inlineStr">
        <is>
          <t>MARGEM DE CONTRIBUIÇÃO</t>
        </is>
      </c>
      <c r="F12" s="13" t="n"/>
      <c r="G12" s="44" t="inlineStr">
        <is>
          <t>MC %</t>
        </is>
      </c>
      <c r="H12" s="44" t="inlineStr">
        <is>
          <t>MC % ORÇADA</t>
        </is>
      </c>
      <c r="I12" s="44" t="inlineStr">
        <is>
          <t>DESVIO DE CUSTO</t>
        </is>
      </c>
      <c r="J12" s="13" t="n"/>
    </row>
    <row r="13" ht="30" customHeight="1">
      <c r="A13" s="51">
        <f>IF($D$17="",$C$17,$D$17)</f>
        <v/>
      </c>
      <c r="B13" s="15" t="n"/>
      <c r="C13" s="51">
        <f>IF($D$113=0,"",$D$113)</f>
        <v/>
      </c>
      <c r="D13" s="15" t="n"/>
      <c r="E13" s="51">
        <f>IF($A$13="","",$D$114)</f>
        <v/>
      </c>
      <c r="F13" s="15" t="n"/>
      <c r="G13" s="52">
        <f>IF(OR($A$13="",$A$13=0),"",$D$114/$A$13)</f>
        <v/>
      </c>
      <c r="H13" s="52">
        <f>IF(OR($C$17="",$C$17=0),"",$C$114/$C$17)</f>
        <v/>
      </c>
      <c r="I13" s="51">
        <f>IF(OR($C$113=0,$D$113=0),"",ROUND($D$113-$C$113,2))</f>
        <v/>
      </c>
      <c r="J13" s="15" t="n"/>
    </row>
    <row r="14" ht="8" customHeight="1"/>
    <row r="15" ht="20" customHeight="1">
      <c r="A15" s="8" t="inlineStr">
        <is>
          <t xml:space="preserve">  1 · VALOR DE VENDA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 ht="26" customHeight="1">
      <c r="A16" s="19" t="inlineStr">
        <is>
          <t>Item</t>
        </is>
      </c>
      <c r="B16" s="19" t="inlineStr">
        <is>
          <t>%</t>
        </is>
      </c>
      <c r="C16" s="19" t="inlineStr">
        <is>
          <t>Orçado (R$)</t>
        </is>
      </c>
      <c r="D16" s="19" t="inlineStr">
        <is>
          <t>Realizado (R$)</t>
        </is>
      </c>
      <c r="E16" s="19" t="inlineStr">
        <is>
          <t>Desvio (R$)</t>
        </is>
      </c>
      <c r="F16" s="35" t="n"/>
      <c r="G16" s="19" t="inlineStr">
        <is>
          <t>% da venda</t>
        </is>
      </c>
      <c r="H16" s="19" t="inlineStr">
        <is>
          <t>Observação</t>
        </is>
      </c>
      <c r="I16" s="35" t="n"/>
      <c r="J16" s="35" t="n"/>
    </row>
    <row r="17" ht="17" customHeight="1">
      <c r="A17" s="36" t="inlineStr">
        <is>
          <t>Valor de venda do projeto</t>
        </is>
      </c>
      <c r="B17" s="37" t="n"/>
      <c r="C17" s="53" t="n">
        <v>90000</v>
      </c>
      <c r="D17" s="53" t="n">
        <v>90000</v>
      </c>
      <c r="E17" s="54">
        <f>IF(OR($C17="",$D17=""),"",ROUND($D17-$C17,2))</f>
        <v/>
      </c>
      <c r="F17" s="38" t="n"/>
      <c r="G17" s="55" t="n"/>
      <c r="H17" s="56" t="inlineStr">
        <is>
          <t>Orçado = valor da proposta · Realizado = valor fechado</t>
        </is>
      </c>
      <c r="I17" s="46" t="n"/>
      <c r="J17" s="46" t="n"/>
    </row>
    <row r="18" ht="8" customHeight="1"/>
    <row r="19" ht="20" customHeight="1">
      <c r="A19" s="8" t="inlineStr">
        <is>
          <t xml:space="preserve">  2 · CUSTOS DE VENDA          tudo que sai por causa da venda · define a RECEITA LÍQUIDA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 ht="26" customHeight="1">
      <c r="A20" s="19" t="inlineStr">
        <is>
          <t>Item</t>
        </is>
      </c>
      <c r="B20" s="19" t="inlineStr">
        <is>
          <t>%</t>
        </is>
      </c>
      <c r="C20" s="19" t="inlineStr">
        <is>
          <t>Orçado (R$)</t>
        </is>
      </c>
      <c r="D20" s="19" t="inlineStr">
        <is>
          <t>Realizado (R$)</t>
        </is>
      </c>
      <c r="E20" s="19" t="inlineStr">
        <is>
          <t>Desvio (R$)</t>
        </is>
      </c>
      <c r="F20" s="35" t="n"/>
      <c r="G20" s="19" t="inlineStr">
        <is>
          <t>% da venda</t>
        </is>
      </c>
      <c r="H20" s="19" t="inlineStr">
        <is>
          <t>Observação</t>
        </is>
      </c>
      <c r="I20" s="35" t="n"/>
      <c r="J20" s="35" t="n"/>
    </row>
    <row r="21" ht="17" customHeight="1">
      <c r="A21" s="36" t="inlineStr">
        <is>
          <t>Impostos sobre a nota (Simples)</t>
        </is>
      </c>
      <c r="B21" s="57" t="n">
        <v>0.075</v>
      </c>
      <c r="C21" s="54">
        <f>IF($B21="","",ROUND($B21*$C$17,2))</f>
        <v/>
      </c>
      <c r="D21" s="54">
        <f>IF($B21="","",ROUND($B21*$A$13,2))</f>
        <v/>
      </c>
      <c r="E21" s="54">
        <f>IF(OR($C21="",$D21=""),"",ROUND($D21-$C21,2))</f>
        <v/>
      </c>
      <c r="F21" s="38" t="n"/>
      <c r="G21" s="55">
        <f>IF(OR($D21="",$A$13="",$A$13=0),"",$D21/$A$13)</f>
        <v/>
      </c>
      <c r="H21" s="56" t="inlineStr">
        <is>
          <t>% sobre o valor de venda</t>
        </is>
      </c>
      <c r="I21" s="46" t="n"/>
      <c r="J21" s="46" t="n"/>
    </row>
    <row r="22" ht="17" customHeight="1">
      <c r="A22" s="36" t="inlineStr">
        <is>
          <t>Taxa de máquina de cartão</t>
        </is>
      </c>
      <c r="B22" s="57" t="n">
        <v>0.02</v>
      </c>
      <c r="C22" s="54">
        <f>IF($B22="","",ROUND($B22*$C$17,2))</f>
        <v/>
      </c>
      <c r="D22" s="54">
        <f>IF($B22="","",ROUND($B22*$A$13,2))</f>
        <v/>
      </c>
      <c r="E22" s="54">
        <f>IF(OR($C22="",$D22=""),"",ROUND($D22-$C22,2))</f>
        <v/>
      </c>
      <c r="F22" s="38" t="n"/>
      <c r="G22" s="55">
        <f>IF(OR($D22="",$A$13="",$A$13=0),"",$D22/$A$13)</f>
        <v/>
      </c>
      <c r="H22" s="56" t="inlineStr">
        <is>
          <t>% sobre o valor de venda</t>
        </is>
      </c>
      <c r="I22" s="46" t="n"/>
      <c r="J22" s="46" t="n"/>
    </row>
    <row r="23" ht="17" customHeight="1">
      <c r="A23" s="36" t="inlineStr">
        <is>
          <t>Taxas de transação (PIX, boleto, TED)</t>
        </is>
      </c>
      <c r="B23" s="37" t="n"/>
      <c r="C23" s="53" t="n">
        <v>120</v>
      </c>
      <c r="D23" s="53" t="n">
        <v>148</v>
      </c>
      <c r="E23" s="54">
        <f>IF(OR($C23="",$D23=""),"",ROUND($D23-$C23,2))</f>
        <v/>
      </c>
      <c r="F23" s="38" t="n"/>
      <c r="G23" s="55">
        <f>IF(OR($D23="",$A$13="",$A$13=0),"",$D23/$A$13)</f>
        <v/>
      </c>
      <c r="H23" s="56" t="inlineStr">
        <is>
          <t>valor em reais</t>
        </is>
      </c>
      <c r="I23" s="46" t="n"/>
      <c r="J23" s="46" t="n"/>
    </row>
    <row r="24" ht="17" customHeight="1">
      <c r="A24" s="36" t="inlineStr">
        <is>
          <t>Comissão de venda (vendedor)</t>
        </is>
      </c>
      <c r="B24" s="57" t="n">
        <v>0.03</v>
      </c>
      <c r="C24" s="54">
        <f>IF($B24="","",ROUND($B24*$C$17,2))</f>
        <v/>
      </c>
      <c r="D24" s="54">
        <f>IF($B24="","",ROUND($B24*$A$13,2))</f>
        <v/>
      </c>
      <c r="E24" s="54">
        <f>IF(OR($C24="",$D24=""),"",ROUND($D24-$C24,2))</f>
        <v/>
      </c>
      <c r="F24" s="38" t="n"/>
      <c r="G24" s="55">
        <f>IF(OR($D24="",$A$13="",$A$13=0),"",$D24/$A$13)</f>
        <v/>
      </c>
      <c r="H24" s="56" t="inlineStr">
        <is>
          <t>% sobre o valor de venda</t>
        </is>
      </c>
      <c r="I24" s="46" t="n"/>
      <c r="J24" s="46" t="n"/>
    </row>
    <row r="25" ht="17" customHeight="1">
      <c r="A25" s="36" t="inlineStr">
        <is>
          <t>Projeto / anteprojeto (externo)</t>
        </is>
      </c>
      <c r="B25" s="37" t="n"/>
      <c r="C25" s="53" t="n">
        <v>1500</v>
      </c>
      <c r="D25" s="53" t="n">
        <v>1500</v>
      </c>
      <c r="E25" s="54">
        <f>IF(OR($C25="",$D25=""),"",ROUND($D25-$C25,2))</f>
        <v/>
      </c>
      <c r="F25" s="38" t="n"/>
      <c r="G25" s="55">
        <f>IF(OR($D25="",$A$13="",$A$13=0),"",$D25/$A$13)</f>
        <v/>
      </c>
      <c r="H25" s="56" t="inlineStr">
        <is>
          <t>projetista ou arquiteto contratado para o projeto</t>
        </is>
      </c>
      <c r="I25" s="46" t="n"/>
      <c r="J25" s="46" t="n"/>
    </row>
    <row r="26" ht="17" customHeight="1">
      <c r="A26" s="36" t="inlineStr">
        <is>
          <t>RT do parceiro</t>
        </is>
      </c>
      <c r="B26" s="57" t="n">
        <v>0.05</v>
      </c>
      <c r="C26" s="54">
        <f>IF($B26="","",ROUND($B26*($C$17-SUM($C$21:$C$23)),2))</f>
        <v/>
      </c>
      <c r="D26" s="54">
        <f>IF($B26="","",ROUND($B26*($A$13-SUM($D$21:$D$23)),2))</f>
        <v/>
      </c>
      <c r="E26" s="54">
        <f>IF(OR($C26="",$D26=""),"",ROUND($D26-$C26,2))</f>
        <v/>
      </c>
      <c r="F26" s="38" t="n"/>
      <c r="G26" s="55">
        <f>IF(OR($D26="",$A$13="",$A$13=0),"",$D26/$A$13)</f>
        <v/>
      </c>
      <c r="H26" s="56" t="inlineStr">
        <is>
          <t>% sobre o líquido: venda menos impostos, máquina e taxas</t>
        </is>
      </c>
      <c r="I26" s="46" t="n"/>
      <c r="J26" s="46" t="n"/>
    </row>
    <row r="27" ht="20" customHeight="1">
      <c r="A27" s="31" t="inlineStr">
        <is>
          <t>(=) SUBTOTAL DOS CUSTOS DE VENDA</t>
        </is>
      </c>
      <c r="B27" s="32" t="n"/>
      <c r="C27" s="58">
        <f>ROUND(SUM(C21:C26),2)</f>
        <v/>
      </c>
      <c r="D27" s="58">
        <f>ROUND(SUM(D21:D26),2)</f>
        <v/>
      </c>
      <c r="E27" s="58">
        <f>ROUND($D27-$C27,2)</f>
        <v/>
      </c>
      <c r="F27" s="32" t="n"/>
      <c r="G27" s="59">
        <f>IF(OR($A$13="",$A$13=0),"",$D27/$A$13)</f>
        <v/>
      </c>
      <c r="H27" s="32" t="n"/>
      <c r="I27" s="32" t="n"/>
      <c r="J27" s="32" t="n"/>
    </row>
    <row r="28" ht="24" customHeight="1">
      <c r="A28" s="60" t="inlineStr">
        <is>
          <t>(=) RECEITA LÍQUIDA</t>
        </is>
      </c>
      <c r="B28" s="61" t="n"/>
      <c r="C28" s="62">
        <f>ROUND($C$17-$C$27,2)</f>
        <v/>
      </c>
      <c r="D28" s="62">
        <f>ROUND($A$13-$D$27,2)</f>
        <v/>
      </c>
      <c r="E28" s="63">
        <f>ROUND($D$28-$C$28,2)</f>
        <v/>
      </c>
      <c r="F28" s="61" t="n"/>
      <c r="G28" s="64">
        <f>IF(OR($A$13="",$A$13=0),"",$D$28/$A$13)</f>
        <v/>
      </c>
      <c r="H28" s="65" t="inlineStr">
        <is>
          <t>É esta a base das comissões de coordenação, produção e montagem</t>
        </is>
      </c>
      <c r="I28" s="61" t="n"/>
      <c r="J28" s="61" t="n"/>
    </row>
    <row r="29" ht="8" customHeight="1"/>
    <row r="30" ht="20" customHeight="1">
      <c r="A30" s="8" t="inlineStr">
        <is>
          <t xml:space="preserve">  3 · AMBIENTES, PRODUÇÃO E MONTAGEM          um projeto tem vários ambientes · cada um com seu produtor e seu montador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 ht="32" customHeight="1">
      <c r="A31" s="19" t="inlineStr">
        <is>
          <t>Ambiente</t>
        </is>
      </c>
      <c r="B31" s="19" t="inlineStr">
        <is>
          <t>% do total</t>
        </is>
      </c>
      <c r="C31" s="19" t="inlineStr">
        <is>
          <t>Valor do ambiente (R$)</t>
        </is>
      </c>
      <c r="D31" s="19" t="inlineStr">
        <is>
          <t>Produção — quem</t>
        </is>
      </c>
      <c r="E31" s="19" t="inlineStr">
        <is>
          <t>%</t>
        </is>
      </c>
      <c r="F31" s="19" t="inlineStr">
        <is>
          <t>Comissão produção (R$)</t>
        </is>
      </c>
      <c r="G31" s="19" t="inlineStr">
        <is>
          <t>Montagem — quem</t>
        </is>
      </c>
      <c r="H31" s="19" t="inlineStr">
        <is>
          <t>%</t>
        </is>
      </c>
      <c r="I31" s="19" t="inlineStr">
        <is>
          <t>Comissão montagem (R$)</t>
        </is>
      </c>
      <c r="J31" s="19" t="inlineStr">
        <is>
          <t>Total do ambiente</t>
        </is>
      </c>
    </row>
    <row r="32" ht="18" customHeight="1">
      <c r="A32" s="66" t="inlineStr">
        <is>
          <t>Cozinha</t>
        </is>
      </c>
      <c r="B32" s="55">
        <f>IF(OR($C32="",$A$13="",$A$13=0),"",$C32/$A$13)</f>
        <v/>
      </c>
      <c r="C32" s="67" t="n">
        <v>30000</v>
      </c>
      <c r="D32" s="66" t="inlineStr">
        <is>
          <t>Jackson</t>
        </is>
      </c>
      <c r="E32" s="57" t="n">
        <v>0.03</v>
      </c>
      <c r="F32" s="54">
        <f>IF(OR($B32="",$E32="",$D$28=""),"",ROUND($B32*$D$28*$E32,2))</f>
        <v/>
      </c>
      <c r="G32" s="66" t="inlineStr">
        <is>
          <t>Samuel</t>
        </is>
      </c>
      <c r="H32" s="57" t="n">
        <v>0.02</v>
      </c>
      <c r="I32" s="54">
        <f>IF(OR($B32="",$H32="",$D$28=""),"",ROUND($B32*$D$28*$H32,2))</f>
        <v/>
      </c>
      <c r="J32" s="68">
        <f>IF(AND($F32="",$I32=""),"",ROUND(IF($F32="",0,$F32)+IF($I32="",0,$I32),2))</f>
        <v/>
      </c>
    </row>
    <row r="33" ht="18" customHeight="1">
      <c r="A33" s="66" t="inlineStr">
        <is>
          <t>Suíte</t>
        </is>
      </c>
      <c r="B33" s="55">
        <f>IF(OR($C33="",$A$13="",$A$13=0),"",$C33/$A$13)</f>
        <v/>
      </c>
      <c r="C33" s="67" t="n">
        <v>20000</v>
      </c>
      <c r="D33" s="66" t="inlineStr">
        <is>
          <t>Samuel</t>
        </is>
      </c>
      <c r="E33" s="57" t="n">
        <v>0.03</v>
      </c>
      <c r="F33" s="54">
        <f>IF(OR($B33="",$E33="",$D$28=""),"",ROUND($B33*$D$28*$E33,2))</f>
        <v/>
      </c>
      <c r="G33" s="66" t="inlineStr">
        <is>
          <t>Cezar</t>
        </is>
      </c>
      <c r="H33" s="57" t="n">
        <v>0.02</v>
      </c>
      <c r="I33" s="54">
        <f>IF(OR($B33="",$H33="",$D$28=""),"",ROUND($B33*$D$28*$H33,2))</f>
        <v/>
      </c>
      <c r="J33" s="68">
        <f>IF(AND($F33="",$I33=""),"",ROUND(IF($F33="",0,$F33)+IF($I33="",0,$I33),2))</f>
        <v/>
      </c>
    </row>
    <row r="34" ht="18" customHeight="1">
      <c r="A34" s="66" t="inlineStr">
        <is>
          <t>Lavanderia</t>
        </is>
      </c>
      <c r="B34" s="55">
        <f>IF(OR($C34="",$A$13="",$A$13=0),"",$C34/$A$13)</f>
        <v/>
      </c>
      <c r="C34" s="67" t="n">
        <v>10000</v>
      </c>
      <c r="D34" s="66" t="inlineStr">
        <is>
          <t>Joelson</t>
        </is>
      </c>
      <c r="E34" s="57" t="n">
        <v>0.03</v>
      </c>
      <c r="F34" s="54">
        <f>IF(OR($B34="",$E34="",$D$28=""),"",ROUND($B34*$D$28*$E34,2))</f>
        <v/>
      </c>
      <c r="G34" s="66" t="inlineStr">
        <is>
          <t>Samuel</t>
        </is>
      </c>
      <c r="H34" s="57" t="n">
        <v>0.02</v>
      </c>
      <c r="I34" s="54">
        <f>IF(OR($B34="",$H34="",$D$28=""),"",ROUND($B34*$D$28*$H34,2))</f>
        <v/>
      </c>
      <c r="J34" s="68">
        <f>IF(AND($F34="",$I34=""),"",ROUND(IF($F34="",0,$F34)+IF($I34="",0,$I34),2))</f>
        <v/>
      </c>
    </row>
    <row r="35" ht="18" customHeight="1">
      <c r="A35" s="66" t="inlineStr">
        <is>
          <t>Sala</t>
        </is>
      </c>
      <c r="B35" s="55">
        <f>IF(OR($C35="",$A$13="",$A$13=0),"",$C35/$A$13)</f>
        <v/>
      </c>
      <c r="C35" s="67" t="n">
        <v>30000</v>
      </c>
      <c r="D35" s="66" t="inlineStr">
        <is>
          <t>Deivson</t>
        </is>
      </c>
      <c r="E35" s="57" t="n">
        <v>0.03</v>
      </c>
      <c r="F35" s="54">
        <f>IF(OR($B35="",$E35="",$D$28=""),"",ROUND($B35*$D$28*$E35,2))</f>
        <v/>
      </c>
      <c r="G35" s="66" t="inlineStr">
        <is>
          <t>Jackson</t>
        </is>
      </c>
      <c r="H35" s="57" t="n">
        <v>0.02</v>
      </c>
      <c r="I35" s="54">
        <f>IF(OR($B35="",$H35="",$D$28=""),"",ROUND($B35*$D$28*$H35,2))</f>
        <v/>
      </c>
      <c r="J35" s="68">
        <f>IF(AND($F35="",$I35=""),"",ROUND(IF($F35="",0,$F35)+IF($I35="",0,$I35),2))</f>
        <v/>
      </c>
    </row>
    <row r="36" ht="18" customHeight="1">
      <c r="A36" s="66" t="n"/>
      <c r="B36" s="55">
        <f>IF(OR($C36="",$A$13="",$A$13=0),"",$C36/$A$13)</f>
        <v/>
      </c>
      <c r="C36" s="67" t="n"/>
      <c r="D36" s="66" t="n"/>
      <c r="E36" s="57" t="n"/>
      <c r="F36" s="54">
        <f>IF(OR($B36="",$E36="",$D$28=""),"",ROUND($B36*$D$28*$E36,2))</f>
        <v/>
      </c>
      <c r="G36" s="66" t="n"/>
      <c r="H36" s="57" t="n"/>
      <c r="I36" s="54">
        <f>IF(OR($B36="",$H36="",$D$28=""),"",ROUND($B36*$D$28*$H36,2))</f>
        <v/>
      </c>
      <c r="J36" s="68">
        <f>IF(AND($F36="",$I36=""),"",ROUND(IF($F36="",0,$F36)+IF($I36="",0,$I36),2))</f>
        <v/>
      </c>
    </row>
    <row r="37" ht="18" customHeight="1">
      <c r="A37" s="66" t="n"/>
      <c r="B37" s="55">
        <f>IF(OR($C37="",$A$13="",$A$13=0),"",$C37/$A$13)</f>
        <v/>
      </c>
      <c r="C37" s="67" t="n"/>
      <c r="D37" s="66" t="n"/>
      <c r="E37" s="57" t="n"/>
      <c r="F37" s="54">
        <f>IF(OR($B37="",$E37="",$D$28=""),"",ROUND($B37*$D$28*$E37,2))</f>
        <v/>
      </c>
      <c r="G37" s="66" t="n"/>
      <c r="H37" s="57" t="n"/>
      <c r="I37" s="54">
        <f>IF(OR($B37="",$H37="",$D$28=""),"",ROUND($B37*$D$28*$H37,2))</f>
        <v/>
      </c>
      <c r="J37" s="68">
        <f>IF(AND($F37="",$I37=""),"",ROUND(IF($F37="",0,$F37)+IF($I37="",0,$I37),2))</f>
        <v/>
      </c>
    </row>
    <row r="38" ht="18" customHeight="1">
      <c r="A38" s="66" t="n"/>
      <c r="B38" s="55">
        <f>IF(OR($C38="",$A$13="",$A$13=0),"",$C38/$A$13)</f>
        <v/>
      </c>
      <c r="C38" s="67" t="n"/>
      <c r="D38" s="66" t="n"/>
      <c r="E38" s="57" t="n"/>
      <c r="F38" s="54">
        <f>IF(OR($B38="",$E38="",$D$28=""),"",ROUND($B38*$D$28*$E38,2))</f>
        <v/>
      </c>
      <c r="G38" s="66" t="n"/>
      <c r="H38" s="57" t="n"/>
      <c r="I38" s="54">
        <f>IF(OR($B38="",$H38="",$D$28=""),"",ROUND($B38*$D$28*$H38,2))</f>
        <v/>
      </c>
      <c r="J38" s="68">
        <f>IF(AND($F38="",$I38=""),"",ROUND(IF($F38="",0,$F38)+IF($I38="",0,$I38),2))</f>
        <v/>
      </c>
    </row>
    <row r="39" ht="18" customHeight="1">
      <c r="A39" s="66" t="n"/>
      <c r="B39" s="55">
        <f>IF(OR($C39="",$A$13="",$A$13=0),"",$C39/$A$13)</f>
        <v/>
      </c>
      <c r="C39" s="67" t="n"/>
      <c r="D39" s="66" t="n"/>
      <c r="E39" s="57" t="n"/>
      <c r="F39" s="54">
        <f>IF(OR($B39="",$E39="",$D$28=""),"",ROUND($B39*$D$28*$E39,2))</f>
        <v/>
      </c>
      <c r="G39" s="66" t="n"/>
      <c r="H39" s="57" t="n"/>
      <c r="I39" s="54">
        <f>IF(OR($B39="",$H39="",$D$28=""),"",ROUND($B39*$D$28*$H39,2))</f>
        <v/>
      </c>
      <c r="J39" s="68">
        <f>IF(AND($F39="",$I39=""),"",ROUND(IF($F39="",0,$F39)+IF($I39="",0,$I39),2))</f>
        <v/>
      </c>
    </row>
    <row r="40" ht="18" customHeight="1">
      <c r="A40" s="66" t="n"/>
      <c r="B40" s="55">
        <f>IF(OR($C40="",$A$13="",$A$13=0),"",$C40/$A$13)</f>
        <v/>
      </c>
      <c r="C40" s="67" t="n"/>
      <c r="D40" s="66" t="n"/>
      <c r="E40" s="57" t="n"/>
      <c r="F40" s="54">
        <f>IF(OR($B40="",$E40="",$D$28=""),"",ROUND($B40*$D$28*$E40,2))</f>
        <v/>
      </c>
      <c r="G40" s="66" t="n"/>
      <c r="H40" s="57" t="n"/>
      <c r="I40" s="54">
        <f>IF(OR($B40="",$H40="",$D$28=""),"",ROUND($B40*$D$28*$H40,2))</f>
        <v/>
      </c>
      <c r="J40" s="68">
        <f>IF(AND($F40="",$I40=""),"",ROUND(IF($F40="",0,$F40)+IF($I40="",0,$I40),2))</f>
        <v/>
      </c>
    </row>
    <row r="41" ht="18" customHeight="1">
      <c r="A41" s="66" t="n"/>
      <c r="B41" s="55">
        <f>IF(OR($C41="",$A$13="",$A$13=0),"",$C41/$A$13)</f>
        <v/>
      </c>
      <c r="C41" s="67" t="n"/>
      <c r="D41" s="66" t="n"/>
      <c r="E41" s="57" t="n"/>
      <c r="F41" s="54">
        <f>IF(OR($B41="",$E41="",$D$28=""),"",ROUND($B41*$D$28*$E41,2))</f>
        <v/>
      </c>
      <c r="G41" s="66" t="n"/>
      <c r="H41" s="57" t="n"/>
      <c r="I41" s="54">
        <f>IF(OR($B41="",$H41="",$D$28=""),"",ROUND($B41*$D$28*$H41,2))</f>
        <v/>
      </c>
      <c r="J41" s="68">
        <f>IF(AND($F41="",$I41=""),"",ROUND(IF($F41="",0,$F41)+IF($I41="",0,$I41),2))</f>
        <v/>
      </c>
    </row>
    <row r="42" ht="20" customHeight="1">
      <c r="A42" s="31" t="inlineStr">
        <is>
          <t>SOMA DOS AMBIENTES</t>
        </is>
      </c>
      <c r="B42" s="59">
        <f>IF($A$13=0,"",$C$42/$A$13)</f>
        <v/>
      </c>
      <c r="C42" s="58">
        <f>ROUND(SUM(C32:C41),2)</f>
        <v/>
      </c>
      <c r="D42" s="69">
        <f>IF($C$42=0,"—",IF(ROUND($C$42-$A$13,2)=0,"OK · os ambientes somam o valor de venda","ATENÇÃO: diferença de "&amp;TEXT($C$42-$A$13,"R$ #,##0.00")))</f>
        <v/>
      </c>
      <c r="E42" s="32" t="n"/>
      <c r="F42" s="58">
        <f>ROUND(SUM(F32:F41),2)</f>
        <v/>
      </c>
      <c r="G42" s="32" t="n"/>
      <c r="H42" s="32" t="n"/>
      <c r="I42" s="58">
        <f>ROUND(SUM(I32:I41),2)</f>
        <v/>
      </c>
      <c r="J42" s="58">
        <f>ROUND(SUM(J32:J41),2)</f>
        <v/>
      </c>
    </row>
    <row r="43" ht="8" customHeight="1"/>
    <row r="44" ht="20" customHeight="1">
      <c r="A44" s="8" t="inlineStr">
        <is>
          <t xml:space="preserve">  4 · COMISSÕES OPERACIONAIS          calculadas sobre a RECEITA LÍQUIDA · o realizado vem dos ambientes acima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</row>
    <row r="45" ht="26" customHeight="1">
      <c r="A45" s="19" t="inlineStr">
        <is>
          <t>Item</t>
        </is>
      </c>
      <c r="B45" s="19" t="inlineStr">
        <is>
          <t>%</t>
        </is>
      </c>
      <c r="C45" s="19" t="inlineStr">
        <is>
          <t>Orçado (R$)</t>
        </is>
      </c>
      <c r="D45" s="19" t="inlineStr">
        <is>
          <t>Realizado (R$)</t>
        </is>
      </c>
      <c r="E45" s="19" t="inlineStr">
        <is>
          <t>Desvio (R$)</t>
        </is>
      </c>
      <c r="F45" s="35" t="n"/>
      <c r="G45" s="19" t="inlineStr">
        <is>
          <t>% da venda</t>
        </is>
      </c>
      <c r="H45" s="19" t="inlineStr">
        <is>
          <t>Observação</t>
        </is>
      </c>
      <c r="I45" s="35" t="n"/>
      <c r="J45" s="35" t="n"/>
    </row>
    <row r="46" ht="17" customHeight="1">
      <c r="A46" s="36" t="inlineStr">
        <is>
          <t>Coordenação de produção</t>
        </is>
      </c>
      <c r="B46" s="57" t="n">
        <v>0.01</v>
      </c>
      <c r="C46" s="54">
        <f>IF($B46="","",ROUND($B46*$C$28,2))</f>
        <v/>
      </c>
      <c r="D46" s="54">
        <f>IF($B46="","",ROUND($B46*$D$28,2))</f>
        <v/>
      </c>
      <c r="E46" s="54">
        <f>IF(OR($C46="",$D46=""),"",ROUND($D46-$C46,2))</f>
        <v/>
      </c>
      <c r="F46" s="38" t="n"/>
      <c r="G46" s="55">
        <f>IF(OR($D46="",$A$13="",$A$13=0),"",$D46/$A$13)</f>
        <v/>
      </c>
      <c r="H46" s="56" t="inlineStr">
        <is>
          <t>quem coordena está na identificação, no topo da ficha</t>
        </is>
      </c>
      <c r="I46" s="46" t="n"/>
      <c r="J46" s="46" t="n"/>
    </row>
    <row r="47" ht="17" customHeight="1">
      <c r="A47" s="36" t="inlineStr">
        <is>
          <t>Comissão de produção</t>
        </is>
      </c>
      <c r="B47" s="57" t="n">
        <v>0.03</v>
      </c>
      <c r="C47" s="54">
        <f>IF($B47="","",ROUND($B47*$C$28,2))</f>
        <v/>
      </c>
      <c r="D47" s="54">
        <f>IF($F$42=0,"",$F$42)</f>
        <v/>
      </c>
      <c r="E47" s="54">
        <f>IF(OR($C47="",$D47=""),"",ROUND($D47-$C47,2))</f>
        <v/>
      </c>
      <c r="F47" s="38" t="n"/>
      <c r="G47" s="55">
        <f>IF(OR($D47="",$A$13="",$A$13=0),"",$D47/$A$13)</f>
        <v/>
      </c>
      <c r="H47" s="56" t="inlineStr">
        <is>
          <t>orçado = % único estimado · realizado = soma dos ambientes</t>
        </is>
      </c>
      <c r="I47" s="46" t="n"/>
      <c r="J47" s="46" t="n"/>
    </row>
    <row r="48" ht="17" customHeight="1">
      <c r="A48" s="36" t="inlineStr">
        <is>
          <t>Comissão de montagem</t>
        </is>
      </c>
      <c r="B48" s="57" t="n">
        <v>0.02</v>
      </c>
      <c r="C48" s="54">
        <f>IF($B48="","",ROUND($B48*$C$28,2))</f>
        <v/>
      </c>
      <c r="D48" s="54">
        <f>IF($I$42=0,"",$I$42)</f>
        <v/>
      </c>
      <c r="E48" s="54">
        <f>IF(OR($C48="",$D48=""),"",ROUND($D48-$C48,2))</f>
        <v/>
      </c>
      <c r="F48" s="38" t="n"/>
      <c r="G48" s="55">
        <f>IF(OR($D48="",$A$13="",$A$13=0),"",$D48/$A$13)</f>
        <v/>
      </c>
      <c r="H48" s="56" t="inlineStr">
        <is>
          <t>orçado = % único estimado · realizado = soma dos ambientes</t>
        </is>
      </c>
      <c r="I48" s="46" t="n"/>
      <c r="J48" s="46" t="n"/>
    </row>
    <row r="49" ht="20" customHeight="1">
      <c r="A49" s="31" t="inlineStr">
        <is>
          <t>(=) SUBTOTAL DAS COMISSÕES</t>
        </is>
      </c>
      <c r="B49" s="32" t="n"/>
      <c r="C49" s="58">
        <f>ROUND(SUM(C46:C48),2)</f>
        <v/>
      </c>
      <c r="D49" s="58">
        <f>ROUND(SUM(D46:D48),2)</f>
        <v/>
      </c>
      <c r="E49" s="58">
        <f>ROUND($D49-$C49,2)</f>
        <v/>
      </c>
      <c r="F49" s="32" t="n"/>
      <c r="G49" s="59">
        <f>IF(OR($A$13="",$A$13=0),"",$D49/$A$13)</f>
        <v/>
      </c>
      <c r="H49" s="32" t="n"/>
      <c r="I49" s="32" t="n"/>
      <c r="J49" s="32" t="n"/>
    </row>
    <row r="50" ht="8" customHeight="1"/>
    <row r="51" ht="20" customHeight="1">
      <c r="A51" s="8" t="inlineStr">
        <is>
          <t xml:space="preserve">  5 · COMISSÕES POR COLABORADOR          consolidado automático — quem recebe o quê neste projeto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</row>
    <row r="52" ht="26" customHeight="1">
      <c r="A52" s="19" t="inlineStr">
        <is>
          <t>Colaborador</t>
        </is>
      </c>
      <c r="B52" s="19" t="inlineStr">
        <is>
          <t>Produção (R$)</t>
        </is>
      </c>
      <c r="C52" s="35" t="n"/>
      <c r="D52" s="19" t="inlineStr">
        <is>
          <t>Montagem (R$)</t>
        </is>
      </c>
      <c r="E52" s="35" t="n"/>
      <c r="F52" s="19" t="inlineStr">
        <is>
          <t>Coordenação (R$)</t>
        </is>
      </c>
      <c r="G52" s="35" t="n"/>
      <c r="H52" s="19" t="inlineStr">
        <is>
          <t>Total no projeto (R$)</t>
        </is>
      </c>
      <c r="I52" s="35" t="n"/>
      <c r="J52" s="35" t="n"/>
    </row>
    <row r="53" ht="17" customHeight="1">
      <c r="A53" s="70" t="inlineStr">
        <is>
          <t>Deivson</t>
        </is>
      </c>
      <c r="B53" s="54">
        <f>IF($A53="","",ROUND(SUMIF($D$32:$D$41,$A53,$F$32:$F$41),2))</f>
        <v/>
      </c>
      <c r="C53" s="38" t="n"/>
      <c r="D53" s="54">
        <f>IF($A53="","",ROUND(SUMIF($G$32:$G$41,$A53,$I$32:$I$41),2))</f>
        <v/>
      </c>
      <c r="E53" s="38" t="n"/>
      <c r="F53" s="54">
        <f>IF($A53="","",IF($A53=$F$9,IF($D$46="",0,$D$46),0))</f>
        <v/>
      </c>
      <c r="G53" s="38" t="n"/>
      <c r="H53" s="71">
        <f>IF($A53="","",ROUND($B53+$D53+$F53,2))</f>
        <v/>
      </c>
      <c r="I53" s="38" t="n"/>
      <c r="J53" s="38" t="n"/>
    </row>
    <row r="54" ht="17" customHeight="1">
      <c r="A54" s="70" t="inlineStr">
        <is>
          <t>Samuel</t>
        </is>
      </c>
      <c r="B54" s="54">
        <f>IF($A54="","",ROUND(SUMIF($D$32:$D$41,$A54,$F$32:$F$41),2))</f>
        <v/>
      </c>
      <c r="C54" s="38" t="n"/>
      <c r="D54" s="54">
        <f>IF($A54="","",ROUND(SUMIF($G$32:$G$41,$A54,$I$32:$I$41),2))</f>
        <v/>
      </c>
      <c r="E54" s="38" t="n"/>
      <c r="F54" s="54">
        <f>IF($A54="","",IF($A54=$F$9,IF($D$46="",0,$D$46),0))</f>
        <v/>
      </c>
      <c r="G54" s="38" t="n"/>
      <c r="H54" s="71">
        <f>IF($A54="","",ROUND($B54+$D54+$F54,2))</f>
        <v/>
      </c>
      <c r="I54" s="38" t="n"/>
      <c r="J54" s="38" t="n"/>
    </row>
    <row r="55" ht="17" customHeight="1">
      <c r="A55" s="70" t="inlineStr">
        <is>
          <t>Cezar</t>
        </is>
      </c>
      <c r="B55" s="54">
        <f>IF($A55="","",ROUND(SUMIF($D$32:$D$41,$A55,$F$32:$F$41),2))</f>
        <v/>
      </c>
      <c r="C55" s="38" t="n"/>
      <c r="D55" s="54">
        <f>IF($A55="","",ROUND(SUMIF($G$32:$G$41,$A55,$I$32:$I$41),2))</f>
        <v/>
      </c>
      <c r="E55" s="38" t="n"/>
      <c r="F55" s="54">
        <f>IF($A55="","",IF($A55=$F$9,IF($D$46="",0,$D$46),0))</f>
        <v/>
      </c>
      <c r="G55" s="38" t="n"/>
      <c r="H55" s="71">
        <f>IF($A55="","",ROUND($B55+$D55+$F55,2))</f>
        <v/>
      </c>
      <c r="I55" s="38" t="n"/>
      <c r="J55" s="38" t="n"/>
    </row>
    <row r="56" ht="17" customHeight="1">
      <c r="A56" s="70" t="inlineStr">
        <is>
          <t>Jackson</t>
        </is>
      </c>
      <c r="B56" s="54">
        <f>IF($A56="","",ROUND(SUMIF($D$32:$D$41,$A56,$F$32:$F$41),2))</f>
        <v/>
      </c>
      <c r="C56" s="38" t="n"/>
      <c r="D56" s="54">
        <f>IF($A56="","",ROUND(SUMIF($G$32:$G$41,$A56,$I$32:$I$41),2))</f>
        <v/>
      </c>
      <c r="E56" s="38" t="n"/>
      <c r="F56" s="54">
        <f>IF($A56="","",IF($A56=$F$9,IF($D$46="",0,$D$46),0))</f>
        <v/>
      </c>
      <c r="G56" s="38" t="n"/>
      <c r="H56" s="71">
        <f>IF($A56="","",ROUND($B56+$D56+$F56,2))</f>
        <v/>
      </c>
      <c r="I56" s="38" t="n"/>
      <c r="J56" s="38" t="n"/>
    </row>
    <row r="57" ht="17" customHeight="1">
      <c r="A57" s="70" t="inlineStr">
        <is>
          <t>Filipe</t>
        </is>
      </c>
      <c r="B57" s="54">
        <f>IF($A57="","",ROUND(SUMIF($D$32:$D$41,$A57,$F$32:$F$41),2))</f>
        <v/>
      </c>
      <c r="C57" s="38" t="n"/>
      <c r="D57" s="54">
        <f>IF($A57="","",ROUND(SUMIF($G$32:$G$41,$A57,$I$32:$I$41),2))</f>
        <v/>
      </c>
      <c r="E57" s="38" t="n"/>
      <c r="F57" s="54">
        <f>IF($A57="","",IF($A57=$F$9,IF($D$46="",0,$D$46),0))</f>
        <v/>
      </c>
      <c r="G57" s="38" t="n"/>
      <c r="H57" s="71">
        <f>IF($A57="","",ROUND($B57+$D57+$F57,2))</f>
        <v/>
      </c>
      <c r="I57" s="38" t="n"/>
      <c r="J57" s="38" t="n"/>
    </row>
    <row r="58" ht="17" customHeight="1">
      <c r="A58" s="70" t="inlineStr">
        <is>
          <t>Joelson</t>
        </is>
      </c>
      <c r="B58" s="54">
        <f>IF($A58="","",ROUND(SUMIF($D$32:$D$41,$A58,$F$32:$F$41),2))</f>
        <v/>
      </c>
      <c r="C58" s="38" t="n"/>
      <c r="D58" s="54">
        <f>IF($A58="","",ROUND(SUMIF($G$32:$G$41,$A58,$I$32:$I$41),2))</f>
        <v/>
      </c>
      <c r="E58" s="38" t="n"/>
      <c r="F58" s="54">
        <f>IF($A58="","",IF($A58=$F$9,IF($D$46="",0,$D$46),0))</f>
        <v/>
      </c>
      <c r="G58" s="38" t="n"/>
      <c r="H58" s="71">
        <f>IF($A58="","",ROUND($B58+$D58+$F58,2))</f>
        <v/>
      </c>
      <c r="I58" s="38" t="n"/>
      <c r="J58" s="38" t="n"/>
    </row>
    <row r="59" ht="17" customHeight="1">
      <c r="A59" s="70" t="inlineStr">
        <is>
          <t>Jomar</t>
        </is>
      </c>
      <c r="B59" s="54">
        <f>IF($A59="","",ROUND(SUMIF($D$32:$D$41,$A59,$F$32:$F$41),2))</f>
        <v/>
      </c>
      <c r="C59" s="38" t="n"/>
      <c r="D59" s="54">
        <f>IF($A59="","",ROUND(SUMIF($G$32:$G$41,$A59,$I$32:$I$41),2))</f>
        <v/>
      </c>
      <c r="E59" s="38" t="n"/>
      <c r="F59" s="54">
        <f>IF($A59="","",IF($A59=$F$9,IF($D$46="",0,$D$46),0))</f>
        <v/>
      </c>
      <c r="G59" s="38" t="n"/>
      <c r="H59" s="71">
        <f>IF($A59="","",ROUND($B59+$D59+$F59,2))</f>
        <v/>
      </c>
      <c r="I59" s="38" t="n"/>
      <c r="J59" s="38" t="n"/>
    </row>
    <row r="60" ht="17" customHeight="1">
      <c r="A60" s="70" t="inlineStr">
        <is>
          <t>Jonathan Godoy</t>
        </is>
      </c>
      <c r="B60" s="54">
        <f>IF($A60="","",ROUND(SUMIF($D$32:$D$41,$A60,$F$32:$F$41),2))</f>
        <v/>
      </c>
      <c r="C60" s="38" t="n"/>
      <c r="D60" s="54">
        <f>IF($A60="","",ROUND(SUMIF($G$32:$G$41,$A60,$I$32:$I$41),2))</f>
        <v/>
      </c>
      <c r="E60" s="38" t="n"/>
      <c r="F60" s="54">
        <f>IF($A60="","",IF($A60=$F$9,IF($D$46="",0,$D$46),0))</f>
        <v/>
      </c>
      <c r="G60" s="38" t="n"/>
      <c r="H60" s="71">
        <f>IF($A60="","",ROUND($B60+$D60+$F60,2))</f>
        <v/>
      </c>
      <c r="I60" s="38" t="n"/>
      <c r="J60" s="38" t="n"/>
    </row>
    <row r="61" ht="17" customHeight="1">
      <c r="A61" s="70" t="inlineStr">
        <is>
          <t>Bruna</t>
        </is>
      </c>
      <c r="B61" s="54">
        <f>IF($A61="","",ROUND(SUMIF($D$32:$D$41,$A61,$F$32:$F$41),2))</f>
        <v/>
      </c>
      <c r="C61" s="38" t="n"/>
      <c r="D61" s="54">
        <f>IF($A61="","",ROUND(SUMIF($G$32:$G$41,$A61,$I$32:$I$41),2))</f>
        <v/>
      </c>
      <c r="E61" s="38" t="n"/>
      <c r="F61" s="54">
        <f>IF($A61="","",IF($A61=$F$9,IF($D$46="",0,$D$46),0))</f>
        <v/>
      </c>
      <c r="G61" s="38" t="n"/>
      <c r="H61" s="71">
        <f>IF($A61="","",ROUND($B61+$D61+$F61,2))</f>
        <v/>
      </c>
      <c r="I61" s="38" t="n"/>
      <c r="J61" s="38" t="n"/>
    </row>
    <row r="62" ht="17" customHeight="1">
      <c r="A62" s="70" t="inlineStr">
        <is>
          <t>Hugo</t>
        </is>
      </c>
      <c r="B62" s="54">
        <f>IF($A62="","",ROUND(SUMIF($D$32:$D$41,$A62,$F$32:$F$41),2))</f>
        <v/>
      </c>
      <c r="C62" s="38" t="n"/>
      <c r="D62" s="54">
        <f>IF($A62="","",ROUND(SUMIF($G$32:$G$41,$A62,$I$32:$I$41),2))</f>
        <v/>
      </c>
      <c r="E62" s="38" t="n"/>
      <c r="F62" s="54">
        <f>IF($A62="","",IF($A62=$F$9,IF($D$46="",0,$D$46),0))</f>
        <v/>
      </c>
      <c r="G62" s="38" t="n"/>
      <c r="H62" s="71">
        <f>IF($A62="","",ROUND($B62+$D62+$F62,2))</f>
        <v/>
      </c>
      <c r="I62" s="38" t="n"/>
      <c r="J62" s="38" t="n"/>
    </row>
    <row r="63" ht="17" customHeight="1">
      <c r="A63" s="70" t="inlineStr">
        <is>
          <t>Karla</t>
        </is>
      </c>
      <c r="B63" s="54">
        <f>IF($A63="","",ROUND(SUMIF($D$32:$D$41,$A63,$F$32:$F$41),2))</f>
        <v/>
      </c>
      <c r="C63" s="38" t="n"/>
      <c r="D63" s="54">
        <f>IF($A63="","",ROUND(SUMIF($G$32:$G$41,$A63,$I$32:$I$41),2))</f>
        <v/>
      </c>
      <c r="E63" s="38" t="n"/>
      <c r="F63" s="54">
        <f>IF($A63="","",IF($A63=$F$9,IF($D$46="",0,$D$46),0))</f>
        <v/>
      </c>
      <c r="G63" s="38" t="n"/>
      <c r="H63" s="71">
        <f>IF($A63="","",ROUND($B63+$D63+$F63,2))</f>
        <v/>
      </c>
      <c r="I63" s="38" t="n"/>
      <c r="J63" s="38" t="n"/>
    </row>
    <row r="64" ht="17" customHeight="1">
      <c r="A64" s="70" t="inlineStr">
        <is>
          <t>Terceiro / avulso</t>
        </is>
      </c>
      <c r="B64" s="54">
        <f>IF($A64="","",ROUND(SUMIF($D$32:$D$41,$A64,$F$32:$F$41),2))</f>
        <v/>
      </c>
      <c r="C64" s="38" t="n"/>
      <c r="D64" s="54">
        <f>IF($A64="","",ROUND(SUMIF($G$32:$G$41,$A64,$I$32:$I$41),2))</f>
        <v/>
      </c>
      <c r="E64" s="38" t="n"/>
      <c r="F64" s="54">
        <f>IF($A64="","",IF($A64=$F$9,IF($D$46="",0,$D$46),0))</f>
        <v/>
      </c>
      <c r="G64" s="38" t="n"/>
      <c r="H64" s="71">
        <f>IF($A64="","",ROUND($B64+$D64+$F64,2))</f>
        <v/>
      </c>
      <c r="I64" s="38" t="n"/>
      <c r="J64" s="38" t="n"/>
    </row>
    <row r="65" ht="20" customHeight="1">
      <c r="A65" s="31" t="inlineStr">
        <is>
          <t>TOTAL</t>
        </is>
      </c>
      <c r="B65" s="58">
        <f>ROUND(SUM(B53:B64),2)</f>
        <v/>
      </c>
      <c r="C65" s="32" t="n"/>
      <c r="D65" s="58">
        <f>ROUND(SUM(D53:D64),2)</f>
        <v/>
      </c>
      <c r="E65" s="32" t="n"/>
      <c r="F65" s="58">
        <f>ROUND(SUM(F53:F64),2)</f>
        <v/>
      </c>
      <c r="G65" s="32" t="n"/>
      <c r="H65" s="58">
        <f>ROUND(SUM(H53:H64),2)</f>
        <v/>
      </c>
      <c r="I65" s="32" t="n"/>
      <c r="J65" s="32" t="n"/>
    </row>
    <row r="66" ht="8" customHeight="1"/>
    <row r="67" ht="20" customHeight="1">
      <c r="A67" s="8" t="inlineStr">
        <is>
          <t xml:space="preserve">  6 · MATERIAL          custo direto de insumo comprado para este projeto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</row>
    <row r="68" ht="26" customHeight="1">
      <c r="A68" s="19" t="inlineStr">
        <is>
          <t>Item</t>
        </is>
      </c>
      <c r="B68" s="19" t="inlineStr">
        <is>
          <t>%</t>
        </is>
      </c>
      <c r="C68" s="19" t="inlineStr">
        <is>
          <t>Orçado (R$)</t>
        </is>
      </c>
      <c r="D68" s="19" t="inlineStr">
        <is>
          <t>Realizado (R$)</t>
        </is>
      </c>
      <c r="E68" s="19" t="inlineStr">
        <is>
          <t>Desvio (R$)</t>
        </is>
      </c>
      <c r="F68" s="35" t="n"/>
      <c r="G68" s="19" t="inlineStr">
        <is>
          <t>% da venda</t>
        </is>
      </c>
      <c r="H68" s="19" t="inlineStr">
        <is>
          <t>Observação</t>
        </is>
      </c>
      <c r="I68" s="35" t="n"/>
      <c r="J68" s="35" t="n"/>
    </row>
    <row r="69" ht="17" customHeight="1">
      <c r="A69" s="36" t="inlineStr">
        <is>
          <t>MDF / MDP (chapas)</t>
        </is>
      </c>
      <c r="B69" s="37" t="n"/>
      <c r="C69" s="53" t="n">
        <v>14500</v>
      </c>
      <c r="D69" s="53" t="n">
        <v>15980</v>
      </c>
      <c r="E69" s="54">
        <f>IF(OR($C69="",$D69=""),"",ROUND($D69-$C69,2))</f>
        <v/>
      </c>
      <c r="F69" s="38" t="n"/>
      <c r="G69" s="55">
        <f>IF(OR($D69="",$A$13="",$A$13=0),"",$D69/$A$13)</f>
        <v/>
      </c>
      <c r="H69" s="56" t="n"/>
      <c r="I69" s="46" t="n"/>
      <c r="J69" s="46" t="n"/>
    </row>
    <row r="70" ht="17" customHeight="1">
      <c r="A70" s="36" t="inlineStr">
        <is>
          <t>Fita de borda</t>
        </is>
      </c>
      <c r="B70" s="37" t="n"/>
      <c r="C70" s="53" t="n">
        <v>900</v>
      </c>
      <c r="D70" s="53" t="n">
        <v>1120</v>
      </c>
      <c r="E70" s="54">
        <f>IF(OR($C70="",$D70=""),"",ROUND($D70-$C70,2))</f>
        <v/>
      </c>
      <c r="F70" s="38" t="n"/>
      <c r="G70" s="55">
        <f>IF(OR($D70="",$A$13="",$A$13=0),"",$D70/$A$13)</f>
        <v/>
      </c>
      <c r="H70" s="56" t="n"/>
      <c r="I70" s="46" t="n"/>
      <c r="J70" s="46" t="n"/>
    </row>
    <row r="71" ht="17" customHeight="1">
      <c r="A71" s="36" t="inlineStr">
        <is>
          <t>Ferragens e acessórios</t>
        </is>
      </c>
      <c r="B71" s="37" t="n"/>
      <c r="C71" s="53" t="n">
        <v>6800</v>
      </c>
      <c r="D71" s="53" t="n">
        <v>7450</v>
      </c>
      <c r="E71" s="54">
        <f>IF(OR($C71="",$D71=""),"",ROUND($D71-$C71,2))</f>
        <v/>
      </c>
      <c r="F71" s="38" t="n"/>
      <c r="G71" s="55">
        <f>IF(OR($D71="",$A$13="",$A$13=0),"",$D71/$A$13)</f>
        <v/>
      </c>
      <c r="H71" s="56" t="n"/>
      <c r="I71" s="46" t="n"/>
      <c r="J71" s="46" t="n"/>
    </row>
    <row r="72" ht="17" customHeight="1">
      <c r="A72" s="36" t="inlineStr">
        <is>
          <t>Vidros e espelhos</t>
        </is>
      </c>
      <c r="B72" s="37" t="n"/>
      <c r="C72" s="53" t="n">
        <v>2200</v>
      </c>
      <c r="D72" s="53" t="n">
        <v>2200</v>
      </c>
      <c r="E72" s="54">
        <f>IF(OR($C72="",$D72=""),"",ROUND($D72-$C72,2))</f>
        <v/>
      </c>
      <c r="F72" s="38" t="n"/>
      <c r="G72" s="55">
        <f>IF(OR($D72="",$A$13="",$A$13=0),"",$D72/$A$13)</f>
        <v/>
      </c>
      <c r="H72" s="56" t="n"/>
      <c r="I72" s="46" t="n"/>
      <c r="J72" s="46" t="n"/>
    </row>
    <row r="73" ht="17" customHeight="1">
      <c r="A73" s="36" t="inlineStr">
        <is>
          <t>Esquadrias</t>
        </is>
      </c>
      <c r="B73" s="37" t="n"/>
      <c r="C73" s="53" t="n"/>
      <c r="D73" s="53" t="n"/>
      <c r="E73" s="54">
        <f>IF(OR($C73="",$D73=""),"",ROUND($D73-$C73,2))</f>
        <v/>
      </c>
      <c r="F73" s="38" t="n"/>
      <c r="G73" s="55">
        <f>IF(OR($D73="",$A$13="",$A$13=0),"",$D73/$A$13)</f>
        <v/>
      </c>
      <c r="H73" s="56" t="n"/>
      <c r="I73" s="46" t="n"/>
      <c r="J73" s="46" t="n"/>
    </row>
    <row r="74" ht="17" customHeight="1">
      <c r="A74" s="36" t="inlineStr">
        <is>
          <t>Lâmina natural</t>
        </is>
      </c>
      <c r="B74" s="37" t="n"/>
      <c r="C74" s="53" t="n">
        <v>3200</v>
      </c>
      <c r="D74" s="53" t="n">
        <v>3200</v>
      </c>
      <c r="E74" s="54">
        <f>IF(OR($C74="",$D74=""),"",ROUND($D74-$C74,2))</f>
        <v/>
      </c>
      <c r="F74" s="38" t="n"/>
      <c r="G74" s="55">
        <f>IF(OR($D74="",$A$13="",$A$13=0),"",$D74/$A$13)</f>
        <v/>
      </c>
      <c r="H74" s="56" t="n"/>
      <c r="I74" s="46" t="n"/>
      <c r="J74" s="46" t="n"/>
    </row>
    <row r="75" ht="17" customHeight="1">
      <c r="A75" s="36" t="inlineStr">
        <is>
          <t>Consumíveis (parafuso, adesivo, tíner, estopa, lixa)</t>
        </is>
      </c>
      <c r="B75" s="37" t="n"/>
      <c r="C75" s="53" t="n">
        <v>1100</v>
      </c>
      <c r="D75" s="53" t="n">
        <v>1465</v>
      </c>
      <c r="E75" s="54">
        <f>IF(OR($C75="",$D75=""),"",ROUND($D75-$C75,2))</f>
        <v/>
      </c>
      <c r="F75" s="38" t="n"/>
      <c r="G75" s="55">
        <f>IF(OR($D75="",$A$13="",$A$13=0),"",$D75/$A$13)</f>
        <v/>
      </c>
      <c r="H75" s="56" t="n"/>
      <c r="I75" s="46" t="n"/>
      <c r="J75" s="46" t="n"/>
    </row>
    <row r="76" ht="20" customHeight="1">
      <c r="A76" s="31" t="inlineStr">
        <is>
          <t>(=) SUBTOTAL DE MATERIAL</t>
        </is>
      </c>
      <c r="B76" s="32" t="n"/>
      <c r="C76" s="58">
        <f>ROUND(SUM(C69:C75),2)</f>
        <v/>
      </c>
      <c r="D76" s="58">
        <f>ROUND(SUM(D69:D75),2)</f>
        <v/>
      </c>
      <c r="E76" s="58">
        <f>ROUND($D76-$C76,2)</f>
        <v/>
      </c>
      <c r="F76" s="32" t="n"/>
      <c r="G76" s="59">
        <f>IF(OR($A$13="",$A$13=0),"",$D76/$A$13)</f>
        <v/>
      </c>
      <c r="H76" s="32" t="n"/>
      <c r="I76" s="32" t="n"/>
      <c r="J76" s="32" t="n"/>
    </row>
    <row r="77" ht="8" customHeight="1"/>
    <row r="78" ht="20" customHeight="1">
      <c r="A78" s="8" t="inlineStr">
        <is>
          <t xml:space="preserve">  7 · SERVIÇOS TERCEIRIZADOS          o que foi feito fora da fábrica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</row>
    <row r="79" ht="26" customHeight="1">
      <c r="A79" s="19" t="inlineStr">
        <is>
          <t>Item</t>
        </is>
      </c>
      <c r="B79" s="19" t="inlineStr">
        <is>
          <t>%</t>
        </is>
      </c>
      <c r="C79" s="19" t="inlineStr">
        <is>
          <t>Orçado (R$)</t>
        </is>
      </c>
      <c r="D79" s="19" t="inlineStr">
        <is>
          <t>Realizado (R$)</t>
        </is>
      </c>
      <c r="E79" s="19" t="inlineStr">
        <is>
          <t>Desvio (R$)</t>
        </is>
      </c>
      <c r="F79" s="35" t="n"/>
      <c r="G79" s="19" t="inlineStr">
        <is>
          <t>% da venda</t>
        </is>
      </c>
      <c r="H79" s="19" t="inlineStr">
        <is>
          <t>Observação</t>
        </is>
      </c>
      <c r="I79" s="35" t="n"/>
      <c r="J79" s="35" t="n"/>
    </row>
    <row r="80" ht="17" customHeight="1">
      <c r="A80" s="36" t="inlineStr">
        <is>
          <t>Acabamento (pintura / laca)</t>
        </is>
      </c>
      <c r="B80" s="37" t="n"/>
      <c r="C80" s="53" t="n">
        <v>4800</v>
      </c>
      <c r="D80" s="53" t="n">
        <v>5400</v>
      </c>
      <c r="E80" s="54">
        <f>IF(OR($C80="",$D80=""),"",ROUND($D80-$C80,2))</f>
        <v/>
      </c>
      <c r="F80" s="38" t="n"/>
      <c r="G80" s="55">
        <f>IF(OR($D80="",$A$13="",$A$13=0),"",$D80/$A$13)</f>
        <v/>
      </c>
      <c r="H80" s="56" t="n"/>
      <c r="I80" s="46" t="n"/>
      <c r="J80" s="46" t="n"/>
    </row>
    <row r="81" ht="17" customHeight="1">
      <c r="A81" s="36" t="inlineStr">
        <is>
          <t>Serralheria</t>
        </is>
      </c>
      <c r="B81" s="37" t="n"/>
      <c r="C81" s="53" t="n">
        <v>1500</v>
      </c>
      <c r="D81" s="53" t="n">
        <v>1500</v>
      </c>
      <c r="E81" s="54">
        <f>IF(OR($C81="",$D81=""),"",ROUND($D81-$C81,2))</f>
        <v/>
      </c>
      <c r="F81" s="38" t="n"/>
      <c r="G81" s="55">
        <f>IF(OR($D81="",$A$13="",$A$13=0),"",$D81/$A$13)</f>
        <v/>
      </c>
      <c r="H81" s="56" t="n"/>
      <c r="I81" s="46" t="n"/>
      <c r="J81" s="46" t="n"/>
    </row>
    <row r="82" ht="17" customHeight="1">
      <c r="A82" s="36" t="inlineStr">
        <is>
          <t>Vidraceiro</t>
        </is>
      </c>
      <c r="B82" s="37" t="n"/>
      <c r="C82" s="53" t="n">
        <v>900</v>
      </c>
      <c r="D82" s="53" t="n">
        <v>1250</v>
      </c>
      <c r="E82" s="54">
        <f>IF(OR($C82="",$D82=""),"",ROUND($D82-$C82,2))</f>
        <v/>
      </c>
      <c r="F82" s="38" t="n"/>
      <c r="G82" s="55">
        <f>IF(OR($D82="",$A$13="",$A$13=0),"",$D82/$A$13)</f>
        <v/>
      </c>
      <c r="H82" s="56" t="n"/>
      <c r="I82" s="46" t="n"/>
      <c r="J82" s="46" t="n"/>
    </row>
    <row r="83" ht="17" customHeight="1">
      <c r="A83" s="36" t="inlineStr">
        <is>
          <t>Outro terceirizado</t>
        </is>
      </c>
      <c r="B83" s="37" t="n"/>
      <c r="C83" s="53" t="n"/>
      <c r="D83" s="53" t="n"/>
      <c r="E83" s="54">
        <f>IF(OR($C83="",$D83=""),"",ROUND($D83-$C83,2))</f>
        <v/>
      </c>
      <c r="F83" s="38" t="n"/>
      <c r="G83" s="55">
        <f>IF(OR($D83="",$A$13="",$A$13=0),"",$D83/$A$13)</f>
        <v/>
      </c>
      <c r="H83" s="56" t="n"/>
      <c r="I83" s="46" t="n"/>
      <c r="J83" s="46" t="n"/>
    </row>
    <row r="84" ht="20" customHeight="1">
      <c r="A84" s="31" t="inlineStr">
        <is>
          <t>(=) SUBTOTAL DE TERCEIRIZADOS</t>
        </is>
      </c>
      <c r="B84" s="32" t="n"/>
      <c r="C84" s="58">
        <f>ROUND(SUM(C80:C83),2)</f>
        <v/>
      </c>
      <c r="D84" s="58">
        <f>ROUND(SUM(D80:D83),2)</f>
        <v/>
      </c>
      <c r="E84" s="58">
        <f>ROUND($D84-$C84,2)</f>
        <v/>
      </c>
      <c r="F84" s="32" t="n"/>
      <c r="G84" s="59">
        <f>IF(OR($A$13="",$A$13=0),"",$D84/$A$13)</f>
        <v/>
      </c>
      <c r="H84" s="32" t="n"/>
      <c r="I84" s="32" t="n"/>
      <c r="J84" s="32" t="n"/>
    </row>
    <row r="85" ht="8" customHeight="1"/>
    <row r="86" ht="20" customHeight="1">
      <c r="A86" s="8" t="inlineStr">
        <is>
          <t xml:space="preserve">  8 · CUSTOS LOGÍSTICOS          deslocamento de gente, de material e de móvel pronto</t>
        </is>
      </c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</row>
    <row r="87" ht="26" customHeight="1">
      <c r="A87" s="19" t="inlineStr">
        <is>
          <t>Item</t>
        </is>
      </c>
      <c r="B87" s="19" t="inlineStr">
        <is>
          <t>%</t>
        </is>
      </c>
      <c r="C87" s="19" t="inlineStr">
        <is>
          <t>Orçado (R$)</t>
        </is>
      </c>
      <c r="D87" s="19" t="inlineStr">
        <is>
          <t>Realizado (R$)</t>
        </is>
      </c>
      <c r="E87" s="19" t="inlineStr">
        <is>
          <t>Desvio (R$)</t>
        </is>
      </c>
      <c r="F87" s="35" t="n"/>
      <c r="G87" s="19" t="inlineStr">
        <is>
          <t>% da venda</t>
        </is>
      </c>
      <c r="H87" s="19" t="inlineStr">
        <is>
          <t>Observação</t>
        </is>
      </c>
      <c r="I87" s="35" t="n"/>
      <c r="J87" s="35" t="n"/>
    </row>
    <row r="88" ht="17" customHeight="1">
      <c r="A88" s="36" t="inlineStr">
        <is>
          <t>Uber / aplicativo</t>
        </is>
      </c>
      <c r="B88" s="37" t="n"/>
      <c r="C88" s="53" t="n">
        <v>250</v>
      </c>
      <c r="D88" s="53" t="n">
        <v>410</v>
      </c>
      <c r="E88" s="54">
        <f>IF(OR($C88="",$D88=""),"",ROUND($D88-$C88,2))</f>
        <v/>
      </c>
      <c r="F88" s="38" t="n"/>
      <c r="G88" s="55">
        <f>IF(OR($D88="",$A$13="",$A$13=0),"",$D88/$A$13)</f>
        <v/>
      </c>
      <c r="H88" s="56" t="n"/>
      <c r="I88" s="46" t="n"/>
      <c r="J88" s="46" t="n"/>
    </row>
    <row r="89" ht="17" customHeight="1">
      <c r="A89" s="36" t="inlineStr">
        <is>
          <t>Carreto e frete de entrega</t>
        </is>
      </c>
      <c r="B89" s="37" t="n"/>
      <c r="C89" s="53" t="n">
        <v>900</v>
      </c>
      <c r="D89" s="53" t="n">
        <v>1150</v>
      </c>
      <c r="E89" s="54">
        <f>IF(OR($C89="",$D89=""),"",ROUND($D89-$C89,2))</f>
        <v/>
      </c>
      <c r="F89" s="38" t="n"/>
      <c r="G89" s="55">
        <f>IF(OR($D89="",$A$13="",$A$13=0),"",$D89/$A$13)</f>
        <v/>
      </c>
      <c r="H89" s="56" t="n"/>
      <c r="I89" s="46" t="n"/>
      <c r="J89" s="46" t="n"/>
    </row>
    <row r="90" ht="17" customHeight="1">
      <c r="A90" s="36" t="inlineStr">
        <is>
          <t>Logística da equipe (deslocamento)</t>
        </is>
      </c>
      <c r="B90" s="37" t="n"/>
      <c r="C90" s="53" t="n">
        <v>400</v>
      </c>
      <c r="D90" s="53" t="n">
        <v>620</v>
      </c>
      <c r="E90" s="54">
        <f>IF(OR($C90="",$D90=""),"",ROUND($D90-$C90,2))</f>
        <v/>
      </c>
      <c r="F90" s="38" t="n"/>
      <c r="G90" s="55">
        <f>IF(OR($D90="",$A$13="",$A$13=0),"",$D90/$A$13)</f>
        <v/>
      </c>
      <c r="H90" s="56" t="n"/>
      <c r="I90" s="46" t="n"/>
      <c r="J90" s="46" t="n"/>
    </row>
    <row r="91" ht="17" customHeight="1">
      <c r="A91" s="36" t="inlineStr">
        <is>
          <t>Frete de material</t>
        </is>
      </c>
      <c r="B91" s="37" t="n"/>
      <c r="C91" s="53" t="n">
        <v>350</v>
      </c>
      <c r="D91" s="53" t="n">
        <v>350</v>
      </c>
      <c r="E91" s="54">
        <f>IF(OR($C91="",$D91=""),"",ROUND($D91-$C91,2))</f>
        <v/>
      </c>
      <c r="F91" s="38" t="n"/>
      <c r="G91" s="55">
        <f>IF(OR($D91="",$A$13="",$A$13=0),"",$D91/$A$13)</f>
        <v/>
      </c>
      <c r="H91" s="56" t="n"/>
      <c r="I91" s="46" t="n"/>
      <c r="J91" s="46" t="n"/>
    </row>
    <row r="92" ht="17" customHeight="1">
      <c r="A92" s="36" t="inlineStr">
        <is>
          <t>Estacionamento, pedágio e outros</t>
        </is>
      </c>
      <c r="B92" s="37" t="n"/>
      <c r="C92" s="53" t="n">
        <v>100</v>
      </c>
      <c r="D92" s="53" t="n">
        <v>185</v>
      </c>
      <c r="E92" s="54">
        <f>IF(OR($C92="",$D92=""),"",ROUND($D92-$C92,2))</f>
        <v/>
      </c>
      <c r="F92" s="38" t="n"/>
      <c r="G92" s="55">
        <f>IF(OR($D92="",$A$13="",$A$13=0),"",$D92/$A$13)</f>
        <v/>
      </c>
      <c r="H92" s="56" t="n"/>
      <c r="I92" s="46" t="n"/>
      <c r="J92" s="46" t="n"/>
    </row>
    <row r="93" ht="20" customHeight="1">
      <c r="A93" s="31" t="inlineStr">
        <is>
          <t>(=) SUBTOTAL DE LOGÍSTICA</t>
        </is>
      </c>
      <c r="B93" s="32" t="n"/>
      <c r="C93" s="58">
        <f>ROUND(SUM(C88:C92),2)</f>
        <v/>
      </c>
      <c r="D93" s="58">
        <f>ROUND(SUM(D88:D92),2)</f>
        <v/>
      </c>
      <c r="E93" s="58">
        <f>ROUND($D93-$C93,2)</f>
        <v/>
      </c>
      <c r="F93" s="32" t="n"/>
      <c r="G93" s="59">
        <f>IF(OR($A$13="",$A$13=0),"",$D93/$A$13)</f>
        <v/>
      </c>
      <c r="H93" s="32" t="n"/>
      <c r="I93" s="32" t="n"/>
      <c r="J93" s="32" t="n"/>
    </row>
    <row r="94" ht="8" customHeight="1"/>
    <row r="95" ht="20" customHeight="1">
      <c r="A95" s="8" t="inlineStr">
        <is>
          <t xml:space="preserve">  9 · RETRABALHO          o que aconteceu, por que aconteceu e quanto custou — é aqui que o orçamento aprende</t>
        </is>
      </c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</row>
    <row r="96" ht="26" customHeight="1">
      <c r="A96" s="19" t="inlineStr">
        <is>
          <t>O que aconteceu</t>
        </is>
      </c>
      <c r="B96" s="19" t="inlineStr">
        <is>
          <t>Causa</t>
        </is>
      </c>
      <c r="C96" s="35" t="n"/>
      <c r="D96" s="35" t="n"/>
      <c r="E96" s="19" t="inlineStr">
        <is>
          <t>Custo estimado (R$)</t>
        </is>
      </c>
      <c r="F96" s="35" t="n"/>
      <c r="G96" s="19" t="inlineStr">
        <is>
          <t>Providência / responsável</t>
        </is>
      </c>
      <c r="H96" s="35" t="n"/>
      <c r="I96" s="35" t="n"/>
      <c r="J96" s="35" t="n"/>
    </row>
    <row r="97" ht="18" customHeight="1">
      <c r="A97" s="66" t="inlineStr">
        <is>
          <t>Porta da cozinha empenou depois de instalada</t>
        </is>
      </c>
      <c r="B97" s="66" t="inlineStr">
        <is>
          <t>Falha de material</t>
        </is>
      </c>
      <c r="C97" s="46" t="n"/>
      <c r="D97" s="46" t="n"/>
      <c r="E97" s="72" t="n">
        <v>850</v>
      </c>
      <c r="F97" s="46" t="n"/>
      <c r="G97" s="56" t="inlineStr">
        <is>
          <t>Refeita em MDF de outro lote · fornecedor notificado</t>
        </is>
      </c>
      <c r="H97" s="46" t="n"/>
      <c r="I97" s="46" t="n"/>
      <c r="J97" s="46" t="n"/>
    </row>
    <row r="98" ht="18" customHeight="1">
      <c r="A98" s="66" t="inlineStr">
        <is>
          <t>Nicho da suíte 4 cm fora da medida</t>
        </is>
      </c>
      <c r="B98" s="66" t="inlineStr">
        <is>
          <t>Erro de medição</t>
        </is>
      </c>
      <c r="C98" s="46" t="n"/>
      <c r="D98" s="46" t="n"/>
      <c r="E98" s="72" t="n">
        <v>1200</v>
      </c>
      <c r="F98" s="46" t="n"/>
      <c r="G98" s="56" t="inlineStr">
        <is>
          <t>Refeito · medição passa a ser conferida por 2 pessoas</t>
        </is>
      </c>
      <c r="H98" s="46" t="n"/>
      <c r="I98" s="46" t="n"/>
      <c r="J98" s="46" t="n"/>
    </row>
    <row r="99" ht="18" customHeight="1">
      <c r="A99" s="66" t="inlineStr">
        <is>
          <t>Risco no tampo da lavanderia no transporte</t>
        </is>
      </c>
      <c r="B99" s="66" t="inlineStr">
        <is>
          <t>Dano no transporte</t>
        </is>
      </c>
      <c r="C99" s="46" t="n"/>
      <c r="D99" s="46" t="n"/>
      <c r="E99" s="72" t="n">
        <v>320</v>
      </c>
      <c r="F99" s="46" t="n"/>
      <c r="G99" s="56" t="inlineStr">
        <is>
          <t>Polido no local · exigir manta no carreto</t>
        </is>
      </c>
      <c r="H99" s="46" t="n"/>
      <c r="I99" s="46" t="n"/>
      <c r="J99" s="46" t="n"/>
    </row>
    <row r="100" ht="18" customHeight="1">
      <c r="A100" s="66" t="n"/>
      <c r="B100" s="66" t="n"/>
      <c r="C100" s="46" t="n"/>
      <c r="D100" s="46" t="n"/>
      <c r="E100" s="72" t="n"/>
      <c r="F100" s="46" t="n"/>
      <c r="G100" s="56" t="n"/>
      <c r="H100" s="46" t="n"/>
      <c r="I100" s="46" t="n"/>
      <c r="J100" s="46" t="n"/>
    </row>
    <row r="101" ht="18" customHeight="1">
      <c r="A101" s="66" t="n"/>
      <c r="B101" s="66" t="n"/>
      <c r="C101" s="46" t="n"/>
      <c r="D101" s="46" t="n"/>
      <c r="E101" s="72" t="n"/>
      <c r="F101" s="46" t="n"/>
      <c r="G101" s="56" t="n"/>
      <c r="H101" s="46" t="n"/>
      <c r="I101" s="46" t="n"/>
      <c r="J101" s="46" t="n"/>
    </row>
    <row r="102" ht="18" customHeight="1">
      <c r="A102" s="66" t="n"/>
      <c r="B102" s="66" t="n"/>
      <c r="C102" s="46" t="n"/>
      <c r="D102" s="46" t="n"/>
      <c r="E102" s="72" t="n"/>
      <c r="F102" s="46" t="n"/>
      <c r="G102" s="56" t="n"/>
      <c r="H102" s="46" t="n"/>
      <c r="I102" s="46" t="n"/>
      <c r="J102" s="46" t="n"/>
    </row>
    <row r="103" ht="20" customHeight="1">
      <c r="A103" s="31" t="inlineStr">
        <is>
          <t>CONTINGÊNCIA PREVISTA NO ORÇAMENTO  →</t>
        </is>
      </c>
      <c r="B103" s="32" t="n"/>
      <c r="C103" s="73" t="n">
        <v>1500</v>
      </c>
      <c r="D103" s="58">
        <f>ROUND(SUM($E$97:$E$102),2)</f>
        <v/>
      </c>
      <c r="E103" s="58">
        <f>ROUND($D$103-IF($C$103="",0,$C$103),2)</f>
        <v/>
      </c>
      <c r="F103" s="32" t="n"/>
      <c r="G103" s="59">
        <f>IF(OR($A$13="",$A$13=0),"",$D$103/$A$13)</f>
        <v/>
      </c>
      <c r="H103" s="74" t="inlineStr">
        <is>
          <t>orçado = a contingência que você previu · realizado = a soma acima</t>
        </is>
      </c>
      <c r="I103" s="32" t="n"/>
      <c r="J103" s="32" t="n"/>
    </row>
    <row r="104" ht="8" customHeight="1"/>
    <row r="105" ht="20" customHeight="1">
      <c r="A105" s="8" t="inlineStr">
        <is>
          <t xml:space="preserve">  10 · RESUMO E MARGEM DE CONTRIBUIÇÃO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</row>
    <row r="106" ht="26" customHeight="1">
      <c r="A106" s="19" t="inlineStr">
        <is>
          <t>Categoria</t>
        </is>
      </c>
      <c r="B106" s="19" t="inlineStr"/>
      <c r="C106" s="19" t="inlineStr">
        <is>
          <t>Orçado (R$)</t>
        </is>
      </c>
      <c r="D106" s="19" t="inlineStr">
        <is>
          <t>Realizado (R$)</t>
        </is>
      </c>
      <c r="E106" s="19" t="inlineStr">
        <is>
          <t>Desvio (R$)</t>
        </is>
      </c>
      <c r="F106" s="35" t="n"/>
      <c r="G106" s="19" t="inlineStr">
        <is>
          <t>Desvio (%)</t>
        </is>
      </c>
      <c r="H106" s="19" t="inlineStr">
        <is>
          <t>% da venda realizada</t>
        </is>
      </c>
      <c r="I106" s="35" t="n"/>
      <c r="J106" s="35" t="n"/>
    </row>
    <row r="107" ht="18" customHeight="1">
      <c r="A107" s="36" t="inlineStr">
        <is>
          <t>Custos de venda</t>
        </is>
      </c>
      <c r="B107" s="37" t="n"/>
      <c r="C107" s="54">
        <f>IF(C27="","",C27)</f>
        <v/>
      </c>
      <c r="D107" s="54">
        <f>IF(D27="","",D27)</f>
        <v/>
      </c>
      <c r="E107" s="54">
        <f>IF(OR($C107="",$D107=""),"",ROUND($D107-$C107,2))</f>
        <v/>
      </c>
      <c r="F107" s="38" t="n"/>
      <c r="G107" s="75">
        <f>IF(OR($C107="",$C107=0,$D107=""),"",$D107/$C107-1)</f>
        <v/>
      </c>
      <c r="H107" s="76">
        <f>IF(OR($D107="",$A$13="",$A$13=0),"",$D107/$A$13)</f>
        <v/>
      </c>
      <c r="I107" s="38" t="n"/>
      <c r="J107" s="38" t="n"/>
    </row>
    <row r="108" ht="18" customHeight="1">
      <c r="A108" s="36" t="inlineStr">
        <is>
          <t>Comissões operacionais</t>
        </is>
      </c>
      <c r="B108" s="37" t="n"/>
      <c r="C108" s="54">
        <f>IF(C49="","",C49)</f>
        <v/>
      </c>
      <c r="D108" s="54">
        <f>IF(D49="","",D49)</f>
        <v/>
      </c>
      <c r="E108" s="54">
        <f>IF(OR($C108="",$D108=""),"",ROUND($D108-$C108,2))</f>
        <v/>
      </c>
      <c r="F108" s="38" t="n"/>
      <c r="G108" s="75">
        <f>IF(OR($C108="",$C108=0,$D108=""),"",$D108/$C108-1)</f>
        <v/>
      </c>
      <c r="H108" s="76">
        <f>IF(OR($D108="",$A$13="",$A$13=0),"",$D108/$A$13)</f>
        <v/>
      </c>
      <c r="I108" s="38" t="n"/>
      <c r="J108" s="38" t="n"/>
    </row>
    <row r="109" ht="18" customHeight="1">
      <c r="A109" s="36" t="inlineStr">
        <is>
          <t>Material</t>
        </is>
      </c>
      <c r="B109" s="37" t="n"/>
      <c r="C109" s="54">
        <f>IF(C76="","",C76)</f>
        <v/>
      </c>
      <c r="D109" s="54">
        <f>IF(D76="","",D76)</f>
        <v/>
      </c>
      <c r="E109" s="54">
        <f>IF(OR($C109="",$D109=""),"",ROUND($D109-$C109,2))</f>
        <v/>
      </c>
      <c r="F109" s="38" t="n"/>
      <c r="G109" s="75">
        <f>IF(OR($C109="",$C109=0,$D109=""),"",$D109/$C109-1)</f>
        <v/>
      </c>
      <c r="H109" s="76">
        <f>IF(OR($D109="",$A$13="",$A$13=0),"",$D109/$A$13)</f>
        <v/>
      </c>
      <c r="I109" s="38" t="n"/>
      <c r="J109" s="38" t="n"/>
    </row>
    <row r="110" ht="18" customHeight="1">
      <c r="A110" s="36" t="inlineStr">
        <is>
          <t>Serviços terceirizados</t>
        </is>
      </c>
      <c r="B110" s="37" t="n"/>
      <c r="C110" s="54">
        <f>IF(C84="","",C84)</f>
        <v/>
      </c>
      <c r="D110" s="54">
        <f>IF(D84="","",D84)</f>
        <v/>
      </c>
      <c r="E110" s="54">
        <f>IF(OR($C110="",$D110=""),"",ROUND($D110-$C110,2))</f>
        <v/>
      </c>
      <c r="F110" s="38" t="n"/>
      <c r="G110" s="75">
        <f>IF(OR($C110="",$C110=0,$D110=""),"",$D110/$C110-1)</f>
        <v/>
      </c>
      <c r="H110" s="76">
        <f>IF(OR($D110="",$A$13="",$A$13=0),"",$D110/$A$13)</f>
        <v/>
      </c>
      <c r="I110" s="38" t="n"/>
      <c r="J110" s="38" t="n"/>
    </row>
    <row r="111" ht="18" customHeight="1">
      <c r="A111" s="36" t="inlineStr">
        <is>
          <t>Logística</t>
        </is>
      </c>
      <c r="B111" s="37" t="n"/>
      <c r="C111" s="54">
        <f>IF(C93="","",C93)</f>
        <v/>
      </c>
      <c r="D111" s="54">
        <f>IF(D93="","",D93)</f>
        <v/>
      </c>
      <c r="E111" s="54">
        <f>IF(OR($C111="",$D111=""),"",ROUND($D111-$C111,2))</f>
        <v/>
      </c>
      <c r="F111" s="38" t="n"/>
      <c r="G111" s="75">
        <f>IF(OR($C111="",$C111=0,$D111=""),"",$D111/$C111-1)</f>
        <v/>
      </c>
      <c r="H111" s="76">
        <f>IF(OR($D111="",$A$13="",$A$13=0),"",$D111/$A$13)</f>
        <v/>
      </c>
      <c r="I111" s="38" t="n"/>
      <c r="J111" s="38" t="n"/>
    </row>
    <row r="112" ht="18" customHeight="1">
      <c r="A112" s="36" t="inlineStr">
        <is>
          <t>Retrabalho</t>
        </is>
      </c>
      <c r="B112" s="37" t="n"/>
      <c r="C112" s="54">
        <f>IF(C103="","",C103)</f>
        <v/>
      </c>
      <c r="D112" s="54">
        <f>IF(D103="","",D103)</f>
        <v/>
      </c>
      <c r="E112" s="54">
        <f>IF(OR($C112="",$D112=""),"",ROUND($D112-$C112,2))</f>
        <v/>
      </c>
      <c r="F112" s="38" t="n"/>
      <c r="G112" s="75">
        <f>IF(OR($C112="",$C112=0,$D112=""),"",$D112/$C112-1)</f>
        <v/>
      </c>
      <c r="H112" s="76">
        <f>IF(OR($D112="",$A$13="",$A$13=0),"",$D112/$A$13)</f>
        <v/>
      </c>
      <c r="I112" s="38" t="n"/>
      <c r="J112" s="38" t="n"/>
    </row>
    <row r="113" ht="22" customHeight="1">
      <c r="A113" s="31" t="inlineStr">
        <is>
          <t>(=) CUSTO TOTAL DO PROJETO</t>
        </is>
      </c>
      <c r="B113" s="32" t="n"/>
      <c r="C113" s="77">
        <f>ROUND(SUM(C107:C112),2)</f>
        <v/>
      </c>
      <c r="D113" s="77">
        <f>ROUND(SUM(D107:D112),2)</f>
        <v/>
      </c>
      <c r="E113" s="58">
        <f>ROUND($D$113-$C$113,2)</f>
        <v/>
      </c>
      <c r="F113" s="32" t="n"/>
      <c r="G113" s="78">
        <f>IF(OR($C$113="",$C$113=0),"",$D$113/$C$113-1)</f>
        <v/>
      </c>
      <c r="H113" s="59">
        <f>IF(OR($A$13="",$A$13=0),"",$D$113/$A$13)</f>
        <v/>
      </c>
      <c r="I113" s="32" t="n"/>
      <c r="J113" s="32" t="n"/>
    </row>
    <row r="114" ht="28" customHeight="1">
      <c r="A114" s="79" t="inlineStr">
        <is>
          <t>(=) MARGEM DE CONTRIBUIÇÃO</t>
        </is>
      </c>
      <c r="B114" s="61" t="n"/>
      <c r="C114" s="80">
        <f>ROUND($C$17-$C$113,2)</f>
        <v/>
      </c>
      <c r="D114" s="80">
        <f>ROUND($A$13-$D$113,2)</f>
        <v/>
      </c>
      <c r="E114" s="63">
        <f>ROUND($D$114-$C$114,2)</f>
        <v/>
      </c>
      <c r="F114" s="61" t="n"/>
      <c r="G114" s="81">
        <f>IF(OR($C$17="",$C$17=0),"",$C$114/$C$17)</f>
        <v/>
      </c>
      <c r="H114" s="82">
        <f>IF(OR($A$13="",$A$13=0),"",$D$114/$A$13)</f>
        <v/>
      </c>
      <c r="I114" s="61" t="n"/>
      <c r="J114" s="61" t="n"/>
    </row>
    <row r="116" ht="46" customHeight="1">
      <c r="A116" s="43" t="inlineStr">
        <is>
          <t xml:space="preserve">  Como usar: preencha primeiro a coluna ORÇADO com o que o orçamento previu, e vá preenchendo a coluna REALIZADO conforme o projeto anda. O desvio de cada linha é o que mostra onde o orçamento erra. As comissões de coordenação, produção e montagem incidem sobre a RECEITA LÍQUIDA (linha destacada), não sobre o valor de venda. A soma dos ambientes precisa fechar com o valor de venda — a própria tabela avisa quando não fecha.</t>
        </is>
      </c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</row>
  </sheetData>
  <mergeCells count="230">
    <mergeCell ref="D60:E60"/>
    <mergeCell ref="E71:F71"/>
    <mergeCell ref="A107:B107"/>
    <mergeCell ref="H110:J110"/>
    <mergeCell ref="E111:F111"/>
    <mergeCell ref="E23:F23"/>
    <mergeCell ref="H17:J17"/>
    <mergeCell ref="H69:J69"/>
    <mergeCell ref="H9:I9"/>
    <mergeCell ref="E79:F79"/>
    <mergeCell ref="H109:J109"/>
    <mergeCell ref="D6:E6"/>
    <mergeCell ref="E73:F73"/>
    <mergeCell ref="E87:F87"/>
    <mergeCell ref="H84:J84"/>
    <mergeCell ref="H22:J22"/>
    <mergeCell ref="H75:J75"/>
    <mergeCell ref="G96:J96"/>
    <mergeCell ref="B61:C61"/>
    <mergeCell ref="D61:E61"/>
    <mergeCell ref="H111:J111"/>
    <mergeCell ref="A27:B27"/>
    <mergeCell ref="H74:J74"/>
    <mergeCell ref="E99:F99"/>
    <mergeCell ref="D7:E7"/>
    <mergeCell ref="A76:B76"/>
    <mergeCell ref="H92:J92"/>
    <mergeCell ref="E49:F49"/>
    <mergeCell ref="E27:F27"/>
    <mergeCell ref="D62:E62"/>
    <mergeCell ref="D56:E56"/>
    <mergeCell ref="E101:F101"/>
    <mergeCell ref="F56:G56"/>
    <mergeCell ref="A109:B109"/>
    <mergeCell ref="E113:F113"/>
    <mergeCell ref="B55:C55"/>
    <mergeCell ref="E91:F91"/>
    <mergeCell ref="B64:C64"/>
    <mergeCell ref="E100:F100"/>
    <mergeCell ref="D64:E64"/>
    <mergeCell ref="A6:C6"/>
    <mergeCell ref="A3:J3"/>
    <mergeCell ref="A28:B28"/>
    <mergeCell ref="B96:D96"/>
    <mergeCell ref="H58:J58"/>
    <mergeCell ref="E75:F75"/>
    <mergeCell ref="E22:F22"/>
    <mergeCell ref="A95:J95"/>
    <mergeCell ref="I13:J13"/>
    <mergeCell ref="B63:C63"/>
    <mergeCell ref="E93:F93"/>
    <mergeCell ref="A111:B111"/>
    <mergeCell ref="E102:F102"/>
    <mergeCell ref="F57:G57"/>
    <mergeCell ref="H64:J64"/>
    <mergeCell ref="H21:J21"/>
    <mergeCell ref="H73:J73"/>
    <mergeCell ref="E12:F12"/>
    <mergeCell ref="B98:D98"/>
    <mergeCell ref="H60:J60"/>
    <mergeCell ref="F54:G54"/>
    <mergeCell ref="F63:G63"/>
    <mergeCell ref="A103:B103"/>
    <mergeCell ref="A4:J4"/>
    <mergeCell ref="F6:G6"/>
    <mergeCell ref="G100:J100"/>
    <mergeCell ref="E48:F48"/>
    <mergeCell ref="A44:J44"/>
    <mergeCell ref="H16:J16"/>
    <mergeCell ref="G102:J102"/>
    <mergeCell ref="B99:D99"/>
    <mergeCell ref="H57:J57"/>
    <mergeCell ref="A67:J67"/>
    <mergeCell ref="H27:J27"/>
    <mergeCell ref="A15:J15"/>
    <mergeCell ref="B53:C53"/>
    <mergeCell ref="D53:E53"/>
    <mergeCell ref="F62:G62"/>
    <mergeCell ref="E90:F90"/>
    <mergeCell ref="G97:J97"/>
    <mergeCell ref="B100:D100"/>
    <mergeCell ref="E26:F26"/>
    <mergeCell ref="D9:E9"/>
    <mergeCell ref="E110:F110"/>
    <mergeCell ref="F9:G9"/>
    <mergeCell ref="H20:J20"/>
    <mergeCell ref="F61:G61"/>
    <mergeCell ref="H103:J103"/>
    <mergeCell ref="E16:F16"/>
    <mergeCell ref="H112:J112"/>
    <mergeCell ref="E76:F76"/>
    <mergeCell ref="E25:F25"/>
    <mergeCell ref="B102:D102"/>
    <mergeCell ref="A93:B93"/>
    <mergeCell ref="A2:J2"/>
    <mergeCell ref="A86:J86"/>
    <mergeCell ref="A7:C7"/>
    <mergeCell ref="H114:J114"/>
    <mergeCell ref="H59:J59"/>
    <mergeCell ref="F64:G64"/>
    <mergeCell ref="H46:J46"/>
    <mergeCell ref="B54:C54"/>
    <mergeCell ref="H89:J89"/>
    <mergeCell ref="E68:F68"/>
    <mergeCell ref="D63:E63"/>
    <mergeCell ref="A49:B49"/>
    <mergeCell ref="G42:H42"/>
    <mergeCell ref="H52:J52"/>
    <mergeCell ref="H79:J79"/>
    <mergeCell ref="H108:J108"/>
    <mergeCell ref="H61:J61"/>
    <mergeCell ref="H88:J88"/>
    <mergeCell ref="H70:J70"/>
    <mergeCell ref="E83:F83"/>
    <mergeCell ref="B56:C56"/>
    <mergeCell ref="E92:F92"/>
    <mergeCell ref="D65:E65"/>
    <mergeCell ref="H45:J45"/>
    <mergeCell ref="F7:G7"/>
    <mergeCell ref="B58:C58"/>
    <mergeCell ref="G99:J99"/>
    <mergeCell ref="B52:C52"/>
    <mergeCell ref="H81:J81"/>
    <mergeCell ref="E20:F20"/>
    <mergeCell ref="D52:E52"/>
    <mergeCell ref="F53:G53"/>
    <mergeCell ref="H90:J90"/>
    <mergeCell ref="E107:F107"/>
    <mergeCell ref="E103:F103"/>
    <mergeCell ref="A30:J30"/>
    <mergeCell ref="H65:J65"/>
    <mergeCell ref="H47:J47"/>
    <mergeCell ref="B60:C60"/>
    <mergeCell ref="E13:F13"/>
    <mergeCell ref="E69:F69"/>
    <mergeCell ref="E84:F84"/>
    <mergeCell ref="H87:J87"/>
    <mergeCell ref="B57:C57"/>
    <mergeCell ref="F8:G8"/>
    <mergeCell ref="A12:B12"/>
    <mergeCell ref="A51:J51"/>
    <mergeCell ref="C12:D12"/>
    <mergeCell ref="H71:J71"/>
    <mergeCell ref="H24:J24"/>
    <mergeCell ref="E109:F109"/>
    <mergeCell ref="E114:F114"/>
    <mergeCell ref="H76:J76"/>
    <mergeCell ref="E46:F46"/>
    <mergeCell ref="H107:J107"/>
    <mergeCell ref="E108:F108"/>
    <mergeCell ref="A113:B113"/>
    <mergeCell ref="E80:F80"/>
    <mergeCell ref="E89:F89"/>
    <mergeCell ref="G101:J101"/>
    <mergeCell ref="H26:J26"/>
    <mergeCell ref="H82:J82"/>
    <mergeCell ref="H53:J53"/>
    <mergeCell ref="E70:F70"/>
    <mergeCell ref="H63:J63"/>
    <mergeCell ref="D55:E55"/>
    <mergeCell ref="E72:F72"/>
    <mergeCell ref="H55:J55"/>
    <mergeCell ref="E81:F81"/>
    <mergeCell ref="E112:F112"/>
    <mergeCell ref="H113:J113"/>
    <mergeCell ref="D54:E54"/>
    <mergeCell ref="E96:F96"/>
    <mergeCell ref="A116:J116"/>
    <mergeCell ref="H49:J49"/>
    <mergeCell ref="B62:C62"/>
    <mergeCell ref="E24:F24"/>
    <mergeCell ref="B59:C59"/>
    <mergeCell ref="B101:D101"/>
    <mergeCell ref="E106:F106"/>
    <mergeCell ref="F65:G65"/>
    <mergeCell ref="E98:F98"/>
    <mergeCell ref="A110:B110"/>
    <mergeCell ref="E17:F17"/>
    <mergeCell ref="E88:F88"/>
    <mergeCell ref="A19:J19"/>
    <mergeCell ref="E82:F82"/>
    <mergeCell ref="F59:G59"/>
    <mergeCell ref="F55:G55"/>
    <mergeCell ref="H6:I6"/>
    <mergeCell ref="H72:J72"/>
    <mergeCell ref="H28:J28"/>
    <mergeCell ref="D57:E57"/>
    <mergeCell ref="A8:C8"/>
    <mergeCell ref="H80:J80"/>
    <mergeCell ref="A108:B108"/>
    <mergeCell ref="E28:F28"/>
    <mergeCell ref="A84:B84"/>
    <mergeCell ref="H83:J83"/>
    <mergeCell ref="H48:J48"/>
    <mergeCell ref="E74:F74"/>
    <mergeCell ref="G98:J98"/>
    <mergeCell ref="A11:J11"/>
    <mergeCell ref="A1:J1"/>
    <mergeCell ref="I12:J12"/>
    <mergeCell ref="H62:J62"/>
    <mergeCell ref="H7:I7"/>
    <mergeCell ref="H23:J23"/>
    <mergeCell ref="A78:J78"/>
    <mergeCell ref="H106:J106"/>
    <mergeCell ref="A9:C9"/>
    <mergeCell ref="E45:F45"/>
    <mergeCell ref="B97:D97"/>
    <mergeCell ref="D58:E58"/>
    <mergeCell ref="A114:B114"/>
    <mergeCell ref="F58:G58"/>
    <mergeCell ref="H91:J91"/>
    <mergeCell ref="B65:C65"/>
    <mergeCell ref="F52:G52"/>
    <mergeCell ref="D8:E8"/>
    <mergeCell ref="H54:J54"/>
    <mergeCell ref="D42:E42"/>
    <mergeCell ref="A112:B112"/>
    <mergeCell ref="F60:G60"/>
    <mergeCell ref="H93:J93"/>
    <mergeCell ref="A105:J105"/>
    <mergeCell ref="A13:B13"/>
    <mergeCell ref="E97:F97"/>
    <mergeCell ref="C13:D13"/>
    <mergeCell ref="H8:I8"/>
    <mergeCell ref="H56:J56"/>
    <mergeCell ref="H68:J68"/>
    <mergeCell ref="H25:J25"/>
    <mergeCell ref="D59:E59"/>
    <mergeCell ref="E47:F47"/>
    <mergeCell ref="E21:F21"/>
  </mergeCells>
  <conditionalFormatting sqref="E107:F113">
    <cfRule type="expression" priority="1" dxfId="4">
      <formula>AND($E107&lt;&gt;"",$E107&gt;0)</formula>
    </cfRule>
    <cfRule type="expression" priority="2" dxfId="5">
      <formula>AND($E107&lt;&gt;"",$E107&lt;0)</formula>
    </cfRule>
  </conditionalFormatting>
  <conditionalFormatting sqref="E27:F27">
    <cfRule type="expression" priority="3" dxfId="4">
      <formula>AND($E27&lt;&gt;"",$E27&gt;0)</formula>
    </cfRule>
    <cfRule type="expression" priority="4" dxfId="5">
      <formula>AND($E27&lt;&gt;"",$E27&lt;0)</formula>
    </cfRule>
  </conditionalFormatting>
  <conditionalFormatting sqref="J9">
    <cfRule type="expression" priority="5" dxfId="0" stopIfTrue="1">
      <formula>$J$9="No prazo"</formula>
    </cfRule>
    <cfRule type="expression" priority="6" dxfId="2">
      <formula>$J$9="Atrasado"</formula>
    </cfRule>
  </conditionalFormatting>
  <conditionalFormatting sqref="A13:J13">
    <cfRule type="expression" priority="7" dxfId="6">
      <formula>AND($G$13&lt;&gt;"",$G$13&lt;0.25)</formula>
    </cfRule>
  </conditionalFormatting>
  <dataValidations count="6">
    <dataValidation sqref="D32:D41" showDropDown="0" showInputMessage="0" showErrorMessage="0" allowBlank="1" type="list">
      <formula1>=Listas!$A$2:$A$13</formula1>
    </dataValidation>
    <dataValidation sqref="G32:G41" showDropDown="0" showInputMessage="0" showErrorMessage="0" allowBlank="1" type="list">
      <formula1>=Listas!$A$2:$A$13</formula1>
    </dataValidation>
    <dataValidation sqref="A53:A64" showDropDown="0" showInputMessage="0" showErrorMessage="0" allowBlank="1" type="list">
      <formula1>=Listas!$A$2:$A$13</formula1>
    </dataValidation>
    <dataValidation sqref="B97:B102" showDropDown="0" showInputMessage="0" showErrorMessage="0" allowBlank="1" type="list">
      <formula1>=Listas!$C$2:$C$10</formula1>
    </dataValidation>
    <dataValidation sqref="D7:E7" showDropDown="0" showInputMessage="0" showErrorMessage="0" allowBlank="1" type="list">
      <formula1>=Listas!$B$2:$B$6</formula1>
    </dataValidation>
    <dataValidation sqref="F9:G9" showDropDown="0" showInputMessage="0" showErrorMessage="0" allowBlank="1" type="list">
      <formula1>=Listas!$A$2:$A$13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84" customWidth="1" min="5" max="5"/>
  </cols>
  <sheetData>
    <row r="1">
      <c r="A1" s="83" t="inlineStr">
        <is>
          <t>Equipe</t>
        </is>
      </c>
      <c r="B1" s="83" t="inlineStr">
        <is>
          <t>Vendedor</t>
        </is>
      </c>
      <c r="C1" s="83" t="inlineStr">
        <is>
          <t>Causa do retrabalho</t>
        </is>
      </c>
      <c r="E1" s="83" t="inlineStr">
        <is>
          <t>Para que servem</t>
        </is>
      </c>
    </row>
    <row r="2" ht="30" customHeight="1">
      <c r="A2" s="84" t="inlineStr">
        <is>
          <t>Deivson</t>
        </is>
      </c>
      <c r="B2" s="84" t="inlineStr">
        <is>
          <t>Jonathan</t>
        </is>
      </c>
      <c r="C2" s="84" t="inlineStr">
        <is>
          <t>Erro de projeto</t>
        </is>
      </c>
      <c r="E2" s="85" t="inlineStr">
        <is>
          <t>Coluna A — alimenta os menus de produção, montagem, coordenação e a tabela de comissões por colaborador.</t>
        </is>
      </c>
    </row>
    <row r="3" ht="30" customHeight="1">
      <c r="A3" s="84" t="inlineStr">
        <is>
          <t>Samuel</t>
        </is>
      </c>
      <c r="B3" s="84" t="inlineStr">
        <is>
          <t>Vitor</t>
        </is>
      </c>
      <c r="C3" s="84" t="inlineStr">
        <is>
          <t>Erro de medição</t>
        </is>
      </c>
      <c r="E3" s="85" t="inlineStr">
        <is>
          <t>Se você acrescentar alguém, inclua também na tabela "Comissões por colaborador" da ficha, senão a pessoa não aparece no consolidado.</t>
        </is>
      </c>
    </row>
    <row r="4" ht="30" customHeight="1">
      <c r="A4" s="84" t="inlineStr">
        <is>
          <t>Cezar</t>
        </is>
      </c>
      <c r="B4" s="84" t="inlineStr">
        <is>
          <t>Indicação</t>
        </is>
      </c>
      <c r="C4" s="84" t="inlineStr">
        <is>
          <t>Erro de produção</t>
        </is>
      </c>
      <c r="E4" s="85" t="inlineStr">
        <is>
          <t>Coluna C — causas do retrabalho. É a lista mais estratégica da planilha: ela é que vai dizer se o problema está no projeto, na medição, na produção ou no fornecedor.</t>
        </is>
      </c>
    </row>
    <row r="5">
      <c r="A5" s="84" t="inlineStr">
        <is>
          <t>Jackson</t>
        </is>
      </c>
      <c r="B5" s="84" t="inlineStr">
        <is>
          <t>Arquiteto parceiro</t>
        </is>
      </c>
      <c r="C5" s="84" t="inlineStr">
        <is>
          <t>Erro de montagem</t>
        </is>
      </c>
    </row>
    <row r="6">
      <c r="A6" s="84" t="inlineStr">
        <is>
          <t>Filipe</t>
        </is>
      </c>
      <c r="B6" s="84" t="inlineStr">
        <is>
          <t>Outro</t>
        </is>
      </c>
      <c r="C6" s="84" t="inlineStr">
        <is>
          <t>Falha de material</t>
        </is>
      </c>
    </row>
    <row r="7">
      <c r="A7" s="84" t="inlineStr">
        <is>
          <t>Joelson</t>
        </is>
      </c>
      <c r="C7" s="84" t="inlineStr">
        <is>
          <t>Dano no transporte</t>
        </is>
      </c>
    </row>
    <row r="8">
      <c r="A8" s="84" t="inlineStr">
        <is>
          <t>Jomar</t>
        </is>
      </c>
      <c r="C8" s="84" t="inlineStr">
        <is>
          <t>Mudança pedida pelo cliente</t>
        </is>
      </c>
    </row>
    <row r="9">
      <c r="A9" s="84" t="inlineStr">
        <is>
          <t>Jonathan Godoy</t>
        </is>
      </c>
      <c r="C9" s="84" t="inlineStr">
        <is>
          <t>Falha de fornecedor</t>
        </is>
      </c>
    </row>
    <row r="10">
      <c r="A10" s="84" t="inlineStr">
        <is>
          <t>Bruna</t>
        </is>
      </c>
      <c r="C10" s="84" t="inlineStr">
        <is>
          <t>Outro</t>
        </is>
      </c>
    </row>
    <row r="11">
      <c r="A11" s="84" t="inlineStr">
        <is>
          <t>Hugo</t>
        </is>
      </c>
    </row>
    <row r="12">
      <c r="A12" s="84" t="inlineStr">
        <is>
          <t>Karla</t>
        </is>
      </c>
    </row>
    <row r="13">
      <c r="A13" s="84" t="inlineStr">
        <is>
          <t>Terceiro / avulso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2026-08-18T21:49:49Z</dcterms:created>
  <dcterms:modified xsi:type="dcterms:W3CDTF">2026-08-18T21:49:49Z</dcterms:modified>
</cp:coreProperties>
</file>