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Painel Geral" sheetId="2" state="visible" r:id="rId2"/>
    <sheet name="Ficha Modelo" sheetId="3" state="visible" r:id="rId3"/>
    <sheet name="Ana Carolina " sheetId="4" state="visible" r:id="rId4"/>
    <sheet name="Andrea " sheetId="5" state="visible" r:id="rId5"/>
    <sheet name="Cristiane Chrys Andrade" sheetId="6" state="visible" r:id="rId6"/>
    <sheet name="EPE Formas " sheetId="7" state="visible" r:id="rId7"/>
    <sheet name="Flavia " sheetId="8" state="visible" r:id="rId8"/>
    <sheet name="Jairo" sheetId="9" state="visible" r:id="rId9"/>
    <sheet name="Graciene " sheetId="10" state="visible" r:id="rId10"/>
    <sheet name="Larissa " sheetId="11" state="visible" r:id="rId11"/>
    <sheet name="Leonardo " sheetId="12" state="visible" r:id="rId12"/>
    <sheet name="Luiz " sheetId="13" state="visible" r:id="rId13"/>
    <sheet name="Carla Dresller" sheetId="14" state="visible" r:id="rId14"/>
    <sheet name="Maria " sheetId="15" state="visible" r:id="rId15"/>
    <sheet name="Nadia " sheetId="16" state="visible" r:id="rId16"/>
    <sheet name="Richard" sheetId="17" state="visible" r:id="rId17"/>
    <sheet name="Shelf" sheetId="18" state="visible" r:id="rId18"/>
    <sheet name="Simony" sheetId="19" state="visible" r:id="rId19"/>
    <sheet name="Exemplo P-2026-041" sheetId="20" state="visible" r:id="rId20"/>
    <sheet name="Base · Comissões" sheetId="21" state="visible" r:id="rId21"/>
    <sheet name="Listas" sheetId="22" state="visible" r:id="rId22"/>
  </sheets>
  <definedNames>
    <definedName name="CATEGORIA_COMPRA">Listas!$D$2:$D$17</definedName>
    <definedName name="FORMA_PAGAMENTO">Listas!$E$2:$E$9</definedName>
    <definedName name="STATUS_COMPRA">Listas!$F$2:$F$4</definedName>
    <definedName name="EQUIPE_COMISSAO">Listas!$A$2:$A$13</definedName>
    <definedName name="VENDEDOR">Listas!$B$2:$B$6</definedName>
    <definedName name="CAUSA_RETRABALHO">Listas!$C$2:$C$10</definedName>
    <definedName name="PROJETISTA">Listas!$H$2:$H$4</definedName>
    <definedName name="_xlnm.Print_Area" localSheetId="0">'Instruções'!$A$1:$F$67</definedName>
    <definedName name="_xlnm.Print_Area" localSheetId="1">'Painel Geral'!$A$1:$R$68</definedName>
    <definedName name="_xlnm.Print_Area" localSheetId="2">'Ficha Modelo'!$A$1:$O$196</definedName>
    <definedName name="_xlnm.Print_Area" localSheetId="3">'Ana Carolina '!$A$1:$O$196</definedName>
    <definedName name="_xlnm.Print_Area" localSheetId="4">'Andrea '!$A$1:$O$196</definedName>
    <definedName name="_xlnm.Print_Area" localSheetId="5">'Cristiane Chrys Andrade'!$A$1:$O$196</definedName>
    <definedName name="_xlnm.Print_Area" localSheetId="6">'EPE Formas '!$A$1:$O$196</definedName>
    <definedName name="_xlnm.Print_Area" localSheetId="7">'Flavia '!$A$1:$O$196</definedName>
    <definedName name="_xlnm.Print_Area" localSheetId="8">'Jairo'!$A$1:$O$196</definedName>
    <definedName name="_xlnm.Print_Area" localSheetId="9">'Graciene '!$A$1:$O$196</definedName>
    <definedName name="_xlnm.Print_Area" localSheetId="10">'Larissa '!$A$1:$O$196</definedName>
    <definedName name="_xlnm.Print_Area" localSheetId="11">'Leonardo '!$A$1:$O$196</definedName>
    <definedName name="_xlnm.Print_Area" localSheetId="12">'Luiz '!$A$1:$O$196</definedName>
    <definedName name="_xlnm.Print_Area" localSheetId="13">'Carla Dresller'!$A$1:$O$196</definedName>
    <definedName name="_xlnm.Print_Area" localSheetId="14">'Maria '!$A$1:$O$196</definedName>
    <definedName name="_xlnm.Print_Area" localSheetId="15">'Nadia '!$A$1:$O$196</definedName>
    <definedName name="_xlnm.Print_Area" localSheetId="16">'Richard'!$A$1:$O$196</definedName>
    <definedName name="_xlnm.Print_Area" localSheetId="17">'Shelf'!$A$1:$O$196</definedName>
    <definedName name="_xlnm.Print_Area" localSheetId="18">'Simony'!$A$1:$O$196</definedName>
    <definedName name="_xlnm.Print_Area" localSheetId="19">'Exemplo P-2026-041'!$A$1:$O$196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DD/MM/YYYY"/>
    <numFmt numFmtId="165" formatCode="0 &quot;dias&quot;"/>
    <numFmt numFmtId="166" formatCode="R$ #,##0"/>
    <numFmt numFmtId="167" formatCode="0.0%"/>
    <numFmt numFmtId="168" formatCode="R$ #,##0.00"/>
    <numFmt numFmtId="169" formatCode="+0%;-0%;0%"/>
    <numFmt numFmtId="170" formatCode="&quot;ainda a comprar  &quot;R$ #,##0"/>
    <numFmt numFmtId="171" formatCode="+0.0;-0.0;0.0"/>
    <numFmt numFmtId="172" formatCode="+0.0%;-0.0%;0.0%"/>
  </numFmts>
  <fonts count="5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9FB0C4"/>
      <sz val="8"/>
    </font>
    <font>
      <name val="Arial"/>
      <b val="1"/>
      <color rgb="00FFFFFF"/>
      <sz val="15"/>
    </font>
    <font>
      <name val="Arial"/>
      <i val="1"/>
      <color rgb="007A5B17"/>
      <sz val="8.5"/>
    </font>
    <font>
      <name val="Arial"/>
      <b val="1"/>
      <color rgb="006C7785"/>
      <sz val="7.5"/>
    </font>
    <font>
      <name val="Arial"/>
      <b val="1"/>
      <color rgb="0016314F"/>
      <sz val="10"/>
    </font>
    <font>
      <name val="Arial"/>
      <b val="1"/>
      <color rgb="006C7785"/>
      <sz val="8"/>
    </font>
    <font>
      <name val="Arial"/>
      <b val="1"/>
      <color rgb="000E2038"/>
      <sz val="11"/>
    </font>
    <font>
      <name val="Arial"/>
      <i val="1"/>
      <color rgb="006C7785"/>
      <sz val="8"/>
    </font>
    <font>
      <name val="Arial"/>
      <b val="1"/>
      <color rgb="000E2038"/>
      <sz val="9"/>
    </font>
    <font>
      <name val="Arial"/>
      <b val="1"/>
      <color rgb="000E2038"/>
      <sz val="13"/>
    </font>
    <font>
      <name val="Arial"/>
      <b val="1"/>
      <color rgb="00FFFFFF"/>
      <sz val="8.5"/>
    </font>
    <font>
      <name val="Arial"/>
      <color rgb="001B2733"/>
      <sz val="9.5"/>
    </font>
    <font>
      <name val="Arial"/>
      <color rgb="0016314F"/>
      <sz val="9.5"/>
    </font>
    <font>
      <name val="Arial"/>
      <b val="1"/>
      <color rgb="0016314F"/>
      <sz val="9.5"/>
    </font>
    <font>
      <name val="Arial"/>
      <color rgb="006C7785"/>
      <sz val="9.5"/>
    </font>
    <font>
      <name val="Arial"/>
      <b val="1"/>
      <color rgb="00FFFFFF"/>
      <sz val="10"/>
    </font>
    <font>
      <name val="Arial"/>
      <b val="1"/>
      <color rgb="00D8BD80"/>
      <sz val="11"/>
    </font>
    <font>
      <name val="Arial"/>
      <b val="1"/>
      <color rgb="00D8BD80"/>
      <sz val="10"/>
    </font>
    <font>
      <name val="Arial"/>
      <b val="1"/>
      <color rgb="00D8BD80"/>
      <sz val="9.5"/>
    </font>
    <font>
      <name val="Arial"/>
      <b val="1"/>
      <color rgb="00FFFFFF"/>
      <sz val="11.5"/>
    </font>
    <font>
      <name val="Arial"/>
      <b val="1"/>
      <color rgb="00D8BD80"/>
      <sz val="12"/>
    </font>
    <font>
      <name val="Arial"/>
      <b val="1"/>
      <color rgb="007A5B17"/>
      <sz val="9.5"/>
    </font>
    <font>
      <name val="Arial"/>
      <b val="1"/>
      <color rgb="007A5B17"/>
      <sz val="10"/>
    </font>
    <font>
      <name val="Arial"/>
      <color rgb="006C7785"/>
      <sz val="9"/>
    </font>
    <font>
      <name val="Arial"/>
      <color rgb="001B2733"/>
      <sz val="8.5"/>
    </font>
    <font>
      <name val="Arial"/>
      <b val="1"/>
      <color rgb="000E2038"/>
      <sz val="9.5"/>
    </font>
    <font>
      <name val="Arial"/>
      <b val="1"/>
      <color rgb="00D8BD80"/>
      <sz val="9"/>
    </font>
    <font>
      <name val="Arial"/>
      <b val="1"/>
      <color rgb="00FFFFFF"/>
      <sz val="11"/>
    </font>
    <font>
      <name val="Arial"/>
      <b val="1"/>
      <color rgb="00D8BD80"/>
      <sz val="11.5"/>
    </font>
    <font>
      <name val="Arial"/>
      <i val="1"/>
      <color rgb="00D8BD80"/>
      <sz val="8.5"/>
    </font>
    <font>
      <name val="Arial"/>
      <color rgb="001B2733"/>
      <sz val="9"/>
    </font>
    <font>
      <name val="Arial"/>
      <b val="1"/>
      <color rgb="00D8BD80"/>
      <sz val="8.5"/>
    </font>
    <font>
      <name val="Arial"/>
      <b val="1"/>
      <color rgb="000E2038"/>
      <sz val="10"/>
    </font>
    <font>
      <name val="Arial"/>
      <color rgb="00B57A16"/>
      <sz val="9.5"/>
    </font>
    <font>
      <name val="Arial"/>
      <color rgb="002F5D8C"/>
      <sz val="9.5"/>
    </font>
    <font>
      <name val="Arial"/>
      <b val="1"/>
      <color rgb="00B0413F"/>
      <sz val="9.5"/>
    </font>
    <font>
      <name val="Arial"/>
      <b val="1"/>
      <color rgb="0016314F"/>
      <sz val="9"/>
    </font>
    <font>
      <name val="Arial"/>
      <color rgb="0041505D"/>
      <sz val="8.5"/>
    </font>
    <font>
      <name val="Arial"/>
      <b val="1"/>
      <color rgb="000E2038"/>
      <sz val="14"/>
    </font>
    <font>
      <name val="Arial"/>
      <color rgb="006C7785"/>
      <sz val="8.5"/>
    </font>
    <font>
      <name val="Arial"/>
      <b val="1"/>
      <color rgb="0016314F"/>
      <sz val="8.5"/>
    </font>
    <font>
      <name val="Arial"/>
      <color rgb="006C7785"/>
      <sz val="8"/>
    </font>
    <font>
      <name val="Arial"/>
      <color rgb="002A3744"/>
      <sz val="9.5"/>
    </font>
    <font>
      <name val="Arial"/>
      <b val="1"/>
      <color rgb="00FFFFFF"/>
      <sz val="9"/>
    </font>
    <font>
      <name val="Arial"/>
      <color rgb="001B2733"/>
      <sz val="10"/>
    </font>
    <font>
      <name val="Arial"/>
      <color rgb="0041505D"/>
      <sz val="9"/>
    </font>
    <font>
      <name val="Arial"/>
      <color rgb="002A3744"/>
      <sz val="10"/>
    </font>
    <font>
      <name val="Arial"/>
      <b val="1"/>
      <color rgb="007A5B17"/>
      <sz val="9"/>
    </font>
  </fonts>
  <fills count="8">
    <fill>
      <patternFill/>
    </fill>
    <fill>
      <patternFill patternType="gray125"/>
    </fill>
    <fill>
      <patternFill patternType="solid">
        <fgColor rgb="000E2038"/>
      </patternFill>
    </fill>
    <fill>
      <patternFill patternType="solid">
        <fgColor rgb="0016314F"/>
      </patternFill>
    </fill>
    <fill>
      <patternFill patternType="solid">
        <fgColor rgb="00F6EDD6"/>
      </patternFill>
    </fill>
    <fill>
      <patternFill patternType="solid">
        <fgColor rgb="00FFFFFF"/>
      </patternFill>
    </fill>
    <fill>
      <patternFill patternType="solid">
        <fgColor rgb="00FFF9E3"/>
      </patternFill>
    </fill>
    <fill>
      <patternFill patternType="solid">
        <fgColor rgb="00F4F6F8"/>
      </patternFill>
    </fill>
  </fills>
  <borders count="6">
    <border>
      <left/>
      <right/>
      <top/>
      <bottom/>
      <diagonal/>
    </border>
    <border>
      <left style="thin">
        <color rgb="00E8E3D8"/>
      </left>
      <right style="thin">
        <color rgb="00E8E3D8"/>
      </right>
      <bottom style="thin">
        <color rgb="00E8E3D8"/>
      </bottom>
    </border>
    <border>
      <bottom style="medium">
        <color rgb="00C2A05A"/>
      </bottom>
    </border>
    <border>
      <left style="thin">
        <color rgb="0016314F"/>
      </left>
      <right style="thin">
        <color rgb="0016314F"/>
      </right>
      <bottom style="medium">
        <color rgb="00C2A05A"/>
      </bottom>
    </border>
    <border>
      <bottom style="thin">
        <color rgb="00E8E3D8"/>
      </bottom>
    </border>
    <border>
      <bottom style="thin">
        <color rgb="00DFDACD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10" fillId="4" borderId="2" applyAlignment="1" pivotButton="0" quotePrefix="0" xfId="0">
      <alignment horizontal="left" vertical="center"/>
    </xf>
    <xf numFmtId="0" fontId="0" fillId="4" borderId="2" pivotButton="0" quotePrefix="0" xfId="0"/>
    <xf numFmtId="0" fontId="48" fillId="0" borderId="0" applyAlignment="1" pivotButton="0" quotePrefix="0" xfId="0">
      <alignment horizontal="left" vertical="center" wrapText="1"/>
    </xf>
    <xf numFmtId="0" fontId="49" fillId="4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center" vertical="center"/>
    </xf>
    <xf numFmtId="0" fontId="0" fillId="5" borderId="0" pivotButton="0" quotePrefix="0" xfId="0"/>
    <xf numFmtId="1" fontId="40" fillId="4" borderId="1" applyAlignment="1" pivotButton="0" quotePrefix="0" xfId="0">
      <alignment horizontal="center" vertical="center"/>
    </xf>
    <xf numFmtId="0" fontId="0" fillId="4" borderId="1" pivotButton="0" quotePrefix="0" xfId="0"/>
    <xf numFmtId="166" fontId="40" fillId="4" borderId="1" applyAlignment="1" pivotButton="0" quotePrefix="0" xfId="0">
      <alignment horizontal="center" vertical="center"/>
    </xf>
    <xf numFmtId="167" fontId="40" fillId="4" borderId="1" applyAlignment="1" pivotButton="0" quotePrefix="0" xfId="0">
      <alignment horizontal="center" vertical="center"/>
    </xf>
    <xf numFmtId="9" fontId="40" fillId="4" borderId="1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 wrapText="1"/>
    </xf>
    <xf numFmtId="0" fontId="41" fillId="7" borderId="1" applyAlignment="1" pivotButton="0" quotePrefix="0" xfId="0">
      <alignment horizontal="center" vertical="center"/>
    </xf>
    <xf numFmtId="0" fontId="27" fillId="6" borderId="1" applyAlignment="1" pivotButton="0" quotePrefix="0" xfId="0">
      <alignment horizontal="left" vertical="center" indent="1"/>
    </xf>
    <xf numFmtId="0" fontId="14" fillId="7" borderId="1" applyAlignment="1" pivotButton="0" quotePrefix="0" xfId="0">
      <alignment horizontal="left" vertical="center" indent="1"/>
    </xf>
    <xf numFmtId="164" fontId="14" fillId="7" borderId="1" applyAlignment="1" pivotButton="0" quotePrefix="0" xfId="0">
      <alignment horizontal="center" vertical="center"/>
    </xf>
    <xf numFmtId="1" fontId="14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166" fontId="14" fillId="7" borderId="1" applyAlignment="1" pivotButton="0" quotePrefix="0" xfId="0">
      <alignment horizontal="right" vertical="center" indent="1"/>
    </xf>
    <xf numFmtId="167" fontId="14" fillId="7" borderId="1" applyAlignment="1" pivotButton="0" quotePrefix="0" xfId="0">
      <alignment horizontal="center" vertical="center"/>
    </xf>
    <xf numFmtId="171" fontId="15" fillId="7" borderId="1" applyAlignment="1" pivotButton="0" quotePrefix="0" xfId="0">
      <alignment horizontal="center" vertical="center"/>
    </xf>
    <xf numFmtId="0" fontId="42" fillId="7" borderId="1" applyAlignment="1" pivotButton="0" quotePrefix="0" xfId="0">
      <alignment horizontal="center" vertical="center"/>
    </xf>
    <xf numFmtId="168" fontId="43" fillId="0" borderId="0" pivotButton="0" quotePrefix="0" xfId="0"/>
    <xf numFmtId="0" fontId="17" fillId="3" borderId="1" applyAlignment="1" pivotButton="0" quotePrefix="0" xfId="0">
      <alignment horizontal="right" vertical="center" indent="1"/>
    </xf>
    <xf numFmtId="0" fontId="0" fillId="3" borderId="1" pivotButton="0" quotePrefix="0" xfId="0"/>
    <xf numFmtId="166" fontId="19" fillId="3" borderId="1" applyAlignment="1" pivotButton="0" quotePrefix="0" xfId="0">
      <alignment horizontal="right" vertical="center" indent="1"/>
    </xf>
    <xf numFmtId="167" fontId="19" fillId="3" borderId="1" applyAlignment="1" pivotButton="0" quotePrefix="0" xfId="0">
      <alignment horizontal="center" vertical="center"/>
    </xf>
    <xf numFmtId="0" fontId="0" fillId="3" borderId="3" pivotButton="0" quotePrefix="0" xfId="0"/>
    <xf numFmtId="0" fontId="13" fillId="5" borderId="1" applyAlignment="1" pivotButton="0" quotePrefix="0" xfId="0">
      <alignment horizontal="left" vertical="center" indent="1"/>
    </xf>
    <xf numFmtId="0" fontId="0" fillId="5" borderId="1" pivotButton="0" quotePrefix="0" xfId="0"/>
    <xf numFmtId="0" fontId="0" fillId="7" borderId="1" pivotButton="0" quotePrefix="0" xfId="0"/>
    <xf numFmtId="166" fontId="15" fillId="7" borderId="1" applyAlignment="1" pivotButton="0" quotePrefix="0" xfId="0">
      <alignment horizontal="right" vertical="center" indent="1"/>
    </xf>
    <xf numFmtId="172" fontId="6" fillId="7" borderId="1" applyAlignment="1" pivotButton="0" quotePrefix="0" xfId="0">
      <alignment horizontal="center" vertical="center"/>
    </xf>
    <xf numFmtId="0" fontId="26" fillId="7" borderId="1" applyAlignment="1" pivotButton="0" quotePrefix="0" xfId="0">
      <alignment horizontal="left" vertical="center" indent="1"/>
    </xf>
    <xf numFmtId="0" fontId="44" fillId="5" borderId="0" applyAlignment="1" pivotButton="0" quotePrefix="0" xfId="0">
      <alignment horizontal="left" vertical="center" wrapText="1" indent="1"/>
    </xf>
    <xf numFmtId="0" fontId="39" fillId="4" borderId="1" applyAlignment="1" pivotButton="0" quotePrefix="0" xfId="0">
      <alignment horizontal="left" vertical="center" wrapText="1" indent="1"/>
    </xf>
    <xf numFmtId="0" fontId="5" fillId="5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0" fontId="0" fillId="6" borderId="1" pivotButton="0" quotePrefix="0" xfId="0"/>
    <xf numFmtId="164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 indent="1"/>
    </xf>
    <xf numFmtId="0" fontId="8" fillId="6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indent="1"/>
    </xf>
    <xf numFmtId="166" fontId="11" fillId="4" borderId="1" applyAlignment="1" pivotButton="0" quotePrefix="0" xfId="0">
      <alignment horizontal="center" vertical="center"/>
    </xf>
    <xf numFmtId="167" fontId="11" fillId="4" borderId="1" applyAlignment="1" pivotButton="0" quotePrefix="0" xfId="0">
      <alignment horizontal="center" vertical="center"/>
    </xf>
    <xf numFmtId="168" fontId="14" fillId="7" borderId="1" applyAlignment="1" pivotButton="0" quotePrefix="0" xfId="0">
      <alignment horizontal="right" vertical="center" indent="1"/>
    </xf>
    <xf numFmtId="169" fontId="15" fillId="7" borderId="1" applyAlignment="1" pivotButton="0" quotePrefix="0" xfId="0">
      <alignment horizontal="center" vertical="center"/>
    </xf>
    <xf numFmtId="167" fontId="16" fillId="7" borderId="1" applyAlignment="1" pivotButton="0" quotePrefix="0" xfId="0">
      <alignment horizontal="center" vertical="center"/>
    </xf>
    <xf numFmtId="168" fontId="18" fillId="3" borderId="1" applyAlignment="1" pivotButton="0" quotePrefix="0" xfId="0">
      <alignment horizontal="right" vertical="center" indent="1"/>
    </xf>
    <xf numFmtId="168" fontId="19" fillId="3" borderId="1" applyAlignment="1" pivotButton="0" quotePrefix="0" xfId="0">
      <alignment horizontal="right" vertical="center" indent="1"/>
    </xf>
    <xf numFmtId="169" fontId="20" fillId="3" borderId="1" applyAlignment="1" pivotButton="0" quotePrefix="0" xfId="0">
      <alignment horizontal="center" vertical="center"/>
    </xf>
    <xf numFmtId="167" fontId="20" fillId="3" borderId="1" applyAlignment="1" pivotButton="0" quotePrefix="0" xfId="0">
      <alignment horizontal="center" vertical="center"/>
    </xf>
    <xf numFmtId="0" fontId="21" fillId="2" borderId="1" applyAlignment="1" pivotButton="0" quotePrefix="0" xfId="0">
      <alignment horizontal="right" vertical="center" indent="1"/>
    </xf>
    <xf numFmtId="0" fontId="0" fillId="2" borderId="1" pivotButton="0" quotePrefix="0" xfId="0"/>
    <xf numFmtId="168" fontId="22" fillId="2" borderId="1" applyAlignment="1" pivotButton="0" quotePrefix="0" xfId="0">
      <alignment horizontal="right" vertical="center" indent="1"/>
    </xf>
    <xf numFmtId="168" fontId="19" fillId="2" borderId="1" applyAlignment="1" pivotButton="0" quotePrefix="0" xfId="0">
      <alignment horizontal="right" vertical="center" indent="1"/>
    </xf>
    <xf numFmtId="167" fontId="19" fillId="2" borderId="1" applyAlignment="1" pivotButton="0" quotePrefix="0" xfId="0">
      <alignment horizontal="center" vertical="center"/>
    </xf>
    <xf numFmtId="167" fontId="22" fillId="2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left" vertical="center" indent="1"/>
    </xf>
    <xf numFmtId="170" fontId="24" fillId="4" borderId="1" applyAlignment="1" pivotButton="0" quotePrefix="0" xfId="0">
      <alignment horizontal="center" vertical="center"/>
    </xf>
    <xf numFmtId="168" fontId="13" fillId="6" borderId="1" applyAlignment="1" pivotButton="0" quotePrefix="0" xfId="0">
      <alignment horizontal="right" vertical="center" indent="1"/>
    </xf>
    <xf numFmtId="167" fontId="25" fillId="7" borderId="1" applyAlignment="1" pivotButton="0" quotePrefix="0" xfId="0">
      <alignment horizontal="center" vertical="center"/>
    </xf>
    <xf numFmtId="0" fontId="26" fillId="6" borderId="1" applyAlignment="1" pivotButton="0" quotePrefix="0" xfId="0">
      <alignment horizontal="left" vertical="center" indent="1"/>
    </xf>
    <xf numFmtId="0" fontId="13" fillId="6" borderId="1" applyAlignment="1" pivotButton="0" quotePrefix="0" xfId="0">
      <alignment horizontal="center" vertical="center"/>
    </xf>
    <xf numFmtId="164" fontId="13" fillId="6" borderId="1" applyAlignment="1" pivotButton="0" quotePrefix="0" xfId="0">
      <alignment horizontal="center" vertical="center"/>
    </xf>
    <xf numFmtId="168" fontId="27" fillId="6" borderId="1" applyAlignment="1" pivotButton="0" quotePrefix="0" xfId="0">
      <alignment horizontal="right" vertical="center" indent="1"/>
    </xf>
    <xf numFmtId="0" fontId="28" fillId="3" borderId="1" applyAlignment="1" pivotButton="0" quotePrefix="0" xfId="0">
      <alignment horizontal="left" vertical="center" indent="1"/>
    </xf>
    <xf numFmtId="167" fontId="23" fillId="6" borderId="1" applyAlignment="1" pivotButton="0" quotePrefix="0" xfId="0">
      <alignment horizontal="center" vertical="center"/>
    </xf>
    <xf numFmtId="0" fontId="29" fillId="2" borderId="1" applyAlignment="1" pivotButton="0" quotePrefix="0" xfId="0">
      <alignment horizontal="right" vertical="center" indent="1"/>
    </xf>
    <xf numFmtId="168" fontId="30" fillId="2" borderId="1" applyAlignment="1" pivotButton="0" quotePrefix="0" xfId="0">
      <alignment horizontal="right" vertical="center" indent="1"/>
    </xf>
    <xf numFmtId="167" fontId="20" fillId="2" borderId="1" applyAlignment="1" pivotButton="0" quotePrefix="0" xfId="0">
      <alignment horizontal="center" vertical="center"/>
    </xf>
    <xf numFmtId="0" fontId="31" fillId="2" borderId="1" applyAlignment="1" pivotButton="0" quotePrefix="0" xfId="0">
      <alignment horizontal="left" vertical="center" indent="1"/>
    </xf>
    <xf numFmtId="0" fontId="13" fillId="6" borderId="1" applyAlignment="1" pivotButton="0" quotePrefix="0" xfId="0">
      <alignment horizontal="left" vertical="center" indent="1"/>
    </xf>
    <xf numFmtId="164" fontId="32" fillId="6" borderId="1" applyAlignment="1" pivotButton="0" quotePrefix="0" xfId="0">
      <alignment horizontal="center" vertical="center"/>
    </xf>
    <xf numFmtId="168" fontId="15" fillId="7" borderId="1" applyAlignment="1" pivotButton="0" quotePrefix="0" xfId="0">
      <alignment horizontal="right" vertical="center" indent="1"/>
    </xf>
    <xf numFmtId="0" fontId="33" fillId="3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indent="1"/>
    </xf>
    <xf numFmtId="168" fontId="34" fillId="7" borderId="1" applyAlignment="1" pivotButton="0" quotePrefix="0" xfId="0">
      <alignment horizontal="right" vertical="center" indent="1"/>
    </xf>
    <xf numFmtId="168" fontId="35" fillId="7" borderId="1" applyAlignment="1" pivotButton="0" quotePrefix="0" xfId="0">
      <alignment horizontal="right" vertical="center" indent="1"/>
    </xf>
    <xf numFmtId="168" fontId="36" fillId="7" borderId="1" applyAlignment="1" pivotButton="0" quotePrefix="0" xfId="0">
      <alignment horizontal="right" vertical="center" indent="1"/>
    </xf>
    <xf numFmtId="168" fontId="37" fillId="6" borderId="1" applyAlignment="1" pivotButton="0" quotePrefix="0" xfId="0">
      <alignment horizontal="right" vertical="center" indent="1"/>
    </xf>
    <xf numFmtId="168" fontId="19" fillId="6" borderId="1" applyAlignment="1" pivotButton="0" quotePrefix="0" xfId="0">
      <alignment horizontal="right" vertical="center" indent="1"/>
    </xf>
    <xf numFmtId="0" fontId="31" fillId="3" borderId="1" applyAlignment="1" pivotButton="0" quotePrefix="0" xfId="0">
      <alignment horizontal="left" vertical="center" indent="1"/>
    </xf>
    <xf numFmtId="0" fontId="32" fillId="6" borderId="1" applyAlignment="1" pivotButton="0" quotePrefix="0" xfId="0">
      <alignment horizontal="left" vertical="center" indent="1"/>
    </xf>
    <xf numFmtId="168" fontId="15" fillId="6" borderId="1" applyAlignment="1" pivotButton="0" quotePrefix="0" xfId="0">
      <alignment horizontal="right" vertical="center" indent="1"/>
    </xf>
    <xf numFmtId="0" fontId="32" fillId="6" borderId="1" applyAlignment="1" pivotButton="0" quotePrefix="0" xfId="0">
      <alignment horizontal="center" vertical="center"/>
    </xf>
    <xf numFmtId="0" fontId="38" fillId="6" borderId="1" applyAlignment="1" pivotButton="0" quotePrefix="0" xfId="0">
      <alignment horizontal="center" vertical="center"/>
    </xf>
    <xf numFmtId="0" fontId="28" fillId="3" borderId="1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 wrapText="1"/>
    </xf>
    <xf numFmtId="0" fontId="32" fillId="0" borderId="4" pivotButton="0" quotePrefix="0" xfId="0"/>
    <xf numFmtId="167" fontId="32" fillId="0" borderId="4" pivotButton="0" quotePrefix="0" xfId="0"/>
    <xf numFmtId="168" fontId="32" fillId="0" borderId="4" pivotButton="0" quotePrefix="0" xfId="0"/>
    <xf numFmtId="164" fontId="32" fillId="0" borderId="4" pivotButton="0" quotePrefix="0" xfId="0"/>
    <xf numFmtId="0" fontId="45" fillId="3" borderId="0" applyAlignment="1" pivotButton="0" quotePrefix="0" xfId="0">
      <alignment horizontal="center" vertical="center"/>
    </xf>
    <xf numFmtId="0" fontId="46" fillId="0" borderId="5" pivotButton="0" quotePrefix="0" xfId="0"/>
    <xf numFmtId="0" fontId="25" fillId="0" borderId="5" pivotButton="0" quotePrefix="0" xfId="0"/>
    <xf numFmtId="0" fontId="4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7">
    <dxf>
      <font>
        <b val="1"/>
        <color rgb="002F7D4F"/>
      </font>
      <fill>
        <patternFill patternType="solid">
          <fgColor rgb="00E2F0E7"/>
        </patternFill>
      </fill>
    </dxf>
    <dxf>
      <font>
        <b val="1"/>
        <color rgb="00B57A16"/>
      </font>
      <fill>
        <patternFill patternType="solid">
          <fgColor rgb="00FBF1DC"/>
        </patternFill>
      </fill>
    </dxf>
    <dxf>
      <font>
        <b val="1"/>
        <color rgb="00B0413F"/>
      </font>
      <fill>
        <patternFill patternType="solid">
          <fgColor rgb="00FBE7E6"/>
        </patternFill>
      </fill>
    </dxf>
    <dxf>
      <font>
        <b val="1"/>
        <color rgb="002F5D8C"/>
      </font>
      <fill>
        <patternFill patternType="solid">
          <fgColor rgb="00E7EEF6"/>
        </patternFill>
      </fill>
    </dxf>
    <dxf>
      <font>
        <b val="1"/>
        <color rgb="00B0413F"/>
      </font>
    </dxf>
    <dxf>
      <font>
        <b val="1"/>
        <color rgb="002F7D4F"/>
      </font>
    </dxf>
    <dxf>
      <fill>
        <patternFill patternType="solid">
          <fgColor rgb="00FBE7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Margem de contribuição por projeto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 Geral'!N10</f>
            </strRef>
          </tx>
          <spPr>
            <a:solidFill>
              <a:srgbClr val="C2A05A"/>
            </a:solidFill>
            <a:ln>
              <a:prstDash val="solid"/>
            </a:ln>
          </spPr>
          <cat>
            <numRef>
              <f>'Painel Geral'!$C$11:$C$50</f>
            </numRef>
          </cat>
          <val>
            <numRef>
              <f>'Painel Geral'!$N$11:$N$50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xPr>
          <a:bodyPr/>
          <a:p>
            <a:pPr>
              <a:defRPr sz="800">
                <a:solidFill>
                  <a:srgbClr val="6C7785"/>
                </a:solidFill>
              </a:defRPr>
            </a:pPr>
            <a:r>
              <a:t/>
            </a:r>
            <a:endParaRPr sz="800"/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txPr>
          <a:bodyPr/>
          <a:p>
            <a:pPr>
              <a:defRPr sz="800">
                <a:solidFill>
                  <a:srgbClr val="6C7785"/>
                </a:solidFill>
              </a:defRPr>
            </a:pPr>
            <a:r>
              <a:t/>
            </a:r>
            <a:endParaRPr sz="800"/>
          </a:p>
        </txPr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Desvio do orçamento por categoria (R$)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'Painel Geral'!H54</f>
            </strRef>
          </tx>
          <spPr>
            <a:solidFill>
              <a:srgbClr val="16314F"/>
            </a:solidFill>
            <a:ln>
              <a:prstDash val="solid"/>
            </a:ln>
          </spPr>
          <cat>
            <numRef>
              <f>'Painel Geral'!$A$55:$A$60</f>
            </numRef>
          </cat>
          <val>
            <numRef>
              <f>'Painel Geral'!$H$55:$H$60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xPr>
          <a:bodyPr/>
          <a:p>
            <a:pPr>
              <a:defRPr sz="800">
                <a:solidFill>
                  <a:srgbClr val="6C7785"/>
                </a:solidFill>
              </a:defRPr>
            </a:pPr>
            <a:r>
              <a:t/>
            </a:r>
            <a:endParaRPr sz="800"/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numFmt formatCode="R$ #,##0" sourceLinked="0"/>
        <majorTickMark val="none"/>
        <minorTickMark val="none"/>
        <txPr>
          <a:bodyPr/>
          <a:p>
            <a:pPr>
              <a:defRPr sz="800">
                <a:solidFill>
                  <a:srgbClr val="6C7785"/>
                </a:solidFill>
              </a:defRPr>
            </a:pPr>
            <a:r>
              <a:t/>
            </a:r>
            <a:endParaRPr sz="800"/>
          </a:p>
        </txPr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19</col>
      <colOff>0</colOff>
      <row>32</row>
      <rowOff>0</rowOff>
    </from>
    <ext cx="61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19</col>
      <colOff>0</colOff>
      <row>52</row>
      <rowOff>0</rowOff>
    </from>
    <ext cx="61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30" customWidth="1" min="3" max="3"/>
    <col width="30" customWidth="1" min="4" max="4"/>
    <col width="30" customWidth="1" min="5" max="5"/>
    <col width="12" customWidth="1" min="6" max="6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</row>
    <row r="3" ht="28" customHeight="1">
      <c r="A3" s="4" t="inlineStr">
        <is>
          <t>COMO USAR ESTA PLANILHA</t>
        </is>
      </c>
      <c r="B3" s="5" t="n"/>
      <c r="C3" s="5" t="n"/>
      <c r="D3" s="5" t="n"/>
      <c r="E3" s="5" t="n"/>
      <c r="F3" s="5" t="n"/>
    </row>
    <row r="4" ht="17" customHeight="1">
      <c r="A4" s="6" t="inlineStr">
        <is>
          <t>Custo direto por projeto · orçado × realizado · eficiência do orçamento</t>
        </is>
      </c>
      <c r="B4" s="7" t="n"/>
      <c r="C4" s="7" t="n"/>
      <c r="D4" s="7" t="n"/>
      <c r="E4" s="7" t="n"/>
      <c r="F4" s="7" t="n"/>
    </row>
    <row r="6" ht="20" customHeight="1">
      <c r="A6" s="8" t="inlineStr">
        <is>
          <t xml:space="preserve">  PARA QUE SERVE</t>
        </is>
      </c>
      <c r="B6" s="9" t="n"/>
      <c r="C6" s="9" t="n"/>
      <c r="D6" s="9" t="n"/>
      <c r="E6" s="9" t="n"/>
      <c r="F6" s="9" t="n"/>
    </row>
    <row r="7" ht="4" customHeight="1"/>
    <row r="8" ht="30" customHeight="1">
      <c r="A8" s="10" t="inlineStr">
        <is>
          <t xml:space="preserve">   Medir se o seu orçamento acerta. Cada linha de custo tem ORÇADO e REALIZADO lado a lado, e o desvio entre os dois é a resposta.</t>
        </is>
      </c>
    </row>
    <row r="9" ht="30" customHeight="1">
      <c r="A9" s="10" t="inlineStr">
        <is>
          <t xml:space="preserve">   Sem a coluna ORÇADO isto seria só um controle de gasto. Com ela, vira uma régua: você descobre que sempre erra ferragem para menos, ou que a logística custa o dobro do que imagina.</t>
        </is>
      </c>
    </row>
    <row r="10" ht="8" customHeight="1"/>
    <row r="11" ht="20" customHeight="1">
      <c r="A11" s="8" t="inlineStr">
        <is>
          <t xml:space="preserve">  O PASSO A PASSO</t>
        </is>
      </c>
      <c r="B11" s="9" t="n"/>
      <c r="C11" s="9" t="n"/>
      <c r="D11" s="9" t="n"/>
      <c r="E11" s="9" t="n"/>
      <c r="F11" s="9" t="n"/>
    </row>
    <row r="12" ht="4" customHeight="1"/>
    <row r="13" ht="30" customHeight="1">
      <c r="A13" s="10" t="inlineStr">
        <is>
          <t xml:space="preserve">   1 · Botão direito na aba "Ficha Modelo" → Mover ou copiar → marcar "Criar uma cópia". Renomeie (ex.: P-2026-042 Maria).</t>
        </is>
      </c>
    </row>
    <row r="14" ht="24" customHeight="1">
      <c r="A14" s="10" t="inlineStr">
        <is>
          <t xml:space="preserve">   2 · Preencha a identificação: cliente, nº, projeto, data de entrada, entrega prevista, vendedor e coordenador.</t>
        </is>
      </c>
    </row>
    <row r="15" ht="30" customHeight="1">
      <c r="A15" s="10" t="inlineStr">
        <is>
          <t xml:space="preserve">   3 · Lance o valor de venda ORÇADO (proposta) e REALIZADO (fechado). A diferença entre os dois já é informação: é o desconto que você deu.</t>
        </is>
      </c>
    </row>
    <row r="16" ht="30" customHeight="1">
      <c r="A16" s="10" t="inlineStr">
        <is>
          <t xml:space="preserve">   4 · Preencha as premissas de custo de venda (% de imposto, máquina, comissão e RT). Elas se aplicam sozinhas aos dois cenários.</t>
        </is>
      </c>
    </row>
    <row r="17" ht="30" customHeight="1">
      <c r="A17" s="10" t="inlineStr">
        <is>
          <t xml:space="preserve">   5 · Liste os ambientes com o valor de cada um e, para cada ambiente, quem produziu, quem montou e quem projetou, com o % de comissão de cada etapa.</t>
        </is>
      </c>
    </row>
    <row r="18" ht="24" customHeight="1">
      <c r="A18" s="10" t="inlineStr">
        <is>
          <t xml:space="preserve">   6 · No bloco 6, digite o ORÇADO de cada categoria de compra. O realizado virá sozinho do livro.</t>
        </is>
      </c>
    </row>
    <row r="19" ht="18" customHeight="1">
      <c r="A19" s="10" t="inlineStr">
        <is>
          <t xml:space="preserve">   7 · Conforme for comprando, lance no livro (bloco 8). Uma linha por compra.</t>
        </is>
      </c>
    </row>
    <row r="20" ht="24" customHeight="1">
      <c r="A20" s="10" t="inlineStr">
        <is>
          <t xml:space="preserve">   8 · Vá ao Painel Geral e escreva o nome da aba nova numa linha livre da coluna ABA.</t>
        </is>
      </c>
    </row>
    <row r="21" ht="8" customHeight="1"/>
    <row r="22" ht="20" customHeight="1">
      <c r="A22" s="8" t="inlineStr">
        <is>
          <t xml:space="preserve">  O LIVRO DE COMPRAS — A PARTE QUE DÁ O DINAMISMO</t>
        </is>
      </c>
      <c r="B22" s="9" t="n"/>
      <c r="C22" s="9" t="n"/>
      <c r="D22" s="9" t="n"/>
      <c r="E22" s="9" t="n"/>
      <c r="F22" s="9" t="n"/>
    </row>
    <row r="23" ht="4" customHeight="1"/>
    <row r="24" ht="30" customHeight="1">
      <c r="A24" s="10" t="inlineStr">
        <is>
          <t xml:space="preserve">   Hoje você compra chapa, amanhã compra outra, semana que vem compra ferragem. Cada compra é UMA LINHA no bloco 8, com: descrição/fornecedor, categoria, data, valor, forma de pagamento e status.</t>
        </is>
      </c>
    </row>
    <row r="25" ht="30" customHeight="1">
      <c r="A25" s="10" t="inlineStr">
        <is>
          <t xml:space="preserve">   O bloco 6 (Material, terceirizados e logística) NÃO se digita: ele soma o livro por categoria, sozinho. Você só digita o orçado de cada categoria.</t>
        </is>
      </c>
    </row>
    <row r="26" ht="30" customHeight="1">
      <c r="A26" s="10" t="inlineStr">
        <is>
          <t xml:space="preserve">   O STATUS é o que separa o que já é custo do que ainda não é: "A comprar" NÃO entra no custo realizado — vai para a coluna "Ainda a comprar". "Comprado (a pagar)" e "Pago" entram no custo.</t>
        </is>
      </c>
    </row>
    <row r="27" ht="30" customHeight="1">
      <c r="A27" s="10" t="inlineStr">
        <is>
          <t xml:space="preserve">   Isso responde três perguntas de uma vez: quanto já custou, quanto ainda vou gastar e quanto devo aos fornecedores. A faixa dourada logo abaixo da margem mostra o custo projetado e a MC projetada.</t>
        </is>
      </c>
    </row>
    <row r="28" ht="30" customHeight="1">
      <c r="A28" s="10" t="inlineStr">
        <is>
          <t xml:space="preserve">   Você pode inserir quantas linhas quiser no livro. Ele fica no fim da ficha exatamente por isso: nada que o Painel Geral lê está abaixo dele.</t>
        </is>
      </c>
    </row>
    <row r="29" ht="30" customHeight="1">
      <c r="A29" s="10" t="inlineStr">
        <is>
          <t xml:space="preserve">   Categoria, Forma de pagamento e Status são MENUS SUSPENSOS: clique na célula e escolha. Digitar por fora é permitido, mas a planilha avisa — e o que não estiver escrito igual à lista não entra na soma da categoria.</t>
        </is>
      </c>
    </row>
    <row r="30" ht="30" customHeight="1">
      <c r="A30" s="10" t="inlineStr">
        <is>
          <t xml:space="preserve">   Lançamento com valor e sem categoria fica destacado em vermelho, e o total do livro avisa quantos estão sem classificar.</t>
        </is>
      </c>
    </row>
    <row r="31" ht="8" customHeight="1"/>
    <row r="32" ht="20" customHeight="1">
      <c r="A32" s="8" t="inlineStr">
        <is>
          <t xml:space="preserve">  A CASCATA DE CÁLCULO — A ORDEM IMPORTA</t>
        </is>
      </c>
      <c r="B32" s="9" t="n"/>
      <c r="C32" s="9" t="n"/>
      <c r="D32" s="9" t="n"/>
      <c r="E32" s="9" t="n"/>
      <c r="F32" s="9" t="n"/>
    </row>
    <row r="33" ht="4" customHeight="1"/>
    <row r="34" ht="24" customHeight="1">
      <c r="A34" s="10" t="inlineStr">
        <is>
          <t xml:space="preserve">   Valor de venda  −  custos de venda (impostos, máquina, taxas, comissão de venda, projeto, RT)  =  RECEITA LÍQUIDA</t>
        </is>
      </c>
    </row>
    <row r="35" ht="30" customHeight="1">
      <c r="A35" s="10" t="inlineStr">
        <is>
          <t xml:space="preserve">   A receita líquida é a base de TODAS as comissões: coordenação, produção, montagem e projetista. Não é o valor de venda. Ninguém deve ser comissionado sobre o imposto nem sobre o RT do arquiteto.</t>
        </is>
      </c>
    </row>
    <row r="36" ht="24" customHeight="1">
      <c r="A36" s="10" t="inlineStr">
        <is>
          <t xml:space="preserve">   O RT tem base própria: incide sobre a venda menos impostos, máquina e taxas de transação — como você pediu.</t>
        </is>
      </c>
    </row>
    <row r="37" ht="30" customHeight="1">
      <c r="A37" s="10" t="inlineStr">
        <is>
          <t xml:space="preserve">   Depois da receita líquida saem, na ordem: comissões, material, terceirizados, logística e retrabalho. O que sobra é a MARGEM DE CONTRIBUIÇÃO.</t>
        </is>
      </c>
    </row>
    <row r="38" ht="8" customHeight="1"/>
    <row r="39" ht="20" customHeight="1">
      <c r="A39" s="8" t="inlineStr">
        <is>
          <t xml:space="preserve">  COMO FUNCIONAM AS COMISSÕES POR AMBIENTE</t>
        </is>
      </c>
      <c r="B39" s="9" t="n"/>
      <c r="C39" s="9" t="n"/>
      <c r="D39" s="9" t="n"/>
      <c r="E39" s="9" t="n"/>
      <c r="F39" s="9" t="n"/>
    </row>
    <row r="40" ht="4" customHeight="1"/>
    <row r="41" ht="30" customHeight="1">
      <c r="A41" s="10" t="inlineStr">
        <is>
          <t xml:space="preserve">   Cada ambiente tem um valor em reais. A planilha calcula o peso dele no projeto e aplica esse peso sobre a receita líquida — essa é a base do ambiente.</t>
        </is>
      </c>
    </row>
    <row r="42" ht="30" customHeight="1">
      <c r="A42" s="10" t="inlineStr">
        <is>
          <t xml:space="preserve">   Sobre a base do ambiente incidem três percentuais: o de quem produziu, o de quem montou e o de quem projetou. Pessoas diferentes em ambientes diferentes, cada uma com seu percentual.</t>
        </is>
      </c>
    </row>
    <row r="43" ht="30" customHeight="1">
      <c r="A43" s="10" t="inlineStr">
        <is>
          <t xml:space="preserve">   Exemplo: projeto de R$ 90.000 com cozinha R$ 30.000 (33,3%). Se a receita líquida for R$ 76.000, a base da cozinha é R$ 25.333. A 3% de produção, o Jackson recebe R$ 760 por aquele ambiente.</t>
        </is>
      </c>
    </row>
    <row r="44" ht="30" customHeight="1">
      <c r="A44" s="10" t="inlineStr">
        <is>
          <t xml:space="preserve">   A tabela "Comissões por colaborador" soma tudo sozinha: produção, montagem, projeto e coordenação, por pessoa. O cadastro vem da aba Listas — marceneiros, coordenador e operador de máquinas na coluna A, projetistas na coluna H. Ajudante geral não entra, porque não assume ambiente.</t>
        </is>
      </c>
    </row>
    <row r="45" ht="24" customHeight="1">
      <c r="A45" s="10" t="inlineStr">
        <is>
          <t xml:space="preserve">   A soma dos ambientes precisa fechar com o valor de venda. A linha de total avisa quando não fecha.</t>
        </is>
      </c>
    </row>
    <row r="46" ht="8" customHeight="1"/>
    <row r="47" ht="20" customHeight="1">
      <c r="A47" s="8" t="inlineStr">
        <is>
          <t xml:space="preserve">  RETRABALHO — A PARTE QUE MAIS ENSINA</t>
        </is>
      </c>
      <c r="B47" s="9" t="n"/>
      <c r="C47" s="9" t="n"/>
      <c r="D47" s="9" t="n"/>
      <c r="E47" s="9" t="n"/>
      <c r="F47" s="9" t="n"/>
    </row>
    <row r="48" ht="4" customHeight="1"/>
    <row r="49" ht="30" customHeight="1">
      <c r="A49" s="10" t="inlineStr">
        <is>
          <t xml:space="preserve">   Registre o que aconteceu, a causa (menu suspenso) e o custo estimado. Não precisa ser exato: o valor aproximado já serve.</t>
        </is>
      </c>
    </row>
    <row r="50" ht="30" customHeight="1">
      <c r="A50" s="10" t="inlineStr">
        <is>
          <t xml:space="preserve">   No orçamento você lança a CONTINGÊNCIA prevista. O desvio entre ela e o retrabalho real diz se a sua provisão está no tamanho certo.</t>
        </is>
      </c>
    </row>
    <row r="51" ht="30" customHeight="1">
      <c r="A51" s="10" t="inlineStr">
        <is>
          <t xml:space="preserve">   Com o tempo, a coluna Causa vira o dado mais valioso da planilha: se metade dos retrabalhos é "erro de medição", o problema não é preço, é processo.</t>
        </is>
      </c>
    </row>
    <row r="52" ht="8" customHeight="1"/>
    <row r="53" ht="20" customHeight="1">
      <c r="A53" s="8" t="inlineStr">
        <is>
          <t xml:space="preserve">  O PAINEL GERAL</t>
        </is>
      </c>
      <c r="B53" s="9" t="n"/>
      <c r="C53" s="9" t="n"/>
      <c r="D53" s="9" t="n"/>
      <c r="E53" s="9" t="n"/>
      <c r="F53" s="9" t="n"/>
    </row>
    <row r="54" ht="4" customHeight="1"/>
    <row r="55" ht="30" customHeight="1">
      <c r="A55" s="10" t="inlineStr">
        <is>
          <t xml:space="preserve">   Sete indicadores no topo: projetos, vendido, custo total, ainda a comprar, margem em reais, margem média e percentual de entrega no prazo.</t>
        </is>
      </c>
    </row>
    <row r="56" ht="24" customHeight="1">
      <c r="A56" s="10" t="inlineStr">
        <is>
          <t xml:space="preserve">   A tabela de projetos puxa cada ficha pelo nome da aba. Nome errado deixa a linha em branco — não quebra.</t>
        </is>
      </c>
    </row>
    <row r="57" ht="30" customHeight="1">
      <c r="A57" s="10" t="inlineStr">
        <is>
          <t xml:space="preserve">   O bloco "Onde o orçamento erra" soma todos os projetos por categoria e mostra em qual delas você mais estoura. É o retorno direto para ajustar a base de orçamento.</t>
        </is>
      </c>
    </row>
    <row r="58" ht="18" customHeight="1">
      <c r="A58" s="10" t="inlineStr">
        <is>
          <t xml:space="preserve">   Dois gráficos: margem por projeto e desvio do orçamento por categoria.</t>
        </is>
      </c>
    </row>
    <row r="59" ht="8" customHeight="1"/>
    <row r="60" ht="20" customHeight="1">
      <c r="A60" s="8" t="inlineStr">
        <is>
          <t xml:space="preserve">  CUIDADOS</t>
        </is>
      </c>
      <c r="B60" s="9" t="n"/>
      <c r="C60" s="9" t="n"/>
      <c r="D60" s="9" t="n"/>
      <c r="E60" s="9" t="n"/>
      <c r="F60" s="9" t="n"/>
    </row>
    <row r="61" ht="4" customHeight="1"/>
    <row r="62" ht="30" customHeight="1">
      <c r="A62" s="10" t="inlineStr">
        <is>
          <t xml:space="preserve">   A regra de ouro: pode inserir e apagar linhas em qualquer bloco A PARTIR DA LINHA 26. Tudo o que o Painel Geral lê está entre as linhas 6 e 24.</t>
        </is>
      </c>
    </row>
    <row r="63" ht="24" customHeight="1">
      <c r="A63" s="10" t="inlineStr">
        <is>
          <t xml:space="preserve">   Não mexa nas linhas 1 a 25 da ficha. Se elas mudarem de lugar, o Painel passa a ler a célula errada.</t>
        </is>
      </c>
    </row>
    <row r="64" ht="30" customHeight="1">
      <c r="A64" s="10" t="inlineStr">
        <is>
          <t xml:space="preserve">   A margem calculada aqui é de CONTRIBUIÇÃO: ela ainda não paga o custo fixo da empresa. Um projeto com 30% de MC não deu 30% de lucro.</t>
        </is>
      </c>
    </row>
    <row r="65" ht="30" customHeight="1">
      <c r="A65" s="10" t="inlineStr">
        <is>
          <t xml:space="preserve">   O custo de retrabalho é estimado por você. Não sai de nota fiscal — é a sua leitura do prejuízo, e vale mais registrada por alto do que não registrada.</t>
        </is>
      </c>
    </row>
    <row r="66" ht="8" customHeight="1"/>
    <row r="67" ht="26" customHeight="1">
      <c r="A67" s="11" t="inlineStr">
        <is>
          <t xml:space="preserve">   Abas:   Instruções  ·  Painel Geral  ·  Ficha Modelo (duplique esta)  ·  Exemplo P-2026-041 (preenchido)  ·  Listas</t>
        </is>
      </c>
      <c r="B67" s="7" t="n"/>
      <c r="C67" s="7" t="n"/>
      <c r="D67" s="7" t="n"/>
      <c r="E67" s="7" t="n"/>
      <c r="F67" s="7" t="n"/>
    </row>
  </sheetData>
  <mergeCells count="50">
    <mergeCell ref="A41:F41"/>
    <mergeCell ref="A16:F16"/>
    <mergeCell ref="A37:F37"/>
    <mergeCell ref="A27:F27"/>
    <mergeCell ref="A18:F18"/>
    <mergeCell ref="A50:F50"/>
    <mergeCell ref="A56:F56"/>
    <mergeCell ref="A3:F3"/>
    <mergeCell ref="A26:F26"/>
    <mergeCell ref="A55:F55"/>
    <mergeCell ref="A57:F57"/>
    <mergeCell ref="A2:F2"/>
    <mergeCell ref="A47:F47"/>
    <mergeCell ref="A42:F42"/>
    <mergeCell ref="A14:F14"/>
    <mergeCell ref="A32:F32"/>
    <mergeCell ref="A8:F8"/>
    <mergeCell ref="A22:F22"/>
    <mergeCell ref="A17:F17"/>
    <mergeCell ref="A35:F35"/>
    <mergeCell ref="A4:F4"/>
    <mergeCell ref="A62:F62"/>
    <mergeCell ref="A20:F20"/>
    <mergeCell ref="A53:F53"/>
    <mergeCell ref="A29:F29"/>
    <mergeCell ref="A43:F43"/>
    <mergeCell ref="A63:F63"/>
    <mergeCell ref="A65:F65"/>
    <mergeCell ref="A28:F28"/>
    <mergeCell ref="A13:F13"/>
    <mergeCell ref="A19:F19"/>
    <mergeCell ref="A44:F44"/>
    <mergeCell ref="A9:F9"/>
    <mergeCell ref="A67:F67"/>
    <mergeCell ref="A58:F58"/>
    <mergeCell ref="A34:F34"/>
    <mergeCell ref="A30:F30"/>
    <mergeCell ref="A39:F39"/>
    <mergeCell ref="A15:F15"/>
    <mergeCell ref="A64:F64"/>
    <mergeCell ref="A24:F24"/>
    <mergeCell ref="A11:F11"/>
    <mergeCell ref="A49:F49"/>
    <mergeCell ref="A51:F51"/>
    <mergeCell ref="A60:F60"/>
    <mergeCell ref="A36:F36"/>
    <mergeCell ref="A1:F1"/>
    <mergeCell ref="A45:F45"/>
    <mergeCell ref="A6:F6"/>
    <mergeCell ref="A25:F25"/>
  </mergeCells>
  <pageMargins left="0.4" right="0.3" top="0.4" bottom="0.3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S68"/>
  <sheetViews>
    <sheetView showGridLines="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26" customWidth="1" min="4" max="4"/>
    <col width="11" customWidth="1" min="5" max="5"/>
    <col width="11" customWidth="1" min="6" max="6"/>
    <col width="11" customWidth="1" min="7" max="7"/>
    <col width="9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9" customWidth="1" min="14" max="14"/>
    <col width="9" customWidth="1" min="15" max="15"/>
    <col width="9" customWidth="1" min="16" max="16"/>
    <col width="14" customWidth="1" min="17" max="17"/>
    <col width="24" customWidth="1" min="18" max="18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28" customHeight="1">
      <c r="A3" s="4" t="inlineStr">
        <is>
          <t>PAINEL GERAL DE CUSTO POR PROJETO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</row>
    <row r="4" ht="17" customHeight="1">
      <c r="A4" s="6" t="inlineStr">
        <is>
          <t>Cada linha puxa uma ficha · digite o nome exato da aba na coluna ABA e o resto aparece sozinho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</row>
    <row r="5" ht="6" customHeight="1"/>
    <row r="6" ht="14" customHeight="1">
      <c r="A6" s="12" t="inlineStr">
        <is>
          <t>PROJETOS</t>
        </is>
      </c>
      <c r="B6" s="13" t="n"/>
      <c r="C6" s="13" t="n"/>
      <c r="D6" s="12" t="inlineStr">
        <is>
          <t>VENDIDO</t>
        </is>
      </c>
      <c r="E6" s="13" t="n"/>
      <c r="F6" s="13" t="n"/>
      <c r="G6" s="12" t="inlineStr">
        <is>
          <t>CUSTO TOTAL</t>
        </is>
      </c>
      <c r="H6" s="13" t="n"/>
      <c r="I6" s="13" t="n"/>
      <c r="J6" s="12" t="inlineStr">
        <is>
          <t>AINDA A COMPRAR</t>
        </is>
      </c>
      <c r="K6" s="13" t="n"/>
      <c r="L6" s="13" t="n"/>
      <c r="M6" s="12" t="inlineStr">
        <is>
          <t>MARGEM DE CONTRIB.</t>
        </is>
      </c>
      <c r="N6" s="13" t="n"/>
      <c r="O6" s="12" t="inlineStr">
        <is>
          <t>MC MÉDIA</t>
        </is>
      </c>
      <c r="P6" s="13" t="n"/>
      <c r="Q6" s="12" t="inlineStr">
        <is>
          <t>ENTREGA NO PRAZO</t>
        </is>
      </c>
      <c r="R6" s="13" t="n"/>
    </row>
    <row r="7" ht="32" customHeight="1">
      <c r="A7" s="14">
        <f>COUNTA($B$11:$B$50)</f>
        <v/>
      </c>
      <c r="B7" s="15" t="n"/>
      <c r="C7" s="15" t="n"/>
      <c r="D7" s="16">
        <f>ROUND(SUM($J$11:$J$50),2)</f>
        <v/>
      </c>
      <c r="E7" s="15" t="n"/>
      <c r="F7" s="15" t="n"/>
      <c r="G7" s="16">
        <f>ROUND(SUM($K$11:$K$50),2)</f>
        <v/>
      </c>
      <c r="H7" s="15" t="n"/>
      <c r="I7" s="15" t="n"/>
      <c r="J7" s="16">
        <f>ROUND(SUM($L$11:$L$50),2)</f>
        <v/>
      </c>
      <c r="K7" s="15" t="n"/>
      <c r="L7" s="15" t="n"/>
      <c r="M7" s="16">
        <f>ROUND(SUM($M$11:$M$50),2)</f>
        <v/>
      </c>
      <c r="N7" s="15" t="n"/>
      <c r="O7" s="17">
        <f>IF(SUM($J$11:$J$50)=0,"",SUM($M$11:$M$50)/SUM($J$11:$J$50))</f>
        <v/>
      </c>
      <c r="P7" s="15" t="n"/>
      <c r="Q7" s="18">
        <f>IF(COUNTIF($I$11:$I$50,"No prazo")+COUNTIF($I$11:$I$50,"Atrasado")=0,"",COUNTIF($I$11:$I$50,"No prazo")/(COUNTIF($I$11:$I$50,"No prazo")+COUNTIF($I$11:$I$50,"Atrasado")))</f>
        <v/>
      </c>
      <c r="R7" s="15" t="n"/>
    </row>
    <row r="8" ht="8" customHeight="1"/>
    <row r="9" ht="20" customHeight="1">
      <c r="A9" s="8" t="inlineStr">
        <is>
          <t xml:space="preserve">  PROJETOS          digite na coluna ABA o nome exato da lâmina de cada projeto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</row>
    <row r="10" ht="30" customHeight="1">
      <c r="A10" s="19" t="inlineStr">
        <is>
          <t>#</t>
        </is>
      </c>
      <c r="B10" s="19" t="inlineStr">
        <is>
          <t>Aba do projeto</t>
        </is>
      </c>
      <c r="C10" s="19" t="inlineStr">
        <is>
          <t>Cliente</t>
        </is>
      </c>
      <c r="D10" s="19" t="inlineStr">
        <is>
          <t>Projeto</t>
        </is>
      </c>
      <c r="E10" s="19" t="inlineStr">
        <is>
          <t>Entrada</t>
        </is>
      </c>
      <c r="F10" s="19" t="inlineStr">
        <is>
          <t>Prevista</t>
        </is>
      </c>
      <c r="G10" s="19" t="inlineStr">
        <is>
          <t>Entregue</t>
        </is>
      </c>
      <c r="H10" s="19" t="inlineStr">
        <is>
          <t>Dias</t>
        </is>
      </c>
      <c r="I10" s="19" t="inlineStr">
        <is>
          <t>Entrega</t>
        </is>
      </c>
      <c r="J10" s="19" t="inlineStr">
        <is>
          <t>Venda</t>
        </is>
      </c>
      <c r="K10" s="19" t="inlineStr">
        <is>
          <t>Custo total</t>
        </is>
      </c>
      <c r="L10" s="19" t="inlineStr">
        <is>
          <t>A comprar</t>
        </is>
      </c>
      <c r="M10" s="19" t="inlineStr">
        <is>
          <t>MC (R$)</t>
        </is>
      </c>
      <c r="N10" s="19" t="inlineStr">
        <is>
          <t>MC %</t>
        </is>
      </c>
      <c r="O10" s="19" t="inlineStr">
        <is>
          <t>MC % orç.</t>
        </is>
      </c>
      <c r="P10" s="19" t="inlineStr">
        <is>
          <t>Δ p.p.</t>
        </is>
      </c>
      <c r="Q10" s="19" t="inlineStr">
        <is>
          <t>Desvio de custo</t>
        </is>
      </c>
      <c r="R10" s="19" t="inlineStr">
        <is>
          <t>Diagnóstico</t>
        </is>
      </c>
    </row>
    <row r="11" ht="17" customHeight="1">
      <c r="A11" s="20" t="n">
        <v>1</v>
      </c>
      <c r="B11" s="21" t="inlineStr">
        <is>
          <t xml:space="preserve">Ana Carolina </t>
        </is>
      </c>
      <c r="C11" s="22">
        <f>IFERROR(INDIRECT("'"&amp;$B11&amp;"'!A7"),"")</f>
        <v/>
      </c>
      <c r="D11" s="22">
        <f>IFERROR(INDIRECT("'"&amp;$B11&amp;"'!A9"),"")</f>
        <v/>
      </c>
      <c r="E11" s="23">
        <f>IFERROR(INDIRECT("'"&amp;$B11&amp;"'!F7"),"")</f>
        <v/>
      </c>
      <c r="F11" s="23">
        <f>IFERROR(INDIRECT("'"&amp;$B11&amp;"'!H7"),"")</f>
        <v/>
      </c>
      <c r="G11" s="23">
        <f>IFERROR(INDIRECT("'"&amp;$B11&amp;"'!J7"),"")</f>
        <v/>
      </c>
      <c r="H11" s="24">
        <f>IFERROR(INDIRECT("'"&amp;$B11&amp;"'!H9"),"")</f>
        <v/>
      </c>
      <c r="I11" s="25">
        <f>IFERROR(INDIRECT("'"&amp;$B11&amp;"'!J9"),"")</f>
        <v/>
      </c>
      <c r="J11" s="26">
        <f>IFERROR(INDIRECT("'"&amp;$B11&amp;"'!A13"),"")</f>
        <v/>
      </c>
      <c r="K11" s="26">
        <f>IFERROR(INDIRECT("'"&amp;$B11&amp;"'!C13"),"")</f>
        <v/>
      </c>
      <c r="L11" s="26">
        <f>IFERROR(INDIRECT("'"&amp;$B11&amp;"'!I24"),"")</f>
        <v/>
      </c>
      <c r="M11" s="26">
        <f>IFERROR(INDIRECT("'"&amp;$B11&amp;"'!E13"),"")</f>
        <v/>
      </c>
      <c r="N11" s="27">
        <f>IFERROR(INDIRECT("'"&amp;$B11&amp;"'!G13"),"")</f>
        <v/>
      </c>
      <c r="O11" s="27">
        <f>IFERROR(INDIRECT("'"&amp;$B11&amp;"'!H13"),"")</f>
        <v/>
      </c>
      <c r="P11" s="28">
        <f>IF(OR($N11="",$O11=""),"",ROUND(($N11-$O11)*100,1))</f>
        <v/>
      </c>
      <c r="Q11" s="26">
        <f>IFERROR(INDIRECT("'"&amp;$B11&amp;"'!I13"),"")</f>
        <v/>
      </c>
      <c r="R11" s="29">
        <f>IF($N11="","",IF($N11&gt;=0.35,"Margem boa",IF($N11&gt;=0.25,"Margem apertada","Margem crítica")))</f>
        <v/>
      </c>
      <c r="AH11" s="30">
        <f>IFERROR(INDIRECT("'"&amp;$B11&amp;"'!C16"),"")</f>
        <v/>
      </c>
      <c r="AI11" s="30">
        <f>IFERROR(INDIRECT("'"&amp;$B11&amp;"'!D16"),"")</f>
        <v/>
      </c>
      <c r="AJ11" s="30">
        <f>IFERROR(INDIRECT("'"&amp;$B11&amp;"'!C17"),"")</f>
        <v/>
      </c>
      <c r="AK11" s="30">
        <f>IFERROR(INDIRECT("'"&amp;$B11&amp;"'!D17"),"")</f>
        <v/>
      </c>
      <c r="AL11" s="30">
        <f>IFERROR(INDIRECT("'"&amp;$B11&amp;"'!C18"),"")</f>
        <v/>
      </c>
      <c r="AM11" s="30">
        <f>IFERROR(INDIRECT("'"&amp;$B11&amp;"'!D18"),"")</f>
        <v/>
      </c>
      <c r="AN11" s="30">
        <f>IFERROR(INDIRECT("'"&amp;$B11&amp;"'!C19"),"")</f>
        <v/>
      </c>
      <c r="AO11" s="30">
        <f>IFERROR(INDIRECT("'"&amp;$B11&amp;"'!D19"),"")</f>
        <v/>
      </c>
      <c r="AP11" s="30">
        <f>IFERROR(INDIRECT("'"&amp;$B11&amp;"'!C20"),"")</f>
        <v/>
      </c>
      <c r="AQ11" s="30">
        <f>IFERROR(INDIRECT("'"&amp;$B11&amp;"'!D20"),"")</f>
        <v/>
      </c>
      <c r="AR11" s="30">
        <f>IFERROR(INDIRECT("'"&amp;$B11&amp;"'!C21"),"")</f>
        <v/>
      </c>
      <c r="AS11" s="30">
        <f>IFERROR(INDIRECT("'"&amp;$B11&amp;"'!D21"),"")</f>
        <v/>
      </c>
    </row>
    <row r="12" ht="17" customHeight="1">
      <c r="A12" s="20" t="n">
        <v>2</v>
      </c>
      <c r="B12" s="21" t="inlineStr">
        <is>
          <t xml:space="preserve">Andrea </t>
        </is>
      </c>
      <c r="C12" s="22">
        <f>IFERROR(INDIRECT("'"&amp;$B12&amp;"'!A7"),"")</f>
        <v/>
      </c>
      <c r="D12" s="22">
        <f>IFERROR(INDIRECT("'"&amp;$B12&amp;"'!A9"),"")</f>
        <v/>
      </c>
      <c r="E12" s="23">
        <f>IFERROR(INDIRECT("'"&amp;$B12&amp;"'!F7"),"")</f>
        <v/>
      </c>
      <c r="F12" s="23">
        <f>IFERROR(INDIRECT("'"&amp;$B12&amp;"'!H7"),"")</f>
        <v/>
      </c>
      <c r="G12" s="23">
        <f>IFERROR(INDIRECT("'"&amp;$B12&amp;"'!J7"),"")</f>
        <v/>
      </c>
      <c r="H12" s="24">
        <f>IFERROR(INDIRECT("'"&amp;$B12&amp;"'!H9"),"")</f>
        <v/>
      </c>
      <c r="I12" s="25">
        <f>IFERROR(INDIRECT("'"&amp;$B12&amp;"'!J9"),"")</f>
        <v/>
      </c>
      <c r="J12" s="26">
        <f>IFERROR(INDIRECT("'"&amp;$B12&amp;"'!A13"),"")</f>
        <v/>
      </c>
      <c r="K12" s="26">
        <f>IFERROR(INDIRECT("'"&amp;$B12&amp;"'!C13"),"")</f>
        <v/>
      </c>
      <c r="L12" s="26">
        <f>IFERROR(INDIRECT("'"&amp;$B12&amp;"'!I24"),"")</f>
        <v/>
      </c>
      <c r="M12" s="26">
        <f>IFERROR(INDIRECT("'"&amp;$B12&amp;"'!E13"),"")</f>
        <v/>
      </c>
      <c r="N12" s="27">
        <f>IFERROR(INDIRECT("'"&amp;$B12&amp;"'!G13"),"")</f>
        <v/>
      </c>
      <c r="O12" s="27">
        <f>IFERROR(INDIRECT("'"&amp;$B12&amp;"'!H13"),"")</f>
        <v/>
      </c>
      <c r="P12" s="28">
        <f>IF(OR($N12="",$O12=""),"",ROUND(($N12-$O12)*100,1))</f>
        <v/>
      </c>
      <c r="Q12" s="26">
        <f>IFERROR(INDIRECT("'"&amp;$B12&amp;"'!I13"),"")</f>
        <v/>
      </c>
      <c r="R12" s="29">
        <f>IF($N12="","",IF($N12&gt;=0.35,"Margem boa",IF($N12&gt;=0.25,"Margem apertada","Margem crítica")))</f>
        <v/>
      </c>
      <c r="AH12" s="30">
        <f>IFERROR(INDIRECT("'"&amp;$B12&amp;"'!C16"),"")</f>
        <v/>
      </c>
      <c r="AI12" s="30">
        <f>IFERROR(INDIRECT("'"&amp;$B12&amp;"'!D16"),"")</f>
        <v/>
      </c>
      <c r="AJ12" s="30">
        <f>IFERROR(INDIRECT("'"&amp;$B12&amp;"'!C17"),"")</f>
        <v/>
      </c>
      <c r="AK12" s="30">
        <f>IFERROR(INDIRECT("'"&amp;$B12&amp;"'!D17"),"")</f>
        <v/>
      </c>
      <c r="AL12" s="30">
        <f>IFERROR(INDIRECT("'"&amp;$B12&amp;"'!C18"),"")</f>
        <v/>
      </c>
      <c r="AM12" s="30">
        <f>IFERROR(INDIRECT("'"&amp;$B12&amp;"'!D18"),"")</f>
        <v/>
      </c>
      <c r="AN12" s="30">
        <f>IFERROR(INDIRECT("'"&amp;$B12&amp;"'!C19"),"")</f>
        <v/>
      </c>
      <c r="AO12" s="30">
        <f>IFERROR(INDIRECT("'"&amp;$B12&amp;"'!D19"),"")</f>
        <v/>
      </c>
      <c r="AP12" s="30">
        <f>IFERROR(INDIRECT("'"&amp;$B12&amp;"'!C20"),"")</f>
        <v/>
      </c>
      <c r="AQ12" s="30">
        <f>IFERROR(INDIRECT("'"&amp;$B12&amp;"'!D20"),"")</f>
        <v/>
      </c>
      <c r="AR12" s="30">
        <f>IFERROR(INDIRECT("'"&amp;$B12&amp;"'!C21"),"")</f>
        <v/>
      </c>
      <c r="AS12" s="30">
        <f>IFERROR(INDIRECT("'"&amp;$B12&amp;"'!D21"),"")</f>
        <v/>
      </c>
    </row>
    <row r="13" ht="17" customHeight="1">
      <c r="A13" s="20" t="n">
        <v>3</v>
      </c>
      <c r="B13" s="21" t="inlineStr">
        <is>
          <t>Cristiane Chrys Andrade</t>
        </is>
      </c>
      <c r="C13" s="22">
        <f>IFERROR(INDIRECT("'"&amp;$B13&amp;"'!A7"),"")</f>
        <v/>
      </c>
      <c r="D13" s="22">
        <f>IFERROR(INDIRECT("'"&amp;$B13&amp;"'!A9"),"")</f>
        <v/>
      </c>
      <c r="E13" s="23">
        <f>IFERROR(INDIRECT("'"&amp;$B13&amp;"'!F7"),"")</f>
        <v/>
      </c>
      <c r="F13" s="23">
        <f>IFERROR(INDIRECT("'"&amp;$B13&amp;"'!H7"),"")</f>
        <v/>
      </c>
      <c r="G13" s="23">
        <f>IFERROR(INDIRECT("'"&amp;$B13&amp;"'!J7"),"")</f>
        <v/>
      </c>
      <c r="H13" s="24">
        <f>IFERROR(INDIRECT("'"&amp;$B13&amp;"'!H9"),"")</f>
        <v/>
      </c>
      <c r="I13" s="25">
        <f>IFERROR(INDIRECT("'"&amp;$B13&amp;"'!J9"),"")</f>
        <v/>
      </c>
      <c r="J13" s="26">
        <f>IFERROR(INDIRECT("'"&amp;$B13&amp;"'!A13"),"")</f>
        <v/>
      </c>
      <c r="K13" s="26">
        <f>IFERROR(INDIRECT("'"&amp;$B13&amp;"'!C13"),"")</f>
        <v/>
      </c>
      <c r="L13" s="26">
        <f>IFERROR(INDIRECT("'"&amp;$B13&amp;"'!I24"),"")</f>
        <v/>
      </c>
      <c r="M13" s="26">
        <f>IFERROR(INDIRECT("'"&amp;$B13&amp;"'!E13"),"")</f>
        <v/>
      </c>
      <c r="N13" s="27">
        <f>IFERROR(INDIRECT("'"&amp;$B13&amp;"'!G13"),"")</f>
        <v/>
      </c>
      <c r="O13" s="27">
        <f>IFERROR(INDIRECT("'"&amp;$B13&amp;"'!H13"),"")</f>
        <v/>
      </c>
      <c r="P13" s="28">
        <f>IF(OR($N13="",$O13=""),"",ROUND(($N13-$O13)*100,1))</f>
        <v/>
      </c>
      <c r="Q13" s="26">
        <f>IFERROR(INDIRECT("'"&amp;$B13&amp;"'!I13"),"")</f>
        <v/>
      </c>
      <c r="R13" s="29">
        <f>IF($N13="","",IF($N13&gt;=0.35,"Margem boa",IF($N13&gt;=0.25,"Margem apertada","Margem crítica")))</f>
        <v/>
      </c>
      <c r="AH13" s="30">
        <f>IFERROR(INDIRECT("'"&amp;$B13&amp;"'!C16"),"")</f>
        <v/>
      </c>
      <c r="AI13" s="30">
        <f>IFERROR(INDIRECT("'"&amp;$B13&amp;"'!D16"),"")</f>
        <v/>
      </c>
      <c r="AJ13" s="30">
        <f>IFERROR(INDIRECT("'"&amp;$B13&amp;"'!C17"),"")</f>
        <v/>
      </c>
      <c r="AK13" s="30">
        <f>IFERROR(INDIRECT("'"&amp;$B13&amp;"'!D17"),"")</f>
        <v/>
      </c>
      <c r="AL13" s="30">
        <f>IFERROR(INDIRECT("'"&amp;$B13&amp;"'!C18"),"")</f>
        <v/>
      </c>
      <c r="AM13" s="30">
        <f>IFERROR(INDIRECT("'"&amp;$B13&amp;"'!D18"),"")</f>
        <v/>
      </c>
      <c r="AN13" s="30">
        <f>IFERROR(INDIRECT("'"&amp;$B13&amp;"'!C19"),"")</f>
        <v/>
      </c>
      <c r="AO13" s="30">
        <f>IFERROR(INDIRECT("'"&amp;$B13&amp;"'!D19"),"")</f>
        <v/>
      </c>
      <c r="AP13" s="30">
        <f>IFERROR(INDIRECT("'"&amp;$B13&amp;"'!C20"),"")</f>
        <v/>
      </c>
      <c r="AQ13" s="30">
        <f>IFERROR(INDIRECT("'"&amp;$B13&amp;"'!D20"),"")</f>
        <v/>
      </c>
      <c r="AR13" s="30">
        <f>IFERROR(INDIRECT("'"&amp;$B13&amp;"'!C21"),"")</f>
        <v/>
      </c>
      <c r="AS13" s="30">
        <f>IFERROR(INDIRECT("'"&amp;$B13&amp;"'!D21"),"")</f>
        <v/>
      </c>
    </row>
    <row r="14" ht="17" customHeight="1">
      <c r="A14" s="20" t="n">
        <v>4</v>
      </c>
      <c r="B14" s="21" t="inlineStr">
        <is>
          <t xml:space="preserve">EPE Formas </t>
        </is>
      </c>
      <c r="C14" s="22">
        <f>IFERROR(INDIRECT("'"&amp;$B14&amp;"'!A7"),"")</f>
        <v/>
      </c>
      <c r="D14" s="22">
        <f>IFERROR(INDIRECT("'"&amp;$B14&amp;"'!A9"),"")</f>
        <v/>
      </c>
      <c r="E14" s="23">
        <f>IFERROR(INDIRECT("'"&amp;$B14&amp;"'!F7"),"")</f>
        <v/>
      </c>
      <c r="F14" s="23">
        <f>IFERROR(INDIRECT("'"&amp;$B14&amp;"'!H7"),"")</f>
        <v/>
      </c>
      <c r="G14" s="23">
        <f>IFERROR(INDIRECT("'"&amp;$B14&amp;"'!J7"),"")</f>
        <v/>
      </c>
      <c r="H14" s="24">
        <f>IFERROR(INDIRECT("'"&amp;$B14&amp;"'!H9"),"")</f>
        <v/>
      </c>
      <c r="I14" s="25">
        <f>IFERROR(INDIRECT("'"&amp;$B14&amp;"'!J9"),"")</f>
        <v/>
      </c>
      <c r="J14" s="26">
        <f>IFERROR(INDIRECT("'"&amp;$B14&amp;"'!A13"),"")</f>
        <v/>
      </c>
      <c r="K14" s="26">
        <f>IFERROR(INDIRECT("'"&amp;$B14&amp;"'!C13"),"")</f>
        <v/>
      </c>
      <c r="L14" s="26">
        <f>IFERROR(INDIRECT("'"&amp;$B14&amp;"'!I24"),"")</f>
        <v/>
      </c>
      <c r="M14" s="26">
        <f>IFERROR(INDIRECT("'"&amp;$B14&amp;"'!E13"),"")</f>
        <v/>
      </c>
      <c r="N14" s="27">
        <f>IFERROR(INDIRECT("'"&amp;$B14&amp;"'!G13"),"")</f>
        <v/>
      </c>
      <c r="O14" s="27">
        <f>IFERROR(INDIRECT("'"&amp;$B14&amp;"'!H13"),"")</f>
        <v/>
      </c>
      <c r="P14" s="28">
        <f>IF(OR($N14="",$O14=""),"",ROUND(($N14-$O14)*100,1))</f>
        <v/>
      </c>
      <c r="Q14" s="26">
        <f>IFERROR(INDIRECT("'"&amp;$B14&amp;"'!I13"),"")</f>
        <v/>
      </c>
      <c r="R14" s="29">
        <f>IF($N14="","",IF($N14&gt;=0.35,"Margem boa",IF($N14&gt;=0.25,"Margem apertada","Margem crítica")))</f>
        <v/>
      </c>
      <c r="AH14" s="30">
        <f>IFERROR(INDIRECT("'"&amp;$B14&amp;"'!C16"),"")</f>
        <v/>
      </c>
      <c r="AI14" s="30">
        <f>IFERROR(INDIRECT("'"&amp;$B14&amp;"'!D16"),"")</f>
        <v/>
      </c>
      <c r="AJ14" s="30">
        <f>IFERROR(INDIRECT("'"&amp;$B14&amp;"'!C17"),"")</f>
        <v/>
      </c>
      <c r="AK14" s="30">
        <f>IFERROR(INDIRECT("'"&amp;$B14&amp;"'!D17"),"")</f>
        <v/>
      </c>
      <c r="AL14" s="30">
        <f>IFERROR(INDIRECT("'"&amp;$B14&amp;"'!C18"),"")</f>
        <v/>
      </c>
      <c r="AM14" s="30">
        <f>IFERROR(INDIRECT("'"&amp;$B14&amp;"'!D18"),"")</f>
        <v/>
      </c>
      <c r="AN14" s="30">
        <f>IFERROR(INDIRECT("'"&amp;$B14&amp;"'!C19"),"")</f>
        <v/>
      </c>
      <c r="AO14" s="30">
        <f>IFERROR(INDIRECT("'"&amp;$B14&amp;"'!D19"),"")</f>
        <v/>
      </c>
      <c r="AP14" s="30">
        <f>IFERROR(INDIRECT("'"&amp;$B14&amp;"'!C20"),"")</f>
        <v/>
      </c>
      <c r="AQ14" s="30">
        <f>IFERROR(INDIRECT("'"&amp;$B14&amp;"'!D20"),"")</f>
        <v/>
      </c>
      <c r="AR14" s="30">
        <f>IFERROR(INDIRECT("'"&amp;$B14&amp;"'!C21"),"")</f>
        <v/>
      </c>
      <c r="AS14" s="30">
        <f>IFERROR(INDIRECT("'"&amp;$B14&amp;"'!D21"),"")</f>
        <v/>
      </c>
    </row>
    <row r="15" ht="17" customHeight="1">
      <c r="A15" s="20" t="n">
        <v>5</v>
      </c>
      <c r="B15" s="21" t="inlineStr">
        <is>
          <t xml:space="preserve">Flavia </t>
        </is>
      </c>
      <c r="C15" s="22">
        <f>IFERROR(INDIRECT("'"&amp;$B15&amp;"'!A7"),"")</f>
        <v/>
      </c>
      <c r="D15" s="22">
        <f>IFERROR(INDIRECT("'"&amp;$B15&amp;"'!A9"),"")</f>
        <v/>
      </c>
      <c r="E15" s="23">
        <f>IFERROR(INDIRECT("'"&amp;$B15&amp;"'!F7"),"")</f>
        <v/>
      </c>
      <c r="F15" s="23">
        <f>IFERROR(INDIRECT("'"&amp;$B15&amp;"'!H7"),"")</f>
        <v/>
      </c>
      <c r="G15" s="23">
        <f>IFERROR(INDIRECT("'"&amp;$B15&amp;"'!J7"),"")</f>
        <v/>
      </c>
      <c r="H15" s="24">
        <f>IFERROR(INDIRECT("'"&amp;$B15&amp;"'!H9"),"")</f>
        <v/>
      </c>
      <c r="I15" s="25">
        <f>IFERROR(INDIRECT("'"&amp;$B15&amp;"'!J9"),"")</f>
        <v/>
      </c>
      <c r="J15" s="26">
        <f>IFERROR(INDIRECT("'"&amp;$B15&amp;"'!A13"),"")</f>
        <v/>
      </c>
      <c r="K15" s="26">
        <f>IFERROR(INDIRECT("'"&amp;$B15&amp;"'!C13"),"")</f>
        <v/>
      </c>
      <c r="L15" s="26">
        <f>IFERROR(INDIRECT("'"&amp;$B15&amp;"'!I24"),"")</f>
        <v/>
      </c>
      <c r="M15" s="26">
        <f>IFERROR(INDIRECT("'"&amp;$B15&amp;"'!E13"),"")</f>
        <v/>
      </c>
      <c r="N15" s="27">
        <f>IFERROR(INDIRECT("'"&amp;$B15&amp;"'!G13"),"")</f>
        <v/>
      </c>
      <c r="O15" s="27">
        <f>IFERROR(INDIRECT("'"&amp;$B15&amp;"'!H13"),"")</f>
        <v/>
      </c>
      <c r="P15" s="28">
        <f>IF(OR($N15="",$O15=""),"",ROUND(($N15-$O15)*100,1))</f>
        <v/>
      </c>
      <c r="Q15" s="26">
        <f>IFERROR(INDIRECT("'"&amp;$B15&amp;"'!I13"),"")</f>
        <v/>
      </c>
      <c r="R15" s="29">
        <f>IF($N15="","",IF($N15&gt;=0.35,"Margem boa",IF($N15&gt;=0.25,"Margem apertada","Margem crítica")))</f>
        <v/>
      </c>
      <c r="AH15" s="30">
        <f>IFERROR(INDIRECT("'"&amp;$B15&amp;"'!C16"),"")</f>
        <v/>
      </c>
      <c r="AI15" s="30">
        <f>IFERROR(INDIRECT("'"&amp;$B15&amp;"'!D16"),"")</f>
        <v/>
      </c>
      <c r="AJ15" s="30">
        <f>IFERROR(INDIRECT("'"&amp;$B15&amp;"'!C17"),"")</f>
        <v/>
      </c>
      <c r="AK15" s="30">
        <f>IFERROR(INDIRECT("'"&amp;$B15&amp;"'!D17"),"")</f>
        <v/>
      </c>
      <c r="AL15" s="30">
        <f>IFERROR(INDIRECT("'"&amp;$B15&amp;"'!C18"),"")</f>
        <v/>
      </c>
      <c r="AM15" s="30">
        <f>IFERROR(INDIRECT("'"&amp;$B15&amp;"'!D18"),"")</f>
        <v/>
      </c>
      <c r="AN15" s="30">
        <f>IFERROR(INDIRECT("'"&amp;$B15&amp;"'!C19"),"")</f>
        <v/>
      </c>
      <c r="AO15" s="30">
        <f>IFERROR(INDIRECT("'"&amp;$B15&amp;"'!D19"),"")</f>
        <v/>
      </c>
      <c r="AP15" s="30">
        <f>IFERROR(INDIRECT("'"&amp;$B15&amp;"'!C20"),"")</f>
        <v/>
      </c>
      <c r="AQ15" s="30">
        <f>IFERROR(INDIRECT("'"&amp;$B15&amp;"'!D20"),"")</f>
        <v/>
      </c>
      <c r="AR15" s="30">
        <f>IFERROR(INDIRECT("'"&amp;$B15&amp;"'!C21"),"")</f>
        <v/>
      </c>
      <c r="AS15" s="30">
        <f>IFERROR(INDIRECT("'"&amp;$B15&amp;"'!D21"),"")</f>
        <v/>
      </c>
    </row>
    <row r="16" ht="17" customHeight="1">
      <c r="A16" s="20" t="n">
        <v>6</v>
      </c>
      <c r="B16" s="21" t="inlineStr">
        <is>
          <t>Jairo</t>
        </is>
      </c>
      <c r="C16" s="22">
        <f>IFERROR(INDIRECT("'"&amp;$B16&amp;"'!A7"),"")</f>
        <v/>
      </c>
      <c r="D16" s="22">
        <f>IFERROR(INDIRECT("'"&amp;$B16&amp;"'!A9"),"")</f>
        <v/>
      </c>
      <c r="E16" s="23">
        <f>IFERROR(INDIRECT("'"&amp;$B16&amp;"'!F7"),"")</f>
        <v/>
      </c>
      <c r="F16" s="23">
        <f>IFERROR(INDIRECT("'"&amp;$B16&amp;"'!H7"),"")</f>
        <v/>
      </c>
      <c r="G16" s="23">
        <f>IFERROR(INDIRECT("'"&amp;$B16&amp;"'!J7"),"")</f>
        <v/>
      </c>
      <c r="H16" s="24">
        <f>IFERROR(INDIRECT("'"&amp;$B16&amp;"'!H9"),"")</f>
        <v/>
      </c>
      <c r="I16" s="25">
        <f>IFERROR(INDIRECT("'"&amp;$B16&amp;"'!J9"),"")</f>
        <v/>
      </c>
      <c r="J16" s="26">
        <f>IFERROR(INDIRECT("'"&amp;$B16&amp;"'!A13"),"")</f>
        <v/>
      </c>
      <c r="K16" s="26">
        <f>IFERROR(INDIRECT("'"&amp;$B16&amp;"'!C13"),"")</f>
        <v/>
      </c>
      <c r="L16" s="26">
        <f>IFERROR(INDIRECT("'"&amp;$B16&amp;"'!I24"),"")</f>
        <v/>
      </c>
      <c r="M16" s="26">
        <f>IFERROR(INDIRECT("'"&amp;$B16&amp;"'!E13"),"")</f>
        <v/>
      </c>
      <c r="N16" s="27">
        <f>IFERROR(INDIRECT("'"&amp;$B16&amp;"'!G13"),"")</f>
        <v/>
      </c>
      <c r="O16" s="27">
        <f>IFERROR(INDIRECT("'"&amp;$B16&amp;"'!H13"),"")</f>
        <v/>
      </c>
      <c r="P16" s="28">
        <f>IF(OR($N16="",$O16=""),"",ROUND(($N16-$O16)*100,1))</f>
        <v/>
      </c>
      <c r="Q16" s="26">
        <f>IFERROR(INDIRECT("'"&amp;$B16&amp;"'!I13"),"")</f>
        <v/>
      </c>
      <c r="R16" s="29">
        <f>IF($N16="","",IF($N16&gt;=0.35,"Margem boa",IF($N16&gt;=0.25,"Margem apertada","Margem crítica")))</f>
        <v/>
      </c>
      <c r="AH16" s="30">
        <f>IFERROR(INDIRECT("'"&amp;$B16&amp;"'!C16"),"")</f>
        <v/>
      </c>
      <c r="AI16" s="30">
        <f>IFERROR(INDIRECT("'"&amp;$B16&amp;"'!D16"),"")</f>
        <v/>
      </c>
      <c r="AJ16" s="30">
        <f>IFERROR(INDIRECT("'"&amp;$B16&amp;"'!C17"),"")</f>
        <v/>
      </c>
      <c r="AK16" s="30">
        <f>IFERROR(INDIRECT("'"&amp;$B16&amp;"'!D17"),"")</f>
        <v/>
      </c>
      <c r="AL16" s="30">
        <f>IFERROR(INDIRECT("'"&amp;$B16&amp;"'!C18"),"")</f>
        <v/>
      </c>
      <c r="AM16" s="30">
        <f>IFERROR(INDIRECT("'"&amp;$B16&amp;"'!D18"),"")</f>
        <v/>
      </c>
      <c r="AN16" s="30">
        <f>IFERROR(INDIRECT("'"&amp;$B16&amp;"'!C19"),"")</f>
        <v/>
      </c>
      <c r="AO16" s="30">
        <f>IFERROR(INDIRECT("'"&amp;$B16&amp;"'!D19"),"")</f>
        <v/>
      </c>
      <c r="AP16" s="30">
        <f>IFERROR(INDIRECT("'"&amp;$B16&amp;"'!C20"),"")</f>
        <v/>
      </c>
      <c r="AQ16" s="30">
        <f>IFERROR(INDIRECT("'"&amp;$B16&amp;"'!D20"),"")</f>
        <v/>
      </c>
      <c r="AR16" s="30">
        <f>IFERROR(INDIRECT("'"&amp;$B16&amp;"'!C21"),"")</f>
        <v/>
      </c>
      <c r="AS16" s="30">
        <f>IFERROR(INDIRECT("'"&amp;$B16&amp;"'!D21"),"")</f>
        <v/>
      </c>
    </row>
    <row r="17" ht="17" customHeight="1">
      <c r="A17" s="20" t="n">
        <v>7</v>
      </c>
      <c r="B17" s="21" t="inlineStr">
        <is>
          <t xml:space="preserve">Graciene </t>
        </is>
      </c>
      <c r="C17" s="22">
        <f>IFERROR(INDIRECT("'"&amp;$B17&amp;"'!A7"),"")</f>
        <v/>
      </c>
      <c r="D17" s="22">
        <f>IFERROR(INDIRECT("'"&amp;$B17&amp;"'!A9"),"")</f>
        <v/>
      </c>
      <c r="E17" s="23">
        <f>IFERROR(INDIRECT("'"&amp;$B17&amp;"'!F7"),"")</f>
        <v/>
      </c>
      <c r="F17" s="23">
        <f>IFERROR(INDIRECT("'"&amp;$B17&amp;"'!H7"),"")</f>
        <v/>
      </c>
      <c r="G17" s="23">
        <f>IFERROR(INDIRECT("'"&amp;$B17&amp;"'!J7"),"")</f>
        <v/>
      </c>
      <c r="H17" s="24">
        <f>IFERROR(INDIRECT("'"&amp;$B17&amp;"'!H9"),"")</f>
        <v/>
      </c>
      <c r="I17" s="25">
        <f>IFERROR(INDIRECT("'"&amp;$B17&amp;"'!J9"),"")</f>
        <v/>
      </c>
      <c r="J17" s="26">
        <f>IFERROR(INDIRECT("'"&amp;$B17&amp;"'!A13"),"")</f>
        <v/>
      </c>
      <c r="K17" s="26">
        <f>IFERROR(INDIRECT("'"&amp;$B17&amp;"'!C13"),"")</f>
        <v/>
      </c>
      <c r="L17" s="26">
        <f>IFERROR(INDIRECT("'"&amp;$B17&amp;"'!I24"),"")</f>
        <v/>
      </c>
      <c r="M17" s="26">
        <f>IFERROR(INDIRECT("'"&amp;$B17&amp;"'!E13"),"")</f>
        <v/>
      </c>
      <c r="N17" s="27">
        <f>IFERROR(INDIRECT("'"&amp;$B17&amp;"'!G13"),"")</f>
        <v/>
      </c>
      <c r="O17" s="27">
        <f>IFERROR(INDIRECT("'"&amp;$B17&amp;"'!H13"),"")</f>
        <v/>
      </c>
      <c r="P17" s="28">
        <f>IF(OR($N17="",$O17=""),"",ROUND(($N17-$O17)*100,1))</f>
        <v/>
      </c>
      <c r="Q17" s="26">
        <f>IFERROR(INDIRECT("'"&amp;$B17&amp;"'!I13"),"")</f>
        <v/>
      </c>
      <c r="R17" s="29">
        <f>IF($N17="","",IF($N17&gt;=0.35,"Margem boa",IF($N17&gt;=0.25,"Margem apertada","Margem crítica")))</f>
        <v/>
      </c>
      <c r="AH17" s="30">
        <f>IFERROR(INDIRECT("'"&amp;$B17&amp;"'!C16"),"")</f>
        <v/>
      </c>
      <c r="AI17" s="30">
        <f>IFERROR(INDIRECT("'"&amp;$B17&amp;"'!D16"),"")</f>
        <v/>
      </c>
      <c r="AJ17" s="30">
        <f>IFERROR(INDIRECT("'"&amp;$B17&amp;"'!C17"),"")</f>
        <v/>
      </c>
      <c r="AK17" s="30">
        <f>IFERROR(INDIRECT("'"&amp;$B17&amp;"'!D17"),"")</f>
        <v/>
      </c>
      <c r="AL17" s="30">
        <f>IFERROR(INDIRECT("'"&amp;$B17&amp;"'!C18"),"")</f>
        <v/>
      </c>
      <c r="AM17" s="30">
        <f>IFERROR(INDIRECT("'"&amp;$B17&amp;"'!D18"),"")</f>
        <v/>
      </c>
      <c r="AN17" s="30">
        <f>IFERROR(INDIRECT("'"&amp;$B17&amp;"'!C19"),"")</f>
        <v/>
      </c>
      <c r="AO17" s="30">
        <f>IFERROR(INDIRECT("'"&amp;$B17&amp;"'!D19"),"")</f>
        <v/>
      </c>
      <c r="AP17" s="30">
        <f>IFERROR(INDIRECT("'"&amp;$B17&amp;"'!C20"),"")</f>
        <v/>
      </c>
      <c r="AQ17" s="30">
        <f>IFERROR(INDIRECT("'"&amp;$B17&amp;"'!D20"),"")</f>
        <v/>
      </c>
      <c r="AR17" s="30">
        <f>IFERROR(INDIRECT("'"&amp;$B17&amp;"'!C21"),"")</f>
        <v/>
      </c>
      <c r="AS17" s="30">
        <f>IFERROR(INDIRECT("'"&amp;$B17&amp;"'!D21"),"")</f>
        <v/>
      </c>
    </row>
    <row r="18" ht="17" customHeight="1">
      <c r="A18" s="20" t="n">
        <v>8</v>
      </c>
      <c r="B18" s="21" t="inlineStr">
        <is>
          <t xml:space="preserve">Larissa </t>
        </is>
      </c>
      <c r="C18" s="22">
        <f>IFERROR(INDIRECT("'"&amp;$B18&amp;"'!A7"),"")</f>
        <v/>
      </c>
      <c r="D18" s="22">
        <f>IFERROR(INDIRECT("'"&amp;$B18&amp;"'!A9"),"")</f>
        <v/>
      </c>
      <c r="E18" s="23">
        <f>IFERROR(INDIRECT("'"&amp;$B18&amp;"'!F7"),"")</f>
        <v/>
      </c>
      <c r="F18" s="23">
        <f>IFERROR(INDIRECT("'"&amp;$B18&amp;"'!H7"),"")</f>
        <v/>
      </c>
      <c r="G18" s="23">
        <f>IFERROR(INDIRECT("'"&amp;$B18&amp;"'!J7"),"")</f>
        <v/>
      </c>
      <c r="H18" s="24">
        <f>IFERROR(INDIRECT("'"&amp;$B18&amp;"'!H9"),"")</f>
        <v/>
      </c>
      <c r="I18" s="25">
        <f>IFERROR(INDIRECT("'"&amp;$B18&amp;"'!J9"),"")</f>
        <v/>
      </c>
      <c r="J18" s="26">
        <f>IFERROR(INDIRECT("'"&amp;$B18&amp;"'!A13"),"")</f>
        <v/>
      </c>
      <c r="K18" s="26">
        <f>IFERROR(INDIRECT("'"&amp;$B18&amp;"'!C13"),"")</f>
        <v/>
      </c>
      <c r="L18" s="26">
        <f>IFERROR(INDIRECT("'"&amp;$B18&amp;"'!I24"),"")</f>
        <v/>
      </c>
      <c r="M18" s="26">
        <f>IFERROR(INDIRECT("'"&amp;$B18&amp;"'!E13"),"")</f>
        <v/>
      </c>
      <c r="N18" s="27">
        <f>IFERROR(INDIRECT("'"&amp;$B18&amp;"'!G13"),"")</f>
        <v/>
      </c>
      <c r="O18" s="27">
        <f>IFERROR(INDIRECT("'"&amp;$B18&amp;"'!H13"),"")</f>
        <v/>
      </c>
      <c r="P18" s="28">
        <f>IF(OR($N18="",$O18=""),"",ROUND(($N18-$O18)*100,1))</f>
        <v/>
      </c>
      <c r="Q18" s="26">
        <f>IFERROR(INDIRECT("'"&amp;$B18&amp;"'!I13"),"")</f>
        <v/>
      </c>
      <c r="R18" s="29">
        <f>IF($N18="","",IF($N18&gt;=0.35,"Margem boa",IF($N18&gt;=0.25,"Margem apertada","Margem crítica")))</f>
        <v/>
      </c>
      <c r="AH18" s="30">
        <f>IFERROR(INDIRECT("'"&amp;$B18&amp;"'!C16"),"")</f>
        <v/>
      </c>
      <c r="AI18" s="30">
        <f>IFERROR(INDIRECT("'"&amp;$B18&amp;"'!D16"),"")</f>
        <v/>
      </c>
      <c r="AJ18" s="30">
        <f>IFERROR(INDIRECT("'"&amp;$B18&amp;"'!C17"),"")</f>
        <v/>
      </c>
      <c r="AK18" s="30">
        <f>IFERROR(INDIRECT("'"&amp;$B18&amp;"'!D17"),"")</f>
        <v/>
      </c>
      <c r="AL18" s="30">
        <f>IFERROR(INDIRECT("'"&amp;$B18&amp;"'!C18"),"")</f>
        <v/>
      </c>
      <c r="AM18" s="30">
        <f>IFERROR(INDIRECT("'"&amp;$B18&amp;"'!D18"),"")</f>
        <v/>
      </c>
      <c r="AN18" s="30">
        <f>IFERROR(INDIRECT("'"&amp;$B18&amp;"'!C19"),"")</f>
        <v/>
      </c>
      <c r="AO18" s="30">
        <f>IFERROR(INDIRECT("'"&amp;$B18&amp;"'!D19"),"")</f>
        <v/>
      </c>
      <c r="AP18" s="30">
        <f>IFERROR(INDIRECT("'"&amp;$B18&amp;"'!C20"),"")</f>
        <v/>
      </c>
      <c r="AQ18" s="30">
        <f>IFERROR(INDIRECT("'"&amp;$B18&amp;"'!D20"),"")</f>
        <v/>
      </c>
      <c r="AR18" s="30">
        <f>IFERROR(INDIRECT("'"&amp;$B18&amp;"'!C21"),"")</f>
        <v/>
      </c>
      <c r="AS18" s="30">
        <f>IFERROR(INDIRECT("'"&amp;$B18&amp;"'!D21"),"")</f>
        <v/>
      </c>
    </row>
    <row r="19" ht="17" customHeight="1">
      <c r="A19" s="20" t="n">
        <v>9</v>
      </c>
      <c r="B19" s="21" t="inlineStr">
        <is>
          <t xml:space="preserve">Leonardo </t>
        </is>
      </c>
      <c r="C19" s="22">
        <f>IFERROR(INDIRECT("'"&amp;$B19&amp;"'!A7"),"")</f>
        <v/>
      </c>
      <c r="D19" s="22">
        <f>IFERROR(INDIRECT("'"&amp;$B19&amp;"'!A9"),"")</f>
        <v/>
      </c>
      <c r="E19" s="23">
        <f>IFERROR(INDIRECT("'"&amp;$B19&amp;"'!F7"),"")</f>
        <v/>
      </c>
      <c r="F19" s="23">
        <f>IFERROR(INDIRECT("'"&amp;$B19&amp;"'!H7"),"")</f>
        <v/>
      </c>
      <c r="G19" s="23">
        <f>IFERROR(INDIRECT("'"&amp;$B19&amp;"'!J7"),"")</f>
        <v/>
      </c>
      <c r="H19" s="24">
        <f>IFERROR(INDIRECT("'"&amp;$B19&amp;"'!H9"),"")</f>
        <v/>
      </c>
      <c r="I19" s="25">
        <f>IFERROR(INDIRECT("'"&amp;$B19&amp;"'!J9"),"")</f>
        <v/>
      </c>
      <c r="J19" s="26">
        <f>IFERROR(INDIRECT("'"&amp;$B19&amp;"'!A13"),"")</f>
        <v/>
      </c>
      <c r="K19" s="26">
        <f>IFERROR(INDIRECT("'"&amp;$B19&amp;"'!C13"),"")</f>
        <v/>
      </c>
      <c r="L19" s="26">
        <f>IFERROR(INDIRECT("'"&amp;$B19&amp;"'!I24"),"")</f>
        <v/>
      </c>
      <c r="M19" s="26">
        <f>IFERROR(INDIRECT("'"&amp;$B19&amp;"'!E13"),"")</f>
        <v/>
      </c>
      <c r="N19" s="27">
        <f>IFERROR(INDIRECT("'"&amp;$B19&amp;"'!G13"),"")</f>
        <v/>
      </c>
      <c r="O19" s="27">
        <f>IFERROR(INDIRECT("'"&amp;$B19&amp;"'!H13"),"")</f>
        <v/>
      </c>
      <c r="P19" s="28">
        <f>IF(OR($N19="",$O19=""),"",ROUND(($N19-$O19)*100,1))</f>
        <v/>
      </c>
      <c r="Q19" s="26">
        <f>IFERROR(INDIRECT("'"&amp;$B19&amp;"'!I13"),"")</f>
        <v/>
      </c>
      <c r="R19" s="29">
        <f>IF($N19="","",IF($N19&gt;=0.35,"Margem boa",IF($N19&gt;=0.25,"Margem apertada","Margem crítica")))</f>
        <v/>
      </c>
      <c r="AH19" s="30">
        <f>IFERROR(INDIRECT("'"&amp;$B19&amp;"'!C16"),"")</f>
        <v/>
      </c>
      <c r="AI19" s="30">
        <f>IFERROR(INDIRECT("'"&amp;$B19&amp;"'!D16"),"")</f>
        <v/>
      </c>
      <c r="AJ19" s="30">
        <f>IFERROR(INDIRECT("'"&amp;$B19&amp;"'!C17"),"")</f>
        <v/>
      </c>
      <c r="AK19" s="30">
        <f>IFERROR(INDIRECT("'"&amp;$B19&amp;"'!D17"),"")</f>
        <v/>
      </c>
      <c r="AL19" s="30">
        <f>IFERROR(INDIRECT("'"&amp;$B19&amp;"'!C18"),"")</f>
        <v/>
      </c>
      <c r="AM19" s="30">
        <f>IFERROR(INDIRECT("'"&amp;$B19&amp;"'!D18"),"")</f>
        <v/>
      </c>
      <c r="AN19" s="30">
        <f>IFERROR(INDIRECT("'"&amp;$B19&amp;"'!C19"),"")</f>
        <v/>
      </c>
      <c r="AO19" s="30">
        <f>IFERROR(INDIRECT("'"&amp;$B19&amp;"'!D19"),"")</f>
        <v/>
      </c>
      <c r="AP19" s="30">
        <f>IFERROR(INDIRECT("'"&amp;$B19&amp;"'!C20"),"")</f>
        <v/>
      </c>
      <c r="AQ19" s="30">
        <f>IFERROR(INDIRECT("'"&amp;$B19&amp;"'!D20"),"")</f>
        <v/>
      </c>
      <c r="AR19" s="30">
        <f>IFERROR(INDIRECT("'"&amp;$B19&amp;"'!C21"),"")</f>
        <v/>
      </c>
      <c r="AS19" s="30">
        <f>IFERROR(INDIRECT("'"&amp;$B19&amp;"'!D21"),"")</f>
        <v/>
      </c>
    </row>
    <row r="20" ht="17" customHeight="1">
      <c r="A20" s="20" t="n">
        <v>10</v>
      </c>
      <c r="B20" s="21" t="inlineStr">
        <is>
          <t xml:space="preserve">Luiz </t>
        </is>
      </c>
      <c r="C20" s="22">
        <f>IFERROR(INDIRECT("'"&amp;$B20&amp;"'!A7"),"")</f>
        <v/>
      </c>
      <c r="D20" s="22">
        <f>IFERROR(INDIRECT("'"&amp;$B20&amp;"'!A9"),"")</f>
        <v/>
      </c>
      <c r="E20" s="23">
        <f>IFERROR(INDIRECT("'"&amp;$B20&amp;"'!F7"),"")</f>
        <v/>
      </c>
      <c r="F20" s="23">
        <f>IFERROR(INDIRECT("'"&amp;$B20&amp;"'!H7"),"")</f>
        <v/>
      </c>
      <c r="G20" s="23">
        <f>IFERROR(INDIRECT("'"&amp;$B20&amp;"'!J7"),"")</f>
        <v/>
      </c>
      <c r="H20" s="24">
        <f>IFERROR(INDIRECT("'"&amp;$B20&amp;"'!H9"),"")</f>
        <v/>
      </c>
      <c r="I20" s="25">
        <f>IFERROR(INDIRECT("'"&amp;$B20&amp;"'!J9"),"")</f>
        <v/>
      </c>
      <c r="J20" s="26">
        <f>IFERROR(INDIRECT("'"&amp;$B20&amp;"'!A13"),"")</f>
        <v/>
      </c>
      <c r="K20" s="26">
        <f>IFERROR(INDIRECT("'"&amp;$B20&amp;"'!C13"),"")</f>
        <v/>
      </c>
      <c r="L20" s="26">
        <f>IFERROR(INDIRECT("'"&amp;$B20&amp;"'!I24"),"")</f>
        <v/>
      </c>
      <c r="M20" s="26">
        <f>IFERROR(INDIRECT("'"&amp;$B20&amp;"'!E13"),"")</f>
        <v/>
      </c>
      <c r="N20" s="27">
        <f>IFERROR(INDIRECT("'"&amp;$B20&amp;"'!G13"),"")</f>
        <v/>
      </c>
      <c r="O20" s="27">
        <f>IFERROR(INDIRECT("'"&amp;$B20&amp;"'!H13"),"")</f>
        <v/>
      </c>
      <c r="P20" s="28">
        <f>IF(OR($N20="",$O20=""),"",ROUND(($N20-$O20)*100,1))</f>
        <v/>
      </c>
      <c r="Q20" s="26">
        <f>IFERROR(INDIRECT("'"&amp;$B20&amp;"'!I13"),"")</f>
        <v/>
      </c>
      <c r="R20" s="29">
        <f>IF($N20="","",IF($N20&gt;=0.35,"Margem boa",IF($N20&gt;=0.25,"Margem apertada","Margem crítica")))</f>
        <v/>
      </c>
      <c r="AH20" s="30">
        <f>IFERROR(INDIRECT("'"&amp;$B20&amp;"'!C16"),"")</f>
        <v/>
      </c>
      <c r="AI20" s="30">
        <f>IFERROR(INDIRECT("'"&amp;$B20&amp;"'!D16"),"")</f>
        <v/>
      </c>
      <c r="AJ20" s="30">
        <f>IFERROR(INDIRECT("'"&amp;$B20&amp;"'!C17"),"")</f>
        <v/>
      </c>
      <c r="AK20" s="30">
        <f>IFERROR(INDIRECT("'"&amp;$B20&amp;"'!D17"),"")</f>
        <v/>
      </c>
      <c r="AL20" s="30">
        <f>IFERROR(INDIRECT("'"&amp;$B20&amp;"'!C18"),"")</f>
        <v/>
      </c>
      <c r="AM20" s="30">
        <f>IFERROR(INDIRECT("'"&amp;$B20&amp;"'!D18"),"")</f>
        <v/>
      </c>
      <c r="AN20" s="30">
        <f>IFERROR(INDIRECT("'"&amp;$B20&amp;"'!C19"),"")</f>
        <v/>
      </c>
      <c r="AO20" s="30">
        <f>IFERROR(INDIRECT("'"&amp;$B20&amp;"'!D19"),"")</f>
        <v/>
      </c>
      <c r="AP20" s="30">
        <f>IFERROR(INDIRECT("'"&amp;$B20&amp;"'!C20"),"")</f>
        <v/>
      </c>
      <c r="AQ20" s="30">
        <f>IFERROR(INDIRECT("'"&amp;$B20&amp;"'!D20"),"")</f>
        <v/>
      </c>
      <c r="AR20" s="30">
        <f>IFERROR(INDIRECT("'"&amp;$B20&amp;"'!C21"),"")</f>
        <v/>
      </c>
      <c r="AS20" s="30">
        <f>IFERROR(INDIRECT("'"&amp;$B20&amp;"'!D21"),"")</f>
        <v/>
      </c>
    </row>
    <row r="21" ht="17" customHeight="1">
      <c r="A21" s="20" t="n">
        <v>11</v>
      </c>
      <c r="B21" s="21" t="inlineStr">
        <is>
          <t>Carla Dresller</t>
        </is>
      </c>
      <c r="C21" s="22">
        <f>IFERROR(INDIRECT("'"&amp;$B21&amp;"'!A7"),"")</f>
        <v/>
      </c>
      <c r="D21" s="22">
        <f>IFERROR(INDIRECT("'"&amp;$B21&amp;"'!A9"),"")</f>
        <v/>
      </c>
      <c r="E21" s="23">
        <f>IFERROR(INDIRECT("'"&amp;$B21&amp;"'!F7"),"")</f>
        <v/>
      </c>
      <c r="F21" s="23">
        <f>IFERROR(INDIRECT("'"&amp;$B21&amp;"'!H7"),"")</f>
        <v/>
      </c>
      <c r="G21" s="23">
        <f>IFERROR(INDIRECT("'"&amp;$B21&amp;"'!J7"),"")</f>
        <v/>
      </c>
      <c r="H21" s="24">
        <f>IFERROR(INDIRECT("'"&amp;$B21&amp;"'!H9"),"")</f>
        <v/>
      </c>
      <c r="I21" s="25">
        <f>IFERROR(INDIRECT("'"&amp;$B21&amp;"'!J9"),"")</f>
        <v/>
      </c>
      <c r="J21" s="26">
        <f>IFERROR(INDIRECT("'"&amp;$B21&amp;"'!A13"),"")</f>
        <v/>
      </c>
      <c r="K21" s="26">
        <f>IFERROR(INDIRECT("'"&amp;$B21&amp;"'!C13"),"")</f>
        <v/>
      </c>
      <c r="L21" s="26">
        <f>IFERROR(INDIRECT("'"&amp;$B21&amp;"'!I24"),"")</f>
        <v/>
      </c>
      <c r="M21" s="26">
        <f>IFERROR(INDIRECT("'"&amp;$B21&amp;"'!E13"),"")</f>
        <v/>
      </c>
      <c r="N21" s="27">
        <f>IFERROR(INDIRECT("'"&amp;$B21&amp;"'!G13"),"")</f>
        <v/>
      </c>
      <c r="O21" s="27">
        <f>IFERROR(INDIRECT("'"&amp;$B21&amp;"'!H13"),"")</f>
        <v/>
      </c>
      <c r="P21" s="28">
        <f>IF(OR($N21="",$O21=""),"",ROUND(($N21-$O21)*100,1))</f>
        <v/>
      </c>
      <c r="Q21" s="26">
        <f>IFERROR(INDIRECT("'"&amp;$B21&amp;"'!I13"),"")</f>
        <v/>
      </c>
      <c r="R21" s="29">
        <f>IF($N21="","",IF($N21&gt;=0.35,"Margem boa",IF($N21&gt;=0.25,"Margem apertada","Margem crítica")))</f>
        <v/>
      </c>
      <c r="AH21" s="30">
        <f>IFERROR(INDIRECT("'"&amp;$B21&amp;"'!C16"),"")</f>
        <v/>
      </c>
      <c r="AI21" s="30">
        <f>IFERROR(INDIRECT("'"&amp;$B21&amp;"'!D16"),"")</f>
        <v/>
      </c>
      <c r="AJ21" s="30">
        <f>IFERROR(INDIRECT("'"&amp;$B21&amp;"'!C17"),"")</f>
        <v/>
      </c>
      <c r="AK21" s="30">
        <f>IFERROR(INDIRECT("'"&amp;$B21&amp;"'!D17"),"")</f>
        <v/>
      </c>
      <c r="AL21" s="30">
        <f>IFERROR(INDIRECT("'"&amp;$B21&amp;"'!C18"),"")</f>
        <v/>
      </c>
      <c r="AM21" s="30">
        <f>IFERROR(INDIRECT("'"&amp;$B21&amp;"'!D18"),"")</f>
        <v/>
      </c>
      <c r="AN21" s="30">
        <f>IFERROR(INDIRECT("'"&amp;$B21&amp;"'!C19"),"")</f>
        <v/>
      </c>
      <c r="AO21" s="30">
        <f>IFERROR(INDIRECT("'"&amp;$B21&amp;"'!D19"),"")</f>
        <v/>
      </c>
      <c r="AP21" s="30">
        <f>IFERROR(INDIRECT("'"&amp;$B21&amp;"'!C20"),"")</f>
        <v/>
      </c>
      <c r="AQ21" s="30">
        <f>IFERROR(INDIRECT("'"&amp;$B21&amp;"'!D20"),"")</f>
        <v/>
      </c>
      <c r="AR21" s="30">
        <f>IFERROR(INDIRECT("'"&amp;$B21&amp;"'!C21"),"")</f>
        <v/>
      </c>
      <c r="AS21" s="30">
        <f>IFERROR(INDIRECT("'"&amp;$B21&amp;"'!D21"),"")</f>
        <v/>
      </c>
    </row>
    <row r="22" ht="17" customHeight="1">
      <c r="A22" s="20" t="n">
        <v>12</v>
      </c>
      <c r="B22" s="21" t="inlineStr">
        <is>
          <t xml:space="preserve">Maria </t>
        </is>
      </c>
      <c r="C22" s="22">
        <f>IFERROR(INDIRECT("'"&amp;$B22&amp;"'!A7"),"")</f>
        <v/>
      </c>
      <c r="D22" s="22">
        <f>IFERROR(INDIRECT("'"&amp;$B22&amp;"'!A9"),"")</f>
        <v/>
      </c>
      <c r="E22" s="23">
        <f>IFERROR(INDIRECT("'"&amp;$B22&amp;"'!F7"),"")</f>
        <v/>
      </c>
      <c r="F22" s="23">
        <f>IFERROR(INDIRECT("'"&amp;$B22&amp;"'!H7"),"")</f>
        <v/>
      </c>
      <c r="G22" s="23">
        <f>IFERROR(INDIRECT("'"&amp;$B22&amp;"'!J7"),"")</f>
        <v/>
      </c>
      <c r="H22" s="24">
        <f>IFERROR(INDIRECT("'"&amp;$B22&amp;"'!H9"),"")</f>
        <v/>
      </c>
      <c r="I22" s="25">
        <f>IFERROR(INDIRECT("'"&amp;$B22&amp;"'!J9"),"")</f>
        <v/>
      </c>
      <c r="J22" s="26">
        <f>IFERROR(INDIRECT("'"&amp;$B22&amp;"'!A13"),"")</f>
        <v/>
      </c>
      <c r="K22" s="26">
        <f>IFERROR(INDIRECT("'"&amp;$B22&amp;"'!C13"),"")</f>
        <v/>
      </c>
      <c r="L22" s="26">
        <f>IFERROR(INDIRECT("'"&amp;$B22&amp;"'!I24"),"")</f>
        <v/>
      </c>
      <c r="M22" s="26">
        <f>IFERROR(INDIRECT("'"&amp;$B22&amp;"'!E13"),"")</f>
        <v/>
      </c>
      <c r="N22" s="27">
        <f>IFERROR(INDIRECT("'"&amp;$B22&amp;"'!G13"),"")</f>
        <v/>
      </c>
      <c r="O22" s="27">
        <f>IFERROR(INDIRECT("'"&amp;$B22&amp;"'!H13"),"")</f>
        <v/>
      </c>
      <c r="P22" s="28">
        <f>IF(OR($N22="",$O22=""),"",ROUND(($N22-$O22)*100,1))</f>
        <v/>
      </c>
      <c r="Q22" s="26">
        <f>IFERROR(INDIRECT("'"&amp;$B22&amp;"'!I13"),"")</f>
        <v/>
      </c>
      <c r="R22" s="29">
        <f>IF($N22="","",IF($N22&gt;=0.35,"Margem boa",IF($N22&gt;=0.25,"Margem apertada","Margem crítica")))</f>
        <v/>
      </c>
      <c r="AH22" s="30">
        <f>IFERROR(INDIRECT("'"&amp;$B22&amp;"'!C16"),"")</f>
        <v/>
      </c>
      <c r="AI22" s="30">
        <f>IFERROR(INDIRECT("'"&amp;$B22&amp;"'!D16"),"")</f>
        <v/>
      </c>
      <c r="AJ22" s="30">
        <f>IFERROR(INDIRECT("'"&amp;$B22&amp;"'!C17"),"")</f>
        <v/>
      </c>
      <c r="AK22" s="30">
        <f>IFERROR(INDIRECT("'"&amp;$B22&amp;"'!D17"),"")</f>
        <v/>
      </c>
      <c r="AL22" s="30">
        <f>IFERROR(INDIRECT("'"&amp;$B22&amp;"'!C18"),"")</f>
        <v/>
      </c>
      <c r="AM22" s="30">
        <f>IFERROR(INDIRECT("'"&amp;$B22&amp;"'!D18"),"")</f>
        <v/>
      </c>
      <c r="AN22" s="30">
        <f>IFERROR(INDIRECT("'"&amp;$B22&amp;"'!C19"),"")</f>
        <v/>
      </c>
      <c r="AO22" s="30">
        <f>IFERROR(INDIRECT("'"&amp;$B22&amp;"'!D19"),"")</f>
        <v/>
      </c>
      <c r="AP22" s="30">
        <f>IFERROR(INDIRECT("'"&amp;$B22&amp;"'!C20"),"")</f>
        <v/>
      </c>
      <c r="AQ22" s="30">
        <f>IFERROR(INDIRECT("'"&amp;$B22&amp;"'!D20"),"")</f>
        <v/>
      </c>
      <c r="AR22" s="30">
        <f>IFERROR(INDIRECT("'"&amp;$B22&amp;"'!C21"),"")</f>
        <v/>
      </c>
      <c r="AS22" s="30">
        <f>IFERROR(INDIRECT("'"&amp;$B22&amp;"'!D21"),"")</f>
        <v/>
      </c>
    </row>
    <row r="23" ht="17" customHeight="1">
      <c r="A23" s="20" t="n">
        <v>13</v>
      </c>
      <c r="B23" s="21" t="inlineStr">
        <is>
          <t xml:space="preserve">Nadia </t>
        </is>
      </c>
      <c r="C23" s="22">
        <f>IFERROR(INDIRECT("'"&amp;$B23&amp;"'!A7"),"")</f>
        <v/>
      </c>
      <c r="D23" s="22">
        <f>IFERROR(INDIRECT("'"&amp;$B23&amp;"'!A9"),"")</f>
        <v/>
      </c>
      <c r="E23" s="23">
        <f>IFERROR(INDIRECT("'"&amp;$B23&amp;"'!F7"),"")</f>
        <v/>
      </c>
      <c r="F23" s="23">
        <f>IFERROR(INDIRECT("'"&amp;$B23&amp;"'!H7"),"")</f>
        <v/>
      </c>
      <c r="G23" s="23">
        <f>IFERROR(INDIRECT("'"&amp;$B23&amp;"'!J7"),"")</f>
        <v/>
      </c>
      <c r="H23" s="24">
        <f>IFERROR(INDIRECT("'"&amp;$B23&amp;"'!H9"),"")</f>
        <v/>
      </c>
      <c r="I23" s="25">
        <f>IFERROR(INDIRECT("'"&amp;$B23&amp;"'!J9"),"")</f>
        <v/>
      </c>
      <c r="J23" s="26">
        <f>IFERROR(INDIRECT("'"&amp;$B23&amp;"'!A13"),"")</f>
        <v/>
      </c>
      <c r="K23" s="26">
        <f>IFERROR(INDIRECT("'"&amp;$B23&amp;"'!C13"),"")</f>
        <v/>
      </c>
      <c r="L23" s="26">
        <f>IFERROR(INDIRECT("'"&amp;$B23&amp;"'!I24"),"")</f>
        <v/>
      </c>
      <c r="M23" s="26">
        <f>IFERROR(INDIRECT("'"&amp;$B23&amp;"'!E13"),"")</f>
        <v/>
      </c>
      <c r="N23" s="27">
        <f>IFERROR(INDIRECT("'"&amp;$B23&amp;"'!G13"),"")</f>
        <v/>
      </c>
      <c r="O23" s="27">
        <f>IFERROR(INDIRECT("'"&amp;$B23&amp;"'!H13"),"")</f>
        <v/>
      </c>
      <c r="P23" s="28">
        <f>IF(OR($N23="",$O23=""),"",ROUND(($N23-$O23)*100,1))</f>
        <v/>
      </c>
      <c r="Q23" s="26">
        <f>IFERROR(INDIRECT("'"&amp;$B23&amp;"'!I13"),"")</f>
        <v/>
      </c>
      <c r="R23" s="29">
        <f>IF($N23="","",IF($N23&gt;=0.35,"Margem boa",IF($N23&gt;=0.25,"Margem apertada","Margem crítica")))</f>
        <v/>
      </c>
      <c r="AH23" s="30">
        <f>IFERROR(INDIRECT("'"&amp;$B23&amp;"'!C16"),"")</f>
        <v/>
      </c>
      <c r="AI23" s="30">
        <f>IFERROR(INDIRECT("'"&amp;$B23&amp;"'!D16"),"")</f>
        <v/>
      </c>
      <c r="AJ23" s="30">
        <f>IFERROR(INDIRECT("'"&amp;$B23&amp;"'!C17"),"")</f>
        <v/>
      </c>
      <c r="AK23" s="30">
        <f>IFERROR(INDIRECT("'"&amp;$B23&amp;"'!D17"),"")</f>
        <v/>
      </c>
      <c r="AL23" s="30">
        <f>IFERROR(INDIRECT("'"&amp;$B23&amp;"'!C18"),"")</f>
        <v/>
      </c>
      <c r="AM23" s="30">
        <f>IFERROR(INDIRECT("'"&amp;$B23&amp;"'!D18"),"")</f>
        <v/>
      </c>
      <c r="AN23" s="30">
        <f>IFERROR(INDIRECT("'"&amp;$B23&amp;"'!C19"),"")</f>
        <v/>
      </c>
      <c r="AO23" s="30">
        <f>IFERROR(INDIRECT("'"&amp;$B23&amp;"'!D19"),"")</f>
        <v/>
      </c>
      <c r="AP23" s="30">
        <f>IFERROR(INDIRECT("'"&amp;$B23&amp;"'!C20"),"")</f>
        <v/>
      </c>
      <c r="AQ23" s="30">
        <f>IFERROR(INDIRECT("'"&amp;$B23&amp;"'!D20"),"")</f>
        <v/>
      </c>
      <c r="AR23" s="30">
        <f>IFERROR(INDIRECT("'"&amp;$B23&amp;"'!C21"),"")</f>
        <v/>
      </c>
      <c r="AS23" s="30">
        <f>IFERROR(INDIRECT("'"&amp;$B23&amp;"'!D21"),"")</f>
        <v/>
      </c>
    </row>
    <row r="24" ht="17" customHeight="1">
      <c r="A24" s="20" t="n">
        <v>14</v>
      </c>
      <c r="B24" s="21" t="inlineStr">
        <is>
          <t>Richard</t>
        </is>
      </c>
      <c r="C24" s="22">
        <f>IFERROR(INDIRECT("'"&amp;$B24&amp;"'!A7"),"")</f>
        <v/>
      </c>
      <c r="D24" s="22">
        <f>IFERROR(INDIRECT("'"&amp;$B24&amp;"'!A9"),"")</f>
        <v/>
      </c>
      <c r="E24" s="23">
        <f>IFERROR(INDIRECT("'"&amp;$B24&amp;"'!F7"),"")</f>
        <v/>
      </c>
      <c r="F24" s="23">
        <f>IFERROR(INDIRECT("'"&amp;$B24&amp;"'!H7"),"")</f>
        <v/>
      </c>
      <c r="G24" s="23">
        <f>IFERROR(INDIRECT("'"&amp;$B24&amp;"'!J7"),"")</f>
        <v/>
      </c>
      <c r="H24" s="24">
        <f>IFERROR(INDIRECT("'"&amp;$B24&amp;"'!H9"),"")</f>
        <v/>
      </c>
      <c r="I24" s="25">
        <f>IFERROR(INDIRECT("'"&amp;$B24&amp;"'!J9"),"")</f>
        <v/>
      </c>
      <c r="J24" s="26">
        <f>IFERROR(INDIRECT("'"&amp;$B24&amp;"'!A13"),"")</f>
        <v/>
      </c>
      <c r="K24" s="26">
        <f>IFERROR(INDIRECT("'"&amp;$B24&amp;"'!C13"),"")</f>
        <v/>
      </c>
      <c r="L24" s="26">
        <f>IFERROR(INDIRECT("'"&amp;$B24&amp;"'!I24"),"")</f>
        <v/>
      </c>
      <c r="M24" s="26">
        <f>IFERROR(INDIRECT("'"&amp;$B24&amp;"'!E13"),"")</f>
        <v/>
      </c>
      <c r="N24" s="27">
        <f>IFERROR(INDIRECT("'"&amp;$B24&amp;"'!G13"),"")</f>
        <v/>
      </c>
      <c r="O24" s="27">
        <f>IFERROR(INDIRECT("'"&amp;$B24&amp;"'!H13"),"")</f>
        <v/>
      </c>
      <c r="P24" s="28">
        <f>IF(OR($N24="",$O24=""),"",ROUND(($N24-$O24)*100,1))</f>
        <v/>
      </c>
      <c r="Q24" s="26">
        <f>IFERROR(INDIRECT("'"&amp;$B24&amp;"'!I13"),"")</f>
        <v/>
      </c>
      <c r="R24" s="29">
        <f>IF($N24="","",IF($N24&gt;=0.35,"Margem boa",IF($N24&gt;=0.25,"Margem apertada","Margem crítica")))</f>
        <v/>
      </c>
      <c r="AH24" s="30">
        <f>IFERROR(INDIRECT("'"&amp;$B24&amp;"'!C16"),"")</f>
        <v/>
      </c>
      <c r="AI24" s="30">
        <f>IFERROR(INDIRECT("'"&amp;$B24&amp;"'!D16"),"")</f>
        <v/>
      </c>
      <c r="AJ24" s="30">
        <f>IFERROR(INDIRECT("'"&amp;$B24&amp;"'!C17"),"")</f>
        <v/>
      </c>
      <c r="AK24" s="30">
        <f>IFERROR(INDIRECT("'"&amp;$B24&amp;"'!D17"),"")</f>
        <v/>
      </c>
      <c r="AL24" s="30">
        <f>IFERROR(INDIRECT("'"&amp;$B24&amp;"'!C18"),"")</f>
        <v/>
      </c>
      <c r="AM24" s="30">
        <f>IFERROR(INDIRECT("'"&amp;$B24&amp;"'!D18"),"")</f>
        <v/>
      </c>
      <c r="AN24" s="30">
        <f>IFERROR(INDIRECT("'"&amp;$B24&amp;"'!C19"),"")</f>
        <v/>
      </c>
      <c r="AO24" s="30">
        <f>IFERROR(INDIRECT("'"&amp;$B24&amp;"'!D19"),"")</f>
        <v/>
      </c>
      <c r="AP24" s="30">
        <f>IFERROR(INDIRECT("'"&amp;$B24&amp;"'!C20"),"")</f>
        <v/>
      </c>
      <c r="AQ24" s="30">
        <f>IFERROR(INDIRECT("'"&amp;$B24&amp;"'!D20"),"")</f>
        <v/>
      </c>
      <c r="AR24" s="30">
        <f>IFERROR(INDIRECT("'"&amp;$B24&amp;"'!C21"),"")</f>
        <v/>
      </c>
      <c r="AS24" s="30">
        <f>IFERROR(INDIRECT("'"&amp;$B24&amp;"'!D21"),"")</f>
        <v/>
      </c>
    </row>
    <row r="25" ht="17" customHeight="1">
      <c r="A25" s="20" t="n">
        <v>15</v>
      </c>
      <c r="B25" s="21" t="inlineStr">
        <is>
          <t>Shelf</t>
        </is>
      </c>
      <c r="C25" s="22">
        <f>IFERROR(INDIRECT("'"&amp;$B25&amp;"'!A7"),"")</f>
        <v/>
      </c>
      <c r="D25" s="22">
        <f>IFERROR(INDIRECT("'"&amp;$B25&amp;"'!A9"),"")</f>
        <v/>
      </c>
      <c r="E25" s="23">
        <f>IFERROR(INDIRECT("'"&amp;$B25&amp;"'!F7"),"")</f>
        <v/>
      </c>
      <c r="F25" s="23">
        <f>IFERROR(INDIRECT("'"&amp;$B25&amp;"'!H7"),"")</f>
        <v/>
      </c>
      <c r="G25" s="23">
        <f>IFERROR(INDIRECT("'"&amp;$B25&amp;"'!J7"),"")</f>
        <v/>
      </c>
      <c r="H25" s="24">
        <f>IFERROR(INDIRECT("'"&amp;$B25&amp;"'!H9"),"")</f>
        <v/>
      </c>
      <c r="I25" s="25">
        <f>IFERROR(INDIRECT("'"&amp;$B25&amp;"'!J9"),"")</f>
        <v/>
      </c>
      <c r="J25" s="26">
        <f>IFERROR(INDIRECT("'"&amp;$B25&amp;"'!A13"),"")</f>
        <v/>
      </c>
      <c r="K25" s="26">
        <f>IFERROR(INDIRECT("'"&amp;$B25&amp;"'!C13"),"")</f>
        <v/>
      </c>
      <c r="L25" s="26">
        <f>IFERROR(INDIRECT("'"&amp;$B25&amp;"'!I24"),"")</f>
        <v/>
      </c>
      <c r="M25" s="26">
        <f>IFERROR(INDIRECT("'"&amp;$B25&amp;"'!E13"),"")</f>
        <v/>
      </c>
      <c r="N25" s="27">
        <f>IFERROR(INDIRECT("'"&amp;$B25&amp;"'!G13"),"")</f>
        <v/>
      </c>
      <c r="O25" s="27">
        <f>IFERROR(INDIRECT("'"&amp;$B25&amp;"'!H13"),"")</f>
        <v/>
      </c>
      <c r="P25" s="28">
        <f>IF(OR($N25="",$O25=""),"",ROUND(($N25-$O25)*100,1))</f>
        <v/>
      </c>
      <c r="Q25" s="26">
        <f>IFERROR(INDIRECT("'"&amp;$B25&amp;"'!I13"),"")</f>
        <v/>
      </c>
      <c r="R25" s="29">
        <f>IF($N25="","",IF($N25&gt;=0.35,"Margem boa",IF($N25&gt;=0.25,"Margem apertada","Margem crítica")))</f>
        <v/>
      </c>
      <c r="AH25" s="30">
        <f>IFERROR(INDIRECT("'"&amp;$B25&amp;"'!C16"),"")</f>
        <v/>
      </c>
      <c r="AI25" s="30">
        <f>IFERROR(INDIRECT("'"&amp;$B25&amp;"'!D16"),"")</f>
        <v/>
      </c>
      <c r="AJ25" s="30">
        <f>IFERROR(INDIRECT("'"&amp;$B25&amp;"'!C17"),"")</f>
        <v/>
      </c>
      <c r="AK25" s="30">
        <f>IFERROR(INDIRECT("'"&amp;$B25&amp;"'!D17"),"")</f>
        <v/>
      </c>
      <c r="AL25" s="30">
        <f>IFERROR(INDIRECT("'"&amp;$B25&amp;"'!C18"),"")</f>
        <v/>
      </c>
      <c r="AM25" s="30">
        <f>IFERROR(INDIRECT("'"&amp;$B25&amp;"'!D18"),"")</f>
        <v/>
      </c>
      <c r="AN25" s="30">
        <f>IFERROR(INDIRECT("'"&amp;$B25&amp;"'!C19"),"")</f>
        <v/>
      </c>
      <c r="AO25" s="30">
        <f>IFERROR(INDIRECT("'"&amp;$B25&amp;"'!D19"),"")</f>
        <v/>
      </c>
      <c r="AP25" s="30">
        <f>IFERROR(INDIRECT("'"&amp;$B25&amp;"'!C20"),"")</f>
        <v/>
      </c>
      <c r="AQ25" s="30">
        <f>IFERROR(INDIRECT("'"&amp;$B25&amp;"'!D20"),"")</f>
        <v/>
      </c>
      <c r="AR25" s="30">
        <f>IFERROR(INDIRECT("'"&amp;$B25&amp;"'!C21"),"")</f>
        <v/>
      </c>
      <c r="AS25" s="30">
        <f>IFERROR(INDIRECT("'"&amp;$B25&amp;"'!D21"),"")</f>
        <v/>
      </c>
    </row>
    <row r="26" ht="17" customHeight="1">
      <c r="A26" s="20" t="n">
        <v>16</v>
      </c>
      <c r="B26" s="21" t="inlineStr">
        <is>
          <t>Simony</t>
        </is>
      </c>
      <c r="C26" s="22">
        <f>IFERROR(INDIRECT("'"&amp;$B26&amp;"'!A7"),"")</f>
        <v/>
      </c>
      <c r="D26" s="22">
        <f>IFERROR(INDIRECT("'"&amp;$B26&amp;"'!A9"),"")</f>
        <v/>
      </c>
      <c r="E26" s="23">
        <f>IFERROR(INDIRECT("'"&amp;$B26&amp;"'!F7"),"")</f>
        <v/>
      </c>
      <c r="F26" s="23">
        <f>IFERROR(INDIRECT("'"&amp;$B26&amp;"'!H7"),"")</f>
        <v/>
      </c>
      <c r="G26" s="23">
        <f>IFERROR(INDIRECT("'"&amp;$B26&amp;"'!J7"),"")</f>
        <v/>
      </c>
      <c r="H26" s="24">
        <f>IFERROR(INDIRECT("'"&amp;$B26&amp;"'!H9"),"")</f>
        <v/>
      </c>
      <c r="I26" s="25">
        <f>IFERROR(INDIRECT("'"&amp;$B26&amp;"'!J9"),"")</f>
        <v/>
      </c>
      <c r="J26" s="26">
        <f>IFERROR(INDIRECT("'"&amp;$B26&amp;"'!A13"),"")</f>
        <v/>
      </c>
      <c r="K26" s="26">
        <f>IFERROR(INDIRECT("'"&amp;$B26&amp;"'!C13"),"")</f>
        <v/>
      </c>
      <c r="L26" s="26">
        <f>IFERROR(INDIRECT("'"&amp;$B26&amp;"'!I24"),"")</f>
        <v/>
      </c>
      <c r="M26" s="26">
        <f>IFERROR(INDIRECT("'"&amp;$B26&amp;"'!E13"),"")</f>
        <v/>
      </c>
      <c r="N26" s="27">
        <f>IFERROR(INDIRECT("'"&amp;$B26&amp;"'!G13"),"")</f>
        <v/>
      </c>
      <c r="O26" s="27">
        <f>IFERROR(INDIRECT("'"&amp;$B26&amp;"'!H13"),"")</f>
        <v/>
      </c>
      <c r="P26" s="28">
        <f>IF(OR($N26="",$O26=""),"",ROUND(($N26-$O26)*100,1))</f>
        <v/>
      </c>
      <c r="Q26" s="26">
        <f>IFERROR(INDIRECT("'"&amp;$B26&amp;"'!I13"),"")</f>
        <v/>
      </c>
      <c r="R26" s="29">
        <f>IF($N26="","",IF($N26&gt;=0.35,"Margem boa",IF($N26&gt;=0.25,"Margem apertada","Margem crítica")))</f>
        <v/>
      </c>
      <c r="AH26" s="30">
        <f>IFERROR(INDIRECT("'"&amp;$B26&amp;"'!C16"),"")</f>
        <v/>
      </c>
      <c r="AI26" s="30">
        <f>IFERROR(INDIRECT("'"&amp;$B26&amp;"'!D16"),"")</f>
        <v/>
      </c>
      <c r="AJ26" s="30">
        <f>IFERROR(INDIRECT("'"&amp;$B26&amp;"'!C17"),"")</f>
        <v/>
      </c>
      <c r="AK26" s="30">
        <f>IFERROR(INDIRECT("'"&amp;$B26&amp;"'!D17"),"")</f>
        <v/>
      </c>
      <c r="AL26" s="30">
        <f>IFERROR(INDIRECT("'"&amp;$B26&amp;"'!C18"),"")</f>
        <v/>
      </c>
      <c r="AM26" s="30">
        <f>IFERROR(INDIRECT("'"&amp;$B26&amp;"'!D18"),"")</f>
        <v/>
      </c>
      <c r="AN26" s="30">
        <f>IFERROR(INDIRECT("'"&amp;$B26&amp;"'!C19"),"")</f>
        <v/>
      </c>
      <c r="AO26" s="30">
        <f>IFERROR(INDIRECT("'"&amp;$B26&amp;"'!D19"),"")</f>
        <v/>
      </c>
      <c r="AP26" s="30">
        <f>IFERROR(INDIRECT("'"&amp;$B26&amp;"'!C20"),"")</f>
        <v/>
      </c>
      <c r="AQ26" s="30">
        <f>IFERROR(INDIRECT("'"&amp;$B26&amp;"'!D20"),"")</f>
        <v/>
      </c>
      <c r="AR26" s="30">
        <f>IFERROR(INDIRECT("'"&amp;$B26&amp;"'!C21"),"")</f>
        <v/>
      </c>
      <c r="AS26" s="30">
        <f>IFERROR(INDIRECT("'"&amp;$B26&amp;"'!D21"),"")</f>
        <v/>
      </c>
    </row>
    <row r="27" ht="17" customHeight="1">
      <c r="A27" s="20" t="n">
        <v>17</v>
      </c>
      <c r="B27" s="21" t="inlineStr">
        <is>
          <t>Exemplo P-2026-041</t>
        </is>
      </c>
      <c r="C27" s="22">
        <f>IFERROR(INDIRECT("'"&amp;$B27&amp;"'!A7"),"")</f>
        <v/>
      </c>
      <c r="D27" s="22">
        <f>IFERROR(INDIRECT("'"&amp;$B27&amp;"'!A9"),"")</f>
        <v/>
      </c>
      <c r="E27" s="23">
        <f>IFERROR(INDIRECT("'"&amp;$B27&amp;"'!F7"),"")</f>
        <v/>
      </c>
      <c r="F27" s="23">
        <f>IFERROR(INDIRECT("'"&amp;$B27&amp;"'!H7"),"")</f>
        <v/>
      </c>
      <c r="G27" s="23">
        <f>IFERROR(INDIRECT("'"&amp;$B27&amp;"'!J7"),"")</f>
        <v/>
      </c>
      <c r="H27" s="24">
        <f>IFERROR(INDIRECT("'"&amp;$B27&amp;"'!H9"),"")</f>
        <v/>
      </c>
      <c r="I27" s="25">
        <f>IFERROR(INDIRECT("'"&amp;$B27&amp;"'!J9"),"")</f>
        <v/>
      </c>
      <c r="J27" s="26">
        <f>IFERROR(INDIRECT("'"&amp;$B27&amp;"'!A13"),"")</f>
        <v/>
      </c>
      <c r="K27" s="26">
        <f>IFERROR(INDIRECT("'"&amp;$B27&amp;"'!C13"),"")</f>
        <v/>
      </c>
      <c r="L27" s="26">
        <f>IFERROR(INDIRECT("'"&amp;$B27&amp;"'!I24"),"")</f>
        <v/>
      </c>
      <c r="M27" s="26">
        <f>IFERROR(INDIRECT("'"&amp;$B27&amp;"'!E13"),"")</f>
        <v/>
      </c>
      <c r="N27" s="27">
        <f>IFERROR(INDIRECT("'"&amp;$B27&amp;"'!G13"),"")</f>
        <v/>
      </c>
      <c r="O27" s="27">
        <f>IFERROR(INDIRECT("'"&amp;$B27&amp;"'!H13"),"")</f>
        <v/>
      </c>
      <c r="P27" s="28">
        <f>IF(OR($N27="",$O27=""),"",ROUND(($N27-$O27)*100,1))</f>
        <v/>
      </c>
      <c r="Q27" s="26">
        <f>IFERROR(INDIRECT("'"&amp;$B27&amp;"'!I13"),"")</f>
        <v/>
      </c>
      <c r="R27" s="29">
        <f>IF($N27="","",IF($N27&gt;=0.35,"Margem boa",IF($N27&gt;=0.25,"Margem apertada","Margem crítica")))</f>
        <v/>
      </c>
      <c r="AH27" s="30">
        <f>IFERROR(INDIRECT("'"&amp;$B27&amp;"'!C16"),"")</f>
        <v/>
      </c>
      <c r="AI27" s="30">
        <f>IFERROR(INDIRECT("'"&amp;$B27&amp;"'!D16"),"")</f>
        <v/>
      </c>
      <c r="AJ27" s="30">
        <f>IFERROR(INDIRECT("'"&amp;$B27&amp;"'!C17"),"")</f>
        <v/>
      </c>
      <c r="AK27" s="30">
        <f>IFERROR(INDIRECT("'"&amp;$B27&amp;"'!D17"),"")</f>
        <v/>
      </c>
      <c r="AL27" s="30">
        <f>IFERROR(INDIRECT("'"&amp;$B27&amp;"'!C18"),"")</f>
        <v/>
      </c>
      <c r="AM27" s="30">
        <f>IFERROR(INDIRECT("'"&amp;$B27&amp;"'!D18"),"")</f>
        <v/>
      </c>
      <c r="AN27" s="30">
        <f>IFERROR(INDIRECT("'"&amp;$B27&amp;"'!C19"),"")</f>
        <v/>
      </c>
      <c r="AO27" s="30">
        <f>IFERROR(INDIRECT("'"&amp;$B27&amp;"'!D19"),"")</f>
        <v/>
      </c>
      <c r="AP27" s="30">
        <f>IFERROR(INDIRECT("'"&amp;$B27&amp;"'!C20"),"")</f>
        <v/>
      </c>
      <c r="AQ27" s="30">
        <f>IFERROR(INDIRECT("'"&amp;$B27&amp;"'!D20"),"")</f>
        <v/>
      </c>
      <c r="AR27" s="30">
        <f>IFERROR(INDIRECT("'"&amp;$B27&amp;"'!C21"),"")</f>
        <v/>
      </c>
      <c r="AS27" s="30">
        <f>IFERROR(INDIRECT("'"&amp;$B27&amp;"'!D21"),"")</f>
        <v/>
      </c>
    </row>
    <row r="28" ht="17" customHeight="1">
      <c r="A28" s="20" t="n">
        <v>18</v>
      </c>
      <c r="B28" s="21" t="n"/>
      <c r="C28" s="22">
        <f>IFERROR(INDIRECT("'"&amp;$B28&amp;"'!A7"),"")</f>
        <v/>
      </c>
      <c r="D28" s="22">
        <f>IFERROR(INDIRECT("'"&amp;$B28&amp;"'!A9"),"")</f>
        <v/>
      </c>
      <c r="E28" s="23">
        <f>IFERROR(INDIRECT("'"&amp;$B28&amp;"'!F7"),"")</f>
        <v/>
      </c>
      <c r="F28" s="23">
        <f>IFERROR(INDIRECT("'"&amp;$B28&amp;"'!H7"),"")</f>
        <v/>
      </c>
      <c r="G28" s="23">
        <f>IFERROR(INDIRECT("'"&amp;$B28&amp;"'!J7"),"")</f>
        <v/>
      </c>
      <c r="H28" s="24">
        <f>IFERROR(INDIRECT("'"&amp;$B28&amp;"'!H9"),"")</f>
        <v/>
      </c>
      <c r="I28" s="25">
        <f>IFERROR(INDIRECT("'"&amp;$B28&amp;"'!J9"),"")</f>
        <v/>
      </c>
      <c r="J28" s="26">
        <f>IFERROR(INDIRECT("'"&amp;$B28&amp;"'!A13"),"")</f>
        <v/>
      </c>
      <c r="K28" s="26">
        <f>IFERROR(INDIRECT("'"&amp;$B28&amp;"'!C13"),"")</f>
        <v/>
      </c>
      <c r="L28" s="26">
        <f>IFERROR(INDIRECT("'"&amp;$B28&amp;"'!I24"),"")</f>
        <v/>
      </c>
      <c r="M28" s="26">
        <f>IFERROR(INDIRECT("'"&amp;$B28&amp;"'!E13"),"")</f>
        <v/>
      </c>
      <c r="N28" s="27">
        <f>IFERROR(INDIRECT("'"&amp;$B28&amp;"'!G13"),"")</f>
        <v/>
      </c>
      <c r="O28" s="27">
        <f>IFERROR(INDIRECT("'"&amp;$B28&amp;"'!H13"),"")</f>
        <v/>
      </c>
      <c r="P28" s="28">
        <f>IF(OR($N28="",$O28=""),"",ROUND(($N28-$O28)*100,1))</f>
        <v/>
      </c>
      <c r="Q28" s="26">
        <f>IFERROR(INDIRECT("'"&amp;$B28&amp;"'!I13"),"")</f>
        <v/>
      </c>
      <c r="R28" s="29">
        <f>IF($N28="","",IF($N28&gt;=0.35,"Margem boa",IF($N28&gt;=0.25,"Margem apertada","Margem crítica")))</f>
        <v/>
      </c>
      <c r="AH28" s="30">
        <f>IFERROR(INDIRECT("'"&amp;$B28&amp;"'!C16"),"")</f>
        <v/>
      </c>
      <c r="AI28" s="30">
        <f>IFERROR(INDIRECT("'"&amp;$B28&amp;"'!D16"),"")</f>
        <v/>
      </c>
      <c r="AJ28" s="30">
        <f>IFERROR(INDIRECT("'"&amp;$B28&amp;"'!C17"),"")</f>
        <v/>
      </c>
      <c r="AK28" s="30">
        <f>IFERROR(INDIRECT("'"&amp;$B28&amp;"'!D17"),"")</f>
        <v/>
      </c>
      <c r="AL28" s="30">
        <f>IFERROR(INDIRECT("'"&amp;$B28&amp;"'!C18"),"")</f>
        <v/>
      </c>
      <c r="AM28" s="30">
        <f>IFERROR(INDIRECT("'"&amp;$B28&amp;"'!D18"),"")</f>
        <v/>
      </c>
      <c r="AN28" s="30">
        <f>IFERROR(INDIRECT("'"&amp;$B28&amp;"'!C19"),"")</f>
        <v/>
      </c>
      <c r="AO28" s="30">
        <f>IFERROR(INDIRECT("'"&amp;$B28&amp;"'!D19"),"")</f>
        <v/>
      </c>
      <c r="AP28" s="30">
        <f>IFERROR(INDIRECT("'"&amp;$B28&amp;"'!C20"),"")</f>
        <v/>
      </c>
      <c r="AQ28" s="30">
        <f>IFERROR(INDIRECT("'"&amp;$B28&amp;"'!D20"),"")</f>
        <v/>
      </c>
      <c r="AR28" s="30">
        <f>IFERROR(INDIRECT("'"&amp;$B28&amp;"'!C21"),"")</f>
        <v/>
      </c>
      <c r="AS28" s="30">
        <f>IFERROR(INDIRECT("'"&amp;$B28&amp;"'!D21"),"")</f>
        <v/>
      </c>
    </row>
    <row r="29" ht="17" customHeight="1">
      <c r="A29" s="20" t="n">
        <v>19</v>
      </c>
      <c r="B29" s="21" t="n"/>
      <c r="C29" s="22">
        <f>IFERROR(INDIRECT("'"&amp;$B29&amp;"'!A7"),"")</f>
        <v/>
      </c>
      <c r="D29" s="22">
        <f>IFERROR(INDIRECT("'"&amp;$B29&amp;"'!A9"),"")</f>
        <v/>
      </c>
      <c r="E29" s="23">
        <f>IFERROR(INDIRECT("'"&amp;$B29&amp;"'!F7"),"")</f>
        <v/>
      </c>
      <c r="F29" s="23">
        <f>IFERROR(INDIRECT("'"&amp;$B29&amp;"'!H7"),"")</f>
        <v/>
      </c>
      <c r="G29" s="23">
        <f>IFERROR(INDIRECT("'"&amp;$B29&amp;"'!J7"),"")</f>
        <v/>
      </c>
      <c r="H29" s="24">
        <f>IFERROR(INDIRECT("'"&amp;$B29&amp;"'!H9"),"")</f>
        <v/>
      </c>
      <c r="I29" s="25">
        <f>IFERROR(INDIRECT("'"&amp;$B29&amp;"'!J9"),"")</f>
        <v/>
      </c>
      <c r="J29" s="26">
        <f>IFERROR(INDIRECT("'"&amp;$B29&amp;"'!A13"),"")</f>
        <v/>
      </c>
      <c r="K29" s="26">
        <f>IFERROR(INDIRECT("'"&amp;$B29&amp;"'!C13"),"")</f>
        <v/>
      </c>
      <c r="L29" s="26">
        <f>IFERROR(INDIRECT("'"&amp;$B29&amp;"'!I24"),"")</f>
        <v/>
      </c>
      <c r="M29" s="26">
        <f>IFERROR(INDIRECT("'"&amp;$B29&amp;"'!E13"),"")</f>
        <v/>
      </c>
      <c r="N29" s="27">
        <f>IFERROR(INDIRECT("'"&amp;$B29&amp;"'!G13"),"")</f>
        <v/>
      </c>
      <c r="O29" s="27">
        <f>IFERROR(INDIRECT("'"&amp;$B29&amp;"'!H13"),"")</f>
        <v/>
      </c>
      <c r="P29" s="28">
        <f>IF(OR($N29="",$O29=""),"",ROUND(($N29-$O29)*100,1))</f>
        <v/>
      </c>
      <c r="Q29" s="26">
        <f>IFERROR(INDIRECT("'"&amp;$B29&amp;"'!I13"),"")</f>
        <v/>
      </c>
      <c r="R29" s="29">
        <f>IF($N29="","",IF($N29&gt;=0.35,"Margem boa",IF($N29&gt;=0.25,"Margem apertada","Margem crítica")))</f>
        <v/>
      </c>
      <c r="AH29" s="30">
        <f>IFERROR(INDIRECT("'"&amp;$B29&amp;"'!C16"),"")</f>
        <v/>
      </c>
      <c r="AI29" s="30">
        <f>IFERROR(INDIRECT("'"&amp;$B29&amp;"'!D16"),"")</f>
        <v/>
      </c>
      <c r="AJ29" s="30">
        <f>IFERROR(INDIRECT("'"&amp;$B29&amp;"'!C17"),"")</f>
        <v/>
      </c>
      <c r="AK29" s="30">
        <f>IFERROR(INDIRECT("'"&amp;$B29&amp;"'!D17"),"")</f>
        <v/>
      </c>
      <c r="AL29" s="30">
        <f>IFERROR(INDIRECT("'"&amp;$B29&amp;"'!C18"),"")</f>
        <v/>
      </c>
      <c r="AM29" s="30">
        <f>IFERROR(INDIRECT("'"&amp;$B29&amp;"'!D18"),"")</f>
        <v/>
      </c>
      <c r="AN29" s="30">
        <f>IFERROR(INDIRECT("'"&amp;$B29&amp;"'!C19"),"")</f>
        <v/>
      </c>
      <c r="AO29" s="30">
        <f>IFERROR(INDIRECT("'"&amp;$B29&amp;"'!D19"),"")</f>
        <v/>
      </c>
      <c r="AP29" s="30">
        <f>IFERROR(INDIRECT("'"&amp;$B29&amp;"'!C20"),"")</f>
        <v/>
      </c>
      <c r="AQ29" s="30">
        <f>IFERROR(INDIRECT("'"&amp;$B29&amp;"'!D20"),"")</f>
        <v/>
      </c>
      <c r="AR29" s="30">
        <f>IFERROR(INDIRECT("'"&amp;$B29&amp;"'!C21"),"")</f>
        <v/>
      </c>
      <c r="AS29" s="30">
        <f>IFERROR(INDIRECT("'"&amp;$B29&amp;"'!D21"),"")</f>
        <v/>
      </c>
    </row>
    <row r="30" ht="17" customHeight="1">
      <c r="A30" s="20" t="n">
        <v>20</v>
      </c>
      <c r="B30" s="21" t="n"/>
      <c r="C30" s="22">
        <f>IFERROR(INDIRECT("'"&amp;$B30&amp;"'!A7"),"")</f>
        <v/>
      </c>
      <c r="D30" s="22">
        <f>IFERROR(INDIRECT("'"&amp;$B30&amp;"'!A9"),"")</f>
        <v/>
      </c>
      <c r="E30" s="23">
        <f>IFERROR(INDIRECT("'"&amp;$B30&amp;"'!F7"),"")</f>
        <v/>
      </c>
      <c r="F30" s="23">
        <f>IFERROR(INDIRECT("'"&amp;$B30&amp;"'!H7"),"")</f>
        <v/>
      </c>
      <c r="G30" s="23">
        <f>IFERROR(INDIRECT("'"&amp;$B30&amp;"'!J7"),"")</f>
        <v/>
      </c>
      <c r="H30" s="24">
        <f>IFERROR(INDIRECT("'"&amp;$B30&amp;"'!H9"),"")</f>
        <v/>
      </c>
      <c r="I30" s="25">
        <f>IFERROR(INDIRECT("'"&amp;$B30&amp;"'!J9"),"")</f>
        <v/>
      </c>
      <c r="J30" s="26">
        <f>IFERROR(INDIRECT("'"&amp;$B30&amp;"'!A13"),"")</f>
        <v/>
      </c>
      <c r="K30" s="26">
        <f>IFERROR(INDIRECT("'"&amp;$B30&amp;"'!C13"),"")</f>
        <v/>
      </c>
      <c r="L30" s="26">
        <f>IFERROR(INDIRECT("'"&amp;$B30&amp;"'!I24"),"")</f>
        <v/>
      </c>
      <c r="M30" s="26">
        <f>IFERROR(INDIRECT("'"&amp;$B30&amp;"'!E13"),"")</f>
        <v/>
      </c>
      <c r="N30" s="27">
        <f>IFERROR(INDIRECT("'"&amp;$B30&amp;"'!G13"),"")</f>
        <v/>
      </c>
      <c r="O30" s="27">
        <f>IFERROR(INDIRECT("'"&amp;$B30&amp;"'!H13"),"")</f>
        <v/>
      </c>
      <c r="P30" s="28">
        <f>IF(OR($N30="",$O30=""),"",ROUND(($N30-$O30)*100,1))</f>
        <v/>
      </c>
      <c r="Q30" s="26">
        <f>IFERROR(INDIRECT("'"&amp;$B30&amp;"'!I13"),"")</f>
        <v/>
      </c>
      <c r="R30" s="29">
        <f>IF($N30="","",IF($N30&gt;=0.35,"Margem boa",IF($N30&gt;=0.25,"Margem apertada","Margem crítica")))</f>
        <v/>
      </c>
      <c r="AH30" s="30">
        <f>IFERROR(INDIRECT("'"&amp;$B30&amp;"'!C16"),"")</f>
        <v/>
      </c>
      <c r="AI30" s="30">
        <f>IFERROR(INDIRECT("'"&amp;$B30&amp;"'!D16"),"")</f>
        <v/>
      </c>
      <c r="AJ30" s="30">
        <f>IFERROR(INDIRECT("'"&amp;$B30&amp;"'!C17"),"")</f>
        <v/>
      </c>
      <c r="AK30" s="30">
        <f>IFERROR(INDIRECT("'"&amp;$B30&amp;"'!D17"),"")</f>
        <v/>
      </c>
      <c r="AL30" s="30">
        <f>IFERROR(INDIRECT("'"&amp;$B30&amp;"'!C18"),"")</f>
        <v/>
      </c>
      <c r="AM30" s="30">
        <f>IFERROR(INDIRECT("'"&amp;$B30&amp;"'!D18"),"")</f>
        <v/>
      </c>
      <c r="AN30" s="30">
        <f>IFERROR(INDIRECT("'"&amp;$B30&amp;"'!C19"),"")</f>
        <v/>
      </c>
      <c r="AO30" s="30">
        <f>IFERROR(INDIRECT("'"&amp;$B30&amp;"'!D19"),"")</f>
        <v/>
      </c>
      <c r="AP30" s="30">
        <f>IFERROR(INDIRECT("'"&amp;$B30&amp;"'!C20"),"")</f>
        <v/>
      </c>
      <c r="AQ30" s="30">
        <f>IFERROR(INDIRECT("'"&amp;$B30&amp;"'!D20"),"")</f>
        <v/>
      </c>
      <c r="AR30" s="30">
        <f>IFERROR(INDIRECT("'"&amp;$B30&amp;"'!C21"),"")</f>
        <v/>
      </c>
      <c r="AS30" s="30">
        <f>IFERROR(INDIRECT("'"&amp;$B30&amp;"'!D21"),"")</f>
        <v/>
      </c>
    </row>
    <row r="31" ht="17" customHeight="1">
      <c r="A31" s="20" t="n">
        <v>21</v>
      </c>
      <c r="B31" s="21" t="n"/>
      <c r="C31" s="22">
        <f>IFERROR(INDIRECT("'"&amp;$B31&amp;"'!A7"),"")</f>
        <v/>
      </c>
      <c r="D31" s="22">
        <f>IFERROR(INDIRECT("'"&amp;$B31&amp;"'!A9"),"")</f>
        <v/>
      </c>
      <c r="E31" s="23">
        <f>IFERROR(INDIRECT("'"&amp;$B31&amp;"'!F7"),"")</f>
        <v/>
      </c>
      <c r="F31" s="23">
        <f>IFERROR(INDIRECT("'"&amp;$B31&amp;"'!H7"),"")</f>
        <v/>
      </c>
      <c r="G31" s="23">
        <f>IFERROR(INDIRECT("'"&amp;$B31&amp;"'!J7"),"")</f>
        <v/>
      </c>
      <c r="H31" s="24">
        <f>IFERROR(INDIRECT("'"&amp;$B31&amp;"'!H9"),"")</f>
        <v/>
      </c>
      <c r="I31" s="25">
        <f>IFERROR(INDIRECT("'"&amp;$B31&amp;"'!J9"),"")</f>
        <v/>
      </c>
      <c r="J31" s="26">
        <f>IFERROR(INDIRECT("'"&amp;$B31&amp;"'!A13"),"")</f>
        <v/>
      </c>
      <c r="K31" s="26">
        <f>IFERROR(INDIRECT("'"&amp;$B31&amp;"'!C13"),"")</f>
        <v/>
      </c>
      <c r="L31" s="26">
        <f>IFERROR(INDIRECT("'"&amp;$B31&amp;"'!I24"),"")</f>
        <v/>
      </c>
      <c r="M31" s="26">
        <f>IFERROR(INDIRECT("'"&amp;$B31&amp;"'!E13"),"")</f>
        <v/>
      </c>
      <c r="N31" s="27">
        <f>IFERROR(INDIRECT("'"&amp;$B31&amp;"'!G13"),"")</f>
        <v/>
      </c>
      <c r="O31" s="27">
        <f>IFERROR(INDIRECT("'"&amp;$B31&amp;"'!H13"),"")</f>
        <v/>
      </c>
      <c r="P31" s="28">
        <f>IF(OR($N31="",$O31=""),"",ROUND(($N31-$O31)*100,1))</f>
        <v/>
      </c>
      <c r="Q31" s="26">
        <f>IFERROR(INDIRECT("'"&amp;$B31&amp;"'!I13"),"")</f>
        <v/>
      </c>
      <c r="R31" s="29">
        <f>IF($N31="","",IF($N31&gt;=0.35,"Margem boa",IF($N31&gt;=0.25,"Margem apertada","Margem crítica")))</f>
        <v/>
      </c>
      <c r="AH31" s="30">
        <f>IFERROR(INDIRECT("'"&amp;$B31&amp;"'!C16"),"")</f>
        <v/>
      </c>
      <c r="AI31" s="30">
        <f>IFERROR(INDIRECT("'"&amp;$B31&amp;"'!D16"),"")</f>
        <v/>
      </c>
      <c r="AJ31" s="30">
        <f>IFERROR(INDIRECT("'"&amp;$B31&amp;"'!C17"),"")</f>
        <v/>
      </c>
      <c r="AK31" s="30">
        <f>IFERROR(INDIRECT("'"&amp;$B31&amp;"'!D17"),"")</f>
        <v/>
      </c>
      <c r="AL31" s="30">
        <f>IFERROR(INDIRECT("'"&amp;$B31&amp;"'!C18"),"")</f>
        <v/>
      </c>
      <c r="AM31" s="30">
        <f>IFERROR(INDIRECT("'"&amp;$B31&amp;"'!D18"),"")</f>
        <v/>
      </c>
      <c r="AN31" s="30">
        <f>IFERROR(INDIRECT("'"&amp;$B31&amp;"'!C19"),"")</f>
        <v/>
      </c>
      <c r="AO31" s="30">
        <f>IFERROR(INDIRECT("'"&amp;$B31&amp;"'!D19"),"")</f>
        <v/>
      </c>
      <c r="AP31" s="30">
        <f>IFERROR(INDIRECT("'"&amp;$B31&amp;"'!C20"),"")</f>
        <v/>
      </c>
      <c r="AQ31" s="30">
        <f>IFERROR(INDIRECT("'"&amp;$B31&amp;"'!D20"),"")</f>
        <v/>
      </c>
      <c r="AR31" s="30">
        <f>IFERROR(INDIRECT("'"&amp;$B31&amp;"'!C21"),"")</f>
        <v/>
      </c>
      <c r="AS31" s="30">
        <f>IFERROR(INDIRECT("'"&amp;$B31&amp;"'!D21"),"")</f>
        <v/>
      </c>
    </row>
    <row r="32" ht="17" customHeight="1">
      <c r="A32" s="20" t="n">
        <v>22</v>
      </c>
      <c r="B32" s="21" t="n"/>
      <c r="C32" s="22">
        <f>IFERROR(INDIRECT("'"&amp;$B32&amp;"'!A7"),"")</f>
        <v/>
      </c>
      <c r="D32" s="22">
        <f>IFERROR(INDIRECT("'"&amp;$B32&amp;"'!A9"),"")</f>
        <v/>
      </c>
      <c r="E32" s="23">
        <f>IFERROR(INDIRECT("'"&amp;$B32&amp;"'!F7"),"")</f>
        <v/>
      </c>
      <c r="F32" s="23">
        <f>IFERROR(INDIRECT("'"&amp;$B32&amp;"'!H7"),"")</f>
        <v/>
      </c>
      <c r="G32" s="23">
        <f>IFERROR(INDIRECT("'"&amp;$B32&amp;"'!J7"),"")</f>
        <v/>
      </c>
      <c r="H32" s="24">
        <f>IFERROR(INDIRECT("'"&amp;$B32&amp;"'!H9"),"")</f>
        <v/>
      </c>
      <c r="I32" s="25">
        <f>IFERROR(INDIRECT("'"&amp;$B32&amp;"'!J9"),"")</f>
        <v/>
      </c>
      <c r="J32" s="26">
        <f>IFERROR(INDIRECT("'"&amp;$B32&amp;"'!A13"),"")</f>
        <v/>
      </c>
      <c r="K32" s="26">
        <f>IFERROR(INDIRECT("'"&amp;$B32&amp;"'!C13"),"")</f>
        <v/>
      </c>
      <c r="L32" s="26">
        <f>IFERROR(INDIRECT("'"&amp;$B32&amp;"'!I24"),"")</f>
        <v/>
      </c>
      <c r="M32" s="26">
        <f>IFERROR(INDIRECT("'"&amp;$B32&amp;"'!E13"),"")</f>
        <v/>
      </c>
      <c r="N32" s="27">
        <f>IFERROR(INDIRECT("'"&amp;$B32&amp;"'!G13"),"")</f>
        <v/>
      </c>
      <c r="O32" s="27">
        <f>IFERROR(INDIRECT("'"&amp;$B32&amp;"'!H13"),"")</f>
        <v/>
      </c>
      <c r="P32" s="28">
        <f>IF(OR($N32="",$O32=""),"",ROUND(($N32-$O32)*100,1))</f>
        <v/>
      </c>
      <c r="Q32" s="26">
        <f>IFERROR(INDIRECT("'"&amp;$B32&amp;"'!I13"),"")</f>
        <v/>
      </c>
      <c r="R32" s="29">
        <f>IF($N32="","",IF($N32&gt;=0.35,"Margem boa",IF($N32&gt;=0.25,"Margem apertada","Margem crítica")))</f>
        <v/>
      </c>
      <c r="AH32" s="30">
        <f>IFERROR(INDIRECT("'"&amp;$B32&amp;"'!C16"),"")</f>
        <v/>
      </c>
      <c r="AI32" s="30">
        <f>IFERROR(INDIRECT("'"&amp;$B32&amp;"'!D16"),"")</f>
        <v/>
      </c>
      <c r="AJ32" s="30">
        <f>IFERROR(INDIRECT("'"&amp;$B32&amp;"'!C17"),"")</f>
        <v/>
      </c>
      <c r="AK32" s="30">
        <f>IFERROR(INDIRECT("'"&amp;$B32&amp;"'!D17"),"")</f>
        <v/>
      </c>
      <c r="AL32" s="30">
        <f>IFERROR(INDIRECT("'"&amp;$B32&amp;"'!C18"),"")</f>
        <v/>
      </c>
      <c r="AM32" s="30">
        <f>IFERROR(INDIRECT("'"&amp;$B32&amp;"'!D18"),"")</f>
        <v/>
      </c>
      <c r="AN32" s="30">
        <f>IFERROR(INDIRECT("'"&amp;$B32&amp;"'!C19"),"")</f>
        <v/>
      </c>
      <c r="AO32" s="30">
        <f>IFERROR(INDIRECT("'"&amp;$B32&amp;"'!D19"),"")</f>
        <v/>
      </c>
      <c r="AP32" s="30">
        <f>IFERROR(INDIRECT("'"&amp;$B32&amp;"'!C20"),"")</f>
        <v/>
      </c>
      <c r="AQ32" s="30">
        <f>IFERROR(INDIRECT("'"&amp;$B32&amp;"'!D20"),"")</f>
        <v/>
      </c>
      <c r="AR32" s="30">
        <f>IFERROR(INDIRECT("'"&amp;$B32&amp;"'!C21"),"")</f>
        <v/>
      </c>
      <c r="AS32" s="30">
        <f>IFERROR(INDIRECT("'"&amp;$B32&amp;"'!D21"),"")</f>
        <v/>
      </c>
    </row>
    <row r="33" ht="17" customHeight="1">
      <c r="A33" s="20" t="n">
        <v>23</v>
      </c>
      <c r="B33" s="21" t="n"/>
      <c r="C33" s="22">
        <f>IFERROR(INDIRECT("'"&amp;$B33&amp;"'!A7"),"")</f>
        <v/>
      </c>
      <c r="D33" s="22">
        <f>IFERROR(INDIRECT("'"&amp;$B33&amp;"'!A9"),"")</f>
        <v/>
      </c>
      <c r="E33" s="23">
        <f>IFERROR(INDIRECT("'"&amp;$B33&amp;"'!F7"),"")</f>
        <v/>
      </c>
      <c r="F33" s="23">
        <f>IFERROR(INDIRECT("'"&amp;$B33&amp;"'!H7"),"")</f>
        <v/>
      </c>
      <c r="G33" s="23">
        <f>IFERROR(INDIRECT("'"&amp;$B33&amp;"'!J7"),"")</f>
        <v/>
      </c>
      <c r="H33" s="24">
        <f>IFERROR(INDIRECT("'"&amp;$B33&amp;"'!H9"),"")</f>
        <v/>
      </c>
      <c r="I33" s="25">
        <f>IFERROR(INDIRECT("'"&amp;$B33&amp;"'!J9"),"")</f>
        <v/>
      </c>
      <c r="J33" s="26">
        <f>IFERROR(INDIRECT("'"&amp;$B33&amp;"'!A13"),"")</f>
        <v/>
      </c>
      <c r="K33" s="26">
        <f>IFERROR(INDIRECT("'"&amp;$B33&amp;"'!C13"),"")</f>
        <v/>
      </c>
      <c r="L33" s="26">
        <f>IFERROR(INDIRECT("'"&amp;$B33&amp;"'!I24"),"")</f>
        <v/>
      </c>
      <c r="M33" s="26">
        <f>IFERROR(INDIRECT("'"&amp;$B33&amp;"'!E13"),"")</f>
        <v/>
      </c>
      <c r="N33" s="27">
        <f>IFERROR(INDIRECT("'"&amp;$B33&amp;"'!G13"),"")</f>
        <v/>
      </c>
      <c r="O33" s="27">
        <f>IFERROR(INDIRECT("'"&amp;$B33&amp;"'!H13"),"")</f>
        <v/>
      </c>
      <c r="P33" s="28">
        <f>IF(OR($N33="",$O33=""),"",ROUND(($N33-$O33)*100,1))</f>
        <v/>
      </c>
      <c r="Q33" s="26">
        <f>IFERROR(INDIRECT("'"&amp;$B33&amp;"'!I13"),"")</f>
        <v/>
      </c>
      <c r="R33" s="29">
        <f>IF($N33="","",IF($N33&gt;=0.35,"Margem boa",IF($N33&gt;=0.25,"Margem apertada","Margem crítica")))</f>
        <v/>
      </c>
      <c r="AH33" s="30">
        <f>IFERROR(INDIRECT("'"&amp;$B33&amp;"'!C16"),"")</f>
        <v/>
      </c>
      <c r="AI33" s="30">
        <f>IFERROR(INDIRECT("'"&amp;$B33&amp;"'!D16"),"")</f>
        <v/>
      </c>
      <c r="AJ33" s="30">
        <f>IFERROR(INDIRECT("'"&amp;$B33&amp;"'!C17"),"")</f>
        <v/>
      </c>
      <c r="AK33" s="30">
        <f>IFERROR(INDIRECT("'"&amp;$B33&amp;"'!D17"),"")</f>
        <v/>
      </c>
      <c r="AL33" s="30">
        <f>IFERROR(INDIRECT("'"&amp;$B33&amp;"'!C18"),"")</f>
        <v/>
      </c>
      <c r="AM33" s="30">
        <f>IFERROR(INDIRECT("'"&amp;$B33&amp;"'!D18"),"")</f>
        <v/>
      </c>
      <c r="AN33" s="30">
        <f>IFERROR(INDIRECT("'"&amp;$B33&amp;"'!C19"),"")</f>
        <v/>
      </c>
      <c r="AO33" s="30">
        <f>IFERROR(INDIRECT("'"&amp;$B33&amp;"'!D19"),"")</f>
        <v/>
      </c>
      <c r="AP33" s="30">
        <f>IFERROR(INDIRECT("'"&amp;$B33&amp;"'!C20"),"")</f>
        <v/>
      </c>
      <c r="AQ33" s="30">
        <f>IFERROR(INDIRECT("'"&amp;$B33&amp;"'!D20"),"")</f>
        <v/>
      </c>
      <c r="AR33" s="30">
        <f>IFERROR(INDIRECT("'"&amp;$B33&amp;"'!C21"),"")</f>
        <v/>
      </c>
      <c r="AS33" s="30">
        <f>IFERROR(INDIRECT("'"&amp;$B33&amp;"'!D21"),"")</f>
        <v/>
      </c>
    </row>
    <row r="34" ht="17" customHeight="1">
      <c r="A34" s="20" t="n">
        <v>24</v>
      </c>
      <c r="B34" s="21" t="n"/>
      <c r="C34" s="22">
        <f>IFERROR(INDIRECT("'"&amp;$B34&amp;"'!A7"),"")</f>
        <v/>
      </c>
      <c r="D34" s="22">
        <f>IFERROR(INDIRECT("'"&amp;$B34&amp;"'!A9"),"")</f>
        <v/>
      </c>
      <c r="E34" s="23">
        <f>IFERROR(INDIRECT("'"&amp;$B34&amp;"'!F7"),"")</f>
        <v/>
      </c>
      <c r="F34" s="23">
        <f>IFERROR(INDIRECT("'"&amp;$B34&amp;"'!H7"),"")</f>
        <v/>
      </c>
      <c r="G34" s="23">
        <f>IFERROR(INDIRECT("'"&amp;$B34&amp;"'!J7"),"")</f>
        <v/>
      </c>
      <c r="H34" s="24">
        <f>IFERROR(INDIRECT("'"&amp;$B34&amp;"'!H9"),"")</f>
        <v/>
      </c>
      <c r="I34" s="25">
        <f>IFERROR(INDIRECT("'"&amp;$B34&amp;"'!J9"),"")</f>
        <v/>
      </c>
      <c r="J34" s="26">
        <f>IFERROR(INDIRECT("'"&amp;$B34&amp;"'!A13"),"")</f>
        <v/>
      </c>
      <c r="K34" s="26">
        <f>IFERROR(INDIRECT("'"&amp;$B34&amp;"'!C13"),"")</f>
        <v/>
      </c>
      <c r="L34" s="26">
        <f>IFERROR(INDIRECT("'"&amp;$B34&amp;"'!I24"),"")</f>
        <v/>
      </c>
      <c r="M34" s="26">
        <f>IFERROR(INDIRECT("'"&amp;$B34&amp;"'!E13"),"")</f>
        <v/>
      </c>
      <c r="N34" s="27">
        <f>IFERROR(INDIRECT("'"&amp;$B34&amp;"'!G13"),"")</f>
        <v/>
      </c>
      <c r="O34" s="27">
        <f>IFERROR(INDIRECT("'"&amp;$B34&amp;"'!H13"),"")</f>
        <v/>
      </c>
      <c r="P34" s="28">
        <f>IF(OR($N34="",$O34=""),"",ROUND(($N34-$O34)*100,1))</f>
        <v/>
      </c>
      <c r="Q34" s="26">
        <f>IFERROR(INDIRECT("'"&amp;$B34&amp;"'!I13"),"")</f>
        <v/>
      </c>
      <c r="R34" s="29">
        <f>IF($N34="","",IF($N34&gt;=0.35,"Margem boa",IF($N34&gt;=0.25,"Margem apertada","Margem crítica")))</f>
        <v/>
      </c>
      <c r="AH34" s="30">
        <f>IFERROR(INDIRECT("'"&amp;$B34&amp;"'!C16"),"")</f>
        <v/>
      </c>
      <c r="AI34" s="30">
        <f>IFERROR(INDIRECT("'"&amp;$B34&amp;"'!D16"),"")</f>
        <v/>
      </c>
      <c r="AJ34" s="30">
        <f>IFERROR(INDIRECT("'"&amp;$B34&amp;"'!C17"),"")</f>
        <v/>
      </c>
      <c r="AK34" s="30">
        <f>IFERROR(INDIRECT("'"&amp;$B34&amp;"'!D17"),"")</f>
        <v/>
      </c>
      <c r="AL34" s="30">
        <f>IFERROR(INDIRECT("'"&amp;$B34&amp;"'!C18"),"")</f>
        <v/>
      </c>
      <c r="AM34" s="30">
        <f>IFERROR(INDIRECT("'"&amp;$B34&amp;"'!D18"),"")</f>
        <v/>
      </c>
      <c r="AN34" s="30">
        <f>IFERROR(INDIRECT("'"&amp;$B34&amp;"'!C19"),"")</f>
        <v/>
      </c>
      <c r="AO34" s="30">
        <f>IFERROR(INDIRECT("'"&amp;$B34&amp;"'!D19"),"")</f>
        <v/>
      </c>
      <c r="AP34" s="30">
        <f>IFERROR(INDIRECT("'"&amp;$B34&amp;"'!C20"),"")</f>
        <v/>
      </c>
      <c r="AQ34" s="30">
        <f>IFERROR(INDIRECT("'"&amp;$B34&amp;"'!D20"),"")</f>
        <v/>
      </c>
      <c r="AR34" s="30">
        <f>IFERROR(INDIRECT("'"&amp;$B34&amp;"'!C21"),"")</f>
        <v/>
      </c>
      <c r="AS34" s="30">
        <f>IFERROR(INDIRECT("'"&amp;$B34&amp;"'!D21"),"")</f>
        <v/>
      </c>
    </row>
    <row r="35" ht="17" customHeight="1">
      <c r="A35" s="20" t="n">
        <v>25</v>
      </c>
      <c r="B35" s="21" t="n"/>
      <c r="C35" s="22">
        <f>IFERROR(INDIRECT("'"&amp;$B35&amp;"'!A7"),"")</f>
        <v/>
      </c>
      <c r="D35" s="22">
        <f>IFERROR(INDIRECT("'"&amp;$B35&amp;"'!A9"),"")</f>
        <v/>
      </c>
      <c r="E35" s="23">
        <f>IFERROR(INDIRECT("'"&amp;$B35&amp;"'!F7"),"")</f>
        <v/>
      </c>
      <c r="F35" s="23">
        <f>IFERROR(INDIRECT("'"&amp;$B35&amp;"'!H7"),"")</f>
        <v/>
      </c>
      <c r="G35" s="23">
        <f>IFERROR(INDIRECT("'"&amp;$B35&amp;"'!J7"),"")</f>
        <v/>
      </c>
      <c r="H35" s="24">
        <f>IFERROR(INDIRECT("'"&amp;$B35&amp;"'!H9"),"")</f>
        <v/>
      </c>
      <c r="I35" s="25">
        <f>IFERROR(INDIRECT("'"&amp;$B35&amp;"'!J9"),"")</f>
        <v/>
      </c>
      <c r="J35" s="26">
        <f>IFERROR(INDIRECT("'"&amp;$B35&amp;"'!A13"),"")</f>
        <v/>
      </c>
      <c r="K35" s="26">
        <f>IFERROR(INDIRECT("'"&amp;$B35&amp;"'!C13"),"")</f>
        <v/>
      </c>
      <c r="L35" s="26">
        <f>IFERROR(INDIRECT("'"&amp;$B35&amp;"'!I24"),"")</f>
        <v/>
      </c>
      <c r="M35" s="26">
        <f>IFERROR(INDIRECT("'"&amp;$B35&amp;"'!E13"),"")</f>
        <v/>
      </c>
      <c r="N35" s="27">
        <f>IFERROR(INDIRECT("'"&amp;$B35&amp;"'!G13"),"")</f>
        <v/>
      </c>
      <c r="O35" s="27">
        <f>IFERROR(INDIRECT("'"&amp;$B35&amp;"'!H13"),"")</f>
        <v/>
      </c>
      <c r="P35" s="28">
        <f>IF(OR($N35="",$O35=""),"",ROUND(($N35-$O35)*100,1))</f>
        <v/>
      </c>
      <c r="Q35" s="26">
        <f>IFERROR(INDIRECT("'"&amp;$B35&amp;"'!I13"),"")</f>
        <v/>
      </c>
      <c r="R35" s="29">
        <f>IF($N35="","",IF($N35&gt;=0.35,"Margem boa",IF($N35&gt;=0.25,"Margem apertada","Margem crítica")))</f>
        <v/>
      </c>
      <c r="AH35" s="30">
        <f>IFERROR(INDIRECT("'"&amp;$B35&amp;"'!C16"),"")</f>
        <v/>
      </c>
      <c r="AI35" s="30">
        <f>IFERROR(INDIRECT("'"&amp;$B35&amp;"'!D16"),"")</f>
        <v/>
      </c>
      <c r="AJ35" s="30">
        <f>IFERROR(INDIRECT("'"&amp;$B35&amp;"'!C17"),"")</f>
        <v/>
      </c>
      <c r="AK35" s="30">
        <f>IFERROR(INDIRECT("'"&amp;$B35&amp;"'!D17"),"")</f>
        <v/>
      </c>
      <c r="AL35" s="30">
        <f>IFERROR(INDIRECT("'"&amp;$B35&amp;"'!C18"),"")</f>
        <v/>
      </c>
      <c r="AM35" s="30">
        <f>IFERROR(INDIRECT("'"&amp;$B35&amp;"'!D18"),"")</f>
        <v/>
      </c>
      <c r="AN35" s="30">
        <f>IFERROR(INDIRECT("'"&amp;$B35&amp;"'!C19"),"")</f>
        <v/>
      </c>
      <c r="AO35" s="30">
        <f>IFERROR(INDIRECT("'"&amp;$B35&amp;"'!D19"),"")</f>
        <v/>
      </c>
      <c r="AP35" s="30">
        <f>IFERROR(INDIRECT("'"&amp;$B35&amp;"'!C20"),"")</f>
        <v/>
      </c>
      <c r="AQ35" s="30">
        <f>IFERROR(INDIRECT("'"&amp;$B35&amp;"'!D20"),"")</f>
        <v/>
      </c>
      <c r="AR35" s="30">
        <f>IFERROR(INDIRECT("'"&amp;$B35&amp;"'!C21"),"")</f>
        <v/>
      </c>
      <c r="AS35" s="30">
        <f>IFERROR(INDIRECT("'"&amp;$B35&amp;"'!D21"),"")</f>
        <v/>
      </c>
    </row>
    <row r="36" ht="17" customHeight="1">
      <c r="A36" s="20" t="n">
        <v>26</v>
      </c>
      <c r="B36" s="21" t="n"/>
      <c r="C36" s="22">
        <f>IFERROR(INDIRECT("'"&amp;$B36&amp;"'!A7"),"")</f>
        <v/>
      </c>
      <c r="D36" s="22">
        <f>IFERROR(INDIRECT("'"&amp;$B36&amp;"'!A9"),"")</f>
        <v/>
      </c>
      <c r="E36" s="23">
        <f>IFERROR(INDIRECT("'"&amp;$B36&amp;"'!F7"),"")</f>
        <v/>
      </c>
      <c r="F36" s="23">
        <f>IFERROR(INDIRECT("'"&amp;$B36&amp;"'!H7"),"")</f>
        <v/>
      </c>
      <c r="G36" s="23">
        <f>IFERROR(INDIRECT("'"&amp;$B36&amp;"'!J7"),"")</f>
        <v/>
      </c>
      <c r="H36" s="24">
        <f>IFERROR(INDIRECT("'"&amp;$B36&amp;"'!H9"),"")</f>
        <v/>
      </c>
      <c r="I36" s="25">
        <f>IFERROR(INDIRECT("'"&amp;$B36&amp;"'!J9"),"")</f>
        <v/>
      </c>
      <c r="J36" s="26">
        <f>IFERROR(INDIRECT("'"&amp;$B36&amp;"'!A13"),"")</f>
        <v/>
      </c>
      <c r="K36" s="26">
        <f>IFERROR(INDIRECT("'"&amp;$B36&amp;"'!C13"),"")</f>
        <v/>
      </c>
      <c r="L36" s="26">
        <f>IFERROR(INDIRECT("'"&amp;$B36&amp;"'!I24"),"")</f>
        <v/>
      </c>
      <c r="M36" s="26">
        <f>IFERROR(INDIRECT("'"&amp;$B36&amp;"'!E13"),"")</f>
        <v/>
      </c>
      <c r="N36" s="27">
        <f>IFERROR(INDIRECT("'"&amp;$B36&amp;"'!G13"),"")</f>
        <v/>
      </c>
      <c r="O36" s="27">
        <f>IFERROR(INDIRECT("'"&amp;$B36&amp;"'!H13"),"")</f>
        <v/>
      </c>
      <c r="P36" s="28">
        <f>IF(OR($N36="",$O36=""),"",ROUND(($N36-$O36)*100,1))</f>
        <v/>
      </c>
      <c r="Q36" s="26">
        <f>IFERROR(INDIRECT("'"&amp;$B36&amp;"'!I13"),"")</f>
        <v/>
      </c>
      <c r="R36" s="29">
        <f>IF($N36="","",IF($N36&gt;=0.35,"Margem boa",IF($N36&gt;=0.25,"Margem apertada","Margem crítica")))</f>
        <v/>
      </c>
      <c r="AH36" s="30">
        <f>IFERROR(INDIRECT("'"&amp;$B36&amp;"'!C16"),"")</f>
        <v/>
      </c>
      <c r="AI36" s="30">
        <f>IFERROR(INDIRECT("'"&amp;$B36&amp;"'!D16"),"")</f>
        <v/>
      </c>
      <c r="AJ36" s="30">
        <f>IFERROR(INDIRECT("'"&amp;$B36&amp;"'!C17"),"")</f>
        <v/>
      </c>
      <c r="AK36" s="30">
        <f>IFERROR(INDIRECT("'"&amp;$B36&amp;"'!D17"),"")</f>
        <v/>
      </c>
      <c r="AL36" s="30">
        <f>IFERROR(INDIRECT("'"&amp;$B36&amp;"'!C18"),"")</f>
        <v/>
      </c>
      <c r="AM36" s="30">
        <f>IFERROR(INDIRECT("'"&amp;$B36&amp;"'!D18"),"")</f>
        <v/>
      </c>
      <c r="AN36" s="30">
        <f>IFERROR(INDIRECT("'"&amp;$B36&amp;"'!C19"),"")</f>
        <v/>
      </c>
      <c r="AO36" s="30">
        <f>IFERROR(INDIRECT("'"&amp;$B36&amp;"'!D19"),"")</f>
        <v/>
      </c>
      <c r="AP36" s="30">
        <f>IFERROR(INDIRECT("'"&amp;$B36&amp;"'!C20"),"")</f>
        <v/>
      </c>
      <c r="AQ36" s="30">
        <f>IFERROR(INDIRECT("'"&amp;$B36&amp;"'!D20"),"")</f>
        <v/>
      </c>
      <c r="AR36" s="30">
        <f>IFERROR(INDIRECT("'"&amp;$B36&amp;"'!C21"),"")</f>
        <v/>
      </c>
      <c r="AS36" s="30">
        <f>IFERROR(INDIRECT("'"&amp;$B36&amp;"'!D21"),"")</f>
        <v/>
      </c>
    </row>
    <row r="37" ht="17" customHeight="1">
      <c r="A37" s="20" t="n">
        <v>27</v>
      </c>
      <c r="B37" s="21" t="n"/>
      <c r="C37" s="22">
        <f>IFERROR(INDIRECT("'"&amp;$B37&amp;"'!A7"),"")</f>
        <v/>
      </c>
      <c r="D37" s="22">
        <f>IFERROR(INDIRECT("'"&amp;$B37&amp;"'!A9"),"")</f>
        <v/>
      </c>
      <c r="E37" s="23">
        <f>IFERROR(INDIRECT("'"&amp;$B37&amp;"'!F7"),"")</f>
        <v/>
      </c>
      <c r="F37" s="23">
        <f>IFERROR(INDIRECT("'"&amp;$B37&amp;"'!H7"),"")</f>
        <v/>
      </c>
      <c r="G37" s="23">
        <f>IFERROR(INDIRECT("'"&amp;$B37&amp;"'!J7"),"")</f>
        <v/>
      </c>
      <c r="H37" s="24">
        <f>IFERROR(INDIRECT("'"&amp;$B37&amp;"'!H9"),"")</f>
        <v/>
      </c>
      <c r="I37" s="25">
        <f>IFERROR(INDIRECT("'"&amp;$B37&amp;"'!J9"),"")</f>
        <v/>
      </c>
      <c r="J37" s="26">
        <f>IFERROR(INDIRECT("'"&amp;$B37&amp;"'!A13"),"")</f>
        <v/>
      </c>
      <c r="K37" s="26">
        <f>IFERROR(INDIRECT("'"&amp;$B37&amp;"'!C13"),"")</f>
        <v/>
      </c>
      <c r="L37" s="26">
        <f>IFERROR(INDIRECT("'"&amp;$B37&amp;"'!I24"),"")</f>
        <v/>
      </c>
      <c r="M37" s="26">
        <f>IFERROR(INDIRECT("'"&amp;$B37&amp;"'!E13"),"")</f>
        <v/>
      </c>
      <c r="N37" s="27">
        <f>IFERROR(INDIRECT("'"&amp;$B37&amp;"'!G13"),"")</f>
        <v/>
      </c>
      <c r="O37" s="27">
        <f>IFERROR(INDIRECT("'"&amp;$B37&amp;"'!H13"),"")</f>
        <v/>
      </c>
      <c r="P37" s="28">
        <f>IF(OR($N37="",$O37=""),"",ROUND(($N37-$O37)*100,1))</f>
        <v/>
      </c>
      <c r="Q37" s="26">
        <f>IFERROR(INDIRECT("'"&amp;$B37&amp;"'!I13"),"")</f>
        <v/>
      </c>
      <c r="R37" s="29">
        <f>IF($N37="","",IF($N37&gt;=0.35,"Margem boa",IF($N37&gt;=0.25,"Margem apertada","Margem crítica")))</f>
        <v/>
      </c>
      <c r="AH37" s="30">
        <f>IFERROR(INDIRECT("'"&amp;$B37&amp;"'!C16"),"")</f>
        <v/>
      </c>
      <c r="AI37" s="30">
        <f>IFERROR(INDIRECT("'"&amp;$B37&amp;"'!D16"),"")</f>
        <v/>
      </c>
      <c r="AJ37" s="30">
        <f>IFERROR(INDIRECT("'"&amp;$B37&amp;"'!C17"),"")</f>
        <v/>
      </c>
      <c r="AK37" s="30">
        <f>IFERROR(INDIRECT("'"&amp;$B37&amp;"'!D17"),"")</f>
        <v/>
      </c>
      <c r="AL37" s="30">
        <f>IFERROR(INDIRECT("'"&amp;$B37&amp;"'!C18"),"")</f>
        <v/>
      </c>
      <c r="AM37" s="30">
        <f>IFERROR(INDIRECT("'"&amp;$B37&amp;"'!D18"),"")</f>
        <v/>
      </c>
      <c r="AN37" s="30">
        <f>IFERROR(INDIRECT("'"&amp;$B37&amp;"'!C19"),"")</f>
        <v/>
      </c>
      <c r="AO37" s="30">
        <f>IFERROR(INDIRECT("'"&amp;$B37&amp;"'!D19"),"")</f>
        <v/>
      </c>
      <c r="AP37" s="30">
        <f>IFERROR(INDIRECT("'"&amp;$B37&amp;"'!C20"),"")</f>
        <v/>
      </c>
      <c r="AQ37" s="30">
        <f>IFERROR(INDIRECT("'"&amp;$B37&amp;"'!D20"),"")</f>
        <v/>
      </c>
      <c r="AR37" s="30">
        <f>IFERROR(INDIRECT("'"&amp;$B37&amp;"'!C21"),"")</f>
        <v/>
      </c>
      <c r="AS37" s="30">
        <f>IFERROR(INDIRECT("'"&amp;$B37&amp;"'!D21"),"")</f>
        <v/>
      </c>
    </row>
    <row r="38" ht="17" customHeight="1">
      <c r="A38" s="20" t="n">
        <v>28</v>
      </c>
      <c r="B38" s="21" t="n"/>
      <c r="C38" s="22">
        <f>IFERROR(INDIRECT("'"&amp;$B38&amp;"'!A7"),"")</f>
        <v/>
      </c>
      <c r="D38" s="22">
        <f>IFERROR(INDIRECT("'"&amp;$B38&amp;"'!A9"),"")</f>
        <v/>
      </c>
      <c r="E38" s="23">
        <f>IFERROR(INDIRECT("'"&amp;$B38&amp;"'!F7"),"")</f>
        <v/>
      </c>
      <c r="F38" s="23">
        <f>IFERROR(INDIRECT("'"&amp;$B38&amp;"'!H7"),"")</f>
        <v/>
      </c>
      <c r="G38" s="23">
        <f>IFERROR(INDIRECT("'"&amp;$B38&amp;"'!J7"),"")</f>
        <v/>
      </c>
      <c r="H38" s="24">
        <f>IFERROR(INDIRECT("'"&amp;$B38&amp;"'!H9"),"")</f>
        <v/>
      </c>
      <c r="I38" s="25">
        <f>IFERROR(INDIRECT("'"&amp;$B38&amp;"'!J9"),"")</f>
        <v/>
      </c>
      <c r="J38" s="26">
        <f>IFERROR(INDIRECT("'"&amp;$B38&amp;"'!A13"),"")</f>
        <v/>
      </c>
      <c r="K38" s="26">
        <f>IFERROR(INDIRECT("'"&amp;$B38&amp;"'!C13"),"")</f>
        <v/>
      </c>
      <c r="L38" s="26">
        <f>IFERROR(INDIRECT("'"&amp;$B38&amp;"'!I24"),"")</f>
        <v/>
      </c>
      <c r="M38" s="26">
        <f>IFERROR(INDIRECT("'"&amp;$B38&amp;"'!E13"),"")</f>
        <v/>
      </c>
      <c r="N38" s="27">
        <f>IFERROR(INDIRECT("'"&amp;$B38&amp;"'!G13"),"")</f>
        <v/>
      </c>
      <c r="O38" s="27">
        <f>IFERROR(INDIRECT("'"&amp;$B38&amp;"'!H13"),"")</f>
        <v/>
      </c>
      <c r="P38" s="28">
        <f>IF(OR($N38="",$O38=""),"",ROUND(($N38-$O38)*100,1))</f>
        <v/>
      </c>
      <c r="Q38" s="26">
        <f>IFERROR(INDIRECT("'"&amp;$B38&amp;"'!I13"),"")</f>
        <v/>
      </c>
      <c r="R38" s="29">
        <f>IF($N38="","",IF($N38&gt;=0.35,"Margem boa",IF($N38&gt;=0.25,"Margem apertada","Margem crítica")))</f>
        <v/>
      </c>
      <c r="AH38" s="30">
        <f>IFERROR(INDIRECT("'"&amp;$B38&amp;"'!C16"),"")</f>
        <v/>
      </c>
      <c r="AI38" s="30">
        <f>IFERROR(INDIRECT("'"&amp;$B38&amp;"'!D16"),"")</f>
        <v/>
      </c>
      <c r="AJ38" s="30">
        <f>IFERROR(INDIRECT("'"&amp;$B38&amp;"'!C17"),"")</f>
        <v/>
      </c>
      <c r="AK38" s="30">
        <f>IFERROR(INDIRECT("'"&amp;$B38&amp;"'!D17"),"")</f>
        <v/>
      </c>
      <c r="AL38" s="30">
        <f>IFERROR(INDIRECT("'"&amp;$B38&amp;"'!C18"),"")</f>
        <v/>
      </c>
      <c r="AM38" s="30">
        <f>IFERROR(INDIRECT("'"&amp;$B38&amp;"'!D18"),"")</f>
        <v/>
      </c>
      <c r="AN38" s="30">
        <f>IFERROR(INDIRECT("'"&amp;$B38&amp;"'!C19"),"")</f>
        <v/>
      </c>
      <c r="AO38" s="30">
        <f>IFERROR(INDIRECT("'"&amp;$B38&amp;"'!D19"),"")</f>
        <v/>
      </c>
      <c r="AP38" s="30">
        <f>IFERROR(INDIRECT("'"&amp;$B38&amp;"'!C20"),"")</f>
        <v/>
      </c>
      <c r="AQ38" s="30">
        <f>IFERROR(INDIRECT("'"&amp;$B38&amp;"'!D20"),"")</f>
        <v/>
      </c>
      <c r="AR38" s="30">
        <f>IFERROR(INDIRECT("'"&amp;$B38&amp;"'!C21"),"")</f>
        <v/>
      </c>
      <c r="AS38" s="30">
        <f>IFERROR(INDIRECT("'"&amp;$B38&amp;"'!D21"),"")</f>
        <v/>
      </c>
    </row>
    <row r="39" ht="17" customHeight="1">
      <c r="A39" s="20" t="n">
        <v>29</v>
      </c>
      <c r="B39" s="21" t="n"/>
      <c r="C39" s="22">
        <f>IFERROR(INDIRECT("'"&amp;$B39&amp;"'!A7"),"")</f>
        <v/>
      </c>
      <c r="D39" s="22">
        <f>IFERROR(INDIRECT("'"&amp;$B39&amp;"'!A9"),"")</f>
        <v/>
      </c>
      <c r="E39" s="23">
        <f>IFERROR(INDIRECT("'"&amp;$B39&amp;"'!F7"),"")</f>
        <v/>
      </c>
      <c r="F39" s="23">
        <f>IFERROR(INDIRECT("'"&amp;$B39&amp;"'!H7"),"")</f>
        <v/>
      </c>
      <c r="G39" s="23">
        <f>IFERROR(INDIRECT("'"&amp;$B39&amp;"'!J7"),"")</f>
        <v/>
      </c>
      <c r="H39" s="24">
        <f>IFERROR(INDIRECT("'"&amp;$B39&amp;"'!H9"),"")</f>
        <v/>
      </c>
      <c r="I39" s="25">
        <f>IFERROR(INDIRECT("'"&amp;$B39&amp;"'!J9"),"")</f>
        <v/>
      </c>
      <c r="J39" s="26">
        <f>IFERROR(INDIRECT("'"&amp;$B39&amp;"'!A13"),"")</f>
        <v/>
      </c>
      <c r="K39" s="26">
        <f>IFERROR(INDIRECT("'"&amp;$B39&amp;"'!C13"),"")</f>
        <v/>
      </c>
      <c r="L39" s="26">
        <f>IFERROR(INDIRECT("'"&amp;$B39&amp;"'!I24"),"")</f>
        <v/>
      </c>
      <c r="M39" s="26">
        <f>IFERROR(INDIRECT("'"&amp;$B39&amp;"'!E13"),"")</f>
        <v/>
      </c>
      <c r="N39" s="27">
        <f>IFERROR(INDIRECT("'"&amp;$B39&amp;"'!G13"),"")</f>
        <v/>
      </c>
      <c r="O39" s="27">
        <f>IFERROR(INDIRECT("'"&amp;$B39&amp;"'!H13"),"")</f>
        <v/>
      </c>
      <c r="P39" s="28">
        <f>IF(OR($N39="",$O39=""),"",ROUND(($N39-$O39)*100,1))</f>
        <v/>
      </c>
      <c r="Q39" s="26">
        <f>IFERROR(INDIRECT("'"&amp;$B39&amp;"'!I13"),"")</f>
        <v/>
      </c>
      <c r="R39" s="29">
        <f>IF($N39="","",IF($N39&gt;=0.35,"Margem boa",IF($N39&gt;=0.25,"Margem apertada","Margem crítica")))</f>
        <v/>
      </c>
      <c r="AH39" s="30">
        <f>IFERROR(INDIRECT("'"&amp;$B39&amp;"'!C16"),"")</f>
        <v/>
      </c>
      <c r="AI39" s="30">
        <f>IFERROR(INDIRECT("'"&amp;$B39&amp;"'!D16"),"")</f>
        <v/>
      </c>
      <c r="AJ39" s="30">
        <f>IFERROR(INDIRECT("'"&amp;$B39&amp;"'!C17"),"")</f>
        <v/>
      </c>
      <c r="AK39" s="30">
        <f>IFERROR(INDIRECT("'"&amp;$B39&amp;"'!D17"),"")</f>
        <v/>
      </c>
      <c r="AL39" s="30">
        <f>IFERROR(INDIRECT("'"&amp;$B39&amp;"'!C18"),"")</f>
        <v/>
      </c>
      <c r="AM39" s="30">
        <f>IFERROR(INDIRECT("'"&amp;$B39&amp;"'!D18"),"")</f>
        <v/>
      </c>
      <c r="AN39" s="30">
        <f>IFERROR(INDIRECT("'"&amp;$B39&amp;"'!C19"),"")</f>
        <v/>
      </c>
      <c r="AO39" s="30">
        <f>IFERROR(INDIRECT("'"&amp;$B39&amp;"'!D19"),"")</f>
        <v/>
      </c>
      <c r="AP39" s="30">
        <f>IFERROR(INDIRECT("'"&amp;$B39&amp;"'!C20"),"")</f>
        <v/>
      </c>
      <c r="AQ39" s="30">
        <f>IFERROR(INDIRECT("'"&amp;$B39&amp;"'!D20"),"")</f>
        <v/>
      </c>
      <c r="AR39" s="30">
        <f>IFERROR(INDIRECT("'"&amp;$B39&amp;"'!C21"),"")</f>
        <v/>
      </c>
      <c r="AS39" s="30">
        <f>IFERROR(INDIRECT("'"&amp;$B39&amp;"'!D21"),"")</f>
        <v/>
      </c>
    </row>
    <row r="40" ht="17" customHeight="1">
      <c r="A40" s="20" t="n">
        <v>30</v>
      </c>
      <c r="B40" s="21" t="n"/>
      <c r="C40" s="22">
        <f>IFERROR(INDIRECT("'"&amp;$B40&amp;"'!A7"),"")</f>
        <v/>
      </c>
      <c r="D40" s="22">
        <f>IFERROR(INDIRECT("'"&amp;$B40&amp;"'!A9"),"")</f>
        <v/>
      </c>
      <c r="E40" s="23">
        <f>IFERROR(INDIRECT("'"&amp;$B40&amp;"'!F7"),"")</f>
        <v/>
      </c>
      <c r="F40" s="23">
        <f>IFERROR(INDIRECT("'"&amp;$B40&amp;"'!H7"),"")</f>
        <v/>
      </c>
      <c r="G40" s="23">
        <f>IFERROR(INDIRECT("'"&amp;$B40&amp;"'!J7"),"")</f>
        <v/>
      </c>
      <c r="H40" s="24">
        <f>IFERROR(INDIRECT("'"&amp;$B40&amp;"'!H9"),"")</f>
        <v/>
      </c>
      <c r="I40" s="25">
        <f>IFERROR(INDIRECT("'"&amp;$B40&amp;"'!J9"),"")</f>
        <v/>
      </c>
      <c r="J40" s="26">
        <f>IFERROR(INDIRECT("'"&amp;$B40&amp;"'!A13"),"")</f>
        <v/>
      </c>
      <c r="K40" s="26">
        <f>IFERROR(INDIRECT("'"&amp;$B40&amp;"'!C13"),"")</f>
        <v/>
      </c>
      <c r="L40" s="26">
        <f>IFERROR(INDIRECT("'"&amp;$B40&amp;"'!I24"),"")</f>
        <v/>
      </c>
      <c r="M40" s="26">
        <f>IFERROR(INDIRECT("'"&amp;$B40&amp;"'!E13"),"")</f>
        <v/>
      </c>
      <c r="N40" s="27">
        <f>IFERROR(INDIRECT("'"&amp;$B40&amp;"'!G13"),"")</f>
        <v/>
      </c>
      <c r="O40" s="27">
        <f>IFERROR(INDIRECT("'"&amp;$B40&amp;"'!H13"),"")</f>
        <v/>
      </c>
      <c r="P40" s="28">
        <f>IF(OR($N40="",$O40=""),"",ROUND(($N40-$O40)*100,1))</f>
        <v/>
      </c>
      <c r="Q40" s="26">
        <f>IFERROR(INDIRECT("'"&amp;$B40&amp;"'!I13"),"")</f>
        <v/>
      </c>
      <c r="R40" s="29">
        <f>IF($N40="","",IF($N40&gt;=0.35,"Margem boa",IF($N40&gt;=0.25,"Margem apertada","Margem crítica")))</f>
        <v/>
      </c>
      <c r="AH40" s="30">
        <f>IFERROR(INDIRECT("'"&amp;$B40&amp;"'!C16"),"")</f>
        <v/>
      </c>
      <c r="AI40" s="30">
        <f>IFERROR(INDIRECT("'"&amp;$B40&amp;"'!D16"),"")</f>
        <v/>
      </c>
      <c r="AJ40" s="30">
        <f>IFERROR(INDIRECT("'"&amp;$B40&amp;"'!C17"),"")</f>
        <v/>
      </c>
      <c r="AK40" s="30">
        <f>IFERROR(INDIRECT("'"&amp;$B40&amp;"'!D17"),"")</f>
        <v/>
      </c>
      <c r="AL40" s="30">
        <f>IFERROR(INDIRECT("'"&amp;$B40&amp;"'!C18"),"")</f>
        <v/>
      </c>
      <c r="AM40" s="30">
        <f>IFERROR(INDIRECT("'"&amp;$B40&amp;"'!D18"),"")</f>
        <v/>
      </c>
      <c r="AN40" s="30">
        <f>IFERROR(INDIRECT("'"&amp;$B40&amp;"'!C19"),"")</f>
        <v/>
      </c>
      <c r="AO40" s="30">
        <f>IFERROR(INDIRECT("'"&amp;$B40&amp;"'!D19"),"")</f>
        <v/>
      </c>
      <c r="AP40" s="30">
        <f>IFERROR(INDIRECT("'"&amp;$B40&amp;"'!C20"),"")</f>
        <v/>
      </c>
      <c r="AQ40" s="30">
        <f>IFERROR(INDIRECT("'"&amp;$B40&amp;"'!D20"),"")</f>
        <v/>
      </c>
      <c r="AR40" s="30">
        <f>IFERROR(INDIRECT("'"&amp;$B40&amp;"'!C21"),"")</f>
        <v/>
      </c>
      <c r="AS40" s="30">
        <f>IFERROR(INDIRECT("'"&amp;$B40&amp;"'!D21"),"")</f>
        <v/>
      </c>
    </row>
    <row r="41" ht="17" customHeight="1">
      <c r="A41" s="20" t="n">
        <v>31</v>
      </c>
      <c r="B41" s="21" t="n"/>
      <c r="C41" s="22">
        <f>IFERROR(INDIRECT("'"&amp;$B41&amp;"'!A7"),"")</f>
        <v/>
      </c>
      <c r="D41" s="22">
        <f>IFERROR(INDIRECT("'"&amp;$B41&amp;"'!A9"),"")</f>
        <v/>
      </c>
      <c r="E41" s="23">
        <f>IFERROR(INDIRECT("'"&amp;$B41&amp;"'!F7"),"")</f>
        <v/>
      </c>
      <c r="F41" s="23">
        <f>IFERROR(INDIRECT("'"&amp;$B41&amp;"'!H7"),"")</f>
        <v/>
      </c>
      <c r="G41" s="23">
        <f>IFERROR(INDIRECT("'"&amp;$B41&amp;"'!J7"),"")</f>
        <v/>
      </c>
      <c r="H41" s="24">
        <f>IFERROR(INDIRECT("'"&amp;$B41&amp;"'!H9"),"")</f>
        <v/>
      </c>
      <c r="I41" s="25">
        <f>IFERROR(INDIRECT("'"&amp;$B41&amp;"'!J9"),"")</f>
        <v/>
      </c>
      <c r="J41" s="26">
        <f>IFERROR(INDIRECT("'"&amp;$B41&amp;"'!A13"),"")</f>
        <v/>
      </c>
      <c r="K41" s="26">
        <f>IFERROR(INDIRECT("'"&amp;$B41&amp;"'!C13"),"")</f>
        <v/>
      </c>
      <c r="L41" s="26">
        <f>IFERROR(INDIRECT("'"&amp;$B41&amp;"'!I24"),"")</f>
        <v/>
      </c>
      <c r="M41" s="26">
        <f>IFERROR(INDIRECT("'"&amp;$B41&amp;"'!E13"),"")</f>
        <v/>
      </c>
      <c r="N41" s="27">
        <f>IFERROR(INDIRECT("'"&amp;$B41&amp;"'!G13"),"")</f>
        <v/>
      </c>
      <c r="O41" s="27">
        <f>IFERROR(INDIRECT("'"&amp;$B41&amp;"'!H13"),"")</f>
        <v/>
      </c>
      <c r="P41" s="28">
        <f>IF(OR($N41="",$O41=""),"",ROUND(($N41-$O41)*100,1))</f>
        <v/>
      </c>
      <c r="Q41" s="26">
        <f>IFERROR(INDIRECT("'"&amp;$B41&amp;"'!I13"),"")</f>
        <v/>
      </c>
      <c r="R41" s="29">
        <f>IF($N41="","",IF($N41&gt;=0.35,"Margem boa",IF($N41&gt;=0.25,"Margem apertada","Margem crítica")))</f>
        <v/>
      </c>
      <c r="AH41" s="30">
        <f>IFERROR(INDIRECT("'"&amp;$B41&amp;"'!C16"),"")</f>
        <v/>
      </c>
      <c r="AI41" s="30">
        <f>IFERROR(INDIRECT("'"&amp;$B41&amp;"'!D16"),"")</f>
        <v/>
      </c>
      <c r="AJ41" s="30">
        <f>IFERROR(INDIRECT("'"&amp;$B41&amp;"'!C17"),"")</f>
        <v/>
      </c>
      <c r="AK41" s="30">
        <f>IFERROR(INDIRECT("'"&amp;$B41&amp;"'!D17"),"")</f>
        <v/>
      </c>
      <c r="AL41" s="30">
        <f>IFERROR(INDIRECT("'"&amp;$B41&amp;"'!C18"),"")</f>
        <v/>
      </c>
      <c r="AM41" s="30">
        <f>IFERROR(INDIRECT("'"&amp;$B41&amp;"'!D18"),"")</f>
        <v/>
      </c>
      <c r="AN41" s="30">
        <f>IFERROR(INDIRECT("'"&amp;$B41&amp;"'!C19"),"")</f>
        <v/>
      </c>
      <c r="AO41" s="30">
        <f>IFERROR(INDIRECT("'"&amp;$B41&amp;"'!D19"),"")</f>
        <v/>
      </c>
      <c r="AP41" s="30">
        <f>IFERROR(INDIRECT("'"&amp;$B41&amp;"'!C20"),"")</f>
        <v/>
      </c>
      <c r="AQ41" s="30">
        <f>IFERROR(INDIRECT("'"&amp;$B41&amp;"'!D20"),"")</f>
        <v/>
      </c>
      <c r="AR41" s="30">
        <f>IFERROR(INDIRECT("'"&amp;$B41&amp;"'!C21"),"")</f>
        <v/>
      </c>
      <c r="AS41" s="30">
        <f>IFERROR(INDIRECT("'"&amp;$B41&amp;"'!D21"),"")</f>
        <v/>
      </c>
    </row>
    <row r="42" ht="17" customHeight="1">
      <c r="A42" s="20" t="n">
        <v>32</v>
      </c>
      <c r="B42" s="21" t="n"/>
      <c r="C42" s="22">
        <f>IFERROR(INDIRECT("'"&amp;$B42&amp;"'!A7"),"")</f>
        <v/>
      </c>
      <c r="D42" s="22">
        <f>IFERROR(INDIRECT("'"&amp;$B42&amp;"'!A9"),"")</f>
        <v/>
      </c>
      <c r="E42" s="23">
        <f>IFERROR(INDIRECT("'"&amp;$B42&amp;"'!F7"),"")</f>
        <v/>
      </c>
      <c r="F42" s="23">
        <f>IFERROR(INDIRECT("'"&amp;$B42&amp;"'!H7"),"")</f>
        <v/>
      </c>
      <c r="G42" s="23">
        <f>IFERROR(INDIRECT("'"&amp;$B42&amp;"'!J7"),"")</f>
        <v/>
      </c>
      <c r="H42" s="24">
        <f>IFERROR(INDIRECT("'"&amp;$B42&amp;"'!H9"),"")</f>
        <v/>
      </c>
      <c r="I42" s="25">
        <f>IFERROR(INDIRECT("'"&amp;$B42&amp;"'!J9"),"")</f>
        <v/>
      </c>
      <c r="J42" s="26">
        <f>IFERROR(INDIRECT("'"&amp;$B42&amp;"'!A13"),"")</f>
        <v/>
      </c>
      <c r="K42" s="26">
        <f>IFERROR(INDIRECT("'"&amp;$B42&amp;"'!C13"),"")</f>
        <v/>
      </c>
      <c r="L42" s="26">
        <f>IFERROR(INDIRECT("'"&amp;$B42&amp;"'!I24"),"")</f>
        <v/>
      </c>
      <c r="M42" s="26">
        <f>IFERROR(INDIRECT("'"&amp;$B42&amp;"'!E13"),"")</f>
        <v/>
      </c>
      <c r="N42" s="27">
        <f>IFERROR(INDIRECT("'"&amp;$B42&amp;"'!G13"),"")</f>
        <v/>
      </c>
      <c r="O42" s="27">
        <f>IFERROR(INDIRECT("'"&amp;$B42&amp;"'!H13"),"")</f>
        <v/>
      </c>
      <c r="P42" s="28">
        <f>IF(OR($N42="",$O42=""),"",ROUND(($N42-$O42)*100,1))</f>
        <v/>
      </c>
      <c r="Q42" s="26">
        <f>IFERROR(INDIRECT("'"&amp;$B42&amp;"'!I13"),"")</f>
        <v/>
      </c>
      <c r="R42" s="29">
        <f>IF($N42="","",IF($N42&gt;=0.35,"Margem boa",IF($N42&gt;=0.25,"Margem apertada","Margem crítica")))</f>
        <v/>
      </c>
      <c r="AH42" s="30">
        <f>IFERROR(INDIRECT("'"&amp;$B42&amp;"'!C16"),"")</f>
        <v/>
      </c>
      <c r="AI42" s="30">
        <f>IFERROR(INDIRECT("'"&amp;$B42&amp;"'!D16"),"")</f>
        <v/>
      </c>
      <c r="AJ42" s="30">
        <f>IFERROR(INDIRECT("'"&amp;$B42&amp;"'!C17"),"")</f>
        <v/>
      </c>
      <c r="AK42" s="30">
        <f>IFERROR(INDIRECT("'"&amp;$B42&amp;"'!D17"),"")</f>
        <v/>
      </c>
      <c r="AL42" s="30">
        <f>IFERROR(INDIRECT("'"&amp;$B42&amp;"'!C18"),"")</f>
        <v/>
      </c>
      <c r="AM42" s="30">
        <f>IFERROR(INDIRECT("'"&amp;$B42&amp;"'!D18"),"")</f>
        <v/>
      </c>
      <c r="AN42" s="30">
        <f>IFERROR(INDIRECT("'"&amp;$B42&amp;"'!C19"),"")</f>
        <v/>
      </c>
      <c r="AO42" s="30">
        <f>IFERROR(INDIRECT("'"&amp;$B42&amp;"'!D19"),"")</f>
        <v/>
      </c>
      <c r="AP42" s="30">
        <f>IFERROR(INDIRECT("'"&amp;$B42&amp;"'!C20"),"")</f>
        <v/>
      </c>
      <c r="AQ42" s="30">
        <f>IFERROR(INDIRECT("'"&amp;$B42&amp;"'!D20"),"")</f>
        <v/>
      </c>
      <c r="AR42" s="30">
        <f>IFERROR(INDIRECT("'"&amp;$B42&amp;"'!C21"),"")</f>
        <v/>
      </c>
      <c r="AS42" s="30">
        <f>IFERROR(INDIRECT("'"&amp;$B42&amp;"'!D21"),"")</f>
        <v/>
      </c>
    </row>
    <row r="43" ht="17" customHeight="1">
      <c r="A43" s="20" t="n">
        <v>33</v>
      </c>
      <c r="B43" s="21" t="n"/>
      <c r="C43" s="22">
        <f>IFERROR(INDIRECT("'"&amp;$B43&amp;"'!A7"),"")</f>
        <v/>
      </c>
      <c r="D43" s="22">
        <f>IFERROR(INDIRECT("'"&amp;$B43&amp;"'!A9"),"")</f>
        <v/>
      </c>
      <c r="E43" s="23">
        <f>IFERROR(INDIRECT("'"&amp;$B43&amp;"'!F7"),"")</f>
        <v/>
      </c>
      <c r="F43" s="23">
        <f>IFERROR(INDIRECT("'"&amp;$B43&amp;"'!H7"),"")</f>
        <v/>
      </c>
      <c r="G43" s="23">
        <f>IFERROR(INDIRECT("'"&amp;$B43&amp;"'!J7"),"")</f>
        <v/>
      </c>
      <c r="H43" s="24">
        <f>IFERROR(INDIRECT("'"&amp;$B43&amp;"'!H9"),"")</f>
        <v/>
      </c>
      <c r="I43" s="25">
        <f>IFERROR(INDIRECT("'"&amp;$B43&amp;"'!J9"),"")</f>
        <v/>
      </c>
      <c r="J43" s="26">
        <f>IFERROR(INDIRECT("'"&amp;$B43&amp;"'!A13"),"")</f>
        <v/>
      </c>
      <c r="K43" s="26">
        <f>IFERROR(INDIRECT("'"&amp;$B43&amp;"'!C13"),"")</f>
        <v/>
      </c>
      <c r="L43" s="26">
        <f>IFERROR(INDIRECT("'"&amp;$B43&amp;"'!I24"),"")</f>
        <v/>
      </c>
      <c r="M43" s="26">
        <f>IFERROR(INDIRECT("'"&amp;$B43&amp;"'!E13"),"")</f>
        <v/>
      </c>
      <c r="N43" s="27">
        <f>IFERROR(INDIRECT("'"&amp;$B43&amp;"'!G13"),"")</f>
        <v/>
      </c>
      <c r="O43" s="27">
        <f>IFERROR(INDIRECT("'"&amp;$B43&amp;"'!H13"),"")</f>
        <v/>
      </c>
      <c r="P43" s="28">
        <f>IF(OR($N43="",$O43=""),"",ROUND(($N43-$O43)*100,1))</f>
        <v/>
      </c>
      <c r="Q43" s="26">
        <f>IFERROR(INDIRECT("'"&amp;$B43&amp;"'!I13"),"")</f>
        <v/>
      </c>
      <c r="R43" s="29">
        <f>IF($N43="","",IF($N43&gt;=0.35,"Margem boa",IF($N43&gt;=0.25,"Margem apertada","Margem crítica")))</f>
        <v/>
      </c>
      <c r="AH43" s="30">
        <f>IFERROR(INDIRECT("'"&amp;$B43&amp;"'!C16"),"")</f>
        <v/>
      </c>
      <c r="AI43" s="30">
        <f>IFERROR(INDIRECT("'"&amp;$B43&amp;"'!D16"),"")</f>
        <v/>
      </c>
      <c r="AJ43" s="30">
        <f>IFERROR(INDIRECT("'"&amp;$B43&amp;"'!C17"),"")</f>
        <v/>
      </c>
      <c r="AK43" s="30">
        <f>IFERROR(INDIRECT("'"&amp;$B43&amp;"'!D17"),"")</f>
        <v/>
      </c>
      <c r="AL43" s="30">
        <f>IFERROR(INDIRECT("'"&amp;$B43&amp;"'!C18"),"")</f>
        <v/>
      </c>
      <c r="AM43" s="30">
        <f>IFERROR(INDIRECT("'"&amp;$B43&amp;"'!D18"),"")</f>
        <v/>
      </c>
      <c r="AN43" s="30">
        <f>IFERROR(INDIRECT("'"&amp;$B43&amp;"'!C19"),"")</f>
        <v/>
      </c>
      <c r="AO43" s="30">
        <f>IFERROR(INDIRECT("'"&amp;$B43&amp;"'!D19"),"")</f>
        <v/>
      </c>
      <c r="AP43" s="30">
        <f>IFERROR(INDIRECT("'"&amp;$B43&amp;"'!C20"),"")</f>
        <v/>
      </c>
      <c r="AQ43" s="30">
        <f>IFERROR(INDIRECT("'"&amp;$B43&amp;"'!D20"),"")</f>
        <v/>
      </c>
      <c r="AR43" s="30">
        <f>IFERROR(INDIRECT("'"&amp;$B43&amp;"'!C21"),"")</f>
        <v/>
      </c>
      <c r="AS43" s="30">
        <f>IFERROR(INDIRECT("'"&amp;$B43&amp;"'!D21"),"")</f>
        <v/>
      </c>
    </row>
    <row r="44" ht="17" customHeight="1">
      <c r="A44" s="20" t="n">
        <v>34</v>
      </c>
      <c r="B44" s="21" t="n"/>
      <c r="C44" s="22">
        <f>IFERROR(INDIRECT("'"&amp;$B44&amp;"'!A7"),"")</f>
        <v/>
      </c>
      <c r="D44" s="22">
        <f>IFERROR(INDIRECT("'"&amp;$B44&amp;"'!A9"),"")</f>
        <v/>
      </c>
      <c r="E44" s="23">
        <f>IFERROR(INDIRECT("'"&amp;$B44&amp;"'!F7"),"")</f>
        <v/>
      </c>
      <c r="F44" s="23">
        <f>IFERROR(INDIRECT("'"&amp;$B44&amp;"'!H7"),"")</f>
        <v/>
      </c>
      <c r="G44" s="23">
        <f>IFERROR(INDIRECT("'"&amp;$B44&amp;"'!J7"),"")</f>
        <v/>
      </c>
      <c r="H44" s="24">
        <f>IFERROR(INDIRECT("'"&amp;$B44&amp;"'!H9"),"")</f>
        <v/>
      </c>
      <c r="I44" s="25">
        <f>IFERROR(INDIRECT("'"&amp;$B44&amp;"'!J9"),"")</f>
        <v/>
      </c>
      <c r="J44" s="26">
        <f>IFERROR(INDIRECT("'"&amp;$B44&amp;"'!A13"),"")</f>
        <v/>
      </c>
      <c r="K44" s="26">
        <f>IFERROR(INDIRECT("'"&amp;$B44&amp;"'!C13"),"")</f>
        <v/>
      </c>
      <c r="L44" s="26">
        <f>IFERROR(INDIRECT("'"&amp;$B44&amp;"'!I24"),"")</f>
        <v/>
      </c>
      <c r="M44" s="26">
        <f>IFERROR(INDIRECT("'"&amp;$B44&amp;"'!E13"),"")</f>
        <v/>
      </c>
      <c r="N44" s="27">
        <f>IFERROR(INDIRECT("'"&amp;$B44&amp;"'!G13"),"")</f>
        <v/>
      </c>
      <c r="O44" s="27">
        <f>IFERROR(INDIRECT("'"&amp;$B44&amp;"'!H13"),"")</f>
        <v/>
      </c>
      <c r="P44" s="28">
        <f>IF(OR($N44="",$O44=""),"",ROUND(($N44-$O44)*100,1))</f>
        <v/>
      </c>
      <c r="Q44" s="26">
        <f>IFERROR(INDIRECT("'"&amp;$B44&amp;"'!I13"),"")</f>
        <v/>
      </c>
      <c r="R44" s="29">
        <f>IF($N44="","",IF($N44&gt;=0.35,"Margem boa",IF($N44&gt;=0.25,"Margem apertada","Margem crítica")))</f>
        <v/>
      </c>
      <c r="AH44" s="30">
        <f>IFERROR(INDIRECT("'"&amp;$B44&amp;"'!C16"),"")</f>
        <v/>
      </c>
      <c r="AI44" s="30">
        <f>IFERROR(INDIRECT("'"&amp;$B44&amp;"'!D16"),"")</f>
        <v/>
      </c>
      <c r="AJ44" s="30">
        <f>IFERROR(INDIRECT("'"&amp;$B44&amp;"'!C17"),"")</f>
        <v/>
      </c>
      <c r="AK44" s="30">
        <f>IFERROR(INDIRECT("'"&amp;$B44&amp;"'!D17"),"")</f>
        <v/>
      </c>
      <c r="AL44" s="30">
        <f>IFERROR(INDIRECT("'"&amp;$B44&amp;"'!C18"),"")</f>
        <v/>
      </c>
      <c r="AM44" s="30">
        <f>IFERROR(INDIRECT("'"&amp;$B44&amp;"'!D18"),"")</f>
        <v/>
      </c>
      <c r="AN44" s="30">
        <f>IFERROR(INDIRECT("'"&amp;$B44&amp;"'!C19"),"")</f>
        <v/>
      </c>
      <c r="AO44" s="30">
        <f>IFERROR(INDIRECT("'"&amp;$B44&amp;"'!D19"),"")</f>
        <v/>
      </c>
      <c r="AP44" s="30">
        <f>IFERROR(INDIRECT("'"&amp;$B44&amp;"'!C20"),"")</f>
        <v/>
      </c>
      <c r="AQ44" s="30">
        <f>IFERROR(INDIRECT("'"&amp;$B44&amp;"'!D20"),"")</f>
        <v/>
      </c>
      <c r="AR44" s="30">
        <f>IFERROR(INDIRECT("'"&amp;$B44&amp;"'!C21"),"")</f>
        <v/>
      </c>
      <c r="AS44" s="30">
        <f>IFERROR(INDIRECT("'"&amp;$B44&amp;"'!D21"),"")</f>
        <v/>
      </c>
    </row>
    <row r="45" ht="17" customHeight="1">
      <c r="A45" s="20" t="n">
        <v>35</v>
      </c>
      <c r="B45" s="21" t="n"/>
      <c r="C45" s="22">
        <f>IFERROR(INDIRECT("'"&amp;$B45&amp;"'!A7"),"")</f>
        <v/>
      </c>
      <c r="D45" s="22">
        <f>IFERROR(INDIRECT("'"&amp;$B45&amp;"'!A9"),"")</f>
        <v/>
      </c>
      <c r="E45" s="23">
        <f>IFERROR(INDIRECT("'"&amp;$B45&amp;"'!F7"),"")</f>
        <v/>
      </c>
      <c r="F45" s="23">
        <f>IFERROR(INDIRECT("'"&amp;$B45&amp;"'!H7"),"")</f>
        <v/>
      </c>
      <c r="G45" s="23">
        <f>IFERROR(INDIRECT("'"&amp;$B45&amp;"'!J7"),"")</f>
        <v/>
      </c>
      <c r="H45" s="24">
        <f>IFERROR(INDIRECT("'"&amp;$B45&amp;"'!H9"),"")</f>
        <v/>
      </c>
      <c r="I45" s="25">
        <f>IFERROR(INDIRECT("'"&amp;$B45&amp;"'!J9"),"")</f>
        <v/>
      </c>
      <c r="J45" s="26">
        <f>IFERROR(INDIRECT("'"&amp;$B45&amp;"'!A13"),"")</f>
        <v/>
      </c>
      <c r="K45" s="26">
        <f>IFERROR(INDIRECT("'"&amp;$B45&amp;"'!C13"),"")</f>
        <v/>
      </c>
      <c r="L45" s="26">
        <f>IFERROR(INDIRECT("'"&amp;$B45&amp;"'!I24"),"")</f>
        <v/>
      </c>
      <c r="M45" s="26">
        <f>IFERROR(INDIRECT("'"&amp;$B45&amp;"'!E13"),"")</f>
        <v/>
      </c>
      <c r="N45" s="27">
        <f>IFERROR(INDIRECT("'"&amp;$B45&amp;"'!G13"),"")</f>
        <v/>
      </c>
      <c r="O45" s="27">
        <f>IFERROR(INDIRECT("'"&amp;$B45&amp;"'!H13"),"")</f>
        <v/>
      </c>
      <c r="P45" s="28">
        <f>IF(OR($N45="",$O45=""),"",ROUND(($N45-$O45)*100,1))</f>
        <v/>
      </c>
      <c r="Q45" s="26">
        <f>IFERROR(INDIRECT("'"&amp;$B45&amp;"'!I13"),"")</f>
        <v/>
      </c>
      <c r="R45" s="29">
        <f>IF($N45="","",IF($N45&gt;=0.35,"Margem boa",IF($N45&gt;=0.25,"Margem apertada","Margem crítica")))</f>
        <v/>
      </c>
      <c r="AH45" s="30">
        <f>IFERROR(INDIRECT("'"&amp;$B45&amp;"'!C16"),"")</f>
        <v/>
      </c>
      <c r="AI45" s="30">
        <f>IFERROR(INDIRECT("'"&amp;$B45&amp;"'!D16"),"")</f>
        <v/>
      </c>
      <c r="AJ45" s="30">
        <f>IFERROR(INDIRECT("'"&amp;$B45&amp;"'!C17"),"")</f>
        <v/>
      </c>
      <c r="AK45" s="30">
        <f>IFERROR(INDIRECT("'"&amp;$B45&amp;"'!D17"),"")</f>
        <v/>
      </c>
      <c r="AL45" s="30">
        <f>IFERROR(INDIRECT("'"&amp;$B45&amp;"'!C18"),"")</f>
        <v/>
      </c>
      <c r="AM45" s="30">
        <f>IFERROR(INDIRECT("'"&amp;$B45&amp;"'!D18"),"")</f>
        <v/>
      </c>
      <c r="AN45" s="30">
        <f>IFERROR(INDIRECT("'"&amp;$B45&amp;"'!C19"),"")</f>
        <v/>
      </c>
      <c r="AO45" s="30">
        <f>IFERROR(INDIRECT("'"&amp;$B45&amp;"'!D19"),"")</f>
        <v/>
      </c>
      <c r="AP45" s="30">
        <f>IFERROR(INDIRECT("'"&amp;$B45&amp;"'!C20"),"")</f>
        <v/>
      </c>
      <c r="AQ45" s="30">
        <f>IFERROR(INDIRECT("'"&amp;$B45&amp;"'!D20"),"")</f>
        <v/>
      </c>
      <c r="AR45" s="30">
        <f>IFERROR(INDIRECT("'"&amp;$B45&amp;"'!C21"),"")</f>
        <v/>
      </c>
      <c r="AS45" s="30">
        <f>IFERROR(INDIRECT("'"&amp;$B45&amp;"'!D21"),"")</f>
        <v/>
      </c>
    </row>
    <row r="46" ht="17" customHeight="1">
      <c r="A46" s="20" t="n">
        <v>36</v>
      </c>
      <c r="B46" s="21" t="n"/>
      <c r="C46" s="22">
        <f>IFERROR(INDIRECT("'"&amp;$B46&amp;"'!A7"),"")</f>
        <v/>
      </c>
      <c r="D46" s="22">
        <f>IFERROR(INDIRECT("'"&amp;$B46&amp;"'!A9"),"")</f>
        <v/>
      </c>
      <c r="E46" s="23">
        <f>IFERROR(INDIRECT("'"&amp;$B46&amp;"'!F7"),"")</f>
        <v/>
      </c>
      <c r="F46" s="23">
        <f>IFERROR(INDIRECT("'"&amp;$B46&amp;"'!H7"),"")</f>
        <v/>
      </c>
      <c r="G46" s="23">
        <f>IFERROR(INDIRECT("'"&amp;$B46&amp;"'!J7"),"")</f>
        <v/>
      </c>
      <c r="H46" s="24">
        <f>IFERROR(INDIRECT("'"&amp;$B46&amp;"'!H9"),"")</f>
        <v/>
      </c>
      <c r="I46" s="25">
        <f>IFERROR(INDIRECT("'"&amp;$B46&amp;"'!J9"),"")</f>
        <v/>
      </c>
      <c r="J46" s="26">
        <f>IFERROR(INDIRECT("'"&amp;$B46&amp;"'!A13"),"")</f>
        <v/>
      </c>
      <c r="K46" s="26">
        <f>IFERROR(INDIRECT("'"&amp;$B46&amp;"'!C13"),"")</f>
        <v/>
      </c>
      <c r="L46" s="26">
        <f>IFERROR(INDIRECT("'"&amp;$B46&amp;"'!I24"),"")</f>
        <v/>
      </c>
      <c r="M46" s="26">
        <f>IFERROR(INDIRECT("'"&amp;$B46&amp;"'!E13"),"")</f>
        <v/>
      </c>
      <c r="N46" s="27">
        <f>IFERROR(INDIRECT("'"&amp;$B46&amp;"'!G13"),"")</f>
        <v/>
      </c>
      <c r="O46" s="27">
        <f>IFERROR(INDIRECT("'"&amp;$B46&amp;"'!H13"),"")</f>
        <v/>
      </c>
      <c r="P46" s="28">
        <f>IF(OR($N46="",$O46=""),"",ROUND(($N46-$O46)*100,1))</f>
        <v/>
      </c>
      <c r="Q46" s="26">
        <f>IFERROR(INDIRECT("'"&amp;$B46&amp;"'!I13"),"")</f>
        <v/>
      </c>
      <c r="R46" s="29">
        <f>IF($N46="","",IF($N46&gt;=0.35,"Margem boa",IF($N46&gt;=0.25,"Margem apertada","Margem crítica")))</f>
        <v/>
      </c>
      <c r="AH46" s="30">
        <f>IFERROR(INDIRECT("'"&amp;$B46&amp;"'!C16"),"")</f>
        <v/>
      </c>
      <c r="AI46" s="30">
        <f>IFERROR(INDIRECT("'"&amp;$B46&amp;"'!D16"),"")</f>
        <v/>
      </c>
      <c r="AJ46" s="30">
        <f>IFERROR(INDIRECT("'"&amp;$B46&amp;"'!C17"),"")</f>
        <v/>
      </c>
      <c r="AK46" s="30">
        <f>IFERROR(INDIRECT("'"&amp;$B46&amp;"'!D17"),"")</f>
        <v/>
      </c>
      <c r="AL46" s="30">
        <f>IFERROR(INDIRECT("'"&amp;$B46&amp;"'!C18"),"")</f>
        <v/>
      </c>
      <c r="AM46" s="30">
        <f>IFERROR(INDIRECT("'"&amp;$B46&amp;"'!D18"),"")</f>
        <v/>
      </c>
      <c r="AN46" s="30">
        <f>IFERROR(INDIRECT("'"&amp;$B46&amp;"'!C19"),"")</f>
        <v/>
      </c>
      <c r="AO46" s="30">
        <f>IFERROR(INDIRECT("'"&amp;$B46&amp;"'!D19"),"")</f>
        <v/>
      </c>
      <c r="AP46" s="30">
        <f>IFERROR(INDIRECT("'"&amp;$B46&amp;"'!C20"),"")</f>
        <v/>
      </c>
      <c r="AQ46" s="30">
        <f>IFERROR(INDIRECT("'"&amp;$B46&amp;"'!D20"),"")</f>
        <v/>
      </c>
      <c r="AR46" s="30">
        <f>IFERROR(INDIRECT("'"&amp;$B46&amp;"'!C21"),"")</f>
        <v/>
      </c>
      <c r="AS46" s="30">
        <f>IFERROR(INDIRECT("'"&amp;$B46&amp;"'!D21"),"")</f>
        <v/>
      </c>
    </row>
    <row r="47" ht="17" customHeight="1">
      <c r="A47" s="20" t="n">
        <v>37</v>
      </c>
      <c r="B47" s="21" t="n"/>
      <c r="C47" s="22">
        <f>IFERROR(INDIRECT("'"&amp;$B47&amp;"'!A7"),"")</f>
        <v/>
      </c>
      <c r="D47" s="22">
        <f>IFERROR(INDIRECT("'"&amp;$B47&amp;"'!A9"),"")</f>
        <v/>
      </c>
      <c r="E47" s="23">
        <f>IFERROR(INDIRECT("'"&amp;$B47&amp;"'!F7"),"")</f>
        <v/>
      </c>
      <c r="F47" s="23">
        <f>IFERROR(INDIRECT("'"&amp;$B47&amp;"'!H7"),"")</f>
        <v/>
      </c>
      <c r="G47" s="23">
        <f>IFERROR(INDIRECT("'"&amp;$B47&amp;"'!J7"),"")</f>
        <v/>
      </c>
      <c r="H47" s="24">
        <f>IFERROR(INDIRECT("'"&amp;$B47&amp;"'!H9"),"")</f>
        <v/>
      </c>
      <c r="I47" s="25">
        <f>IFERROR(INDIRECT("'"&amp;$B47&amp;"'!J9"),"")</f>
        <v/>
      </c>
      <c r="J47" s="26">
        <f>IFERROR(INDIRECT("'"&amp;$B47&amp;"'!A13"),"")</f>
        <v/>
      </c>
      <c r="K47" s="26">
        <f>IFERROR(INDIRECT("'"&amp;$B47&amp;"'!C13"),"")</f>
        <v/>
      </c>
      <c r="L47" s="26">
        <f>IFERROR(INDIRECT("'"&amp;$B47&amp;"'!I24"),"")</f>
        <v/>
      </c>
      <c r="M47" s="26">
        <f>IFERROR(INDIRECT("'"&amp;$B47&amp;"'!E13"),"")</f>
        <v/>
      </c>
      <c r="N47" s="27">
        <f>IFERROR(INDIRECT("'"&amp;$B47&amp;"'!G13"),"")</f>
        <v/>
      </c>
      <c r="O47" s="27">
        <f>IFERROR(INDIRECT("'"&amp;$B47&amp;"'!H13"),"")</f>
        <v/>
      </c>
      <c r="P47" s="28">
        <f>IF(OR($N47="",$O47=""),"",ROUND(($N47-$O47)*100,1))</f>
        <v/>
      </c>
      <c r="Q47" s="26">
        <f>IFERROR(INDIRECT("'"&amp;$B47&amp;"'!I13"),"")</f>
        <v/>
      </c>
      <c r="R47" s="29">
        <f>IF($N47="","",IF($N47&gt;=0.35,"Margem boa",IF($N47&gt;=0.25,"Margem apertada","Margem crítica")))</f>
        <v/>
      </c>
      <c r="AH47" s="30">
        <f>IFERROR(INDIRECT("'"&amp;$B47&amp;"'!C16"),"")</f>
        <v/>
      </c>
      <c r="AI47" s="30">
        <f>IFERROR(INDIRECT("'"&amp;$B47&amp;"'!D16"),"")</f>
        <v/>
      </c>
      <c r="AJ47" s="30">
        <f>IFERROR(INDIRECT("'"&amp;$B47&amp;"'!C17"),"")</f>
        <v/>
      </c>
      <c r="AK47" s="30">
        <f>IFERROR(INDIRECT("'"&amp;$B47&amp;"'!D17"),"")</f>
        <v/>
      </c>
      <c r="AL47" s="30">
        <f>IFERROR(INDIRECT("'"&amp;$B47&amp;"'!C18"),"")</f>
        <v/>
      </c>
      <c r="AM47" s="30">
        <f>IFERROR(INDIRECT("'"&amp;$B47&amp;"'!D18"),"")</f>
        <v/>
      </c>
      <c r="AN47" s="30">
        <f>IFERROR(INDIRECT("'"&amp;$B47&amp;"'!C19"),"")</f>
        <v/>
      </c>
      <c r="AO47" s="30">
        <f>IFERROR(INDIRECT("'"&amp;$B47&amp;"'!D19"),"")</f>
        <v/>
      </c>
      <c r="AP47" s="30">
        <f>IFERROR(INDIRECT("'"&amp;$B47&amp;"'!C20"),"")</f>
        <v/>
      </c>
      <c r="AQ47" s="30">
        <f>IFERROR(INDIRECT("'"&amp;$B47&amp;"'!D20"),"")</f>
        <v/>
      </c>
      <c r="AR47" s="30">
        <f>IFERROR(INDIRECT("'"&amp;$B47&amp;"'!C21"),"")</f>
        <v/>
      </c>
      <c r="AS47" s="30">
        <f>IFERROR(INDIRECT("'"&amp;$B47&amp;"'!D21"),"")</f>
        <v/>
      </c>
    </row>
    <row r="48" ht="17" customHeight="1">
      <c r="A48" s="20" t="n">
        <v>38</v>
      </c>
      <c r="B48" s="21" t="n"/>
      <c r="C48" s="22">
        <f>IFERROR(INDIRECT("'"&amp;$B48&amp;"'!A7"),"")</f>
        <v/>
      </c>
      <c r="D48" s="22">
        <f>IFERROR(INDIRECT("'"&amp;$B48&amp;"'!A9"),"")</f>
        <v/>
      </c>
      <c r="E48" s="23">
        <f>IFERROR(INDIRECT("'"&amp;$B48&amp;"'!F7"),"")</f>
        <v/>
      </c>
      <c r="F48" s="23">
        <f>IFERROR(INDIRECT("'"&amp;$B48&amp;"'!H7"),"")</f>
        <v/>
      </c>
      <c r="G48" s="23">
        <f>IFERROR(INDIRECT("'"&amp;$B48&amp;"'!J7"),"")</f>
        <v/>
      </c>
      <c r="H48" s="24">
        <f>IFERROR(INDIRECT("'"&amp;$B48&amp;"'!H9"),"")</f>
        <v/>
      </c>
      <c r="I48" s="25">
        <f>IFERROR(INDIRECT("'"&amp;$B48&amp;"'!J9"),"")</f>
        <v/>
      </c>
      <c r="J48" s="26">
        <f>IFERROR(INDIRECT("'"&amp;$B48&amp;"'!A13"),"")</f>
        <v/>
      </c>
      <c r="K48" s="26">
        <f>IFERROR(INDIRECT("'"&amp;$B48&amp;"'!C13"),"")</f>
        <v/>
      </c>
      <c r="L48" s="26">
        <f>IFERROR(INDIRECT("'"&amp;$B48&amp;"'!I24"),"")</f>
        <v/>
      </c>
      <c r="M48" s="26">
        <f>IFERROR(INDIRECT("'"&amp;$B48&amp;"'!E13"),"")</f>
        <v/>
      </c>
      <c r="N48" s="27">
        <f>IFERROR(INDIRECT("'"&amp;$B48&amp;"'!G13"),"")</f>
        <v/>
      </c>
      <c r="O48" s="27">
        <f>IFERROR(INDIRECT("'"&amp;$B48&amp;"'!H13"),"")</f>
        <v/>
      </c>
      <c r="P48" s="28">
        <f>IF(OR($N48="",$O48=""),"",ROUND(($N48-$O48)*100,1))</f>
        <v/>
      </c>
      <c r="Q48" s="26">
        <f>IFERROR(INDIRECT("'"&amp;$B48&amp;"'!I13"),"")</f>
        <v/>
      </c>
      <c r="R48" s="29">
        <f>IF($N48="","",IF($N48&gt;=0.35,"Margem boa",IF($N48&gt;=0.25,"Margem apertada","Margem crítica")))</f>
        <v/>
      </c>
      <c r="AH48" s="30">
        <f>IFERROR(INDIRECT("'"&amp;$B48&amp;"'!C16"),"")</f>
        <v/>
      </c>
      <c r="AI48" s="30">
        <f>IFERROR(INDIRECT("'"&amp;$B48&amp;"'!D16"),"")</f>
        <v/>
      </c>
      <c r="AJ48" s="30">
        <f>IFERROR(INDIRECT("'"&amp;$B48&amp;"'!C17"),"")</f>
        <v/>
      </c>
      <c r="AK48" s="30">
        <f>IFERROR(INDIRECT("'"&amp;$B48&amp;"'!D17"),"")</f>
        <v/>
      </c>
      <c r="AL48" s="30">
        <f>IFERROR(INDIRECT("'"&amp;$B48&amp;"'!C18"),"")</f>
        <v/>
      </c>
      <c r="AM48" s="30">
        <f>IFERROR(INDIRECT("'"&amp;$B48&amp;"'!D18"),"")</f>
        <v/>
      </c>
      <c r="AN48" s="30">
        <f>IFERROR(INDIRECT("'"&amp;$B48&amp;"'!C19"),"")</f>
        <v/>
      </c>
      <c r="AO48" s="30">
        <f>IFERROR(INDIRECT("'"&amp;$B48&amp;"'!D19"),"")</f>
        <v/>
      </c>
      <c r="AP48" s="30">
        <f>IFERROR(INDIRECT("'"&amp;$B48&amp;"'!C20"),"")</f>
        <v/>
      </c>
      <c r="AQ48" s="30">
        <f>IFERROR(INDIRECT("'"&amp;$B48&amp;"'!D20"),"")</f>
        <v/>
      </c>
      <c r="AR48" s="30">
        <f>IFERROR(INDIRECT("'"&amp;$B48&amp;"'!C21"),"")</f>
        <v/>
      </c>
      <c r="AS48" s="30">
        <f>IFERROR(INDIRECT("'"&amp;$B48&amp;"'!D21"),"")</f>
        <v/>
      </c>
    </row>
    <row r="49" ht="17" customHeight="1">
      <c r="A49" s="20" t="n">
        <v>39</v>
      </c>
      <c r="B49" s="21" t="n"/>
      <c r="C49" s="22">
        <f>IFERROR(INDIRECT("'"&amp;$B49&amp;"'!A7"),"")</f>
        <v/>
      </c>
      <c r="D49" s="22">
        <f>IFERROR(INDIRECT("'"&amp;$B49&amp;"'!A9"),"")</f>
        <v/>
      </c>
      <c r="E49" s="23">
        <f>IFERROR(INDIRECT("'"&amp;$B49&amp;"'!F7"),"")</f>
        <v/>
      </c>
      <c r="F49" s="23">
        <f>IFERROR(INDIRECT("'"&amp;$B49&amp;"'!H7"),"")</f>
        <v/>
      </c>
      <c r="G49" s="23">
        <f>IFERROR(INDIRECT("'"&amp;$B49&amp;"'!J7"),"")</f>
        <v/>
      </c>
      <c r="H49" s="24">
        <f>IFERROR(INDIRECT("'"&amp;$B49&amp;"'!H9"),"")</f>
        <v/>
      </c>
      <c r="I49" s="25">
        <f>IFERROR(INDIRECT("'"&amp;$B49&amp;"'!J9"),"")</f>
        <v/>
      </c>
      <c r="J49" s="26">
        <f>IFERROR(INDIRECT("'"&amp;$B49&amp;"'!A13"),"")</f>
        <v/>
      </c>
      <c r="K49" s="26">
        <f>IFERROR(INDIRECT("'"&amp;$B49&amp;"'!C13"),"")</f>
        <v/>
      </c>
      <c r="L49" s="26">
        <f>IFERROR(INDIRECT("'"&amp;$B49&amp;"'!I24"),"")</f>
        <v/>
      </c>
      <c r="M49" s="26">
        <f>IFERROR(INDIRECT("'"&amp;$B49&amp;"'!E13"),"")</f>
        <v/>
      </c>
      <c r="N49" s="27">
        <f>IFERROR(INDIRECT("'"&amp;$B49&amp;"'!G13"),"")</f>
        <v/>
      </c>
      <c r="O49" s="27">
        <f>IFERROR(INDIRECT("'"&amp;$B49&amp;"'!H13"),"")</f>
        <v/>
      </c>
      <c r="P49" s="28">
        <f>IF(OR($N49="",$O49=""),"",ROUND(($N49-$O49)*100,1))</f>
        <v/>
      </c>
      <c r="Q49" s="26">
        <f>IFERROR(INDIRECT("'"&amp;$B49&amp;"'!I13"),"")</f>
        <v/>
      </c>
      <c r="R49" s="29">
        <f>IF($N49="","",IF($N49&gt;=0.35,"Margem boa",IF($N49&gt;=0.25,"Margem apertada","Margem crítica")))</f>
        <v/>
      </c>
      <c r="AH49" s="30">
        <f>IFERROR(INDIRECT("'"&amp;$B49&amp;"'!C16"),"")</f>
        <v/>
      </c>
      <c r="AI49" s="30">
        <f>IFERROR(INDIRECT("'"&amp;$B49&amp;"'!D16"),"")</f>
        <v/>
      </c>
      <c r="AJ49" s="30">
        <f>IFERROR(INDIRECT("'"&amp;$B49&amp;"'!C17"),"")</f>
        <v/>
      </c>
      <c r="AK49" s="30">
        <f>IFERROR(INDIRECT("'"&amp;$B49&amp;"'!D17"),"")</f>
        <v/>
      </c>
      <c r="AL49" s="30">
        <f>IFERROR(INDIRECT("'"&amp;$B49&amp;"'!C18"),"")</f>
        <v/>
      </c>
      <c r="AM49" s="30">
        <f>IFERROR(INDIRECT("'"&amp;$B49&amp;"'!D18"),"")</f>
        <v/>
      </c>
      <c r="AN49" s="30">
        <f>IFERROR(INDIRECT("'"&amp;$B49&amp;"'!C19"),"")</f>
        <v/>
      </c>
      <c r="AO49" s="30">
        <f>IFERROR(INDIRECT("'"&amp;$B49&amp;"'!D19"),"")</f>
        <v/>
      </c>
      <c r="AP49" s="30">
        <f>IFERROR(INDIRECT("'"&amp;$B49&amp;"'!C20"),"")</f>
        <v/>
      </c>
      <c r="AQ49" s="30">
        <f>IFERROR(INDIRECT("'"&amp;$B49&amp;"'!D20"),"")</f>
        <v/>
      </c>
      <c r="AR49" s="30">
        <f>IFERROR(INDIRECT("'"&amp;$B49&amp;"'!C21"),"")</f>
        <v/>
      </c>
      <c r="AS49" s="30">
        <f>IFERROR(INDIRECT("'"&amp;$B49&amp;"'!D21"),"")</f>
        <v/>
      </c>
    </row>
    <row r="50" ht="17" customHeight="1">
      <c r="A50" s="20" t="n">
        <v>40</v>
      </c>
      <c r="B50" s="21" t="n"/>
      <c r="C50" s="22">
        <f>IFERROR(INDIRECT("'"&amp;$B50&amp;"'!A7"),"")</f>
        <v/>
      </c>
      <c r="D50" s="22">
        <f>IFERROR(INDIRECT("'"&amp;$B50&amp;"'!A9"),"")</f>
        <v/>
      </c>
      <c r="E50" s="23">
        <f>IFERROR(INDIRECT("'"&amp;$B50&amp;"'!F7"),"")</f>
        <v/>
      </c>
      <c r="F50" s="23">
        <f>IFERROR(INDIRECT("'"&amp;$B50&amp;"'!H7"),"")</f>
        <v/>
      </c>
      <c r="G50" s="23">
        <f>IFERROR(INDIRECT("'"&amp;$B50&amp;"'!J7"),"")</f>
        <v/>
      </c>
      <c r="H50" s="24">
        <f>IFERROR(INDIRECT("'"&amp;$B50&amp;"'!H9"),"")</f>
        <v/>
      </c>
      <c r="I50" s="25">
        <f>IFERROR(INDIRECT("'"&amp;$B50&amp;"'!J9"),"")</f>
        <v/>
      </c>
      <c r="J50" s="26">
        <f>IFERROR(INDIRECT("'"&amp;$B50&amp;"'!A13"),"")</f>
        <v/>
      </c>
      <c r="K50" s="26">
        <f>IFERROR(INDIRECT("'"&amp;$B50&amp;"'!C13"),"")</f>
        <v/>
      </c>
      <c r="L50" s="26">
        <f>IFERROR(INDIRECT("'"&amp;$B50&amp;"'!I24"),"")</f>
        <v/>
      </c>
      <c r="M50" s="26">
        <f>IFERROR(INDIRECT("'"&amp;$B50&amp;"'!E13"),"")</f>
        <v/>
      </c>
      <c r="N50" s="27">
        <f>IFERROR(INDIRECT("'"&amp;$B50&amp;"'!G13"),"")</f>
        <v/>
      </c>
      <c r="O50" s="27">
        <f>IFERROR(INDIRECT("'"&amp;$B50&amp;"'!H13"),"")</f>
        <v/>
      </c>
      <c r="P50" s="28">
        <f>IF(OR($N50="",$O50=""),"",ROUND(($N50-$O50)*100,1))</f>
        <v/>
      </c>
      <c r="Q50" s="26">
        <f>IFERROR(INDIRECT("'"&amp;$B50&amp;"'!I13"),"")</f>
        <v/>
      </c>
      <c r="R50" s="29">
        <f>IF($N50="","",IF($N50&gt;=0.35,"Margem boa",IF($N50&gt;=0.25,"Margem apertada","Margem crítica")))</f>
        <v/>
      </c>
      <c r="AH50" s="30">
        <f>IFERROR(INDIRECT("'"&amp;$B50&amp;"'!C16"),"")</f>
        <v/>
      </c>
      <c r="AI50" s="30">
        <f>IFERROR(INDIRECT("'"&amp;$B50&amp;"'!D16"),"")</f>
        <v/>
      </c>
      <c r="AJ50" s="30">
        <f>IFERROR(INDIRECT("'"&amp;$B50&amp;"'!C17"),"")</f>
        <v/>
      </c>
      <c r="AK50" s="30">
        <f>IFERROR(INDIRECT("'"&amp;$B50&amp;"'!D17"),"")</f>
        <v/>
      </c>
      <c r="AL50" s="30">
        <f>IFERROR(INDIRECT("'"&amp;$B50&amp;"'!C18"),"")</f>
        <v/>
      </c>
      <c r="AM50" s="30">
        <f>IFERROR(INDIRECT("'"&amp;$B50&amp;"'!D18"),"")</f>
        <v/>
      </c>
      <c r="AN50" s="30">
        <f>IFERROR(INDIRECT("'"&amp;$B50&amp;"'!C19"),"")</f>
        <v/>
      </c>
      <c r="AO50" s="30">
        <f>IFERROR(INDIRECT("'"&amp;$B50&amp;"'!D19"),"")</f>
        <v/>
      </c>
      <c r="AP50" s="30">
        <f>IFERROR(INDIRECT("'"&amp;$B50&amp;"'!C20"),"")</f>
        <v/>
      </c>
      <c r="AQ50" s="30">
        <f>IFERROR(INDIRECT("'"&amp;$B50&amp;"'!D20"),"")</f>
        <v/>
      </c>
      <c r="AR50" s="30">
        <f>IFERROR(INDIRECT("'"&amp;$B50&amp;"'!C21"),"")</f>
        <v/>
      </c>
      <c r="AS50" s="30">
        <f>IFERROR(INDIRECT("'"&amp;$B50&amp;"'!D21"),"")</f>
        <v/>
      </c>
    </row>
    <row r="51" ht="20" customHeight="1">
      <c r="A51" s="31" t="inlineStr">
        <is>
          <t>TOTAL</t>
        </is>
      </c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>
        <f>ROUND(SUM(J11:J50),2)</f>
        <v/>
      </c>
      <c r="K51" s="33">
        <f>ROUND(SUM(K11:K50),2)</f>
        <v/>
      </c>
      <c r="L51" s="33">
        <f>ROUND(SUM(L11:L50),2)</f>
        <v/>
      </c>
      <c r="M51" s="33">
        <f>ROUND(SUM(M11:M50),2)</f>
        <v/>
      </c>
      <c r="N51" s="34">
        <f>IF($J$51=0,"",$M$51/$J$51)</f>
        <v/>
      </c>
      <c r="O51" s="32" t="n"/>
      <c r="P51" s="32" t="n"/>
      <c r="Q51" s="33">
        <f>ROUND(SUM($Q$11:$Q$50),2)</f>
        <v/>
      </c>
      <c r="R51" s="32" t="n"/>
    </row>
    <row r="53" ht="20" customHeight="1">
      <c r="A53" s="8" t="inlineStr">
        <is>
          <t xml:space="preserve">  ONDE O ORÇAMENTO ERRA          somando todos os projetos lançados · desvio positivo = gastou mais do que previu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</row>
    <row r="54" ht="26" customHeight="1">
      <c r="A54" s="19" t="inlineStr">
        <is>
          <t>Categoria</t>
        </is>
      </c>
      <c r="B54" s="35" t="n"/>
      <c r="C54" s="35" t="n"/>
      <c r="D54" s="19" t="inlineStr">
        <is>
          <t>Orçado (R$)</t>
        </is>
      </c>
      <c r="E54" s="35" t="n"/>
      <c r="F54" s="19" t="inlineStr">
        <is>
          <t>Realizado (R$)</t>
        </is>
      </c>
      <c r="G54" s="35" t="n"/>
      <c r="H54" s="19" t="inlineStr">
        <is>
          <t>Desvio (R$)</t>
        </is>
      </c>
      <c r="I54" s="35" t="n"/>
      <c r="J54" s="19" t="inlineStr">
        <is>
          <t>Desvio (%)</t>
        </is>
      </c>
      <c r="K54" s="35" t="n"/>
      <c r="L54" s="19" t="inlineStr">
        <is>
          <t>% da venda</t>
        </is>
      </c>
      <c r="M54" s="35" t="n"/>
      <c r="N54" s="19" t="inlineStr">
        <is>
          <t>Leitura</t>
        </is>
      </c>
      <c r="O54" s="35" t="n"/>
      <c r="P54" s="35" t="n"/>
      <c r="Q54" s="35" t="n"/>
      <c r="R54" s="35" t="n"/>
    </row>
    <row r="55" ht="19" customHeight="1">
      <c r="A55" s="36" t="inlineStr">
        <is>
          <t>Custos de venda</t>
        </is>
      </c>
      <c r="B55" s="37" t="n"/>
      <c r="C55" s="37" t="n"/>
      <c r="D55" s="26">
        <f>ROUND(SUM(AH$11:AH$50),2)</f>
        <v/>
      </c>
      <c r="E55" s="38" t="n"/>
      <c r="F55" s="26">
        <f>ROUND(SUM(AI$11:AI$50),2)</f>
        <v/>
      </c>
      <c r="G55" s="38" t="n"/>
      <c r="H55" s="39">
        <f>ROUND($F55-$D55,2)</f>
        <v/>
      </c>
      <c r="I55" s="38" t="n"/>
      <c r="J55" s="40">
        <f>IF($D55=0,"",$F55/$D55-1)</f>
        <v/>
      </c>
      <c r="K55" s="38" t="n"/>
      <c r="L55" s="27">
        <f>IF($J$51=0,"",$F55/$J$51)</f>
        <v/>
      </c>
      <c r="M55" s="38" t="n"/>
      <c r="N55" s="41">
        <f>IF($D55=0,"—",IF($J55&gt;0.1,"Estourou mais de 10% — revisar a premissa",IF($J55&lt;-0.1,"Sobrou mais de 10% — orçamento pode estar gordo","Dentro do previsto")))</f>
        <v/>
      </c>
      <c r="O55" s="38" t="n"/>
      <c r="P55" s="38" t="n"/>
      <c r="Q55" s="38" t="n"/>
      <c r="R55" s="38" t="n"/>
    </row>
    <row r="56" ht="19" customHeight="1">
      <c r="A56" s="36" t="inlineStr">
        <is>
          <t>Comissões operacionais</t>
        </is>
      </c>
      <c r="B56" s="37" t="n"/>
      <c r="C56" s="37" t="n"/>
      <c r="D56" s="26">
        <f>ROUND(SUM(AJ$11:AJ$50),2)</f>
        <v/>
      </c>
      <c r="E56" s="38" t="n"/>
      <c r="F56" s="26">
        <f>ROUND(SUM(AK$11:AK$50),2)</f>
        <v/>
      </c>
      <c r="G56" s="38" t="n"/>
      <c r="H56" s="39">
        <f>ROUND($F56-$D56,2)</f>
        <v/>
      </c>
      <c r="I56" s="38" t="n"/>
      <c r="J56" s="40">
        <f>IF($D56=0,"",$F56/$D56-1)</f>
        <v/>
      </c>
      <c r="K56" s="38" t="n"/>
      <c r="L56" s="27">
        <f>IF($J$51=0,"",$F56/$J$51)</f>
        <v/>
      </c>
      <c r="M56" s="38" t="n"/>
      <c r="N56" s="41">
        <f>IF($D56=0,"—",IF($J56&gt;0.1,"Estourou mais de 10% — revisar a premissa",IF($J56&lt;-0.1,"Sobrou mais de 10% — orçamento pode estar gordo","Dentro do previsto")))</f>
        <v/>
      </c>
      <c r="O56" s="38" t="n"/>
      <c r="P56" s="38" t="n"/>
      <c r="Q56" s="38" t="n"/>
      <c r="R56" s="38" t="n"/>
    </row>
    <row r="57" ht="19" customHeight="1">
      <c r="A57" s="36" t="inlineStr">
        <is>
          <t>Material</t>
        </is>
      </c>
      <c r="B57" s="37" t="n"/>
      <c r="C57" s="37" t="n"/>
      <c r="D57" s="26">
        <f>ROUND(SUM(AL$11:AL$50),2)</f>
        <v/>
      </c>
      <c r="E57" s="38" t="n"/>
      <c r="F57" s="26">
        <f>ROUND(SUM(AM$11:AM$50),2)</f>
        <v/>
      </c>
      <c r="G57" s="38" t="n"/>
      <c r="H57" s="39">
        <f>ROUND($F57-$D57,2)</f>
        <v/>
      </c>
      <c r="I57" s="38" t="n"/>
      <c r="J57" s="40">
        <f>IF($D57=0,"",$F57/$D57-1)</f>
        <v/>
      </c>
      <c r="K57" s="38" t="n"/>
      <c r="L57" s="27">
        <f>IF($J$51=0,"",$F57/$J$51)</f>
        <v/>
      </c>
      <c r="M57" s="38" t="n"/>
      <c r="N57" s="41">
        <f>IF($D57=0,"—",IF($J57&gt;0.1,"Estourou mais de 10% — revisar a premissa",IF($J57&lt;-0.1,"Sobrou mais de 10% — orçamento pode estar gordo","Dentro do previsto")))</f>
        <v/>
      </c>
      <c r="O57" s="38" t="n"/>
      <c r="P57" s="38" t="n"/>
      <c r="Q57" s="38" t="n"/>
      <c r="R57" s="38" t="n"/>
    </row>
    <row r="58" ht="19" customHeight="1">
      <c r="A58" s="36" t="inlineStr">
        <is>
          <t>Serviços terceirizados</t>
        </is>
      </c>
      <c r="B58" s="37" t="n"/>
      <c r="C58" s="37" t="n"/>
      <c r="D58" s="26">
        <f>ROUND(SUM(AN$11:AN$50),2)</f>
        <v/>
      </c>
      <c r="E58" s="38" t="n"/>
      <c r="F58" s="26">
        <f>ROUND(SUM(AO$11:AO$50),2)</f>
        <v/>
      </c>
      <c r="G58" s="38" t="n"/>
      <c r="H58" s="39">
        <f>ROUND($F58-$D58,2)</f>
        <v/>
      </c>
      <c r="I58" s="38" t="n"/>
      <c r="J58" s="40">
        <f>IF($D58=0,"",$F58/$D58-1)</f>
        <v/>
      </c>
      <c r="K58" s="38" t="n"/>
      <c r="L58" s="27">
        <f>IF($J$51=0,"",$F58/$J$51)</f>
        <v/>
      </c>
      <c r="M58" s="38" t="n"/>
      <c r="N58" s="41">
        <f>IF($D58=0,"—",IF($J58&gt;0.1,"Estourou mais de 10% — revisar a premissa",IF($J58&lt;-0.1,"Sobrou mais de 10% — orçamento pode estar gordo","Dentro do previsto")))</f>
        <v/>
      </c>
      <c r="O58" s="38" t="n"/>
      <c r="P58" s="38" t="n"/>
      <c r="Q58" s="38" t="n"/>
      <c r="R58" s="38" t="n"/>
    </row>
    <row r="59" ht="19" customHeight="1">
      <c r="A59" s="36" t="inlineStr">
        <is>
          <t>Logística</t>
        </is>
      </c>
      <c r="B59" s="37" t="n"/>
      <c r="C59" s="37" t="n"/>
      <c r="D59" s="26">
        <f>ROUND(SUM(AP$11:AP$50),2)</f>
        <v/>
      </c>
      <c r="E59" s="38" t="n"/>
      <c r="F59" s="26">
        <f>ROUND(SUM(AQ$11:AQ$50),2)</f>
        <v/>
      </c>
      <c r="G59" s="38" t="n"/>
      <c r="H59" s="39">
        <f>ROUND($F59-$D59,2)</f>
        <v/>
      </c>
      <c r="I59" s="38" t="n"/>
      <c r="J59" s="40">
        <f>IF($D59=0,"",$F59/$D59-1)</f>
        <v/>
      </c>
      <c r="K59" s="38" t="n"/>
      <c r="L59" s="27">
        <f>IF($J$51=0,"",$F59/$J$51)</f>
        <v/>
      </c>
      <c r="M59" s="38" t="n"/>
      <c r="N59" s="41">
        <f>IF($D59=0,"—",IF($J59&gt;0.1,"Estourou mais de 10% — revisar a premissa",IF($J59&lt;-0.1,"Sobrou mais de 10% — orçamento pode estar gordo","Dentro do previsto")))</f>
        <v/>
      </c>
      <c r="O59" s="38" t="n"/>
      <c r="P59" s="38" t="n"/>
      <c r="Q59" s="38" t="n"/>
      <c r="R59" s="38" t="n"/>
    </row>
    <row r="60" ht="19" customHeight="1">
      <c r="A60" s="36" t="inlineStr">
        <is>
          <t>Retrabalho</t>
        </is>
      </c>
      <c r="B60" s="37" t="n"/>
      <c r="C60" s="37" t="n"/>
      <c r="D60" s="26">
        <f>ROUND(SUM(AR$11:AR$50),2)</f>
        <v/>
      </c>
      <c r="E60" s="38" t="n"/>
      <c r="F60" s="26">
        <f>ROUND(SUM(AS$11:AS$50),2)</f>
        <v/>
      </c>
      <c r="G60" s="38" t="n"/>
      <c r="H60" s="39">
        <f>ROUND($F60-$D60,2)</f>
        <v/>
      </c>
      <c r="I60" s="38" t="n"/>
      <c r="J60" s="40">
        <f>IF($D60=0,"",$F60/$D60-1)</f>
        <v/>
      </c>
      <c r="K60" s="38" t="n"/>
      <c r="L60" s="27">
        <f>IF($J$51=0,"",$F60/$J$51)</f>
        <v/>
      </c>
      <c r="M60" s="38" t="n"/>
      <c r="N60" s="41">
        <f>IF($D60=0,"—",IF($J60&gt;0.1,"Estourou mais de 10% — revisar a premissa",IF($J60&lt;-0.1,"Sobrou mais de 10% — orçamento pode estar gordo","Dentro do previsto")))</f>
        <v/>
      </c>
      <c r="O60" s="38" t="n"/>
      <c r="P60" s="38" t="n"/>
      <c r="Q60" s="38" t="n"/>
      <c r="R60" s="38" t="n"/>
    </row>
    <row r="62" ht="20" customHeight="1">
      <c r="A62" s="8" t="inlineStr">
        <is>
          <t xml:space="preserve">  LEITURAS          frases montadas a partir dos números acima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</row>
    <row r="63" ht="22" customHeight="1">
      <c r="A63" s="42">
        <f>"Carteira lançada: "&amp;COUNTA($B$11:$B$50)&amp;" projeto(s), "&amp;TEXT($J$51,"R$ #,##0")&amp;" de venda e "&amp;TEXT($M$51,"R$ #,##0")&amp;" de margem de contribuição — "&amp;TEXT($N$51,"0.0%")&amp;" sobre a venda."</f>
        <v/>
      </c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</row>
    <row r="64" ht="22" customHeight="1">
      <c r="A64" s="42">
        <f>"Categoria que mais estoura: "&amp;INDEX($A$55:$A$60,MATCH(MAX($H$55:$H$60),$H$55:$H$60,0))&amp;", com "&amp;TEXT(MAX($H$55:$H$60),"R$ #,##0")&amp;" acima do orçado. "&amp;"Categoria que mais sobra: "&amp;INDEX($A$55:$A$60,MATCH(MIN($H$55:$H$60),$H$55:$H$60,0))&amp;"."</f>
        <v/>
      </c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</row>
    <row r="65" ht="22" customHeight="1">
      <c r="A65" s="42">
        <f>"Margem: "&amp;COUNTIF($R$11:$R$50,"Margem crítica")&amp;" projeto(s) abaixo de 25%, "&amp;COUNTIF($R$11:$R$50,"Margem apertada")&amp;" entre 25% e 35% e "&amp;COUNTIF($R$11:$R$50,"Margem boa")&amp;" acima de 35%."</f>
        <v/>
      </c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</row>
    <row r="66" ht="22" customHeight="1">
      <c r="A66" s="42">
        <f>"Compras pendentes na carteira: "&amp;TEXT(SUM($L$11:$L$50),"R$ #,##0")&amp;" ainda a comprar. Entrega: "&amp;COUNTIF($I$11:$I$50,"No prazo")&amp;" no prazo, "&amp;COUNTIF($I$11:$I$50,"Atrasado")&amp;" atrasado(s), "&amp;COUNTIF($I$11:$I$50,"Em produção")&amp;" em produção. Atraso médio: "&amp;IF(COUNT($H$11:$H$50)=0,"—",TEXT(AVERAGE($H$11:$H$50),"0")&amp;" dia(s)")&amp;"."</f>
        <v/>
      </c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</row>
    <row r="67" ht="8" customHeight="1"/>
    <row r="68" ht="46" customHeight="1">
      <c r="A68" s="43" t="inlineStr">
        <is>
          <t xml:space="preserve">  Como alimentar: a cada projeto novo, botão direito na aba "Ficha Modelo" → Mover ou copiar → Criar uma cópia, renomeie (ex.: P-2026-042 Maria) e escreva esse mesmo nome numa linha livre da coluna ABA aqui. Todo o resto se preenche sozinho. Nome errado ou aba inexistente deixa a linha em branco — não quebra nada.</t>
        </is>
      </c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</row>
  </sheetData>
  <mergeCells count="77">
    <mergeCell ref="O7:P7"/>
    <mergeCell ref="D60:E60"/>
    <mergeCell ref="Q7:R7"/>
    <mergeCell ref="O6:P6"/>
    <mergeCell ref="H55:I55"/>
    <mergeCell ref="J59:K59"/>
    <mergeCell ref="A57:C57"/>
    <mergeCell ref="J60:K60"/>
    <mergeCell ref="A2:R2"/>
    <mergeCell ref="A62:R62"/>
    <mergeCell ref="A9:R9"/>
    <mergeCell ref="D56:E56"/>
    <mergeCell ref="F56:G56"/>
    <mergeCell ref="N60:R60"/>
    <mergeCell ref="A6:C6"/>
    <mergeCell ref="J58:K58"/>
    <mergeCell ref="F57:G57"/>
    <mergeCell ref="N55:R55"/>
    <mergeCell ref="G6:I6"/>
    <mergeCell ref="F54:G54"/>
    <mergeCell ref="H54:I54"/>
    <mergeCell ref="N54:R54"/>
    <mergeCell ref="J57:K57"/>
    <mergeCell ref="L57:M57"/>
    <mergeCell ref="A55:C55"/>
    <mergeCell ref="J7:L7"/>
    <mergeCell ref="H56:I56"/>
    <mergeCell ref="N56:R56"/>
    <mergeCell ref="N58:R58"/>
    <mergeCell ref="M7:N7"/>
    <mergeCell ref="A53:R53"/>
    <mergeCell ref="A63:R63"/>
    <mergeCell ref="O51:P51"/>
    <mergeCell ref="A58:C58"/>
    <mergeCell ref="N57:R57"/>
    <mergeCell ref="A68:R68"/>
    <mergeCell ref="N59:R59"/>
    <mergeCell ref="A60:C60"/>
    <mergeCell ref="L59:M59"/>
    <mergeCell ref="A1:R1"/>
    <mergeCell ref="A7:C7"/>
    <mergeCell ref="J6:L6"/>
    <mergeCell ref="A65:R65"/>
    <mergeCell ref="D7:F7"/>
    <mergeCell ref="H58:I58"/>
    <mergeCell ref="H60:I60"/>
    <mergeCell ref="A4:R4"/>
    <mergeCell ref="L58:M58"/>
    <mergeCell ref="Q6:R6"/>
    <mergeCell ref="H57:I57"/>
    <mergeCell ref="A59:C59"/>
    <mergeCell ref="L60:M60"/>
    <mergeCell ref="D55:E55"/>
    <mergeCell ref="D54:E54"/>
    <mergeCell ref="D6:F6"/>
    <mergeCell ref="G7:I7"/>
    <mergeCell ref="A54:C54"/>
    <mergeCell ref="A56:C56"/>
    <mergeCell ref="A66:R66"/>
    <mergeCell ref="A3:R3"/>
    <mergeCell ref="F59:G59"/>
    <mergeCell ref="F55:G55"/>
    <mergeCell ref="H59:I59"/>
    <mergeCell ref="D57:E57"/>
    <mergeCell ref="J55:K55"/>
    <mergeCell ref="L55:M55"/>
    <mergeCell ref="M6:N6"/>
    <mergeCell ref="J54:K54"/>
    <mergeCell ref="L54:M54"/>
    <mergeCell ref="D58:E58"/>
    <mergeCell ref="F58:G58"/>
    <mergeCell ref="J56:K56"/>
    <mergeCell ref="L56:M56"/>
    <mergeCell ref="A64:R64"/>
    <mergeCell ref="A51:I51"/>
    <mergeCell ref="F60:G60"/>
    <mergeCell ref="D59:E59"/>
  </mergeCells>
  <conditionalFormatting sqref="R11:R50">
    <cfRule type="expression" priority="1" dxfId="0" stopIfTrue="1">
      <formula>$R11="Margem boa"</formula>
    </cfRule>
    <cfRule type="expression" priority="2" dxfId="1" stopIfTrue="1">
      <formula>$R11="Margem apertada"</formula>
    </cfRule>
    <cfRule type="expression" priority="3" dxfId="2" stopIfTrue="1">
      <formula>$R11="Margem crítica"</formula>
    </cfRule>
  </conditionalFormatting>
  <conditionalFormatting sqref="I11:I50">
    <cfRule type="expression" priority="4" dxfId="0" stopIfTrue="1">
      <formula>$I11="No prazo"</formula>
    </cfRule>
    <cfRule type="expression" priority="5" dxfId="2" stopIfTrue="1">
      <formula>$I11="Atrasado"</formula>
    </cfRule>
    <cfRule type="expression" priority="6" dxfId="3" stopIfTrue="1">
      <formula>$I11="Em produção"</formula>
    </cfRule>
  </conditionalFormatting>
  <conditionalFormatting sqref="Q11:Q50">
    <cfRule type="expression" priority="7" dxfId="4">
      <formula>AND($Q11&lt;&gt;"",$Q11&gt;0)</formula>
    </cfRule>
    <cfRule type="expression" priority="8" dxfId="5">
      <formula>AND($Q11&lt;&gt;"",$Q11&lt;0)</formula>
    </cfRule>
  </conditionalFormatting>
  <conditionalFormatting sqref="L11:L50">
    <cfRule type="expression" priority="9" dxfId="1">
      <formula>AND($L11&lt;&gt;"",$L11&gt;0)</formula>
    </cfRule>
  </conditionalFormatting>
  <conditionalFormatting sqref="N55:R60">
    <cfRule type="expression" priority="10" dxfId="2" stopIfTrue="1">
      <formula>LEFT($N55,8)="Estourou"</formula>
    </cfRule>
    <cfRule type="expression" priority="11" dxfId="1" stopIfTrue="1">
      <formula>LEFT($N55,6)="Sobrou"</formula>
    </cfRule>
    <cfRule type="expression" priority="12" dxfId="0" stopIfTrue="1">
      <formula>LEFT($N55,6)="Dentro"</formula>
    </cfRule>
  </conditionalFormatting>
  <pageMargins left="0.4" right="0.3" top="0.4" bottom="0.3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196"/>
  <sheetViews>
    <sheetView showGridLines="0"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14" customWidth="1" min="3" max="3"/>
    <col width="16" customWidth="1" min="4" max="4"/>
    <col width="7" customWidth="1" min="5" max="5"/>
    <col width="13" customWidth="1" min="6" max="6"/>
    <col width="13" customWidth="1" min="7" max="7"/>
    <col width="16" customWidth="1" min="8" max="8"/>
    <col width="7" customWidth="1" min="9" max="9"/>
    <col width="13" customWidth="1" min="10" max="10"/>
    <col width="13" customWidth="1" min="11" max="11"/>
    <col width="15" customWidth="1" min="12" max="12"/>
    <col width="7" customWidth="1" min="13" max="13"/>
    <col width="13" customWidth="1" min="14" max="14"/>
    <col width="14" customWidth="1" min="15" max="15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8" customHeight="1">
      <c r="A3" s="4" t="inlineStr">
        <is>
          <t>FICHA DE CUSTO DO PROJETO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 ht="17" customHeight="1">
      <c r="A4" s="6" t="inlineStr">
        <is>
          <t>Fundo creme = você preenche · fundo cinza = calculado · duplique esta aba a cada projeto e registre o nome dela no Painel Geral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 ht="6" customHeight="1"/>
    <row r="6" ht="13" customHeight="1">
      <c r="A6" s="44" t="inlineStr">
        <is>
          <t>CLIENTE</t>
        </is>
      </c>
      <c r="B6" s="13" t="n"/>
      <c r="C6" s="13" t="n"/>
      <c r="D6" s="44" t="inlineStr">
        <is>
          <t>Nº DO PROJETO</t>
        </is>
      </c>
      <c r="E6" s="13" t="n"/>
      <c r="F6" s="44" t="inlineStr">
        <is>
          <t>DATA DE ENTRADA</t>
        </is>
      </c>
      <c r="G6" s="13" t="n"/>
      <c r="H6" s="44" t="inlineStr">
        <is>
          <t>ENTREGA PREVISTA</t>
        </is>
      </c>
      <c r="I6" s="13" t="n"/>
      <c r="J6" s="44" t="inlineStr">
        <is>
          <t>ENTREGA REAL</t>
        </is>
      </c>
      <c r="K6" s="13" t="n"/>
      <c r="L6" s="13" t="n"/>
      <c r="M6" s="13" t="n"/>
      <c r="N6" s="13" t="n"/>
      <c r="O6" s="13" t="n"/>
    </row>
    <row r="7" ht="21" customHeight="1">
      <c r="A7" s="45" t="n"/>
      <c r="B7" s="46" t="n"/>
      <c r="C7" s="46" t="n"/>
      <c r="D7" s="45" t="n"/>
      <c r="E7" s="46" t="n"/>
      <c r="F7" s="47" t="n"/>
      <c r="G7" s="46" t="n"/>
      <c r="H7" s="47" t="n"/>
      <c r="I7" s="46" t="n"/>
      <c r="J7" s="47" t="n"/>
      <c r="K7" s="46" t="n"/>
      <c r="L7" s="46" t="n"/>
      <c r="M7" s="46" t="n"/>
      <c r="N7" s="46" t="n"/>
      <c r="O7" s="46" t="n"/>
    </row>
    <row r="8" ht="13" customHeight="1">
      <c r="A8" s="44" t="inlineStr">
        <is>
          <t>PROJETO</t>
        </is>
      </c>
      <c r="B8" s="13" t="n"/>
      <c r="C8" s="13" t="n"/>
      <c r="D8" s="44" t="inlineStr">
        <is>
          <t>VENDEDOR</t>
        </is>
      </c>
      <c r="E8" s="13" t="n"/>
      <c r="F8" s="44" t="inlineStr">
        <is>
          <t>COORDENADOR</t>
        </is>
      </c>
      <c r="G8" s="13" t="n"/>
      <c r="H8" s="44" t="inlineStr">
        <is>
          <t>DIAS DE ATRASO</t>
        </is>
      </c>
      <c r="I8" s="13" t="n"/>
      <c r="J8" s="44" t="inlineStr">
        <is>
          <t>SITUAÇÃO DA ENTREGA</t>
        </is>
      </c>
      <c r="K8" s="13" t="n"/>
      <c r="L8" s="13" t="n"/>
      <c r="M8" s="13" t="n"/>
      <c r="N8" s="13" t="n"/>
      <c r="O8" s="13" t="n"/>
    </row>
    <row r="9" ht="21" customHeight="1">
      <c r="A9" s="45" t="n"/>
      <c r="B9" s="46" t="n"/>
      <c r="C9" s="46" t="n"/>
      <c r="D9" s="45" t="n"/>
      <c r="E9" s="46" t="n"/>
      <c r="F9" s="48" t="n"/>
      <c r="G9" s="46" t="n"/>
      <c r="H9" s="49">
        <f>IF(OR($H$7="",$J$7=""),"",$J$7-$H$7)</f>
        <v/>
      </c>
      <c r="I9" s="38" t="n"/>
      <c r="J9" s="50">
        <f>IF($H$7="","",IF($J$7="",IF(TODAY()&gt;$H$7,"Atrasado","Em produção"),IF($H$9&lt;=0,"No prazo","Atrasado")))</f>
        <v/>
      </c>
      <c r="K9" s="38" t="n"/>
      <c r="L9" s="38" t="n"/>
      <c r="M9" s="38" t="n"/>
      <c r="N9" s="38" t="n"/>
      <c r="O9" s="38" t="n"/>
    </row>
    <row r="10" ht="18" customHeight="1">
      <c r="A10" s="51" t="inlineStr">
        <is>
          <t>MÊS DE COMPETÊNCIA</t>
        </is>
      </c>
      <c r="B10" s="37" t="n"/>
      <c r="C10" s="37" t="n"/>
      <c r="D10" s="52" t="n"/>
      <c r="E10" s="46" t="n"/>
      <c r="F10" s="53" t="inlineStr">
        <is>
          <t>o mês em que a receita e o custo deste projeto pesam no painel de competência</t>
        </is>
      </c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</row>
    <row r="11" ht="20" customHeight="1">
      <c r="A11" s="8" t="inlineStr">
        <is>
          <t xml:space="preserve">  RESULTADO DO PROJETO          tudo aqui se atualiza conforme você lança os custos mais abaixo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</row>
    <row r="12" ht="13" customHeight="1">
      <c r="A12" s="44" t="inlineStr">
        <is>
          <t>VALOR DE VENDA</t>
        </is>
      </c>
      <c r="B12" s="13" t="n"/>
      <c r="C12" s="44" t="inlineStr">
        <is>
          <t>CUSTO TOTAL</t>
        </is>
      </c>
      <c r="D12" s="13" t="n"/>
      <c r="E12" s="44" t="inlineStr">
        <is>
          <t>MARGEM DE CONTRIBUIÇÃO</t>
        </is>
      </c>
      <c r="F12" s="13" t="n"/>
      <c r="G12" s="44" t="inlineStr">
        <is>
          <t>MC %</t>
        </is>
      </c>
      <c r="H12" s="44" t="inlineStr">
        <is>
          <t>MC % ORÇADA</t>
        </is>
      </c>
      <c r="I12" s="44" t="inlineStr">
        <is>
          <t>DESVIO DE CUSTO</t>
        </is>
      </c>
      <c r="J12" s="13" t="n"/>
      <c r="K12" s="13" t="n"/>
      <c r="L12" s="13" t="n"/>
      <c r="M12" s="13" t="n"/>
      <c r="N12" s="13" t="n"/>
      <c r="O12" s="13" t="n"/>
    </row>
    <row r="13" ht="30" customHeight="1">
      <c r="A13" s="54">
        <f>IF($D$28="",$C$28,$D$28)</f>
        <v/>
      </c>
      <c r="B13" s="15" t="n"/>
      <c r="C13" s="54">
        <f>IF($D$22=0,"",$D$22)</f>
        <v/>
      </c>
      <c r="D13" s="15" t="n"/>
      <c r="E13" s="54">
        <f>IF($A$13="","",$D$23)</f>
        <v/>
      </c>
      <c r="F13" s="15" t="n"/>
      <c r="G13" s="55">
        <f>IF(OR($A$13="",$A$13=0),"",$D$23/$A$13)</f>
        <v/>
      </c>
      <c r="H13" s="55">
        <f>IF(OR($C$28="",$C$28=0),"",$C$23/$C$28)</f>
        <v/>
      </c>
      <c r="I13" s="54">
        <f>IF(OR($C$22=0,$D$22=0),"",ROUND($D$22-$C$22,2))</f>
        <v/>
      </c>
      <c r="J13" s="15" t="n"/>
      <c r="K13" s="15" t="n"/>
      <c r="L13" s="15" t="n"/>
      <c r="M13" s="15" t="n"/>
      <c r="N13" s="15" t="n"/>
      <c r="O13" s="15" t="n"/>
    </row>
    <row r="14" ht="8" customHeight="1"/>
    <row r="15" ht="26" customHeight="1">
      <c r="A15" s="19" t="inlineStr">
        <is>
          <t>Resumo por categoria</t>
        </is>
      </c>
      <c r="B15" s="35" t="n"/>
      <c r="C15" s="19" t="inlineStr">
        <is>
          <t>Orçado (R$)</t>
        </is>
      </c>
      <c r="D15" s="19" t="inlineStr">
        <is>
          <t>Realizado (R$)</t>
        </is>
      </c>
      <c r="E15" s="19" t="inlineStr">
        <is>
          <t>Desvio (R$)</t>
        </is>
      </c>
      <c r="F15" s="35" t="n"/>
      <c r="G15" s="19" t="inlineStr">
        <is>
          <t>Desvio (%)</t>
        </is>
      </c>
      <c r="H15" s="19" t="inlineStr">
        <is>
          <t>% da venda realizada</t>
        </is>
      </c>
      <c r="I15" s="35" t="n"/>
      <c r="J15" s="35" t="n"/>
      <c r="K15" s="35" t="n"/>
      <c r="L15" s="35" t="n"/>
      <c r="M15" s="35" t="n"/>
      <c r="N15" s="35" t="n"/>
      <c r="O15" s="35" t="n"/>
    </row>
    <row r="16" ht="18" customHeight="1">
      <c r="A16" s="36" t="inlineStr">
        <is>
          <t>Custos de venda</t>
        </is>
      </c>
      <c r="B16" s="37" t="n"/>
      <c r="C16" s="56">
        <f>IF(C44="","",C44)</f>
        <v/>
      </c>
      <c r="D16" s="56">
        <f>IF(D44="","",D44)</f>
        <v/>
      </c>
      <c r="E16" s="56">
        <f>IF(OR($C16="",$D16=""),"",ROUND($D16-$C16,2))</f>
        <v/>
      </c>
      <c r="F16" s="38" t="n"/>
      <c r="G16" s="57">
        <f>IF(OR($C16="",$C16=0,$D16=""),"",$D16/$C16-1)</f>
        <v/>
      </c>
      <c r="H16" s="58">
        <f>IF(OR($D16="",$A$13="",$A$13=0),"",$D16/$A$13)</f>
        <v/>
      </c>
      <c r="I16" s="38" t="n"/>
      <c r="J16" s="38" t="n"/>
      <c r="K16" s="38" t="n"/>
      <c r="L16" s="38" t="n"/>
      <c r="M16" s="38" t="n"/>
      <c r="N16" s="38" t="n"/>
      <c r="O16" s="38" t="n"/>
    </row>
    <row r="17" ht="18" customHeight="1">
      <c r="A17" s="36" t="inlineStr">
        <is>
          <t>Comissões operacionais</t>
        </is>
      </c>
      <c r="B17" s="37" t="n"/>
      <c r="C17" s="56">
        <f>IF(C70="","",C70)</f>
        <v/>
      </c>
      <c r="D17" s="56">
        <f>IF(D70="","",D70)</f>
        <v/>
      </c>
      <c r="E17" s="56">
        <f>IF(OR($C17="",$D17=""),"",ROUND($D17-$C17,2))</f>
        <v/>
      </c>
      <c r="F17" s="38" t="n"/>
      <c r="G17" s="57">
        <f>IF(OR($C17="",$C17=0,$D17=""),"",$D17/$C17-1)</f>
        <v/>
      </c>
      <c r="H17" s="58">
        <f>IF(OR($D17="",$A$13="",$A$13=0),"",$D17/$A$13)</f>
        <v/>
      </c>
      <c r="I17" s="38" t="n"/>
      <c r="J17" s="38" t="n"/>
      <c r="K17" s="38" t="n"/>
      <c r="L17" s="38" t="n"/>
      <c r="M17" s="38" t="n"/>
      <c r="N17" s="38" t="n"/>
      <c r="O17" s="38" t="n"/>
    </row>
    <row r="18" ht="18" customHeight="1">
      <c r="A18" s="36" t="inlineStr">
        <is>
          <t>Material</t>
        </is>
      </c>
      <c r="B18" s="37" t="n"/>
      <c r="C18" s="56">
        <f>IF(C103="","",C103)</f>
        <v/>
      </c>
      <c r="D18" s="56">
        <f>IF(D103="","",D103)</f>
        <v/>
      </c>
      <c r="E18" s="56">
        <f>IF(OR($C18="",$D18=""),"",ROUND($D18-$C18,2))</f>
        <v/>
      </c>
      <c r="F18" s="38" t="n"/>
      <c r="G18" s="57">
        <f>IF(OR($C18="",$C18=0,$D18=""),"",$D18/$C18-1)</f>
        <v/>
      </c>
      <c r="H18" s="58">
        <f>IF(OR($D18="",$A$13="",$A$13=0),"",$D18/$A$13)</f>
        <v/>
      </c>
      <c r="I18" s="38" t="n"/>
      <c r="J18" s="38" t="n"/>
      <c r="K18" s="38" t="n"/>
      <c r="L18" s="38" t="n"/>
      <c r="M18" s="38" t="n"/>
      <c r="N18" s="38" t="n"/>
      <c r="O18" s="38" t="n"/>
    </row>
    <row r="19" ht="18" customHeight="1">
      <c r="A19" s="36" t="inlineStr">
        <is>
          <t>Serviços terceirizados</t>
        </is>
      </c>
      <c r="B19" s="37" t="n"/>
      <c r="C19" s="56">
        <f>IF(C108="","",C108)</f>
        <v/>
      </c>
      <c r="D19" s="56">
        <f>IF(D108="","",D108)</f>
        <v/>
      </c>
      <c r="E19" s="56">
        <f>IF(OR($C19="",$D19=""),"",ROUND($D19-$C19,2))</f>
        <v/>
      </c>
      <c r="F19" s="38" t="n"/>
      <c r="G19" s="57">
        <f>IF(OR($C19="",$C19=0,$D19=""),"",$D19/$C19-1)</f>
        <v/>
      </c>
      <c r="H19" s="58">
        <f>IF(OR($D19="",$A$13="",$A$13=0),"",$D19/$A$13)</f>
        <v/>
      </c>
      <c r="I19" s="38" t="n"/>
      <c r="J19" s="38" t="n"/>
      <c r="K19" s="38" t="n"/>
      <c r="L19" s="38" t="n"/>
      <c r="M19" s="38" t="n"/>
      <c r="N19" s="38" t="n"/>
      <c r="O19" s="38" t="n"/>
    </row>
    <row r="20" ht="18" customHeight="1">
      <c r="A20" s="36" t="inlineStr">
        <is>
          <t>Logística</t>
        </is>
      </c>
      <c r="B20" s="37" t="n"/>
      <c r="C20" s="56">
        <f>IF(C114="","",C114)</f>
        <v/>
      </c>
      <c r="D20" s="56">
        <f>IF(D114="","",D114)</f>
        <v/>
      </c>
      <c r="E20" s="56">
        <f>IF(OR($C20="",$D20=""),"",ROUND($D20-$C20,2))</f>
        <v/>
      </c>
      <c r="F20" s="38" t="n"/>
      <c r="G20" s="57">
        <f>IF(OR($C20="",$C20=0,$D20=""),"",$D20/$C20-1)</f>
        <v/>
      </c>
      <c r="H20" s="58">
        <f>IF(OR($D20="",$A$13="",$A$13=0),"",$D20/$A$13)</f>
        <v/>
      </c>
      <c r="I20" s="38" t="n"/>
      <c r="J20" s="38" t="n"/>
      <c r="K20" s="38" t="n"/>
      <c r="L20" s="38" t="n"/>
      <c r="M20" s="38" t="n"/>
      <c r="N20" s="38" t="n"/>
      <c r="O20" s="38" t="n"/>
    </row>
    <row r="21" ht="18" customHeight="1">
      <c r="A21" s="36" t="inlineStr">
        <is>
          <t>Retrabalho</t>
        </is>
      </c>
      <c r="B21" s="37" t="n"/>
      <c r="C21" s="56">
        <f>IF(C130="","",C130)</f>
        <v/>
      </c>
      <c r="D21" s="56">
        <f>IF(D130="","",D130)</f>
        <v/>
      </c>
      <c r="E21" s="56">
        <f>IF(OR($C21="",$D21=""),"",ROUND($D21-$C21,2))</f>
        <v/>
      </c>
      <c r="F21" s="38" t="n"/>
      <c r="G21" s="57">
        <f>IF(OR($C21="",$C21=0,$D21=""),"",$D21/$C21-1)</f>
        <v/>
      </c>
      <c r="H21" s="58">
        <f>IF(OR($D21="",$A$13="",$A$13=0),"",$D21/$A$13)</f>
        <v/>
      </c>
      <c r="I21" s="38" t="n"/>
      <c r="J21" s="38" t="n"/>
      <c r="K21" s="38" t="n"/>
      <c r="L21" s="38" t="n"/>
      <c r="M21" s="38" t="n"/>
      <c r="N21" s="38" t="n"/>
      <c r="O21" s="38" t="n"/>
    </row>
    <row r="22" ht="22" customHeight="1">
      <c r="A22" s="31" t="inlineStr">
        <is>
          <t>(=) CUSTO TOTAL DO PROJETO</t>
        </is>
      </c>
      <c r="B22" s="32" t="n"/>
      <c r="C22" s="59">
        <f>ROUND(SUM(C16:C21),2)</f>
        <v/>
      </c>
      <c r="D22" s="59">
        <f>ROUND(SUM(D16:D21),2)</f>
        <v/>
      </c>
      <c r="E22" s="60">
        <f>ROUND($D$22-$C$22,2)</f>
        <v/>
      </c>
      <c r="F22" s="32" t="n"/>
      <c r="G22" s="61">
        <f>IF(OR($C$22="",$C$22=0),"",$D$22/$C$22-1)</f>
        <v/>
      </c>
      <c r="H22" s="62">
        <f>IF(OR($A$13="",$A$13=0),"",$D$22/$A$13)</f>
        <v/>
      </c>
      <c r="I22" s="32" t="n"/>
      <c r="J22" s="32" t="n"/>
      <c r="K22" s="32" t="n"/>
      <c r="L22" s="32" t="n"/>
      <c r="M22" s="32" t="n"/>
      <c r="N22" s="32" t="n"/>
      <c r="O22" s="32" t="n"/>
    </row>
    <row r="23" ht="28" customHeight="1">
      <c r="A23" s="63" t="inlineStr">
        <is>
          <t>(=) MARGEM DE CONTRIBUIÇÃO</t>
        </is>
      </c>
      <c r="B23" s="64" t="n"/>
      <c r="C23" s="65">
        <f>ROUND($C$28-$C$22,2)</f>
        <v/>
      </c>
      <c r="D23" s="65">
        <f>ROUND($A$13-$D$22,2)</f>
        <v/>
      </c>
      <c r="E23" s="66">
        <f>ROUND($D$23-$C$23,2)</f>
        <v/>
      </c>
      <c r="F23" s="64" t="n"/>
      <c r="G23" s="67">
        <f>IF(OR($C$28="",$C$28=0),"",$C$23/$C$28)</f>
        <v/>
      </c>
      <c r="H23" s="68">
        <f>IF(OR($A$13="",$A$13=0),"",$D$23/$A$13)</f>
        <v/>
      </c>
      <c r="I23" s="64" t="n"/>
      <c r="J23" s="64" t="n"/>
      <c r="K23" s="64" t="n"/>
      <c r="L23" s="64" t="n"/>
      <c r="M23" s="64" t="n"/>
      <c r="N23" s="64" t="n"/>
      <c r="O23" s="64" t="n"/>
    </row>
    <row r="24" ht="22" customHeight="1">
      <c r="A24" s="69">
        <f>IF($A$13="","",IF(ROUND(SUMIF($I$134:$I$193,"A comprar",$E$134:$E$193),2)+ROUND(SUMIF($I$134:$I$193,"Comprado (a pagar)",$E$134:$E$193),2)=0,"   Nenhuma compra pendente lançada — o custo realizado já é o custo final.","   Já comprado e ainda a pagar: "&amp;TEXT(ROUND(SUMIF($I$134:$I$193,"Comprado (a pagar)",$E$134:$E$193),2),"R$ #,##0")&amp;"   ·   custo projetado: "&amp;TEXT($D$22+ROUND(SUMIF($I$134:$I$193,"A comprar",$E$134:$E$193),2),"R$ #,##0")&amp;"   ·   MC projetada: "&amp;TEXT(($A$13-$D$22-ROUND(SUMIF($I$134:$I$193,"A comprar",$E$134:$E$193),2))/$A$13,"0.0%")))</f>
        <v/>
      </c>
      <c r="B24" s="15" t="n"/>
      <c r="C24" s="15" t="n"/>
      <c r="D24" s="15" t="n"/>
      <c r="E24" s="15" t="n"/>
      <c r="F24" s="15" t="n"/>
      <c r="G24" s="15" t="n"/>
      <c r="H24" s="15" t="n"/>
      <c r="I24" s="70">
        <f>IF($A$13="","",ROUND(SUMIF($I$134:$I$193,"A comprar",$E$134:$E$193),2))</f>
        <v/>
      </c>
      <c r="J24" s="15" t="n"/>
      <c r="K24" s="15" t="n"/>
      <c r="L24" s="15" t="n"/>
      <c r="M24" s="15" t="n"/>
      <c r="N24" s="15" t="n"/>
      <c r="O24" s="15" t="n"/>
    </row>
    <row r="25" ht="8" customHeight="1"/>
    <row r="26" ht="20" customHeight="1">
      <c r="A26" s="8" t="inlineStr">
        <is>
          <t xml:space="preserve">  1 · VALOR DE VENDA E NOTAS EMITIDAS          o que foi vendido e o que já virou nota — a diferença é o que falta faturar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 ht="26" customHeight="1">
      <c r="A27" s="19" t="inlineStr">
        <is>
          <t>Item</t>
        </is>
      </c>
      <c r="B27" s="19" t="inlineStr">
        <is>
          <t>%</t>
        </is>
      </c>
      <c r="C27" s="19" t="inlineStr">
        <is>
          <t>Orçado (R$)</t>
        </is>
      </c>
      <c r="D27" s="19" t="inlineStr">
        <is>
          <t>Realizado (R$)</t>
        </is>
      </c>
      <c r="E27" s="19" t="inlineStr">
        <is>
          <t>Desvio (R$)</t>
        </is>
      </c>
      <c r="F27" s="35" t="n"/>
      <c r="G27" s="19" t="inlineStr">
        <is>
          <t>% da venda</t>
        </is>
      </c>
      <c r="H27" s="19" t="inlineStr">
        <is>
          <t>Observação</t>
        </is>
      </c>
      <c r="I27" s="35" t="n"/>
      <c r="J27" s="35" t="n"/>
      <c r="K27" s="35" t="n"/>
      <c r="L27" s="35" t="n"/>
      <c r="M27" s="35" t="n"/>
      <c r="N27" s="35" t="n"/>
      <c r="O27" s="35" t="n"/>
    </row>
    <row r="28" ht="17" customHeight="1">
      <c r="A28" s="36" t="inlineStr">
        <is>
          <t>Valor de venda do projeto</t>
        </is>
      </c>
      <c r="B28" s="37" t="n"/>
      <c r="C28" s="71" t="n"/>
      <c r="D28" s="71" t="n"/>
      <c r="E28" s="56">
        <f>IF(OR($C28="",$D28=""),"",ROUND($D28-$C28,2))</f>
        <v/>
      </c>
      <c r="F28" s="38" t="n"/>
      <c r="G28" s="72" t="n"/>
      <c r="H28" s="73" t="inlineStr">
        <is>
          <t>Orçado = valor da proposta · Realizado = valor fechado</t>
        </is>
      </c>
      <c r="I28" s="46" t="n"/>
      <c r="J28" s="46" t="n"/>
      <c r="K28" s="46" t="n"/>
      <c r="L28" s="46" t="n"/>
      <c r="M28" s="46" t="n"/>
      <c r="N28" s="46" t="n"/>
      <c r="O28" s="46" t="n"/>
    </row>
    <row r="29" ht="22" customHeight="1">
      <c r="A29" s="19" t="inlineStr">
        <is>
          <t>Nota fiscal</t>
        </is>
      </c>
      <c r="B29" s="19" t="inlineStr">
        <is>
          <t>Número</t>
        </is>
      </c>
      <c r="C29" s="19" t="inlineStr">
        <is>
          <t>Data</t>
        </is>
      </c>
      <c r="D29" s="19" t="inlineStr">
        <is>
          <t>Valor (R$)</t>
        </is>
      </c>
      <c r="E29" s="19" t="inlineStr"/>
      <c r="F29" s="35" t="n"/>
      <c r="G29" s="19" t="inlineStr">
        <is>
          <t>% da venda</t>
        </is>
      </c>
      <c r="H29" s="19" t="inlineStr">
        <is>
          <t>Observação</t>
        </is>
      </c>
      <c r="I29" s="35" t="n"/>
      <c r="J29" s="35" t="n"/>
      <c r="K29" s="35" t="n"/>
      <c r="L29" s="35" t="n"/>
      <c r="M29" s="35" t="n"/>
      <c r="N29" s="35" t="n"/>
      <c r="O29" s="35" t="n"/>
    </row>
    <row r="30" ht="17" customHeight="1">
      <c r="A30" s="36" t="inlineStr">
        <is>
          <t>Nota 1</t>
        </is>
      </c>
      <c r="B30" s="74" t="n"/>
      <c r="C30" s="75" t="n"/>
      <c r="D30" s="76" t="n"/>
      <c r="E30" s="37" t="n"/>
      <c r="F30" s="37" t="n"/>
      <c r="G30" s="72">
        <f>IF(OR($D30="",$A$13="",$A$13=0),"",$D30/$A$13)</f>
        <v/>
      </c>
      <c r="H30" s="73" t="n"/>
      <c r="I30" s="46" t="n"/>
      <c r="J30" s="46" t="n"/>
      <c r="K30" s="46" t="n"/>
      <c r="L30" s="46" t="n"/>
      <c r="M30" s="46" t="n"/>
      <c r="N30" s="46" t="n"/>
      <c r="O30" s="46" t="n"/>
    </row>
    <row r="31" ht="17" customHeight="1">
      <c r="A31" s="36" t="inlineStr">
        <is>
          <t>Nota 2</t>
        </is>
      </c>
      <c r="B31" s="74" t="n"/>
      <c r="C31" s="75" t="n"/>
      <c r="D31" s="76" t="n"/>
      <c r="E31" s="37" t="n"/>
      <c r="F31" s="37" t="n"/>
      <c r="G31" s="72">
        <f>IF(OR($D31="",$A$13="",$A$13=0),"",$D31/$A$13)</f>
        <v/>
      </c>
      <c r="H31" s="73" t="n"/>
      <c r="I31" s="46" t="n"/>
      <c r="J31" s="46" t="n"/>
      <c r="K31" s="46" t="n"/>
      <c r="L31" s="46" t="n"/>
      <c r="M31" s="46" t="n"/>
      <c r="N31" s="46" t="n"/>
      <c r="O31" s="46" t="n"/>
    </row>
    <row r="32" ht="17" customHeight="1">
      <c r="A32" s="36" t="inlineStr">
        <is>
          <t>Nota 3</t>
        </is>
      </c>
      <c r="B32" s="74" t="n"/>
      <c r="C32" s="75" t="n"/>
      <c r="D32" s="76" t="n"/>
      <c r="E32" s="37" t="n"/>
      <c r="F32" s="37" t="n"/>
      <c r="G32" s="72">
        <f>IF(OR($D32="",$A$13="",$A$13=0),"",$D32/$A$13)</f>
        <v/>
      </c>
      <c r="H32" s="73" t="n"/>
      <c r="I32" s="46" t="n"/>
      <c r="J32" s="46" t="n"/>
      <c r="K32" s="46" t="n"/>
      <c r="L32" s="46" t="n"/>
      <c r="M32" s="46" t="n"/>
      <c r="N32" s="46" t="n"/>
      <c r="O32" s="46" t="n"/>
    </row>
    <row r="33" ht="17" customHeight="1">
      <c r="A33" s="36" t="inlineStr">
        <is>
          <t>Nota 4</t>
        </is>
      </c>
      <c r="B33" s="74" t="n"/>
      <c r="C33" s="75" t="n"/>
      <c r="D33" s="76" t="n"/>
      <c r="E33" s="37" t="n"/>
      <c r="F33" s="37" t="n"/>
      <c r="G33" s="72">
        <f>IF(OR($D33="",$A$13="",$A$13=0),"",$D33/$A$13)</f>
        <v/>
      </c>
      <c r="H33" s="73" t="n"/>
      <c r="I33" s="46" t="n"/>
      <c r="J33" s="46" t="n"/>
      <c r="K33" s="46" t="n"/>
      <c r="L33" s="46" t="n"/>
      <c r="M33" s="46" t="n"/>
      <c r="N33" s="46" t="n"/>
      <c r="O33" s="46" t="n"/>
    </row>
    <row r="34" ht="20" customHeight="1">
      <c r="A34" s="31" t="inlineStr">
        <is>
          <t>(=) TOTAL FATURADO  →</t>
        </is>
      </c>
      <c r="B34" s="32" t="n"/>
      <c r="C34" s="32" t="n"/>
      <c r="D34" s="60">
        <f>ROUND(SUM($D$30:$D$33),2)</f>
        <v/>
      </c>
      <c r="E34" s="32" t="n"/>
      <c r="F34" s="32" t="n"/>
      <c r="G34" s="62">
        <f>IF(OR($A$13="",$A$13=0),"",$D$34/$A$13)</f>
        <v/>
      </c>
      <c r="H34" s="77">
        <f>IF(OR($A$13="",$A$13=0),"",IF(ROUND($A$13-$D$34,2)&lt;=0,"   Projeto totalmente faturado.","   Ainda a faturar: "&amp;TEXT($A$13-$D$34,"R$ #,##0.00")))</f>
        <v/>
      </c>
      <c r="I34" s="32" t="n"/>
      <c r="J34" s="32" t="n"/>
      <c r="K34" s="32" t="n"/>
      <c r="L34" s="32" t="n"/>
      <c r="M34" s="32" t="n"/>
      <c r="N34" s="32" t="n"/>
      <c r="O34" s="32" t="n"/>
    </row>
    <row r="35" ht="8" customHeight="1"/>
    <row r="36" ht="20" customHeight="1">
      <c r="A36" s="8" t="inlineStr">
        <is>
          <t xml:space="preserve">  2 · CUSTOS DE VENDA          tudo que sai por causa da venda · define a RECEITA LÍQUIDA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</row>
    <row r="37" ht="26" customHeight="1">
      <c r="A37" s="19" t="inlineStr">
        <is>
          <t>Item</t>
        </is>
      </c>
      <c r="B37" s="19" t="inlineStr">
        <is>
          <t>%</t>
        </is>
      </c>
      <c r="C37" s="19" t="inlineStr">
        <is>
          <t>Orçado (R$)</t>
        </is>
      </c>
      <c r="D37" s="19" t="inlineStr">
        <is>
          <t>Realizado (R$)</t>
        </is>
      </c>
      <c r="E37" s="19" t="inlineStr">
        <is>
          <t>Desvio (R$)</t>
        </is>
      </c>
      <c r="F37" s="35" t="n"/>
      <c r="G37" s="19" t="inlineStr">
        <is>
          <t>% da venda</t>
        </is>
      </c>
      <c r="H37" s="19" t="inlineStr">
        <is>
          <t>Observação</t>
        </is>
      </c>
      <c r="I37" s="35" t="n"/>
      <c r="J37" s="35" t="n"/>
      <c r="K37" s="35" t="n"/>
      <c r="L37" s="35" t="n"/>
      <c r="M37" s="35" t="n"/>
      <c r="N37" s="35" t="n"/>
      <c r="O37" s="35" t="n"/>
    </row>
    <row r="38" ht="17" customHeight="1">
      <c r="A38" s="36" t="inlineStr">
        <is>
          <t>Impostos sobre a nota (Simples)</t>
        </is>
      </c>
      <c r="B38" s="78" t="n"/>
      <c r="C38" s="56">
        <f>IF($B38="","",ROUND($B38*$C$28,2))</f>
        <v/>
      </c>
      <c r="D38" s="56">
        <f>IF($B38="","",ROUND($B38*$A$13,2))</f>
        <v/>
      </c>
      <c r="E38" s="56">
        <f>IF(OR($C38="",$D38=""),"",ROUND($D38-$C38,2))</f>
        <v/>
      </c>
      <c r="F38" s="38" t="n"/>
      <c r="G38" s="72">
        <f>IF(OR($D38="",$A$13="",$A$13=0),"",$D38/$A$13)</f>
        <v/>
      </c>
      <c r="H38" s="73" t="inlineStr">
        <is>
          <t>% sobre o valor de venda</t>
        </is>
      </c>
      <c r="I38" s="46" t="n"/>
      <c r="J38" s="46" t="n"/>
      <c r="K38" s="46" t="n"/>
      <c r="L38" s="46" t="n"/>
      <c r="M38" s="46" t="n"/>
      <c r="N38" s="46" t="n"/>
      <c r="O38" s="46" t="n"/>
    </row>
    <row r="39" ht="17" customHeight="1">
      <c r="A39" s="36" t="inlineStr">
        <is>
          <t>Taxa de máquina de cartão</t>
        </is>
      </c>
      <c r="B39" s="78" t="n"/>
      <c r="C39" s="56">
        <f>IF($B39="","",ROUND($B39*$C$28,2))</f>
        <v/>
      </c>
      <c r="D39" s="56">
        <f>IF($B39="","",ROUND($B39*$A$13,2))</f>
        <v/>
      </c>
      <c r="E39" s="56">
        <f>IF(OR($C39="",$D39=""),"",ROUND($D39-$C39,2))</f>
        <v/>
      </c>
      <c r="F39" s="38" t="n"/>
      <c r="G39" s="72">
        <f>IF(OR($D39="",$A$13="",$A$13=0),"",$D39/$A$13)</f>
        <v/>
      </c>
      <c r="H39" s="73" t="inlineStr">
        <is>
          <t>% sobre o valor de venda</t>
        </is>
      </c>
      <c r="I39" s="46" t="n"/>
      <c r="J39" s="46" t="n"/>
      <c r="K39" s="46" t="n"/>
      <c r="L39" s="46" t="n"/>
      <c r="M39" s="46" t="n"/>
      <c r="N39" s="46" t="n"/>
      <c r="O39" s="46" t="n"/>
    </row>
    <row r="40" ht="17" customHeight="1">
      <c r="A40" s="36" t="inlineStr">
        <is>
          <t>Taxas de transação (PIX, boleto, TED)</t>
        </is>
      </c>
      <c r="B40" s="37" t="n"/>
      <c r="C40" s="71" t="n"/>
      <c r="D40" s="71" t="n"/>
      <c r="E40" s="56">
        <f>IF(OR($C40="",$D40=""),"",ROUND($D40-$C40,2))</f>
        <v/>
      </c>
      <c r="F40" s="38" t="n"/>
      <c r="G40" s="72">
        <f>IF(OR($D40="",$A$13="",$A$13=0),"",$D40/$A$13)</f>
        <v/>
      </c>
      <c r="H40" s="73" t="inlineStr">
        <is>
          <t>valor em reais</t>
        </is>
      </c>
      <c r="I40" s="46" t="n"/>
      <c r="J40" s="46" t="n"/>
      <c r="K40" s="46" t="n"/>
      <c r="L40" s="46" t="n"/>
      <c r="M40" s="46" t="n"/>
      <c r="N40" s="46" t="n"/>
      <c r="O40" s="46" t="n"/>
    </row>
    <row r="41" ht="17" customHeight="1">
      <c r="A41" s="36" t="inlineStr">
        <is>
          <t>Comissão de venda (vendedor)</t>
        </is>
      </c>
      <c r="B41" s="78" t="n"/>
      <c r="C41" s="56">
        <f>IF($B41="","",ROUND($B41*$C$28,2))</f>
        <v/>
      </c>
      <c r="D41" s="56">
        <f>IF($B41="","",ROUND($B41*$A$13,2))</f>
        <v/>
      </c>
      <c r="E41" s="56">
        <f>IF(OR($C41="",$D41=""),"",ROUND($D41-$C41,2))</f>
        <v/>
      </c>
      <c r="F41" s="38" t="n"/>
      <c r="G41" s="72">
        <f>IF(OR($D41="",$A$13="",$A$13=0),"",$D41/$A$13)</f>
        <v/>
      </c>
      <c r="H41" s="73" t="inlineStr">
        <is>
          <t>% sobre o valor de venda</t>
        </is>
      </c>
      <c r="I41" s="46" t="n"/>
      <c r="J41" s="46" t="n"/>
      <c r="K41" s="46" t="n"/>
      <c r="L41" s="46" t="n"/>
      <c r="M41" s="46" t="n"/>
      <c r="N41" s="46" t="n"/>
      <c r="O41" s="46" t="n"/>
    </row>
    <row r="42" ht="17" customHeight="1">
      <c r="A42" s="36" t="inlineStr">
        <is>
          <t>Projeto / anteprojeto (externo)</t>
        </is>
      </c>
      <c r="B42" s="37" t="n"/>
      <c r="C42" s="71" t="n"/>
      <c r="D42" s="71" t="n"/>
      <c r="E42" s="56">
        <f>IF(OR($C42="",$D42=""),"",ROUND($D42-$C42,2))</f>
        <v/>
      </c>
      <c r="F42" s="38" t="n"/>
      <c r="G42" s="72">
        <f>IF(OR($D42="",$A$13="",$A$13=0),"",$D42/$A$13)</f>
        <v/>
      </c>
      <c r="H42" s="73" t="inlineStr">
        <is>
          <t>projetista ou arquiteto contratado para o projeto</t>
        </is>
      </c>
      <c r="I42" s="46" t="n"/>
      <c r="J42" s="46" t="n"/>
      <c r="K42" s="46" t="n"/>
      <c r="L42" s="46" t="n"/>
      <c r="M42" s="46" t="n"/>
      <c r="N42" s="46" t="n"/>
      <c r="O42" s="46" t="n"/>
    </row>
    <row r="43" ht="17" customHeight="1">
      <c r="A43" s="36" t="inlineStr">
        <is>
          <t>RT do parceiro</t>
        </is>
      </c>
      <c r="B43" s="78" t="n"/>
      <c r="C43" s="56">
        <f>IF($B43="","",ROUND($B43*($C$28-SUM($C$38:$C$40)),2))</f>
        <v/>
      </c>
      <c r="D43" s="56">
        <f>IF($B43="","",ROUND($B43*($A$13-SUM($D$38:$D$40)),2))</f>
        <v/>
      </c>
      <c r="E43" s="56">
        <f>IF(OR($C43="",$D43=""),"",ROUND($D43-$C43,2))</f>
        <v/>
      </c>
      <c r="F43" s="38" t="n"/>
      <c r="G43" s="72">
        <f>IF(OR($D43="",$A$13="",$A$13=0),"",$D43/$A$13)</f>
        <v/>
      </c>
      <c r="H43" s="73" t="inlineStr">
        <is>
          <t>% sobre o líquido: venda menos impostos, máquina e taxas</t>
        </is>
      </c>
      <c r="I43" s="46" t="n"/>
      <c r="J43" s="46" t="n"/>
      <c r="K43" s="46" t="n"/>
      <c r="L43" s="46" t="n"/>
      <c r="M43" s="46" t="n"/>
      <c r="N43" s="46" t="n"/>
      <c r="O43" s="46" t="n"/>
    </row>
    <row r="44" ht="20" customHeight="1">
      <c r="A44" s="31" t="inlineStr">
        <is>
          <t>(=) SUBTOTAL DOS CUSTOS DE VENDA</t>
        </is>
      </c>
      <c r="B44" s="32" t="n"/>
      <c r="C44" s="60">
        <f>ROUND(SUM(C38:C43),2)</f>
        <v/>
      </c>
      <c r="D44" s="60">
        <f>ROUND(SUM(D38:D43),2)</f>
        <v/>
      </c>
      <c r="E44" s="60">
        <f>ROUND($D44-$C44,2)</f>
        <v/>
      </c>
      <c r="F44" s="32" t="n"/>
      <c r="G44" s="62">
        <f>IF(OR($A$13="",$A$13=0),"",$D44/$A$13)</f>
        <v/>
      </c>
      <c r="H44" s="32" t="n"/>
      <c r="I44" s="32" t="n"/>
      <c r="J44" s="32" t="n"/>
      <c r="K44" s="32" t="n"/>
      <c r="L44" s="32" t="n"/>
      <c r="M44" s="32" t="n"/>
      <c r="N44" s="32" t="n"/>
      <c r="O44" s="32" t="n"/>
    </row>
    <row r="45" ht="24" customHeight="1">
      <c r="A45" s="79" t="inlineStr">
        <is>
          <t>(=) RECEITA LÍQUIDA</t>
        </is>
      </c>
      <c r="B45" s="64" t="n"/>
      <c r="C45" s="80">
        <f>ROUND($C$28-$C$44,2)</f>
        <v/>
      </c>
      <c r="D45" s="80">
        <f>ROUND($A$13-$D$44,2)</f>
        <v/>
      </c>
      <c r="E45" s="66">
        <f>ROUND($D$45-$C$45,2)</f>
        <v/>
      </c>
      <c r="F45" s="64" t="n"/>
      <c r="G45" s="81">
        <f>IF(OR($A$13="",$A$13=0),"",$D$45/$A$13)</f>
        <v/>
      </c>
      <c r="H45" s="82" t="inlineStr">
        <is>
          <t>É esta a base das comissões: coordenação, produção, montagem e projetista</t>
        </is>
      </c>
      <c r="I45" s="64" t="n"/>
      <c r="J45" s="64" t="n"/>
      <c r="K45" s="64" t="n"/>
      <c r="L45" s="64" t="n"/>
      <c r="M45" s="64" t="n"/>
      <c r="N45" s="64" t="n"/>
      <c r="O45" s="64" t="n"/>
    </row>
    <row r="46" ht="8" customHeight="1"/>
    <row r="47" ht="20" customHeight="1">
      <c r="A47" s="8" t="inlineStr">
        <is>
          <t xml:space="preserve">  3 · AMBIENTES, PRODUÇÃO, MONTAGEM E PROJETO          cada ambiente com quem produziu, quem montou e quem projetou · a comissão incide sobre a receita líquida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</row>
    <row r="48" ht="32" customHeight="1">
      <c r="A48" s="19" t="inlineStr">
        <is>
          <t>Ambiente</t>
        </is>
      </c>
      <c r="B48" s="19" t="inlineStr">
        <is>
          <t>% do total</t>
        </is>
      </c>
      <c r="C48" s="19" t="inlineStr">
        <is>
          <t>Valor do ambiente (R$)</t>
        </is>
      </c>
      <c r="D48" s="19" t="inlineStr">
        <is>
          <t>Produção — quem</t>
        </is>
      </c>
      <c r="E48" s="19" t="inlineStr">
        <is>
          <t>%</t>
        </is>
      </c>
      <c r="F48" s="19" t="inlineStr">
        <is>
          <t>Comissão produção (R$)</t>
        </is>
      </c>
      <c r="G48" s="19" t="inlineStr">
        <is>
          <t>Fabricado em</t>
        </is>
      </c>
      <c r="H48" s="19" t="inlineStr">
        <is>
          <t>Montagem — quem</t>
        </is>
      </c>
      <c r="I48" s="19" t="inlineStr">
        <is>
          <t>%</t>
        </is>
      </c>
      <c r="J48" s="19" t="inlineStr">
        <is>
          <t>Comissão montagem (R$)</t>
        </is>
      </c>
      <c r="K48" s="19" t="inlineStr">
        <is>
          <t>Montado em</t>
        </is>
      </c>
      <c r="L48" s="19" t="inlineStr">
        <is>
          <t>Projetista — quem</t>
        </is>
      </c>
      <c r="M48" s="19" t="inlineStr">
        <is>
          <t>%</t>
        </is>
      </c>
      <c r="N48" s="19" t="inlineStr">
        <is>
          <t>Comissão projetista (R$)</t>
        </is>
      </c>
      <c r="O48" s="19" t="inlineStr">
        <is>
          <t>Total do ambiente</t>
        </is>
      </c>
    </row>
    <row r="49" ht="18" customHeight="1">
      <c r="A49" s="83" t="n"/>
      <c r="B49" s="72">
        <f>IF(OR($C49="",$A$13="",$A$13=0),"",$C49/$A$13)</f>
        <v/>
      </c>
      <c r="C49" s="76" t="n"/>
      <c r="D49" s="83" t="n"/>
      <c r="E49" s="78" t="n"/>
      <c r="F49" s="56">
        <f>IF(OR($B49="",$E49="",$D$45=""),"",ROUND($B49*$D$45*$E49,2))</f>
        <v/>
      </c>
      <c r="G49" s="84" t="n"/>
      <c r="H49" s="83" t="n"/>
      <c r="I49" s="78" t="n"/>
      <c r="J49" s="56">
        <f>IF(OR($B49="",$I49="",$D$45=""),"",ROUND($B49*$D$45*$I49,2))</f>
        <v/>
      </c>
      <c r="K49" s="84" t="n"/>
      <c r="L49" s="83" t="n"/>
      <c r="M49" s="78" t="n"/>
      <c r="N49" s="56">
        <f>IF(OR($B49="",$M49="",$D$45=""),"",ROUND($B49*$D$45*$M49,2))</f>
        <v/>
      </c>
      <c r="O49" s="85">
        <f>IF(AND($F49="",$J49="",$N49=""),"",ROUND(IF($F49="",0,$F49)+IF($J49="",0,$J49)+IF($N49="",0,$N49),2))</f>
        <v/>
      </c>
    </row>
    <row r="50" ht="18" customHeight="1">
      <c r="A50" s="83" t="n"/>
      <c r="B50" s="72">
        <f>IF(OR($C50="",$A$13="",$A$13=0),"",$C50/$A$13)</f>
        <v/>
      </c>
      <c r="C50" s="76" t="n"/>
      <c r="D50" s="83" t="n"/>
      <c r="E50" s="78" t="n"/>
      <c r="F50" s="56">
        <f>IF(OR($B50="",$E50="",$D$45=""),"",ROUND($B50*$D$45*$E50,2))</f>
        <v/>
      </c>
      <c r="G50" s="84" t="n"/>
      <c r="H50" s="83" t="n"/>
      <c r="I50" s="78" t="n"/>
      <c r="J50" s="56">
        <f>IF(OR($B50="",$I50="",$D$45=""),"",ROUND($B50*$D$45*$I50,2))</f>
        <v/>
      </c>
      <c r="K50" s="84" t="n"/>
      <c r="L50" s="83" t="n"/>
      <c r="M50" s="78" t="n"/>
      <c r="N50" s="56">
        <f>IF(OR($B50="",$M50="",$D$45=""),"",ROUND($B50*$D$45*$M50,2))</f>
        <v/>
      </c>
      <c r="O50" s="85">
        <f>IF(AND($F50="",$J50="",$N50=""),"",ROUND(IF($F50="",0,$F50)+IF($J50="",0,$J50)+IF($N50="",0,$N50),2))</f>
        <v/>
      </c>
    </row>
    <row r="51" ht="18" customHeight="1">
      <c r="A51" s="83" t="n"/>
      <c r="B51" s="72">
        <f>IF(OR($C51="",$A$13="",$A$13=0),"",$C51/$A$13)</f>
        <v/>
      </c>
      <c r="C51" s="76" t="n"/>
      <c r="D51" s="83" t="n"/>
      <c r="E51" s="78" t="n"/>
      <c r="F51" s="56">
        <f>IF(OR($B51="",$E51="",$D$45=""),"",ROUND($B51*$D$45*$E51,2))</f>
        <v/>
      </c>
      <c r="G51" s="84" t="n"/>
      <c r="H51" s="83" t="n"/>
      <c r="I51" s="78" t="n"/>
      <c r="J51" s="56">
        <f>IF(OR($B51="",$I51="",$D$45=""),"",ROUND($B51*$D$45*$I51,2))</f>
        <v/>
      </c>
      <c r="K51" s="84" t="n"/>
      <c r="L51" s="83" t="n"/>
      <c r="M51" s="78" t="n"/>
      <c r="N51" s="56">
        <f>IF(OR($B51="",$M51="",$D$45=""),"",ROUND($B51*$D$45*$M51,2))</f>
        <v/>
      </c>
      <c r="O51" s="85">
        <f>IF(AND($F51="",$J51="",$N51=""),"",ROUND(IF($F51="",0,$F51)+IF($J51="",0,$J51)+IF($N51="",0,$N51),2))</f>
        <v/>
      </c>
    </row>
    <row r="52" ht="18" customHeight="1">
      <c r="A52" s="83" t="n"/>
      <c r="B52" s="72">
        <f>IF(OR($C52="",$A$13="",$A$13=0),"",$C52/$A$13)</f>
        <v/>
      </c>
      <c r="C52" s="76" t="n"/>
      <c r="D52" s="83" t="n"/>
      <c r="E52" s="78" t="n"/>
      <c r="F52" s="56">
        <f>IF(OR($B52="",$E52="",$D$45=""),"",ROUND($B52*$D$45*$E52,2))</f>
        <v/>
      </c>
      <c r="G52" s="84" t="n"/>
      <c r="H52" s="83" t="n"/>
      <c r="I52" s="78" t="n"/>
      <c r="J52" s="56">
        <f>IF(OR($B52="",$I52="",$D$45=""),"",ROUND($B52*$D$45*$I52,2))</f>
        <v/>
      </c>
      <c r="K52" s="84" t="n"/>
      <c r="L52" s="83" t="n"/>
      <c r="M52" s="78" t="n"/>
      <c r="N52" s="56">
        <f>IF(OR($B52="",$M52="",$D$45=""),"",ROUND($B52*$D$45*$M52,2))</f>
        <v/>
      </c>
      <c r="O52" s="85">
        <f>IF(AND($F52="",$J52="",$N52=""),"",ROUND(IF($F52="",0,$F52)+IF($J52="",0,$J52)+IF($N52="",0,$N52),2))</f>
        <v/>
      </c>
    </row>
    <row r="53" ht="18" customHeight="1">
      <c r="A53" s="83" t="n"/>
      <c r="B53" s="72">
        <f>IF(OR($C53="",$A$13="",$A$13=0),"",$C53/$A$13)</f>
        <v/>
      </c>
      <c r="C53" s="76" t="n"/>
      <c r="D53" s="83" t="n"/>
      <c r="E53" s="78" t="n"/>
      <c r="F53" s="56">
        <f>IF(OR($B53="",$E53="",$D$45=""),"",ROUND($B53*$D$45*$E53,2))</f>
        <v/>
      </c>
      <c r="G53" s="84" t="n"/>
      <c r="H53" s="83" t="n"/>
      <c r="I53" s="78" t="n"/>
      <c r="J53" s="56">
        <f>IF(OR($B53="",$I53="",$D$45=""),"",ROUND($B53*$D$45*$I53,2))</f>
        <v/>
      </c>
      <c r="K53" s="84" t="n"/>
      <c r="L53" s="83" t="n"/>
      <c r="M53" s="78" t="n"/>
      <c r="N53" s="56">
        <f>IF(OR($B53="",$M53="",$D$45=""),"",ROUND($B53*$D$45*$M53,2))</f>
        <v/>
      </c>
      <c r="O53" s="85">
        <f>IF(AND($F53="",$J53="",$N53=""),"",ROUND(IF($F53="",0,$F53)+IF($J53="",0,$J53)+IF($N53="",0,$N53),2))</f>
        <v/>
      </c>
    </row>
    <row r="54" ht="18" customHeight="1">
      <c r="A54" s="83" t="n"/>
      <c r="B54" s="72">
        <f>IF(OR($C54="",$A$13="",$A$13=0),"",$C54/$A$13)</f>
        <v/>
      </c>
      <c r="C54" s="76" t="n"/>
      <c r="D54" s="83" t="n"/>
      <c r="E54" s="78" t="n"/>
      <c r="F54" s="56">
        <f>IF(OR($B54="",$E54="",$D$45=""),"",ROUND($B54*$D$45*$E54,2))</f>
        <v/>
      </c>
      <c r="G54" s="84" t="n"/>
      <c r="H54" s="83" t="n"/>
      <c r="I54" s="78" t="n"/>
      <c r="J54" s="56">
        <f>IF(OR($B54="",$I54="",$D$45=""),"",ROUND($B54*$D$45*$I54,2))</f>
        <v/>
      </c>
      <c r="K54" s="84" t="n"/>
      <c r="L54" s="83" t="n"/>
      <c r="M54" s="78" t="n"/>
      <c r="N54" s="56">
        <f>IF(OR($B54="",$M54="",$D$45=""),"",ROUND($B54*$D$45*$M54,2))</f>
        <v/>
      </c>
      <c r="O54" s="85">
        <f>IF(AND($F54="",$J54="",$N54=""),"",ROUND(IF($F54="",0,$F54)+IF($J54="",0,$J54)+IF($N54="",0,$N54),2))</f>
        <v/>
      </c>
    </row>
    <row r="55" ht="18" customHeight="1">
      <c r="A55" s="83" t="n"/>
      <c r="B55" s="72">
        <f>IF(OR($C55="",$A$13="",$A$13=0),"",$C55/$A$13)</f>
        <v/>
      </c>
      <c r="C55" s="76" t="n"/>
      <c r="D55" s="83" t="n"/>
      <c r="E55" s="78" t="n"/>
      <c r="F55" s="56">
        <f>IF(OR($B55="",$E55="",$D$45=""),"",ROUND($B55*$D$45*$E55,2))</f>
        <v/>
      </c>
      <c r="G55" s="84" t="n"/>
      <c r="H55" s="83" t="n"/>
      <c r="I55" s="78" t="n"/>
      <c r="J55" s="56">
        <f>IF(OR($B55="",$I55="",$D$45=""),"",ROUND($B55*$D$45*$I55,2))</f>
        <v/>
      </c>
      <c r="K55" s="84" t="n"/>
      <c r="L55" s="83" t="n"/>
      <c r="M55" s="78" t="n"/>
      <c r="N55" s="56">
        <f>IF(OR($B55="",$M55="",$D$45=""),"",ROUND($B55*$D$45*$M55,2))</f>
        <v/>
      </c>
      <c r="O55" s="85">
        <f>IF(AND($F55="",$J55="",$N55=""),"",ROUND(IF($F55="",0,$F55)+IF($J55="",0,$J55)+IF($N55="",0,$N55),2))</f>
        <v/>
      </c>
    </row>
    <row r="56" ht="18" customHeight="1">
      <c r="A56" s="83" t="n"/>
      <c r="B56" s="72">
        <f>IF(OR($C56="",$A$13="",$A$13=0),"",$C56/$A$13)</f>
        <v/>
      </c>
      <c r="C56" s="76" t="n"/>
      <c r="D56" s="83" t="n"/>
      <c r="E56" s="78" t="n"/>
      <c r="F56" s="56">
        <f>IF(OR($B56="",$E56="",$D$45=""),"",ROUND($B56*$D$45*$E56,2))</f>
        <v/>
      </c>
      <c r="G56" s="84" t="n"/>
      <c r="H56" s="83" t="n"/>
      <c r="I56" s="78" t="n"/>
      <c r="J56" s="56">
        <f>IF(OR($B56="",$I56="",$D$45=""),"",ROUND($B56*$D$45*$I56,2))</f>
        <v/>
      </c>
      <c r="K56" s="84" t="n"/>
      <c r="L56" s="83" t="n"/>
      <c r="M56" s="78" t="n"/>
      <c r="N56" s="56">
        <f>IF(OR($B56="",$M56="",$D$45=""),"",ROUND($B56*$D$45*$M56,2))</f>
        <v/>
      </c>
      <c r="O56" s="85">
        <f>IF(AND($F56="",$J56="",$N56=""),"",ROUND(IF($F56="",0,$F56)+IF($J56="",0,$J56)+IF($N56="",0,$N56),2))</f>
        <v/>
      </c>
    </row>
    <row r="57" ht="18" customHeight="1">
      <c r="A57" s="83" t="n"/>
      <c r="B57" s="72">
        <f>IF(OR($C57="",$A$13="",$A$13=0),"",$C57/$A$13)</f>
        <v/>
      </c>
      <c r="C57" s="76" t="n"/>
      <c r="D57" s="83" t="n"/>
      <c r="E57" s="78" t="n"/>
      <c r="F57" s="56">
        <f>IF(OR($B57="",$E57="",$D$45=""),"",ROUND($B57*$D$45*$E57,2))</f>
        <v/>
      </c>
      <c r="G57" s="84" t="n"/>
      <c r="H57" s="83" t="n"/>
      <c r="I57" s="78" t="n"/>
      <c r="J57" s="56">
        <f>IF(OR($B57="",$I57="",$D$45=""),"",ROUND($B57*$D$45*$I57,2))</f>
        <v/>
      </c>
      <c r="K57" s="84" t="n"/>
      <c r="L57" s="83" t="n"/>
      <c r="M57" s="78" t="n"/>
      <c r="N57" s="56">
        <f>IF(OR($B57="",$M57="",$D$45=""),"",ROUND($B57*$D$45*$M57,2))</f>
        <v/>
      </c>
      <c r="O57" s="85">
        <f>IF(AND($F57="",$J57="",$N57=""),"",ROUND(IF($F57="",0,$F57)+IF($J57="",0,$J57)+IF($N57="",0,$N57),2))</f>
        <v/>
      </c>
    </row>
    <row r="58" ht="18" customHeight="1">
      <c r="A58" s="83" t="n"/>
      <c r="B58" s="72">
        <f>IF(OR($C58="",$A$13="",$A$13=0),"",$C58/$A$13)</f>
        <v/>
      </c>
      <c r="C58" s="76" t="n"/>
      <c r="D58" s="83" t="n"/>
      <c r="E58" s="78" t="n"/>
      <c r="F58" s="56">
        <f>IF(OR($B58="",$E58="",$D$45=""),"",ROUND($B58*$D$45*$E58,2))</f>
        <v/>
      </c>
      <c r="G58" s="84" t="n"/>
      <c r="H58" s="83" t="n"/>
      <c r="I58" s="78" t="n"/>
      <c r="J58" s="56">
        <f>IF(OR($B58="",$I58="",$D$45=""),"",ROUND($B58*$D$45*$I58,2))</f>
        <v/>
      </c>
      <c r="K58" s="84" t="n"/>
      <c r="L58" s="83" t="n"/>
      <c r="M58" s="78" t="n"/>
      <c r="N58" s="56">
        <f>IF(OR($B58="",$M58="",$D$45=""),"",ROUND($B58*$D$45*$M58,2))</f>
        <v/>
      </c>
      <c r="O58" s="85">
        <f>IF(AND($F58="",$J58="",$N58=""),"",ROUND(IF($F58="",0,$F58)+IF($J58="",0,$J58)+IF($N58="",0,$N58),2))</f>
        <v/>
      </c>
    </row>
    <row r="59" ht="18" customHeight="1">
      <c r="A59" s="83" t="n"/>
      <c r="B59" s="72">
        <f>IF(OR($C59="",$A$13="",$A$13=0),"",$C59/$A$13)</f>
        <v/>
      </c>
      <c r="C59" s="76" t="n"/>
      <c r="D59" s="83" t="n"/>
      <c r="E59" s="78" t="n"/>
      <c r="F59" s="56">
        <f>IF(OR($B59="",$E59="",$D$45=""),"",ROUND($B59*$D$45*$E59,2))</f>
        <v/>
      </c>
      <c r="G59" s="84" t="n"/>
      <c r="H59" s="83" t="n"/>
      <c r="I59" s="78" t="n"/>
      <c r="J59" s="56">
        <f>IF(OR($B59="",$I59="",$D$45=""),"",ROUND($B59*$D$45*$I59,2))</f>
        <v/>
      </c>
      <c r="K59" s="84" t="n"/>
      <c r="L59" s="83" t="n"/>
      <c r="M59" s="78" t="n"/>
      <c r="N59" s="56">
        <f>IF(OR($B59="",$M59="",$D$45=""),"",ROUND($B59*$D$45*$M59,2))</f>
        <v/>
      </c>
      <c r="O59" s="85">
        <f>IF(AND($F59="",$J59="",$N59=""),"",ROUND(IF($F59="",0,$F59)+IF($J59="",0,$J59)+IF($N59="",0,$N59),2))</f>
        <v/>
      </c>
    </row>
    <row r="60" ht="18" customHeight="1">
      <c r="A60" s="83" t="n"/>
      <c r="B60" s="72">
        <f>IF(OR($C60="",$A$13="",$A$13=0),"",$C60/$A$13)</f>
        <v/>
      </c>
      <c r="C60" s="76" t="n"/>
      <c r="D60" s="83" t="n"/>
      <c r="E60" s="78" t="n"/>
      <c r="F60" s="56">
        <f>IF(OR($B60="",$E60="",$D$45=""),"",ROUND($B60*$D$45*$E60,2))</f>
        <v/>
      </c>
      <c r="G60" s="84" t="n"/>
      <c r="H60" s="83" t="n"/>
      <c r="I60" s="78" t="n"/>
      <c r="J60" s="56">
        <f>IF(OR($B60="",$I60="",$D$45=""),"",ROUND($B60*$D$45*$I60,2))</f>
        <v/>
      </c>
      <c r="K60" s="84" t="n"/>
      <c r="L60" s="83" t="n"/>
      <c r="M60" s="78" t="n"/>
      <c r="N60" s="56">
        <f>IF(OR($B60="",$M60="",$D$45=""),"",ROUND($B60*$D$45*$M60,2))</f>
        <v/>
      </c>
      <c r="O60" s="85">
        <f>IF(AND($F60="",$J60="",$N60=""),"",ROUND(IF($F60="",0,$F60)+IF($J60="",0,$J60)+IF($N60="",0,$N60),2))</f>
        <v/>
      </c>
    </row>
    <row r="61" ht="20" customHeight="1">
      <c r="A61" s="31" t="inlineStr">
        <is>
          <t>SOMA DOS AMBIENTES</t>
        </is>
      </c>
      <c r="B61" s="62">
        <f>IF($A$13=0,"",$C$61/$A$13)</f>
        <v/>
      </c>
      <c r="C61" s="60">
        <f>ROUND(SUM(C49:C60),2)</f>
        <v/>
      </c>
      <c r="D61" s="86">
        <f>IF($C$61=0,"—",IF(ROUND($C$61-$A$13,2)=0,"OK · os ambientes somam o valor de venda","ATENÇÃO: diferença de "&amp;TEXT($C$61-$A$13,"R$ #,##0.00")))</f>
        <v/>
      </c>
      <c r="E61" s="32" t="n"/>
      <c r="F61" s="60">
        <f>ROUND(SUM(F49:F60),2)</f>
        <v/>
      </c>
      <c r="G61" s="32" t="n"/>
      <c r="H61" s="32" t="n"/>
      <c r="I61" s="32" t="n"/>
      <c r="J61" s="60">
        <f>ROUND(SUM(J49:J60),2)</f>
        <v/>
      </c>
      <c r="K61" s="32" t="n"/>
      <c r="L61" s="32" t="n"/>
      <c r="M61" s="32" t="n"/>
      <c r="N61" s="60">
        <f>ROUND(SUM(N49:N60),2)</f>
        <v/>
      </c>
      <c r="O61" s="60">
        <f>ROUND(SUM(O49:O60),2)</f>
        <v/>
      </c>
    </row>
    <row r="62" ht="8" customHeight="1"/>
    <row r="63" ht="20" customHeight="1">
      <c r="A63" s="8" t="inlineStr">
        <is>
          <t xml:space="preserve">  4 · COMISSÕES OPERACIONAIS          calculadas sobre a RECEITA LÍQUIDA · o realizado vem dos ambientes acima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</row>
    <row r="64" ht="26" customHeight="1">
      <c r="A64" s="19" t="inlineStr">
        <is>
          <t>Item</t>
        </is>
      </c>
      <c r="B64" s="19" t="inlineStr">
        <is>
          <t>%</t>
        </is>
      </c>
      <c r="C64" s="19" t="inlineStr">
        <is>
          <t>Orçado (R$)</t>
        </is>
      </c>
      <c r="D64" s="19" t="inlineStr">
        <is>
          <t>Realizado (R$)</t>
        </is>
      </c>
      <c r="E64" s="19" t="inlineStr">
        <is>
          <t>Desvio (R$)</t>
        </is>
      </c>
      <c r="F64" s="35" t="n"/>
      <c r="G64" s="19" t="inlineStr">
        <is>
          <t>% da venda</t>
        </is>
      </c>
      <c r="H64" s="19" t="inlineStr">
        <is>
          <t>Observação</t>
        </is>
      </c>
      <c r="I64" s="35" t="n"/>
      <c r="J64" s="35" t="n"/>
      <c r="K64" s="35" t="n"/>
      <c r="L64" s="35" t="n"/>
      <c r="M64" s="35" t="n"/>
      <c r="N64" s="35" t="n"/>
      <c r="O64" s="35" t="n"/>
    </row>
    <row r="65" ht="17" customHeight="1">
      <c r="A65" s="36" t="inlineStr">
        <is>
          <t>Coordenação de produção</t>
        </is>
      </c>
      <c r="B65" s="78" t="n"/>
      <c r="C65" s="56">
        <f>IF($B65="","",ROUND($B65*$C$45,2))</f>
        <v/>
      </c>
      <c r="D65" s="56">
        <f>IF($B65="","",ROUND($B65*$D$45,2))</f>
        <v/>
      </c>
      <c r="E65" s="56">
        <f>IF(OR($C65="",$D65=""),"",ROUND($D65-$C65,2))</f>
        <v/>
      </c>
      <c r="F65" s="38" t="n"/>
      <c r="G65" s="72">
        <f>IF(OR($D65="",$A$13="",$A$13=0),"",$D65/$A$13)</f>
        <v/>
      </c>
      <c r="H65" s="73" t="inlineStr">
        <is>
          <t>quem coordena está na identificação, no topo da ficha</t>
        </is>
      </c>
      <c r="I65" s="46" t="n"/>
      <c r="J65" s="46" t="n"/>
      <c r="K65" s="46" t="n"/>
      <c r="L65" s="46" t="n"/>
      <c r="M65" s="46" t="n"/>
      <c r="N65" s="46" t="n"/>
      <c r="O65" s="46" t="n"/>
    </row>
    <row r="66" ht="17" customHeight="1">
      <c r="A66" s="36" t="inlineStr">
        <is>
          <t>Gestão técnica</t>
        </is>
      </c>
      <c r="B66" s="78" t="n">
        <v>0.005</v>
      </c>
      <c r="C66" s="56">
        <f>IF($B66="","",ROUND($B66*$C$45,2))</f>
        <v/>
      </c>
      <c r="D66" s="56">
        <f>IF($B66="","",ROUND($B66*$D$45,2))</f>
        <v/>
      </c>
      <c r="E66" s="56">
        <f>IF(OR($C66="",$D66=""),"",ROUND($D66-$C66,2))</f>
        <v/>
      </c>
      <c r="F66" s="38" t="n"/>
      <c r="G66" s="72">
        <f>IF(OR($D66="",$A$13="",$A$13=0),"",$D66/$A$13)</f>
        <v/>
      </c>
      <c r="H66" s="73" t="n"/>
      <c r="I66" s="46" t="n"/>
      <c r="J66" s="46" t="n"/>
      <c r="K66" s="46" t="n"/>
      <c r="L66" s="46" t="n"/>
      <c r="M66" s="46" t="n"/>
      <c r="N66" s="46" t="n"/>
      <c r="O66" s="46" t="n"/>
    </row>
    <row r="67" ht="17" customHeight="1">
      <c r="A67" s="36" t="inlineStr">
        <is>
          <t>Comissão de produção</t>
        </is>
      </c>
      <c r="B67" s="78" t="n"/>
      <c r="C67" s="56">
        <f>IF($B67="","",ROUND($B67*$C$45,2))</f>
        <v/>
      </c>
      <c r="D67" s="56">
        <f>IF($F$61=0,"",$F$61)</f>
        <v/>
      </c>
      <c r="E67" s="56">
        <f>IF(OR($C67="",$D67=""),"",ROUND($D67-$C67,2))</f>
        <v/>
      </c>
      <c r="F67" s="38" t="n"/>
      <c r="G67" s="72">
        <f>IF(OR($D67="",$A$13="",$A$13=0),"",$D67/$A$13)</f>
        <v/>
      </c>
      <c r="H67" s="73" t="inlineStr">
        <is>
          <t>orçado = % único estimado · realizado = soma dos ambientes</t>
        </is>
      </c>
      <c r="I67" s="46" t="n"/>
      <c r="J67" s="46" t="n"/>
      <c r="K67" s="46" t="n"/>
      <c r="L67" s="46" t="n"/>
      <c r="M67" s="46" t="n"/>
      <c r="N67" s="46" t="n"/>
      <c r="O67" s="46" t="n"/>
    </row>
    <row r="68" ht="17" customHeight="1">
      <c r="A68" s="36" t="inlineStr">
        <is>
          <t>Comissão de montagem</t>
        </is>
      </c>
      <c r="B68" s="78" t="n"/>
      <c r="C68" s="56">
        <f>IF($B68="","",ROUND($B68*$C$45,2))</f>
        <v/>
      </c>
      <c r="D68" s="56">
        <f>IF($J$61=0,"",$J$61)</f>
        <v/>
      </c>
      <c r="E68" s="56">
        <f>IF(OR($C68="",$D68=""),"",ROUND($D68-$C68,2))</f>
        <v/>
      </c>
      <c r="F68" s="38" t="n"/>
      <c r="G68" s="72">
        <f>IF(OR($D68="",$A$13="",$A$13=0),"",$D68/$A$13)</f>
        <v/>
      </c>
      <c r="H68" s="73" t="inlineStr">
        <is>
          <t>orçado = % único estimado · realizado = soma dos ambientes</t>
        </is>
      </c>
      <c r="I68" s="46" t="n"/>
      <c r="J68" s="46" t="n"/>
      <c r="K68" s="46" t="n"/>
      <c r="L68" s="46" t="n"/>
      <c r="M68" s="46" t="n"/>
      <c r="N68" s="46" t="n"/>
      <c r="O68" s="46" t="n"/>
    </row>
    <row r="69" ht="17" customHeight="1">
      <c r="A69" s="36" t="inlineStr">
        <is>
          <t>Comissão de projetista</t>
        </is>
      </c>
      <c r="B69" s="78" t="n"/>
      <c r="C69" s="56">
        <f>IF($B69="","",ROUND($B69*$C$45,2))</f>
        <v/>
      </c>
      <c r="D69" s="56">
        <f>IF($N$61=0,"",$N$61)</f>
        <v/>
      </c>
      <c r="E69" s="56">
        <f>IF(OR($C69="",$D69=""),"",ROUND($D69-$C69,2))</f>
        <v/>
      </c>
      <c r="F69" s="38" t="n"/>
      <c r="G69" s="72">
        <f>IF(OR($D69="",$A$13="",$A$13=0),"",$D69/$A$13)</f>
        <v/>
      </c>
      <c r="H69" s="73" t="inlineStr">
        <is>
          <t>quem projetou cada ambiente está na coluna L do bloco 3</t>
        </is>
      </c>
      <c r="I69" s="46" t="n"/>
      <c r="J69" s="46" t="n"/>
      <c r="K69" s="46" t="n"/>
      <c r="L69" s="46" t="n"/>
      <c r="M69" s="46" t="n"/>
      <c r="N69" s="46" t="n"/>
      <c r="O69" s="46" t="n"/>
    </row>
    <row r="70" ht="20" customHeight="1">
      <c r="A70" s="31" t="inlineStr">
        <is>
          <t>(=) SUBTOTAL DAS COMISSÕES</t>
        </is>
      </c>
      <c r="B70" s="32" t="n"/>
      <c r="C70" s="60">
        <f>ROUND(SUM(C65:C69),2)</f>
        <v/>
      </c>
      <c r="D70" s="60">
        <f>ROUND(SUM(D65:D69),2)</f>
        <v/>
      </c>
      <c r="E70" s="60">
        <f>ROUND($D70-$C70,2)</f>
        <v/>
      </c>
      <c r="F70" s="32" t="n"/>
      <c r="G70" s="62">
        <f>IF(OR($A$13="",$A$13=0),"",$D70/$A$13)</f>
        <v/>
      </c>
      <c r="H70" s="32" t="n"/>
      <c r="I70" s="32" t="n"/>
      <c r="J70" s="32" t="n"/>
      <c r="K70" s="32" t="n"/>
      <c r="L70" s="32" t="n"/>
      <c r="M70" s="32" t="n"/>
      <c r="N70" s="32" t="n"/>
      <c r="O70" s="32" t="n"/>
    </row>
    <row r="71" ht="8" customHeight="1"/>
    <row r="72" ht="20" customHeight="1">
      <c r="A72" s="8" t="inlineStr">
        <is>
          <t xml:space="preserve">  5 · COMISSÕES POR COLABORADOR          consolidado automático — quem produziu, quem montou, quem projetou e o coordenador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</row>
    <row r="73" ht="26" customHeight="1">
      <c r="A73" s="19" t="inlineStr">
        <is>
          <t>Colaborador</t>
        </is>
      </c>
      <c r="B73" s="19" t="inlineStr">
        <is>
          <t>Produção (R$)</t>
        </is>
      </c>
      <c r="C73" s="35" t="n"/>
      <c r="D73" s="19" t="inlineStr">
        <is>
          <t>Montagem (R$)</t>
        </is>
      </c>
      <c r="E73" s="35" t="n"/>
      <c r="F73" s="19" t="inlineStr">
        <is>
          <t>Projeto (R$)</t>
        </is>
      </c>
      <c r="G73" s="35" t="n"/>
      <c r="H73" s="19" t="inlineStr">
        <is>
          <t>Coordenação / Gestão técnica (R$)</t>
        </is>
      </c>
      <c r="I73" s="35" t="n"/>
      <c r="J73" s="19" t="inlineStr">
        <is>
          <t>Total no projeto (R$)</t>
        </is>
      </c>
      <c r="K73" s="35" t="n"/>
      <c r="L73" s="35" t="n"/>
      <c r="M73" s="35" t="n"/>
    </row>
    <row r="74" ht="17" customHeight="1">
      <c r="A74" s="87" t="inlineStr">
        <is>
          <t>Deivison</t>
        </is>
      </c>
      <c r="B74" s="56">
        <f>IF($A74="","",ROUND(SUMIF($D$49:$D$60,$A74,$F$49:$F$60),2))</f>
        <v/>
      </c>
      <c r="C74" s="38" t="n"/>
      <c r="D74" s="56">
        <f>IF($A74="","",ROUND(SUMIF($H$49:$H$60,$A74,$J$49:$J$60),2))</f>
        <v/>
      </c>
      <c r="E74" s="38" t="n"/>
      <c r="F74" s="56">
        <f>IF($A74="","",ROUND(SUMIF($L$49:$L$60,$A74,$N$49:$N$60),2))</f>
        <v/>
      </c>
      <c r="G74" s="38" t="n"/>
      <c r="H74" s="56">
        <f>IF($A74="","",IF($A74=$F$9,IF($D$65="",0,$D$65),0)+IF($A74=$H$66,IF($D$66="",0,$D$66),0))</f>
        <v/>
      </c>
      <c r="I74" s="38" t="n"/>
      <c r="J74" s="88">
        <f>IF($A74="","",ROUND($B74+$D74+$F74+$H74,2))</f>
        <v/>
      </c>
      <c r="K74" s="38" t="n"/>
      <c r="L74" s="38" t="n"/>
      <c r="M74" s="38" t="n"/>
    </row>
    <row r="75" ht="17" customHeight="1">
      <c r="A75" s="87" t="inlineStr">
        <is>
          <t>Ronald</t>
        </is>
      </c>
      <c r="B75" s="56">
        <f>IF($A75="","",ROUND(SUMIF($D$49:$D$60,$A75,$F$49:$F$60),2))</f>
        <v/>
      </c>
      <c r="C75" s="38" t="n"/>
      <c r="D75" s="56">
        <f>IF($A75="","",ROUND(SUMIF($H$49:$H$60,$A75,$J$49:$J$60),2))</f>
        <v/>
      </c>
      <c r="E75" s="38" t="n"/>
      <c r="F75" s="56">
        <f>IF($A75="","",ROUND(SUMIF($L$49:$L$60,$A75,$N$49:$N$60),2))</f>
        <v/>
      </c>
      <c r="G75" s="38" t="n"/>
      <c r="H75" s="56">
        <f>IF($A75="","",IF($A75=$F$9,IF($D$65="",0,$D$65),0)+IF($A75=$H$66,IF($D$66="",0,$D$66),0))</f>
        <v/>
      </c>
      <c r="I75" s="38" t="n"/>
      <c r="J75" s="88">
        <f>IF($A75="","",ROUND($B75+$D75+$F75+$H75,2))</f>
        <v/>
      </c>
      <c r="K75" s="38" t="n"/>
      <c r="L75" s="38" t="n"/>
      <c r="M75" s="38" t="n"/>
    </row>
    <row r="76" ht="17" customHeight="1">
      <c r="A76" s="87" t="inlineStr">
        <is>
          <t>Samuel</t>
        </is>
      </c>
      <c r="B76" s="56">
        <f>IF($A76="","",ROUND(SUMIF($D$49:$D$60,$A76,$F$49:$F$60),2))</f>
        <v/>
      </c>
      <c r="C76" s="38" t="n"/>
      <c r="D76" s="56">
        <f>IF($A76="","",ROUND(SUMIF($H$49:$H$60,$A76,$J$49:$J$60),2))</f>
        <v/>
      </c>
      <c r="E76" s="38" t="n"/>
      <c r="F76" s="56">
        <f>IF($A76="","",ROUND(SUMIF($L$49:$L$60,$A76,$N$49:$N$60),2))</f>
        <v/>
      </c>
      <c r="G76" s="38" t="n"/>
      <c r="H76" s="56">
        <f>IF($A76="","",IF($A76=$F$9,IF($D$65="",0,$D$65),0)+IF($A76=$H$66,IF($D$66="",0,$D$66),0))</f>
        <v/>
      </c>
      <c r="I76" s="38" t="n"/>
      <c r="J76" s="88">
        <f>IF($A76="","",ROUND($B76+$D76+$F76+$H76,2))</f>
        <v/>
      </c>
      <c r="K76" s="38" t="n"/>
      <c r="L76" s="38" t="n"/>
      <c r="M76" s="38" t="n"/>
    </row>
    <row r="77" ht="17" customHeight="1">
      <c r="A77" s="87" t="inlineStr">
        <is>
          <t>Cesar</t>
        </is>
      </c>
      <c r="B77" s="56">
        <f>IF($A77="","",ROUND(SUMIF($D$49:$D$60,$A77,$F$49:$F$60),2))</f>
        <v/>
      </c>
      <c r="C77" s="38" t="n"/>
      <c r="D77" s="56">
        <f>IF($A77="","",ROUND(SUMIF($H$49:$H$60,$A77,$J$49:$J$60),2))</f>
        <v/>
      </c>
      <c r="E77" s="38" t="n"/>
      <c r="F77" s="56">
        <f>IF($A77="","",ROUND(SUMIF($L$49:$L$60,$A77,$N$49:$N$60),2))</f>
        <v/>
      </c>
      <c r="G77" s="38" t="n"/>
      <c r="H77" s="56">
        <f>IF($A77="","",IF($A77=$F$9,IF($D$65="",0,$D$65),0)+IF($A77=$H$66,IF($D$66="",0,$D$66),0))</f>
        <v/>
      </c>
      <c r="I77" s="38" t="n"/>
      <c r="J77" s="88">
        <f>IF($A77="","",ROUND($B77+$D77+$F77+$H77,2))</f>
        <v/>
      </c>
      <c r="K77" s="38" t="n"/>
      <c r="L77" s="38" t="n"/>
      <c r="M77" s="38" t="n"/>
    </row>
    <row r="78" ht="17" customHeight="1">
      <c r="A78" s="87" t="inlineStr">
        <is>
          <t>Jhon</t>
        </is>
      </c>
      <c r="B78" s="56">
        <f>IF($A78="","",ROUND(SUMIF($D$49:$D$60,$A78,$F$49:$F$60),2))</f>
        <v/>
      </c>
      <c r="C78" s="38" t="n"/>
      <c r="D78" s="56">
        <f>IF($A78="","",ROUND(SUMIF($H$49:$H$60,$A78,$J$49:$J$60),2))</f>
        <v/>
      </c>
      <c r="E78" s="38" t="n"/>
      <c r="F78" s="56">
        <f>IF($A78="","",ROUND(SUMIF($L$49:$L$60,$A78,$N$49:$N$60),2))</f>
        <v/>
      </c>
      <c r="G78" s="38" t="n"/>
      <c r="H78" s="56">
        <f>IF($A78="","",IF($A78=$F$9,IF($D$65="",0,$D$65),0)+IF($A78=$H$66,IF($D$66="",0,$D$66),0))</f>
        <v/>
      </c>
      <c r="I78" s="38" t="n"/>
      <c r="J78" s="88">
        <f>IF($A78="","",ROUND($B78+$D78+$F78+$H78,2))</f>
        <v/>
      </c>
      <c r="K78" s="38" t="n"/>
      <c r="L78" s="38" t="n"/>
      <c r="M78" s="38" t="n"/>
    </row>
    <row r="79" ht="17" customHeight="1">
      <c r="A79" s="87" t="inlineStr">
        <is>
          <t>Joelson</t>
        </is>
      </c>
      <c r="B79" s="56">
        <f>IF($A79="","",ROUND(SUMIF($D$49:$D$60,$A79,$F$49:$F$60),2))</f>
        <v/>
      </c>
      <c r="C79" s="38" t="n"/>
      <c r="D79" s="56">
        <f>IF($A79="","",ROUND(SUMIF($H$49:$H$60,$A79,$J$49:$J$60),2))</f>
        <v/>
      </c>
      <c r="E79" s="38" t="n"/>
      <c r="F79" s="56">
        <f>IF($A79="","",ROUND(SUMIF($L$49:$L$60,$A79,$N$49:$N$60),2))</f>
        <v/>
      </c>
      <c r="G79" s="38" t="n"/>
      <c r="H79" s="56">
        <f>IF($A79="","",IF($A79=$F$9,IF($D$65="",0,$D$65),0)+IF($A79=$H$66,IF($D$66="",0,$D$66),0))</f>
        <v/>
      </c>
      <c r="I79" s="38" t="n"/>
      <c r="J79" s="88">
        <f>IF($A79="","",ROUND($B79+$D79+$F79+$H79,2))</f>
        <v/>
      </c>
      <c r="K79" s="38" t="n"/>
      <c r="L79" s="38" t="n"/>
      <c r="M79" s="38" t="n"/>
    </row>
    <row r="80" ht="17" customHeight="1">
      <c r="A80" s="87" t="inlineStr">
        <is>
          <t>Davi</t>
        </is>
      </c>
      <c r="B80" s="56">
        <f>IF($A80="","",ROUND(SUMIF($D$49:$D$60,$A80,$F$49:$F$60),2))</f>
        <v/>
      </c>
      <c r="C80" s="38" t="n"/>
      <c r="D80" s="56">
        <f>IF($A80="","",ROUND(SUMIF($H$49:$H$60,$A80,$J$49:$J$60),2))</f>
        <v/>
      </c>
      <c r="E80" s="38" t="n"/>
      <c r="F80" s="56">
        <f>IF($A80="","",ROUND(SUMIF($L$49:$L$60,$A80,$N$49:$N$60),2))</f>
        <v/>
      </c>
      <c r="G80" s="38" t="n"/>
      <c r="H80" s="56">
        <f>IF($A80="","",IF($A80=$F$9,IF($D$65="",0,$D$65),0)+IF($A80=$H$66,IF($D$66="",0,$D$66),0))</f>
        <v/>
      </c>
      <c r="I80" s="38" t="n"/>
      <c r="J80" s="88">
        <f>IF($A80="","",ROUND($B80+$D80+$F80+$H80,2))</f>
        <v/>
      </c>
      <c r="K80" s="38" t="n"/>
      <c r="L80" s="38" t="n"/>
      <c r="M80" s="38" t="n"/>
    </row>
    <row r="81" ht="17" customHeight="1">
      <c r="A81" s="87" t="inlineStr">
        <is>
          <t>Jomar</t>
        </is>
      </c>
      <c r="B81" s="56">
        <f>IF($A81="","",ROUND(SUMIF($D$49:$D$60,$A81,$F$49:$F$60),2))</f>
        <v/>
      </c>
      <c r="C81" s="38" t="n"/>
      <c r="D81" s="56">
        <f>IF($A81="","",ROUND(SUMIF($H$49:$H$60,$A81,$J$49:$J$60),2))</f>
        <v/>
      </c>
      <c r="E81" s="38" t="n"/>
      <c r="F81" s="56">
        <f>IF($A81="","",ROUND(SUMIF($L$49:$L$60,$A81,$N$49:$N$60),2))</f>
        <v/>
      </c>
      <c r="G81" s="38" t="n"/>
      <c r="H81" s="56">
        <f>IF($A81="","",IF($A81=$F$9,IF($D$65="",0,$D$65),0)+IF($A81=$H$66,IF($D$66="",0,$D$66),0))</f>
        <v/>
      </c>
      <c r="I81" s="38" t="n"/>
      <c r="J81" s="88">
        <f>IF($A81="","",ROUND($B81+$D81+$F81+$H81,2))</f>
        <v/>
      </c>
      <c r="K81" s="38" t="n"/>
      <c r="L81" s="38" t="n"/>
      <c r="M81" s="38" t="n"/>
    </row>
    <row r="82" ht="17" customHeight="1">
      <c r="A82" s="87" t="inlineStr">
        <is>
          <t>Bruno</t>
        </is>
      </c>
      <c r="B82" s="56">
        <f>IF($A82="","",ROUND(SUMIF($D$49:$D$60,$A82,$F$49:$F$60),2))</f>
        <v/>
      </c>
      <c r="C82" s="38" t="n"/>
      <c r="D82" s="56">
        <f>IF($A82="","",ROUND(SUMIF($H$49:$H$60,$A82,$J$49:$J$60),2))</f>
        <v/>
      </c>
      <c r="E82" s="38" t="n"/>
      <c r="F82" s="56">
        <f>IF($A82="","",ROUND(SUMIF($L$49:$L$60,$A82,$N$49:$N$60),2))</f>
        <v/>
      </c>
      <c r="G82" s="38" t="n"/>
      <c r="H82" s="56">
        <f>IF($A82="","",IF($A82=$F$9,IF($D$65="",0,$D$65),0)+IF($A82=$H$66,IF($D$66="",0,$D$66),0))</f>
        <v/>
      </c>
      <c r="I82" s="38" t="n"/>
      <c r="J82" s="88">
        <f>IF($A82="","",ROUND($B82+$D82+$F82+$H82,2))</f>
        <v/>
      </c>
      <c r="K82" s="38" t="n"/>
      <c r="L82" s="38" t="n"/>
      <c r="M82" s="38" t="n"/>
    </row>
    <row r="83" ht="17" customHeight="1">
      <c r="A83" s="87" t="inlineStr">
        <is>
          <t>Wallace</t>
        </is>
      </c>
      <c r="B83" s="56">
        <f>IF($A83="","",ROUND(SUMIF($D$49:$D$60,$A83,$F$49:$F$60),2))</f>
        <v/>
      </c>
      <c r="C83" s="38" t="n"/>
      <c r="D83" s="56">
        <f>IF($A83="","",ROUND(SUMIF($H$49:$H$60,$A83,$J$49:$J$60),2))</f>
        <v/>
      </c>
      <c r="E83" s="38" t="n"/>
      <c r="F83" s="56">
        <f>IF($A83="","",ROUND(SUMIF($L$49:$L$60,$A83,$N$49:$N$60),2))</f>
        <v/>
      </c>
      <c r="G83" s="38" t="n"/>
      <c r="H83" s="56">
        <f>IF($A83="","",IF($A83=$F$9,IF($D$65="",0,$D$65),0)+IF($A83=$H$66,IF($D$66="",0,$D$66),0))</f>
        <v/>
      </c>
      <c r="I83" s="38" t="n"/>
      <c r="J83" s="88">
        <f>IF($A83="","",ROUND($B83+$D83+$F83+$H83,2))</f>
        <v/>
      </c>
      <c r="K83" s="38" t="n"/>
      <c r="L83" s="38" t="n"/>
      <c r="M83" s="38" t="n"/>
    </row>
    <row r="84" ht="17" customHeight="1">
      <c r="A84" s="87" t="inlineStr">
        <is>
          <t>Douglas</t>
        </is>
      </c>
      <c r="B84" s="56">
        <f>IF($A84="","",ROUND(SUMIF($D$49:$D$60,$A84,$F$49:$F$60),2))</f>
        <v/>
      </c>
      <c r="C84" s="38" t="n"/>
      <c r="D84" s="56">
        <f>IF($A84="","",ROUND(SUMIF($H$49:$H$60,$A84,$J$49:$J$60),2))</f>
        <v/>
      </c>
      <c r="E84" s="38" t="n"/>
      <c r="F84" s="56">
        <f>IF($A84="","",ROUND(SUMIF($L$49:$L$60,$A84,$N$49:$N$60),2))</f>
        <v/>
      </c>
      <c r="G84" s="38" t="n"/>
      <c r="H84" s="56">
        <f>IF($A84="","",IF($A84=$F$9,IF($D$65="",0,$D$65),0)+IF($A84=$H$66,IF($D$66="",0,$D$66),0))</f>
        <v/>
      </c>
      <c r="I84" s="38" t="n"/>
      <c r="J84" s="88">
        <f>IF($A84="","",ROUND($B84+$D84+$F84+$H84,2))</f>
        <v/>
      </c>
      <c r="K84" s="38" t="n"/>
      <c r="L84" s="38" t="n"/>
      <c r="M84" s="38" t="n"/>
    </row>
    <row r="85" ht="17" customHeight="1">
      <c r="A85" s="87" t="inlineStr">
        <is>
          <t>Terceiro / avulso</t>
        </is>
      </c>
      <c r="B85" s="56">
        <f>IF($A85="","",ROUND(SUMIF($D$49:$D$60,$A85,$F$49:$F$60),2))</f>
        <v/>
      </c>
      <c r="C85" s="38" t="n"/>
      <c r="D85" s="56">
        <f>IF($A85="","",ROUND(SUMIF($H$49:$H$60,$A85,$J$49:$J$60),2))</f>
        <v/>
      </c>
      <c r="E85" s="38" t="n"/>
      <c r="F85" s="56">
        <f>IF($A85="","",ROUND(SUMIF($L$49:$L$60,$A85,$N$49:$N$60),2))</f>
        <v/>
      </c>
      <c r="G85" s="38" t="n"/>
      <c r="H85" s="56">
        <f>IF($A85="","",IF($A85=$F$9,IF($D$65="",0,$D$65),0)+IF($A85=$H$66,IF($D$66="",0,$D$66),0))</f>
        <v/>
      </c>
      <c r="I85" s="38" t="n"/>
      <c r="J85" s="88">
        <f>IF($A85="","",ROUND($B85+$D85+$F85+$H85,2))</f>
        <v/>
      </c>
      <c r="K85" s="38" t="n"/>
      <c r="L85" s="38" t="n"/>
      <c r="M85" s="38" t="n"/>
    </row>
    <row r="86" ht="17" customHeight="1">
      <c r="A86" s="87" t="inlineStr">
        <is>
          <t>Lorrane</t>
        </is>
      </c>
      <c r="B86" s="56">
        <f>IF($A86="","",ROUND(SUMIF($D$49:$D$60,$A86,$F$49:$F$60),2))</f>
        <v/>
      </c>
      <c r="C86" s="38" t="n"/>
      <c r="D86" s="56">
        <f>IF($A86="","",ROUND(SUMIF($H$49:$H$60,$A86,$J$49:$J$60),2))</f>
        <v/>
      </c>
      <c r="E86" s="38" t="n"/>
      <c r="F86" s="56">
        <f>IF($A86="","",ROUND(SUMIF($L$49:$L$60,$A86,$N$49:$N$60),2))</f>
        <v/>
      </c>
      <c r="G86" s="38" t="n"/>
      <c r="H86" s="56">
        <f>IF($A86="","",IF($A86=$F$9,IF($D$65="",0,$D$65),0)+IF($A86=$H$66,IF($D$66="",0,$D$66),0))</f>
        <v/>
      </c>
      <c r="I86" s="38" t="n"/>
      <c r="J86" s="88">
        <f>IF($A86="","",ROUND($B86+$D86+$F86+$H86,2))</f>
        <v/>
      </c>
      <c r="K86" s="38" t="n"/>
      <c r="L86" s="38" t="n"/>
      <c r="M86" s="38" t="n"/>
    </row>
    <row r="87" ht="17" customHeight="1">
      <c r="A87" s="87" t="inlineStr">
        <is>
          <t>Lucas</t>
        </is>
      </c>
      <c r="B87" s="56">
        <f>IF($A87="","",ROUND(SUMIF($D$49:$D$60,$A87,$F$49:$F$60),2))</f>
        <v/>
      </c>
      <c r="C87" s="38" t="n"/>
      <c r="D87" s="56">
        <f>IF($A87="","",ROUND(SUMIF($H$49:$H$60,$A87,$J$49:$J$60),2))</f>
        <v/>
      </c>
      <c r="E87" s="38" t="n"/>
      <c r="F87" s="56">
        <f>IF($A87="","",ROUND(SUMIF($L$49:$L$60,$A87,$N$49:$N$60),2))</f>
        <v/>
      </c>
      <c r="G87" s="38" t="n"/>
      <c r="H87" s="56">
        <f>IF($A87="","",IF($A87=$F$9,IF($D$65="",0,$D$65),0)+IF($A87=$H$66,IF($D$66="",0,$D$66),0))</f>
        <v/>
      </c>
      <c r="I87" s="38" t="n"/>
      <c r="J87" s="88">
        <f>IF($A87="","",ROUND($B87+$D87+$F87+$H87,2))</f>
        <v/>
      </c>
      <c r="K87" s="38" t="n"/>
      <c r="L87" s="38" t="n"/>
      <c r="M87" s="38" t="n"/>
    </row>
    <row r="88" ht="17" customHeight="1">
      <c r="A88" s="87" t="inlineStr">
        <is>
          <t>Externo / avulso</t>
        </is>
      </c>
      <c r="B88" s="56">
        <f>IF($A88="","",ROUND(SUMIF($D$49:$D$60,$A88,$F$49:$F$60),2))</f>
        <v/>
      </c>
      <c r="C88" s="38" t="n"/>
      <c r="D88" s="56">
        <f>IF($A88="","",ROUND(SUMIF($H$49:$H$60,$A88,$J$49:$J$60),2))</f>
        <v/>
      </c>
      <c r="E88" s="38" t="n"/>
      <c r="F88" s="56">
        <f>IF($A88="","",ROUND(SUMIF($L$49:$L$60,$A88,$N$49:$N$60),2))</f>
        <v/>
      </c>
      <c r="G88" s="38" t="n"/>
      <c r="H88" s="56">
        <f>IF($A88="","",IF($A88=$F$9,IF($D$65="",0,$D$65),0)+IF($A88=$H$66,IF($D$66="",0,$D$66),0))</f>
        <v/>
      </c>
      <c r="I88" s="38" t="n"/>
      <c r="J88" s="88">
        <f>IF($A88="","",ROUND($B88+$D88+$F88+$H88,2))</f>
        <v/>
      </c>
      <c r="K88" s="38" t="n"/>
      <c r="L88" s="38" t="n"/>
      <c r="M88" s="38" t="n"/>
    </row>
    <row r="89" ht="17" customHeight="1">
      <c r="A89" s="87" t="inlineStr">
        <is>
          <t>Bruna</t>
        </is>
      </c>
      <c r="B89" s="56">
        <f>IF($A89="","",ROUND(SUMIF($D$49:$D$60,$A89,$F$49:$F$60),2))</f>
        <v/>
      </c>
      <c r="C89" s="38" t="n"/>
      <c r="D89" s="56">
        <f>IF($A89="","",ROUND(SUMIF($H$49:$H$60,$A89,$J$49:$J$60),2))</f>
        <v/>
      </c>
      <c r="E89" s="38" t="n"/>
      <c r="F89" s="56">
        <f>IF($A89="","",ROUND(SUMIF($L$49:$L$60,$A89,$N$49:$N$60),2))</f>
        <v/>
      </c>
      <c r="G89" s="38" t="n"/>
      <c r="H89" s="56">
        <f>IF($A89="","",IF($A89=$F$9,IF($D$65="",0,$D$65),0)+IF($A89=$H$66,IF($D$66="",0,$D$66),0))</f>
        <v/>
      </c>
      <c r="I89" s="38" t="n"/>
      <c r="J89" s="88">
        <f>IF($A89="","",ROUND($B89+$D89+$F89+$H89,2))</f>
        <v/>
      </c>
      <c r="K89" s="38" t="n"/>
      <c r="L89" s="38" t="n"/>
      <c r="M89" s="38" t="n"/>
    </row>
    <row r="90" ht="17" customHeight="1">
      <c r="A90" s="87" t="n"/>
      <c r="B90" s="56">
        <f>IF($A90="","",ROUND(SUMIF($D$49:$D$60,$A90,$F$49:$F$60),2))</f>
        <v/>
      </c>
      <c r="C90" s="38" t="n"/>
      <c r="D90" s="56">
        <f>IF($A90="","",ROUND(SUMIF($H$49:$H$60,$A90,$J$49:$J$60),2))</f>
        <v/>
      </c>
      <c r="E90" s="38" t="n"/>
      <c r="F90" s="56">
        <f>IF($A90="","",ROUND(SUMIF($L$49:$L$60,$A90,$N$49:$N$60),2))</f>
        <v/>
      </c>
      <c r="G90" s="38" t="n"/>
      <c r="H90" s="56">
        <f>IF($A90="","",IF($A90=$F$9,IF($D$65="",0,$D$65),0)+IF($A90=$H$66,IF($D$66="",0,$D$66),0))</f>
        <v/>
      </c>
      <c r="I90" s="38" t="n"/>
      <c r="J90" s="88">
        <f>IF($A90="","",ROUND($B90+$D90+$F90+$H90,2))</f>
        <v/>
      </c>
      <c r="K90" s="38" t="n"/>
      <c r="L90" s="38" t="n"/>
      <c r="M90" s="38" t="n"/>
    </row>
    <row r="91" ht="17" customHeight="1">
      <c r="A91" s="87" t="n"/>
      <c r="B91" s="56">
        <f>IF($A91="","",ROUND(SUMIF($D$49:$D$60,$A91,$F$49:$F$60),2))</f>
        <v/>
      </c>
      <c r="C91" s="38" t="n"/>
      <c r="D91" s="56">
        <f>IF($A91="","",ROUND(SUMIF($H$49:$H$60,$A91,$J$49:$J$60),2))</f>
        <v/>
      </c>
      <c r="E91" s="38" t="n"/>
      <c r="F91" s="56">
        <f>IF($A91="","",ROUND(SUMIF($L$49:$L$60,$A91,$N$49:$N$60),2))</f>
        <v/>
      </c>
      <c r="G91" s="38" t="n"/>
      <c r="H91" s="56">
        <f>IF($A91="","",IF($A91=$F$9,IF($D$65="",0,$D$65),0)+IF($A91=$H$66,IF($D$66="",0,$D$66),0))</f>
        <v/>
      </c>
      <c r="I91" s="38" t="n"/>
      <c r="J91" s="88">
        <f>IF($A91="","",ROUND($B91+$D91+$F91+$H91,2))</f>
        <v/>
      </c>
      <c r="K91" s="38" t="n"/>
      <c r="L91" s="38" t="n"/>
      <c r="M91" s="38" t="n"/>
    </row>
    <row r="92" ht="20" customHeight="1">
      <c r="A92" s="31" t="inlineStr">
        <is>
          <t>TOTAL</t>
        </is>
      </c>
      <c r="B92" s="60">
        <f>ROUND(SUM(B74:B91),2)</f>
        <v/>
      </c>
      <c r="C92" s="32" t="n"/>
      <c r="D92" s="60">
        <f>ROUND(SUM(D74:D91),2)</f>
        <v/>
      </c>
      <c r="E92" s="32" t="n"/>
      <c r="F92" s="60">
        <f>ROUND(SUM(F74:F91),2)</f>
        <v/>
      </c>
      <c r="G92" s="32" t="n"/>
      <c r="H92" s="60">
        <f>ROUND(SUM(H74:H91),2)</f>
        <v/>
      </c>
      <c r="I92" s="32" t="n"/>
      <c r="J92" s="60">
        <f>ROUND(SUM(J74:J91),2)</f>
        <v/>
      </c>
      <c r="K92" s="32" t="n"/>
      <c r="L92" s="32" t="n"/>
      <c r="M92" s="32" t="n"/>
    </row>
    <row r="93" ht="8" customHeight="1"/>
    <row r="94" ht="20" customHeight="1">
      <c r="A94" s="8" t="inlineStr">
        <is>
          <t xml:space="preserve">  6 · MATERIAL, TERCEIRIZADOS E LOGÍSTICA          o orçado você digita · o realizado vem sozinho do livro de lançamentos, lá no fim da ficha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</row>
    <row r="95" ht="30" customHeight="1">
      <c r="A95" s="19" t="inlineStr">
        <is>
          <t>Categoria</t>
        </is>
      </c>
      <c r="B95" s="19" t="inlineStr"/>
      <c r="C95" s="19" t="inlineStr">
        <is>
          <t>Orçado (R$)</t>
        </is>
      </c>
      <c r="D95" s="19" t="inlineStr">
        <is>
          <t>Realizado (R$)</t>
        </is>
      </c>
      <c r="E95" s="19" t="inlineStr">
        <is>
          <t>Desvio (R$)</t>
        </is>
      </c>
      <c r="F95" s="35" t="n"/>
      <c r="G95" s="19" t="inlineStr">
        <is>
          <t>Ainda a comprar</t>
        </is>
      </c>
      <c r="H95" s="19" t="inlineStr">
        <is>
          <t>Comprado, ainda a pagar</t>
        </is>
      </c>
      <c r="I95" s="35" t="n"/>
      <c r="J95" s="35" t="n"/>
      <c r="K95" s="35" t="n"/>
      <c r="L95" s="35" t="n"/>
      <c r="M95" s="35" t="n"/>
      <c r="N95" s="35" t="n"/>
      <c r="O95" s="35" t="n"/>
    </row>
    <row r="96" ht="17" customHeight="1">
      <c r="A96" s="36" t="inlineStr">
        <is>
          <t>MDF e MDP</t>
        </is>
      </c>
      <c r="B96" s="37" t="n"/>
      <c r="C96" s="71" t="n"/>
      <c r="D96" s="56">
        <f>ROUND(SUMIFS($E$134:$E$193,$B$134:$B$193,$A96,$I$134:$I$193,"Comprado (a pagar)")+SUMIFS($E$134:$E$193,$B$134:$B$193,$A96,$I$134:$I$193,"Pago"),2)</f>
        <v/>
      </c>
      <c r="E96" s="56">
        <f>IF($C96="","",ROUND($D96-$C96,2))</f>
        <v/>
      </c>
      <c r="F96" s="38" t="n"/>
      <c r="G96" s="89">
        <f>ROUND(SUMIFS($E$134:$E$193,$B$134:$B$193,$A96,$I$134:$I$193,"A comprar"),2)</f>
        <v/>
      </c>
      <c r="H96" s="90">
        <f>ROUND(SUMIFS($E$134:$E$193,$B$134:$B$193,$A96,$I$134:$I$193,"Comprado (a pagar)"),2)</f>
        <v/>
      </c>
      <c r="I96" s="38" t="n"/>
      <c r="J96" s="38" t="n"/>
      <c r="K96" s="38" t="n"/>
      <c r="L96" s="38" t="n"/>
      <c r="M96" s="38" t="n"/>
      <c r="N96" s="38" t="n"/>
      <c r="O96" s="38" t="n"/>
    </row>
    <row r="97" ht="17" customHeight="1">
      <c r="A97" s="36" t="inlineStr">
        <is>
          <t>Fita de borda</t>
        </is>
      </c>
      <c r="B97" s="37" t="n"/>
      <c r="C97" s="71" t="n"/>
      <c r="D97" s="56">
        <f>ROUND(SUMIFS($E$134:$E$193,$B$134:$B$193,$A97,$I$134:$I$193,"Comprado (a pagar)")+SUMIFS($E$134:$E$193,$B$134:$B$193,$A97,$I$134:$I$193,"Pago"),2)</f>
        <v/>
      </c>
      <c r="E97" s="56">
        <f>IF($C97="","",ROUND($D97-$C97,2))</f>
        <v/>
      </c>
      <c r="F97" s="38" t="n"/>
      <c r="G97" s="89">
        <f>ROUND(SUMIFS($E$134:$E$193,$B$134:$B$193,$A97,$I$134:$I$193,"A comprar"),2)</f>
        <v/>
      </c>
      <c r="H97" s="90">
        <f>ROUND(SUMIFS($E$134:$E$193,$B$134:$B$193,$A97,$I$134:$I$193,"Comprado (a pagar)"),2)</f>
        <v/>
      </c>
      <c r="I97" s="38" t="n"/>
      <c r="J97" s="38" t="n"/>
      <c r="K97" s="38" t="n"/>
      <c r="L97" s="38" t="n"/>
      <c r="M97" s="38" t="n"/>
      <c r="N97" s="38" t="n"/>
      <c r="O97" s="38" t="n"/>
    </row>
    <row r="98" ht="17" customHeight="1">
      <c r="A98" s="36" t="inlineStr">
        <is>
          <t>Ferragens</t>
        </is>
      </c>
      <c r="B98" s="37" t="n"/>
      <c r="C98" s="71" t="n"/>
      <c r="D98" s="56">
        <f>ROUND(SUMIFS($E$134:$E$193,$B$134:$B$193,$A98,$I$134:$I$193,"Comprado (a pagar)")+SUMIFS($E$134:$E$193,$B$134:$B$193,$A98,$I$134:$I$193,"Pago"),2)</f>
        <v/>
      </c>
      <c r="E98" s="56">
        <f>IF($C98="","",ROUND($D98-$C98,2))</f>
        <v/>
      </c>
      <c r="F98" s="38" t="n"/>
      <c r="G98" s="89">
        <f>ROUND(SUMIFS($E$134:$E$193,$B$134:$B$193,$A98,$I$134:$I$193,"A comprar"),2)</f>
        <v/>
      </c>
      <c r="H98" s="90">
        <f>ROUND(SUMIFS($E$134:$E$193,$B$134:$B$193,$A98,$I$134:$I$193,"Comprado (a pagar)"),2)</f>
        <v/>
      </c>
      <c r="I98" s="38" t="n"/>
      <c r="J98" s="38" t="n"/>
      <c r="K98" s="38" t="n"/>
      <c r="L98" s="38" t="n"/>
      <c r="M98" s="38" t="n"/>
      <c r="N98" s="38" t="n"/>
      <c r="O98" s="38" t="n"/>
    </row>
    <row r="99" ht="17" customHeight="1">
      <c r="A99" s="36" t="inlineStr">
        <is>
          <t>Vidros e espelhos</t>
        </is>
      </c>
      <c r="B99" s="37" t="n"/>
      <c r="C99" s="71" t="n"/>
      <c r="D99" s="56">
        <f>ROUND(SUMIFS($E$134:$E$193,$B$134:$B$193,$A99,$I$134:$I$193,"Comprado (a pagar)")+SUMIFS($E$134:$E$193,$B$134:$B$193,$A99,$I$134:$I$193,"Pago"),2)</f>
        <v/>
      </c>
      <c r="E99" s="56">
        <f>IF($C99="","",ROUND($D99-$C99,2))</f>
        <v/>
      </c>
      <c r="F99" s="38" t="n"/>
      <c r="G99" s="89">
        <f>ROUND(SUMIFS($E$134:$E$193,$B$134:$B$193,$A99,$I$134:$I$193,"A comprar"),2)</f>
        <v/>
      </c>
      <c r="H99" s="90">
        <f>ROUND(SUMIFS($E$134:$E$193,$B$134:$B$193,$A99,$I$134:$I$193,"Comprado (a pagar)"),2)</f>
        <v/>
      </c>
      <c r="I99" s="38" t="n"/>
      <c r="J99" s="38" t="n"/>
      <c r="K99" s="38" t="n"/>
      <c r="L99" s="38" t="n"/>
      <c r="M99" s="38" t="n"/>
      <c r="N99" s="38" t="n"/>
      <c r="O99" s="38" t="n"/>
    </row>
    <row r="100" ht="17" customHeight="1">
      <c r="A100" s="36" t="inlineStr">
        <is>
          <t>Esquadrias</t>
        </is>
      </c>
      <c r="B100" s="37" t="n"/>
      <c r="C100" s="71" t="n"/>
      <c r="D100" s="56">
        <f>ROUND(SUMIFS($E$134:$E$193,$B$134:$B$193,$A100,$I$134:$I$193,"Comprado (a pagar)")+SUMIFS($E$134:$E$193,$B$134:$B$193,$A100,$I$134:$I$193,"Pago"),2)</f>
        <v/>
      </c>
      <c r="E100" s="56">
        <f>IF($C100="","",ROUND($D100-$C100,2))</f>
        <v/>
      </c>
      <c r="F100" s="38" t="n"/>
      <c r="G100" s="89">
        <f>ROUND(SUMIFS($E$134:$E$193,$B$134:$B$193,$A100,$I$134:$I$193,"A comprar"),2)</f>
        <v/>
      </c>
      <c r="H100" s="90">
        <f>ROUND(SUMIFS($E$134:$E$193,$B$134:$B$193,$A100,$I$134:$I$193,"Comprado (a pagar)"),2)</f>
        <v/>
      </c>
      <c r="I100" s="38" t="n"/>
      <c r="J100" s="38" t="n"/>
      <c r="K100" s="38" t="n"/>
      <c r="L100" s="38" t="n"/>
      <c r="M100" s="38" t="n"/>
      <c r="N100" s="38" t="n"/>
      <c r="O100" s="38" t="n"/>
    </row>
    <row r="101" ht="17" customHeight="1">
      <c r="A101" s="36" t="inlineStr">
        <is>
          <t>Lâmina natural</t>
        </is>
      </c>
      <c r="B101" s="37" t="n"/>
      <c r="C101" s="71" t="n"/>
      <c r="D101" s="56">
        <f>ROUND(SUMIFS($E$134:$E$193,$B$134:$B$193,$A101,$I$134:$I$193,"Comprado (a pagar)")+SUMIFS($E$134:$E$193,$B$134:$B$193,$A101,$I$134:$I$193,"Pago"),2)</f>
        <v/>
      </c>
      <c r="E101" s="56">
        <f>IF($C101="","",ROUND($D101-$C101,2))</f>
        <v/>
      </c>
      <c r="F101" s="38" t="n"/>
      <c r="G101" s="89">
        <f>ROUND(SUMIFS($E$134:$E$193,$B$134:$B$193,$A101,$I$134:$I$193,"A comprar"),2)</f>
        <v/>
      </c>
      <c r="H101" s="90">
        <f>ROUND(SUMIFS($E$134:$E$193,$B$134:$B$193,$A101,$I$134:$I$193,"Comprado (a pagar)"),2)</f>
        <v/>
      </c>
      <c r="I101" s="38" t="n"/>
      <c r="J101" s="38" t="n"/>
      <c r="K101" s="38" t="n"/>
      <c r="L101" s="38" t="n"/>
      <c r="M101" s="38" t="n"/>
      <c r="N101" s="38" t="n"/>
      <c r="O101" s="38" t="n"/>
    </row>
    <row r="102" ht="17" customHeight="1">
      <c r="A102" s="36" t="inlineStr">
        <is>
          <t>Consumíveis</t>
        </is>
      </c>
      <c r="B102" s="37" t="n"/>
      <c r="C102" s="71" t="n"/>
      <c r="D102" s="56">
        <f>ROUND(SUMIFS($E$134:$E$193,$B$134:$B$193,$A102,$I$134:$I$193,"Comprado (a pagar)")+SUMIFS($E$134:$E$193,$B$134:$B$193,$A102,$I$134:$I$193,"Pago"),2)</f>
        <v/>
      </c>
      <c r="E102" s="56">
        <f>IF($C102="","",ROUND($D102-$C102,2))</f>
        <v/>
      </c>
      <c r="F102" s="38" t="n"/>
      <c r="G102" s="89">
        <f>ROUND(SUMIFS($E$134:$E$193,$B$134:$B$193,$A102,$I$134:$I$193,"A comprar"),2)</f>
        <v/>
      </c>
      <c r="H102" s="90">
        <f>ROUND(SUMIFS($E$134:$E$193,$B$134:$B$193,$A102,$I$134:$I$193,"Comprado (a pagar)"),2)</f>
        <v/>
      </c>
      <c r="I102" s="38" t="n"/>
      <c r="J102" s="38" t="n"/>
      <c r="K102" s="38" t="n"/>
      <c r="L102" s="38" t="n"/>
      <c r="M102" s="38" t="n"/>
      <c r="N102" s="38" t="n"/>
      <c r="O102" s="38" t="n"/>
    </row>
    <row r="103" ht="20" customHeight="1">
      <c r="A103" s="31" t="inlineStr">
        <is>
          <t>(=) SUBTOTAL · MATERIAL</t>
        </is>
      </c>
      <c r="B103" s="32" t="n"/>
      <c r="C103" s="60">
        <f>ROUND(SUM(C96:C102),2)</f>
        <v/>
      </c>
      <c r="D103" s="60">
        <f>ROUND(SUM(D96:D102),2)</f>
        <v/>
      </c>
      <c r="E103" s="60">
        <f>ROUND(SUM(E96:E102),2)</f>
        <v/>
      </c>
      <c r="F103" s="32" t="n"/>
      <c r="G103" s="60">
        <f>ROUND(SUM(G96:G102),2)</f>
        <v/>
      </c>
      <c r="H103" s="60">
        <f>ROUND(SUM(H96:H102),2)</f>
        <v/>
      </c>
      <c r="I103" s="32" t="n"/>
      <c r="J103" s="32" t="n"/>
      <c r="K103" s="32" t="n"/>
      <c r="L103" s="32" t="n"/>
      <c r="M103" s="32" t="n"/>
      <c r="N103" s="32" t="n"/>
      <c r="O103" s="32" t="n"/>
    </row>
    <row r="104" ht="17" customHeight="1">
      <c r="A104" s="36" t="inlineStr">
        <is>
          <t>Acabamento</t>
        </is>
      </c>
      <c r="B104" s="37" t="n"/>
      <c r="C104" s="71" t="n"/>
      <c r="D104" s="56">
        <f>ROUND(SUMIFS($E$134:$E$193,$B$134:$B$193,$A104,$I$134:$I$193,"Comprado (a pagar)")+SUMIFS($E$134:$E$193,$B$134:$B$193,$A104,$I$134:$I$193,"Pago"),2)</f>
        <v/>
      </c>
      <c r="E104" s="56">
        <f>IF($C104="","",ROUND($D104-$C104,2))</f>
        <v/>
      </c>
      <c r="F104" s="38" t="n"/>
      <c r="G104" s="89">
        <f>ROUND(SUMIFS($E$134:$E$193,$B$134:$B$193,$A104,$I$134:$I$193,"A comprar"),2)</f>
        <v/>
      </c>
      <c r="H104" s="90">
        <f>ROUND(SUMIFS($E$134:$E$193,$B$134:$B$193,$A104,$I$134:$I$193,"Comprado (a pagar)"),2)</f>
        <v/>
      </c>
      <c r="I104" s="38" t="n"/>
      <c r="J104" s="38" t="n"/>
      <c r="K104" s="38" t="n"/>
      <c r="L104" s="38" t="n"/>
      <c r="M104" s="38" t="n"/>
      <c r="N104" s="38" t="n"/>
      <c r="O104" s="38" t="n"/>
    </row>
    <row r="105" ht="17" customHeight="1">
      <c r="A105" s="36" t="inlineStr">
        <is>
          <t>Serralheria</t>
        </is>
      </c>
      <c r="B105" s="37" t="n"/>
      <c r="C105" s="71" t="n"/>
      <c r="D105" s="56">
        <f>ROUND(SUMIFS($E$134:$E$193,$B$134:$B$193,$A105,$I$134:$I$193,"Comprado (a pagar)")+SUMIFS($E$134:$E$193,$B$134:$B$193,$A105,$I$134:$I$193,"Pago"),2)</f>
        <v/>
      </c>
      <c r="E105" s="56">
        <f>IF($C105="","",ROUND($D105-$C105,2))</f>
        <v/>
      </c>
      <c r="F105" s="38" t="n"/>
      <c r="G105" s="89">
        <f>ROUND(SUMIFS($E$134:$E$193,$B$134:$B$193,$A105,$I$134:$I$193,"A comprar"),2)</f>
        <v/>
      </c>
      <c r="H105" s="90">
        <f>ROUND(SUMIFS($E$134:$E$193,$B$134:$B$193,$A105,$I$134:$I$193,"Comprado (a pagar)"),2)</f>
        <v/>
      </c>
      <c r="I105" s="38" t="n"/>
      <c r="J105" s="38" t="n"/>
      <c r="K105" s="38" t="n"/>
      <c r="L105" s="38" t="n"/>
      <c r="M105" s="38" t="n"/>
      <c r="N105" s="38" t="n"/>
      <c r="O105" s="38" t="n"/>
    </row>
    <row r="106" ht="17" customHeight="1">
      <c r="A106" s="36" t="inlineStr">
        <is>
          <t>Vidraceiro</t>
        </is>
      </c>
      <c r="B106" s="37" t="n"/>
      <c r="C106" s="71" t="n"/>
      <c r="D106" s="56">
        <f>ROUND(SUMIFS($E$134:$E$193,$B$134:$B$193,$A106,$I$134:$I$193,"Comprado (a pagar)")+SUMIFS($E$134:$E$193,$B$134:$B$193,$A106,$I$134:$I$193,"Pago"),2)</f>
        <v/>
      </c>
      <c r="E106" s="56">
        <f>IF($C106="","",ROUND($D106-$C106,2))</f>
        <v/>
      </c>
      <c r="F106" s="38" t="n"/>
      <c r="G106" s="89">
        <f>ROUND(SUMIFS($E$134:$E$193,$B$134:$B$193,$A106,$I$134:$I$193,"A comprar"),2)</f>
        <v/>
      </c>
      <c r="H106" s="90">
        <f>ROUND(SUMIFS($E$134:$E$193,$B$134:$B$193,$A106,$I$134:$I$193,"Comprado (a pagar)"),2)</f>
        <v/>
      </c>
      <c r="I106" s="38" t="n"/>
      <c r="J106" s="38" t="n"/>
      <c r="K106" s="38" t="n"/>
      <c r="L106" s="38" t="n"/>
      <c r="M106" s="38" t="n"/>
      <c r="N106" s="38" t="n"/>
      <c r="O106" s="38" t="n"/>
    </row>
    <row r="107" ht="17" customHeight="1">
      <c r="A107" s="36" t="inlineStr">
        <is>
          <t>Outro terceirizado</t>
        </is>
      </c>
      <c r="B107" s="37" t="n"/>
      <c r="C107" s="71" t="n"/>
      <c r="D107" s="56">
        <f>ROUND(SUMIFS($E$134:$E$193,$B$134:$B$193,$A107,$I$134:$I$193,"Comprado (a pagar)")+SUMIFS($E$134:$E$193,$B$134:$B$193,$A107,$I$134:$I$193,"Pago"),2)</f>
        <v/>
      </c>
      <c r="E107" s="56">
        <f>IF($C107="","",ROUND($D107-$C107,2))</f>
        <v/>
      </c>
      <c r="F107" s="38" t="n"/>
      <c r="G107" s="89">
        <f>ROUND(SUMIFS($E$134:$E$193,$B$134:$B$193,$A107,$I$134:$I$193,"A comprar"),2)</f>
        <v/>
      </c>
      <c r="H107" s="90">
        <f>ROUND(SUMIFS($E$134:$E$193,$B$134:$B$193,$A107,$I$134:$I$193,"Comprado (a pagar)"),2)</f>
        <v/>
      </c>
      <c r="I107" s="38" t="n"/>
      <c r="J107" s="38" t="n"/>
      <c r="K107" s="38" t="n"/>
      <c r="L107" s="38" t="n"/>
      <c r="M107" s="38" t="n"/>
      <c r="N107" s="38" t="n"/>
      <c r="O107" s="38" t="n"/>
    </row>
    <row r="108" ht="20" customHeight="1">
      <c r="A108" s="31" t="inlineStr">
        <is>
          <t>(=) SUBTOTAL · SERVIÇOS TERCEIRIZADOS</t>
        </is>
      </c>
      <c r="B108" s="32" t="n"/>
      <c r="C108" s="60">
        <f>ROUND(SUM(C104:C107),2)</f>
        <v/>
      </c>
      <c r="D108" s="60">
        <f>ROUND(SUM(D104:D107),2)</f>
        <v/>
      </c>
      <c r="E108" s="60">
        <f>ROUND(SUM(E104:E107),2)</f>
        <v/>
      </c>
      <c r="F108" s="32" t="n"/>
      <c r="G108" s="60">
        <f>ROUND(SUM(G104:G107),2)</f>
        <v/>
      </c>
      <c r="H108" s="60">
        <f>ROUND(SUM(H104:H107),2)</f>
        <v/>
      </c>
      <c r="I108" s="32" t="n"/>
      <c r="J108" s="32" t="n"/>
      <c r="K108" s="32" t="n"/>
      <c r="L108" s="32" t="n"/>
      <c r="M108" s="32" t="n"/>
      <c r="N108" s="32" t="n"/>
      <c r="O108" s="32" t="n"/>
    </row>
    <row r="109" ht="17" customHeight="1">
      <c r="A109" s="36" t="inlineStr">
        <is>
          <t>Uber e aplicativo</t>
        </is>
      </c>
      <c r="B109" s="37" t="n"/>
      <c r="C109" s="71" t="n"/>
      <c r="D109" s="56">
        <f>ROUND(SUMIFS($E$134:$E$193,$B$134:$B$193,$A109,$I$134:$I$193,"Comprado (a pagar)")+SUMIFS($E$134:$E$193,$B$134:$B$193,$A109,$I$134:$I$193,"Pago"),2)</f>
        <v/>
      </c>
      <c r="E109" s="56">
        <f>IF($C109="","",ROUND($D109-$C109,2))</f>
        <v/>
      </c>
      <c r="F109" s="38" t="n"/>
      <c r="G109" s="89">
        <f>ROUND(SUMIFS($E$134:$E$193,$B$134:$B$193,$A109,$I$134:$I$193,"A comprar"),2)</f>
        <v/>
      </c>
      <c r="H109" s="90">
        <f>ROUND(SUMIFS($E$134:$E$193,$B$134:$B$193,$A109,$I$134:$I$193,"Comprado (a pagar)"),2)</f>
        <v/>
      </c>
      <c r="I109" s="38" t="n"/>
      <c r="J109" s="38" t="n"/>
      <c r="K109" s="38" t="n"/>
      <c r="L109" s="38" t="n"/>
      <c r="M109" s="38" t="n"/>
      <c r="N109" s="38" t="n"/>
      <c r="O109" s="38" t="n"/>
    </row>
    <row r="110" ht="17" customHeight="1">
      <c r="A110" s="36" t="inlineStr">
        <is>
          <t>Carreto e entrega</t>
        </is>
      </c>
      <c r="B110" s="37" t="n"/>
      <c r="C110" s="71" t="n"/>
      <c r="D110" s="56">
        <f>ROUND(SUMIFS($E$134:$E$193,$B$134:$B$193,$A110,$I$134:$I$193,"Comprado (a pagar)")+SUMIFS($E$134:$E$193,$B$134:$B$193,$A110,$I$134:$I$193,"Pago"),2)</f>
        <v/>
      </c>
      <c r="E110" s="56">
        <f>IF($C110="","",ROUND($D110-$C110,2))</f>
        <v/>
      </c>
      <c r="F110" s="38" t="n"/>
      <c r="G110" s="89">
        <f>ROUND(SUMIFS($E$134:$E$193,$B$134:$B$193,$A110,$I$134:$I$193,"A comprar"),2)</f>
        <v/>
      </c>
      <c r="H110" s="90">
        <f>ROUND(SUMIFS($E$134:$E$193,$B$134:$B$193,$A110,$I$134:$I$193,"Comprado (a pagar)"),2)</f>
        <v/>
      </c>
      <c r="I110" s="38" t="n"/>
      <c r="J110" s="38" t="n"/>
      <c r="K110" s="38" t="n"/>
      <c r="L110" s="38" t="n"/>
      <c r="M110" s="38" t="n"/>
      <c r="N110" s="38" t="n"/>
      <c r="O110" s="38" t="n"/>
    </row>
    <row r="111" ht="17" customHeight="1">
      <c r="A111" s="36" t="inlineStr">
        <is>
          <t>Deslocamento da equipe</t>
        </is>
      </c>
      <c r="B111" s="37" t="n"/>
      <c r="C111" s="71" t="n"/>
      <c r="D111" s="56">
        <f>ROUND(SUMIFS($E$134:$E$193,$B$134:$B$193,$A111,$I$134:$I$193,"Comprado (a pagar)")+SUMIFS($E$134:$E$193,$B$134:$B$193,$A111,$I$134:$I$193,"Pago"),2)</f>
        <v/>
      </c>
      <c r="E111" s="56">
        <f>IF($C111="","",ROUND($D111-$C111,2))</f>
        <v/>
      </c>
      <c r="F111" s="38" t="n"/>
      <c r="G111" s="89">
        <f>ROUND(SUMIFS($E$134:$E$193,$B$134:$B$193,$A111,$I$134:$I$193,"A comprar"),2)</f>
        <v/>
      </c>
      <c r="H111" s="90">
        <f>ROUND(SUMIFS($E$134:$E$193,$B$134:$B$193,$A111,$I$134:$I$193,"Comprado (a pagar)"),2)</f>
        <v/>
      </c>
      <c r="I111" s="38" t="n"/>
      <c r="J111" s="38" t="n"/>
      <c r="K111" s="38" t="n"/>
      <c r="L111" s="38" t="n"/>
      <c r="M111" s="38" t="n"/>
      <c r="N111" s="38" t="n"/>
      <c r="O111" s="38" t="n"/>
    </row>
    <row r="112" ht="17" customHeight="1">
      <c r="A112" s="36" t="inlineStr">
        <is>
          <t>Frete de material</t>
        </is>
      </c>
      <c r="B112" s="37" t="n"/>
      <c r="C112" s="71" t="n"/>
      <c r="D112" s="56">
        <f>ROUND(SUMIFS($E$134:$E$193,$B$134:$B$193,$A112,$I$134:$I$193,"Comprado (a pagar)")+SUMIFS($E$134:$E$193,$B$134:$B$193,$A112,$I$134:$I$193,"Pago"),2)</f>
        <v/>
      </c>
      <c r="E112" s="56">
        <f>IF($C112="","",ROUND($D112-$C112,2))</f>
        <v/>
      </c>
      <c r="F112" s="38" t="n"/>
      <c r="G112" s="89">
        <f>ROUND(SUMIFS($E$134:$E$193,$B$134:$B$193,$A112,$I$134:$I$193,"A comprar"),2)</f>
        <v/>
      </c>
      <c r="H112" s="90">
        <f>ROUND(SUMIFS($E$134:$E$193,$B$134:$B$193,$A112,$I$134:$I$193,"Comprado (a pagar)"),2)</f>
        <v/>
      </c>
      <c r="I112" s="38" t="n"/>
      <c r="J112" s="38" t="n"/>
      <c r="K112" s="38" t="n"/>
      <c r="L112" s="38" t="n"/>
      <c r="M112" s="38" t="n"/>
      <c r="N112" s="38" t="n"/>
      <c r="O112" s="38" t="n"/>
    </row>
    <row r="113" ht="17" customHeight="1">
      <c r="A113" s="36" t="inlineStr">
        <is>
          <t>Estacionamento e pedágio</t>
        </is>
      </c>
      <c r="B113" s="37" t="n"/>
      <c r="C113" s="71" t="n"/>
      <c r="D113" s="56">
        <f>ROUND(SUMIFS($E$134:$E$193,$B$134:$B$193,$A113,$I$134:$I$193,"Comprado (a pagar)")+SUMIFS($E$134:$E$193,$B$134:$B$193,$A113,$I$134:$I$193,"Pago"),2)</f>
        <v/>
      </c>
      <c r="E113" s="56">
        <f>IF($C113="","",ROUND($D113-$C113,2))</f>
        <v/>
      </c>
      <c r="F113" s="38" t="n"/>
      <c r="G113" s="89">
        <f>ROUND(SUMIFS($E$134:$E$193,$B$134:$B$193,$A113,$I$134:$I$193,"A comprar"),2)</f>
        <v/>
      </c>
      <c r="H113" s="90">
        <f>ROUND(SUMIFS($E$134:$E$193,$B$134:$B$193,$A113,$I$134:$I$193,"Comprado (a pagar)"),2)</f>
        <v/>
      </c>
      <c r="I113" s="38" t="n"/>
      <c r="J113" s="38" t="n"/>
      <c r="K113" s="38" t="n"/>
      <c r="L113" s="38" t="n"/>
      <c r="M113" s="38" t="n"/>
      <c r="N113" s="38" t="n"/>
      <c r="O113" s="38" t="n"/>
    </row>
    <row r="114" ht="20" customHeight="1">
      <c r="A114" s="31" t="inlineStr">
        <is>
          <t>(=) SUBTOTAL · LOGÍSTICA</t>
        </is>
      </c>
      <c r="B114" s="32" t="n"/>
      <c r="C114" s="60">
        <f>ROUND(SUM(C109:C113),2)</f>
        <v/>
      </c>
      <c r="D114" s="60">
        <f>ROUND(SUM(D109:D113),2)</f>
        <v/>
      </c>
      <c r="E114" s="60">
        <f>ROUND(SUM(E109:E113),2)</f>
        <v/>
      </c>
      <c r="F114" s="32" t="n"/>
      <c r="G114" s="60">
        <f>ROUND(SUM(G109:G113),2)</f>
        <v/>
      </c>
      <c r="H114" s="60">
        <f>ROUND(SUM(H109:H113),2)</f>
        <v/>
      </c>
      <c r="I114" s="32" t="n"/>
      <c r="J114" s="32" t="n"/>
      <c r="K114" s="32" t="n"/>
      <c r="L114" s="32" t="n"/>
      <c r="M114" s="32" t="n"/>
      <c r="N114" s="32" t="n"/>
      <c r="O114" s="32" t="n"/>
    </row>
    <row r="115" ht="8" customHeight="1"/>
    <row r="116" ht="20" customHeight="1">
      <c r="A116" s="8" t="inlineStr">
        <is>
          <t xml:space="preserve">  7 · RETRABALHO          o que aconteceu, por que aconteceu e quanto custou — é aqui que o orçamento aprende</t>
        </is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</row>
    <row r="117" ht="26" customHeight="1">
      <c r="A117" s="19" t="inlineStr">
        <is>
          <t>O que aconteceu</t>
        </is>
      </c>
      <c r="B117" s="19" t="inlineStr">
        <is>
          <t>Causa</t>
        </is>
      </c>
      <c r="C117" s="35" t="n"/>
      <c r="D117" s="35" t="n"/>
      <c r="E117" s="19" t="inlineStr">
        <is>
          <t>Custo estimado (R$)</t>
        </is>
      </c>
      <c r="F117" s="35" t="n"/>
      <c r="G117" s="19" t="inlineStr">
        <is>
          <t>Providência / responsável</t>
        </is>
      </c>
      <c r="H117" s="35" t="n"/>
      <c r="I117" s="35" t="n"/>
      <c r="J117" s="35" t="n"/>
      <c r="K117" s="35" t="n"/>
      <c r="L117" s="35" t="n"/>
      <c r="M117" s="35" t="n"/>
      <c r="N117" s="35" t="n"/>
      <c r="O117" s="35" t="n"/>
    </row>
    <row r="118" ht="18" customHeight="1">
      <c r="A118" s="83" t="n"/>
      <c r="B118" s="83" t="n"/>
      <c r="C118" s="46" t="n"/>
      <c r="D118" s="46" t="n"/>
      <c r="E118" s="91" t="n"/>
      <c r="F118" s="46" t="n"/>
      <c r="G118" s="73" t="n"/>
      <c r="H118" s="46" t="n"/>
      <c r="I118" s="46" t="n"/>
      <c r="J118" s="46" t="n"/>
      <c r="K118" s="46" t="n"/>
      <c r="L118" s="46" t="n"/>
      <c r="M118" s="46" t="n"/>
      <c r="N118" s="46" t="n"/>
      <c r="O118" s="46" t="n"/>
    </row>
    <row r="119" ht="18" customHeight="1">
      <c r="A119" s="83" t="n"/>
      <c r="B119" s="83" t="n"/>
      <c r="C119" s="46" t="n"/>
      <c r="D119" s="46" t="n"/>
      <c r="E119" s="91" t="n"/>
      <c r="F119" s="46" t="n"/>
      <c r="G119" s="73" t="n"/>
      <c r="H119" s="46" t="n"/>
      <c r="I119" s="46" t="n"/>
      <c r="J119" s="46" t="n"/>
      <c r="K119" s="46" t="n"/>
      <c r="L119" s="46" t="n"/>
      <c r="M119" s="46" t="n"/>
      <c r="N119" s="46" t="n"/>
      <c r="O119" s="46" t="n"/>
    </row>
    <row r="120" ht="18" customHeight="1">
      <c r="A120" s="83" t="n"/>
      <c r="B120" s="83" t="n"/>
      <c r="C120" s="46" t="n"/>
      <c r="D120" s="46" t="n"/>
      <c r="E120" s="91" t="n"/>
      <c r="F120" s="46" t="n"/>
      <c r="G120" s="73" t="n"/>
      <c r="H120" s="46" t="n"/>
      <c r="I120" s="46" t="n"/>
      <c r="J120" s="46" t="n"/>
      <c r="K120" s="46" t="n"/>
      <c r="L120" s="46" t="n"/>
      <c r="M120" s="46" t="n"/>
      <c r="N120" s="46" t="n"/>
      <c r="O120" s="46" t="n"/>
    </row>
    <row r="121" ht="18" customHeight="1">
      <c r="A121" s="83" t="n"/>
      <c r="B121" s="83" t="n"/>
      <c r="C121" s="46" t="n"/>
      <c r="D121" s="46" t="n"/>
      <c r="E121" s="91" t="n"/>
      <c r="F121" s="46" t="n"/>
      <c r="G121" s="73" t="n"/>
      <c r="H121" s="46" t="n"/>
      <c r="I121" s="46" t="n"/>
      <c r="J121" s="46" t="n"/>
      <c r="K121" s="46" t="n"/>
      <c r="L121" s="46" t="n"/>
      <c r="M121" s="46" t="n"/>
      <c r="N121" s="46" t="n"/>
      <c r="O121" s="46" t="n"/>
    </row>
    <row r="122" ht="18" customHeight="1">
      <c r="A122" s="83" t="n"/>
      <c r="B122" s="83" t="n"/>
      <c r="C122" s="46" t="n"/>
      <c r="D122" s="46" t="n"/>
      <c r="E122" s="91" t="n"/>
      <c r="F122" s="46" t="n"/>
      <c r="G122" s="73" t="n"/>
      <c r="H122" s="46" t="n"/>
      <c r="I122" s="46" t="n"/>
      <c r="J122" s="46" t="n"/>
      <c r="K122" s="46" t="n"/>
      <c r="L122" s="46" t="n"/>
      <c r="M122" s="46" t="n"/>
      <c r="N122" s="46" t="n"/>
      <c r="O122" s="46" t="n"/>
    </row>
    <row r="123" ht="18" customHeight="1">
      <c r="A123" s="83" t="n"/>
      <c r="B123" s="83" t="n"/>
      <c r="C123" s="46" t="n"/>
      <c r="D123" s="46" t="n"/>
      <c r="E123" s="91" t="n"/>
      <c r="F123" s="46" t="n"/>
      <c r="G123" s="73" t="n"/>
      <c r="H123" s="46" t="n"/>
      <c r="I123" s="46" t="n"/>
      <c r="J123" s="46" t="n"/>
      <c r="K123" s="46" t="n"/>
      <c r="L123" s="46" t="n"/>
      <c r="M123" s="46" t="n"/>
      <c r="N123" s="46" t="n"/>
      <c r="O123" s="46" t="n"/>
    </row>
    <row r="124" ht="18" customHeight="1">
      <c r="A124" s="83" t="n"/>
      <c r="B124" s="83" t="n"/>
      <c r="C124" s="46" t="n"/>
      <c r="D124" s="46" t="n"/>
      <c r="E124" s="91" t="n"/>
      <c r="F124" s="46" t="n"/>
      <c r="G124" s="73" t="n"/>
      <c r="H124" s="46" t="n"/>
      <c r="I124" s="46" t="n"/>
      <c r="J124" s="46" t="n"/>
      <c r="K124" s="46" t="n"/>
      <c r="L124" s="46" t="n"/>
      <c r="M124" s="46" t="n"/>
      <c r="N124" s="46" t="n"/>
      <c r="O124" s="46" t="n"/>
    </row>
    <row r="125" ht="18" customHeight="1">
      <c r="A125" s="83" t="n"/>
      <c r="B125" s="83" t="n"/>
      <c r="C125" s="46" t="n"/>
      <c r="D125" s="46" t="n"/>
      <c r="E125" s="91" t="n"/>
      <c r="F125" s="46" t="n"/>
      <c r="G125" s="73" t="n"/>
      <c r="H125" s="46" t="n"/>
      <c r="I125" s="46" t="n"/>
      <c r="J125" s="46" t="n"/>
      <c r="K125" s="46" t="n"/>
      <c r="L125" s="46" t="n"/>
      <c r="M125" s="46" t="n"/>
      <c r="N125" s="46" t="n"/>
      <c r="O125" s="46" t="n"/>
    </row>
    <row r="126" ht="18" customHeight="1">
      <c r="A126" s="83" t="n"/>
      <c r="B126" s="83" t="n"/>
      <c r="C126" s="46" t="n"/>
      <c r="D126" s="46" t="n"/>
      <c r="E126" s="91" t="n"/>
      <c r="F126" s="46" t="n"/>
      <c r="G126" s="73" t="n"/>
      <c r="H126" s="46" t="n"/>
      <c r="I126" s="46" t="n"/>
      <c r="J126" s="46" t="n"/>
      <c r="K126" s="46" t="n"/>
      <c r="L126" s="46" t="n"/>
      <c r="M126" s="46" t="n"/>
      <c r="N126" s="46" t="n"/>
      <c r="O126" s="46" t="n"/>
    </row>
    <row r="127" ht="18" customHeight="1">
      <c r="A127" s="83" t="n"/>
      <c r="B127" s="83" t="n"/>
      <c r="C127" s="46" t="n"/>
      <c r="D127" s="46" t="n"/>
      <c r="E127" s="91" t="n"/>
      <c r="F127" s="46" t="n"/>
      <c r="G127" s="73" t="n"/>
      <c r="H127" s="46" t="n"/>
      <c r="I127" s="46" t="n"/>
      <c r="J127" s="46" t="n"/>
      <c r="K127" s="46" t="n"/>
      <c r="L127" s="46" t="n"/>
      <c r="M127" s="46" t="n"/>
      <c r="N127" s="46" t="n"/>
      <c r="O127" s="46" t="n"/>
    </row>
    <row r="128" ht="18" customHeight="1">
      <c r="A128" s="83" t="n"/>
      <c r="B128" s="83" t="n"/>
      <c r="C128" s="46" t="n"/>
      <c r="D128" s="46" t="n"/>
      <c r="E128" s="91" t="n"/>
      <c r="F128" s="46" t="n"/>
      <c r="G128" s="73" t="n"/>
      <c r="H128" s="46" t="n"/>
      <c r="I128" s="46" t="n"/>
      <c r="J128" s="46" t="n"/>
      <c r="K128" s="46" t="n"/>
      <c r="L128" s="46" t="n"/>
      <c r="M128" s="46" t="n"/>
      <c r="N128" s="46" t="n"/>
      <c r="O128" s="46" t="n"/>
    </row>
    <row r="129" ht="18" customHeight="1">
      <c r="A129" s="83" t="n"/>
      <c r="B129" s="83" t="n"/>
      <c r="C129" s="46" t="n"/>
      <c r="D129" s="46" t="n"/>
      <c r="E129" s="91" t="n"/>
      <c r="F129" s="46" t="n"/>
      <c r="G129" s="73" t="n"/>
      <c r="H129" s="46" t="n"/>
      <c r="I129" s="46" t="n"/>
      <c r="J129" s="46" t="n"/>
      <c r="K129" s="46" t="n"/>
      <c r="L129" s="46" t="n"/>
      <c r="M129" s="46" t="n"/>
      <c r="N129" s="46" t="n"/>
      <c r="O129" s="46" t="n"/>
    </row>
    <row r="130" ht="20" customHeight="1">
      <c r="A130" s="31" t="inlineStr">
        <is>
          <t>CONTINGÊNCIA PREVISTA NO ORÇAMENTO  →</t>
        </is>
      </c>
      <c r="B130" s="32" t="n"/>
      <c r="C130" s="92" t="n"/>
      <c r="D130" s="60">
        <f>ROUND(SUM($E$118:$E$129),2)</f>
        <v/>
      </c>
      <c r="E130" s="60">
        <f>ROUND($D$130-IF($C$130="",0,$C$130),2)</f>
        <v/>
      </c>
      <c r="F130" s="32" t="n"/>
      <c r="G130" s="62">
        <f>IF(OR($A$13="",$A$13=0),"",$D$130/$A$13)</f>
        <v/>
      </c>
      <c r="H130" s="93" t="inlineStr">
        <is>
          <t>orçado = a contingência prevista · realizado = a soma acima</t>
        </is>
      </c>
      <c r="I130" s="32" t="n"/>
      <c r="J130" s="32" t="n"/>
      <c r="K130" s="32" t="n"/>
      <c r="L130" s="32" t="n"/>
      <c r="M130" s="32" t="n"/>
      <c r="N130" s="32" t="n"/>
      <c r="O130" s="32" t="n"/>
    </row>
    <row r="131" ht="8" customHeight="1"/>
    <row r="132" ht="20" customHeight="1">
      <c r="A132" s="8" t="inlineStr">
        <is>
          <t xml:space="preserve">  8 · LIVRO DE COMPRAS E DESPESAS DO PROJETO          uma linha por compra, na ordem em que acontecer · pode inserir linhas à vontade aqui</t>
        </is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</row>
    <row r="133" ht="28" customHeight="1">
      <c r="A133" s="19" t="inlineStr">
        <is>
          <t>Descrição / fornecedor</t>
        </is>
      </c>
      <c r="B133" s="19" t="inlineStr">
        <is>
          <t>Categoria</t>
        </is>
      </c>
      <c r="C133" s="35" t="n"/>
      <c r="D133" s="19" t="inlineStr">
        <is>
          <t>Data</t>
        </is>
      </c>
      <c r="E133" s="19" t="inlineStr">
        <is>
          <t>Valor (R$)</t>
        </is>
      </c>
      <c r="F133" s="35" t="n"/>
      <c r="G133" s="19" t="inlineStr">
        <is>
          <t>Forma de pagamento</t>
        </is>
      </c>
      <c r="H133" s="35" t="n"/>
      <c r="I133" s="19" t="inlineStr">
        <is>
          <t>Status</t>
        </is>
      </c>
      <c r="J133" s="35" t="n"/>
      <c r="K133" s="35" t="n"/>
      <c r="L133" s="35" t="n"/>
      <c r="M133" s="35" t="n"/>
      <c r="N133" s="35" t="n"/>
      <c r="O133" s="35" t="n"/>
    </row>
    <row r="134" ht="17" customHeight="1">
      <c r="A134" s="83" t="n"/>
      <c r="B134" s="94" t="n"/>
      <c r="C134" s="46" t="n"/>
      <c r="D134" s="75" t="n"/>
      <c r="E134" s="95" t="n"/>
      <c r="F134" s="46" t="n"/>
      <c r="G134" s="96" t="n"/>
      <c r="H134" s="46" t="n"/>
      <c r="I134" s="97" t="n"/>
      <c r="J134" s="46" t="n"/>
      <c r="K134" s="46" t="n"/>
      <c r="L134" s="46" t="n"/>
      <c r="M134" s="46" t="n"/>
      <c r="N134" s="46" t="n"/>
      <c r="O134" s="46" t="n"/>
    </row>
    <row r="135" ht="17" customHeight="1">
      <c r="A135" s="83" t="n"/>
      <c r="B135" s="94" t="n"/>
      <c r="C135" s="46" t="n"/>
      <c r="D135" s="75" t="n"/>
      <c r="E135" s="95" t="n"/>
      <c r="F135" s="46" t="n"/>
      <c r="G135" s="96" t="n"/>
      <c r="H135" s="46" t="n"/>
      <c r="I135" s="97" t="n"/>
      <c r="J135" s="46" t="n"/>
      <c r="K135" s="46" t="n"/>
      <c r="L135" s="46" t="n"/>
      <c r="M135" s="46" t="n"/>
      <c r="N135" s="46" t="n"/>
      <c r="O135" s="46" t="n"/>
    </row>
    <row r="136" ht="17" customHeight="1">
      <c r="A136" s="83" t="n"/>
      <c r="B136" s="94" t="n"/>
      <c r="C136" s="46" t="n"/>
      <c r="D136" s="75" t="n"/>
      <c r="E136" s="95" t="n"/>
      <c r="F136" s="46" t="n"/>
      <c r="G136" s="96" t="n"/>
      <c r="H136" s="46" t="n"/>
      <c r="I136" s="97" t="n"/>
      <c r="J136" s="46" t="n"/>
      <c r="K136" s="46" t="n"/>
      <c r="L136" s="46" t="n"/>
      <c r="M136" s="46" t="n"/>
      <c r="N136" s="46" t="n"/>
      <c r="O136" s="46" t="n"/>
    </row>
    <row r="137" ht="17" customHeight="1">
      <c r="A137" s="83" t="n"/>
      <c r="B137" s="94" t="n"/>
      <c r="C137" s="46" t="n"/>
      <c r="D137" s="75" t="n"/>
      <c r="E137" s="95" t="n"/>
      <c r="F137" s="46" t="n"/>
      <c r="G137" s="96" t="n"/>
      <c r="H137" s="46" t="n"/>
      <c r="I137" s="97" t="n"/>
      <c r="J137" s="46" t="n"/>
      <c r="K137" s="46" t="n"/>
      <c r="L137" s="46" t="n"/>
      <c r="M137" s="46" t="n"/>
      <c r="N137" s="46" t="n"/>
      <c r="O137" s="46" t="n"/>
    </row>
    <row r="138" ht="17" customHeight="1">
      <c r="A138" s="83" t="n"/>
      <c r="B138" s="94" t="n"/>
      <c r="C138" s="46" t="n"/>
      <c r="D138" s="75" t="n"/>
      <c r="E138" s="95" t="n"/>
      <c r="F138" s="46" t="n"/>
      <c r="G138" s="96" t="n"/>
      <c r="H138" s="46" t="n"/>
      <c r="I138" s="97" t="n"/>
      <c r="J138" s="46" t="n"/>
      <c r="K138" s="46" t="n"/>
      <c r="L138" s="46" t="n"/>
      <c r="M138" s="46" t="n"/>
      <c r="N138" s="46" t="n"/>
      <c r="O138" s="46" t="n"/>
    </row>
    <row r="139" ht="17" customHeight="1">
      <c r="A139" s="83" t="n"/>
      <c r="B139" s="94" t="n"/>
      <c r="C139" s="46" t="n"/>
      <c r="D139" s="75" t="n"/>
      <c r="E139" s="95" t="n"/>
      <c r="F139" s="46" t="n"/>
      <c r="G139" s="96" t="n"/>
      <c r="H139" s="46" t="n"/>
      <c r="I139" s="97" t="n"/>
      <c r="J139" s="46" t="n"/>
      <c r="K139" s="46" t="n"/>
      <c r="L139" s="46" t="n"/>
      <c r="M139" s="46" t="n"/>
      <c r="N139" s="46" t="n"/>
      <c r="O139" s="46" t="n"/>
    </row>
    <row r="140" ht="17" customHeight="1">
      <c r="A140" s="83" t="n"/>
      <c r="B140" s="94" t="n"/>
      <c r="C140" s="46" t="n"/>
      <c r="D140" s="75" t="n"/>
      <c r="E140" s="95" t="n"/>
      <c r="F140" s="46" t="n"/>
      <c r="G140" s="96" t="n"/>
      <c r="H140" s="46" t="n"/>
      <c r="I140" s="97" t="n"/>
      <c r="J140" s="46" t="n"/>
      <c r="K140" s="46" t="n"/>
      <c r="L140" s="46" t="n"/>
      <c r="M140" s="46" t="n"/>
      <c r="N140" s="46" t="n"/>
      <c r="O140" s="46" t="n"/>
    </row>
    <row r="141" ht="17" customHeight="1">
      <c r="A141" s="83" t="n"/>
      <c r="B141" s="94" t="n"/>
      <c r="C141" s="46" t="n"/>
      <c r="D141" s="75" t="n"/>
      <c r="E141" s="95" t="n"/>
      <c r="F141" s="46" t="n"/>
      <c r="G141" s="96" t="n"/>
      <c r="H141" s="46" t="n"/>
      <c r="I141" s="97" t="n"/>
      <c r="J141" s="46" t="n"/>
      <c r="K141" s="46" t="n"/>
      <c r="L141" s="46" t="n"/>
      <c r="M141" s="46" t="n"/>
      <c r="N141" s="46" t="n"/>
      <c r="O141" s="46" t="n"/>
    </row>
    <row r="142" ht="17" customHeight="1">
      <c r="A142" s="83" t="n"/>
      <c r="B142" s="94" t="n"/>
      <c r="C142" s="46" t="n"/>
      <c r="D142" s="75" t="n"/>
      <c r="E142" s="95" t="n"/>
      <c r="F142" s="46" t="n"/>
      <c r="G142" s="96" t="n"/>
      <c r="H142" s="46" t="n"/>
      <c r="I142" s="97" t="n"/>
      <c r="J142" s="46" t="n"/>
      <c r="K142" s="46" t="n"/>
      <c r="L142" s="46" t="n"/>
      <c r="M142" s="46" t="n"/>
      <c r="N142" s="46" t="n"/>
      <c r="O142" s="46" t="n"/>
    </row>
    <row r="143" ht="17" customHeight="1">
      <c r="A143" s="83" t="n"/>
      <c r="B143" s="94" t="n"/>
      <c r="C143" s="46" t="n"/>
      <c r="D143" s="75" t="n"/>
      <c r="E143" s="95" t="n"/>
      <c r="F143" s="46" t="n"/>
      <c r="G143" s="96" t="n"/>
      <c r="H143" s="46" t="n"/>
      <c r="I143" s="97" t="n"/>
      <c r="J143" s="46" t="n"/>
      <c r="K143" s="46" t="n"/>
      <c r="L143" s="46" t="n"/>
      <c r="M143" s="46" t="n"/>
      <c r="N143" s="46" t="n"/>
      <c r="O143" s="46" t="n"/>
    </row>
    <row r="144" ht="17" customHeight="1">
      <c r="A144" s="83" t="n"/>
      <c r="B144" s="94" t="n"/>
      <c r="C144" s="46" t="n"/>
      <c r="D144" s="75" t="n"/>
      <c r="E144" s="95" t="n"/>
      <c r="F144" s="46" t="n"/>
      <c r="G144" s="96" t="n"/>
      <c r="H144" s="46" t="n"/>
      <c r="I144" s="97" t="n"/>
      <c r="J144" s="46" t="n"/>
      <c r="K144" s="46" t="n"/>
      <c r="L144" s="46" t="n"/>
      <c r="M144" s="46" t="n"/>
      <c r="N144" s="46" t="n"/>
      <c r="O144" s="46" t="n"/>
    </row>
    <row r="145" ht="17" customHeight="1">
      <c r="A145" s="83" t="n"/>
      <c r="B145" s="94" t="n"/>
      <c r="C145" s="46" t="n"/>
      <c r="D145" s="75" t="n"/>
      <c r="E145" s="95" t="n"/>
      <c r="F145" s="46" t="n"/>
      <c r="G145" s="96" t="n"/>
      <c r="H145" s="46" t="n"/>
      <c r="I145" s="97" t="n"/>
      <c r="J145" s="46" t="n"/>
      <c r="K145" s="46" t="n"/>
      <c r="L145" s="46" t="n"/>
      <c r="M145" s="46" t="n"/>
      <c r="N145" s="46" t="n"/>
      <c r="O145" s="46" t="n"/>
    </row>
    <row r="146" ht="17" customHeight="1">
      <c r="A146" s="83" t="n"/>
      <c r="B146" s="94" t="n"/>
      <c r="C146" s="46" t="n"/>
      <c r="D146" s="75" t="n"/>
      <c r="E146" s="95" t="n"/>
      <c r="F146" s="46" t="n"/>
      <c r="G146" s="96" t="n"/>
      <c r="H146" s="46" t="n"/>
      <c r="I146" s="97" t="n"/>
      <c r="J146" s="46" t="n"/>
      <c r="K146" s="46" t="n"/>
      <c r="L146" s="46" t="n"/>
      <c r="M146" s="46" t="n"/>
      <c r="N146" s="46" t="n"/>
      <c r="O146" s="46" t="n"/>
    </row>
    <row r="147" ht="17" customHeight="1">
      <c r="A147" s="83" t="n"/>
      <c r="B147" s="94" t="n"/>
      <c r="C147" s="46" t="n"/>
      <c r="D147" s="75" t="n"/>
      <c r="E147" s="95" t="n"/>
      <c r="F147" s="46" t="n"/>
      <c r="G147" s="96" t="n"/>
      <c r="H147" s="46" t="n"/>
      <c r="I147" s="97" t="n"/>
      <c r="J147" s="46" t="n"/>
      <c r="K147" s="46" t="n"/>
      <c r="L147" s="46" t="n"/>
      <c r="M147" s="46" t="n"/>
      <c r="N147" s="46" t="n"/>
      <c r="O147" s="46" t="n"/>
    </row>
    <row r="148" ht="17" customHeight="1">
      <c r="A148" s="83" t="n"/>
      <c r="B148" s="94" t="n"/>
      <c r="C148" s="46" t="n"/>
      <c r="D148" s="75" t="n"/>
      <c r="E148" s="95" t="n"/>
      <c r="F148" s="46" t="n"/>
      <c r="G148" s="96" t="n"/>
      <c r="H148" s="46" t="n"/>
      <c r="I148" s="97" t="n"/>
      <c r="J148" s="46" t="n"/>
      <c r="K148" s="46" t="n"/>
      <c r="L148" s="46" t="n"/>
      <c r="M148" s="46" t="n"/>
      <c r="N148" s="46" t="n"/>
      <c r="O148" s="46" t="n"/>
    </row>
    <row r="149" ht="17" customHeight="1">
      <c r="A149" s="83" t="n"/>
      <c r="B149" s="94" t="n"/>
      <c r="C149" s="46" t="n"/>
      <c r="D149" s="75" t="n"/>
      <c r="E149" s="95" t="n"/>
      <c r="F149" s="46" t="n"/>
      <c r="G149" s="96" t="n"/>
      <c r="H149" s="46" t="n"/>
      <c r="I149" s="97" t="n"/>
      <c r="J149" s="46" t="n"/>
      <c r="K149" s="46" t="n"/>
      <c r="L149" s="46" t="n"/>
      <c r="M149" s="46" t="n"/>
      <c r="N149" s="46" t="n"/>
      <c r="O149" s="46" t="n"/>
    </row>
    <row r="150" ht="17" customHeight="1">
      <c r="A150" s="83" t="n"/>
      <c r="B150" s="94" t="n"/>
      <c r="C150" s="46" t="n"/>
      <c r="D150" s="75" t="n"/>
      <c r="E150" s="95" t="n"/>
      <c r="F150" s="46" t="n"/>
      <c r="G150" s="96" t="n"/>
      <c r="H150" s="46" t="n"/>
      <c r="I150" s="97" t="n"/>
      <c r="J150" s="46" t="n"/>
      <c r="K150" s="46" t="n"/>
      <c r="L150" s="46" t="n"/>
      <c r="M150" s="46" t="n"/>
      <c r="N150" s="46" t="n"/>
      <c r="O150" s="46" t="n"/>
    </row>
    <row r="151" ht="17" customHeight="1">
      <c r="A151" s="83" t="n"/>
      <c r="B151" s="94" t="n"/>
      <c r="C151" s="46" t="n"/>
      <c r="D151" s="75" t="n"/>
      <c r="E151" s="95" t="n"/>
      <c r="F151" s="46" t="n"/>
      <c r="G151" s="96" t="n"/>
      <c r="H151" s="46" t="n"/>
      <c r="I151" s="97" t="n"/>
      <c r="J151" s="46" t="n"/>
      <c r="K151" s="46" t="n"/>
      <c r="L151" s="46" t="n"/>
      <c r="M151" s="46" t="n"/>
      <c r="N151" s="46" t="n"/>
      <c r="O151" s="46" t="n"/>
    </row>
    <row r="152" ht="17" customHeight="1">
      <c r="A152" s="83" t="n"/>
      <c r="B152" s="94" t="n"/>
      <c r="C152" s="46" t="n"/>
      <c r="D152" s="75" t="n"/>
      <c r="E152" s="95" t="n"/>
      <c r="F152" s="46" t="n"/>
      <c r="G152" s="96" t="n"/>
      <c r="H152" s="46" t="n"/>
      <c r="I152" s="97" t="n"/>
      <c r="J152" s="46" t="n"/>
      <c r="K152" s="46" t="n"/>
      <c r="L152" s="46" t="n"/>
      <c r="M152" s="46" t="n"/>
      <c r="N152" s="46" t="n"/>
      <c r="O152" s="46" t="n"/>
    </row>
    <row r="153" ht="17" customHeight="1">
      <c r="A153" s="83" t="n"/>
      <c r="B153" s="94" t="n"/>
      <c r="C153" s="46" t="n"/>
      <c r="D153" s="75" t="n"/>
      <c r="E153" s="95" t="n"/>
      <c r="F153" s="46" t="n"/>
      <c r="G153" s="96" t="n"/>
      <c r="H153" s="46" t="n"/>
      <c r="I153" s="97" t="n"/>
      <c r="J153" s="46" t="n"/>
      <c r="K153" s="46" t="n"/>
      <c r="L153" s="46" t="n"/>
      <c r="M153" s="46" t="n"/>
      <c r="N153" s="46" t="n"/>
      <c r="O153" s="46" t="n"/>
    </row>
    <row r="154" ht="17" customHeight="1">
      <c r="A154" s="83" t="n"/>
      <c r="B154" s="94" t="n"/>
      <c r="C154" s="46" t="n"/>
      <c r="D154" s="75" t="n"/>
      <c r="E154" s="95" t="n"/>
      <c r="F154" s="46" t="n"/>
      <c r="G154" s="96" t="n"/>
      <c r="H154" s="46" t="n"/>
      <c r="I154" s="97" t="n"/>
      <c r="J154" s="46" t="n"/>
      <c r="K154" s="46" t="n"/>
      <c r="L154" s="46" t="n"/>
      <c r="M154" s="46" t="n"/>
      <c r="N154" s="46" t="n"/>
      <c r="O154" s="46" t="n"/>
    </row>
    <row r="155" ht="17" customHeight="1">
      <c r="A155" s="83" t="n"/>
      <c r="B155" s="94" t="n"/>
      <c r="C155" s="46" t="n"/>
      <c r="D155" s="75" t="n"/>
      <c r="E155" s="95" t="n"/>
      <c r="F155" s="46" t="n"/>
      <c r="G155" s="96" t="n"/>
      <c r="H155" s="46" t="n"/>
      <c r="I155" s="97" t="n"/>
      <c r="J155" s="46" t="n"/>
      <c r="K155" s="46" t="n"/>
      <c r="L155" s="46" t="n"/>
      <c r="M155" s="46" t="n"/>
      <c r="N155" s="46" t="n"/>
      <c r="O155" s="46" t="n"/>
    </row>
    <row r="156" ht="17" customHeight="1">
      <c r="A156" s="83" t="n"/>
      <c r="B156" s="94" t="n"/>
      <c r="C156" s="46" t="n"/>
      <c r="D156" s="75" t="n"/>
      <c r="E156" s="95" t="n"/>
      <c r="F156" s="46" t="n"/>
      <c r="G156" s="96" t="n"/>
      <c r="H156" s="46" t="n"/>
      <c r="I156" s="97" t="n"/>
      <c r="J156" s="46" t="n"/>
      <c r="K156" s="46" t="n"/>
      <c r="L156" s="46" t="n"/>
      <c r="M156" s="46" t="n"/>
      <c r="N156" s="46" t="n"/>
      <c r="O156" s="46" t="n"/>
    </row>
    <row r="157" ht="17" customHeight="1">
      <c r="A157" s="83" t="n"/>
      <c r="B157" s="94" t="n"/>
      <c r="C157" s="46" t="n"/>
      <c r="D157" s="75" t="n"/>
      <c r="E157" s="95" t="n"/>
      <c r="F157" s="46" t="n"/>
      <c r="G157" s="96" t="n"/>
      <c r="H157" s="46" t="n"/>
      <c r="I157" s="97" t="n"/>
      <c r="J157" s="46" t="n"/>
      <c r="K157" s="46" t="n"/>
      <c r="L157" s="46" t="n"/>
      <c r="M157" s="46" t="n"/>
      <c r="N157" s="46" t="n"/>
      <c r="O157" s="46" t="n"/>
    </row>
    <row r="158" ht="17" customHeight="1">
      <c r="A158" s="83" t="n"/>
      <c r="B158" s="94" t="n"/>
      <c r="C158" s="46" t="n"/>
      <c r="D158" s="75" t="n"/>
      <c r="E158" s="95" t="n"/>
      <c r="F158" s="46" t="n"/>
      <c r="G158" s="96" t="n"/>
      <c r="H158" s="46" t="n"/>
      <c r="I158" s="97" t="n"/>
      <c r="J158" s="46" t="n"/>
      <c r="K158" s="46" t="n"/>
      <c r="L158" s="46" t="n"/>
      <c r="M158" s="46" t="n"/>
      <c r="N158" s="46" t="n"/>
      <c r="O158" s="46" t="n"/>
    </row>
    <row r="159" ht="17" customHeight="1">
      <c r="A159" s="83" t="n"/>
      <c r="B159" s="94" t="n"/>
      <c r="C159" s="46" t="n"/>
      <c r="D159" s="75" t="n"/>
      <c r="E159" s="95" t="n"/>
      <c r="F159" s="46" t="n"/>
      <c r="G159" s="96" t="n"/>
      <c r="H159" s="46" t="n"/>
      <c r="I159" s="97" t="n"/>
      <c r="J159" s="46" t="n"/>
      <c r="K159" s="46" t="n"/>
      <c r="L159" s="46" t="n"/>
      <c r="M159" s="46" t="n"/>
      <c r="N159" s="46" t="n"/>
      <c r="O159" s="46" t="n"/>
    </row>
    <row r="160" ht="17" customHeight="1">
      <c r="A160" s="83" t="n"/>
      <c r="B160" s="94" t="n"/>
      <c r="C160" s="46" t="n"/>
      <c r="D160" s="75" t="n"/>
      <c r="E160" s="95" t="n"/>
      <c r="F160" s="46" t="n"/>
      <c r="G160" s="96" t="n"/>
      <c r="H160" s="46" t="n"/>
      <c r="I160" s="97" t="n"/>
      <c r="J160" s="46" t="n"/>
      <c r="K160" s="46" t="n"/>
      <c r="L160" s="46" t="n"/>
      <c r="M160" s="46" t="n"/>
      <c r="N160" s="46" t="n"/>
      <c r="O160" s="46" t="n"/>
    </row>
    <row r="161" ht="17" customHeight="1">
      <c r="A161" s="83" t="n"/>
      <c r="B161" s="94" t="n"/>
      <c r="C161" s="46" t="n"/>
      <c r="D161" s="75" t="n"/>
      <c r="E161" s="95" t="n"/>
      <c r="F161" s="46" t="n"/>
      <c r="G161" s="96" t="n"/>
      <c r="H161" s="46" t="n"/>
      <c r="I161" s="97" t="n"/>
      <c r="J161" s="46" t="n"/>
      <c r="K161" s="46" t="n"/>
      <c r="L161" s="46" t="n"/>
      <c r="M161" s="46" t="n"/>
      <c r="N161" s="46" t="n"/>
      <c r="O161" s="46" t="n"/>
    </row>
    <row r="162" ht="17" customHeight="1">
      <c r="A162" s="83" t="n"/>
      <c r="B162" s="94" t="n"/>
      <c r="C162" s="46" t="n"/>
      <c r="D162" s="75" t="n"/>
      <c r="E162" s="95" t="n"/>
      <c r="F162" s="46" t="n"/>
      <c r="G162" s="96" t="n"/>
      <c r="H162" s="46" t="n"/>
      <c r="I162" s="97" t="n"/>
      <c r="J162" s="46" t="n"/>
      <c r="K162" s="46" t="n"/>
      <c r="L162" s="46" t="n"/>
      <c r="M162" s="46" t="n"/>
      <c r="N162" s="46" t="n"/>
      <c r="O162" s="46" t="n"/>
    </row>
    <row r="163" ht="17" customHeight="1">
      <c r="A163" s="83" t="n"/>
      <c r="B163" s="94" t="n"/>
      <c r="C163" s="46" t="n"/>
      <c r="D163" s="75" t="n"/>
      <c r="E163" s="95" t="n"/>
      <c r="F163" s="46" t="n"/>
      <c r="G163" s="96" t="n"/>
      <c r="H163" s="46" t="n"/>
      <c r="I163" s="97" t="n"/>
      <c r="J163" s="46" t="n"/>
      <c r="K163" s="46" t="n"/>
      <c r="L163" s="46" t="n"/>
      <c r="M163" s="46" t="n"/>
      <c r="N163" s="46" t="n"/>
      <c r="O163" s="46" t="n"/>
    </row>
    <row r="164" ht="17" customHeight="1">
      <c r="A164" s="83" t="n"/>
      <c r="B164" s="94" t="n"/>
      <c r="C164" s="46" t="n"/>
      <c r="D164" s="75" t="n"/>
      <c r="E164" s="95" t="n"/>
      <c r="F164" s="46" t="n"/>
      <c r="G164" s="96" t="n"/>
      <c r="H164" s="46" t="n"/>
      <c r="I164" s="97" t="n"/>
      <c r="J164" s="46" t="n"/>
      <c r="K164" s="46" t="n"/>
      <c r="L164" s="46" t="n"/>
      <c r="M164" s="46" t="n"/>
      <c r="N164" s="46" t="n"/>
      <c r="O164" s="46" t="n"/>
    </row>
    <row r="165" ht="17" customHeight="1">
      <c r="A165" s="83" t="n"/>
      <c r="B165" s="94" t="n"/>
      <c r="C165" s="46" t="n"/>
      <c r="D165" s="75" t="n"/>
      <c r="E165" s="95" t="n"/>
      <c r="F165" s="46" t="n"/>
      <c r="G165" s="96" t="n"/>
      <c r="H165" s="46" t="n"/>
      <c r="I165" s="97" t="n"/>
      <c r="J165" s="46" t="n"/>
      <c r="K165" s="46" t="n"/>
      <c r="L165" s="46" t="n"/>
      <c r="M165" s="46" t="n"/>
      <c r="N165" s="46" t="n"/>
      <c r="O165" s="46" t="n"/>
    </row>
    <row r="166" ht="17" customHeight="1">
      <c r="A166" s="83" t="n"/>
      <c r="B166" s="94" t="n"/>
      <c r="C166" s="46" t="n"/>
      <c r="D166" s="75" t="n"/>
      <c r="E166" s="95" t="n"/>
      <c r="F166" s="46" t="n"/>
      <c r="G166" s="96" t="n"/>
      <c r="H166" s="46" t="n"/>
      <c r="I166" s="97" t="n"/>
      <c r="J166" s="46" t="n"/>
      <c r="K166" s="46" t="n"/>
      <c r="L166" s="46" t="n"/>
      <c r="M166" s="46" t="n"/>
      <c r="N166" s="46" t="n"/>
      <c r="O166" s="46" t="n"/>
    </row>
    <row r="167" ht="17" customHeight="1">
      <c r="A167" s="83" t="n"/>
      <c r="B167" s="94" t="n"/>
      <c r="C167" s="46" t="n"/>
      <c r="D167" s="75" t="n"/>
      <c r="E167" s="95" t="n"/>
      <c r="F167" s="46" t="n"/>
      <c r="G167" s="96" t="n"/>
      <c r="H167" s="46" t="n"/>
      <c r="I167" s="97" t="n"/>
      <c r="J167" s="46" t="n"/>
      <c r="K167" s="46" t="n"/>
      <c r="L167" s="46" t="n"/>
      <c r="M167" s="46" t="n"/>
      <c r="N167" s="46" t="n"/>
      <c r="O167" s="46" t="n"/>
    </row>
    <row r="168" ht="17" customHeight="1">
      <c r="A168" s="83" t="n"/>
      <c r="B168" s="94" t="n"/>
      <c r="C168" s="46" t="n"/>
      <c r="D168" s="75" t="n"/>
      <c r="E168" s="95" t="n"/>
      <c r="F168" s="46" t="n"/>
      <c r="G168" s="96" t="n"/>
      <c r="H168" s="46" t="n"/>
      <c r="I168" s="97" t="n"/>
      <c r="J168" s="46" t="n"/>
      <c r="K168" s="46" t="n"/>
      <c r="L168" s="46" t="n"/>
      <c r="M168" s="46" t="n"/>
      <c r="N168" s="46" t="n"/>
      <c r="O168" s="46" t="n"/>
    </row>
    <row r="169" ht="17" customHeight="1">
      <c r="A169" s="83" t="n"/>
      <c r="B169" s="94" t="n"/>
      <c r="C169" s="46" t="n"/>
      <c r="D169" s="75" t="n"/>
      <c r="E169" s="95" t="n"/>
      <c r="F169" s="46" t="n"/>
      <c r="G169" s="96" t="n"/>
      <c r="H169" s="46" t="n"/>
      <c r="I169" s="97" t="n"/>
      <c r="J169" s="46" t="n"/>
      <c r="K169" s="46" t="n"/>
      <c r="L169" s="46" t="n"/>
      <c r="M169" s="46" t="n"/>
      <c r="N169" s="46" t="n"/>
      <c r="O169" s="46" t="n"/>
    </row>
    <row r="170" ht="17" customHeight="1">
      <c r="A170" s="83" t="n"/>
      <c r="B170" s="94" t="n"/>
      <c r="C170" s="46" t="n"/>
      <c r="D170" s="75" t="n"/>
      <c r="E170" s="95" t="n"/>
      <c r="F170" s="46" t="n"/>
      <c r="G170" s="96" t="n"/>
      <c r="H170" s="46" t="n"/>
      <c r="I170" s="97" t="n"/>
      <c r="J170" s="46" t="n"/>
      <c r="K170" s="46" t="n"/>
      <c r="L170" s="46" t="n"/>
      <c r="M170" s="46" t="n"/>
      <c r="N170" s="46" t="n"/>
      <c r="O170" s="46" t="n"/>
    </row>
    <row r="171" ht="17" customHeight="1">
      <c r="A171" s="83" t="n"/>
      <c r="B171" s="94" t="n"/>
      <c r="C171" s="46" t="n"/>
      <c r="D171" s="75" t="n"/>
      <c r="E171" s="95" t="n"/>
      <c r="F171" s="46" t="n"/>
      <c r="G171" s="96" t="n"/>
      <c r="H171" s="46" t="n"/>
      <c r="I171" s="97" t="n"/>
      <c r="J171" s="46" t="n"/>
      <c r="K171" s="46" t="n"/>
      <c r="L171" s="46" t="n"/>
      <c r="M171" s="46" t="n"/>
      <c r="N171" s="46" t="n"/>
      <c r="O171" s="46" t="n"/>
    </row>
    <row r="172" ht="17" customHeight="1">
      <c r="A172" s="83" t="n"/>
      <c r="B172" s="94" t="n"/>
      <c r="C172" s="46" t="n"/>
      <c r="D172" s="75" t="n"/>
      <c r="E172" s="95" t="n"/>
      <c r="F172" s="46" t="n"/>
      <c r="G172" s="96" t="n"/>
      <c r="H172" s="46" t="n"/>
      <c r="I172" s="97" t="n"/>
      <c r="J172" s="46" t="n"/>
      <c r="K172" s="46" t="n"/>
      <c r="L172" s="46" t="n"/>
      <c r="M172" s="46" t="n"/>
      <c r="N172" s="46" t="n"/>
      <c r="O172" s="46" t="n"/>
    </row>
    <row r="173" ht="17" customHeight="1">
      <c r="A173" s="83" t="n"/>
      <c r="B173" s="94" t="n"/>
      <c r="C173" s="46" t="n"/>
      <c r="D173" s="75" t="n"/>
      <c r="E173" s="95" t="n"/>
      <c r="F173" s="46" t="n"/>
      <c r="G173" s="96" t="n"/>
      <c r="H173" s="46" t="n"/>
      <c r="I173" s="97" t="n"/>
      <c r="J173" s="46" t="n"/>
      <c r="K173" s="46" t="n"/>
      <c r="L173" s="46" t="n"/>
      <c r="M173" s="46" t="n"/>
      <c r="N173" s="46" t="n"/>
      <c r="O173" s="46" t="n"/>
    </row>
    <row r="174" ht="17" customHeight="1">
      <c r="A174" s="83" t="n"/>
      <c r="B174" s="94" t="n"/>
      <c r="C174" s="46" t="n"/>
      <c r="D174" s="75" t="n"/>
      <c r="E174" s="95" t="n"/>
      <c r="F174" s="46" t="n"/>
      <c r="G174" s="96" t="n"/>
      <c r="H174" s="46" t="n"/>
      <c r="I174" s="97" t="n"/>
      <c r="J174" s="46" t="n"/>
      <c r="K174" s="46" t="n"/>
      <c r="L174" s="46" t="n"/>
      <c r="M174" s="46" t="n"/>
      <c r="N174" s="46" t="n"/>
      <c r="O174" s="46" t="n"/>
    </row>
    <row r="175" ht="17" customHeight="1">
      <c r="A175" s="83" t="n"/>
      <c r="B175" s="94" t="n"/>
      <c r="C175" s="46" t="n"/>
      <c r="D175" s="75" t="n"/>
      <c r="E175" s="95" t="n"/>
      <c r="F175" s="46" t="n"/>
      <c r="G175" s="96" t="n"/>
      <c r="H175" s="46" t="n"/>
      <c r="I175" s="97" t="n"/>
      <c r="J175" s="46" t="n"/>
      <c r="K175" s="46" t="n"/>
      <c r="L175" s="46" t="n"/>
      <c r="M175" s="46" t="n"/>
      <c r="N175" s="46" t="n"/>
      <c r="O175" s="46" t="n"/>
    </row>
    <row r="176" ht="17" customHeight="1">
      <c r="A176" s="83" t="n"/>
      <c r="B176" s="94" t="n"/>
      <c r="C176" s="46" t="n"/>
      <c r="D176" s="75" t="n"/>
      <c r="E176" s="95" t="n"/>
      <c r="F176" s="46" t="n"/>
      <c r="G176" s="96" t="n"/>
      <c r="H176" s="46" t="n"/>
      <c r="I176" s="97" t="n"/>
      <c r="J176" s="46" t="n"/>
      <c r="K176" s="46" t="n"/>
      <c r="L176" s="46" t="n"/>
      <c r="M176" s="46" t="n"/>
      <c r="N176" s="46" t="n"/>
      <c r="O176" s="46" t="n"/>
    </row>
    <row r="177" ht="17" customHeight="1">
      <c r="A177" s="83" t="n"/>
      <c r="B177" s="94" t="n"/>
      <c r="C177" s="46" t="n"/>
      <c r="D177" s="75" t="n"/>
      <c r="E177" s="95" t="n"/>
      <c r="F177" s="46" t="n"/>
      <c r="G177" s="96" t="n"/>
      <c r="H177" s="46" t="n"/>
      <c r="I177" s="97" t="n"/>
      <c r="J177" s="46" t="n"/>
      <c r="K177" s="46" t="n"/>
      <c r="L177" s="46" t="n"/>
      <c r="M177" s="46" t="n"/>
      <c r="N177" s="46" t="n"/>
      <c r="O177" s="46" t="n"/>
    </row>
    <row r="178" ht="17" customHeight="1">
      <c r="A178" s="83" t="n"/>
      <c r="B178" s="94" t="n"/>
      <c r="C178" s="46" t="n"/>
      <c r="D178" s="75" t="n"/>
      <c r="E178" s="95" t="n"/>
      <c r="F178" s="46" t="n"/>
      <c r="G178" s="96" t="n"/>
      <c r="H178" s="46" t="n"/>
      <c r="I178" s="97" t="n"/>
      <c r="J178" s="46" t="n"/>
      <c r="K178" s="46" t="n"/>
      <c r="L178" s="46" t="n"/>
      <c r="M178" s="46" t="n"/>
      <c r="N178" s="46" t="n"/>
      <c r="O178" s="46" t="n"/>
    </row>
    <row r="179" ht="17" customHeight="1">
      <c r="A179" s="83" t="n"/>
      <c r="B179" s="94" t="n"/>
      <c r="C179" s="46" t="n"/>
      <c r="D179" s="75" t="n"/>
      <c r="E179" s="95" t="n"/>
      <c r="F179" s="46" t="n"/>
      <c r="G179" s="96" t="n"/>
      <c r="H179" s="46" t="n"/>
      <c r="I179" s="97" t="n"/>
      <c r="J179" s="46" t="n"/>
      <c r="K179" s="46" t="n"/>
      <c r="L179" s="46" t="n"/>
      <c r="M179" s="46" t="n"/>
      <c r="N179" s="46" t="n"/>
      <c r="O179" s="46" t="n"/>
    </row>
    <row r="180" ht="17" customHeight="1">
      <c r="A180" s="83" t="n"/>
      <c r="B180" s="94" t="n"/>
      <c r="C180" s="46" t="n"/>
      <c r="D180" s="75" t="n"/>
      <c r="E180" s="95" t="n"/>
      <c r="F180" s="46" t="n"/>
      <c r="G180" s="96" t="n"/>
      <c r="H180" s="46" t="n"/>
      <c r="I180" s="97" t="n"/>
      <c r="J180" s="46" t="n"/>
      <c r="K180" s="46" t="n"/>
      <c r="L180" s="46" t="n"/>
      <c r="M180" s="46" t="n"/>
      <c r="N180" s="46" t="n"/>
      <c r="O180" s="46" t="n"/>
    </row>
    <row r="181" ht="17" customHeight="1">
      <c r="A181" s="83" t="n"/>
      <c r="B181" s="94" t="n"/>
      <c r="C181" s="46" t="n"/>
      <c r="D181" s="75" t="n"/>
      <c r="E181" s="95" t="n"/>
      <c r="F181" s="46" t="n"/>
      <c r="G181" s="96" t="n"/>
      <c r="H181" s="46" t="n"/>
      <c r="I181" s="97" t="n"/>
      <c r="J181" s="46" t="n"/>
      <c r="K181" s="46" t="n"/>
      <c r="L181" s="46" t="n"/>
      <c r="M181" s="46" t="n"/>
      <c r="N181" s="46" t="n"/>
      <c r="O181" s="46" t="n"/>
    </row>
    <row r="182" ht="17" customHeight="1">
      <c r="A182" s="83" t="n"/>
      <c r="B182" s="94" t="n"/>
      <c r="C182" s="46" t="n"/>
      <c r="D182" s="75" t="n"/>
      <c r="E182" s="95" t="n"/>
      <c r="F182" s="46" t="n"/>
      <c r="G182" s="96" t="n"/>
      <c r="H182" s="46" t="n"/>
      <c r="I182" s="97" t="n"/>
      <c r="J182" s="46" t="n"/>
      <c r="K182" s="46" t="n"/>
      <c r="L182" s="46" t="n"/>
      <c r="M182" s="46" t="n"/>
      <c r="N182" s="46" t="n"/>
      <c r="O182" s="46" t="n"/>
    </row>
    <row r="183" ht="17" customHeight="1">
      <c r="A183" s="83" t="n"/>
      <c r="B183" s="94" t="n"/>
      <c r="C183" s="46" t="n"/>
      <c r="D183" s="75" t="n"/>
      <c r="E183" s="95" t="n"/>
      <c r="F183" s="46" t="n"/>
      <c r="G183" s="96" t="n"/>
      <c r="H183" s="46" t="n"/>
      <c r="I183" s="97" t="n"/>
      <c r="J183" s="46" t="n"/>
      <c r="K183" s="46" t="n"/>
      <c r="L183" s="46" t="n"/>
      <c r="M183" s="46" t="n"/>
      <c r="N183" s="46" t="n"/>
      <c r="O183" s="46" t="n"/>
    </row>
    <row r="184" ht="17" customHeight="1">
      <c r="A184" s="83" t="n"/>
      <c r="B184" s="94" t="n"/>
      <c r="C184" s="46" t="n"/>
      <c r="D184" s="75" t="n"/>
      <c r="E184" s="95" t="n"/>
      <c r="F184" s="46" t="n"/>
      <c r="G184" s="96" t="n"/>
      <c r="H184" s="46" t="n"/>
      <c r="I184" s="97" t="n"/>
      <c r="J184" s="46" t="n"/>
      <c r="K184" s="46" t="n"/>
      <c r="L184" s="46" t="n"/>
      <c r="M184" s="46" t="n"/>
      <c r="N184" s="46" t="n"/>
      <c r="O184" s="46" t="n"/>
    </row>
    <row r="185" ht="17" customHeight="1">
      <c r="A185" s="83" t="n"/>
      <c r="B185" s="94" t="n"/>
      <c r="C185" s="46" t="n"/>
      <c r="D185" s="75" t="n"/>
      <c r="E185" s="95" t="n"/>
      <c r="F185" s="46" t="n"/>
      <c r="G185" s="96" t="n"/>
      <c r="H185" s="46" t="n"/>
      <c r="I185" s="97" t="n"/>
      <c r="J185" s="46" t="n"/>
      <c r="K185" s="46" t="n"/>
      <c r="L185" s="46" t="n"/>
      <c r="M185" s="46" t="n"/>
      <c r="N185" s="46" t="n"/>
      <c r="O185" s="46" t="n"/>
    </row>
    <row r="186" ht="17" customHeight="1">
      <c r="A186" s="83" t="n"/>
      <c r="B186" s="94" t="n"/>
      <c r="C186" s="46" t="n"/>
      <c r="D186" s="75" t="n"/>
      <c r="E186" s="95" t="n"/>
      <c r="F186" s="46" t="n"/>
      <c r="G186" s="96" t="n"/>
      <c r="H186" s="46" t="n"/>
      <c r="I186" s="97" t="n"/>
      <c r="J186" s="46" t="n"/>
      <c r="K186" s="46" t="n"/>
      <c r="L186" s="46" t="n"/>
      <c r="M186" s="46" t="n"/>
      <c r="N186" s="46" t="n"/>
      <c r="O186" s="46" t="n"/>
    </row>
    <row r="187" ht="17" customHeight="1">
      <c r="A187" s="83" t="n"/>
      <c r="B187" s="94" t="n"/>
      <c r="C187" s="46" t="n"/>
      <c r="D187" s="75" t="n"/>
      <c r="E187" s="95" t="n"/>
      <c r="F187" s="46" t="n"/>
      <c r="G187" s="96" t="n"/>
      <c r="H187" s="46" t="n"/>
      <c r="I187" s="97" t="n"/>
      <c r="J187" s="46" t="n"/>
      <c r="K187" s="46" t="n"/>
      <c r="L187" s="46" t="n"/>
      <c r="M187" s="46" t="n"/>
      <c r="N187" s="46" t="n"/>
      <c r="O187" s="46" t="n"/>
    </row>
    <row r="188" ht="17" customHeight="1">
      <c r="A188" s="83" t="n"/>
      <c r="B188" s="94" t="n"/>
      <c r="C188" s="46" t="n"/>
      <c r="D188" s="75" t="n"/>
      <c r="E188" s="95" t="n"/>
      <c r="F188" s="46" t="n"/>
      <c r="G188" s="96" t="n"/>
      <c r="H188" s="46" t="n"/>
      <c r="I188" s="97" t="n"/>
      <c r="J188" s="46" t="n"/>
      <c r="K188" s="46" t="n"/>
      <c r="L188" s="46" t="n"/>
      <c r="M188" s="46" t="n"/>
      <c r="N188" s="46" t="n"/>
      <c r="O188" s="46" t="n"/>
    </row>
    <row r="189" ht="17" customHeight="1">
      <c r="A189" s="83" t="n"/>
      <c r="B189" s="94" t="n"/>
      <c r="C189" s="46" t="n"/>
      <c r="D189" s="75" t="n"/>
      <c r="E189" s="95" t="n"/>
      <c r="F189" s="46" t="n"/>
      <c r="G189" s="96" t="n"/>
      <c r="H189" s="46" t="n"/>
      <c r="I189" s="97" t="n"/>
      <c r="J189" s="46" t="n"/>
      <c r="K189" s="46" t="n"/>
      <c r="L189" s="46" t="n"/>
      <c r="M189" s="46" t="n"/>
      <c r="N189" s="46" t="n"/>
      <c r="O189" s="46" t="n"/>
    </row>
    <row r="190" ht="17" customHeight="1">
      <c r="A190" s="83" t="n"/>
      <c r="B190" s="94" t="n"/>
      <c r="C190" s="46" t="n"/>
      <c r="D190" s="75" t="n"/>
      <c r="E190" s="95" t="n"/>
      <c r="F190" s="46" t="n"/>
      <c r="G190" s="96" t="n"/>
      <c r="H190" s="46" t="n"/>
      <c r="I190" s="97" t="n"/>
      <c r="J190" s="46" t="n"/>
      <c r="K190" s="46" t="n"/>
      <c r="L190" s="46" t="n"/>
      <c r="M190" s="46" t="n"/>
      <c r="N190" s="46" t="n"/>
      <c r="O190" s="46" t="n"/>
    </row>
    <row r="191" ht="17" customHeight="1">
      <c r="A191" s="83" t="n"/>
      <c r="B191" s="94" t="n"/>
      <c r="C191" s="46" t="n"/>
      <c r="D191" s="75" t="n"/>
      <c r="E191" s="95" t="n"/>
      <c r="F191" s="46" t="n"/>
      <c r="G191" s="96" t="n"/>
      <c r="H191" s="46" t="n"/>
      <c r="I191" s="97" t="n"/>
      <c r="J191" s="46" t="n"/>
      <c r="K191" s="46" t="n"/>
      <c r="L191" s="46" t="n"/>
      <c r="M191" s="46" t="n"/>
      <c r="N191" s="46" t="n"/>
      <c r="O191" s="46" t="n"/>
    </row>
    <row r="192" ht="17" customHeight="1">
      <c r="A192" s="83" t="n"/>
      <c r="B192" s="94" t="n"/>
      <c r="C192" s="46" t="n"/>
      <c r="D192" s="75" t="n"/>
      <c r="E192" s="95" t="n"/>
      <c r="F192" s="46" t="n"/>
      <c r="G192" s="96" t="n"/>
      <c r="H192" s="46" t="n"/>
      <c r="I192" s="97" t="n"/>
      <c r="J192" s="46" t="n"/>
      <c r="K192" s="46" t="n"/>
      <c r="L192" s="46" t="n"/>
      <c r="M192" s="46" t="n"/>
      <c r="N192" s="46" t="n"/>
      <c r="O192" s="46" t="n"/>
    </row>
    <row r="193" ht="17" customHeight="1">
      <c r="A193" s="83" t="n"/>
      <c r="B193" s="94" t="n"/>
      <c r="C193" s="46" t="n"/>
      <c r="D193" s="75" t="n"/>
      <c r="E193" s="95" t="n"/>
      <c r="F193" s="46" t="n"/>
      <c r="G193" s="96" t="n"/>
      <c r="H193" s="46" t="n"/>
      <c r="I193" s="97" t="n"/>
      <c r="J193" s="46" t="n"/>
      <c r="K193" s="46" t="n"/>
      <c r="L193" s="46" t="n"/>
      <c r="M193" s="46" t="n"/>
      <c r="N193" s="46" t="n"/>
      <c r="O193" s="46" t="n"/>
    </row>
    <row r="194" ht="22" customHeight="1">
      <c r="A194" s="31" t="inlineStr">
        <is>
          <t>TOTAL LANÇADO NO LIVRO</t>
        </is>
      </c>
      <c r="B194" s="32" t="n"/>
      <c r="C194" s="32" t="n"/>
      <c r="D194" s="32" t="n"/>
      <c r="E194" s="59">
        <f>ROUND(SUM($E$134:$E$193),2)</f>
        <v/>
      </c>
      <c r="F194" s="32" t="n"/>
      <c r="G194" s="98">
        <f>IF(COUNTA($B$134:$B$193)=COUNT($E$134:$E$193),"lançamentos: "&amp;COUNT($E$134:$E$193)&amp;" · todos classificados","ATENÇÃO: "&amp;(COUNT($E$134:$E$193)-COUNTA($B$134:$B$193))&amp;" lançamento(s) sem categoria")</f>
        <v/>
      </c>
      <c r="H194" s="32" t="n"/>
      <c r="I194" s="32" t="n"/>
      <c r="J194" s="32" t="n"/>
      <c r="K194" s="32" t="n"/>
      <c r="L194" s="32" t="n"/>
      <c r="M194" s="32" t="n"/>
      <c r="N194" s="32" t="n"/>
      <c r="O194" s="32" t="n"/>
    </row>
    <row r="196" ht="50" customHeight="1">
      <c r="A196" s="43" t="inlineStr">
        <is>
          <t xml:space="preserve">  Preencha primeiro a coluna ORÇADO com o que o orçamento previu e vá preenchendo o REALIZADO conforme o projeto anda — o desvio de cada linha é o que mostra onde o orçamento erra. Compras entram uma a uma no livro do bloco 8, com categoria, forma de pagamento e status; as categorias do bloco 6 se somam sozinhas. Você pode inserir linhas em qualquer bloco a partir da linha 26: tudo o que o Painel Geral lê está acima disso.</t>
        </is>
      </c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</row>
  </sheetData>
  <mergeCells count="561">
    <mergeCell ref="A196:O196"/>
    <mergeCell ref="I170:O170"/>
    <mergeCell ref="A15:B15"/>
    <mergeCell ref="I157:O157"/>
    <mergeCell ref="G128:O128"/>
    <mergeCell ref="B141:C141"/>
    <mergeCell ref="E142:F142"/>
    <mergeCell ref="I193:O193"/>
    <mergeCell ref="I172:O172"/>
    <mergeCell ref="H9:I9"/>
    <mergeCell ref="J76:M76"/>
    <mergeCell ref="G121:O121"/>
    <mergeCell ref="E171:F171"/>
    <mergeCell ref="G123:O123"/>
    <mergeCell ref="E137:F137"/>
    <mergeCell ref="G137:H137"/>
    <mergeCell ref="E173:F173"/>
    <mergeCell ref="H70:O70"/>
    <mergeCell ref="E148:F148"/>
    <mergeCell ref="G148:H148"/>
    <mergeCell ref="B78:C78"/>
    <mergeCell ref="D7:E7"/>
    <mergeCell ref="I183:O183"/>
    <mergeCell ref="D78:E78"/>
    <mergeCell ref="E166:F166"/>
    <mergeCell ref="G139:H139"/>
    <mergeCell ref="I175:O175"/>
    <mergeCell ref="H99:O99"/>
    <mergeCell ref="A34:C34"/>
    <mergeCell ref="I185:O185"/>
    <mergeCell ref="E168:F168"/>
    <mergeCell ref="G168:H168"/>
    <mergeCell ref="H87:I87"/>
    <mergeCell ref="H101:O101"/>
    <mergeCell ref="G143:H143"/>
    <mergeCell ref="D73:E73"/>
    <mergeCell ref="I176:O176"/>
    <mergeCell ref="J9:O9"/>
    <mergeCell ref="B154:C154"/>
    <mergeCell ref="H91:I91"/>
    <mergeCell ref="E117:F117"/>
    <mergeCell ref="A24:H24"/>
    <mergeCell ref="B156:C156"/>
    <mergeCell ref="E67:F67"/>
    <mergeCell ref="A103:B103"/>
    <mergeCell ref="H112:O112"/>
    <mergeCell ref="I138:O138"/>
    <mergeCell ref="I178:O178"/>
    <mergeCell ref="H114:O114"/>
    <mergeCell ref="E161:F161"/>
    <mergeCell ref="J73:M73"/>
    <mergeCell ref="G129:O129"/>
    <mergeCell ref="A72:O72"/>
    <mergeCell ref="J77:M77"/>
    <mergeCell ref="H75:I75"/>
    <mergeCell ref="B84:C84"/>
    <mergeCell ref="E110:F110"/>
    <mergeCell ref="H105:O105"/>
    <mergeCell ref="E16:F16"/>
    <mergeCell ref="E187:F187"/>
    <mergeCell ref="G138:H138"/>
    <mergeCell ref="B142:C142"/>
    <mergeCell ref="B80:C80"/>
    <mergeCell ref="E174:F174"/>
    <mergeCell ref="H15:O15"/>
    <mergeCell ref="H107:O107"/>
    <mergeCell ref="G126:O126"/>
    <mergeCell ref="B79:C79"/>
    <mergeCell ref="E18:F18"/>
    <mergeCell ref="D79:E79"/>
    <mergeCell ref="E189:F189"/>
    <mergeCell ref="G140:H140"/>
    <mergeCell ref="B144:C144"/>
    <mergeCell ref="F73:G73"/>
    <mergeCell ref="B81:C81"/>
    <mergeCell ref="D81:E81"/>
    <mergeCell ref="I191:O191"/>
    <mergeCell ref="H102:O102"/>
    <mergeCell ref="E29:F29"/>
    <mergeCell ref="H39:O39"/>
    <mergeCell ref="I192:O192"/>
    <mergeCell ref="E69:F69"/>
    <mergeCell ref="B170:C170"/>
    <mergeCell ref="E31:F31"/>
    <mergeCell ref="E158:F158"/>
    <mergeCell ref="E133:F133"/>
    <mergeCell ref="E108:F108"/>
    <mergeCell ref="G133:H133"/>
    <mergeCell ref="B172:C172"/>
    <mergeCell ref="E95:F95"/>
    <mergeCell ref="H28:O28"/>
    <mergeCell ref="E162:F162"/>
    <mergeCell ref="G135:H135"/>
    <mergeCell ref="B92:C92"/>
    <mergeCell ref="J74:M74"/>
    <mergeCell ref="D92:E92"/>
    <mergeCell ref="I146:O146"/>
    <mergeCell ref="F92:G92"/>
    <mergeCell ref="G153:H153"/>
    <mergeCell ref="A36:O36"/>
    <mergeCell ref="A11:O11"/>
    <mergeCell ref="B76:C76"/>
    <mergeCell ref="I181:O181"/>
    <mergeCell ref="A1:O1"/>
    <mergeCell ref="I12:O12"/>
    <mergeCell ref="E164:F164"/>
    <mergeCell ref="G164:H164"/>
    <mergeCell ref="H23:O23"/>
    <mergeCell ref="B150:C150"/>
    <mergeCell ref="E42:F42"/>
    <mergeCell ref="E17:F17"/>
    <mergeCell ref="E188:F188"/>
    <mergeCell ref="E126:F126"/>
    <mergeCell ref="B152:C152"/>
    <mergeCell ref="E180:F180"/>
    <mergeCell ref="J92:M92"/>
    <mergeCell ref="E19:F19"/>
    <mergeCell ref="E190:F190"/>
    <mergeCell ref="B145:C145"/>
    <mergeCell ref="G190:H190"/>
    <mergeCell ref="G146:H146"/>
    <mergeCell ref="B181:C181"/>
    <mergeCell ref="E182:F182"/>
    <mergeCell ref="A4:O4"/>
    <mergeCell ref="F10:O10"/>
    <mergeCell ref="H110:O110"/>
    <mergeCell ref="B87:C87"/>
    <mergeCell ref="I136:O136"/>
    <mergeCell ref="B147:C147"/>
    <mergeCell ref="D87:E87"/>
    <mergeCell ref="J87:M87"/>
    <mergeCell ref="E179:F179"/>
    <mergeCell ref="J89:M89"/>
    <mergeCell ref="D82:E82"/>
    <mergeCell ref="F82:G82"/>
    <mergeCell ref="G194:O194"/>
    <mergeCell ref="E37:F37"/>
    <mergeCell ref="E159:F159"/>
    <mergeCell ref="E97:F97"/>
    <mergeCell ref="G159:H159"/>
    <mergeCell ref="B163:C163"/>
    <mergeCell ref="H8:I8"/>
    <mergeCell ref="E109:F109"/>
    <mergeCell ref="H30:O30"/>
    <mergeCell ref="E145:F145"/>
    <mergeCell ref="E139:F139"/>
    <mergeCell ref="G161:H161"/>
    <mergeCell ref="B165:C165"/>
    <mergeCell ref="H29:O29"/>
    <mergeCell ref="E111:F111"/>
    <mergeCell ref="G136:H136"/>
    <mergeCell ref="A70:B70"/>
    <mergeCell ref="H44:O44"/>
    <mergeCell ref="H31:O31"/>
    <mergeCell ref="B77:C77"/>
    <mergeCell ref="D6:E6"/>
    <mergeCell ref="D77:E77"/>
    <mergeCell ref="I149:O149"/>
    <mergeCell ref="J82:M82"/>
    <mergeCell ref="H89:I89"/>
    <mergeCell ref="I151:O151"/>
    <mergeCell ref="B191:C191"/>
    <mergeCell ref="B178:C178"/>
    <mergeCell ref="E27:F27"/>
    <mergeCell ref="I144:O144"/>
    <mergeCell ref="E119:F119"/>
    <mergeCell ref="E183:F183"/>
    <mergeCell ref="G183:H183"/>
    <mergeCell ref="A6:C6"/>
    <mergeCell ref="E22:F22"/>
    <mergeCell ref="H42:O42"/>
    <mergeCell ref="E193:F193"/>
    <mergeCell ref="G193:H193"/>
    <mergeCell ref="D88:E88"/>
    <mergeCell ref="G149:H149"/>
    <mergeCell ref="F88:G88"/>
    <mergeCell ref="I177:O177"/>
    <mergeCell ref="G185:H185"/>
    <mergeCell ref="B90:C90"/>
    <mergeCell ref="D90:E90"/>
    <mergeCell ref="E122:F122"/>
    <mergeCell ref="G151:H151"/>
    <mergeCell ref="A45:B45"/>
    <mergeCell ref="G178:H178"/>
    <mergeCell ref="F6:G6"/>
    <mergeCell ref="J90:M90"/>
    <mergeCell ref="F83:G83"/>
    <mergeCell ref="H83:I83"/>
    <mergeCell ref="E38:F38"/>
    <mergeCell ref="A2:O2"/>
    <mergeCell ref="E147:F147"/>
    <mergeCell ref="F85:G85"/>
    <mergeCell ref="H85:I85"/>
    <mergeCell ref="G175:H175"/>
    <mergeCell ref="B179:C179"/>
    <mergeCell ref="E40:F40"/>
    <mergeCell ref="G162:H162"/>
    <mergeCell ref="H108:O108"/>
    <mergeCell ref="B166:C166"/>
    <mergeCell ref="B124:D124"/>
    <mergeCell ref="E186:F186"/>
    <mergeCell ref="G177:H177"/>
    <mergeCell ref="E104:F104"/>
    <mergeCell ref="H45:O45"/>
    <mergeCell ref="B174:C174"/>
    <mergeCell ref="B168:C168"/>
    <mergeCell ref="H32:O32"/>
    <mergeCell ref="B126:D126"/>
    <mergeCell ref="D9:E9"/>
    <mergeCell ref="H80:I80"/>
    <mergeCell ref="F9:G9"/>
    <mergeCell ref="I150:O150"/>
    <mergeCell ref="J83:M83"/>
    <mergeCell ref="I165:O165"/>
    <mergeCell ref="B169:C169"/>
    <mergeCell ref="I152:O152"/>
    <mergeCell ref="E66:F66"/>
    <mergeCell ref="J85:M85"/>
    <mergeCell ref="E130:F130"/>
    <mergeCell ref="E68:F68"/>
    <mergeCell ref="B134:C134"/>
    <mergeCell ref="G155:H155"/>
    <mergeCell ref="E160:F160"/>
    <mergeCell ref="E141:F141"/>
    <mergeCell ref="G118:O118"/>
    <mergeCell ref="E135:F135"/>
    <mergeCell ref="G157:H157"/>
    <mergeCell ref="E107:F107"/>
    <mergeCell ref="H73:I73"/>
    <mergeCell ref="E143:F143"/>
    <mergeCell ref="G172:H172"/>
    <mergeCell ref="G186:H186"/>
    <mergeCell ref="B162:C162"/>
    <mergeCell ref="D91:E91"/>
    <mergeCell ref="G152:H152"/>
    <mergeCell ref="F91:G91"/>
    <mergeCell ref="A21:B21"/>
    <mergeCell ref="I163:O163"/>
    <mergeCell ref="H84:I84"/>
    <mergeCell ref="A23:B23"/>
    <mergeCell ref="B187:C187"/>
    <mergeCell ref="E125:F125"/>
    <mergeCell ref="H86:I86"/>
    <mergeCell ref="E41:F41"/>
    <mergeCell ref="B189:C189"/>
    <mergeCell ref="E112:F112"/>
    <mergeCell ref="B188:C188"/>
    <mergeCell ref="B117:D117"/>
    <mergeCell ref="E43:F43"/>
    <mergeCell ref="J91:M91"/>
    <mergeCell ref="B190:C190"/>
    <mergeCell ref="B119:D119"/>
    <mergeCell ref="A16:B16"/>
    <mergeCell ref="G124:O124"/>
    <mergeCell ref="E138:F138"/>
    <mergeCell ref="A108:B108"/>
    <mergeCell ref="B127:D127"/>
    <mergeCell ref="I168:O168"/>
    <mergeCell ref="A18:B18"/>
    <mergeCell ref="B73:C73"/>
    <mergeCell ref="E167:F167"/>
    <mergeCell ref="H100:O100"/>
    <mergeCell ref="H7:I7"/>
    <mergeCell ref="G119:O119"/>
    <mergeCell ref="B137:C137"/>
    <mergeCell ref="E169:F169"/>
    <mergeCell ref="H66:O66"/>
    <mergeCell ref="B74:C74"/>
    <mergeCell ref="D74:E74"/>
    <mergeCell ref="B139:C139"/>
    <mergeCell ref="I184:O184"/>
    <mergeCell ref="B122:D122"/>
    <mergeCell ref="I171:O171"/>
    <mergeCell ref="H76:I76"/>
    <mergeCell ref="H95:O95"/>
    <mergeCell ref="A44:B44"/>
    <mergeCell ref="I173:O173"/>
    <mergeCell ref="H97:O97"/>
    <mergeCell ref="I166:O166"/>
    <mergeCell ref="G176:H176"/>
    <mergeCell ref="E64:F64"/>
    <mergeCell ref="J7:O7"/>
    <mergeCell ref="E156:F156"/>
    <mergeCell ref="E153:F153"/>
    <mergeCell ref="H21:O21"/>
    <mergeCell ref="E128:F128"/>
    <mergeCell ref="E155:F155"/>
    <mergeCell ref="D61:E61"/>
    <mergeCell ref="G184:H184"/>
    <mergeCell ref="G171:H171"/>
    <mergeCell ref="E65:F65"/>
    <mergeCell ref="E157:F157"/>
    <mergeCell ref="H16:O16"/>
    <mergeCell ref="A17:B17"/>
    <mergeCell ref="I134:O134"/>
    <mergeCell ref="H27:O27"/>
    <mergeCell ref="G117:O117"/>
    <mergeCell ref="A19:B19"/>
    <mergeCell ref="I161:O161"/>
    <mergeCell ref="E146:F146"/>
    <mergeCell ref="E12:F12"/>
    <mergeCell ref="G125:O125"/>
    <mergeCell ref="B138:C138"/>
    <mergeCell ref="E175:F175"/>
    <mergeCell ref="H67:O67"/>
    <mergeCell ref="H103:O103"/>
    <mergeCell ref="G127:O127"/>
    <mergeCell ref="E185:F185"/>
    <mergeCell ref="B140:C140"/>
    <mergeCell ref="I187:O187"/>
    <mergeCell ref="E170:F170"/>
    <mergeCell ref="I174:O174"/>
    <mergeCell ref="H98:O98"/>
    <mergeCell ref="D75:E75"/>
    <mergeCell ref="F75:G75"/>
    <mergeCell ref="I189:O189"/>
    <mergeCell ref="I188:O188"/>
    <mergeCell ref="G192:H192"/>
    <mergeCell ref="J8:O8"/>
    <mergeCell ref="E154:F154"/>
    <mergeCell ref="G154:H154"/>
    <mergeCell ref="B158:C158"/>
    <mergeCell ref="E172:F172"/>
    <mergeCell ref="B89:C89"/>
    <mergeCell ref="B160:C160"/>
    <mergeCell ref="D89:E89"/>
    <mergeCell ref="H18:O18"/>
    <mergeCell ref="L61:M61"/>
    <mergeCell ref="A194:D194"/>
    <mergeCell ref="I142:O142"/>
    <mergeCell ref="B153:C153"/>
    <mergeCell ref="J75:M75"/>
    <mergeCell ref="B184:C184"/>
    <mergeCell ref="H113:O113"/>
    <mergeCell ref="E20:F20"/>
    <mergeCell ref="I137:O137"/>
    <mergeCell ref="E177:F177"/>
    <mergeCell ref="E13:F13"/>
    <mergeCell ref="I164:O164"/>
    <mergeCell ref="I139:O139"/>
    <mergeCell ref="B88:C88"/>
    <mergeCell ref="B148:C148"/>
    <mergeCell ref="B82:C82"/>
    <mergeCell ref="E149:F149"/>
    <mergeCell ref="E176:F176"/>
    <mergeCell ref="E114:F114"/>
    <mergeCell ref="J88:M88"/>
    <mergeCell ref="A63:O63"/>
    <mergeCell ref="E15:F15"/>
    <mergeCell ref="E191:F191"/>
    <mergeCell ref="G142:H142"/>
    <mergeCell ref="B146:C146"/>
    <mergeCell ref="E178:F178"/>
    <mergeCell ref="H37:O37"/>
    <mergeCell ref="B83:C83"/>
    <mergeCell ref="B143:C143"/>
    <mergeCell ref="D83:E83"/>
    <mergeCell ref="E144:F144"/>
    <mergeCell ref="G144:H144"/>
    <mergeCell ref="H104:O104"/>
    <mergeCell ref="B85:C85"/>
    <mergeCell ref="A94:O94"/>
    <mergeCell ref="I190:O190"/>
    <mergeCell ref="D85:E85"/>
    <mergeCell ref="G173:H173"/>
    <mergeCell ref="H92:I92"/>
    <mergeCell ref="H106:O106"/>
    <mergeCell ref="F78:G78"/>
    <mergeCell ref="E106:F106"/>
    <mergeCell ref="H78:I78"/>
    <mergeCell ref="E33:F33"/>
    <mergeCell ref="H43:O43"/>
    <mergeCell ref="B159:C159"/>
    <mergeCell ref="D80:E80"/>
    <mergeCell ref="G170:H170"/>
    <mergeCell ref="B167:C167"/>
    <mergeCell ref="A26:O26"/>
    <mergeCell ref="B161:C161"/>
    <mergeCell ref="H6:I6"/>
    <mergeCell ref="H130:O130"/>
    <mergeCell ref="H68:O68"/>
    <mergeCell ref="B136:C136"/>
    <mergeCell ref="E28:F28"/>
    <mergeCell ref="B175:C175"/>
    <mergeCell ref="E30:F30"/>
    <mergeCell ref="J84:M84"/>
    <mergeCell ref="I145:O145"/>
    <mergeCell ref="J78:M78"/>
    <mergeCell ref="H69:O69"/>
    <mergeCell ref="A9:C9"/>
    <mergeCell ref="I147:O147"/>
    <mergeCell ref="J80:M80"/>
    <mergeCell ref="D8:E8"/>
    <mergeCell ref="J79:M79"/>
    <mergeCell ref="G150:H150"/>
    <mergeCell ref="I186:O186"/>
    <mergeCell ref="E21:F21"/>
    <mergeCell ref="J6:O6"/>
    <mergeCell ref="H82:I82"/>
    <mergeCell ref="B91:C91"/>
    <mergeCell ref="E192:F192"/>
    <mergeCell ref="H20:O20"/>
    <mergeCell ref="E129:F129"/>
    <mergeCell ref="H38:O38"/>
    <mergeCell ref="E23:F23"/>
    <mergeCell ref="D84:E84"/>
    <mergeCell ref="B155:C155"/>
    <mergeCell ref="G145:H145"/>
    <mergeCell ref="F84:G84"/>
    <mergeCell ref="B149:C149"/>
    <mergeCell ref="E181:F181"/>
    <mergeCell ref="B193:C193"/>
    <mergeCell ref="E194:F194"/>
    <mergeCell ref="G181:H181"/>
    <mergeCell ref="A3:O3"/>
    <mergeCell ref="H40:O40"/>
    <mergeCell ref="B86:C86"/>
    <mergeCell ref="G160:H160"/>
    <mergeCell ref="D86:E86"/>
    <mergeCell ref="I140:O140"/>
    <mergeCell ref="G147:H147"/>
    <mergeCell ref="F86:G86"/>
    <mergeCell ref="H64:O64"/>
    <mergeCell ref="B151:C151"/>
    <mergeCell ref="F80:G80"/>
    <mergeCell ref="G174:H174"/>
    <mergeCell ref="I158:O158"/>
    <mergeCell ref="I133:O133"/>
    <mergeCell ref="G189:H189"/>
    <mergeCell ref="F79:G79"/>
    <mergeCell ref="H79:I79"/>
    <mergeCell ref="E34:F34"/>
    <mergeCell ref="B182:C182"/>
    <mergeCell ref="E105:F105"/>
    <mergeCell ref="I160:O160"/>
    <mergeCell ref="E99:F99"/>
    <mergeCell ref="I135:O135"/>
    <mergeCell ref="F81:G81"/>
    <mergeCell ref="H81:I81"/>
    <mergeCell ref="E163:F163"/>
    <mergeCell ref="E101:F101"/>
    <mergeCell ref="G163:H163"/>
    <mergeCell ref="A22:B22"/>
    <mergeCell ref="B125:D125"/>
    <mergeCell ref="E113:F113"/>
    <mergeCell ref="B183:C183"/>
    <mergeCell ref="B177:C177"/>
    <mergeCell ref="E100:F100"/>
    <mergeCell ref="B164:C164"/>
    <mergeCell ref="J86:M86"/>
    <mergeCell ref="E136:F136"/>
    <mergeCell ref="G165:H165"/>
    <mergeCell ref="H33:O33"/>
    <mergeCell ref="I24:O24"/>
    <mergeCell ref="E102:F102"/>
    <mergeCell ref="G158:H158"/>
    <mergeCell ref="B120:D120"/>
    <mergeCell ref="D10:E10"/>
    <mergeCell ref="G169:H169"/>
    <mergeCell ref="I148:O148"/>
    <mergeCell ref="I153:O153"/>
    <mergeCell ref="E127:F127"/>
    <mergeCell ref="F74:G74"/>
    <mergeCell ref="B180:C180"/>
    <mergeCell ref="H74:I74"/>
    <mergeCell ref="G191:H191"/>
    <mergeCell ref="D76:E76"/>
    <mergeCell ref="F76:G76"/>
    <mergeCell ref="A47:O47"/>
    <mergeCell ref="B157:C157"/>
    <mergeCell ref="I179:O179"/>
    <mergeCell ref="B186:C186"/>
    <mergeCell ref="I141:O141"/>
    <mergeCell ref="E124:F124"/>
    <mergeCell ref="H65:O65"/>
    <mergeCell ref="E120:F120"/>
    <mergeCell ref="I159:O159"/>
    <mergeCell ref="I143:O143"/>
    <mergeCell ref="E184:F184"/>
    <mergeCell ref="A7:C7"/>
    <mergeCell ref="G122:O122"/>
    <mergeCell ref="E121:F121"/>
    <mergeCell ref="F87:G87"/>
    <mergeCell ref="B185:C185"/>
    <mergeCell ref="E151:F151"/>
    <mergeCell ref="H41:O41"/>
    <mergeCell ref="E123:F123"/>
    <mergeCell ref="F89:G89"/>
    <mergeCell ref="E150:F150"/>
    <mergeCell ref="E39:F39"/>
    <mergeCell ref="G179:H179"/>
    <mergeCell ref="F7:G7"/>
    <mergeCell ref="E44:F44"/>
    <mergeCell ref="B176:C176"/>
    <mergeCell ref="G166:H166"/>
    <mergeCell ref="H34:O34"/>
    <mergeCell ref="B128:D128"/>
    <mergeCell ref="G141:H141"/>
    <mergeCell ref="E103:F103"/>
    <mergeCell ref="E152:F152"/>
    <mergeCell ref="A116:O116"/>
    <mergeCell ref="E118:F118"/>
    <mergeCell ref="F8:G8"/>
    <mergeCell ref="A12:B12"/>
    <mergeCell ref="C12:D12"/>
    <mergeCell ref="G167:H167"/>
    <mergeCell ref="I154:O154"/>
    <mergeCell ref="B171:C171"/>
    <mergeCell ref="B123:D123"/>
    <mergeCell ref="I156:O156"/>
    <mergeCell ref="E70:F70"/>
    <mergeCell ref="F77:G77"/>
    <mergeCell ref="H77:I77"/>
    <mergeCell ref="H96:O96"/>
    <mergeCell ref="E32:F32"/>
    <mergeCell ref="G120:O120"/>
    <mergeCell ref="B133:C133"/>
    <mergeCell ref="E134:F134"/>
    <mergeCell ref="G134:H134"/>
    <mergeCell ref="B173:C173"/>
    <mergeCell ref="E96:F96"/>
    <mergeCell ref="B75:C75"/>
    <mergeCell ref="B135:C135"/>
    <mergeCell ref="I180:O180"/>
    <mergeCell ref="A130:B130"/>
    <mergeCell ref="I167:O167"/>
    <mergeCell ref="E98:F98"/>
    <mergeCell ref="I182:O182"/>
    <mergeCell ref="E165:F165"/>
    <mergeCell ref="I169:O169"/>
    <mergeCell ref="I13:O13"/>
    <mergeCell ref="E140:F140"/>
    <mergeCell ref="G156:H156"/>
    <mergeCell ref="B118:D118"/>
    <mergeCell ref="A8:C8"/>
    <mergeCell ref="H61:I61"/>
    <mergeCell ref="H88:I88"/>
    <mergeCell ref="J81:M81"/>
    <mergeCell ref="G187:H187"/>
    <mergeCell ref="A10:C10"/>
    <mergeCell ref="H17:O17"/>
    <mergeCell ref="F90:G90"/>
    <mergeCell ref="H90:I90"/>
    <mergeCell ref="H109:O109"/>
    <mergeCell ref="G180:H180"/>
    <mergeCell ref="E45:F45"/>
    <mergeCell ref="H22:O22"/>
    <mergeCell ref="B129:D129"/>
    <mergeCell ref="H19:O19"/>
    <mergeCell ref="G188:H188"/>
    <mergeCell ref="B192:C192"/>
    <mergeCell ref="A20:B20"/>
    <mergeCell ref="H111:O111"/>
    <mergeCell ref="B121:D121"/>
    <mergeCell ref="G182:H182"/>
    <mergeCell ref="I162:O162"/>
    <mergeCell ref="A132:O132"/>
    <mergeCell ref="A13:B13"/>
    <mergeCell ref="C13:D13"/>
    <mergeCell ref="I155:O155"/>
    <mergeCell ref="A114:B114"/>
  </mergeCells>
  <conditionalFormatting sqref="I134:O193">
    <cfRule type="expression" priority="1" dxfId="0" stopIfTrue="1">
      <formula>$I134="Pago"</formula>
    </cfRule>
    <cfRule type="expression" priority="2" dxfId="3" stopIfTrue="1">
      <formula>$I134="Comprado (a pagar)"</formula>
    </cfRule>
    <cfRule type="expression" priority="3" dxfId="1" stopIfTrue="1">
      <formula>$I134="A comprar"</formula>
    </cfRule>
  </conditionalFormatting>
  <conditionalFormatting sqref="A134:O193">
    <cfRule type="expression" priority="4" dxfId="6">
      <formula>AND($E134&lt;&gt;"",$B134="")</formula>
    </cfRule>
  </conditionalFormatting>
  <conditionalFormatting sqref="E16:F22">
    <cfRule type="expression" priority="5" dxfId="4">
      <formula>AND($E16&lt;&gt;"",$E16&gt;0)</formula>
    </cfRule>
    <cfRule type="expression" priority="6" dxfId="5">
      <formula>AND($E16&lt;&gt;"",$E16&lt;0)</formula>
    </cfRule>
  </conditionalFormatting>
  <conditionalFormatting sqref="E96:F114">
    <cfRule type="expression" priority="7" dxfId="4">
      <formula>AND($E96&lt;&gt;"",$E96&gt;0)</formula>
    </cfRule>
    <cfRule type="expression" priority="8" dxfId="5">
      <formula>AND($E96&lt;&gt;"",$E96&lt;0)</formula>
    </cfRule>
  </conditionalFormatting>
  <conditionalFormatting sqref="J9">
    <cfRule type="expression" priority="9" dxfId="0" stopIfTrue="1">
      <formula>$J$9="No prazo"</formula>
    </cfRule>
    <cfRule type="expression" priority="10" dxfId="2">
      <formula>$J$9="Atrasado"</formula>
    </cfRule>
  </conditionalFormatting>
  <conditionalFormatting sqref="A13:J13">
    <cfRule type="expression" priority="11" dxfId="6">
      <formula>AND($G$13&lt;&gt;"",$G$13&lt;0.25)</formula>
    </cfRule>
  </conditionalFormatting>
  <dataValidations count="12">
    <dataValidation sqref="D10:E1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"Jan/2026,Fev/2026,Mar/2026,Abr/2026,Mai/2026,Jun/2026,Jul/2026,Ago/2026,Set/2026,Out/2026,Nov/2026,Dez/2026,Jan/2027,Fev/2027,Mar/2027,Abr/2027,Mai/2027,Jun/2027,Jul/2027,Ago/2027,Set/2027,Out/2027,Nov/2027,Dez/2027"</formula1>
    </dataValidation>
    <dataValidation sqref="D49:D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H49:H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L49:L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"Lorrane,Lucas,Externo / avulso"</formula1>
    </dataValidation>
    <dataValidation sqref="H66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A74:A91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B118:B12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"Erro de projeto,Erro de medição,Erro de produção,Erro de montagem,Falha de material,Dano no transporte,Mudança pedida pelo cliente,Falha de fornecedor,Outro"</formula1>
    </dataValidation>
    <dataValidation sqref="B134:B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"MDF e MDP,Fita de borda,Ferragens,Vidros e espelhos,Esquadrias,Lâmina natural,Consumíveis,Acabamento,Serralheria,Vidraceiro,Outro terceirizado,Uber e aplicativo,Carreto e entrega,Deslocamento da equipe,Frete de material,Estacionamento e pedágio"</formula1>
    </dataValidation>
    <dataValidation sqref="G134:G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"PIX,Boleto,Cartão de crédito,Cartão parcelado,Dinheiro,Transferência,Faturado 30 dias,A combinar"</formula1>
    </dataValidation>
    <dataValidation sqref="I134:I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"A comprar,Comprado (a pagar),Pago"</formula1>
    </dataValidation>
    <dataValidation sqref="D9:E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"Jonathan,Vitor,Indicação,Arquiteto parceiro,Outro"</formula1>
    </dataValidation>
    <dataValidation sqref="F9:G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</dataValidations>
  <pageMargins left="0.4" right="0.3" top="0.4" bottom="0.3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96"/>
  <sheetViews>
    <sheetView showGridLines="0"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14" customWidth="1" min="3" max="3"/>
    <col width="16" customWidth="1" min="4" max="4"/>
    <col width="7" customWidth="1" min="5" max="5"/>
    <col width="13" customWidth="1" min="6" max="6"/>
    <col width="13" customWidth="1" min="7" max="7"/>
    <col width="16" customWidth="1" min="8" max="8"/>
    <col width="7" customWidth="1" min="9" max="9"/>
    <col width="13" customWidth="1" min="10" max="10"/>
    <col width="13" customWidth="1" min="11" max="11"/>
    <col width="15" customWidth="1" min="12" max="12"/>
    <col width="7" customWidth="1" min="13" max="13"/>
    <col width="13" customWidth="1" min="14" max="14"/>
    <col width="14" customWidth="1" min="15" max="15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8" customHeight="1">
      <c r="A3" s="4" t="inlineStr">
        <is>
          <t>FICHA DE CUSTO DO PROJETO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 ht="17" customHeight="1">
      <c r="A4" s="6" t="inlineStr">
        <is>
          <t>Fundo creme = você preenche · fundo cinza = calculado · duplique esta aba a cada projeto e registre o nome dela no Painel Geral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 ht="6" customHeight="1"/>
    <row r="6" ht="13" customHeight="1">
      <c r="A6" s="44" t="inlineStr">
        <is>
          <t>CLIENTE</t>
        </is>
      </c>
      <c r="B6" s="13" t="n"/>
      <c r="C6" s="13" t="n"/>
      <c r="D6" s="44" t="inlineStr">
        <is>
          <t>Nº DO PROJETO</t>
        </is>
      </c>
      <c r="E6" s="13" t="n"/>
      <c r="F6" s="44" t="inlineStr">
        <is>
          <t>DATA DE ENTRADA</t>
        </is>
      </c>
      <c r="G6" s="13" t="n"/>
      <c r="H6" s="44" t="inlineStr">
        <is>
          <t>ENTREGA PREVISTA</t>
        </is>
      </c>
      <c r="I6" s="13" t="n"/>
      <c r="J6" s="44" t="inlineStr">
        <is>
          <t>ENTREGA REAL</t>
        </is>
      </c>
      <c r="K6" s="13" t="n"/>
      <c r="L6" s="13" t="n"/>
      <c r="M6" s="13" t="n"/>
      <c r="N6" s="13" t="n"/>
      <c r="O6" s="13" t="n"/>
    </row>
    <row r="7" ht="21" customHeight="1">
      <c r="A7" s="45" t="n"/>
      <c r="B7" s="46" t="n"/>
      <c r="C7" s="46" t="n"/>
      <c r="D7" s="45" t="n"/>
      <c r="E7" s="46" t="n"/>
      <c r="F7" s="47" t="n"/>
      <c r="G7" s="46" t="n"/>
      <c r="H7" s="47" t="n"/>
      <c r="I7" s="46" t="n"/>
      <c r="J7" s="47" t="n"/>
      <c r="K7" s="46" t="n"/>
      <c r="L7" s="46" t="n"/>
      <c r="M7" s="46" t="n"/>
      <c r="N7" s="46" t="n"/>
      <c r="O7" s="46" t="n"/>
    </row>
    <row r="8" ht="13" customHeight="1">
      <c r="A8" s="44" t="inlineStr">
        <is>
          <t>PROJETO</t>
        </is>
      </c>
      <c r="B8" s="13" t="n"/>
      <c r="C8" s="13" t="n"/>
      <c r="D8" s="44" t="inlineStr">
        <is>
          <t>VENDEDOR</t>
        </is>
      </c>
      <c r="E8" s="13" t="n"/>
      <c r="F8" s="44" t="inlineStr">
        <is>
          <t>COORDENADOR</t>
        </is>
      </c>
      <c r="G8" s="13" t="n"/>
      <c r="H8" s="44" t="inlineStr">
        <is>
          <t>DIAS DE ATRASO</t>
        </is>
      </c>
      <c r="I8" s="13" t="n"/>
      <c r="J8" s="44" t="inlineStr">
        <is>
          <t>SITUAÇÃO DA ENTREGA</t>
        </is>
      </c>
      <c r="K8" s="13" t="n"/>
      <c r="L8" s="13" t="n"/>
      <c r="M8" s="13" t="n"/>
      <c r="N8" s="13" t="n"/>
      <c r="O8" s="13" t="n"/>
    </row>
    <row r="9" ht="21" customHeight="1">
      <c r="A9" s="45" t="n"/>
      <c r="B9" s="46" t="n"/>
      <c r="C9" s="46" t="n"/>
      <c r="D9" s="45" t="n"/>
      <c r="E9" s="46" t="n"/>
      <c r="F9" s="48" t="n"/>
      <c r="G9" s="46" t="n"/>
      <c r="H9" s="49">
        <f>IF(OR($H$7="",$J$7=""),"",$J$7-$H$7)</f>
        <v/>
      </c>
      <c r="I9" s="38" t="n"/>
      <c r="J9" s="50">
        <f>IF($H$7="","",IF($J$7="",IF(TODAY()&gt;$H$7,"Atrasado","Em produção"),IF($H$9&lt;=0,"No prazo","Atrasado")))</f>
        <v/>
      </c>
      <c r="K9" s="38" t="n"/>
      <c r="L9" s="38" t="n"/>
      <c r="M9" s="38" t="n"/>
      <c r="N9" s="38" t="n"/>
      <c r="O9" s="38" t="n"/>
    </row>
    <row r="10" ht="18" customHeight="1">
      <c r="A10" s="51" t="inlineStr">
        <is>
          <t>MÊS DE COMPETÊNCIA</t>
        </is>
      </c>
      <c r="B10" s="37" t="n"/>
      <c r="C10" s="37" t="n"/>
      <c r="D10" s="52" t="n"/>
      <c r="E10" s="46" t="n"/>
      <c r="F10" s="53" t="inlineStr">
        <is>
          <t>o mês em que a receita e o custo deste projeto pesam no painel de competência</t>
        </is>
      </c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</row>
    <row r="11" ht="20" customHeight="1">
      <c r="A11" s="8" t="inlineStr">
        <is>
          <t xml:space="preserve">  RESULTADO DO PROJETO          tudo aqui se atualiza conforme você lança os custos mais abaixo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</row>
    <row r="12" ht="13" customHeight="1">
      <c r="A12" s="44" t="inlineStr">
        <is>
          <t>VALOR DE VENDA</t>
        </is>
      </c>
      <c r="B12" s="13" t="n"/>
      <c r="C12" s="44" t="inlineStr">
        <is>
          <t>CUSTO TOTAL</t>
        </is>
      </c>
      <c r="D12" s="13" t="n"/>
      <c r="E12" s="44" t="inlineStr">
        <is>
          <t>MARGEM DE CONTRIBUIÇÃO</t>
        </is>
      </c>
      <c r="F12" s="13" t="n"/>
      <c r="G12" s="44" t="inlineStr">
        <is>
          <t>MC %</t>
        </is>
      </c>
      <c r="H12" s="44" t="inlineStr">
        <is>
          <t>MC % ORÇADA</t>
        </is>
      </c>
      <c r="I12" s="44" t="inlineStr">
        <is>
          <t>DESVIO DE CUSTO</t>
        </is>
      </c>
      <c r="J12" s="13" t="n"/>
      <c r="K12" s="13" t="n"/>
      <c r="L12" s="13" t="n"/>
      <c r="M12" s="13" t="n"/>
      <c r="N12" s="13" t="n"/>
      <c r="O12" s="13" t="n"/>
    </row>
    <row r="13" ht="30" customHeight="1">
      <c r="A13" s="54">
        <f>IF($D$28="",$C$28,$D$28)</f>
        <v/>
      </c>
      <c r="B13" s="15" t="n"/>
      <c r="C13" s="54">
        <f>IF($D$22=0,"",$D$22)</f>
        <v/>
      </c>
      <c r="D13" s="15" t="n"/>
      <c r="E13" s="54">
        <f>IF($A$13="","",$D$23)</f>
        <v/>
      </c>
      <c r="F13" s="15" t="n"/>
      <c r="G13" s="55">
        <f>IF(OR($A$13="",$A$13=0),"",$D$23/$A$13)</f>
        <v/>
      </c>
      <c r="H13" s="55">
        <f>IF(OR($C$28="",$C$28=0),"",$C$23/$C$28)</f>
        <v/>
      </c>
      <c r="I13" s="54">
        <f>IF(OR($C$22=0,$D$22=0),"",ROUND($D$22-$C$22,2))</f>
        <v/>
      </c>
      <c r="J13" s="15" t="n"/>
      <c r="K13" s="15" t="n"/>
      <c r="L13" s="15" t="n"/>
      <c r="M13" s="15" t="n"/>
      <c r="N13" s="15" t="n"/>
      <c r="O13" s="15" t="n"/>
    </row>
    <row r="14" ht="8" customHeight="1"/>
    <row r="15" ht="26" customHeight="1">
      <c r="A15" s="19" t="inlineStr">
        <is>
          <t>Resumo por categoria</t>
        </is>
      </c>
      <c r="B15" s="35" t="n"/>
      <c r="C15" s="19" t="inlineStr">
        <is>
          <t>Orçado (R$)</t>
        </is>
      </c>
      <c r="D15" s="19" t="inlineStr">
        <is>
          <t>Realizado (R$)</t>
        </is>
      </c>
      <c r="E15" s="19" t="inlineStr">
        <is>
          <t>Desvio (R$)</t>
        </is>
      </c>
      <c r="F15" s="35" t="n"/>
      <c r="G15" s="19" t="inlineStr">
        <is>
          <t>Desvio (%)</t>
        </is>
      </c>
      <c r="H15" s="19" t="inlineStr">
        <is>
          <t>% da venda realizada</t>
        </is>
      </c>
      <c r="I15" s="35" t="n"/>
      <c r="J15" s="35" t="n"/>
      <c r="K15" s="35" t="n"/>
      <c r="L15" s="35" t="n"/>
      <c r="M15" s="35" t="n"/>
      <c r="N15" s="35" t="n"/>
      <c r="O15" s="35" t="n"/>
    </row>
    <row r="16" ht="18" customHeight="1">
      <c r="A16" s="36" t="inlineStr">
        <is>
          <t>Custos de venda</t>
        </is>
      </c>
      <c r="B16" s="37" t="n"/>
      <c r="C16" s="56">
        <f>IF(C44="","",C44)</f>
        <v/>
      </c>
      <c r="D16" s="56">
        <f>IF(D44="","",D44)</f>
        <v/>
      </c>
      <c r="E16" s="56">
        <f>IF(OR($C16="",$D16=""),"",ROUND($D16-$C16,2))</f>
        <v/>
      </c>
      <c r="F16" s="38" t="n"/>
      <c r="G16" s="57">
        <f>IF(OR($C16="",$C16=0,$D16=""),"",$D16/$C16-1)</f>
        <v/>
      </c>
      <c r="H16" s="58">
        <f>IF(OR($D16="",$A$13="",$A$13=0),"",$D16/$A$13)</f>
        <v/>
      </c>
      <c r="I16" s="38" t="n"/>
      <c r="J16" s="38" t="n"/>
      <c r="K16" s="38" t="n"/>
      <c r="L16" s="38" t="n"/>
      <c r="M16" s="38" t="n"/>
      <c r="N16" s="38" t="n"/>
      <c r="O16" s="38" t="n"/>
    </row>
    <row r="17" ht="18" customHeight="1">
      <c r="A17" s="36" t="inlineStr">
        <is>
          <t>Comissões operacionais</t>
        </is>
      </c>
      <c r="B17" s="37" t="n"/>
      <c r="C17" s="56">
        <f>IF(C70="","",C70)</f>
        <v/>
      </c>
      <c r="D17" s="56">
        <f>IF(D70="","",D70)</f>
        <v/>
      </c>
      <c r="E17" s="56">
        <f>IF(OR($C17="",$D17=""),"",ROUND($D17-$C17,2))</f>
        <v/>
      </c>
      <c r="F17" s="38" t="n"/>
      <c r="G17" s="57">
        <f>IF(OR($C17="",$C17=0,$D17=""),"",$D17/$C17-1)</f>
        <v/>
      </c>
      <c r="H17" s="58">
        <f>IF(OR($D17="",$A$13="",$A$13=0),"",$D17/$A$13)</f>
        <v/>
      </c>
      <c r="I17" s="38" t="n"/>
      <c r="J17" s="38" t="n"/>
      <c r="K17" s="38" t="n"/>
      <c r="L17" s="38" t="n"/>
      <c r="M17" s="38" t="n"/>
      <c r="N17" s="38" t="n"/>
      <c r="O17" s="38" t="n"/>
    </row>
    <row r="18" ht="18" customHeight="1">
      <c r="A18" s="36" t="inlineStr">
        <is>
          <t>Material</t>
        </is>
      </c>
      <c r="B18" s="37" t="n"/>
      <c r="C18" s="56">
        <f>IF(C103="","",C103)</f>
        <v/>
      </c>
      <c r="D18" s="56">
        <f>IF(D103="","",D103)</f>
        <v/>
      </c>
      <c r="E18" s="56">
        <f>IF(OR($C18="",$D18=""),"",ROUND($D18-$C18,2))</f>
        <v/>
      </c>
      <c r="F18" s="38" t="n"/>
      <c r="G18" s="57">
        <f>IF(OR($C18="",$C18=0,$D18=""),"",$D18/$C18-1)</f>
        <v/>
      </c>
      <c r="H18" s="58">
        <f>IF(OR($D18="",$A$13="",$A$13=0),"",$D18/$A$13)</f>
        <v/>
      </c>
      <c r="I18" s="38" t="n"/>
      <c r="J18" s="38" t="n"/>
      <c r="K18" s="38" t="n"/>
      <c r="L18" s="38" t="n"/>
      <c r="M18" s="38" t="n"/>
      <c r="N18" s="38" t="n"/>
      <c r="O18" s="38" t="n"/>
    </row>
    <row r="19" ht="18" customHeight="1">
      <c r="A19" s="36" t="inlineStr">
        <is>
          <t>Serviços terceirizados</t>
        </is>
      </c>
      <c r="B19" s="37" t="n"/>
      <c r="C19" s="56">
        <f>IF(C108="","",C108)</f>
        <v/>
      </c>
      <c r="D19" s="56">
        <f>IF(D108="","",D108)</f>
        <v/>
      </c>
      <c r="E19" s="56">
        <f>IF(OR($C19="",$D19=""),"",ROUND($D19-$C19,2))</f>
        <v/>
      </c>
      <c r="F19" s="38" t="n"/>
      <c r="G19" s="57">
        <f>IF(OR($C19="",$C19=0,$D19=""),"",$D19/$C19-1)</f>
        <v/>
      </c>
      <c r="H19" s="58">
        <f>IF(OR($D19="",$A$13="",$A$13=0),"",$D19/$A$13)</f>
        <v/>
      </c>
      <c r="I19" s="38" t="n"/>
      <c r="J19" s="38" t="n"/>
      <c r="K19" s="38" t="n"/>
      <c r="L19" s="38" t="n"/>
      <c r="M19" s="38" t="n"/>
      <c r="N19" s="38" t="n"/>
      <c r="O19" s="38" t="n"/>
    </row>
    <row r="20" ht="18" customHeight="1">
      <c r="A20" s="36" t="inlineStr">
        <is>
          <t>Logística</t>
        </is>
      </c>
      <c r="B20" s="37" t="n"/>
      <c r="C20" s="56">
        <f>IF(C114="","",C114)</f>
        <v/>
      </c>
      <c r="D20" s="56">
        <f>IF(D114="","",D114)</f>
        <v/>
      </c>
      <c r="E20" s="56">
        <f>IF(OR($C20="",$D20=""),"",ROUND($D20-$C20,2))</f>
        <v/>
      </c>
      <c r="F20" s="38" t="n"/>
      <c r="G20" s="57">
        <f>IF(OR($C20="",$C20=0,$D20=""),"",$D20/$C20-1)</f>
        <v/>
      </c>
      <c r="H20" s="58">
        <f>IF(OR($D20="",$A$13="",$A$13=0),"",$D20/$A$13)</f>
        <v/>
      </c>
      <c r="I20" s="38" t="n"/>
      <c r="J20" s="38" t="n"/>
      <c r="K20" s="38" t="n"/>
      <c r="L20" s="38" t="n"/>
      <c r="M20" s="38" t="n"/>
      <c r="N20" s="38" t="n"/>
      <c r="O20" s="38" t="n"/>
    </row>
    <row r="21" ht="18" customHeight="1">
      <c r="A21" s="36" t="inlineStr">
        <is>
          <t>Retrabalho</t>
        </is>
      </c>
      <c r="B21" s="37" t="n"/>
      <c r="C21" s="56">
        <f>IF(C130="","",C130)</f>
        <v/>
      </c>
      <c r="D21" s="56">
        <f>IF(D130="","",D130)</f>
        <v/>
      </c>
      <c r="E21" s="56">
        <f>IF(OR($C21="",$D21=""),"",ROUND($D21-$C21,2))</f>
        <v/>
      </c>
      <c r="F21" s="38" t="n"/>
      <c r="G21" s="57">
        <f>IF(OR($C21="",$C21=0,$D21=""),"",$D21/$C21-1)</f>
        <v/>
      </c>
      <c r="H21" s="58">
        <f>IF(OR($D21="",$A$13="",$A$13=0),"",$D21/$A$13)</f>
        <v/>
      </c>
      <c r="I21" s="38" t="n"/>
      <c r="J21" s="38" t="n"/>
      <c r="K21" s="38" t="n"/>
      <c r="L21" s="38" t="n"/>
      <c r="M21" s="38" t="n"/>
      <c r="N21" s="38" t="n"/>
      <c r="O21" s="38" t="n"/>
    </row>
    <row r="22" ht="22" customHeight="1">
      <c r="A22" s="31" t="inlineStr">
        <is>
          <t>(=) CUSTO TOTAL DO PROJETO</t>
        </is>
      </c>
      <c r="B22" s="32" t="n"/>
      <c r="C22" s="59">
        <f>ROUND(SUM(C16:C21),2)</f>
        <v/>
      </c>
      <c r="D22" s="59">
        <f>ROUND(SUM(D16:D21),2)</f>
        <v/>
      </c>
      <c r="E22" s="60">
        <f>ROUND($D$22-$C$22,2)</f>
        <v/>
      </c>
      <c r="F22" s="32" t="n"/>
      <c r="G22" s="61">
        <f>IF(OR($C$22="",$C$22=0),"",$D$22/$C$22-1)</f>
        <v/>
      </c>
      <c r="H22" s="62">
        <f>IF(OR($A$13="",$A$13=0),"",$D$22/$A$13)</f>
        <v/>
      </c>
      <c r="I22" s="32" t="n"/>
      <c r="J22" s="32" t="n"/>
      <c r="K22" s="32" t="n"/>
      <c r="L22" s="32" t="n"/>
      <c r="M22" s="32" t="n"/>
      <c r="N22" s="32" t="n"/>
      <c r="O22" s="32" t="n"/>
    </row>
    <row r="23" ht="28" customHeight="1">
      <c r="A23" s="63" t="inlineStr">
        <is>
          <t>(=) MARGEM DE CONTRIBUIÇÃO</t>
        </is>
      </c>
      <c r="B23" s="64" t="n"/>
      <c r="C23" s="65">
        <f>ROUND($C$28-$C$22,2)</f>
        <v/>
      </c>
      <c r="D23" s="65">
        <f>ROUND($A$13-$D$22,2)</f>
        <v/>
      </c>
      <c r="E23" s="66">
        <f>ROUND($D$23-$C$23,2)</f>
        <v/>
      </c>
      <c r="F23" s="64" t="n"/>
      <c r="G23" s="67">
        <f>IF(OR($C$28="",$C$28=0),"",$C$23/$C$28)</f>
        <v/>
      </c>
      <c r="H23" s="68">
        <f>IF(OR($A$13="",$A$13=0),"",$D$23/$A$13)</f>
        <v/>
      </c>
      <c r="I23" s="64" t="n"/>
      <c r="J23" s="64" t="n"/>
      <c r="K23" s="64" t="n"/>
      <c r="L23" s="64" t="n"/>
      <c r="M23" s="64" t="n"/>
      <c r="N23" s="64" t="n"/>
      <c r="O23" s="64" t="n"/>
    </row>
    <row r="24" ht="22" customHeight="1">
      <c r="A24" s="69">
        <f>IF($A$13="","",IF(ROUND(SUMIF($I$134:$I$193,"A comprar",$E$134:$E$193),2)+ROUND(SUMIF($I$134:$I$193,"Comprado (a pagar)",$E$134:$E$193),2)=0,"   Nenhuma compra pendente lançada — o custo realizado já é o custo final.","   Já comprado e ainda a pagar: "&amp;TEXT(ROUND(SUMIF($I$134:$I$193,"Comprado (a pagar)",$E$134:$E$193),2),"R$ #,##0")&amp;"   ·   custo projetado: "&amp;TEXT($D$22+ROUND(SUMIF($I$134:$I$193,"A comprar",$E$134:$E$193),2),"R$ #,##0")&amp;"   ·   MC projetada: "&amp;TEXT(($A$13-$D$22-ROUND(SUMIF($I$134:$I$193,"A comprar",$E$134:$E$193),2))/$A$13,"0.0%")))</f>
        <v/>
      </c>
      <c r="B24" s="15" t="n"/>
      <c r="C24" s="15" t="n"/>
      <c r="D24" s="15" t="n"/>
      <c r="E24" s="15" t="n"/>
      <c r="F24" s="15" t="n"/>
      <c r="G24" s="15" t="n"/>
      <c r="H24" s="15" t="n"/>
      <c r="I24" s="70">
        <f>IF($A$13="","",ROUND(SUMIF($I$134:$I$193,"A comprar",$E$134:$E$193),2))</f>
        <v/>
      </c>
      <c r="J24" s="15" t="n"/>
      <c r="K24" s="15" t="n"/>
      <c r="L24" s="15" t="n"/>
      <c r="M24" s="15" t="n"/>
      <c r="N24" s="15" t="n"/>
      <c r="O24" s="15" t="n"/>
    </row>
    <row r="25" ht="8" customHeight="1"/>
    <row r="26" ht="20" customHeight="1">
      <c r="A26" s="8" t="inlineStr">
        <is>
          <t xml:space="preserve">  1 · VALOR DE VENDA E NOTAS EMITIDAS          o que foi vendido e o que já virou nota — a diferença é o que falta faturar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 ht="26" customHeight="1">
      <c r="A27" s="19" t="inlineStr">
        <is>
          <t>Item</t>
        </is>
      </c>
      <c r="B27" s="19" t="inlineStr">
        <is>
          <t>%</t>
        </is>
      </c>
      <c r="C27" s="19" t="inlineStr">
        <is>
          <t>Orçado (R$)</t>
        </is>
      </c>
      <c r="D27" s="19" t="inlineStr">
        <is>
          <t>Realizado (R$)</t>
        </is>
      </c>
      <c r="E27" s="19" t="inlineStr">
        <is>
          <t>Desvio (R$)</t>
        </is>
      </c>
      <c r="F27" s="35" t="n"/>
      <c r="G27" s="19" t="inlineStr">
        <is>
          <t>% da venda</t>
        </is>
      </c>
      <c r="H27" s="19" t="inlineStr">
        <is>
          <t>Observação</t>
        </is>
      </c>
      <c r="I27" s="35" t="n"/>
      <c r="J27" s="35" t="n"/>
      <c r="K27" s="35" t="n"/>
      <c r="L27" s="35" t="n"/>
      <c r="M27" s="35" t="n"/>
      <c r="N27" s="35" t="n"/>
      <c r="O27" s="35" t="n"/>
    </row>
    <row r="28" ht="17" customHeight="1">
      <c r="A28" s="36" t="inlineStr">
        <is>
          <t>Valor de venda do projeto</t>
        </is>
      </c>
      <c r="B28" s="37" t="n"/>
      <c r="C28" s="71" t="n"/>
      <c r="D28" s="71" t="n"/>
      <c r="E28" s="56">
        <f>IF(OR($C28="",$D28=""),"",ROUND($D28-$C28,2))</f>
        <v/>
      </c>
      <c r="F28" s="38" t="n"/>
      <c r="G28" s="72" t="n"/>
      <c r="H28" s="73" t="inlineStr">
        <is>
          <t>Orçado = valor da proposta · Realizado = valor fechado</t>
        </is>
      </c>
      <c r="I28" s="46" t="n"/>
      <c r="J28" s="46" t="n"/>
      <c r="K28" s="46" t="n"/>
      <c r="L28" s="46" t="n"/>
      <c r="M28" s="46" t="n"/>
      <c r="N28" s="46" t="n"/>
      <c r="O28" s="46" t="n"/>
    </row>
    <row r="29" ht="22" customHeight="1">
      <c r="A29" s="19" t="inlineStr">
        <is>
          <t>Nota fiscal</t>
        </is>
      </c>
      <c r="B29" s="19" t="inlineStr">
        <is>
          <t>Número</t>
        </is>
      </c>
      <c r="C29" s="19" t="inlineStr">
        <is>
          <t>Data</t>
        </is>
      </c>
      <c r="D29" s="19" t="inlineStr">
        <is>
          <t>Valor (R$)</t>
        </is>
      </c>
      <c r="E29" s="19" t="inlineStr"/>
      <c r="F29" s="35" t="n"/>
      <c r="G29" s="19" t="inlineStr">
        <is>
          <t>% da venda</t>
        </is>
      </c>
      <c r="H29" s="19" t="inlineStr">
        <is>
          <t>Observação</t>
        </is>
      </c>
      <c r="I29" s="35" t="n"/>
      <c r="J29" s="35" t="n"/>
      <c r="K29" s="35" t="n"/>
      <c r="L29" s="35" t="n"/>
      <c r="M29" s="35" t="n"/>
      <c r="N29" s="35" t="n"/>
      <c r="O29" s="35" t="n"/>
    </row>
    <row r="30" ht="17" customHeight="1">
      <c r="A30" s="36" t="inlineStr">
        <is>
          <t>Nota 1</t>
        </is>
      </c>
      <c r="B30" s="74" t="n"/>
      <c r="C30" s="75" t="n"/>
      <c r="D30" s="76" t="n"/>
      <c r="E30" s="37" t="n"/>
      <c r="F30" s="37" t="n"/>
      <c r="G30" s="72">
        <f>IF(OR($D30="",$A$13="",$A$13=0),"",$D30/$A$13)</f>
        <v/>
      </c>
      <c r="H30" s="73" t="n"/>
      <c r="I30" s="46" t="n"/>
      <c r="J30" s="46" t="n"/>
      <c r="K30" s="46" t="n"/>
      <c r="L30" s="46" t="n"/>
      <c r="M30" s="46" t="n"/>
      <c r="N30" s="46" t="n"/>
      <c r="O30" s="46" t="n"/>
    </row>
    <row r="31" ht="17" customHeight="1">
      <c r="A31" s="36" t="inlineStr">
        <is>
          <t>Nota 2</t>
        </is>
      </c>
      <c r="B31" s="74" t="n"/>
      <c r="C31" s="75" t="n"/>
      <c r="D31" s="76" t="n"/>
      <c r="E31" s="37" t="n"/>
      <c r="F31" s="37" t="n"/>
      <c r="G31" s="72">
        <f>IF(OR($D31="",$A$13="",$A$13=0),"",$D31/$A$13)</f>
        <v/>
      </c>
      <c r="H31" s="73" t="n"/>
      <c r="I31" s="46" t="n"/>
      <c r="J31" s="46" t="n"/>
      <c r="K31" s="46" t="n"/>
      <c r="L31" s="46" t="n"/>
      <c r="M31" s="46" t="n"/>
      <c r="N31" s="46" t="n"/>
      <c r="O31" s="46" t="n"/>
    </row>
    <row r="32" ht="17" customHeight="1">
      <c r="A32" s="36" t="inlineStr">
        <is>
          <t>Nota 3</t>
        </is>
      </c>
      <c r="B32" s="74" t="n"/>
      <c r="C32" s="75" t="n"/>
      <c r="D32" s="76" t="n"/>
      <c r="E32" s="37" t="n"/>
      <c r="F32" s="37" t="n"/>
      <c r="G32" s="72">
        <f>IF(OR($D32="",$A$13="",$A$13=0),"",$D32/$A$13)</f>
        <v/>
      </c>
      <c r="H32" s="73" t="n"/>
      <c r="I32" s="46" t="n"/>
      <c r="J32" s="46" t="n"/>
      <c r="K32" s="46" t="n"/>
      <c r="L32" s="46" t="n"/>
      <c r="M32" s="46" t="n"/>
      <c r="N32" s="46" t="n"/>
      <c r="O32" s="46" t="n"/>
    </row>
    <row r="33" ht="17" customHeight="1">
      <c r="A33" s="36" t="inlineStr">
        <is>
          <t>Nota 4</t>
        </is>
      </c>
      <c r="B33" s="74" t="n"/>
      <c r="C33" s="75" t="n"/>
      <c r="D33" s="76" t="n"/>
      <c r="E33" s="37" t="n"/>
      <c r="F33" s="37" t="n"/>
      <c r="G33" s="72">
        <f>IF(OR($D33="",$A$13="",$A$13=0),"",$D33/$A$13)</f>
        <v/>
      </c>
      <c r="H33" s="73" t="n"/>
      <c r="I33" s="46" t="n"/>
      <c r="J33" s="46" t="n"/>
      <c r="K33" s="46" t="n"/>
      <c r="L33" s="46" t="n"/>
      <c r="M33" s="46" t="n"/>
      <c r="N33" s="46" t="n"/>
      <c r="O33" s="46" t="n"/>
    </row>
    <row r="34" ht="20" customHeight="1">
      <c r="A34" s="31" t="inlineStr">
        <is>
          <t>(=) TOTAL FATURADO  →</t>
        </is>
      </c>
      <c r="B34" s="32" t="n"/>
      <c r="C34" s="32" t="n"/>
      <c r="D34" s="60">
        <f>ROUND(SUM($D$30:$D$33),2)</f>
        <v/>
      </c>
      <c r="E34" s="32" t="n"/>
      <c r="F34" s="32" t="n"/>
      <c r="G34" s="62">
        <f>IF(OR($A$13="",$A$13=0),"",$D$34/$A$13)</f>
        <v/>
      </c>
      <c r="H34" s="77">
        <f>IF(OR($A$13="",$A$13=0),"",IF(ROUND($A$13-$D$34,2)&lt;=0,"   Projeto totalmente faturado.","   Ainda a faturar: "&amp;TEXT($A$13-$D$34,"R$ #,##0.00")))</f>
        <v/>
      </c>
      <c r="I34" s="32" t="n"/>
      <c r="J34" s="32" t="n"/>
      <c r="K34" s="32" t="n"/>
      <c r="L34" s="32" t="n"/>
      <c r="M34" s="32" t="n"/>
      <c r="N34" s="32" t="n"/>
      <c r="O34" s="32" t="n"/>
    </row>
    <row r="35" ht="8" customHeight="1"/>
    <row r="36" ht="20" customHeight="1">
      <c r="A36" s="8" t="inlineStr">
        <is>
          <t xml:space="preserve">  2 · CUSTOS DE VENDA          tudo que sai por causa da venda · define a RECEITA LÍQUIDA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</row>
    <row r="37" ht="26" customHeight="1">
      <c r="A37" s="19" t="inlineStr">
        <is>
          <t>Item</t>
        </is>
      </c>
      <c r="B37" s="19" t="inlineStr">
        <is>
          <t>%</t>
        </is>
      </c>
      <c r="C37" s="19" t="inlineStr">
        <is>
          <t>Orçado (R$)</t>
        </is>
      </c>
      <c r="D37" s="19" t="inlineStr">
        <is>
          <t>Realizado (R$)</t>
        </is>
      </c>
      <c r="E37" s="19" t="inlineStr">
        <is>
          <t>Desvio (R$)</t>
        </is>
      </c>
      <c r="F37" s="35" t="n"/>
      <c r="G37" s="19" t="inlineStr">
        <is>
          <t>% da venda</t>
        </is>
      </c>
      <c r="H37" s="19" t="inlineStr">
        <is>
          <t>Observação</t>
        </is>
      </c>
      <c r="I37" s="35" t="n"/>
      <c r="J37" s="35" t="n"/>
      <c r="K37" s="35" t="n"/>
      <c r="L37" s="35" t="n"/>
      <c r="M37" s="35" t="n"/>
      <c r="N37" s="35" t="n"/>
      <c r="O37" s="35" t="n"/>
    </row>
    <row r="38" ht="17" customHeight="1">
      <c r="A38" s="36" t="inlineStr">
        <is>
          <t>Impostos sobre a nota (Simples)</t>
        </is>
      </c>
      <c r="B38" s="78" t="n"/>
      <c r="C38" s="56">
        <f>IF($B38="","",ROUND($B38*$C$28,2))</f>
        <v/>
      </c>
      <c r="D38" s="56">
        <f>IF($B38="","",ROUND($B38*$A$13,2))</f>
        <v/>
      </c>
      <c r="E38" s="56">
        <f>IF(OR($C38="",$D38=""),"",ROUND($D38-$C38,2))</f>
        <v/>
      </c>
      <c r="F38" s="38" t="n"/>
      <c r="G38" s="72">
        <f>IF(OR($D38="",$A$13="",$A$13=0),"",$D38/$A$13)</f>
        <v/>
      </c>
      <c r="H38" s="73" t="inlineStr">
        <is>
          <t>% sobre o valor de venda</t>
        </is>
      </c>
      <c r="I38" s="46" t="n"/>
      <c r="J38" s="46" t="n"/>
      <c r="K38" s="46" t="n"/>
      <c r="L38" s="46" t="n"/>
      <c r="M38" s="46" t="n"/>
      <c r="N38" s="46" t="n"/>
      <c r="O38" s="46" t="n"/>
    </row>
    <row r="39" ht="17" customHeight="1">
      <c r="A39" s="36" t="inlineStr">
        <is>
          <t>Taxa de máquina de cartão</t>
        </is>
      </c>
      <c r="B39" s="78" t="n"/>
      <c r="C39" s="56">
        <f>IF($B39="","",ROUND($B39*$C$28,2))</f>
        <v/>
      </c>
      <c r="D39" s="56">
        <f>IF($B39="","",ROUND($B39*$A$13,2))</f>
        <v/>
      </c>
      <c r="E39" s="56">
        <f>IF(OR($C39="",$D39=""),"",ROUND($D39-$C39,2))</f>
        <v/>
      </c>
      <c r="F39" s="38" t="n"/>
      <c r="G39" s="72">
        <f>IF(OR($D39="",$A$13="",$A$13=0),"",$D39/$A$13)</f>
        <v/>
      </c>
      <c r="H39" s="73" t="inlineStr">
        <is>
          <t>% sobre o valor de venda</t>
        </is>
      </c>
      <c r="I39" s="46" t="n"/>
      <c r="J39" s="46" t="n"/>
      <c r="K39" s="46" t="n"/>
      <c r="L39" s="46" t="n"/>
      <c r="M39" s="46" t="n"/>
      <c r="N39" s="46" t="n"/>
      <c r="O39" s="46" t="n"/>
    </row>
    <row r="40" ht="17" customHeight="1">
      <c r="A40" s="36" t="inlineStr">
        <is>
          <t>Taxas de transação (PIX, boleto, TED)</t>
        </is>
      </c>
      <c r="B40" s="37" t="n"/>
      <c r="C40" s="71" t="n"/>
      <c r="D40" s="71" t="n"/>
      <c r="E40" s="56">
        <f>IF(OR($C40="",$D40=""),"",ROUND($D40-$C40,2))</f>
        <v/>
      </c>
      <c r="F40" s="38" t="n"/>
      <c r="G40" s="72">
        <f>IF(OR($D40="",$A$13="",$A$13=0),"",$D40/$A$13)</f>
        <v/>
      </c>
      <c r="H40" s="73" t="inlineStr">
        <is>
          <t>valor em reais</t>
        </is>
      </c>
      <c r="I40" s="46" t="n"/>
      <c r="J40" s="46" t="n"/>
      <c r="K40" s="46" t="n"/>
      <c r="L40" s="46" t="n"/>
      <c r="M40" s="46" t="n"/>
      <c r="N40" s="46" t="n"/>
      <c r="O40" s="46" t="n"/>
    </row>
    <row r="41" ht="17" customHeight="1">
      <c r="A41" s="36" t="inlineStr">
        <is>
          <t>Comissão de venda (vendedor)</t>
        </is>
      </c>
      <c r="B41" s="78" t="n"/>
      <c r="C41" s="56">
        <f>IF($B41="","",ROUND($B41*$C$28,2))</f>
        <v/>
      </c>
      <c r="D41" s="56">
        <f>IF($B41="","",ROUND($B41*$A$13,2))</f>
        <v/>
      </c>
      <c r="E41" s="56">
        <f>IF(OR($C41="",$D41=""),"",ROUND($D41-$C41,2))</f>
        <v/>
      </c>
      <c r="F41" s="38" t="n"/>
      <c r="G41" s="72">
        <f>IF(OR($D41="",$A$13="",$A$13=0),"",$D41/$A$13)</f>
        <v/>
      </c>
      <c r="H41" s="73" t="inlineStr">
        <is>
          <t>% sobre o valor de venda</t>
        </is>
      </c>
      <c r="I41" s="46" t="n"/>
      <c r="J41" s="46" t="n"/>
      <c r="K41" s="46" t="n"/>
      <c r="L41" s="46" t="n"/>
      <c r="M41" s="46" t="n"/>
      <c r="N41" s="46" t="n"/>
      <c r="O41" s="46" t="n"/>
    </row>
    <row r="42" ht="17" customHeight="1">
      <c r="A42" s="36" t="inlineStr">
        <is>
          <t>Projeto / anteprojeto (externo)</t>
        </is>
      </c>
      <c r="B42" s="37" t="n"/>
      <c r="C42" s="71" t="n"/>
      <c r="D42" s="71" t="n"/>
      <c r="E42" s="56">
        <f>IF(OR($C42="",$D42=""),"",ROUND($D42-$C42,2))</f>
        <v/>
      </c>
      <c r="F42" s="38" t="n"/>
      <c r="G42" s="72">
        <f>IF(OR($D42="",$A$13="",$A$13=0),"",$D42/$A$13)</f>
        <v/>
      </c>
      <c r="H42" s="73" t="inlineStr">
        <is>
          <t>projetista ou arquiteto contratado para o projeto</t>
        </is>
      </c>
      <c r="I42" s="46" t="n"/>
      <c r="J42" s="46" t="n"/>
      <c r="K42" s="46" t="n"/>
      <c r="L42" s="46" t="n"/>
      <c r="M42" s="46" t="n"/>
      <c r="N42" s="46" t="n"/>
      <c r="O42" s="46" t="n"/>
    </row>
    <row r="43" ht="17" customHeight="1">
      <c r="A43" s="36" t="inlineStr">
        <is>
          <t>RT do parceiro</t>
        </is>
      </c>
      <c r="B43" s="78" t="n"/>
      <c r="C43" s="56">
        <f>IF($B43="","",ROUND($B43*($C$28-SUM($C$38:$C$40)),2))</f>
        <v/>
      </c>
      <c r="D43" s="56">
        <f>IF($B43="","",ROUND($B43*($A$13-SUM($D$38:$D$40)),2))</f>
        <v/>
      </c>
      <c r="E43" s="56">
        <f>IF(OR($C43="",$D43=""),"",ROUND($D43-$C43,2))</f>
        <v/>
      </c>
      <c r="F43" s="38" t="n"/>
      <c r="G43" s="72">
        <f>IF(OR($D43="",$A$13="",$A$13=0),"",$D43/$A$13)</f>
        <v/>
      </c>
      <c r="H43" s="73" t="inlineStr">
        <is>
          <t>% sobre o líquido: venda menos impostos, máquina e taxas</t>
        </is>
      </c>
      <c r="I43" s="46" t="n"/>
      <c r="J43" s="46" t="n"/>
      <c r="K43" s="46" t="n"/>
      <c r="L43" s="46" t="n"/>
      <c r="M43" s="46" t="n"/>
      <c r="N43" s="46" t="n"/>
      <c r="O43" s="46" t="n"/>
    </row>
    <row r="44" ht="20" customHeight="1">
      <c r="A44" s="31" t="inlineStr">
        <is>
          <t>(=) SUBTOTAL DOS CUSTOS DE VENDA</t>
        </is>
      </c>
      <c r="B44" s="32" t="n"/>
      <c r="C44" s="60">
        <f>ROUND(SUM(C38:C43),2)</f>
        <v/>
      </c>
      <c r="D44" s="60">
        <f>ROUND(SUM(D38:D43),2)</f>
        <v/>
      </c>
      <c r="E44" s="60">
        <f>ROUND($D44-$C44,2)</f>
        <v/>
      </c>
      <c r="F44" s="32" t="n"/>
      <c r="G44" s="62">
        <f>IF(OR($A$13="",$A$13=0),"",$D44/$A$13)</f>
        <v/>
      </c>
      <c r="H44" s="32" t="n"/>
      <c r="I44" s="32" t="n"/>
      <c r="J44" s="32" t="n"/>
      <c r="K44" s="32" t="n"/>
      <c r="L44" s="32" t="n"/>
      <c r="M44" s="32" t="n"/>
      <c r="N44" s="32" t="n"/>
      <c r="O44" s="32" t="n"/>
    </row>
    <row r="45" ht="24" customHeight="1">
      <c r="A45" s="79" t="inlineStr">
        <is>
          <t>(=) RECEITA LÍQUIDA</t>
        </is>
      </c>
      <c r="B45" s="64" t="n"/>
      <c r="C45" s="80">
        <f>ROUND($C$28-$C$44,2)</f>
        <v/>
      </c>
      <c r="D45" s="80">
        <f>ROUND($A$13-$D$44,2)</f>
        <v/>
      </c>
      <c r="E45" s="66">
        <f>ROUND($D$45-$C$45,2)</f>
        <v/>
      </c>
      <c r="F45" s="64" t="n"/>
      <c r="G45" s="81">
        <f>IF(OR($A$13="",$A$13=0),"",$D$45/$A$13)</f>
        <v/>
      </c>
      <c r="H45" s="82" t="inlineStr">
        <is>
          <t>É esta a base das comissões: coordenação, produção, montagem e projetista</t>
        </is>
      </c>
      <c r="I45" s="64" t="n"/>
      <c r="J45" s="64" t="n"/>
      <c r="K45" s="64" t="n"/>
      <c r="L45" s="64" t="n"/>
      <c r="M45" s="64" t="n"/>
      <c r="N45" s="64" t="n"/>
      <c r="O45" s="64" t="n"/>
    </row>
    <row r="46" ht="8" customHeight="1"/>
    <row r="47" ht="20" customHeight="1">
      <c r="A47" s="8" t="inlineStr">
        <is>
          <t xml:space="preserve">  3 · AMBIENTES, PRODUÇÃO, MONTAGEM E PROJETO          cada ambiente com quem produziu, quem montou e quem projetou · a comissão incide sobre a receita líquida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</row>
    <row r="48" ht="32" customHeight="1">
      <c r="A48" s="19" t="inlineStr">
        <is>
          <t>Ambiente</t>
        </is>
      </c>
      <c r="B48" s="19" t="inlineStr">
        <is>
          <t>% do total</t>
        </is>
      </c>
      <c r="C48" s="19" t="inlineStr">
        <is>
          <t>Valor do ambiente (R$)</t>
        </is>
      </c>
      <c r="D48" s="19" t="inlineStr">
        <is>
          <t>Produção — quem</t>
        </is>
      </c>
      <c r="E48" s="19" t="inlineStr">
        <is>
          <t>%</t>
        </is>
      </c>
      <c r="F48" s="19" t="inlineStr">
        <is>
          <t>Comissão produção (R$)</t>
        </is>
      </c>
      <c r="G48" s="19" t="inlineStr">
        <is>
          <t>Fabricado em</t>
        </is>
      </c>
      <c r="H48" s="19" t="inlineStr">
        <is>
          <t>Montagem — quem</t>
        </is>
      </c>
      <c r="I48" s="19" t="inlineStr">
        <is>
          <t>%</t>
        </is>
      </c>
      <c r="J48" s="19" t="inlineStr">
        <is>
          <t>Comissão montagem (R$)</t>
        </is>
      </c>
      <c r="K48" s="19" t="inlineStr">
        <is>
          <t>Montado em</t>
        </is>
      </c>
      <c r="L48" s="19" t="inlineStr">
        <is>
          <t>Projetista — quem</t>
        </is>
      </c>
      <c r="M48" s="19" t="inlineStr">
        <is>
          <t>%</t>
        </is>
      </c>
      <c r="N48" s="19" t="inlineStr">
        <is>
          <t>Comissão projetista (R$)</t>
        </is>
      </c>
      <c r="O48" s="19" t="inlineStr">
        <is>
          <t>Total do ambiente</t>
        </is>
      </c>
    </row>
    <row r="49" ht="18" customHeight="1">
      <c r="A49" s="83" t="n"/>
      <c r="B49" s="72">
        <f>IF(OR($C49="",$A$13="",$A$13=0),"",$C49/$A$13)</f>
        <v/>
      </c>
      <c r="C49" s="76" t="n"/>
      <c r="D49" s="83" t="n"/>
      <c r="E49" s="78" t="n"/>
      <c r="F49" s="56">
        <f>IF(OR($B49="",$E49="",$D$45=""),"",ROUND($B49*$D$45*$E49,2))</f>
        <v/>
      </c>
      <c r="G49" s="84" t="n"/>
      <c r="H49" s="83" t="n"/>
      <c r="I49" s="78" t="n"/>
      <c r="J49" s="56">
        <f>IF(OR($B49="",$I49="",$D$45=""),"",ROUND($B49*$D$45*$I49,2))</f>
        <v/>
      </c>
      <c r="K49" s="84" t="n"/>
      <c r="L49" s="83" t="n"/>
      <c r="M49" s="78" t="n"/>
      <c r="N49" s="56">
        <f>IF(OR($B49="",$M49="",$D$45=""),"",ROUND($B49*$D$45*$M49,2))</f>
        <v/>
      </c>
      <c r="O49" s="85">
        <f>IF(AND($F49="",$J49="",$N49=""),"",ROUND(IF($F49="",0,$F49)+IF($J49="",0,$J49)+IF($N49="",0,$N49),2))</f>
        <v/>
      </c>
    </row>
    <row r="50" ht="18" customHeight="1">
      <c r="A50" s="83" t="n"/>
      <c r="B50" s="72">
        <f>IF(OR($C50="",$A$13="",$A$13=0),"",$C50/$A$13)</f>
        <v/>
      </c>
      <c r="C50" s="76" t="n"/>
      <c r="D50" s="83" t="n"/>
      <c r="E50" s="78" t="n"/>
      <c r="F50" s="56">
        <f>IF(OR($B50="",$E50="",$D$45=""),"",ROUND($B50*$D$45*$E50,2))</f>
        <v/>
      </c>
      <c r="G50" s="84" t="n"/>
      <c r="H50" s="83" t="n"/>
      <c r="I50" s="78" t="n"/>
      <c r="J50" s="56">
        <f>IF(OR($B50="",$I50="",$D$45=""),"",ROUND($B50*$D$45*$I50,2))</f>
        <v/>
      </c>
      <c r="K50" s="84" t="n"/>
      <c r="L50" s="83" t="n"/>
      <c r="M50" s="78" t="n"/>
      <c r="N50" s="56">
        <f>IF(OR($B50="",$M50="",$D$45=""),"",ROUND($B50*$D$45*$M50,2))</f>
        <v/>
      </c>
      <c r="O50" s="85">
        <f>IF(AND($F50="",$J50="",$N50=""),"",ROUND(IF($F50="",0,$F50)+IF($J50="",0,$J50)+IF($N50="",0,$N50),2))</f>
        <v/>
      </c>
    </row>
    <row r="51" ht="18" customHeight="1">
      <c r="A51" s="83" t="n"/>
      <c r="B51" s="72">
        <f>IF(OR($C51="",$A$13="",$A$13=0),"",$C51/$A$13)</f>
        <v/>
      </c>
      <c r="C51" s="76" t="n"/>
      <c r="D51" s="83" t="n"/>
      <c r="E51" s="78" t="n"/>
      <c r="F51" s="56">
        <f>IF(OR($B51="",$E51="",$D$45=""),"",ROUND($B51*$D$45*$E51,2))</f>
        <v/>
      </c>
      <c r="G51" s="84" t="n"/>
      <c r="H51" s="83" t="n"/>
      <c r="I51" s="78" t="n"/>
      <c r="J51" s="56">
        <f>IF(OR($B51="",$I51="",$D$45=""),"",ROUND($B51*$D$45*$I51,2))</f>
        <v/>
      </c>
      <c r="K51" s="84" t="n"/>
      <c r="L51" s="83" t="n"/>
      <c r="M51" s="78" t="n"/>
      <c r="N51" s="56">
        <f>IF(OR($B51="",$M51="",$D$45=""),"",ROUND($B51*$D$45*$M51,2))</f>
        <v/>
      </c>
      <c r="O51" s="85">
        <f>IF(AND($F51="",$J51="",$N51=""),"",ROUND(IF($F51="",0,$F51)+IF($J51="",0,$J51)+IF($N51="",0,$N51),2))</f>
        <v/>
      </c>
    </row>
    <row r="52" ht="18" customHeight="1">
      <c r="A52" s="83" t="n"/>
      <c r="B52" s="72">
        <f>IF(OR($C52="",$A$13="",$A$13=0),"",$C52/$A$13)</f>
        <v/>
      </c>
      <c r="C52" s="76" t="n"/>
      <c r="D52" s="83" t="n"/>
      <c r="E52" s="78" t="n"/>
      <c r="F52" s="56">
        <f>IF(OR($B52="",$E52="",$D$45=""),"",ROUND($B52*$D$45*$E52,2))</f>
        <v/>
      </c>
      <c r="G52" s="84" t="n"/>
      <c r="H52" s="83" t="n"/>
      <c r="I52" s="78" t="n"/>
      <c r="J52" s="56">
        <f>IF(OR($B52="",$I52="",$D$45=""),"",ROUND($B52*$D$45*$I52,2))</f>
        <v/>
      </c>
      <c r="K52" s="84" t="n"/>
      <c r="L52" s="83" t="n"/>
      <c r="M52" s="78" t="n"/>
      <c r="N52" s="56">
        <f>IF(OR($B52="",$M52="",$D$45=""),"",ROUND($B52*$D$45*$M52,2))</f>
        <v/>
      </c>
      <c r="O52" s="85">
        <f>IF(AND($F52="",$J52="",$N52=""),"",ROUND(IF($F52="",0,$F52)+IF($J52="",0,$J52)+IF($N52="",0,$N52),2))</f>
        <v/>
      </c>
    </row>
    <row r="53" ht="18" customHeight="1">
      <c r="A53" s="83" t="n"/>
      <c r="B53" s="72">
        <f>IF(OR($C53="",$A$13="",$A$13=0),"",$C53/$A$13)</f>
        <v/>
      </c>
      <c r="C53" s="76" t="n"/>
      <c r="D53" s="83" t="n"/>
      <c r="E53" s="78" t="n"/>
      <c r="F53" s="56">
        <f>IF(OR($B53="",$E53="",$D$45=""),"",ROUND($B53*$D$45*$E53,2))</f>
        <v/>
      </c>
      <c r="G53" s="84" t="n"/>
      <c r="H53" s="83" t="n"/>
      <c r="I53" s="78" t="n"/>
      <c r="J53" s="56">
        <f>IF(OR($B53="",$I53="",$D$45=""),"",ROUND($B53*$D$45*$I53,2))</f>
        <v/>
      </c>
      <c r="K53" s="84" t="n"/>
      <c r="L53" s="83" t="n"/>
      <c r="M53" s="78" t="n"/>
      <c r="N53" s="56">
        <f>IF(OR($B53="",$M53="",$D$45=""),"",ROUND($B53*$D$45*$M53,2))</f>
        <v/>
      </c>
      <c r="O53" s="85">
        <f>IF(AND($F53="",$J53="",$N53=""),"",ROUND(IF($F53="",0,$F53)+IF($J53="",0,$J53)+IF($N53="",0,$N53),2))</f>
        <v/>
      </c>
    </row>
    <row r="54" ht="18" customHeight="1">
      <c r="A54" s="83" t="n"/>
      <c r="B54" s="72">
        <f>IF(OR($C54="",$A$13="",$A$13=0),"",$C54/$A$13)</f>
        <v/>
      </c>
      <c r="C54" s="76" t="n"/>
      <c r="D54" s="83" t="n"/>
      <c r="E54" s="78" t="n"/>
      <c r="F54" s="56">
        <f>IF(OR($B54="",$E54="",$D$45=""),"",ROUND($B54*$D$45*$E54,2))</f>
        <v/>
      </c>
      <c r="G54" s="84" t="n"/>
      <c r="H54" s="83" t="n"/>
      <c r="I54" s="78" t="n"/>
      <c r="J54" s="56">
        <f>IF(OR($B54="",$I54="",$D$45=""),"",ROUND($B54*$D$45*$I54,2))</f>
        <v/>
      </c>
      <c r="K54" s="84" t="n"/>
      <c r="L54" s="83" t="n"/>
      <c r="M54" s="78" t="n"/>
      <c r="N54" s="56">
        <f>IF(OR($B54="",$M54="",$D$45=""),"",ROUND($B54*$D$45*$M54,2))</f>
        <v/>
      </c>
      <c r="O54" s="85">
        <f>IF(AND($F54="",$J54="",$N54=""),"",ROUND(IF($F54="",0,$F54)+IF($J54="",0,$J54)+IF($N54="",0,$N54),2))</f>
        <v/>
      </c>
    </row>
    <row r="55" ht="18" customHeight="1">
      <c r="A55" s="83" t="n"/>
      <c r="B55" s="72">
        <f>IF(OR($C55="",$A$13="",$A$13=0),"",$C55/$A$13)</f>
        <v/>
      </c>
      <c r="C55" s="76" t="n"/>
      <c r="D55" s="83" t="n"/>
      <c r="E55" s="78" t="n"/>
      <c r="F55" s="56">
        <f>IF(OR($B55="",$E55="",$D$45=""),"",ROUND($B55*$D$45*$E55,2))</f>
        <v/>
      </c>
      <c r="G55" s="84" t="n"/>
      <c r="H55" s="83" t="n"/>
      <c r="I55" s="78" t="n"/>
      <c r="J55" s="56">
        <f>IF(OR($B55="",$I55="",$D$45=""),"",ROUND($B55*$D$45*$I55,2))</f>
        <v/>
      </c>
      <c r="K55" s="84" t="n"/>
      <c r="L55" s="83" t="n"/>
      <c r="M55" s="78" t="n"/>
      <c r="N55" s="56">
        <f>IF(OR($B55="",$M55="",$D$45=""),"",ROUND($B55*$D$45*$M55,2))</f>
        <v/>
      </c>
      <c r="O55" s="85">
        <f>IF(AND($F55="",$J55="",$N55=""),"",ROUND(IF($F55="",0,$F55)+IF($J55="",0,$J55)+IF($N55="",0,$N55),2))</f>
        <v/>
      </c>
    </row>
    <row r="56" ht="18" customHeight="1">
      <c r="A56" s="83" t="n"/>
      <c r="B56" s="72">
        <f>IF(OR($C56="",$A$13="",$A$13=0),"",$C56/$A$13)</f>
        <v/>
      </c>
      <c r="C56" s="76" t="n"/>
      <c r="D56" s="83" t="n"/>
      <c r="E56" s="78" t="n"/>
      <c r="F56" s="56">
        <f>IF(OR($B56="",$E56="",$D$45=""),"",ROUND($B56*$D$45*$E56,2))</f>
        <v/>
      </c>
      <c r="G56" s="84" t="n"/>
      <c r="H56" s="83" t="n"/>
      <c r="I56" s="78" t="n"/>
      <c r="J56" s="56">
        <f>IF(OR($B56="",$I56="",$D$45=""),"",ROUND($B56*$D$45*$I56,2))</f>
        <v/>
      </c>
      <c r="K56" s="84" t="n"/>
      <c r="L56" s="83" t="n"/>
      <c r="M56" s="78" t="n"/>
      <c r="N56" s="56">
        <f>IF(OR($B56="",$M56="",$D$45=""),"",ROUND($B56*$D$45*$M56,2))</f>
        <v/>
      </c>
      <c r="O56" s="85">
        <f>IF(AND($F56="",$J56="",$N56=""),"",ROUND(IF($F56="",0,$F56)+IF($J56="",0,$J56)+IF($N56="",0,$N56),2))</f>
        <v/>
      </c>
    </row>
    <row r="57" ht="18" customHeight="1">
      <c r="A57" s="83" t="n"/>
      <c r="B57" s="72">
        <f>IF(OR($C57="",$A$13="",$A$13=0),"",$C57/$A$13)</f>
        <v/>
      </c>
      <c r="C57" s="76" t="n"/>
      <c r="D57" s="83" t="n"/>
      <c r="E57" s="78" t="n"/>
      <c r="F57" s="56">
        <f>IF(OR($B57="",$E57="",$D$45=""),"",ROUND($B57*$D$45*$E57,2))</f>
        <v/>
      </c>
      <c r="G57" s="84" t="n"/>
      <c r="H57" s="83" t="n"/>
      <c r="I57" s="78" t="n"/>
      <c r="J57" s="56">
        <f>IF(OR($B57="",$I57="",$D$45=""),"",ROUND($B57*$D$45*$I57,2))</f>
        <v/>
      </c>
      <c r="K57" s="84" t="n"/>
      <c r="L57" s="83" t="n"/>
      <c r="M57" s="78" t="n"/>
      <c r="N57" s="56">
        <f>IF(OR($B57="",$M57="",$D$45=""),"",ROUND($B57*$D$45*$M57,2))</f>
        <v/>
      </c>
      <c r="O57" s="85">
        <f>IF(AND($F57="",$J57="",$N57=""),"",ROUND(IF($F57="",0,$F57)+IF($J57="",0,$J57)+IF($N57="",0,$N57),2))</f>
        <v/>
      </c>
    </row>
    <row r="58" ht="18" customHeight="1">
      <c r="A58" s="83" t="n"/>
      <c r="B58" s="72">
        <f>IF(OR($C58="",$A$13="",$A$13=0),"",$C58/$A$13)</f>
        <v/>
      </c>
      <c r="C58" s="76" t="n"/>
      <c r="D58" s="83" t="n"/>
      <c r="E58" s="78" t="n"/>
      <c r="F58" s="56">
        <f>IF(OR($B58="",$E58="",$D$45=""),"",ROUND($B58*$D$45*$E58,2))</f>
        <v/>
      </c>
      <c r="G58" s="84" t="n"/>
      <c r="H58" s="83" t="n"/>
      <c r="I58" s="78" t="n"/>
      <c r="J58" s="56">
        <f>IF(OR($B58="",$I58="",$D$45=""),"",ROUND($B58*$D$45*$I58,2))</f>
        <v/>
      </c>
      <c r="K58" s="84" t="n"/>
      <c r="L58" s="83" t="n"/>
      <c r="M58" s="78" t="n"/>
      <c r="N58" s="56">
        <f>IF(OR($B58="",$M58="",$D$45=""),"",ROUND($B58*$D$45*$M58,2))</f>
        <v/>
      </c>
      <c r="O58" s="85">
        <f>IF(AND($F58="",$J58="",$N58=""),"",ROUND(IF($F58="",0,$F58)+IF($J58="",0,$J58)+IF($N58="",0,$N58),2))</f>
        <v/>
      </c>
    </row>
    <row r="59" ht="18" customHeight="1">
      <c r="A59" s="83" t="n"/>
      <c r="B59" s="72">
        <f>IF(OR($C59="",$A$13="",$A$13=0),"",$C59/$A$13)</f>
        <v/>
      </c>
      <c r="C59" s="76" t="n"/>
      <c r="D59" s="83" t="n"/>
      <c r="E59" s="78" t="n"/>
      <c r="F59" s="56">
        <f>IF(OR($B59="",$E59="",$D$45=""),"",ROUND($B59*$D$45*$E59,2))</f>
        <v/>
      </c>
      <c r="G59" s="84" t="n"/>
      <c r="H59" s="83" t="n"/>
      <c r="I59" s="78" t="n"/>
      <c r="J59" s="56">
        <f>IF(OR($B59="",$I59="",$D$45=""),"",ROUND($B59*$D$45*$I59,2))</f>
        <v/>
      </c>
      <c r="K59" s="84" t="n"/>
      <c r="L59" s="83" t="n"/>
      <c r="M59" s="78" t="n"/>
      <c r="N59" s="56">
        <f>IF(OR($B59="",$M59="",$D$45=""),"",ROUND($B59*$D$45*$M59,2))</f>
        <v/>
      </c>
      <c r="O59" s="85">
        <f>IF(AND($F59="",$J59="",$N59=""),"",ROUND(IF($F59="",0,$F59)+IF($J59="",0,$J59)+IF($N59="",0,$N59),2))</f>
        <v/>
      </c>
    </row>
    <row r="60" ht="18" customHeight="1">
      <c r="A60" s="83" t="n"/>
      <c r="B60" s="72">
        <f>IF(OR($C60="",$A$13="",$A$13=0),"",$C60/$A$13)</f>
        <v/>
      </c>
      <c r="C60" s="76" t="n"/>
      <c r="D60" s="83" t="n"/>
      <c r="E60" s="78" t="n"/>
      <c r="F60" s="56">
        <f>IF(OR($B60="",$E60="",$D$45=""),"",ROUND($B60*$D$45*$E60,2))</f>
        <v/>
      </c>
      <c r="G60" s="84" t="n"/>
      <c r="H60" s="83" t="n"/>
      <c r="I60" s="78" t="n"/>
      <c r="J60" s="56">
        <f>IF(OR($B60="",$I60="",$D$45=""),"",ROUND($B60*$D$45*$I60,2))</f>
        <v/>
      </c>
      <c r="K60" s="84" t="n"/>
      <c r="L60" s="83" t="n"/>
      <c r="M60" s="78" t="n"/>
      <c r="N60" s="56">
        <f>IF(OR($B60="",$M60="",$D$45=""),"",ROUND($B60*$D$45*$M60,2))</f>
        <v/>
      </c>
      <c r="O60" s="85">
        <f>IF(AND($F60="",$J60="",$N60=""),"",ROUND(IF($F60="",0,$F60)+IF($J60="",0,$J60)+IF($N60="",0,$N60),2))</f>
        <v/>
      </c>
    </row>
    <row r="61" ht="20" customHeight="1">
      <c r="A61" s="31" t="inlineStr">
        <is>
          <t>SOMA DOS AMBIENTES</t>
        </is>
      </c>
      <c r="B61" s="62">
        <f>IF($A$13=0,"",$C$61/$A$13)</f>
        <v/>
      </c>
      <c r="C61" s="60">
        <f>ROUND(SUM(C49:C60),2)</f>
        <v/>
      </c>
      <c r="D61" s="86">
        <f>IF($C$61=0,"—",IF(ROUND($C$61-$A$13,2)=0,"OK · os ambientes somam o valor de venda","ATENÇÃO: diferença de "&amp;TEXT($C$61-$A$13,"R$ #,##0.00")))</f>
        <v/>
      </c>
      <c r="E61" s="32" t="n"/>
      <c r="F61" s="60">
        <f>ROUND(SUM(F49:F60),2)</f>
        <v/>
      </c>
      <c r="G61" s="32" t="n"/>
      <c r="H61" s="32" t="n"/>
      <c r="I61" s="32" t="n"/>
      <c r="J61" s="60">
        <f>ROUND(SUM(J49:J60),2)</f>
        <v/>
      </c>
      <c r="K61" s="32" t="n"/>
      <c r="L61" s="32" t="n"/>
      <c r="M61" s="32" t="n"/>
      <c r="N61" s="60">
        <f>ROUND(SUM(N49:N60),2)</f>
        <v/>
      </c>
      <c r="O61" s="60">
        <f>ROUND(SUM(O49:O60),2)</f>
        <v/>
      </c>
    </row>
    <row r="62" ht="8" customHeight="1"/>
    <row r="63" ht="20" customHeight="1">
      <c r="A63" s="8" t="inlineStr">
        <is>
          <t xml:space="preserve">  4 · COMISSÕES OPERACIONAIS          calculadas sobre a RECEITA LÍQUIDA · o realizado vem dos ambientes acima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</row>
    <row r="64" ht="26" customHeight="1">
      <c r="A64" s="19" t="inlineStr">
        <is>
          <t>Item</t>
        </is>
      </c>
      <c r="B64" s="19" t="inlineStr">
        <is>
          <t>%</t>
        </is>
      </c>
      <c r="C64" s="19" t="inlineStr">
        <is>
          <t>Orçado (R$)</t>
        </is>
      </c>
      <c r="D64" s="19" t="inlineStr">
        <is>
          <t>Realizado (R$)</t>
        </is>
      </c>
      <c r="E64" s="19" t="inlineStr">
        <is>
          <t>Desvio (R$)</t>
        </is>
      </c>
      <c r="F64" s="35" t="n"/>
      <c r="G64" s="19" t="inlineStr">
        <is>
          <t>% da venda</t>
        </is>
      </c>
      <c r="H64" s="19" t="inlineStr">
        <is>
          <t>Observação</t>
        </is>
      </c>
      <c r="I64" s="35" t="n"/>
      <c r="J64" s="35" t="n"/>
      <c r="K64" s="35" t="n"/>
      <c r="L64" s="35" t="n"/>
      <c r="M64" s="35" t="n"/>
      <c r="N64" s="35" t="n"/>
      <c r="O64" s="35" t="n"/>
    </row>
    <row r="65" ht="17" customHeight="1">
      <c r="A65" s="36" t="inlineStr">
        <is>
          <t>Coordenação de produção</t>
        </is>
      </c>
      <c r="B65" s="78" t="n"/>
      <c r="C65" s="56">
        <f>IF($B65="","",ROUND($B65*$C$45,2))</f>
        <v/>
      </c>
      <c r="D65" s="56">
        <f>IF($B65="","",ROUND($B65*$D$45,2))</f>
        <v/>
      </c>
      <c r="E65" s="56">
        <f>IF(OR($C65="",$D65=""),"",ROUND($D65-$C65,2))</f>
        <v/>
      </c>
      <c r="F65" s="38" t="n"/>
      <c r="G65" s="72">
        <f>IF(OR($D65="",$A$13="",$A$13=0),"",$D65/$A$13)</f>
        <v/>
      </c>
      <c r="H65" s="73" t="inlineStr">
        <is>
          <t>quem coordena está na identificação, no topo da ficha</t>
        </is>
      </c>
      <c r="I65" s="46" t="n"/>
      <c r="J65" s="46" t="n"/>
      <c r="K65" s="46" t="n"/>
      <c r="L65" s="46" t="n"/>
      <c r="M65" s="46" t="n"/>
      <c r="N65" s="46" t="n"/>
      <c r="O65" s="46" t="n"/>
    </row>
    <row r="66" ht="17" customHeight="1">
      <c r="A66" s="36" t="inlineStr">
        <is>
          <t>Gestão técnica</t>
        </is>
      </c>
      <c r="B66" s="78" t="n">
        <v>0.005</v>
      </c>
      <c r="C66" s="56">
        <f>IF($B66="","",ROUND($B66*$C$45,2))</f>
        <v/>
      </c>
      <c r="D66" s="56">
        <f>IF($B66="","",ROUND($B66*$D$45,2))</f>
        <v/>
      </c>
      <c r="E66" s="56">
        <f>IF(OR($C66="",$D66=""),"",ROUND($D66-$C66,2))</f>
        <v/>
      </c>
      <c r="F66" s="38" t="n"/>
      <c r="G66" s="72">
        <f>IF(OR($D66="",$A$13="",$A$13=0),"",$D66/$A$13)</f>
        <v/>
      </c>
      <c r="H66" s="73" t="n"/>
      <c r="I66" s="46" t="n"/>
      <c r="J66" s="46" t="n"/>
      <c r="K66" s="46" t="n"/>
      <c r="L66" s="46" t="n"/>
      <c r="M66" s="46" t="n"/>
      <c r="N66" s="46" t="n"/>
      <c r="O66" s="46" t="n"/>
    </row>
    <row r="67" ht="17" customHeight="1">
      <c r="A67" s="36" t="inlineStr">
        <is>
          <t>Comissão de produção</t>
        </is>
      </c>
      <c r="B67" s="78" t="n"/>
      <c r="C67" s="56">
        <f>IF($B67="","",ROUND($B67*$C$45,2))</f>
        <v/>
      </c>
      <c r="D67" s="56">
        <f>IF($F$61=0,"",$F$61)</f>
        <v/>
      </c>
      <c r="E67" s="56">
        <f>IF(OR($C67="",$D67=""),"",ROUND($D67-$C67,2))</f>
        <v/>
      </c>
      <c r="F67" s="38" t="n"/>
      <c r="G67" s="72">
        <f>IF(OR($D67="",$A$13="",$A$13=0),"",$D67/$A$13)</f>
        <v/>
      </c>
      <c r="H67" s="73" t="inlineStr">
        <is>
          <t>orçado = % único estimado · realizado = soma dos ambientes</t>
        </is>
      </c>
      <c r="I67" s="46" t="n"/>
      <c r="J67" s="46" t="n"/>
      <c r="K67" s="46" t="n"/>
      <c r="L67" s="46" t="n"/>
      <c r="M67" s="46" t="n"/>
      <c r="N67" s="46" t="n"/>
      <c r="O67" s="46" t="n"/>
    </row>
    <row r="68" ht="17" customHeight="1">
      <c r="A68" s="36" t="inlineStr">
        <is>
          <t>Comissão de montagem</t>
        </is>
      </c>
      <c r="B68" s="78" t="n"/>
      <c r="C68" s="56">
        <f>IF($B68="","",ROUND($B68*$C$45,2))</f>
        <v/>
      </c>
      <c r="D68" s="56">
        <f>IF($J$61=0,"",$J$61)</f>
        <v/>
      </c>
      <c r="E68" s="56">
        <f>IF(OR($C68="",$D68=""),"",ROUND($D68-$C68,2))</f>
        <v/>
      </c>
      <c r="F68" s="38" t="n"/>
      <c r="G68" s="72">
        <f>IF(OR($D68="",$A$13="",$A$13=0),"",$D68/$A$13)</f>
        <v/>
      </c>
      <c r="H68" s="73" t="inlineStr">
        <is>
          <t>orçado = % único estimado · realizado = soma dos ambientes</t>
        </is>
      </c>
      <c r="I68" s="46" t="n"/>
      <c r="J68" s="46" t="n"/>
      <c r="K68" s="46" t="n"/>
      <c r="L68" s="46" t="n"/>
      <c r="M68" s="46" t="n"/>
      <c r="N68" s="46" t="n"/>
      <c r="O68" s="46" t="n"/>
    </row>
    <row r="69" ht="17" customHeight="1">
      <c r="A69" s="36" t="inlineStr">
        <is>
          <t>Comissão de projetista</t>
        </is>
      </c>
      <c r="B69" s="78" t="n"/>
      <c r="C69" s="56">
        <f>IF($B69="","",ROUND($B69*$C$45,2))</f>
        <v/>
      </c>
      <c r="D69" s="56">
        <f>IF($N$61=0,"",$N$61)</f>
        <v/>
      </c>
      <c r="E69" s="56">
        <f>IF(OR($C69="",$D69=""),"",ROUND($D69-$C69,2))</f>
        <v/>
      </c>
      <c r="F69" s="38" t="n"/>
      <c r="G69" s="72">
        <f>IF(OR($D69="",$A$13="",$A$13=0),"",$D69/$A$13)</f>
        <v/>
      </c>
      <c r="H69" s="73" t="inlineStr">
        <is>
          <t>quem projetou cada ambiente está na coluna L do bloco 3</t>
        </is>
      </c>
      <c r="I69" s="46" t="n"/>
      <c r="J69" s="46" t="n"/>
      <c r="K69" s="46" t="n"/>
      <c r="L69" s="46" t="n"/>
      <c r="M69" s="46" t="n"/>
      <c r="N69" s="46" t="n"/>
      <c r="O69" s="46" t="n"/>
    </row>
    <row r="70" ht="20" customHeight="1">
      <c r="A70" s="31" t="inlineStr">
        <is>
          <t>(=) SUBTOTAL DAS COMISSÕES</t>
        </is>
      </c>
      <c r="B70" s="32" t="n"/>
      <c r="C70" s="60">
        <f>ROUND(SUM(C65:C69),2)</f>
        <v/>
      </c>
      <c r="D70" s="60">
        <f>ROUND(SUM(D65:D69),2)</f>
        <v/>
      </c>
      <c r="E70" s="60">
        <f>ROUND($D70-$C70,2)</f>
        <v/>
      </c>
      <c r="F70" s="32" t="n"/>
      <c r="G70" s="62">
        <f>IF(OR($A$13="",$A$13=0),"",$D70/$A$13)</f>
        <v/>
      </c>
      <c r="H70" s="32" t="n"/>
      <c r="I70" s="32" t="n"/>
      <c r="J70" s="32" t="n"/>
      <c r="K70" s="32" t="n"/>
      <c r="L70" s="32" t="n"/>
      <c r="M70" s="32" t="n"/>
      <c r="N70" s="32" t="n"/>
      <c r="O70" s="32" t="n"/>
    </row>
    <row r="71" ht="8" customHeight="1"/>
    <row r="72" ht="20" customHeight="1">
      <c r="A72" s="8" t="inlineStr">
        <is>
          <t xml:space="preserve">  5 · COMISSÕES POR COLABORADOR          consolidado automático — quem produziu, quem montou, quem projetou e o coordenador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</row>
    <row r="73" ht="26" customHeight="1">
      <c r="A73" s="19" t="inlineStr">
        <is>
          <t>Colaborador</t>
        </is>
      </c>
      <c r="B73" s="19" t="inlineStr">
        <is>
          <t>Produção (R$)</t>
        </is>
      </c>
      <c r="C73" s="35" t="n"/>
      <c r="D73" s="19" t="inlineStr">
        <is>
          <t>Montagem (R$)</t>
        </is>
      </c>
      <c r="E73" s="35" t="n"/>
      <c r="F73" s="19" t="inlineStr">
        <is>
          <t>Projeto (R$)</t>
        </is>
      </c>
      <c r="G73" s="35" t="n"/>
      <c r="H73" s="19" t="inlineStr">
        <is>
          <t>Coordenação / Gestão técnica (R$)</t>
        </is>
      </c>
      <c r="I73" s="35" t="n"/>
      <c r="J73" s="19" t="inlineStr">
        <is>
          <t>Total no projeto (R$)</t>
        </is>
      </c>
      <c r="K73" s="35" t="n"/>
      <c r="L73" s="35" t="n"/>
      <c r="M73" s="35" t="n"/>
    </row>
    <row r="74" ht="17" customHeight="1">
      <c r="A74" s="87" t="inlineStr">
        <is>
          <t>Deivison</t>
        </is>
      </c>
      <c r="B74" s="56">
        <f>IF($A74="","",ROUND(SUMIF($D$49:$D$60,$A74,$F$49:$F$60),2))</f>
        <v/>
      </c>
      <c r="C74" s="38" t="n"/>
      <c r="D74" s="56">
        <f>IF($A74="","",ROUND(SUMIF($H$49:$H$60,$A74,$J$49:$J$60),2))</f>
        <v/>
      </c>
      <c r="E74" s="38" t="n"/>
      <c r="F74" s="56">
        <f>IF($A74="","",ROUND(SUMIF($L$49:$L$60,$A74,$N$49:$N$60),2))</f>
        <v/>
      </c>
      <c r="G74" s="38" t="n"/>
      <c r="H74" s="56">
        <f>IF($A74="","",IF($A74=$F$9,IF($D$65="",0,$D$65),0)+IF($A74=$H$66,IF($D$66="",0,$D$66),0))</f>
        <v/>
      </c>
      <c r="I74" s="38" t="n"/>
      <c r="J74" s="88">
        <f>IF($A74="","",ROUND($B74+$D74+$F74+$H74,2))</f>
        <v/>
      </c>
      <c r="K74" s="38" t="n"/>
      <c r="L74" s="38" t="n"/>
      <c r="M74" s="38" t="n"/>
    </row>
    <row r="75" ht="17" customHeight="1">
      <c r="A75" s="87" t="inlineStr">
        <is>
          <t>Ronald</t>
        </is>
      </c>
      <c r="B75" s="56">
        <f>IF($A75="","",ROUND(SUMIF($D$49:$D$60,$A75,$F$49:$F$60),2))</f>
        <v/>
      </c>
      <c r="C75" s="38" t="n"/>
      <c r="D75" s="56">
        <f>IF($A75="","",ROUND(SUMIF($H$49:$H$60,$A75,$J$49:$J$60),2))</f>
        <v/>
      </c>
      <c r="E75" s="38" t="n"/>
      <c r="F75" s="56">
        <f>IF($A75="","",ROUND(SUMIF($L$49:$L$60,$A75,$N$49:$N$60),2))</f>
        <v/>
      </c>
      <c r="G75" s="38" t="n"/>
      <c r="H75" s="56">
        <f>IF($A75="","",IF($A75=$F$9,IF($D$65="",0,$D$65),0)+IF($A75=$H$66,IF($D$66="",0,$D$66),0))</f>
        <v/>
      </c>
      <c r="I75" s="38" t="n"/>
      <c r="J75" s="88">
        <f>IF($A75="","",ROUND($B75+$D75+$F75+$H75,2))</f>
        <v/>
      </c>
      <c r="K75" s="38" t="n"/>
      <c r="L75" s="38" t="n"/>
      <c r="M75" s="38" t="n"/>
    </row>
    <row r="76" ht="17" customHeight="1">
      <c r="A76" s="87" t="inlineStr">
        <is>
          <t>Samuel</t>
        </is>
      </c>
      <c r="B76" s="56">
        <f>IF($A76="","",ROUND(SUMIF($D$49:$D$60,$A76,$F$49:$F$60),2))</f>
        <v/>
      </c>
      <c r="C76" s="38" t="n"/>
      <c r="D76" s="56">
        <f>IF($A76="","",ROUND(SUMIF($H$49:$H$60,$A76,$J$49:$J$60),2))</f>
        <v/>
      </c>
      <c r="E76" s="38" t="n"/>
      <c r="F76" s="56">
        <f>IF($A76="","",ROUND(SUMIF($L$49:$L$60,$A76,$N$49:$N$60),2))</f>
        <v/>
      </c>
      <c r="G76" s="38" t="n"/>
      <c r="H76" s="56">
        <f>IF($A76="","",IF($A76=$F$9,IF($D$65="",0,$D$65),0)+IF($A76=$H$66,IF($D$66="",0,$D$66),0))</f>
        <v/>
      </c>
      <c r="I76" s="38" t="n"/>
      <c r="J76" s="88">
        <f>IF($A76="","",ROUND($B76+$D76+$F76+$H76,2))</f>
        <v/>
      </c>
      <c r="K76" s="38" t="n"/>
      <c r="L76" s="38" t="n"/>
      <c r="M76" s="38" t="n"/>
    </row>
    <row r="77" ht="17" customHeight="1">
      <c r="A77" s="87" t="inlineStr">
        <is>
          <t>Cesar</t>
        </is>
      </c>
      <c r="B77" s="56">
        <f>IF($A77="","",ROUND(SUMIF($D$49:$D$60,$A77,$F$49:$F$60),2))</f>
        <v/>
      </c>
      <c r="C77" s="38" t="n"/>
      <c r="D77" s="56">
        <f>IF($A77="","",ROUND(SUMIF($H$49:$H$60,$A77,$J$49:$J$60),2))</f>
        <v/>
      </c>
      <c r="E77" s="38" t="n"/>
      <c r="F77" s="56">
        <f>IF($A77="","",ROUND(SUMIF($L$49:$L$60,$A77,$N$49:$N$60),2))</f>
        <v/>
      </c>
      <c r="G77" s="38" t="n"/>
      <c r="H77" s="56">
        <f>IF($A77="","",IF($A77=$F$9,IF($D$65="",0,$D$65),0)+IF($A77=$H$66,IF($D$66="",0,$D$66),0))</f>
        <v/>
      </c>
      <c r="I77" s="38" t="n"/>
      <c r="J77" s="88">
        <f>IF($A77="","",ROUND($B77+$D77+$F77+$H77,2))</f>
        <v/>
      </c>
      <c r="K77" s="38" t="n"/>
      <c r="L77" s="38" t="n"/>
      <c r="M77" s="38" t="n"/>
    </row>
    <row r="78" ht="17" customHeight="1">
      <c r="A78" s="87" t="inlineStr">
        <is>
          <t>Jhon</t>
        </is>
      </c>
      <c r="B78" s="56">
        <f>IF($A78="","",ROUND(SUMIF($D$49:$D$60,$A78,$F$49:$F$60),2))</f>
        <v/>
      </c>
      <c r="C78" s="38" t="n"/>
      <c r="D78" s="56">
        <f>IF($A78="","",ROUND(SUMIF($H$49:$H$60,$A78,$J$49:$J$60),2))</f>
        <v/>
      </c>
      <c r="E78" s="38" t="n"/>
      <c r="F78" s="56">
        <f>IF($A78="","",ROUND(SUMIF($L$49:$L$60,$A78,$N$49:$N$60),2))</f>
        <v/>
      </c>
      <c r="G78" s="38" t="n"/>
      <c r="H78" s="56">
        <f>IF($A78="","",IF($A78=$F$9,IF($D$65="",0,$D$65),0)+IF($A78=$H$66,IF($D$66="",0,$D$66),0))</f>
        <v/>
      </c>
      <c r="I78" s="38" t="n"/>
      <c r="J78" s="88">
        <f>IF($A78="","",ROUND($B78+$D78+$F78+$H78,2))</f>
        <v/>
      </c>
      <c r="K78" s="38" t="n"/>
      <c r="L78" s="38" t="n"/>
      <c r="M78" s="38" t="n"/>
    </row>
    <row r="79" ht="17" customHeight="1">
      <c r="A79" s="87" t="inlineStr">
        <is>
          <t>Joelson</t>
        </is>
      </c>
      <c r="B79" s="56">
        <f>IF($A79="","",ROUND(SUMIF($D$49:$D$60,$A79,$F$49:$F$60),2))</f>
        <v/>
      </c>
      <c r="C79" s="38" t="n"/>
      <c r="D79" s="56">
        <f>IF($A79="","",ROUND(SUMIF($H$49:$H$60,$A79,$J$49:$J$60),2))</f>
        <v/>
      </c>
      <c r="E79" s="38" t="n"/>
      <c r="F79" s="56">
        <f>IF($A79="","",ROUND(SUMIF($L$49:$L$60,$A79,$N$49:$N$60),2))</f>
        <v/>
      </c>
      <c r="G79" s="38" t="n"/>
      <c r="H79" s="56">
        <f>IF($A79="","",IF($A79=$F$9,IF($D$65="",0,$D$65),0)+IF($A79=$H$66,IF($D$66="",0,$D$66),0))</f>
        <v/>
      </c>
      <c r="I79" s="38" t="n"/>
      <c r="J79" s="88">
        <f>IF($A79="","",ROUND($B79+$D79+$F79+$H79,2))</f>
        <v/>
      </c>
      <c r="K79" s="38" t="n"/>
      <c r="L79" s="38" t="n"/>
      <c r="M79" s="38" t="n"/>
    </row>
    <row r="80" ht="17" customHeight="1">
      <c r="A80" s="87" t="inlineStr">
        <is>
          <t>Davi</t>
        </is>
      </c>
      <c r="B80" s="56">
        <f>IF($A80="","",ROUND(SUMIF($D$49:$D$60,$A80,$F$49:$F$60),2))</f>
        <v/>
      </c>
      <c r="C80" s="38" t="n"/>
      <c r="D80" s="56">
        <f>IF($A80="","",ROUND(SUMIF($H$49:$H$60,$A80,$J$49:$J$60),2))</f>
        <v/>
      </c>
      <c r="E80" s="38" t="n"/>
      <c r="F80" s="56">
        <f>IF($A80="","",ROUND(SUMIF($L$49:$L$60,$A80,$N$49:$N$60),2))</f>
        <v/>
      </c>
      <c r="G80" s="38" t="n"/>
      <c r="H80" s="56">
        <f>IF($A80="","",IF($A80=$F$9,IF($D$65="",0,$D$65),0)+IF($A80=$H$66,IF($D$66="",0,$D$66),0))</f>
        <v/>
      </c>
      <c r="I80" s="38" t="n"/>
      <c r="J80" s="88">
        <f>IF($A80="","",ROUND($B80+$D80+$F80+$H80,2))</f>
        <v/>
      </c>
      <c r="K80" s="38" t="n"/>
      <c r="L80" s="38" t="n"/>
      <c r="M80" s="38" t="n"/>
    </row>
    <row r="81" ht="17" customHeight="1">
      <c r="A81" s="87" t="inlineStr">
        <is>
          <t>Jomar</t>
        </is>
      </c>
      <c r="B81" s="56">
        <f>IF($A81="","",ROUND(SUMIF($D$49:$D$60,$A81,$F$49:$F$60),2))</f>
        <v/>
      </c>
      <c r="C81" s="38" t="n"/>
      <c r="D81" s="56">
        <f>IF($A81="","",ROUND(SUMIF($H$49:$H$60,$A81,$J$49:$J$60),2))</f>
        <v/>
      </c>
      <c r="E81" s="38" t="n"/>
      <c r="F81" s="56">
        <f>IF($A81="","",ROUND(SUMIF($L$49:$L$60,$A81,$N$49:$N$60),2))</f>
        <v/>
      </c>
      <c r="G81" s="38" t="n"/>
      <c r="H81" s="56">
        <f>IF($A81="","",IF($A81=$F$9,IF($D$65="",0,$D$65),0)+IF($A81=$H$66,IF($D$66="",0,$D$66),0))</f>
        <v/>
      </c>
      <c r="I81" s="38" t="n"/>
      <c r="J81" s="88">
        <f>IF($A81="","",ROUND($B81+$D81+$F81+$H81,2))</f>
        <v/>
      </c>
      <c r="K81" s="38" t="n"/>
      <c r="L81" s="38" t="n"/>
      <c r="M81" s="38" t="n"/>
    </row>
    <row r="82" ht="17" customHeight="1">
      <c r="A82" s="87" t="inlineStr">
        <is>
          <t>Bruno</t>
        </is>
      </c>
      <c r="B82" s="56">
        <f>IF($A82="","",ROUND(SUMIF($D$49:$D$60,$A82,$F$49:$F$60),2))</f>
        <v/>
      </c>
      <c r="C82" s="38" t="n"/>
      <c r="D82" s="56">
        <f>IF($A82="","",ROUND(SUMIF($H$49:$H$60,$A82,$J$49:$J$60),2))</f>
        <v/>
      </c>
      <c r="E82" s="38" t="n"/>
      <c r="F82" s="56">
        <f>IF($A82="","",ROUND(SUMIF($L$49:$L$60,$A82,$N$49:$N$60),2))</f>
        <v/>
      </c>
      <c r="G82" s="38" t="n"/>
      <c r="H82" s="56">
        <f>IF($A82="","",IF($A82=$F$9,IF($D$65="",0,$D$65),0)+IF($A82=$H$66,IF($D$66="",0,$D$66),0))</f>
        <v/>
      </c>
      <c r="I82" s="38" t="n"/>
      <c r="J82" s="88">
        <f>IF($A82="","",ROUND($B82+$D82+$F82+$H82,2))</f>
        <v/>
      </c>
      <c r="K82" s="38" t="n"/>
      <c r="L82" s="38" t="n"/>
      <c r="M82" s="38" t="n"/>
    </row>
    <row r="83" ht="17" customHeight="1">
      <c r="A83" s="87" t="inlineStr">
        <is>
          <t>Wallace</t>
        </is>
      </c>
      <c r="B83" s="56">
        <f>IF($A83="","",ROUND(SUMIF($D$49:$D$60,$A83,$F$49:$F$60),2))</f>
        <v/>
      </c>
      <c r="C83" s="38" t="n"/>
      <c r="D83" s="56">
        <f>IF($A83="","",ROUND(SUMIF($H$49:$H$60,$A83,$J$49:$J$60),2))</f>
        <v/>
      </c>
      <c r="E83" s="38" t="n"/>
      <c r="F83" s="56">
        <f>IF($A83="","",ROUND(SUMIF($L$49:$L$60,$A83,$N$49:$N$60),2))</f>
        <v/>
      </c>
      <c r="G83" s="38" t="n"/>
      <c r="H83" s="56">
        <f>IF($A83="","",IF($A83=$F$9,IF($D$65="",0,$D$65),0)+IF($A83=$H$66,IF($D$66="",0,$D$66),0))</f>
        <v/>
      </c>
      <c r="I83" s="38" t="n"/>
      <c r="J83" s="88">
        <f>IF($A83="","",ROUND($B83+$D83+$F83+$H83,2))</f>
        <v/>
      </c>
      <c r="K83" s="38" t="n"/>
      <c r="L83" s="38" t="n"/>
      <c r="M83" s="38" t="n"/>
    </row>
    <row r="84" ht="17" customHeight="1">
      <c r="A84" s="87" t="inlineStr">
        <is>
          <t>Douglas</t>
        </is>
      </c>
      <c r="B84" s="56">
        <f>IF($A84="","",ROUND(SUMIF($D$49:$D$60,$A84,$F$49:$F$60),2))</f>
        <v/>
      </c>
      <c r="C84" s="38" t="n"/>
      <c r="D84" s="56">
        <f>IF($A84="","",ROUND(SUMIF($H$49:$H$60,$A84,$J$49:$J$60),2))</f>
        <v/>
      </c>
      <c r="E84" s="38" t="n"/>
      <c r="F84" s="56">
        <f>IF($A84="","",ROUND(SUMIF($L$49:$L$60,$A84,$N$49:$N$60),2))</f>
        <v/>
      </c>
      <c r="G84" s="38" t="n"/>
      <c r="H84" s="56">
        <f>IF($A84="","",IF($A84=$F$9,IF($D$65="",0,$D$65),0)+IF($A84=$H$66,IF($D$66="",0,$D$66),0))</f>
        <v/>
      </c>
      <c r="I84" s="38" t="n"/>
      <c r="J84" s="88">
        <f>IF($A84="","",ROUND($B84+$D84+$F84+$H84,2))</f>
        <v/>
      </c>
      <c r="K84" s="38" t="n"/>
      <c r="L84" s="38" t="n"/>
      <c r="M84" s="38" t="n"/>
    </row>
    <row r="85" ht="17" customHeight="1">
      <c r="A85" s="87" t="inlineStr">
        <is>
          <t>Terceiro / avulso</t>
        </is>
      </c>
      <c r="B85" s="56">
        <f>IF($A85="","",ROUND(SUMIF($D$49:$D$60,$A85,$F$49:$F$60),2))</f>
        <v/>
      </c>
      <c r="C85" s="38" t="n"/>
      <c r="D85" s="56">
        <f>IF($A85="","",ROUND(SUMIF($H$49:$H$60,$A85,$J$49:$J$60),2))</f>
        <v/>
      </c>
      <c r="E85" s="38" t="n"/>
      <c r="F85" s="56">
        <f>IF($A85="","",ROUND(SUMIF($L$49:$L$60,$A85,$N$49:$N$60),2))</f>
        <v/>
      </c>
      <c r="G85" s="38" t="n"/>
      <c r="H85" s="56">
        <f>IF($A85="","",IF($A85=$F$9,IF($D$65="",0,$D$65),0)+IF($A85=$H$66,IF($D$66="",0,$D$66),0))</f>
        <v/>
      </c>
      <c r="I85" s="38" t="n"/>
      <c r="J85" s="88">
        <f>IF($A85="","",ROUND($B85+$D85+$F85+$H85,2))</f>
        <v/>
      </c>
      <c r="K85" s="38" t="n"/>
      <c r="L85" s="38" t="n"/>
      <c r="M85" s="38" t="n"/>
    </row>
    <row r="86" ht="17" customHeight="1">
      <c r="A86" s="87" t="inlineStr">
        <is>
          <t>Lorrane</t>
        </is>
      </c>
      <c r="B86" s="56">
        <f>IF($A86="","",ROUND(SUMIF($D$49:$D$60,$A86,$F$49:$F$60),2))</f>
        <v/>
      </c>
      <c r="C86" s="38" t="n"/>
      <c r="D86" s="56">
        <f>IF($A86="","",ROUND(SUMIF($H$49:$H$60,$A86,$J$49:$J$60),2))</f>
        <v/>
      </c>
      <c r="E86" s="38" t="n"/>
      <c r="F86" s="56">
        <f>IF($A86="","",ROUND(SUMIF($L$49:$L$60,$A86,$N$49:$N$60),2))</f>
        <v/>
      </c>
      <c r="G86" s="38" t="n"/>
      <c r="H86" s="56">
        <f>IF($A86="","",IF($A86=$F$9,IF($D$65="",0,$D$65),0)+IF($A86=$H$66,IF($D$66="",0,$D$66),0))</f>
        <v/>
      </c>
      <c r="I86" s="38" t="n"/>
      <c r="J86" s="88">
        <f>IF($A86="","",ROUND($B86+$D86+$F86+$H86,2))</f>
        <v/>
      </c>
      <c r="K86" s="38" t="n"/>
      <c r="L86" s="38" t="n"/>
      <c r="M86" s="38" t="n"/>
    </row>
    <row r="87" ht="17" customHeight="1">
      <c r="A87" s="87" t="inlineStr">
        <is>
          <t>Lucas</t>
        </is>
      </c>
      <c r="B87" s="56">
        <f>IF($A87="","",ROUND(SUMIF($D$49:$D$60,$A87,$F$49:$F$60),2))</f>
        <v/>
      </c>
      <c r="C87" s="38" t="n"/>
      <c r="D87" s="56">
        <f>IF($A87="","",ROUND(SUMIF($H$49:$H$60,$A87,$J$49:$J$60),2))</f>
        <v/>
      </c>
      <c r="E87" s="38" t="n"/>
      <c r="F87" s="56">
        <f>IF($A87="","",ROUND(SUMIF($L$49:$L$60,$A87,$N$49:$N$60),2))</f>
        <v/>
      </c>
      <c r="G87" s="38" t="n"/>
      <c r="H87" s="56">
        <f>IF($A87="","",IF($A87=$F$9,IF($D$65="",0,$D$65),0)+IF($A87=$H$66,IF($D$66="",0,$D$66),0))</f>
        <v/>
      </c>
      <c r="I87" s="38" t="n"/>
      <c r="J87" s="88">
        <f>IF($A87="","",ROUND($B87+$D87+$F87+$H87,2))</f>
        <v/>
      </c>
      <c r="K87" s="38" t="n"/>
      <c r="L87" s="38" t="n"/>
      <c r="M87" s="38" t="n"/>
    </row>
    <row r="88" ht="17" customHeight="1">
      <c r="A88" s="87" t="inlineStr">
        <is>
          <t>Externo / avulso</t>
        </is>
      </c>
      <c r="B88" s="56">
        <f>IF($A88="","",ROUND(SUMIF($D$49:$D$60,$A88,$F$49:$F$60),2))</f>
        <v/>
      </c>
      <c r="C88" s="38" t="n"/>
      <c r="D88" s="56">
        <f>IF($A88="","",ROUND(SUMIF($H$49:$H$60,$A88,$J$49:$J$60),2))</f>
        <v/>
      </c>
      <c r="E88" s="38" t="n"/>
      <c r="F88" s="56">
        <f>IF($A88="","",ROUND(SUMIF($L$49:$L$60,$A88,$N$49:$N$60),2))</f>
        <v/>
      </c>
      <c r="G88" s="38" t="n"/>
      <c r="H88" s="56">
        <f>IF($A88="","",IF($A88=$F$9,IF($D$65="",0,$D$65),0)+IF($A88=$H$66,IF($D$66="",0,$D$66),0))</f>
        <v/>
      </c>
      <c r="I88" s="38" t="n"/>
      <c r="J88" s="88">
        <f>IF($A88="","",ROUND($B88+$D88+$F88+$H88,2))</f>
        <v/>
      </c>
      <c r="K88" s="38" t="n"/>
      <c r="L88" s="38" t="n"/>
      <c r="M88" s="38" t="n"/>
    </row>
    <row r="89" ht="17" customHeight="1">
      <c r="A89" s="87" t="inlineStr">
        <is>
          <t>Bruna</t>
        </is>
      </c>
      <c r="B89" s="56">
        <f>IF($A89="","",ROUND(SUMIF($D$49:$D$60,$A89,$F$49:$F$60),2))</f>
        <v/>
      </c>
      <c r="C89" s="38" t="n"/>
      <c r="D89" s="56">
        <f>IF($A89="","",ROUND(SUMIF($H$49:$H$60,$A89,$J$49:$J$60),2))</f>
        <v/>
      </c>
      <c r="E89" s="38" t="n"/>
      <c r="F89" s="56">
        <f>IF($A89="","",ROUND(SUMIF($L$49:$L$60,$A89,$N$49:$N$60),2))</f>
        <v/>
      </c>
      <c r="G89" s="38" t="n"/>
      <c r="H89" s="56">
        <f>IF($A89="","",IF($A89=$F$9,IF($D$65="",0,$D$65),0)+IF($A89=$H$66,IF($D$66="",0,$D$66),0))</f>
        <v/>
      </c>
      <c r="I89" s="38" t="n"/>
      <c r="J89" s="88">
        <f>IF($A89="","",ROUND($B89+$D89+$F89+$H89,2))</f>
        <v/>
      </c>
      <c r="K89" s="38" t="n"/>
      <c r="L89" s="38" t="n"/>
      <c r="M89" s="38" t="n"/>
    </row>
    <row r="90" ht="17" customHeight="1">
      <c r="A90" s="87" t="n"/>
      <c r="B90" s="56">
        <f>IF($A90="","",ROUND(SUMIF($D$49:$D$60,$A90,$F$49:$F$60),2))</f>
        <v/>
      </c>
      <c r="C90" s="38" t="n"/>
      <c r="D90" s="56">
        <f>IF($A90="","",ROUND(SUMIF($H$49:$H$60,$A90,$J$49:$J$60),2))</f>
        <v/>
      </c>
      <c r="E90" s="38" t="n"/>
      <c r="F90" s="56">
        <f>IF($A90="","",ROUND(SUMIF($L$49:$L$60,$A90,$N$49:$N$60),2))</f>
        <v/>
      </c>
      <c r="G90" s="38" t="n"/>
      <c r="H90" s="56">
        <f>IF($A90="","",IF($A90=$F$9,IF($D$65="",0,$D$65),0)+IF($A90=$H$66,IF($D$66="",0,$D$66),0))</f>
        <v/>
      </c>
      <c r="I90" s="38" t="n"/>
      <c r="J90" s="88">
        <f>IF($A90="","",ROUND($B90+$D90+$F90+$H90,2))</f>
        <v/>
      </c>
      <c r="K90" s="38" t="n"/>
      <c r="L90" s="38" t="n"/>
      <c r="M90" s="38" t="n"/>
    </row>
    <row r="91" ht="17" customHeight="1">
      <c r="A91" s="87" t="n"/>
      <c r="B91" s="56">
        <f>IF($A91="","",ROUND(SUMIF($D$49:$D$60,$A91,$F$49:$F$60),2))</f>
        <v/>
      </c>
      <c r="C91" s="38" t="n"/>
      <c r="D91" s="56">
        <f>IF($A91="","",ROUND(SUMIF($H$49:$H$60,$A91,$J$49:$J$60),2))</f>
        <v/>
      </c>
      <c r="E91" s="38" t="n"/>
      <c r="F91" s="56">
        <f>IF($A91="","",ROUND(SUMIF($L$49:$L$60,$A91,$N$49:$N$60),2))</f>
        <v/>
      </c>
      <c r="G91" s="38" t="n"/>
      <c r="H91" s="56">
        <f>IF($A91="","",IF($A91=$F$9,IF($D$65="",0,$D$65),0)+IF($A91=$H$66,IF($D$66="",0,$D$66),0))</f>
        <v/>
      </c>
      <c r="I91" s="38" t="n"/>
      <c r="J91" s="88">
        <f>IF($A91="","",ROUND($B91+$D91+$F91+$H91,2))</f>
        <v/>
      </c>
      <c r="K91" s="38" t="n"/>
      <c r="L91" s="38" t="n"/>
      <c r="M91" s="38" t="n"/>
    </row>
    <row r="92" ht="20" customHeight="1">
      <c r="A92" s="31" t="inlineStr">
        <is>
          <t>TOTAL</t>
        </is>
      </c>
      <c r="B92" s="60">
        <f>ROUND(SUM(B74:B91),2)</f>
        <v/>
      </c>
      <c r="C92" s="32" t="n"/>
      <c r="D92" s="60">
        <f>ROUND(SUM(D74:D91),2)</f>
        <v/>
      </c>
      <c r="E92" s="32" t="n"/>
      <c r="F92" s="60">
        <f>ROUND(SUM(F74:F91),2)</f>
        <v/>
      </c>
      <c r="G92" s="32" t="n"/>
      <c r="H92" s="60">
        <f>ROUND(SUM(H74:H91),2)</f>
        <v/>
      </c>
      <c r="I92" s="32" t="n"/>
      <c r="J92" s="60">
        <f>ROUND(SUM(J74:J91),2)</f>
        <v/>
      </c>
      <c r="K92" s="32" t="n"/>
      <c r="L92" s="32" t="n"/>
      <c r="M92" s="32" t="n"/>
    </row>
    <row r="93" ht="8" customHeight="1"/>
    <row r="94" ht="20" customHeight="1">
      <c r="A94" s="8" t="inlineStr">
        <is>
          <t xml:space="preserve">  6 · MATERIAL, TERCEIRIZADOS E LOGÍSTICA          o orçado você digita · o realizado vem sozinho do livro de lançamentos, lá no fim da ficha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</row>
    <row r="95" ht="30" customHeight="1">
      <c r="A95" s="19" t="inlineStr">
        <is>
          <t>Categoria</t>
        </is>
      </c>
      <c r="B95" s="19" t="inlineStr"/>
      <c r="C95" s="19" t="inlineStr">
        <is>
          <t>Orçado (R$)</t>
        </is>
      </c>
      <c r="D95" s="19" t="inlineStr">
        <is>
          <t>Realizado (R$)</t>
        </is>
      </c>
      <c r="E95" s="19" t="inlineStr">
        <is>
          <t>Desvio (R$)</t>
        </is>
      </c>
      <c r="F95" s="35" t="n"/>
      <c r="G95" s="19" t="inlineStr">
        <is>
          <t>Ainda a comprar</t>
        </is>
      </c>
      <c r="H95" s="19" t="inlineStr">
        <is>
          <t>Comprado, ainda a pagar</t>
        </is>
      </c>
      <c r="I95" s="35" t="n"/>
      <c r="J95" s="35" t="n"/>
      <c r="K95" s="35" t="n"/>
      <c r="L95" s="35" t="n"/>
      <c r="M95" s="35" t="n"/>
      <c r="N95" s="35" t="n"/>
      <c r="O95" s="35" t="n"/>
    </row>
    <row r="96" ht="17" customHeight="1">
      <c r="A96" s="36" t="inlineStr">
        <is>
          <t>MDF e MDP</t>
        </is>
      </c>
      <c r="B96" s="37" t="n"/>
      <c r="C96" s="71" t="n"/>
      <c r="D96" s="56">
        <f>ROUND(SUMIFS($E$134:$E$193,$B$134:$B$193,$A96,$I$134:$I$193,"Comprado (a pagar)")+SUMIFS($E$134:$E$193,$B$134:$B$193,$A96,$I$134:$I$193,"Pago"),2)</f>
        <v/>
      </c>
      <c r="E96" s="56">
        <f>IF($C96="","",ROUND($D96-$C96,2))</f>
        <v/>
      </c>
      <c r="F96" s="38" t="n"/>
      <c r="G96" s="89">
        <f>ROUND(SUMIFS($E$134:$E$193,$B$134:$B$193,$A96,$I$134:$I$193,"A comprar"),2)</f>
        <v/>
      </c>
      <c r="H96" s="90">
        <f>ROUND(SUMIFS($E$134:$E$193,$B$134:$B$193,$A96,$I$134:$I$193,"Comprado (a pagar)"),2)</f>
        <v/>
      </c>
      <c r="I96" s="38" t="n"/>
      <c r="J96" s="38" t="n"/>
      <c r="K96" s="38" t="n"/>
      <c r="L96" s="38" t="n"/>
      <c r="M96" s="38" t="n"/>
      <c r="N96" s="38" t="n"/>
      <c r="O96" s="38" t="n"/>
    </row>
    <row r="97" ht="17" customHeight="1">
      <c r="A97" s="36" t="inlineStr">
        <is>
          <t>Fita de borda</t>
        </is>
      </c>
      <c r="B97" s="37" t="n"/>
      <c r="C97" s="71" t="n"/>
      <c r="D97" s="56">
        <f>ROUND(SUMIFS($E$134:$E$193,$B$134:$B$193,$A97,$I$134:$I$193,"Comprado (a pagar)")+SUMIFS($E$134:$E$193,$B$134:$B$193,$A97,$I$134:$I$193,"Pago"),2)</f>
        <v/>
      </c>
      <c r="E97" s="56">
        <f>IF($C97="","",ROUND($D97-$C97,2))</f>
        <v/>
      </c>
      <c r="F97" s="38" t="n"/>
      <c r="G97" s="89">
        <f>ROUND(SUMIFS($E$134:$E$193,$B$134:$B$193,$A97,$I$134:$I$193,"A comprar"),2)</f>
        <v/>
      </c>
      <c r="H97" s="90">
        <f>ROUND(SUMIFS($E$134:$E$193,$B$134:$B$193,$A97,$I$134:$I$193,"Comprado (a pagar)"),2)</f>
        <v/>
      </c>
      <c r="I97" s="38" t="n"/>
      <c r="J97" s="38" t="n"/>
      <c r="K97" s="38" t="n"/>
      <c r="L97" s="38" t="n"/>
      <c r="M97" s="38" t="n"/>
      <c r="N97" s="38" t="n"/>
      <c r="O97" s="38" t="n"/>
    </row>
    <row r="98" ht="17" customHeight="1">
      <c r="A98" s="36" t="inlineStr">
        <is>
          <t>Ferragens</t>
        </is>
      </c>
      <c r="B98" s="37" t="n"/>
      <c r="C98" s="71" t="n"/>
      <c r="D98" s="56">
        <f>ROUND(SUMIFS($E$134:$E$193,$B$134:$B$193,$A98,$I$134:$I$193,"Comprado (a pagar)")+SUMIFS($E$134:$E$193,$B$134:$B$193,$A98,$I$134:$I$193,"Pago"),2)</f>
        <v/>
      </c>
      <c r="E98" s="56">
        <f>IF($C98="","",ROUND($D98-$C98,2))</f>
        <v/>
      </c>
      <c r="F98" s="38" t="n"/>
      <c r="G98" s="89">
        <f>ROUND(SUMIFS($E$134:$E$193,$B$134:$B$193,$A98,$I$134:$I$193,"A comprar"),2)</f>
        <v/>
      </c>
      <c r="H98" s="90">
        <f>ROUND(SUMIFS($E$134:$E$193,$B$134:$B$193,$A98,$I$134:$I$193,"Comprado (a pagar)"),2)</f>
        <v/>
      </c>
      <c r="I98" s="38" t="n"/>
      <c r="J98" s="38" t="n"/>
      <c r="K98" s="38" t="n"/>
      <c r="L98" s="38" t="n"/>
      <c r="M98" s="38" t="n"/>
      <c r="N98" s="38" t="n"/>
      <c r="O98" s="38" t="n"/>
    </row>
    <row r="99" ht="17" customHeight="1">
      <c r="A99" s="36" t="inlineStr">
        <is>
          <t>Vidros e espelhos</t>
        </is>
      </c>
      <c r="B99" s="37" t="n"/>
      <c r="C99" s="71" t="n"/>
      <c r="D99" s="56">
        <f>ROUND(SUMIFS($E$134:$E$193,$B$134:$B$193,$A99,$I$134:$I$193,"Comprado (a pagar)")+SUMIFS($E$134:$E$193,$B$134:$B$193,$A99,$I$134:$I$193,"Pago"),2)</f>
        <v/>
      </c>
      <c r="E99" s="56">
        <f>IF($C99="","",ROUND($D99-$C99,2))</f>
        <v/>
      </c>
      <c r="F99" s="38" t="n"/>
      <c r="G99" s="89">
        <f>ROUND(SUMIFS($E$134:$E$193,$B$134:$B$193,$A99,$I$134:$I$193,"A comprar"),2)</f>
        <v/>
      </c>
      <c r="H99" s="90">
        <f>ROUND(SUMIFS($E$134:$E$193,$B$134:$B$193,$A99,$I$134:$I$193,"Comprado (a pagar)"),2)</f>
        <v/>
      </c>
      <c r="I99" s="38" t="n"/>
      <c r="J99" s="38" t="n"/>
      <c r="K99" s="38" t="n"/>
      <c r="L99" s="38" t="n"/>
      <c r="M99" s="38" t="n"/>
      <c r="N99" s="38" t="n"/>
      <c r="O99" s="38" t="n"/>
    </row>
    <row r="100" ht="17" customHeight="1">
      <c r="A100" s="36" t="inlineStr">
        <is>
          <t>Esquadrias</t>
        </is>
      </c>
      <c r="B100" s="37" t="n"/>
      <c r="C100" s="71" t="n"/>
      <c r="D100" s="56">
        <f>ROUND(SUMIFS($E$134:$E$193,$B$134:$B$193,$A100,$I$134:$I$193,"Comprado (a pagar)")+SUMIFS($E$134:$E$193,$B$134:$B$193,$A100,$I$134:$I$193,"Pago"),2)</f>
        <v/>
      </c>
      <c r="E100" s="56">
        <f>IF($C100="","",ROUND($D100-$C100,2))</f>
        <v/>
      </c>
      <c r="F100" s="38" t="n"/>
      <c r="G100" s="89">
        <f>ROUND(SUMIFS($E$134:$E$193,$B$134:$B$193,$A100,$I$134:$I$193,"A comprar"),2)</f>
        <v/>
      </c>
      <c r="H100" s="90">
        <f>ROUND(SUMIFS($E$134:$E$193,$B$134:$B$193,$A100,$I$134:$I$193,"Comprado (a pagar)"),2)</f>
        <v/>
      </c>
      <c r="I100" s="38" t="n"/>
      <c r="J100" s="38" t="n"/>
      <c r="K100" s="38" t="n"/>
      <c r="L100" s="38" t="n"/>
      <c r="M100" s="38" t="n"/>
      <c r="N100" s="38" t="n"/>
      <c r="O100" s="38" t="n"/>
    </row>
    <row r="101" ht="17" customHeight="1">
      <c r="A101" s="36" t="inlineStr">
        <is>
          <t>Lâmina natural</t>
        </is>
      </c>
      <c r="B101" s="37" t="n"/>
      <c r="C101" s="71" t="n"/>
      <c r="D101" s="56">
        <f>ROUND(SUMIFS($E$134:$E$193,$B$134:$B$193,$A101,$I$134:$I$193,"Comprado (a pagar)")+SUMIFS($E$134:$E$193,$B$134:$B$193,$A101,$I$134:$I$193,"Pago"),2)</f>
        <v/>
      </c>
      <c r="E101" s="56">
        <f>IF($C101="","",ROUND($D101-$C101,2))</f>
        <v/>
      </c>
      <c r="F101" s="38" t="n"/>
      <c r="G101" s="89">
        <f>ROUND(SUMIFS($E$134:$E$193,$B$134:$B$193,$A101,$I$134:$I$193,"A comprar"),2)</f>
        <v/>
      </c>
      <c r="H101" s="90">
        <f>ROUND(SUMIFS($E$134:$E$193,$B$134:$B$193,$A101,$I$134:$I$193,"Comprado (a pagar)"),2)</f>
        <v/>
      </c>
      <c r="I101" s="38" t="n"/>
      <c r="J101" s="38" t="n"/>
      <c r="K101" s="38" t="n"/>
      <c r="L101" s="38" t="n"/>
      <c r="M101" s="38" t="n"/>
      <c r="N101" s="38" t="n"/>
      <c r="O101" s="38" t="n"/>
    </row>
    <row r="102" ht="17" customHeight="1">
      <c r="A102" s="36" t="inlineStr">
        <is>
          <t>Consumíveis</t>
        </is>
      </c>
      <c r="B102" s="37" t="n"/>
      <c r="C102" s="71" t="n"/>
      <c r="D102" s="56">
        <f>ROUND(SUMIFS($E$134:$E$193,$B$134:$B$193,$A102,$I$134:$I$193,"Comprado (a pagar)")+SUMIFS($E$134:$E$193,$B$134:$B$193,$A102,$I$134:$I$193,"Pago"),2)</f>
        <v/>
      </c>
      <c r="E102" s="56">
        <f>IF($C102="","",ROUND($D102-$C102,2))</f>
        <v/>
      </c>
      <c r="F102" s="38" t="n"/>
      <c r="G102" s="89">
        <f>ROUND(SUMIFS($E$134:$E$193,$B$134:$B$193,$A102,$I$134:$I$193,"A comprar"),2)</f>
        <v/>
      </c>
      <c r="H102" s="90">
        <f>ROUND(SUMIFS($E$134:$E$193,$B$134:$B$193,$A102,$I$134:$I$193,"Comprado (a pagar)"),2)</f>
        <v/>
      </c>
      <c r="I102" s="38" t="n"/>
      <c r="J102" s="38" t="n"/>
      <c r="K102" s="38" t="n"/>
      <c r="L102" s="38" t="n"/>
      <c r="M102" s="38" t="n"/>
      <c r="N102" s="38" t="n"/>
      <c r="O102" s="38" t="n"/>
    </row>
    <row r="103" ht="20" customHeight="1">
      <c r="A103" s="31" t="inlineStr">
        <is>
          <t>(=) SUBTOTAL · MATERIAL</t>
        </is>
      </c>
      <c r="B103" s="32" t="n"/>
      <c r="C103" s="60">
        <f>ROUND(SUM(C96:C102),2)</f>
        <v/>
      </c>
      <c r="D103" s="60">
        <f>ROUND(SUM(D96:D102),2)</f>
        <v/>
      </c>
      <c r="E103" s="60">
        <f>ROUND(SUM(E96:E102),2)</f>
        <v/>
      </c>
      <c r="F103" s="32" t="n"/>
      <c r="G103" s="60">
        <f>ROUND(SUM(G96:G102),2)</f>
        <v/>
      </c>
      <c r="H103" s="60">
        <f>ROUND(SUM(H96:H102),2)</f>
        <v/>
      </c>
      <c r="I103" s="32" t="n"/>
      <c r="J103" s="32" t="n"/>
      <c r="K103" s="32" t="n"/>
      <c r="L103" s="32" t="n"/>
      <c r="M103" s="32" t="n"/>
      <c r="N103" s="32" t="n"/>
      <c r="O103" s="32" t="n"/>
    </row>
    <row r="104" ht="17" customHeight="1">
      <c r="A104" s="36" t="inlineStr">
        <is>
          <t>Acabamento</t>
        </is>
      </c>
      <c r="B104" s="37" t="n"/>
      <c r="C104" s="71" t="n"/>
      <c r="D104" s="56">
        <f>ROUND(SUMIFS($E$134:$E$193,$B$134:$B$193,$A104,$I$134:$I$193,"Comprado (a pagar)")+SUMIFS($E$134:$E$193,$B$134:$B$193,$A104,$I$134:$I$193,"Pago"),2)</f>
        <v/>
      </c>
      <c r="E104" s="56">
        <f>IF($C104="","",ROUND($D104-$C104,2))</f>
        <v/>
      </c>
      <c r="F104" s="38" t="n"/>
      <c r="G104" s="89">
        <f>ROUND(SUMIFS($E$134:$E$193,$B$134:$B$193,$A104,$I$134:$I$193,"A comprar"),2)</f>
        <v/>
      </c>
      <c r="H104" s="90">
        <f>ROUND(SUMIFS($E$134:$E$193,$B$134:$B$193,$A104,$I$134:$I$193,"Comprado (a pagar)"),2)</f>
        <v/>
      </c>
      <c r="I104" s="38" t="n"/>
      <c r="J104" s="38" t="n"/>
      <c r="K104" s="38" t="n"/>
      <c r="L104" s="38" t="n"/>
      <c r="M104" s="38" t="n"/>
      <c r="N104" s="38" t="n"/>
      <c r="O104" s="38" t="n"/>
    </row>
    <row r="105" ht="17" customHeight="1">
      <c r="A105" s="36" t="inlineStr">
        <is>
          <t>Serralheria</t>
        </is>
      </c>
      <c r="B105" s="37" t="n"/>
      <c r="C105" s="71" t="n"/>
      <c r="D105" s="56">
        <f>ROUND(SUMIFS($E$134:$E$193,$B$134:$B$193,$A105,$I$134:$I$193,"Comprado (a pagar)")+SUMIFS($E$134:$E$193,$B$134:$B$193,$A105,$I$134:$I$193,"Pago"),2)</f>
        <v/>
      </c>
      <c r="E105" s="56">
        <f>IF($C105="","",ROUND($D105-$C105,2))</f>
        <v/>
      </c>
      <c r="F105" s="38" t="n"/>
      <c r="G105" s="89">
        <f>ROUND(SUMIFS($E$134:$E$193,$B$134:$B$193,$A105,$I$134:$I$193,"A comprar"),2)</f>
        <v/>
      </c>
      <c r="H105" s="90">
        <f>ROUND(SUMIFS($E$134:$E$193,$B$134:$B$193,$A105,$I$134:$I$193,"Comprado (a pagar)"),2)</f>
        <v/>
      </c>
      <c r="I105" s="38" t="n"/>
      <c r="J105" s="38" t="n"/>
      <c r="K105" s="38" t="n"/>
      <c r="L105" s="38" t="n"/>
      <c r="M105" s="38" t="n"/>
      <c r="N105" s="38" t="n"/>
      <c r="O105" s="38" t="n"/>
    </row>
    <row r="106" ht="17" customHeight="1">
      <c r="A106" s="36" t="inlineStr">
        <is>
          <t>Vidraceiro</t>
        </is>
      </c>
      <c r="B106" s="37" t="n"/>
      <c r="C106" s="71" t="n"/>
      <c r="D106" s="56">
        <f>ROUND(SUMIFS($E$134:$E$193,$B$134:$B$193,$A106,$I$134:$I$193,"Comprado (a pagar)")+SUMIFS($E$134:$E$193,$B$134:$B$193,$A106,$I$134:$I$193,"Pago"),2)</f>
        <v/>
      </c>
      <c r="E106" s="56">
        <f>IF($C106="","",ROUND($D106-$C106,2))</f>
        <v/>
      </c>
      <c r="F106" s="38" t="n"/>
      <c r="G106" s="89">
        <f>ROUND(SUMIFS($E$134:$E$193,$B$134:$B$193,$A106,$I$134:$I$193,"A comprar"),2)</f>
        <v/>
      </c>
      <c r="H106" s="90">
        <f>ROUND(SUMIFS($E$134:$E$193,$B$134:$B$193,$A106,$I$134:$I$193,"Comprado (a pagar)"),2)</f>
        <v/>
      </c>
      <c r="I106" s="38" t="n"/>
      <c r="J106" s="38" t="n"/>
      <c r="K106" s="38" t="n"/>
      <c r="L106" s="38" t="n"/>
      <c r="M106" s="38" t="n"/>
      <c r="N106" s="38" t="n"/>
      <c r="O106" s="38" t="n"/>
    </row>
    <row r="107" ht="17" customHeight="1">
      <c r="A107" s="36" t="inlineStr">
        <is>
          <t>Outro terceirizado</t>
        </is>
      </c>
      <c r="B107" s="37" t="n"/>
      <c r="C107" s="71" t="n"/>
      <c r="D107" s="56">
        <f>ROUND(SUMIFS($E$134:$E$193,$B$134:$B$193,$A107,$I$134:$I$193,"Comprado (a pagar)")+SUMIFS($E$134:$E$193,$B$134:$B$193,$A107,$I$134:$I$193,"Pago"),2)</f>
        <v/>
      </c>
      <c r="E107" s="56">
        <f>IF($C107="","",ROUND($D107-$C107,2))</f>
        <v/>
      </c>
      <c r="F107" s="38" t="n"/>
      <c r="G107" s="89">
        <f>ROUND(SUMIFS($E$134:$E$193,$B$134:$B$193,$A107,$I$134:$I$193,"A comprar"),2)</f>
        <v/>
      </c>
      <c r="H107" s="90">
        <f>ROUND(SUMIFS($E$134:$E$193,$B$134:$B$193,$A107,$I$134:$I$193,"Comprado (a pagar)"),2)</f>
        <v/>
      </c>
      <c r="I107" s="38" t="n"/>
      <c r="J107" s="38" t="n"/>
      <c r="K107" s="38" t="n"/>
      <c r="L107" s="38" t="n"/>
      <c r="M107" s="38" t="n"/>
      <c r="N107" s="38" t="n"/>
      <c r="O107" s="38" t="n"/>
    </row>
    <row r="108" ht="20" customHeight="1">
      <c r="A108" s="31" t="inlineStr">
        <is>
          <t>(=) SUBTOTAL · SERVIÇOS TERCEIRIZADOS</t>
        </is>
      </c>
      <c r="B108" s="32" t="n"/>
      <c r="C108" s="60">
        <f>ROUND(SUM(C104:C107),2)</f>
        <v/>
      </c>
      <c r="D108" s="60">
        <f>ROUND(SUM(D104:D107),2)</f>
        <v/>
      </c>
      <c r="E108" s="60">
        <f>ROUND(SUM(E104:E107),2)</f>
        <v/>
      </c>
      <c r="F108" s="32" t="n"/>
      <c r="G108" s="60">
        <f>ROUND(SUM(G104:G107),2)</f>
        <v/>
      </c>
      <c r="H108" s="60">
        <f>ROUND(SUM(H104:H107),2)</f>
        <v/>
      </c>
      <c r="I108" s="32" t="n"/>
      <c r="J108" s="32" t="n"/>
      <c r="K108" s="32" t="n"/>
      <c r="L108" s="32" t="n"/>
      <c r="M108" s="32" t="n"/>
      <c r="N108" s="32" t="n"/>
      <c r="O108" s="32" t="n"/>
    </row>
    <row r="109" ht="17" customHeight="1">
      <c r="A109" s="36" t="inlineStr">
        <is>
          <t>Uber e aplicativo</t>
        </is>
      </c>
      <c r="B109" s="37" t="n"/>
      <c r="C109" s="71" t="n"/>
      <c r="D109" s="56">
        <f>ROUND(SUMIFS($E$134:$E$193,$B$134:$B$193,$A109,$I$134:$I$193,"Comprado (a pagar)")+SUMIFS($E$134:$E$193,$B$134:$B$193,$A109,$I$134:$I$193,"Pago"),2)</f>
        <v/>
      </c>
      <c r="E109" s="56">
        <f>IF($C109="","",ROUND($D109-$C109,2))</f>
        <v/>
      </c>
      <c r="F109" s="38" t="n"/>
      <c r="G109" s="89">
        <f>ROUND(SUMIFS($E$134:$E$193,$B$134:$B$193,$A109,$I$134:$I$193,"A comprar"),2)</f>
        <v/>
      </c>
      <c r="H109" s="90">
        <f>ROUND(SUMIFS($E$134:$E$193,$B$134:$B$193,$A109,$I$134:$I$193,"Comprado (a pagar)"),2)</f>
        <v/>
      </c>
      <c r="I109" s="38" t="n"/>
      <c r="J109" s="38" t="n"/>
      <c r="K109" s="38" t="n"/>
      <c r="L109" s="38" t="n"/>
      <c r="M109" s="38" t="n"/>
      <c r="N109" s="38" t="n"/>
      <c r="O109" s="38" t="n"/>
    </row>
    <row r="110" ht="17" customHeight="1">
      <c r="A110" s="36" t="inlineStr">
        <is>
          <t>Carreto e entrega</t>
        </is>
      </c>
      <c r="B110" s="37" t="n"/>
      <c r="C110" s="71" t="n"/>
      <c r="D110" s="56">
        <f>ROUND(SUMIFS($E$134:$E$193,$B$134:$B$193,$A110,$I$134:$I$193,"Comprado (a pagar)")+SUMIFS($E$134:$E$193,$B$134:$B$193,$A110,$I$134:$I$193,"Pago"),2)</f>
        <v/>
      </c>
      <c r="E110" s="56">
        <f>IF($C110="","",ROUND($D110-$C110,2))</f>
        <v/>
      </c>
      <c r="F110" s="38" t="n"/>
      <c r="G110" s="89">
        <f>ROUND(SUMIFS($E$134:$E$193,$B$134:$B$193,$A110,$I$134:$I$193,"A comprar"),2)</f>
        <v/>
      </c>
      <c r="H110" s="90">
        <f>ROUND(SUMIFS($E$134:$E$193,$B$134:$B$193,$A110,$I$134:$I$193,"Comprado (a pagar)"),2)</f>
        <v/>
      </c>
      <c r="I110" s="38" t="n"/>
      <c r="J110" s="38" t="n"/>
      <c r="K110" s="38" t="n"/>
      <c r="L110" s="38" t="n"/>
      <c r="M110" s="38" t="n"/>
      <c r="N110" s="38" t="n"/>
      <c r="O110" s="38" t="n"/>
    </row>
    <row r="111" ht="17" customHeight="1">
      <c r="A111" s="36" t="inlineStr">
        <is>
          <t>Deslocamento da equipe</t>
        </is>
      </c>
      <c r="B111" s="37" t="n"/>
      <c r="C111" s="71" t="n"/>
      <c r="D111" s="56">
        <f>ROUND(SUMIFS($E$134:$E$193,$B$134:$B$193,$A111,$I$134:$I$193,"Comprado (a pagar)")+SUMIFS($E$134:$E$193,$B$134:$B$193,$A111,$I$134:$I$193,"Pago"),2)</f>
        <v/>
      </c>
      <c r="E111" s="56">
        <f>IF($C111="","",ROUND($D111-$C111,2))</f>
        <v/>
      </c>
      <c r="F111" s="38" t="n"/>
      <c r="G111" s="89">
        <f>ROUND(SUMIFS($E$134:$E$193,$B$134:$B$193,$A111,$I$134:$I$193,"A comprar"),2)</f>
        <v/>
      </c>
      <c r="H111" s="90">
        <f>ROUND(SUMIFS($E$134:$E$193,$B$134:$B$193,$A111,$I$134:$I$193,"Comprado (a pagar)"),2)</f>
        <v/>
      </c>
      <c r="I111" s="38" t="n"/>
      <c r="J111" s="38" t="n"/>
      <c r="K111" s="38" t="n"/>
      <c r="L111" s="38" t="n"/>
      <c r="M111" s="38" t="n"/>
      <c r="N111" s="38" t="n"/>
      <c r="O111" s="38" t="n"/>
    </row>
    <row r="112" ht="17" customHeight="1">
      <c r="A112" s="36" t="inlineStr">
        <is>
          <t>Frete de material</t>
        </is>
      </c>
      <c r="B112" s="37" t="n"/>
      <c r="C112" s="71" t="n"/>
      <c r="D112" s="56">
        <f>ROUND(SUMIFS($E$134:$E$193,$B$134:$B$193,$A112,$I$134:$I$193,"Comprado (a pagar)")+SUMIFS($E$134:$E$193,$B$134:$B$193,$A112,$I$134:$I$193,"Pago"),2)</f>
        <v/>
      </c>
      <c r="E112" s="56">
        <f>IF($C112="","",ROUND($D112-$C112,2))</f>
        <v/>
      </c>
      <c r="F112" s="38" t="n"/>
      <c r="G112" s="89">
        <f>ROUND(SUMIFS($E$134:$E$193,$B$134:$B$193,$A112,$I$134:$I$193,"A comprar"),2)</f>
        <v/>
      </c>
      <c r="H112" s="90">
        <f>ROUND(SUMIFS($E$134:$E$193,$B$134:$B$193,$A112,$I$134:$I$193,"Comprado (a pagar)"),2)</f>
        <v/>
      </c>
      <c r="I112" s="38" t="n"/>
      <c r="J112" s="38" t="n"/>
      <c r="K112" s="38" t="n"/>
      <c r="L112" s="38" t="n"/>
      <c r="M112" s="38" t="n"/>
      <c r="N112" s="38" t="n"/>
      <c r="O112" s="38" t="n"/>
    </row>
    <row r="113" ht="17" customHeight="1">
      <c r="A113" s="36" t="inlineStr">
        <is>
          <t>Estacionamento e pedágio</t>
        </is>
      </c>
      <c r="B113" s="37" t="n"/>
      <c r="C113" s="71" t="n"/>
      <c r="D113" s="56">
        <f>ROUND(SUMIFS($E$134:$E$193,$B$134:$B$193,$A113,$I$134:$I$193,"Comprado (a pagar)")+SUMIFS($E$134:$E$193,$B$134:$B$193,$A113,$I$134:$I$193,"Pago"),2)</f>
        <v/>
      </c>
      <c r="E113" s="56">
        <f>IF($C113="","",ROUND($D113-$C113,2))</f>
        <v/>
      </c>
      <c r="F113" s="38" t="n"/>
      <c r="G113" s="89">
        <f>ROUND(SUMIFS($E$134:$E$193,$B$134:$B$193,$A113,$I$134:$I$193,"A comprar"),2)</f>
        <v/>
      </c>
      <c r="H113" s="90">
        <f>ROUND(SUMIFS($E$134:$E$193,$B$134:$B$193,$A113,$I$134:$I$193,"Comprado (a pagar)"),2)</f>
        <v/>
      </c>
      <c r="I113" s="38" t="n"/>
      <c r="J113" s="38" t="n"/>
      <c r="K113" s="38" t="n"/>
      <c r="L113" s="38" t="n"/>
      <c r="M113" s="38" t="n"/>
      <c r="N113" s="38" t="n"/>
      <c r="O113" s="38" t="n"/>
    </row>
    <row r="114" ht="20" customHeight="1">
      <c r="A114" s="31" t="inlineStr">
        <is>
          <t>(=) SUBTOTAL · LOGÍSTICA</t>
        </is>
      </c>
      <c r="B114" s="32" t="n"/>
      <c r="C114" s="60">
        <f>ROUND(SUM(C109:C113),2)</f>
        <v/>
      </c>
      <c r="D114" s="60">
        <f>ROUND(SUM(D109:D113),2)</f>
        <v/>
      </c>
      <c r="E114" s="60">
        <f>ROUND(SUM(E109:E113),2)</f>
        <v/>
      </c>
      <c r="F114" s="32" t="n"/>
      <c r="G114" s="60">
        <f>ROUND(SUM(G109:G113),2)</f>
        <v/>
      </c>
      <c r="H114" s="60">
        <f>ROUND(SUM(H109:H113),2)</f>
        <v/>
      </c>
      <c r="I114" s="32" t="n"/>
      <c r="J114" s="32" t="n"/>
      <c r="K114" s="32" t="n"/>
      <c r="L114" s="32" t="n"/>
      <c r="M114" s="32" t="n"/>
      <c r="N114" s="32" t="n"/>
      <c r="O114" s="32" t="n"/>
    </row>
    <row r="115" ht="8" customHeight="1"/>
    <row r="116" ht="20" customHeight="1">
      <c r="A116" s="8" t="inlineStr">
        <is>
          <t xml:space="preserve">  7 · RETRABALHO          o que aconteceu, por que aconteceu e quanto custou — é aqui que o orçamento aprende</t>
        </is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</row>
    <row r="117" ht="26" customHeight="1">
      <c r="A117" s="19" t="inlineStr">
        <is>
          <t>O que aconteceu</t>
        </is>
      </c>
      <c r="B117" s="19" t="inlineStr">
        <is>
          <t>Causa</t>
        </is>
      </c>
      <c r="C117" s="35" t="n"/>
      <c r="D117" s="35" t="n"/>
      <c r="E117" s="19" t="inlineStr">
        <is>
          <t>Custo estimado (R$)</t>
        </is>
      </c>
      <c r="F117" s="35" t="n"/>
      <c r="G117" s="19" t="inlineStr">
        <is>
          <t>Providência / responsável</t>
        </is>
      </c>
      <c r="H117" s="35" t="n"/>
      <c r="I117" s="35" t="n"/>
      <c r="J117" s="35" t="n"/>
      <c r="K117" s="35" t="n"/>
      <c r="L117" s="35" t="n"/>
      <c r="M117" s="35" t="n"/>
      <c r="N117" s="35" t="n"/>
      <c r="O117" s="35" t="n"/>
    </row>
    <row r="118" ht="18" customHeight="1">
      <c r="A118" s="83" t="n"/>
      <c r="B118" s="83" t="n"/>
      <c r="C118" s="46" t="n"/>
      <c r="D118" s="46" t="n"/>
      <c r="E118" s="91" t="n"/>
      <c r="F118" s="46" t="n"/>
      <c r="G118" s="73" t="n"/>
      <c r="H118" s="46" t="n"/>
      <c r="I118" s="46" t="n"/>
      <c r="J118" s="46" t="n"/>
      <c r="K118" s="46" t="n"/>
      <c r="L118" s="46" t="n"/>
      <c r="M118" s="46" t="n"/>
      <c r="N118" s="46" t="n"/>
      <c r="O118" s="46" t="n"/>
    </row>
    <row r="119" ht="18" customHeight="1">
      <c r="A119" s="83" t="n"/>
      <c r="B119" s="83" t="n"/>
      <c r="C119" s="46" t="n"/>
      <c r="D119" s="46" t="n"/>
      <c r="E119" s="91" t="n"/>
      <c r="F119" s="46" t="n"/>
      <c r="G119" s="73" t="n"/>
      <c r="H119" s="46" t="n"/>
      <c r="I119" s="46" t="n"/>
      <c r="J119" s="46" t="n"/>
      <c r="K119" s="46" t="n"/>
      <c r="L119" s="46" t="n"/>
      <c r="M119" s="46" t="n"/>
      <c r="N119" s="46" t="n"/>
      <c r="O119" s="46" t="n"/>
    </row>
    <row r="120" ht="18" customHeight="1">
      <c r="A120" s="83" t="n"/>
      <c r="B120" s="83" t="n"/>
      <c r="C120" s="46" t="n"/>
      <c r="D120" s="46" t="n"/>
      <c r="E120" s="91" t="n"/>
      <c r="F120" s="46" t="n"/>
      <c r="G120" s="73" t="n"/>
      <c r="H120" s="46" t="n"/>
      <c r="I120" s="46" t="n"/>
      <c r="J120" s="46" t="n"/>
      <c r="K120" s="46" t="n"/>
      <c r="L120" s="46" t="n"/>
      <c r="M120" s="46" t="n"/>
      <c r="N120" s="46" t="n"/>
      <c r="O120" s="46" t="n"/>
    </row>
    <row r="121" ht="18" customHeight="1">
      <c r="A121" s="83" t="n"/>
      <c r="B121" s="83" t="n"/>
      <c r="C121" s="46" t="n"/>
      <c r="D121" s="46" t="n"/>
      <c r="E121" s="91" t="n"/>
      <c r="F121" s="46" t="n"/>
      <c r="G121" s="73" t="n"/>
      <c r="H121" s="46" t="n"/>
      <c r="I121" s="46" t="n"/>
      <c r="J121" s="46" t="n"/>
      <c r="K121" s="46" t="n"/>
      <c r="L121" s="46" t="n"/>
      <c r="M121" s="46" t="n"/>
      <c r="N121" s="46" t="n"/>
      <c r="O121" s="46" t="n"/>
    </row>
    <row r="122" ht="18" customHeight="1">
      <c r="A122" s="83" t="n"/>
      <c r="B122" s="83" t="n"/>
      <c r="C122" s="46" t="n"/>
      <c r="D122" s="46" t="n"/>
      <c r="E122" s="91" t="n"/>
      <c r="F122" s="46" t="n"/>
      <c r="G122" s="73" t="n"/>
      <c r="H122" s="46" t="n"/>
      <c r="I122" s="46" t="n"/>
      <c r="J122" s="46" t="n"/>
      <c r="K122" s="46" t="n"/>
      <c r="L122" s="46" t="n"/>
      <c r="M122" s="46" t="n"/>
      <c r="N122" s="46" t="n"/>
      <c r="O122" s="46" t="n"/>
    </row>
    <row r="123" ht="18" customHeight="1">
      <c r="A123" s="83" t="n"/>
      <c r="B123" s="83" t="n"/>
      <c r="C123" s="46" t="n"/>
      <c r="D123" s="46" t="n"/>
      <c r="E123" s="91" t="n"/>
      <c r="F123" s="46" t="n"/>
      <c r="G123" s="73" t="n"/>
      <c r="H123" s="46" t="n"/>
      <c r="I123" s="46" t="n"/>
      <c r="J123" s="46" t="n"/>
      <c r="K123" s="46" t="n"/>
      <c r="L123" s="46" t="n"/>
      <c r="M123" s="46" t="n"/>
      <c r="N123" s="46" t="n"/>
      <c r="O123" s="46" t="n"/>
    </row>
    <row r="124" ht="18" customHeight="1">
      <c r="A124" s="83" t="n"/>
      <c r="B124" s="83" t="n"/>
      <c r="C124" s="46" t="n"/>
      <c r="D124" s="46" t="n"/>
      <c r="E124" s="91" t="n"/>
      <c r="F124" s="46" t="n"/>
      <c r="G124" s="73" t="n"/>
      <c r="H124" s="46" t="n"/>
      <c r="I124" s="46" t="n"/>
      <c r="J124" s="46" t="n"/>
      <c r="K124" s="46" t="n"/>
      <c r="L124" s="46" t="n"/>
      <c r="M124" s="46" t="n"/>
      <c r="N124" s="46" t="n"/>
      <c r="O124" s="46" t="n"/>
    </row>
    <row r="125" ht="18" customHeight="1">
      <c r="A125" s="83" t="n"/>
      <c r="B125" s="83" t="n"/>
      <c r="C125" s="46" t="n"/>
      <c r="D125" s="46" t="n"/>
      <c r="E125" s="91" t="n"/>
      <c r="F125" s="46" t="n"/>
      <c r="G125" s="73" t="n"/>
      <c r="H125" s="46" t="n"/>
      <c r="I125" s="46" t="n"/>
      <c r="J125" s="46" t="n"/>
      <c r="K125" s="46" t="n"/>
      <c r="L125" s="46" t="n"/>
      <c r="M125" s="46" t="n"/>
      <c r="N125" s="46" t="n"/>
      <c r="O125" s="46" t="n"/>
    </row>
    <row r="126" ht="18" customHeight="1">
      <c r="A126" s="83" t="n"/>
      <c r="B126" s="83" t="n"/>
      <c r="C126" s="46" t="n"/>
      <c r="D126" s="46" t="n"/>
      <c r="E126" s="91" t="n"/>
      <c r="F126" s="46" t="n"/>
      <c r="G126" s="73" t="n"/>
      <c r="H126" s="46" t="n"/>
      <c r="I126" s="46" t="n"/>
      <c r="J126" s="46" t="n"/>
      <c r="K126" s="46" t="n"/>
      <c r="L126" s="46" t="n"/>
      <c r="M126" s="46" t="n"/>
      <c r="N126" s="46" t="n"/>
      <c r="O126" s="46" t="n"/>
    </row>
    <row r="127" ht="18" customHeight="1">
      <c r="A127" s="83" t="n"/>
      <c r="B127" s="83" t="n"/>
      <c r="C127" s="46" t="n"/>
      <c r="D127" s="46" t="n"/>
      <c r="E127" s="91" t="n"/>
      <c r="F127" s="46" t="n"/>
      <c r="G127" s="73" t="n"/>
      <c r="H127" s="46" t="n"/>
      <c r="I127" s="46" t="n"/>
      <c r="J127" s="46" t="n"/>
      <c r="K127" s="46" t="n"/>
      <c r="L127" s="46" t="n"/>
      <c r="M127" s="46" t="n"/>
      <c r="N127" s="46" t="n"/>
      <c r="O127" s="46" t="n"/>
    </row>
    <row r="128" ht="18" customHeight="1">
      <c r="A128" s="83" t="n"/>
      <c r="B128" s="83" t="n"/>
      <c r="C128" s="46" t="n"/>
      <c r="D128" s="46" t="n"/>
      <c r="E128" s="91" t="n"/>
      <c r="F128" s="46" t="n"/>
      <c r="G128" s="73" t="n"/>
      <c r="H128" s="46" t="n"/>
      <c r="I128" s="46" t="n"/>
      <c r="J128" s="46" t="n"/>
      <c r="K128" s="46" t="n"/>
      <c r="L128" s="46" t="n"/>
      <c r="M128" s="46" t="n"/>
      <c r="N128" s="46" t="n"/>
      <c r="O128" s="46" t="n"/>
    </row>
    <row r="129" ht="18" customHeight="1">
      <c r="A129" s="83" t="n"/>
      <c r="B129" s="83" t="n"/>
      <c r="C129" s="46" t="n"/>
      <c r="D129" s="46" t="n"/>
      <c r="E129" s="91" t="n"/>
      <c r="F129" s="46" t="n"/>
      <c r="G129" s="73" t="n"/>
      <c r="H129" s="46" t="n"/>
      <c r="I129" s="46" t="n"/>
      <c r="J129" s="46" t="n"/>
      <c r="K129" s="46" t="n"/>
      <c r="L129" s="46" t="n"/>
      <c r="M129" s="46" t="n"/>
      <c r="N129" s="46" t="n"/>
      <c r="O129" s="46" t="n"/>
    </row>
    <row r="130" ht="20" customHeight="1">
      <c r="A130" s="31" t="inlineStr">
        <is>
          <t>CONTINGÊNCIA PREVISTA NO ORÇAMENTO  →</t>
        </is>
      </c>
      <c r="B130" s="32" t="n"/>
      <c r="C130" s="92" t="n"/>
      <c r="D130" s="60">
        <f>ROUND(SUM($E$118:$E$129),2)</f>
        <v/>
      </c>
      <c r="E130" s="60">
        <f>ROUND($D$130-IF($C$130="",0,$C$130),2)</f>
        <v/>
      </c>
      <c r="F130" s="32" t="n"/>
      <c r="G130" s="62">
        <f>IF(OR($A$13="",$A$13=0),"",$D$130/$A$13)</f>
        <v/>
      </c>
      <c r="H130" s="93" t="inlineStr">
        <is>
          <t>orçado = a contingência prevista · realizado = a soma acima</t>
        </is>
      </c>
      <c r="I130" s="32" t="n"/>
      <c r="J130" s="32" t="n"/>
      <c r="K130" s="32" t="n"/>
      <c r="L130" s="32" t="n"/>
      <c r="M130" s="32" t="n"/>
      <c r="N130" s="32" t="n"/>
      <c r="O130" s="32" t="n"/>
    </row>
    <row r="131" ht="8" customHeight="1"/>
    <row r="132" ht="20" customHeight="1">
      <c r="A132" s="8" t="inlineStr">
        <is>
          <t xml:space="preserve">  8 · LIVRO DE COMPRAS E DESPESAS DO PROJETO          uma linha por compra, na ordem em que acontecer · pode inserir linhas à vontade aqui</t>
        </is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</row>
    <row r="133" ht="28" customHeight="1">
      <c r="A133" s="19" t="inlineStr">
        <is>
          <t>Descrição / fornecedor</t>
        </is>
      </c>
      <c r="B133" s="19" t="inlineStr">
        <is>
          <t>Categoria</t>
        </is>
      </c>
      <c r="C133" s="35" t="n"/>
      <c r="D133" s="19" t="inlineStr">
        <is>
          <t>Data</t>
        </is>
      </c>
      <c r="E133" s="19" t="inlineStr">
        <is>
          <t>Valor (R$)</t>
        </is>
      </c>
      <c r="F133" s="35" t="n"/>
      <c r="G133" s="19" t="inlineStr">
        <is>
          <t>Forma de pagamento</t>
        </is>
      </c>
      <c r="H133" s="35" t="n"/>
      <c r="I133" s="19" t="inlineStr">
        <is>
          <t>Status</t>
        </is>
      </c>
      <c r="J133" s="35" t="n"/>
      <c r="K133" s="35" t="n"/>
      <c r="L133" s="35" t="n"/>
      <c r="M133" s="35" t="n"/>
      <c r="N133" s="35" t="n"/>
      <c r="O133" s="35" t="n"/>
    </row>
    <row r="134" ht="17" customHeight="1">
      <c r="A134" s="83" t="n"/>
      <c r="B134" s="94" t="n"/>
      <c r="C134" s="46" t="n"/>
      <c r="D134" s="75" t="n"/>
      <c r="E134" s="95" t="n"/>
      <c r="F134" s="46" t="n"/>
      <c r="G134" s="96" t="n"/>
      <c r="H134" s="46" t="n"/>
      <c r="I134" s="97" t="n"/>
      <c r="J134" s="46" t="n"/>
      <c r="K134" s="46" t="n"/>
      <c r="L134" s="46" t="n"/>
      <c r="M134" s="46" t="n"/>
      <c r="N134" s="46" t="n"/>
      <c r="O134" s="46" t="n"/>
    </row>
    <row r="135" ht="17" customHeight="1">
      <c r="A135" s="83" t="n"/>
      <c r="B135" s="94" t="n"/>
      <c r="C135" s="46" t="n"/>
      <c r="D135" s="75" t="n"/>
      <c r="E135" s="95" t="n"/>
      <c r="F135" s="46" t="n"/>
      <c r="G135" s="96" t="n"/>
      <c r="H135" s="46" t="n"/>
      <c r="I135" s="97" t="n"/>
      <c r="J135" s="46" t="n"/>
      <c r="K135" s="46" t="n"/>
      <c r="L135" s="46" t="n"/>
      <c r="M135" s="46" t="n"/>
      <c r="N135" s="46" t="n"/>
      <c r="O135" s="46" t="n"/>
    </row>
    <row r="136" ht="17" customHeight="1">
      <c r="A136" s="83" t="n"/>
      <c r="B136" s="94" t="n"/>
      <c r="C136" s="46" t="n"/>
      <c r="D136" s="75" t="n"/>
      <c r="E136" s="95" t="n"/>
      <c r="F136" s="46" t="n"/>
      <c r="G136" s="96" t="n"/>
      <c r="H136" s="46" t="n"/>
      <c r="I136" s="97" t="n"/>
      <c r="J136" s="46" t="n"/>
      <c r="K136" s="46" t="n"/>
      <c r="L136" s="46" t="n"/>
      <c r="M136" s="46" t="n"/>
      <c r="N136" s="46" t="n"/>
      <c r="O136" s="46" t="n"/>
    </row>
    <row r="137" ht="17" customHeight="1">
      <c r="A137" s="83" t="n"/>
      <c r="B137" s="94" t="n"/>
      <c r="C137" s="46" t="n"/>
      <c r="D137" s="75" t="n"/>
      <c r="E137" s="95" t="n"/>
      <c r="F137" s="46" t="n"/>
      <c r="G137" s="96" t="n"/>
      <c r="H137" s="46" t="n"/>
      <c r="I137" s="97" t="n"/>
      <c r="J137" s="46" t="n"/>
      <c r="K137" s="46" t="n"/>
      <c r="L137" s="46" t="n"/>
      <c r="M137" s="46" t="n"/>
      <c r="N137" s="46" t="n"/>
      <c r="O137" s="46" t="n"/>
    </row>
    <row r="138" ht="17" customHeight="1">
      <c r="A138" s="83" t="n"/>
      <c r="B138" s="94" t="n"/>
      <c r="C138" s="46" t="n"/>
      <c r="D138" s="75" t="n"/>
      <c r="E138" s="95" t="n"/>
      <c r="F138" s="46" t="n"/>
      <c r="G138" s="96" t="n"/>
      <c r="H138" s="46" t="n"/>
      <c r="I138" s="97" t="n"/>
      <c r="J138" s="46" t="n"/>
      <c r="K138" s="46" t="n"/>
      <c r="L138" s="46" t="n"/>
      <c r="M138" s="46" t="n"/>
      <c r="N138" s="46" t="n"/>
      <c r="O138" s="46" t="n"/>
    </row>
    <row r="139" ht="17" customHeight="1">
      <c r="A139" s="83" t="n"/>
      <c r="B139" s="94" t="n"/>
      <c r="C139" s="46" t="n"/>
      <c r="D139" s="75" t="n"/>
      <c r="E139" s="95" t="n"/>
      <c r="F139" s="46" t="n"/>
      <c r="G139" s="96" t="n"/>
      <c r="H139" s="46" t="n"/>
      <c r="I139" s="97" t="n"/>
      <c r="J139" s="46" t="n"/>
      <c r="K139" s="46" t="n"/>
      <c r="L139" s="46" t="n"/>
      <c r="M139" s="46" t="n"/>
      <c r="N139" s="46" t="n"/>
      <c r="O139" s="46" t="n"/>
    </row>
    <row r="140" ht="17" customHeight="1">
      <c r="A140" s="83" t="n"/>
      <c r="B140" s="94" t="n"/>
      <c r="C140" s="46" t="n"/>
      <c r="D140" s="75" t="n"/>
      <c r="E140" s="95" t="n"/>
      <c r="F140" s="46" t="n"/>
      <c r="G140" s="96" t="n"/>
      <c r="H140" s="46" t="n"/>
      <c r="I140" s="97" t="n"/>
      <c r="J140" s="46" t="n"/>
      <c r="K140" s="46" t="n"/>
      <c r="L140" s="46" t="n"/>
      <c r="M140" s="46" t="n"/>
      <c r="N140" s="46" t="n"/>
      <c r="O140" s="46" t="n"/>
    </row>
    <row r="141" ht="17" customHeight="1">
      <c r="A141" s="83" t="n"/>
      <c r="B141" s="94" t="n"/>
      <c r="C141" s="46" t="n"/>
      <c r="D141" s="75" t="n"/>
      <c r="E141" s="95" t="n"/>
      <c r="F141" s="46" t="n"/>
      <c r="G141" s="96" t="n"/>
      <c r="H141" s="46" t="n"/>
      <c r="I141" s="97" t="n"/>
      <c r="J141" s="46" t="n"/>
      <c r="K141" s="46" t="n"/>
      <c r="L141" s="46" t="n"/>
      <c r="M141" s="46" t="n"/>
      <c r="N141" s="46" t="n"/>
      <c r="O141" s="46" t="n"/>
    </row>
    <row r="142" ht="17" customHeight="1">
      <c r="A142" s="83" t="n"/>
      <c r="B142" s="94" t="n"/>
      <c r="C142" s="46" t="n"/>
      <c r="D142" s="75" t="n"/>
      <c r="E142" s="95" t="n"/>
      <c r="F142" s="46" t="n"/>
      <c r="G142" s="96" t="n"/>
      <c r="H142" s="46" t="n"/>
      <c r="I142" s="97" t="n"/>
      <c r="J142" s="46" t="n"/>
      <c r="K142" s="46" t="n"/>
      <c r="L142" s="46" t="n"/>
      <c r="M142" s="46" t="n"/>
      <c r="N142" s="46" t="n"/>
      <c r="O142" s="46" t="n"/>
    </row>
    <row r="143" ht="17" customHeight="1">
      <c r="A143" s="83" t="n"/>
      <c r="B143" s="94" t="n"/>
      <c r="C143" s="46" t="n"/>
      <c r="D143" s="75" t="n"/>
      <c r="E143" s="95" t="n"/>
      <c r="F143" s="46" t="n"/>
      <c r="G143" s="96" t="n"/>
      <c r="H143" s="46" t="n"/>
      <c r="I143" s="97" t="n"/>
      <c r="J143" s="46" t="n"/>
      <c r="K143" s="46" t="n"/>
      <c r="L143" s="46" t="n"/>
      <c r="M143" s="46" t="n"/>
      <c r="N143" s="46" t="n"/>
      <c r="O143" s="46" t="n"/>
    </row>
    <row r="144" ht="17" customHeight="1">
      <c r="A144" s="83" t="n"/>
      <c r="B144" s="94" t="n"/>
      <c r="C144" s="46" t="n"/>
      <c r="D144" s="75" t="n"/>
      <c r="E144" s="95" t="n"/>
      <c r="F144" s="46" t="n"/>
      <c r="G144" s="96" t="n"/>
      <c r="H144" s="46" t="n"/>
      <c r="I144" s="97" t="n"/>
      <c r="J144" s="46" t="n"/>
      <c r="K144" s="46" t="n"/>
      <c r="L144" s="46" t="n"/>
      <c r="M144" s="46" t="n"/>
      <c r="N144" s="46" t="n"/>
      <c r="O144" s="46" t="n"/>
    </row>
    <row r="145" ht="17" customHeight="1">
      <c r="A145" s="83" t="n"/>
      <c r="B145" s="94" t="n"/>
      <c r="C145" s="46" t="n"/>
      <c r="D145" s="75" t="n"/>
      <c r="E145" s="95" t="n"/>
      <c r="F145" s="46" t="n"/>
      <c r="G145" s="96" t="n"/>
      <c r="H145" s="46" t="n"/>
      <c r="I145" s="97" t="n"/>
      <c r="J145" s="46" t="n"/>
      <c r="K145" s="46" t="n"/>
      <c r="L145" s="46" t="n"/>
      <c r="M145" s="46" t="n"/>
      <c r="N145" s="46" t="n"/>
      <c r="O145" s="46" t="n"/>
    </row>
    <row r="146" ht="17" customHeight="1">
      <c r="A146" s="83" t="n"/>
      <c r="B146" s="94" t="n"/>
      <c r="C146" s="46" t="n"/>
      <c r="D146" s="75" t="n"/>
      <c r="E146" s="95" t="n"/>
      <c r="F146" s="46" t="n"/>
      <c r="G146" s="96" t="n"/>
      <c r="H146" s="46" t="n"/>
      <c r="I146" s="97" t="n"/>
      <c r="J146" s="46" t="n"/>
      <c r="K146" s="46" t="n"/>
      <c r="L146" s="46" t="n"/>
      <c r="M146" s="46" t="n"/>
      <c r="N146" s="46" t="n"/>
      <c r="O146" s="46" t="n"/>
    </row>
    <row r="147" ht="17" customHeight="1">
      <c r="A147" s="83" t="n"/>
      <c r="B147" s="94" t="n"/>
      <c r="C147" s="46" t="n"/>
      <c r="D147" s="75" t="n"/>
      <c r="E147" s="95" t="n"/>
      <c r="F147" s="46" t="n"/>
      <c r="G147" s="96" t="n"/>
      <c r="H147" s="46" t="n"/>
      <c r="I147" s="97" t="n"/>
      <c r="J147" s="46" t="n"/>
      <c r="K147" s="46" t="n"/>
      <c r="L147" s="46" t="n"/>
      <c r="M147" s="46" t="n"/>
      <c r="N147" s="46" t="n"/>
      <c r="O147" s="46" t="n"/>
    </row>
    <row r="148" ht="17" customHeight="1">
      <c r="A148" s="83" t="n"/>
      <c r="B148" s="94" t="n"/>
      <c r="C148" s="46" t="n"/>
      <c r="D148" s="75" t="n"/>
      <c r="E148" s="95" t="n"/>
      <c r="F148" s="46" t="n"/>
      <c r="G148" s="96" t="n"/>
      <c r="H148" s="46" t="n"/>
      <c r="I148" s="97" t="n"/>
      <c r="J148" s="46" t="n"/>
      <c r="K148" s="46" t="n"/>
      <c r="L148" s="46" t="n"/>
      <c r="M148" s="46" t="n"/>
      <c r="N148" s="46" t="n"/>
      <c r="O148" s="46" t="n"/>
    </row>
    <row r="149" ht="17" customHeight="1">
      <c r="A149" s="83" t="n"/>
      <c r="B149" s="94" t="n"/>
      <c r="C149" s="46" t="n"/>
      <c r="D149" s="75" t="n"/>
      <c r="E149" s="95" t="n"/>
      <c r="F149" s="46" t="n"/>
      <c r="G149" s="96" t="n"/>
      <c r="H149" s="46" t="n"/>
      <c r="I149" s="97" t="n"/>
      <c r="J149" s="46" t="n"/>
      <c r="K149" s="46" t="n"/>
      <c r="L149" s="46" t="n"/>
      <c r="M149" s="46" t="n"/>
      <c r="N149" s="46" t="n"/>
      <c r="O149" s="46" t="n"/>
    </row>
    <row r="150" ht="17" customHeight="1">
      <c r="A150" s="83" t="n"/>
      <c r="B150" s="94" t="n"/>
      <c r="C150" s="46" t="n"/>
      <c r="D150" s="75" t="n"/>
      <c r="E150" s="95" t="n"/>
      <c r="F150" s="46" t="n"/>
      <c r="G150" s="96" t="n"/>
      <c r="H150" s="46" t="n"/>
      <c r="I150" s="97" t="n"/>
      <c r="J150" s="46" t="n"/>
      <c r="K150" s="46" t="n"/>
      <c r="L150" s="46" t="n"/>
      <c r="M150" s="46" t="n"/>
      <c r="N150" s="46" t="n"/>
      <c r="O150" s="46" t="n"/>
    </row>
    <row r="151" ht="17" customHeight="1">
      <c r="A151" s="83" t="n"/>
      <c r="B151" s="94" t="n"/>
      <c r="C151" s="46" t="n"/>
      <c r="D151" s="75" t="n"/>
      <c r="E151" s="95" t="n"/>
      <c r="F151" s="46" t="n"/>
      <c r="G151" s="96" t="n"/>
      <c r="H151" s="46" t="n"/>
      <c r="I151" s="97" t="n"/>
      <c r="J151" s="46" t="n"/>
      <c r="K151" s="46" t="n"/>
      <c r="L151" s="46" t="n"/>
      <c r="M151" s="46" t="n"/>
      <c r="N151" s="46" t="n"/>
      <c r="O151" s="46" t="n"/>
    </row>
    <row r="152" ht="17" customHeight="1">
      <c r="A152" s="83" t="n"/>
      <c r="B152" s="94" t="n"/>
      <c r="C152" s="46" t="n"/>
      <c r="D152" s="75" t="n"/>
      <c r="E152" s="95" t="n"/>
      <c r="F152" s="46" t="n"/>
      <c r="G152" s="96" t="n"/>
      <c r="H152" s="46" t="n"/>
      <c r="I152" s="97" t="n"/>
      <c r="J152" s="46" t="n"/>
      <c r="K152" s="46" t="n"/>
      <c r="L152" s="46" t="n"/>
      <c r="M152" s="46" t="n"/>
      <c r="N152" s="46" t="n"/>
      <c r="O152" s="46" t="n"/>
    </row>
    <row r="153" ht="17" customHeight="1">
      <c r="A153" s="83" t="n"/>
      <c r="B153" s="94" t="n"/>
      <c r="C153" s="46" t="n"/>
      <c r="D153" s="75" t="n"/>
      <c r="E153" s="95" t="n"/>
      <c r="F153" s="46" t="n"/>
      <c r="G153" s="96" t="n"/>
      <c r="H153" s="46" t="n"/>
      <c r="I153" s="97" t="n"/>
      <c r="J153" s="46" t="n"/>
      <c r="K153" s="46" t="n"/>
      <c r="L153" s="46" t="n"/>
      <c r="M153" s="46" t="n"/>
      <c r="N153" s="46" t="n"/>
      <c r="O153" s="46" t="n"/>
    </row>
    <row r="154" ht="17" customHeight="1">
      <c r="A154" s="83" t="n"/>
      <c r="B154" s="94" t="n"/>
      <c r="C154" s="46" t="n"/>
      <c r="D154" s="75" t="n"/>
      <c r="E154" s="95" t="n"/>
      <c r="F154" s="46" t="n"/>
      <c r="G154" s="96" t="n"/>
      <c r="H154" s="46" t="n"/>
      <c r="I154" s="97" t="n"/>
      <c r="J154" s="46" t="n"/>
      <c r="K154" s="46" t="n"/>
      <c r="L154" s="46" t="n"/>
      <c r="M154" s="46" t="n"/>
      <c r="N154" s="46" t="n"/>
      <c r="O154" s="46" t="n"/>
    </row>
    <row r="155" ht="17" customHeight="1">
      <c r="A155" s="83" t="n"/>
      <c r="B155" s="94" t="n"/>
      <c r="C155" s="46" t="n"/>
      <c r="D155" s="75" t="n"/>
      <c r="E155" s="95" t="n"/>
      <c r="F155" s="46" t="n"/>
      <c r="G155" s="96" t="n"/>
      <c r="H155" s="46" t="n"/>
      <c r="I155" s="97" t="n"/>
      <c r="J155" s="46" t="n"/>
      <c r="K155" s="46" t="n"/>
      <c r="L155" s="46" t="n"/>
      <c r="M155" s="46" t="n"/>
      <c r="N155" s="46" t="n"/>
      <c r="O155" s="46" t="n"/>
    </row>
    <row r="156" ht="17" customHeight="1">
      <c r="A156" s="83" t="n"/>
      <c r="B156" s="94" t="n"/>
      <c r="C156" s="46" t="n"/>
      <c r="D156" s="75" t="n"/>
      <c r="E156" s="95" t="n"/>
      <c r="F156" s="46" t="n"/>
      <c r="G156" s="96" t="n"/>
      <c r="H156" s="46" t="n"/>
      <c r="I156" s="97" t="n"/>
      <c r="J156" s="46" t="n"/>
      <c r="K156" s="46" t="n"/>
      <c r="L156" s="46" t="n"/>
      <c r="M156" s="46" t="n"/>
      <c r="N156" s="46" t="n"/>
      <c r="O156" s="46" t="n"/>
    </row>
    <row r="157" ht="17" customHeight="1">
      <c r="A157" s="83" t="n"/>
      <c r="B157" s="94" t="n"/>
      <c r="C157" s="46" t="n"/>
      <c r="D157" s="75" t="n"/>
      <c r="E157" s="95" t="n"/>
      <c r="F157" s="46" t="n"/>
      <c r="G157" s="96" t="n"/>
      <c r="H157" s="46" t="n"/>
      <c r="I157" s="97" t="n"/>
      <c r="J157" s="46" t="n"/>
      <c r="K157" s="46" t="n"/>
      <c r="L157" s="46" t="n"/>
      <c r="M157" s="46" t="n"/>
      <c r="N157" s="46" t="n"/>
      <c r="O157" s="46" t="n"/>
    </row>
    <row r="158" ht="17" customHeight="1">
      <c r="A158" s="83" t="n"/>
      <c r="B158" s="94" t="n"/>
      <c r="C158" s="46" t="n"/>
      <c r="D158" s="75" t="n"/>
      <c r="E158" s="95" t="n"/>
      <c r="F158" s="46" t="n"/>
      <c r="G158" s="96" t="n"/>
      <c r="H158" s="46" t="n"/>
      <c r="I158" s="97" t="n"/>
      <c r="J158" s="46" t="n"/>
      <c r="K158" s="46" t="n"/>
      <c r="L158" s="46" t="n"/>
      <c r="M158" s="46" t="n"/>
      <c r="N158" s="46" t="n"/>
      <c r="O158" s="46" t="n"/>
    </row>
    <row r="159" ht="17" customHeight="1">
      <c r="A159" s="83" t="n"/>
      <c r="B159" s="94" t="n"/>
      <c r="C159" s="46" t="n"/>
      <c r="D159" s="75" t="n"/>
      <c r="E159" s="95" t="n"/>
      <c r="F159" s="46" t="n"/>
      <c r="G159" s="96" t="n"/>
      <c r="H159" s="46" t="n"/>
      <c r="I159" s="97" t="n"/>
      <c r="J159" s="46" t="n"/>
      <c r="K159" s="46" t="n"/>
      <c r="L159" s="46" t="n"/>
      <c r="M159" s="46" t="n"/>
      <c r="N159" s="46" t="n"/>
      <c r="O159" s="46" t="n"/>
    </row>
    <row r="160" ht="17" customHeight="1">
      <c r="A160" s="83" t="n"/>
      <c r="B160" s="94" t="n"/>
      <c r="C160" s="46" t="n"/>
      <c r="D160" s="75" t="n"/>
      <c r="E160" s="95" t="n"/>
      <c r="F160" s="46" t="n"/>
      <c r="G160" s="96" t="n"/>
      <c r="H160" s="46" t="n"/>
      <c r="I160" s="97" t="n"/>
      <c r="J160" s="46" t="n"/>
      <c r="K160" s="46" t="n"/>
      <c r="L160" s="46" t="n"/>
      <c r="M160" s="46" t="n"/>
      <c r="N160" s="46" t="n"/>
      <c r="O160" s="46" t="n"/>
    </row>
    <row r="161" ht="17" customHeight="1">
      <c r="A161" s="83" t="n"/>
      <c r="B161" s="94" t="n"/>
      <c r="C161" s="46" t="n"/>
      <c r="D161" s="75" t="n"/>
      <c r="E161" s="95" t="n"/>
      <c r="F161" s="46" t="n"/>
      <c r="G161" s="96" t="n"/>
      <c r="H161" s="46" t="n"/>
      <c r="I161" s="97" t="n"/>
      <c r="J161" s="46" t="n"/>
      <c r="K161" s="46" t="n"/>
      <c r="L161" s="46" t="n"/>
      <c r="M161" s="46" t="n"/>
      <c r="N161" s="46" t="n"/>
      <c r="O161" s="46" t="n"/>
    </row>
    <row r="162" ht="17" customHeight="1">
      <c r="A162" s="83" t="n"/>
      <c r="B162" s="94" t="n"/>
      <c r="C162" s="46" t="n"/>
      <c r="D162" s="75" t="n"/>
      <c r="E162" s="95" t="n"/>
      <c r="F162" s="46" t="n"/>
      <c r="G162" s="96" t="n"/>
      <c r="H162" s="46" t="n"/>
      <c r="I162" s="97" t="n"/>
      <c r="J162" s="46" t="n"/>
      <c r="K162" s="46" t="n"/>
      <c r="L162" s="46" t="n"/>
      <c r="M162" s="46" t="n"/>
      <c r="N162" s="46" t="n"/>
      <c r="O162" s="46" t="n"/>
    </row>
    <row r="163" ht="17" customHeight="1">
      <c r="A163" s="83" t="n"/>
      <c r="B163" s="94" t="n"/>
      <c r="C163" s="46" t="n"/>
      <c r="D163" s="75" t="n"/>
      <c r="E163" s="95" t="n"/>
      <c r="F163" s="46" t="n"/>
      <c r="G163" s="96" t="n"/>
      <c r="H163" s="46" t="n"/>
      <c r="I163" s="97" t="n"/>
      <c r="J163" s="46" t="n"/>
      <c r="K163" s="46" t="n"/>
      <c r="L163" s="46" t="n"/>
      <c r="M163" s="46" t="n"/>
      <c r="N163" s="46" t="n"/>
      <c r="O163" s="46" t="n"/>
    </row>
    <row r="164" ht="17" customHeight="1">
      <c r="A164" s="83" t="n"/>
      <c r="B164" s="94" t="n"/>
      <c r="C164" s="46" t="n"/>
      <c r="D164" s="75" t="n"/>
      <c r="E164" s="95" t="n"/>
      <c r="F164" s="46" t="n"/>
      <c r="G164" s="96" t="n"/>
      <c r="H164" s="46" t="n"/>
      <c r="I164" s="97" t="n"/>
      <c r="J164" s="46" t="n"/>
      <c r="K164" s="46" t="n"/>
      <c r="L164" s="46" t="n"/>
      <c r="M164" s="46" t="n"/>
      <c r="N164" s="46" t="n"/>
      <c r="O164" s="46" t="n"/>
    </row>
    <row r="165" ht="17" customHeight="1">
      <c r="A165" s="83" t="n"/>
      <c r="B165" s="94" t="n"/>
      <c r="C165" s="46" t="n"/>
      <c r="D165" s="75" t="n"/>
      <c r="E165" s="95" t="n"/>
      <c r="F165" s="46" t="n"/>
      <c r="G165" s="96" t="n"/>
      <c r="H165" s="46" t="n"/>
      <c r="I165" s="97" t="n"/>
      <c r="J165" s="46" t="n"/>
      <c r="K165" s="46" t="n"/>
      <c r="L165" s="46" t="n"/>
      <c r="M165" s="46" t="n"/>
      <c r="N165" s="46" t="n"/>
      <c r="O165" s="46" t="n"/>
    </row>
    <row r="166" ht="17" customHeight="1">
      <c r="A166" s="83" t="n"/>
      <c r="B166" s="94" t="n"/>
      <c r="C166" s="46" t="n"/>
      <c r="D166" s="75" t="n"/>
      <c r="E166" s="95" t="n"/>
      <c r="F166" s="46" t="n"/>
      <c r="G166" s="96" t="n"/>
      <c r="H166" s="46" t="n"/>
      <c r="I166" s="97" t="n"/>
      <c r="J166" s="46" t="n"/>
      <c r="K166" s="46" t="n"/>
      <c r="L166" s="46" t="n"/>
      <c r="M166" s="46" t="n"/>
      <c r="N166" s="46" t="n"/>
      <c r="O166" s="46" t="n"/>
    </row>
    <row r="167" ht="17" customHeight="1">
      <c r="A167" s="83" t="n"/>
      <c r="B167" s="94" t="n"/>
      <c r="C167" s="46" t="n"/>
      <c r="D167" s="75" t="n"/>
      <c r="E167" s="95" t="n"/>
      <c r="F167" s="46" t="n"/>
      <c r="G167" s="96" t="n"/>
      <c r="H167" s="46" t="n"/>
      <c r="I167" s="97" t="n"/>
      <c r="J167" s="46" t="n"/>
      <c r="K167" s="46" t="n"/>
      <c r="L167" s="46" t="n"/>
      <c r="M167" s="46" t="n"/>
      <c r="N167" s="46" t="n"/>
      <c r="O167" s="46" t="n"/>
    </row>
    <row r="168" ht="17" customHeight="1">
      <c r="A168" s="83" t="n"/>
      <c r="B168" s="94" t="n"/>
      <c r="C168" s="46" t="n"/>
      <c r="D168" s="75" t="n"/>
      <c r="E168" s="95" t="n"/>
      <c r="F168" s="46" t="n"/>
      <c r="G168" s="96" t="n"/>
      <c r="H168" s="46" t="n"/>
      <c r="I168" s="97" t="n"/>
      <c r="J168" s="46" t="n"/>
      <c r="K168" s="46" t="n"/>
      <c r="L168" s="46" t="n"/>
      <c r="M168" s="46" t="n"/>
      <c r="N168" s="46" t="n"/>
      <c r="O168" s="46" t="n"/>
    </row>
    <row r="169" ht="17" customHeight="1">
      <c r="A169" s="83" t="n"/>
      <c r="B169" s="94" t="n"/>
      <c r="C169" s="46" t="n"/>
      <c r="D169" s="75" t="n"/>
      <c r="E169" s="95" t="n"/>
      <c r="F169" s="46" t="n"/>
      <c r="G169" s="96" t="n"/>
      <c r="H169" s="46" t="n"/>
      <c r="I169" s="97" t="n"/>
      <c r="J169" s="46" t="n"/>
      <c r="K169" s="46" t="n"/>
      <c r="L169" s="46" t="n"/>
      <c r="M169" s="46" t="n"/>
      <c r="N169" s="46" t="n"/>
      <c r="O169" s="46" t="n"/>
    </row>
    <row r="170" ht="17" customHeight="1">
      <c r="A170" s="83" t="n"/>
      <c r="B170" s="94" t="n"/>
      <c r="C170" s="46" t="n"/>
      <c r="D170" s="75" t="n"/>
      <c r="E170" s="95" t="n"/>
      <c r="F170" s="46" t="n"/>
      <c r="G170" s="96" t="n"/>
      <c r="H170" s="46" t="n"/>
      <c r="I170" s="97" t="n"/>
      <c r="J170" s="46" t="n"/>
      <c r="K170" s="46" t="n"/>
      <c r="L170" s="46" t="n"/>
      <c r="M170" s="46" t="n"/>
      <c r="N170" s="46" t="n"/>
      <c r="O170" s="46" t="n"/>
    </row>
    <row r="171" ht="17" customHeight="1">
      <c r="A171" s="83" t="n"/>
      <c r="B171" s="94" t="n"/>
      <c r="C171" s="46" t="n"/>
      <c r="D171" s="75" t="n"/>
      <c r="E171" s="95" t="n"/>
      <c r="F171" s="46" t="n"/>
      <c r="G171" s="96" t="n"/>
      <c r="H171" s="46" t="n"/>
      <c r="I171" s="97" t="n"/>
      <c r="J171" s="46" t="n"/>
      <c r="K171" s="46" t="n"/>
      <c r="L171" s="46" t="n"/>
      <c r="M171" s="46" t="n"/>
      <c r="N171" s="46" t="n"/>
      <c r="O171" s="46" t="n"/>
    </row>
    <row r="172" ht="17" customHeight="1">
      <c r="A172" s="83" t="n"/>
      <c r="B172" s="94" t="n"/>
      <c r="C172" s="46" t="n"/>
      <c r="D172" s="75" t="n"/>
      <c r="E172" s="95" t="n"/>
      <c r="F172" s="46" t="n"/>
      <c r="G172" s="96" t="n"/>
      <c r="H172" s="46" t="n"/>
      <c r="I172" s="97" t="n"/>
      <c r="J172" s="46" t="n"/>
      <c r="K172" s="46" t="n"/>
      <c r="L172" s="46" t="n"/>
      <c r="M172" s="46" t="n"/>
      <c r="N172" s="46" t="n"/>
      <c r="O172" s="46" t="n"/>
    </row>
    <row r="173" ht="17" customHeight="1">
      <c r="A173" s="83" t="n"/>
      <c r="B173" s="94" t="n"/>
      <c r="C173" s="46" t="n"/>
      <c r="D173" s="75" t="n"/>
      <c r="E173" s="95" t="n"/>
      <c r="F173" s="46" t="n"/>
      <c r="G173" s="96" t="n"/>
      <c r="H173" s="46" t="n"/>
      <c r="I173" s="97" t="n"/>
      <c r="J173" s="46" t="n"/>
      <c r="K173" s="46" t="n"/>
      <c r="L173" s="46" t="n"/>
      <c r="M173" s="46" t="n"/>
      <c r="N173" s="46" t="n"/>
      <c r="O173" s="46" t="n"/>
    </row>
    <row r="174" ht="17" customHeight="1">
      <c r="A174" s="83" t="n"/>
      <c r="B174" s="94" t="n"/>
      <c r="C174" s="46" t="n"/>
      <c r="D174" s="75" t="n"/>
      <c r="E174" s="95" t="n"/>
      <c r="F174" s="46" t="n"/>
      <c r="G174" s="96" t="n"/>
      <c r="H174" s="46" t="n"/>
      <c r="I174" s="97" t="n"/>
      <c r="J174" s="46" t="n"/>
      <c r="K174" s="46" t="n"/>
      <c r="L174" s="46" t="n"/>
      <c r="M174" s="46" t="n"/>
      <c r="N174" s="46" t="n"/>
      <c r="O174" s="46" t="n"/>
    </row>
    <row r="175" ht="17" customHeight="1">
      <c r="A175" s="83" t="n"/>
      <c r="B175" s="94" t="n"/>
      <c r="C175" s="46" t="n"/>
      <c r="D175" s="75" t="n"/>
      <c r="E175" s="95" t="n"/>
      <c r="F175" s="46" t="n"/>
      <c r="G175" s="96" t="n"/>
      <c r="H175" s="46" t="n"/>
      <c r="I175" s="97" t="n"/>
      <c r="J175" s="46" t="n"/>
      <c r="K175" s="46" t="n"/>
      <c r="L175" s="46" t="n"/>
      <c r="M175" s="46" t="n"/>
      <c r="N175" s="46" t="n"/>
      <c r="O175" s="46" t="n"/>
    </row>
    <row r="176" ht="17" customHeight="1">
      <c r="A176" s="83" t="n"/>
      <c r="B176" s="94" t="n"/>
      <c r="C176" s="46" t="n"/>
      <c r="D176" s="75" t="n"/>
      <c r="E176" s="95" t="n"/>
      <c r="F176" s="46" t="n"/>
      <c r="G176" s="96" t="n"/>
      <c r="H176" s="46" t="n"/>
      <c r="I176" s="97" t="n"/>
      <c r="J176" s="46" t="n"/>
      <c r="K176" s="46" t="n"/>
      <c r="L176" s="46" t="n"/>
      <c r="M176" s="46" t="n"/>
      <c r="N176" s="46" t="n"/>
      <c r="O176" s="46" t="n"/>
    </row>
    <row r="177" ht="17" customHeight="1">
      <c r="A177" s="83" t="n"/>
      <c r="B177" s="94" t="n"/>
      <c r="C177" s="46" t="n"/>
      <c r="D177" s="75" t="n"/>
      <c r="E177" s="95" t="n"/>
      <c r="F177" s="46" t="n"/>
      <c r="G177" s="96" t="n"/>
      <c r="H177" s="46" t="n"/>
      <c r="I177" s="97" t="n"/>
      <c r="J177" s="46" t="n"/>
      <c r="K177" s="46" t="n"/>
      <c r="L177" s="46" t="n"/>
      <c r="M177" s="46" t="n"/>
      <c r="N177" s="46" t="n"/>
      <c r="O177" s="46" t="n"/>
    </row>
    <row r="178" ht="17" customHeight="1">
      <c r="A178" s="83" t="n"/>
      <c r="B178" s="94" t="n"/>
      <c r="C178" s="46" t="n"/>
      <c r="D178" s="75" t="n"/>
      <c r="E178" s="95" t="n"/>
      <c r="F178" s="46" t="n"/>
      <c r="G178" s="96" t="n"/>
      <c r="H178" s="46" t="n"/>
      <c r="I178" s="97" t="n"/>
      <c r="J178" s="46" t="n"/>
      <c r="K178" s="46" t="n"/>
      <c r="L178" s="46" t="n"/>
      <c r="M178" s="46" t="n"/>
      <c r="N178" s="46" t="n"/>
      <c r="O178" s="46" t="n"/>
    </row>
    <row r="179" ht="17" customHeight="1">
      <c r="A179" s="83" t="n"/>
      <c r="B179" s="94" t="n"/>
      <c r="C179" s="46" t="n"/>
      <c r="D179" s="75" t="n"/>
      <c r="E179" s="95" t="n"/>
      <c r="F179" s="46" t="n"/>
      <c r="G179" s="96" t="n"/>
      <c r="H179" s="46" t="n"/>
      <c r="I179" s="97" t="n"/>
      <c r="J179" s="46" t="n"/>
      <c r="K179" s="46" t="n"/>
      <c r="L179" s="46" t="n"/>
      <c r="M179" s="46" t="n"/>
      <c r="N179" s="46" t="n"/>
      <c r="O179" s="46" t="n"/>
    </row>
    <row r="180" ht="17" customHeight="1">
      <c r="A180" s="83" t="n"/>
      <c r="B180" s="94" t="n"/>
      <c r="C180" s="46" t="n"/>
      <c r="D180" s="75" t="n"/>
      <c r="E180" s="95" t="n"/>
      <c r="F180" s="46" t="n"/>
      <c r="G180" s="96" t="n"/>
      <c r="H180" s="46" t="n"/>
      <c r="I180" s="97" t="n"/>
      <c r="J180" s="46" t="n"/>
      <c r="K180" s="46" t="n"/>
      <c r="L180" s="46" t="n"/>
      <c r="M180" s="46" t="n"/>
      <c r="N180" s="46" t="n"/>
      <c r="O180" s="46" t="n"/>
    </row>
    <row r="181" ht="17" customHeight="1">
      <c r="A181" s="83" t="n"/>
      <c r="B181" s="94" t="n"/>
      <c r="C181" s="46" t="n"/>
      <c r="D181" s="75" t="n"/>
      <c r="E181" s="95" t="n"/>
      <c r="F181" s="46" t="n"/>
      <c r="G181" s="96" t="n"/>
      <c r="H181" s="46" t="n"/>
      <c r="I181" s="97" t="n"/>
      <c r="J181" s="46" t="n"/>
      <c r="K181" s="46" t="n"/>
      <c r="L181" s="46" t="n"/>
      <c r="M181" s="46" t="n"/>
      <c r="N181" s="46" t="n"/>
      <c r="O181" s="46" t="n"/>
    </row>
    <row r="182" ht="17" customHeight="1">
      <c r="A182" s="83" t="n"/>
      <c r="B182" s="94" t="n"/>
      <c r="C182" s="46" t="n"/>
      <c r="D182" s="75" t="n"/>
      <c r="E182" s="95" t="n"/>
      <c r="F182" s="46" t="n"/>
      <c r="G182" s="96" t="n"/>
      <c r="H182" s="46" t="n"/>
      <c r="I182" s="97" t="n"/>
      <c r="J182" s="46" t="n"/>
      <c r="K182" s="46" t="n"/>
      <c r="L182" s="46" t="n"/>
      <c r="M182" s="46" t="n"/>
      <c r="N182" s="46" t="n"/>
      <c r="O182" s="46" t="n"/>
    </row>
    <row r="183" ht="17" customHeight="1">
      <c r="A183" s="83" t="n"/>
      <c r="B183" s="94" t="n"/>
      <c r="C183" s="46" t="n"/>
      <c r="D183" s="75" t="n"/>
      <c r="E183" s="95" t="n"/>
      <c r="F183" s="46" t="n"/>
      <c r="G183" s="96" t="n"/>
      <c r="H183" s="46" t="n"/>
      <c r="I183" s="97" t="n"/>
      <c r="J183" s="46" t="n"/>
      <c r="K183" s="46" t="n"/>
      <c r="L183" s="46" t="n"/>
      <c r="M183" s="46" t="n"/>
      <c r="N183" s="46" t="n"/>
      <c r="O183" s="46" t="n"/>
    </row>
    <row r="184" ht="17" customHeight="1">
      <c r="A184" s="83" t="n"/>
      <c r="B184" s="94" t="n"/>
      <c r="C184" s="46" t="n"/>
      <c r="D184" s="75" t="n"/>
      <c r="E184" s="95" t="n"/>
      <c r="F184" s="46" t="n"/>
      <c r="G184" s="96" t="n"/>
      <c r="H184" s="46" t="n"/>
      <c r="I184" s="97" t="n"/>
      <c r="J184" s="46" t="n"/>
      <c r="K184" s="46" t="n"/>
      <c r="L184" s="46" t="n"/>
      <c r="M184" s="46" t="n"/>
      <c r="N184" s="46" t="n"/>
      <c r="O184" s="46" t="n"/>
    </row>
    <row r="185" ht="17" customHeight="1">
      <c r="A185" s="83" t="n"/>
      <c r="B185" s="94" t="n"/>
      <c r="C185" s="46" t="n"/>
      <c r="D185" s="75" t="n"/>
      <c r="E185" s="95" t="n"/>
      <c r="F185" s="46" t="n"/>
      <c r="G185" s="96" t="n"/>
      <c r="H185" s="46" t="n"/>
      <c r="I185" s="97" t="n"/>
      <c r="J185" s="46" t="n"/>
      <c r="K185" s="46" t="n"/>
      <c r="L185" s="46" t="n"/>
      <c r="M185" s="46" t="n"/>
      <c r="N185" s="46" t="n"/>
      <c r="O185" s="46" t="n"/>
    </row>
    <row r="186" ht="17" customHeight="1">
      <c r="A186" s="83" t="n"/>
      <c r="B186" s="94" t="n"/>
      <c r="C186" s="46" t="n"/>
      <c r="D186" s="75" t="n"/>
      <c r="E186" s="95" t="n"/>
      <c r="F186" s="46" t="n"/>
      <c r="G186" s="96" t="n"/>
      <c r="H186" s="46" t="n"/>
      <c r="I186" s="97" t="n"/>
      <c r="J186" s="46" t="n"/>
      <c r="K186" s="46" t="n"/>
      <c r="L186" s="46" t="n"/>
      <c r="M186" s="46" t="n"/>
      <c r="N186" s="46" t="n"/>
      <c r="O186" s="46" t="n"/>
    </row>
    <row r="187" ht="17" customHeight="1">
      <c r="A187" s="83" t="n"/>
      <c r="B187" s="94" t="n"/>
      <c r="C187" s="46" t="n"/>
      <c r="D187" s="75" t="n"/>
      <c r="E187" s="95" t="n"/>
      <c r="F187" s="46" t="n"/>
      <c r="G187" s="96" t="n"/>
      <c r="H187" s="46" t="n"/>
      <c r="I187" s="97" t="n"/>
      <c r="J187" s="46" t="n"/>
      <c r="K187" s="46" t="n"/>
      <c r="L187" s="46" t="n"/>
      <c r="M187" s="46" t="n"/>
      <c r="N187" s="46" t="n"/>
      <c r="O187" s="46" t="n"/>
    </row>
    <row r="188" ht="17" customHeight="1">
      <c r="A188" s="83" t="n"/>
      <c r="B188" s="94" t="n"/>
      <c r="C188" s="46" t="n"/>
      <c r="D188" s="75" t="n"/>
      <c r="E188" s="95" t="n"/>
      <c r="F188" s="46" t="n"/>
      <c r="G188" s="96" t="n"/>
      <c r="H188" s="46" t="n"/>
      <c r="I188" s="97" t="n"/>
      <c r="J188" s="46" t="n"/>
      <c r="K188" s="46" t="n"/>
      <c r="L188" s="46" t="n"/>
      <c r="M188" s="46" t="n"/>
      <c r="N188" s="46" t="n"/>
      <c r="O188" s="46" t="n"/>
    </row>
    <row r="189" ht="17" customHeight="1">
      <c r="A189" s="83" t="n"/>
      <c r="B189" s="94" t="n"/>
      <c r="C189" s="46" t="n"/>
      <c r="D189" s="75" t="n"/>
      <c r="E189" s="95" t="n"/>
      <c r="F189" s="46" t="n"/>
      <c r="G189" s="96" t="n"/>
      <c r="H189" s="46" t="n"/>
      <c r="I189" s="97" t="n"/>
      <c r="J189" s="46" t="n"/>
      <c r="K189" s="46" t="n"/>
      <c r="L189" s="46" t="n"/>
      <c r="M189" s="46" t="n"/>
      <c r="N189" s="46" t="n"/>
      <c r="O189" s="46" t="n"/>
    </row>
    <row r="190" ht="17" customHeight="1">
      <c r="A190" s="83" t="n"/>
      <c r="B190" s="94" t="n"/>
      <c r="C190" s="46" t="n"/>
      <c r="D190" s="75" t="n"/>
      <c r="E190" s="95" t="n"/>
      <c r="F190" s="46" t="n"/>
      <c r="G190" s="96" t="n"/>
      <c r="H190" s="46" t="n"/>
      <c r="I190" s="97" t="n"/>
      <c r="J190" s="46" t="n"/>
      <c r="K190" s="46" t="n"/>
      <c r="L190" s="46" t="n"/>
      <c r="M190" s="46" t="n"/>
      <c r="N190" s="46" t="n"/>
      <c r="O190" s="46" t="n"/>
    </row>
    <row r="191" ht="17" customHeight="1">
      <c r="A191" s="83" t="n"/>
      <c r="B191" s="94" t="n"/>
      <c r="C191" s="46" t="n"/>
      <c r="D191" s="75" t="n"/>
      <c r="E191" s="95" t="n"/>
      <c r="F191" s="46" t="n"/>
      <c r="G191" s="96" t="n"/>
      <c r="H191" s="46" t="n"/>
      <c r="I191" s="97" t="n"/>
      <c r="J191" s="46" t="n"/>
      <c r="K191" s="46" t="n"/>
      <c r="L191" s="46" t="n"/>
      <c r="M191" s="46" t="n"/>
      <c r="N191" s="46" t="n"/>
      <c r="O191" s="46" t="n"/>
    </row>
    <row r="192" ht="17" customHeight="1">
      <c r="A192" s="83" t="n"/>
      <c r="B192" s="94" t="n"/>
      <c r="C192" s="46" t="n"/>
      <c r="D192" s="75" t="n"/>
      <c r="E192" s="95" t="n"/>
      <c r="F192" s="46" t="n"/>
      <c r="G192" s="96" t="n"/>
      <c r="H192" s="46" t="n"/>
      <c r="I192" s="97" t="n"/>
      <c r="J192" s="46" t="n"/>
      <c r="K192" s="46" t="n"/>
      <c r="L192" s="46" t="n"/>
      <c r="M192" s="46" t="n"/>
      <c r="N192" s="46" t="n"/>
      <c r="O192" s="46" t="n"/>
    </row>
    <row r="193" ht="17" customHeight="1">
      <c r="A193" s="83" t="n"/>
      <c r="B193" s="94" t="n"/>
      <c r="C193" s="46" t="n"/>
      <c r="D193" s="75" t="n"/>
      <c r="E193" s="95" t="n"/>
      <c r="F193" s="46" t="n"/>
      <c r="G193" s="96" t="n"/>
      <c r="H193" s="46" t="n"/>
      <c r="I193" s="97" t="n"/>
      <c r="J193" s="46" t="n"/>
      <c r="K193" s="46" t="n"/>
      <c r="L193" s="46" t="n"/>
      <c r="M193" s="46" t="n"/>
      <c r="N193" s="46" t="n"/>
      <c r="O193" s="46" t="n"/>
    </row>
    <row r="194" ht="22" customHeight="1">
      <c r="A194" s="31" t="inlineStr">
        <is>
          <t>TOTAL LANÇADO NO LIVRO</t>
        </is>
      </c>
      <c r="B194" s="32" t="n"/>
      <c r="C194" s="32" t="n"/>
      <c r="D194" s="32" t="n"/>
      <c r="E194" s="59">
        <f>ROUND(SUM($E$134:$E$193),2)</f>
        <v/>
      </c>
      <c r="F194" s="32" t="n"/>
      <c r="G194" s="98">
        <f>IF(COUNTA($B$134:$B$193)=COUNT($E$134:$E$193),"lançamentos: "&amp;COUNT($E$134:$E$193)&amp;" · todos classificados","ATENÇÃO: "&amp;(COUNT($E$134:$E$193)-COUNTA($B$134:$B$193))&amp;" lançamento(s) sem categoria")</f>
        <v/>
      </c>
      <c r="H194" s="32" t="n"/>
      <c r="I194" s="32" t="n"/>
      <c r="J194" s="32" t="n"/>
      <c r="K194" s="32" t="n"/>
      <c r="L194" s="32" t="n"/>
      <c r="M194" s="32" t="n"/>
      <c r="N194" s="32" t="n"/>
      <c r="O194" s="32" t="n"/>
    </row>
    <row r="196" ht="50" customHeight="1">
      <c r="A196" s="43" t="inlineStr">
        <is>
          <t xml:space="preserve">  Preencha primeiro a coluna ORÇADO com o que o orçamento previu e vá preenchendo o REALIZADO conforme o projeto anda — o desvio de cada linha é o que mostra onde o orçamento erra. Compras entram uma a uma no livro do bloco 8, com categoria, forma de pagamento e status; as categorias do bloco 6 se somam sozinhas. Você pode inserir linhas em qualquer bloco a partir da linha 26: tudo o que o Painel Geral lê está acima disso.</t>
        </is>
      </c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</row>
  </sheetData>
  <mergeCells count="561">
    <mergeCell ref="A196:O196"/>
    <mergeCell ref="I170:O170"/>
    <mergeCell ref="A15:B15"/>
    <mergeCell ref="I157:O157"/>
    <mergeCell ref="G128:O128"/>
    <mergeCell ref="B141:C141"/>
    <mergeCell ref="E142:F142"/>
    <mergeCell ref="I193:O193"/>
    <mergeCell ref="I172:O172"/>
    <mergeCell ref="H9:I9"/>
    <mergeCell ref="J76:M76"/>
    <mergeCell ref="G121:O121"/>
    <mergeCell ref="E171:F171"/>
    <mergeCell ref="G123:O123"/>
    <mergeCell ref="E137:F137"/>
    <mergeCell ref="G137:H137"/>
    <mergeCell ref="E173:F173"/>
    <mergeCell ref="H70:O70"/>
    <mergeCell ref="E148:F148"/>
    <mergeCell ref="G148:H148"/>
    <mergeCell ref="B78:C78"/>
    <mergeCell ref="D7:E7"/>
    <mergeCell ref="I183:O183"/>
    <mergeCell ref="D78:E78"/>
    <mergeCell ref="E166:F166"/>
    <mergeCell ref="G139:H139"/>
    <mergeCell ref="I175:O175"/>
    <mergeCell ref="H99:O99"/>
    <mergeCell ref="A34:C34"/>
    <mergeCell ref="I185:O185"/>
    <mergeCell ref="E168:F168"/>
    <mergeCell ref="G168:H168"/>
    <mergeCell ref="H87:I87"/>
    <mergeCell ref="H101:O101"/>
    <mergeCell ref="G143:H143"/>
    <mergeCell ref="D73:E73"/>
    <mergeCell ref="I176:O176"/>
    <mergeCell ref="J9:O9"/>
    <mergeCell ref="B154:C154"/>
    <mergeCell ref="H91:I91"/>
    <mergeCell ref="E117:F117"/>
    <mergeCell ref="A24:H24"/>
    <mergeCell ref="B156:C156"/>
    <mergeCell ref="E67:F67"/>
    <mergeCell ref="A103:B103"/>
    <mergeCell ref="H112:O112"/>
    <mergeCell ref="I138:O138"/>
    <mergeCell ref="I178:O178"/>
    <mergeCell ref="H114:O114"/>
    <mergeCell ref="E161:F161"/>
    <mergeCell ref="J73:M73"/>
    <mergeCell ref="G129:O129"/>
    <mergeCell ref="A72:O72"/>
    <mergeCell ref="J77:M77"/>
    <mergeCell ref="H75:I75"/>
    <mergeCell ref="B84:C84"/>
    <mergeCell ref="E110:F110"/>
    <mergeCell ref="H105:O105"/>
    <mergeCell ref="E16:F16"/>
    <mergeCell ref="E187:F187"/>
    <mergeCell ref="G138:H138"/>
    <mergeCell ref="B142:C142"/>
    <mergeCell ref="B80:C80"/>
    <mergeCell ref="E174:F174"/>
    <mergeCell ref="H15:O15"/>
    <mergeCell ref="H107:O107"/>
    <mergeCell ref="G126:O126"/>
    <mergeCell ref="B79:C79"/>
    <mergeCell ref="E18:F18"/>
    <mergeCell ref="D79:E79"/>
    <mergeCell ref="E189:F189"/>
    <mergeCell ref="G140:H140"/>
    <mergeCell ref="B144:C144"/>
    <mergeCell ref="F73:G73"/>
    <mergeCell ref="B81:C81"/>
    <mergeCell ref="D81:E81"/>
    <mergeCell ref="I191:O191"/>
    <mergeCell ref="H102:O102"/>
    <mergeCell ref="E29:F29"/>
    <mergeCell ref="H39:O39"/>
    <mergeCell ref="I192:O192"/>
    <mergeCell ref="E69:F69"/>
    <mergeCell ref="B170:C170"/>
    <mergeCell ref="E31:F31"/>
    <mergeCell ref="E158:F158"/>
    <mergeCell ref="E133:F133"/>
    <mergeCell ref="E108:F108"/>
    <mergeCell ref="G133:H133"/>
    <mergeCell ref="B172:C172"/>
    <mergeCell ref="E95:F95"/>
    <mergeCell ref="H28:O28"/>
    <mergeCell ref="E162:F162"/>
    <mergeCell ref="G135:H135"/>
    <mergeCell ref="B92:C92"/>
    <mergeCell ref="J74:M74"/>
    <mergeCell ref="D92:E92"/>
    <mergeCell ref="I146:O146"/>
    <mergeCell ref="F92:G92"/>
    <mergeCell ref="G153:H153"/>
    <mergeCell ref="A36:O36"/>
    <mergeCell ref="A11:O11"/>
    <mergeCell ref="B76:C76"/>
    <mergeCell ref="I181:O181"/>
    <mergeCell ref="A1:O1"/>
    <mergeCell ref="I12:O12"/>
    <mergeCell ref="E164:F164"/>
    <mergeCell ref="G164:H164"/>
    <mergeCell ref="H23:O23"/>
    <mergeCell ref="B150:C150"/>
    <mergeCell ref="E42:F42"/>
    <mergeCell ref="E17:F17"/>
    <mergeCell ref="E188:F188"/>
    <mergeCell ref="E126:F126"/>
    <mergeCell ref="B152:C152"/>
    <mergeCell ref="E180:F180"/>
    <mergeCell ref="J92:M92"/>
    <mergeCell ref="E19:F19"/>
    <mergeCell ref="E190:F190"/>
    <mergeCell ref="B145:C145"/>
    <mergeCell ref="G190:H190"/>
    <mergeCell ref="G146:H146"/>
    <mergeCell ref="B181:C181"/>
    <mergeCell ref="E182:F182"/>
    <mergeCell ref="A4:O4"/>
    <mergeCell ref="F10:O10"/>
    <mergeCell ref="H110:O110"/>
    <mergeCell ref="B87:C87"/>
    <mergeCell ref="I136:O136"/>
    <mergeCell ref="B147:C147"/>
    <mergeCell ref="D87:E87"/>
    <mergeCell ref="J87:M87"/>
    <mergeCell ref="E179:F179"/>
    <mergeCell ref="J89:M89"/>
    <mergeCell ref="D82:E82"/>
    <mergeCell ref="F82:G82"/>
    <mergeCell ref="G194:O194"/>
    <mergeCell ref="E37:F37"/>
    <mergeCell ref="E159:F159"/>
    <mergeCell ref="E97:F97"/>
    <mergeCell ref="G159:H159"/>
    <mergeCell ref="B163:C163"/>
    <mergeCell ref="H8:I8"/>
    <mergeCell ref="E109:F109"/>
    <mergeCell ref="H30:O30"/>
    <mergeCell ref="E145:F145"/>
    <mergeCell ref="E139:F139"/>
    <mergeCell ref="G161:H161"/>
    <mergeCell ref="B165:C165"/>
    <mergeCell ref="H29:O29"/>
    <mergeCell ref="E111:F111"/>
    <mergeCell ref="G136:H136"/>
    <mergeCell ref="A70:B70"/>
    <mergeCell ref="H44:O44"/>
    <mergeCell ref="H31:O31"/>
    <mergeCell ref="B77:C77"/>
    <mergeCell ref="D6:E6"/>
    <mergeCell ref="D77:E77"/>
    <mergeCell ref="I149:O149"/>
    <mergeCell ref="J82:M82"/>
    <mergeCell ref="H89:I89"/>
    <mergeCell ref="I151:O151"/>
    <mergeCell ref="B191:C191"/>
    <mergeCell ref="B178:C178"/>
    <mergeCell ref="E27:F27"/>
    <mergeCell ref="I144:O144"/>
    <mergeCell ref="E119:F119"/>
    <mergeCell ref="E183:F183"/>
    <mergeCell ref="G183:H183"/>
    <mergeCell ref="A6:C6"/>
    <mergeCell ref="E22:F22"/>
    <mergeCell ref="H42:O42"/>
    <mergeCell ref="E193:F193"/>
    <mergeCell ref="G193:H193"/>
    <mergeCell ref="D88:E88"/>
    <mergeCell ref="G149:H149"/>
    <mergeCell ref="F88:G88"/>
    <mergeCell ref="I177:O177"/>
    <mergeCell ref="G185:H185"/>
    <mergeCell ref="B90:C90"/>
    <mergeCell ref="D90:E90"/>
    <mergeCell ref="E122:F122"/>
    <mergeCell ref="G151:H151"/>
    <mergeCell ref="A45:B45"/>
    <mergeCell ref="G178:H178"/>
    <mergeCell ref="F6:G6"/>
    <mergeCell ref="J90:M90"/>
    <mergeCell ref="F83:G83"/>
    <mergeCell ref="H83:I83"/>
    <mergeCell ref="E38:F38"/>
    <mergeCell ref="A2:O2"/>
    <mergeCell ref="E147:F147"/>
    <mergeCell ref="F85:G85"/>
    <mergeCell ref="H85:I85"/>
    <mergeCell ref="G175:H175"/>
    <mergeCell ref="B179:C179"/>
    <mergeCell ref="E40:F40"/>
    <mergeCell ref="G162:H162"/>
    <mergeCell ref="H108:O108"/>
    <mergeCell ref="B166:C166"/>
    <mergeCell ref="B124:D124"/>
    <mergeCell ref="E186:F186"/>
    <mergeCell ref="G177:H177"/>
    <mergeCell ref="E104:F104"/>
    <mergeCell ref="H45:O45"/>
    <mergeCell ref="B174:C174"/>
    <mergeCell ref="B168:C168"/>
    <mergeCell ref="H32:O32"/>
    <mergeCell ref="B126:D126"/>
    <mergeCell ref="D9:E9"/>
    <mergeCell ref="H80:I80"/>
    <mergeCell ref="F9:G9"/>
    <mergeCell ref="I150:O150"/>
    <mergeCell ref="J83:M83"/>
    <mergeCell ref="I165:O165"/>
    <mergeCell ref="B169:C169"/>
    <mergeCell ref="I152:O152"/>
    <mergeCell ref="E66:F66"/>
    <mergeCell ref="J85:M85"/>
    <mergeCell ref="E130:F130"/>
    <mergeCell ref="E68:F68"/>
    <mergeCell ref="B134:C134"/>
    <mergeCell ref="G155:H155"/>
    <mergeCell ref="E160:F160"/>
    <mergeCell ref="E141:F141"/>
    <mergeCell ref="G118:O118"/>
    <mergeCell ref="E135:F135"/>
    <mergeCell ref="G157:H157"/>
    <mergeCell ref="E107:F107"/>
    <mergeCell ref="H73:I73"/>
    <mergeCell ref="E143:F143"/>
    <mergeCell ref="G172:H172"/>
    <mergeCell ref="G186:H186"/>
    <mergeCell ref="B162:C162"/>
    <mergeCell ref="D91:E91"/>
    <mergeCell ref="G152:H152"/>
    <mergeCell ref="F91:G91"/>
    <mergeCell ref="A21:B21"/>
    <mergeCell ref="I163:O163"/>
    <mergeCell ref="H84:I84"/>
    <mergeCell ref="A23:B23"/>
    <mergeCell ref="B187:C187"/>
    <mergeCell ref="E125:F125"/>
    <mergeCell ref="H86:I86"/>
    <mergeCell ref="E41:F41"/>
    <mergeCell ref="B189:C189"/>
    <mergeCell ref="E112:F112"/>
    <mergeCell ref="B188:C188"/>
    <mergeCell ref="B117:D117"/>
    <mergeCell ref="E43:F43"/>
    <mergeCell ref="J91:M91"/>
    <mergeCell ref="B190:C190"/>
    <mergeCell ref="B119:D119"/>
    <mergeCell ref="A16:B16"/>
    <mergeCell ref="G124:O124"/>
    <mergeCell ref="E138:F138"/>
    <mergeCell ref="A108:B108"/>
    <mergeCell ref="B127:D127"/>
    <mergeCell ref="I168:O168"/>
    <mergeCell ref="A18:B18"/>
    <mergeCell ref="B73:C73"/>
    <mergeCell ref="E167:F167"/>
    <mergeCell ref="H100:O100"/>
    <mergeCell ref="H7:I7"/>
    <mergeCell ref="G119:O119"/>
    <mergeCell ref="B137:C137"/>
    <mergeCell ref="E169:F169"/>
    <mergeCell ref="H66:O66"/>
    <mergeCell ref="B74:C74"/>
    <mergeCell ref="D74:E74"/>
    <mergeCell ref="B139:C139"/>
    <mergeCell ref="I184:O184"/>
    <mergeCell ref="B122:D122"/>
    <mergeCell ref="I171:O171"/>
    <mergeCell ref="H76:I76"/>
    <mergeCell ref="H95:O95"/>
    <mergeCell ref="A44:B44"/>
    <mergeCell ref="I173:O173"/>
    <mergeCell ref="H97:O97"/>
    <mergeCell ref="I166:O166"/>
    <mergeCell ref="G176:H176"/>
    <mergeCell ref="E64:F64"/>
    <mergeCell ref="J7:O7"/>
    <mergeCell ref="E156:F156"/>
    <mergeCell ref="E153:F153"/>
    <mergeCell ref="H21:O21"/>
    <mergeCell ref="E128:F128"/>
    <mergeCell ref="E155:F155"/>
    <mergeCell ref="D61:E61"/>
    <mergeCell ref="G184:H184"/>
    <mergeCell ref="G171:H171"/>
    <mergeCell ref="E65:F65"/>
    <mergeCell ref="E157:F157"/>
    <mergeCell ref="H16:O16"/>
    <mergeCell ref="A17:B17"/>
    <mergeCell ref="I134:O134"/>
    <mergeCell ref="H27:O27"/>
    <mergeCell ref="G117:O117"/>
    <mergeCell ref="A19:B19"/>
    <mergeCell ref="I161:O161"/>
    <mergeCell ref="E146:F146"/>
    <mergeCell ref="E12:F12"/>
    <mergeCell ref="G125:O125"/>
    <mergeCell ref="B138:C138"/>
    <mergeCell ref="E175:F175"/>
    <mergeCell ref="H67:O67"/>
    <mergeCell ref="H103:O103"/>
    <mergeCell ref="G127:O127"/>
    <mergeCell ref="E185:F185"/>
    <mergeCell ref="B140:C140"/>
    <mergeCell ref="I187:O187"/>
    <mergeCell ref="E170:F170"/>
    <mergeCell ref="I174:O174"/>
    <mergeCell ref="H98:O98"/>
    <mergeCell ref="D75:E75"/>
    <mergeCell ref="F75:G75"/>
    <mergeCell ref="I189:O189"/>
    <mergeCell ref="I188:O188"/>
    <mergeCell ref="G192:H192"/>
    <mergeCell ref="J8:O8"/>
    <mergeCell ref="E154:F154"/>
    <mergeCell ref="G154:H154"/>
    <mergeCell ref="B158:C158"/>
    <mergeCell ref="E172:F172"/>
    <mergeCell ref="B89:C89"/>
    <mergeCell ref="B160:C160"/>
    <mergeCell ref="D89:E89"/>
    <mergeCell ref="H18:O18"/>
    <mergeCell ref="L61:M61"/>
    <mergeCell ref="A194:D194"/>
    <mergeCell ref="I142:O142"/>
    <mergeCell ref="B153:C153"/>
    <mergeCell ref="J75:M75"/>
    <mergeCell ref="B184:C184"/>
    <mergeCell ref="H113:O113"/>
    <mergeCell ref="E20:F20"/>
    <mergeCell ref="I137:O137"/>
    <mergeCell ref="E177:F177"/>
    <mergeCell ref="E13:F13"/>
    <mergeCell ref="I164:O164"/>
    <mergeCell ref="I139:O139"/>
    <mergeCell ref="B88:C88"/>
    <mergeCell ref="B148:C148"/>
    <mergeCell ref="B82:C82"/>
    <mergeCell ref="E149:F149"/>
    <mergeCell ref="E176:F176"/>
    <mergeCell ref="E114:F114"/>
    <mergeCell ref="J88:M88"/>
    <mergeCell ref="A63:O63"/>
    <mergeCell ref="E15:F15"/>
    <mergeCell ref="E191:F191"/>
    <mergeCell ref="G142:H142"/>
    <mergeCell ref="B146:C146"/>
    <mergeCell ref="E178:F178"/>
    <mergeCell ref="H37:O37"/>
    <mergeCell ref="B83:C83"/>
    <mergeCell ref="B143:C143"/>
    <mergeCell ref="D83:E83"/>
    <mergeCell ref="E144:F144"/>
    <mergeCell ref="G144:H144"/>
    <mergeCell ref="H104:O104"/>
    <mergeCell ref="B85:C85"/>
    <mergeCell ref="A94:O94"/>
    <mergeCell ref="I190:O190"/>
    <mergeCell ref="D85:E85"/>
    <mergeCell ref="G173:H173"/>
    <mergeCell ref="H92:I92"/>
    <mergeCell ref="H106:O106"/>
    <mergeCell ref="F78:G78"/>
    <mergeCell ref="E106:F106"/>
    <mergeCell ref="H78:I78"/>
    <mergeCell ref="E33:F33"/>
    <mergeCell ref="H43:O43"/>
    <mergeCell ref="B159:C159"/>
    <mergeCell ref="D80:E80"/>
    <mergeCell ref="G170:H170"/>
    <mergeCell ref="B167:C167"/>
    <mergeCell ref="A26:O26"/>
    <mergeCell ref="B161:C161"/>
    <mergeCell ref="H6:I6"/>
    <mergeCell ref="H130:O130"/>
    <mergeCell ref="H68:O68"/>
    <mergeCell ref="B136:C136"/>
    <mergeCell ref="E28:F28"/>
    <mergeCell ref="B175:C175"/>
    <mergeCell ref="E30:F30"/>
    <mergeCell ref="J84:M84"/>
    <mergeCell ref="I145:O145"/>
    <mergeCell ref="J78:M78"/>
    <mergeCell ref="H69:O69"/>
    <mergeCell ref="A9:C9"/>
    <mergeCell ref="I147:O147"/>
    <mergeCell ref="J80:M80"/>
    <mergeCell ref="D8:E8"/>
    <mergeCell ref="J79:M79"/>
    <mergeCell ref="G150:H150"/>
    <mergeCell ref="I186:O186"/>
    <mergeCell ref="E21:F21"/>
    <mergeCell ref="J6:O6"/>
    <mergeCell ref="H82:I82"/>
    <mergeCell ref="B91:C91"/>
    <mergeCell ref="E192:F192"/>
    <mergeCell ref="H20:O20"/>
    <mergeCell ref="E129:F129"/>
    <mergeCell ref="H38:O38"/>
    <mergeCell ref="E23:F23"/>
    <mergeCell ref="D84:E84"/>
    <mergeCell ref="B155:C155"/>
    <mergeCell ref="G145:H145"/>
    <mergeCell ref="F84:G84"/>
    <mergeCell ref="B149:C149"/>
    <mergeCell ref="E181:F181"/>
    <mergeCell ref="B193:C193"/>
    <mergeCell ref="E194:F194"/>
    <mergeCell ref="G181:H181"/>
    <mergeCell ref="A3:O3"/>
    <mergeCell ref="H40:O40"/>
    <mergeCell ref="B86:C86"/>
    <mergeCell ref="G160:H160"/>
    <mergeCell ref="D86:E86"/>
    <mergeCell ref="I140:O140"/>
    <mergeCell ref="G147:H147"/>
    <mergeCell ref="F86:G86"/>
    <mergeCell ref="H64:O64"/>
    <mergeCell ref="B151:C151"/>
    <mergeCell ref="F80:G80"/>
    <mergeCell ref="G174:H174"/>
    <mergeCell ref="I158:O158"/>
    <mergeCell ref="I133:O133"/>
    <mergeCell ref="G189:H189"/>
    <mergeCell ref="F79:G79"/>
    <mergeCell ref="H79:I79"/>
    <mergeCell ref="E34:F34"/>
    <mergeCell ref="B182:C182"/>
    <mergeCell ref="E105:F105"/>
    <mergeCell ref="I160:O160"/>
    <mergeCell ref="E99:F99"/>
    <mergeCell ref="I135:O135"/>
    <mergeCell ref="F81:G81"/>
    <mergeCell ref="H81:I81"/>
    <mergeCell ref="E163:F163"/>
    <mergeCell ref="E101:F101"/>
    <mergeCell ref="G163:H163"/>
    <mergeCell ref="A22:B22"/>
    <mergeCell ref="B125:D125"/>
    <mergeCell ref="E113:F113"/>
    <mergeCell ref="B183:C183"/>
    <mergeCell ref="B177:C177"/>
    <mergeCell ref="E100:F100"/>
    <mergeCell ref="B164:C164"/>
    <mergeCell ref="J86:M86"/>
    <mergeCell ref="E136:F136"/>
    <mergeCell ref="G165:H165"/>
    <mergeCell ref="H33:O33"/>
    <mergeCell ref="I24:O24"/>
    <mergeCell ref="E102:F102"/>
    <mergeCell ref="G158:H158"/>
    <mergeCell ref="B120:D120"/>
    <mergeCell ref="D10:E10"/>
    <mergeCell ref="G169:H169"/>
    <mergeCell ref="I148:O148"/>
    <mergeCell ref="I153:O153"/>
    <mergeCell ref="E127:F127"/>
    <mergeCell ref="F74:G74"/>
    <mergeCell ref="B180:C180"/>
    <mergeCell ref="H74:I74"/>
    <mergeCell ref="G191:H191"/>
    <mergeCell ref="D76:E76"/>
    <mergeCell ref="F76:G76"/>
    <mergeCell ref="A47:O47"/>
    <mergeCell ref="B157:C157"/>
    <mergeCell ref="I179:O179"/>
    <mergeCell ref="B186:C186"/>
    <mergeCell ref="I141:O141"/>
    <mergeCell ref="E124:F124"/>
    <mergeCell ref="H65:O65"/>
    <mergeCell ref="E120:F120"/>
    <mergeCell ref="I159:O159"/>
    <mergeCell ref="I143:O143"/>
    <mergeCell ref="E184:F184"/>
    <mergeCell ref="A7:C7"/>
    <mergeCell ref="G122:O122"/>
    <mergeCell ref="E121:F121"/>
    <mergeCell ref="F87:G87"/>
    <mergeCell ref="B185:C185"/>
    <mergeCell ref="E151:F151"/>
    <mergeCell ref="H41:O41"/>
    <mergeCell ref="E123:F123"/>
    <mergeCell ref="F89:G89"/>
    <mergeCell ref="E150:F150"/>
    <mergeCell ref="E39:F39"/>
    <mergeCell ref="G179:H179"/>
    <mergeCell ref="F7:G7"/>
    <mergeCell ref="E44:F44"/>
    <mergeCell ref="B176:C176"/>
    <mergeCell ref="G166:H166"/>
    <mergeCell ref="H34:O34"/>
    <mergeCell ref="B128:D128"/>
    <mergeCell ref="G141:H141"/>
    <mergeCell ref="E103:F103"/>
    <mergeCell ref="E152:F152"/>
    <mergeCell ref="A116:O116"/>
    <mergeCell ref="E118:F118"/>
    <mergeCell ref="F8:G8"/>
    <mergeCell ref="A12:B12"/>
    <mergeCell ref="C12:D12"/>
    <mergeCell ref="G167:H167"/>
    <mergeCell ref="I154:O154"/>
    <mergeCell ref="B171:C171"/>
    <mergeCell ref="B123:D123"/>
    <mergeCell ref="I156:O156"/>
    <mergeCell ref="E70:F70"/>
    <mergeCell ref="F77:G77"/>
    <mergeCell ref="H77:I77"/>
    <mergeCell ref="H96:O96"/>
    <mergeCell ref="E32:F32"/>
    <mergeCell ref="G120:O120"/>
    <mergeCell ref="B133:C133"/>
    <mergeCell ref="E134:F134"/>
    <mergeCell ref="G134:H134"/>
    <mergeCell ref="B173:C173"/>
    <mergeCell ref="E96:F96"/>
    <mergeCell ref="B75:C75"/>
    <mergeCell ref="B135:C135"/>
    <mergeCell ref="I180:O180"/>
    <mergeCell ref="A130:B130"/>
    <mergeCell ref="I167:O167"/>
    <mergeCell ref="E98:F98"/>
    <mergeCell ref="I182:O182"/>
    <mergeCell ref="E165:F165"/>
    <mergeCell ref="I169:O169"/>
    <mergeCell ref="I13:O13"/>
    <mergeCell ref="E140:F140"/>
    <mergeCell ref="G156:H156"/>
    <mergeCell ref="B118:D118"/>
    <mergeCell ref="A8:C8"/>
    <mergeCell ref="H61:I61"/>
    <mergeCell ref="H88:I88"/>
    <mergeCell ref="J81:M81"/>
    <mergeCell ref="G187:H187"/>
    <mergeCell ref="A10:C10"/>
    <mergeCell ref="H17:O17"/>
    <mergeCell ref="F90:G90"/>
    <mergeCell ref="H90:I90"/>
    <mergeCell ref="H109:O109"/>
    <mergeCell ref="G180:H180"/>
    <mergeCell ref="E45:F45"/>
    <mergeCell ref="H22:O22"/>
    <mergeCell ref="B129:D129"/>
    <mergeCell ref="H19:O19"/>
    <mergeCell ref="G188:H188"/>
    <mergeCell ref="B192:C192"/>
    <mergeCell ref="A20:B20"/>
    <mergeCell ref="H111:O111"/>
    <mergeCell ref="B121:D121"/>
    <mergeCell ref="G182:H182"/>
    <mergeCell ref="I162:O162"/>
    <mergeCell ref="A132:O132"/>
    <mergeCell ref="A13:B13"/>
    <mergeCell ref="C13:D13"/>
    <mergeCell ref="I155:O155"/>
    <mergeCell ref="A114:B114"/>
  </mergeCells>
  <conditionalFormatting sqref="I134:O193">
    <cfRule type="expression" priority="1" dxfId="0" stopIfTrue="1">
      <formula>$I134="Pago"</formula>
    </cfRule>
    <cfRule type="expression" priority="2" dxfId="3" stopIfTrue="1">
      <formula>$I134="Comprado (a pagar)"</formula>
    </cfRule>
    <cfRule type="expression" priority="3" dxfId="1" stopIfTrue="1">
      <formula>$I134="A comprar"</formula>
    </cfRule>
  </conditionalFormatting>
  <conditionalFormatting sqref="A134:O193">
    <cfRule type="expression" priority="4" dxfId="6">
      <formula>AND($E134&lt;&gt;"",$B134="")</formula>
    </cfRule>
  </conditionalFormatting>
  <conditionalFormatting sqref="E16:F22">
    <cfRule type="expression" priority="5" dxfId="4">
      <formula>AND($E16&lt;&gt;"",$E16&gt;0)</formula>
    </cfRule>
    <cfRule type="expression" priority="6" dxfId="5">
      <formula>AND($E16&lt;&gt;"",$E16&lt;0)</formula>
    </cfRule>
  </conditionalFormatting>
  <conditionalFormatting sqref="E96:F114">
    <cfRule type="expression" priority="7" dxfId="4">
      <formula>AND($E96&lt;&gt;"",$E96&gt;0)</formula>
    </cfRule>
    <cfRule type="expression" priority="8" dxfId="5">
      <formula>AND($E96&lt;&gt;"",$E96&lt;0)</formula>
    </cfRule>
  </conditionalFormatting>
  <conditionalFormatting sqref="J9">
    <cfRule type="expression" priority="9" dxfId="0" stopIfTrue="1">
      <formula>$J$9="No prazo"</formula>
    </cfRule>
    <cfRule type="expression" priority="10" dxfId="2">
      <formula>$J$9="Atrasado"</formula>
    </cfRule>
  </conditionalFormatting>
  <conditionalFormatting sqref="A13:J13">
    <cfRule type="expression" priority="11" dxfId="6">
      <formula>AND($G$13&lt;&gt;"",$G$13&lt;0.25)</formula>
    </cfRule>
  </conditionalFormatting>
  <dataValidations count="12">
    <dataValidation sqref="D10:E1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"Jan/2026,Fev/2026,Mar/2026,Abr/2026,Mai/2026,Jun/2026,Jul/2026,Ago/2026,Set/2026,Out/2026,Nov/2026,Dez/2026,Jan/2027,Fev/2027,Mar/2027,Abr/2027,Mai/2027,Jun/2027,Jul/2027,Ago/2027,Set/2027,Out/2027,Nov/2027,Dez/2027"</formula1>
    </dataValidation>
    <dataValidation sqref="D49:D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H49:H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L49:L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"Lorrane,Lucas,Externo / avulso"</formula1>
    </dataValidation>
    <dataValidation sqref="H66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A74:A91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B118:B12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"Erro de projeto,Erro de medição,Erro de produção,Erro de montagem,Falha de material,Dano no transporte,Mudança pedida pelo cliente,Falha de fornecedor,Outro"</formula1>
    </dataValidation>
    <dataValidation sqref="B134:B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"MDF e MDP,Fita de borda,Ferragens,Vidros e espelhos,Esquadrias,Lâmina natural,Consumíveis,Acabamento,Serralheria,Vidraceiro,Outro terceirizado,Uber e aplicativo,Carreto e entrega,Deslocamento da equipe,Frete de material,Estacionamento e pedágio"</formula1>
    </dataValidation>
    <dataValidation sqref="G134:G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"PIX,Boleto,Cartão de crédito,Cartão parcelado,Dinheiro,Transferência,Faturado 30 dias,A combinar"</formula1>
    </dataValidation>
    <dataValidation sqref="I134:I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"A comprar,Comprado (a pagar),Pago"</formula1>
    </dataValidation>
    <dataValidation sqref="D9:E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"Jonathan,Vitor,Indicação,Arquiteto parceiro,Outro"</formula1>
    </dataValidation>
    <dataValidation sqref="F9:G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</dataValidations>
  <pageMargins left="0.4" right="0.3" top="0.4" bottom="0.3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196"/>
  <sheetViews>
    <sheetView showGridLines="0"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14" customWidth="1" min="3" max="3"/>
    <col width="16" customWidth="1" min="4" max="4"/>
    <col width="7" customWidth="1" min="5" max="5"/>
    <col width="13" customWidth="1" min="6" max="6"/>
    <col width="13" customWidth="1" min="7" max="7"/>
    <col width="16" customWidth="1" min="8" max="8"/>
    <col width="7" customWidth="1" min="9" max="9"/>
    <col width="13" customWidth="1" min="10" max="10"/>
    <col width="13" customWidth="1" min="11" max="11"/>
    <col width="15" customWidth="1" min="12" max="12"/>
    <col width="7" customWidth="1" min="13" max="13"/>
    <col width="13" customWidth="1" min="14" max="14"/>
    <col width="14" customWidth="1" min="15" max="15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8" customHeight="1">
      <c r="A3" s="4" t="inlineStr">
        <is>
          <t>FICHA DE CUSTO DO PROJETO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 ht="17" customHeight="1">
      <c r="A4" s="6" t="inlineStr">
        <is>
          <t>Fundo creme = você preenche · fundo cinza = calculado · duplique esta aba a cada projeto e registre o nome dela no Painel Geral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 ht="6" customHeight="1"/>
    <row r="6" ht="13" customHeight="1">
      <c r="A6" s="44" t="inlineStr">
        <is>
          <t>CLIENTE</t>
        </is>
      </c>
      <c r="B6" s="13" t="n"/>
      <c r="C6" s="13" t="n"/>
      <c r="D6" s="44" t="inlineStr">
        <is>
          <t>Nº DO PROJETO</t>
        </is>
      </c>
      <c r="E6" s="13" t="n"/>
      <c r="F6" s="44" t="inlineStr">
        <is>
          <t>DATA DE ENTRADA</t>
        </is>
      </c>
      <c r="G6" s="13" t="n"/>
      <c r="H6" s="44" t="inlineStr">
        <is>
          <t>ENTREGA PREVISTA</t>
        </is>
      </c>
      <c r="I6" s="13" t="n"/>
      <c r="J6" s="44" t="inlineStr">
        <is>
          <t>ENTREGA REAL</t>
        </is>
      </c>
      <c r="K6" s="13" t="n"/>
      <c r="L6" s="13" t="n"/>
      <c r="M6" s="13" t="n"/>
      <c r="N6" s="13" t="n"/>
      <c r="O6" s="13" t="n"/>
    </row>
    <row r="7" ht="21" customHeight="1">
      <c r="A7" s="45" t="n"/>
      <c r="B7" s="46" t="n"/>
      <c r="C7" s="46" t="n"/>
      <c r="D7" s="45" t="n"/>
      <c r="E7" s="46" t="n"/>
      <c r="F7" s="47" t="n"/>
      <c r="G7" s="46" t="n"/>
      <c r="H7" s="47" t="n"/>
      <c r="I7" s="46" t="n"/>
      <c r="J7" s="47" t="n"/>
      <c r="K7" s="46" t="n"/>
      <c r="L7" s="46" t="n"/>
      <c r="M7" s="46" t="n"/>
      <c r="N7" s="46" t="n"/>
      <c r="O7" s="46" t="n"/>
    </row>
    <row r="8" ht="13" customHeight="1">
      <c r="A8" s="44" t="inlineStr">
        <is>
          <t>PROJETO</t>
        </is>
      </c>
      <c r="B8" s="13" t="n"/>
      <c r="C8" s="13" t="n"/>
      <c r="D8" s="44" t="inlineStr">
        <is>
          <t>VENDEDOR</t>
        </is>
      </c>
      <c r="E8" s="13" t="n"/>
      <c r="F8" s="44" t="inlineStr">
        <is>
          <t>COORDENADOR</t>
        </is>
      </c>
      <c r="G8" s="13" t="n"/>
      <c r="H8" s="44" t="inlineStr">
        <is>
          <t>DIAS DE ATRASO</t>
        </is>
      </c>
      <c r="I8" s="13" t="n"/>
      <c r="J8" s="44" t="inlineStr">
        <is>
          <t>SITUAÇÃO DA ENTREGA</t>
        </is>
      </c>
      <c r="K8" s="13" t="n"/>
      <c r="L8" s="13" t="n"/>
      <c r="M8" s="13" t="n"/>
      <c r="N8" s="13" t="n"/>
      <c r="O8" s="13" t="n"/>
    </row>
    <row r="9" ht="21" customHeight="1">
      <c r="A9" s="45" t="n"/>
      <c r="B9" s="46" t="n"/>
      <c r="C9" s="46" t="n"/>
      <c r="D9" s="45" t="n"/>
      <c r="E9" s="46" t="n"/>
      <c r="F9" s="48" t="n"/>
      <c r="G9" s="46" t="n"/>
      <c r="H9" s="49">
        <f>IF(OR($H$7="",$J$7=""),"",$J$7-$H$7)</f>
        <v/>
      </c>
      <c r="I9" s="38" t="n"/>
      <c r="J9" s="50">
        <f>IF($H$7="","",IF($J$7="",IF(TODAY()&gt;$H$7,"Atrasado","Em produção"),IF($H$9&lt;=0,"No prazo","Atrasado")))</f>
        <v/>
      </c>
      <c r="K9" s="38" t="n"/>
      <c r="L9" s="38" t="n"/>
      <c r="M9" s="38" t="n"/>
      <c r="N9" s="38" t="n"/>
      <c r="O9" s="38" t="n"/>
    </row>
    <row r="10" ht="18" customHeight="1">
      <c r="A10" s="51" t="inlineStr">
        <is>
          <t>MÊS DE COMPETÊNCIA</t>
        </is>
      </c>
      <c r="B10" s="37" t="n"/>
      <c r="C10" s="37" t="n"/>
      <c r="D10" s="52" t="n"/>
      <c r="E10" s="46" t="n"/>
      <c r="F10" s="53" t="inlineStr">
        <is>
          <t>o mês em que a receita e o custo deste projeto pesam no painel de competência</t>
        </is>
      </c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</row>
    <row r="11" ht="20" customHeight="1">
      <c r="A11" s="8" t="inlineStr">
        <is>
          <t xml:space="preserve">  RESULTADO DO PROJETO          tudo aqui se atualiza conforme você lança os custos mais abaixo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</row>
    <row r="12" ht="13" customHeight="1">
      <c r="A12" s="44" t="inlineStr">
        <is>
          <t>VALOR DE VENDA</t>
        </is>
      </c>
      <c r="B12" s="13" t="n"/>
      <c r="C12" s="44" t="inlineStr">
        <is>
          <t>CUSTO TOTAL</t>
        </is>
      </c>
      <c r="D12" s="13" t="n"/>
      <c r="E12" s="44" t="inlineStr">
        <is>
          <t>MARGEM DE CONTRIBUIÇÃO</t>
        </is>
      </c>
      <c r="F12" s="13" t="n"/>
      <c r="G12" s="44" t="inlineStr">
        <is>
          <t>MC %</t>
        </is>
      </c>
      <c r="H12" s="44" t="inlineStr">
        <is>
          <t>MC % ORÇADA</t>
        </is>
      </c>
      <c r="I12" s="44" t="inlineStr">
        <is>
          <t>DESVIO DE CUSTO</t>
        </is>
      </c>
      <c r="J12" s="13" t="n"/>
      <c r="K12" s="13" t="n"/>
      <c r="L12" s="13" t="n"/>
      <c r="M12" s="13" t="n"/>
      <c r="N12" s="13" t="n"/>
      <c r="O12" s="13" t="n"/>
    </row>
    <row r="13" ht="30" customHeight="1">
      <c r="A13" s="54">
        <f>IF($D$28="",$C$28,$D$28)</f>
        <v/>
      </c>
      <c r="B13" s="15" t="n"/>
      <c r="C13" s="54">
        <f>IF($D$22=0,"",$D$22)</f>
        <v/>
      </c>
      <c r="D13" s="15" t="n"/>
      <c r="E13" s="54">
        <f>IF($A$13="","",$D$23)</f>
        <v/>
      </c>
      <c r="F13" s="15" t="n"/>
      <c r="G13" s="55">
        <f>IF(OR($A$13="",$A$13=0),"",$D$23/$A$13)</f>
        <v/>
      </c>
      <c r="H13" s="55">
        <f>IF(OR($C$28="",$C$28=0),"",$C$23/$C$28)</f>
        <v/>
      </c>
      <c r="I13" s="54">
        <f>IF(OR($C$22=0,$D$22=0),"",ROUND($D$22-$C$22,2))</f>
        <v/>
      </c>
      <c r="J13" s="15" t="n"/>
      <c r="K13" s="15" t="n"/>
      <c r="L13" s="15" t="n"/>
      <c r="M13" s="15" t="n"/>
      <c r="N13" s="15" t="n"/>
      <c r="O13" s="15" t="n"/>
    </row>
    <row r="14" ht="8" customHeight="1"/>
    <row r="15" ht="26" customHeight="1">
      <c r="A15" s="19" t="inlineStr">
        <is>
          <t>Resumo por categoria</t>
        </is>
      </c>
      <c r="B15" s="35" t="n"/>
      <c r="C15" s="19" t="inlineStr">
        <is>
          <t>Orçado (R$)</t>
        </is>
      </c>
      <c r="D15" s="19" t="inlineStr">
        <is>
          <t>Realizado (R$)</t>
        </is>
      </c>
      <c r="E15" s="19" t="inlineStr">
        <is>
          <t>Desvio (R$)</t>
        </is>
      </c>
      <c r="F15" s="35" t="n"/>
      <c r="G15" s="19" t="inlineStr">
        <is>
          <t>Desvio (%)</t>
        </is>
      </c>
      <c r="H15" s="19" t="inlineStr">
        <is>
          <t>% da venda realizada</t>
        </is>
      </c>
      <c r="I15" s="35" t="n"/>
      <c r="J15" s="35" t="n"/>
      <c r="K15" s="35" t="n"/>
      <c r="L15" s="35" t="n"/>
      <c r="M15" s="35" t="n"/>
      <c r="N15" s="35" t="n"/>
      <c r="O15" s="35" t="n"/>
    </row>
    <row r="16" ht="18" customHeight="1">
      <c r="A16" s="36" t="inlineStr">
        <is>
          <t>Custos de venda</t>
        </is>
      </c>
      <c r="B16" s="37" t="n"/>
      <c r="C16" s="56">
        <f>IF(C44="","",C44)</f>
        <v/>
      </c>
      <c r="D16" s="56">
        <f>IF(D44="","",D44)</f>
        <v/>
      </c>
      <c r="E16" s="56">
        <f>IF(OR($C16="",$D16=""),"",ROUND($D16-$C16,2))</f>
        <v/>
      </c>
      <c r="F16" s="38" t="n"/>
      <c r="G16" s="57">
        <f>IF(OR($C16="",$C16=0,$D16=""),"",$D16/$C16-1)</f>
        <v/>
      </c>
      <c r="H16" s="58">
        <f>IF(OR($D16="",$A$13="",$A$13=0),"",$D16/$A$13)</f>
        <v/>
      </c>
      <c r="I16" s="38" t="n"/>
      <c r="J16" s="38" t="n"/>
      <c r="K16" s="38" t="n"/>
      <c r="L16" s="38" t="n"/>
      <c r="M16" s="38" t="n"/>
      <c r="N16" s="38" t="n"/>
      <c r="O16" s="38" t="n"/>
    </row>
    <row r="17" ht="18" customHeight="1">
      <c r="A17" s="36" t="inlineStr">
        <is>
          <t>Comissões operacionais</t>
        </is>
      </c>
      <c r="B17" s="37" t="n"/>
      <c r="C17" s="56">
        <f>IF(C70="","",C70)</f>
        <v/>
      </c>
      <c r="D17" s="56">
        <f>IF(D70="","",D70)</f>
        <v/>
      </c>
      <c r="E17" s="56">
        <f>IF(OR($C17="",$D17=""),"",ROUND($D17-$C17,2))</f>
        <v/>
      </c>
      <c r="F17" s="38" t="n"/>
      <c r="G17" s="57">
        <f>IF(OR($C17="",$C17=0,$D17=""),"",$D17/$C17-1)</f>
        <v/>
      </c>
      <c r="H17" s="58">
        <f>IF(OR($D17="",$A$13="",$A$13=0),"",$D17/$A$13)</f>
        <v/>
      </c>
      <c r="I17" s="38" t="n"/>
      <c r="J17" s="38" t="n"/>
      <c r="K17" s="38" t="n"/>
      <c r="L17" s="38" t="n"/>
      <c r="M17" s="38" t="n"/>
      <c r="N17" s="38" t="n"/>
      <c r="O17" s="38" t="n"/>
    </row>
    <row r="18" ht="18" customHeight="1">
      <c r="A18" s="36" t="inlineStr">
        <is>
          <t>Material</t>
        </is>
      </c>
      <c r="B18" s="37" t="n"/>
      <c r="C18" s="56">
        <f>IF(C103="","",C103)</f>
        <v/>
      </c>
      <c r="D18" s="56">
        <f>IF(D103="","",D103)</f>
        <v/>
      </c>
      <c r="E18" s="56">
        <f>IF(OR($C18="",$D18=""),"",ROUND($D18-$C18,2))</f>
        <v/>
      </c>
      <c r="F18" s="38" t="n"/>
      <c r="G18" s="57">
        <f>IF(OR($C18="",$C18=0,$D18=""),"",$D18/$C18-1)</f>
        <v/>
      </c>
      <c r="H18" s="58">
        <f>IF(OR($D18="",$A$13="",$A$13=0),"",$D18/$A$13)</f>
        <v/>
      </c>
      <c r="I18" s="38" t="n"/>
      <c r="J18" s="38" t="n"/>
      <c r="K18" s="38" t="n"/>
      <c r="L18" s="38" t="n"/>
      <c r="M18" s="38" t="n"/>
      <c r="N18" s="38" t="n"/>
      <c r="O18" s="38" t="n"/>
    </row>
    <row r="19" ht="18" customHeight="1">
      <c r="A19" s="36" t="inlineStr">
        <is>
          <t>Serviços terceirizados</t>
        </is>
      </c>
      <c r="B19" s="37" t="n"/>
      <c r="C19" s="56">
        <f>IF(C108="","",C108)</f>
        <v/>
      </c>
      <c r="D19" s="56">
        <f>IF(D108="","",D108)</f>
        <v/>
      </c>
      <c r="E19" s="56">
        <f>IF(OR($C19="",$D19=""),"",ROUND($D19-$C19,2))</f>
        <v/>
      </c>
      <c r="F19" s="38" t="n"/>
      <c r="G19" s="57">
        <f>IF(OR($C19="",$C19=0,$D19=""),"",$D19/$C19-1)</f>
        <v/>
      </c>
      <c r="H19" s="58">
        <f>IF(OR($D19="",$A$13="",$A$13=0),"",$D19/$A$13)</f>
        <v/>
      </c>
      <c r="I19" s="38" t="n"/>
      <c r="J19" s="38" t="n"/>
      <c r="K19" s="38" t="n"/>
      <c r="L19" s="38" t="n"/>
      <c r="M19" s="38" t="n"/>
      <c r="N19" s="38" t="n"/>
      <c r="O19" s="38" t="n"/>
    </row>
    <row r="20" ht="18" customHeight="1">
      <c r="A20" s="36" t="inlineStr">
        <is>
          <t>Logística</t>
        </is>
      </c>
      <c r="B20" s="37" t="n"/>
      <c r="C20" s="56">
        <f>IF(C114="","",C114)</f>
        <v/>
      </c>
      <c r="D20" s="56">
        <f>IF(D114="","",D114)</f>
        <v/>
      </c>
      <c r="E20" s="56">
        <f>IF(OR($C20="",$D20=""),"",ROUND($D20-$C20,2))</f>
        <v/>
      </c>
      <c r="F20" s="38" t="n"/>
      <c r="G20" s="57">
        <f>IF(OR($C20="",$C20=0,$D20=""),"",$D20/$C20-1)</f>
        <v/>
      </c>
      <c r="H20" s="58">
        <f>IF(OR($D20="",$A$13="",$A$13=0),"",$D20/$A$13)</f>
        <v/>
      </c>
      <c r="I20" s="38" t="n"/>
      <c r="J20" s="38" t="n"/>
      <c r="K20" s="38" t="n"/>
      <c r="L20" s="38" t="n"/>
      <c r="M20" s="38" t="n"/>
      <c r="N20" s="38" t="n"/>
      <c r="O20" s="38" t="n"/>
    </row>
    <row r="21" ht="18" customHeight="1">
      <c r="A21" s="36" t="inlineStr">
        <is>
          <t>Retrabalho</t>
        </is>
      </c>
      <c r="B21" s="37" t="n"/>
      <c r="C21" s="56">
        <f>IF(C130="","",C130)</f>
        <v/>
      </c>
      <c r="D21" s="56">
        <f>IF(D130="","",D130)</f>
        <v/>
      </c>
      <c r="E21" s="56">
        <f>IF(OR($C21="",$D21=""),"",ROUND($D21-$C21,2))</f>
        <v/>
      </c>
      <c r="F21" s="38" t="n"/>
      <c r="G21" s="57">
        <f>IF(OR($C21="",$C21=0,$D21=""),"",$D21/$C21-1)</f>
        <v/>
      </c>
      <c r="H21" s="58">
        <f>IF(OR($D21="",$A$13="",$A$13=0),"",$D21/$A$13)</f>
        <v/>
      </c>
      <c r="I21" s="38" t="n"/>
      <c r="J21" s="38" t="n"/>
      <c r="K21" s="38" t="n"/>
      <c r="L21" s="38" t="n"/>
      <c r="M21" s="38" t="n"/>
      <c r="N21" s="38" t="n"/>
      <c r="O21" s="38" t="n"/>
    </row>
    <row r="22" ht="22" customHeight="1">
      <c r="A22" s="31" t="inlineStr">
        <is>
          <t>(=) CUSTO TOTAL DO PROJETO</t>
        </is>
      </c>
      <c r="B22" s="32" t="n"/>
      <c r="C22" s="59">
        <f>ROUND(SUM(C16:C21),2)</f>
        <v/>
      </c>
      <c r="D22" s="59">
        <f>ROUND(SUM(D16:D21),2)</f>
        <v/>
      </c>
      <c r="E22" s="60">
        <f>ROUND($D$22-$C$22,2)</f>
        <v/>
      </c>
      <c r="F22" s="32" t="n"/>
      <c r="G22" s="61">
        <f>IF(OR($C$22="",$C$22=0),"",$D$22/$C$22-1)</f>
        <v/>
      </c>
      <c r="H22" s="62">
        <f>IF(OR($A$13="",$A$13=0),"",$D$22/$A$13)</f>
        <v/>
      </c>
      <c r="I22" s="32" t="n"/>
      <c r="J22" s="32" t="n"/>
      <c r="K22" s="32" t="n"/>
      <c r="L22" s="32" t="n"/>
      <c r="M22" s="32" t="n"/>
      <c r="N22" s="32" t="n"/>
      <c r="O22" s="32" t="n"/>
    </row>
    <row r="23" ht="28" customHeight="1">
      <c r="A23" s="63" t="inlineStr">
        <is>
          <t>(=) MARGEM DE CONTRIBUIÇÃO</t>
        </is>
      </c>
      <c r="B23" s="64" t="n"/>
      <c r="C23" s="65">
        <f>ROUND($C$28-$C$22,2)</f>
        <v/>
      </c>
      <c r="D23" s="65">
        <f>ROUND($A$13-$D$22,2)</f>
        <v/>
      </c>
      <c r="E23" s="66">
        <f>ROUND($D$23-$C$23,2)</f>
        <v/>
      </c>
      <c r="F23" s="64" t="n"/>
      <c r="G23" s="67">
        <f>IF(OR($C$28="",$C$28=0),"",$C$23/$C$28)</f>
        <v/>
      </c>
      <c r="H23" s="68">
        <f>IF(OR($A$13="",$A$13=0),"",$D$23/$A$13)</f>
        <v/>
      </c>
      <c r="I23" s="64" t="n"/>
      <c r="J23" s="64" t="n"/>
      <c r="K23" s="64" t="n"/>
      <c r="L23" s="64" t="n"/>
      <c r="M23" s="64" t="n"/>
      <c r="N23" s="64" t="n"/>
      <c r="O23" s="64" t="n"/>
    </row>
    <row r="24" ht="22" customHeight="1">
      <c r="A24" s="69">
        <f>IF($A$13="","",IF(ROUND(SUMIF($I$134:$I$193,"A comprar",$E$134:$E$193),2)+ROUND(SUMIF($I$134:$I$193,"Comprado (a pagar)",$E$134:$E$193),2)=0,"   Nenhuma compra pendente lançada — o custo realizado já é o custo final.","   Já comprado e ainda a pagar: "&amp;TEXT(ROUND(SUMIF($I$134:$I$193,"Comprado (a pagar)",$E$134:$E$193),2),"R$ #,##0")&amp;"   ·   custo projetado: "&amp;TEXT($D$22+ROUND(SUMIF($I$134:$I$193,"A comprar",$E$134:$E$193),2),"R$ #,##0")&amp;"   ·   MC projetada: "&amp;TEXT(($A$13-$D$22-ROUND(SUMIF($I$134:$I$193,"A comprar",$E$134:$E$193),2))/$A$13,"0.0%")))</f>
        <v/>
      </c>
      <c r="B24" s="15" t="n"/>
      <c r="C24" s="15" t="n"/>
      <c r="D24" s="15" t="n"/>
      <c r="E24" s="15" t="n"/>
      <c r="F24" s="15" t="n"/>
      <c r="G24" s="15" t="n"/>
      <c r="H24" s="15" t="n"/>
      <c r="I24" s="70">
        <f>IF($A$13="","",ROUND(SUMIF($I$134:$I$193,"A comprar",$E$134:$E$193),2))</f>
        <v/>
      </c>
      <c r="J24" s="15" t="n"/>
      <c r="K24" s="15" t="n"/>
      <c r="L24" s="15" t="n"/>
      <c r="M24" s="15" t="n"/>
      <c r="N24" s="15" t="n"/>
      <c r="O24" s="15" t="n"/>
    </row>
    <row r="25" ht="8" customHeight="1"/>
    <row r="26" ht="20" customHeight="1">
      <c r="A26" s="8" t="inlineStr">
        <is>
          <t xml:space="preserve">  1 · VALOR DE VENDA E NOTAS EMITIDAS          o que foi vendido e o que já virou nota — a diferença é o que falta faturar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 ht="26" customHeight="1">
      <c r="A27" s="19" t="inlineStr">
        <is>
          <t>Item</t>
        </is>
      </c>
      <c r="B27" s="19" t="inlineStr">
        <is>
          <t>%</t>
        </is>
      </c>
      <c r="C27" s="19" t="inlineStr">
        <is>
          <t>Orçado (R$)</t>
        </is>
      </c>
      <c r="D27" s="19" t="inlineStr">
        <is>
          <t>Realizado (R$)</t>
        </is>
      </c>
      <c r="E27" s="19" t="inlineStr">
        <is>
          <t>Desvio (R$)</t>
        </is>
      </c>
      <c r="F27" s="35" t="n"/>
      <c r="G27" s="19" t="inlineStr">
        <is>
          <t>% da venda</t>
        </is>
      </c>
      <c r="H27" s="19" t="inlineStr">
        <is>
          <t>Observação</t>
        </is>
      </c>
      <c r="I27" s="35" t="n"/>
      <c r="J27" s="35" t="n"/>
      <c r="K27" s="35" t="n"/>
      <c r="L27" s="35" t="n"/>
      <c r="M27" s="35" t="n"/>
      <c r="N27" s="35" t="n"/>
      <c r="O27" s="35" t="n"/>
    </row>
    <row r="28" ht="17" customHeight="1">
      <c r="A28" s="36" t="inlineStr">
        <is>
          <t>Valor de venda do projeto</t>
        </is>
      </c>
      <c r="B28" s="37" t="n"/>
      <c r="C28" s="71" t="n"/>
      <c r="D28" s="71" t="n"/>
      <c r="E28" s="56">
        <f>IF(OR($C28="",$D28=""),"",ROUND($D28-$C28,2))</f>
        <v/>
      </c>
      <c r="F28" s="38" t="n"/>
      <c r="G28" s="72" t="n"/>
      <c r="H28" s="73" t="inlineStr">
        <is>
          <t>Orçado = valor da proposta · Realizado = valor fechado</t>
        </is>
      </c>
      <c r="I28" s="46" t="n"/>
      <c r="J28" s="46" t="n"/>
      <c r="K28" s="46" t="n"/>
      <c r="L28" s="46" t="n"/>
      <c r="M28" s="46" t="n"/>
      <c r="N28" s="46" t="n"/>
      <c r="O28" s="46" t="n"/>
    </row>
    <row r="29" ht="22" customHeight="1">
      <c r="A29" s="19" t="inlineStr">
        <is>
          <t>Nota fiscal</t>
        </is>
      </c>
      <c r="B29" s="19" t="inlineStr">
        <is>
          <t>Número</t>
        </is>
      </c>
      <c r="C29" s="19" t="inlineStr">
        <is>
          <t>Data</t>
        </is>
      </c>
      <c r="D29" s="19" t="inlineStr">
        <is>
          <t>Valor (R$)</t>
        </is>
      </c>
      <c r="E29" s="19" t="inlineStr"/>
      <c r="F29" s="35" t="n"/>
      <c r="G29" s="19" t="inlineStr">
        <is>
          <t>% da venda</t>
        </is>
      </c>
      <c r="H29" s="19" t="inlineStr">
        <is>
          <t>Observação</t>
        </is>
      </c>
      <c r="I29" s="35" t="n"/>
      <c r="J29" s="35" t="n"/>
      <c r="K29" s="35" t="n"/>
      <c r="L29" s="35" t="n"/>
      <c r="M29" s="35" t="n"/>
      <c r="N29" s="35" t="n"/>
      <c r="O29" s="35" t="n"/>
    </row>
    <row r="30" ht="17" customHeight="1">
      <c r="A30" s="36" t="inlineStr">
        <is>
          <t>Nota 1</t>
        </is>
      </c>
      <c r="B30" s="74" t="n"/>
      <c r="C30" s="75" t="n"/>
      <c r="D30" s="76" t="n"/>
      <c r="E30" s="37" t="n"/>
      <c r="F30" s="37" t="n"/>
      <c r="G30" s="72">
        <f>IF(OR($D30="",$A$13="",$A$13=0),"",$D30/$A$13)</f>
        <v/>
      </c>
      <c r="H30" s="73" t="n"/>
      <c r="I30" s="46" t="n"/>
      <c r="J30" s="46" t="n"/>
      <c r="K30" s="46" t="n"/>
      <c r="L30" s="46" t="n"/>
      <c r="M30" s="46" t="n"/>
      <c r="N30" s="46" t="n"/>
      <c r="O30" s="46" t="n"/>
    </row>
    <row r="31" ht="17" customHeight="1">
      <c r="A31" s="36" t="inlineStr">
        <is>
          <t>Nota 2</t>
        </is>
      </c>
      <c r="B31" s="74" t="n"/>
      <c r="C31" s="75" t="n"/>
      <c r="D31" s="76" t="n"/>
      <c r="E31" s="37" t="n"/>
      <c r="F31" s="37" t="n"/>
      <c r="G31" s="72">
        <f>IF(OR($D31="",$A$13="",$A$13=0),"",$D31/$A$13)</f>
        <v/>
      </c>
      <c r="H31" s="73" t="n"/>
      <c r="I31" s="46" t="n"/>
      <c r="J31" s="46" t="n"/>
      <c r="K31" s="46" t="n"/>
      <c r="L31" s="46" t="n"/>
      <c r="M31" s="46" t="n"/>
      <c r="N31" s="46" t="n"/>
      <c r="O31" s="46" t="n"/>
    </row>
    <row r="32" ht="17" customHeight="1">
      <c r="A32" s="36" t="inlineStr">
        <is>
          <t>Nota 3</t>
        </is>
      </c>
      <c r="B32" s="74" t="n"/>
      <c r="C32" s="75" t="n"/>
      <c r="D32" s="76" t="n"/>
      <c r="E32" s="37" t="n"/>
      <c r="F32" s="37" t="n"/>
      <c r="G32" s="72">
        <f>IF(OR($D32="",$A$13="",$A$13=0),"",$D32/$A$13)</f>
        <v/>
      </c>
      <c r="H32" s="73" t="n"/>
      <c r="I32" s="46" t="n"/>
      <c r="J32" s="46" t="n"/>
      <c r="K32" s="46" t="n"/>
      <c r="L32" s="46" t="n"/>
      <c r="M32" s="46" t="n"/>
      <c r="N32" s="46" t="n"/>
      <c r="O32" s="46" t="n"/>
    </row>
    <row r="33" ht="17" customHeight="1">
      <c r="A33" s="36" t="inlineStr">
        <is>
          <t>Nota 4</t>
        </is>
      </c>
      <c r="B33" s="74" t="n"/>
      <c r="C33" s="75" t="n"/>
      <c r="D33" s="76" t="n"/>
      <c r="E33" s="37" t="n"/>
      <c r="F33" s="37" t="n"/>
      <c r="G33" s="72">
        <f>IF(OR($D33="",$A$13="",$A$13=0),"",$D33/$A$13)</f>
        <v/>
      </c>
      <c r="H33" s="73" t="n"/>
      <c r="I33" s="46" t="n"/>
      <c r="J33" s="46" t="n"/>
      <c r="K33" s="46" t="n"/>
      <c r="L33" s="46" t="n"/>
      <c r="M33" s="46" t="n"/>
      <c r="N33" s="46" t="n"/>
      <c r="O33" s="46" t="n"/>
    </row>
    <row r="34" ht="20" customHeight="1">
      <c r="A34" s="31" t="inlineStr">
        <is>
          <t>(=) TOTAL FATURADO  →</t>
        </is>
      </c>
      <c r="B34" s="32" t="n"/>
      <c r="C34" s="32" t="n"/>
      <c r="D34" s="60">
        <f>ROUND(SUM($D$30:$D$33),2)</f>
        <v/>
      </c>
      <c r="E34" s="32" t="n"/>
      <c r="F34" s="32" t="n"/>
      <c r="G34" s="62">
        <f>IF(OR($A$13="",$A$13=0),"",$D$34/$A$13)</f>
        <v/>
      </c>
      <c r="H34" s="77">
        <f>IF(OR($A$13="",$A$13=0),"",IF(ROUND($A$13-$D$34,2)&lt;=0,"   Projeto totalmente faturado.","   Ainda a faturar: "&amp;TEXT($A$13-$D$34,"R$ #,##0.00")))</f>
        <v/>
      </c>
      <c r="I34" s="32" t="n"/>
      <c r="J34" s="32" t="n"/>
      <c r="K34" s="32" t="n"/>
      <c r="L34" s="32" t="n"/>
      <c r="M34" s="32" t="n"/>
      <c r="N34" s="32" t="n"/>
      <c r="O34" s="32" t="n"/>
    </row>
    <row r="35" ht="8" customHeight="1"/>
    <row r="36" ht="20" customHeight="1">
      <c r="A36" s="8" t="inlineStr">
        <is>
          <t xml:space="preserve">  2 · CUSTOS DE VENDA          tudo que sai por causa da venda · define a RECEITA LÍQUIDA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</row>
    <row r="37" ht="26" customHeight="1">
      <c r="A37" s="19" t="inlineStr">
        <is>
          <t>Item</t>
        </is>
      </c>
      <c r="B37" s="19" t="inlineStr">
        <is>
          <t>%</t>
        </is>
      </c>
      <c r="C37" s="19" t="inlineStr">
        <is>
          <t>Orçado (R$)</t>
        </is>
      </c>
      <c r="D37" s="19" t="inlineStr">
        <is>
          <t>Realizado (R$)</t>
        </is>
      </c>
      <c r="E37" s="19" t="inlineStr">
        <is>
          <t>Desvio (R$)</t>
        </is>
      </c>
      <c r="F37" s="35" t="n"/>
      <c r="G37" s="19" t="inlineStr">
        <is>
          <t>% da venda</t>
        </is>
      </c>
      <c r="H37" s="19" t="inlineStr">
        <is>
          <t>Observação</t>
        </is>
      </c>
      <c r="I37" s="35" t="n"/>
      <c r="J37" s="35" t="n"/>
      <c r="K37" s="35" t="n"/>
      <c r="L37" s="35" t="n"/>
      <c r="M37" s="35" t="n"/>
      <c r="N37" s="35" t="n"/>
      <c r="O37" s="35" t="n"/>
    </row>
    <row r="38" ht="17" customHeight="1">
      <c r="A38" s="36" t="inlineStr">
        <is>
          <t>Impostos sobre a nota (Simples)</t>
        </is>
      </c>
      <c r="B38" s="78" t="n"/>
      <c r="C38" s="56">
        <f>IF($B38="","",ROUND($B38*$C$28,2))</f>
        <v/>
      </c>
      <c r="D38" s="56">
        <f>IF($B38="","",ROUND($B38*$A$13,2))</f>
        <v/>
      </c>
      <c r="E38" s="56">
        <f>IF(OR($C38="",$D38=""),"",ROUND($D38-$C38,2))</f>
        <v/>
      </c>
      <c r="F38" s="38" t="n"/>
      <c r="G38" s="72">
        <f>IF(OR($D38="",$A$13="",$A$13=0),"",$D38/$A$13)</f>
        <v/>
      </c>
      <c r="H38" s="73" t="inlineStr">
        <is>
          <t>% sobre o valor de venda</t>
        </is>
      </c>
      <c r="I38" s="46" t="n"/>
      <c r="J38" s="46" t="n"/>
      <c r="K38" s="46" t="n"/>
      <c r="L38" s="46" t="n"/>
      <c r="M38" s="46" t="n"/>
      <c r="N38" s="46" t="n"/>
      <c r="O38" s="46" t="n"/>
    </row>
    <row r="39" ht="17" customHeight="1">
      <c r="A39" s="36" t="inlineStr">
        <is>
          <t>Taxa de máquina de cartão</t>
        </is>
      </c>
      <c r="B39" s="78" t="n"/>
      <c r="C39" s="56">
        <f>IF($B39="","",ROUND($B39*$C$28,2))</f>
        <v/>
      </c>
      <c r="D39" s="56">
        <f>IF($B39="","",ROUND($B39*$A$13,2))</f>
        <v/>
      </c>
      <c r="E39" s="56">
        <f>IF(OR($C39="",$D39=""),"",ROUND($D39-$C39,2))</f>
        <v/>
      </c>
      <c r="F39" s="38" t="n"/>
      <c r="G39" s="72">
        <f>IF(OR($D39="",$A$13="",$A$13=0),"",$D39/$A$13)</f>
        <v/>
      </c>
      <c r="H39" s="73" t="inlineStr">
        <is>
          <t>% sobre o valor de venda</t>
        </is>
      </c>
      <c r="I39" s="46" t="n"/>
      <c r="J39" s="46" t="n"/>
      <c r="K39" s="46" t="n"/>
      <c r="L39" s="46" t="n"/>
      <c r="M39" s="46" t="n"/>
      <c r="N39" s="46" t="n"/>
      <c r="O39" s="46" t="n"/>
    </row>
    <row r="40" ht="17" customHeight="1">
      <c r="A40" s="36" t="inlineStr">
        <is>
          <t>Taxas de transação (PIX, boleto, TED)</t>
        </is>
      </c>
      <c r="B40" s="37" t="n"/>
      <c r="C40" s="71" t="n"/>
      <c r="D40" s="71" t="n"/>
      <c r="E40" s="56">
        <f>IF(OR($C40="",$D40=""),"",ROUND($D40-$C40,2))</f>
        <v/>
      </c>
      <c r="F40" s="38" t="n"/>
      <c r="G40" s="72">
        <f>IF(OR($D40="",$A$13="",$A$13=0),"",$D40/$A$13)</f>
        <v/>
      </c>
      <c r="H40" s="73" t="inlineStr">
        <is>
          <t>valor em reais</t>
        </is>
      </c>
      <c r="I40" s="46" t="n"/>
      <c r="J40" s="46" t="n"/>
      <c r="K40" s="46" t="n"/>
      <c r="L40" s="46" t="n"/>
      <c r="M40" s="46" t="n"/>
      <c r="N40" s="46" t="n"/>
      <c r="O40" s="46" t="n"/>
    </row>
    <row r="41" ht="17" customHeight="1">
      <c r="A41" s="36" t="inlineStr">
        <is>
          <t>Comissão de venda (vendedor)</t>
        </is>
      </c>
      <c r="B41" s="78" t="n"/>
      <c r="C41" s="56">
        <f>IF($B41="","",ROUND($B41*$C$28,2))</f>
        <v/>
      </c>
      <c r="D41" s="56">
        <f>IF($B41="","",ROUND($B41*$A$13,2))</f>
        <v/>
      </c>
      <c r="E41" s="56">
        <f>IF(OR($C41="",$D41=""),"",ROUND($D41-$C41,2))</f>
        <v/>
      </c>
      <c r="F41" s="38" t="n"/>
      <c r="G41" s="72">
        <f>IF(OR($D41="",$A$13="",$A$13=0),"",$D41/$A$13)</f>
        <v/>
      </c>
      <c r="H41" s="73" t="inlineStr">
        <is>
          <t>% sobre o valor de venda</t>
        </is>
      </c>
      <c r="I41" s="46" t="n"/>
      <c r="J41" s="46" t="n"/>
      <c r="K41" s="46" t="n"/>
      <c r="L41" s="46" t="n"/>
      <c r="M41" s="46" t="n"/>
      <c r="N41" s="46" t="n"/>
      <c r="O41" s="46" t="n"/>
    </row>
    <row r="42" ht="17" customHeight="1">
      <c r="A42" s="36" t="inlineStr">
        <is>
          <t>Projeto / anteprojeto (externo)</t>
        </is>
      </c>
      <c r="B42" s="37" t="n"/>
      <c r="C42" s="71" t="n"/>
      <c r="D42" s="71" t="n"/>
      <c r="E42" s="56">
        <f>IF(OR($C42="",$D42=""),"",ROUND($D42-$C42,2))</f>
        <v/>
      </c>
      <c r="F42" s="38" t="n"/>
      <c r="G42" s="72">
        <f>IF(OR($D42="",$A$13="",$A$13=0),"",$D42/$A$13)</f>
        <v/>
      </c>
      <c r="H42" s="73" t="inlineStr">
        <is>
          <t>projetista ou arquiteto contratado para o projeto</t>
        </is>
      </c>
      <c r="I42" s="46" t="n"/>
      <c r="J42" s="46" t="n"/>
      <c r="K42" s="46" t="n"/>
      <c r="L42" s="46" t="n"/>
      <c r="M42" s="46" t="n"/>
      <c r="N42" s="46" t="n"/>
      <c r="O42" s="46" t="n"/>
    </row>
    <row r="43" ht="17" customHeight="1">
      <c r="A43" s="36" t="inlineStr">
        <is>
          <t>RT do parceiro</t>
        </is>
      </c>
      <c r="B43" s="78" t="n"/>
      <c r="C43" s="56">
        <f>IF($B43="","",ROUND($B43*($C$28-SUM($C$38:$C$40)),2))</f>
        <v/>
      </c>
      <c r="D43" s="56">
        <f>IF($B43="","",ROUND($B43*($A$13-SUM($D$38:$D$40)),2))</f>
        <v/>
      </c>
      <c r="E43" s="56">
        <f>IF(OR($C43="",$D43=""),"",ROUND($D43-$C43,2))</f>
        <v/>
      </c>
      <c r="F43" s="38" t="n"/>
      <c r="G43" s="72">
        <f>IF(OR($D43="",$A$13="",$A$13=0),"",$D43/$A$13)</f>
        <v/>
      </c>
      <c r="H43" s="73" t="inlineStr">
        <is>
          <t>% sobre o líquido: venda menos impostos, máquina e taxas</t>
        </is>
      </c>
      <c r="I43" s="46" t="n"/>
      <c r="J43" s="46" t="n"/>
      <c r="K43" s="46" t="n"/>
      <c r="L43" s="46" t="n"/>
      <c r="M43" s="46" t="n"/>
      <c r="N43" s="46" t="n"/>
      <c r="O43" s="46" t="n"/>
    </row>
    <row r="44" ht="20" customHeight="1">
      <c r="A44" s="31" t="inlineStr">
        <is>
          <t>(=) SUBTOTAL DOS CUSTOS DE VENDA</t>
        </is>
      </c>
      <c r="B44" s="32" t="n"/>
      <c r="C44" s="60">
        <f>ROUND(SUM(C38:C43),2)</f>
        <v/>
      </c>
      <c r="D44" s="60">
        <f>ROUND(SUM(D38:D43),2)</f>
        <v/>
      </c>
      <c r="E44" s="60">
        <f>ROUND($D44-$C44,2)</f>
        <v/>
      </c>
      <c r="F44" s="32" t="n"/>
      <c r="G44" s="62">
        <f>IF(OR($A$13="",$A$13=0),"",$D44/$A$13)</f>
        <v/>
      </c>
      <c r="H44" s="32" t="n"/>
      <c r="I44" s="32" t="n"/>
      <c r="J44" s="32" t="n"/>
      <c r="K44" s="32" t="n"/>
      <c r="L44" s="32" t="n"/>
      <c r="M44" s="32" t="n"/>
      <c r="N44" s="32" t="n"/>
      <c r="O44" s="32" t="n"/>
    </row>
    <row r="45" ht="24" customHeight="1">
      <c r="A45" s="79" t="inlineStr">
        <is>
          <t>(=) RECEITA LÍQUIDA</t>
        </is>
      </c>
      <c r="B45" s="64" t="n"/>
      <c r="C45" s="80">
        <f>ROUND($C$28-$C$44,2)</f>
        <v/>
      </c>
      <c r="D45" s="80">
        <f>ROUND($A$13-$D$44,2)</f>
        <v/>
      </c>
      <c r="E45" s="66">
        <f>ROUND($D$45-$C$45,2)</f>
        <v/>
      </c>
      <c r="F45" s="64" t="n"/>
      <c r="G45" s="81">
        <f>IF(OR($A$13="",$A$13=0),"",$D$45/$A$13)</f>
        <v/>
      </c>
      <c r="H45" s="82" t="inlineStr">
        <is>
          <t>É esta a base das comissões: coordenação, produção, montagem e projetista</t>
        </is>
      </c>
      <c r="I45" s="64" t="n"/>
      <c r="J45" s="64" t="n"/>
      <c r="K45" s="64" t="n"/>
      <c r="L45" s="64" t="n"/>
      <c r="M45" s="64" t="n"/>
      <c r="N45" s="64" t="n"/>
      <c r="O45" s="64" t="n"/>
    </row>
    <row r="46" ht="8" customHeight="1"/>
    <row r="47" ht="20" customHeight="1">
      <c r="A47" s="8" t="inlineStr">
        <is>
          <t xml:space="preserve">  3 · AMBIENTES, PRODUÇÃO, MONTAGEM E PROJETO          cada ambiente com quem produziu, quem montou e quem projetou · a comissão incide sobre a receita líquida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</row>
    <row r="48" ht="32" customHeight="1">
      <c r="A48" s="19" t="inlineStr">
        <is>
          <t>Ambiente</t>
        </is>
      </c>
      <c r="B48" s="19" t="inlineStr">
        <is>
          <t>% do total</t>
        </is>
      </c>
      <c r="C48" s="19" t="inlineStr">
        <is>
          <t>Valor do ambiente (R$)</t>
        </is>
      </c>
      <c r="D48" s="19" t="inlineStr">
        <is>
          <t>Produção — quem</t>
        </is>
      </c>
      <c r="E48" s="19" t="inlineStr">
        <is>
          <t>%</t>
        </is>
      </c>
      <c r="F48" s="19" t="inlineStr">
        <is>
          <t>Comissão produção (R$)</t>
        </is>
      </c>
      <c r="G48" s="19" t="inlineStr">
        <is>
          <t>Fabricado em</t>
        </is>
      </c>
      <c r="H48" s="19" t="inlineStr">
        <is>
          <t>Montagem — quem</t>
        </is>
      </c>
      <c r="I48" s="19" t="inlineStr">
        <is>
          <t>%</t>
        </is>
      </c>
      <c r="J48" s="19" t="inlineStr">
        <is>
          <t>Comissão montagem (R$)</t>
        </is>
      </c>
      <c r="K48" s="19" t="inlineStr">
        <is>
          <t>Montado em</t>
        </is>
      </c>
      <c r="L48" s="19" t="inlineStr">
        <is>
          <t>Projetista — quem</t>
        </is>
      </c>
      <c r="M48" s="19" t="inlineStr">
        <is>
          <t>%</t>
        </is>
      </c>
      <c r="N48" s="19" t="inlineStr">
        <is>
          <t>Comissão projetista (R$)</t>
        </is>
      </c>
      <c r="O48" s="19" t="inlineStr">
        <is>
          <t>Total do ambiente</t>
        </is>
      </c>
    </row>
    <row r="49" ht="18" customHeight="1">
      <c r="A49" s="83" t="n"/>
      <c r="B49" s="72">
        <f>IF(OR($C49="",$A$13="",$A$13=0),"",$C49/$A$13)</f>
        <v/>
      </c>
      <c r="C49" s="76" t="n"/>
      <c r="D49" s="83" t="n"/>
      <c r="E49" s="78" t="n"/>
      <c r="F49" s="56">
        <f>IF(OR($B49="",$E49="",$D$45=""),"",ROUND($B49*$D$45*$E49,2))</f>
        <v/>
      </c>
      <c r="G49" s="84" t="n"/>
      <c r="H49" s="83" t="n"/>
      <c r="I49" s="78" t="n"/>
      <c r="J49" s="56">
        <f>IF(OR($B49="",$I49="",$D$45=""),"",ROUND($B49*$D$45*$I49,2))</f>
        <v/>
      </c>
      <c r="K49" s="84" t="n"/>
      <c r="L49" s="83" t="n"/>
      <c r="M49" s="78" t="n"/>
      <c r="N49" s="56">
        <f>IF(OR($B49="",$M49="",$D$45=""),"",ROUND($B49*$D$45*$M49,2))</f>
        <v/>
      </c>
      <c r="O49" s="85">
        <f>IF(AND($F49="",$J49="",$N49=""),"",ROUND(IF($F49="",0,$F49)+IF($J49="",0,$J49)+IF($N49="",0,$N49),2))</f>
        <v/>
      </c>
    </row>
    <row r="50" ht="18" customHeight="1">
      <c r="A50" s="83" t="n"/>
      <c r="B50" s="72">
        <f>IF(OR($C50="",$A$13="",$A$13=0),"",$C50/$A$13)</f>
        <v/>
      </c>
      <c r="C50" s="76" t="n"/>
      <c r="D50" s="83" t="n"/>
      <c r="E50" s="78" t="n"/>
      <c r="F50" s="56">
        <f>IF(OR($B50="",$E50="",$D$45=""),"",ROUND($B50*$D$45*$E50,2))</f>
        <v/>
      </c>
      <c r="G50" s="84" t="n"/>
      <c r="H50" s="83" t="n"/>
      <c r="I50" s="78" t="n"/>
      <c r="J50" s="56">
        <f>IF(OR($B50="",$I50="",$D$45=""),"",ROUND($B50*$D$45*$I50,2))</f>
        <v/>
      </c>
      <c r="K50" s="84" t="n"/>
      <c r="L50" s="83" t="n"/>
      <c r="M50" s="78" t="n"/>
      <c r="N50" s="56">
        <f>IF(OR($B50="",$M50="",$D$45=""),"",ROUND($B50*$D$45*$M50,2))</f>
        <v/>
      </c>
      <c r="O50" s="85">
        <f>IF(AND($F50="",$J50="",$N50=""),"",ROUND(IF($F50="",0,$F50)+IF($J50="",0,$J50)+IF($N50="",0,$N50),2))</f>
        <v/>
      </c>
    </row>
    <row r="51" ht="18" customHeight="1">
      <c r="A51" s="83" t="n"/>
      <c r="B51" s="72">
        <f>IF(OR($C51="",$A$13="",$A$13=0),"",$C51/$A$13)</f>
        <v/>
      </c>
      <c r="C51" s="76" t="n"/>
      <c r="D51" s="83" t="n"/>
      <c r="E51" s="78" t="n"/>
      <c r="F51" s="56">
        <f>IF(OR($B51="",$E51="",$D$45=""),"",ROUND($B51*$D$45*$E51,2))</f>
        <v/>
      </c>
      <c r="G51" s="84" t="n"/>
      <c r="H51" s="83" t="n"/>
      <c r="I51" s="78" t="n"/>
      <c r="J51" s="56">
        <f>IF(OR($B51="",$I51="",$D$45=""),"",ROUND($B51*$D$45*$I51,2))</f>
        <v/>
      </c>
      <c r="K51" s="84" t="n"/>
      <c r="L51" s="83" t="n"/>
      <c r="M51" s="78" t="n"/>
      <c r="N51" s="56">
        <f>IF(OR($B51="",$M51="",$D$45=""),"",ROUND($B51*$D$45*$M51,2))</f>
        <v/>
      </c>
      <c r="O51" s="85">
        <f>IF(AND($F51="",$J51="",$N51=""),"",ROUND(IF($F51="",0,$F51)+IF($J51="",0,$J51)+IF($N51="",0,$N51),2))</f>
        <v/>
      </c>
    </row>
    <row r="52" ht="18" customHeight="1">
      <c r="A52" s="83" t="n"/>
      <c r="B52" s="72">
        <f>IF(OR($C52="",$A$13="",$A$13=0),"",$C52/$A$13)</f>
        <v/>
      </c>
      <c r="C52" s="76" t="n"/>
      <c r="D52" s="83" t="n"/>
      <c r="E52" s="78" t="n"/>
      <c r="F52" s="56">
        <f>IF(OR($B52="",$E52="",$D$45=""),"",ROUND($B52*$D$45*$E52,2))</f>
        <v/>
      </c>
      <c r="G52" s="84" t="n"/>
      <c r="H52" s="83" t="n"/>
      <c r="I52" s="78" t="n"/>
      <c r="J52" s="56">
        <f>IF(OR($B52="",$I52="",$D$45=""),"",ROUND($B52*$D$45*$I52,2))</f>
        <v/>
      </c>
      <c r="K52" s="84" t="n"/>
      <c r="L52" s="83" t="n"/>
      <c r="M52" s="78" t="n"/>
      <c r="N52" s="56">
        <f>IF(OR($B52="",$M52="",$D$45=""),"",ROUND($B52*$D$45*$M52,2))</f>
        <v/>
      </c>
      <c r="O52" s="85">
        <f>IF(AND($F52="",$J52="",$N52=""),"",ROUND(IF($F52="",0,$F52)+IF($J52="",0,$J52)+IF($N52="",0,$N52),2))</f>
        <v/>
      </c>
    </row>
    <row r="53" ht="18" customHeight="1">
      <c r="A53" s="83" t="n"/>
      <c r="B53" s="72">
        <f>IF(OR($C53="",$A$13="",$A$13=0),"",$C53/$A$13)</f>
        <v/>
      </c>
      <c r="C53" s="76" t="n"/>
      <c r="D53" s="83" t="n"/>
      <c r="E53" s="78" t="n"/>
      <c r="F53" s="56">
        <f>IF(OR($B53="",$E53="",$D$45=""),"",ROUND($B53*$D$45*$E53,2))</f>
        <v/>
      </c>
      <c r="G53" s="84" t="n"/>
      <c r="H53" s="83" t="n"/>
      <c r="I53" s="78" t="n"/>
      <c r="J53" s="56">
        <f>IF(OR($B53="",$I53="",$D$45=""),"",ROUND($B53*$D$45*$I53,2))</f>
        <v/>
      </c>
      <c r="K53" s="84" t="n"/>
      <c r="L53" s="83" t="n"/>
      <c r="M53" s="78" t="n"/>
      <c r="N53" s="56">
        <f>IF(OR($B53="",$M53="",$D$45=""),"",ROUND($B53*$D$45*$M53,2))</f>
        <v/>
      </c>
      <c r="O53" s="85">
        <f>IF(AND($F53="",$J53="",$N53=""),"",ROUND(IF($F53="",0,$F53)+IF($J53="",0,$J53)+IF($N53="",0,$N53),2))</f>
        <v/>
      </c>
    </row>
    <row r="54" ht="18" customHeight="1">
      <c r="A54" s="83" t="n"/>
      <c r="B54" s="72">
        <f>IF(OR($C54="",$A$13="",$A$13=0),"",$C54/$A$13)</f>
        <v/>
      </c>
      <c r="C54" s="76" t="n"/>
      <c r="D54" s="83" t="n"/>
      <c r="E54" s="78" t="n"/>
      <c r="F54" s="56">
        <f>IF(OR($B54="",$E54="",$D$45=""),"",ROUND($B54*$D$45*$E54,2))</f>
        <v/>
      </c>
      <c r="G54" s="84" t="n"/>
      <c r="H54" s="83" t="n"/>
      <c r="I54" s="78" t="n"/>
      <c r="J54" s="56">
        <f>IF(OR($B54="",$I54="",$D$45=""),"",ROUND($B54*$D$45*$I54,2))</f>
        <v/>
      </c>
      <c r="K54" s="84" t="n"/>
      <c r="L54" s="83" t="n"/>
      <c r="M54" s="78" t="n"/>
      <c r="N54" s="56">
        <f>IF(OR($B54="",$M54="",$D$45=""),"",ROUND($B54*$D$45*$M54,2))</f>
        <v/>
      </c>
      <c r="O54" s="85">
        <f>IF(AND($F54="",$J54="",$N54=""),"",ROUND(IF($F54="",0,$F54)+IF($J54="",0,$J54)+IF($N54="",0,$N54),2))</f>
        <v/>
      </c>
    </row>
    <row r="55" ht="18" customHeight="1">
      <c r="A55" s="83" t="n"/>
      <c r="B55" s="72">
        <f>IF(OR($C55="",$A$13="",$A$13=0),"",$C55/$A$13)</f>
        <v/>
      </c>
      <c r="C55" s="76" t="n"/>
      <c r="D55" s="83" t="n"/>
      <c r="E55" s="78" t="n"/>
      <c r="F55" s="56">
        <f>IF(OR($B55="",$E55="",$D$45=""),"",ROUND($B55*$D$45*$E55,2))</f>
        <v/>
      </c>
      <c r="G55" s="84" t="n"/>
      <c r="H55" s="83" t="n"/>
      <c r="I55" s="78" t="n"/>
      <c r="J55" s="56">
        <f>IF(OR($B55="",$I55="",$D$45=""),"",ROUND($B55*$D$45*$I55,2))</f>
        <v/>
      </c>
      <c r="K55" s="84" t="n"/>
      <c r="L55" s="83" t="n"/>
      <c r="M55" s="78" t="n"/>
      <c r="N55" s="56">
        <f>IF(OR($B55="",$M55="",$D$45=""),"",ROUND($B55*$D$45*$M55,2))</f>
        <v/>
      </c>
      <c r="O55" s="85">
        <f>IF(AND($F55="",$J55="",$N55=""),"",ROUND(IF($F55="",0,$F55)+IF($J55="",0,$J55)+IF($N55="",0,$N55),2))</f>
        <v/>
      </c>
    </row>
    <row r="56" ht="18" customHeight="1">
      <c r="A56" s="83" t="n"/>
      <c r="B56" s="72">
        <f>IF(OR($C56="",$A$13="",$A$13=0),"",$C56/$A$13)</f>
        <v/>
      </c>
      <c r="C56" s="76" t="n"/>
      <c r="D56" s="83" t="n"/>
      <c r="E56" s="78" t="n"/>
      <c r="F56" s="56">
        <f>IF(OR($B56="",$E56="",$D$45=""),"",ROUND($B56*$D$45*$E56,2))</f>
        <v/>
      </c>
      <c r="G56" s="84" t="n"/>
      <c r="H56" s="83" t="n"/>
      <c r="I56" s="78" t="n"/>
      <c r="J56" s="56">
        <f>IF(OR($B56="",$I56="",$D$45=""),"",ROUND($B56*$D$45*$I56,2))</f>
        <v/>
      </c>
      <c r="K56" s="84" t="n"/>
      <c r="L56" s="83" t="n"/>
      <c r="M56" s="78" t="n"/>
      <c r="N56" s="56">
        <f>IF(OR($B56="",$M56="",$D$45=""),"",ROUND($B56*$D$45*$M56,2))</f>
        <v/>
      </c>
      <c r="O56" s="85">
        <f>IF(AND($F56="",$J56="",$N56=""),"",ROUND(IF($F56="",0,$F56)+IF($J56="",0,$J56)+IF($N56="",0,$N56),2))</f>
        <v/>
      </c>
    </row>
    <row r="57" ht="18" customHeight="1">
      <c r="A57" s="83" t="n"/>
      <c r="B57" s="72">
        <f>IF(OR($C57="",$A$13="",$A$13=0),"",$C57/$A$13)</f>
        <v/>
      </c>
      <c r="C57" s="76" t="n"/>
      <c r="D57" s="83" t="n"/>
      <c r="E57" s="78" t="n"/>
      <c r="F57" s="56">
        <f>IF(OR($B57="",$E57="",$D$45=""),"",ROUND($B57*$D$45*$E57,2))</f>
        <v/>
      </c>
      <c r="G57" s="84" t="n"/>
      <c r="H57" s="83" t="n"/>
      <c r="I57" s="78" t="n"/>
      <c r="J57" s="56">
        <f>IF(OR($B57="",$I57="",$D$45=""),"",ROUND($B57*$D$45*$I57,2))</f>
        <v/>
      </c>
      <c r="K57" s="84" t="n"/>
      <c r="L57" s="83" t="n"/>
      <c r="M57" s="78" t="n"/>
      <c r="N57" s="56">
        <f>IF(OR($B57="",$M57="",$D$45=""),"",ROUND($B57*$D$45*$M57,2))</f>
        <v/>
      </c>
      <c r="O57" s="85">
        <f>IF(AND($F57="",$J57="",$N57=""),"",ROUND(IF($F57="",0,$F57)+IF($J57="",0,$J57)+IF($N57="",0,$N57),2))</f>
        <v/>
      </c>
    </row>
    <row r="58" ht="18" customHeight="1">
      <c r="A58" s="83" t="n"/>
      <c r="B58" s="72">
        <f>IF(OR($C58="",$A$13="",$A$13=0),"",$C58/$A$13)</f>
        <v/>
      </c>
      <c r="C58" s="76" t="n"/>
      <c r="D58" s="83" t="n"/>
      <c r="E58" s="78" t="n"/>
      <c r="F58" s="56">
        <f>IF(OR($B58="",$E58="",$D$45=""),"",ROUND($B58*$D$45*$E58,2))</f>
        <v/>
      </c>
      <c r="G58" s="84" t="n"/>
      <c r="H58" s="83" t="n"/>
      <c r="I58" s="78" t="n"/>
      <c r="J58" s="56">
        <f>IF(OR($B58="",$I58="",$D$45=""),"",ROUND($B58*$D$45*$I58,2))</f>
        <v/>
      </c>
      <c r="K58" s="84" t="n"/>
      <c r="L58" s="83" t="n"/>
      <c r="M58" s="78" t="n"/>
      <c r="N58" s="56">
        <f>IF(OR($B58="",$M58="",$D$45=""),"",ROUND($B58*$D$45*$M58,2))</f>
        <v/>
      </c>
      <c r="O58" s="85">
        <f>IF(AND($F58="",$J58="",$N58=""),"",ROUND(IF($F58="",0,$F58)+IF($J58="",0,$J58)+IF($N58="",0,$N58),2))</f>
        <v/>
      </c>
    </row>
    <row r="59" ht="18" customHeight="1">
      <c r="A59" s="83" t="n"/>
      <c r="B59" s="72">
        <f>IF(OR($C59="",$A$13="",$A$13=0),"",$C59/$A$13)</f>
        <v/>
      </c>
      <c r="C59" s="76" t="n"/>
      <c r="D59" s="83" t="n"/>
      <c r="E59" s="78" t="n"/>
      <c r="F59" s="56">
        <f>IF(OR($B59="",$E59="",$D$45=""),"",ROUND($B59*$D$45*$E59,2))</f>
        <v/>
      </c>
      <c r="G59" s="84" t="n"/>
      <c r="H59" s="83" t="n"/>
      <c r="I59" s="78" t="n"/>
      <c r="J59" s="56">
        <f>IF(OR($B59="",$I59="",$D$45=""),"",ROUND($B59*$D$45*$I59,2))</f>
        <v/>
      </c>
      <c r="K59" s="84" t="n"/>
      <c r="L59" s="83" t="n"/>
      <c r="M59" s="78" t="n"/>
      <c r="N59" s="56">
        <f>IF(OR($B59="",$M59="",$D$45=""),"",ROUND($B59*$D$45*$M59,2))</f>
        <v/>
      </c>
      <c r="O59" s="85">
        <f>IF(AND($F59="",$J59="",$N59=""),"",ROUND(IF($F59="",0,$F59)+IF($J59="",0,$J59)+IF($N59="",0,$N59),2))</f>
        <v/>
      </c>
    </row>
    <row r="60" ht="18" customHeight="1">
      <c r="A60" s="83" t="n"/>
      <c r="B60" s="72">
        <f>IF(OR($C60="",$A$13="",$A$13=0),"",$C60/$A$13)</f>
        <v/>
      </c>
      <c r="C60" s="76" t="n"/>
      <c r="D60" s="83" t="n"/>
      <c r="E60" s="78" t="n"/>
      <c r="F60" s="56">
        <f>IF(OR($B60="",$E60="",$D$45=""),"",ROUND($B60*$D$45*$E60,2))</f>
        <v/>
      </c>
      <c r="G60" s="84" t="n"/>
      <c r="H60" s="83" t="n"/>
      <c r="I60" s="78" t="n"/>
      <c r="J60" s="56">
        <f>IF(OR($B60="",$I60="",$D$45=""),"",ROUND($B60*$D$45*$I60,2))</f>
        <v/>
      </c>
      <c r="K60" s="84" t="n"/>
      <c r="L60" s="83" t="n"/>
      <c r="M60" s="78" t="n"/>
      <c r="N60" s="56">
        <f>IF(OR($B60="",$M60="",$D$45=""),"",ROUND($B60*$D$45*$M60,2))</f>
        <v/>
      </c>
      <c r="O60" s="85">
        <f>IF(AND($F60="",$J60="",$N60=""),"",ROUND(IF($F60="",0,$F60)+IF($J60="",0,$J60)+IF($N60="",0,$N60),2))</f>
        <v/>
      </c>
    </row>
    <row r="61" ht="20" customHeight="1">
      <c r="A61" s="31" t="inlineStr">
        <is>
          <t>SOMA DOS AMBIENTES</t>
        </is>
      </c>
      <c r="B61" s="62">
        <f>IF($A$13=0,"",$C$61/$A$13)</f>
        <v/>
      </c>
      <c r="C61" s="60">
        <f>ROUND(SUM(C49:C60),2)</f>
        <v/>
      </c>
      <c r="D61" s="86">
        <f>IF($C$61=0,"—",IF(ROUND($C$61-$A$13,2)=0,"OK · os ambientes somam o valor de venda","ATENÇÃO: diferença de "&amp;TEXT($C$61-$A$13,"R$ #,##0.00")))</f>
        <v/>
      </c>
      <c r="E61" s="32" t="n"/>
      <c r="F61" s="60">
        <f>ROUND(SUM(F49:F60),2)</f>
        <v/>
      </c>
      <c r="G61" s="32" t="n"/>
      <c r="H61" s="32" t="n"/>
      <c r="I61" s="32" t="n"/>
      <c r="J61" s="60">
        <f>ROUND(SUM(J49:J60),2)</f>
        <v/>
      </c>
      <c r="K61" s="32" t="n"/>
      <c r="L61" s="32" t="n"/>
      <c r="M61" s="32" t="n"/>
      <c r="N61" s="60">
        <f>ROUND(SUM(N49:N60),2)</f>
        <v/>
      </c>
      <c r="O61" s="60">
        <f>ROUND(SUM(O49:O60),2)</f>
        <v/>
      </c>
    </row>
    <row r="62" ht="8" customHeight="1"/>
    <row r="63" ht="20" customHeight="1">
      <c r="A63" s="8" t="inlineStr">
        <is>
          <t xml:space="preserve">  4 · COMISSÕES OPERACIONAIS          calculadas sobre a RECEITA LÍQUIDA · o realizado vem dos ambientes acima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</row>
    <row r="64" ht="26" customHeight="1">
      <c r="A64" s="19" t="inlineStr">
        <is>
          <t>Item</t>
        </is>
      </c>
      <c r="B64" s="19" t="inlineStr">
        <is>
          <t>%</t>
        </is>
      </c>
      <c r="C64" s="19" t="inlineStr">
        <is>
          <t>Orçado (R$)</t>
        </is>
      </c>
      <c r="D64" s="19" t="inlineStr">
        <is>
          <t>Realizado (R$)</t>
        </is>
      </c>
      <c r="E64" s="19" t="inlineStr">
        <is>
          <t>Desvio (R$)</t>
        </is>
      </c>
      <c r="F64" s="35" t="n"/>
      <c r="G64" s="19" t="inlineStr">
        <is>
          <t>% da venda</t>
        </is>
      </c>
      <c r="H64" s="19" t="inlineStr">
        <is>
          <t>Observação</t>
        </is>
      </c>
      <c r="I64" s="35" t="n"/>
      <c r="J64" s="35" t="n"/>
      <c r="K64" s="35" t="n"/>
      <c r="L64" s="35" t="n"/>
      <c r="M64" s="35" t="n"/>
      <c r="N64" s="35" t="n"/>
      <c r="O64" s="35" t="n"/>
    </row>
    <row r="65" ht="17" customHeight="1">
      <c r="A65" s="36" t="inlineStr">
        <is>
          <t>Coordenação de produção</t>
        </is>
      </c>
      <c r="B65" s="78" t="n"/>
      <c r="C65" s="56">
        <f>IF($B65="","",ROUND($B65*$C$45,2))</f>
        <v/>
      </c>
      <c r="D65" s="56">
        <f>IF($B65="","",ROUND($B65*$D$45,2))</f>
        <v/>
      </c>
      <c r="E65" s="56">
        <f>IF(OR($C65="",$D65=""),"",ROUND($D65-$C65,2))</f>
        <v/>
      </c>
      <c r="F65" s="38" t="n"/>
      <c r="G65" s="72">
        <f>IF(OR($D65="",$A$13="",$A$13=0),"",$D65/$A$13)</f>
        <v/>
      </c>
      <c r="H65" s="73" t="inlineStr">
        <is>
          <t>quem coordena está na identificação, no topo da ficha</t>
        </is>
      </c>
      <c r="I65" s="46" t="n"/>
      <c r="J65" s="46" t="n"/>
      <c r="K65" s="46" t="n"/>
      <c r="L65" s="46" t="n"/>
      <c r="M65" s="46" t="n"/>
      <c r="N65" s="46" t="n"/>
      <c r="O65" s="46" t="n"/>
    </row>
    <row r="66" ht="17" customHeight="1">
      <c r="A66" s="36" t="inlineStr">
        <is>
          <t>Gestão técnica</t>
        </is>
      </c>
      <c r="B66" s="78" t="n">
        <v>0.005</v>
      </c>
      <c r="C66" s="56">
        <f>IF($B66="","",ROUND($B66*$C$45,2))</f>
        <v/>
      </c>
      <c r="D66" s="56">
        <f>IF($B66="","",ROUND($B66*$D$45,2))</f>
        <v/>
      </c>
      <c r="E66" s="56">
        <f>IF(OR($C66="",$D66=""),"",ROUND($D66-$C66,2))</f>
        <v/>
      </c>
      <c r="F66" s="38" t="n"/>
      <c r="G66" s="72">
        <f>IF(OR($D66="",$A$13="",$A$13=0),"",$D66/$A$13)</f>
        <v/>
      </c>
      <c r="H66" s="73" t="n"/>
      <c r="I66" s="46" t="n"/>
      <c r="J66" s="46" t="n"/>
      <c r="K66" s="46" t="n"/>
      <c r="L66" s="46" t="n"/>
      <c r="M66" s="46" t="n"/>
      <c r="N66" s="46" t="n"/>
      <c r="O66" s="46" t="n"/>
    </row>
    <row r="67" ht="17" customHeight="1">
      <c r="A67" s="36" t="inlineStr">
        <is>
          <t>Comissão de produção</t>
        </is>
      </c>
      <c r="B67" s="78" t="n"/>
      <c r="C67" s="56">
        <f>IF($B67="","",ROUND($B67*$C$45,2))</f>
        <v/>
      </c>
      <c r="D67" s="56">
        <f>IF($F$61=0,"",$F$61)</f>
        <v/>
      </c>
      <c r="E67" s="56">
        <f>IF(OR($C67="",$D67=""),"",ROUND($D67-$C67,2))</f>
        <v/>
      </c>
      <c r="F67" s="38" t="n"/>
      <c r="G67" s="72">
        <f>IF(OR($D67="",$A$13="",$A$13=0),"",$D67/$A$13)</f>
        <v/>
      </c>
      <c r="H67" s="73" t="inlineStr">
        <is>
          <t>orçado = % único estimado · realizado = soma dos ambientes</t>
        </is>
      </c>
      <c r="I67" s="46" t="n"/>
      <c r="J67" s="46" t="n"/>
      <c r="K67" s="46" t="n"/>
      <c r="L67" s="46" t="n"/>
      <c r="M67" s="46" t="n"/>
      <c r="N67" s="46" t="n"/>
      <c r="O67" s="46" t="n"/>
    </row>
    <row r="68" ht="17" customHeight="1">
      <c r="A68" s="36" t="inlineStr">
        <is>
          <t>Comissão de montagem</t>
        </is>
      </c>
      <c r="B68" s="78" t="n"/>
      <c r="C68" s="56">
        <f>IF($B68="","",ROUND($B68*$C$45,2))</f>
        <v/>
      </c>
      <c r="D68" s="56">
        <f>IF($J$61=0,"",$J$61)</f>
        <v/>
      </c>
      <c r="E68" s="56">
        <f>IF(OR($C68="",$D68=""),"",ROUND($D68-$C68,2))</f>
        <v/>
      </c>
      <c r="F68" s="38" t="n"/>
      <c r="G68" s="72">
        <f>IF(OR($D68="",$A$13="",$A$13=0),"",$D68/$A$13)</f>
        <v/>
      </c>
      <c r="H68" s="73" t="inlineStr">
        <is>
          <t>orçado = % único estimado · realizado = soma dos ambientes</t>
        </is>
      </c>
      <c r="I68" s="46" t="n"/>
      <c r="J68" s="46" t="n"/>
      <c r="K68" s="46" t="n"/>
      <c r="L68" s="46" t="n"/>
      <c r="M68" s="46" t="n"/>
      <c r="N68" s="46" t="n"/>
      <c r="O68" s="46" t="n"/>
    </row>
    <row r="69" ht="17" customHeight="1">
      <c r="A69" s="36" t="inlineStr">
        <is>
          <t>Comissão de projetista</t>
        </is>
      </c>
      <c r="B69" s="78" t="n"/>
      <c r="C69" s="56">
        <f>IF($B69="","",ROUND($B69*$C$45,2))</f>
        <v/>
      </c>
      <c r="D69" s="56">
        <f>IF($N$61=0,"",$N$61)</f>
        <v/>
      </c>
      <c r="E69" s="56">
        <f>IF(OR($C69="",$D69=""),"",ROUND($D69-$C69,2))</f>
        <v/>
      </c>
      <c r="F69" s="38" t="n"/>
      <c r="G69" s="72">
        <f>IF(OR($D69="",$A$13="",$A$13=0),"",$D69/$A$13)</f>
        <v/>
      </c>
      <c r="H69" s="73" t="inlineStr">
        <is>
          <t>quem projetou cada ambiente está na coluna L do bloco 3</t>
        </is>
      </c>
      <c r="I69" s="46" t="n"/>
      <c r="J69" s="46" t="n"/>
      <c r="K69" s="46" t="n"/>
      <c r="L69" s="46" t="n"/>
      <c r="M69" s="46" t="n"/>
      <c r="N69" s="46" t="n"/>
      <c r="O69" s="46" t="n"/>
    </row>
    <row r="70" ht="20" customHeight="1">
      <c r="A70" s="31" t="inlineStr">
        <is>
          <t>(=) SUBTOTAL DAS COMISSÕES</t>
        </is>
      </c>
      <c r="B70" s="32" t="n"/>
      <c r="C70" s="60">
        <f>ROUND(SUM(C65:C69),2)</f>
        <v/>
      </c>
      <c r="D70" s="60">
        <f>ROUND(SUM(D65:D69),2)</f>
        <v/>
      </c>
      <c r="E70" s="60">
        <f>ROUND($D70-$C70,2)</f>
        <v/>
      </c>
      <c r="F70" s="32" t="n"/>
      <c r="G70" s="62">
        <f>IF(OR($A$13="",$A$13=0),"",$D70/$A$13)</f>
        <v/>
      </c>
      <c r="H70" s="32" t="n"/>
      <c r="I70" s="32" t="n"/>
      <c r="J70" s="32" t="n"/>
      <c r="K70" s="32" t="n"/>
      <c r="L70" s="32" t="n"/>
      <c r="M70" s="32" t="n"/>
      <c r="N70" s="32" t="n"/>
      <c r="O70" s="32" t="n"/>
    </row>
    <row r="71" ht="8" customHeight="1"/>
    <row r="72" ht="20" customHeight="1">
      <c r="A72" s="8" t="inlineStr">
        <is>
          <t xml:space="preserve">  5 · COMISSÕES POR COLABORADOR          consolidado automático — quem produziu, quem montou, quem projetou e o coordenador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</row>
    <row r="73" ht="26" customHeight="1">
      <c r="A73" s="19" t="inlineStr">
        <is>
          <t>Colaborador</t>
        </is>
      </c>
      <c r="B73" s="19" t="inlineStr">
        <is>
          <t>Produção (R$)</t>
        </is>
      </c>
      <c r="C73" s="35" t="n"/>
      <c r="D73" s="19" t="inlineStr">
        <is>
          <t>Montagem (R$)</t>
        </is>
      </c>
      <c r="E73" s="35" t="n"/>
      <c r="F73" s="19" t="inlineStr">
        <is>
          <t>Projeto (R$)</t>
        </is>
      </c>
      <c r="G73" s="35" t="n"/>
      <c r="H73" s="19" t="inlineStr">
        <is>
          <t>Coordenação / Gestão técnica (R$)</t>
        </is>
      </c>
      <c r="I73" s="35" t="n"/>
      <c r="J73" s="19" t="inlineStr">
        <is>
          <t>Total no projeto (R$)</t>
        </is>
      </c>
      <c r="K73" s="35" t="n"/>
      <c r="L73" s="35" t="n"/>
      <c r="M73" s="35" t="n"/>
    </row>
    <row r="74" ht="17" customHeight="1">
      <c r="A74" s="87" t="inlineStr">
        <is>
          <t>Deivison</t>
        </is>
      </c>
      <c r="B74" s="56">
        <f>IF($A74="","",ROUND(SUMIF($D$49:$D$60,$A74,$F$49:$F$60),2))</f>
        <v/>
      </c>
      <c r="C74" s="38" t="n"/>
      <c r="D74" s="56">
        <f>IF($A74="","",ROUND(SUMIF($H$49:$H$60,$A74,$J$49:$J$60),2))</f>
        <v/>
      </c>
      <c r="E74" s="38" t="n"/>
      <c r="F74" s="56">
        <f>IF($A74="","",ROUND(SUMIF($L$49:$L$60,$A74,$N$49:$N$60),2))</f>
        <v/>
      </c>
      <c r="G74" s="38" t="n"/>
      <c r="H74" s="56">
        <f>IF($A74="","",IF($A74=$F$9,IF($D$65="",0,$D$65),0)+IF($A74=$H$66,IF($D$66="",0,$D$66),0))</f>
        <v/>
      </c>
      <c r="I74" s="38" t="n"/>
      <c r="J74" s="88">
        <f>IF($A74="","",ROUND($B74+$D74+$F74+$H74,2))</f>
        <v/>
      </c>
      <c r="K74" s="38" t="n"/>
      <c r="L74" s="38" t="n"/>
      <c r="M74" s="38" t="n"/>
    </row>
    <row r="75" ht="17" customHeight="1">
      <c r="A75" s="87" t="inlineStr">
        <is>
          <t>Ronald</t>
        </is>
      </c>
      <c r="B75" s="56">
        <f>IF($A75="","",ROUND(SUMIF($D$49:$D$60,$A75,$F$49:$F$60),2))</f>
        <v/>
      </c>
      <c r="C75" s="38" t="n"/>
      <c r="D75" s="56">
        <f>IF($A75="","",ROUND(SUMIF($H$49:$H$60,$A75,$J$49:$J$60),2))</f>
        <v/>
      </c>
      <c r="E75" s="38" t="n"/>
      <c r="F75" s="56">
        <f>IF($A75="","",ROUND(SUMIF($L$49:$L$60,$A75,$N$49:$N$60),2))</f>
        <v/>
      </c>
      <c r="G75" s="38" t="n"/>
      <c r="H75" s="56">
        <f>IF($A75="","",IF($A75=$F$9,IF($D$65="",0,$D$65),0)+IF($A75=$H$66,IF($D$66="",0,$D$66),0))</f>
        <v/>
      </c>
      <c r="I75" s="38" t="n"/>
      <c r="J75" s="88">
        <f>IF($A75="","",ROUND($B75+$D75+$F75+$H75,2))</f>
        <v/>
      </c>
      <c r="K75" s="38" t="n"/>
      <c r="L75" s="38" t="n"/>
      <c r="M75" s="38" t="n"/>
    </row>
    <row r="76" ht="17" customHeight="1">
      <c r="A76" s="87" t="inlineStr">
        <is>
          <t>Samuel</t>
        </is>
      </c>
      <c r="B76" s="56">
        <f>IF($A76="","",ROUND(SUMIF($D$49:$D$60,$A76,$F$49:$F$60),2))</f>
        <v/>
      </c>
      <c r="C76" s="38" t="n"/>
      <c r="D76" s="56">
        <f>IF($A76="","",ROUND(SUMIF($H$49:$H$60,$A76,$J$49:$J$60),2))</f>
        <v/>
      </c>
      <c r="E76" s="38" t="n"/>
      <c r="F76" s="56">
        <f>IF($A76="","",ROUND(SUMIF($L$49:$L$60,$A76,$N$49:$N$60),2))</f>
        <v/>
      </c>
      <c r="G76" s="38" t="n"/>
      <c r="H76" s="56">
        <f>IF($A76="","",IF($A76=$F$9,IF($D$65="",0,$D$65),0)+IF($A76=$H$66,IF($D$66="",0,$D$66),0))</f>
        <v/>
      </c>
      <c r="I76" s="38" t="n"/>
      <c r="J76" s="88">
        <f>IF($A76="","",ROUND($B76+$D76+$F76+$H76,2))</f>
        <v/>
      </c>
      <c r="K76" s="38" t="n"/>
      <c r="L76" s="38" t="n"/>
      <c r="M76" s="38" t="n"/>
    </row>
    <row r="77" ht="17" customHeight="1">
      <c r="A77" s="87" t="inlineStr">
        <is>
          <t>Cesar</t>
        </is>
      </c>
      <c r="B77" s="56">
        <f>IF($A77="","",ROUND(SUMIF($D$49:$D$60,$A77,$F$49:$F$60),2))</f>
        <v/>
      </c>
      <c r="C77" s="38" t="n"/>
      <c r="D77" s="56">
        <f>IF($A77="","",ROUND(SUMIF($H$49:$H$60,$A77,$J$49:$J$60),2))</f>
        <v/>
      </c>
      <c r="E77" s="38" t="n"/>
      <c r="F77" s="56">
        <f>IF($A77="","",ROUND(SUMIF($L$49:$L$60,$A77,$N$49:$N$60),2))</f>
        <v/>
      </c>
      <c r="G77" s="38" t="n"/>
      <c r="H77" s="56">
        <f>IF($A77="","",IF($A77=$F$9,IF($D$65="",0,$D$65),0)+IF($A77=$H$66,IF($D$66="",0,$D$66),0))</f>
        <v/>
      </c>
      <c r="I77" s="38" t="n"/>
      <c r="J77" s="88">
        <f>IF($A77="","",ROUND($B77+$D77+$F77+$H77,2))</f>
        <v/>
      </c>
      <c r="K77" s="38" t="n"/>
      <c r="L77" s="38" t="n"/>
      <c r="M77" s="38" t="n"/>
    </row>
    <row r="78" ht="17" customHeight="1">
      <c r="A78" s="87" t="inlineStr">
        <is>
          <t>Jhon</t>
        </is>
      </c>
      <c r="B78" s="56">
        <f>IF($A78="","",ROUND(SUMIF($D$49:$D$60,$A78,$F$49:$F$60),2))</f>
        <v/>
      </c>
      <c r="C78" s="38" t="n"/>
      <c r="D78" s="56">
        <f>IF($A78="","",ROUND(SUMIF($H$49:$H$60,$A78,$J$49:$J$60),2))</f>
        <v/>
      </c>
      <c r="E78" s="38" t="n"/>
      <c r="F78" s="56">
        <f>IF($A78="","",ROUND(SUMIF($L$49:$L$60,$A78,$N$49:$N$60),2))</f>
        <v/>
      </c>
      <c r="G78" s="38" t="n"/>
      <c r="H78" s="56">
        <f>IF($A78="","",IF($A78=$F$9,IF($D$65="",0,$D$65),0)+IF($A78=$H$66,IF($D$66="",0,$D$66),0))</f>
        <v/>
      </c>
      <c r="I78" s="38" t="n"/>
      <c r="J78" s="88">
        <f>IF($A78="","",ROUND($B78+$D78+$F78+$H78,2))</f>
        <v/>
      </c>
      <c r="K78" s="38" t="n"/>
      <c r="L78" s="38" t="n"/>
      <c r="M78" s="38" t="n"/>
    </row>
    <row r="79" ht="17" customHeight="1">
      <c r="A79" s="87" t="inlineStr">
        <is>
          <t>Joelson</t>
        </is>
      </c>
      <c r="B79" s="56">
        <f>IF($A79="","",ROUND(SUMIF($D$49:$D$60,$A79,$F$49:$F$60),2))</f>
        <v/>
      </c>
      <c r="C79" s="38" t="n"/>
      <c r="D79" s="56">
        <f>IF($A79="","",ROUND(SUMIF($H$49:$H$60,$A79,$J$49:$J$60),2))</f>
        <v/>
      </c>
      <c r="E79" s="38" t="n"/>
      <c r="F79" s="56">
        <f>IF($A79="","",ROUND(SUMIF($L$49:$L$60,$A79,$N$49:$N$60),2))</f>
        <v/>
      </c>
      <c r="G79" s="38" t="n"/>
      <c r="H79" s="56">
        <f>IF($A79="","",IF($A79=$F$9,IF($D$65="",0,$D$65),0)+IF($A79=$H$66,IF($D$66="",0,$D$66),0))</f>
        <v/>
      </c>
      <c r="I79" s="38" t="n"/>
      <c r="J79" s="88">
        <f>IF($A79="","",ROUND($B79+$D79+$F79+$H79,2))</f>
        <v/>
      </c>
      <c r="K79" s="38" t="n"/>
      <c r="L79" s="38" t="n"/>
      <c r="M79" s="38" t="n"/>
    </row>
    <row r="80" ht="17" customHeight="1">
      <c r="A80" s="87" t="inlineStr">
        <is>
          <t>Davi</t>
        </is>
      </c>
      <c r="B80" s="56">
        <f>IF($A80="","",ROUND(SUMIF($D$49:$D$60,$A80,$F$49:$F$60),2))</f>
        <v/>
      </c>
      <c r="C80" s="38" t="n"/>
      <c r="D80" s="56">
        <f>IF($A80="","",ROUND(SUMIF($H$49:$H$60,$A80,$J$49:$J$60),2))</f>
        <v/>
      </c>
      <c r="E80" s="38" t="n"/>
      <c r="F80" s="56">
        <f>IF($A80="","",ROUND(SUMIF($L$49:$L$60,$A80,$N$49:$N$60),2))</f>
        <v/>
      </c>
      <c r="G80" s="38" t="n"/>
      <c r="H80" s="56">
        <f>IF($A80="","",IF($A80=$F$9,IF($D$65="",0,$D$65),0)+IF($A80=$H$66,IF($D$66="",0,$D$66),0))</f>
        <v/>
      </c>
      <c r="I80" s="38" t="n"/>
      <c r="J80" s="88">
        <f>IF($A80="","",ROUND($B80+$D80+$F80+$H80,2))</f>
        <v/>
      </c>
      <c r="K80" s="38" t="n"/>
      <c r="L80" s="38" t="n"/>
      <c r="M80" s="38" t="n"/>
    </row>
    <row r="81" ht="17" customHeight="1">
      <c r="A81" s="87" t="inlineStr">
        <is>
          <t>Jomar</t>
        </is>
      </c>
      <c r="B81" s="56">
        <f>IF($A81="","",ROUND(SUMIF($D$49:$D$60,$A81,$F$49:$F$60),2))</f>
        <v/>
      </c>
      <c r="C81" s="38" t="n"/>
      <c r="D81" s="56">
        <f>IF($A81="","",ROUND(SUMIF($H$49:$H$60,$A81,$J$49:$J$60),2))</f>
        <v/>
      </c>
      <c r="E81" s="38" t="n"/>
      <c r="F81" s="56">
        <f>IF($A81="","",ROUND(SUMIF($L$49:$L$60,$A81,$N$49:$N$60),2))</f>
        <v/>
      </c>
      <c r="G81" s="38" t="n"/>
      <c r="H81" s="56">
        <f>IF($A81="","",IF($A81=$F$9,IF($D$65="",0,$D$65),0)+IF($A81=$H$66,IF($D$66="",0,$D$66),0))</f>
        <v/>
      </c>
      <c r="I81" s="38" t="n"/>
      <c r="J81" s="88">
        <f>IF($A81="","",ROUND($B81+$D81+$F81+$H81,2))</f>
        <v/>
      </c>
      <c r="K81" s="38" t="n"/>
      <c r="L81" s="38" t="n"/>
      <c r="M81" s="38" t="n"/>
    </row>
    <row r="82" ht="17" customHeight="1">
      <c r="A82" s="87" t="inlineStr">
        <is>
          <t>Bruno</t>
        </is>
      </c>
      <c r="B82" s="56">
        <f>IF($A82="","",ROUND(SUMIF($D$49:$D$60,$A82,$F$49:$F$60),2))</f>
        <v/>
      </c>
      <c r="C82" s="38" t="n"/>
      <c r="D82" s="56">
        <f>IF($A82="","",ROUND(SUMIF($H$49:$H$60,$A82,$J$49:$J$60),2))</f>
        <v/>
      </c>
      <c r="E82" s="38" t="n"/>
      <c r="F82" s="56">
        <f>IF($A82="","",ROUND(SUMIF($L$49:$L$60,$A82,$N$49:$N$60),2))</f>
        <v/>
      </c>
      <c r="G82" s="38" t="n"/>
      <c r="H82" s="56">
        <f>IF($A82="","",IF($A82=$F$9,IF($D$65="",0,$D$65),0)+IF($A82=$H$66,IF($D$66="",0,$D$66),0))</f>
        <v/>
      </c>
      <c r="I82" s="38" t="n"/>
      <c r="J82" s="88">
        <f>IF($A82="","",ROUND($B82+$D82+$F82+$H82,2))</f>
        <v/>
      </c>
      <c r="K82" s="38" t="n"/>
      <c r="L82" s="38" t="n"/>
      <c r="M82" s="38" t="n"/>
    </row>
    <row r="83" ht="17" customHeight="1">
      <c r="A83" s="87" t="inlineStr">
        <is>
          <t>Wallace</t>
        </is>
      </c>
      <c r="B83" s="56">
        <f>IF($A83="","",ROUND(SUMIF($D$49:$D$60,$A83,$F$49:$F$60),2))</f>
        <v/>
      </c>
      <c r="C83" s="38" t="n"/>
      <c r="D83" s="56">
        <f>IF($A83="","",ROUND(SUMIF($H$49:$H$60,$A83,$J$49:$J$60),2))</f>
        <v/>
      </c>
      <c r="E83" s="38" t="n"/>
      <c r="F83" s="56">
        <f>IF($A83="","",ROUND(SUMIF($L$49:$L$60,$A83,$N$49:$N$60),2))</f>
        <v/>
      </c>
      <c r="G83" s="38" t="n"/>
      <c r="H83" s="56">
        <f>IF($A83="","",IF($A83=$F$9,IF($D$65="",0,$D$65),0)+IF($A83=$H$66,IF($D$66="",0,$D$66),0))</f>
        <v/>
      </c>
      <c r="I83" s="38" t="n"/>
      <c r="J83" s="88">
        <f>IF($A83="","",ROUND($B83+$D83+$F83+$H83,2))</f>
        <v/>
      </c>
      <c r="K83" s="38" t="n"/>
      <c r="L83" s="38" t="n"/>
      <c r="M83" s="38" t="n"/>
    </row>
    <row r="84" ht="17" customHeight="1">
      <c r="A84" s="87" t="inlineStr">
        <is>
          <t>Douglas</t>
        </is>
      </c>
      <c r="B84" s="56">
        <f>IF($A84="","",ROUND(SUMIF($D$49:$D$60,$A84,$F$49:$F$60),2))</f>
        <v/>
      </c>
      <c r="C84" s="38" t="n"/>
      <c r="D84" s="56">
        <f>IF($A84="","",ROUND(SUMIF($H$49:$H$60,$A84,$J$49:$J$60),2))</f>
        <v/>
      </c>
      <c r="E84" s="38" t="n"/>
      <c r="F84" s="56">
        <f>IF($A84="","",ROUND(SUMIF($L$49:$L$60,$A84,$N$49:$N$60),2))</f>
        <v/>
      </c>
      <c r="G84" s="38" t="n"/>
      <c r="H84" s="56">
        <f>IF($A84="","",IF($A84=$F$9,IF($D$65="",0,$D$65),0)+IF($A84=$H$66,IF($D$66="",0,$D$66),0))</f>
        <v/>
      </c>
      <c r="I84" s="38" t="n"/>
      <c r="J84" s="88">
        <f>IF($A84="","",ROUND($B84+$D84+$F84+$H84,2))</f>
        <v/>
      </c>
      <c r="K84" s="38" t="n"/>
      <c r="L84" s="38" t="n"/>
      <c r="M84" s="38" t="n"/>
    </row>
    <row r="85" ht="17" customHeight="1">
      <c r="A85" s="87" t="inlineStr">
        <is>
          <t>Terceiro / avulso</t>
        </is>
      </c>
      <c r="B85" s="56">
        <f>IF($A85="","",ROUND(SUMIF($D$49:$D$60,$A85,$F$49:$F$60),2))</f>
        <v/>
      </c>
      <c r="C85" s="38" t="n"/>
      <c r="D85" s="56">
        <f>IF($A85="","",ROUND(SUMIF($H$49:$H$60,$A85,$J$49:$J$60),2))</f>
        <v/>
      </c>
      <c r="E85" s="38" t="n"/>
      <c r="F85" s="56">
        <f>IF($A85="","",ROUND(SUMIF($L$49:$L$60,$A85,$N$49:$N$60),2))</f>
        <v/>
      </c>
      <c r="G85" s="38" t="n"/>
      <c r="H85" s="56">
        <f>IF($A85="","",IF($A85=$F$9,IF($D$65="",0,$D$65),0)+IF($A85=$H$66,IF($D$66="",0,$D$66),0))</f>
        <v/>
      </c>
      <c r="I85" s="38" t="n"/>
      <c r="J85" s="88">
        <f>IF($A85="","",ROUND($B85+$D85+$F85+$H85,2))</f>
        <v/>
      </c>
      <c r="K85" s="38" t="n"/>
      <c r="L85" s="38" t="n"/>
      <c r="M85" s="38" t="n"/>
    </row>
    <row r="86" ht="17" customHeight="1">
      <c r="A86" s="87" t="inlineStr">
        <is>
          <t>Lorrane</t>
        </is>
      </c>
      <c r="B86" s="56">
        <f>IF($A86="","",ROUND(SUMIF($D$49:$D$60,$A86,$F$49:$F$60),2))</f>
        <v/>
      </c>
      <c r="C86" s="38" t="n"/>
      <c r="D86" s="56">
        <f>IF($A86="","",ROUND(SUMIF($H$49:$H$60,$A86,$J$49:$J$60),2))</f>
        <v/>
      </c>
      <c r="E86" s="38" t="n"/>
      <c r="F86" s="56">
        <f>IF($A86="","",ROUND(SUMIF($L$49:$L$60,$A86,$N$49:$N$60),2))</f>
        <v/>
      </c>
      <c r="G86" s="38" t="n"/>
      <c r="H86" s="56">
        <f>IF($A86="","",IF($A86=$F$9,IF($D$65="",0,$D$65),0)+IF($A86=$H$66,IF($D$66="",0,$D$66),0))</f>
        <v/>
      </c>
      <c r="I86" s="38" t="n"/>
      <c r="J86" s="88">
        <f>IF($A86="","",ROUND($B86+$D86+$F86+$H86,2))</f>
        <v/>
      </c>
      <c r="K86" s="38" t="n"/>
      <c r="L86" s="38" t="n"/>
      <c r="M86" s="38" t="n"/>
    </row>
    <row r="87" ht="17" customHeight="1">
      <c r="A87" s="87" t="inlineStr">
        <is>
          <t>Lucas</t>
        </is>
      </c>
      <c r="B87" s="56">
        <f>IF($A87="","",ROUND(SUMIF($D$49:$D$60,$A87,$F$49:$F$60),2))</f>
        <v/>
      </c>
      <c r="C87" s="38" t="n"/>
      <c r="D87" s="56">
        <f>IF($A87="","",ROUND(SUMIF($H$49:$H$60,$A87,$J$49:$J$60),2))</f>
        <v/>
      </c>
      <c r="E87" s="38" t="n"/>
      <c r="F87" s="56">
        <f>IF($A87="","",ROUND(SUMIF($L$49:$L$60,$A87,$N$49:$N$60),2))</f>
        <v/>
      </c>
      <c r="G87" s="38" t="n"/>
      <c r="H87" s="56">
        <f>IF($A87="","",IF($A87=$F$9,IF($D$65="",0,$D$65),0)+IF($A87=$H$66,IF($D$66="",0,$D$66),0))</f>
        <v/>
      </c>
      <c r="I87" s="38" t="n"/>
      <c r="J87" s="88">
        <f>IF($A87="","",ROUND($B87+$D87+$F87+$H87,2))</f>
        <v/>
      </c>
      <c r="K87" s="38" t="n"/>
      <c r="L87" s="38" t="n"/>
      <c r="M87" s="38" t="n"/>
    </row>
    <row r="88" ht="17" customHeight="1">
      <c r="A88" s="87" t="inlineStr">
        <is>
          <t>Externo / avulso</t>
        </is>
      </c>
      <c r="B88" s="56">
        <f>IF($A88="","",ROUND(SUMIF($D$49:$D$60,$A88,$F$49:$F$60),2))</f>
        <v/>
      </c>
      <c r="C88" s="38" t="n"/>
      <c r="D88" s="56">
        <f>IF($A88="","",ROUND(SUMIF($H$49:$H$60,$A88,$J$49:$J$60),2))</f>
        <v/>
      </c>
      <c r="E88" s="38" t="n"/>
      <c r="F88" s="56">
        <f>IF($A88="","",ROUND(SUMIF($L$49:$L$60,$A88,$N$49:$N$60),2))</f>
        <v/>
      </c>
      <c r="G88" s="38" t="n"/>
      <c r="H88" s="56">
        <f>IF($A88="","",IF($A88=$F$9,IF($D$65="",0,$D$65),0)+IF($A88=$H$66,IF($D$66="",0,$D$66),0))</f>
        <v/>
      </c>
      <c r="I88" s="38" t="n"/>
      <c r="J88" s="88">
        <f>IF($A88="","",ROUND($B88+$D88+$F88+$H88,2))</f>
        <v/>
      </c>
      <c r="K88" s="38" t="n"/>
      <c r="L88" s="38" t="n"/>
      <c r="M88" s="38" t="n"/>
    </row>
    <row r="89" ht="17" customHeight="1">
      <c r="A89" s="87" t="inlineStr">
        <is>
          <t>Bruna</t>
        </is>
      </c>
      <c r="B89" s="56">
        <f>IF($A89="","",ROUND(SUMIF($D$49:$D$60,$A89,$F$49:$F$60),2))</f>
        <v/>
      </c>
      <c r="C89" s="38" t="n"/>
      <c r="D89" s="56">
        <f>IF($A89="","",ROUND(SUMIF($H$49:$H$60,$A89,$J$49:$J$60),2))</f>
        <v/>
      </c>
      <c r="E89" s="38" t="n"/>
      <c r="F89" s="56">
        <f>IF($A89="","",ROUND(SUMIF($L$49:$L$60,$A89,$N$49:$N$60),2))</f>
        <v/>
      </c>
      <c r="G89" s="38" t="n"/>
      <c r="H89" s="56">
        <f>IF($A89="","",IF($A89=$F$9,IF($D$65="",0,$D$65),0)+IF($A89=$H$66,IF($D$66="",0,$D$66),0))</f>
        <v/>
      </c>
      <c r="I89" s="38" t="n"/>
      <c r="J89" s="88">
        <f>IF($A89="","",ROUND($B89+$D89+$F89+$H89,2))</f>
        <v/>
      </c>
      <c r="K89" s="38" t="n"/>
      <c r="L89" s="38" t="n"/>
      <c r="M89" s="38" t="n"/>
    </row>
    <row r="90" ht="17" customHeight="1">
      <c r="A90" s="87" t="n"/>
      <c r="B90" s="56">
        <f>IF($A90="","",ROUND(SUMIF($D$49:$D$60,$A90,$F$49:$F$60),2))</f>
        <v/>
      </c>
      <c r="C90" s="38" t="n"/>
      <c r="D90" s="56">
        <f>IF($A90="","",ROUND(SUMIF($H$49:$H$60,$A90,$J$49:$J$60),2))</f>
        <v/>
      </c>
      <c r="E90" s="38" t="n"/>
      <c r="F90" s="56">
        <f>IF($A90="","",ROUND(SUMIF($L$49:$L$60,$A90,$N$49:$N$60),2))</f>
        <v/>
      </c>
      <c r="G90" s="38" t="n"/>
      <c r="H90" s="56">
        <f>IF($A90="","",IF($A90=$F$9,IF($D$65="",0,$D$65),0)+IF($A90=$H$66,IF($D$66="",0,$D$66),0))</f>
        <v/>
      </c>
      <c r="I90" s="38" t="n"/>
      <c r="J90" s="88">
        <f>IF($A90="","",ROUND($B90+$D90+$F90+$H90,2))</f>
        <v/>
      </c>
      <c r="K90" s="38" t="n"/>
      <c r="L90" s="38" t="n"/>
      <c r="M90" s="38" t="n"/>
    </row>
    <row r="91" ht="17" customHeight="1">
      <c r="A91" s="87" t="n"/>
      <c r="B91" s="56">
        <f>IF($A91="","",ROUND(SUMIF($D$49:$D$60,$A91,$F$49:$F$60),2))</f>
        <v/>
      </c>
      <c r="C91" s="38" t="n"/>
      <c r="D91" s="56">
        <f>IF($A91="","",ROUND(SUMIF($H$49:$H$60,$A91,$J$49:$J$60),2))</f>
        <v/>
      </c>
      <c r="E91" s="38" t="n"/>
      <c r="F91" s="56">
        <f>IF($A91="","",ROUND(SUMIF($L$49:$L$60,$A91,$N$49:$N$60),2))</f>
        <v/>
      </c>
      <c r="G91" s="38" t="n"/>
      <c r="H91" s="56">
        <f>IF($A91="","",IF($A91=$F$9,IF($D$65="",0,$D$65),0)+IF($A91=$H$66,IF($D$66="",0,$D$66),0))</f>
        <v/>
      </c>
      <c r="I91" s="38" t="n"/>
      <c r="J91" s="88">
        <f>IF($A91="","",ROUND($B91+$D91+$F91+$H91,2))</f>
        <v/>
      </c>
      <c r="K91" s="38" t="n"/>
      <c r="L91" s="38" t="n"/>
      <c r="M91" s="38" t="n"/>
    </row>
    <row r="92" ht="20" customHeight="1">
      <c r="A92" s="31" t="inlineStr">
        <is>
          <t>TOTAL</t>
        </is>
      </c>
      <c r="B92" s="60">
        <f>ROUND(SUM(B74:B91),2)</f>
        <v/>
      </c>
      <c r="C92" s="32" t="n"/>
      <c r="D92" s="60">
        <f>ROUND(SUM(D74:D91),2)</f>
        <v/>
      </c>
      <c r="E92" s="32" t="n"/>
      <c r="F92" s="60">
        <f>ROUND(SUM(F74:F91),2)</f>
        <v/>
      </c>
      <c r="G92" s="32" t="n"/>
      <c r="H92" s="60">
        <f>ROUND(SUM(H74:H91),2)</f>
        <v/>
      </c>
      <c r="I92" s="32" t="n"/>
      <c r="J92" s="60">
        <f>ROUND(SUM(J74:J91),2)</f>
        <v/>
      </c>
      <c r="K92" s="32" t="n"/>
      <c r="L92" s="32" t="n"/>
      <c r="M92" s="32" t="n"/>
    </row>
    <row r="93" ht="8" customHeight="1"/>
    <row r="94" ht="20" customHeight="1">
      <c r="A94" s="8" t="inlineStr">
        <is>
          <t xml:space="preserve">  6 · MATERIAL, TERCEIRIZADOS E LOGÍSTICA          o orçado você digita · o realizado vem sozinho do livro de lançamentos, lá no fim da ficha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</row>
    <row r="95" ht="30" customHeight="1">
      <c r="A95" s="19" t="inlineStr">
        <is>
          <t>Categoria</t>
        </is>
      </c>
      <c r="B95" s="19" t="inlineStr"/>
      <c r="C95" s="19" t="inlineStr">
        <is>
          <t>Orçado (R$)</t>
        </is>
      </c>
      <c r="D95" s="19" t="inlineStr">
        <is>
          <t>Realizado (R$)</t>
        </is>
      </c>
      <c r="E95" s="19" t="inlineStr">
        <is>
          <t>Desvio (R$)</t>
        </is>
      </c>
      <c r="F95" s="35" t="n"/>
      <c r="G95" s="19" t="inlineStr">
        <is>
          <t>Ainda a comprar</t>
        </is>
      </c>
      <c r="H95" s="19" t="inlineStr">
        <is>
          <t>Comprado, ainda a pagar</t>
        </is>
      </c>
      <c r="I95" s="35" t="n"/>
      <c r="J95" s="35" t="n"/>
      <c r="K95" s="35" t="n"/>
      <c r="L95" s="35" t="n"/>
      <c r="M95" s="35" t="n"/>
      <c r="N95" s="35" t="n"/>
      <c r="O95" s="35" t="n"/>
    </row>
    <row r="96" ht="17" customHeight="1">
      <c r="A96" s="36" t="inlineStr">
        <is>
          <t>MDF e MDP</t>
        </is>
      </c>
      <c r="B96" s="37" t="n"/>
      <c r="C96" s="71" t="n"/>
      <c r="D96" s="56">
        <f>ROUND(SUMIFS($E$134:$E$193,$B$134:$B$193,$A96,$I$134:$I$193,"Comprado (a pagar)")+SUMIFS($E$134:$E$193,$B$134:$B$193,$A96,$I$134:$I$193,"Pago"),2)</f>
        <v/>
      </c>
      <c r="E96" s="56">
        <f>IF($C96="","",ROUND($D96-$C96,2))</f>
        <v/>
      </c>
      <c r="F96" s="38" t="n"/>
      <c r="G96" s="89">
        <f>ROUND(SUMIFS($E$134:$E$193,$B$134:$B$193,$A96,$I$134:$I$193,"A comprar"),2)</f>
        <v/>
      </c>
      <c r="H96" s="90">
        <f>ROUND(SUMIFS($E$134:$E$193,$B$134:$B$193,$A96,$I$134:$I$193,"Comprado (a pagar)"),2)</f>
        <v/>
      </c>
      <c r="I96" s="38" t="n"/>
      <c r="J96" s="38" t="n"/>
      <c r="K96" s="38" t="n"/>
      <c r="L96" s="38" t="n"/>
      <c r="M96" s="38" t="n"/>
      <c r="N96" s="38" t="n"/>
      <c r="O96" s="38" t="n"/>
    </row>
    <row r="97" ht="17" customHeight="1">
      <c r="A97" s="36" t="inlineStr">
        <is>
          <t>Fita de borda</t>
        </is>
      </c>
      <c r="B97" s="37" t="n"/>
      <c r="C97" s="71" t="n"/>
      <c r="D97" s="56">
        <f>ROUND(SUMIFS($E$134:$E$193,$B$134:$B$193,$A97,$I$134:$I$193,"Comprado (a pagar)")+SUMIFS($E$134:$E$193,$B$134:$B$193,$A97,$I$134:$I$193,"Pago"),2)</f>
        <v/>
      </c>
      <c r="E97" s="56">
        <f>IF($C97="","",ROUND($D97-$C97,2))</f>
        <v/>
      </c>
      <c r="F97" s="38" t="n"/>
      <c r="G97" s="89">
        <f>ROUND(SUMIFS($E$134:$E$193,$B$134:$B$193,$A97,$I$134:$I$193,"A comprar"),2)</f>
        <v/>
      </c>
      <c r="H97" s="90">
        <f>ROUND(SUMIFS($E$134:$E$193,$B$134:$B$193,$A97,$I$134:$I$193,"Comprado (a pagar)"),2)</f>
        <v/>
      </c>
      <c r="I97" s="38" t="n"/>
      <c r="J97" s="38" t="n"/>
      <c r="K97" s="38" t="n"/>
      <c r="L97" s="38" t="n"/>
      <c r="M97" s="38" t="n"/>
      <c r="N97" s="38" t="n"/>
      <c r="O97" s="38" t="n"/>
    </row>
    <row r="98" ht="17" customHeight="1">
      <c r="A98" s="36" t="inlineStr">
        <is>
          <t>Ferragens</t>
        </is>
      </c>
      <c r="B98" s="37" t="n"/>
      <c r="C98" s="71" t="n"/>
      <c r="D98" s="56">
        <f>ROUND(SUMIFS($E$134:$E$193,$B$134:$B$193,$A98,$I$134:$I$193,"Comprado (a pagar)")+SUMIFS($E$134:$E$193,$B$134:$B$193,$A98,$I$134:$I$193,"Pago"),2)</f>
        <v/>
      </c>
      <c r="E98" s="56">
        <f>IF($C98="","",ROUND($D98-$C98,2))</f>
        <v/>
      </c>
      <c r="F98" s="38" t="n"/>
      <c r="G98" s="89">
        <f>ROUND(SUMIFS($E$134:$E$193,$B$134:$B$193,$A98,$I$134:$I$193,"A comprar"),2)</f>
        <v/>
      </c>
      <c r="H98" s="90">
        <f>ROUND(SUMIFS($E$134:$E$193,$B$134:$B$193,$A98,$I$134:$I$193,"Comprado (a pagar)"),2)</f>
        <v/>
      </c>
      <c r="I98" s="38" t="n"/>
      <c r="J98" s="38" t="n"/>
      <c r="K98" s="38" t="n"/>
      <c r="L98" s="38" t="n"/>
      <c r="M98" s="38" t="n"/>
      <c r="N98" s="38" t="n"/>
      <c r="O98" s="38" t="n"/>
    </row>
    <row r="99" ht="17" customHeight="1">
      <c r="A99" s="36" t="inlineStr">
        <is>
          <t>Vidros e espelhos</t>
        </is>
      </c>
      <c r="B99" s="37" t="n"/>
      <c r="C99" s="71" t="n"/>
      <c r="D99" s="56">
        <f>ROUND(SUMIFS($E$134:$E$193,$B$134:$B$193,$A99,$I$134:$I$193,"Comprado (a pagar)")+SUMIFS($E$134:$E$193,$B$134:$B$193,$A99,$I$134:$I$193,"Pago"),2)</f>
        <v/>
      </c>
      <c r="E99" s="56">
        <f>IF($C99="","",ROUND($D99-$C99,2))</f>
        <v/>
      </c>
      <c r="F99" s="38" t="n"/>
      <c r="G99" s="89">
        <f>ROUND(SUMIFS($E$134:$E$193,$B$134:$B$193,$A99,$I$134:$I$193,"A comprar"),2)</f>
        <v/>
      </c>
      <c r="H99" s="90">
        <f>ROUND(SUMIFS($E$134:$E$193,$B$134:$B$193,$A99,$I$134:$I$193,"Comprado (a pagar)"),2)</f>
        <v/>
      </c>
      <c r="I99" s="38" t="n"/>
      <c r="J99" s="38" t="n"/>
      <c r="K99" s="38" t="n"/>
      <c r="L99" s="38" t="n"/>
      <c r="M99" s="38" t="n"/>
      <c r="N99" s="38" t="n"/>
      <c r="O99" s="38" t="n"/>
    </row>
    <row r="100" ht="17" customHeight="1">
      <c r="A100" s="36" t="inlineStr">
        <is>
          <t>Esquadrias</t>
        </is>
      </c>
      <c r="B100" s="37" t="n"/>
      <c r="C100" s="71" t="n"/>
      <c r="D100" s="56">
        <f>ROUND(SUMIFS($E$134:$E$193,$B$134:$B$193,$A100,$I$134:$I$193,"Comprado (a pagar)")+SUMIFS($E$134:$E$193,$B$134:$B$193,$A100,$I$134:$I$193,"Pago"),2)</f>
        <v/>
      </c>
      <c r="E100" s="56">
        <f>IF($C100="","",ROUND($D100-$C100,2))</f>
        <v/>
      </c>
      <c r="F100" s="38" t="n"/>
      <c r="G100" s="89">
        <f>ROUND(SUMIFS($E$134:$E$193,$B$134:$B$193,$A100,$I$134:$I$193,"A comprar"),2)</f>
        <v/>
      </c>
      <c r="H100" s="90">
        <f>ROUND(SUMIFS($E$134:$E$193,$B$134:$B$193,$A100,$I$134:$I$193,"Comprado (a pagar)"),2)</f>
        <v/>
      </c>
      <c r="I100" s="38" t="n"/>
      <c r="J100" s="38" t="n"/>
      <c r="K100" s="38" t="n"/>
      <c r="L100" s="38" t="n"/>
      <c r="M100" s="38" t="n"/>
      <c r="N100" s="38" t="n"/>
      <c r="O100" s="38" t="n"/>
    </row>
    <row r="101" ht="17" customHeight="1">
      <c r="A101" s="36" t="inlineStr">
        <is>
          <t>Lâmina natural</t>
        </is>
      </c>
      <c r="B101" s="37" t="n"/>
      <c r="C101" s="71" t="n"/>
      <c r="D101" s="56">
        <f>ROUND(SUMIFS($E$134:$E$193,$B$134:$B$193,$A101,$I$134:$I$193,"Comprado (a pagar)")+SUMIFS($E$134:$E$193,$B$134:$B$193,$A101,$I$134:$I$193,"Pago"),2)</f>
        <v/>
      </c>
      <c r="E101" s="56">
        <f>IF($C101="","",ROUND($D101-$C101,2))</f>
        <v/>
      </c>
      <c r="F101" s="38" t="n"/>
      <c r="G101" s="89">
        <f>ROUND(SUMIFS($E$134:$E$193,$B$134:$B$193,$A101,$I$134:$I$193,"A comprar"),2)</f>
        <v/>
      </c>
      <c r="H101" s="90">
        <f>ROUND(SUMIFS($E$134:$E$193,$B$134:$B$193,$A101,$I$134:$I$193,"Comprado (a pagar)"),2)</f>
        <v/>
      </c>
      <c r="I101" s="38" t="n"/>
      <c r="J101" s="38" t="n"/>
      <c r="K101" s="38" t="n"/>
      <c r="L101" s="38" t="n"/>
      <c r="M101" s="38" t="n"/>
      <c r="N101" s="38" t="n"/>
      <c r="O101" s="38" t="n"/>
    </row>
    <row r="102" ht="17" customHeight="1">
      <c r="A102" s="36" t="inlineStr">
        <is>
          <t>Consumíveis</t>
        </is>
      </c>
      <c r="B102" s="37" t="n"/>
      <c r="C102" s="71" t="n"/>
      <c r="D102" s="56">
        <f>ROUND(SUMIFS($E$134:$E$193,$B$134:$B$193,$A102,$I$134:$I$193,"Comprado (a pagar)")+SUMIFS($E$134:$E$193,$B$134:$B$193,$A102,$I$134:$I$193,"Pago"),2)</f>
        <v/>
      </c>
      <c r="E102" s="56">
        <f>IF($C102="","",ROUND($D102-$C102,2))</f>
        <v/>
      </c>
      <c r="F102" s="38" t="n"/>
      <c r="G102" s="89">
        <f>ROUND(SUMIFS($E$134:$E$193,$B$134:$B$193,$A102,$I$134:$I$193,"A comprar"),2)</f>
        <v/>
      </c>
      <c r="H102" s="90">
        <f>ROUND(SUMIFS($E$134:$E$193,$B$134:$B$193,$A102,$I$134:$I$193,"Comprado (a pagar)"),2)</f>
        <v/>
      </c>
      <c r="I102" s="38" t="n"/>
      <c r="J102" s="38" t="n"/>
      <c r="K102" s="38" t="n"/>
      <c r="L102" s="38" t="n"/>
      <c r="M102" s="38" t="n"/>
      <c r="N102" s="38" t="n"/>
      <c r="O102" s="38" t="n"/>
    </row>
    <row r="103" ht="20" customHeight="1">
      <c r="A103" s="31" t="inlineStr">
        <is>
          <t>(=) SUBTOTAL · MATERIAL</t>
        </is>
      </c>
      <c r="B103" s="32" t="n"/>
      <c r="C103" s="60">
        <f>ROUND(SUM(C96:C102),2)</f>
        <v/>
      </c>
      <c r="D103" s="60">
        <f>ROUND(SUM(D96:D102),2)</f>
        <v/>
      </c>
      <c r="E103" s="60">
        <f>ROUND(SUM(E96:E102),2)</f>
        <v/>
      </c>
      <c r="F103" s="32" t="n"/>
      <c r="G103" s="60">
        <f>ROUND(SUM(G96:G102),2)</f>
        <v/>
      </c>
      <c r="H103" s="60">
        <f>ROUND(SUM(H96:H102),2)</f>
        <v/>
      </c>
      <c r="I103" s="32" t="n"/>
      <c r="J103" s="32" t="n"/>
      <c r="K103" s="32" t="n"/>
      <c r="L103" s="32" t="n"/>
      <c r="M103" s="32" t="n"/>
      <c r="N103" s="32" t="n"/>
      <c r="O103" s="32" t="n"/>
    </row>
    <row r="104" ht="17" customHeight="1">
      <c r="A104" s="36" t="inlineStr">
        <is>
          <t>Acabamento</t>
        </is>
      </c>
      <c r="B104" s="37" t="n"/>
      <c r="C104" s="71" t="n"/>
      <c r="D104" s="56">
        <f>ROUND(SUMIFS($E$134:$E$193,$B$134:$B$193,$A104,$I$134:$I$193,"Comprado (a pagar)")+SUMIFS($E$134:$E$193,$B$134:$B$193,$A104,$I$134:$I$193,"Pago"),2)</f>
        <v/>
      </c>
      <c r="E104" s="56">
        <f>IF($C104="","",ROUND($D104-$C104,2))</f>
        <v/>
      </c>
      <c r="F104" s="38" t="n"/>
      <c r="G104" s="89">
        <f>ROUND(SUMIFS($E$134:$E$193,$B$134:$B$193,$A104,$I$134:$I$193,"A comprar"),2)</f>
        <v/>
      </c>
      <c r="H104" s="90">
        <f>ROUND(SUMIFS($E$134:$E$193,$B$134:$B$193,$A104,$I$134:$I$193,"Comprado (a pagar)"),2)</f>
        <v/>
      </c>
      <c r="I104" s="38" t="n"/>
      <c r="J104" s="38" t="n"/>
      <c r="K104" s="38" t="n"/>
      <c r="L104" s="38" t="n"/>
      <c r="M104" s="38" t="n"/>
      <c r="N104" s="38" t="n"/>
      <c r="O104" s="38" t="n"/>
    </row>
    <row r="105" ht="17" customHeight="1">
      <c r="A105" s="36" t="inlineStr">
        <is>
          <t>Serralheria</t>
        </is>
      </c>
      <c r="B105" s="37" t="n"/>
      <c r="C105" s="71" t="n"/>
      <c r="D105" s="56">
        <f>ROUND(SUMIFS($E$134:$E$193,$B$134:$B$193,$A105,$I$134:$I$193,"Comprado (a pagar)")+SUMIFS($E$134:$E$193,$B$134:$B$193,$A105,$I$134:$I$193,"Pago"),2)</f>
        <v/>
      </c>
      <c r="E105" s="56">
        <f>IF($C105="","",ROUND($D105-$C105,2))</f>
        <v/>
      </c>
      <c r="F105" s="38" t="n"/>
      <c r="G105" s="89">
        <f>ROUND(SUMIFS($E$134:$E$193,$B$134:$B$193,$A105,$I$134:$I$193,"A comprar"),2)</f>
        <v/>
      </c>
      <c r="H105" s="90">
        <f>ROUND(SUMIFS($E$134:$E$193,$B$134:$B$193,$A105,$I$134:$I$193,"Comprado (a pagar)"),2)</f>
        <v/>
      </c>
      <c r="I105" s="38" t="n"/>
      <c r="J105" s="38" t="n"/>
      <c r="K105" s="38" t="n"/>
      <c r="L105" s="38" t="n"/>
      <c r="M105" s="38" t="n"/>
      <c r="N105" s="38" t="n"/>
      <c r="O105" s="38" t="n"/>
    </row>
    <row r="106" ht="17" customHeight="1">
      <c r="A106" s="36" t="inlineStr">
        <is>
          <t>Vidraceiro</t>
        </is>
      </c>
      <c r="B106" s="37" t="n"/>
      <c r="C106" s="71" t="n"/>
      <c r="D106" s="56">
        <f>ROUND(SUMIFS($E$134:$E$193,$B$134:$B$193,$A106,$I$134:$I$193,"Comprado (a pagar)")+SUMIFS($E$134:$E$193,$B$134:$B$193,$A106,$I$134:$I$193,"Pago"),2)</f>
        <v/>
      </c>
      <c r="E106" s="56">
        <f>IF($C106="","",ROUND($D106-$C106,2))</f>
        <v/>
      </c>
      <c r="F106" s="38" t="n"/>
      <c r="G106" s="89">
        <f>ROUND(SUMIFS($E$134:$E$193,$B$134:$B$193,$A106,$I$134:$I$193,"A comprar"),2)</f>
        <v/>
      </c>
      <c r="H106" s="90">
        <f>ROUND(SUMIFS($E$134:$E$193,$B$134:$B$193,$A106,$I$134:$I$193,"Comprado (a pagar)"),2)</f>
        <v/>
      </c>
      <c r="I106" s="38" t="n"/>
      <c r="J106" s="38" t="n"/>
      <c r="K106" s="38" t="n"/>
      <c r="L106" s="38" t="n"/>
      <c r="M106" s="38" t="n"/>
      <c r="N106" s="38" t="n"/>
      <c r="O106" s="38" t="n"/>
    </row>
    <row r="107" ht="17" customHeight="1">
      <c r="A107" s="36" t="inlineStr">
        <is>
          <t>Outro terceirizado</t>
        </is>
      </c>
      <c r="B107" s="37" t="n"/>
      <c r="C107" s="71" t="n"/>
      <c r="D107" s="56">
        <f>ROUND(SUMIFS($E$134:$E$193,$B$134:$B$193,$A107,$I$134:$I$193,"Comprado (a pagar)")+SUMIFS($E$134:$E$193,$B$134:$B$193,$A107,$I$134:$I$193,"Pago"),2)</f>
        <v/>
      </c>
      <c r="E107" s="56">
        <f>IF($C107="","",ROUND($D107-$C107,2))</f>
        <v/>
      </c>
      <c r="F107" s="38" t="n"/>
      <c r="G107" s="89">
        <f>ROUND(SUMIFS($E$134:$E$193,$B$134:$B$193,$A107,$I$134:$I$193,"A comprar"),2)</f>
        <v/>
      </c>
      <c r="H107" s="90">
        <f>ROUND(SUMIFS($E$134:$E$193,$B$134:$B$193,$A107,$I$134:$I$193,"Comprado (a pagar)"),2)</f>
        <v/>
      </c>
      <c r="I107" s="38" t="n"/>
      <c r="J107" s="38" t="n"/>
      <c r="K107" s="38" t="n"/>
      <c r="L107" s="38" t="n"/>
      <c r="M107" s="38" t="n"/>
      <c r="N107" s="38" t="n"/>
      <c r="O107" s="38" t="n"/>
    </row>
    <row r="108" ht="20" customHeight="1">
      <c r="A108" s="31" t="inlineStr">
        <is>
          <t>(=) SUBTOTAL · SERVIÇOS TERCEIRIZADOS</t>
        </is>
      </c>
      <c r="B108" s="32" t="n"/>
      <c r="C108" s="60">
        <f>ROUND(SUM(C104:C107),2)</f>
        <v/>
      </c>
      <c r="D108" s="60">
        <f>ROUND(SUM(D104:D107),2)</f>
        <v/>
      </c>
      <c r="E108" s="60">
        <f>ROUND(SUM(E104:E107),2)</f>
        <v/>
      </c>
      <c r="F108" s="32" t="n"/>
      <c r="G108" s="60">
        <f>ROUND(SUM(G104:G107),2)</f>
        <v/>
      </c>
      <c r="H108" s="60">
        <f>ROUND(SUM(H104:H107),2)</f>
        <v/>
      </c>
      <c r="I108" s="32" t="n"/>
      <c r="J108" s="32" t="n"/>
      <c r="K108" s="32" t="n"/>
      <c r="L108" s="32" t="n"/>
      <c r="M108" s="32" t="n"/>
      <c r="N108" s="32" t="n"/>
      <c r="O108" s="32" t="n"/>
    </row>
    <row r="109" ht="17" customHeight="1">
      <c r="A109" s="36" t="inlineStr">
        <is>
          <t>Uber e aplicativo</t>
        </is>
      </c>
      <c r="B109" s="37" t="n"/>
      <c r="C109" s="71" t="n"/>
      <c r="D109" s="56">
        <f>ROUND(SUMIFS($E$134:$E$193,$B$134:$B$193,$A109,$I$134:$I$193,"Comprado (a pagar)")+SUMIFS($E$134:$E$193,$B$134:$B$193,$A109,$I$134:$I$193,"Pago"),2)</f>
        <v/>
      </c>
      <c r="E109" s="56">
        <f>IF($C109="","",ROUND($D109-$C109,2))</f>
        <v/>
      </c>
      <c r="F109" s="38" t="n"/>
      <c r="G109" s="89">
        <f>ROUND(SUMIFS($E$134:$E$193,$B$134:$B$193,$A109,$I$134:$I$193,"A comprar"),2)</f>
        <v/>
      </c>
      <c r="H109" s="90">
        <f>ROUND(SUMIFS($E$134:$E$193,$B$134:$B$193,$A109,$I$134:$I$193,"Comprado (a pagar)"),2)</f>
        <v/>
      </c>
      <c r="I109" s="38" t="n"/>
      <c r="J109" s="38" t="n"/>
      <c r="K109" s="38" t="n"/>
      <c r="L109" s="38" t="n"/>
      <c r="M109" s="38" t="n"/>
      <c r="N109" s="38" t="n"/>
      <c r="O109" s="38" t="n"/>
    </row>
    <row r="110" ht="17" customHeight="1">
      <c r="A110" s="36" t="inlineStr">
        <is>
          <t>Carreto e entrega</t>
        </is>
      </c>
      <c r="B110" s="37" t="n"/>
      <c r="C110" s="71" t="n"/>
      <c r="D110" s="56">
        <f>ROUND(SUMIFS($E$134:$E$193,$B$134:$B$193,$A110,$I$134:$I$193,"Comprado (a pagar)")+SUMIFS($E$134:$E$193,$B$134:$B$193,$A110,$I$134:$I$193,"Pago"),2)</f>
        <v/>
      </c>
      <c r="E110" s="56">
        <f>IF($C110="","",ROUND($D110-$C110,2))</f>
        <v/>
      </c>
      <c r="F110" s="38" t="n"/>
      <c r="G110" s="89">
        <f>ROUND(SUMIFS($E$134:$E$193,$B$134:$B$193,$A110,$I$134:$I$193,"A comprar"),2)</f>
        <v/>
      </c>
      <c r="H110" s="90">
        <f>ROUND(SUMIFS($E$134:$E$193,$B$134:$B$193,$A110,$I$134:$I$193,"Comprado (a pagar)"),2)</f>
        <v/>
      </c>
      <c r="I110" s="38" t="n"/>
      <c r="J110" s="38" t="n"/>
      <c r="K110" s="38" t="n"/>
      <c r="L110" s="38" t="n"/>
      <c r="M110" s="38" t="n"/>
      <c r="N110" s="38" t="n"/>
      <c r="O110" s="38" t="n"/>
    </row>
    <row r="111" ht="17" customHeight="1">
      <c r="A111" s="36" t="inlineStr">
        <is>
          <t>Deslocamento da equipe</t>
        </is>
      </c>
      <c r="B111" s="37" t="n"/>
      <c r="C111" s="71" t="n"/>
      <c r="D111" s="56">
        <f>ROUND(SUMIFS($E$134:$E$193,$B$134:$B$193,$A111,$I$134:$I$193,"Comprado (a pagar)")+SUMIFS($E$134:$E$193,$B$134:$B$193,$A111,$I$134:$I$193,"Pago"),2)</f>
        <v/>
      </c>
      <c r="E111" s="56">
        <f>IF($C111="","",ROUND($D111-$C111,2))</f>
        <v/>
      </c>
      <c r="F111" s="38" t="n"/>
      <c r="G111" s="89">
        <f>ROUND(SUMIFS($E$134:$E$193,$B$134:$B$193,$A111,$I$134:$I$193,"A comprar"),2)</f>
        <v/>
      </c>
      <c r="H111" s="90">
        <f>ROUND(SUMIFS($E$134:$E$193,$B$134:$B$193,$A111,$I$134:$I$193,"Comprado (a pagar)"),2)</f>
        <v/>
      </c>
      <c r="I111" s="38" t="n"/>
      <c r="J111" s="38" t="n"/>
      <c r="K111" s="38" t="n"/>
      <c r="L111" s="38" t="n"/>
      <c r="M111" s="38" t="n"/>
      <c r="N111" s="38" t="n"/>
      <c r="O111" s="38" t="n"/>
    </row>
    <row r="112" ht="17" customHeight="1">
      <c r="A112" s="36" t="inlineStr">
        <is>
          <t>Frete de material</t>
        </is>
      </c>
      <c r="B112" s="37" t="n"/>
      <c r="C112" s="71" t="n"/>
      <c r="D112" s="56">
        <f>ROUND(SUMIFS($E$134:$E$193,$B$134:$B$193,$A112,$I$134:$I$193,"Comprado (a pagar)")+SUMIFS($E$134:$E$193,$B$134:$B$193,$A112,$I$134:$I$193,"Pago"),2)</f>
        <v/>
      </c>
      <c r="E112" s="56">
        <f>IF($C112="","",ROUND($D112-$C112,2))</f>
        <v/>
      </c>
      <c r="F112" s="38" t="n"/>
      <c r="G112" s="89">
        <f>ROUND(SUMIFS($E$134:$E$193,$B$134:$B$193,$A112,$I$134:$I$193,"A comprar"),2)</f>
        <v/>
      </c>
      <c r="H112" s="90">
        <f>ROUND(SUMIFS($E$134:$E$193,$B$134:$B$193,$A112,$I$134:$I$193,"Comprado (a pagar)"),2)</f>
        <v/>
      </c>
      <c r="I112" s="38" t="n"/>
      <c r="J112" s="38" t="n"/>
      <c r="K112" s="38" t="n"/>
      <c r="L112" s="38" t="n"/>
      <c r="M112" s="38" t="n"/>
      <c r="N112" s="38" t="n"/>
      <c r="O112" s="38" t="n"/>
    </row>
    <row r="113" ht="17" customHeight="1">
      <c r="A113" s="36" t="inlineStr">
        <is>
          <t>Estacionamento e pedágio</t>
        </is>
      </c>
      <c r="B113" s="37" t="n"/>
      <c r="C113" s="71" t="n"/>
      <c r="D113" s="56">
        <f>ROUND(SUMIFS($E$134:$E$193,$B$134:$B$193,$A113,$I$134:$I$193,"Comprado (a pagar)")+SUMIFS($E$134:$E$193,$B$134:$B$193,$A113,$I$134:$I$193,"Pago"),2)</f>
        <v/>
      </c>
      <c r="E113" s="56">
        <f>IF($C113="","",ROUND($D113-$C113,2))</f>
        <v/>
      </c>
      <c r="F113" s="38" t="n"/>
      <c r="G113" s="89">
        <f>ROUND(SUMIFS($E$134:$E$193,$B$134:$B$193,$A113,$I$134:$I$193,"A comprar"),2)</f>
        <v/>
      </c>
      <c r="H113" s="90">
        <f>ROUND(SUMIFS($E$134:$E$193,$B$134:$B$193,$A113,$I$134:$I$193,"Comprado (a pagar)"),2)</f>
        <v/>
      </c>
      <c r="I113" s="38" t="n"/>
      <c r="J113" s="38" t="n"/>
      <c r="K113" s="38" t="n"/>
      <c r="L113" s="38" t="n"/>
      <c r="M113" s="38" t="n"/>
      <c r="N113" s="38" t="n"/>
      <c r="O113" s="38" t="n"/>
    </row>
    <row r="114" ht="20" customHeight="1">
      <c r="A114" s="31" t="inlineStr">
        <is>
          <t>(=) SUBTOTAL · LOGÍSTICA</t>
        </is>
      </c>
      <c r="B114" s="32" t="n"/>
      <c r="C114" s="60">
        <f>ROUND(SUM(C109:C113),2)</f>
        <v/>
      </c>
      <c r="D114" s="60">
        <f>ROUND(SUM(D109:D113),2)</f>
        <v/>
      </c>
      <c r="E114" s="60">
        <f>ROUND(SUM(E109:E113),2)</f>
        <v/>
      </c>
      <c r="F114" s="32" t="n"/>
      <c r="G114" s="60">
        <f>ROUND(SUM(G109:G113),2)</f>
        <v/>
      </c>
      <c r="H114" s="60">
        <f>ROUND(SUM(H109:H113),2)</f>
        <v/>
      </c>
      <c r="I114" s="32" t="n"/>
      <c r="J114" s="32" t="n"/>
      <c r="K114" s="32" t="n"/>
      <c r="L114" s="32" t="n"/>
      <c r="M114" s="32" t="n"/>
      <c r="N114" s="32" t="n"/>
      <c r="O114" s="32" t="n"/>
    </row>
    <row r="115" ht="8" customHeight="1"/>
    <row r="116" ht="20" customHeight="1">
      <c r="A116" s="8" t="inlineStr">
        <is>
          <t xml:space="preserve">  7 · RETRABALHO          o que aconteceu, por que aconteceu e quanto custou — é aqui que o orçamento aprende</t>
        </is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</row>
    <row r="117" ht="26" customHeight="1">
      <c r="A117" s="19" t="inlineStr">
        <is>
          <t>O que aconteceu</t>
        </is>
      </c>
      <c r="B117" s="19" t="inlineStr">
        <is>
          <t>Causa</t>
        </is>
      </c>
      <c r="C117" s="35" t="n"/>
      <c r="D117" s="35" t="n"/>
      <c r="E117" s="19" t="inlineStr">
        <is>
          <t>Custo estimado (R$)</t>
        </is>
      </c>
      <c r="F117" s="35" t="n"/>
      <c r="G117" s="19" t="inlineStr">
        <is>
          <t>Providência / responsável</t>
        </is>
      </c>
      <c r="H117" s="35" t="n"/>
      <c r="I117" s="35" t="n"/>
      <c r="J117" s="35" t="n"/>
      <c r="K117" s="35" t="n"/>
      <c r="L117" s="35" t="n"/>
      <c r="M117" s="35" t="n"/>
      <c r="N117" s="35" t="n"/>
      <c r="O117" s="35" t="n"/>
    </row>
    <row r="118" ht="18" customHeight="1">
      <c r="A118" s="83" t="n"/>
      <c r="B118" s="83" t="n"/>
      <c r="C118" s="46" t="n"/>
      <c r="D118" s="46" t="n"/>
      <c r="E118" s="91" t="n"/>
      <c r="F118" s="46" t="n"/>
      <c r="G118" s="73" t="n"/>
      <c r="H118" s="46" t="n"/>
      <c r="I118" s="46" t="n"/>
      <c r="J118" s="46" t="n"/>
      <c r="K118" s="46" t="n"/>
      <c r="L118" s="46" t="n"/>
      <c r="M118" s="46" t="n"/>
      <c r="N118" s="46" t="n"/>
      <c r="O118" s="46" t="n"/>
    </row>
    <row r="119" ht="18" customHeight="1">
      <c r="A119" s="83" t="n"/>
      <c r="B119" s="83" t="n"/>
      <c r="C119" s="46" t="n"/>
      <c r="D119" s="46" t="n"/>
      <c r="E119" s="91" t="n"/>
      <c r="F119" s="46" t="n"/>
      <c r="G119" s="73" t="n"/>
      <c r="H119" s="46" t="n"/>
      <c r="I119" s="46" t="n"/>
      <c r="J119" s="46" t="n"/>
      <c r="K119" s="46" t="n"/>
      <c r="L119" s="46" t="n"/>
      <c r="M119" s="46" t="n"/>
      <c r="N119" s="46" t="n"/>
      <c r="O119" s="46" t="n"/>
    </row>
    <row r="120" ht="18" customHeight="1">
      <c r="A120" s="83" t="n"/>
      <c r="B120" s="83" t="n"/>
      <c r="C120" s="46" t="n"/>
      <c r="D120" s="46" t="n"/>
      <c r="E120" s="91" t="n"/>
      <c r="F120" s="46" t="n"/>
      <c r="G120" s="73" t="n"/>
      <c r="H120" s="46" t="n"/>
      <c r="I120" s="46" t="n"/>
      <c r="J120" s="46" t="n"/>
      <c r="K120" s="46" t="n"/>
      <c r="L120" s="46" t="n"/>
      <c r="M120" s="46" t="n"/>
      <c r="N120" s="46" t="n"/>
      <c r="O120" s="46" t="n"/>
    </row>
    <row r="121" ht="18" customHeight="1">
      <c r="A121" s="83" t="n"/>
      <c r="B121" s="83" t="n"/>
      <c r="C121" s="46" t="n"/>
      <c r="D121" s="46" t="n"/>
      <c r="E121" s="91" t="n"/>
      <c r="F121" s="46" t="n"/>
      <c r="G121" s="73" t="n"/>
      <c r="H121" s="46" t="n"/>
      <c r="I121" s="46" t="n"/>
      <c r="J121" s="46" t="n"/>
      <c r="K121" s="46" t="n"/>
      <c r="L121" s="46" t="n"/>
      <c r="M121" s="46" t="n"/>
      <c r="N121" s="46" t="n"/>
      <c r="O121" s="46" t="n"/>
    </row>
    <row r="122" ht="18" customHeight="1">
      <c r="A122" s="83" t="n"/>
      <c r="B122" s="83" t="n"/>
      <c r="C122" s="46" t="n"/>
      <c r="D122" s="46" t="n"/>
      <c r="E122" s="91" t="n"/>
      <c r="F122" s="46" t="n"/>
      <c r="G122" s="73" t="n"/>
      <c r="H122" s="46" t="n"/>
      <c r="I122" s="46" t="n"/>
      <c r="J122" s="46" t="n"/>
      <c r="K122" s="46" t="n"/>
      <c r="L122" s="46" t="n"/>
      <c r="M122" s="46" t="n"/>
      <c r="N122" s="46" t="n"/>
      <c r="O122" s="46" t="n"/>
    </row>
    <row r="123" ht="18" customHeight="1">
      <c r="A123" s="83" t="n"/>
      <c r="B123" s="83" t="n"/>
      <c r="C123" s="46" t="n"/>
      <c r="D123" s="46" t="n"/>
      <c r="E123" s="91" t="n"/>
      <c r="F123" s="46" t="n"/>
      <c r="G123" s="73" t="n"/>
      <c r="H123" s="46" t="n"/>
      <c r="I123" s="46" t="n"/>
      <c r="J123" s="46" t="n"/>
      <c r="K123" s="46" t="n"/>
      <c r="L123" s="46" t="n"/>
      <c r="M123" s="46" t="n"/>
      <c r="N123" s="46" t="n"/>
      <c r="O123" s="46" t="n"/>
    </row>
    <row r="124" ht="18" customHeight="1">
      <c r="A124" s="83" t="n"/>
      <c r="B124" s="83" t="n"/>
      <c r="C124" s="46" t="n"/>
      <c r="D124" s="46" t="n"/>
      <c r="E124" s="91" t="n"/>
      <c r="F124" s="46" t="n"/>
      <c r="G124" s="73" t="n"/>
      <c r="H124" s="46" t="n"/>
      <c r="I124" s="46" t="n"/>
      <c r="J124" s="46" t="n"/>
      <c r="K124" s="46" t="n"/>
      <c r="L124" s="46" t="n"/>
      <c r="M124" s="46" t="n"/>
      <c r="N124" s="46" t="n"/>
      <c r="O124" s="46" t="n"/>
    </row>
    <row r="125" ht="18" customHeight="1">
      <c r="A125" s="83" t="n"/>
      <c r="B125" s="83" t="n"/>
      <c r="C125" s="46" t="n"/>
      <c r="D125" s="46" t="n"/>
      <c r="E125" s="91" t="n"/>
      <c r="F125" s="46" t="n"/>
      <c r="G125" s="73" t="n"/>
      <c r="H125" s="46" t="n"/>
      <c r="I125" s="46" t="n"/>
      <c r="J125" s="46" t="n"/>
      <c r="K125" s="46" t="n"/>
      <c r="L125" s="46" t="n"/>
      <c r="M125" s="46" t="n"/>
      <c r="N125" s="46" t="n"/>
      <c r="O125" s="46" t="n"/>
    </row>
    <row r="126" ht="18" customHeight="1">
      <c r="A126" s="83" t="n"/>
      <c r="B126" s="83" t="n"/>
      <c r="C126" s="46" t="n"/>
      <c r="D126" s="46" t="n"/>
      <c r="E126" s="91" t="n"/>
      <c r="F126" s="46" t="n"/>
      <c r="G126" s="73" t="n"/>
      <c r="H126" s="46" t="n"/>
      <c r="I126" s="46" t="n"/>
      <c r="J126" s="46" t="n"/>
      <c r="K126" s="46" t="n"/>
      <c r="L126" s="46" t="n"/>
      <c r="M126" s="46" t="n"/>
      <c r="N126" s="46" t="n"/>
      <c r="O126" s="46" t="n"/>
    </row>
    <row r="127" ht="18" customHeight="1">
      <c r="A127" s="83" t="n"/>
      <c r="B127" s="83" t="n"/>
      <c r="C127" s="46" t="n"/>
      <c r="D127" s="46" t="n"/>
      <c r="E127" s="91" t="n"/>
      <c r="F127" s="46" t="n"/>
      <c r="G127" s="73" t="n"/>
      <c r="H127" s="46" t="n"/>
      <c r="I127" s="46" t="n"/>
      <c r="J127" s="46" t="n"/>
      <c r="K127" s="46" t="n"/>
      <c r="L127" s="46" t="n"/>
      <c r="M127" s="46" t="n"/>
      <c r="N127" s="46" t="n"/>
      <c r="O127" s="46" t="n"/>
    </row>
    <row r="128" ht="18" customHeight="1">
      <c r="A128" s="83" t="n"/>
      <c r="B128" s="83" t="n"/>
      <c r="C128" s="46" t="n"/>
      <c r="D128" s="46" t="n"/>
      <c r="E128" s="91" t="n"/>
      <c r="F128" s="46" t="n"/>
      <c r="G128" s="73" t="n"/>
      <c r="H128" s="46" t="n"/>
      <c r="I128" s="46" t="n"/>
      <c r="J128" s="46" t="n"/>
      <c r="K128" s="46" t="n"/>
      <c r="L128" s="46" t="n"/>
      <c r="M128" s="46" t="n"/>
      <c r="N128" s="46" t="n"/>
      <c r="O128" s="46" t="n"/>
    </row>
    <row r="129" ht="18" customHeight="1">
      <c r="A129" s="83" t="n"/>
      <c r="B129" s="83" t="n"/>
      <c r="C129" s="46" t="n"/>
      <c r="D129" s="46" t="n"/>
      <c r="E129" s="91" t="n"/>
      <c r="F129" s="46" t="n"/>
      <c r="G129" s="73" t="n"/>
      <c r="H129" s="46" t="n"/>
      <c r="I129" s="46" t="n"/>
      <c r="J129" s="46" t="n"/>
      <c r="K129" s="46" t="n"/>
      <c r="L129" s="46" t="n"/>
      <c r="M129" s="46" t="n"/>
      <c r="N129" s="46" t="n"/>
      <c r="O129" s="46" t="n"/>
    </row>
    <row r="130" ht="20" customHeight="1">
      <c r="A130" s="31" t="inlineStr">
        <is>
          <t>CONTINGÊNCIA PREVISTA NO ORÇAMENTO  →</t>
        </is>
      </c>
      <c r="B130" s="32" t="n"/>
      <c r="C130" s="92" t="n"/>
      <c r="D130" s="60">
        <f>ROUND(SUM($E$118:$E$129),2)</f>
        <v/>
      </c>
      <c r="E130" s="60">
        <f>ROUND($D$130-IF($C$130="",0,$C$130),2)</f>
        <v/>
      </c>
      <c r="F130" s="32" t="n"/>
      <c r="G130" s="62">
        <f>IF(OR($A$13="",$A$13=0),"",$D$130/$A$13)</f>
        <v/>
      </c>
      <c r="H130" s="93" t="inlineStr">
        <is>
          <t>orçado = a contingência prevista · realizado = a soma acima</t>
        </is>
      </c>
      <c r="I130" s="32" t="n"/>
      <c r="J130" s="32" t="n"/>
      <c r="K130" s="32" t="n"/>
      <c r="L130" s="32" t="n"/>
      <c r="M130" s="32" t="n"/>
      <c r="N130" s="32" t="n"/>
      <c r="O130" s="32" t="n"/>
    </row>
    <row r="131" ht="8" customHeight="1"/>
    <row r="132" ht="20" customHeight="1">
      <c r="A132" s="8" t="inlineStr">
        <is>
          <t xml:space="preserve">  8 · LIVRO DE COMPRAS E DESPESAS DO PROJETO          uma linha por compra, na ordem em que acontecer · pode inserir linhas à vontade aqui</t>
        </is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</row>
    <row r="133" ht="28" customHeight="1">
      <c r="A133" s="19" t="inlineStr">
        <is>
          <t>Descrição / fornecedor</t>
        </is>
      </c>
      <c r="B133" s="19" t="inlineStr">
        <is>
          <t>Categoria</t>
        </is>
      </c>
      <c r="C133" s="35" t="n"/>
      <c r="D133" s="19" t="inlineStr">
        <is>
          <t>Data</t>
        </is>
      </c>
      <c r="E133" s="19" t="inlineStr">
        <is>
          <t>Valor (R$)</t>
        </is>
      </c>
      <c r="F133" s="35" t="n"/>
      <c r="G133" s="19" t="inlineStr">
        <is>
          <t>Forma de pagamento</t>
        </is>
      </c>
      <c r="H133" s="35" t="n"/>
      <c r="I133" s="19" t="inlineStr">
        <is>
          <t>Status</t>
        </is>
      </c>
      <c r="J133" s="35" t="n"/>
      <c r="K133" s="35" t="n"/>
      <c r="L133" s="35" t="n"/>
      <c r="M133" s="35" t="n"/>
      <c r="N133" s="35" t="n"/>
      <c r="O133" s="35" t="n"/>
    </row>
    <row r="134" ht="17" customHeight="1">
      <c r="A134" s="83" t="n"/>
      <c r="B134" s="94" t="n"/>
      <c r="C134" s="46" t="n"/>
      <c r="D134" s="75" t="n"/>
      <c r="E134" s="95" t="n"/>
      <c r="F134" s="46" t="n"/>
      <c r="G134" s="96" t="n"/>
      <c r="H134" s="46" t="n"/>
      <c r="I134" s="97" t="n"/>
      <c r="J134" s="46" t="n"/>
      <c r="K134" s="46" t="n"/>
      <c r="L134" s="46" t="n"/>
      <c r="M134" s="46" t="n"/>
      <c r="N134" s="46" t="n"/>
      <c r="O134" s="46" t="n"/>
    </row>
    <row r="135" ht="17" customHeight="1">
      <c r="A135" s="83" t="n"/>
      <c r="B135" s="94" t="n"/>
      <c r="C135" s="46" t="n"/>
      <c r="D135" s="75" t="n"/>
      <c r="E135" s="95" t="n"/>
      <c r="F135" s="46" t="n"/>
      <c r="G135" s="96" t="n"/>
      <c r="H135" s="46" t="n"/>
      <c r="I135" s="97" t="n"/>
      <c r="J135" s="46" t="n"/>
      <c r="K135" s="46" t="n"/>
      <c r="L135" s="46" t="n"/>
      <c r="M135" s="46" t="n"/>
      <c r="N135" s="46" t="n"/>
      <c r="O135" s="46" t="n"/>
    </row>
    <row r="136" ht="17" customHeight="1">
      <c r="A136" s="83" t="n"/>
      <c r="B136" s="94" t="n"/>
      <c r="C136" s="46" t="n"/>
      <c r="D136" s="75" t="n"/>
      <c r="E136" s="95" t="n"/>
      <c r="F136" s="46" t="n"/>
      <c r="G136" s="96" t="n"/>
      <c r="H136" s="46" t="n"/>
      <c r="I136" s="97" t="n"/>
      <c r="J136" s="46" t="n"/>
      <c r="K136" s="46" t="n"/>
      <c r="L136" s="46" t="n"/>
      <c r="M136" s="46" t="n"/>
      <c r="N136" s="46" t="n"/>
      <c r="O136" s="46" t="n"/>
    </row>
    <row r="137" ht="17" customHeight="1">
      <c r="A137" s="83" t="n"/>
      <c r="B137" s="94" t="n"/>
      <c r="C137" s="46" t="n"/>
      <c r="D137" s="75" t="n"/>
      <c r="E137" s="95" t="n"/>
      <c r="F137" s="46" t="n"/>
      <c r="G137" s="96" t="n"/>
      <c r="H137" s="46" t="n"/>
      <c r="I137" s="97" t="n"/>
      <c r="J137" s="46" t="n"/>
      <c r="K137" s="46" t="n"/>
      <c r="L137" s="46" t="n"/>
      <c r="M137" s="46" t="n"/>
      <c r="N137" s="46" t="n"/>
      <c r="O137" s="46" t="n"/>
    </row>
    <row r="138" ht="17" customHeight="1">
      <c r="A138" s="83" t="n"/>
      <c r="B138" s="94" t="n"/>
      <c r="C138" s="46" t="n"/>
      <c r="D138" s="75" t="n"/>
      <c r="E138" s="95" t="n"/>
      <c r="F138" s="46" t="n"/>
      <c r="G138" s="96" t="n"/>
      <c r="H138" s="46" t="n"/>
      <c r="I138" s="97" t="n"/>
      <c r="J138" s="46" t="n"/>
      <c r="K138" s="46" t="n"/>
      <c r="L138" s="46" t="n"/>
      <c r="M138" s="46" t="n"/>
      <c r="N138" s="46" t="n"/>
      <c r="O138" s="46" t="n"/>
    </row>
    <row r="139" ht="17" customHeight="1">
      <c r="A139" s="83" t="n"/>
      <c r="B139" s="94" t="n"/>
      <c r="C139" s="46" t="n"/>
      <c r="D139" s="75" t="n"/>
      <c r="E139" s="95" t="n"/>
      <c r="F139" s="46" t="n"/>
      <c r="G139" s="96" t="n"/>
      <c r="H139" s="46" t="n"/>
      <c r="I139" s="97" t="n"/>
      <c r="J139" s="46" t="n"/>
      <c r="K139" s="46" t="n"/>
      <c r="L139" s="46" t="n"/>
      <c r="M139" s="46" t="n"/>
      <c r="N139" s="46" t="n"/>
      <c r="O139" s="46" t="n"/>
    </row>
    <row r="140" ht="17" customHeight="1">
      <c r="A140" s="83" t="n"/>
      <c r="B140" s="94" t="n"/>
      <c r="C140" s="46" t="n"/>
      <c r="D140" s="75" t="n"/>
      <c r="E140" s="95" t="n"/>
      <c r="F140" s="46" t="n"/>
      <c r="G140" s="96" t="n"/>
      <c r="H140" s="46" t="n"/>
      <c r="I140" s="97" t="n"/>
      <c r="J140" s="46" t="n"/>
      <c r="K140" s="46" t="n"/>
      <c r="L140" s="46" t="n"/>
      <c r="M140" s="46" t="n"/>
      <c r="N140" s="46" t="n"/>
      <c r="O140" s="46" t="n"/>
    </row>
    <row r="141" ht="17" customHeight="1">
      <c r="A141" s="83" t="n"/>
      <c r="B141" s="94" t="n"/>
      <c r="C141" s="46" t="n"/>
      <c r="D141" s="75" t="n"/>
      <c r="E141" s="95" t="n"/>
      <c r="F141" s="46" t="n"/>
      <c r="G141" s="96" t="n"/>
      <c r="H141" s="46" t="n"/>
      <c r="I141" s="97" t="n"/>
      <c r="J141" s="46" t="n"/>
      <c r="K141" s="46" t="n"/>
      <c r="L141" s="46" t="n"/>
      <c r="M141" s="46" t="n"/>
      <c r="N141" s="46" t="n"/>
      <c r="O141" s="46" t="n"/>
    </row>
    <row r="142" ht="17" customHeight="1">
      <c r="A142" s="83" t="n"/>
      <c r="B142" s="94" t="n"/>
      <c r="C142" s="46" t="n"/>
      <c r="D142" s="75" t="n"/>
      <c r="E142" s="95" t="n"/>
      <c r="F142" s="46" t="n"/>
      <c r="G142" s="96" t="n"/>
      <c r="H142" s="46" t="n"/>
      <c r="I142" s="97" t="n"/>
      <c r="J142" s="46" t="n"/>
      <c r="K142" s="46" t="n"/>
      <c r="L142" s="46" t="n"/>
      <c r="M142" s="46" t="n"/>
      <c r="N142" s="46" t="n"/>
      <c r="O142" s="46" t="n"/>
    </row>
    <row r="143" ht="17" customHeight="1">
      <c r="A143" s="83" t="n"/>
      <c r="B143" s="94" t="n"/>
      <c r="C143" s="46" t="n"/>
      <c r="D143" s="75" t="n"/>
      <c r="E143" s="95" t="n"/>
      <c r="F143" s="46" t="n"/>
      <c r="G143" s="96" t="n"/>
      <c r="H143" s="46" t="n"/>
      <c r="I143" s="97" t="n"/>
      <c r="J143" s="46" t="n"/>
      <c r="K143" s="46" t="n"/>
      <c r="L143" s="46" t="n"/>
      <c r="M143" s="46" t="n"/>
      <c r="N143" s="46" t="n"/>
      <c r="O143" s="46" t="n"/>
    </row>
    <row r="144" ht="17" customHeight="1">
      <c r="A144" s="83" t="n"/>
      <c r="B144" s="94" t="n"/>
      <c r="C144" s="46" t="n"/>
      <c r="D144" s="75" t="n"/>
      <c r="E144" s="95" t="n"/>
      <c r="F144" s="46" t="n"/>
      <c r="G144" s="96" t="n"/>
      <c r="H144" s="46" t="n"/>
      <c r="I144" s="97" t="n"/>
      <c r="J144" s="46" t="n"/>
      <c r="K144" s="46" t="n"/>
      <c r="L144" s="46" t="n"/>
      <c r="M144" s="46" t="n"/>
      <c r="N144" s="46" t="n"/>
      <c r="O144" s="46" t="n"/>
    </row>
    <row r="145" ht="17" customHeight="1">
      <c r="A145" s="83" t="n"/>
      <c r="B145" s="94" t="n"/>
      <c r="C145" s="46" t="n"/>
      <c r="D145" s="75" t="n"/>
      <c r="E145" s="95" t="n"/>
      <c r="F145" s="46" t="n"/>
      <c r="G145" s="96" t="n"/>
      <c r="H145" s="46" t="n"/>
      <c r="I145" s="97" t="n"/>
      <c r="J145" s="46" t="n"/>
      <c r="K145" s="46" t="n"/>
      <c r="L145" s="46" t="n"/>
      <c r="M145" s="46" t="n"/>
      <c r="N145" s="46" t="n"/>
      <c r="O145" s="46" t="n"/>
    </row>
    <row r="146" ht="17" customHeight="1">
      <c r="A146" s="83" t="n"/>
      <c r="B146" s="94" t="n"/>
      <c r="C146" s="46" t="n"/>
      <c r="D146" s="75" t="n"/>
      <c r="E146" s="95" t="n"/>
      <c r="F146" s="46" t="n"/>
      <c r="G146" s="96" t="n"/>
      <c r="H146" s="46" t="n"/>
      <c r="I146" s="97" t="n"/>
      <c r="J146" s="46" t="n"/>
      <c r="K146" s="46" t="n"/>
      <c r="L146" s="46" t="n"/>
      <c r="M146" s="46" t="n"/>
      <c r="N146" s="46" t="n"/>
      <c r="O146" s="46" t="n"/>
    </row>
    <row r="147" ht="17" customHeight="1">
      <c r="A147" s="83" t="n"/>
      <c r="B147" s="94" t="n"/>
      <c r="C147" s="46" t="n"/>
      <c r="D147" s="75" t="n"/>
      <c r="E147" s="95" t="n"/>
      <c r="F147" s="46" t="n"/>
      <c r="G147" s="96" t="n"/>
      <c r="H147" s="46" t="n"/>
      <c r="I147" s="97" t="n"/>
      <c r="J147" s="46" t="n"/>
      <c r="K147" s="46" t="n"/>
      <c r="L147" s="46" t="n"/>
      <c r="M147" s="46" t="n"/>
      <c r="N147" s="46" t="n"/>
      <c r="O147" s="46" t="n"/>
    </row>
    <row r="148" ht="17" customHeight="1">
      <c r="A148" s="83" t="n"/>
      <c r="B148" s="94" t="n"/>
      <c r="C148" s="46" t="n"/>
      <c r="D148" s="75" t="n"/>
      <c r="E148" s="95" t="n"/>
      <c r="F148" s="46" t="n"/>
      <c r="G148" s="96" t="n"/>
      <c r="H148" s="46" t="n"/>
      <c r="I148" s="97" t="n"/>
      <c r="J148" s="46" t="n"/>
      <c r="K148" s="46" t="n"/>
      <c r="L148" s="46" t="n"/>
      <c r="M148" s="46" t="n"/>
      <c r="N148" s="46" t="n"/>
      <c r="O148" s="46" t="n"/>
    </row>
    <row r="149" ht="17" customHeight="1">
      <c r="A149" s="83" t="n"/>
      <c r="B149" s="94" t="n"/>
      <c r="C149" s="46" t="n"/>
      <c r="D149" s="75" t="n"/>
      <c r="E149" s="95" t="n"/>
      <c r="F149" s="46" t="n"/>
      <c r="G149" s="96" t="n"/>
      <c r="H149" s="46" t="n"/>
      <c r="I149" s="97" t="n"/>
      <c r="J149" s="46" t="n"/>
      <c r="K149" s="46" t="n"/>
      <c r="L149" s="46" t="n"/>
      <c r="M149" s="46" t="n"/>
      <c r="N149" s="46" t="n"/>
      <c r="O149" s="46" t="n"/>
    </row>
    <row r="150" ht="17" customHeight="1">
      <c r="A150" s="83" t="n"/>
      <c r="B150" s="94" t="n"/>
      <c r="C150" s="46" t="n"/>
      <c r="D150" s="75" t="n"/>
      <c r="E150" s="95" t="n"/>
      <c r="F150" s="46" t="n"/>
      <c r="G150" s="96" t="n"/>
      <c r="H150" s="46" t="n"/>
      <c r="I150" s="97" t="n"/>
      <c r="J150" s="46" t="n"/>
      <c r="K150" s="46" t="n"/>
      <c r="L150" s="46" t="n"/>
      <c r="M150" s="46" t="n"/>
      <c r="N150" s="46" t="n"/>
      <c r="O150" s="46" t="n"/>
    </row>
    <row r="151" ht="17" customHeight="1">
      <c r="A151" s="83" t="n"/>
      <c r="B151" s="94" t="n"/>
      <c r="C151" s="46" t="n"/>
      <c r="D151" s="75" t="n"/>
      <c r="E151" s="95" t="n"/>
      <c r="F151" s="46" t="n"/>
      <c r="G151" s="96" t="n"/>
      <c r="H151" s="46" t="n"/>
      <c r="I151" s="97" t="n"/>
      <c r="J151" s="46" t="n"/>
      <c r="K151" s="46" t="n"/>
      <c r="L151" s="46" t="n"/>
      <c r="M151" s="46" t="n"/>
      <c r="N151" s="46" t="n"/>
      <c r="O151" s="46" t="n"/>
    </row>
    <row r="152" ht="17" customHeight="1">
      <c r="A152" s="83" t="n"/>
      <c r="B152" s="94" t="n"/>
      <c r="C152" s="46" t="n"/>
      <c r="D152" s="75" t="n"/>
      <c r="E152" s="95" t="n"/>
      <c r="F152" s="46" t="n"/>
      <c r="G152" s="96" t="n"/>
      <c r="H152" s="46" t="n"/>
      <c r="I152" s="97" t="n"/>
      <c r="J152" s="46" t="n"/>
      <c r="K152" s="46" t="n"/>
      <c r="L152" s="46" t="n"/>
      <c r="M152" s="46" t="n"/>
      <c r="N152" s="46" t="n"/>
      <c r="O152" s="46" t="n"/>
    </row>
    <row r="153" ht="17" customHeight="1">
      <c r="A153" s="83" t="n"/>
      <c r="B153" s="94" t="n"/>
      <c r="C153" s="46" t="n"/>
      <c r="D153" s="75" t="n"/>
      <c r="E153" s="95" t="n"/>
      <c r="F153" s="46" t="n"/>
      <c r="G153" s="96" t="n"/>
      <c r="H153" s="46" t="n"/>
      <c r="I153" s="97" t="n"/>
      <c r="J153" s="46" t="n"/>
      <c r="K153" s="46" t="n"/>
      <c r="L153" s="46" t="n"/>
      <c r="M153" s="46" t="n"/>
      <c r="N153" s="46" t="n"/>
      <c r="O153" s="46" t="n"/>
    </row>
    <row r="154" ht="17" customHeight="1">
      <c r="A154" s="83" t="n"/>
      <c r="B154" s="94" t="n"/>
      <c r="C154" s="46" t="n"/>
      <c r="D154" s="75" t="n"/>
      <c r="E154" s="95" t="n"/>
      <c r="F154" s="46" t="n"/>
      <c r="G154" s="96" t="n"/>
      <c r="H154" s="46" t="n"/>
      <c r="I154" s="97" t="n"/>
      <c r="J154" s="46" t="n"/>
      <c r="K154" s="46" t="n"/>
      <c r="L154" s="46" t="n"/>
      <c r="M154" s="46" t="n"/>
      <c r="N154" s="46" t="n"/>
      <c r="O154" s="46" t="n"/>
    </row>
    <row r="155" ht="17" customHeight="1">
      <c r="A155" s="83" t="n"/>
      <c r="B155" s="94" t="n"/>
      <c r="C155" s="46" t="n"/>
      <c r="D155" s="75" t="n"/>
      <c r="E155" s="95" t="n"/>
      <c r="F155" s="46" t="n"/>
      <c r="G155" s="96" t="n"/>
      <c r="H155" s="46" t="n"/>
      <c r="I155" s="97" t="n"/>
      <c r="J155" s="46" t="n"/>
      <c r="K155" s="46" t="n"/>
      <c r="L155" s="46" t="n"/>
      <c r="M155" s="46" t="n"/>
      <c r="N155" s="46" t="n"/>
      <c r="O155" s="46" t="n"/>
    </row>
    <row r="156" ht="17" customHeight="1">
      <c r="A156" s="83" t="n"/>
      <c r="B156" s="94" t="n"/>
      <c r="C156" s="46" t="n"/>
      <c r="D156" s="75" t="n"/>
      <c r="E156" s="95" t="n"/>
      <c r="F156" s="46" t="n"/>
      <c r="G156" s="96" t="n"/>
      <c r="H156" s="46" t="n"/>
      <c r="I156" s="97" t="n"/>
      <c r="J156" s="46" t="n"/>
      <c r="K156" s="46" t="n"/>
      <c r="L156" s="46" t="n"/>
      <c r="M156" s="46" t="n"/>
      <c r="N156" s="46" t="n"/>
      <c r="O156" s="46" t="n"/>
    </row>
    <row r="157" ht="17" customHeight="1">
      <c r="A157" s="83" t="n"/>
      <c r="B157" s="94" t="n"/>
      <c r="C157" s="46" t="n"/>
      <c r="D157" s="75" t="n"/>
      <c r="E157" s="95" t="n"/>
      <c r="F157" s="46" t="n"/>
      <c r="G157" s="96" t="n"/>
      <c r="H157" s="46" t="n"/>
      <c r="I157" s="97" t="n"/>
      <c r="J157" s="46" t="n"/>
      <c r="K157" s="46" t="n"/>
      <c r="L157" s="46" t="n"/>
      <c r="M157" s="46" t="n"/>
      <c r="N157" s="46" t="n"/>
      <c r="O157" s="46" t="n"/>
    </row>
    <row r="158" ht="17" customHeight="1">
      <c r="A158" s="83" t="n"/>
      <c r="B158" s="94" t="n"/>
      <c r="C158" s="46" t="n"/>
      <c r="D158" s="75" t="n"/>
      <c r="E158" s="95" t="n"/>
      <c r="F158" s="46" t="n"/>
      <c r="G158" s="96" t="n"/>
      <c r="H158" s="46" t="n"/>
      <c r="I158" s="97" t="n"/>
      <c r="J158" s="46" t="n"/>
      <c r="K158" s="46" t="n"/>
      <c r="L158" s="46" t="n"/>
      <c r="M158" s="46" t="n"/>
      <c r="N158" s="46" t="n"/>
      <c r="O158" s="46" t="n"/>
    </row>
    <row r="159" ht="17" customHeight="1">
      <c r="A159" s="83" t="n"/>
      <c r="B159" s="94" t="n"/>
      <c r="C159" s="46" t="n"/>
      <c r="D159" s="75" t="n"/>
      <c r="E159" s="95" t="n"/>
      <c r="F159" s="46" t="n"/>
      <c r="G159" s="96" t="n"/>
      <c r="H159" s="46" t="n"/>
      <c r="I159" s="97" t="n"/>
      <c r="J159" s="46" t="n"/>
      <c r="K159" s="46" t="n"/>
      <c r="L159" s="46" t="n"/>
      <c r="M159" s="46" t="n"/>
      <c r="N159" s="46" t="n"/>
      <c r="O159" s="46" t="n"/>
    </row>
    <row r="160" ht="17" customHeight="1">
      <c r="A160" s="83" t="n"/>
      <c r="B160" s="94" t="n"/>
      <c r="C160" s="46" t="n"/>
      <c r="D160" s="75" t="n"/>
      <c r="E160" s="95" t="n"/>
      <c r="F160" s="46" t="n"/>
      <c r="G160" s="96" t="n"/>
      <c r="H160" s="46" t="n"/>
      <c r="I160" s="97" t="n"/>
      <c r="J160" s="46" t="n"/>
      <c r="K160" s="46" t="n"/>
      <c r="L160" s="46" t="n"/>
      <c r="M160" s="46" t="n"/>
      <c r="N160" s="46" t="n"/>
      <c r="O160" s="46" t="n"/>
    </row>
    <row r="161" ht="17" customHeight="1">
      <c r="A161" s="83" t="n"/>
      <c r="B161" s="94" t="n"/>
      <c r="C161" s="46" t="n"/>
      <c r="D161" s="75" t="n"/>
      <c r="E161" s="95" t="n"/>
      <c r="F161" s="46" t="n"/>
      <c r="G161" s="96" t="n"/>
      <c r="H161" s="46" t="n"/>
      <c r="I161" s="97" t="n"/>
      <c r="J161" s="46" t="n"/>
      <c r="K161" s="46" t="n"/>
      <c r="L161" s="46" t="n"/>
      <c r="M161" s="46" t="n"/>
      <c r="N161" s="46" t="n"/>
      <c r="O161" s="46" t="n"/>
    </row>
    <row r="162" ht="17" customHeight="1">
      <c r="A162" s="83" t="n"/>
      <c r="B162" s="94" t="n"/>
      <c r="C162" s="46" t="n"/>
      <c r="D162" s="75" t="n"/>
      <c r="E162" s="95" t="n"/>
      <c r="F162" s="46" t="n"/>
      <c r="G162" s="96" t="n"/>
      <c r="H162" s="46" t="n"/>
      <c r="I162" s="97" t="n"/>
      <c r="J162" s="46" t="n"/>
      <c r="K162" s="46" t="n"/>
      <c r="L162" s="46" t="n"/>
      <c r="M162" s="46" t="n"/>
      <c r="N162" s="46" t="n"/>
      <c r="O162" s="46" t="n"/>
    </row>
    <row r="163" ht="17" customHeight="1">
      <c r="A163" s="83" t="n"/>
      <c r="B163" s="94" t="n"/>
      <c r="C163" s="46" t="n"/>
      <c r="D163" s="75" t="n"/>
      <c r="E163" s="95" t="n"/>
      <c r="F163" s="46" t="n"/>
      <c r="G163" s="96" t="n"/>
      <c r="H163" s="46" t="n"/>
      <c r="I163" s="97" t="n"/>
      <c r="J163" s="46" t="n"/>
      <c r="K163" s="46" t="n"/>
      <c r="L163" s="46" t="n"/>
      <c r="M163" s="46" t="n"/>
      <c r="N163" s="46" t="n"/>
      <c r="O163" s="46" t="n"/>
    </row>
    <row r="164" ht="17" customHeight="1">
      <c r="A164" s="83" t="n"/>
      <c r="B164" s="94" t="n"/>
      <c r="C164" s="46" t="n"/>
      <c r="D164" s="75" t="n"/>
      <c r="E164" s="95" t="n"/>
      <c r="F164" s="46" t="n"/>
      <c r="G164" s="96" t="n"/>
      <c r="H164" s="46" t="n"/>
      <c r="I164" s="97" t="n"/>
      <c r="J164" s="46" t="n"/>
      <c r="K164" s="46" t="n"/>
      <c r="L164" s="46" t="n"/>
      <c r="M164" s="46" t="n"/>
      <c r="N164" s="46" t="n"/>
      <c r="O164" s="46" t="n"/>
    </row>
    <row r="165" ht="17" customHeight="1">
      <c r="A165" s="83" t="n"/>
      <c r="B165" s="94" t="n"/>
      <c r="C165" s="46" t="n"/>
      <c r="D165" s="75" t="n"/>
      <c r="E165" s="95" t="n"/>
      <c r="F165" s="46" t="n"/>
      <c r="G165" s="96" t="n"/>
      <c r="H165" s="46" t="n"/>
      <c r="I165" s="97" t="n"/>
      <c r="J165" s="46" t="n"/>
      <c r="K165" s="46" t="n"/>
      <c r="L165" s="46" t="n"/>
      <c r="M165" s="46" t="n"/>
      <c r="N165" s="46" t="n"/>
      <c r="O165" s="46" t="n"/>
    </row>
    <row r="166" ht="17" customHeight="1">
      <c r="A166" s="83" t="n"/>
      <c r="B166" s="94" t="n"/>
      <c r="C166" s="46" t="n"/>
      <c r="D166" s="75" t="n"/>
      <c r="E166" s="95" t="n"/>
      <c r="F166" s="46" t="n"/>
      <c r="G166" s="96" t="n"/>
      <c r="H166" s="46" t="n"/>
      <c r="I166" s="97" t="n"/>
      <c r="J166" s="46" t="n"/>
      <c r="K166" s="46" t="n"/>
      <c r="L166" s="46" t="n"/>
      <c r="M166" s="46" t="n"/>
      <c r="N166" s="46" t="n"/>
      <c r="O166" s="46" t="n"/>
    </row>
    <row r="167" ht="17" customHeight="1">
      <c r="A167" s="83" t="n"/>
      <c r="B167" s="94" t="n"/>
      <c r="C167" s="46" t="n"/>
      <c r="D167" s="75" t="n"/>
      <c r="E167" s="95" t="n"/>
      <c r="F167" s="46" t="n"/>
      <c r="G167" s="96" t="n"/>
      <c r="H167" s="46" t="n"/>
      <c r="I167" s="97" t="n"/>
      <c r="J167" s="46" t="n"/>
      <c r="K167" s="46" t="n"/>
      <c r="L167" s="46" t="n"/>
      <c r="M167" s="46" t="n"/>
      <c r="N167" s="46" t="n"/>
      <c r="O167" s="46" t="n"/>
    </row>
    <row r="168" ht="17" customHeight="1">
      <c r="A168" s="83" t="n"/>
      <c r="B168" s="94" t="n"/>
      <c r="C168" s="46" t="n"/>
      <c r="D168" s="75" t="n"/>
      <c r="E168" s="95" t="n"/>
      <c r="F168" s="46" t="n"/>
      <c r="G168" s="96" t="n"/>
      <c r="H168" s="46" t="n"/>
      <c r="I168" s="97" t="n"/>
      <c r="J168" s="46" t="n"/>
      <c r="K168" s="46" t="n"/>
      <c r="L168" s="46" t="n"/>
      <c r="M168" s="46" t="n"/>
      <c r="N168" s="46" t="n"/>
      <c r="O168" s="46" t="n"/>
    </row>
    <row r="169" ht="17" customHeight="1">
      <c r="A169" s="83" t="n"/>
      <c r="B169" s="94" t="n"/>
      <c r="C169" s="46" t="n"/>
      <c r="D169" s="75" t="n"/>
      <c r="E169" s="95" t="n"/>
      <c r="F169" s="46" t="n"/>
      <c r="G169" s="96" t="n"/>
      <c r="H169" s="46" t="n"/>
      <c r="I169" s="97" t="n"/>
      <c r="J169" s="46" t="n"/>
      <c r="K169" s="46" t="n"/>
      <c r="L169" s="46" t="n"/>
      <c r="M169" s="46" t="n"/>
      <c r="N169" s="46" t="n"/>
      <c r="O169" s="46" t="n"/>
    </row>
    <row r="170" ht="17" customHeight="1">
      <c r="A170" s="83" t="n"/>
      <c r="B170" s="94" t="n"/>
      <c r="C170" s="46" t="n"/>
      <c r="D170" s="75" t="n"/>
      <c r="E170" s="95" t="n"/>
      <c r="F170" s="46" t="n"/>
      <c r="G170" s="96" t="n"/>
      <c r="H170" s="46" t="n"/>
      <c r="I170" s="97" t="n"/>
      <c r="J170" s="46" t="n"/>
      <c r="K170" s="46" t="n"/>
      <c r="L170" s="46" t="n"/>
      <c r="M170" s="46" t="n"/>
      <c r="N170" s="46" t="n"/>
      <c r="O170" s="46" t="n"/>
    </row>
    <row r="171" ht="17" customHeight="1">
      <c r="A171" s="83" t="n"/>
      <c r="B171" s="94" t="n"/>
      <c r="C171" s="46" t="n"/>
      <c r="D171" s="75" t="n"/>
      <c r="E171" s="95" t="n"/>
      <c r="F171" s="46" t="n"/>
      <c r="G171" s="96" t="n"/>
      <c r="H171" s="46" t="n"/>
      <c r="I171" s="97" t="n"/>
      <c r="J171" s="46" t="n"/>
      <c r="K171" s="46" t="n"/>
      <c r="L171" s="46" t="n"/>
      <c r="M171" s="46" t="n"/>
      <c r="N171" s="46" t="n"/>
      <c r="O171" s="46" t="n"/>
    </row>
    <row r="172" ht="17" customHeight="1">
      <c r="A172" s="83" t="n"/>
      <c r="B172" s="94" t="n"/>
      <c r="C172" s="46" t="n"/>
      <c r="D172" s="75" t="n"/>
      <c r="E172" s="95" t="n"/>
      <c r="F172" s="46" t="n"/>
      <c r="G172" s="96" t="n"/>
      <c r="H172" s="46" t="n"/>
      <c r="I172" s="97" t="n"/>
      <c r="J172" s="46" t="n"/>
      <c r="K172" s="46" t="n"/>
      <c r="L172" s="46" t="n"/>
      <c r="M172" s="46" t="n"/>
      <c r="N172" s="46" t="n"/>
      <c r="O172" s="46" t="n"/>
    </row>
    <row r="173" ht="17" customHeight="1">
      <c r="A173" s="83" t="n"/>
      <c r="B173" s="94" t="n"/>
      <c r="C173" s="46" t="n"/>
      <c r="D173" s="75" t="n"/>
      <c r="E173" s="95" t="n"/>
      <c r="F173" s="46" t="n"/>
      <c r="G173" s="96" t="n"/>
      <c r="H173" s="46" t="n"/>
      <c r="I173" s="97" t="n"/>
      <c r="J173" s="46" t="n"/>
      <c r="K173" s="46" t="n"/>
      <c r="L173" s="46" t="n"/>
      <c r="M173" s="46" t="n"/>
      <c r="N173" s="46" t="n"/>
      <c r="O173" s="46" t="n"/>
    </row>
    <row r="174" ht="17" customHeight="1">
      <c r="A174" s="83" t="n"/>
      <c r="B174" s="94" t="n"/>
      <c r="C174" s="46" t="n"/>
      <c r="D174" s="75" t="n"/>
      <c r="E174" s="95" t="n"/>
      <c r="F174" s="46" t="n"/>
      <c r="G174" s="96" t="n"/>
      <c r="H174" s="46" t="n"/>
      <c r="I174" s="97" t="n"/>
      <c r="J174" s="46" t="n"/>
      <c r="K174" s="46" t="n"/>
      <c r="L174" s="46" t="n"/>
      <c r="M174" s="46" t="n"/>
      <c r="N174" s="46" t="n"/>
      <c r="O174" s="46" t="n"/>
    </row>
    <row r="175" ht="17" customHeight="1">
      <c r="A175" s="83" t="n"/>
      <c r="B175" s="94" t="n"/>
      <c r="C175" s="46" t="n"/>
      <c r="D175" s="75" t="n"/>
      <c r="E175" s="95" t="n"/>
      <c r="F175" s="46" t="n"/>
      <c r="G175" s="96" t="n"/>
      <c r="H175" s="46" t="n"/>
      <c r="I175" s="97" t="n"/>
      <c r="J175" s="46" t="n"/>
      <c r="K175" s="46" t="n"/>
      <c r="L175" s="46" t="n"/>
      <c r="M175" s="46" t="n"/>
      <c r="N175" s="46" t="n"/>
      <c r="O175" s="46" t="n"/>
    </row>
    <row r="176" ht="17" customHeight="1">
      <c r="A176" s="83" t="n"/>
      <c r="B176" s="94" t="n"/>
      <c r="C176" s="46" t="n"/>
      <c r="D176" s="75" t="n"/>
      <c r="E176" s="95" t="n"/>
      <c r="F176" s="46" t="n"/>
      <c r="G176" s="96" t="n"/>
      <c r="H176" s="46" t="n"/>
      <c r="I176" s="97" t="n"/>
      <c r="J176" s="46" t="n"/>
      <c r="K176" s="46" t="n"/>
      <c r="L176" s="46" t="n"/>
      <c r="M176" s="46" t="n"/>
      <c r="N176" s="46" t="n"/>
      <c r="O176" s="46" t="n"/>
    </row>
    <row r="177" ht="17" customHeight="1">
      <c r="A177" s="83" t="n"/>
      <c r="B177" s="94" t="n"/>
      <c r="C177" s="46" t="n"/>
      <c r="D177" s="75" t="n"/>
      <c r="E177" s="95" t="n"/>
      <c r="F177" s="46" t="n"/>
      <c r="G177" s="96" t="n"/>
      <c r="H177" s="46" t="n"/>
      <c r="I177" s="97" t="n"/>
      <c r="J177" s="46" t="n"/>
      <c r="K177" s="46" t="n"/>
      <c r="L177" s="46" t="n"/>
      <c r="M177" s="46" t="n"/>
      <c r="N177" s="46" t="n"/>
      <c r="O177" s="46" t="n"/>
    </row>
    <row r="178" ht="17" customHeight="1">
      <c r="A178" s="83" t="n"/>
      <c r="B178" s="94" t="n"/>
      <c r="C178" s="46" t="n"/>
      <c r="D178" s="75" t="n"/>
      <c r="E178" s="95" t="n"/>
      <c r="F178" s="46" t="n"/>
      <c r="G178" s="96" t="n"/>
      <c r="H178" s="46" t="n"/>
      <c r="I178" s="97" t="n"/>
      <c r="J178" s="46" t="n"/>
      <c r="K178" s="46" t="n"/>
      <c r="L178" s="46" t="n"/>
      <c r="M178" s="46" t="n"/>
      <c r="N178" s="46" t="n"/>
      <c r="O178" s="46" t="n"/>
    </row>
    <row r="179" ht="17" customHeight="1">
      <c r="A179" s="83" t="n"/>
      <c r="B179" s="94" t="n"/>
      <c r="C179" s="46" t="n"/>
      <c r="D179" s="75" t="n"/>
      <c r="E179" s="95" t="n"/>
      <c r="F179" s="46" t="n"/>
      <c r="G179" s="96" t="n"/>
      <c r="H179" s="46" t="n"/>
      <c r="I179" s="97" t="n"/>
      <c r="J179" s="46" t="n"/>
      <c r="K179" s="46" t="n"/>
      <c r="L179" s="46" t="n"/>
      <c r="M179" s="46" t="n"/>
      <c r="N179" s="46" t="n"/>
      <c r="O179" s="46" t="n"/>
    </row>
    <row r="180" ht="17" customHeight="1">
      <c r="A180" s="83" t="n"/>
      <c r="B180" s="94" t="n"/>
      <c r="C180" s="46" t="n"/>
      <c r="D180" s="75" t="n"/>
      <c r="E180" s="95" t="n"/>
      <c r="F180" s="46" t="n"/>
      <c r="G180" s="96" t="n"/>
      <c r="H180" s="46" t="n"/>
      <c r="I180" s="97" t="n"/>
      <c r="J180" s="46" t="n"/>
      <c r="K180" s="46" t="n"/>
      <c r="L180" s="46" t="n"/>
      <c r="M180" s="46" t="n"/>
      <c r="N180" s="46" t="n"/>
      <c r="O180" s="46" t="n"/>
    </row>
    <row r="181" ht="17" customHeight="1">
      <c r="A181" s="83" t="n"/>
      <c r="B181" s="94" t="n"/>
      <c r="C181" s="46" t="n"/>
      <c r="D181" s="75" t="n"/>
      <c r="E181" s="95" t="n"/>
      <c r="F181" s="46" t="n"/>
      <c r="G181" s="96" t="n"/>
      <c r="H181" s="46" t="n"/>
      <c r="I181" s="97" t="n"/>
      <c r="J181" s="46" t="n"/>
      <c r="K181" s="46" t="n"/>
      <c r="L181" s="46" t="n"/>
      <c r="M181" s="46" t="n"/>
      <c r="N181" s="46" t="n"/>
      <c r="O181" s="46" t="n"/>
    </row>
    <row r="182" ht="17" customHeight="1">
      <c r="A182" s="83" t="n"/>
      <c r="B182" s="94" t="n"/>
      <c r="C182" s="46" t="n"/>
      <c r="D182" s="75" t="n"/>
      <c r="E182" s="95" t="n"/>
      <c r="F182" s="46" t="n"/>
      <c r="G182" s="96" t="n"/>
      <c r="H182" s="46" t="n"/>
      <c r="I182" s="97" t="n"/>
      <c r="J182" s="46" t="n"/>
      <c r="K182" s="46" t="n"/>
      <c r="L182" s="46" t="n"/>
      <c r="M182" s="46" t="n"/>
      <c r="N182" s="46" t="n"/>
      <c r="O182" s="46" t="n"/>
    </row>
    <row r="183" ht="17" customHeight="1">
      <c r="A183" s="83" t="n"/>
      <c r="B183" s="94" t="n"/>
      <c r="C183" s="46" t="n"/>
      <c r="D183" s="75" t="n"/>
      <c r="E183" s="95" t="n"/>
      <c r="F183" s="46" t="n"/>
      <c r="G183" s="96" t="n"/>
      <c r="H183" s="46" t="n"/>
      <c r="I183" s="97" t="n"/>
      <c r="J183" s="46" t="n"/>
      <c r="K183" s="46" t="n"/>
      <c r="L183" s="46" t="n"/>
      <c r="M183" s="46" t="n"/>
      <c r="N183" s="46" t="n"/>
      <c r="O183" s="46" t="n"/>
    </row>
    <row r="184" ht="17" customHeight="1">
      <c r="A184" s="83" t="n"/>
      <c r="B184" s="94" t="n"/>
      <c r="C184" s="46" t="n"/>
      <c r="D184" s="75" t="n"/>
      <c r="E184" s="95" t="n"/>
      <c r="F184" s="46" t="n"/>
      <c r="G184" s="96" t="n"/>
      <c r="H184" s="46" t="n"/>
      <c r="I184" s="97" t="n"/>
      <c r="J184" s="46" t="n"/>
      <c r="K184" s="46" t="n"/>
      <c r="L184" s="46" t="n"/>
      <c r="M184" s="46" t="n"/>
      <c r="N184" s="46" t="n"/>
      <c r="O184" s="46" t="n"/>
    </row>
    <row r="185" ht="17" customHeight="1">
      <c r="A185" s="83" t="n"/>
      <c r="B185" s="94" t="n"/>
      <c r="C185" s="46" t="n"/>
      <c r="D185" s="75" t="n"/>
      <c r="E185" s="95" t="n"/>
      <c r="F185" s="46" t="n"/>
      <c r="G185" s="96" t="n"/>
      <c r="H185" s="46" t="n"/>
      <c r="I185" s="97" t="n"/>
      <c r="J185" s="46" t="n"/>
      <c r="K185" s="46" t="n"/>
      <c r="L185" s="46" t="n"/>
      <c r="M185" s="46" t="n"/>
      <c r="N185" s="46" t="n"/>
      <c r="O185" s="46" t="n"/>
    </row>
    <row r="186" ht="17" customHeight="1">
      <c r="A186" s="83" t="n"/>
      <c r="B186" s="94" t="n"/>
      <c r="C186" s="46" t="n"/>
      <c r="D186" s="75" t="n"/>
      <c r="E186" s="95" t="n"/>
      <c r="F186" s="46" t="n"/>
      <c r="G186" s="96" t="n"/>
      <c r="H186" s="46" t="n"/>
      <c r="I186" s="97" t="n"/>
      <c r="J186" s="46" t="n"/>
      <c r="K186" s="46" t="n"/>
      <c r="L186" s="46" t="n"/>
      <c r="M186" s="46" t="n"/>
      <c r="N186" s="46" t="n"/>
      <c r="O186" s="46" t="n"/>
    </row>
    <row r="187" ht="17" customHeight="1">
      <c r="A187" s="83" t="n"/>
      <c r="B187" s="94" t="n"/>
      <c r="C187" s="46" t="n"/>
      <c r="D187" s="75" t="n"/>
      <c r="E187" s="95" t="n"/>
      <c r="F187" s="46" t="n"/>
      <c r="G187" s="96" t="n"/>
      <c r="H187" s="46" t="n"/>
      <c r="I187" s="97" t="n"/>
      <c r="J187" s="46" t="n"/>
      <c r="K187" s="46" t="n"/>
      <c r="L187" s="46" t="n"/>
      <c r="M187" s="46" t="n"/>
      <c r="N187" s="46" t="n"/>
      <c r="O187" s="46" t="n"/>
    </row>
    <row r="188" ht="17" customHeight="1">
      <c r="A188" s="83" t="n"/>
      <c r="B188" s="94" t="n"/>
      <c r="C188" s="46" t="n"/>
      <c r="D188" s="75" t="n"/>
      <c r="E188" s="95" t="n"/>
      <c r="F188" s="46" t="n"/>
      <c r="G188" s="96" t="n"/>
      <c r="H188" s="46" t="n"/>
      <c r="I188" s="97" t="n"/>
      <c r="J188" s="46" t="n"/>
      <c r="K188" s="46" t="n"/>
      <c r="L188" s="46" t="n"/>
      <c r="M188" s="46" t="n"/>
      <c r="N188" s="46" t="n"/>
      <c r="O188" s="46" t="n"/>
    </row>
    <row r="189" ht="17" customHeight="1">
      <c r="A189" s="83" t="n"/>
      <c r="B189" s="94" t="n"/>
      <c r="C189" s="46" t="n"/>
      <c r="D189" s="75" t="n"/>
      <c r="E189" s="95" t="n"/>
      <c r="F189" s="46" t="n"/>
      <c r="G189" s="96" t="n"/>
      <c r="H189" s="46" t="n"/>
      <c r="I189" s="97" t="n"/>
      <c r="J189" s="46" t="n"/>
      <c r="K189" s="46" t="n"/>
      <c r="L189" s="46" t="n"/>
      <c r="M189" s="46" t="n"/>
      <c r="N189" s="46" t="n"/>
      <c r="O189" s="46" t="n"/>
    </row>
    <row r="190" ht="17" customHeight="1">
      <c r="A190" s="83" t="n"/>
      <c r="B190" s="94" t="n"/>
      <c r="C190" s="46" t="n"/>
      <c r="D190" s="75" t="n"/>
      <c r="E190" s="95" t="n"/>
      <c r="F190" s="46" t="n"/>
      <c r="G190" s="96" t="n"/>
      <c r="H190" s="46" t="n"/>
      <c r="I190" s="97" t="n"/>
      <c r="J190" s="46" t="n"/>
      <c r="K190" s="46" t="n"/>
      <c r="L190" s="46" t="n"/>
      <c r="M190" s="46" t="n"/>
      <c r="N190" s="46" t="n"/>
      <c r="O190" s="46" t="n"/>
    </row>
    <row r="191" ht="17" customHeight="1">
      <c r="A191" s="83" t="n"/>
      <c r="B191" s="94" t="n"/>
      <c r="C191" s="46" t="n"/>
      <c r="D191" s="75" t="n"/>
      <c r="E191" s="95" t="n"/>
      <c r="F191" s="46" t="n"/>
      <c r="G191" s="96" t="n"/>
      <c r="H191" s="46" t="n"/>
      <c r="I191" s="97" t="n"/>
      <c r="J191" s="46" t="n"/>
      <c r="K191" s="46" t="n"/>
      <c r="L191" s="46" t="n"/>
      <c r="M191" s="46" t="n"/>
      <c r="N191" s="46" t="n"/>
      <c r="O191" s="46" t="n"/>
    </row>
    <row r="192" ht="17" customHeight="1">
      <c r="A192" s="83" t="n"/>
      <c r="B192" s="94" t="n"/>
      <c r="C192" s="46" t="n"/>
      <c r="D192" s="75" t="n"/>
      <c r="E192" s="95" t="n"/>
      <c r="F192" s="46" t="n"/>
      <c r="G192" s="96" t="n"/>
      <c r="H192" s="46" t="n"/>
      <c r="I192" s="97" t="n"/>
      <c r="J192" s="46" t="n"/>
      <c r="K192" s="46" t="n"/>
      <c r="L192" s="46" t="n"/>
      <c r="M192" s="46" t="n"/>
      <c r="N192" s="46" t="n"/>
      <c r="O192" s="46" t="n"/>
    </row>
    <row r="193" ht="17" customHeight="1">
      <c r="A193" s="83" t="n"/>
      <c r="B193" s="94" t="n"/>
      <c r="C193" s="46" t="n"/>
      <c r="D193" s="75" t="n"/>
      <c r="E193" s="95" t="n"/>
      <c r="F193" s="46" t="n"/>
      <c r="G193" s="96" t="n"/>
      <c r="H193" s="46" t="n"/>
      <c r="I193" s="97" t="n"/>
      <c r="J193" s="46" t="n"/>
      <c r="K193" s="46" t="n"/>
      <c r="L193" s="46" t="n"/>
      <c r="M193" s="46" t="n"/>
      <c r="N193" s="46" t="n"/>
      <c r="O193" s="46" t="n"/>
    </row>
    <row r="194" ht="22" customHeight="1">
      <c r="A194" s="31" t="inlineStr">
        <is>
          <t>TOTAL LANÇADO NO LIVRO</t>
        </is>
      </c>
      <c r="B194" s="32" t="n"/>
      <c r="C194" s="32" t="n"/>
      <c r="D194" s="32" t="n"/>
      <c r="E194" s="59">
        <f>ROUND(SUM($E$134:$E$193),2)</f>
        <v/>
      </c>
      <c r="F194" s="32" t="n"/>
      <c r="G194" s="98">
        <f>IF(COUNTA($B$134:$B$193)=COUNT($E$134:$E$193),"lançamentos: "&amp;COUNT($E$134:$E$193)&amp;" · todos classificados","ATENÇÃO: "&amp;(COUNT($E$134:$E$193)-COUNTA($B$134:$B$193))&amp;" lançamento(s) sem categoria")</f>
        <v/>
      </c>
      <c r="H194" s="32" t="n"/>
      <c r="I194" s="32" t="n"/>
      <c r="J194" s="32" t="n"/>
      <c r="K194" s="32" t="n"/>
      <c r="L194" s="32" t="n"/>
      <c r="M194" s="32" t="n"/>
      <c r="N194" s="32" t="n"/>
      <c r="O194" s="32" t="n"/>
    </row>
    <row r="196" ht="50" customHeight="1">
      <c r="A196" s="43" t="inlineStr">
        <is>
          <t xml:space="preserve">  Preencha primeiro a coluna ORÇADO com o que o orçamento previu e vá preenchendo o REALIZADO conforme o projeto anda — o desvio de cada linha é o que mostra onde o orçamento erra. Compras entram uma a uma no livro do bloco 8, com categoria, forma de pagamento e status; as categorias do bloco 6 se somam sozinhas. Você pode inserir linhas em qualquer bloco a partir da linha 26: tudo o que o Painel Geral lê está acima disso.</t>
        </is>
      </c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</row>
  </sheetData>
  <mergeCells count="561">
    <mergeCell ref="A196:O196"/>
    <mergeCell ref="I170:O170"/>
    <mergeCell ref="A15:B15"/>
    <mergeCell ref="I157:O157"/>
    <mergeCell ref="G128:O128"/>
    <mergeCell ref="B141:C141"/>
    <mergeCell ref="E142:F142"/>
    <mergeCell ref="I193:O193"/>
    <mergeCell ref="I172:O172"/>
    <mergeCell ref="H9:I9"/>
    <mergeCell ref="J76:M76"/>
    <mergeCell ref="G121:O121"/>
    <mergeCell ref="E171:F171"/>
    <mergeCell ref="G123:O123"/>
    <mergeCell ref="E137:F137"/>
    <mergeCell ref="G137:H137"/>
    <mergeCell ref="E173:F173"/>
    <mergeCell ref="H70:O70"/>
    <mergeCell ref="E148:F148"/>
    <mergeCell ref="G148:H148"/>
    <mergeCell ref="B78:C78"/>
    <mergeCell ref="D7:E7"/>
    <mergeCell ref="I183:O183"/>
    <mergeCell ref="D78:E78"/>
    <mergeCell ref="E166:F166"/>
    <mergeCell ref="G139:H139"/>
    <mergeCell ref="I175:O175"/>
    <mergeCell ref="H99:O99"/>
    <mergeCell ref="A34:C34"/>
    <mergeCell ref="I185:O185"/>
    <mergeCell ref="E168:F168"/>
    <mergeCell ref="G168:H168"/>
    <mergeCell ref="H87:I87"/>
    <mergeCell ref="H101:O101"/>
    <mergeCell ref="G143:H143"/>
    <mergeCell ref="D73:E73"/>
    <mergeCell ref="I176:O176"/>
    <mergeCell ref="J9:O9"/>
    <mergeCell ref="B154:C154"/>
    <mergeCell ref="H91:I91"/>
    <mergeCell ref="E117:F117"/>
    <mergeCell ref="A24:H24"/>
    <mergeCell ref="B156:C156"/>
    <mergeCell ref="E67:F67"/>
    <mergeCell ref="A103:B103"/>
    <mergeCell ref="H112:O112"/>
    <mergeCell ref="I138:O138"/>
    <mergeCell ref="I178:O178"/>
    <mergeCell ref="H114:O114"/>
    <mergeCell ref="E161:F161"/>
    <mergeCell ref="J73:M73"/>
    <mergeCell ref="G129:O129"/>
    <mergeCell ref="A72:O72"/>
    <mergeCell ref="J77:M77"/>
    <mergeCell ref="H75:I75"/>
    <mergeCell ref="B84:C84"/>
    <mergeCell ref="E110:F110"/>
    <mergeCell ref="H105:O105"/>
    <mergeCell ref="E16:F16"/>
    <mergeCell ref="E187:F187"/>
    <mergeCell ref="G138:H138"/>
    <mergeCell ref="B142:C142"/>
    <mergeCell ref="B80:C80"/>
    <mergeCell ref="E174:F174"/>
    <mergeCell ref="H15:O15"/>
    <mergeCell ref="H107:O107"/>
    <mergeCell ref="G126:O126"/>
    <mergeCell ref="B79:C79"/>
    <mergeCell ref="E18:F18"/>
    <mergeCell ref="D79:E79"/>
    <mergeCell ref="E189:F189"/>
    <mergeCell ref="G140:H140"/>
    <mergeCell ref="B144:C144"/>
    <mergeCell ref="F73:G73"/>
    <mergeCell ref="B81:C81"/>
    <mergeCell ref="D81:E81"/>
    <mergeCell ref="I191:O191"/>
    <mergeCell ref="H102:O102"/>
    <mergeCell ref="E29:F29"/>
    <mergeCell ref="H39:O39"/>
    <mergeCell ref="I192:O192"/>
    <mergeCell ref="E69:F69"/>
    <mergeCell ref="B170:C170"/>
    <mergeCell ref="E31:F31"/>
    <mergeCell ref="E158:F158"/>
    <mergeCell ref="E133:F133"/>
    <mergeCell ref="E108:F108"/>
    <mergeCell ref="G133:H133"/>
    <mergeCell ref="B172:C172"/>
    <mergeCell ref="E95:F95"/>
    <mergeCell ref="H28:O28"/>
    <mergeCell ref="E162:F162"/>
    <mergeCell ref="G135:H135"/>
    <mergeCell ref="B92:C92"/>
    <mergeCell ref="J74:M74"/>
    <mergeCell ref="D92:E92"/>
    <mergeCell ref="I146:O146"/>
    <mergeCell ref="F92:G92"/>
    <mergeCell ref="G153:H153"/>
    <mergeCell ref="A36:O36"/>
    <mergeCell ref="A11:O11"/>
    <mergeCell ref="B76:C76"/>
    <mergeCell ref="I181:O181"/>
    <mergeCell ref="A1:O1"/>
    <mergeCell ref="I12:O12"/>
    <mergeCell ref="E164:F164"/>
    <mergeCell ref="G164:H164"/>
    <mergeCell ref="H23:O23"/>
    <mergeCell ref="B150:C150"/>
    <mergeCell ref="E42:F42"/>
    <mergeCell ref="E17:F17"/>
    <mergeCell ref="E188:F188"/>
    <mergeCell ref="E126:F126"/>
    <mergeCell ref="B152:C152"/>
    <mergeCell ref="E180:F180"/>
    <mergeCell ref="J92:M92"/>
    <mergeCell ref="E19:F19"/>
    <mergeCell ref="E190:F190"/>
    <mergeCell ref="B145:C145"/>
    <mergeCell ref="G190:H190"/>
    <mergeCell ref="G146:H146"/>
    <mergeCell ref="B181:C181"/>
    <mergeCell ref="E182:F182"/>
    <mergeCell ref="A4:O4"/>
    <mergeCell ref="F10:O10"/>
    <mergeCell ref="H110:O110"/>
    <mergeCell ref="B87:C87"/>
    <mergeCell ref="I136:O136"/>
    <mergeCell ref="B147:C147"/>
    <mergeCell ref="D87:E87"/>
    <mergeCell ref="J87:M87"/>
    <mergeCell ref="E179:F179"/>
    <mergeCell ref="J89:M89"/>
    <mergeCell ref="D82:E82"/>
    <mergeCell ref="F82:G82"/>
    <mergeCell ref="G194:O194"/>
    <mergeCell ref="E37:F37"/>
    <mergeCell ref="E159:F159"/>
    <mergeCell ref="E97:F97"/>
    <mergeCell ref="G159:H159"/>
    <mergeCell ref="B163:C163"/>
    <mergeCell ref="H8:I8"/>
    <mergeCell ref="E109:F109"/>
    <mergeCell ref="H30:O30"/>
    <mergeCell ref="E145:F145"/>
    <mergeCell ref="E139:F139"/>
    <mergeCell ref="G161:H161"/>
    <mergeCell ref="B165:C165"/>
    <mergeCell ref="H29:O29"/>
    <mergeCell ref="E111:F111"/>
    <mergeCell ref="G136:H136"/>
    <mergeCell ref="A70:B70"/>
    <mergeCell ref="H44:O44"/>
    <mergeCell ref="H31:O31"/>
    <mergeCell ref="B77:C77"/>
    <mergeCell ref="D6:E6"/>
    <mergeCell ref="D77:E77"/>
    <mergeCell ref="I149:O149"/>
    <mergeCell ref="J82:M82"/>
    <mergeCell ref="H89:I89"/>
    <mergeCell ref="I151:O151"/>
    <mergeCell ref="B191:C191"/>
    <mergeCell ref="B178:C178"/>
    <mergeCell ref="E27:F27"/>
    <mergeCell ref="I144:O144"/>
    <mergeCell ref="E119:F119"/>
    <mergeCell ref="E183:F183"/>
    <mergeCell ref="G183:H183"/>
    <mergeCell ref="A6:C6"/>
    <mergeCell ref="E22:F22"/>
    <mergeCell ref="H42:O42"/>
    <mergeCell ref="E193:F193"/>
    <mergeCell ref="G193:H193"/>
    <mergeCell ref="D88:E88"/>
    <mergeCell ref="G149:H149"/>
    <mergeCell ref="F88:G88"/>
    <mergeCell ref="I177:O177"/>
    <mergeCell ref="G185:H185"/>
    <mergeCell ref="B90:C90"/>
    <mergeCell ref="D90:E90"/>
    <mergeCell ref="E122:F122"/>
    <mergeCell ref="G151:H151"/>
    <mergeCell ref="A45:B45"/>
    <mergeCell ref="G178:H178"/>
    <mergeCell ref="F6:G6"/>
    <mergeCell ref="J90:M90"/>
    <mergeCell ref="F83:G83"/>
    <mergeCell ref="H83:I83"/>
    <mergeCell ref="E38:F38"/>
    <mergeCell ref="A2:O2"/>
    <mergeCell ref="E147:F147"/>
    <mergeCell ref="F85:G85"/>
    <mergeCell ref="H85:I85"/>
    <mergeCell ref="G175:H175"/>
    <mergeCell ref="B179:C179"/>
    <mergeCell ref="E40:F40"/>
    <mergeCell ref="G162:H162"/>
    <mergeCell ref="H108:O108"/>
    <mergeCell ref="B166:C166"/>
    <mergeCell ref="B124:D124"/>
    <mergeCell ref="E186:F186"/>
    <mergeCell ref="G177:H177"/>
    <mergeCell ref="E104:F104"/>
    <mergeCell ref="H45:O45"/>
    <mergeCell ref="B174:C174"/>
    <mergeCell ref="B168:C168"/>
    <mergeCell ref="H32:O32"/>
    <mergeCell ref="B126:D126"/>
    <mergeCell ref="D9:E9"/>
    <mergeCell ref="H80:I80"/>
    <mergeCell ref="F9:G9"/>
    <mergeCell ref="I150:O150"/>
    <mergeCell ref="J83:M83"/>
    <mergeCell ref="I165:O165"/>
    <mergeCell ref="B169:C169"/>
    <mergeCell ref="I152:O152"/>
    <mergeCell ref="E66:F66"/>
    <mergeCell ref="J85:M85"/>
    <mergeCell ref="E130:F130"/>
    <mergeCell ref="E68:F68"/>
    <mergeCell ref="B134:C134"/>
    <mergeCell ref="G155:H155"/>
    <mergeCell ref="E160:F160"/>
    <mergeCell ref="E141:F141"/>
    <mergeCell ref="G118:O118"/>
    <mergeCell ref="E135:F135"/>
    <mergeCell ref="G157:H157"/>
    <mergeCell ref="E107:F107"/>
    <mergeCell ref="H73:I73"/>
    <mergeCell ref="E143:F143"/>
    <mergeCell ref="G172:H172"/>
    <mergeCell ref="G186:H186"/>
    <mergeCell ref="B162:C162"/>
    <mergeCell ref="D91:E91"/>
    <mergeCell ref="G152:H152"/>
    <mergeCell ref="F91:G91"/>
    <mergeCell ref="A21:B21"/>
    <mergeCell ref="I163:O163"/>
    <mergeCell ref="H84:I84"/>
    <mergeCell ref="A23:B23"/>
    <mergeCell ref="B187:C187"/>
    <mergeCell ref="E125:F125"/>
    <mergeCell ref="H86:I86"/>
    <mergeCell ref="E41:F41"/>
    <mergeCell ref="B189:C189"/>
    <mergeCell ref="E112:F112"/>
    <mergeCell ref="B188:C188"/>
    <mergeCell ref="B117:D117"/>
    <mergeCell ref="E43:F43"/>
    <mergeCell ref="J91:M91"/>
    <mergeCell ref="B190:C190"/>
    <mergeCell ref="B119:D119"/>
    <mergeCell ref="A16:B16"/>
    <mergeCell ref="G124:O124"/>
    <mergeCell ref="E138:F138"/>
    <mergeCell ref="A108:B108"/>
    <mergeCell ref="B127:D127"/>
    <mergeCell ref="I168:O168"/>
    <mergeCell ref="A18:B18"/>
    <mergeCell ref="B73:C73"/>
    <mergeCell ref="E167:F167"/>
    <mergeCell ref="H100:O100"/>
    <mergeCell ref="H7:I7"/>
    <mergeCell ref="G119:O119"/>
    <mergeCell ref="B137:C137"/>
    <mergeCell ref="E169:F169"/>
    <mergeCell ref="H66:O66"/>
    <mergeCell ref="B74:C74"/>
    <mergeCell ref="D74:E74"/>
    <mergeCell ref="B139:C139"/>
    <mergeCell ref="I184:O184"/>
    <mergeCell ref="B122:D122"/>
    <mergeCell ref="I171:O171"/>
    <mergeCell ref="H76:I76"/>
    <mergeCell ref="H95:O95"/>
    <mergeCell ref="A44:B44"/>
    <mergeCell ref="I173:O173"/>
    <mergeCell ref="H97:O97"/>
    <mergeCell ref="I166:O166"/>
    <mergeCell ref="G176:H176"/>
    <mergeCell ref="E64:F64"/>
    <mergeCell ref="J7:O7"/>
    <mergeCell ref="E156:F156"/>
    <mergeCell ref="E153:F153"/>
    <mergeCell ref="H21:O21"/>
    <mergeCell ref="E128:F128"/>
    <mergeCell ref="E155:F155"/>
    <mergeCell ref="D61:E61"/>
    <mergeCell ref="G184:H184"/>
    <mergeCell ref="G171:H171"/>
    <mergeCell ref="E65:F65"/>
    <mergeCell ref="E157:F157"/>
    <mergeCell ref="H16:O16"/>
    <mergeCell ref="A17:B17"/>
    <mergeCell ref="I134:O134"/>
    <mergeCell ref="H27:O27"/>
    <mergeCell ref="G117:O117"/>
    <mergeCell ref="A19:B19"/>
    <mergeCell ref="I161:O161"/>
    <mergeCell ref="E146:F146"/>
    <mergeCell ref="E12:F12"/>
    <mergeCell ref="G125:O125"/>
    <mergeCell ref="B138:C138"/>
    <mergeCell ref="E175:F175"/>
    <mergeCell ref="H67:O67"/>
    <mergeCell ref="H103:O103"/>
    <mergeCell ref="G127:O127"/>
    <mergeCell ref="E185:F185"/>
    <mergeCell ref="B140:C140"/>
    <mergeCell ref="I187:O187"/>
    <mergeCell ref="E170:F170"/>
    <mergeCell ref="I174:O174"/>
    <mergeCell ref="H98:O98"/>
    <mergeCell ref="D75:E75"/>
    <mergeCell ref="F75:G75"/>
    <mergeCell ref="I189:O189"/>
    <mergeCell ref="I188:O188"/>
    <mergeCell ref="G192:H192"/>
    <mergeCell ref="J8:O8"/>
    <mergeCell ref="E154:F154"/>
    <mergeCell ref="G154:H154"/>
    <mergeCell ref="B158:C158"/>
    <mergeCell ref="E172:F172"/>
    <mergeCell ref="B89:C89"/>
    <mergeCell ref="B160:C160"/>
    <mergeCell ref="D89:E89"/>
    <mergeCell ref="H18:O18"/>
    <mergeCell ref="L61:M61"/>
    <mergeCell ref="A194:D194"/>
    <mergeCell ref="I142:O142"/>
    <mergeCell ref="B153:C153"/>
    <mergeCell ref="J75:M75"/>
    <mergeCell ref="B184:C184"/>
    <mergeCell ref="H113:O113"/>
    <mergeCell ref="E20:F20"/>
    <mergeCell ref="I137:O137"/>
    <mergeCell ref="E177:F177"/>
    <mergeCell ref="E13:F13"/>
    <mergeCell ref="I164:O164"/>
    <mergeCell ref="I139:O139"/>
    <mergeCell ref="B88:C88"/>
    <mergeCell ref="B148:C148"/>
    <mergeCell ref="B82:C82"/>
    <mergeCell ref="E149:F149"/>
    <mergeCell ref="E176:F176"/>
    <mergeCell ref="E114:F114"/>
    <mergeCell ref="J88:M88"/>
    <mergeCell ref="A63:O63"/>
    <mergeCell ref="E15:F15"/>
    <mergeCell ref="E191:F191"/>
    <mergeCell ref="G142:H142"/>
    <mergeCell ref="B146:C146"/>
    <mergeCell ref="E178:F178"/>
    <mergeCell ref="H37:O37"/>
    <mergeCell ref="B83:C83"/>
    <mergeCell ref="B143:C143"/>
    <mergeCell ref="D83:E83"/>
    <mergeCell ref="E144:F144"/>
    <mergeCell ref="G144:H144"/>
    <mergeCell ref="H104:O104"/>
    <mergeCell ref="B85:C85"/>
    <mergeCell ref="A94:O94"/>
    <mergeCell ref="I190:O190"/>
    <mergeCell ref="D85:E85"/>
    <mergeCell ref="G173:H173"/>
    <mergeCell ref="H92:I92"/>
    <mergeCell ref="H106:O106"/>
    <mergeCell ref="F78:G78"/>
    <mergeCell ref="E106:F106"/>
    <mergeCell ref="H78:I78"/>
    <mergeCell ref="E33:F33"/>
    <mergeCell ref="H43:O43"/>
    <mergeCell ref="B159:C159"/>
    <mergeCell ref="D80:E80"/>
    <mergeCell ref="G170:H170"/>
    <mergeCell ref="B167:C167"/>
    <mergeCell ref="A26:O26"/>
    <mergeCell ref="B161:C161"/>
    <mergeCell ref="H6:I6"/>
    <mergeCell ref="H130:O130"/>
    <mergeCell ref="H68:O68"/>
    <mergeCell ref="B136:C136"/>
    <mergeCell ref="E28:F28"/>
    <mergeCell ref="B175:C175"/>
    <mergeCell ref="E30:F30"/>
    <mergeCell ref="J84:M84"/>
    <mergeCell ref="I145:O145"/>
    <mergeCell ref="J78:M78"/>
    <mergeCell ref="H69:O69"/>
    <mergeCell ref="A9:C9"/>
    <mergeCell ref="I147:O147"/>
    <mergeCell ref="J80:M80"/>
    <mergeCell ref="D8:E8"/>
    <mergeCell ref="J79:M79"/>
    <mergeCell ref="G150:H150"/>
    <mergeCell ref="I186:O186"/>
    <mergeCell ref="E21:F21"/>
    <mergeCell ref="J6:O6"/>
    <mergeCell ref="H82:I82"/>
    <mergeCell ref="B91:C91"/>
    <mergeCell ref="E192:F192"/>
    <mergeCell ref="H20:O20"/>
    <mergeCell ref="E129:F129"/>
    <mergeCell ref="H38:O38"/>
    <mergeCell ref="E23:F23"/>
    <mergeCell ref="D84:E84"/>
    <mergeCell ref="B155:C155"/>
    <mergeCell ref="G145:H145"/>
    <mergeCell ref="F84:G84"/>
    <mergeCell ref="B149:C149"/>
    <mergeCell ref="E181:F181"/>
    <mergeCell ref="B193:C193"/>
    <mergeCell ref="E194:F194"/>
    <mergeCell ref="G181:H181"/>
    <mergeCell ref="A3:O3"/>
    <mergeCell ref="H40:O40"/>
    <mergeCell ref="B86:C86"/>
    <mergeCell ref="G160:H160"/>
    <mergeCell ref="D86:E86"/>
    <mergeCell ref="I140:O140"/>
    <mergeCell ref="G147:H147"/>
    <mergeCell ref="F86:G86"/>
    <mergeCell ref="H64:O64"/>
    <mergeCell ref="B151:C151"/>
    <mergeCell ref="F80:G80"/>
    <mergeCell ref="G174:H174"/>
    <mergeCell ref="I158:O158"/>
    <mergeCell ref="I133:O133"/>
    <mergeCell ref="G189:H189"/>
    <mergeCell ref="F79:G79"/>
    <mergeCell ref="H79:I79"/>
    <mergeCell ref="E34:F34"/>
    <mergeCell ref="B182:C182"/>
    <mergeCell ref="E105:F105"/>
    <mergeCell ref="I160:O160"/>
    <mergeCell ref="E99:F99"/>
    <mergeCell ref="I135:O135"/>
    <mergeCell ref="F81:G81"/>
    <mergeCell ref="H81:I81"/>
    <mergeCell ref="E163:F163"/>
    <mergeCell ref="E101:F101"/>
    <mergeCell ref="G163:H163"/>
    <mergeCell ref="A22:B22"/>
    <mergeCell ref="B125:D125"/>
    <mergeCell ref="E113:F113"/>
    <mergeCell ref="B183:C183"/>
    <mergeCell ref="B177:C177"/>
    <mergeCell ref="E100:F100"/>
    <mergeCell ref="B164:C164"/>
    <mergeCell ref="J86:M86"/>
    <mergeCell ref="E136:F136"/>
    <mergeCell ref="G165:H165"/>
    <mergeCell ref="H33:O33"/>
    <mergeCell ref="I24:O24"/>
    <mergeCell ref="E102:F102"/>
    <mergeCell ref="G158:H158"/>
    <mergeCell ref="B120:D120"/>
    <mergeCell ref="D10:E10"/>
    <mergeCell ref="G169:H169"/>
    <mergeCell ref="I148:O148"/>
    <mergeCell ref="I153:O153"/>
    <mergeCell ref="E127:F127"/>
    <mergeCell ref="F74:G74"/>
    <mergeCell ref="B180:C180"/>
    <mergeCell ref="H74:I74"/>
    <mergeCell ref="G191:H191"/>
    <mergeCell ref="D76:E76"/>
    <mergeCell ref="F76:G76"/>
    <mergeCell ref="A47:O47"/>
    <mergeCell ref="B157:C157"/>
    <mergeCell ref="I179:O179"/>
    <mergeCell ref="B186:C186"/>
    <mergeCell ref="I141:O141"/>
    <mergeCell ref="E124:F124"/>
    <mergeCell ref="H65:O65"/>
    <mergeCell ref="E120:F120"/>
    <mergeCell ref="I159:O159"/>
    <mergeCell ref="I143:O143"/>
    <mergeCell ref="E184:F184"/>
    <mergeCell ref="A7:C7"/>
    <mergeCell ref="G122:O122"/>
    <mergeCell ref="E121:F121"/>
    <mergeCell ref="F87:G87"/>
    <mergeCell ref="B185:C185"/>
    <mergeCell ref="E151:F151"/>
    <mergeCell ref="H41:O41"/>
    <mergeCell ref="E123:F123"/>
    <mergeCell ref="F89:G89"/>
    <mergeCell ref="E150:F150"/>
    <mergeCell ref="E39:F39"/>
    <mergeCell ref="G179:H179"/>
    <mergeCell ref="F7:G7"/>
    <mergeCell ref="E44:F44"/>
    <mergeCell ref="B176:C176"/>
    <mergeCell ref="G166:H166"/>
    <mergeCell ref="H34:O34"/>
    <mergeCell ref="B128:D128"/>
    <mergeCell ref="G141:H141"/>
    <mergeCell ref="E103:F103"/>
    <mergeCell ref="E152:F152"/>
    <mergeCell ref="A116:O116"/>
    <mergeCell ref="E118:F118"/>
    <mergeCell ref="F8:G8"/>
    <mergeCell ref="A12:B12"/>
    <mergeCell ref="C12:D12"/>
    <mergeCell ref="G167:H167"/>
    <mergeCell ref="I154:O154"/>
    <mergeCell ref="B171:C171"/>
    <mergeCell ref="B123:D123"/>
    <mergeCell ref="I156:O156"/>
    <mergeCell ref="E70:F70"/>
    <mergeCell ref="F77:G77"/>
    <mergeCell ref="H77:I77"/>
    <mergeCell ref="H96:O96"/>
    <mergeCell ref="E32:F32"/>
    <mergeCell ref="G120:O120"/>
    <mergeCell ref="B133:C133"/>
    <mergeCell ref="E134:F134"/>
    <mergeCell ref="G134:H134"/>
    <mergeCell ref="B173:C173"/>
    <mergeCell ref="E96:F96"/>
    <mergeCell ref="B75:C75"/>
    <mergeCell ref="B135:C135"/>
    <mergeCell ref="I180:O180"/>
    <mergeCell ref="A130:B130"/>
    <mergeCell ref="I167:O167"/>
    <mergeCell ref="E98:F98"/>
    <mergeCell ref="I182:O182"/>
    <mergeCell ref="E165:F165"/>
    <mergeCell ref="I169:O169"/>
    <mergeCell ref="I13:O13"/>
    <mergeCell ref="E140:F140"/>
    <mergeCell ref="G156:H156"/>
    <mergeCell ref="B118:D118"/>
    <mergeCell ref="A8:C8"/>
    <mergeCell ref="H61:I61"/>
    <mergeCell ref="H88:I88"/>
    <mergeCell ref="J81:M81"/>
    <mergeCell ref="G187:H187"/>
    <mergeCell ref="A10:C10"/>
    <mergeCell ref="H17:O17"/>
    <mergeCell ref="F90:G90"/>
    <mergeCell ref="H90:I90"/>
    <mergeCell ref="H109:O109"/>
    <mergeCell ref="G180:H180"/>
    <mergeCell ref="E45:F45"/>
    <mergeCell ref="H22:O22"/>
    <mergeCell ref="B129:D129"/>
    <mergeCell ref="H19:O19"/>
    <mergeCell ref="G188:H188"/>
    <mergeCell ref="B192:C192"/>
    <mergeCell ref="A20:B20"/>
    <mergeCell ref="H111:O111"/>
    <mergeCell ref="B121:D121"/>
    <mergeCell ref="G182:H182"/>
    <mergeCell ref="I162:O162"/>
    <mergeCell ref="A132:O132"/>
    <mergeCell ref="A13:B13"/>
    <mergeCell ref="C13:D13"/>
    <mergeCell ref="I155:O155"/>
    <mergeCell ref="A114:B114"/>
  </mergeCells>
  <conditionalFormatting sqref="I134:O193">
    <cfRule type="expression" priority="1" dxfId="0" stopIfTrue="1">
      <formula>$I134="Pago"</formula>
    </cfRule>
    <cfRule type="expression" priority="2" dxfId="3" stopIfTrue="1">
      <formula>$I134="Comprado (a pagar)"</formula>
    </cfRule>
    <cfRule type="expression" priority="3" dxfId="1" stopIfTrue="1">
      <formula>$I134="A comprar"</formula>
    </cfRule>
  </conditionalFormatting>
  <conditionalFormatting sqref="A134:O193">
    <cfRule type="expression" priority="4" dxfId="6">
      <formula>AND($E134&lt;&gt;"",$B134="")</formula>
    </cfRule>
  </conditionalFormatting>
  <conditionalFormatting sqref="E16:F22">
    <cfRule type="expression" priority="5" dxfId="4">
      <formula>AND($E16&lt;&gt;"",$E16&gt;0)</formula>
    </cfRule>
    <cfRule type="expression" priority="6" dxfId="5">
      <formula>AND($E16&lt;&gt;"",$E16&lt;0)</formula>
    </cfRule>
  </conditionalFormatting>
  <conditionalFormatting sqref="E96:F114">
    <cfRule type="expression" priority="7" dxfId="4">
      <formula>AND($E96&lt;&gt;"",$E96&gt;0)</formula>
    </cfRule>
    <cfRule type="expression" priority="8" dxfId="5">
      <formula>AND($E96&lt;&gt;"",$E96&lt;0)</formula>
    </cfRule>
  </conditionalFormatting>
  <conditionalFormatting sqref="J9">
    <cfRule type="expression" priority="9" dxfId="0" stopIfTrue="1">
      <formula>$J$9="No prazo"</formula>
    </cfRule>
    <cfRule type="expression" priority="10" dxfId="2">
      <formula>$J$9="Atrasado"</formula>
    </cfRule>
  </conditionalFormatting>
  <conditionalFormatting sqref="A13:J13">
    <cfRule type="expression" priority="11" dxfId="6">
      <formula>AND($G$13&lt;&gt;"",$G$13&lt;0.25)</formula>
    </cfRule>
  </conditionalFormatting>
  <dataValidations count="12">
    <dataValidation sqref="D10:E1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"Jan/2026,Fev/2026,Mar/2026,Abr/2026,Mai/2026,Jun/2026,Jul/2026,Ago/2026,Set/2026,Out/2026,Nov/2026,Dez/2026,Jan/2027,Fev/2027,Mar/2027,Abr/2027,Mai/2027,Jun/2027,Jul/2027,Ago/2027,Set/2027,Out/2027,Nov/2027,Dez/2027"</formula1>
    </dataValidation>
    <dataValidation sqref="D49:D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H49:H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L49:L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"Lorrane,Lucas,Externo / avulso"</formula1>
    </dataValidation>
    <dataValidation sqref="H66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A74:A91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B118:B12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"Erro de projeto,Erro de medição,Erro de produção,Erro de montagem,Falha de material,Dano no transporte,Mudança pedida pelo cliente,Falha de fornecedor,Outro"</formula1>
    </dataValidation>
    <dataValidation sqref="B134:B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"MDF e MDP,Fita de borda,Ferragens,Vidros e espelhos,Esquadrias,Lâmina natural,Consumíveis,Acabamento,Serralheria,Vidraceiro,Outro terceirizado,Uber e aplicativo,Carreto e entrega,Deslocamento da equipe,Frete de material,Estacionamento e pedágio"</formula1>
    </dataValidation>
    <dataValidation sqref="G134:G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"PIX,Boleto,Cartão de crédito,Cartão parcelado,Dinheiro,Transferência,Faturado 30 dias,A combinar"</formula1>
    </dataValidation>
    <dataValidation sqref="I134:I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"A comprar,Comprado (a pagar),Pago"</formula1>
    </dataValidation>
    <dataValidation sqref="D9:E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"Jonathan,Vitor,Indicação,Arquiteto parceiro,Outro"</formula1>
    </dataValidation>
    <dataValidation sqref="F9:G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</dataValidations>
  <pageMargins left="0.4" right="0.3" top="0.4" bottom="0.3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96"/>
  <sheetViews>
    <sheetView showGridLines="0"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14" customWidth="1" min="3" max="3"/>
    <col width="16" customWidth="1" min="4" max="4"/>
    <col width="7" customWidth="1" min="5" max="5"/>
    <col width="13" customWidth="1" min="6" max="6"/>
    <col width="13" customWidth="1" min="7" max="7"/>
    <col width="16" customWidth="1" min="8" max="8"/>
    <col width="7" customWidth="1" min="9" max="9"/>
    <col width="13" customWidth="1" min="10" max="10"/>
    <col width="13" customWidth="1" min="11" max="11"/>
    <col width="15" customWidth="1" min="12" max="12"/>
    <col width="7" customWidth="1" min="13" max="13"/>
    <col width="13" customWidth="1" min="14" max="14"/>
    <col width="14" customWidth="1" min="15" max="15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8" customHeight="1">
      <c r="A3" s="4" t="inlineStr">
        <is>
          <t>FICHA DE CUSTO DO PROJETO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 ht="17" customHeight="1">
      <c r="A4" s="6" t="inlineStr">
        <is>
          <t>Fundo creme = você preenche · fundo cinza = calculado · duplique esta aba a cada projeto e registre o nome dela no Painel Geral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 ht="6" customHeight="1"/>
    <row r="6" ht="13" customHeight="1">
      <c r="A6" s="44" t="inlineStr">
        <is>
          <t>CLIENTE</t>
        </is>
      </c>
      <c r="B6" s="13" t="n"/>
      <c r="C6" s="13" t="n"/>
      <c r="D6" s="44" t="inlineStr">
        <is>
          <t>Nº DO PROJETO</t>
        </is>
      </c>
      <c r="E6" s="13" t="n"/>
      <c r="F6" s="44" t="inlineStr">
        <is>
          <t>DATA DE ENTRADA</t>
        </is>
      </c>
      <c r="G6" s="13" t="n"/>
      <c r="H6" s="44" t="inlineStr">
        <is>
          <t>ENTREGA PREVISTA</t>
        </is>
      </c>
      <c r="I6" s="13" t="n"/>
      <c r="J6" s="44" t="inlineStr">
        <is>
          <t>ENTREGA REAL</t>
        </is>
      </c>
      <c r="K6" s="13" t="n"/>
      <c r="L6" s="13" t="n"/>
      <c r="M6" s="13" t="n"/>
      <c r="N6" s="13" t="n"/>
      <c r="O6" s="13" t="n"/>
    </row>
    <row r="7" ht="21" customHeight="1">
      <c r="A7" s="45" t="n"/>
      <c r="B7" s="46" t="n"/>
      <c r="C7" s="46" t="n"/>
      <c r="D7" s="45" t="n"/>
      <c r="E7" s="46" t="n"/>
      <c r="F7" s="47" t="n"/>
      <c r="G7" s="46" t="n"/>
      <c r="H7" s="47" t="n"/>
      <c r="I7" s="46" t="n"/>
      <c r="J7" s="47" t="n"/>
      <c r="K7" s="46" t="n"/>
      <c r="L7" s="46" t="n"/>
      <c r="M7" s="46" t="n"/>
      <c r="N7" s="46" t="n"/>
      <c r="O7" s="46" t="n"/>
    </row>
    <row r="8" ht="13" customHeight="1">
      <c r="A8" s="44" t="inlineStr">
        <is>
          <t>PROJETO</t>
        </is>
      </c>
      <c r="B8" s="13" t="n"/>
      <c r="C8" s="13" t="n"/>
      <c r="D8" s="44" t="inlineStr">
        <is>
          <t>VENDEDOR</t>
        </is>
      </c>
      <c r="E8" s="13" t="n"/>
      <c r="F8" s="44" t="inlineStr">
        <is>
          <t>COORDENADOR</t>
        </is>
      </c>
      <c r="G8" s="13" t="n"/>
      <c r="H8" s="44" t="inlineStr">
        <is>
          <t>DIAS DE ATRASO</t>
        </is>
      </c>
      <c r="I8" s="13" t="n"/>
      <c r="J8" s="44" t="inlineStr">
        <is>
          <t>SITUAÇÃO DA ENTREGA</t>
        </is>
      </c>
      <c r="K8" s="13" t="n"/>
      <c r="L8" s="13" t="n"/>
      <c r="M8" s="13" t="n"/>
      <c r="N8" s="13" t="n"/>
      <c r="O8" s="13" t="n"/>
    </row>
    <row r="9" ht="21" customHeight="1">
      <c r="A9" s="45" t="n"/>
      <c r="B9" s="46" t="n"/>
      <c r="C9" s="46" t="n"/>
      <c r="D9" s="45" t="n"/>
      <c r="E9" s="46" t="n"/>
      <c r="F9" s="48" t="n"/>
      <c r="G9" s="46" t="n"/>
      <c r="H9" s="49">
        <f>IF(OR($H$7="",$J$7=""),"",$J$7-$H$7)</f>
        <v/>
      </c>
      <c r="I9" s="38" t="n"/>
      <c r="J9" s="50">
        <f>IF($H$7="","",IF($J$7="",IF(TODAY()&gt;$H$7,"Atrasado","Em produção"),IF($H$9&lt;=0,"No prazo","Atrasado")))</f>
        <v/>
      </c>
      <c r="K9" s="38" t="n"/>
      <c r="L9" s="38" t="n"/>
      <c r="M9" s="38" t="n"/>
      <c r="N9" s="38" t="n"/>
      <c r="O9" s="38" t="n"/>
    </row>
    <row r="10" ht="18" customHeight="1">
      <c r="A10" s="51" t="inlineStr">
        <is>
          <t>MÊS DE COMPETÊNCIA</t>
        </is>
      </c>
      <c r="B10" s="37" t="n"/>
      <c r="C10" s="37" t="n"/>
      <c r="D10" s="52" t="n"/>
      <c r="E10" s="46" t="n"/>
      <c r="F10" s="53" t="inlineStr">
        <is>
          <t>o mês em que a receita e o custo deste projeto pesam no painel de competência</t>
        </is>
      </c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</row>
    <row r="11" ht="20" customHeight="1">
      <c r="A11" s="8" t="inlineStr">
        <is>
          <t xml:space="preserve">  RESULTADO DO PROJETO          tudo aqui se atualiza conforme você lança os custos mais abaixo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</row>
    <row r="12" ht="13" customHeight="1">
      <c r="A12" s="44" t="inlineStr">
        <is>
          <t>VALOR DE VENDA</t>
        </is>
      </c>
      <c r="B12" s="13" t="n"/>
      <c r="C12" s="44" t="inlineStr">
        <is>
          <t>CUSTO TOTAL</t>
        </is>
      </c>
      <c r="D12" s="13" t="n"/>
      <c r="E12" s="44" t="inlineStr">
        <is>
          <t>MARGEM DE CONTRIBUIÇÃO</t>
        </is>
      </c>
      <c r="F12" s="13" t="n"/>
      <c r="G12" s="44" t="inlineStr">
        <is>
          <t>MC %</t>
        </is>
      </c>
      <c r="H12" s="44" t="inlineStr">
        <is>
          <t>MC % ORÇADA</t>
        </is>
      </c>
      <c r="I12" s="44" t="inlineStr">
        <is>
          <t>DESVIO DE CUSTO</t>
        </is>
      </c>
      <c r="J12" s="13" t="n"/>
      <c r="K12" s="13" t="n"/>
      <c r="L12" s="13" t="n"/>
      <c r="M12" s="13" t="n"/>
      <c r="N12" s="13" t="n"/>
      <c r="O12" s="13" t="n"/>
    </row>
    <row r="13" ht="30" customHeight="1">
      <c r="A13" s="54">
        <f>IF($D$28="",$C$28,$D$28)</f>
        <v/>
      </c>
      <c r="B13" s="15" t="n"/>
      <c r="C13" s="54">
        <f>IF($D$22=0,"",$D$22)</f>
        <v/>
      </c>
      <c r="D13" s="15" t="n"/>
      <c r="E13" s="54">
        <f>IF($A$13="","",$D$23)</f>
        <v/>
      </c>
      <c r="F13" s="15" t="n"/>
      <c r="G13" s="55">
        <f>IF(OR($A$13="",$A$13=0),"",$D$23/$A$13)</f>
        <v/>
      </c>
      <c r="H13" s="55">
        <f>IF(OR($C$28="",$C$28=0),"",$C$23/$C$28)</f>
        <v/>
      </c>
      <c r="I13" s="54">
        <f>IF(OR($C$22=0,$D$22=0),"",ROUND($D$22-$C$22,2))</f>
        <v/>
      </c>
      <c r="J13" s="15" t="n"/>
      <c r="K13" s="15" t="n"/>
      <c r="L13" s="15" t="n"/>
      <c r="M13" s="15" t="n"/>
      <c r="N13" s="15" t="n"/>
      <c r="O13" s="15" t="n"/>
    </row>
    <row r="14" ht="8" customHeight="1"/>
    <row r="15" ht="26" customHeight="1">
      <c r="A15" s="19" t="inlineStr">
        <is>
          <t>Resumo por categoria</t>
        </is>
      </c>
      <c r="B15" s="35" t="n"/>
      <c r="C15" s="19" t="inlineStr">
        <is>
          <t>Orçado (R$)</t>
        </is>
      </c>
      <c r="D15" s="19" t="inlineStr">
        <is>
          <t>Realizado (R$)</t>
        </is>
      </c>
      <c r="E15" s="19" t="inlineStr">
        <is>
          <t>Desvio (R$)</t>
        </is>
      </c>
      <c r="F15" s="35" t="n"/>
      <c r="G15" s="19" t="inlineStr">
        <is>
          <t>Desvio (%)</t>
        </is>
      </c>
      <c r="H15" s="19" t="inlineStr">
        <is>
          <t>% da venda realizada</t>
        </is>
      </c>
      <c r="I15" s="35" t="n"/>
      <c r="J15" s="35" t="n"/>
      <c r="K15" s="35" t="n"/>
      <c r="L15" s="35" t="n"/>
      <c r="M15" s="35" t="n"/>
      <c r="N15" s="35" t="n"/>
      <c r="O15" s="35" t="n"/>
    </row>
    <row r="16" ht="18" customHeight="1">
      <c r="A16" s="36" t="inlineStr">
        <is>
          <t>Custos de venda</t>
        </is>
      </c>
      <c r="B16" s="37" t="n"/>
      <c r="C16" s="56">
        <f>IF(C44="","",C44)</f>
        <v/>
      </c>
      <c r="D16" s="56">
        <f>IF(D44="","",D44)</f>
        <v/>
      </c>
      <c r="E16" s="56">
        <f>IF(OR($C16="",$D16=""),"",ROUND($D16-$C16,2))</f>
        <v/>
      </c>
      <c r="F16" s="38" t="n"/>
      <c r="G16" s="57">
        <f>IF(OR($C16="",$C16=0,$D16=""),"",$D16/$C16-1)</f>
        <v/>
      </c>
      <c r="H16" s="58">
        <f>IF(OR($D16="",$A$13="",$A$13=0),"",$D16/$A$13)</f>
        <v/>
      </c>
      <c r="I16" s="38" t="n"/>
      <c r="J16" s="38" t="n"/>
      <c r="K16" s="38" t="n"/>
      <c r="L16" s="38" t="n"/>
      <c r="M16" s="38" t="n"/>
      <c r="N16" s="38" t="n"/>
      <c r="O16" s="38" t="n"/>
    </row>
    <row r="17" ht="18" customHeight="1">
      <c r="A17" s="36" t="inlineStr">
        <is>
          <t>Comissões operacionais</t>
        </is>
      </c>
      <c r="B17" s="37" t="n"/>
      <c r="C17" s="56">
        <f>IF(C70="","",C70)</f>
        <v/>
      </c>
      <c r="D17" s="56">
        <f>IF(D70="","",D70)</f>
        <v/>
      </c>
      <c r="E17" s="56">
        <f>IF(OR($C17="",$D17=""),"",ROUND($D17-$C17,2))</f>
        <v/>
      </c>
      <c r="F17" s="38" t="n"/>
      <c r="G17" s="57">
        <f>IF(OR($C17="",$C17=0,$D17=""),"",$D17/$C17-1)</f>
        <v/>
      </c>
      <c r="H17" s="58">
        <f>IF(OR($D17="",$A$13="",$A$13=0),"",$D17/$A$13)</f>
        <v/>
      </c>
      <c r="I17" s="38" t="n"/>
      <c r="J17" s="38" t="n"/>
      <c r="K17" s="38" t="n"/>
      <c r="L17" s="38" t="n"/>
      <c r="M17" s="38" t="n"/>
      <c r="N17" s="38" t="n"/>
      <c r="O17" s="38" t="n"/>
    </row>
    <row r="18" ht="18" customHeight="1">
      <c r="A18" s="36" t="inlineStr">
        <is>
          <t>Material</t>
        </is>
      </c>
      <c r="B18" s="37" t="n"/>
      <c r="C18" s="56">
        <f>IF(C103="","",C103)</f>
        <v/>
      </c>
      <c r="D18" s="56">
        <f>IF(D103="","",D103)</f>
        <v/>
      </c>
      <c r="E18" s="56">
        <f>IF(OR($C18="",$D18=""),"",ROUND($D18-$C18,2))</f>
        <v/>
      </c>
      <c r="F18" s="38" t="n"/>
      <c r="G18" s="57">
        <f>IF(OR($C18="",$C18=0,$D18=""),"",$D18/$C18-1)</f>
        <v/>
      </c>
      <c r="H18" s="58">
        <f>IF(OR($D18="",$A$13="",$A$13=0),"",$D18/$A$13)</f>
        <v/>
      </c>
      <c r="I18" s="38" t="n"/>
      <c r="J18" s="38" t="n"/>
      <c r="K18" s="38" t="n"/>
      <c r="L18" s="38" t="n"/>
      <c r="M18" s="38" t="n"/>
      <c r="N18" s="38" t="n"/>
      <c r="O18" s="38" t="n"/>
    </row>
    <row r="19" ht="18" customHeight="1">
      <c r="A19" s="36" t="inlineStr">
        <is>
          <t>Serviços terceirizados</t>
        </is>
      </c>
      <c r="B19" s="37" t="n"/>
      <c r="C19" s="56">
        <f>IF(C108="","",C108)</f>
        <v/>
      </c>
      <c r="D19" s="56">
        <f>IF(D108="","",D108)</f>
        <v/>
      </c>
      <c r="E19" s="56">
        <f>IF(OR($C19="",$D19=""),"",ROUND($D19-$C19,2))</f>
        <v/>
      </c>
      <c r="F19" s="38" t="n"/>
      <c r="G19" s="57">
        <f>IF(OR($C19="",$C19=0,$D19=""),"",$D19/$C19-1)</f>
        <v/>
      </c>
      <c r="H19" s="58">
        <f>IF(OR($D19="",$A$13="",$A$13=0),"",$D19/$A$13)</f>
        <v/>
      </c>
      <c r="I19" s="38" t="n"/>
      <c r="J19" s="38" t="n"/>
      <c r="K19" s="38" t="n"/>
      <c r="L19" s="38" t="n"/>
      <c r="M19" s="38" t="n"/>
      <c r="N19" s="38" t="n"/>
      <c r="O19" s="38" t="n"/>
    </row>
    <row r="20" ht="18" customHeight="1">
      <c r="A20" s="36" t="inlineStr">
        <is>
          <t>Logística</t>
        </is>
      </c>
      <c r="B20" s="37" t="n"/>
      <c r="C20" s="56">
        <f>IF(C114="","",C114)</f>
        <v/>
      </c>
      <c r="D20" s="56">
        <f>IF(D114="","",D114)</f>
        <v/>
      </c>
      <c r="E20" s="56">
        <f>IF(OR($C20="",$D20=""),"",ROUND($D20-$C20,2))</f>
        <v/>
      </c>
      <c r="F20" s="38" t="n"/>
      <c r="G20" s="57">
        <f>IF(OR($C20="",$C20=0,$D20=""),"",$D20/$C20-1)</f>
        <v/>
      </c>
      <c r="H20" s="58">
        <f>IF(OR($D20="",$A$13="",$A$13=0),"",$D20/$A$13)</f>
        <v/>
      </c>
      <c r="I20" s="38" t="n"/>
      <c r="J20" s="38" t="n"/>
      <c r="K20" s="38" t="n"/>
      <c r="L20" s="38" t="n"/>
      <c r="M20" s="38" t="n"/>
      <c r="N20" s="38" t="n"/>
      <c r="O20" s="38" t="n"/>
    </row>
    <row r="21" ht="18" customHeight="1">
      <c r="A21" s="36" t="inlineStr">
        <is>
          <t>Retrabalho</t>
        </is>
      </c>
      <c r="B21" s="37" t="n"/>
      <c r="C21" s="56">
        <f>IF(C130="","",C130)</f>
        <v/>
      </c>
      <c r="D21" s="56">
        <f>IF(D130="","",D130)</f>
        <v/>
      </c>
      <c r="E21" s="56">
        <f>IF(OR($C21="",$D21=""),"",ROUND($D21-$C21,2))</f>
        <v/>
      </c>
      <c r="F21" s="38" t="n"/>
      <c r="G21" s="57">
        <f>IF(OR($C21="",$C21=0,$D21=""),"",$D21/$C21-1)</f>
        <v/>
      </c>
      <c r="H21" s="58">
        <f>IF(OR($D21="",$A$13="",$A$13=0),"",$D21/$A$13)</f>
        <v/>
      </c>
      <c r="I21" s="38" t="n"/>
      <c r="J21" s="38" t="n"/>
      <c r="K21" s="38" t="n"/>
      <c r="L21" s="38" t="n"/>
      <c r="M21" s="38" t="n"/>
      <c r="N21" s="38" t="n"/>
      <c r="O21" s="38" t="n"/>
    </row>
    <row r="22" ht="22" customHeight="1">
      <c r="A22" s="31" t="inlineStr">
        <is>
          <t>(=) CUSTO TOTAL DO PROJETO</t>
        </is>
      </c>
      <c r="B22" s="32" t="n"/>
      <c r="C22" s="59">
        <f>ROUND(SUM(C16:C21),2)</f>
        <v/>
      </c>
      <c r="D22" s="59">
        <f>ROUND(SUM(D16:D21),2)</f>
        <v/>
      </c>
      <c r="E22" s="60">
        <f>ROUND($D$22-$C$22,2)</f>
        <v/>
      </c>
      <c r="F22" s="32" t="n"/>
      <c r="G22" s="61">
        <f>IF(OR($C$22="",$C$22=0),"",$D$22/$C$22-1)</f>
        <v/>
      </c>
      <c r="H22" s="62">
        <f>IF(OR($A$13="",$A$13=0),"",$D$22/$A$13)</f>
        <v/>
      </c>
      <c r="I22" s="32" t="n"/>
      <c r="J22" s="32" t="n"/>
      <c r="K22" s="32" t="n"/>
      <c r="L22" s="32" t="n"/>
      <c r="M22" s="32" t="n"/>
      <c r="N22" s="32" t="n"/>
      <c r="O22" s="32" t="n"/>
    </row>
    <row r="23" ht="28" customHeight="1">
      <c r="A23" s="63" t="inlineStr">
        <is>
          <t>(=) MARGEM DE CONTRIBUIÇÃO</t>
        </is>
      </c>
      <c r="B23" s="64" t="n"/>
      <c r="C23" s="65">
        <f>ROUND($C$28-$C$22,2)</f>
        <v/>
      </c>
      <c r="D23" s="65">
        <f>ROUND($A$13-$D$22,2)</f>
        <v/>
      </c>
      <c r="E23" s="66">
        <f>ROUND($D$23-$C$23,2)</f>
        <v/>
      </c>
      <c r="F23" s="64" t="n"/>
      <c r="G23" s="67">
        <f>IF(OR($C$28="",$C$28=0),"",$C$23/$C$28)</f>
        <v/>
      </c>
      <c r="H23" s="68">
        <f>IF(OR($A$13="",$A$13=0),"",$D$23/$A$13)</f>
        <v/>
      </c>
      <c r="I23" s="64" t="n"/>
      <c r="J23" s="64" t="n"/>
      <c r="K23" s="64" t="n"/>
      <c r="L23" s="64" t="n"/>
      <c r="M23" s="64" t="n"/>
      <c r="N23" s="64" t="n"/>
      <c r="O23" s="64" t="n"/>
    </row>
    <row r="24" ht="22" customHeight="1">
      <c r="A24" s="69">
        <f>IF($A$13="","",IF(ROUND(SUMIF($I$134:$I$193,"A comprar",$E$134:$E$193),2)+ROUND(SUMIF($I$134:$I$193,"Comprado (a pagar)",$E$134:$E$193),2)=0,"   Nenhuma compra pendente lançada — o custo realizado já é o custo final.","   Já comprado e ainda a pagar: "&amp;TEXT(ROUND(SUMIF($I$134:$I$193,"Comprado (a pagar)",$E$134:$E$193),2),"R$ #,##0")&amp;"   ·   custo projetado: "&amp;TEXT($D$22+ROUND(SUMIF($I$134:$I$193,"A comprar",$E$134:$E$193),2),"R$ #,##0")&amp;"   ·   MC projetada: "&amp;TEXT(($A$13-$D$22-ROUND(SUMIF($I$134:$I$193,"A comprar",$E$134:$E$193),2))/$A$13,"0.0%")))</f>
        <v/>
      </c>
      <c r="B24" s="15" t="n"/>
      <c r="C24" s="15" t="n"/>
      <c r="D24" s="15" t="n"/>
      <c r="E24" s="15" t="n"/>
      <c r="F24" s="15" t="n"/>
      <c r="G24" s="15" t="n"/>
      <c r="H24" s="15" t="n"/>
      <c r="I24" s="70">
        <f>IF($A$13="","",ROUND(SUMIF($I$134:$I$193,"A comprar",$E$134:$E$193),2))</f>
        <v/>
      </c>
      <c r="J24" s="15" t="n"/>
      <c r="K24" s="15" t="n"/>
      <c r="L24" s="15" t="n"/>
      <c r="M24" s="15" t="n"/>
      <c r="N24" s="15" t="n"/>
      <c r="O24" s="15" t="n"/>
    </row>
    <row r="25" ht="8" customHeight="1"/>
    <row r="26" ht="20" customHeight="1">
      <c r="A26" s="8" t="inlineStr">
        <is>
          <t xml:space="preserve">  1 · VALOR DE VENDA E NOTAS EMITIDAS          o que foi vendido e o que já virou nota — a diferença é o que falta faturar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 ht="26" customHeight="1">
      <c r="A27" s="19" t="inlineStr">
        <is>
          <t>Item</t>
        </is>
      </c>
      <c r="B27" s="19" t="inlineStr">
        <is>
          <t>%</t>
        </is>
      </c>
      <c r="C27" s="19" t="inlineStr">
        <is>
          <t>Orçado (R$)</t>
        </is>
      </c>
      <c r="D27" s="19" t="inlineStr">
        <is>
          <t>Realizado (R$)</t>
        </is>
      </c>
      <c r="E27" s="19" t="inlineStr">
        <is>
          <t>Desvio (R$)</t>
        </is>
      </c>
      <c r="F27" s="35" t="n"/>
      <c r="G27" s="19" t="inlineStr">
        <is>
          <t>% da venda</t>
        </is>
      </c>
      <c r="H27" s="19" t="inlineStr">
        <is>
          <t>Observação</t>
        </is>
      </c>
      <c r="I27" s="35" t="n"/>
      <c r="J27" s="35" t="n"/>
      <c r="K27" s="35" t="n"/>
      <c r="L27" s="35" t="n"/>
      <c r="M27" s="35" t="n"/>
      <c r="N27" s="35" t="n"/>
      <c r="O27" s="35" t="n"/>
    </row>
    <row r="28" ht="17" customHeight="1">
      <c r="A28" s="36" t="inlineStr">
        <is>
          <t>Valor de venda do projeto</t>
        </is>
      </c>
      <c r="B28" s="37" t="n"/>
      <c r="C28" s="71" t="n"/>
      <c r="D28" s="71" t="n"/>
      <c r="E28" s="56">
        <f>IF(OR($C28="",$D28=""),"",ROUND($D28-$C28,2))</f>
        <v/>
      </c>
      <c r="F28" s="38" t="n"/>
      <c r="G28" s="72" t="n"/>
      <c r="H28" s="73" t="inlineStr">
        <is>
          <t>Orçado = valor da proposta · Realizado = valor fechado</t>
        </is>
      </c>
      <c r="I28" s="46" t="n"/>
      <c r="J28" s="46" t="n"/>
      <c r="K28" s="46" t="n"/>
      <c r="L28" s="46" t="n"/>
      <c r="M28" s="46" t="n"/>
      <c r="N28" s="46" t="n"/>
      <c r="O28" s="46" t="n"/>
    </row>
    <row r="29" ht="22" customHeight="1">
      <c r="A29" s="19" t="inlineStr">
        <is>
          <t>Nota fiscal</t>
        </is>
      </c>
      <c r="B29" s="19" t="inlineStr">
        <is>
          <t>Número</t>
        </is>
      </c>
      <c r="C29" s="19" t="inlineStr">
        <is>
          <t>Data</t>
        </is>
      </c>
      <c r="D29" s="19" t="inlineStr">
        <is>
          <t>Valor (R$)</t>
        </is>
      </c>
      <c r="E29" s="19" t="inlineStr"/>
      <c r="F29" s="35" t="n"/>
      <c r="G29" s="19" t="inlineStr">
        <is>
          <t>% da venda</t>
        </is>
      </c>
      <c r="H29" s="19" t="inlineStr">
        <is>
          <t>Observação</t>
        </is>
      </c>
      <c r="I29" s="35" t="n"/>
      <c r="J29" s="35" t="n"/>
      <c r="K29" s="35" t="n"/>
      <c r="L29" s="35" t="n"/>
      <c r="M29" s="35" t="n"/>
      <c r="N29" s="35" t="n"/>
      <c r="O29" s="35" t="n"/>
    </row>
    <row r="30" ht="17" customHeight="1">
      <c r="A30" s="36" t="inlineStr">
        <is>
          <t>Nota 1</t>
        </is>
      </c>
      <c r="B30" s="74" t="n"/>
      <c r="C30" s="75" t="n"/>
      <c r="D30" s="76" t="n"/>
      <c r="E30" s="37" t="n"/>
      <c r="F30" s="37" t="n"/>
      <c r="G30" s="72">
        <f>IF(OR($D30="",$A$13="",$A$13=0),"",$D30/$A$13)</f>
        <v/>
      </c>
      <c r="H30" s="73" t="n"/>
      <c r="I30" s="46" t="n"/>
      <c r="J30" s="46" t="n"/>
      <c r="K30" s="46" t="n"/>
      <c r="L30" s="46" t="n"/>
      <c r="M30" s="46" t="n"/>
      <c r="N30" s="46" t="n"/>
      <c r="O30" s="46" t="n"/>
    </row>
    <row r="31" ht="17" customHeight="1">
      <c r="A31" s="36" t="inlineStr">
        <is>
          <t>Nota 2</t>
        </is>
      </c>
      <c r="B31" s="74" t="n"/>
      <c r="C31" s="75" t="n"/>
      <c r="D31" s="76" t="n"/>
      <c r="E31" s="37" t="n"/>
      <c r="F31" s="37" t="n"/>
      <c r="G31" s="72">
        <f>IF(OR($D31="",$A$13="",$A$13=0),"",$D31/$A$13)</f>
        <v/>
      </c>
      <c r="H31" s="73" t="n"/>
      <c r="I31" s="46" t="n"/>
      <c r="J31" s="46" t="n"/>
      <c r="K31" s="46" t="n"/>
      <c r="L31" s="46" t="n"/>
      <c r="M31" s="46" t="n"/>
      <c r="N31" s="46" t="n"/>
      <c r="O31" s="46" t="n"/>
    </row>
    <row r="32" ht="17" customHeight="1">
      <c r="A32" s="36" t="inlineStr">
        <is>
          <t>Nota 3</t>
        </is>
      </c>
      <c r="B32" s="74" t="n"/>
      <c r="C32" s="75" t="n"/>
      <c r="D32" s="76" t="n"/>
      <c r="E32" s="37" t="n"/>
      <c r="F32" s="37" t="n"/>
      <c r="G32" s="72">
        <f>IF(OR($D32="",$A$13="",$A$13=0),"",$D32/$A$13)</f>
        <v/>
      </c>
      <c r="H32" s="73" t="n"/>
      <c r="I32" s="46" t="n"/>
      <c r="J32" s="46" t="n"/>
      <c r="K32" s="46" t="n"/>
      <c r="L32" s="46" t="n"/>
      <c r="M32" s="46" t="n"/>
      <c r="N32" s="46" t="n"/>
      <c r="O32" s="46" t="n"/>
    </row>
    <row r="33" ht="17" customHeight="1">
      <c r="A33" s="36" t="inlineStr">
        <is>
          <t>Nota 4</t>
        </is>
      </c>
      <c r="B33" s="74" t="n"/>
      <c r="C33" s="75" t="n"/>
      <c r="D33" s="76" t="n"/>
      <c r="E33" s="37" t="n"/>
      <c r="F33" s="37" t="n"/>
      <c r="G33" s="72">
        <f>IF(OR($D33="",$A$13="",$A$13=0),"",$D33/$A$13)</f>
        <v/>
      </c>
      <c r="H33" s="73" t="n"/>
      <c r="I33" s="46" t="n"/>
      <c r="J33" s="46" t="n"/>
      <c r="K33" s="46" t="n"/>
      <c r="L33" s="46" t="n"/>
      <c r="M33" s="46" t="n"/>
      <c r="N33" s="46" t="n"/>
      <c r="O33" s="46" t="n"/>
    </row>
    <row r="34" ht="20" customHeight="1">
      <c r="A34" s="31" t="inlineStr">
        <is>
          <t>(=) TOTAL FATURADO  →</t>
        </is>
      </c>
      <c r="B34" s="32" t="n"/>
      <c r="C34" s="32" t="n"/>
      <c r="D34" s="60">
        <f>ROUND(SUM($D$30:$D$33),2)</f>
        <v/>
      </c>
      <c r="E34" s="32" t="n"/>
      <c r="F34" s="32" t="n"/>
      <c r="G34" s="62">
        <f>IF(OR($A$13="",$A$13=0),"",$D$34/$A$13)</f>
        <v/>
      </c>
      <c r="H34" s="77">
        <f>IF(OR($A$13="",$A$13=0),"",IF(ROUND($A$13-$D$34,2)&lt;=0,"   Projeto totalmente faturado.","   Ainda a faturar: "&amp;TEXT($A$13-$D$34,"R$ #,##0.00")))</f>
        <v/>
      </c>
      <c r="I34" s="32" t="n"/>
      <c r="J34" s="32" t="n"/>
      <c r="K34" s="32" t="n"/>
      <c r="L34" s="32" t="n"/>
      <c r="M34" s="32" t="n"/>
      <c r="N34" s="32" t="n"/>
      <c r="O34" s="32" t="n"/>
    </row>
    <row r="35" ht="8" customHeight="1"/>
    <row r="36" ht="20" customHeight="1">
      <c r="A36" s="8" t="inlineStr">
        <is>
          <t xml:space="preserve">  2 · CUSTOS DE VENDA          tudo que sai por causa da venda · define a RECEITA LÍQUIDA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</row>
    <row r="37" ht="26" customHeight="1">
      <c r="A37" s="19" t="inlineStr">
        <is>
          <t>Item</t>
        </is>
      </c>
      <c r="B37" s="19" t="inlineStr">
        <is>
          <t>%</t>
        </is>
      </c>
      <c r="C37" s="19" t="inlineStr">
        <is>
          <t>Orçado (R$)</t>
        </is>
      </c>
      <c r="D37" s="19" t="inlineStr">
        <is>
          <t>Realizado (R$)</t>
        </is>
      </c>
      <c r="E37" s="19" t="inlineStr">
        <is>
          <t>Desvio (R$)</t>
        </is>
      </c>
      <c r="F37" s="35" t="n"/>
      <c r="G37" s="19" t="inlineStr">
        <is>
          <t>% da venda</t>
        </is>
      </c>
      <c r="H37" s="19" t="inlineStr">
        <is>
          <t>Observação</t>
        </is>
      </c>
      <c r="I37" s="35" t="n"/>
      <c r="J37" s="35" t="n"/>
      <c r="K37" s="35" t="n"/>
      <c r="L37" s="35" t="n"/>
      <c r="M37" s="35" t="n"/>
      <c r="N37" s="35" t="n"/>
      <c r="O37" s="35" t="n"/>
    </row>
    <row r="38" ht="17" customHeight="1">
      <c r="A38" s="36" t="inlineStr">
        <is>
          <t>Impostos sobre a nota (Simples)</t>
        </is>
      </c>
      <c r="B38" s="78" t="n"/>
      <c r="C38" s="56">
        <f>IF($B38="","",ROUND($B38*$C$28,2))</f>
        <v/>
      </c>
      <c r="D38" s="56">
        <f>IF($B38="","",ROUND($B38*$A$13,2))</f>
        <v/>
      </c>
      <c r="E38" s="56">
        <f>IF(OR($C38="",$D38=""),"",ROUND($D38-$C38,2))</f>
        <v/>
      </c>
      <c r="F38" s="38" t="n"/>
      <c r="G38" s="72">
        <f>IF(OR($D38="",$A$13="",$A$13=0),"",$D38/$A$13)</f>
        <v/>
      </c>
      <c r="H38" s="73" t="inlineStr">
        <is>
          <t>% sobre o valor de venda</t>
        </is>
      </c>
      <c r="I38" s="46" t="n"/>
      <c r="J38" s="46" t="n"/>
      <c r="K38" s="46" t="n"/>
      <c r="L38" s="46" t="n"/>
      <c r="M38" s="46" t="n"/>
      <c r="N38" s="46" t="n"/>
      <c r="O38" s="46" t="n"/>
    </row>
    <row r="39" ht="17" customHeight="1">
      <c r="A39" s="36" t="inlineStr">
        <is>
          <t>Taxa de máquina de cartão</t>
        </is>
      </c>
      <c r="B39" s="78" t="n"/>
      <c r="C39" s="56">
        <f>IF($B39="","",ROUND($B39*$C$28,2))</f>
        <v/>
      </c>
      <c r="D39" s="56">
        <f>IF($B39="","",ROUND($B39*$A$13,2))</f>
        <v/>
      </c>
      <c r="E39" s="56">
        <f>IF(OR($C39="",$D39=""),"",ROUND($D39-$C39,2))</f>
        <v/>
      </c>
      <c r="F39" s="38" t="n"/>
      <c r="G39" s="72">
        <f>IF(OR($D39="",$A$13="",$A$13=0),"",$D39/$A$13)</f>
        <v/>
      </c>
      <c r="H39" s="73" t="inlineStr">
        <is>
          <t>% sobre o valor de venda</t>
        </is>
      </c>
      <c r="I39" s="46" t="n"/>
      <c r="J39" s="46" t="n"/>
      <c r="K39" s="46" t="n"/>
      <c r="L39" s="46" t="n"/>
      <c r="M39" s="46" t="n"/>
      <c r="N39" s="46" t="n"/>
      <c r="O39" s="46" t="n"/>
    </row>
    <row r="40" ht="17" customHeight="1">
      <c r="A40" s="36" t="inlineStr">
        <is>
          <t>Taxas de transação (PIX, boleto, TED)</t>
        </is>
      </c>
      <c r="B40" s="37" t="n"/>
      <c r="C40" s="71" t="n"/>
      <c r="D40" s="71" t="n"/>
      <c r="E40" s="56">
        <f>IF(OR($C40="",$D40=""),"",ROUND($D40-$C40,2))</f>
        <v/>
      </c>
      <c r="F40" s="38" t="n"/>
      <c r="G40" s="72">
        <f>IF(OR($D40="",$A$13="",$A$13=0),"",$D40/$A$13)</f>
        <v/>
      </c>
      <c r="H40" s="73" t="inlineStr">
        <is>
          <t>valor em reais</t>
        </is>
      </c>
      <c r="I40" s="46" t="n"/>
      <c r="J40" s="46" t="n"/>
      <c r="K40" s="46" t="n"/>
      <c r="L40" s="46" t="n"/>
      <c r="M40" s="46" t="n"/>
      <c r="N40" s="46" t="n"/>
      <c r="O40" s="46" t="n"/>
    </row>
    <row r="41" ht="17" customHeight="1">
      <c r="A41" s="36" t="inlineStr">
        <is>
          <t>Comissão de venda (vendedor)</t>
        </is>
      </c>
      <c r="B41" s="78" t="n"/>
      <c r="C41" s="56">
        <f>IF($B41="","",ROUND($B41*$C$28,2))</f>
        <v/>
      </c>
      <c r="D41" s="56">
        <f>IF($B41="","",ROUND($B41*$A$13,2))</f>
        <v/>
      </c>
      <c r="E41" s="56">
        <f>IF(OR($C41="",$D41=""),"",ROUND($D41-$C41,2))</f>
        <v/>
      </c>
      <c r="F41" s="38" t="n"/>
      <c r="G41" s="72">
        <f>IF(OR($D41="",$A$13="",$A$13=0),"",$D41/$A$13)</f>
        <v/>
      </c>
      <c r="H41" s="73" t="inlineStr">
        <is>
          <t>% sobre o valor de venda</t>
        </is>
      </c>
      <c r="I41" s="46" t="n"/>
      <c r="J41" s="46" t="n"/>
      <c r="K41" s="46" t="n"/>
      <c r="L41" s="46" t="n"/>
      <c r="M41" s="46" t="n"/>
      <c r="N41" s="46" t="n"/>
      <c r="O41" s="46" t="n"/>
    </row>
    <row r="42" ht="17" customHeight="1">
      <c r="A42" s="36" t="inlineStr">
        <is>
          <t>Projeto / anteprojeto (externo)</t>
        </is>
      </c>
      <c r="B42" s="37" t="n"/>
      <c r="C42" s="71" t="n"/>
      <c r="D42" s="71" t="n"/>
      <c r="E42" s="56">
        <f>IF(OR($C42="",$D42=""),"",ROUND($D42-$C42,2))</f>
        <v/>
      </c>
      <c r="F42" s="38" t="n"/>
      <c r="G42" s="72">
        <f>IF(OR($D42="",$A$13="",$A$13=0),"",$D42/$A$13)</f>
        <v/>
      </c>
      <c r="H42" s="73" t="inlineStr">
        <is>
          <t>projetista ou arquiteto contratado para o projeto</t>
        </is>
      </c>
      <c r="I42" s="46" t="n"/>
      <c r="J42" s="46" t="n"/>
      <c r="K42" s="46" t="n"/>
      <c r="L42" s="46" t="n"/>
      <c r="M42" s="46" t="n"/>
      <c r="N42" s="46" t="n"/>
      <c r="O42" s="46" t="n"/>
    </row>
    <row r="43" ht="17" customHeight="1">
      <c r="A43" s="36" t="inlineStr">
        <is>
          <t>RT do parceiro</t>
        </is>
      </c>
      <c r="B43" s="78" t="n"/>
      <c r="C43" s="56">
        <f>IF($B43="","",ROUND($B43*($C$28-SUM($C$38:$C$40)),2))</f>
        <v/>
      </c>
      <c r="D43" s="56">
        <f>IF($B43="","",ROUND($B43*($A$13-SUM($D$38:$D$40)),2))</f>
        <v/>
      </c>
      <c r="E43" s="56">
        <f>IF(OR($C43="",$D43=""),"",ROUND($D43-$C43,2))</f>
        <v/>
      </c>
      <c r="F43" s="38" t="n"/>
      <c r="G43" s="72">
        <f>IF(OR($D43="",$A$13="",$A$13=0),"",$D43/$A$13)</f>
        <v/>
      </c>
      <c r="H43" s="73" t="inlineStr">
        <is>
          <t>% sobre o líquido: venda menos impostos, máquina e taxas</t>
        </is>
      </c>
      <c r="I43" s="46" t="n"/>
      <c r="J43" s="46" t="n"/>
      <c r="K43" s="46" t="n"/>
      <c r="L43" s="46" t="n"/>
      <c r="M43" s="46" t="n"/>
      <c r="N43" s="46" t="n"/>
      <c r="O43" s="46" t="n"/>
    </row>
    <row r="44" ht="20" customHeight="1">
      <c r="A44" s="31" t="inlineStr">
        <is>
          <t>(=) SUBTOTAL DOS CUSTOS DE VENDA</t>
        </is>
      </c>
      <c r="B44" s="32" t="n"/>
      <c r="C44" s="60">
        <f>ROUND(SUM(C38:C43),2)</f>
        <v/>
      </c>
      <c r="D44" s="60">
        <f>ROUND(SUM(D38:D43),2)</f>
        <v/>
      </c>
      <c r="E44" s="60">
        <f>ROUND($D44-$C44,2)</f>
        <v/>
      </c>
      <c r="F44" s="32" t="n"/>
      <c r="G44" s="62">
        <f>IF(OR($A$13="",$A$13=0),"",$D44/$A$13)</f>
        <v/>
      </c>
      <c r="H44" s="32" t="n"/>
      <c r="I44" s="32" t="n"/>
      <c r="J44" s="32" t="n"/>
      <c r="K44" s="32" t="n"/>
      <c r="L44" s="32" t="n"/>
      <c r="M44" s="32" t="n"/>
      <c r="N44" s="32" t="n"/>
      <c r="O44" s="32" t="n"/>
    </row>
    <row r="45" ht="24" customHeight="1">
      <c r="A45" s="79" t="inlineStr">
        <is>
          <t>(=) RECEITA LÍQUIDA</t>
        </is>
      </c>
      <c r="B45" s="64" t="n"/>
      <c r="C45" s="80">
        <f>ROUND($C$28-$C$44,2)</f>
        <v/>
      </c>
      <c r="D45" s="80">
        <f>ROUND($A$13-$D$44,2)</f>
        <v/>
      </c>
      <c r="E45" s="66">
        <f>ROUND($D$45-$C$45,2)</f>
        <v/>
      </c>
      <c r="F45" s="64" t="n"/>
      <c r="G45" s="81">
        <f>IF(OR($A$13="",$A$13=0),"",$D$45/$A$13)</f>
        <v/>
      </c>
      <c r="H45" s="82" t="inlineStr">
        <is>
          <t>É esta a base das comissões: coordenação, produção, montagem e projetista</t>
        </is>
      </c>
      <c r="I45" s="64" t="n"/>
      <c r="J45" s="64" t="n"/>
      <c r="K45" s="64" t="n"/>
      <c r="L45" s="64" t="n"/>
      <c r="M45" s="64" t="n"/>
      <c r="N45" s="64" t="n"/>
      <c r="O45" s="64" t="n"/>
    </row>
    <row r="46" ht="8" customHeight="1"/>
    <row r="47" ht="20" customHeight="1">
      <c r="A47" s="8" t="inlineStr">
        <is>
          <t xml:space="preserve">  3 · AMBIENTES, PRODUÇÃO, MONTAGEM E PROJETO          cada ambiente com quem produziu, quem montou e quem projetou · a comissão incide sobre a receita líquida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</row>
    <row r="48" ht="32" customHeight="1">
      <c r="A48" s="19" t="inlineStr">
        <is>
          <t>Ambiente</t>
        </is>
      </c>
      <c r="B48" s="19" t="inlineStr">
        <is>
          <t>% do total</t>
        </is>
      </c>
      <c r="C48" s="19" t="inlineStr">
        <is>
          <t>Valor do ambiente (R$)</t>
        </is>
      </c>
      <c r="D48" s="19" t="inlineStr">
        <is>
          <t>Produção — quem</t>
        </is>
      </c>
      <c r="E48" s="19" t="inlineStr">
        <is>
          <t>%</t>
        </is>
      </c>
      <c r="F48" s="19" t="inlineStr">
        <is>
          <t>Comissão produção (R$)</t>
        </is>
      </c>
      <c r="G48" s="19" t="inlineStr">
        <is>
          <t>Fabricado em</t>
        </is>
      </c>
      <c r="H48" s="19" t="inlineStr">
        <is>
          <t>Montagem — quem</t>
        </is>
      </c>
      <c r="I48" s="19" t="inlineStr">
        <is>
          <t>%</t>
        </is>
      </c>
      <c r="J48" s="19" t="inlineStr">
        <is>
          <t>Comissão montagem (R$)</t>
        </is>
      </c>
      <c r="K48" s="19" t="inlineStr">
        <is>
          <t>Montado em</t>
        </is>
      </c>
      <c r="L48" s="19" t="inlineStr">
        <is>
          <t>Projetista — quem</t>
        </is>
      </c>
      <c r="M48" s="19" t="inlineStr">
        <is>
          <t>%</t>
        </is>
      </c>
      <c r="N48" s="19" t="inlineStr">
        <is>
          <t>Comissão projetista (R$)</t>
        </is>
      </c>
      <c r="O48" s="19" t="inlineStr">
        <is>
          <t>Total do ambiente</t>
        </is>
      </c>
    </row>
    <row r="49" ht="18" customHeight="1">
      <c r="A49" s="83" t="n"/>
      <c r="B49" s="72">
        <f>IF(OR($C49="",$A$13="",$A$13=0),"",$C49/$A$13)</f>
        <v/>
      </c>
      <c r="C49" s="76" t="n"/>
      <c r="D49" s="83" t="n"/>
      <c r="E49" s="78" t="n"/>
      <c r="F49" s="56">
        <f>IF(OR($B49="",$E49="",$D$45=""),"",ROUND($B49*$D$45*$E49,2))</f>
        <v/>
      </c>
      <c r="G49" s="84" t="n"/>
      <c r="H49" s="83" t="n"/>
      <c r="I49" s="78" t="n"/>
      <c r="J49" s="56">
        <f>IF(OR($B49="",$I49="",$D$45=""),"",ROUND($B49*$D$45*$I49,2))</f>
        <v/>
      </c>
      <c r="K49" s="84" t="n"/>
      <c r="L49" s="83" t="n"/>
      <c r="M49" s="78" t="n"/>
      <c r="N49" s="56">
        <f>IF(OR($B49="",$M49="",$D$45=""),"",ROUND($B49*$D$45*$M49,2))</f>
        <v/>
      </c>
      <c r="O49" s="85">
        <f>IF(AND($F49="",$J49="",$N49=""),"",ROUND(IF($F49="",0,$F49)+IF($J49="",0,$J49)+IF($N49="",0,$N49),2))</f>
        <v/>
      </c>
    </row>
    <row r="50" ht="18" customHeight="1">
      <c r="A50" s="83" t="n"/>
      <c r="B50" s="72">
        <f>IF(OR($C50="",$A$13="",$A$13=0),"",$C50/$A$13)</f>
        <v/>
      </c>
      <c r="C50" s="76" t="n"/>
      <c r="D50" s="83" t="n"/>
      <c r="E50" s="78" t="n"/>
      <c r="F50" s="56">
        <f>IF(OR($B50="",$E50="",$D$45=""),"",ROUND($B50*$D$45*$E50,2))</f>
        <v/>
      </c>
      <c r="G50" s="84" t="n"/>
      <c r="H50" s="83" t="n"/>
      <c r="I50" s="78" t="n"/>
      <c r="J50" s="56">
        <f>IF(OR($B50="",$I50="",$D$45=""),"",ROUND($B50*$D$45*$I50,2))</f>
        <v/>
      </c>
      <c r="K50" s="84" t="n"/>
      <c r="L50" s="83" t="n"/>
      <c r="M50" s="78" t="n"/>
      <c r="N50" s="56">
        <f>IF(OR($B50="",$M50="",$D$45=""),"",ROUND($B50*$D$45*$M50,2))</f>
        <v/>
      </c>
      <c r="O50" s="85">
        <f>IF(AND($F50="",$J50="",$N50=""),"",ROUND(IF($F50="",0,$F50)+IF($J50="",0,$J50)+IF($N50="",0,$N50),2))</f>
        <v/>
      </c>
    </row>
    <row r="51" ht="18" customHeight="1">
      <c r="A51" s="83" t="n"/>
      <c r="B51" s="72">
        <f>IF(OR($C51="",$A$13="",$A$13=0),"",$C51/$A$13)</f>
        <v/>
      </c>
      <c r="C51" s="76" t="n"/>
      <c r="D51" s="83" t="n"/>
      <c r="E51" s="78" t="n"/>
      <c r="F51" s="56">
        <f>IF(OR($B51="",$E51="",$D$45=""),"",ROUND($B51*$D$45*$E51,2))</f>
        <v/>
      </c>
      <c r="G51" s="84" t="n"/>
      <c r="H51" s="83" t="n"/>
      <c r="I51" s="78" t="n"/>
      <c r="J51" s="56">
        <f>IF(OR($B51="",$I51="",$D$45=""),"",ROUND($B51*$D$45*$I51,2))</f>
        <v/>
      </c>
      <c r="K51" s="84" t="n"/>
      <c r="L51" s="83" t="n"/>
      <c r="M51" s="78" t="n"/>
      <c r="N51" s="56">
        <f>IF(OR($B51="",$M51="",$D$45=""),"",ROUND($B51*$D$45*$M51,2))</f>
        <v/>
      </c>
      <c r="O51" s="85">
        <f>IF(AND($F51="",$J51="",$N51=""),"",ROUND(IF($F51="",0,$F51)+IF($J51="",0,$J51)+IF($N51="",0,$N51),2))</f>
        <v/>
      </c>
    </row>
    <row r="52" ht="18" customHeight="1">
      <c r="A52" s="83" t="n"/>
      <c r="B52" s="72">
        <f>IF(OR($C52="",$A$13="",$A$13=0),"",$C52/$A$13)</f>
        <v/>
      </c>
      <c r="C52" s="76" t="n"/>
      <c r="D52" s="83" t="n"/>
      <c r="E52" s="78" t="n"/>
      <c r="F52" s="56">
        <f>IF(OR($B52="",$E52="",$D$45=""),"",ROUND($B52*$D$45*$E52,2))</f>
        <v/>
      </c>
      <c r="G52" s="84" t="n"/>
      <c r="H52" s="83" t="n"/>
      <c r="I52" s="78" t="n"/>
      <c r="J52" s="56">
        <f>IF(OR($B52="",$I52="",$D$45=""),"",ROUND($B52*$D$45*$I52,2))</f>
        <v/>
      </c>
      <c r="K52" s="84" t="n"/>
      <c r="L52" s="83" t="n"/>
      <c r="M52" s="78" t="n"/>
      <c r="N52" s="56">
        <f>IF(OR($B52="",$M52="",$D$45=""),"",ROUND($B52*$D$45*$M52,2))</f>
        <v/>
      </c>
      <c r="O52" s="85">
        <f>IF(AND($F52="",$J52="",$N52=""),"",ROUND(IF($F52="",0,$F52)+IF($J52="",0,$J52)+IF($N52="",0,$N52),2))</f>
        <v/>
      </c>
    </row>
    <row r="53" ht="18" customHeight="1">
      <c r="A53" s="83" t="n"/>
      <c r="B53" s="72">
        <f>IF(OR($C53="",$A$13="",$A$13=0),"",$C53/$A$13)</f>
        <v/>
      </c>
      <c r="C53" s="76" t="n"/>
      <c r="D53" s="83" t="n"/>
      <c r="E53" s="78" t="n"/>
      <c r="F53" s="56">
        <f>IF(OR($B53="",$E53="",$D$45=""),"",ROUND($B53*$D$45*$E53,2))</f>
        <v/>
      </c>
      <c r="G53" s="84" t="n"/>
      <c r="H53" s="83" t="n"/>
      <c r="I53" s="78" t="n"/>
      <c r="J53" s="56">
        <f>IF(OR($B53="",$I53="",$D$45=""),"",ROUND($B53*$D$45*$I53,2))</f>
        <v/>
      </c>
      <c r="K53" s="84" t="n"/>
      <c r="L53" s="83" t="n"/>
      <c r="M53" s="78" t="n"/>
      <c r="N53" s="56">
        <f>IF(OR($B53="",$M53="",$D$45=""),"",ROUND($B53*$D$45*$M53,2))</f>
        <v/>
      </c>
      <c r="O53" s="85">
        <f>IF(AND($F53="",$J53="",$N53=""),"",ROUND(IF($F53="",0,$F53)+IF($J53="",0,$J53)+IF($N53="",0,$N53),2))</f>
        <v/>
      </c>
    </row>
    <row r="54" ht="18" customHeight="1">
      <c r="A54" s="83" t="n"/>
      <c r="B54" s="72">
        <f>IF(OR($C54="",$A$13="",$A$13=0),"",$C54/$A$13)</f>
        <v/>
      </c>
      <c r="C54" s="76" t="n"/>
      <c r="D54" s="83" t="n"/>
      <c r="E54" s="78" t="n"/>
      <c r="F54" s="56">
        <f>IF(OR($B54="",$E54="",$D$45=""),"",ROUND($B54*$D$45*$E54,2))</f>
        <v/>
      </c>
      <c r="G54" s="84" t="n"/>
      <c r="H54" s="83" t="n"/>
      <c r="I54" s="78" t="n"/>
      <c r="J54" s="56">
        <f>IF(OR($B54="",$I54="",$D$45=""),"",ROUND($B54*$D$45*$I54,2))</f>
        <v/>
      </c>
      <c r="K54" s="84" t="n"/>
      <c r="L54" s="83" t="n"/>
      <c r="M54" s="78" t="n"/>
      <c r="N54" s="56">
        <f>IF(OR($B54="",$M54="",$D$45=""),"",ROUND($B54*$D$45*$M54,2))</f>
        <v/>
      </c>
      <c r="O54" s="85">
        <f>IF(AND($F54="",$J54="",$N54=""),"",ROUND(IF($F54="",0,$F54)+IF($J54="",0,$J54)+IF($N54="",0,$N54),2))</f>
        <v/>
      </c>
    </row>
    <row r="55" ht="18" customHeight="1">
      <c r="A55" s="83" t="n"/>
      <c r="B55" s="72">
        <f>IF(OR($C55="",$A$13="",$A$13=0),"",$C55/$A$13)</f>
        <v/>
      </c>
      <c r="C55" s="76" t="n"/>
      <c r="D55" s="83" t="n"/>
      <c r="E55" s="78" t="n"/>
      <c r="F55" s="56">
        <f>IF(OR($B55="",$E55="",$D$45=""),"",ROUND($B55*$D$45*$E55,2))</f>
        <v/>
      </c>
      <c r="G55" s="84" t="n"/>
      <c r="H55" s="83" t="n"/>
      <c r="I55" s="78" t="n"/>
      <c r="J55" s="56">
        <f>IF(OR($B55="",$I55="",$D$45=""),"",ROUND($B55*$D$45*$I55,2))</f>
        <v/>
      </c>
      <c r="K55" s="84" t="n"/>
      <c r="L55" s="83" t="n"/>
      <c r="M55" s="78" t="n"/>
      <c r="N55" s="56">
        <f>IF(OR($B55="",$M55="",$D$45=""),"",ROUND($B55*$D$45*$M55,2))</f>
        <v/>
      </c>
      <c r="O55" s="85">
        <f>IF(AND($F55="",$J55="",$N55=""),"",ROUND(IF($F55="",0,$F55)+IF($J55="",0,$J55)+IF($N55="",0,$N55),2))</f>
        <v/>
      </c>
    </row>
    <row r="56" ht="18" customHeight="1">
      <c r="A56" s="83" t="n"/>
      <c r="B56" s="72">
        <f>IF(OR($C56="",$A$13="",$A$13=0),"",$C56/$A$13)</f>
        <v/>
      </c>
      <c r="C56" s="76" t="n"/>
      <c r="D56" s="83" t="n"/>
      <c r="E56" s="78" t="n"/>
      <c r="F56" s="56">
        <f>IF(OR($B56="",$E56="",$D$45=""),"",ROUND($B56*$D$45*$E56,2))</f>
        <v/>
      </c>
      <c r="G56" s="84" t="n"/>
      <c r="H56" s="83" t="n"/>
      <c r="I56" s="78" t="n"/>
      <c r="J56" s="56">
        <f>IF(OR($B56="",$I56="",$D$45=""),"",ROUND($B56*$D$45*$I56,2))</f>
        <v/>
      </c>
      <c r="K56" s="84" t="n"/>
      <c r="L56" s="83" t="n"/>
      <c r="M56" s="78" t="n"/>
      <c r="N56" s="56">
        <f>IF(OR($B56="",$M56="",$D$45=""),"",ROUND($B56*$D$45*$M56,2))</f>
        <v/>
      </c>
      <c r="O56" s="85">
        <f>IF(AND($F56="",$J56="",$N56=""),"",ROUND(IF($F56="",0,$F56)+IF($J56="",0,$J56)+IF($N56="",0,$N56),2))</f>
        <v/>
      </c>
    </row>
    <row r="57" ht="18" customHeight="1">
      <c r="A57" s="83" t="n"/>
      <c r="B57" s="72">
        <f>IF(OR($C57="",$A$13="",$A$13=0),"",$C57/$A$13)</f>
        <v/>
      </c>
      <c r="C57" s="76" t="n"/>
      <c r="D57" s="83" t="n"/>
      <c r="E57" s="78" t="n"/>
      <c r="F57" s="56">
        <f>IF(OR($B57="",$E57="",$D$45=""),"",ROUND($B57*$D$45*$E57,2))</f>
        <v/>
      </c>
      <c r="G57" s="84" t="n"/>
      <c r="H57" s="83" t="n"/>
      <c r="I57" s="78" t="n"/>
      <c r="J57" s="56">
        <f>IF(OR($B57="",$I57="",$D$45=""),"",ROUND($B57*$D$45*$I57,2))</f>
        <v/>
      </c>
      <c r="K57" s="84" t="n"/>
      <c r="L57" s="83" t="n"/>
      <c r="M57" s="78" t="n"/>
      <c r="N57" s="56">
        <f>IF(OR($B57="",$M57="",$D$45=""),"",ROUND($B57*$D$45*$M57,2))</f>
        <v/>
      </c>
      <c r="O57" s="85">
        <f>IF(AND($F57="",$J57="",$N57=""),"",ROUND(IF($F57="",0,$F57)+IF($J57="",0,$J57)+IF($N57="",0,$N57),2))</f>
        <v/>
      </c>
    </row>
    <row r="58" ht="18" customHeight="1">
      <c r="A58" s="83" t="n"/>
      <c r="B58" s="72">
        <f>IF(OR($C58="",$A$13="",$A$13=0),"",$C58/$A$13)</f>
        <v/>
      </c>
      <c r="C58" s="76" t="n"/>
      <c r="D58" s="83" t="n"/>
      <c r="E58" s="78" t="n"/>
      <c r="F58" s="56">
        <f>IF(OR($B58="",$E58="",$D$45=""),"",ROUND($B58*$D$45*$E58,2))</f>
        <v/>
      </c>
      <c r="G58" s="84" t="n"/>
      <c r="H58" s="83" t="n"/>
      <c r="I58" s="78" t="n"/>
      <c r="J58" s="56">
        <f>IF(OR($B58="",$I58="",$D$45=""),"",ROUND($B58*$D$45*$I58,2))</f>
        <v/>
      </c>
      <c r="K58" s="84" t="n"/>
      <c r="L58" s="83" t="n"/>
      <c r="M58" s="78" t="n"/>
      <c r="N58" s="56">
        <f>IF(OR($B58="",$M58="",$D$45=""),"",ROUND($B58*$D$45*$M58,2))</f>
        <v/>
      </c>
      <c r="O58" s="85">
        <f>IF(AND($F58="",$J58="",$N58=""),"",ROUND(IF($F58="",0,$F58)+IF($J58="",0,$J58)+IF($N58="",0,$N58),2))</f>
        <v/>
      </c>
    </row>
    <row r="59" ht="18" customHeight="1">
      <c r="A59" s="83" t="n"/>
      <c r="B59" s="72">
        <f>IF(OR($C59="",$A$13="",$A$13=0),"",$C59/$A$13)</f>
        <v/>
      </c>
      <c r="C59" s="76" t="n"/>
      <c r="D59" s="83" t="n"/>
      <c r="E59" s="78" t="n"/>
      <c r="F59" s="56">
        <f>IF(OR($B59="",$E59="",$D$45=""),"",ROUND($B59*$D$45*$E59,2))</f>
        <v/>
      </c>
      <c r="G59" s="84" t="n"/>
      <c r="H59" s="83" t="n"/>
      <c r="I59" s="78" t="n"/>
      <c r="J59" s="56">
        <f>IF(OR($B59="",$I59="",$D$45=""),"",ROUND($B59*$D$45*$I59,2))</f>
        <v/>
      </c>
      <c r="K59" s="84" t="n"/>
      <c r="L59" s="83" t="n"/>
      <c r="M59" s="78" t="n"/>
      <c r="N59" s="56">
        <f>IF(OR($B59="",$M59="",$D$45=""),"",ROUND($B59*$D$45*$M59,2))</f>
        <v/>
      </c>
      <c r="O59" s="85">
        <f>IF(AND($F59="",$J59="",$N59=""),"",ROUND(IF($F59="",0,$F59)+IF($J59="",0,$J59)+IF($N59="",0,$N59),2))</f>
        <v/>
      </c>
    </row>
    <row r="60" ht="18" customHeight="1">
      <c r="A60" s="83" t="n"/>
      <c r="B60" s="72">
        <f>IF(OR($C60="",$A$13="",$A$13=0),"",$C60/$A$13)</f>
        <v/>
      </c>
      <c r="C60" s="76" t="n"/>
      <c r="D60" s="83" t="n"/>
      <c r="E60" s="78" t="n"/>
      <c r="F60" s="56">
        <f>IF(OR($B60="",$E60="",$D$45=""),"",ROUND($B60*$D$45*$E60,2))</f>
        <v/>
      </c>
      <c r="G60" s="84" t="n"/>
      <c r="H60" s="83" t="n"/>
      <c r="I60" s="78" t="n"/>
      <c r="J60" s="56">
        <f>IF(OR($B60="",$I60="",$D$45=""),"",ROUND($B60*$D$45*$I60,2))</f>
        <v/>
      </c>
      <c r="K60" s="84" t="n"/>
      <c r="L60" s="83" t="n"/>
      <c r="M60" s="78" t="n"/>
      <c r="N60" s="56">
        <f>IF(OR($B60="",$M60="",$D$45=""),"",ROUND($B60*$D$45*$M60,2))</f>
        <v/>
      </c>
      <c r="O60" s="85">
        <f>IF(AND($F60="",$J60="",$N60=""),"",ROUND(IF($F60="",0,$F60)+IF($J60="",0,$J60)+IF($N60="",0,$N60),2))</f>
        <v/>
      </c>
    </row>
    <row r="61" ht="20" customHeight="1">
      <c r="A61" s="31" t="inlineStr">
        <is>
          <t>SOMA DOS AMBIENTES</t>
        </is>
      </c>
      <c r="B61" s="62">
        <f>IF($A$13=0,"",$C$61/$A$13)</f>
        <v/>
      </c>
      <c r="C61" s="60">
        <f>ROUND(SUM(C49:C60),2)</f>
        <v/>
      </c>
      <c r="D61" s="86">
        <f>IF($C$61=0,"—",IF(ROUND($C$61-$A$13,2)=0,"OK · os ambientes somam o valor de venda","ATENÇÃO: diferença de "&amp;TEXT($C$61-$A$13,"R$ #,##0.00")))</f>
        <v/>
      </c>
      <c r="E61" s="32" t="n"/>
      <c r="F61" s="60">
        <f>ROUND(SUM(F49:F60),2)</f>
        <v/>
      </c>
      <c r="G61" s="32" t="n"/>
      <c r="H61" s="32" t="n"/>
      <c r="I61" s="32" t="n"/>
      <c r="J61" s="60">
        <f>ROUND(SUM(J49:J60),2)</f>
        <v/>
      </c>
      <c r="K61" s="32" t="n"/>
      <c r="L61" s="32" t="n"/>
      <c r="M61" s="32" t="n"/>
      <c r="N61" s="60">
        <f>ROUND(SUM(N49:N60),2)</f>
        <v/>
      </c>
      <c r="O61" s="60">
        <f>ROUND(SUM(O49:O60),2)</f>
        <v/>
      </c>
    </row>
    <row r="62" ht="8" customHeight="1"/>
    <row r="63" ht="20" customHeight="1">
      <c r="A63" s="8" t="inlineStr">
        <is>
          <t xml:space="preserve">  4 · COMISSÕES OPERACIONAIS          calculadas sobre a RECEITA LÍQUIDA · o realizado vem dos ambientes acima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</row>
    <row r="64" ht="26" customHeight="1">
      <c r="A64" s="19" t="inlineStr">
        <is>
          <t>Item</t>
        </is>
      </c>
      <c r="B64" s="19" t="inlineStr">
        <is>
          <t>%</t>
        </is>
      </c>
      <c r="C64" s="19" t="inlineStr">
        <is>
          <t>Orçado (R$)</t>
        </is>
      </c>
      <c r="D64" s="19" t="inlineStr">
        <is>
          <t>Realizado (R$)</t>
        </is>
      </c>
      <c r="E64" s="19" t="inlineStr">
        <is>
          <t>Desvio (R$)</t>
        </is>
      </c>
      <c r="F64" s="35" t="n"/>
      <c r="G64" s="19" t="inlineStr">
        <is>
          <t>% da venda</t>
        </is>
      </c>
      <c r="H64" s="19" t="inlineStr">
        <is>
          <t>Observação</t>
        </is>
      </c>
      <c r="I64" s="35" t="n"/>
      <c r="J64" s="35" t="n"/>
      <c r="K64" s="35" t="n"/>
      <c r="L64" s="35" t="n"/>
      <c r="M64" s="35" t="n"/>
      <c r="N64" s="35" t="n"/>
      <c r="O64" s="35" t="n"/>
    </row>
    <row r="65" ht="17" customHeight="1">
      <c r="A65" s="36" t="inlineStr">
        <is>
          <t>Coordenação de produção</t>
        </is>
      </c>
      <c r="B65" s="78" t="n"/>
      <c r="C65" s="56">
        <f>IF($B65="","",ROUND($B65*$C$45,2))</f>
        <v/>
      </c>
      <c r="D65" s="56">
        <f>IF($B65="","",ROUND($B65*$D$45,2))</f>
        <v/>
      </c>
      <c r="E65" s="56">
        <f>IF(OR($C65="",$D65=""),"",ROUND($D65-$C65,2))</f>
        <v/>
      </c>
      <c r="F65" s="38" t="n"/>
      <c r="G65" s="72">
        <f>IF(OR($D65="",$A$13="",$A$13=0),"",$D65/$A$13)</f>
        <v/>
      </c>
      <c r="H65" s="73" t="inlineStr">
        <is>
          <t>quem coordena está na identificação, no topo da ficha</t>
        </is>
      </c>
      <c r="I65" s="46" t="n"/>
      <c r="J65" s="46" t="n"/>
      <c r="K65" s="46" t="n"/>
      <c r="L65" s="46" t="n"/>
      <c r="M65" s="46" t="n"/>
      <c r="N65" s="46" t="n"/>
      <c r="O65" s="46" t="n"/>
    </row>
    <row r="66" ht="17" customHeight="1">
      <c r="A66" s="36" t="inlineStr">
        <is>
          <t>Gestão técnica</t>
        </is>
      </c>
      <c r="B66" s="78" t="n">
        <v>0.005</v>
      </c>
      <c r="C66" s="56">
        <f>IF($B66="","",ROUND($B66*$C$45,2))</f>
        <v/>
      </c>
      <c r="D66" s="56">
        <f>IF($B66="","",ROUND($B66*$D$45,2))</f>
        <v/>
      </c>
      <c r="E66" s="56">
        <f>IF(OR($C66="",$D66=""),"",ROUND($D66-$C66,2))</f>
        <v/>
      </c>
      <c r="F66" s="38" t="n"/>
      <c r="G66" s="72">
        <f>IF(OR($D66="",$A$13="",$A$13=0),"",$D66/$A$13)</f>
        <v/>
      </c>
      <c r="H66" s="73" t="n"/>
      <c r="I66" s="46" t="n"/>
      <c r="J66" s="46" t="n"/>
      <c r="K66" s="46" t="n"/>
      <c r="L66" s="46" t="n"/>
      <c r="M66" s="46" t="n"/>
      <c r="N66" s="46" t="n"/>
      <c r="O66" s="46" t="n"/>
    </row>
    <row r="67" ht="17" customHeight="1">
      <c r="A67" s="36" t="inlineStr">
        <is>
          <t>Comissão de produção</t>
        </is>
      </c>
      <c r="B67" s="78" t="n"/>
      <c r="C67" s="56">
        <f>IF($B67="","",ROUND($B67*$C$45,2))</f>
        <v/>
      </c>
      <c r="D67" s="56">
        <f>IF($F$61=0,"",$F$61)</f>
        <v/>
      </c>
      <c r="E67" s="56">
        <f>IF(OR($C67="",$D67=""),"",ROUND($D67-$C67,2))</f>
        <v/>
      </c>
      <c r="F67" s="38" t="n"/>
      <c r="G67" s="72">
        <f>IF(OR($D67="",$A$13="",$A$13=0),"",$D67/$A$13)</f>
        <v/>
      </c>
      <c r="H67" s="73" t="inlineStr">
        <is>
          <t>orçado = % único estimado · realizado = soma dos ambientes</t>
        </is>
      </c>
      <c r="I67" s="46" t="n"/>
      <c r="J67" s="46" t="n"/>
      <c r="K67" s="46" t="n"/>
      <c r="L67" s="46" t="n"/>
      <c r="M67" s="46" t="n"/>
      <c r="N67" s="46" t="n"/>
      <c r="O67" s="46" t="n"/>
    </row>
    <row r="68" ht="17" customHeight="1">
      <c r="A68" s="36" t="inlineStr">
        <is>
          <t>Comissão de montagem</t>
        </is>
      </c>
      <c r="B68" s="78" t="n"/>
      <c r="C68" s="56">
        <f>IF($B68="","",ROUND($B68*$C$45,2))</f>
        <v/>
      </c>
      <c r="D68" s="56">
        <f>IF($J$61=0,"",$J$61)</f>
        <v/>
      </c>
      <c r="E68" s="56">
        <f>IF(OR($C68="",$D68=""),"",ROUND($D68-$C68,2))</f>
        <v/>
      </c>
      <c r="F68" s="38" t="n"/>
      <c r="G68" s="72">
        <f>IF(OR($D68="",$A$13="",$A$13=0),"",$D68/$A$13)</f>
        <v/>
      </c>
      <c r="H68" s="73" t="inlineStr">
        <is>
          <t>orçado = % único estimado · realizado = soma dos ambientes</t>
        </is>
      </c>
      <c r="I68" s="46" t="n"/>
      <c r="J68" s="46" t="n"/>
      <c r="K68" s="46" t="n"/>
      <c r="L68" s="46" t="n"/>
      <c r="M68" s="46" t="n"/>
      <c r="N68" s="46" t="n"/>
      <c r="O68" s="46" t="n"/>
    </row>
    <row r="69" ht="17" customHeight="1">
      <c r="A69" s="36" t="inlineStr">
        <is>
          <t>Comissão de projetista</t>
        </is>
      </c>
      <c r="B69" s="78" t="n"/>
      <c r="C69" s="56">
        <f>IF($B69="","",ROUND($B69*$C$45,2))</f>
        <v/>
      </c>
      <c r="D69" s="56">
        <f>IF($N$61=0,"",$N$61)</f>
        <v/>
      </c>
      <c r="E69" s="56">
        <f>IF(OR($C69="",$D69=""),"",ROUND($D69-$C69,2))</f>
        <v/>
      </c>
      <c r="F69" s="38" t="n"/>
      <c r="G69" s="72">
        <f>IF(OR($D69="",$A$13="",$A$13=0),"",$D69/$A$13)</f>
        <v/>
      </c>
      <c r="H69" s="73" t="inlineStr">
        <is>
          <t>quem projetou cada ambiente está na coluna L do bloco 3</t>
        </is>
      </c>
      <c r="I69" s="46" t="n"/>
      <c r="J69" s="46" t="n"/>
      <c r="K69" s="46" t="n"/>
      <c r="L69" s="46" t="n"/>
      <c r="M69" s="46" t="n"/>
      <c r="N69" s="46" t="n"/>
      <c r="O69" s="46" t="n"/>
    </row>
    <row r="70" ht="20" customHeight="1">
      <c r="A70" s="31" t="inlineStr">
        <is>
          <t>(=) SUBTOTAL DAS COMISSÕES</t>
        </is>
      </c>
      <c r="B70" s="32" t="n"/>
      <c r="C70" s="60">
        <f>ROUND(SUM(C65:C69),2)</f>
        <v/>
      </c>
      <c r="D70" s="60">
        <f>ROUND(SUM(D65:D69),2)</f>
        <v/>
      </c>
      <c r="E70" s="60">
        <f>ROUND($D70-$C70,2)</f>
        <v/>
      </c>
      <c r="F70" s="32" t="n"/>
      <c r="G70" s="62">
        <f>IF(OR($A$13="",$A$13=0),"",$D70/$A$13)</f>
        <v/>
      </c>
      <c r="H70" s="32" t="n"/>
      <c r="I70" s="32" t="n"/>
      <c r="J70" s="32" t="n"/>
      <c r="K70" s="32" t="n"/>
      <c r="L70" s="32" t="n"/>
      <c r="M70" s="32" t="n"/>
      <c r="N70" s="32" t="n"/>
      <c r="O70" s="32" t="n"/>
    </row>
    <row r="71" ht="8" customHeight="1"/>
    <row r="72" ht="20" customHeight="1">
      <c r="A72" s="8" t="inlineStr">
        <is>
          <t xml:space="preserve">  5 · COMISSÕES POR COLABORADOR          consolidado automático — quem produziu, quem montou, quem projetou e o coordenador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</row>
    <row r="73" ht="26" customHeight="1">
      <c r="A73" s="19" t="inlineStr">
        <is>
          <t>Colaborador</t>
        </is>
      </c>
      <c r="B73" s="19" t="inlineStr">
        <is>
          <t>Produção (R$)</t>
        </is>
      </c>
      <c r="C73" s="35" t="n"/>
      <c r="D73" s="19" t="inlineStr">
        <is>
          <t>Montagem (R$)</t>
        </is>
      </c>
      <c r="E73" s="35" t="n"/>
      <c r="F73" s="19" t="inlineStr">
        <is>
          <t>Projeto (R$)</t>
        </is>
      </c>
      <c r="G73" s="35" t="n"/>
      <c r="H73" s="19" t="inlineStr">
        <is>
          <t>Coordenação / Gestão técnica (R$)</t>
        </is>
      </c>
      <c r="I73" s="35" t="n"/>
      <c r="J73" s="19" t="inlineStr">
        <is>
          <t>Total no projeto (R$)</t>
        </is>
      </c>
      <c r="K73" s="35" t="n"/>
      <c r="L73" s="35" t="n"/>
      <c r="M73" s="35" t="n"/>
    </row>
    <row r="74" ht="17" customHeight="1">
      <c r="A74" s="87" t="inlineStr">
        <is>
          <t>Deivison</t>
        </is>
      </c>
      <c r="B74" s="56">
        <f>IF($A74="","",ROUND(SUMIF($D$49:$D$60,$A74,$F$49:$F$60),2))</f>
        <v/>
      </c>
      <c r="C74" s="38" t="n"/>
      <c r="D74" s="56">
        <f>IF($A74="","",ROUND(SUMIF($H$49:$H$60,$A74,$J$49:$J$60),2))</f>
        <v/>
      </c>
      <c r="E74" s="38" t="n"/>
      <c r="F74" s="56">
        <f>IF($A74="","",ROUND(SUMIF($L$49:$L$60,$A74,$N$49:$N$60),2))</f>
        <v/>
      </c>
      <c r="G74" s="38" t="n"/>
      <c r="H74" s="56">
        <f>IF($A74="","",IF($A74=$F$9,IF($D$65="",0,$D$65),0)+IF($A74=$H$66,IF($D$66="",0,$D$66),0))</f>
        <v/>
      </c>
      <c r="I74" s="38" t="n"/>
      <c r="J74" s="88">
        <f>IF($A74="","",ROUND($B74+$D74+$F74+$H74,2))</f>
        <v/>
      </c>
      <c r="K74" s="38" t="n"/>
      <c r="L74" s="38" t="n"/>
      <c r="M74" s="38" t="n"/>
    </row>
    <row r="75" ht="17" customHeight="1">
      <c r="A75" s="87" t="inlineStr">
        <is>
          <t>Ronald</t>
        </is>
      </c>
      <c r="B75" s="56">
        <f>IF($A75="","",ROUND(SUMIF($D$49:$D$60,$A75,$F$49:$F$60),2))</f>
        <v/>
      </c>
      <c r="C75" s="38" t="n"/>
      <c r="D75" s="56">
        <f>IF($A75="","",ROUND(SUMIF($H$49:$H$60,$A75,$J$49:$J$60),2))</f>
        <v/>
      </c>
      <c r="E75" s="38" t="n"/>
      <c r="F75" s="56">
        <f>IF($A75="","",ROUND(SUMIF($L$49:$L$60,$A75,$N$49:$N$60),2))</f>
        <v/>
      </c>
      <c r="G75" s="38" t="n"/>
      <c r="H75" s="56">
        <f>IF($A75="","",IF($A75=$F$9,IF($D$65="",0,$D$65),0)+IF($A75=$H$66,IF($D$66="",0,$D$66),0))</f>
        <v/>
      </c>
      <c r="I75" s="38" t="n"/>
      <c r="J75" s="88">
        <f>IF($A75="","",ROUND($B75+$D75+$F75+$H75,2))</f>
        <v/>
      </c>
      <c r="K75" s="38" t="n"/>
      <c r="L75" s="38" t="n"/>
      <c r="M75" s="38" t="n"/>
    </row>
    <row r="76" ht="17" customHeight="1">
      <c r="A76" s="87" t="inlineStr">
        <is>
          <t>Samuel</t>
        </is>
      </c>
      <c r="B76" s="56">
        <f>IF($A76="","",ROUND(SUMIF($D$49:$D$60,$A76,$F$49:$F$60),2))</f>
        <v/>
      </c>
      <c r="C76" s="38" t="n"/>
      <c r="D76" s="56">
        <f>IF($A76="","",ROUND(SUMIF($H$49:$H$60,$A76,$J$49:$J$60),2))</f>
        <v/>
      </c>
      <c r="E76" s="38" t="n"/>
      <c r="F76" s="56">
        <f>IF($A76="","",ROUND(SUMIF($L$49:$L$60,$A76,$N$49:$N$60),2))</f>
        <v/>
      </c>
      <c r="G76" s="38" t="n"/>
      <c r="H76" s="56">
        <f>IF($A76="","",IF($A76=$F$9,IF($D$65="",0,$D$65),0)+IF($A76=$H$66,IF($D$66="",0,$D$66),0))</f>
        <v/>
      </c>
      <c r="I76" s="38" t="n"/>
      <c r="J76" s="88">
        <f>IF($A76="","",ROUND($B76+$D76+$F76+$H76,2))</f>
        <v/>
      </c>
      <c r="K76" s="38" t="n"/>
      <c r="L76" s="38" t="n"/>
      <c r="M76" s="38" t="n"/>
    </row>
    <row r="77" ht="17" customHeight="1">
      <c r="A77" s="87" t="inlineStr">
        <is>
          <t>Cesar</t>
        </is>
      </c>
      <c r="B77" s="56">
        <f>IF($A77="","",ROUND(SUMIF($D$49:$D$60,$A77,$F$49:$F$60),2))</f>
        <v/>
      </c>
      <c r="C77" s="38" t="n"/>
      <c r="D77" s="56">
        <f>IF($A77="","",ROUND(SUMIF($H$49:$H$60,$A77,$J$49:$J$60),2))</f>
        <v/>
      </c>
      <c r="E77" s="38" t="n"/>
      <c r="F77" s="56">
        <f>IF($A77="","",ROUND(SUMIF($L$49:$L$60,$A77,$N$49:$N$60),2))</f>
        <v/>
      </c>
      <c r="G77" s="38" t="n"/>
      <c r="H77" s="56">
        <f>IF($A77="","",IF($A77=$F$9,IF($D$65="",0,$D$65),0)+IF($A77=$H$66,IF($D$66="",0,$D$66),0))</f>
        <v/>
      </c>
      <c r="I77" s="38" t="n"/>
      <c r="J77" s="88">
        <f>IF($A77="","",ROUND($B77+$D77+$F77+$H77,2))</f>
        <v/>
      </c>
      <c r="K77" s="38" t="n"/>
      <c r="L77" s="38" t="n"/>
      <c r="M77" s="38" t="n"/>
    </row>
    <row r="78" ht="17" customHeight="1">
      <c r="A78" s="87" t="inlineStr">
        <is>
          <t>Jhon</t>
        </is>
      </c>
      <c r="B78" s="56">
        <f>IF($A78="","",ROUND(SUMIF($D$49:$D$60,$A78,$F$49:$F$60),2))</f>
        <v/>
      </c>
      <c r="C78" s="38" t="n"/>
      <c r="D78" s="56">
        <f>IF($A78="","",ROUND(SUMIF($H$49:$H$60,$A78,$J$49:$J$60),2))</f>
        <v/>
      </c>
      <c r="E78" s="38" t="n"/>
      <c r="F78" s="56">
        <f>IF($A78="","",ROUND(SUMIF($L$49:$L$60,$A78,$N$49:$N$60),2))</f>
        <v/>
      </c>
      <c r="G78" s="38" t="n"/>
      <c r="H78" s="56">
        <f>IF($A78="","",IF($A78=$F$9,IF($D$65="",0,$D$65),0)+IF($A78=$H$66,IF($D$66="",0,$D$66),0))</f>
        <v/>
      </c>
      <c r="I78" s="38" t="n"/>
      <c r="J78" s="88">
        <f>IF($A78="","",ROUND($B78+$D78+$F78+$H78,2))</f>
        <v/>
      </c>
      <c r="K78" s="38" t="n"/>
      <c r="L78" s="38" t="n"/>
      <c r="M78" s="38" t="n"/>
    </row>
    <row r="79" ht="17" customHeight="1">
      <c r="A79" s="87" t="inlineStr">
        <is>
          <t>Joelson</t>
        </is>
      </c>
      <c r="B79" s="56">
        <f>IF($A79="","",ROUND(SUMIF($D$49:$D$60,$A79,$F$49:$F$60),2))</f>
        <v/>
      </c>
      <c r="C79" s="38" t="n"/>
      <c r="D79" s="56">
        <f>IF($A79="","",ROUND(SUMIF($H$49:$H$60,$A79,$J$49:$J$60),2))</f>
        <v/>
      </c>
      <c r="E79" s="38" t="n"/>
      <c r="F79" s="56">
        <f>IF($A79="","",ROUND(SUMIF($L$49:$L$60,$A79,$N$49:$N$60),2))</f>
        <v/>
      </c>
      <c r="G79" s="38" t="n"/>
      <c r="H79" s="56">
        <f>IF($A79="","",IF($A79=$F$9,IF($D$65="",0,$D$65),0)+IF($A79=$H$66,IF($D$66="",0,$D$66),0))</f>
        <v/>
      </c>
      <c r="I79" s="38" t="n"/>
      <c r="J79" s="88">
        <f>IF($A79="","",ROUND($B79+$D79+$F79+$H79,2))</f>
        <v/>
      </c>
      <c r="K79" s="38" t="n"/>
      <c r="L79" s="38" t="n"/>
      <c r="M79" s="38" t="n"/>
    </row>
    <row r="80" ht="17" customHeight="1">
      <c r="A80" s="87" t="inlineStr">
        <is>
          <t>Davi</t>
        </is>
      </c>
      <c r="B80" s="56">
        <f>IF($A80="","",ROUND(SUMIF($D$49:$D$60,$A80,$F$49:$F$60),2))</f>
        <v/>
      </c>
      <c r="C80" s="38" t="n"/>
      <c r="D80" s="56">
        <f>IF($A80="","",ROUND(SUMIF($H$49:$H$60,$A80,$J$49:$J$60),2))</f>
        <v/>
      </c>
      <c r="E80" s="38" t="n"/>
      <c r="F80" s="56">
        <f>IF($A80="","",ROUND(SUMIF($L$49:$L$60,$A80,$N$49:$N$60),2))</f>
        <v/>
      </c>
      <c r="G80" s="38" t="n"/>
      <c r="H80" s="56">
        <f>IF($A80="","",IF($A80=$F$9,IF($D$65="",0,$D$65),0)+IF($A80=$H$66,IF($D$66="",0,$D$66),0))</f>
        <v/>
      </c>
      <c r="I80" s="38" t="n"/>
      <c r="J80" s="88">
        <f>IF($A80="","",ROUND($B80+$D80+$F80+$H80,2))</f>
        <v/>
      </c>
      <c r="K80" s="38" t="n"/>
      <c r="L80" s="38" t="n"/>
      <c r="M80" s="38" t="n"/>
    </row>
    <row r="81" ht="17" customHeight="1">
      <c r="A81" s="87" t="inlineStr">
        <is>
          <t>Jomar</t>
        </is>
      </c>
      <c r="B81" s="56">
        <f>IF($A81="","",ROUND(SUMIF($D$49:$D$60,$A81,$F$49:$F$60),2))</f>
        <v/>
      </c>
      <c r="C81" s="38" t="n"/>
      <c r="D81" s="56">
        <f>IF($A81="","",ROUND(SUMIF($H$49:$H$60,$A81,$J$49:$J$60),2))</f>
        <v/>
      </c>
      <c r="E81" s="38" t="n"/>
      <c r="F81" s="56">
        <f>IF($A81="","",ROUND(SUMIF($L$49:$L$60,$A81,$N$49:$N$60),2))</f>
        <v/>
      </c>
      <c r="G81" s="38" t="n"/>
      <c r="H81" s="56">
        <f>IF($A81="","",IF($A81=$F$9,IF($D$65="",0,$D$65),0)+IF($A81=$H$66,IF($D$66="",0,$D$66),0))</f>
        <v/>
      </c>
      <c r="I81" s="38" t="n"/>
      <c r="J81" s="88">
        <f>IF($A81="","",ROUND($B81+$D81+$F81+$H81,2))</f>
        <v/>
      </c>
      <c r="K81" s="38" t="n"/>
      <c r="L81" s="38" t="n"/>
      <c r="M81" s="38" t="n"/>
    </row>
    <row r="82" ht="17" customHeight="1">
      <c r="A82" s="87" t="inlineStr">
        <is>
          <t>Bruno</t>
        </is>
      </c>
      <c r="B82" s="56">
        <f>IF($A82="","",ROUND(SUMIF($D$49:$D$60,$A82,$F$49:$F$60),2))</f>
        <v/>
      </c>
      <c r="C82" s="38" t="n"/>
      <c r="D82" s="56">
        <f>IF($A82="","",ROUND(SUMIF($H$49:$H$60,$A82,$J$49:$J$60),2))</f>
        <v/>
      </c>
      <c r="E82" s="38" t="n"/>
      <c r="F82" s="56">
        <f>IF($A82="","",ROUND(SUMIF($L$49:$L$60,$A82,$N$49:$N$60),2))</f>
        <v/>
      </c>
      <c r="G82" s="38" t="n"/>
      <c r="H82" s="56">
        <f>IF($A82="","",IF($A82=$F$9,IF($D$65="",0,$D$65),0)+IF($A82=$H$66,IF($D$66="",0,$D$66),0))</f>
        <v/>
      </c>
      <c r="I82" s="38" t="n"/>
      <c r="J82" s="88">
        <f>IF($A82="","",ROUND($B82+$D82+$F82+$H82,2))</f>
        <v/>
      </c>
      <c r="K82" s="38" t="n"/>
      <c r="L82" s="38" t="n"/>
      <c r="M82" s="38" t="n"/>
    </row>
    <row r="83" ht="17" customHeight="1">
      <c r="A83" s="87" t="inlineStr">
        <is>
          <t>Wallace</t>
        </is>
      </c>
      <c r="B83" s="56">
        <f>IF($A83="","",ROUND(SUMIF($D$49:$D$60,$A83,$F$49:$F$60),2))</f>
        <v/>
      </c>
      <c r="C83" s="38" t="n"/>
      <c r="D83" s="56">
        <f>IF($A83="","",ROUND(SUMIF($H$49:$H$60,$A83,$J$49:$J$60),2))</f>
        <v/>
      </c>
      <c r="E83" s="38" t="n"/>
      <c r="F83" s="56">
        <f>IF($A83="","",ROUND(SUMIF($L$49:$L$60,$A83,$N$49:$N$60),2))</f>
        <v/>
      </c>
      <c r="G83" s="38" t="n"/>
      <c r="H83" s="56">
        <f>IF($A83="","",IF($A83=$F$9,IF($D$65="",0,$D$65),0)+IF($A83=$H$66,IF($D$66="",0,$D$66),0))</f>
        <v/>
      </c>
      <c r="I83" s="38" t="n"/>
      <c r="J83" s="88">
        <f>IF($A83="","",ROUND($B83+$D83+$F83+$H83,2))</f>
        <v/>
      </c>
      <c r="K83" s="38" t="n"/>
      <c r="L83" s="38" t="n"/>
      <c r="M83" s="38" t="n"/>
    </row>
    <row r="84" ht="17" customHeight="1">
      <c r="A84" s="87" t="inlineStr">
        <is>
          <t>Douglas</t>
        </is>
      </c>
      <c r="B84" s="56">
        <f>IF($A84="","",ROUND(SUMIF($D$49:$D$60,$A84,$F$49:$F$60),2))</f>
        <v/>
      </c>
      <c r="C84" s="38" t="n"/>
      <c r="D84" s="56">
        <f>IF($A84="","",ROUND(SUMIF($H$49:$H$60,$A84,$J$49:$J$60),2))</f>
        <v/>
      </c>
      <c r="E84" s="38" t="n"/>
      <c r="F84" s="56">
        <f>IF($A84="","",ROUND(SUMIF($L$49:$L$60,$A84,$N$49:$N$60),2))</f>
        <v/>
      </c>
      <c r="G84" s="38" t="n"/>
      <c r="H84" s="56">
        <f>IF($A84="","",IF($A84=$F$9,IF($D$65="",0,$D$65),0)+IF($A84=$H$66,IF($D$66="",0,$D$66),0))</f>
        <v/>
      </c>
      <c r="I84" s="38" t="n"/>
      <c r="J84" s="88">
        <f>IF($A84="","",ROUND($B84+$D84+$F84+$H84,2))</f>
        <v/>
      </c>
      <c r="K84" s="38" t="n"/>
      <c r="L84" s="38" t="n"/>
      <c r="M84" s="38" t="n"/>
    </row>
    <row r="85" ht="17" customHeight="1">
      <c r="A85" s="87" t="inlineStr">
        <is>
          <t>Terceiro / avulso</t>
        </is>
      </c>
      <c r="B85" s="56">
        <f>IF($A85="","",ROUND(SUMIF($D$49:$D$60,$A85,$F$49:$F$60),2))</f>
        <v/>
      </c>
      <c r="C85" s="38" t="n"/>
      <c r="D85" s="56">
        <f>IF($A85="","",ROUND(SUMIF($H$49:$H$60,$A85,$J$49:$J$60),2))</f>
        <v/>
      </c>
      <c r="E85" s="38" t="n"/>
      <c r="F85" s="56">
        <f>IF($A85="","",ROUND(SUMIF($L$49:$L$60,$A85,$N$49:$N$60),2))</f>
        <v/>
      </c>
      <c r="G85" s="38" t="n"/>
      <c r="H85" s="56">
        <f>IF($A85="","",IF($A85=$F$9,IF($D$65="",0,$D$65),0)+IF($A85=$H$66,IF($D$66="",0,$D$66),0))</f>
        <v/>
      </c>
      <c r="I85" s="38" t="n"/>
      <c r="J85" s="88">
        <f>IF($A85="","",ROUND($B85+$D85+$F85+$H85,2))</f>
        <v/>
      </c>
      <c r="K85" s="38" t="n"/>
      <c r="L85" s="38" t="n"/>
      <c r="M85" s="38" t="n"/>
    </row>
    <row r="86" ht="17" customHeight="1">
      <c r="A86" s="87" t="inlineStr">
        <is>
          <t>Lorrane</t>
        </is>
      </c>
      <c r="B86" s="56">
        <f>IF($A86="","",ROUND(SUMIF($D$49:$D$60,$A86,$F$49:$F$60),2))</f>
        <v/>
      </c>
      <c r="C86" s="38" t="n"/>
      <c r="D86" s="56">
        <f>IF($A86="","",ROUND(SUMIF($H$49:$H$60,$A86,$J$49:$J$60),2))</f>
        <v/>
      </c>
      <c r="E86" s="38" t="n"/>
      <c r="F86" s="56">
        <f>IF($A86="","",ROUND(SUMIF($L$49:$L$60,$A86,$N$49:$N$60),2))</f>
        <v/>
      </c>
      <c r="G86" s="38" t="n"/>
      <c r="H86" s="56">
        <f>IF($A86="","",IF($A86=$F$9,IF($D$65="",0,$D$65),0)+IF($A86=$H$66,IF($D$66="",0,$D$66),0))</f>
        <v/>
      </c>
      <c r="I86" s="38" t="n"/>
      <c r="J86" s="88">
        <f>IF($A86="","",ROUND($B86+$D86+$F86+$H86,2))</f>
        <v/>
      </c>
      <c r="K86" s="38" t="n"/>
      <c r="L86" s="38" t="n"/>
      <c r="M86" s="38" t="n"/>
    </row>
    <row r="87" ht="17" customHeight="1">
      <c r="A87" s="87" t="inlineStr">
        <is>
          <t>Lucas</t>
        </is>
      </c>
      <c r="B87" s="56">
        <f>IF($A87="","",ROUND(SUMIF($D$49:$D$60,$A87,$F$49:$F$60),2))</f>
        <v/>
      </c>
      <c r="C87" s="38" t="n"/>
      <c r="D87" s="56">
        <f>IF($A87="","",ROUND(SUMIF($H$49:$H$60,$A87,$J$49:$J$60),2))</f>
        <v/>
      </c>
      <c r="E87" s="38" t="n"/>
      <c r="F87" s="56">
        <f>IF($A87="","",ROUND(SUMIF($L$49:$L$60,$A87,$N$49:$N$60),2))</f>
        <v/>
      </c>
      <c r="G87" s="38" t="n"/>
      <c r="H87" s="56">
        <f>IF($A87="","",IF($A87=$F$9,IF($D$65="",0,$D$65),0)+IF($A87=$H$66,IF($D$66="",0,$D$66),0))</f>
        <v/>
      </c>
      <c r="I87" s="38" t="n"/>
      <c r="J87" s="88">
        <f>IF($A87="","",ROUND($B87+$D87+$F87+$H87,2))</f>
        <v/>
      </c>
      <c r="K87" s="38" t="n"/>
      <c r="L87" s="38" t="n"/>
      <c r="M87" s="38" t="n"/>
    </row>
    <row r="88" ht="17" customHeight="1">
      <c r="A88" s="87" t="inlineStr">
        <is>
          <t>Externo / avulso</t>
        </is>
      </c>
      <c r="B88" s="56">
        <f>IF($A88="","",ROUND(SUMIF($D$49:$D$60,$A88,$F$49:$F$60),2))</f>
        <v/>
      </c>
      <c r="C88" s="38" t="n"/>
      <c r="D88" s="56">
        <f>IF($A88="","",ROUND(SUMIF($H$49:$H$60,$A88,$J$49:$J$60),2))</f>
        <v/>
      </c>
      <c r="E88" s="38" t="n"/>
      <c r="F88" s="56">
        <f>IF($A88="","",ROUND(SUMIF($L$49:$L$60,$A88,$N$49:$N$60),2))</f>
        <v/>
      </c>
      <c r="G88" s="38" t="n"/>
      <c r="H88" s="56">
        <f>IF($A88="","",IF($A88=$F$9,IF($D$65="",0,$D$65),0)+IF($A88=$H$66,IF($D$66="",0,$D$66),0))</f>
        <v/>
      </c>
      <c r="I88" s="38" t="n"/>
      <c r="J88" s="88">
        <f>IF($A88="","",ROUND($B88+$D88+$F88+$H88,2))</f>
        <v/>
      </c>
      <c r="K88" s="38" t="n"/>
      <c r="L88" s="38" t="n"/>
      <c r="M88" s="38" t="n"/>
    </row>
    <row r="89" ht="17" customHeight="1">
      <c r="A89" s="87" t="inlineStr">
        <is>
          <t>Bruna</t>
        </is>
      </c>
      <c r="B89" s="56">
        <f>IF($A89="","",ROUND(SUMIF($D$49:$D$60,$A89,$F$49:$F$60),2))</f>
        <v/>
      </c>
      <c r="C89" s="38" t="n"/>
      <c r="D89" s="56">
        <f>IF($A89="","",ROUND(SUMIF($H$49:$H$60,$A89,$J$49:$J$60),2))</f>
        <v/>
      </c>
      <c r="E89" s="38" t="n"/>
      <c r="F89" s="56">
        <f>IF($A89="","",ROUND(SUMIF($L$49:$L$60,$A89,$N$49:$N$60),2))</f>
        <v/>
      </c>
      <c r="G89" s="38" t="n"/>
      <c r="H89" s="56">
        <f>IF($A89="","",IF($A89=$F$9,IF($D$65="",0,$D$65),0)+IF($A89=$H$66,IF($D$66="",0,$D$66),0))</f>
        <v/>
      </c>
      <c r="I89" s="38" t="n"/>
      <c r="J89" s="88">
        <f>IF($A89="","",ROUND($B89+$D89+$F89+$H89,2))</f>
        <v/>
      </c>
      <c r="K89" s="38" t="n"/>
      <c r="L89" s="38" t="n"/>
      <c r="M89" s="38" t="n"/>
    </row>
    <row r="90" ht="17" customHeight="1">
      <c r="A90" s="87" t="n"/>
      <c r="B90" s="56">
        <f>IF($A90="","",ROUND(SUMIF($D$49:$D$60,$A90,$F$49:$F$60),2))</f>
        <v/>
      </c>
      <c r="C90" s="38" t="n"/>
      <c r="D90" s="56">
        <f>IF($A90="","",ROUND(SUMIF($H$49:$H$60,$A90,$J$49:$J$60),2))</f>
        <v/>
      </c>
      <c r="E90" s="38" t="n"/>
      <c r="F90" s="56">
        <f>IF($A90="","",ROUND(SUMIF($L$49:$L$60,$A90,$N$49:$N$60),2))</f>
        <v/>
      </c>
      <c r="G90" s="38" t="n"/>
      <c r="H90" s="56">
        <f>IF($A90="","",IF($A90=$F$9,IF($D$65="",0,$D$65),0)+IF($A90=$H$66,IF($D$66="",0,$D$66),0))</f>
        <v/>
      </c>
      <c r="I90" s="38" t="n"/>
      <c r="J90" s="88">
        <f>IF($A90="","",ROUND($B90+$D90+$F90+$H90,2))</f>
        <v/>
      </c>
      <c r="K90" s="38" t="n"/>
      <c r="L90" s="38" t="n"/>
      <c r="M90" s="38" t="n"/>
    </row>
    <row r="91" ht="17" customHeight="1">
      <c r="A91" s="87" t="n"/>
      <c r="B91" s="56">
        <f>IF($A91="","",ROUND(SUMIF($D$49:$D$60,$A91,$F$49:$F$60),2))</f>
        <v/>
      </c>
      <c r="C91" s="38" t="n"/>
      <c r="D91" s="56">
        <f>IF($A91="","",ROUND(SUMIF($H$49:$H$60,$A91,$J$49:$J$60),2))</f>
        <v/>
      </c>
      <c r="E91" s="38" t="n"/>
      <c r="F91" s="56">
        <f>IF($A91="","",ROUND(SUMIF($L$49:$L$60,$A91,$N$49:$N$60),2))</f>
        <v/>
      </c>
      <c r="G91" s="38" t="n"/>
      <c r="H91" s="56">
        <f>IF($A91="","",IF($A91=$F$9,IF($D$65="",0,$D$65),0)+IF($A91=$H$66,IF($D$66="",0,$D$66),0))</f>
        <v/>
      </c>
      <c r="I91" s="38" t="n"/>
      <c r="J91" s="88">
        <f>IF($A91="","",ROUND($B91+$D91+$F91+$H91,2))</f>
        <v/>
      </c>
      <c r="K91" s="38" t="n"/>
      <c r="L91" s="38" t="n"/>
      <c r="M91" s="38" t="n"/>
    </row>
    <row r="92" ht="20" customHeight="1">
      <c r="A92" s="31" t="inlineStr">
        <is>
          <t>TOTAL</t>
        </is>
      </c>
      <c r="B92" s="60">
        <f>ROUND(SUM(B74:B91),2)</f>
        <v/>
      </c>
      <c r="C92" s="32" t="n"/>
      <c r="D92" s="60">
        <f>ROUND(SUM(D74:D91),2)</f>
        <v/>
      </c>
      <c r="E92" s="32" t="n"/>
      <c r="F92" s="60">
        <f>ROUND(SUM(F74:F91),2)</f>
        <v/>
      </c>
      <c r="G92" s="32" t="n"/>
      <c r="H92" s="60">
        <f>ROUND(SUM(H74:H91),2)</f>
        <v/>
      </c>
      <c r="I92" s="32" t="n"/>
      <c r="J92" s="60">
        <f>ROUND(SUM(J74:J91),2)</f>
        <v/>
      </c>
      <c r="K92" s="32" t="n"/>
      <c r="L92" s="32" t="n"/>
      <c r="M92" s="32" t="n"/>
    </row>
    <row r="93" ht="8" customHeight="1"/>
    <row r="94" ht="20" customHeight="1">
      <c r="A94" s="8" t="inlineStr">
        <is>
          <t xml:space="preserve">  6 · MATERIAL, TERCEIRIZADOS E LOGÍSTICA          o orçado você digita · o realizado vem sozinho do livro de lançamentos, lá no fim da ficha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</row>
    <row r="95" ht="30" customHeight="1">
      <c r="A95" s="19" t="inlineStr">
        <is>
          <t>Categoria</t>
        </is>
      </c>
      <c r="B95" s="19" t="inlineStr"/>
      <c r="C95" s="19" t="inlineStr">
        <is>
          <t>Orçado (R$)</t>
        </is>
      </c>
      <c r="D95" s="19" t="inlineStr">
        <is>
          <t>Realizado (R$)</t>
        </is>
      </c>
      <c r="E95" s="19" t="inlineStr">
        <is>
          <t>Desvio (R$)</t>
        </is>
      </c>
      <c r="F95" s="35" t="n"/>
      <c r="G95" s="19" t="inlineStr">
        <is>
          <t>Ainda a comprar</t>
        </is>
      </c>
      <c r="H95" s="19" t="inlineStr">
        <is>
          <t>Comprado, ainda a pagar</t>
        </is>
      </c>
      <c r="I95" s="35" t="n"/>
      <c r="J95" s="35" t="n"/>
      <c r="K95" s="35" t="n"/>
      <c r="L95" s="35" t="n"/>
      <c r="M95" s="35" t="n"/>
      <c r="N95" s="35" t="n"/>
      <c r="O95" s="35" t="n"/>
    </row>
    <row r="96" ht="17" customHeight="1">
      <c r="A96" s="36" t="inlineStr">
        <is>
          <t>MDF e MDP</t>
        </is>
      </c>
      <c r="B96" s="37" t="n"/>
      <c r="C96" s="71" t="n"/>
      <c r="D96" s="56">
        <f>ROUND(SUMIFS($E$134:$E$193,$B$134:$B$193,$A96,$I$134:$I$193,"Comprado (a pagar)")+SUMIFS($E$134:$E$193,$B$134:$B$193,$A96,$I$134:$I$193,"Pago"),2)</f>
        <v/>
      </c>
      <c r="E96" s="56">
        <f>IF($C96="","",ROUND($D96-$C96,2))</f>
        <v/>
      </c>
      <c r="F96" s="38" t="n"/>
      <c r="G96" s="89">
        <f>ROUND(SUMIFS($E$134:$E$193,$B$134:$B$193,$A96,$I$134:$I$193,"A comprar"),2)</f>
        <v/>
      </c>
      <c r="H96" s="90">
        <f>ROUND(SUMIFS($E$134:$E$193,$B$134:$B$193,$A96,$I$134:$I$193,"Comprado (a pagar)"),2)</f>
        <v/>
      </c>
      <c r="I96" s="38" t="n"/>
      <c r="J96" s="38" t="n"/>
      <c r="K96" s="38" t="n"/>
      <c r="L96" s="38" t="n"/>
      <c r="M96" s="38" t="n"/>
      <c r="N96" s="38" t="n"/>
      <c r="O96" s="38" t="n"/>
    </row>
    <row r="97" ht="17" customHeight="1">
      <c r="A97" s="36" t="inlineStr">
        <is>
          <t>Fita de borda</t>
        </is>
      </c>
      <c r="B97" s="37" t="n"/>
      <c r="C97" s="71" t="n"/>
      <c r="D97" s="56">
        <f>ROUND(SUMIFS($E$134:$E$193,$B$134:$B$193,$A97,$I$134:$I$193,"Comprado (a pagar)")+SUMIFS($E$134:$E$193,$B$134:$B$193,$A97,$I$134:$I$193,"Pago"),2)</f>
        <v/>
      </c>
      <c r="E97" s="56">
        <f>IF($C97="","",ROUND($D97-$C97,2))</f>
        <v/>
      </c>
      <c r="F97" s="38" t="n"/>
      <c r="G97" s="89">
        <f>ROUND(SUMIFS($E$134:$E$193,$B$134:$B$193,$A97,$I$134:$I$193,"A comprar"),2)</f>
        <v/>
      </c>
      <c r="H97" s="90">
        <f>ROUND(SUMIFS($E$134:$E$193,$B$134:$B$193,$A97,$I$134:$I$193,"Comprado (a pagar)"),2)</f>
        <v/>
      </c>
      <c r="I97" s="38" t="n"/>
      <c r="J97" s="38" t="n"/>
      <c r="K97" s="38" t="n"/>
      <c r="L97" s="38" t="n"/>
      <c r="M97" s="38" t="n"/>
      <c r="N97" s="38" t="n"/>
      <c r="O97" s="38" t="n"/>
    </row>
    <row r="98" ht="17" customHeight="1">
      <c r="A98" s="36" t="inlineStr">
        <is>
          <t>Ferragens</t>
        </is>
      </c>
      <c r="B98" s="37" t="n"/>
      <c r="C98" s="71" t="n"/>
      <c r="D98" s="56">
        <f>ROUND(SUMIFS($E$134:$E$193,$B$134:$B$193,$A98,$I$134:$I$193,"Comprado (a pagar)")+SUMIFS($E$134:$E$193,$B$134:$B$193,$A98,$I$134:$I$193,"Pago"),2)</f>
        <v/>
      </c>
      <c r="E98" s="56">
        <f>IF($C98="","",ROUND($D98-$C98,2))</f>
        <v/>
      </c>
      <c r="F98" s="38" t="n"/>
      <c r="G98" s="89">
        <f>ROUND(SUMIFS($E$134:$E$193,$B$134:$B$193,$A98,$I$134:$I$193,"A comprar"),2)</f>
        <v/>
      </c>
      <c r="H98" s="90">
        <f>ROUND(SUMIFS($E$134:$E$193,$B$134:$B$193,$A98,$I$134:$I$193,"Comprado (a pagar)"),2)</f>
        <v/>
      </c>
      <c r="I98" s="38" t="n"/>
      <c r="J98" s="38" t="n"/>
      <c r="K98" s="38" t="n"/>
      <c r="L98" s="38" t="n"/>
      <c r="M98" s="38" t="n"/>
      <c r="N98" s="38" t="n"/>
      <c r="O98" s="38" t="n"/>
    </row>
    <row r="99" ht="17" customHeight="1">
      <c r="A99" s="36" t="inlineStr">
        <is>
          <t>Vidros e espelhos</t>
        </is>
      </c>
      <c r="B99" s="37" t="n"/>
      <c r="C99" s="71" t="n"/>
      <c r="D99" s="56">
        <f>ROUND(SUMIFS($E$134:$E$193,$B$134:$B$193,$A99,$I$134:$I$193,"Comprado (a pagar)")+SUMIFS($E$134:$E$193,$B$134:$B$193,$A99,$I$134:$I$193,"Pago"),2)</f>
        <v/>
      </c>
      <c r="E99" s="56">
        <f>IF($C99="","",ROUND($D99-$C99,2))</f>
        <v/>
      </c>
      <c r="F99" s="38" t="n"/>
      <c r="G99" s="89">
        <f>ROUND(SUMIFS($E$134:$E$193,$B$134:$B$193,$A99,$I$134:$I$193,"A comprar"),2)</f>
        <v/>
      </c>
      <c r="H99" s="90">
        <f>ROUND(SUMIFS($E$134:$E$193,$B$134:$B$193,$A99,$I$134:$I$193,"Comprado (a pagar)"),2)</f>
        <v/>
      </c>
      <c r="I99" s="38" t="n"/>
      <c r="J99" s="38" t="n"/>
      <c r="K99" s="38" t="n"/>
      <c r="L99" s="38" t="n"/>
      <c r="M99" s="38" t="n"/>
      <c r="N99" s="38" t="n"/>
      <c r="O99" s="38" t="n"/>
    </row>
    <row r="100" ht="17" customHeight="1">
      <c r="A100" s="36" t="inlineStr">
        <is>
          <t>Esquadrias</t>
        </is>
      </c>
      <c r="B100" s="37" t="n"/>
      <c r="C100" s="71" t="n"/>
      <c r="D100" s="56">
        <f>ROUND(SUMIFS($E$134:$E$193,$B$134:$B$193,$A100,$I$134:$I$193,"Comprado (a pagar)")+SUMIFS($E$134:$E$193,$B$134:$B$193,$A100,$I$134:$I$193,"Pago"),2)</f>
        <v/>
      </c>
      <c r="E100" s="56">
        <f>IF($C100="","",ROUND($D100-$C100,2))</f>
        <v/>
      </c>
      <c r="F100" s="38" t="n"/>
      <c r="G100" s="89">
        <f>ROUND(SUMIFS($E$134:$E$193,$B$134:$B$193,$A100,$I$134:$I$193,"A comprar"),2)</f>
        <v/>
      </c>
      <c r="H100" s="90">
        <f>ROUND(SUMIFS($E$134:$E$193,$B$134:$B$193,$A100,$I$134:$I$193,"Comprado (a pagar)"),2)</f>
        <v/>
      </c>
      <c r="I100" s="38" t="n"/>
      <c r="J100" s="38" t="n"/>
      <c r="K100" s="38" t="n"/>
      <c r="L100" s="38" t="n"/>
      <c r="M100" s="38" t="n"/>
      <c r="N100" s="38" t="n"/>
      <c r="O100" s="38" t="n"/>
    </row>
    <row r="101" ht="17" customHeight="1">
      <c r="A101" s="36" t="inlineStr">
        <is>
          <t>Lâmina natural</t>
        </is>
      </c>
      <c r="B101" s="37" t="n"/>
      <c r="C101" s="71" t="n"/>
      <c r="D101" s="56">
        <f>ROUND(SUMIFS($E$134:$E$193,$B$134:$B$193,$A101,$I$134:$I$193,"Comprado (a pagar)")+SUMIFS($E$134:$E$193,$B$134:$B$193,$A101,$I$134:$I$193,"Pago"),2)</f>
        <v/>
      </c>
      <c r="E101" s="56">
        <f>IF($C101="","",ROUND($D101-$C101,2))</f>
        <v/>
      </c>
      <c r="F101" s="38" t="n"/>
      <c r="G101" s="89">
        <f>ROUND(SUMIFS($E$134:$E$193,$B$134:$B$193,$A101,$I$134:$I$193,"A comprar"),2)</f>
        <v/>
      </c>
      <c r="H101" s="90">
        <f>ROUND(SUMIFS($E$134:$E$193,$B$134:$B$193,$A101,$I$134:$I$193,"Comprado (a pagar)"),2)</f>
        <v/>
      </c>
      <c r="I101" s="38" t="n"/>
      <c r="J101" s="38" t="n"/>
      <c r="K101" s="38" t="n"/>
      <c r="L101" s="38" t="n"/>
      <c r="M101" s="38" t="n"/>
      <c r="N101" s="38" t="n"/>
      <c r="O101" s="38" t="n"/>
    </row>
    <row r="102" ht="17" customHeight="1">
      <c r="A102" s="36" t="inlineStr">
        <is>
          <t>Consumíveis</t>
        </is>
      </c>
      <c r="B102" s="37" t="n"/>
      <c r="C102" s="71" t="n"/>
      <c r="D102" s="56">
        <f>ROUND(SUMIFS($E$134:$E$193,$B$134:$B$193,$A102,$I$134:$I$193,"Comprado (a pagar)")+SUMIFS($E$134:$E$193,$B$134:$B$193,$A102,$I$134:$I$193,"Pago"),2)</f>
        <v/>
      </c>
      <c r="E102" s="56">
        <f>IF($C102="","",ROUND($D102-$C102,2))</f>
        <v/>
      </c>
      <c r="F102" s="38" t="n"/>
      <c r="G102" s="89">
        <f>ROUND(SUMIFS($E$134:$E$193,$B$134:$B$193,$A102,$I$134:$I$193,"A comprar"),2)</f>
        <v/>
      </c>
      <c r="H102" s="90">
        <f>ROUND(SUMIFS($E$134:$E$193,$B$134:$B$193,$A102,$I$134:$I$193,"Comprado (a pagar)"),2)</f>
        <v/>
      </c>
      <c r="I102" s="38" t="n"/>
      <c r="J102" s="38" t="n"/>
      <c r="K102" s="38" t="n"/>
      <c r="L102" s="38" t="n"/>
      <c r="M102" s="38" t="n"/>
      <c r="N102" s="38" t="n"/>
      <c r="O102" s="38" t="n"/>
    </row>
    <row r="103" ht="20" customHeight="1">
      <c r="A103" s="31" t="inlineStr">
        <is>
          <t>(=) SUBTOTAL · MATERIAL</t>
        </is>
      </c>
      <c r="B103" s="32" t="n"/>
      <c r="C103" s="60">
        <f>ROUND(SUM(C96:C102),2)</f>
        <v/>
      </c>
      <c r="D103" s="60">
        <f>ROUND(SUM(D96:D102),2)</f>
        <v/>
      </c>
      <c r="E103" s="60">
        <f>ROUND(SUM(E96:E102),2)</f>
        <v/>
      </c>
      <c r="F103" s="32" t="n"/>
      <c r="G103" s="60">
        <f>ROUND(SUM(G96:G102),2)</f>
        <v/>
      </c>
      <c r="H103" s="60">
        <f>ROUND(SUM(H96:H102),2)</f>
        <v/>
      </c>
      <c r="I103" s="32" t="n"/>
      <c r="J103" s="32" t="n"/>
      <c r="K103" s="32" t="n"/>
      <c r="L103" s="32" t="n"/>
      <c r="M103" s="32" t="n"/>
      <c r="N103" s="32" t="n"/>
      <c r="O103" s="32" t="n"/>
    </row>
    <row r="104" ht="17" customHeight="1">
      <c r="A104" s="36" t="inlineStr">
        <is>
          <t>Acabamento</t>
        </is>
      </c>
      <c r="B104" s="37" t="n"/>
      <c r="C104" s="71" t="n"/>
      <c r="D104" s="56">
        <f>ROUND(SUMIFS($E$134:$E$193,$B$134:$B$193,$A104,$I$134:$I$193,"Comprado (a pagar)")+SUMIFS($E$134:$E$193,$B$134:$B$193,$A104,$I$134:$I$193,"Pago"),2)</f>
        <v/>
      </c>
      <c r="E104" s="56">
        <f>IF($C104="","",ROUND($D104-$C104,2))</f>
        <v/>
      </c>
      <c r="F104" s="38" t="n"/>
      <c r="G104" s="89">
        <f>ROUND(SUMIFS($E$134:$E$193,$B$134:$B$193,$A104,$I$134:$I$193,"A comprar"),2)</f>
        <v/>
      </c>
      <c r="H104" s="90">
        <f>ROUND(SUMIFS($E$134:$E$193,$B$134:$B$193,$A104,$I$134:$I$193,"Comprado (a pagar)"),2)</f>
        <v/>
      </c>
      <c r="I104" s="38" t="n"/>
      <c r="J104" s="38" t="n"/>
      <c r="K104" s="38" t="n"/>
      <c r="L104" s="38" t="n"/>
      <c r="M104" s="38" t="n"/>
      <c r="N104" s="38" t="n"/>
      <c r="O104" s="38" t="n"/>
    </row>
    <row r="105" ht="17" customHeight="1">
      <c r="A105" s="36" t="inlineStr">
        <is>
          <t>Serralheria</t>
        </is>
      </c>
      <c r="B105" s="37" t="n"/>
      <c r="C105" s="71" t="n"/>
      <c r="D105" s="56">
        <f>ROUND(SUMIFS($E$134:$E$193,$B$134:$B$193,$A105,$I$134:$I$193,"Comprado (a pagar)")+SUMIFS($E$134:$E$193,$B$134:$B$193,$A105,$I$134:$I$193,"Pago"),2)</f>
        <v/>
      </c>
      <c r="E105" s="56">
        <f>IF($C105="","",ROUND($D105-$C105,2))</f>
        <v/>
      </c>
      <c r="F105" s="38" t="n"/>
      <c r="G105" s="89">
        <f>ROUND(SUMIFS($E$134:$E$193,$B$134:$B$193,$A105,$I$134:$I$193,"A comprar"),2)</f>
        <v/>
      </c>
      <c r="H105" s="90">
        <f>ROUND(SUMIFS($E$134:$E$193,$B$134:$B$193,$A105,$I$134:$I$193,"Comprado (a pagar)"),2)</f>
        <v/>
      </c>
      <c r="I105" s="38" t="n"/>
      <c r="J105" s="38" t="n"/>
      <c r="K105" s="38" t="n"/>
      <c r="L105" s="38" t="n"/>
      <c r="M105" s="38" t="n"/>
      <c r="N105" s="38" t="n"/>
      <c r="O105" s="38" t="n"/>
    </row>
    <row r="106" ht="17" customHeight="1">
      <c r="A106" s="36" t="inlineStr">
        <is>
          <t>Vidraceiro</t>
        </is>
      </c>
      <c r="B106" s="37" t="n"/>
      <c r="C106" s="71" t="n"/>
      <c r="D106" s="56">
        <f>ROUND(SUMIFS($E$134:$E$193,$B$134:$B$193,$A106,$I$134:$I$193,"Comprado (a pagar)")+SUMIFS($E$134:$E$193,$B$134:$B$193,$A106,$I$134:$I$193,"Pago"),2)</f>
        <v/>
      </c>
      <c r="E106" s="56">
        <f>IF($C106="","",ROUND($D106-$C106,2))</f>
        <v/>
      </c>
      <c r="F106" s="38" t="n"/>
      <c r="G106" s="89">
        <f>ROUND(SUMIFS($E$134:$E$193,$B$134:$B$193,$A106,$I$134:$I$193,"A comprar"),2)</f>
        <v/>
      </c>
      <c r="H106" s="90">
        <f>ROUND(SUMIFS($E$134:$E$193,$B$134:$B$193,$A106,$I$134:$I$193,"Comprado (a pagar)"),2)</f>
        <v/>
      </c>
      <c r="I106" s="38" t="n"/>
      <c r="J106" s="38" t="n"/>
      <c r="K106" s="38" t="n"/>
      <c r="L106" s="38" t="n"/>
      <c r="M106" s="38" t="n"/>
      <c r="N106" s="38" t="n"/>
      <c r="O106" s="38" t="n"/>
    </row>
    <row r="107" ht="17" customHeight="1">
      <c r="A107" s="36" t="inlineStr">
        <is>
          <t>Outro terceirizado</t>
        </is>
      </c>
      <c r="B107" s="37" t="n"/>
      <c r="C107" s="71" t="n"/>
      <c r="D107" s="56">
        <f>ROUND(SUMIFS($E$134:$E$193,$B$134:$B$193,$A107,$I$134:$I$193,"Comprado (a pagar)")+SUMIFS($E$134:$E$193,$B$134:$B$193,$A107,$I$134:$I$193,"Pago"),2)</f>
        <v/>
      </c>
      <c r="E107" s="56">
        <f>IF($C107="","",ROUND($D107-$C107,2))</f>
        <v/>
      </c>
      <c r="F107" s="38" t="n"/>
      <c r="G107" s="89">
        <f>ROUND(SUMIFS($E$134:$E$193,$B$134:$B$193,$A107,$I$134:$I$193,"A comprar"),2)</f>
        <v/>
      </c>
      <c r="H107" s="90">
        <f>ROUND(SUMIFS($E$134:$E$193,$B$134:$B$193,$A107,$I$134:$I$193,"Comprado (a pagar)"),2)</f>
        <v/>
      </c>
      <c r="I107" s="38" t="n"/>
      <c r="J107" s="38" t="n"/>
      <c r="K107" s="38" t="n"/>
      <c r="L107" s="38" t="n"/>
      <c r="M107" s="38" t="n"/>
      <c r="N107" s="38" t="n"/>
      <c r="O107" s="38" t="n"/>
    </row>
    <row r="108" ht="20" customHeight="1">
      <c r="A108" s="31" t="inlineStr">
        <is>
          <t>(=) SUBTOTAL · SERVIÇOS TERCEIRIZADOS</t>
        </is>
      </c>
      <c r="B108" s="32" t="n"/>
      <c r="C108" s="60">
        <f>ROUND(SUM(C104:C107),2)</f>
        <v/>
      </c>
      <c r="D108" s="60">
        <f>ROUND(SUM(D104:D107),2)</f>
        <v/>
      </c>
      <c r="E108" s="60">
        <f>ROUND(SUM(E104:E107),2)</f>
        <v/>
      </c>
      <c r="F108" s="32" t="n"/>
      <c r="G108" s="60">
        <f>ROUND(SUM(G104:G107),2)</f>
        <v/>
      </c>
      <c r="H108" s="60">
        <f>ROUND(SUM(H104:H107),2)</f>
        <v/>
      </c>
      <c r="I108" s="32" t="n"/>
      <c r="J108" s="32" t="n"/>
      <c r="K108" s="32" t="n"/>
      <c r="L108" s="32" t="n"/>
      <c r="M108" s="32" t="n"/>
      <c r="N108" s="32" t="n"/>
      <c r="O108" s="32" t="n"/>
    </row>
    <row r="109" ht="17" customHeight="1">
      <c r="A109" s="36" t="inlineStr">
        <is>
          <t>Uber e aplicativo</t>
        </is>
      </c>
      <c r="B109" s="37" t="n"/>
      <c r="C109" s="71" t="n"/>
      <c r="D109" s="56">
        <f>ROUND(SUMIFS($E$134:$E$193,$B$134:$B$193,$A109,$I$134:$I$193,"Comprado (a pagar)")+SUMIFS($E$134:$E$193,$B$134:$B$193,$A109,$I$134:$I$193,"Pago"),2)</f>
        <v/>
      </c>
      <c r="E109" s="56">
        <f>IF($C109="","",ROUND($D109-$C109,2))</f>
        <v/>
      </c>
      <c r="F109" s="38" t="n"/>
      <c r="G109" s="89">
        <f>ROUND(SUMIFS($E$134:$E$193,$B$134:$B$193,$A109,$I$134:$I$193,"A comprar"),2)</f>
        <v/>
      </c>
      <c r="H109" s="90">
        <f>ROUND(SUMIFS($E$134:$E$193,$B$134:$B$193,$A109,$I$134:$I$193,"Comprado (a pagar)"),2)</f>
        <v/>
      </c>
      <c r="I109" s="38" t="n"/>
      <c r="J109" s="38" t="n"/>
      <c r="K109" s="38" t="n"/>
      <c r="L109" s="38" t="n"/>
      <c r="M109" s="38" t="n"/>
      <c r="N109" s="38" t="n"/>
      <c r="O109" s="38" t="n"/>
    </row>
    <row r="110" ht="17" customHeight="1">
      <c r="A110" s="36" t="inlineStr">
        <is>
          <t>Carreto e entrega</t>
        </is>
      </c>
      <c r="B110" s="37" t="n"/>
      <c r="C110" s="71" t="n"/>
      <c r="D110" s="56">
        <f>ROUND(SUMIFS($E$134:$E$193,$B$134:$B$193,$A110,$I$134:$I$193,"Comprado (a pagar)")+SUMIFS($E$134:$E$193,$B$134:$B$193,$A110,$I$134:$I$193,"Pago"),2)</f>
        <v/>
      </c>
      <c r="E110" s="56">
        <f>IF($C110="","",ROUND($D110-$C110,2))</f>
        <v/>
      </c>
      <c r="F110" s="38" t="n"/>
      <c r="G110" s="89">
        <f>ROUND(SUMIFS($E$134:$E$193,$B$134:$B$193,$A110,$I$134:$I$193,"A comprar"),2)</f>
        <v/>
      </c>
      <c r="H110" s="90">
        <f>ROUND(SUMIFS($E$134:$E$193,$B$134:$B$193,$A110,$I$134:$I$193,"Comprado (a pagar)"),2)</f>
        <v/>
      </c>
      <c r="I110" s="38" t="n"/>
      <c r="J110" s="38" t="n"/>
      <c r="K110" s="38" t="n"/>
      <c r="L110" s="38" t="n"/>
      <c r="M110" s="38" t="n"/>
      <c r="N110" s="38" t="n"/>
      <c r="O110" s="38" t="n"/>
    </row>
    <row r="111" ht="17" customHeight="1">
      <c r="A111" s="36" t="inlineStr">
        <is>
          <t>Deslocamento da equipe</t>
        </is>
      </c>
      <c r="B111" s="37" t="n"/>
      <c r="C111" s="71" t="n"/>
      <c r="D111" s="56">
        <f>ROUND(SUMIFS($E$134:$E$193,$B$134:$B$193,$A111,$I$134:$I$193,"Comprado (a pagar)")+SUMIFS($E$134:$E$193,$B$134:$B$193,$A111,$I$134:$I$193,"Pago"),2)</f>
        <v/>
      </c>
      <c r="E111" s="56">
        <f>IF($C111="","",ROUND($D111-$C111,2))</f>
        <v/>
      </c>
      <c r="F111" s="38" t="n"/>
      <c r="G111" s="89">
        <f>ROUND(SUMIFS($E$134:$E$193,$B$134:$B$193,$A111,$I$134:$I$193,"A comprar"),2)</f>
        <v/>
      </c>
      <c r="H111" s="90">
        <f>ROUND(SUMIFS($E$134:$E$193,$B$134:$B$193,$A111,$I$134:$I$193,"Comprado (a pagar)"),2)</f>
        <v/>
      </c>
      <c r="I111" s="38" t="n"/>
      <c r="J111" s="38" t="n"/>
      <c r="K111" s="38" t="n"/>
      <c r="L111" s="38" t="n"/>
      <c r="M111" s="38" t="n"/>
      <c r="N111" s="38" t="n"/>
      <c r="O111" s="38" t="n"/>
    </row>
    <row r="112" ht="17" customHeight="1">
      <c r="A112" s="36" t="inlineStr">
        <is>
          <t>Frete de material</t>
        </is>
      </c>
      <c r="B112" s="37" t="n"/>
      <c r="C112" s="71" t="n"/>
      <c r="D112" s="56">
        <f>ROUND(SUMIFS($E$134:$E$193,$B$134:$B$193,$A112,$I$134:$I$193,"Comprado (a pagar)")+SUMIFS($E$134:$E$193,$B$134:$B$193,$A112,$I$134:$I$193,"Pago"),2)</f>
        <v/>
      </c>
      <c r="E112" s="56">
        <f>IF($C112="","",ROUND($D112-$C112,2))</f>
        <v/>
      </c>
      <c r="F112" s="38" t="n"/>
      <c r="G112" s="89">
        <f>ROUND(SUMIFS($E$134:$E$193,$B$134:$B$193,$A112,$I$134:$I$193,"A comprar"),2)</f>
        <v/>
      </c>
      <c r="H112" s="90">
        <f>ROUND(SUMIFS($E$134:$E$193,$B$134:$B$193,$A112,$I$134:$I$193,"Comprado (a pagar)"),2)</f>
        <v/>
      </c>
      <c r="I112" s="38" t="n"/>
      <c r="J112" s="38" t="n"/>
      <c r="K112" s="38" t="n"/>
      <c r="L112" s="38" t="n"/>
      <c r="M112" s="38" t="n"/>
      <c r="N112" s="38" t="n"/>
      <c r="O112" s="38" t="n"/>
    </row>
    <row r="113" ht="17" customHeight="1">
      <c r="A113" s="36" t="inlineStr">
        <is>
          <t>Estacionamento e pedágio</t>
        </is>
      </c>
      <c r="B113" s="37" t="n"/>
      <c r="C113" s="71" t="n"/>
      <c r="D113" s="56">
        <f>ROUND(SUMIFS($E$134:$E$193,$B$134:$B$193,$A113,$I$134:$I$193,"Comprado (a pagar)")+SUMIFS($E$134:$E$193,$B$134:$B$193,$A113,$I$134:$I$193,"Pago"),2)</f>
        <v/>
      </c>
      <c r="E113" s="56">
        <f>IF($C113="","",ROUND($D113-$C113,2))</f>
        <v/>
      </c>
      <c r="F113" s="38" t="n"/>
      <c r="G113" s="89">
        <f>ROUND(SUMIFS($E$134:$E$193,$B$134:$B$193,$A113,$I$134:$I$193,"A comprar"),2)</f>
        <v/>
      </c>
      <c r="H113" s="90">
        <f>ROUND(SUMIFS($E$134:$E$193,$B$134:$B$193,$A113,$I$134:$I$193,"Comprado (a pagar)"),2)</f>
        <v/>
      </c>
      <c r="I113" s="38" t="n"/>
      <c r="J113" s="38" t="n"/>
      <c r="K113" s="38" t="n"/>
      <c r="L113" s="38" t="n"/>
      <c r="M113" s="38" t="n"/>
      <c r="N113" s="38" t="n"/>
      <c r="O113" s="38" t="n"/>
    </row>
    <row r="114" ht="20" customHeight="1">
      <c r="A114" s="31" t="inlineStr">
        <is>
          <t>(=) SUBTOTAL · LOGÍSTICA</t>
        </is>
      </c>
      <c r="B114" s="32" t="n"/>
      <c r="C114" s="60">
        <f>ROUND(SUM(C109:C113),2)</f>
        <v/>
      </c>
      <c r="D114" s="60">
        <f>ROUND(SUM(D109:D113),2)</f>
        <v/>
      </c>
      <c r="E114" s="60">
        <f>ROUND(SUM(E109:E113),2)</f>
        <v/>
      </c>
      <c r="F114" s="32" t="n"/>
      <c r="G114" s="60">
        <f>ROUND(SUM(G109:G113),2)</f>
        <v/>
      </c>
      <c r="H114" s="60">
        <f>ROUND(SUM(H109:H113),2)</f>
        <v/>
      </c>
      <c r="I114" s="32" t="n"/>
      <c r="J114" s="32" t="n"/>
      <c r="K114" s="32" t="n"/>
      <c r="L114" s="32" t="n"/>
      <c r="M114" s="32" t="n"/>
      <c r="N114" s="32" t="n"/>
      <c r="O114" s="32" t="n"/>
    </row>
    <row r="115" ht="8" customHeight="1"/>
    <row r="116" ht="20" customHeight="1">
      <c r="A116" s="8" t="inlineStr">
        <is>
          <t xml:space="preserve">  7 · RETRABALHO          o que aconteceu, por que aconteceu e quanto custou — é aqui que o orçamento aprende</t>
        </is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</row>
    <row r="117" ht="26" customHeight="1">
      <c r="A117" s="19" t="inlineStr">
        <is>
          <t>O que aconteceu</t>
        </is>
      </c>
      <c r="B117" s="19" t="inlineStr">
        <is>
          <t>Causa</t>
        </is>
      </c>
      <c r="C117" s="35" t="n"/>
      <c r="D117" s="35" t="n"/>
      <c r="E117" s="19" t="inlineStr">
        <is>
          <t>Custo estimado (R$)</t>
        </is>
      </c>
      <c r="F117" s="35" t="n"/>
      <c r="G117" s="19" t="inlineStr">
        <is>
          <t>Providência / responsável</t>
        </is>
      </c>
      <c r="H117" s="35" t="n"/>
      <c r="I117" s="35" t="n"/>
      <c r="J117" s="35" t="n"/>
      <c r="K117" s="35" t="n"/>
      <c r="L117" s="35" t="n"/>
      <c r="M117" s="35" t="n"/>
      <c r="N117" s="35" t="n"/>
      <c r="O117" s="35" t="n"/>
    </row>
    <row r="118" ht="18" customHeight="1">
      <c r="A118" s="83" t="n"/>
      <c r="B118" s="83" t="n"/>
      <c r="C118" s="46" t="n"/>
      <c r="D118" s="46" t="n"/>
      <c r="E118" s="91" t="n"/>
      <c r="F118" s="46" t="n"/>
      <c r="G118" s="73" t="n"/>
      <c r="H118" s="46" t="n"/>
      <c r="I118" s="46" t="n"/>
      <c r="J118" s="46" t="n"/>
      <c r="K118" s="46" t="n"/>
      <c r="L118" s="46" t="n"/>
      <c r="M118" s="46" t="n"/>
      <c r="N118" s="46" t="n"/>
      <c r="O118" s="46" t="n"/>
    </row>
    <row r="119" ht="18" customHeight="1">
      <c r="A119" s="83" t="n"/>
      <c r="B119" s="83" t="n"/>
      <c r="C119" s="46" t="n"/>
      <c r="D119" s="46" t="n"/>
      <c r="E119" s="91" t="n"/>
      <c r="F119" s="46" t="n"/>
      <c r="G119" s="73" t="n"/>
      <c r="H119" s="46" t="n"/>
      <c r="I119" s="46" t="n"/>
      <c r="J119" s="46" t="n"/>
      <c r="K119" s="46" t="n"/>
      <c r="L119" s="46" t="n"/>
      <c r="M119" s="46" t="n"/>
      <c r="N119" s="46" t="n"/>
      <c r="O119" s="46" t="n"/>
    </row>
    <row r="120" ht="18" customHeight="1">
      <c r="A120" s="83" t="n"/>
      <c r="B120" s="83" t="n"/>
      <c r="C120" s="46" t="n"/>
      <c r="D120" s="46" t="n"/>
      <c r="E120" s="91" t="n"/>
      <c r="F120" s="46" t="n"/>
      <c r="G120" s="73" t="n"/>
      <c r="H120" s="46" t="n"/>
      <c r="I120" s="46" t="n"/>
      <c r="J120" s="46" t="n"/>
      <c r="K120" s="46" t="n"/>
      <c r="L120" s="46" t="n"/>
      <c r="M120" s="46" t="n"/>
      <c r="N120" s="46" t="n"/>
      <c r="O120" s="46" t="n"/>
    </row>
    <row r="121" ht="18" customHeight="1">
      <c r="A121" s="83" t="n"/>
      <c r="B121" s="83" t="n"/>
      <c r="C121" s="46" t="n"/>
      <c r="D121" s="46" t="n"/>
      <c r="E121" s="91" t="n"/>
      <c r="F121" s="46" t="n"/>
      <c r="G121" s="73" t="n"/>
      <c r="H121" s="46" t="n"/>
      <c r="I121" s="46" t="n"/>
      <c r="J121" s="46" t="n"/>
      <c r="K121" s="46" t="n"/>
      <c r="L121" s="46" t="n"/>
      <c r="M121" s="46" t="n"/>
      <c r="N121" s="46" t="n"/>
      <c r="O121" s="46" t="n"/>
    </row>
    <row r="122" ht="18" customHeight="1">
      <c r="A122" s="83" t="n"/>
      <c r="B122" s="83" t="n"/>
      <c r="C122" s="46" t="n"/>
      <c r="D122" s="46" t="n"/>
      <c r="E122" s="91" t="n"/>
      <c r="F122" s="46" t="n"/>
      <c r="G122" s="73" t="n"/>
      <c r="H122" s="46" t="n"/>
      <c r="I122" s="46" t="n"/>
      <c r="J122" s="46" t="n"/>
      <c r="K122" s="46" t="n"/>
      <c r="L122" s="46" t="n"/>
      <c r="M122" s="46" t="n"/>
      <c r="N122" s="46" t="n"/>
      <c r="O122" s="46" t="n"/>
    </row>
    <row r="123" ht="18" customHeight="1">
      <c r="A123" s="83" t="n"/>
      <c r="B123" s="83" t="n"/>
      <c r="C123" s="46" t="n"/>
      <c r="D123" s="46" t="n"/>
      <c r="E123" s="91" t="n"/>
      <c r="F123" s="46" t="n"/>
      <c r="G123" s="73" t="n"/>
      <c r="H123" s="46" t="n"/>
      <c r="I123" s="46" t="n"/>
      <c r="J123" s="46" t="n"/>
      <c r="K123" s="46" t="n"/>
      <c r="L123" s="46" t="n"/>
      <c r="M123" s="46" t="n"/>
      <c r="N123" s="46" t="n"/>
      <c r="O123" s="46" t="n"/>
    </row>
    <row r="124" ht="18" customHeight="1">
      <c r="A124" s="83" t="n"/>
      <c r="B124" s="83" t="n"/>
      <c r="C124" s="46" t="n"/>
      <c r="D124" s="46" t="n"/>
      <c r="E124" s="91" t="n"/>
      <c r="F124" s="46" t="n"/>
      <c r="G124" s="73" t="n"/>
      <c r="H124" s="46" t="n"/>
      <c r="I124" s="46" t="n"/>
      <c r="J124" s="46" t="n"/>
      <c r="K124" s="46" t="n"/>
      <c r="L124" s="46" t="n"/>
      <c r="M124" s="46" t="n"/>
      <c r="N124" s="46" t="n"/>
      <c r="O124" s="46" t="n"/>
    </row>
    <row r="125" ht="18" customHeight="1">
      <c r="A125" s="83" t="n"/>
      <c r="B125" s="83" t="n"/>
      <c r="C125" s="46" t="n"/>
      <c r="D125" s="46" t="n"/>
      <c r="E125" s="91" t="n"/>
      <c r="F125" s="46" t="n"/>
      <c r="G125" s="73" t="n"/>
      <c r="H125" s="46" t="n"/>
      <c r="I125" s="46" t="n"/>
      <c r="J125" s="46" t="n"/>
      <c r="K125" s="46" t="n"/>
      <c r="L125" s="46" t="n"/>
      <c r="M125" s="46" t="n"/>
      <c r="N125" s="46" t="n"/>
      <c r="O125" s="46" t="n"/>
    </row>
    <row r="126" ht="18" customHeight="1">
      <c r="A126" s="83" t="n"/>
      <c r="B126" s="83" t="n"/>
      <c r="C126" s="46" t="n"/>
      <c r="D126" s="46" t="n"/>
      <c r="E126" s="91" t="n"/>
      <c r="F126" s="46" t="n"/>
      <c r="G126" s="73" t="n"/>
      <c r="H126" s="46" t="n"/>
      <c r="I126" s="46" t="n"/>
      <c r="J126" s="46" t="n"/>
      <c r="K126" s="46" t="n"/>
      <c r="L126" s="46" t="n"/>
      <c r="M126" s="46" t="n"/>
      <c r="N126" s="46" t="n"/>
      <c r="O126" s="46" t="n"/>
    </row>
    <row r="127" ht="18" customHeight="1">
      <c r="A127" s="83" t="n"/>
      <c r="B127" s="83" t="n"/>
      <c r="C127" s="46" t="n"/>
      <c r="D127" s="46" t="n"/>
      <c r="E127" s="91" t="n"/>
      <c r="F127" s="46" t="n"/>
      <c r="G127" s="73" t="n"/>
      <c r="H127" s="46" t="n"/>
      <c r="I127" s="46" t="n"/>
      <c r="J127" s="46" t="n"/>
      <c r="K127" s="46" t="n"/>
      <c r="L127" s="46" t="n"/>
      <c r="M127" s="46" t="n"/>
      <c r="N127" s="46" t="n"/>
      <c r="O127" s="46" t="n"/>
    </row>
    <row r="128" ht="18" customHeight="1">
      <c r="A128" s="83" t="n"/>
      <c r="B128" s="83" t="n"/>
      <c r="C128" s="46" t="n"/>
      <c r="D128" s="46" t="n"/>
      <c r="E128" s="91" t="n"/>
      <c r="F128" s="46" t="n"/>
      <c r="G128" s="73" t="n"/>
      <c r="H128" s="46" t="n"/>
      <c r="I128" s="46" t="n"/>
      <c r="J128" s="46" t="n"/>
      <c r="K128" s="46" t="n"/>
      <c r="L128" s="46" t="n"/>
      <c r="M128" s="46" t="n"/>
      <c r="N128" s="46" t="n"/>
      <c r="O128" s="46" t="n"/>
    </row>
    <row r="129" ht="18" customHeight="1">
      <c r="A129" s="83" t="n"/>
      <c r="B129" s="83" t="n"/>
      <c r="C129" s="46" t="n"/>
      <c r="D129" s="46" t="n"/>
      <c r="E129" s="91" t="n"/>
      <c r="F129" s="46" t="n"/>
      <c r="G129" s="73" t="n"/>
      <c r="H129" s="46" t="n"/>
      <c r="I129" s="46" t="n"/>
      <c r="J129" s="46" t="n"/>
      <c r="K129" s="46" t="n"/>
      <c r="L129" s="46" t="n"/>
      <c r="M129" s="46" t="n"/>
      <c r="N129" s="46" t="n"/>
      <c r="O129" s="46" t="n"/>
    </row>
    <row r="130" ht="20" customHeight="1">
      <c r="A130" s="31" t="inlineStr">
        <is>
          <t>CONTINGÊNCIA PREVISTA NO ORÇAMENTO  →</t>
        </is>
      </c>
      <c r="B130" s="32" t="n"/>
      <c r="C130" s="92" t="n"/>
      <c r="D130" s="60">
        <f>ROUND(SUM($E$118:$E$129),2)</f>
        <v/>
      </c>
      <c r="E130" s="60">
        <f>ROUND($D$130-IF($C$130="",0,$C$130),2)</f>
        <v/>
      </c>
      <c r="F130" s="32" t="n"/>
      <c r="G130" s="62">
        <f>IF(OR($A$13="",$A$13=0),"",$D$130/$A$13)</f>
        <v/>
      </c>
      <c r="H130" s="93" t="inlineStr">
        <is>
          <t>orçado = a contingência prevista · realizado = a soma acima</t>
        </is>
      </c>
      <c r="I130" s="32" t="n"/>
      <c r="J130" s="32" t="n"/>
      <c r="K130" s="32" t="n"/>
      <c r="L130" s="32" t="n"/>
      <c r="M130" s="32" t="n"/>
      <c r="N130" s="32" t="n"/>
      <c r="O130" s="32" t="n"/>
    </row>
    <row r="131" ht="8" customHeight="1"/>
    <row r="132" ht="20" customHeight="1">
      <c r="A132" s="8" t="inlineStr">
        <is>
          <t xml:space="preserve">  8 · LIVRO DE COMPRAS E DESPESAS DO PROJETO          uma linha por compra, na ordem em que acontecer · pode inserir linhas à vontade aqui</t>
        </is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</row>
    <row r="133" ht="28" customHeight="1">
      <c r="A133" s="19" t="inlineStr">
        <is>
          <t>Descrição / fornecedor</t>
        </is>
      </c>
      <c r="B133" s="19" t="inlineStr">
        <is>
          <t>Categoria</t>
        </is>
      </c>
      <c r="C133" s="35" t="n"/>
      <c r="D133" s="19" t="inlineStr">
        <is>
          <t>Data</t>
        </is>
      </c>
      <c r="E133" s="19" t="inlineStr">
        <is>
          <t>Valor (R$)</t>
        </is>
      </c>
      <c r="F133" s="35" t="n"/>
      <c r="G133" s="19" t="inlineStr">
        <is>
          <t>Forma de pagamento</t>
        </is>
      </c>
      <c r="H133" s="35" t="n"/>
      <c r="I133" s="19" t="inlineStr">
        <is>
          <t>Status</t>
        </is>
      </c>
      <c r="J133" s="35" t="n"/>
      <c r="K133" s="35" t="n"/>
      <c r="L133" s="35" t="n"/>
      <c r="M133" s="35" t="n"/>
      <c r="N133" s="35" t="n"/>
      <c r="O133" s="35" t="n"/>
    </row>
    <row r="134" ht="17" customHeight="1">
      <c r="A134" s="83" t="n"/>
      <c r="B134" s="94" t="n"/>
      <c r="C134" s="46" t="n"/>
      <c r="D134" s="75" t="n"/>
      <c r="E134" s="95" t="n"/>
      <c r="F134" s="46" t="n"/>
      <c r="G134" s="96" t="n"/>
      <c r="H134" s="46" t="n"/>
      <c r="I134" s="97" t="n"/>
      <c r="J134" s="46" t="n"/>
      <c r="K134" s="46" t="n"/>
      <c r="L134" s="46" t="n"/>
      <c r="M134" s="46" t="n"/>
      <c r="N134" s="46" t="n"/>
      <c r="O134" s="46" t="n"/>
    </row>
    <row r="135" ht="17" customHeight="1">
      <c r="A135" s="83" t="n"/>
      <c r="B135" s="94" t="n"/>
      <c r="C135" s="46" t="n"/>
      <c r="D135" s="75" t="n"/>
      <c r="E135" s="95" t="n"/>
      <c r="F135" s="46" t="n"/>
      <c r="G135" s="96" t="n"/>
      <c r="H135" s="46" t="n"/>
      <c r="I135" s="97" t="n"/>
      <c r="J135" s="46" t="n"/>
      <c r="K135" s="46" t="n"/>
      <c r="L135" s="46" t="n"/>
      <c r="M135" s="46" t="n"/>
      <c r="N135" s="46" t="n"/>
      <c r="O135" s="46" t="n"/>
    </row>
    <row r="136" ht="17" customHeight="1">
      <c r="A136" s="83" t="n"/>
      <c r="B136" s="94" t="n"/>
      <c r="C136" s="46" t="n"/>
      <c r="D136" s="75" t="n"/>
      <c r="E136" s="95" t="n"/>
      <c r="F136" s="46" t="n"/>
      <c r="G136" s="96" t="n"/>
      <c r="H136" s="46" t="n"/>
      <c r="I136" s="97" t="n"/>
      <c r="J136" s="46" t="n"/>
      <c r="K136" s="46" t="n"/>
      <c r="L136" s="46" t="n"/>
      <c r="M136" s="46" t="n"/>
      <c r="N136" s="46" t="n"/>
      <c r="O136" s="46" t="n"/>
    </row>
    <row r="137" ht="17" customHeight="1">
      <c r="A137" s="83" t="n"/>
      <c r="B137" s="94" t="n"/>
      <c r="C137" s="46" t="n"/>
      <c r="D137" s="75" t="n"/>
      <c r="E137" s="95" t="n"/>
      <c r="F137" s="46" t="n"/>
      <c r="G137" s="96" t="n"/>
      <c r="H137" s="46" t="n"/>
      <c r="I137" s="97" t="n"/>
      <c r="J137" s="46" t="n"/>
      <c r="K137" s="46" t="n"/>
      <c r="L137" s="46" t="n"/>
      <c r="M137" s="46" t="n"/>
      <c r="N137" s="46" t="n"/>
      <c r="O137" s="46" t="n"/>
    </row>
    <row r="138" ht="17" customHeight="1">
      <c r="A138" s="83" t="n"/>
      <c r="B138" s="94" t="n"/>
      <c r="C138" s="46" t="n"/>
      <c r="D138" s="75" t="n"/>
      <c r="E138" s="95" t="n"/>
      <c r="F138" s="46" t="n"/>
      <c r="G138" s="96" t="n"/>
      <c r="H138" s="46" t="n"/>
      <c r="I138" s="97" t="n"/>
      <c r="J138" s="46" t="n"/>
      <c r="K138" s="46" t="n"/>
      <c r="L138" s="46" t="n"/>
      <c r="M138" s="46" t="n"/>
      <c r="N138" s="46" t="n"/>
      <c r="O138" s="46" t="n"/>
    </row>
    <row r="139" ht="17" customHeight="1">
      <c r="A139" s="83" t="n"/>
      <c r="B139" s="94" t="n"/>
      <c r="C139" s="46" t="n"/>
      <c r="D139" s="75" t="n"/>
      <c r="E139" s="95" t="n"/>
      <c r="F139" s="46" t="n"/>
      <c r="G139" s="96" t="n"/>
      <c r="H139" s="46" t="n"/>
      <c r="I139" s="97" t="n"/>
      <c r="J139" s="46" t="n"/>
      <c r="K139" s="46" t="n"/>
      <c r="L139" s="46" t="n"/>
      <c r="M139" s="46" t="n"/>
      <c r="N139" s="46" t="n"/>
      <c r="O139" s="46" t="n"/>
    </row>
    <row r="140" ht="17" customHeight="1">
      <c r="A140" s="83" t="n"/>
      <c r="B140" s="94" t="n"/>
      <c r="C140" s="46" t="n"/>
      <c r="D140" s="75" t="n"/>
      <c r="E140" s="95" t="n"/>
      <c r="F140" s="46" t="n"/>
      <c r="G140" s="96" t="n"/>
      <c r="H140" s="46" t="n"/>
      <c r="I140" s="97" t="n"/>
      <c r="J140" s="46" t="n"/>
      <c r="K140" s="46" t="n"/>
      <c r="L140" s="46" t="n"/>
      <c r="M140" s="46" t="n"/>
      <c r="N140" s="46" t="n"/>
      <c r="O140" s="46" t="n"/>
    </row>
    <row r="141" ht="17" customHeight="1">
      <c r="A141" s="83" t="n"/>
      <c r="B141" s="94" t="n"/>
      <c r="C141" s="46" t="n"/>
      <c r="D141" s="75" t="n"/>
      <c r="E141" s="95" t="n"/>
      <c r="F141" s="46" t="n"/>
      <c r="G141" s="96" t="n"/>
      <c r="H141" s="46" t="n"/>
      <c r="I141" s="97" t="n"/>
      <c r="J141" s="46" t="n"/>
      <c r="K141" s="46" t="n"/>
      <c r="L141" s="46" t="n"/>
      <c r="M141" s="46" t="n"/>
      <c r="N141" s="46" t="n"/>
      <c r="O141" s="46" t="n"/>
    </row>
    <row r="142" ht="17" customHeight="1">
      <c r="A142" s="83" t="n"/>
      <c r="B142" s="94" t="n"/>
      <c r="C142" s="46" t="n"/>
      <c r="D142" s="75" t="n"/>
      <c r="E142" s="95" t="n"/>
      <c r="F142" s="46" t="n"/>
      <c r="G142" s="96" t="n"/>
      <c r="H142" s="46" t="n"/>
      <c r="I142" s="97" t="n"/>
      <c r="J142" s="46" t="n"/>
      <c r="K142" s="46" t="n"/>
      <c r="L142" s="46" t="n"/>
      <c r="M142" s="46" t="n"/>
      <c r="N142" s="46" t="n"/>
      <c r="O142" s="46" t="n"/>
    </row>
    <row r="143" ht="17" customHeight="1">
      <c r="A143" s="83" t="n"/>
      <c r="B143" s="94" t="n"/>
      <c r="C143" s="46" t="n"/>
      <c r="D143" s="75" t="n"/>
      <c r="E143" s="95" t="n"/>
      <c r="F143" s="46" t="n"/>
      <c r="G143" s="96" t="n"/>
      <c r="H143" s="46" t="n"/>
      <c r="I143" s="97" t="n"/>
      <c r="J143" s="46" t="n"/>
      <c r="K143" s="46" t="n"/>
      <c r="L143" s="46" t="n"/>
      <c r="M143" s="46" t="n"/>
      <c r="N143" s="46" t="n"/>
      <c r="O143" s="46" t="n"/>
    </row>
    <row r="144" ht="17" customHeight="1">
      <c r="A144" s="83" t="n"/>
      <c r="B144" s="94" t="n"/>
      <c r="C144" s="46" t="n"/>
      <c r="D144" s="75" t="n"/>
      <c r="E144" s="95" t="n"/>
      <c r="F144" s="46" t="n"/>
      <c r="G144" s="96" t="n"/>
      <c r="H144" s="46" t="n"/>
      <c r="I144" s="97" t="n"/>
      <c r="J144" s="46" t="n"/>
      <c r="K144" s="46" t="n"/>
      <c r="L144" s="46" t="n"/>
      <c r="M144" s="46" t="n"/>
      <c r="N144" s="46" t="n"/>
      <c r="O144" s="46" t="n"/>
    </row>
    <row r="145" ht="17" customHeight="1">
      <c r="A145" s="83" t="n"/>
      <c r="B145" s="94" t="n"/>
      <c r="C145" s="46" t="n"/>
      <c r="D145" s="75" t="n"/>
      <c r="E145" s="95" t="n"/>
      <c r="F145" s="46" t="n"/>
      <c r="G145" s="96" t="n"/>
      <c r="H145" s="46" t="n"/>
      <c r="I145" s="97" t="n"/>
      <c r="J145" s="46" t="n"/>
      <c r="K145" s="46" t="n"/>
      <c r="L145" s="46" t="n"/>
      <c r="M145" s="46" t="n"/>
      <c r="N145" s="46" t="n"/>
      <c r="O145" s="46" t="n"/>
    </row>
    <row r="146" ht="17" customHeight="1">
      <c r="A146" s="83" t="n"/>
      <c r="B146" s="94" t="n"/>
      <c r="C146" s="46" t="n"/>
      <c r="D146" s="75" t="n"/>
      <c r="E146" s="95" t="n"/>
      <c r="F146" s="46" t="n"/>
      <c r="G146" s="96" t="n"/>
      <c r="H146" s="46" t="n"/>
      <c r="I146" s="97" t="n"/>
      <c r="J146" s="46" t="n"/>
      <c r="K146" s="46" t="n"/>
      <c r="L146" s="46" t="n"/>
      <c r="M146" s="46" t="n"/>
      <c r="N146" s="46" t="n"/>
      <c r="O146" s="46" t="n"/>
    </row>
    <row r="147" ht="17" customHeight="1">
      <c r="A147" s="83" t="n"/>
      <c r="B147" s="94" t="n"/>
      <c r="C147" s="46" t="n"/>
      <c r="D147" s="75" t="n"/>
      <c r="E147" s="95" t="n"/>
      <c r="F147" s="46" t="n"/>
      <c r="G147" s="96" t="n"/>
      <c r="H147" s="46" t="n"/>
      <c r="I147" s="97" t="n"/>
      <c r="J147" s="46" t="n"/>
      <c r="K147" s="46" t="n"/>
      <c r="L147" s="46" t="n"/>
      <c r="M147" s="46" t="n"/>
      <c r="N147" s="46" t="n"/>
      <c r="O147" s="46" t="n"/>
    </row>
    <row r="148" ht="17" customHeight="1">
      <c r="A148" s="83" t="n"/>
      <c r="B148" s="94" t="n"/>
      <c r="C148" s="46" t="n"/>
      <c r="D148" s="75" t="n"/>
      <c r="E148" s="95" t="n"/>
      <c r="F148" s="46" t="n"/>
      <c r="G148" s="96" t="n"/>
      <c r="H148" s="46" t="n"/>
      <c r="I148" s="97" t="n"/>
      <c r="J148" s="46" t="n"/>
      <c r="K148" s="46" t="n"/>
      <c r="L148" s="46" t="n"/>
      <c r="M148" s="46" t="n"/>
      <c r="N148" s="46" t="n"/>
      <c r="O148" s="46" t="n"/>
    </row>
    <row r="149" ht="17" customHeight="1">
      <c r="A149" s="83" t="n"/>
      <c r="B149" s="94" t="n"/>
      <c r="C149" s="46" t="n"/>
      <c r="D149" s="75" t="n"/>
      <c r="E149" s="95" t="n"/>
      <c r="F149" s="46" t="n"/>
      <c r="G149" s="96" t="n"/>
      <c r="H149" s="46" t="n"/>
      <c r="I149" s="97" t="n"/>
      <c r="J149" s="46" t="n"/>
      <c r="K149" s="46" t="n"/>
      <c r="L149" s="46" t="n"/>
      <c r="M149" s="46" t="n"/>
      <c r="N149" s="46" t="n"/>
      <c r="O149" s="46" t="n"/>
    </row>
    <row r="150" ht="17" customHeight="1">
      <c r="A150" s="83" t="n"/>
      <c r="B150" s="94" t="n"/>
      <c r="C150" s="46" t="n"/>
      <c r="D150" s="75" t="n"/>
      <c r="E150" s="95" t="n"/>
      <c r="F150" s="46" t="n"/>
      <c r="G150" s="96" t="n"/>
      <c r="H150" s="46" t="n"/>
      <c r="I150" s="97" t="n"/>
      <c r="J150" s="46" t="n"/>
      <c r="K150" s="46" t="n"/>
      <c r="L150" s="46" t="n"/>
      <c r="M150" s="46" t="n"/>
      <c r="N150" s="46" t="n"/>
      <c r="O150" s="46" t="n"/>
    </row>
    <row r="151" ht="17" customHeight="1">
      <c r="A151" s="83" t="n"/>
      <c r="B151" s="94" t="n"/>
      <c r="C151" s="46" t="n"/>
      <c r="D151" s="75" t="n"/>
      <c r="E151" s="95" t="n"/>
      <c r="F151" s="46" t="n"/>
      <c r="G151" s="96" t="n"/>
      <c r="H151" s="46" t="n"/>
      <c r="I151" s="97" t="n"/>
      <c r="J151" s="46" t="n"/>
      <c r="K151" s="46" t="n"/>
      <c r="L151" s="46" t="n"/>
      <c r="M151" s="46" t="n"/>
      <c r="N151" s="46" t="n"/>
      <c r="O151" s="46" t="n"/>
    </row>
    <row r="152" ht="17" customHeight="1">
      <c r="A152" s="83" t="n"/>
      <c r="B152" s="94" t="n"/>
      <c r="C152" s="46" t="n"/>
      <c r="D152" s="75" t="n"/>
      <c r="E152" s="95" t="n"/>
      <c r="F152" s="46" t="n"/>
      <c r="G152" s="96" t="n"/>
      <c r="H152" s="46" t="n"/>
      <c r="I152" s="97" t="n"/>
      <c r="J152" s="46" t="n"/>
      <c r="K152" s="46" t="n"/>
      <c r="L152" s="46" t="n"/>
      <c r="M152" s="46" t="n"/>
      <c r="N152" s="46" t="n"/>
      <c r="O152" s="46" t="n"/>
    </row>
    <row r="153" ht="17" customHeight="1">
      <c r="A153" s="83" t="n"/>
      <c r="B153" s="94" t="n"/>
      <c r="C153" s="46" t="n"/>
      <c r="D153" s="75" t="n"/>
      <c r="E153" s="95" t="n"/>
      <c r="F153" s="46" t="n"/>
      <c r="G153" s="96" t="n"/>
      <c r="H153" s="46" t="n"/>
      <c r="I153" s="97" t="n"/>
      <c r="J153" s="46" t="n"/>
      <c r="K153" s="46" t="n"/>
      <c r="L153" s="46" t="n"/>
      <c r="M153" s="46" t="n"/>
      <c r="N153" s="46" t="n"/>
      <c r="O153" s="46" t="n"/>
    </row>
    <row r="154" ht="17" customHeight="1">
      <c r="A154" s="83" t="n"/>
      <c r="B154" s="94" t="n"/>
      <c r="C154" s="46" t="n"/>
      <c r="D154" s="75" t="n"/>
      <c r="E154" s="95" t="n"/>
      <c r="F154" s="46" t="n"/>
      <c r="G154" s="96" t="n"/>
      <c r="H154" s="46" t="n"/>
      <c r="I154" s="97" t="n"/>
      <c r="J154" s="46" t="n"/>
      <c r="K154" s="46" t="n"/>
      <c r="L154" s="46" t="n"/>
      <c r="M154" s="46" t="n"/>
      <c r="N154" s="46" t="n"/>
      <c r="O154" s="46" t="n"/>
    </row>
    <row r="155" ht="17" customHeight="1">
      <c r="A155" s="83" t="n"/>
      <c r="B155" s="94" t="n"/>
      <c r="C155" s="46" t="n"/>
      <c r="D155" s="75" t="n"/>
      <c r="E155" s="95" t="n"/>
      <c r="F155" s="46" t="n"/>
      <c r="G155" s="96" t="n"/>
      <c r="H155" s="46" t="n"/>
      <c r="I155" s="97" t="n"/>
      <c r="J155" s="46" t="n"/>
      <c r="K155" s="46" t="n"/>
      <c r="L155" s="46" t="n"/>
      <c r="M155" s="46" t="n"/>
      <c r="N155" s="46" t="n"/>
      <c r="O155" s="46" t="n"/>
    </row>
    <row r="156" ht="17" customHeight="1">
      <c r="A156" s="83" t="n"/>
      <c r="B156" s="94" t="n"/>
      <c r="C156" s="46" t="n"/>
      <c r="D156" s="75" t="n"/>
      <c r="E156" s="95" t="n"/>
      <c r="F156" s="46" t="n"/>
      <c r="G156" s="96" t="n"/>
      <c r="H156" s="46" t="n"/>
      <c r="I156" s="97" t="n"/>
      <c r="J156" s="46" t="n"/>
      <c r="K156" s="46" t="n"/>
      <c r="L156" s="46" t="n"/>
      <c r="M156" s="46" t="n"/>
      <c r="N156" s="46" t="n"/>
      <c r="O156" s="46" t="n"/>
    </row>
    <row r="157" ht="17" customHeight="1">
      <c r="A157" s="83" t="n"/>
      <c r="B157" s="94" t="n"/>
      <c r="C157" s="46" t="n"/>
      <c r="D157" s="75" t="n"/>
      <c r="E157" s="95" t="n"/>
      <c r="F157" s="46" t="n"/>
      <c r="G157" s="96" t="n"/>
      <c r="H157" s="46" t="n"/>
      <c r="I157" s="97" t="n"/>
      <c r="J157" s="46" t="n"/>
      <c r="K157" s="46" t="n"/>
      <c r="L157" s="46" t="n"/>
      <c r="M157" s="46" t="n"/>
      <c r="N157" s="46" t="n"/>
      <c r="O157" s="46" t="n"/>
    </row>
    <row r="158" ht="17" customHeight="1">
      <c r="A158" s="83" t="n"/>
      <c r="B158" s="94" t="n"/>
      <c r="C158" s="46" t="n"/>
      <c r="D158" s="75" t="n"/>
      <c r="E158" s="95" t="n"/>
      <c r="F158" s="46" t="n"/>
      <c r="G158" s="96" t="n"/>
      <c r="H158" s="46" t="n"/>
      <c r="I158" s="97" t="n"/>
      <c r="J158" s="46" t="n"/>
      <c r="K158" s="46" t="n"/>
      <c r="L158" s="46" t="n"/>
      <c r="M158" s="46" t="n"/>
      <c r="N158" s="46" t="n"/>
      <c r="O158" s="46" t="n"/>
    </row>
    <row r="159" ht="17" customHeight="1">
      <c r="A159" s="83" t="n"/>
      <c r="B159" s="94" t="n"/>
      <c r="C159" s="46" t="n"/>
      <c r="D159" s="75" t="n"/>
      <c r="E159" s="95" t="n"/>
      <c r="F159" s="46" t="n"/>
      <c r="G159" s="96" t="n"/>
      <c r="H159" s="46" t="n"/>
      <c r="I159" s="97" t="n"/>
      <c r="J159" s="46" t="n"/>
      <c r="K159" s="46" t="n"/>
      <c r="L159" s="46" t="n"/>
      <c r="M159" s="46" t="n"/>
      <c r="N159" s="46" t="n"/>
      <c r="O159" s="46" t="n"/>
    </row>
    <row r="160" ht="17" customHeight="1">
      <c r="A160" s="83" t="n"/>
      <c r="B160" s="94" t="n"/>
      <c r="C160" s="46" t="n"/>
      <c r="D160" s="75" t="n"/>
      <c r="E160" s="95" t="n"/>
      <c r="F160" s="46" t="n"/>
      <c r="G160" s="96" t="n"/>
      <c r="H160" s="46" t="n"/>
      <c r="I160" s="97" t="n"/>
      <c r="J160" s="46" t="n"/>
      <c r="K160" s="46" t="n"/>
      <c r="L160" s="46" t="n"/>
      <c r="M160" s="46" t="n"/>
      <c r="N160" s="46" t="n"/>
      <c r="O160" s="46" t="n"/>
    </row>
    <row r="161" ht="17" customHeight="1">
      <c r="A161" s="83" t="n"/>
      <c r="B161" s="94" t="n"/>
      <c r="C161" s="46" t="n"/>
      <c r="D161" s="75" t="n"/>
      <c r="E161" s="95" t="n"/>
      <c r="F161" s="46" t="n"/>
      <c r="G161" s="96" t="n"/>
      <c r="H161" s="46" t="n"/>
      <c r="I161" s="97" t="n"/>
      <c r="J161" s="46" t="n"/>
      <c r="K161" s="46" t="n"/>
      <c r="L161" s="46" t="n"/>
      <c r="M161" s="46" t="n"/>
      <c r="N161" s="46" t="n"/>
      <c r="O161" s="46" t="n"/>
    </row>
    <row r="162" ht="17" customHeight="1">
      <c r="A162" s="83" t="n"/>
      <c r="B162" s="94" t="n"/>
      <c r="C162" s="46" t="n"/>
      <c r="D162" s="75" t="n"/>
      <c r="E162" s="95" t="n"/>
      <c r="F162" s="46" t="n"/>
      <c r="G162" s="96" t="n"/>
      <c r="H162" s="46" t="n"/>
      <c r="I162" s="97" t="n"/>
      <c r="J162" s="46" t="n"/>
      <c r="K162" s="46" t="n"/>
      <c r="L162" s="46" t="n"/>
      <c r="M162" s="46" t="n"/>
      <c r="N162" s="46" t="n"/>
      <c r="O162" s="46" t="n"/>
    </row>
    <row r="163" ht="17" customHeight="1">
      <c r="A163" s="83" t="n"/>
      <c r="B163" s="94" t="n"/>
      <c r="C163" s="46" t="n"/>
      <c r="D163" s="75" t="n"/>
      <c r="E163" s="95" t="n"/>
      <c r="F163" s="46" t="n"/>
      <c r="G163" s="96" t="n"/>
      <c r="H163" s="46" t="n"/>
      <c r="I163" s="97" t="n"/>
      <c r="J163" s="46" t="n"/>
      <c r="K163" s="46" t="n"/>
      <c r="L163" s="46" t="n"/>
      <c r="M163" s="46" t="n"/>
      <c r="N163" s="46" t="n"/>
      <c r="O163" s="46" t="n"/>
    </row>
    <row r="164" ht="17" customHeight="1">
      <c r="A164" s="83" t="n"/>
      <c r="B164" s="94" t="n"/>
      <c r="C164" s="46" t="n"/>
      <c r="D164" s="75" t="n"/>
      <c r="E164" s="95" t="n"/>
      <c r="F164" s="46" t="n"/>
      <c r="G164" s="96" t="n"/>
      <c r="H164" s="46" t="n"/>
      <c r="I164" s="97" t="n"/>
      <c r="J164" s="46" t="n"/>
      <c r="K164" s="46" t="n"/>
      <c r="L164" s="46" t="n"/>
      <c r="M164" s="46" t="n"/>
      <c r="N164" s="46" t="n"/>
      <c r="O164" s="46" t="n"/>
    </row>
    <row r="165" ht="17" customHeight="1">
      <c r="A165" s="83" t="n"/>
      <c r="B165" s="94" t="n"/>
      <c r="C165" s="46" t="n"/>
      <c r="D165" s="75" t="n"/>
      <c r="E165" s="95" t="n"/>
      <c r="F165" s="46" t="n"/>
      <c r="G165" s="96" t="n"/>
      <c r="H165" s="46" t="n"/>
      <c r="I165" s="97" t="n"/>
      <c r="J165" s="46" t="n"/>
      <c r="K165" s="46" t="n"/>
      <c r="L165" s="46" t="n"/>
      <c r="M165" s="46" t="n"/>
      <c r="N165" s="46" t="n"/>
      <c r="O165" s="46" t="n"/>
    </row>
    <row r="166" ht="17" customHeight="1">
      <c r="A166" s="83" t="n"/>
      <c r="B166" s="94" t="n"/>
      <c r="C166" s="46" t="n"/>
      <c r="D166" s="75" t="n"/>
      <c r="E166" s="95" t="n"/>
      <c r="F166" s="46" t="n"/>
      <c r="G166" s="96" t="n"/>
      <c r="H166" s="46" t="n"/>
      <c r="I166" s="97" t="n"/>
      <c r="J166" s="46" t="n"/>
      <c r="K166" s="46" t="n"/>
      <c r="L166" s="46" t="n"/>
      <c r="M166" s="46" t="n"/>
      <c r="N166" s="46" t="n"/>
      <c r="O166" s="46" t="n"/>
    </row>
    <row r="167" ht="17" customHeight="1">
      <c r="A167" s="83" t="n"/>
      <c r="B167" s="94" t="n"/>
      <c r="C167" s="46" t="n"/>
      <c r="D167" s="75" t="n"/>
      <c r="E167" s="95" t="n"/>
      <c r="F167" s="46" t="n"/>
      <c r="G167" s="96" t="n"/>
      <c r="H167" s="46" t="n"/>
      <c r="I167" s="97" t="n"/>
      <c r="J167" s="46" t="n"/>
      <c r="K167" s="46" t="n"/>
      <c r="L167" s="46" t="n"/>
      <c r="M167" s="46" t="n"/>
      <c r="N167" s="46" t="n"/>
      <c r="O167" s="46" t="n"/>
    </row>
    <row r="168" ht="17" customHeight="1">
      <c r="A168" s="83" t="n"/>
      <c r="B168" s="94" t="n"/>
      <c r="C168" s="46" t="n"/>
      <c r="D168" s="75" t="n"/>
      <c r="E168" s="95" t="n"/>
      <c r="F168" s="46" t="n"/>
      <c r="G168" s="96" t="n"/>
      <c r="H168" s="46" t="n"/>
      <c r="I168" s="97" t="n"/>
      <c r="J168" s="46" t="n"/>
      <c r="K168" s="46" t="n"/>
      <c r="L168" s="46" t="n"/>
      <c r="M168" s="46" t="n"/>
      <c r="N168" s="46" t="n"/>
      <c r="O168" s="46" t="n"/>
    </row>
    <row r="169" ht="17" customHeight="1">
      <c r="A169" s="83" t="n"/>
      <c r="B169" s="94" t="n"/>
      <c r="C169" s="46" t="n"/>
      <c r="D169" s="75" t="n"/>
      <c r="E169" s="95" t="n"/>
      <c r="F169" s="46" t="n"/>
      <c r="G169" s="96" t="n"/>
      <c r="H169" s="46" t="n"/>
      <c r="I169" s="97" t="n"/>
      <c r="J169" s="46" t="n"/>
      <c r="K169" s="46" t="n"/>
      <c r="L169" s="46" t="n"/>
      <c r="M169" s="46" t="n"/>
      <c r="N169" s="46" t="n"/>
      <c r="O169" s="46" t="n"/>
    </row>
    <row r="170" ht="17" customHeight="1">
      <c r="A170" s="83" t="n"/>
      <c r="B170" s="94" t="n"/>
      <c r="C170" s="46" t="n"/>
      <c r="D170" s="75" t="n"/>
      <c r="E170" s="95" t="n"/>
      <c r="F170" s="46" t="n"/>
      <c r="G170" s="96" t="n"/>
      <c r="H170" s="46" t="n"/>
      <c r="I170" s="97" t="n"/>
      <c r="J170" s="46" t="n"/>
      <c r="K170" s="46" t="n"/>
      <c r="L170" s="46" t="n"/>
      <c r="M170" s="46" t="n"/>
      <c r="N170" s="46" t="n"/>
      <c r="O170" s="46" t="n"/>
    </row>
    <row r="171" ht="17" customHeight="1">
      <c r="A171" s="83" t="n"/>
      <c r="B171" s="94" t="n"/>
      <c r="C171" s="46" t="n"/>
      <c r="D171" s="75" t="n"/>
      <c r="E171" s="95" t="n"/>
      <c r="F171" s="46" t="n"/>
      <c r="G171" s="96" t="n"/>
      <c r="H171" s="46" t="n"/>
      <c r="I171" s="97" t="n"/>
      <c r="J171" s="46" t="n"/>
      <c r="K171" s="46" t="n"/>
      <c r="L171" s="46" t="n"/>
      <c r="M171" s="46" t="n"/>
      <c r="N171" s="46" t="n"/>
      <c r="O171" s="46" t="n"/>
    </row>
    <row r="172" ht="17" customHeight="1">
      <c r="A172" s="83" t="n"/>
      <c r="B172" s="94" t="n"/>
      <c r="C172" s="46" t="n"/>
      <c r="D172" s="75" t="n"/>
      <c r="E172" s="95" t="n"/>
      <c r="F172" s="46" t="n"/>
      <c r="G172" s="96" t="n"/>
      <c r="H172" s="46" t="n"/>
      <c r="I172" s="97" t="n"/>
      <c r="J172" s="46" t="n"/>
      <c r="K172" s="46" t="n"/>
      <c r="L172" s="46" t="n"/>
      <c r="M172" s="46" t="n"/>
      <c r="N172" s="46" t="n"/>
      <c r="O172" s="46" t="n"/>
    </row>
    <row r="173" ht="17" customHeight="1">
      <c r="A173" s="83" t="n"/>
      <c r="B173" s="94" t="n"/>
      <c r="C173" s="46" t="n"/>
      <c r="D173" s="75" t="n"/>
      <c r="E173" s="95" t="n"/>
      <c r="F173" s="46" t="n"/>
      <c r="G173" s="96" t="n"/>
      <c r="H173" s="46" t="n"/>
      <c r="I173" s="97" t="n"/>
      <c r="J173" s="46" t="n"/>
      <c r="K173" s="46" t="n"/>
      <c r="L173" s="46" t="n"/>
      <c r="M173" s="46" t="n"/>
      <c r="N173" s="46" t="n"/>
      <c r="O173" s="46" t="n"/>
    </row>
    <row r="174" ht="17" customHeight="1">
      <c r="A174" s="83" t="n"/>
      <c r="B174" s="94" t="n"/>
      <c r="C174" s="46" t="n"/>
      <c r="D174" s="75" t="n"/>
      <c r="E174" s="95" t="n"/>
      <c r="F174" s="46" t="n"/>
      <c r="G174" s="96" t="n"/>
      <c r="H174" s="46" t="n"/>
      <c r="I174" s="97" t="n"/>
      <c r="J174" s="46" t="n"/>
      <c r="K174" s="46" t="n"/>
      <c r="L174" s="46" t="n"/>
      <c r="M174" s="46" t="n"/>
      <c r="N174" s="46" t="n"/>
      <c r="O174" s="46" t="n"/>
    </row>
    <row r="175" ht="17" customHeight="1">
      <c r="A175" s="83" t="n"/>
      <c r="B175" s="94" t="n"/>
      <c r="C175" s="46" t="n"/>
      <c r="D175" s="75" t="n"/>
      <c r="E175" s="95" t="n"/>
      <c r="F175" s="46" t="n"/>
      <c r="G175" s="96" t="n"/>
      <c r="H175" s="46" t="n"/>
      <c r="I175" s="97" t="n"/>
      <c r="J175" s="46" t="n"/>
      <c r="K175" s="46" t="n"/>
      <c r="L175" s="46" t="n"/>
      <c r="M175" s="46" t="n"/>
      <c r="N175" s="46" t="n"/>
      <c r="O175" s="46" t="n"/>
    </row>
    <row r="176" ht="17" customHeight="1">
      <c r="A176" s="83" t="n"/>
      <c r="B176" s="94" t="n"/>
      <c r="C176" s="46" t="n"/>
      <c r="D176" s="75" t="n"/>
      <c r="E176" s="95" t="n"/>
      <c r="F176" s="46" t="n"/>
      <c r="G176" s="96" t="n"/>
      <c r="H176" s="46" t="n"/>
      <c r="I176" s="97" t="n"/>
      <c r="J176" s="46" t="n"/>
      <c r="K176" s="46" t="n"/>
      <c r="L176" s="46" t="n"/>
      <c r="M176" s="46" t="n"/>
      <c r="N176" s="46" t="n"/>
      <c r="O176" s="46" t="n"/>
    </row>
    <row r="177" ht="17" customHeight="1">
      <c r="A177" s="83" t="n"/>
      <c r="B177" s="94" t="n"/>
      <c r="C177" s="46" t="n"/>
      <c r="D177" s="75" t="n"/>
      <c r="E177" s="95" t="n"/>
      <c r="F177" s="46" t="n"/>
      <c r="G177" s="96" t="n"/>
      <c r="H177" s="46" t="n"/>
      <c r="I177" s="97" t="n"/>
      <c r="J177" s="46" t="n"/>
      <c r="K177" s="46" t="n"/>
      <c r="L177" s="46" t="n"/>
      <c r="M177" s="46" t="n"/>
      <c r="N177" s="46" t="n"/>
      <c r="O177" s="46" t="n"/>
    </row>
    <row r="178" ht="17" customHeight="1">
      <c r="A178" s="83" t="n"/>
      <c r="B178" s="94" t="n"/>
      <c r="C178" s="46" t="n"/>
      <c r="D178" s="75" t="n"/>
      <c r="E178" s="95" t="n"/>
      <c r="F178" s="46" t="n"/>
      <c r="G178" s="96" t="n"/>
      <c r="H178" s="46" t="n"/>
      <c r="I178" s="97" t="n"/>
      <c r="J178" s="46" t="n"/>
      <c r="K178" s="46" t="n"/>
      <c r="L178" s="46" t="n"/>
      <c r="M178" s="46" t="n"/>
      <c r="N178" s="46" t="n"/>
      <c r="O178" s="46" t="n"/>
    </row>
    <row r="179" ht="17" customHeight="1">
      <c r="A179" s="83" t="n"/>
      <c r="B179" s="94" t="n"/>
      <c r="C179" s="46" t="n"/>
      <c r="D179" s="75" t="n"/>
      <c r="E179" s="95" t="n"/>
      <c r="F179" s="46" t="n"/>
      <c r="G179" s="96" t="n"/>
      <c r="H179" s="46" t="n"/>
      <c r="I179" s="97" t="n"/>
      <c r="J179" s="46" t="n"/>
      <c r="K179" s="46" t="n"/>
      <c r="L179" s="46" t="n"/>
      <c r="M179" s="46" t="n"/>
      <c r="N179" s="46" t="n"/>
      <c r="O179" s="46" t="n"/>
    </row>
    <row r="180" ht="17" customHeight="1">
      <c r="A180" s="83" t="n"/>
      <c r="B180" s="94" t="n"/>
      <c r="C180" s="46" t="n"/>
      <c r="D180" s="75" t="n"/>
      <c r="E180" s="95" t="n"/>
      <c r="F180" s="46" t="n"/>
      <c r="G180" s="96" t="n"/>
      <c r="H180" s="46" t="n"/>
      <c r="I180" s="97" t="n"/>
      <c r="J180" s="46" t="n"/>
      <c r="K180" s="46" t="n"/>
      <c r="L180" s="46" t="n"/>
      <c r="M180" s="46" t="n"/>
      <c r="N180" s="46" t="n"/>
      <c r="O180" s="46" t="n"/>
    </row>
    <row r="181" ht="17" customHeight="1">
      <c r="A181" s="83" t="n"/>
      <c r="B181" s="94" t="n"/>
      <c r="C181" s="46" t="n"/>
      <c r="D181" s="75" t="n"/>
      <c r="E181" s="95" t="n"/>
      <c r="F181" s="46" t="n"/>
      <c r="G181" s="96" t="n"/>
      <c r="H181" s="46" t="n"/>
      <c r="I181" s="97" t="n"/>
      <c r="J181" s="46" t="n"/>
      <c r="K181" s="46" t="n"/>
      <c r="L181" s="46" t="n"/>
      <c r="M181" s="46" t="n"/>
      <c r="N181" s="46" t="n"/>
      <c r="O181" s="46" t="n"/>
    </row>
    <row r="182" ht="17" customHeight="1">
      <c r="A182" s="83" t="n"/>
      <c r="B182" s="94" t="n"/>
      <c r="C182" s="46" t="n"/>
      <c r="D182" s="75" t="n"/>
      <c r="E182" s="95" t="n"/>
      <c r="F182" s="46" t="n"/>
      <c r="G182" s="96" t="n"/>
      <c r="H182" s="46" t="n"/>
      <c r="I182" s="97" t="n"/>
      <c r="J182" s="46" t="n"/>
      <c r="K182" s="46" t="n"/>
      <c r="L182" s="46" t="n"/>
      <c r="M182" s="46" t="n"/>
      <c r="N182" s="46" t="n"/>
      <c r="O182" s="46" t="n"/>
    </row>
    <row r="183" ht="17" customHeight="1">
      <c r="A183" s="83" t="n"/>
      <c r="B183" s="94" t="n"/>
      <c r="C183" s="46" t="n"/>
      <c r="D183" s="75" t="n"/>
      <c r="E183" s="95" t="n"/>
      <c r="F183" s="46" t="n"/>
      <c r="G183" s="96" t="n"/>
      <c r="H183" s="46" t="n"/>
      <c r="I183" s="97" t="n"/>
      <c r="J183" s="46" t="n"/>
      <c r="K183" s="46" t="n"/>
      <c r="L183" s="46" t="n"/>
      <c r="M183" s="46" t="n"/>
      <c r="N183" s="46" t="n"/>
      <c r="O183" s="46" t="n"/>
    </row>
    <row r="184" ht="17" customHeight="1">
      <c r="A184" s="83" t="n"/>
      <c r="B184" s="94" t="n"/>
      <c r="C184" s="46" t="n"/>
      <c r="D184" s="75" t="n"/>
      <c r="E184" s="95" t="n"/>
      <c r="F184" s="46" t="n"/>
      <c r="G184" s="96" t="n"/>
      <c r="H184" s="46" t="n"/>
      <c r="I184" s="97" t="n"/>
      <c r="J184" s="46" t="n"/>
      <c r="K184" s="46" t="n"/>
      <c r="L184" s="46" t="n"/>
      <c r="M184" s="46" t="n"/>
      <c r="N184" s="46" t="n"/>
      <c r="O184" s="46" t="n"/>
    </row>
    <row r="185" ht="17" customHeight="1">
      <c r="A185" s="83" t="n"/>
      <c r="B185" s="94" t="n"/>
      <c r="C185" s="46" t="n"/>
      <c r="D185" s="75" t="n"/>
      <c r="E185" s="95" t="n"/>
      <c r="F185" s="46" t="n"/>
      <c r="G185" s="96" t="n"/>
      <c r="H185" s="46" t="n"/>
      <c r="I185" s="97" t="n"/>
      <c r="J185" s="46" t="n"/>
      <c r="K185" s="46" t="n"/>
      <c r="L185" s="46" t="n"/>
      <c r="M185" s="46" t="n"/>
      <c r="N185" s="46" t="n"/>
      <c r="O185" s="46" t="n"/>
    </row>
    <row r="186" ht="17" customHeight="1">
      <c r="A186" s="83" t="n"/>
      <c r="B186" s="94" t="n"/>
      <c r="C186" s="46" t="n"/>
      <c r="D186" s="75" t="n"/>
      <c r="E186" s="95" t="n"/>
      <c r="F186" s="46" t="n"/>
      <c r="G186" s="96" t="n"/>
      <c r="H186" s="46" t="n"/>
      <c r="I186" s="97" t="n"/>
      <c r="J186" s="46" t="n"/>
      <c r="K186" s="46" t="n"/>
      <c r="L186" s="46" t="n"/>
      <c r="M186" s="46" t="n"/>
      <c r="N186" s="46" t="n"/>
      <c r="O186" s="46" t="n"/>
    </row>
    <row r="187" ht="17" customHeight="1">
      <c r="A187" s="83" t="n"/>
      <c r="B187" s="94" t="n"/>
      <c r="C187" s="46" t="n"/>
      <c r="D187" s="75" t="n"/>
      <c r="E187" s="95" t="n"/>
      <c r="F187" s="46" t="n"/>
      <c r="G187" s="96" t="n"/>
      <c r="H187" s="46" t="n"/>
      <c r="I187" s="97" t="n"/>
      <c r="J187" s="46" t="n"/>
      <c r="K187" s="46" t="n"/>
      <c r="L187" s="46" t="n"/>
      <c r="M187" s="46" t="n"/>
      <c r="N187" s="46" t="n"/>
      <c r="O187" s="46" t="n"/>
    </row>
    <row r="188" ht="17" customHeight="1">
      <c r="A188" s="83" t="n"/>
      <c r="B188" s="94" t="n"/>
      <c r="C188" s="46" t="n"/>
      <c r="D188" s="75" t="n"/>
      <c r="E188" s="95" t="n"/>
      <c r="F188" s="46" t="n"/>
      <c r="G188" s="96" t="n"/>
      <c r="H188" s="46" t="n"/>
      <c r="I188" s="97" t="n"/>
      <c r="J188" s="46" t="n"/>
      <c r="K188" s="46" t="n"/>
      <c r="L188" s="46" t="n"/>
      <c r="M188" s="46" t="n"/>
      <c r="N188" s="46" t="n"/>
      <c r="O188" s="46" t="n"/>
    </row>
    <row r="189" ht="17" customHeight="1">
      <c r="A189" s="83" t="n"/>
      <c r="B189" s="94" t="n"/>
      <c r="C189" s="46" t="n"/>
      <c r="D189" s="75" t="n"/>
      <c r="E189" s="95" t="n"/>
      <c r="F189" s="46" t="n"/>
      <c r="G189" s="96" t="n"/>
      <c r="H189" s="46" t="n"/>
      <c r="I189" s="97" t="n"/>
      <c r="J189" s="46" t="n"/>
      <c r="K189" s="46" t="n"/>
      <c r="L189" s="46" t="n"/>
      <c r="M189" s="46" t="n"/>
      <c r="N189" s="46" t="n"/>
      <c r="O189" s="46" t="n"/>
    </row>
    <row r="190" ht="17" customHeight="1">
      <c r="A190" s="83" t="n"/>
      <c r="B190" s="94" t="n"/>
      <c r="C190" s="46" t="n"/>
      <c r="D190" s="75" t="n"/>
      <c r="E190" s="95" t="n"/>
      <c r="F190" s="46" t="n"/>
      <c r="G190" s="96" t="n"/>
      <c r="H190" s="46" t="n"/>
      <c r="I190" s="97" t="n"/>
      <c r="J190" s="46" t="n"/>
      <c r="K190" s="46" t="n"/>
      <c r="L190" s="46" t="n"/>
      <c r="M190" s="46" t="n"/>
      <c r="N190" s="46" t="n"/>
      <c r="O190" s="46" t="n"/>
    </row>
    <row r="191" ht="17" customHeight="1">
      <c r="A191" s="83" t="n"/>
      <c r="B191" s="94" t="n"/>
      <c r="C191" s="46" t="n"/>
      <c r="D191" s="75" t="n"/>
      <c r="E191" s="95" t="n"/>
      <c r="F191" s="46" t="n"/>
      <c r="G191" s="96" t="n"/>
      <c r="H191" s="46" t="n"/>
      <c r="I191" s="97" t="n"/>
      <c r="J191" s="46" t="n"/>
      <c r="K191" s="46" t="n"/>
      <c r="L191" s="46" t="n"/>
      <c r="M191" s="46" t="n"/>
      <c r="N191" s="46" t="n"/>
      <c r="O191" s="46" t="n"/>
    </row>
    <row r="192" ht="17" customHeight="1">
      <c r="A192" s="83" t="n"/>
      <c r="B192" s="94" t="n"/>
      <c r="C192" s="46" t="n"/>
      <c r="D192" s="75" t="n"/>
      <c r="E192" s="95" t="n"/>
      <c r="F192" s="46" t="n"/>
      <c r="G192" s="96" t="n"/>
      <c r="H192" s="46" t="n"/>
      <c r="I192" s="97" t="n"/>
      <c r="J192" s="46" t="n"/>
      <c r="K192" s="46" t="n"/>
      <c r="L192" s="46" t="n"/>
      <c r="M192" s="46" t="n"/>
      <c r="N192" s="46" t="n"/>
      <c r="O192" s="46" t="n"/>
    </row>
    <row r="193" ht="17" customHeight="1">
      <c r="A193" s="83" t="n"/>
      <c r="B193" s="94" t="n"/>
      <c r="C193" s="46" t="n"/>
      <c r="D193" s="75" t="n"/>
      <c r="E193" s="95" t="n"/>
      <c r="F193" s="46" t="n"/>
      <c r="G193" s="96" t="n"/>
      <c r="H193" s="46" t="n"/>
      <c r="I193" s="97" t="n"/>
      <c r="J193" s="46" t="n"/>
      <c r="K193" s="46" t="n"/>
      <c r="L193" s="46" t="n"/>
      <c r="M193" s="46" t="n"/>
      <c r="N193" s="46" t="n"/>
      <c r="O193" s="46" t="n"/>
    </row>
    <row r="194" ht="22" customHeight="1">
      <c r="A194" s="31" t="inlineStr">
        <is>
          <t>TOTAL LANÇADO NO LIVRO</t>
        </is>
      </c>
      <c r="B194" s="32" t="n"/>
      <c r="C194" s="32" t="n"/>
      <c r="D194" s="32" t="n"/>
      <c r="E194" s="59">
        <f>ROUND(SUM($E$134:$E$193),2)</f>
        <v/>
      </c>
      <c r="F194" s="32" t="n"/>
      <c r="G194" s="98">
        <f>IF(COUNTA($B$134:$B$193)=COUNT($E$134:$E$193),"lançamentos: "&amp;COUNT($E$134:$E$193)&amp;" · todos classificados","ATENÇÃO: "&amp;(COUNT($E$134:$E$193)-COUNTA($B$134:$B$193))&amp;" lançamento(s) sem categoria")</f>
        <v/>
      </c>
      <c r="H194" s="32" t="n"/>
      <c r="I194" s="32" t="n"/>
      <c r="J194" s="32" t="n"/>
      <c r="K194" s="32" t="n"/>
      <c r="L194" s="32" t="n"/>
      <c r="M194" s="32" t="n"/>
      <c r="N194" s="32" t="n"/>
      <c r="O194" s="32" t="n"/>
    </row>
    <row r="196" ht="50" customHeight="1">
      <c r="A196" s="43" t="inlineStr">
        <is>
          <t xml:space="preserve">  Preencha primeiro a coluna ORÇADO com o que o orçamento previu e vá preenchendo o REALIZADO conforme o projeto anda — o desvio de cada linha é o que mostra onde o orçamento erra. Compras entram uma a uma no livro do bloco 8, com categoria, forma de pagamento e status; as categorias do bloco 6 se somam sozinhas. Você pode inserir linhas em qualquer bloco a partir da linha 26: tudo o que o Painel Geral lê está acima disso.</t>
        </is>
      </c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</row>
  </sheetData>
  <mergeCells count="561">
    <mergeCell ref="A196:O196"/>
    <mergeCell ref="I170:O170"/>
    <mergeCell ref="A15:B15"/>
    <mergeCell ref="I157:O157"/>
    <mergeCell ref="G128:O128"/>
    <mergeCell ref="B141:C141"/>
    <mergeCell ref="E142:F142"/>
    <mergeCell ref="I193:O193"/>
    <mergeCell ref="I172:O172"/>
    <mergeCell ref="H9:I9"/>
    <mergeCell ref="J76:M76"/>
    <mergeCell ref="G121:O121"/>
    <mergeCell ref="E171:F171"/>
    <mergeCell ref="G123:O123"/>
    <mergeCell ref="E137:F137"/>
    <mergeCell ref="G137:H137"/>
    <mergeCell ref="E173:F173"/>
    <mergeCell ref="H70:O70"/>
    <mergeCell ref="E148:F148"/>
    <mergeCell ref="G148:H148"/>
    <mergeCell ref="B78:C78"/>
    <mergeCell ref="D7:E7"/>
    <mergeCell ref="I183:O183"/>
    <mergeCell ref="D78:E78"/>
    <mergeCell ref="E166:F166"/>
    <mergeCell ref="G139:H139"/>
    <mergeCell ref="I175:O175"/>
    <mergeCell ref="H99:O99"/>
    <mergeCell ref="A34:C34"/>
    <mergeCell ref="I185:O185"/>
    <mergeCell ref="E168:F168"/>
    <mergeCell ref="G168:H168"/>
    <mergeCell ref="H87:I87"/>
    <mergeCell ref="H101:O101"/>
    <mergeCell ref="G143:H143"/>
    <mergeCell ref="D73:E73"/>
    <mergeCell ref="I176:O176"/>
    <mergeCell ref="J9:O9"/>
    <mergeCell ref="B154:C154"/>
    <mergeCell ref="H91:I91"/>
    <mergeCell ref="E117:F117"/>
    <mergeCell ref="A24:H24"/>
    <mergeCell ref="B156:C156"/>
    <mergeCell ref="E67:F67"/>
    <mergeCell ref="A103:B103"/>
    <mergeCell ref="H112:O112"/>
    <mergeCell ref="I138:O138"/>
    <mergeCell ref="I178:O178"/>
    <mergeCell ref="H114:O114"/>
    <mergeCell ref="E161:F161"/>
    <mergeCell ref="J73:M73"/>
    <mergeCell ref="G129:O129"/>
    <mergeCell ref="A72:O72"/>
    <mergeCell ref="J77:M77"/>
    <mergeCell ref="H75:I75"/>
    <mergeCell ref="B84:C84"/>
    <mergeCell ref="E110:F110"/>
    <mergeCell ref="H105:O105"/>
    <mergeCell ref="E16:F16"/>
    <mergeCell ref="E187:F187"/>
    <mergeCell ref="G138:H138"/>
    <mergeCell ref="B142:C142"/>
    <mergeCell ref="B80:C80"/>
    <mergeCell ref="E174:F174"/>
    <mergeCell ref="H15:O15"/>
    <mergeCell ref="H107:O107"/>
    <mergeCell ref="G126:O126"/>
    <mergeCell ref="B79:C79"/>
    <mergeCell ref="E18:F18"/>
    <mergeCell ref="D79:E79"/>
    <mergeCell ref="E189:F189"/>
    <mergeCell ref="G140:H140"/>
    <mergeCell ref="B144:C144"/>
    <mergeCell ref="F73:G73"/>
    <mergeCell ref="B81:C81"/>
    <mergeCell ref="D81:E81"/>
    <mergeCell ref="I191:O191"/>
    <mergeCell ref="H102:O102"/>
    <mergeCell ref="E29:F29"/>
    <mergeCell ref="H39:O39"/>
    <mergeCell ref="I192:O192"/>
    <mergeCell ref="E69:F69"/>
    <mergeCell ref="B170:C170"/>
    <mergeCell ref="E31:F31"/>
    <mergeCell ref="E158:F158"/>
    <mergeCell ref="E133:F133"/>
    <mergeCell ref="E108:F108"/>
    <mergeCell ref="G133:H133"/>
    <mergeCell ref="B172:C172"/>
    <mergeCell ref="E95:F95"/>
    <mergeCell ref="H28:O28"/>
    <mergeCell ref="E162:F162"/>
    <mergeCell ref="G135:H135"/>
    <mergeCell ref="B92:C92"/>
    <mergeCell ref="J74:M74"/>
    <mergeCell ref="D92:E92"/>
    <mergeCell ref="I146:O146"/>
    <mergeCell ref="F92:G92"/>
    <mergeCell ref="G153:H153"/>
    <mergeCell ref="A36:O36"/>
    <mergeCell ref="A11:O11"/>
    <mergeCell ref="B76:C76"/>
    <mergeCell ref="I181:O181"/>
    <mergeCell ref="A1:O1"/>
    <mergeCell ref="I12:O12"/>
    <mergeCell ref="E164:F164"/>
    <mergeCell ref="G164:H164"/>
    <mergeCell ref="H23:O23"/>
    <mergeCell ref="B150:C150"/>
    <mergeCell ref="E42:F42"/>
    <mergeCell ref="E17:F17"/>
    <mergeCell ref="E188:F188"/>
    <mergeCell ref="E126:F126"/>
    <mergeCell ref="B152:C152"/>
    <mergeCell ref="E180:F180"/>
    <mergeCell ref="J92:M92"/>
    <mergeCell ref="E19:F19"/>
    <mergeCell ref="E190:F190"/>
    <mergeCell ref="B145:C145"/>
    <mergeCell ref="G190:H190"/>
    <mergeCell ref="G146:H146"/>
    <mergeCell ref="B181:C181"/>
    <mergeCell ref="E182:F182"/>
    <mergeCell ref="A4:O4"/>
    <mergeCell ref="F10:O10"/>
    <mergeCell ref="H110:O110"/>
    <mergeCell ref="B87:C87"/>
    <mergeCell ref="I136:O136"/>
    <mergeCell ref="B147:C147"/>
    <mergeCell ref="D87:E87"/>
    <mergeCell ref="J87:M87"/>
    <mergeCell ref="E179:F179"/>
    <mergeCell ref="J89:M89"/>
    <mergeCell ref="D82:E82"/>
    <mergeCell ref="F82:G82"/>
    <mergeCell ref="G194:O194"/>
    <mergeCell ref="E37:F37"/>
    <mergeCell ref="E159:F159"/>
    <mergeCell ref="E97:F97"/>
    <mergeCell ref="G159:H159"/>
    <mergeCell ref="B163:C163"/>
    <mergeCell ref="H8:I8"/>
    <mergeCell ref="E109:F109"/>
    <mergeCell ref="H30:O30"/>
    <mergeCell ref="E145:F145"/>
    <mergeCell ref="E139:F139"/>
    <mergeCell ref="G161:H161"/>
    <mergeCell ref="B165:C165"/>
    <mergeCell ref="H29:O29"/>
    <mergeCell ref="E111:F111"/>
    <mergeCell ref="G136:H136"/>
    <mergeCell ref="A70:B70"/>
    <mergeCell ref="H44:O44"/>
    <mergeCell ref="H31:O31"/>
    <mergeCell ref="B77:C77"/>
    <mergeCell ref="D6:E6"/>
    <mergeCell ref="D77:E77"/>
    <mergeCell ref="I149:O149"/>
    <mergeCell ref="J82:M82"/>
    <mergeCell ref="H89:I89"/>
    <mergeCell ref="I151:O151"/>
    <mergeCell ref="B191:C191"/>
    <mergeCell ref="B178:C178"/>
    <mergeCell ref="E27:F27"/>
    <mergeCell ref="I144:O144"/>
    <mergeCell ref="E119:F119"/>
    <mergeCell ref="E183:F183"/>
    <mergeCell ref="G183:H183"/>
    <mergeCell ref="A6:C6"/>
    <mergeCell ref="E22:F22"/>
    <mergeCell ref="H42:O42"/>
    <mergeCell ref="E193:F193"/>
    <mergeCell ref="G193:H193"/>
    <mergeCell ref="D88:E88"/>
    <mergeCell ref="G149:H149"/>
    <mergeCell ref="F88:G88"/>
    <mergeCell ref="I177:O177"/>
    <mergeCell ref="G185:H185"/>
    <mergeCell ref="B90:C90"/>
    <mergeCell ref="D90:E90"/>
    <mergeCell ref="E122:F122"/>
    <mergeCell ref="G151:H151"/>
    <mergeCell ref="A45:B45"/>
    <mergeCell ref="G178:H178"/>
    <mergeCell ref="F6:G6"/>
    <mergeCell ref="J90:M90"/>
    <mergeCell ref="F83:G83"/>
    <mergeCell ref="H83:I83"/>
    <mergeCell ref="E38:F38"/>
    <mergeCell ref="A2:O2"/>
    <mergeCell ref="E147:F147"/>
    <mergeCell ref="F85:G85"/>
    <mergeCell ref="H85:I85"/>
    <mergeCell ref="G175:H175"/>
    <mergeCell ref="B179:C179"/>
    <mergeCell ref="E40:F40"/>
    <mergeCell ref="G162:H162"/>
    <mergeCell ref="H108:O108"/>
    <mergeCell ref="B166:C166"/>
    <mergeCell ref="B124:D124"/>
    <mergeCell ref="E186:F186"/>
    <mergeCell ref="G177:H177"/>
    <mergeCell ref="E104:F104"/>
    <mergeCell ref="H45:O45"/>
    <mergeCell ref="B174:C174"/>
    <mergeCell ref="B168:C168"/>
    <mergeCell ref="H32:O32"/>
    <mergeCell ref="B126:D126"/>
    <mergeCell ref="D9:E9"/>
    <mergeCell ref="H80:I80"/>
    <mergeCell ref="F9:G9"/>
    <mergeCell ref="I150:O150"/>
    <mergeCell ref="J83:M83"/>
    <mergeCell ref="I165:O165"/>
    <mergeCell ref="B169:C169"/>
    <mergeCell ref="I152:O152"/>
    <mergeCell ref="E66:F66"/>
    <mergeCell ref="J85:M85"/>
    <mergeCell ref="E130:F130"/>
    <mergeCell ref="E68:F68"/>
    <mergeCell ref="B134:C134"/>
    <mergeCell ref="G155:H155"/>
    <mergeCell ref="E160:F160"/>
    <mergeCell ref="E141:F141"/>
    <mergeCell ref="G118:O118"/>
    <mergeCell ref="E135:F135"/>
    <mergeCell ref="G157:H157"/>
    <mergeCell ref="E107:F107"/>
    <mergeCell ref="H73:I73"/>
    <mergeCell ref="E143:F143"/>
    <mergeCell ref="G172:H172"/>
    <mergeCell ref="G186:H186"/>
    <mergeCell ref="B162:C162"/>
    <mergeCell ref="D91:E91"/>
    <mergeCell ref="G152:H152"/>
    <mergeCell ref="F91:G91"/>
    <mergeCell ref="A21:B21"/>
    <mergeCell ref="I163:O163"/>
    <mergeCell ref="H84:I84"/>
    <mergeCell ref="A23:B23"/>
    <mergeCell ref="B187:C187"/>
    <mergeCell ref="E125:F125"/>
    <mergeCell ref="H86:I86"/>
    <mergeCell ref="E41:F41"/>
    <mergeCell ref="B189:C189"/>
    <mergeCell ref="E112:F112"/>
    <mergeCell ref="B188:C188"/>
    <mergeCell ref="B117:D117"/>
    <mergeCell ref="E43:F43"/>
    <mergeCell ref="J91:M91"/>
    <mergeCell ref="B190:C190"/>
    <mergeCell ref="B119:D119"/>
    <mergeCell ref="A16:B16"/>
    <mergeCell ref="G124:O124"/>
    <mergeCell ref="E138:F138"/>
    <mergeCell ref="A108:B108"/>
    <mergeCell ref="B127:D127"/>
    <mergeCell ref="I168:O168"/>
    <mergeCell ref="A18:B18"/>
    <mergeCell ref="B73:C73"/>
    <mergeCell ref="E167:F167"/>
    <mergeCell ref="H100:O100"/>
    <mergeCell ref="H7:I7"/>
    <mergeCell ref="G119:O119"/>
    <mergeCell ref="B137:C137"/>
    <mergeCell ref="E169:F169"/>
    <mergeCell ref="H66:O66"/>
    <mergeCell ref="B74:C74"/>
    <mergeCell ref="D74:E74"/>
    <mergeCell ref="B139:C139"/>
    <mergeCell ref="I184:O184"/>
    <mergeCell ref="B122:D122"/>
    <mergeCell ref="I171:O171"/>
    <mergeCell ref="H76:I76"/>
    <mergeCell ref="H95:O95"/>
    <mergeCell ref="A44:B44"/>
    <mergeCell ref="I173:O173"/>
    <mergeCell ref="H97:O97"/>
    <mergeCell ref="I166:O166"/>
    <mergeCell ref="G176:H176"/>
    <mergeCell ref="E64:F64"/>
    <mergeCell ref="J7:O7"/>
    <mergeCell ref="E156:F156"/>
    <mergeCell ref="E153:F153"/>
    <mergeCell ref="H21:O21"/>
    <mergeCell ref="E128:F128"/>
    <mergeCell ref="E155:F155"/>
    <mergeCell ref="D61:E61"/>
    <mergeCell ref="G184:H184"/>
    <mergeCell ref="G171:H171"/>
    <mergeCell ref="E65:F65"/>
    <mergeCell ref="E157:F157"/>
    <mergeCell ref="H16:O16"/>
    <mergeCell ref="A17:B17"/>
    <mergeCell ref="I134:O134"/>
    <mergeCell ref="H27:O27"/>
    <mergeCell ref="G117:O117"/>
    <mergeCell ref="A19:B19"/>
    <mergeCell ref="I161:O161"/>
    <mergeCell ref="E146:F146"/>
    <mergeCell ref="E12:F12"/>
    <mergeCell ref="G125:O125"/>
    <mergeCell ref="B138:C138"/>
    <mergeCell ref="E175:F175"/>
    <mergeCell ref="H67:O67"/>
    <mergeCell ref="H103:O103"/>
    <mergeCell ref="G127:O127"/>
    <mergeCell ref="E185:F185"/>
    <mergeCell ref="B140:C140"/>
    <mergeCell ref="I187:O187"/>
    <mergeCell ref="E170:F170"/>
    <mergeCell ref="I174:O174"/>
    <mergeCell ref="H98:O98"/>
    <mergeCell ref="D75:E75"/>
    <mergeCell ref="F75:G75"/>
    <mergeCell ref="I189:O189"/>
    <mergeCell ref="I188:O188"/>
    <mergeCell ref="G192:H192"/>
    <mergeCell ref="J8:O8"/>
    <mergeCell ref="E154:F154"/>
    <mergeCell ref="G154:H154"/>
    <mergeCell ref="B158:C158"/>
    <mergeCell ref="E172:F172"/>
    <mergeCell ref="B89:C89"/>
    <mergeCell ref="B160:C160"/>
    <mergeCell ref="D89:E89"/>
    <mergeCell ref="H18:O18"/>
    <mergeCell ref="L61:M61"/>
    <mergeCell ref="A194:D194"/>
    <mergeCell ref="I142:O142"/>
    <mergeCell ref="B153:C153"/>
    <mergeCell ref="J75:M75"/>
    <mergeCell ref="B184:C184"/>
    <mergeCell ref="H113:O113"/>
    <mergeCell ref="E20:F20"/>
    <mergeCell ref="I137:O137"/>
    <mergeCell ref="E177:F177"/>
    <mergeCell ref="E13:F13"/>
    <mergeCell ref="I164:O164"/>
    <mergeCell ref="I139:O139"/>
    <mergeCell ref="B88:C88"/>
    <mergeCell ref="B148:C148"/>
    <mergeCell ref="B82:C82"/>
    <mergeCell ref="E149:F149"/>
    <mergeCell ref="E176:F176"/>
    <mergeCell ref="E114:F114"/>
    <mergeCell ref="J88:M88"/>
    <mergeCell ref="A63:O63"/>
    <mergeCell ref="E15:F15"/>
    <mergeCell ref="E191:F191"/>
    <mergeCell ref="G142:H142"/>
    <mergeCell ref="B146:C146"/>
    <mergeCell ref="E178:F178"/>
    <mergeCell ref="H37:O37"/>
    <mergeCell ref="B83:C83"/>
    <mergeCell ref="B143:C143"/>
    <mergeCell ref="D83:E83"/>
    <mergeCell ref="E144:F144"/>
    <mergeCell ref="G144:H144"/>
    <mergeCell ref="H104:O104"/>
    <mergeCell ref="B85:C85"/>
    <mergeCell ref="A94:O94"/>
    <mergeCell ref="I190:O190"/>
    <mergeCell ref="D85:E85"/>
    <mergeCell ref="G173:H173"/>
    <mergeCell ref="H92:I92"/>
    <mergeCell ref="H106:O106"/>
    <mergeCell ref="F78:G78"/>
    <mergeCell ref="E106:F106"/>
    <mergeCell ref="H78:I78"/>
    <mergeCell ref="E33:F33"/>
    <mergeCell ref="H43:O43"/>
    <mergeCell ref="B159:C159"/>
    <mergeCell ref="D80:E80"/>
    <mergeCell ref="G170:H170"/>
    <mergeCell ref="B167:C167"/>
    <mergeCell ref="A26:O26"/>
    <mergeCell ref="B161:C161"/>
    <mergeCell ref="H6:I6"/>
    <mergeCell ref="H130:O130"/>
    <mergeCell ref="H68:O68"/>
    <mergeCell ref="B136:C136"/>
    <mergeCell ref="E28:F28"/>
    <mergeCell ref="B175:C175"/>
    <mergeCell ref="E30:F30"/>
    <mergeCell ref="J84:M84"/>
    <mergeCell ref="I145:O145"/>
    <mergeCell ref="J78:M78"/>
    <mergeCell ref="H69:O69"/>
    <mergeCell ref="A9:C9"/>
    <mergeCell ref="I147:O147"/>
    <mergeCell ref="J80:M80"/>
    <mergeCell ref="D8:E8"/>
    <mergeCell ref="J79:M79"/>
    <mergeCell ref="G150:H150"/>
    <mergeCell ref="I186:O186"/>
    <mergeCell ref="E21:F21"/>
    <mergeCell ref="J6:O6"/>
    <mergeCell ref="H82:I82"/>
    <mergeCell ref="B91:C91"/>
    <mergeCell ref="E192:F192"/>
    <mergeCell ref="H20:O20"/>
    <mergeCell ref="E129:F129"/>
    <mergeCell ref="H38:O38"/>
    <mergeCell ref="E23:F23"/>
    <mergeCell ref="D84:E84"/>
    <mergeCell ref="B155:C155"/>
    <mergeCell ref="G145:H145"/>
    <mergeCell ref="F84:G84"/>
    <mergeCell ref="B149:C149"/>
    <mergeCell ref="E181:F181"/>
    <mergeCell ref="B193:C193"/>
    <mergeCell ref="E194:F194"/>
    <mergeCell ref="G181:H181"/>
    <mergeCell ref="A3:O3"/>
    <mergeCell ref="H40:O40"/>
    <mergeCell ref="B86:C86"/>
    <mergeCell ref="G160:H160"/>
    <mergeCell ref="D86:E86"/>
    <mergeCell ref="I140:O140"/>
    <mergeCell ref="G147:H147"/>
    <mergeCell ref="F86:G86"/>
    <mergeCell ref="H64:O64"/>
    <mergeCell ref="B151:C151"/>
    <mergeCell ref="F80:G80"/>
    <mergeCell ref="G174:H174"/>
    <mergeCell ref="I158:O158"/>
    <mergeCell ref="I133:O133"/>
    <mergeCell ref="G189:H189"/>
    <mergeCell ref="F79:G79"/>
    <mergeCell ref="H79:I79"/>
    <mergeCell ref="E34:F34"/>
    <mergeCell ref="B182:C182"/>
    <mergeCell ref="E105:F105"/>
    <mergeCell ref="I160:O160"/>
    <mergeCell ref="E99:F99"/>
    <mergeCell ref="I135:O135"/>
    <mergeCell ref="F81:G81"/>
    <mergeCell ref="H81:I81"/>
    <mergeCell ref="E163:F163"/>
    <mergeCell ref="E101:F101"/>
    <mergeCell ref="G163:H163"/>
    <mergeCell ref="A22:B22"/>
    <mergeCell ref="B125:D125"/>
    <mergeCell ref="E113:F113"/>
    <mergeCell ref="B183:C183"/>
    <mergeCell ref="B177:C177"/>
    <mergeCell ref="E100:F100"/>
    <mergeCell ref="B164:C164"/>
    <mergeCell ref="J86:M86"/>
    <mergeCell ref="E136:F136"/>
    <mergeCell ref="G165:H165"/>
    <mergeCell ref="H33:O33"/>
    <mergeCell ref="I24:O24"/>
    <mergeCell ref="E102:F102"/>
    <mergeCell ref="G158:H158"/>
    <mergeCell ref="B120:D120"/>
    <mergeCell ref="D10:E10"/>
    <mergeCell ref="G169:H169"/>
    <mergeCell ref="I148:O148"/>
    <mergeCell ref="I153:O153"/>
    <mergeCell ref="E127:F127"/>
    <mergeCell ref="F74:G74"/>
    <mergeCell ref="B180:C180"/>
    <mergeCell ref="H74:I74"/>
    <mergeCell ref="G191:H191"/>
    <mergeCell ref="D76:E76"/>
    <mergeCell ref="F76:G76"/>
    <mergeCell ref="A47:O47"/>
    <mergeCell ref="B157:C157"/>
    <mergeCell ref="I179:O179"/>
    <mergeCell ref="B186:C186"/>
    <mergeCell ref="I141:O141"/>
    <mergeCell ref="E124:F124"/>
    <mergeCell ref="H65:O65"/>
    <mergeCell ref="E120:F120"/>
    <mergeCell ref="I159:O159"/>
    <mergeCell ref="I143:O143"/>
    <mergeCell ref="E184:F184"/>
    <mergeCell ref="A7:C7"/>
    <mergeCell ref="G122:O122"/>
    <mergeCell ref="E121:F121"/>
    <mergeCell ref="F87:G87"/>
    <mergeCell ref="B185:C185"/>
    <mergeCell ref="E151:F151"/>
    <mergeCell ref="H41:O41"/>
    <mergeCell ref="E123:F123"/>
    <mergeCell ref="F89:G89"/>
    <mergeCell ref="E150:F150"/>
    <mergeCell ref="E39:F39"/>
    <mergeCell ref="G179:H179"/>
    <mergeCell ref="F7:G7"/>
    <mergeCell ref="E44:F44"/>
    <mergeCell ref="B176:C176"/>
    <mergeCell ref="G166:H166"/>
    <mergeCell ref="H34:O34"/>
    <mergeCell ref="B128:D128"/>
    <mergeCell ref="G141:H141"/>
    <mergeCell ref="E103:F103"/>
    <mergeCell ref="E152:F152"/>
    <mergeCell ref="A116:O116"/>
    <mergeCell ref="E118:F118"/>
    <mergeCell ref="F8:G8"/>
    <mergeCell ref="A12:B12"/>
    <mergeCell ref="C12:D12"/>
    <mergeCell ref="G167:H167"/>
    <mergeCell ref="I154:O154"/>
    <mergeCell ref="B171:C171"/>
    <mergeCell ref="B123:D123"/>
    <mergeCell ref="I156:O156"/>
    <mergeCell ref="E70:F70"/>
    <mergeCell ref="F77:G77"/>
    <mergeCell ref="H77:I77"/>
    <mergeCell ref="H96:O96"/>
    <mergeCell ref="E32:F32"/>
    <mergeCell ref="G120:O120"/>
    <mergeCell ref="B133:C133"/>
    <mergeCell ref="E134:F134"/>
    <mergeCell ref="G134:H134"/>
    <mergeCell ref="B173:C173"/>
    <mergeCell ref="E96:F96"/>
    <mergeCell ref="B75:C75"/>
    <mergeCell ref="B135:C135"/>
    <mergeCell ref="I180:O180"/>
    <mergeCell ref="A130:B130"/>
    <mergeCell ref="I167:O167"/>
    <mergeCell ref="E98:F98"/>
    <mergeCell ref="I182:O182"/>
    <mergeCell ref="E165:F165"/>
    <mergeCell ref="I169:O169"/>
    <mergeCell ref="I13:O13"/>
    <mergeCell ref="E140:F140"/>
    <mergeCell ref="G156:H156"/>
    <mergeCell ref="B118:D118"/>
    <mergeCell ref="A8:C8"/>
    <mergeCell ref="H61:I61"/>
    <mergeCell ref="H88:I88"/>
    <mergeCell ref="J81:M81"/>
    <mergeCell ref="G187:H187"/>
    <mergeCell ref="A10:C10"/>
    <mergeCell ref="H17:O17"/>
    <mergeCell ref="F90:G90"/>
    <mergeCell ref="H90:I90"/>
    <mergeCell ref="H109:O109"/>
    <mergeCell ref="G180:H180"/>
    <mergeCell ref="E45:F45"/>
    <mergeCell ref="H22:O22"/>
    <mergeCell ref="B129:D129"/>
    <mergeCell ref="H19:O19"/>
    <mergeCell ref="G188:H188"/>
    <mergeCell ref="B192:C192"/>
    <mergeCell ref="A20:B20"/>
    <mergeCell ref="H111:O111"/>
    <mergeCell ref="B121:D121"/>
    <mergeCell ref="G182:H182"/>
    <mergeCell ref="I162:O162"/>
    <mergeCell ref="A132:O132"/>
    <mergeCell ref="A13:B13"/>
    <mergeCell ref="C13:D13"/>
    <mergeCell ref="I155:O155"/>
    <mergeCell ref="A114:B114"/>
  </mergeCells>
  <conditionalFormatting sqref="I134:O193">
    <cfRule type="expression" priority="1" dxfId="0" stopIfTrue="1">
      <formula>$I134="Pago"</formula>
    </cfRule>
    <cfRule type="expression" priority="2" dxfId="3" stopIfTrue="1">
      <formula>$I134="Comprado (a pagar)"</formula>
    </cfRule>
    <cfRule type="expression" priority="3" dxfId="1" stopIfTrue="1">
      <formula>$I134="A comprar"</formula>
    </cfRule>
  </conditionalFormatting>
  <conditionalFormatting sqref="A134:O193">
    <cfRule type="expression" priority="4" dxfId="6">
      <formula>AND($E134&lt;&gt;"",$B134="")</formula>
    </cfRule>
  </conditionalFormatting>
  <conditionalFormatting sqref="E16:F22">
    <cfRule type="expression" priority="5" dxfId="4">
      <formula>AND($E16&lt;&gt;"",$E16&gt;0)</formula>
    </cfRule>
    <cfRule type="expression" priority="6" dxfId="5">
      <formula>AND($E16&lt;&gt;"",$E16&lt;0)</formula>
    </cfRule>
  </conditionalFormatting>
  <conditionalFormatting sqref="E96:F114">
    <cfRule type="expression" priority="7" dxfId="4">
      <formula>AND($E96&lt;&gt;"",$E96&gt;0)</formula>
    </cfRule>
    <cfRule type="expression" priority="8" dxfId="5">
      <formula>AND($E96&lt;&gt;"",$E96&lt;0)</formula>
    </cfRule>
  </conditionalFormatting>
  <conditionalFormatting sqref="J9">
    <cfRule type="expression" priority="9" dxfId="0" stopIfTrue="1">
      <formula>$J$9="No prazo"</formula>
    </cfRule>
    <cfRule type="expression" priority="10" dxfId="2">
      <formula>$J$9="Atrasado"</formula>
    </cfRule>
  </conditionalFormatting>
  <conditionalFormatting sqref="A13:J13">
    <cfRule type="expression" priority="11" dxfId="6">
      <formula>AND($G$13&lt;&gt;"",$G$13&lt;0.25)</formula>
    </cfRule>
  </conditionalFormatting>
  <dataValidations count="12">
    <dataValidation sqref="D10:E1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"Jan/2026,Fev/2026,Mar/2026,Abr/2026,Mai/2026,Jun/2026,Jul/2026,Ago/2026,Set/2026,Out/2026,Nov/2026,Dez/2026,Jan/2027,Fev/2027,Mar/2027,Abr/2027,Mai/2027,Jun/2027,Jul/2027,Ago/2027,Set/2027,Out/2027,Nov/2027,Dez/2027"</formula1>
    </dataValidation>
    <dataValidation sqref="D49:D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H49:H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L49:L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"Lorrane,Lucas,Externo / avulso"</formula1>
    </dataValidation>
    <dataValidation sqref="H66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A74:A91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B118:B12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"Erro de projeto,Erro de medição,Erro de produção,Erro de montagem,Falha de material,Dano no transporte,Mudança pedida pelo cliente,Falha de fornecedor,Outro"</formula1>
    </dataValidation>
    <dataValidation sqref="B134:B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"MDF e MDP,Fita de borda,Ferragens,Vidros e espelhos,Esquadrias,Lâmina natural,Consumíveis,Acabamento,Serralheria,Vidraceiro,Outro terceirizado,Uber e aplicativo,Carreto e entrega,Deslocamento da equipe,Frete de material,Estacionamento e pedágio"</formula1>
    </dataValidation>
    <dataValidation sqref="G134:G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"PIX,Boleto,Cartão de crédito,Cartão parcelado,Dinheiro,Transferência,Faturado 30 dias,A combinar"</formula1>
    </dataValidation>
    <dataValidation sqref="I134:I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"A comprar,Comprado (a pagar),Pago"</formula1>
    </dataValidation>
    <dataValidation sqref="D9:E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"Jonathan,Vitor,Indicação,Arquiteto parceiro,Outro"</formula1>
    </dataValidation>
    <dataValidation sqref="F9:G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</dataValidations>
  <pageMargins left="0.4" right="0.3" top="0.4" bottom="0.3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O196"/>
  <sheetViews>
    <sheetView showGridLines="0"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14" customWidth="1" min="3" max="3"/>
    <col width="16" customWidth="1" min="4" max="4"/>
    <col width="7" customWidth="1" min="5" max="5"/>
    <col width="13" customWidth="1" min="6" max="6"/>
    <col width="13" customWidth="1" min="7" max="7"/>
    <col width="16" customWidth="1" min="8" max="8"/>
    <col width="7" customWidth="1" min="9" max="9"/>
    <col width="13" customWidth="1" min="10" max="10"/>
    <col width="13" customWidth="1" min="11" max="11"/>
    <col width="15" customWidth="1" min="12" max="12"/>
    <col width="7" customWidth="1" min="13" max="13"/>
    <col width="13" customWidth="1" min="14" max="14"/>
    <col width="14" customWidth="1" min="15" max="15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8" customHeight="1">
      <c r="A3" s="4" t="inlineStr">
        <is>
          <t>FICHA DE CUSTO DO PROJETO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 ht="17" customHeight="1">
      <c r="A4" s="6" t="inlineStr">
        <is>
          <t>Fundo creme = você preenche · fundo cinza = calculado · duplique esta aba a cada projeto e registre o nome dela no Painel Geral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 ht="6" customHeight="1"/>
    <row r="6" ht="13" customHeight="1">
      <c r="A6" s="44" t="inlineStr">
        <is>
          <t>CLIENTE</t>
        </is>
      </c>
      <c r="B6" s="13" t="n"/>
      <c r="C6" s="13" t="n"/>
      <c r="D6" s="44" t="inlineStr">
        <is>
          <t>Nº DO PROJETO</t>
        </is>
      </c>
      <c r="E6" s="13" t="n"/>
      <c r="F6" s="44" t="inlineStr">
        <is>
          <t>DATA DE ENTRADA</t>
        </is>
      </c>
      <c r="G6" s="13" t="n"/>
      <c r="H6" s="44" t="inlineStr">
        <is>
          <t>ENTREGA PREVISTA</t>
        </is>
      </c>
      <c r="I6" s="13" t="n"/>
      <c r="J6" s="44" t="inlineStr">
        <is>
          <t>ENTREGA REAL</t>
        </is>
      </c>
      <c r="K6" s="13" t="n"/>
      <c r="L6" s="13" t="n"/>
      <c r="M6" s="13" t="n"/>
      <c r="N6" s="13" t="n"/>
      <c r="O6" s="13" t="n"/>
    </row>
    <row r="7" ht="21" customHeight="1">
      <c r="A7" s="45" t="n"/>
      <c r="B7" s="46" t="n"/>
      <c r="C7" s="46" t="n"/>
      <c r="D7" s="45" t="n"/>
      <c r="E7" s="46" t="n"/>
      <c r="F7" s="47" t="n"/>
      <c r="G7" s="46" t="n"/>
      <c r="H7" s="47" t="n"/>
      <c r="I7" s="46" t="n"/>
      <c r="J7" s="47" t="n"/>
      <c r="K7" s="46" t="n"/>
      <c r="L7" s="46" t="n"/>
      <c r="M7" s="46" t="n"/>
      <c r="N7" s="46" t="n"/>
      <c r="O7" s="46" t="n"/>
    </row>
    <row r="8" ht="13" customHeight="1">
      <c r="A8" s="44" t="inlineStr">
        <is>
          <t>PROJETO</t>
        </is>
      </c>
      <c r="B8" s="13" t="n"/>
      <c r="C8" s="13" t="n"/>
      <c r="D8" s="44" t="inlineStr">
        <is>
          <t>VENDEDOR</t>
        </is>
      </c>
      <c r="E8" s="13" t="n"/>
      <c r="F8" s="44" t="inlineStr">
        <is>
          <t>COORDENADOR</t>
        </is>
      </c>
      <c r="G8" s="13" t="n"/>
      <c r="H8" s="44" t="inlineStr">
        <is>
          <t>DIAS DE ATRASO</t>
        </is>
      </c>
      <c r="I8" s="13" t="n"/>
      <c r="J8" s="44" t="inlineStr">
        <is>
          <t>SITUAÇÃO DA ENTREGA</t>
        </is>
      </c>
      <c r="K8" s="13" t="n"/>
      <c r="L8" s="13" t="n"/>
      <c r="M8" s="13" t="n"/>
      <c r="N8" s="13" t="n"/>
      <c r="O8" s="13" t="n"/>
    </row>
    <row r="9" ht="21" customHeight="1">
      <c r="A9" s="45" t="n"/>
      <c r="B9" s="46" t="n"/>
      <c r="C9" s="46" t="n"/>
      <c r="D9" s="45" t="n"/>
      <c r="E9" s="46" t="n"/>
      <c r="F9" s="48" t="n"/>
      <c r="G9" s="46" t="n"/>
      <c r="H9" s="49">
        <f>IF(OR($H$7="",$J$7=""),"",$J$7-$H$7)</f>
        <v/>
      </c>
      <c r="I9" s="38" t="n"/>
      <c r="J9" s="50">
        <f>IF($H$7="","",IF($J$7="",IF(TODAY()&gt;$H$7,"Atrasado","Em produção"),IF($H$9&lt;=0,"No prazo","Atrasado")))</f>
        <v/>
      </c>
      <c r="K9" s="38" t="n"/>
      <c r="L9" s="38" t="n"/>
      <c r="M9" s="38" t="n"/>
      <c r="N9" s="38" t="n"/>
      <c r="O9" s="38" t="n"/>
    </row>
    <row r="10" ht="18" customHeight="1">
      <c r="A10" s="51" t="inlineStr">
        <is>
          <t>MÊS DE COMPETÊNCIA</t>
        </is>
      </c>
      <c r="B10" s="37" t="n"/>
      <c r="C10" s="37" t="n"/>
      <c r="D10" s="52" t="n"/>
      <c r="E10" s="46" t="n"/>
      <c r="F10" s="53" t="inlineStr">
        <is>
          <t>o mês em que a receita e o custo deste projeto pesam no painel de competência</t>
        </is>
      </c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</row>
    <row r="11" ht="20" customHeight="1">
      <c r="A11" s="8" t="inlineStr">
        <is>
          <t xml:space="preserve">  RESULTADO DO PROJETO          tudo aqui se atualiza conforme você lança os custos mais abaixo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</row>
    <row r="12" ht="13" customHeight="1">
      <c r="A12" s="44" t="inlineStr">
        <is>
          <t>VALOR DE VENDA</t>
        </is>
      </c>
      <c r="B12" s="13" t="n"/>
      <c r="C12" s="44" t="inlineStr">
        <is>
          <t>CUSTO TOTAL</t>
        </is>
      </c>
      <c r="D12" s="13" t="n"/>
      <c r="E12" s="44" t="inlineStr">
        <is>
          <t>MARGEM DE CONTRIBUIÇÃO</t>
        </is>
      </c>
      <c r="F12" s="13" t="n"/>
      <c r="G12" s="44" t="inlineStr">
        <is>
          <t>MC %</t>
        </is>
      </c>
      <c r="H12" s="44" t="inlineStr">
        <is>
          <t>MC % ORÇADA</t>
        </is>
      </c>
      <c r="I12" s="44" t="inlineStr">
        <is>
          <t>DESVIO DE CUSTO</t>
        </is>
      </c>
      <c r="J12" s="13" t="n"/>
      <c r="K12" s="13" t="n"/>
      <c r="L12" s="13" t="n"/>
      <c r="M12" s="13" t="n"/>
      <c r="N12" s="13" t="n"/>
      <c r="O12" s="13" t="n"/>
    </row>
    <row r="13" ht="30" customHeight="1">
      <c r="A13" s="54">
        <f>IF($D$28="",$C$28,$D$28)</f>
        <v/>
      </c>
      <c r="B13" s="15" t="n"/>
      <c r="C13" s="54">
        <f>IF($D$22=0,"",$D$22)</f>
        <v/>
      </c>
      <c r="D13" s="15" t="n"/>
      <c r="E13" s="54">
        <f>IF($A$13="","",$D$23)</f>
        <v/>
      </c>
      <c r="F13" s="15" t="n"/>
      <c r="G13" s="55">
        <f>IF(OR($A$13="",$A$13=0),"",$D$23/$A$13)</f>
        <v/>
      </c>
      <c r="H13" s="55">
        <f>IF(OR($C$28="",$C$28=0),"",$C$23/$C$28)</f>
        <v/>
      </c>
      <c r="I13" s="54">
        <f>IF(OR($C$22=0,$D$22=0),"",ROUND($D$22-$C$22,2))</f>
        <v/>
      </c>
      <c r="J13" s="15" t="n"/>
      <c r="K13" s="15" t="n"/>
      <c r="L13" s="15" t="n"/>
      <c r="M13" s="15" t="n"/>
      <c r="N13" s="15" t="n"/>
      <c r="O13" s="15" t="n"/>
    </row>
    <row r="14" ht="8" customHeight="1"/>
    <row r="15" ht="26" customHeight="1">
      <c r="A15" s="19" t="inlineStr">
        <is>
          <t>Resumo por categoria</t>
        </is>
      </c>
      <c r="B15" s="35" t="n"/>
      <c r="C15" s="19" t="inlineStr">
        <is>
          <t>Orçado (R$)</t>
        </is>
      </c>
      <c r="D15" s="19" t="inlineStr">
        <is>
          <t>Realizado (R$)</t>
        </is>
      </c>
      <c r="E15" s="19" t="inlineStr">
        <is>
          <t>Desvio (R$)</t>
        </is>
      </c>
      <c r="F15" s="35" t="n"/>
      <c r="G15" s="19" t="inlineStr">
        <is>
          <t>Desvio (%)</t>
        </is>
      </c>
      <c r="H15" s="19" t="inlineStr">
        <is>
          <t>% da venda realizada</t>
        </is>
      </c>
      <c r="I15" s="35" t="n"/>
      <c r="J15" s="35" t="n"/>
      <c r="K15" s="35" t="n"/>
      <c r="L15" s="35" t="n"/>
      <c r="M15" s="35" t="n"/>
      <c r="N15" s="35" t="n"/>
      <c r="O15" s="35" t="n"/>
    </row>
    <row r="16" ht="18" customHeight="1">
      <c r="A16" s="36" t="inlineStr">
        <is>
          <t>Custos de venda</t>
        </is>
      </c>
      <c r="B16" s="37" t="n"/>
      <c r="C16" s="56">
        <f>IF(C44="","",C44)</f>
        <v/>
      </c>
      <c r="D16" s="56">
        <f>IF(D44="","",D44)</f>
        <v/>
      </c>
      <c r="E16" s="56">
        <f>IF(OR($C16="",$D16=""),"",ROUND($D16-$C16,2))</f>
        <v/>
      </c>
      <c r="F16" s="38" t="n"/>
      <c r="G16" s="57">
        <f>IF(OR($C16="",$C16=0,$D16=""),"",$D16/$C16-1)</f>
        <v/>
      </c>
      <c r="H16" s="58">
        <f>IF(OR($D16="",$A$13="",$A$13=0),"",$D16/$A$13)</f>
        <v/>
      </c>
      <c r="I16" s="38" t="n"/>
      <c r="J16" s="38" t="n"/>
      <c r="K16" s="38" t="n"/>
      <c r="L16" s="38" t="n"/>
      <c r="M16" s="38" t="n"/>
      <c r="N16" s="38" t="n"/>
      <c r="O16" s="38" t="n"/>
    </row>
    <row r="17" ht="18" customHeight="1">
      <c r="A17" s="36" t="inlineStr">
        <is>
          <t>Comissões operacionais</t>
        </is>
      </c>
      <c r="B17" s="37" t="n"/>
      <c r="C17" s="56">
        <f>IF(C70="","",C70)</f>
        <v/>
      </c>
      <c r="D17" s="56">
        <f>IF(D70="","",D70)</f>
        <v/>
      </c>
      <c r="E17" s="56">
        <f>IF(OR($C17="",$D17=""),"",ROUND($D17-$C17,2))</f>
        <v/>
      </c>
      <c r="F17" s="38" t="n"/>
      <c r="G17" s="57">
        <f>IF(OR($C17="",$C17=0,$D17=""),"",$D17/$C17-1)</f>
        <v/>
      </c>
      <c r="H17" s="58">
        <f>IF(OR($D17="",$A$13="",$A$13=0),"",$D17/$A$13)</f>
        <v/>
      </c>
      <c r="I17" s="38" t="n"/>
      <c r="J17" s="38" t="n"/>
      <c r="K17" s="38" t="n"/>
      <c r="L17" s="38" t="n"/>
      <c r="M17" s="38" t="n"/>
      <c r="N17" s="38" t="n"/>
      <c r="O17" s="38" t="n"/>
    </row>
    <row r="18" ht="18" customHeight="1">
      <c r="A18" s="36" t="inlineStr">
        <is>
          <t>Material</t>
        </is>
      </c>
      <c r="B18" s="37" t="n"/>
      <c r="C18" s="56">
        <f>IF(C103="","",C103)</f>
        <v/>
      </c>
      <c r="D18" s="56">
        <f>IF(D103="","",D103)</f>
        <v/>
      </c>
      <c r="E18" s="56">
        <f>IF(OR($C18="",$D18=""),"",ROUND($D18-$C18,2))</f>
        <v/>
      </c>
      <c r="F18" s="38" t="n"/>
      <c r="G18" s="57">
        <f>IF(OR($C18="",$C18=0,$D18=""),"",$D18/$C18-1)</f>
        <v/>
      </c>
      <c r="H18" s="58">
        <f>IF(OR($D18="",$A$13="",$A$13=0),"",$D18/$A$13)</f>
        <v/>
      </c>
      <c r="I18" s="38" t="n"/>
      <c r="J18" s="38" t="n"/>
      <c r="K18" s="38" t="n"/>
      <c r="L18" s="38" t="n"/>
      <c r="M18" s="38" t="n"/>
      <c r="N18" s="38" t="n"/>
      <c r="O18" s="38" t="n"/>
    </row>
    <row r="19" ht="18" customHeight="1">
      <c r="A19" s="36" t="inlineStr">
        <is>
          <t>Serviços terceirizados</t>
        </is>
      </c>
      <c r="B19" s="37" t="n"/>
      <c r="C19" s="56">
        <f>IF(C108="","",C108)</f>
        <v/>
      </c>
      <c r="D19" s="56">
        <f>IF(D108="","",D108)</f>
        <v/>
      </c>
      <c r="E19" s="56">
        <f>IF(OR($C19="",$D19=""),"",ROUND($D19-$C19,2))</f>
        <v/>
      </c>
      <c r="F19" s="38" t="n"/>
      <c r="G19" s="57">
        <f>IF(OR($C19="",$C19=0,$D19=""),"",$D19/$C19-1)</f>
        <v/>
      </c>
      <c r="H19" s="58">
        <f>IF(OR($D19="",$A$13="",$A$13=0),"",$D19/$A$13)</f>
        <v/>
      </c>
      <c r="I19" s="38" t="n"/>
      <c r="J19" s="38" t="n"/>
      <c r="K19" s="38" t="n"/>
      <c r="L19" s="38" t="n"/>
      <c r="M19" s="38" t="n"/>
      <c r="N19" s="38" t="n"/>
      <c r="O19" s="38" t="n"/>
    </row>
    <row r="20" ht="18" customHeight="1">
      <c r="A20" s="36" t="inlineStr">
        <is>
          <t>Logística</t>
        </is>
      </c>
      <c r="B20" s="37" t="n"/>
      <c r="C20" s="56">
        <f>IF(C114="","",C114)</f>
        <v/>
      </c>
      <c r="D20" s="56">
        <f>IF(D114="","",D114)</f>
        <v/>
      </c>
      <c r="E20" s="56">
        <f>IF(OR($C20="",$D20=""),"",ROUND($D20-$C20,2))</f>
        <v/>
      </c>
      <c r="F20" s="38" t="n"/>
      <c r="G20" s="57">
        <f>IF(OR($C20="",$C20=0,$D20=""),"",$D20/$C20-1)</f>
        <v/>
      </c>
      <c r="H20" s="58">
        <f>IF(OR($D20="",$A$13="",$A$13=0),"",$D20/$A$13)</f>
        <v/>
      </c>
      <c r="I20" s="38" t="n"/>
      <c r="J20" s="38" t="n"/>
      <c r="K20" s="38" t="n"/>
      <c r="L20" s="38" t="n"/>
      <c r="M20" s="38" t="n"/>
      <c r="N20" s="38" t="n"/>
      <c r="O20" s="38" t="n"/>
    </row>
    <row r="21" ht="18" customHeight="1">
      <c r="A21" s="36" t="inlineStr">
        <is>
          <t>Retrabalho</t>
        </is>
      </c>
      <c r="B21" s="37" t="n"/>
      <c r="C21" s="56">
        <f>IF(C130="","",C130)</f>
        <v/>
      </c>
      <c r="D21" s="56">
        <f>IF(D130="","",D130)</f>
        <v/>
      </c>
      <c r="E21" s="56">
        <f>IF(OR($C21="",$D21=""),"",ROUND($D21-$C21,2))</f>
        <v/>
      </c>
      <c r="F21" s="38" t="n"/>
      <c r="G21" s="57">
        <f>IF(OR($C21="",$C21=0,$D21=""),"",$D21/$C21-1)</f>
        <v/>
      </c>
      <c r="H21" s="58">
        <f>IF(OR($D21="",$A$13="",$A$13=0),"",$D21/$A$13)</f>
        <v/>
      </c>
      <c r="I21" s="38" t="n"/>
      <c r="J21" s="38" t="n"/>
      <c r="K21" s="38" t="n"/>
      <c r="L21" s="38" t="n"/>
      <c r="M21" s="38" t="n"/>
      <c r="N21" s="38" t="n"/>
      <c r="O21" s="38" t="n"/>
    </row>
    <row r="22" ht="22" customHeight="1">
      <c r="A22" s="31" t="inlineStr">
        <is>
          <t>(=) CUSTO TOTAL DO PROJETO</t>
        </is>
      </c>
      <c r="B22" s="32" t="n"/>
      <c r="C22" s="59">
        <f>ROUND(SUM(C16:C21),2)</f>
        <v/>
      </c>
      <c r="D22" s="59">
        <f>ROUND(SUM(D16:D21),2)</f>
        <v/>
      </c>
      <c r="E22" s="60">
        <f>ROUND($D$22-$C$22,2)</f>
        <v/>
      </c>
      <c r="F22" s="32" t="n"/>
      <c r="G22" s="61">
        <f>IF(OR($C$22="",$C$22=0),"",$D$22/$C$22-1)</f>
        <v/>
      </c>
      <c r="H22" s="62">
        <f>IF(OR($A$13="",$A$13=0),"",$D$22/$A$13)</f>
        <v/>
      </c>
      <c r="I22" s="32" t="n"/>
      <c r="J22" s="32" t="n"/>
      <c r="K22" s="32" t="n"/>
      <c r="L22" s="32" t="n"/>
      <c r="M22" s="32" t="n"/>
      <c r="N22" s="32" t="n"/>
      <c r="O22" s="32" t="n"/>
    </row>
    <row r="23" ht="28" customHeight="1">
      <c r="A23" s="63" t="inlineStr">
        <is>
          <t>(=) MARGEM DE CONTRIBUIÇÃO</t>
        </is>
      </c>
      <c r="B23" s="64" t="n"/>
      <c r="C23" s="65">
        <f>ROUND($C$28-$C$22,2)</f>
        <v/>
      </c>
      <c r="D23" s="65">
        <f>ROUND($A$13-$D$22,2)</f>
        <v/>
      </c>
      <c r="E23" s="66">
        <f>ROUND($D$23-$C$23,2)</f>
        <v/>
      </c>
      <c r="F23" s="64" t="n"/>
      <c r="G23" s="67">
        <f>IF(OR($C$28="",$C$28=0),"",$C$23/$C$28)</f>
        <v/>
      </c>
      <c r="H23" s="68">
        <f>IF(OR($A$13="",$A$13=0),"",$D$23/$A$13)</f>
        <v/>
      </c>
      <c r="I23" s="64" t="n"/>
      <c r="J23" s="64" t="n"/>
      <c r="K23" s="64" t="n"/>
      <c r="L23" s="64" t="n"/>
      <c r="M23" s="64" t="n"/>
      <c r="N23" s="64" t="n"/>
      <c r="O23" s="64" t="n"/>
    </row>
    <row r="24" ht="22" customHeight="1">
      <c r="A24" s="69">
        <f>IF($A$13="","",IF(ROUND(SUMIF($I$134:$I$193,"A comprar",$E$134:$E$193),2)+ROUND(SUMIF($I$134:$I$193,"Comprado (a pagar)",$E$134:$E$193),2)=0,"   Nenhuma compra pendente lançada — o custo realizado já é o custo final.","   Já comprado e ainda a pagar: "&amp;TEXT(ROUND(SUMIF($I$134:$I$193,"Comprado (a pagar)",$E$134:$E$193),2),"R$ #,##0")&amp;"   ·   custo projetado: "&amp;TEXT($D$22+ROUND(SUMIF($I$134:$I$193,"A comprar",$E$134:$E$193),2),"R$ #,##0")&amp;"   ·   MC projetada: "&amp;TEXT(($A$13-$D$22-ROUND(SUMIF($I$134:$I$193,"A comprar",$E$134:$E$193),2))/$A$13,"0.0%")))</f>
        <v/>
      </c>
      <c r="B24" s="15" t="n"/>
      <c r="C24" s="15" t="n"/>
      <c r="D24" s="15" t="n"/>
      <c r="E24" s="15" t="n"/>
      <c r="F24" s="15" t="n"/>
      <c r="G24" s="15" t="n"/>
      <c r="H24" s="15" t="n"/>
      <c r="I24" s="70">
        <f>IF($A$13="","",ROUND(SUMIF($I$134:$I$193,"A comprar",$E$134:$E$193),2))</f>
        <v/>
      </c>
      <c r="J24" s="15" t="n"/>
      <c r="K24" s="15" t="n"/>
      <c r="L24" s="15" t="n"/>
      <c r="M24" s="15" t="n"/>
      <c r="N24" s="15" t="n"/>
      <c r="O24" s="15" t="n"/>
    </row>
    <row r="25" ht="8" customHeight="1"/>
    <row r="26" ht="20" customHeight="1">
      <c r="A26" s="8" t="inlineStr">
        <is>
          <t xml:space="preserve">  1 · VALOR DE VENDA E NOTAS EMITIDAS          o que foi vendido e o que já virou nota — a diferença é o que falta faturar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 ht="26" customHeight="1">
      <c r="A27" s="19" t="inlineStr">
        <is>
          <t>Item</t>
        </is>
      </c>
      <c r="B27" s="19" t="inlineStr">
        <is>
          <t>%</t>
        </is>
      </c>
      <c r="C27" s="19" t="inlineStr">
        <is>
          <t>Orçado (R$)</t>
        </is>
      </c>
      <c r="D27" s="19" t="inlineStr">
        <is>
          <t>Realizado (R$)</t>
        </is>
      </c>
      <c r="E27" s="19" t="inlineStr">
        <is>
          <t>Desvio (R$)</t>
        </is>
      </c>
      <c r="F27" s="35" t="n"/>
      <c r="G27" s="19" t="inlineStr">
        <is>
          <t>% da venda</t>
        </is>
      </c>
      <c r="H27" s="19" t="inlineStr">
        <is>
          <t>Observação</t>
        </is>
      </c>
      <c r="I27" s="35" t="n"/>
      <c r="J27" s="35" t="n"/>
      <c r="K27" s="35" t="n"/>
      <c r="L27" s="35" t="n"/>
      <c r="M27" s="35" t="n"/>
      <c r="N27" s="35" t="n"/>
      <c r="O27" s="35" t="n"/>
    </row>
    <row r="28" ht="17" customHeight="1">
      <c r="A28" s="36" t="inlineStr">
        <is>
          <t>Valor de venda do projeto</t>
        </is>
      </c>
      <c r="B28" s="37" t="n"/>
      <c r="C28" s="71" t="n"/>
      <c r="D28" s="71" t="n"/>
      <c r="E28" s="56">
        <f>IF(OR($C28="",$D28=""),"",ROUND($D28-$C28,2))</f>
        <v/>
      </c>
      <c r="F28" s="38" t="n"/>
      <c r="G28" s="72" t="n"/>
      <c r="H28" s="73" t="inlineStr">
        <is>
          <t>Orçado = valor da proposta · Realizado = valor fechado</t>
        </is>
      </c>
      <c r="I28" s="46" t="n"/>
      <c r="J28" s="46" t="n"/>
      <c r="K28" s="46" t="n"/>
      <c r="L28" s="46" t="n"/>
      <c r="M28" s="46" t="n"/>
      <c r="N28" s="46" t="n"/>
      <c r="O28" s="46" t="n"/>
    </row>
    <row r="29" ht="22" customHeight="1">
      <c r="A29" s="19" t="inlineStr">
        <is>
          <t>Nota fiscal</t>
        </is>
      </c>
      <c r="B29" s="19" t="inlineStr">
        <is>
          <t>Número</t>
        </is>
      </c>
      <c r="C29" s="19" t="inlineStr">
        <is>
          <t>Data</t>
        </is>
      </c>
      <c r="D29" s="19" t="inlineStr">
        <is>
          <t>Valor (R$)</t>
        </is>
      </c>
      <c r="E29" s="19" t="inlineStr"/>
      <c r="F29" s="35" t="n"/>
      <c r="G29" s="19" t="inlineStr">
        <is>
          <t>% da venda</t>
        </is>
      </c>
      <c r="H29" s="19" t="inlineStr">
        <is>
          <t>Observação</t>
        </is>
      </c>
      <c r="I29" s="35" t="n"/>
      <c r="J29" s="35" t="n"/>
      <c r="K29" s="35" t="n"/>
      <c r="L29" s="35" t="n"/>
      <c r="M29" s="35" t="n"/>
      <c r="N29" s="35" t="n"/>
      <c r="O29" s="35" t="n"/>
    </row>
    <row r="30" ht="17" customHeight="1">
      <c r="A30" s="36" t="inlineStr">
        <is>
          <t>Nota 1</t>
        </is>
      </c>
      <c r="B30" s="74" t="n"/>
      <c r="C30" s="75" t="n"/>
      <c r="D30" s="76" t="n"/>
      <c r="E30" s="37" t="n"/>
      <c r="F30" s="37" t="n"/>
      <c r="G30" s="72">
        <f>IF(OR($D30="",$A$13="",$A$13=0),"",$D30/$A$13)</f>
        <v/>
      </c>
      <c r="H30" s="73" t="n"/>
      <c r="I30" s="46" t="n"/>
      <c r="J30" s="46" t="n"/>
      <c r="K30" s="46" t="n"/>
      <c r="L30" s="46" t="n"/>
      <c r="M30" s="46" t="n"/>
      <c r="N30" s="46" t="n"/>
      <c r="O30" s="46" t="n"/>
    </row>
    <row r="31" ht="17" customHeight="1">
      <c r="A31" s="36" t="inlineStr">
        <is>
          <t>Nota 2</t>
        </is>
      </c>
      <c r="B31" s="74" t="n"/>
      <c r="C31" s="75" t="n"/>
      <c r="D31" s="76" t="n"/>
      <c r="E31" s="37" t="n"/>
      <c r="F31" s="37" t="n"/>
      <c r="G31" s="72">
        <f>IF(OR($D31="",$A$13="",$A$13=0),"",$D31/$A$13)</f>
        <v/>
      </c>
      <c r="H31" s="73" t="n"/>
      <c r="I31" s="46" t="n"/>
      <c r="J31" s="46" t="n"/>
      <c r="K31" s="46" t="n"/>
      <c r="L31" s="46" t="n"/>
      <c r="M31" s="46" t="n"/>
      <c r="N31" s="46" t="n"/>
      <c r="O31" s="46" t="n"/>
    </row>
    <row r="32" ht="17" customHeight="1">
      <c r="A32" s="36" t="inlineStr">
        <is>
          <t>Nota 3</t>
        </is>
      </c>
      <c r="B32" s="74" t="n"/>
      <c r="C32" s="75" t="n"/>
      <c r="D32" s="76" t="n"/>
      <c r="E32" s="37" t="n"/>
      <c r="F32" s="37" t="n"/>
      <c r="G32" s="72">
        <f>IF(OR($D32="",$A$13="",$A$13=0),"",$D32/$A$13)</f>
        <v/>
      </c>
      <c r="H32" s="73" t="n"/>
      <c r="I32" s="46" t="n"/>
      <c r="J32" s="46" t="n"/>
      <c r="K32" s="46" t="n"/>
      <c r="L32" s="46" t="n"/>
      <c r="M32" s="46" t="n"/>
      <c r="N32" s="46" t="n"/>
      <c r="O32" s="46" t="n"/>
    </row>
    <row r="33" ht="17" customHeight="1">
      <c r="A33" s="36" t="inlineStr">
        <is>
          <t>Nota 4</t>
        </is>
      </c>
      <c r="B33" s="74" t="n"/>
      <c r="C33" s="75" t="n"/>
      <c r="D33" s="76" t="n"/>
      <c r="E33" s="37" t="n"/>
      <c r="F33" s="37" t="n"/>
      <c r="G33" s="72">
        <f>IF(OR($D33="",$A$13="",$A$13=0),"",$D33/$A$13)</f>
        <v/>
      </c>
      <c r="H33" s="73" t="n"/>
      <c r="I33" s="46" t="n"/>
      <c r="J33" s="46" t="n"/>
      <c r="K33" s="46" t="n"/>
      <c r="L33" s="46" t="n"/>
      <c r="M33" s="46" t="n"/>
      <c r="N33" s="46" t="n"/>
      <c r="O33" s="46" t="n"/>
    </row>
    <row r="34" ht="20" customHeight="1">
      <c r="A34" s="31" t="inlineStr">
        <is>
          <t>(=) TOTAL FATURADO  →</t>
        </is>
      </c>
      <c r="B34" s="32" t="n"/>
      <c r="C34" s="32" t="n"/>
      <c r="D34" s="60">
        <f>ROUND(SUM($D$30:$D$33),2)</f>
        <v/>
      </c>
      <c r="E34" s="32" t="n"/>
      <c r="F34" s="32" t="n"/>
      <c r="G34" s="62">
        <f>IF(OR($A$13="",$A$13=0),"",$D$34/$A$13)</f>
        <v/>
      </c>
      <c r="H34" s="77">
        <f>IF(OR($A$13="",$A$13=0),"",IF(ROUND($A$13-$D$34,2)&lt;=0,"   Projeto totalmente faturado.","   Ainda a faturar: "&amp;TEXT($A$13-$D$34,"R$ #,##0.00")))</f>
        <v/>
      </c>
      <c r="I34" s="32" t="n"/>
      <c r="J34" s="32" t="n"/>
      <c r="K34" s="32" t="n"/>
      <c r="L34" s="32" t="n"/>
      <c r="M34" s="32" t="n"/>
      <c r="N34" s="32" t="n"/>
      <c r="O34" s="32" t="n"/>
    </row>
    <row r="35" ht="8" customHeight="1"/>
    <row r="36" ht="20" customHeight="1">
      <c r="A36" s="8" t="inlineStr">
        <is>
          <t xml:space="preserve">  2 · CUSTOS DE VENDA          tudo que sai por causa da venda · define a RECEITA LÍQUIDA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</row>
    <row r="37" ht="26" customHeight="1">
      <c r="A37" s="19" t="inlineStr">
        <is>
          <t>Item</t>
        </is>
      </c>
      <c r="B37" s="19" t="inlineStr">
        <is>
          <t>%</t>
        </is>
      </c>
      <c r="C37" s="19" t="inlineStr">
        <is>
          <t>Orçado (R$)</t>
        </is>
      </c>
      <c r="D37" s="19" t="inlineStr">
        <is>
          <t>Realizado (R$)</t>
        </is>
      </c>
      <c r="E37" s="19" t="inlineStr">
        <is>
          <t>Desvio (R$)</t>
        </is>
      </c>
      <c r="F37" s="35" t="n"/>
      <c r="G37" s="19" t="inlineStr">
        <is>
          <t>% da venda</t>
        </is>
      </c>
      <c r="H37" s="19" t="inlineStr">
        <is>
          <t>Observação</t>
        </is>
      </c>
      <c r="I37" s="35" t="n"/>
      <c r="J37" s="35" t="n"/>
      <c r="K37" s="35" t="n"/>
      <c r="L37" s="35" t="n"/>
      <c r="M37" s="35" t="n"/>
      <c r="N37" s="35" t="n"/>
      <c r="O37" s="35" t="n"/>
    </row>
    <row r="38" ht="17" customHeight="1">
      <c r="A38" s="36" t="inlineStr">
        <is>
          <t>Impostos sobre a nota (Simples)</t>
        </is>
      </c>
      <c r="B38" s="78" t="n"/>
      <c r="C38" s="56">
        <f>IF($B38="","",ROUND($B38*$C$28,2))</f>
        <v/>
      </c>
      <c r="D38" s="56">
        <f>IF($B38="","",ROUND($B38*$A$13,2))</f>
        <v/>
      </c>
      <c r="E38" s="56">
        <f>IF(OR($C38="",$D38=""),"",ROUND($D38-$C38,2))</f>
        <v/>
      </c>
      <c r="F38" s="38" t="n"/>
      <c r="G38" s="72">
        <f>IF(OR($D38="",$A$13="",$A$13=0),"",$D38/$A$13)</f>
        <v/>
      </c>
      <c r="H38" s="73" t="inlineStr">
        <is>
          <t>% sobre o valor de venda</t>
        </is>
      </c>
      <c r="I38" s="46" t="n"/>
      <c r="J38" s="46" t="n"/>
      <c r="K38" s="46" t="n"/>
      <c r="L38" s="46" t="n"/>
      <c r="M38" s="46" t="n"/>
      <c r="N38" s="46" t="n"/>
      <c r="O38" s="46" t="n"/>
    </row>
    <row r="39" ht="17" customHeight="1">
      <c r="A39" s="36" t="inlineStr">
        <is>
          <t>Taxa de máquina de cartão</t>
        </is>
      </c>
      <c r="B39" s="78" t="n"/>
      <c r="C39" s="56">
        <f>IF($B39="","",ROUND($B39*$C$28,2))</f>
        <v/>
      </c>
      <c r="D39" s="56">
        <f>IF($B39="","",ROUND($B39*$A$13,2))</f>
        <v/>
      </c>
      <c r="E39" s="56">
        <f>IF(OR($C39="",$D39=""),"",ROUND($D39-$C39,2))</f>
        <v/>
      </c>
      <c r="F39" s="38" t="n"/>
      <c r="G39" s="72">
        <f>IF(OR($D39="",$A$13="",$A$13=0),"",$D39/$A$13)</f>
        <v/>
      </c>
      <c r="H39" s="73" t="inlineStr">
        <is>
          <t>% sobre o valor de venda</t>
        </is>
      </c>
      <c r="I39" s="46" t="n"/>
      <c r="J39" s="46" t="n"/>
      <c r="K39" s="46" t="n"/>
      <c r="L39" s="46" t="n"/>
      <c r="M39" s="46" t="n"/>
      <c r="N39" s="46" t="n"/>
      <c r="O39" s="46" t="n"/>
    </row>
    <row r="40" ht="17" customHeight="1">
      <c r="A40" s="36" t="inlineStr">
        <is>
          <t>Taxas de transação (PIX, boleto, TED)</t>
        </is>
      </c>
      <c r="B40" s="37" t="n"/>
      <c r="C40" s="71" t="n"/>
      <c r="D40" s="71" t="n"/>
      <c r="E40" s="56">
        <f>IF(OR($C40="",$D40=""),"",ROUND($D40-$C40,2))</f>
        <v/>
      </c>
      <c r="F40" s="38" t="n"/>
      <c r="G40" s="72">
        <f>IF(OR($D40="",$A$13="",$A$13=0),"",$D40/$A$13)</f>
        <v/>
      </c>
      <c r="H40" s="73" t="inlineStr">
        <is>
          <t>valor em reais</t>
        </is>
      </c>
      <c r="I40" s="46" t="n"/>
      <c r="J40" s="46" t="n"/>
      <c r="K40" s="46" t="n"/>
      <c r="L40" s="46" t="n"/>
      <c r="M40" s="46" t="n"/>
      <c r="N40" s="46" t="n"/>
      <c r="O40" s="46" t="n"/>
    </row>
    <row r="41" ht="17" customHeight="1">
      <c r="A41" s="36" t="inlineStr">
        <is>
          <t>Comissão de venda (vendedor)</t>
        </is>
      </c>
      <c r="B41" s="78" t="n"/>
      <c r="C41" s="56">
        <f>IF($B41="","",ROUND($B41*$C$28,2))</f>
        <v/>
      </c>
      <c r="D41" s="56">
        <f>IF($B41="","",ROUND($B41*$A$13,2))</f>
        <v/>
      </c>
      <c r="E41" s="56">
        <f>IF(OR($C41="",$D41=""),"",ROUND($D41-$C41,2))</f>
        <v/>
      </c>
      <c r="F41" s="38" t="n"/>
      <c r="G41" s="72">
        <f>IF(OR($D41="",$A$13="",$A$13=0),"",$D41/$A$13)</f>
        <v/>
      </c>
      <c r="H41" s="73" t="inlineStr">
        <is>
          <t>% sobre o valor de venda</t>
        </is>
      </c>
      <c r="I41" s="46" t="n"/>
      <c r="J41" s="46" t="n"/>
      <c r="K41" s="46" t="n"/>
      <c r="L41" s="46" t="n"/>
      <c r="M41" s="46" t="n"/>
      <c r="N41" s="46" t="n"/>
      <c r="O41" s="46" t="n"/>
    </row>
    <row r="42" ht="17" customHeight="1">
      <c r="A42" s="36" t="inlineStr">
        <is>
          <t>Projeto / anteprojeto (externo)</t>
        </is>
      </c>
      <c r="B42" s="37" t="n"/>
      <c r="C42" s="71" t="n"/>
      <c r="D42" s="71" t="n"/>
      <c r="E42" s="56">
        <f>IF(OR($C42="",$D42=""),"",ROUND($D42-$C42,2))</f>
        <v/>
      </c>
      <c r="F42" s="38" t="n"/>
      <c r="G42" s="72">
        <f>IF(OR($D42="",$A$13="",$A$13=0),"",$D42/$A$13)</f>
        <v/>
      </c>
      <c r="H42" s="73" t="inlineStr">
        <is>
          <t>projetista ou arquiteto contratado para o projeto</t>
        </is>
      </c>
      <c r="I42" s="46" t="n"/>
      <c r="J42" s="46" t="n"/>
      <c r="K42" s="46" t="n"/>
      <c r="L42" s="46" t="n"/>
      <c r="M42" s="46" t="n"/>
      <c r="N42" s="46" t="n"/>
      <c r="O42" s="46" t="n"/>
    </row>
    <row r="43" ht="17" customHeight="1">
      <c r="A43" s="36" t="inlineStr">
        <is>
          <t>RT do parceiro</t>
        </is>
      </c>
      <c r="B43" s="78" t="n"/>
      <c r="C43" s="56">
        <f>IF($B43="","",ROUND($B43*($C$28-SUM($C$38:$C$40)),2))</f>
        <v/>
      </c>
      <c r="D43" s="56">
        <f>IF($B43="","",ROUND($B43*($A$13-SUM($D$38:$D$40)),2))</f>
        <v/>
      </c>
      <c r="E43" s="56">
        <f>IF(OR($C43="",$D43=""),"",ROUND($D43-$C43,2))</f>
        <v/>
      </c>
      <c r="F43" s="38" t="n"/>
      <c r="G43" s="72">
        <f>IF(OR($D43="",$A$13="",$A$13=0),"",$D43/$A$13)</f>
        <v/>
      </c>
      <c r="H43" s="73" t="inlineStr">
        <is>
          <t>% sobre o líquido: venda menos impostos, máquina e taxas</t>
        </is>
      </c>
      <c r="I43" s="46" t="n"/>
      <c r="J43" s="46" t="n"/>
      <c r="K43" s="46" t="n"/>
      <c r="L43" s="46" t="n"/>
      <c r="M43" s="46" t="n"/>
      <c r="N43" s="46" t="n"/>
      <c r="O43" s="46" t="n"/>
    </row>
    <row r="44" ht="20" customHeight="1">
      <c r="A44" s="31" t="inlineStr">
        <is>
          <t>(=) SUBTOTAL DOS CUSTOS DE VENDA</t>
        </is>
      </c>
      <c r="B44" s="32" t="n"/>
      <c r="C44" s="60">
        <f>ROUND(SUM(C38:C43),2)</f>
        <v/>
      </c>
      <c r="D44" s="60">
        <f>ROUND(SUM(D38:D43),2)</f>
        <v/>
      </c>
      <c r="E44" s="60">
        <f>ROUND($D44-$C44,2)</f>
        <v/>
      </c>
      <c r="F44" s="32" t="n"/>
      <c r="G44" s="62">
        <f>IF(OR($A$13="",$A$13=0),"",$D44/$A$13)</f>
        <v/>
      </c>
      <c r="H44" s="32" t="n"/>
      <c r="I44" s="32" t="n"/>
      <c r="J44" s="32" t="n"/>
      <c r="K44" s="32" t="n"/>
      <c r="L44" s="32" t="n"/>
      <c r="M44" s="32" t="n"/>
      <c r="N44" s="32" t="n"/>
      <c r="O44" s="32" t="n"/>
    </row>
    <row r="45" ht="24" customHeight="1">
      <c r="A45" s="79" t="inlineStr">
        <is>
          <t>(=) RECEITA LÍQUIDA</t>
        </is>
      </c>
      <c r="B45" s="64" t="n"/>
      <c r="C45" s="80">
        <f>ROUND($C$28-$C$44,2)</f>
        <v/>
      </c>
      <c r="D45" s="80">
        <f>ROUND($A$13-$D$44,2)</f>
        <v/>
      </c>
      <c r="E45" s="66">
        <f>ROUND($D$45-$C$45,2)</f>
        <v/>
      </c>
      <c r="F45" s="64" t="n"/>
      <c r="G45" s="81">
        <f>IF(OR($A$13="",$A$13=0),"",$D$45/$A$13)</f>
        <v/>
      </c>
      <c r="H45" s="82" t="inlineStr">
        <is>
          <t>É esta a base das comissões: coordenação, produção, montagem e projetista</t>
        </is>
      </c>
      <c r="I45" s="64" t="n"/>
      <c r="J45" s="64" t="n"/>
      <c r="K45" s="64" t="n"/>
      <c r="L45" s="64" t="n"/>
      <c r="M45" s="64" t="n"/>
      <c r="N45" s="64" t="n"/>
      <c r="O45" s="64" t="n"/>
    </row>
    <row r="46" ht="8" customHeight="1"/>
    <row r="47" ht="20" customHeight="1">
      <c r="A47" s="8" t="inlineStr">
        <is>
          <t xml:space="preserve">  3 · AMBIENTES, PRODUÇÃO, MONTAGEM E PROJETO          cada ambiente com quem produziu, quem montou e quem projetou · a comissão incide sobre a receita líquida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</row>
    <row r="48" ht="32" customHeight="1">
      <c r="A48" s="19" t="inlineStr">
        <is>
          <t>Ambiente</t>
        </is>
      </c>
      <c r="B48" s="19" t="inlineStr">
        <is>
          <t>% do total</t>
        </is>
      </c>
      <c r="C48" s="19" t="inlineStr">
        <is>
          <t>Valor do ambiente (R$)</t>
        </is>
      </c>
      <c r="D48" s="19" t="inlineStr">
        <is>
          <t>Produção — quem</t>
        </is>
      </c>
      <c r="E48" s="19" t="inlineStr">
        <is>
          <t>%</t>
        </is>
      </c>
      <c r="F48" s="19" t="inlineStr">
        <is>
          <t>Comissão produção (R$)</t>
        </is>
      </c>
      <c r="G48" s="19" t="inlineStr">
        <is>
          <t>Fabricado em</t>
        </is>
      </c>
      <c r="H48" s="19" t="inlineStr">
        <is>
          <t>Montagem — quem</t>
        </is>
      </c>
      <c r="I48" s="19" t="inlineStr">
        <is>
          <t>%</t>
        </is>
      </c>
      <c r="J48" s="19" t="inlineStr">
        <is>
          <t>Comissão montagem (R$)</t>
        </is>
      </c>
      <c r="K48" s="19" t="inlineStr">
        <is>
          <t>Montado em</t>
        </is>
      </c>
      <c r="L48" s="19" t="inlineStr">
        <is>
          <t>Projetista — quem</t>
        </is>
      </c>
      <c r="M48" s="19" t="inlineStr">
        <is>
          <t>%</t>
        </is>
      </c>
      <c r="N48" s="19" t="inlineStr">
        <is>
          <t>Comissão projetista (R$)</t>
        </is>
      </c>
      <c r="O48" s="19" t="inlineStr">
        <is>
          <t>Total do ambiente</t>
        </is>
      </c>
    </row>
    <row r="49" ht="18" customHeight="1">
      <c r="A49" s="83" t="n"/>
      <c r="B49" s="72">
        <f>IF(OR($C49="",$A$13="",$A$13=0),"",$C49/$A$13)</f>
        <v/>
      </c>
      <c r="C49" s="76" t="n"/>
      <c r="D49" s="83" t="n"/>
      <c r="E49" s="78" t="n"/>
      <c r="F49" s="56">
        <f>IF(OR($B49="",$E49="",$D$45=""),"",ROUND($B49*$D$45*$E49,2))</f>
        <v/>
      </c>
      <c r="G49" s="84" t="n"/>
      <c r="H49" s="83" t="n"/>
      <c r="I49" s="78" t="n"/>
      <c r="J49" s="56">
        <f>IF(OR($B49="",$I49="",$D$45=""),"",ROUND($B49*$D$45*$I49,2))</f>
        <v/>
      </c>
      <c r="K49" s="84" t="n"/>
      <c r="L49" s="83" t="n"/>
      <c r="M49" s="78" t="n"/>
      <c r="N49" s="56">
        <f>IF(OR($B49="",$M49="",$D$45=""),"",ROUND($B49*$D$45*$M49,2))</f>
        <v/>
      </c>
      <c r="O49" s="85">
        <f>IF(AND($F49="",$J49="",$N49=""),"",ROUND(IF($F49="",0,$F49)+IF($J49="",0,$J49)+IF($N49="",0,$N49),2))</f>
        <v/>
      </c>
    </row>
    <row r="50" ht="18" customHeight="1">
      <c r="A50" s="83" t="n"/>
      <c r="B50" s="72">
        <f>IF(OR($C50="",$A$13="",$A$13=0),"",$C50/$A$13)</f>
        <v/>
      </c>
      <c r="C50" s="76" t="n"/>
      <c r="D50" s="83" t="n"/>
      <c r="E50" s="78" t="n"/>
      <c r="F50" s="56">
        <f>IF(OR($B50="",$E50="",$D$45=""),"",ROUND($B50*$D$45*$E50,2))</f>
        <v/>
      </c>
      <c r="G50" s="84" t="n"/>
      <c r="H50" s="83" t="n"/>
      <c r="I50" s="78" t="n"/>
      <c r="J50" s="56">
        <f>IF(OR($B50="",$I50="",$D$45=""),"",ROUND($B50*$D$45*$I50,2))</f>
        <v/>
      </c>
      <c r="K50" s="84" t="n"/>
      <c r="L50" s="83" t="n"/>
      <c r="M50" s="78" t="n"/>
      <c r="N50" s="56">
        <f>IF(OR($B50="",$M50="",$D$45=""),"",ROUND($B50*$D$45*$M50,2))</f>
        <v/>
      </c>
      <c r="O50" s="85">
        <f>IF(AND($F50="",$J50="",$N50=""),"",ROUND(IF($F50="",0,$F50)+IF($J50="",0,$J50)+IF($N50="",0,$N50),2))</f>
        <v/>
      </c>
    </row>
    <row r="51" ht="18" customHeight="1">
      <c r="A51" s="83" t="n"/>
      <c r="B51" s="72">
        <f>IF(OR($C51="",$A$13="",$A$13=0),"",$C51/$A$13)</f>
        <v/>
      </c>
      <c r="C51" s="76" t="n"/>
      <c r="D51" s="83" t="n"/>
      <c r="E51" s="78" t="n"/>
      <c r="F51" s="56">
        <f>IF(OR($B51="",$E51="",$D$45=""),"",ROUND($B51*$D$45*$E51,2))</f>
        <v/>
      </c>
      <c r="G51" s="84" t="n"/>
      <c r="H51" s="83" t="n"/>
      <c r="I51" s="78" t="n"/>
      <c r="J51" s="56">
        <f>IF(OR($B51="",$I51="",$D$45=""),"",ROUND($B51*$D$45*$I51,2))</f>
        <v/>
      </c>
      <c r="K51" s="84" t="n"/>
      <c r="L51" s="83" t="n"/>
      <c r="M51" s="78" t="n"/>
      <c r="N51" s="56">
        <f>IF(OR($B51="",$M51="",$D$45=""),"",ROUND($B51*$D$45*$M51,2))</f>
        <v/>
      </c>
      <c r="O51" s="85">
        <f>IF(AND($F51="",$J51="",$N51=""),"",ROUND(IF($F51="",0,$F51)+IF($J51="",0,$J51)+IF($N51="",0,$N51),2))</f>
        <v/>
      </c>
    </row>
    <row r="52" ht="18" customHeight="1">
      <c r="A52" s="83" t="n"/>
      <c r="B52" s="72">
        <f>IF(OR($C52="",$A$13="",$A$13=0),"",$C52/$A$13)</f>
        <v/>
      </c>
      <c r="C52" s="76" t="n"/>
      <c r="D52" s="83" t="n"/>
      <c r="E52" s="78" t="n"/>
      <c r="F52" s="56">
        <f>IF(OR($B52="",$E52="",$D$45=""),"",ROUND($B52*$D$45*$E52,2))</f>
        <v/>
      </c>
      <c r="G52" s="84" t="n"/>
      <c r="H52" s="83" t="n"/>
      <c r="I52" s="78" t="n"/>
      <c r="J52" s="56">
        <f>IF(OR($B52="",$I52="",$D$45=""),"",ROUND($B52*$D$45*$I52,2))</f>
        <v/>
      </c>
      <c r="K52" s="84" t="n"/>
      <c r="L52" s="83" t="n"/>
      <c r="M52" s="78" t="n"/>
      <c r="N52" s="56">
        <f>IF(OR($B52="",$M52="",$D$45=""),"",ROUND($B52*$D$45*$M52,2))</f>
        <v/>
      </c>
      <c r="O52" s="85">
        <f>IF(AND($F52="",$J52="",$N52=""),"",ROUND(IF($F52="",0,$F52)+IF($J52="",0,$J52)+IF($N52="",0,$N52),2))</f>
        <v/>
      </c>
    </row>
    <row r="53" ht="18" customHeight="1">
      <c r="A53" s="83" t="n"/>
      <c r="B53" s="72">
        <f>IF(OR($C53="",$A$13="",$A$13=0),"",$C53/$A$13)</f>
        <v/>
      </c>
      <c r="C53" s="76" t="n"/>
      <c r="D53" s="83" t="n"/>
      <c r="E53" s="78" t="n"/>
      <c r="F53" s="56">
        <f>IF(OR($B53="",$E53="",$D$45=""),"",ROUND($B53*$D$45*$E53,2))</f>
        <v/>
      </c>
      <c r="G53" s="84" t="n"/>
      <c r="H53" s="83" t="n"/>
      <c r="I53" s="78" t="n"/>
      <c r="J53" s="56">
        <f>IF(OR($B53="",$I53="",$D$45=""),"",ROUND($B53*$D$45*$I53,2))</f>
        <v/>
      </c>
      <c r="K53" s="84" t="n"/>
      <c r="L53" s="83" t="n"/>
      <c r="M53" s="78" t="n"/>
      <c r="N53" s="56">
        <f>IF(OR($B53="",$M53="",$D$45=""),"",ROUND($B53*$D$45*$M53,2))</f>
        <v/>
      </c>
      <c r="O53" s="85">
        <f>IF(AND($F53="",$J53="",$N53=""),"",ROUND(IF($F53="",0,$F53)+IF($J53="",0,$J53)+IF($N53="",0,$N53),2))</f>
        <v/>
      </c>
    </row>
    <row r="54" ht="18" customHeight="1">
      <c r="A54" s="83" t="n"/>
      <c r="B54" s="72">
        <f>IF(OR($C54="",$A$13="",$A$13=0),"",$C54/$A$13)</f>
        <v/>
      </c>
      <c r="C54" s="76" t="n"/>
      <c r="D54" s="83" t="n"/>
      <c r="E54" s="78" t="n"/>
      <c r="F54" s="56">
        <f>IF(OR($B54="",$E54="",$D$45=""),"",ROUND($B54*$D$45*$E54,2))</f>
        <v/>
      </c>
      <c r="G54" s="84" t="n"/>
      <c r="H54" s="83" t="n"/>
      <c r="I54" s="78" t="n"/>
      <c r="J54" s="56">
        <f>IF(OR($B54="",$I54="",$D$45=""),"",ROUND($B54*$D$45*$I54,2))</f>
        <v/>
      </c>
      <c r="K54" s="84" t="n"/>
      <c r="L54" s="83" t="n"/>
      <c r="M54" s="78" t="n"/>
      <c r="N54" s="56">
        <f>IF(OR($B54="",$M54="",$D$45=""),"",ROUND($B54*$D$45*$M54,2))</f>
        <v/>
      </c>
      <c r="O54" s="85">
        <f>IF(AND($F54="",$J54="",$N54=""),"",ROUND(IF($F54="",0,$F54)+IF($J54="",0,$J54)+IF($N54="",0,$N54),2))</f>
        <v/>
      </c>
    </row>
    <row r="55" ht="18" customHeight="1">
      <c r="A55" s="83" t="n"/>
      <c r="B55" s="72">
        <f>IF(OR($C55="",$A$13="",$A$13=0),"",$C55/$A$13)</f>
        <v/>
      </c>
      <c r="C55" s="76" t="n"/>
      <c r="D55" s="83" t="n"/>
      <c r="E55" s="78" t="n"/>
      <c r="F55" s="56">
        <f>IF(OR($B55="",$E55="",$D$45=""),"",ROUND($B55*$D$45*$E55,2))</f>
        <v/>
      </c>
      <c r="G55" s="84" t="n"/>
      <c r="H55" s="83" t="n"/>
      <c r="I55" s="78" t="n"/>
      <c r="J55" s="56">
        <f>IF(OR($B55="",$I55="",$D$45=""),"",ROUND($B55*$D$45*$I55,2))</f>
        <v/>
      </c>
      <c r="K55" s="84" t="n"/>
      <c r="L55" s="83" t="n"/>
      <c r="M55" s="78" t="n"/>
      <c r="N55" s="56">
        <f>IF(OR($B55="",$M55="",$D$45=""),"",ROUND($B55*$D$45*$M55,2))</f>
        <v/>
      </c>
      <c r="O55" s="85">
        <f>IF(AND($F55="",$J55="",$N55=""),"",ROUND(IF($F55="",0,$F55)+IF($J55="",0,$J55)+IF($N55="",0,$N55),2))</f>
        <v/>
      </c>
    </row>
    <row r="56" ht="18" customHeight="1">
      <c r="A56" s="83" t="n"/>
      <c r="B56" s="72">
        <f>IF(OR($C56="",$A$13="",$A$13=0),"",$C56/$A$13)</f>
        <v/>
      </c>
      <c r="C56" s="76" t="n"/>
      <c r="D56" s="83" t="n"/>
      <c r="E56" s="78" t="n"/>
      <c r="F56" s="56">
        <f>IF(OR($B56="",$E56="",$D$45=""),"",ROUND($B56*$D$45*$E56,2))</f>
        <v/>
      </c>
      <c r="G56" s="84" t="n"/>
      <c r="H56" s="83" t="n"/>
      <c r="I56" s="78" t="n"/>
      <c r="J56" s="56">
        <f>IF(OR($B56="",$I56="",$D$45=""),"",ROUND($B56*$D$45*$I56,2))</f>
        <v/>
      </c>
      <c r="K56" s="84" t="n"/>
      <c r="L56" s="83" t="n"/>
      <c r="M56" s="78" t="n"/>
      <c r="N56" s="56">
        <f>IF(OR($B56="",$M56="",$D$45=""),"",ROUND($B56*$D$45*$M56,2))</f>
        <v/>
      </c>
      <c r="O56" s="85">
        <f>IF(AND($F56="",$J56="",$N56=""),"",ROUND(IF($F56="",0,$F56)+IF($J56="",0,$J56)+IF($N56="",0,$N56),2))</f>
        <v/>
      </c>
    </row>
    <row r="57" ht="18" customHeight="1">
      <c r="A57" s="83" t="n"/>
      <c r="B57" s="72">
        <f>IF(OR($C57="",$A$13="",$A$13=0),"",$C57/$A$13)</f>
        <v/>
      </c>
      <c r="C57" s="76" t="n"/>
      <c r="D57" s="83" t="n"/>
      <c r="E57" s="78" t="n"/>
      <c r="F57" s="56">
        <f>IF(OR($B57="",$E57="",$D$45=""),"",ROUND($B57*$D$45*$E57,2))</f>
        <v/>
      </c>
      <c r="G57" s="84" t="n"/>
      <c r="H57" s="83" t="n"/>
      <c r="I57" s="78" t="n"/>
      <c r="J57" s="56">
        <f>IF(OR($B57="",$I57="",$D$45=""),"",ROUND($B57*$D$45*$I57,2))</f>
        <v/>
      </c>
      <c r="K57" s="84" t="n"/>
      <c r="L57" s="83" t="n"/>
      <c r="M57" s="78" t="n"/>
      <c r="N57" s="56">
        <f>IF(OR($B57="",$M57="",$D$45=""),"",ROUND($B57*$D$45*$M57,2))</f>
        <v/>
      </c>
      <c r="O57" s="85">
        <f>IF(AND($F57="",$J57="",$N57=""),"",ROUND(IF($F57="",0,$F57)+IF($J57="",0,$J57)+IF($N57="",0,$N57),2))</f>
        <v/>
      </c>
    </row>
    <row r="58" ht="18" customHeight="1">
      <c r="A58" s="83" t="n"/>
      <c r="B58" s="72">
        <f>IF(OR($C58="",$A$13="",$A$13=0),"",$C58/$A$13)</f>
        <v/>
      </c>
      <c r="C58" s="76" t="n"/>
      <c r="D58" s="83" t="n"/>
      <c r="E58" s="78" t="n"/>
      <c r="F58" s="56">
        <f>IF(OR($B58="",$E58="",$D$45=""),"",ROUND($B58*$D$45*$E58,2))</f>
        <v/>
      </c>
      <c r="G58" s="84" t="n"/>
      <c r="H58" s="83" t="n"/>
      <c r="I58" s="78" t="n"/>
      <c r="J58" s="56">
        <f>IF(OR($B58="",$I58="",$D$45=""),"",ROUND($B58*$D$45*$I58,2))</f>
        <v/>
      </c>
      <c r="K58" s="84" t="n"/>
      <c r="L58" s="83" t="n"/>
      <c r="M58" s="78" t="n"/>
      <c r="N58" s="56">
        <f>IF(OR($B58="",$M58="",$D$45=""),"",ROUND($B58*$D$45*$M58,2))</f>
        <v/>
      </c>
      <c r="O58" s="85">
        <f>IF(AND($F58="",$J58="",$N58=""),"",ROUND(IF($F58="",0,$F58)+IF($J58="",0,$J58)+IF($N58="",0,$N58),2))</f>
        <v/>
      </c>
    </row>
    <row r="59" ht="18" customHeight="1">
      <c r="A59" s="83" t="n"/>
      <c r="B59" s="72">
        <f>IF(OR($C59="",$A$13="",$A$13=0),"",$C59/$A$13)</f>
        <v/>
      </c>
      <c r="C59" s="76" t="n"/>
      <c r="D59" s="83" t="n"/>
      <c r="E59" s="78" t="n"/>
      <c r="F59" s="56">
        <f>IF(OR($B59="",$E59="",$D$45=""),"",ROUND($B59*$D$45*$E59,2))</f>
        <v/>
      </c>
      <c r="G59" s="84" t="n"/>
      <c r="H59" s="83" t="n"/>
      <c r="I59" s="78" t="n"/>
      <c r="J59" s="56">
        <f>IF(OR($B59="",$I59="",$D$45=""),"",ROUND($B59*$D$45*$I59,2))</f>
        <v/>
      </c>
      <c r="K59" s="84" t="n"/>
      <c r="L59" s="83" t="n"/>
      <c r="M59" s="78" t="n"/>
      <c r="N59" s="56">
        <f>IF(OR($B59="",$M59="",$D$45=""),"",ROUND($B59*$D$45*$M59,2))</f>
        <v/>
      </c>
      <c r="O59" s="85">
        <f>IF(AND($F59="",$J59="",$N59=""),"",ROUND(IF($F59="",0,$F59)+IF($J59="",0,$J59)+IF($N59="",0,$N59),2))</f>
        <v/>
      </c>
    </row>
    <row r="60" ht="18" customHeight="1">
      <c r="A60" s="83" t="n"/>
      <c r="B60" s="72">
        <f>IF(OR($C60="",$A$13="",$A$13=0),"",$C60/$A$13)</f>
        <v/>
      </c>
      <c r="C60" s="76" t="n"/>
      <c r="D60" s="83" t="n"/>
      <c r="E60" s="78" t="n"/>
      <c r="F60" s="56">
        <f>IF(OR($B60="",$E60="",$D$45=""),"",ROUND($B60*$D$45*$E60,2))</f>
        <v/>
      </c>
      <c r="G60" s="84" t="n"/>
      <c r="H60" s="83" t="n"/>
      <c r="I60" s="78" t="n"/>
      <c r="J60" s="56">
        <f>IF(OR($B60="",$I60="",$D$45=""),"",ROUND($B60*$D$45*$I60,2))</f>
        <v/>
      </c>
      <c r="K60" s="84" t="n"/>
      <c r="L60" s="83" t="n"/>
      <c r="M60" s="78" t="n"/>
      <c r="N60" s="56">
        <f>IF(OR($B60="",$M60="",$D$45=""),"",ROUND($B60*$D$45*$M60,2))</f>
        <v/>
      </c>
      <c r="O60" s="85">
        <f>IF(AND($F60="",$J60="",$N60=""),"",ROUND(IF($F60="",0,$F60)+IF($J60="",0,$J60)+IF($N60="",0,$N60),2))</f>
        <v/>
      </c>
    </row>
    <row r="61" ht="20" customHeight="1">
      <c r="A61" s="31" t="inlineStr">
        <is>
          <t>SOMA DOS AMBIENTES</t>
        </is>
      </c>
      <c r="B61" s="62">
        <f>IF($A$13=0,"",$C$61/$A$13)</f>
        <v/>
      </c>
      <c r="C61" s="60">
        <f>ROUND(SUM(C49:C60),2)</f>
        <v/>
      </c>
      <c r="D61" s="86">
        <f>IF($C$61=0,"—",IF(ROUND($C$61-$A$13,2)=0,"OK · os ambientes somam o valor de venda","ATENÇÃO: diferença de "&amp;TEXT($C$61-$A$13,"R$ #,##0.00")))</f>
        <v/>
      </c>
      <c r="E61" s="32" t="n"/>
      <c r="F61" s="60">
        <f>ROUND(SUM(F49:F60),2)</f>
        <v/>
      </c>
      <c r="G61" s="32" t="n"/>
      <c r="H61" s="32" t="n"/>
      <c r="I61" s="32" t="n"/>
      <c r="J61" s="60">
        <f>ROUND(SUM(J49:J60),2)</f>
        <v/>
      </c>
      <c r="K61" s="32" t="n"/>
      <c r="L61" s="32" t="n"/>
      <c r="M61" s="32" t="n"/>
      <c r="N61" s="60">
        <f>ROUND(SUM(N49:N60),2)</f>
        <v/>
      </c>
      <c r="O61" s="60">
        <f>ROUND(SUM(O49:O60),2)</f>
        <v/>
      </c>
    </row>
    <row r="62" ht="8" customHeight="1"/>
    <row r="63" ht="20" customHeight="1">
      <c r="A63" s="8" t="inlineStr">
        <is>
          <t xml:space="preserve">  4 · COMISSÕES OPERACIONAIS          calculadas sobre a RECEITA LÍQUIDA · o realizado vem dos ambientes acima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</row>
    <row r="64" ht="26" customHeight="1">
      <c r="A64" s="19" t="inlineStr">
        <is>
          <t>Item</t>
        </is>
      </c>
      <c r="B64" s="19" t="inlineStr">
        <is>
          <t>%</t>
        </is>
      </c>
      <c r="C64" s="19" t="inlineStr">
        <is>
          <t>Orçado (R$)</t>
        </is>
      </c>
      <c r="D64" s="19" t="inlineStr">
        <is>
          <t>Realizado (R$)</t>
        </is>
      </c>
      <c r="E64" s="19" t="inlineStr">
        <is>
          <t>Desvio (R$)</t>
        </is>
      </c>
      <c r="F64" s="35" t="n"/>
      <c r="G64" s="19" t="inlineStr">
        <is>
          <t>% da venda</t>
        </is>
      </c>
      <c r="H64" s="19" t="inlineStr">
        <is>
          <t>Observação</t>
        </is>
      </c>
      <c r="I64" s="35" t="n"/>
      <c r="J64" s="35" t="n"/>
      <c r="K64" s="35" t="n"/>
      <c r="L64" s="35" t="n"/>
      <c r="M64" s="35" t="n"/>
      <c r="N64" s="35" t="n"/>
      <c r="O64" s="35" t="n"/>
    </row>
    <row r="65" ht="17" customHeight="1">
      <c r="A65" s="36" t="inlineStr">
        <is>
          <t>Coordenação de produção</t>
        </is>
      </c>
      <c r="B65" s="78" t="n"/>
      <c r="C65" s="56">
        <f>IF($B65="","",ROUND($B65*$C$45,2))</f>
        <v/>
      </c>
      <c r="D65" s="56">
        <f>IF($B65="","",ROUND($B65*$D$45,2))</f>
        <v/>
      </c>
      <c r="E65" s="56">
        <f>IF(OR($C65="",$D65=""),"",ROUND($D65-$C65,2))</f>
        <v/>
      </c>
      <c r="F65" s="38" t="n"/>
      <c r="G65" s="72">
        <f>IF(OR($D65="",$A$13="",$A$13=0),"",$D65/$A$13)</f>
        <v/>
      </c>
      <c r="H65" s="73" t="inlineStr">
        <is>
          <t>quem coordena está na identificação, no topo da ficha</t>
        </is>
      </c>
      <c r="I65" s="46" t="n"/>
      <c r="J65" s="46" t="n"/>
      <c r="K65" s="46" t="n"/>
      <c r="L65" s="46" t="n"/>
      <c r="M65" s="46" t="n"/>
      <c r="N65" s="46" t="n"/>
      <c r="O65" s="46" t="n"/>
    </row>
    <row r="66" ht="17" customHeight="1">
      <c r="A66" s="36" t="inlineStr">
        <is>
          <t>Gestão técnica</t>
        </is>
      </c>
      <c r="B66" s="78" t="n">
        <v>0.005</v>
      </c>
      <c r="C66" s="56">
        <f>IF($B66="","",ROUND($B66*$C$45,2))</f>
        <v/>
      </c>
      <c r="D66" s="56">
        <f>IF($B66="","",ROUND($B66*$D$45,2))</f>
        <v/>
      </c>
      <c r="E66" s="56">
        <f>IF(OR($C66="",$D66=""),"",ROUND($D66-$C66,2))</f>
        <v/>
      </c>
      <c r="F66" s="38" t="n"/>
      <c r="G66" s="72">
        <f>IF(OR($D66="",$A$13="",$A$13=0),"",$D66/$A$13)</f>
        <v/>
      </c>
      <c r="H66" s="73" t="n"/>
      <c r="I66" s="46" t="n"/>
      <c r="J66" s="46" t="n"/>
      <c r="K66" s="46" t="n"/>
      <c r="L66" s="46" t="n"/>
      <c r="M66" s="46" t="n"/>
      <c r="N66" s="46" t="n"/>
      <c r="O66" s="46" t="n"/>
    </row>
    <row r="67" ht="17" customHeight="1">
      <c r="A67" s="36" t="inlineStr">
        <is>
          <t>Comissão de produção</t>
        </is>
      </c>
      <c r="B67" s="78" t="n"/>
      <c r="C67" s="56">
        <f>IF($B67="","",ROUND($B67*$C$45,2))</f>
        <v/>
      </c>
      <c r="D67" s="56">
        <f>IF($F$61=0,"",$F$61)</f>
        <v/>
      </c>
      <c r="E67" s="56">
        <f>IF(OR($C67="",$D67=""),"",ROUND($D67-$C67,2))</f>
        <v/>
      </c>
      <c r="F67" s="38" t="n"/>
      <c r="G67" s="72">
        <f>IF(OR($D67="",$A$13="",$A$13=0),"",$D67/$A$13)</f>
        <v/>
      </c>
      <c r="H67" s="73" t="inlineStr">
        <is>
          <t>orçado = % único estimado · realizado = soma dos ambientes</t>
        </is>
      </c>
      <c r="I67" s="46" t="n"/>
      <c r="J67" s="46" t="n"/>
      <c r="K67" s="46" t="n"/>
      <c r="L67" s="46" t="n"/>
      <c r="M67" s="46" t="n"/>
      <c r="N67" s="46" t="n"/>
      <c r="O67" s="46" t="n"/>
    </row>
    <row r="68" ht="17" customHeight="1">
      <c r="A68" s="36" t="inlineStr">
        <is>
          <t>Comissão de montagem</t>
        </is>
      </c>
      <c r="B68" s="78" t="n"/>
      <c r="C68" s="56">
        <f>IF($B68="","",ROUND($B68*$C$45,2))</f>
        <v/>
      </c>
      <c r="D68" s="56">
        <f>IF($J$61=0,"",$J$61)</f>
        <v/>
      </c>
      <c r="E68" s="56">
        <f>IF(OR($C68="",$D68=""),"",ROUND($D68-$C68,2))</f>
        <v/>
      </c>
      <c r="F68" s="38" t="n"/>
      <c r="G68" s="72">
        <f>IF(OR($D68="",$A$13="",$A$13=0),"",$D68/$A$13)</f>
        <v/>
      </c>
      <c r="H68" s="73" t="inlineStr">
        <is>
          <t>orçado = % único estimado · realizado = soma dos ambientes</t>
        </is>
      </c>
      <c r="I68" s="46" t="n"/>
      <c r="J68" s="46" t="n"/>
      <c r="K68" s="46" t="n"/>
      <c r="L68" s="46" t="n"/>
      <c r="M68" s="46" t="n"/>
      <c r="N68" s="46" t="n"/>
      <c r="O68" s="46" t="n"/>
    </row>
    <row r="69" ht="17" customHeight="1">
      <c r="A69" s="36" t="inlineStr">
        <is>
          <t>Comissão de projetista</t>
        </is>
      </c>
      <c r="B69" s="78" t="n"/>
      <c r="C69" s="56">
        <f>IF($B69="","",ROUND($B69*$C$45,2))</f>
        <v/>
      </c>
      <c r="D69" s="56">
        <f>IF($N$61=0,"",$N$61)</f>
        <v/>
      </c>
      <c r="E69" s="56">
        <f>IF(OR($C69="",$D69=""),"",ROUND($D69-$C69,2))</f>
        <v/>
      </c>
      <c r="F69" s="38" t="n"/>
      <c r="G69" s="72">
        <f>IF(OR($D69="",$A$13="",$A$13=0),"",$D69/$A$13)</f>
        <v/>
      </c>
      <c r="H69" s="73" t="inlineStr">
        <is>
          <t>quem projetou cada ambiente está na coluna L do bloco 3</t>
        </is>
      </c>
      <c r="I69" s="46" t="n"/>
      <c r="J69" s="46" t="n"/>
      <c r="K69" s="46" t="n"/>
      <c r="L69" s="46" t="n"/>
      <c r="M69" s="46" t="n"/>
      <c r="N69" s="46" t="n"/>
      <c r="O69" s="46" t="n"/>
    </row>
    <row r="70" ht="20" customHeight="1">
      <c r="A70" s="31" t="inlineStr">
        <is>
          <t>(=) SUBTOTAL DAS COMISSÕES</t>
        </is>
      </c>
      <c r="B70" s="32" t="n"/>
      <c r="C70" s="60">
        <f>ROUND(SUM(C65:C69),2)</f>
        <v/>
      </c>
      <c r="D70" s="60">
        <f>ROUND(SUM(D65:D69),2)</f>
        <v/>
      </c>
      <c r="E70" s="60">
        <f>ROUND($D70-$C70,2)</f>
        <v/>
      </c>
      <c r="F70" s="32" t="n"/>
      <c r="G70" s="62">
        <f>IF(OR($A$13="",$A$13=0),"",$D70/$A$13)</f>
        <v/>
      </c>
      <c r="H70" s="32" t="n"/>
      <c r="I70" s="32" t="n"/>
      <c r="J70" s="32" t="n"/>
      <c r="K70" s="32" t="n"/>
      <c r="L70" s="32" t="n"/>
      <c r="M70" s="32" t="n"/>
      <c r="N70" s="32" t="n"/>
      <c r="O70" s="32" t="n"/>
    </row>
    <row r="71" ht="8" customHeight="1"/>
    <row r="72" ht="20" customHeight="1">
      <c r="A72" s="8" t="inlineStr">
        <is>
          <t xml:space="preserve">  5 · COMISSÕES POR COLABORADOR          consolidado automático — quem produziu, quem montou, quem projetou e o coordenador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</row>
    <row r="73" ht="26" customHeight="1">
      <c r="A73" s="19" t="inlineStr">
        <is>
          <t>Colaborador</t>
        </is>
      </c>
      <c r="B73" s="19" t="inlineStr">
        <is>
          <t>Produção (R$)</t>
        </is>
      </c>
      <c r="C73" s="35" t="n"/>
      <c r="D73" s="19" t="inlineStr">
        <is>
          <t>Montagem (R$)</t>
        </is>
      </c>
      <c r="E73" s="35" t="n"/>
      <c r="F73" s="19" t="inlineStr">
        <is>
          <t>Projeto (R$)</t>
        </is>
      </c>
      <c r="G73" s="35" t="n"/>
      <c r="H73" s="19" t="inlineStr">
        <is>
          <t>Coordenação / Gestão técnica (R$)</t>
        </is>
      </c>
      <c r="I73" s="35" t="n"/>
      <c r="J73" s="19" t="inlineStr">
        <is>
          <t>Total no projeto (R$)</t>
        </is>
      </c>
      <c r="K73" s="35" t="n"/>
      <c r="L73" s="35" t="n"/>
      <c r="M73" s="35" t="n"/>
    </row>
    <row r="74" ht="17" customHeight="1">
      <c r="A74" s="87" t="inlineStr">
        <is>
          <t>Deivison</t>
        </is>
      </c>
      <c r="B74" s="56">
        <f>IF($A74="","",ROUND(SUMIF($D$49:$D$60,$A74,$F$49:$F$60),2))</f>
        <v/>
      </c>
      <c r="C74" s="38" t="n"/>
      <c r="D74" s="56">
        <f>IF($A74="","",ROUND(SUMIF($H$49:$H$60,$A74,$J$49:$J$60),2))</f>
        <v/>
      </c>
      <c r="E74" s="38" t="n"/>
      <c r="F74" s="56">
        <f>IF($A74="","",ROUND(SUMIF($L$49:$L$60,$A74,$N$49:$N$60),2))</f>
        <v/>
      </c>
      <c r="G74" s="38" t="n"/>
      <c r="H74" s="56">
        <f>IF($A74="","",IF($A74=$F$9,IF($D$65="",0,$D$65),0)+IF($A74=$H$66,IF($D$66="",0,$D$66),0))</f>
        <v/>
      </c>
      <c r="I74" s="38" t="n"/>
      <c r="J74" s="88">
        <f>IF($A74="","",ROUND($B74+$D74+$F74+$H74,2))</f>
        <v/>
      </c>
      <c r="K74" s="38" t="n"/>
      <c r="L74" s="38" t="n"/>
      <c r="M74" s="38" t="n"/>
    </row>
    <row r="75" ht="17" customHeight="1">
      <c r="A75" s="87" t="inlineStr">
        <is>
          <t>Ronald</t>
        </is>
      </c>
      <c r="B75" s="56">
        <f>IF($A75="","",ROUND(SUMIF($D$49:$D$60,$A75,$F$49:$F$60),2))</f>
        <v/>
      </c>
      <c r="C75" s="38" t="n"/>
      <c r="D75" s="56">
        <f>IF($A75="","",ROUND(SUMIF($H$49:$H$60,$A75,$J$49:$J$60),2))</f>
        <v/>
      </c>
      <c r="E75" s="38" t="n"/>
      <c r="F75" s="56">
        <f>IF($A75="","",ROUND(SUMIF($L$49:$L$60,$A75,$N$49:$N$60),2))</f>
        <v/>
      </c>
      <c r="G75" s="38" t="n"/>
      <c r="H75" s="56">
        <f>IF($A75="","",IF($A75=$F$9,IF($D$65="",0,$D$65),0)+IF($A75=$H$66,IF($D$66="",0,$D$66),0))</f>
        <v/>
      </c>
      <c r="I75" s="38" t="n"/>
      <c r="J75" s="88">
        <f>IF($A75="","",ROUND($B75+$D75+$F75+$H75,2))</f>
        <v/>
      </c>
      <c r="K75" s="38" t="n"/>
      <c r="L75" s="38" t="n"/>
      <c r="M75" s="38" t="n"/>
    </row>
    <row r="76" ht="17" customHeight="1">
      <c r="A76" s="87" t="inlineStr">
        <is>
          <t>Samuel</t>
        </is>
      </c>
      <c r="B76" s="56">
        <f>IF($A76="","",ROUND(SUMIF($D$49:$D$60,$A76,$F$49:$F$60),2))</f>
        <v/>
      </c>
      <c r="C76" s="38" t="n"/>
      <c r="D76" s="56">
        <f>IF($A76="","",ROUND(SUMIF($H$49:$H$60,$A76,$J$49:$J$60),2))</f>
        <v/>
      </c>
      <c r="E76" s="38" t="n"/>
      <c r="F76" s="56">
        <f>IF($A76="","",ROUND(SUMIF($L$49:$L$60,$A76,$N$49:$N$60),2))</f>
        <v/>
      </c>
      <c r="G76" s="38" t="n"/>
      <c r="H76" s="56">
        <f>IF($A76="","",IF($A76=$F$9,IF($D$65="",0,$D$65),0)+IF($A76=$H$66,IF($D$66="",0,$D$66),0))</f>
        <v/>
      </c>
      <c r="I76" s="38" t="n"/>
      <c r="J76" s="88">
        <f>IF($A76="","",ROUND($B76+$D76+$F76+$H76,2))</f>
        <v/>
      </c>
      <c r="K76" s="38" t="n"/>
      <c r="L76" s="38" t="n"/>
      <c r="M76" s="38" t="n"/>
    </row>
    <row r="77" ht="17" customHeight="1">
      <c r="A77" s="87" t="inlineStr">
        <is>
          <t>Cesar</t>
        </is>
      </c>
      <c r="B77" s="56">
        <f>IF($A77="","",ROUND(SUMIF($D$49:$D$60,$A77,$F$49:$F$60),2))</f>
        <v/>
      </c>
      <c r="C77" s="38" t="n"/>
      <c r="D77" s="56">
        <f>IF($A77="","",ROUND(SUMIF($H$49:$H$60,$A77,$J$49:$J$60),2))</f>
        <v/>
      </c>
      <c r="E77" s="38" t="n"/>
      <c r="F77" s="56">
        <f>IF($A77="","",ROUND(SUMIF($L$49:$L$60,$A77,$N$49:$N$60),2))</f>
        <v/>
      </c>
      <c r="G77" s="38" t="n"/>
      <c r="H77" s="56">
        <f>IF($A77="","",IF($A77=$F$9,IF($D$65="",0,$D$65),0)+IF($A77=$H$66,IF($D$66="",0,$D$66),0))</f>
        <v/>
      </c>
      <c r="I77" s="38" t="n"/>
      <c r="J77" s="88">
        <f>IF($A77="","",ROUND($B77+$D77+$F77+$H77,2))</f>
        <v/>
      </c>
      <c r="K77" s="38" t="n"/>
      <c r="L77" s="38" t="n"/>
      <c r="M77" s="38" t="n"/>
    </row>
    <row r="78" ht="17" customHeight="1">
      <c r="A78" s="87" t="inlineStr">
        <is>
          <t>Jhon</t>
        </is>
      </c>
      <c r="B78" s="56">
        <f>IF($A78="","",ROUND(SUMIF($D$49:$D$60,$A78,$F$49:$F$60),2))</f>
        <v/>
      </c>
      <c r="C78" s="38" t="n"/>
      <c r="D78" s="56">
        <f>IF($A78="","",ROUND(SUMIF($H$49:$H$60,$A78,$J$49:$J$60),2))</f>
        <v/>
      </c>
      <c r="E78" s="38" t="n"/>
      <c r="F78" s="56">
        <f>IF($A78="","",ROUND(SUMIF($L$49:$L$60,$A78,$N$49:$N$60),2))</f>
        <v/>
      </c>
      <c r="G78" s="38" t="n"/>
      <c r="H78" s="56">
        <f>IF($A78="","",IF($A78=$F$9,IF($D$65="",0,$D$65),0)+IF($A78=$H$66,IF($D$66="",0,$D$66),0))</f>
        <v/>
      </c>
      <c r="I78" s="38" t="n"/>
      <c r="J78" s="88">
        <f>IF($A78="","",ROUND($B78+$D78+$F78+$H78,2))</f>
        <v/>
      </c>
      <c r="K78" s="38" t="n"/>
      <c r="L78" s="38" t="n"/>
      <c r="M78" s="38" t="n"/>
    </row>
    <row r="79" ht="17" customHeight="1">
      <c r="A79" s="87" t="inlineStr">
        <is>
          <t>Joelson</t>
        </is>
      </c>
      <c r="B79" s="56">
        <f>IF($A79="","",ROUND(SUMIF($D$49:$D$60,$A79,$F$49:$F$60),2))</f>
        <v/>
      </c>
      <c r="C79" s="38" t="n"/>
      <c r="D79" s="56">
        <f>IF($A79="","",ROUND(SUMIF($H$49:$H$60,$A79,$J$49:$J$60),2))</f>
        <v/>
      </c>
      <c r="E79" s="38" t="n"/>
      <c r="F79" s="56">
        <f>IF($A79="","",ROUND(SUMIF($L$49:$L$60,$A79,$N$49:$N$60),2))</f>
        <v/>
      </c>
      <c r="G79" s="38" t="n"/>
      <c r="H79" s="56">
        <f>IF($A79="","",IF($A79=$F$9,IF($D$65="",0,$D$65),0)+IF($A79=$H$66,IF($D$66="",0,$D$66),0))</f>
        <v/>
      </c>
      <c r="I79" s="38" t="n"/>
      <c r="J79" s="88">
        <f>IF($A79="","",ROUND($B79+$D79+$F79+$H79,2))</f>
        <v/>
      </c>
      <c r="K79" s="38" t="n"/>
      <c r="L79" s="38" t="n"/>
      <c r="M79" s="38" t="n"/>
    </row>
    <row r="80" ht="17" customHeight="1">
      <c r="A80" s="87" t="inlineStr">
        <is>
          <t>Davi</t>
        </is>
      </c>
      <c r="B80" s="56">
        <f>IF($A80="","",ROUND(SUMIF($D$49:$D$60,$A80,$F$49:$F$60),2))</f>
        <v/>
      </c>
      <c r="C80" s="38" t="n"/>
      <c r="D80" s="56">
        <f>IF($A80="","",ROUND(SUMIF($H$49:$H$60,$A80,$J$49:$J$60),2))</f>
        <v/>
      </c>
      <c r="E80" s="38" t="n"/>
      <c r="F80" s="56">
        <f>IF($A80="","",ROUND(SUMIF($L$49:$L$60,$A80,$N$49:$N$60),2))</f>
        <v/>
      </c>
      <c r="G80" s="38" t="n"/>
      <c r="H80" s="56">
        <f>IF($A80="","",IF($A80=$F$9,IF($D$65="",0,$D$65),0)+IF($A80=$H$66,IF($D$66="",0,$D$66),0))</f>
        <v/>
      </c>
      <c r="I80" s="38" t="n"/>
      <c r="J80" s="88">
        <f>IF($A80="","",ROUND($B80+$D80+$F80+$H80,2))</f>
        <v/>
      </c>
      <c r="K80" s="38" t="n"/>
      <c r="L80" s="38" t="n"/>
      <c r="M80" s="38" t="n"/>
    </row>
    <row r="81" ht="17" customHeight="1">
      <c r="A81" s="87" t="inlineStr">
        <is>
          <t>Jomar</t>
        </is>
      </c>
      <c r="B81" s="56">
        <f>IF($A81="","",ROUND(SUMIF($D$49:$D$60,$A81,$F$49:$F$60),2))</f>
        <v/>
      </c>
      <c r="C81" s="38" t="n"/>
      <c r="D81" s="56">
        <f>IF($A81="","",ROUND(SUMIF($H$49:$H$60,$A81,$J$49:$J$60),2))</f>
        <v/>
      </c>
      <c r="E81" s="38" t="n"/>
      <c r="F81" s="56">
        <f>IF($A81="","",ROUND(SUMIF($L$49:$L$60,$A81,$N$49:$N$60),2))</f>
        <v/>
      </c>
      <c r="G81" s="38" t="n"/>
      <c r="H81" s="56">
        <f>IF($A81="","",IF($A81=$F$9,IF($D$65="",0,$D$65),0)+IF($A81=$H$66,IF($D$66="",0,$D$66),0))</f>
        <v/>
      </c>
      <c r="I81" s="38" t="n"/>
      <c r="J81" s="88">
        <f>IF($A81="","",ROUND($B81+$D81+$F81+$H81,2))</f>
        <v/>
      </c>
      <c r="K81" s="38" t="n"/>
      <c r="L81" s="38" t="n"/>
      <c r="M81" s="38" t="n"/>
    </row>
    <row r="82" ht="17" customHeight="1">
      <c r="A82" s="87" t="inlineStr">
        <is>
          <t>Bruno</t>
        </is>
      </c>
      <c r="B82" s="56">
        <f>IF($A82="","",ROUND(SUMIF($D$49:$D$60,$A82,$F$49:$F$60),2))</f>
        <v/>
      </c>
      <c r="C82" s="38" t="n"/>
      <c r="D82" s="56">
        <f>IF($A82="","",ROUND(SUMIF($H$49:$H$60,$A82,$J$49:$J$60),2))</f>
        <v/>
      </c>
      <c r="E82" s="38" t="n"/>
      <c r="F82" s="56">
        <f>IF($A82="","",ROUND(SUMIF($L$49:$L$60,$A82,$N$49:$N$60),2))</f>
        <v/>
      </c>
      <c r="G82" s="38" t="n"/>
      <c r="H82" s="56">
        <f>IF($A82="","",IF($A82=$F$9,IF($D$65="",0,$D$65),0)+IF($A82=$H$66,IF($D$66="",0,$D$66),0))</f>
        <v/>
      </c>
      <c r="I82" s="38" t="n"/>
      <c r="J82" s="88">
        <f>IF($A82="","",ROUND($B82+$D82+$F82+$H82,2))</f>
        <v/>
      </c>
      <c r="K82" s="38" t="n"/>
      <c r="L82" s="38" t="n"/>
      <c r="M82" s="38" t="n"/>
    </row>
    <row r="83" ht="17" customHeight="1">
      <c r="A83" s="87" t="inlineStr">
        <is>
          <t>Wallace</t>
        </is>
      </c>
      <c r="B83" s="56">
        <f>IF($A83="","",ROUND(SUMIF($D$49:$D$60,$A83,$F$49:$F$60),2))</f>
        <v/>
      </c>
      <c r="C83" s="38" t="n"/>
      <c r="D83" s="56">
        <f>IF($A83="","",ROUND(SUMIF($H$49:$H$60,$A83,$J$49:$J$60),2))</f>
        <v/>
      </c>
      <c r="E83" s="38" t="n"/>
      <c r="F83" s="56">
        <f>IF($A83="","",ROUND(SUMIF($L$49:$L$60,$A83,$N$49:$N$60),2))</f>
        <v/>
      </c>
      <c r="G83" s="38" t="n"/>
      <c r="H83" s="56">
        <f>IF($A83="","",IF($A83=$F$9,IF($D$65="",0,$D$65),0)+IF($A83=$H$66,IF($D$66="",0,$D$66),0))</f>
        <v/>
      </c>
      <c r="I83" s="38" t="n"/>
      <c r="J83" s="88">
        <f>IF($A83="","",ROUND($B83+$D83+$F83+$H83,2))</f>
        <v/>
      </c>
      <c r="K83" s="38" t="n"/>
      <c r="L83" s="38" t="n"/>
      <c r="M83" s="38" t="n"/>
    </row>
    <row r="84" ht="17" customHeight="1">
      <c r="A84" s="87" t="inlineStr">
        <is>
          <t>Douglas</t>
        </is>
      </c>
      <c r="B84" s="56">
        <f>IF($A84="","",ROUND(SUMIF($D$49:$D$60,$A84,$F$49:$F$60),2))</f>
        <v/>
      </c>
      <c r="C84" s="38" t="n"/>
      <c r="D84" s="56">
        <f>IF($A84="","",ROUND(SUMIF($H$49:$H$60,$A84,$J$49:$J$60),2))</f>
        <v/>
      </c>
      <c r="E84" s="38" t="n"/>
      <c r="F84" s="56">
        <f>IF($A84="","",ROUND(SUMIF($L$49:$L$60,$A84,$N$49:$N$60),2))</f>
        <v/>
      </c>
      <c r="G84" s="38" t="n"/>
      <c r="H84" s="56">
        <f>IF($A84="","",IF($A84=$F$9,IF($D$65="",0,$D$65),0)+IF($A84=$H$66,IF($D$66="",0,$D$66),0))</f>
        <v/>
      </c>
      <c r="I84" s="38" t="n"/>
      <c r="J84" s="88">
        <f>IF($A84="","",ROUND($B84+$D84+$F84+$H84,2))</f>
        <v/>
      </c>
      <c r="K84" s="38" t="n"/>
      <c r="L84" s="38" t="n"/>
      <c r="M84" s="38" t="n"/>
    </row>
    <row r="85" ht="17" customHeight="1">
      <c r="A85" s="87" t="inlineStr">
        <is>
          <t>Terceiro / avulso</t>
        </is>
      </c>
      <c r="B85" s="56">
        <f>IF($A85="","",ROUND(SUMIF($D$49:$D$60,$A85,$F$49:$F$60),2))</f>
        <v/>
      </c>
      <c r="C85" s="38" t="n"/>
      <c r="D85" s="56">
        <f>IF($A85="","",ROUND(SUMIF($H$49:$H$60,$A85,$J$49:$J$60),2))</f>
        <v/>
      </c>
      <c r="E85" s="38" t="n"/>
      <c r="F85" s="56">
        <f>IF($A85="","",ROUND(SUMIF($L$49:$L$60,$A85,$N$49:$N$60),2))</f>
        <v/>
      </c>
      <c r="G85" s="38" t="n"/>
      <c r="H85" s="56">
        <f>IF($A85="","",IF($A85=$F$9,IF($D$65="",0,$D$65),0)+IF($A85=$H$66,IF($D$66="",0,$D$66),0))</f>
        <v/>
      </c>
      <c r="I85" s="38" t="n"/>
      <c r="J85" s="88">
        <f>IF($A85="","",ROUND($B85+$D85+$F85+$H85,2))</f>
        <v/>
      </c>
      <c r="K85" s="38" t="n"/>
      <c r="L85" s="38" t="n"/>
      <c r="M85" s="38" t="n"/>
    </row>
    <row r="86" ht="17" customHeight="1">
      <c r="A86" s="87" t="inlineStr">
        <is>
          <t>Lorrane</t>
        </is>
      </c>
      <c r="B86" s="56">
        <f>IF($A86="","",ROUND(SUMIF($D$49:$D$60,$A86,$F$49:$F$60),2))</f>
        <v/>
      </c>
      <c r="C86" s="38" t="n"/>
      <c r="D86" s="56">
        <f>IF($A86="","",ROUND(SUMIF($H$49:$H$60,$A86,$J$49:$J$60),2))</f>
        <v/>
      </c>
      <c r="E86" s="38" t="n"/>
      <c r="F86" s="56">
        <f>IF($A86="","",ROUND(SUMIF($L$49:$L$60,$A86,$N$49:$N$60),2))</f>
        <v/>
      </c>
      <c r="G86" s="38" t="n"/>
      <c r="H86" s="56">
        <f>IF($A86="","",IF($A86=$F$9,IF($D$65="",0,$D$65),0)+IF($A86=$H$66,IF($D$66="",0,$D$66),0))</f>
        <v/>
      </c>
      <c r="I86" s="38" t="n"/>
      <c r="J86" s="88">
        <f>IF($A86="","",ROUND($B86+$D86+$F86+$H86,2))</f>
        <v/>
      </c>
      <c r="K86" s="38" t="n"/>
      <c r="L86" s="38" t="n"/>
      <c r="M86" s="38" t="n"/>
    </row>
    <row r="87" ht="17" customHeight="1">
      <c r="A87" s="87" t="inlineStr">
        <is>
          <t>Lucas</t>
        </is>
      </c>
      <c r="B87" s="56">
        <f>IF($A87="","",ROUND(SUMIF($D$49:$D$60,$A87,$F$49:$F$60),2))</f>
        <v/>
      </c>
      <c r="C87" s="38" t="n"/>
      <c r="D87" s="56">
        <f>IF($A87="","",ROUND(SUMIF($H$49:$H$60,$A87,$J$49:$J$60),2))</f>
        <v/>
      </c>
      <c r="E87" s="38" t="n"/>
      <c r="F87" s="56">
        <f>IF($A87="","",ROUND(SUMIF($L$49:$L$60,$A87,$N$49:$N$60),2))</f>
        <v/>
      </c>
      <c r="G87" s="38" t="n"/>
      <c r="H87" s="56">
        <f>IF($A87="","",IF($A87=$F$9,IF($D$65="",0,$D$65),0)+IF($A87=$H$66,IF($D$66="",0,$D$66),0))</f>
        <v/>
      </c>
      <c r="I87" s="38" t="n"/>
      <c r="J87" s="88">
        <f>IF($A87="","",ROUND($B87+$D87+$F87+$H87,2))</f>
        <v/>
      </c>
      <c r="K87" s="38" t="n"/>
      <c r="L87" s="38" t="n"/>
      <c r="M87" s="38" t="n"/>
    </row>
    <row r="88" ht="17" customHeight="1">
      <c r="A88" s="87" t="inlineStr">
        <is>
          <t>Externo / avulso</t>
        </is>
      </c>
      <c r="B88" s="56">
        <f>IF($A88="","",ROUND(SUMIF($D$49:$D$60,$A88,$F$49:$F$60),2))</f>
        <v/>
      </c>
      <c r="C88" s="38" t="n"/>
      <c r="D88" s="56">
        <f>IF($A88="","",ROUND(SUMIF($H$49:$H$60,$A88,$J$49:$J$60),2))</f>
        <v/>
      </c>
      <c r="E88" s="38" t="n"/>
      <c r="F88" s="56">
        <f>IF($A88="","",ROUND(SUMIF($L$49:$L$60,$A88,$N$49:$N$60),2))</f>
        <v/>
      </c>
      <c r="G88" s="38" t="n"/>
      <c r="H88" s="56">
        <f>IF($A88="","",IF($A88=$F$9,IF($D$65="",0,$D$65),0)+IF($A88=$H$66,IF($D$66="",0,$D$66),0))</f>
        <v/>
      </c>
      <c r="I88" s="38" t="n"/>
      <c r="J88" s="88">
        <f>IF($A88="","",ROUND($B88+$D88+$F88+$H88,2))</f>
        <v/>
      </c>
      <c r="K88" s="38" t="n"/>
      <c r="L88" s="38" t="n"/>
      <c r="M88" s="38" t="n"/>
    </row>
    <row r="89" ht="17" customHeight="1">
      <c r="A89" s="87" t="inlineStr">
        <is>
          <t>Bruna</t>
        </is>
      </c>
      <c r="B89" s="56">
        <f>IF($A89="","",ROUND(SUMIF($D$49:$D$60,$A89,$F$49:$F$60),2))</f>
        <v/>
      </c>
      <c r="C89" s="38" t="n"/>
      <c r="D89" s="56">
        <f>IF($A89="","",ROUND(SUMIF($H$49:$H$60,$A89,$J$49:$J$60),2))</f>
        <v/>
      </c>
      <c r="E89" s="38" t="n"/>
      <c r="F89" s="56">
        <f>IF($A89="","",ROUND(SUMIF($L$49:$L$60,$A89,$N$49:$N$60),2))</f>
        <v/>
      </c>
      <c r="G89" s="38" t="n"/>
      <c r="H89" s="56">
        <f>IF($A89="","",IF($A89=$F$9,IF($D$65="",0,$D$65),0)+IF($A89=$H$66,IF($D$66="",0,$D$66),0))</f>
        <v/>
      </c>
      <c r="I89" s="38" t="n"/>
      <c r="J89" s="88">
        <f>IF($A89="","",ROUND($B89+$D89+$F89+$H89,2))</f>
        <v/>
      </c>
      <c r="K89" s="38" t="n"/>
      <c r="L89" s="38" t="n"/>
      <c r="M89" s="38" t="n"/>
    </row>
    <row r="90" ht="17" customHeight="1">
      <c r="A90" s="87" t="n"/>
      <c r="B90" s="56">
        <f>IF($A90="","",ROUND(SUMIF($D$49:$D$60,$A90,$F$49:$F$60),2))</f>
        <v/>
      </c>
      <c r="C90" s="38" t="n"/>
      <c r="D90" s="56">
        <f>IF($A90="","",ROUND(SUMIF($H$49:$H$60,$A90,$J$49:$J$60),2))</f>
        <v/>
      </c>
      <c r="E90" s="38" t="n"/>
      <c r="F90" s="56">
        <f>IF($A90="","",ROUND(SUMIF($L$49:$L$60,$A90,$N$49:$N$60),2))</f>
        <v/>
      </c>
      <c r="G90" s="38" t="n"/>
      <c r="H90" s="56">
        <f>IF($A90="","",IF($A90=$F$9,IF($D$65="",0,$D$65),0)+IF($A90=$H$66,IF($D$66="",0,$D$66),0))</f>
        <v/>
      </c>
      <c r="I90" s="38" t="n"/>
      <c r="J90" s="88">
        <f>IF($A90="","",ROUND($B90+$D90+$F90+$H90,2))</f>
        <v/>
      </c>
      <c r="K90" s="38" t="n"/>
      <c r="L90" s="38" t="n"/>
      <c r="M90" s="38" t="n"/>
    </row>
    <row r="91" ht="17" customHeight="1">
      <c r="A91" s="87" t="n"/>
      <c r="B91" s="56">
        <f>IF($A91="","",ROUND(SUMIF($D$49:$D$60,$A91,$F$49:$F$60),2))</f>
        <v/>
      </c>
      <c r="C91" s="38" t="n"/>
      <c r="D91" s="56">
        <f>IF($A91="","",ROUND(SUMIF($H$49:$H$60,$A91,$J$49:$J$60),2))</f>
        <v/>
      </c>
      <c r="E91" s="38" t="n"/>
      <c r="F91" s="56">
        <f>IF($A91="","",ROUND(SUMIF($L$49:$L$60,$A91,$N$49:$N$60),2))</f>
        <v/>
      </c>
      <c r="G91" s="38" t="n"/>
      <c r="H91" s="56">
        <f>IF($A91="","",IF($A91=$F$9,IF($D$65="",0,$D$65),0)+IF($A91=$H$66,IF($D$66="",0,$D$66),0))</f>
        <v/>
      </c>
      <c r="I91" s="38" t="n"/>
      <c r="J91" s="88">
        <f>IF($A91="","",ROUND($B91+$D91+$F91+$H91,2))</f>
        <v/>
      </c>
      <c r="K91" s="38" t="n"/>
      <c r="L91" s="38" t="n"/>
      <c r="M91" s="38" t="n"/>
    </row>
    <row r="92" ht="20" customHeight="1">
      <c r="A92" s="31" t="inlineStr">
        <is>
          <t>TOTAL</t>
        </is>
      </c>
      <c r="B92" s="60">
        <f>ROUND(SUM(B74:B91),2)</f>
        <v/>
      </c>
      <c r="C92" s="32" t="n"/>
      <c r="D92" s="60">
        <f>ROUND(SUM(D74:D91),2)</f>
        <v/>
      </c>
      <c r="E92" s="32" t="n"/>
      <c r="F92" s="60">
        <f>ROUND(SUM(F74:F91),2)</f>
        <v/>
      </c>
      <c r="G92" s="32" t="n"/>
      <c r="H92" s="60">
        <f>ROUND(SUM(H74:H91),2)</f>
        <v/>
      </c>
      <c r="I92" s="32" t="n"/>
      <c r="J92" s="60">
        <f>ROUND(SUM(J74:J91),2)</f>
        <v/>
      </c>
      <c r="K92" s="32" t="n"/>
      <c r="L92" s="32" t="n"/>
      <c r="M92" s="32" t="n"/>
    </row>
    <row r="93" ht="8" customHeight="1"/>
    <row r="94" ht="20" customHeight="1">
      <c r="A94" s="8" t="inlineStr">
        <is>
          <t xml:space="preserve">  6 · MATERIAL, TERCEIRIZADOS E LOGÍSTICA          o orçado você digita · o realizado vem sozinho do livro de lançamentos, lá no fim da ficha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</row>
    <row r="95" ht="30" customHeight="1">
      <c r="A95" s="19" t="inlineStr">
        <is>
          <t>Categoria</t>
        </is>
      </c>
      <c r="B95" s="19" t="inlineStr"/>
      <c r="C95" s="19" t="inlineStr">
        <is>
          <t>Orçado (R$)</t>
        </is>
      </c>
      <c r="D95" s="19" t="inlineStr">
        <is>
          <t>Realizado (R$)</t>
        </is>
      </c>
      <c r="E95" s="19" t="inlineStr">
        <is>
          <t>Desvio (R$)</t>
        </is>
      </c>
      <c r="F95" s="35" t="n"/>
      <c r="G95" s="19" t="inlineStr">
        <is>
          <t>Ainda a comprar</t>
        </is>
      </c>
      <c r="H95" s="19" t="inlineStr">
        <is>
          <t>Comprado, ainda a pagar</t>
        </is>
      </c>
      <c r="I95" s="35" t="n"/>
      <c r="J95" s="35" t="n"/>
      <c r="K95" s="35" t="n"/>
      <c r="L95" s="35" t="n"/>
      <c r="M95" s="35" t="n"/>
      <c r="N95" s="35" t="n"/>
      <c r="O95" s="35" t="n"/>
    </row>
    <row r="96" ht="17" customHeight="1">
      <c r="A96" s="36" t="inlineStr">
        <is>
          <t>MDF e MDP</t>
        </is>
      </c>
      <c r="B96" s="37" t="n"/>
      <c r="C96" s="71" t="n"/>
      <c r="D96" s="56">
        <f>ROUND(SUMIFS($E$134:$E$193,$B$134:$B$193,$A96,$I$134:$I$193,"Comprado (a pagar)")+SUMIFS($E$134:$E$193,$B$134:$B$193,$A96,$I$134:$I$193,"Pago"),2)</f>
        <v/>
      </c>
      <c r="E96" s="56">
        <f>IF($C96="","",ROUND($D96-$C96,2))</f>
        <v/>
      </c>
      <c r="F96" s="38" t="n"/>
      <c r="G96" s="89">
        <f>ROUND(SUMIFS($E$134:$E$193,$B$134:$B$193,$A96,$I$134:$I$193,"A comprar"),2)</f>
        <v/>
      </c>
      <c r="H96" s="90">
        <f>ROUND(SUMIFS($E$134:$E$193,$B$134:$B$193,$A96,$I$134:$I$193,"Comprado (a pagar)"),2)</f>
        <v/>
      </c>
      <c r="I96" s="38" t="n"/>
      <c r="J96" s="38" t="n"/>
      <c r="K96" s="38" t="n"/>
      <c r="L96" s="38" t="n"/>
      <c r="M96" s="38" t="n"/>
      <c r="N96" s="38" t="n"/>
      <c r="O96" s="38" t="n"/>
    </row>
    <row r="97" ht="17" customHeight="1">
      <c r="A97" s="36" t="inlineStr">
        <is>
          <t>Fita de borda</t>
        </is>
      </c>
      <c r="B97" s="37" t="n"/>
      <c r="C97" s="71" t="n"/>
      <c r="D97" s="56">
        <f>ROUND(SUMIFS($E$134:$E$193,$B$134:$B$193,$A97,$I$134:$I$193,"Comprado (a pagar)")+SUMIFS($E$134:$E$193,$B$134:$B$193,$A97,$I$134:$I$193,"Pago"),2)</f>
        <v/>
      </c>
      <c r="E97" s="56">
        <f>IF($C97="","",ROUND($D97-$C97,2))</f>
        <v/>
      </c>
      <c r="F97" s="38" t="n"/>
      <c r="G97" s="89">
        <f>ROUND(SUMIFS($E$134:$E$193,$B$134:$B$193,$A97,$I$134:$I$193,"A comprar"),2)</f>
        <v/>
      </c>
      <c r="H97" s="90">
        <f>ROUND(SUMIFS($E$134:$E$193,$B$134:$B$193,$A97,$I$134:$I$193,"Comprado (a pagar)"),2)</f>
        <v/>
      </c>
      <c r="I97" s="38" t="n"/>
      <c r="J97" s="38" t="n"/>
      <c r="K97" s="38" t="n"/>
      <c r="L97" s="38" t="n"/>
      <c r="M97" s="38" t="n"/>
      <c r="N97" s="38" t="n"/>
      <c r="O97" s="38" t="n"/>
    </row>
    <row r="98" ht="17" customHeight="1">
      <c r="A98" s="36" t="inlineStr">
        <is>
          <t>Ferragens</t>
        </is>
      </c>
      <c r="B98" s="37" t="n"/>
      <c r="C98" s="71" t="n"/>
      <c r="D98" s="56">
        <f>ROUND(SUMIFS($E$134:$E$193,$B$134:$B$193,$A98,$I$134:$I$193,"Comprado (a pagar)")+SUMIFS($E$134:$E$193,$B$134:$B$193,$A98,$I$134:$I$193,"Pago"),2)</f>
        <v/>
      </c>
      <c r="E98" s="56">
        <f>IF($C98="","",ROUND($D98-$C98,2))</f>
        <v/>
      </c>
      <c r="F98" s="38" t="n"/>
      <c r="G98" s="89">
        <f>ROUND(SUMIFS($E$134:$E$193,$B$134:$B$193,$A98,$I$134:$I$193,"A comprar"),2)</f>
        <v/>
      </c>
      <c r="H98" s="90">
        <f>ROUND(SUMIFS($E$134:$E$193,$B$134:$B$193,$A98,$I$134:$I$193,"Comprado (a pagar)"),2)</f>
        <v/>
      </c>
      <c r="I98" s="38" t="n"/>
      <c r="J98" s="38" t="n"/>
      <c r="K98" s="38" t="n"/>
      <c r="L98" s="38" t="n"/>
      <c r="M98" s="38" t="n"/>
      <c r="N98" s="38" t="n"/>
      <c r="O98" s="38" t="n"/>
    </row>
    <row r="99" ht="17" customHeight="1">
      <c r="A99" s="36" t="inlineStr">
        <is>
          <t>Vidros e espelhos</t>
        </is>
      </c>
      <c r="B99" s="37" t="n"/>
      <c r="C99" s="71" t="n"/>
      <c r="D99" s="56">
        <f>ROUND(SUMIFS($E$134:$E$193,$B$134:$B$193,$A99,$I$134:$I$193,"Comprado (a pagar)")+SUMIFS($E$134:$E$193,$B$134:$B$193,$A99,$I$134:$I$193,"Pago"),2)</f>
        <v/>
      </c>
      <c r="E99" s="56">
        <f>IF($C99="","",ROUND($D99-$C99,2))</f>
        <v/>
      </c>
      <c r="F99" s="38" t="n"/>
      <c r="G99" s="89">
        <f>ROUND(SUMIFS($E$134:$E$193,$B$134:$B$193,$A99,$I$134:$I$193,"A comprar"),2)</f>
        <v/>
      </c>
      <c r="H99" s="90">
        <f>ROUND(SUMIFS($E$134:$E$193,$B$134:$B$193,$A99,$I$134:$I$193,"Comprado (a pagar)"),2)</f>
        <v/>
      </c>
      <c r="I99" s="38" t="n"/>
      <c r="J99" s="38" t="n"/>
      <c r="K99" s="38" t="n"/>
      <c r="L99" s="38" t="n"/>
      <c r="M99" s="38" t="n"/>
      <c r="N99" s="38" t="n"/>
      <c r="O99" s="38" t="n"/>
    </row>
    <row r="100" ht="17" customHeight="1">
      <c r="A100" s="36" t="inlineStr">
        <is>
          <t>Esquadrias</t>
        </is>
      </c>
      <c r="B100" s="37" t="n"/>
      <c r="C100" s="71" t="n"/>
      <c r="D100" s="56">
        <f>ROUND(SUMIFS($E$134:$E$193,$B$134:$B$193,$A100,$I$134:$I$193,"Comprado (a pagar)")+SUMIFS($E$134:$E$193,$B$134:$B$193,$A100,$I$134:$I$193,"Pago"),2)</f>
        <v/>
      </c>
      <c r="E100" s="56">
        <f>IF($C100="","",ROUND($D100-$C100,2))</f>
        <v/>
      </c>
      <c r="F100" s="38" t="n"/>
      <c r="G100" s="89">
        <f>ROUND(SUMIFS($E$134:$E$193,$B$134:$B$193,$A100,$I$134:$I$193,"A comprar"),2)</f>
        <v/>
      </c>
      <c r="H100" s="90">
        <f>ROUND(SUMIFS($E$134:$E$193,$B$134:$B$193,$A100,$I$134:$I$193,"Comprado (a pagar)"),2)</f>
        <v/>
      </c>
      <c r="I100" s="38" t="n"/>
      <c r="J100" s="38" t="n"/>
      <c r="K100" s="38" t="n"/>
      <c r="L100" s="38" t="n"/>
      <c r="M100" s="38" t="n"/>
      <c r="N100" s="38" t="n"/>
      <c r="O100" s="38" t="n"/>
    </row>
    <row r="101" ht="17" customHeight="1">
      <c r="A101" s="36" t="inlineStr">
        <is>
          <t>Lâmina natural</t>
        </is>
      </c>
      <c r="B101" s="37" t="n"/>
      <c r="C101" s="71" t="n"/>
      <c r="D101" s="56">
        <f>ROUND(SUMIFS($E$134:$E$193,$B$134:$B$193,$A101,$I$134:$I$193,"Comprado (a pagar)")+SUMIFS($E$134:$E$193,$B$134:$B$193,$A101,$I$134:$I$193,"Pago"),2)</f>
        <v/>
      </c>
      <c r="E101" s="56">
        <f>IF($C101="","",ROUND($D101-$C101,2))</f>
        <v/>
      </c>
      <c r="F101" s="38" t="n"/>
      <c r="G101" s="89">
        <f>ROUND(SUMIFS($E$134:$E$193,$B$134:$B$193,$A101,$I$134:$I$193,"A comprar"),2)</f>
        <v/>
      </c>
      <c r="H101" s="90">
        <f>ROUND(SUMIFS($E$134:$E$193,$B$134:$B$193,$A101,$I$134:$I$193,"Comprado (a pagar)"),2)</f>
        <v/>
      </c>
      <c r="I101" s="38" t="n"/>
      <c r="J101" s="38" t="n"/>
      <c r="K101" s="38" t="n"/>
      <c r="L101" s="38" t="n"/>
      <c r="M101" s="38" t="n"/>
      <c r="N101" s="38" t="n"/>
      <c r="O101" s="38" t="n"/>
    </row>
    <row r="102" ht="17" customHeight="1">
      <c r="A102" s="36" t="inlineStr">
        <is>
          <t>Consumíveis</t>
        </is>
      </c>
      <c r="B102" s="37" t="n"/>
      <c r="C102" s="71" t="n"/>
      <c r="D102" s="56">
        <f>ROUND(SUMIFS($E$134:$E$193,$B$134:$B$193,$A102,$I$134:$I$193,"Comprado (a pagar)")+SUMIFS($E$134:$E$193,$B$134:$B$193,$A102,$I$134:$I$193,"Pago"),2)</f>
        <v/>
      </c>
      <c r="E102" s="56">
        <f>IF($C102="","",ROUND($D102-$C102,2))</f>
        <v/>
      </c>
      <c r="F102" s="38" t="n"/>
      <c r="G102" s="89">
        <f>ROUND(SUMIFS($E$134:$E$193,$B$134:$B$193,$A102,$I$134:$I$193,"A comprar"),2)</f>
        <v/>
      </c>
      <c r="H102" s="90">
        <f>ROUND(SUMIFS($E$134:$E$193,$B$134:$B$193,$A102,$I$134:$I$193,"Comprado (a pagar)"),2)</f>
        <v/>
      </c>
      <c r="I102" s="38" t="n"/>
      <c r="J102" s="38" t="n"/>
      <c r="K102" s="38" t="n"/>
      <c r="L102" s="38" t="n"/>
      <c r="M102" s="38" t="n"/>
      <c r="N102" s="38" t="n"/>
      <c r="O102" s="38" t="n"/>
    </row>
    <row r="103" ht="20" customHeight="1">
      <c r="A103" s="31" t="inlineStr">
        <is>
          <t>(=) SUBTOTAL · MATERIAL</t>
        </is>
      </c>
      <c r="B103" s="32" t="n"/>
      <c r="C103" s="60">
        <f>ROUND(SUM(C96:C102),2)</f>
        <v/>
      </c>
      <c r="D103" s="60">
        <f>ROUND(SUM(D96:D102),2)</f>
        <v/>
      </c>
      <c r="E103" s="60">
        <f>ROUND(SUM(E96:E102),2)</f>
        <v/>
      </c>
      <c r="F103" s="32" t="n"/>
      <c r="G103" s="60">
        <f>ROUND(SUM(G96:G102),2)</f>
        <v/>
      </c>
      <c r="H103" s="60">
        <f>ROUND(SUM(H96:H102),2)</f>
        <v/>
      </c>
      <c r="I103" s="32" t="n"/>
      <c r="J103" s="32" t="n"/>
      <c r="K103" s="32" t="n"/>
      <c r="L103" s="32" t="n"/>
      <c r="M103" s="32" t="n"/>
      <c r="N103" s="32" t="n"/>
      <c r="O103" s="32" t="n"/>
    </row>
    <row r="104" ht="17" customHeight="1">
      <c r="A104" s="36" t="inlineStr">
        <is>
          <t>Acabamento</t>
        </is>
      </c>
      <c r="B104" s="37" t="n"/>
      <c r="C104" s="71" t="n"/>
      <c r="D104" s="56">
        <f>ROUND(SUMIFS($E$134:$E$193,$B$134:$B$193,$A104,$I$134:$I$193,"Comprado (a pagar)")+SUMIFS($E$134:$E$193,$B$134:$B$193,$A104,$I$134:$I$193,"Pago"),2)</f>
        <v/>
      </c>
      <c r="E104" s="56">
        <f>IF($C104="","",ROUND($D104-$C104,2))</f>
        <v/>
      </c>
      <c r="F104" s="38" t="n"/>
      <c r="G104" s="89">
        <f>ROUND(SUMIFS($E$134:$E$193,$B$134:$B$193,$A104,$I$134:$I$193,"A comprar"),2)</f>
        <v/>
      </c>
      <c r="H104" s="90">
        <f>ROUND(SUMIFS($E$134:$E$193,$B$134:$B$193,$A104,$I$134:$I$193,"Comprado (a pagar)"),2)</f>
        <v/>
      </c>
      <c r="I104" s="38" t="n"/>
      <c r="J104" s="38" t="n"/>
      <c r="K104" s="38" t="n"/>
      <c r="L104" s="38" t="n"/>
      <c r="M104" s="38" t="n"/>
      <c r="N104" s="38" t="n"/>
      <c r="O104" s="38" t="n"/>
    </row>
    <row r="105" ht="17" customHeight="1">
      <c r="A105" s="36" t="inlineStr">
        <is>
          <t>Serralheria</t>
        </is>
      </c>
      <c r="B105" s="37" t="n"/>
      <c r="C105" s="71" t="n"/>
      <c r="D105" s="56">
        <f>ROUND(SUMIFS($E$134:$E$193,$B$134:$B$193,$A105,$I$134:$I$193,"Comprado (a pagar)")+SUMIFS($E$134:$E$193,$B$134:$B$193,$A105,$I$134:$I$193,"Pago"),2)</f>
        <v/>
      </c>
      <c r="E105" s="56">
        <f>IF($C105="","",ROUND($D105-$C105,2))</f>
        <v/>
      </c>
      <c r="F105" s="38" t="n"/>
      <c r="G105" s="89">
        <f>ROUND(SUMIFS($E$134:$E$193,$B$134:$B$193,$A105,$I$134:$I$193,"A comprar"),2)</f>
        <v/>
      </c>
      <c r="H105" s="90">
        <f>ROUND(SUMIFS($E$134:$E$193,$B$134:$B$193,$A105,$I$134:$I$193,"Comprado (a pagar)"),2)</f>
        <v/>
      </c>
      <c r="I105" s="38" t="n"/>
      <c r="J105" s="38" t="n"/>
      <c r="K105" s="38" t="n"/>
      <c r="L105" s="38" t="n"/>
      <c r="M105" s="38" t="n"/>
      <c r="N105" s="38" t="n"/>
      <c r="O105" s="38" t="n"/>
    </row>
    <row r="106" ht="17" customHeight="1">
      <c r="A106" s="36" t="inlineStr">
        <is>
          <t>Vidraceiro</t>
        </is>
      </c>
      <c r="B106" s="37" t="n"/>
      <c r="C106" s="71" t="n"/>
      <c r="D106" s="56">
        <f>ROUND(SUMIFS($E$134:$E$193,$B$134:$B$193,$A106,$I$134:$I$193,"Comprado (a pagar)")+SUMIFS($E$134:$E$193,$B$134:$B$193,$A106,$I$134:$I$193,"Pago"),2)</f>
        <v/>
      </c>
      <c r="E106" s="56">
        <f>IF($C106="","",ROUND($D106-$C106,2))</f>
        <v/>
      </c>
      <c r="F106" s="38" t="n"/>
      <c r="G106" s="89">
        <f>ROUND(SUMIFS($E$134:$E$193,$B$134:$B$193,$A106,$I$134:$I$193,"A comprar"),2)</f>
        <v/>
      </c>
      <c r="H106" s="90">
        <f>ROUND(SUMIFS($E$134:$E$193,$B$134:$B$193,$A106,$I$134:$I$193,"Comprado (a pagar)"),2)</f>
        <v/>
      </c>
      <c r="I106" s="38" t="n"/>
      <c r="J106" s="38" t="n"/>
      <c r="K106" s="38" t="n"/>
      <c r="L106" s="38" t="n"/>
      <c r="M106" s="38" t="n"/>
      <c r="N106" s="38" t="n"/>
      <c r="O106" s="38" t="n"/>
    </row>
    <row r="107" ht="17" customHeight="1">
      <c r="A107" s="36" t="inlineStr">
        <is>
          <t>Outro terceirizado</t>
        </is>
      </c>
      <c r="B107" s="37" t="n"/>
      <c r="C107" s="71" t="n"/>
      <c r="D107" s="56">
        <f>ROUND(SUMIFS($E$134:$E$193,$B$134:$B$193,$A107,$I$134:$I$193,"Comprado (a pagar)")+SUMIFS($E$134:$E$193,$B$134:$B$193,$A107,$I$134:$I$193,"Pago"),2)</f>
        <v/>
      </c>
      <c r="E107" s="56">
        <f>IF($C107="","",ROUND($D107-$C107,2))</f>
        <v/>
      </c>
      <c r="F107" s="38" t="n"/>
      <c r="G107" s="89">
        <f>ROUND(SUMIFS($E$134:$E$193,$B$134:$B$193,$A107,$I$134:$I$193,"A comprar"),2)</f>
        <v/>
      </c>
      <c r="H107" s="90">
        <f>ROUND(SUMIFS($E$134:$E$193,$B$134:$B$193,$A107,$I$134:$I$193,"Comprado (a pagar)"),2)</f>
        <v/>
      </c>
      <c r="I107" s="38" t="n"/>
      <c r="J107" s="38" t="n"/>
      <c r="K107" s="38" t="n"/>
      <c r="L107" s="38" t="n"/>
      <c r="M107" s="38" t="n"/>
      <c r="N107" s="38" t="n"/>
      <c r="O107" s="38" t="n"/>
    </row>
    <row r="108" ht="20" customHeight="1">
      <c r="A108" s="31" t="inlineStr">
        <is>
          <t>(=) SUBTOTAL · SERVIÇOS TERCEIRIZADOS</t>
        </is>
      </c>
      <c r="B108" s="32" t="n"/>
      <c r="C108" s="60">
        <f>ROUND(SUM(C104:C107),2)</f>
        <v/>
      </c>
      <c r="D108" s="60">
        <f>ROUND(SUM(D104:D107),2)</f>
        <v/>
      </c>
      <c r="E108" s="60">
        <f>ROUND(SUM(E104:E107),2)</f>
        <v/>
      </c>
      <c r="F108" s="32" t="n"/>
      <c r="G108" s="60">
        <f>ROUND(SUM(G104:G107),2)</f>
        <v/>
      </c>
      <c r="H108" s="60">
        <f>ROUND(SUM(H104:H107),2)</f>
        <v/>
      </c>
      <c r="I108" s="32" t="n"/>
      <c r="J108" s="32" t="n"/>
      <c r="K108" s="32" t="n"/>
      <c r="L108" s="32" t="n"/>
      <c r="M108" s="32" t="n"/>
      <c r="N108" s="32" t="n"/>
      <c r="O108" s="32" t="n"/>
    </row>
    <row r="109" ht="17" customHeight="1">
      <c r="A109" s="36" t="inlineStr">
        <is>
          <t>Uber e aplicativo</t>
        </is>
      </c>
      <c r="B109" s="37" t="n"/>
      <c r="C109" s="71" t="n"/>
      <c r="D109" s="56">
        <f>ROUND(SUMIFS($E$134:$E$193,$B$134:$B$193,$A109,$I$134:$I$193,"Comprado (a pagar)")+SUMIFS($E$134:$E$193,$B$134:$B$193,$A109,$I$134:$I$193,"Pago"),2)</f>
        <v/>
      </c>
      <c r="E109" s="56">
        <f>IF($C109="","",ROUND($D109-$C109,2))</f>
        <v/>
      </c>
      <c r="F109" s="38" t="n"/>
      <c r="G109" s="89">
        <f>ROUND(SUMIFS($E$134:$E$193,$B$134:$B$193,$A109,$I$134:$I$193,"A comprar"),2)</f>
        <v/>
      </c>
      <c r="H109" s="90">
        <f>ROUND(SUMIFS($E$134:$E$193,$B$134:$B$193,$A109,$I$134:$I$193,"Comprado (a pagar)"),2)</f>
        <v/>
      </c>
      <c r="I109" s="38" t="n"/>
      <c r="J109" s="38" t="n"/>
      <c r="K109" s="38" t="n"/>
      <c r="L109" s="38" t="n"/>
      <c r="M109" s="38" t="n"/>
      <c r="N109" s="38" t="n"/>
      <c r="O109" s="38" t="n"/>
    </row>
    <row r="110" ht="17" customHeight="1">
      <c r="A110" s="36" t="inlineStr">
        <is>
          <t>Carreto e entrega</t>
        </is>
      </c>
      <c r="B110" s="37" t="n"/>
      <c r="C110" s="71" t="n"/>
      <c r="D110" s="56">
        <f>ROUND(SUMIFS($E$134:$E$193,$B$134:$B$193,$A110,$I$134:$I$193,"Comprado (a pagar)")+SUMIFS($E$134:$E$193,$B$134:$B$193,$A110,$I$134:$I$193,"Pago"),2)</f>
        <v/>
      </c>
      <c r="E110" s="56">
        <f>IF($C110="","",ROUND($D110-$C110,2))</f>
        <v/>
      </c>
      <c r="F110" s="38" t="n"/>
      <c r="G110" s="89">
        <f>ROUND(SUMIFS($E$134:$E$193,$B$134:$B$193,$A110,$I$134:$I$193,"A comprar"),2)</f>
        <v/>
      </c>
      <c r="H110" s="90">
        <f>ROUND(SUMIFS($E$134:$E$193,$B$134:$B$193,$A110,$I$134:$I$193,"Comprado (a pagar)"),2)</f>
        <v/>
      </c>
      <c r="I110" s="38" t="n"/>
      <c r="J110" s="38" t="n"/>
      <c r="K110" s="38" t="n"/>
      <c r="L110" s="38" t="n"/>
      <c r="M110" s="38" t="n"/>
      <c r="N110" s="38" t="n"/>
      <c r="O110" s="38" t="n"/>
    </row>
    <row r="111" ht="17" customHeight="1">
      <c r="A111" s="36" t="inlineStr">
        <is>
          <t>Deslocamento da equipe</t>
        </is>
      </c>
      <c r="B111" s="37" t="n"/>
      <c r="C111" s="71" t="n"/>
      <c r="D111" s="56">
        <f>ROUND(SUMIFS($E$134:$E$193,$B$134:$B$193,$A111,$I$134:$I$193,"Comprado (a pagar)")+SUMIFS($E$134:$E$193,$B$134:$B$193,$A111,$I$134:$I$193,"Pago"),2)</f>
        <v/>
      </c>
      <c r="E111" s="56">
        <f>IF($C111="","",ROUND($D111-$C111,2))</f>
        <v/>
      </c>
      <c r="F111" s="38" t="n"/>
      <c r="G111" s="89">
        <f>ROUND(SUMIFS($E$134:$E$193,$B$134:$B$193,$A111,$I$134:$I$193,"A comprar"),2)</f>
        <v/>
      </c>
      <c r="H111" s="90">
        <f>ROUND(SUMIFS($E$134:$E$193,$B$134:$B$193,$A111,$I$134:$I$193,"Comprado (a pagar)"),2)</f>
        <v/>
      </c>
      <c r="I111" s="38" t="n"/>
      <c r="J111" s="38" t="n"/>
      <c r="K111" s="38" t="n"/>
      <c r="L111" s="38" t="n"/>
      <c r="M111" s="38" t="n"/>
      <c r="N111" s="38" t="n"/>
      <c r="O111" s="38" t="n"/>
    </row>
    <row r="112" ht="17" customHeight="1">
      <c r="A112" s="36" t="inlineStr">
        <is>
          <t>Frete de material</t>
        </is>
      </c>
      <c r="B112" s="37" t="n"/>
      <c r="C112" s="71" t="n"/>
      <c r="D112" s="56">
        <f>ROUND(SUMIFS($E$134:$E$193,$B$134:$B$193,$A112,$I$134:$I$193,"Comprado (a pagar)")+SUMIFS($E$134:$E$193,$B$134:$B$193,$A112,$I$134:$I$193,"Pago"),2)</f>
        <v/>
      </c>
      <c r="E112" s="56">
        <f>IF($C112="","",ROUND($D112-$C112,2))</f>
        <v/>
      </c>
      <c r="F112" s="38" t="n"/>
      <c r="G112" s="89">
        <f>ROUND(SUMIFS($E$134:$E$193,$B$134:$B$193,$A112,$I$134:$I$193,"A comprar"),2)</f>
        <v/>
      </c>
      <c r="H112" s="90">
        <f>ROUND(SUMIFS($E$134:$E$193,$B$134:$B$193,$A112,$I$134:$I$193,"Comprado (a pagar)"),2)</f>
        <v/>
      </c>
      <c r="I112" s="38" t="n"/>
      <c r="J112" s="38" t="n"/>
      <c r="K112" s="38" t="n"/>
      <c r="L112" s="38" t="n"/>
      <c r="M112" s="38" t="n"/>
      <c r="N112" s="38" t="n"/>
      <c r="O112" s="38" t="n"/>
    </row>
    <row r="113" ht="17" customHeight="1">
      <c r="A113" s="36" t="inlineStr">
        <is>
          <t>Estacionamento e pedágio</t>
        </is>
      </c>
      <c r="B113" s="37" t="n"/>
      <c r="C113" s="71" t="n"/>
      <c r="D113" s="56">
        <f>ROUND(SUMIFS($E$134:$E$193,$B$134:$B$193,$A113,$I$134:$I$193,"Comprado (a pagar)")+SUMIFS($E$134:$E$193,$B$134:$B$193,$A113,$I$134:$I$193,"Pago"),2)</f>
        <v/>
      </c>
      <c r="E113" s="56">
        <f>IF($C113="","",ROUND($D113-$C113,2))</f>
        <v/>
      </c>
      <c r="F113" s="38" t="n"/>
      <c r="G113" s="89">
        <f>ROUND(SUMIFS($E$134:$E$193,$B$134:$B$193,$A113,$I$134:$I$193,"A comprar"),2)</f>
        <v/>
      </c>
      <c r="H113" s="90">
        <f>ROUND(SUMIFS($E$134:$E$193,$B$134:$B$193,$A113,$I$134:$I$193,"Comprado (a pagar)"),2)</f>
        <v/>
      </c>
      <c r="I113" s="38" t="n"/>
      <c r="J113" s="38" t="n"/>
      <c r="K113" s="38" t="n"/>
      <c r="L113" s="38" t="n"/>
      <c r="M113" s="38" t="n"/>
      <c r="N113" s="38" t="n"/>
      <c r="O113" s="38" t="n"/>
    </row>
    <row r="114" ht="20" customHeight="1">
      <c r="A114" s="31" t="inlineStr">
        <is>
          <t>(=) SUBTOTAL · LOGÍSTICA</t>
        </is>
      </c>
      <c r="B114" s="32" t="n"/>
      <c r="C114" s="60">
        <f>ROUND(SUM(C109:C113),2)</f>
        <v/>
      </c>
      <c r="D114" s="60">
        <f>ROUND(SUM(D109:D113),2)</f>
        <v/>
      </c>
      <c r="E114" s="60">
        <f>ROUND(SUM(E109:E113),2)</f>
        <v/>
      </c>
      <c r="F114" s="32" t="n"/>
      <c r="G114" s="60">
        <f>ROUND(SUM(G109:G113),2)</f>
        <v/>
      </c>
      <c r="H114" s="60">
        <f>ROUND(SUM(H109:H113),2)</f>
        <v/>
      </c>
      <c r="I114" s="32" t="n"/>
      <c r="J114" s="32" t="n"/>
      <c r="K114" s="32" t="n"/>
      <c r="L114" s="32" t="n"/>
      <c r="M114" s="32" t="n"/>
      <c r="N114" s="32" t="n"/>
      <c r="O114" s="32" t="n"/>
    </row>
    <row r="115" ht="8" customHeight="1"/>
    <row r="116" ht="20" customHeight="1">
      <c r="A116" s="8" t="inlineStr">
        <is>
          <t xml:space="preserve">  7 · RETRABALHO          o que aconteceu, por que aconteceu e quanto custou — é aqui que o orçamento aprende</t>
        </is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</row>
    <row r="117" ht="26" customHeight="1">
      <c r="A117" s="19" t="inlineStr">
        <is>
          <t>O que aconteceu</t>
        </is>
      </c>
      <c r="B117" s="19" t="inlineStr">
        <is>
          <t>Causa</t>
        </is>
      </c>
      <c r="C117" s="35" t="n"/>
      <c r="D117" s="35" t="n"/>
      <c r="E117" s="19" t="inlineStr">
        <is>
          <t>Custo estimado (R$)</t>
        </is>
      </c>
      <c r="F117" s="35" t="n"/>
      <c r="G117" s="19" t="inlineStr">
        <is>
          <t>Providência / responsável</t>
        </is>
      </c>
      <c r="H117" s="35" t="n"/>
      <c r="I117" s="35" t="n"/>
      <c r="J117" s="35" t="n"/>
      <c r="K117" s="35" t="n"/>
      <c r="L117" s="35" t="n"/>
      <c r="M117" s="35" t="n"/>
      <c r="N117" s="35" t="n"/>
      <c r="O117" s="35" t="n"/>
    </row>
    <row r="118" ht="18" customHeight="1">
      <c r="A118" s="83" t="n"/>
      <c r="B118" s="83" t="n"/>
      <c r="C118" s="46" t="n"/>
      <c r="D118" s="46" t="n"/>
      <c r="E118" s="91" t="n"/>
      <c r="F118" s="46" t="n"/>
      <c r="G118" s="73" t="n"/>
      <c r="H118" s="46" t="n"/>
      <c r="I118" s="46" t="n"/>
      <c r="J118" s="46" t="n"/>
      <c r="K118" s="46" t="n"/>
      <c r="L118" s="46" t="n"/>
      <c r="M118" s="46" t="n"/>
      <c r="N118" s="46" t="n"/>
      <c r="O118" s="46" t="n"/>
    </row>
    <row r="119" ht="18" customHeight="1">
      <c r="A119" s="83" t="n"/>
      <c r="B119" s="83" t="n"/>
      <c r="C119" s="46" t="n"/>
      <c r="D119" s="46" t="n"/>
      <c r="E119" s="91" t="n"/>
      <c r="F119" s="46" t="n"/>
      <c r="G119" s="73" t="n"/>
      <c r="H119" s="46" t="n"/>
      <c r="I119" s="46" t="n"/>
      <c r="J119" s="46" t="n"/>
      <c r="K119" s="46" t="n"/>
      <c r="L119" s="46" t="n"/>
      <c r="M119" s="46" t="n"/>
      <c r="N119" s="46" t="n"/>
      <c r="O119" s="46" t="n"/>
    </row>
    <row r="120" ht="18" customHeight="1">
      <c r="A120" s="83" t="n"/>
      <c r="B120" s="83" t="n"/>
      <c r="C120" s="46" t="n"/>
      <c r="D120" s="46" t="n"/>
      <c r="E120" s="91" t="n"/>
      <c r="F120" s="46" t="n"/>
      <c r="G120" s="73" t="n"/>
      <c r="H120" s="46" t="n"/>
      <c r="I120" s="46" t="n"/>
      <c r="J120" s="46" t="n"/>
      <c r="K120" s="46" t="n"/>
      <c r="L120" s="46" t="n"/>
      <c r="M120" s="46" t="n"/>
      <c r="N120" s="46" t="n"/>
      <c r="O120" s="46" t="n"/>
    </row>
    <row r="121" ht="18" customHeight="1">
      <c r="A121" s="83" t="n"/>
      <c r="B121" s="83" t="n"/>
      <c r="C121" s="46" t="n"/>
      <c r="D121" s="46" t="n"/>
      <c r="E121" s="91" t="n"/>
      <c r="F121" s="46" t="n"/>
      <c r="G121" s="73" t="n"/>
      <c r="H121" s="46" t="n"/>
      <c r="I121" s="46" t="n"/>
      <c r="J121" s="46" t="n"/>
      <c r="K121" s="46" t="n"/>
      <c r="L121" s="46" t="n"/>
      <c r="M121" s="46" t="n"/>
      <c r="N121" s="46" t="n"/>
      <c r="O121" s="46" t="n"/>
    </row>
    <row r="122" ht="18" customHeight="1">
      <c r="A122" s="83" t="n"/>
      <c r="B122" s="83" t="n"/>
      <c r="C122" s="46" t="n"/>
      <c r="D122" s="46" t="n"/>
      <c r="E122" s="91" t="n"/>
      <c r="F122" s="46" t="n"/>
      <c r="G122" s="73" t="n"/>
      <c r="H122" s="46" t="n"/>
      <c r="I122" s="46" t="n"/>
      <c r="J122" s="46" t="n"/>
      <c r="K122" s="46" t="n"/>
      <c r="L122" s="46" t="n"/>
      <c r="M122" s="46" t="n"/>
      <c r="N122" s="46" t="n"/>
      <c r="O122" s="46" t="n"/>
    </row>
    <row r="123" ht="18" customHeight="1">
      <c r="A123" s="83" t="n"/>
      <c r="B123" s="83" t="n"/>
      <c r="C123" s="46" t="n"/>
      <c r="D123" s="46" t="n"/>
      <c r="E123" s="91" t="n"/>
      <c r="F123" s="46" t="n"/>
      <c r="G123" s="73" t="n"/>
      <c r="H123" s="46" t="n"/>
      <c r="I123" s="46" t="n"/>
      <c r="J123" s="46" t="n"/>
      <c r="K123" s="46" t="n"/>
      <c r="L123" s="46" t="n"/>
      <c r="M123" s="46" t="n"/>
      <c r="N123" s="46" t="n"/>
      <c r="O123" s="46" t="n"/>
    </row>
    <row r="124" ht="18" customHeight="1">
      <c r="A124" s="83" t="n"/>
      <c r="B124" s="83" t="n"/>
      <c r="C124" s="46" t="n"/>
      <c r="D124" s="46" t="n"/>
      <c r="E124" s="91" t="n"/>
      <c r="F124" s="46" t="n"/>
      <c r="G124" s="73" t="n"/>
      <c r="H124" s="46" t="n"/>
      <c r="I124" s="46" t="n"/>
      <c r="J124" s="46" t="n"/>
      <c r="K124" s="46" t="n"/>
      <c r="L124" s="46" t="n"/>
      <c r="M124" s="46" t="n"/>
      <c r="N124" s="46" t="n"/>
      <c r="O124" s="46" t="n"/>
    </row>
    <row r="125" ht="18" customHeight="1">
      <c r="A125" s="83" t="n"/>
      <c r="B125" s="83" t="n"/>
      <c r="C125" s="46" t="n"/>
      <c r="D125" s="46" t="n"/>
      <c r="E125" s="91" t="n"/>
      <c r="F125" s="46" t="n"/>
      <c r="G125" s="73" t="n"/>
      <c r="H125" s="46" t="n"/>
      <c r="I125" s="46" t="n"/>
      <c r="J125" s="46" t="n"/>
      <c r="K125" s="46" t="n"/>
      <c r="L125" s="46" t="n"/>
      <c r="M125" s="46" t="n"/>
      <c r="N125" s="46" t="n"/>
      <c r="O125" s="46" t="n"/>
    </row>
    <row r="126" ht="18" customHeight="1">
      <c r="A126" s="83" t="n"/>
      <c r="B126" s="83" t="n"/>
      <c r="C126" s="46" t="n"/>
      <c r="D126" s="46" t="n"/>
      <c r="E126" s="91" t="n"/>
      <c r="F126" s="46" t="n"/>
      <c r="G126" s="73" t="n"/>
      <c r="H126" s="46" t="n"/>
      <c r="I126" s="46" t="n"/>
      <c r="J126" s="46" t="n"/>
      <c r="K126" s="46" t="n"/>
      <c r="L126" s="46" t="n"/>
      <c r="M126" s="46" t="n"/>
      <c r="N126" s="46" t="n"/>
      <c r="O126" s="46" t="n"/>
    </row>
    <row r="127" ht="18" customHeight="1">
      <c r="A127" s="83" t="n"/>
      <c r="B127" s="83" t="n"/>
      <c r="C127" s="46" t="n"/>
      <c r="D127" s="46" t="n"/>
      <c r="E127" s="91" t="n"/>
      <c r="F127" s="46" t="n"/>
      <c r="G127" s="73" t="n"/>
      <c r="H127" s="46" t="n"/>
      <c r="I127" s="46" t="n"/>
      <c r="J127" s="46" t="n"/>
      <c r="K127" s="46" t="n"/>
      <c r="L127" s="46" t="n"/>
      <c r="M127" s="46" t="n"/>
      <c r="N127" s="46" t="n"/>
      <c r="O127" s="46" t="n"/>
    </row>
    <row r="128" ht="18" customHeight="1">
      <c r="A128" s="83" t="n"/>
      <c r="B128" s="83" t="n"/>
      <c r="C128" s="46" t="n"/>
      <c r="D128" s="46" t="n"/>
      <c r="E128" s="91" t="n"/>
      <c r="F128" s="46" t="n"/>
      <c r="G128" s="73" t="n"/>
      <c r="H128" s="46" t="n"/>
      <c r="I128" s="46" t="n"/>
      <c r="J128" s="46" t="n"/>
      <c r="K128" s="46" t="n"/>
      <c r="L128" s="46" t="n"/>
      <c r="M128" s="46" t="n"/>
      <c r="N128" s="46" t="n"/>
      <c r="O128" s="46" t="n"/>
    </row>
    <row r="129" ht="18" customHeight="1">
      <c r="A129" s="83" t="n"/>
      <c r="B129" s="83" t="n"/>
      <c r="C129" s="46" t="n"/>
      <c r="D129" s="46" t="n"/>
      <c r="E129" s="91" t="n"/>
      <c r="F129" s="46" t="n"/>
      <c r="G129" s="73" t="n"/>
      <c r="H129" s="46" t="n"/>
      <c r="I129" s="46" t="n"/>
      <c r="J129" s="46" t="n"/>
      <c r="K129" s="46" t="n"/>
      <c r="L129" s="46" t="n"/>
      <c r="M129" s="46" t="n"/>
      <c r="N129" s="46" t="n"/>
      <c r="O129" s="46" t="n"/>
    </row>
    <row r="130" ht="20" customHeight="1">
      <c r="A130" s="31" t="inlineStr">
        <is>
          <t>CONTINGÊNCIA PREVISTA NO ORÇAMENTO  →</t>
        </is>
      </c>
      <c r="B130" s="32" t="n"/>
      <c r="C130" s="92" t="n"/>
      <c r="D130" s="60">
        <f>ROUND(SUM($E$118:$E$129),2)</f>
        <v/>
      </c>
      <c r="E130" s="60">
        <f>ROUND($D$130-IF($C$130="",0,$C$130),2)</f>
        <v/>
      </c>
      <c r="F130" s="32" t="n"/>
      <c r="G130" s="62">
        <f>IF(OR($A$13="",$A$13=0),"",$D$130/$A$13)</f>
        <v/>
      </c>
      <c r="H130" s="93" t="inlineStr">
        <is>
          <t>orçado = a contingência prevista · realizado = a soma acima</t>
        </is>
      </c>
      <c r="I130" s="32" t="n"/>
      <c r="J130" s="32" t="n"/>
      <c r="K130" s="32" t="n"/>
      <c r="L130" s="32" t="n"/>
      <c r="M130" s="32" t="n"/>
      <c r="N130" s="32" t="n"/>
      <c r="O130" s="32" t="n"/>
    </row>
    <row r="131" ht="8" customHeight="1"/>
    <row r="132" ht="20" customHeight="1">
      <c r="A132" s="8" t="inlineStr">
        <is>
          <t xml:space="preserve">  8 · LIVRO DE COMPRAS E DESPESAS DO PROJETO          uma linha por compra, na ordem em que acontecer · pode inserir linhas à vontade aqui</t>
        </is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</row>
    <row r="133" ht="28" customHeight="1">
      <c r="A133" s="19" t="inlineStr">
        <is>
          <t>Descrição / fornecedor</t>
        </is>
      </c>
      <c r="B133" s="19" t="inlineStr">
        <is>
          <t>Categoria</t>
        </is>
      </c>
      <c r="C133" s="35" t="n"/>
      <c r="D133" s="19" t="inlineStr">
        <is>
          <t>Data</t>
        </is>
      </c>
      <c r="E133" s="19" t="inlineStr">
        <is>
          <t>Valor (R$)</t>
        </is>
      </c>
      <c r="F133" s="35" t="n"/>
      <c r="G133" s="19" t="inlineStr">
        <is>
          <t>Forma de pagamento</t>
        </is>
      </c>
      <c r="H133" s="35" t="n"/>
      <c r="I133" s="19" t="inlineStr">
        <is>
          <t>Status</t>
        </is>
      </c>
      <c r="J133" s="35" t="n"/>
      <c r="K133" s="35" t="n"/>
      <c r="L133" s="35" t="n"/>
      <c r="M133" s="35" t="n"/>
      <c r="N133" s="35" t="n"/>
      <c r="O133" s="35" t="n"/>
    </row>
    <row r="134" ht="17" customHeight="1">
      <c r="A134" s="83" t="n"/>
      <c r="B134" s="94" t="n"/>
      <c r="C134" s="46" t="n"/>
      <c r="D134" s="75" t="n"/>
      <c r="E134" s="95" t="n"/>
      <c r="F134" s="46" t="n"/>
      <c r="G134" s="96" t="n"/>
      <c r="H134" s="46" t="n"/>
      <c r="I134" s="97" t="n"/>
      <c r="J134" s="46" t="n"/>
      <c r="K134" s="46" t="n"/>
      <c r="L134" s="46" t="n"/>
      <c r="M134" s="46" t="n"/>
      <c r="N134" s="46" t="n"/>
      <c r="O134" s="46" t="n"/>
    </row>
    <row r="135" ht="17" customHeight="1">
      <c r="A135" s="83" t="n"/>
      <c r="B135" s="94" t="n"/>
      <c r="C135" s="46" t="n"/>
      <c r="D135" s="75" t="n"/>
      <c r="E135" s="95" t="n"/>
      <c r="F135" s="46" t="n"/>
      <c r="G135" s="96" t="n"/>
      <c r="H135" s="46" t="n"/>
      <c r="I135" s="97" t="n"/>
      <c r="J135" s="46" t="n"/>
      <c r="K135" s="46" t="n"/>
      <c r="L135" s="46" t="n"/>
      <c r="M135" s="46" t="n"/>
      <c r="N135" s="46" t="n"/>
      <c r="O135" s="46" t="n"/>
    </row>
    <row r="136" ht="17" customHeight="1">
      <c r="A136" s="83" t="n"/>
      <c r="B136" s="94" t="n"/>
      <c r="C136" s="46" t="n"/>
      <c r="D136" s="75" t="n"/>
      <c r="E136" s="95" t="n"/>
      <c r="F136" s="46" t="n"/>
      <c r="G136" s="96" t="n"/>
      <c r="H136" s="46" t="n"/>
      <c r="I136" s="97" t="n"/>
      <c r="J136" s="46" t="n"/>
      <c r="K136" s="46" t="n"/>
      <c r="L136" s="46" t="n"/>
      <c r="M136" s="46" t="n"/>
      <c r="N136" s="46" t="n"/>
      <c r="O136" s="46" t="n"/>
    </row>
    <row r="137" ht="17" customHeight="1">
      <c r="A137" s="83" t="n"/>
      <c r="B137" s="94" t="n"/>
      <c r="C137" s="46" t="n"/>
      <c r="D137" s="75" t="n"/>
      <c r="E137" s="95" t="n"/>
      <c r="F137" s="46" t="n"/>
      <c r="G137" s="96" t="n"/>
      <c r="H137" s="46" t="n"/>
      <c r="I137" s="97" t="n"/>
      <c r="J137" s="46" t="n"/>
      <c r="K137" s="46" t="n"/>
      <c r="L137" s="46" t="n"/>
      <c r="M137" s="46" t="n"/>
      <c r="N137" s="46" t="n"/>
      <c r="O137" s="46" t="n"/>
    </row>
    <row r="138" ht="17" customHeight="1">
      <c r="A138" s="83" t="n"/>
      <c r="B138" s="94" t="n"/>
      <c r="C138" s="46" t="n"/>
      <c r="D138" s="75" t="n"/>
      <c r="E138" s="95" t="n"/>
      <c r="F138" s="46" t="n"/>
      <c r="G138" s="96" t="n"/>
      <c r="H138" s="46" t="n"/>
      <c r="I138" s="97" t="n"/>
      <c r="J138" s="46" t="n"/>
      <c r="K138" s="46" t="n"/>
      <c r="L138" s="46" t="n"/>
      <c r="M138" s="46" t="n"/>
      <c r="N138" s="46" t="n"/>
      <c r="O138" s="46" t="n"/>
    </row>
    <row r="139" ht="17" customHeight="1">
      <c r="A139" s="83" t="n"/>
      <c r="B139" s="94" t="n"/>
      <c r="C139" s="46" t="n"/>
      <c r="D139" s="75" t="n"/>
      <c r="E139" s="95" t="n"/>
      <c r="F139" s="46" t="n"/>
      <c r="G139" s="96" t="n"/>
      <c r="H139" s="46" t="n"/>
      <c r="I139" s="97" t="n"/>
      <c r="J139" s="46" t="n"/>
      <c r="K139" s="46" t="n"/>
      <c r="L139" s="46" t="n"/>
      <c r="M139" s="46" t="n"/>
      <c r="N139" s="46" t="n"/>
      <c r="O139" s="46" t="n"/>
    </row>
    <row r="140" ht="17" customHeight="1">
      <c r="A140" s="83" t="n"/>
      <c r="B140" s="94" t="n"/>
      <c r="C140" s="46" t="n"/>
      <c r="D140" s="75" t="n"/>
      <c r="E140" s="95" t="n"/>
      <c r="F140" s="46" t="n"/>
      <c r="G140" s="96" t="n"/>
      <c r="H140" s="46" t="n"/>
      <c r="I140" s="97" t="n"/>
      <c r="J140" s="46" t="n"/>
      <c r="K140" s="46" t="n"/>
      <c r="L140" s="46" t="n"/>
      <c r="M140" s="46" t="n"/>
      <c r="N140" s="46" t="n"/>
      <c r="O140" s="46" t="n"/>
    </row>
    <row r="141" ht="17" customHeight="1">
      <c r="A141" s="83" t="n"/>
      <c r="B141" s="94" t="n"/>
      <c r="C141" s="46" t="n"/>
      <c r="D141" s="75" t="n"/>
      <c r="E141" s="95" t="n"/>
      <c r="F141" s="46" t="n"/>
      <c r="G141" s="96" t="n"/>
      <c r="H141" s="46" t="n"/>
      <c r="I141" s="97" t="n"/>
      <c r="J141" s="46" t="n"/>
      <c r="K141" s="46" t="n"/>
      <c r="L141" s="46" t="n"/>
      <c r="M141" s="46" t="n"/>
      <c r="N141" s="46" t="n"/>
      <c r="O141" s="46" t="n"/>
    </row>
    <row r="142" ht="17" customHeight="1">
      <c r="A142" s="83" t="n"/>
      <c r="B142" s="94" t="n"/>
      <c r="C142" s="46" t="n"/>
      <c r="D142" s="75" t="n"/>
      <c r="E142" s="95" t="n"/>
      <c r="F142" s="46" t="n"/>
      <c r="G142" s="96" t="n"/>
      <c r="H142" s="46" t="n"/>
      <c r="I142" s="97" t="n"/>
      <c r="J142" s="46" t="n"/>
      <c r="K142" s="46" t="n"/>
      <c r="L142" s="46" t="n"/>
      <c r="M142" s="46" t="n"/>
      <c r="N142" s="46" t="n"/>
      <c r="O142" s="46" t="n"/>
    </row>
    <row r="143" ht="17" customHeight="1">
      <c r="A143" s="83" t="n"/>
      <c r="B143" s="94" t="n"/>
      <c r="C143" s="46" t="n"/>
      <c r="D143" s="75" t="n"/>
      <c r="E143" s="95" t="n"/>
      <c r="F143" s="46" t="n"/>
      <c r="G143" s="96" t="n"/>
      <c r="H143" s="46" t="n"/>
      <c r="I143" s="97" t="n"/>
      <c r="J143" s="46" t="n"/>
      <c r="K143" s="46" t="n"/>
      <c r="L143" s="46" t="n"/>
      <c r="M143" s="46" t="n"/>
      <c r="N143" s="46" t="n"/>
      <c r="O143" s="46" t="n"/>
    </row>
    <row r="144" ht="17" customHeight="1">
      <c r="A144" s="83" t="n"/>
      <c r="B144" s="94" t="n"/>
      <c r="C144" s="46" t="n"/>
      <c r="D144" s="75" t="n"/>
      <c r="E144" s="95" t="n"/>
      <c r="F144" s="46" t="n"/>
      <c r="G144" s="96" t="n"/>
      <c r="H144" s="46" t="n"/>
      <c r="I144" s="97" t="n"/>
      <c r="J144" s="46" t="n"/>
      <c r="K144" s="46" t="n"/>
      <c r="L144" s="46" t="n"/>
      <c r="M144" s="46" t="n"/>
      <c r="N144" s="46" t="n"/>
      <c r="O144" s="46" t="n"/>
    </row>
    <row r="145" ht="17" customHeight="1">
      <c r="A145" s="83" t="n"/>
      <c r="B145" s="94" t="n"/>
      <c r="C145" s="46" t="n"/>
      <c r="D145" s="75" t="n"/>
      <c r="E145" s="95" t="n"/>
      <c r="F145" s="46" t="n"/>
      <c r="G145" s="96" t="n"/>
      <c r="H145" s="46" t="n"/>
      <c r="I145" s="97" t="n"/>
      <c r="J145" s="46" t="n"/>
      <c r="K145" s="46" t="n"/>
      <c r="L145" s="46" t="n"/>
      <c r="M145" s="46" t="n"/>
      <c r="N145" s="46" t="n"/>
      <c r="O145" s="46" t="n"/>
    </row>
    <row r="146" ht="17" customHeight="1">
      <c r="A146" s="83" t="n"/>
      <c r="B146" s="94" t="n"/>
      <c r="C146" s="46" t="n"/>
      <c r="D146" s="75" t="n"/>
      <c r="E146" s="95" t="n"/>
      <c r="F146" s="46" t="n"/>
      <c r="G146" s="96" t="n"/>
      <c r="H146" s="46" t="n"/>
      <c r="I146" s="97" t="n"/>
      <c r="J146" s="46" t="n"/>
      <c r="K146" s="46" t="n"/>
      <c r="L146" s="46" t="n"/>
      <c r="M146" s="46" t="n"/>
      <c r="N146" s="46" t="n"/>
      <c r="O146" s="46" t="n"/>
    </row>
    <row r="147" ht="17" customHeight="1">
      <c r="A147" s="83" t="n"/>
      <c r="B147" s="94" t="n"/>
      <c r="C147" s="46" t="n"/>
      <c r="D147" s="75" t="n"/>
      <c r="E147" s="95" t="n"/>
      <c r="F147" s="46" t="n"/>
      <c r="G147" s="96" t="n"/>
      <c r="H147" s="46" t="n"/>
      <c r="I147" s="97" t="n"/>
      <c r="J147" s="46" t="n"/>
      <c r="K147" s="46" t="n"/>
      <c r="L147" s="46" t="n"/>
      <c r="M147" s="46" t="n"/>
      <c r="N147" s="46" t="n"/>
      <c r="O147" s="46" t="n"/>
    </row>
    <row r="148" ht="17" customHeight="1">
      <c r="A148" s="83" t="n"/>
      <c r="B148" s="94" t="n"/>
      <c r="C148" s="46" t="n"/>
      <c r="D148" s="75" t="n"/>
      <c r="E148" s="95" t="n"/>
      <c r="F148" s="46" t="n"/>
      <c r="G148" s="96" t="n"/>
      <c r="H148" s="46" t="n"/>
      <c r="I148" s="97" t="n"/>
      <c r="J148" s="46" t="n"/>
      <c r="K148" s="46" t="n"/>
      <c r="L148" s="46" t="n"/>
      <c r="M148" s="46" t="n"/>
      <c r="N148" s="46" t="n"/>
      <c r="O148" s="46" t="n"/>
    </row>
    <row r="149" ht="17" customHeight="1">
      <c r="A149" s="83" t="n"/>
      <c r="B149" s="94" t="n"/>
      <c r="C149" s="46" t="n"/>
      <c r="D149" s="75" t="n"/>
      <c r="E149" s="95" t="n"/>
      <c r="F149" s="46" t="n"/>
      <c r="G149" s="96" t="n"/>
      <c r="H149" s="46" t="n"/>
      <c r="I149" s="97" t="n"/>
      <c r="J149" s="46" t="n"/>
      <c r="K149" s="46" t="n"/>
      <c r="L149" s="46" t="n"/>
      <c r="M149" s="46" t="n"/>
      <c r="N149" s="46" t="n"/>
      <c r="O149" s="46" t="n"/>
    </row>
    <row r="150" ht="17" customHeight="1">
      <c r="A150" s="83" t="n"/>
      <c r="B150" s="94" t="n"/>
      <c r="C150" s="46" t="n"/>
      <c r="D150" s="75" t="n"/>
      <c r="E150" s="95" t="n"/>
      <c r="F150" s="46" t="n"/>
      <c r="G150" s="96" t="n"/>
      <c r="H150" s="46" t="n"/>
      <c r="I150" s="97" t="n"/>
      <c r="J150" s="46" t="n"/>
      <c r="K150" s="46" t="n"/>
      <c r="L150" s="46" t="n"/>
      <c r="M150" s="46" t="n"/>
      <c r="N150" s="46" t="n"/>
      <c r="O150" s="46" t="n"/>
    </row>
    <row r="151" ht="17" customHeight="1">
      <c r="A151" s="83" t="n"/>
      <c r="B151" s="94" t="n"/>
      <c r="C151" s="46" t="n"/>
      <c r="D151" s="75" t="n"/>
      <c r="E151" s="95" t="n"/>
      <c r="F151" s="46" t="n"/>
      <c r="G151" s="96" t="n"/>
      <c r="H151" s="46" t="n"/>
      <c r="I151" s="97" t="n"/>
      <c r="J151" s="46" t="n"/>
      <c r="K151" s="46" t="n"/>
      <c r="L151" s="46" t="n"/>
      <c r="M151" s="46" t="n"/>
      <c r="N151" s="46" t="n"/>
      <c r="O151" s="46" t="n"/>
    </row>
    <row r="152" ht="17" customHeight="1">
      <c r="A152" s="83" t="n"/>
      <c r="B152" s="94" t="n"/>
      <c r="C152" s="46" t="n"/>
      <c r="D152" s="75" t="n"/>
      <c r="E152" s="95" t="n"/>
      <c r="F152" s="46" t="n"/>
      <c r="G152" s="96" t="n"/>
      <c r="H152" s="46" t="n"/>
      <c r="I152" s="97" t="n"/>
      <c r="J152" s="46" t="n"/>
      <c r="K152" s="46" t="n"/>
      <c r="L152" s="46" t="n"/>
      <c r="M152" s="46" t="n"/>
      <c r="N152" s="46" t="n"/>
      <c r="O152" s="46" t="n"/>
    </row>
    <row r="153" ht="17" customHeight="1">
      <c r="A153" s="83" t="n"/>
      <c r="B153" s="94" t="n"/>
      <c r="C153" s="46" t="n"/>
      <c r="D153" s="75" t="n"/>
      <c r="E153" s="95" t="n"/>
      <c r="F153" s="46" t="n"/>
      <c r="G153" s="96" t="n"/>
      <c r="H153" s="46" t="n"/>
      <c r="I153" s="97" t="n"/>
      <c r="J153" s="46" t="n"/>
      <c r="K153" s="46" t="n"/>
      <c r="L153" s="46" t="n"/>
      <c r="M153" s="46" t="n"/>
      <c r="N153" s="46" t="n"/>
      <c r="O153" s="46" t="n"/>
    </row>
    <row r="154" ht="17" customHeight="1">
      <c r="A154" s="83" t="n"/>
      <c r="B154" s="94" t="n"/>
      <c r="C154" s="46" t="n"/>
      <c r="D154" s="75" t="n"/>
      <c r="E154" s="95" t="n"/>
      <c r="F154" s="46" t="n"/>
      <c r="G154" s="96" t="n"/>
      <c r="H154" s="46" t="n"/>
      <c r="I154" s="97" t="n"/>
      <c r="J154" s="46" t="n"/>
      <c r="K154" s="46" t="n"/>
      <c r="L154" s="46" t="n"/>
      <c r="M154" s="46" t="n"/>
      <c r="N154" s="46" t="n"/>
      <c r="O154" s="46" t="n"/>
    </row>
    <row r="155" ht="17" customHeight="1">
      <c r="A155" s="83" t="n"/>
      <c r="B155" s="94" t="n"/>
      <c r="C155" s="46" t="n"/>
      <c r="D155" s="75" t="n"/>
      <c r="E155" s="95" t="n"/>
      <c r="F155" s="46" t="n"/>
      <c r="G155" s="96" t="n"/>
      <c r="H155" s="46" t="n"/>
      <c r="I155" s="97" t="n"/>
      <c r="J155" s="46" t="n"/>
      <c r="K155" s="46" t="n"/>
      <c r="L155" s="46" t="n"/>
      <c r="M155" s="46" t="n"/>
      <c r="N155" s="46" t="n"/>
      <c r="O155" s="46" t="n"/>
    </row>
    <row r="156" ht="17" customHeight="1">
      <c r="A156" s="83" t="n"/>
      <c r="B156" s="94" t="n"/>
      <c r="C156" s="46" t="n"/>
      <c r="D156" s="75" t="n"/>
      <c r="E156" s="95" t="n"/>
      <c r="F156" s="46" t="n"/>
      <c r="G156" s="96" t="n"/>
      <c r="H156" s="46" t="n"/>
      <c r="I156" s="97" t="n"/>
      <c r="J156" s="46" t="n"/>
      <c r="K156" s="46" t="n"/>
      <c r="L156" s="46" t="n"/>
      <c r="M156" s="46" t="n"/>
      <c r="N156" s="46" t="n"/>
      <c r="O156" s="46" t="n"/>
    </row>
    <row r="157" ht="17" customHeight="1">
      <c r="A157" s="83" t="n"/>
      <c r="B157" s="94" t="n"/>
      <c r="C157" s="46" t="n"/>
      <c r="D157" s="75" t="n"/>
      <c r="E157" s="95" t="n"/>
      <c r="F157" s="46" t="n"/>
      <c r="G157" s="96" t="n"/>
      <c r="H157" s="46" t="n"/>
      <c r="I157" s="97" t="n"/>
      <c r="J157" s="46" t="n"/>
      <c r="K157" s="46" t="n"/>
      <c r="L157" s="46" t="n"/>
      <c r="M157" s="46" t="n"/>
      <c r="N157" s="46" t="n"/>
      <c r="O157" s="46" t="n"/>
    </row>
    <row r="158" ht="17" customHeight="1">
      <c r="A158" s="83" t="n"/>
      <c r="B158" s="94" t="n"/>
      <c r="C158" s="46" t="n"/>
      <c r="D158" s="75" t="n"/>
      <c r="E158" s="95" t="n"/>
      <c r="F158" s="46" t="n"/>
      <c r="G158" s="96" t="n"/>
      <c r="H158" s="46" t="n"/>
      <c r="I158" s="97" t="n"/>
      <c r="J158" s="46" t="n"/>
      <c r="K158" s="46" t="n"/>
      <c r="L158" s="46" t="n"/>
      <c r="M158" s="46" t="n"/>
      <c r="N158" s="46" t="n"/>
      <c r="O158" s="46" t="n"/>
    </row>
    <row r="159" ht="17" customHeight="1">
      <c r="A159" s="83" t="n"/>
      <c r="B159" s="94" t="n"/>
      <c r="C159" s="46" t="n"/>
      <c r="D159" s="75" t="n"/>
      <c r="E159" s="95" t="n"/>
      <c r="F159" s="46" t="n"/>
      <c r="G159" s="96" t="n"/>
      <c r="H159" s="46" t="n"/>
      <c r="I159" s="97" t="n"/>
      <c r="J159" s="46" t="n"/>
      <c r="K159" s="46" t="n"/>
      <c r="L159" s="46" t="n"/>
      <c r="M159" s="46" t="n"/>
      <c r="N159" s="46" t="n"/>
      <c r="O159" s="46" t="n"/>
    </row>
    <row r="160" ht="17" customHeight="1">
      <c r="A160" s="83" t="n"/>
      <c r="B160" s="94" t="n"/>
      <c r="C160" s="46" t="n"/>
      <c r="D160" s="75" t="n"/>
      <c r="E160" s="95" t="n"/>
      <c r="F160" s="46" t="n"/>
      <c r="G160" s="96" t="n"/>
      <c r="H160" s="46" t="n"/>
      <c r="I160" s="97" t="n"/>
      <c r="J160" s="46" t="n"/>
      <c r="K160" s="46" t="n"/>
      <c r="L160" s="46" t="n"/>
      <c r="M160" s="46" t="n"/>
      <c r="N160" s="46" t="n"/>
      <c r="O160" s="46" t="n"/>
    </row>
    <row r="161" ht="17" customHeight="1">
      <c r="A161" s="83" t="n"/>
      <c r="B161" s="94" t="n"/>
      <c r="C161" s="46" t="n"/>
      <c r="D161" s="75" t="n"/>
      <c r="E161" s="95" t="n"/>
      <c r="F161" s="46" t="n"/>
      <c r="G161" s="96" t="n"/>
      <c r="H161" s="46" t="n"/>
      <c r="I161" s="97" t="n"/>
      <c r="J161" s="46" t="n"/>
      <c r="K161" s="46" t="n"/>
      <c r="L161" s="46" t="n"/>
      <c r="M161" s="46" t="n"/>
      <c r="N161" s="46" t="n"/>
      <c r="O161" s="46" t="n"/>
    </row>
    <row r="162" ht="17" customHeight="1">
      <c r="A162" s="83" t="n"/>
      <c r="B162" s="94" t="n"/>
      <c r="C162" s="46" t="n"/>
      <c r="D162" s="75" t="n"/>
      <c r="E162" s="95" t="n"/>
      <c r="F162" s="46" t="n"/>
      <c r="G162" s="96" t="n"/>
      <c r="H162" s="46" t="n"/>
      <c r="I162" s="97" t="n"/>
      <c r="J162" s="46" t="n"/>
      <c r="K162" s="46" t="n"/>
      <c r="L162" s="46" t="n"/>
      <c r="M162" s="46" t="n"/>
      <c r="N162" s="46" t="n"/>
      <c r="O162" s="46" t="n"/>
    </row>
    <row r="163" ht="17" customHeight="1">
      <c r="A163" s="83" t="n"/>
      <c r="B163" s="94" t="n"/>
      <c r="C163" s="46" t="n"/>
      <c r="D163" s="75" t="n"/>
      <c r="E163" s="95" t="n"/>
      <c r="F163" s="46" t="n"/>
      <c r="G163" s="96" t="n"/>
      <c r="H163" s="46" t="n"/>
      <c r="I163" s="97" t="n"/>
      <c r="J163" s="46" t="n"/>
      <c r="K163" s="46" t="n"/>
      <c r="L163" s="46" t="n"/>
      <c r="M163" s="46" t="n"/>
      <c r="N163" s="46" t="n"/>
      <c r="O163" s="46" t="n"/>
    </row>
    <row r="164" ht="17" customHeight="1">
      <c r="A164" s="83" t="n"/>
      <c r="B164" s="94" t="n"/>
      <c r="C164" s="46" t="n"/>
      <c r="D164" s="75" t="n"/>
      <c r="E164" s="95" t="n"/>
      <c r="F164" s="46" t="n"/>
      <c r="G164" s="96" t="n"/>
      <c r="H164" s="46" t="n"/>
      <c r="I164" s="97" t="n"/>
      <c r="J164" s="46" t="n"/>
      <c r="K164" s="46" t="n"/>
      <c r="L164" s="46" t="n"/>
      <c r="M164" s="46" t="n"/>
      <c r="N164" s="46" t="n"/>
      <c r="O164" s="46" t="n"/>
    </row>
    <row r="165" ht="17" customHeight="1">
      <c r="A165" s="83" t="n"/>
      <c r="B165" s="94" t="n"/>
      <c r="C165" s="46" t="n"/>
      <c r="D165" s="75" t="n"/>
      <c r="E165" s="95" t="n"/>
      <c r="F165" s="46" t="n"/>
      <c r="G165" s="96" t="n"/>
      <c r="H165" s="46" t="n"/>
      <c r="I165" s="97" t="n"/>
      <c r="J165" s="46" t="n"/>
      <c r="K165" s="46" t="n"/>
      <c r="L165" s="46" t="n"/>
      <c r="M165" s="46" t="n"/>
      <c r="N165" s="46" t="n"/>
      <c r="O165" s="46" t="n"/>
    </row>
    <row r="166" ht="17" customHeight="1">
      <c r="A166" s="83" t="n"/>
      <c r="B166" s="94" t="n"/>
      <c r="C166" s="46" t="n"/>
      <c r="D166" s="75" t="n"/>
      <c r="E166" s="95" t="n"/>
      <c r="F166" s="46" t="n"/>
      <c r="G166" s="96" t="n"/>
      <c r="H166" s="46" t="n"/>
      <c r="I166" s="97" t="n"/>
      <c r="J166" s="46" t="n"/>
      <c r="K166" s="46" t="n"/>
      <c r="L166" s="46" t="n"/>
      <c r="M166" s="46" t="n"/>
      <c r="N166" s="46" t="n"/>
      <c r="O166" s="46" t="n"/>
    </row>
    <row r="167" ht="17" customHeight="1">
      <c r="A167" s="83" t="n"/>
      <c r="B167" s="94" t="n"/>
      <c r="C167" s="46" t="n"/>
      <c r="D167" s="75" t="n"/>
      <c r="E167" s="95" t="n"/>
      <c r="F167" s="46" t="n"/>
      <c r="G167" s="96" t="n"/>
      <c r="H167" s="46" t="n"/>
      <c r="I167" s="97" t="n"/>
      <c r="J167" s="46" t="n"/>
      <c r="K167" s="46" t="n"/>
      <c r="L167" s="46" t="n"/>
      <c r="M167" s="46" t="n"/>
      <c r="N167" s="46" t="n"/>
      <c r="O167" s="46" t="n"/>
    </row>
    <row r="168" ht="17" customHeight="1">
      <c r="A168" s="83" t="n"/>
      <c r="B168" s="94" t="n"/>
      <c r="C168" s="46" t="n"/>
      <c r="D168" s="75" t="n"/>
      <c r="E168" s="95" t="n"/>
      <c r="F168" s="46" t="n"/>
      <c r="G168" s="96" t="n"/>
      <c r="H168" s="46" t="n"/>
      <c r="I168" s="97" t="n"/>
      <c r="J168" s="46" t="n"/>
      <c r="K168" s="46" t="n"/>
      <c r="L168" s="46" t="n"/>
      <c r="M168" s="46" t="n"/>
      <c r="N168" s="46" t="n"/>
      <c r="O168" s="46" t="n"/>
    </row>
    <row r="169" ht="17" customHeight="1">
      <c r="A169" s="83" t="n"/>
      <c r="B169" s="94" t="n"/>
      <c r="C169" s="46" t="n"/>
      <c r="D169" s="75" t="n"/>
      <c r="E169" s="95" t="n"/>
      <c r="F169" s="46" t="n"/>
      <c r="G169" s="96" t="n"/>
      <c r="H169" s="46" t="n"/>
      <c r="I169" s="97" t="n"/>
      <c r="J169" s="46" t="n"/>
      <c r="K169" s="46" t="n"/>
      <c r="L169" s="46" t="n"/>
      <c r="M169" s="46" t="n"/>
      <c r="N169" s="46" t="n"/>
      <c r="O169" s="46" t="n"/>
    </row>
    <row r="170" ht="17" customHeight="1">
      <c r="A170" s="83" t="n"/>
      <c r="B170" s="94" t="n"/>
      <c r="C170" s="46" t="n"/>
      <c r="D170" s="75" t="n"/>
      <c r="E170" s="95" t="n"/>
      <c r="F170" s="46" t="n"/>
      <c r="G170" s="96" t="n"/>
      <c r="H170" s="46" t="n"/>
      <c r="I170" s="97" t="n"/>
      <c r="J170" s="46" t="n"/>
      <c r="K170" s="46" t="n"/>
      <c r="L170" s="46" t="n"/>
      <c r="M170" s="46" t="n"/>
      <c r="N170" s="46" t="n"/>
      <c r="O170" s="46" t="n"/>
    </row>
    <row r="171" ht="17" customHeight="1">
      <c r="A171" s="83" t="n"/>
      <c r="B171" s="94" t="n"/>
      <c r="C171" s="46" t="n"/>
      <c r="D171" s="75" t="n"/>
      <c r="E171" s="95" t="n"/>
      <c r="F171" s="46" t="n"/>
      <c r="G171" s="96" t="n"/>
      <c r="H171" s="46" t="n"/>
      <c r="I171" s="97" t="n"/>
      <c r="J171" s="46" t="n"/>
      <c r="K171" s="46" t="n"/>
      <c r="L171" s="46" t="n"/>
      <c r="M171" s="46" t="n"/>
      <c r="N171" s="46" t="n"/>
      <c r="O171" s="46" t="n"/>
    </row>
    <row r="172" ht="17" customHeight="1">
      <c r="A172" s="83" t="n"/>
      <c r="B172" s="94" t="n"/>
      <c r="C172" s="46" t="n"/>
      <c r="D172" s="75" t="n"/>
      <c r="E172" s="95" t="n"/>
      <c r="F172" s="46" t="n"/>
      <c r="G172" s="96" t="n"/>
      <c r="H172" s="46" t="n"/>
      <c r="I172" s="97" t="n"/>
      <c r="J172" s="46" t="n"/>
      <c r="K172" s="46" t="n"/>
      <c r="L172" s="46" t="n"/>
      <c r="M172" s="46" t="n"/>
      <c r="N172" s="46" t="n"/>
      <c r="O172" s="46" t="n"/>
    </row>
    <row r="173" ht="17" customHeight="1">
      <c r="A173" s="83" t="n"/>
      <c r="B173" s="94" t="n"/>
      <c r="C173" s="46" t="n"/>
      <c r="D173" s="75" t="n"/>
      <c r="E173" s="95" t="n"/>
      <c r="F173" s="46" t="n"/>
      <c r="G173" s="96" t="n"/>
      <c r="H173" s="46" t="n"/>
      <c r="I173" s="97" t="n"/>
      <c r="J173" s="46" t="n"/>
      <c r="K173" s="46" t="n"/>
      <c r="L173" s="46" t="n"/>
      <c r="M173" s="46" t="n"/>
      <c r="N173" s="46" t="n"/>
      <c r="O173" s="46" t="n"/>
    </row>
    <row r="174" ht="17" customHeight="1">
      <c r="A174" s="83" t="n"/>
      <c r="B174" s="94" t="n"/>
      <c r="C174" s="46" t="n"/>
      <c r="D174" s="75" t="n"/>
      <c r="E174" s="95" t="n"/>
      <c r="F174" s="46" t="n"/>
      <c r="G174" s="96" t="n"/>
      <c r="H174" s="46" t="n"/>
      <c r="I174" s="97" t="n"/>
      <c r="J174" s="46" t="n"/>
      <c r="K174" s="46" t="n"/>
      <c r="L174" s="46" t="n"/>
      <c r="M174" s="46" t="n"/>
      <c r="N174" s="46" t="n"/>
      <c r="O174" s="46" t="n"/>
    </row>
    <row r="175" ht="17" customHeight="1">
      <c r="A175" s="83" t="n"/>
      <c r="B175" s="94" t="n"/>
      <c r="C175" s="46" t="n"/>
      <c r="D175" s="75" t="n"/>
      <c r="E175" s="95" t="n"/>
      <c r="F175" s="46" t="n"/>
      <c r="G175" s="96" t="n"/>
      <c r="H175" s="46" t="n"/>
      <c r="I175" s="97" t="n"/>
      <c r="J175" s="46" t="n"/>
      <c r="K175" s="46" t="n"/>
      <c r="L175" s="46" t="n"/>
      <c r="M175" s="46" t="n"/>
      <c r="N175" s="46" t="n"/>
      <c r="O175" s="46" t="n"/>
    </row>
    <row r="176" ht="17" customHeight="1">
      <c r="A176" s="83" t="n"/>
      <c r="B176" s="94" t="n"/>
      <c r="C176" s="46" t="n"/>
      <c r="D176" s="75" t="n"/>
      <c r="E176" s="95" t="n"/>
      <c r="F176" s="46" t="n"/>
      <c r="G176" s="96" t="n"/>
      <c r="H176" s="46" t="n"/>
      <c r="I176" s="97" t="n"/>
      <c r="J176" s="46" t="n"/>
      <c r="K176" s="46" t="n"/>
      <c r="L176" s="46" t="n"/>
      <c r="M176" s="46" t="n"/>
      <c r="N176" s="46" t="n"/>
      <c r="O176" s="46" t="n"/>
    </row>
    <row r="177" ht="17" customHeight="1">
      <c r="A177" s="83" t="n"/>
      <c r="B177" s="94" t="n"/>
      <c r="C177" s="46" t="n"/>
      <c r="D177" s="75" t="n"/>
      <c r="E177" s="95" t="n"/>
      <c r="F177" s="46" t="n"/>
      <c r="G177" s="96" t="n"/>
      <c r="H177" s="46" t="n"/>
      <c r="I177" s="97" t="n"/>
      <c r="J177" s="46" t="n"/>
      <c r="K177" s="46" t="n"/>
      <c r="L177" s="46" t="n"/>
      <c r="M177" s="46" t="n"/>
      <c r="N177" s="46" t="n"/>
      <c r="O177" s="46" t="n"/>
    </row>
    <row r="178" ht="17" customHeight="1">
      <c r="A178" s="83" t="n"/>
      <c r="B178" s="94" t="n"/>
      <c r="C178" s="46" t="n"/>
      <c r="D178" s="75" t="n"/>
      <c r="E178" s="95" t="n"/>
      <c r="F178" s="46" t="n"/>
      <c r="G178" s="96" t="n"/>
      <c r="H178" s="46" t="n"/>
      <c r="I178" s="97" t="n"/>
      <c r="J178" s="46" t="n"/>
      <c r="K178" s="46" t="n"/>
      <c r="L178" s="46" t="n"/>
      <c r="M178" s="46" t="n"/>
      <c r="N178" s="46" t="n"/>
      <c r="O178" s="46" t="n"/>
    </row>
    <row r="179" ht="17" customHeight="1">
      <c r="A179" s="83" t="n"/>
      <c r="B179" s="94" t="n"/>
      <c r="C179" s="46" t="n"/>
      <c r="D179" s="75" t="n"/>
      <c r="E179" s="95" t="n"/>
      <c r="F179" s="46" t="n"/>
      <c r="G179" s="96" t="n"/>
      <c r="H179" s="46" t="n"/>
      <c r="I179" s="97" t="n"/>
      <c r="J179" s="46" t="n"/>
      <c r="K179" s="46" t="n"/>
      <c r="L179" s="46" t="n"/>
      <c r="M179" s="46" t="n"/>
      <c r="N179" s="46" t="n"/>
      <c r="O179" s="46" t="n"/>
    </row>
    <row r="180" ht="17" customHeight="1">
      <c r="A180" s="83" t="n"/>
      <c r="B180" s="94" t="n"/>
      <c r="C180" s="46" t="n"/>
      <c r="D180" s="75" t="n"/>
      <c r="E180" s="95" t="n"/>
      <c r="F180" s="46" t="n"/>
      <c r="G180" s="96" t="n"/>
      <c r="H180" s="46" t="n"/>
      <c r="I180" s="97" t="n"/>
      <c r="J180" s="46" t="n"/>
      <c r="K180" s="46" t="n"/>
      <c r="L180" s="46" t="n"/>
      <c r="M180" s="46" t="n"/>
      <c r="N180" s="46" t="n"/>
      <c r="O180" s="46" t="n"/>
    </row>
    <row r="181" ht="17" customHeight="1">
      <c r="A181" s="83" t="n"/>
      <c r="B181" s="94" t="n"/>
      <c r="C181" s="46" t="n"/>
      <c r="D181" s="75" t="n"/>
      <c r="E181" s="95" t="n"/>
      <c r="F181" s="46" t="n"/>
      <c r="G181" s="96" t="n"/>
      <c r="H181" s="46" t="n"/>
      <c r="I181" s="97" t="n"/>
      <c r="J181" s="46" t="n"/>
      <c r="K181" s="46" t="n"/>
      <c r="L181" s="46" t="n"/>
      <c r="M181" s="46" t="n"/>
      <c r="N181" s="46" t="n"/>
      <c r="O181" s="46" t="n"/>
    </row>
    <row r="182" ht="17" customHeight="1">
      <c r="A182" s="83" t="n"/>
      <c r="B182" s="94" t="n"/>
      <c r="C182" s="46" t="n"/>
      <c r="D182" s="75" t="n"/>
      <c r="E182" s="95" t="n"/>
      <c r="F182" s="46" t="n"/>
      <c r="G182" s="96" t="n"/>
      <c r="H182" s="46" t="n"/>
      <c r="I182" s="97" t="n"/>
      <c r="J182" s="46" t="n"/>
      <c r="K182" s="46" t="n"/>
      <c r="L182" s="46" t="n"/>
      <c r="M182" s="46" t="n"/>
      <c r="N182" s="46" t="n"/>
      <c r="O182" s="46" t="n"/>
    </row>
    <row r="183" ht="17" customHeight="1">
      <c r="A183" s="83" t="n"/>
      <c r="B183" s="94" t="n"/>
      <c r="C183" s="46" t="n"/>
      <c r="D183" s="75" t="n"/>
      <c r="E183" s="95" t="n"/>
      <c r="F183" s="46" t="n"/>
      <c r="G183" s="96" t="n"/>
      <c r="H183" s="46" t="n"/>
      <c r="I183" s="97" t="n"/>
      <c r="J183" s="46" t="n"/>
      <c r="K183" s="46" t="n"/>
      <c r="L183" s="46" t="n"/>
      <c r="M183" s="46" t="n"/>
      <c r="N183" s="46" t="n"/>
      <c r="O183" s="46" t="n"/>
    </row>
    <row r="184" ht="17" customHeight="1">
      <c r="A184" s="83" t="n"/>
      <c r="B184" s="94" t="n"/>
      <c r="C184" s="46" t="n"/>
      <c r="D184" s="75" t="n"/>
      <c r="E184" s="95" t="n"/>
      <c r="F184" s="46" t="n"/>
      <c r="G184" s="96" t="n"/>
      <c r="H184" s="46" t="n"/>
      <c r="I184" s="97" t="n"/>
      <c r="J184" s="46" t="n"/>
      <c r="K184" s="46" t="n"/>
      <c r="L184" s="46" t="n"/>
      <c r="M184" s="46" t="n"/>
      <c r="N184" s="46" t="n"/>
      <c r="O184" s="46" t="n"/>
    </row>
    <row r="185" ht="17" customHeight="1">
      <c r="A185" s="83" t="n"/>
      <c r="B185" s="94" t="n"/>
      <c r="C185" s="46" t="n"/>
      <c r="D185" s="75" t="n"/>
      <c r="E185" s="95" t="n"/>
      <c r="F185" s="46" t="n"/>
      <c r="G185" s="96" t="n"/>
      <c r="H185" s="46" t="n"/>
      <c r="I185" s="97" t="n"/>
      <c r="J185" s="46" t="n"/>
      <c r="K185" s="46" t="n"/>
      <c r="L185" s="46" t="n"/>
      <c r="M185" s="46" t="n"/>
      <c r="N185" s="46" t="n"/>
      <c r="O185" s="46" t="n"/>
    </row>
    <row r="186" ht="17" customHeight="1">
      <c r="A186" s="83" t="n"/>
      <c r="B186" s="94" t="n"/>
      <c r="C186" s="46" t="n"/>
      <c r="D186" s="75" t="n"/>
      <c r="E186" s="95" t="n"/>
      <c r="F186" s="46" t="n"/>
      <c r="G186" s="96" t="n"/>
      <c r="H186" s="46" t="n"/>
      <c r="I186" s="97" t="n"/>
      <c r="J186" s="46" t="n"/>
      <c r="K186" s="46" t="n"/>
      <c r="L186" s="46" t="n"/>
      <c r="M186" s="46" t="n"/>
      <c r="N186" s="46" t="n"/>
      <c r="O186" s="46" t="n"/>
    </row>
    <row r="187" ht="17" customHeight="1">
      <c r="A187" s="83" t="n"/>
      <c r="B187" s="94" t="n"/>
      <c r="C187" s="46" t="n"/>
      <c r="D187" s="75" t="n"/>
      <c r="E187" s="95" t="n"/>
      <c r="F187" s="46" t="n"/>
      <c r="G187" s="96" t="n"/>
      <c r="H187" s="46" t="n"/>
      <c r="I187" s="97" t="n"/>
      <c r="J187" s="46" t="n"/>
      <c r="K187" s="46" t="n"/>
      <c r="L187" s="46" t="n"/>
      <c r="M187" s="46" t="n"/>
      <c r="N187" s="46" t="n"/>
      <c r="O187" s="46" t="n"/>
    </row>
    <row r="188" ht="17" customHeight="1">
      <c r="A188" s="83" t="n"/>
      <c r="B188" s="94" t="n"/>
      <c r="C188" s="46" t="n"/>
      <c r="D188" s="75" t="n"/>
      <c r="E188" s="95" t="n"/>
      <c r="F188" s="46" t="n"/>
      <c r="G188" s="96" t="n"/>
      <c r="H188" s="46" t="n"/>
      <c r="I188" s="97" t="n"/>
      <c r="J188" s="46" t="n"/>
      <c r="K188" s="46" t="n"/>
      <c r="L188" s="46" t="n"/>
      <c r="M188" s="46" t="n"/>
      <c r="N188" s="46" t="n"/>
      <c r="O188" s="46" t="n"/>
    </row>
    <row r="189" ht="17" customHeight="1">
      <c r="A189" s="83" t="n"/>
      <c r="B189" s="94" t="n"/>
      <c r="C189" s="46" t="n"/>
      <c r="D189" s="75" t="n"/>
      <c r="E189" s="95" t="n"/>
      <c r="F189" s="46" t="n"/>
      <c r="G189" s="96" t="n"/>
      <c r="H189" s="46" t="n"/>
      <c r="I189" s="97" t="n"/>
      <c r="J189" s="46" t="n"/>
      <c r="K189" s="46" t="n"/>
      <c r="L189" s="46" t="n"/>
      <c r="M189" s="46" t="n"/>
      <c r="N189" s="46" t="n"/>
      <c r="O189" s="46" t="n"/>
    </row>
    <row r="190" ht="17" customHeight="1">
      <c r="A190" s="83" t="n"/>
      <c r="B190" s="94" t="n"/>
      <c r="C190" s="46" t="n"/>
      <c r="D190" s="75" t="n"/>
      <c r="E190" s="95" t="n"/>
      <c r="F190" s="46" t="n"/>
      <c r="G190" s="96" t="n"/>
      <c r="H190" s="46" t="n"/>
      <c r="I190" s="97" t="n"/>
      <c r="J190" s="46" t="n"/>
      <c r="K190" s="46" t="n"/>
      <c r="L190" s="46" t="n"/>
      <c r="M190" s="46" t="n"/>
      <c r="N190" s="46" t="n"/>
      <c r="O190" s="46" t="n"/>
    </row>
    <row r="191" ht="17" customHeight="1">
      <c r="A191" s="83" t="n"/>
      <c r="B191" s="94" t="n"/>
      <c r="C191" s="46" t="n"/>
      <c r="D191" s="75" t="n"/>
      <c r="E191" s="95" t="n"/>
      <c r="F191" s="46" t="n"/>
      <c r="G191" s="96" t="n"/>
      <c r="H191" s="46" t="n"/>
      <c r="I191" s="97" t="n"/>
      <c r="J191" s="46" t="n"/>
      <c r="K191" s="46" t="n"/>
      <c r="L191" s="46" t="n"/>
      <c r="M191" s="46" t="n"/>
      <c r="N191" s="46" t="n"/>
      <c r="O191" s="46" t="n"/>
    </row>
    <row r="192" ht="17" customHeight="1">
      <c r="A192" s="83" t="n"/>
      <c r="B192" s="94" t="n"/>
      <c r="C192" s="46" t="n"/>
      <c r="D192" s="75" t="n"/>
      <c r="E192" s="95" t="n"/>
      <c r="F192" s="46" t="n"/>
      <c r="G192" s="96" t="n"/>
      <c r="H192" s="46" t="n"/>
      <c r="I192" s="97" t="n"/>
      <c r="J192" s="46" t="n"/>
      <c r="K192" s="46" t="n"/>
      <c r="L192" s="46" t="n"/>
      <c r="M192" s="46" t="n"/>
      <c r="N192" s="46" t="n"/>
      <c r="O192" s="46" t="n"/>
    </row>
    <row r="193" ht="17" customHeight="1">
      <c r="A193" s="83" t="n"/>
      <c r="B193" s="94" t="n"/>
      <c r="C193" s="46" t="n"/>
      <c r="D193" s="75" t="n"/>
      <c r="E193" s="95" t="n"/>
      <c r="F193" s="46" t="n"/>
      <c r="G193" s="96" t="n"/>
      <c r="H193" s="46" t="n"/>
      <c r="I193" s="97" t="n"/>
      <c r="J193" s="46" t="n"/>
      <c r="K193" s="46" t="n"/>
      <c r="L193" s="46" t="n"/>
      <c r="M193" s="46" t="n"/>
      <c r="N193" s="46" t="n"/>
      <c r="O193" s="46" t="n"/>
    </row>
    <row r="194" ht="22" customHeight="1">
      <c r="A194" s="31" t="inlineStr">
        <is>
          <t>TOTAL LANÇADO NO LIVRO</t>
        </is>
      </c>
      <c r="B194" s="32" t="n"/>
      <c r="C194" s="32" t="n"/>
      <c r="D194" s="32" t="n"/>
      <c r="E194" s="59">
        <f>ROUND(SUM($E$134:$E$193),2)</f>
        <v/>
      </c>
      <c r="F194" s="32" t="n"/>
      <c r="G194" s="98">
        <f>IF(COUNTA($B$134:$B$193)=COUNT($E$134:$E$193),"lançamentos: "&amp;COUNT($E$134:$E$193)&amp;" · todos classificados","ATENÇÃO: "&amp;(COUNT($E$134:$E$193)-COUNTA($B$134:$B$193))&amp;" lançamento(s) sem categoria")</f>
        <v/>
      </c>
      <c r="H194" s="32" t="n"/>
      <c r="I194" s="32" t="n"/>
      <c r="J194" s="32" t="n"/>
      <c r="K194" s="32" t="n"/>
      <c r="L194" s="32" t="n"/>
      <c r="M194" s="32" t="n"/>
      <c r="N194" s="32" t="n"/>
      <c r="O194" s="32" t="n"/>
    </row>
    <row r="196" ht="50" customHeight="1">
      <c r="A196" s="43" t="inlineStr">
        <is>
          <t xml:space="preserve">  Preencha primeiro a coluna ORÇADO com o que o orçamento previu e vá preenchendo o REALIZADO conforme o projeto anda — o desvio de cada linha é o que mostra onde o orçamento erra. Compras entram uma a uma no livro do bloco 8, com categoria, forma de pagamento e status; as categorias do bloco 6 se somam sozinhas. Você pode inserir linhas em qualquer bloco a partir da linha 26: tudo o que o Painel Geral lê está acima disso.</t>
        </is>
      </c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</row>
  </sheetData>
  <mergeCells count="561">
    <mergeCell ref="A196:O196"/>
    <mergeCell ref="I170:O170"/>
    <mergeCell ref="A15:B15"/>
    <mergeCell ref="I157:O157"/>
    <mergeCell ref="G128:O128"/>
    <mergeCell ref="B141:C141"/>
    <mergeCell ref="E142:F142"/>
    <mergeCell ref="I193:O193"/>
    <mergeCell ref="I172:O172"/>
    <mergeCell ref="H9:I9"/>
    <mergeCell ref="J76:M76"/>
    <mergeCell ref="G121:O121"/>
    <mergeCell ref="E171:F171"/>
    <mergeCell ref="G123:O123"/>
    <mergeCell ref="E137:F137"/>
    <mergeCell ref="G137:H137"/>
    <mergeCell ref="E173:F173"/>
    <mergeCell ref="H70:O70"/>
    <mergeCell ref="E148:F148"/>
    <mergeCell ref="G148:H148"/>
    <mergeCell ref="B78:C78"/>
    <mergeCell ref="D7:E7"/>
    <mergeCell ref="I183:O183"/>
    <mergeCell ref="D78:E78"/>
    <mergeCell ref="E166:F166"/>
    <mergeCell ref="G139:H139"/>
    <mergeCell ref="I175:O175"/>
    <mergeCell ref="H99:O99"/>
    <mergeCell ref="A34:C34"/>
    <mergeCell ref="I185:O185"/>
    <mergeCell ref="E168:F168"/>
    <mergeCell ref="G168:H168"/>
    <mergeCell ref="H87:I87"/>
    <mergeCell ref="H101:O101"/>
    <mergeCell ref="G143:H143"/>
    <mergeCell ref="D73:E73"/>
    <mergeCell ref="I176:O176"/>
    <mergeCell ref="J9:O9"/>
    <mergeCell ref="B154:C154"/>
    <mergeCell ref="H91:I91"/>
    <mergeCell ref="E117:F117"/>
    <mergeCell ref="A24:H24"/>
    <mergeCell ref="B156:C156"/>
    <mergeCell ref="E67:F67"/>
    <mergeCell ref="A103:B103"/>
    <mergeCell ref="H112:O112"/>
    <mergeCell ref="I138:O138"/>
    <mergeCell ref="I178:O178"/>
    <mergeCell ref="H114:O114"/>
    <mergeCell ref="E161:F161"/>
    <mergeCell ref="J73:M73"/>
    <mergeCell ref="G129:O129"/>
    <mergeCell ref="A72:O72"/>
    <mergeCell ref="J77:M77"/>
    <mergeCell ref="H75:I75"/>
    <mergeCell ref="B84:C84"/>
    <mergeCell ref="E110:F110"/>
    <mergeCell ref="H105:O105"/>
    <mergeCell ref="E16:F16"/>
    <mergeCell ref="E187:F187"/>
    <mergeCell ref="G138:H138"/>
    <mergeCell ref="B142:C142"/>
    <mergeCell ref="B80:C80"/>
    <mergeCell ref="E174:F174"/>
    <mergeCell ref="H15:O15"/>
    <mergeCell ref="H107:O107"/>
    <mergeCell ref="G126:O126"/>
    <mergeCell ref="B79:C79"/>
    <mergeCell ref="E18:F18"/>
    <mergeCell ref="D79:E79"/>
    <mergeCell ref="E189:F189"/>
    <mergeCell ref="G140:H140"/>
    <mergeCell ref="B144:C144"/>
    <mergeCell ref="F73:G73"/>
    <mergeCell ref="B81:C81"/>
    <mergeCell ref="D81:E81"/>
    <mergeCell ref="I191:O191"/>
    <mergeCell ref="H102:O102"/>
    <mergeCell ref="E29:F29"/>
    <mergeCell ref="H39:O39"/>
    <mergeCell ref="I192:O192"/>
    <mergeCell ref="E69:F69"/>
    <mergeCell ref="B170:C170"/>
    <mergeCell ref="E31:F31"/>
    <mergeCell ref="E158:F158"/>
    <mergeCell ref="E133:F133"/>
    <mergeCell ref="E108:F108"/>
    <mergeCell ref="G133:H133"/>
    <mergeCell ref="B172:C172"/>
    <mergeCell ref="E95:F95"/>
    <mergeCell ref="H28:O28"/>
    <mergeCell ref="E162:F162"/>
    <mergeCell ref="G135:H135"/>
    <mergeCell ref="B92:C92"/>
    <mergeCell ref="J74:M74"/>
    <mergeCell ref="D92:E92"/>
    <mergeCell ref="I146:O146"/>
    <mergeCell ref="F92:G92"/>
    <mergeCell ref="G153:H153"/>
    <mergeCell ref="A36:O36"/>
    <mergeCell ref="A11:O11"/>
    <mergeCell ref="B76:C76"/>
    <mergeCell ref="I181:O181"/>
    <mergeCell ref="A1:O1"/>
    <mergeCell ref="I12:O12"/>
    <mergeCell ref="E164:F164"/>
    <mergeCell ref="G164:H164"/>
    <mergeCell ref="H23:O23"/>
    <mergeCell ref="B150:C150"/>
    <mergeCell ref="E42:F42"/>
    <mergeCell ref="E17:F17"/>
    <mergeCell ref="E188:F188"/>
    <mergeCell ref="E126:F126"/>
    <mergeCell ref="B152:C152"/>
    <mergeCell ref="E180:F180"/>
    <mergeCell ref="J92:M92"/>
    <mergeCell ref="E19:F19"/>
    <mergeCell ref="E190:F190"/>
    <mergeCell ref="B145:C145"/>
    <mergeCell ref="G190:H190"/>
    <mergeCell ref="G146:H146"/>
    <mergeCell ref="B181:C181"/>
    <mergeCell ref="E182:F182"/>
    <mergeCell ref="A4:O4"/>
    <mergeCell ref="F10:O10"/>
    <mergeCell ref="H110:O110"/>
    <mergeCell ref="B87:C87"/>
    <mergeCell ref="I136:O136"/>
    <mergeCell ref="B147:C147"/>
    <mergeCell ref="D87:E87"/>
    <mergeCell ref="J87:M87"/>
    <mergeCell ref="E179:F179"/>
    <mergeCell ref="J89:M89"/>
    <mergeCell ref="D82:E82"/>
    <mergeCell ref="F82:G82"/>
    <mergeCell ref="G194:O194"/>
    <mergeCell ref="E37:F37"/>
    <mergeCell ref="E159:F159"/>
    <mergeCell ref="E97:F97"/>
    <mergeCell ref="G159:H159"/>
    <mergeCell ref="B163:C163"/>
    <mergeCell ref="H8:I8"/>
    <mergeCell ref="E109:F109"/>
    <mergeCell ref="H30:O30"/>
    <mergeCell ref="E145:F145"/>
    <mergeCell ref="E139:F139"/>
    <mergeCell ref="G161:H161"/>
    <mergeCell ref="B165:C165"/>
    <mergeCell ref="H29:O29"/>
    <mergeCell ref="E111:F111"/>
    <mergeCell ref="G136:H136"/>
    <mergeCell ref="A70:B70"/>
    <mergeCell ref="H44:O44"/>
    <mergeCell ref="H31:O31"/>
    <mergeCell ref="B77:C77"/>
    <mergeCell ref="D6:E6"/>
    <mergeCell ref="D77:E77"/>
    <mergeCell ref="I149:O149"/>
    <mergeCell ref="J82:M82"/>
    <mergeCell ref="H89:I89"/>
    <mergeCell ref="I151:O151"/>
    <mergeCell ref="B191:C191"/>
    <mergeCell ref="B178:C178"/>
    <mergeCell ref="E27:F27"/>
    <mergeCell ref="I144:O144"/>
    <mergeCell ref="E119:F119"/>
    <mergeCell ref="E183:F183"/>
    <mergeCell ref="G183:H183"/>
    <mergeCell ref="A6:C6"/>
    <mergeCell ref="E22:F22"/>
    <mergeCell ref="H42:O42"/>
    <mergeCell ref="E193:F193"/>
    <mergeCell ref="G193:H193"/>
    <mergeCell ref="D88:E88"/>
    <mergeCell ref="G149:H149"/>
    <mergeCell ref="F88:G88"/>
    <mergeCell ref="I177:O177"/>
    <mergeCell ref="G185:H185"/>
    <mergeCell ref="B90:C90"/>
    <mergeCell ref="D90:E90"/>
    <mergeCell ref="E122:F122"/>
    <mergeCell ref="G151:H151"/>
    <mergeCell ref="A45:B45"/>
    <mergeCell ref="G178:H178"/>
    <mergeCell ref="F6:G6"/>
    <mergeCell ref="J90:M90"/>
    <mergeCell ref="F83:G83"/>
    <mergeCell ref="H83:I83"/>
    <mergeCell ref="E38:F38"/>
    <mergeCell ref="A2:O2"/>
    <mergeCell ref="E147:F147"/>
    <mergeCell ref="F85:G85"/>
    <mergeCell ref="H85:I85"/>
    <mergeCell ref="G175:H175"/>
    <mergeCell ref="B179:C179"/>
    <mergeCell ref="E40:F40"/>
    <mergeCell ref="G162:H162"/>
    <mergeCell ref="H108:O108"/>
    <mergeCell ref="B166:C166"/>
    <mergeCell ref="B124:D124"/>
    <mergeCell ref="E186:F186"/>
    <mergeCell ref="G177:H177"/>
    <mergeCell ref="E104:F104"/>
    <mergeCell ref="H45:O45"/>
    <mergeCell ref="B174:C174"/>
    <mergeCell ref="B168:C168"/>
    <mergeCell ref="H32:O32"/>
    <mergeCell ref="B126:D126"/>
    <mergeCell ref="D9:E9"/>
    <mergeCell ref="H80:I80"/>
    <mergeCell ref="F9:G9"/>
    <mergeCell ref="I150:O150"/>
    <mergeCell ref="J83:M83"/>
    <mergeCell ref="I165:O165"/>
    <mergeCell ref="B169:C169"/>
    <mergeCell ref="I152:O152"/>
    <mergeCell ref="E66:F66"/>
    <mergeCell ref="J85:M85"/>
    <mergeCell ref="E130:F130"/>
    <mergeCell ref="E68:F68"/>
    <mergeCell ref="B134:C134"/>
    <mergeCell ref="G155:H155"/>
    <mergeCell ref="E160:F160"/>
    <mergeCell ref="E141:F141"/>
    <mergeCell ref="G118:O118"/>
    <mergeCell ref="E135:F135"/>
    <mergeCell ref="G157:H157"/>
    <mergeCell ref="E107:F107"/>
    <mergeCell ref="H73:I73"/>
    <mergeCell ref="E143:F143"/>
    <mergeCell ref="G172:H172"/>
    <mergeCell ref="G186:H186"/>
    <mergeCell ref="B162:C162"/>
    <mergeCell ref="D91:E91"/>
    <mergeCell ref="G152:H152"/>
    <mergeCell ref="F91:G91"/>
    <mergeCell ref="A21:B21"/>
    <mergeCell ref="I163:O163"/>
    <mergeCell ref="H84:I84"/>
    <mergeCell ref="A23:B23"/>
    <mergeCell ref="B187:C187"/>
    <mergeCell ref="E125:F125"/>
    <mergeCell ref="H86:I86"/>
    <mergeCell ref="E41:F41"/>
    <mergeCell ref="B189:C189"/>
    <mergeCell ref="E112:F112"/>
    <mergeCell ref="B188:C188"/>
    <mergeCell ref="B117:D117"/>
    <mergeCell ref="E43:F43"/>
    <mergeCell ref="J91:M91"/>
    <mergeCell ref="B190:C190"/>
    <mergeCell ref="B119:D119"/>
    <mergeCell ref="A16:B16"/>
    <mergeCell ref="G124:O124"/>
    <mergeCell ref="E138:F138"/>
    <mergeCell ref="A108:B108"/>
    <mergeCell ref="B127:D127"/>
    <mergeCell ref="I168:O168"/>
    <mergeCell ref="A18:B18"/>
    <mergeCell ref="B73:C73"/>
    <mergeCell ref="E167:F167"/>
    <mergeCell ref="H100:O100"/>
    <mergeCell ref="H7:I7"/>
    <mergeCell ref="G119:O119"/>
    <mergeCell ref="B137:C137"/>
    <mergeCell ref="E169:F169"/>
    <mergeCell ref="H66:O66"/>
    <mergeCell ref="B74:C74"/>
    <mergeCell ref="D74:E74"/>
    <mergeCell ref="B139:C139"/>
    <mergeCell ref="I184:O184"/>
    <mergeCell ref="B122:D122"/>
    <mergeCell ref="I171:O171"/>
    <mergeCell ref="H76:I76"/>
    <mergeCell ref="H95:O95"/>
    <mergeCell ref="A44:B44"/>
    <mergeCell ref="I173:O173"/>
    <mergeCell ref="H97:O97"/>
    <mergeCell ref="I166:O166"/>
    <mergeCell ref="G176:H176"/>
    <mergeCell ref="E64:F64"/>
    <mergeCell ref="J7:O7"/>
    <mergeCell ref="E156:F156"/>
    <mergeCell ref="E153:F153"/>
    <mergeCell ref="H21:O21"/>
    <mergeCell ref="E128:F128"/>
    <mergeCell ref="E155:F155"/>
    <mergeCell ref="D61:E61"/>
    <mergeCell ref="G184:H184"/>
    <mergeCell ref="G171:H171"/>
    <mergeCell ref="E65:F65"/>
    <mergeCell ref="E157:F157"/>
    <mergeCell ref="H16:O16"/>
    <mergeCell ref="A17:B17"/>
    <mergeCell ref="I134:O134"/>
    <mergeCell ref="H27:O27"/>
    <mergeCell ref="G117:O117"/>
    <mergeCell ref="A19:B19"/>
    <mergeCell ref="I161:O161"/>
    <mergeCell ref="E146:F146"/>
    <mergeCell ref="E12:F12"/>
    <mergeCell ref="G125:O125"/>
    <mergeCell ref="B138:C138"/>
    <mergeCell ref="E175:F175"/>
    <mergeCell ref="H67:O67"/>
    <mergeCell ref="H103:O103"/>
    <mergeCell ref="G127:O127"/>
    <mergeCell ref="E185:F185"/>
    <mergeCell ref="B140:C140"/>
    <mergeCell ref="I187:O187"/>
    <mergeCell ref="E170:F170"/>
    <mergeCell ref="I174:O174"/>
    <mergeCell ref="H98:O98"/>
    <mergeCell ref="D75:E75"/>
    <mergeCell ref="F75:G75"/>
    <mergeCell ref="I189:O189"/>
    <mergeCell ref="I188:O188"/>
    <mergeCell ref="G192:H192"/>
    <mergeCell ref="J8:O8"/>
    <mergeCell ref="E154:F154"/>
    <mergeCell ref="G154:H154"/>
    <mergeCell ref="B158:C158"/>
    <mergeCell ref="E172:F172"/>
    <mergeCell ref="B89:C89"/>
    <mergeCell ref="B160:C160"/>
    <mergeCell ref="D89:E89"/>
    <mergeCell ref="H18:O18"/>
    <mergeCell ref="L61:M61"/>
    <mergeCell ref="A194:D194"/>
    <mergeCell ref="I142:O142"/>
    <mergeCell ref="B153:C153"/>
    <mergeCell ref="J75:M75"/>
    <mergeCell ref="B184:C184"/>
    <mergeCell ref="H113:O113"/>
    <mergeCell ref="E20:F20"/>
    <mergeCell ref="I137:O137"/>
    <mergeCell ref="E177:F177"/>
    <mergeCell ref="E13:F13"/>
    <mergeCell ref="I164:O164"/>
    <mergeCell ref="I139:O139"/>
    <mergeCell ref="B88:C88"/>
    <mergeCell ref="B148:C148"/>
    <mergeCell ref="B82:C82"/>
    <mergeCell ref="E149:F149"/>
    <mergeCell ref="E176:F176"/>
    <mergeCell ref="E114:F114"/>
    <mergeCell ref="J88:M88"/>
    <mergeCell ref="A63:O63"/>
    <mergeCell ref="E15:F15"/>
    <mergeCell ref="E191:F191"/>
    <mergeCell ref="G142:H142"/>
    <mergeCell ref="B146:C146"/>
    <mergeCell ref="E178:F178"/>
    <mergeCell ref="H37:O37"/>
    <mergeCell ref="B83:C83"/>
    <mergeCell ref="B143:C143"/>
    <mergeCell ref="D83:E83"/>
    <mergeCell ref="E144:F144"/>
    <mergeCell ref="G144:H144"/>
    <mergeCell ref="H104:O104"/>
    <mergeCell ref="B85:C85"/>
    <mergeCell ref="A94:O94"/>
    <mergeCell ref="I190:O190"/>
    <mergeCell ref="D85:E85"/>
    <mergeCell ref="G173:H173"/>
    <mergeCell ref="H92:I92"/>
    <mergeCell ref="H106:O106"/>
    <mergeCell ref="F78:G78"/>
    <mergeCell ref="E106:F106"/>
    <mergeCell ref="H78:I78"/>
    <mergeCell ref="E33:F33"/>
    <mergeCell ref="H43:O43"/>
    <mergeCell ref="B159:C159"/>
    <mergeCell ref="D80:E80"/>
    <mergeCell ref="G170:H170"/>
    <mergeCell ref="B167:C167"/>
    <mergeCell ref="A26:O26"/>
    <mergeCell ref="B161:C161"/>
    <mergeCell ref="H6:I6"/>
    <mergeCell ref="H130:O130"/>
    <mergeCell ref="H68:O68"/>
    <mergeCell ref="B136:C136"/>
    <mergeCell ref="E28:F28"/>
    <mergeCell ref="B175:C175"/>
    <mergeCell ref="E30:F30"/>
    <mergeCell ref="J84:M84"/>
    <mergeCell ref="I145:O145"/>
    <mergeCell ref="J78:M78"/>
    <mergeCell ref="H69:O69"/>
    <mergeCell ref="A9:C9"/>
    <mergeCell ref="I147:O147"/>
    <mergeCell ref="J80:M80"/>
    <mergeCell ref="D8:E8"/>
    <mergeCell ref="J79:M79"/>
    <mergeCell ref="G150:H150"/>
    <mergeCell ref="I186:O186"/>
    <mergeCell ref="E21:F21"/>
    <mergeCell ref="J6:O6"/>
    <mergeCell ref="H82:I82"/>
    <mergeCell ref="B91:C91"/>
    <mergeCell ref="E192:F192"/>
    <mergeCell ref="H20:O20"/>
    <mergeCell ref="E129:F129"/>
    <mergeCell ref="H38:O38"/>
    <mergeCell ref="E23:F23"/>
    <mergeCell ref="D84:E84"/>
    <mergeCell ref="B155:C155"/>
    <mergeCell ref="G145:H145"/>
    <mergeCell ref="F84:G84"/>
    <mergeCell ref="B149:C149"/>
    <mergeCell ref="E181:F181"/>
    <mergeCell ref="B193:C193"/>
    <mergeCell ref="E194:F194"/>
    <mergeCell ref="G181:H181"/>
    <mergeCell ref="A3:O3"/>
    <mergeCell ref="H40:O40"/>
    <mergeCell ref="B86:C86"/>
    <mergeCell ref="G160:H160"/>
    <mergeCell ref="D86:E86"/>
    <mergeCell ref="I140:O140"/>
    <mergeCell ref="G147:H147"/>
    <mergeCell ref="F86:G86"/>
    <mergeCell ref="H64:O64"/>
    <mergeCell ref="B151:C151"/>
    <mergeCell ref="F80:G80"/>
    <mergeCell ref="G174:H174"/>
    <mergeCell ref="I158:O158"/>
    <mergeCell ref="I133:O133"/>
    <mergeCell ref="G189:H189"/>
    <mergeCell ref="F79:G79"/>
    <mergeCell ref="H79:I79"/>
    <mergeCell ref="E34:F34"/>
    <mergeCell ref="B182:C182"/>
    <mergeCell ref="E105:F105"/>
    <mergeCell ref="I160:O160"/>
    <mergeCell ref="E99:F99"/>
    <mergeCell ref="I135:O135"/>
    <mergeCell ref="F81:G81"/>
    <mergeCell ref="H81:I81"/>
    <mergeCell ref="E163:F163"/>
    <mergeCell ref="E101:F101"/>
    <mergeCell ref="G163:H163"/>
    <mergeCell ref="A22:B22"/>
    <mergeCell ref="B125:D125"/>
    <mergeCell ref="E113:F113"/>
    <mergeCell ref="B183:C183"/>
    <mergeCell ref="B177:C177"/>
    <mergeCell ref="E100:F100"/>
    <mergeCell ref="B164:C164"/>
    <mergeCell ref="J86:M86"/>
    <mergeCell ref="E136:F136"/>
    <mergeCell ref="G165:H165"/>
    <mergeCell ref="H33:O33"/>
    <mergeCell ref="I24:O24"/>
    <mergeCell ref="E102:F102"/>
    <mergeCell ref="G158:H158"/>
    <mergeCell ref="B120:D120"/>
    <mergeCell ref="D10:E10"/>
    <mergeCell ref="G169:H169"/>
    <mergeCell ref="I148:O148"/>
    <mergeCell ref="I153:O153"/>
    <mergeCell ref="E127:F127"/>
    <mergeCell ref="F74:G74"/>
    <mergeCell ref="B180:C180"/>
    <mergeCell ref="H74:I74"/>
    <mergeCell ref="G191:H191"/>
    <mergeCell ref="D76:E76"/>
    <mergeCell ref="F76:G76"/>
    <mergeCell ref="A47:O47"/>
    <mergeCell ref="B157:C157"/>
    <mergeCell ref="I179:O179"/>
    <mergeCell ref="B186:C186"/>
    <mergeCell ref="I141:O141"/>
    <mergeCell ref="E124:F124"/>
    <mergeCell ref="H65:O65"/>
    <mergeCell ref="E120:F120"/>
    <mergeCell ref="I159:O159"/>
    <mergeCell ref="I143:O143"/>
    <mergeCell ref="E184:F184"/>
    <mergeCell ref="A7:C7"/>
    <mergeCell ref="G122:O122"/>
    <mergeCell ref="E121:F121"/>
    <mergeCell ref="F87:G87"/>
    <mergeCell ref="B185:C185"/>
    <mergeCell ref="E151:F151"/>
    <mergeCell ref="H41:O41"/>
    <mergeCell ref="E123:F123"/>
    <mergeCell ref="F89:G89"/>
    <mergeCell ref="E150:F150"/>
    <mergeCell ref="E39:F39"/>
    <mergeCell ref="G179:H179"/>
    <mergeCell ref="F7:G7"/>
    <mergeCell ref="E44:F44"/>
    <mergeCell ref="B176:C176"/>
    <mergeCell ref="G166:H166"/>
    <mergeCell ref="H34:O34"/>
    <mergeCell ref="B128:D128"/>
    <mergeCell ref="G141:H141"/>
    <mergeCell ref="E103:F103"/>
    <mergeCell ref="E152:F152"/>
    <mergeCell ref="A116:O116"/>
    <mergeCell ref="E118:F118"/>
    <mergeCell ref="F8:G8"/>
    <mergeCell ref="A12:B12"/>
    <mergeCell ref="C12:D12"/>
    <mergeCell ref="G167:H167"/>
    <mergeCell ref="I154:O154"/>
    <mergeCell ref="B171:C171"/>
    <mergeCell ref="B123:D123"/>
    <mergeCell ref="I156:O156"/>
    <mergeCell ref="E70:F70"/>
    <mergeCell ref="F77:G77"/>
    <mergeCell ref="H77:I77"/>
    <mergeCell ref="H96:O96"/>
    <mergeCell ref="E32:F32"/>
    <mergeCell ref="G120:O120"/>
    <mergeCell ref="B133:C133"/>
    <mergeCell ref="E134:F134"/>
    <mergeCell ref="G134:H134"/>
    <mergeCell ref="B173:C173"/>
    <mergeCell ref="E96:F96"/>
    <mergeCell ref="B75:C75"/>
    <mergeCell ref="B135:C135"/>
    <mergeCell ref="I180:O180"/>
    <mergeCell ref="A130:B130"/>
    <mergeCell ref="I167:O167"/>
    <mergeCell ref="E98:F98"/>
    <mergeCell ref="I182:O182"/>
    <mergeCell ref="E165:F165"/>
    <mergeCell ref="I169:O169"/>
    <mergeCell ref="I13:O13"/>
    <mergeCell ref="E140:F140"/>
    <mergeCell ref="G156:H156"/>
    <mergeCell ref="B118:D118"/>
    <mergeCell ref="A8:C8"/>
    <mergeCell ref="H61:I61"/>
    <mergeCell ref="H88:I88"/>
    <mergeCell ref="J81:M81"/>
    <mergeCell ref="G187:H187"/>
    <mergeCell ref="A10:C10"/>
    <mergeCell ref="H17:O17"/>
    <mergeCell ref="F90:G90"/>
    <mergeCell ref="H90:I90"/>
    <mergeCell ref="H109:O109"/>
    <mergeCell ref="G180:H180"/>
    <mergeCell ref="E45:F45"/>
    <mergeCell ref="H22:O22"/>
    <mergeCell ref="B129:D129"/>
    <mergeCell ref="H19:O19"/>
    <mergeCell ref="G188:H188"/>
    <mergeCell ref="B192:C192"/>
    <mergeCell ref="A20:B20"/>
    <mergeCell ref="H111:O111"/>
    <mergeCell ref="B121:D121"/>
    <mergeCell ref="G182:H182"/>
    <mergeCell ref="I162:O162"/>
    <mergeCell ref="A132:O132"/>
    <mergeCell ref="A13:B13"/>
    <mergeCell ref="C13:D13"/>
    <mergeCell ref="I155:O155"/>
    <mergeCell ref="A114:B114"/>
  </mergeCells>
  <conditionalFormatting sqref="I134:O193">
    <cfRule type="expression" priority="1" dxfId="0" stopIfTrue="1">
      <formula>$I134="Pago"</formula>
    </cfRule>
    <cfRule type="expression" priority="2" dxfId="3" stopIfTrue="1">
      <formula>$I134="Comprado (a pagar)"</formula>
    </cfRule>
    <cfRule type="expression" priority="3" dxfId="1" stopIfTrue="1">
      <formula>$I134="A comprar"</formula>
    </cfRule>
  </conditionalFormatting>
  <conditionalFormatting sqref="A134:O193">
    <cfRule type="expression" priority="4" dxfId="6">
      <formula>AND($E134&lt;&gt;"",$B134="")</formula>
    </cfRule>
  </conditionalFormatting>
  <conditionalFormatting sqref="E16:F22">
    <cfRule type="expression" priority="5" dxfId="4">
      <formula>AND($E16&lt;&gt;"",$E16&gt;0)</formula>
    </cfRule>
    <cfRule type="expression" priority="6" dxfId="5">
      <formula>AND($E16&lt;&gt;"",$E16&lt;0)</formula>
    </cfRule>
  </conditionalFormatting>
  <conditionalFormatting sqref="E96:F114">
    <cfRule type="expression" priority="7" dxfId="4">
      <formula>AND($E96&lt;&gt;"",$E96&gt;0)</formula>
    </cfRule>
    <cfRule type="expression" priority="8" dxfId="5">
      <formula>AND($E96&lt;&gt;"",$E96&lt;0)</formula>
    </cfRule>
  </conditionalFormatting>
  <conditionalFormatting sqref="J9">
    <cfRule type="expression" priority="9" dxfId="0" stopIfTrue="1">
      <formula>$J$9="No prazo"</formula>
    </cfRule>
    <cfRule type="expression" priority="10" dxfId="2">
      <formula>$J$9="Atrasado"</formula>
    </cfRule>
  </conditionalFormatting>
  <conditionalFormatting sqref="A13:J13">
    <cfRule type="expression" priority="11" dxfId="6">
      <formula>AND($G$13&lt;&gt;"",$G$13&lt;0.25)</formula>
    </cfRule>
  </conditionalFormatting>
  <dataValidations count="12">
    <dataValidation sqref="D10:E1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"Jan/2026,Fev/2026,Mar/2026,Abr/2026,Mai/2026,Jun/2026,Jul/2026,Ago/2026,Set/2026,Out/2026,Nov/2026,Dez/2026,Jan/2027,Fev/2027,Mar/2027,Abr/2027,Mai/2027,Jun/2027,Jul/2027,Ago/2027,Set/2027,Out/2027,Nov/2027,Dez/2027"</formula1>
    </dataValidation>
    <dataValidation sqref="D49:D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H49:H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L49:L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"Lorrane,Lucas,Externo / avulso"</formula1>
    </dataValidation>
    <dataValidation sqref="H66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A74:A91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B118:B12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"Erro de projeto,Erro de medição,Erro de produção,Erro de montagem,Falha de material,Dano no transporte,Mudança pedida pelo cliente,Falha de fornecedor,Outro"</formula1>
    </dataValidation>
    <dataValidation sqref="B134:B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"MDF e MDP,Fita de borda,Ferragens,Vidros e espelhos,Esquadrias,Lâmina natural,Consumíveis,Acabamento,Serralheria,Vidraceiro,Outro terceirizado,Uber e aplicativo,Carreto e entrega,Deslocamento da equipe,Frete de material,Estacionamento e pedágio"</formula1>
    </dataValidation>
    <dataValidation sqref="G134:G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"PIX,Boleto,Cartão de crédito,Cartão parcelado,Dinheiro,Transferência,Faturado 30 dias,A combinar"</formula1>
    </dataValidation>
    <dataValidation sqref="I134:I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"A comprar,Comprado (a pagar),Pago"</formula1>
    </dataValidation>
    <dataValidation sqref="D9:E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"Jonathan,Vitor,Indicação,Arquiteto parceiro,Outro"</formula1>
    </dataValidation>
    <dataValidation sqref="F9:G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</dataValidations>
  <pageMargins left="0.4" right="0.3" top="0.4" bottom="0.3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196"/>
  <sheetViews>
    <sheetView showGridLines="0"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14" customWidth="1" min="3" max="3"/>
    <col width="16" customWidth="1" min="4" max="4"/>
    <col width="7" customWidth="1" min="5" max="5"/>
    <col width="13" customWidth="1" min="6" max="6"/>
    <col width="13" customWidth="1" min="7" max="7"/>
    <col width="16" customWidth="1" min="8" max="8"/>
    <col width="7" customWidth="1" min="9" max="9"/>
    <col width="13" customWidth="1" min="10" max="10"/>
    <col width="13" customWidth="1" min="11" max="11"/>
    <col width="15" customWidth="1" min="12" max="12"/>
    <col width="7" customWidth="1" min="13" max="13"/>
    <col width="13" customWidth="1" min="14" max="14"/>
    <col width="14" customWidth="1" min="15" max="15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8" customHeight="1">
      <c r="A3" s="4" t="inlineStr">
        <is>
          <t>FICHA DE CUSTO DO PROJETO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 ht="17" customHeight="1">
      <c r="A4" s="6" t="inlineStr">
        <is>
          <t>Fundo creme = você preenche · fundo cinza = calculado · duplique esta aba a cada projeto e registre o nome dela no Painel Geral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 ht="6" customHeight="1"/>
    <row r="6" ht="13" customHeight="1">
      <c r="A6" s="44" t="inlineStr">
        <is>
          <t>CLIENTE</t>
        </is>
      </c>
      <c r="B6" s="13" t="n"/>
      <c r="C6" s="13" t="n"/>
      <c r="D6" s="44" t="inlineStr">
        <is>
          <t>Nº DO PROJETO</t>
        </is>
      </c>
      <c r="E6" s="13" t="n"/>
      <c r="F6" s="44" t="inlineStr">
        <is>
          <t>DATA DE ENTRADA</t>
        </is>
      </c>
      <c r="G6" s="13" t="n"/>
      <c r="H6" s="44" t="inlineStr">
        <is>
          <t>ENTREGA PREVISTA</t>
        </is>
      </c>
      <c r="I6" s="13" t="n"/>
      <c r="J6" s="44" t="inlineStr">
        <is>
          <t>ENTREGA REAL</t>
        </is>
      </c>
      <c r="K6" s="13" t="n"/>
      <c r="L6" s="13" t="n"/>
      <c r="M6" s="13" t="n"/>
      <c r="N6" s="13" t="n"/>
      <c r="O6" s="13" t="n"/>
    </row>
    <row r="7" ht="21" customHeight="1">
      <c r="A7" s="45" t="n"/>
      <c r="B7" s="46" t="n"/>
      <c r="C7" s="46" t="n"/>
      <c r="D7" s="45" t="n"/>
      <c r="E7" s="46" t="n"/>
      <c r="F7" s="47" t="n"/>
      <c r="G7" s="46" t="n"/>
      <c r="H7" s="47" t="n"/>
      <c r="I7" s="46" t="n"/>
      <c r="J7" s="47" t="n"/>
      <c r="K7" s="46" t="n"/>
      <c r="L7" s="46" t="n"/>
      <c r="M7" s="46" t="n"/>
      <c r="N7" s="46" t="n"/>
      <c r="O7" s="46" t="n"/>
    </row>
    <row r="8" ht="13" customHeight="1">
      <c r="A8" s="44" t="inlineStr">
        <is>
          <t>PROJETO</t>
        </is>
      </c>
      <c r="B8" s="13" t="n"/>
      <c r="C8" s="13" t="n"/>
      <c r="D8" s="44" t="inlineStr">
        <is>
          <t>VENDEDOR</t>
        </is>
      </c>
      <c r="E8" s="13" t="n"/>
      <c r="F8" s="44" t="inlineStr">
        <is>
          <t>COORDENADOR</t>
        </is>
      </c>
      <c r="G8" s="13" t="n"/>
      <c r="H8" s="44" t="inlineStr">
        <is>
          <t>DIAS DE ATRASO</t>
        </is>
      </c>
      <c r="I8" s="13" t="n"/>
      <c r="J8" s="44" t="inlineStr">
        <is>
          <t>SITUAÇÃO DA ENTREGA</t>
        </is>
      </c>
      <c r="K8" s="13" t="n"/>
      <c r="L8" s="13" t="n"/>
      <c r="M8" s="13" t="n"/>
      <c r="N8" s="13" t="n"/>
      <c r="O8" s="13" t="n"/>
    </row>
    <row r="9" ht="21" customHeight="1">
      <c r="A9" s="45" t="n"/>
      <c r="B9" s="46" t="n"/>
      <c r="C9" s="46" t="n"/>
      <c r="D9" s="45" t="n"/>
      <c r="E9" s="46" t="n"/>
      <c r="F9" s="48" t="n"/>
      <c r="G9" s="46" t="n"/>
      <c r="H9" s="49">
        <f>IF(OR($H$7="",$J$7=""),"",$J$7-$H$7)</f>
        <v/>
      </c>
      <c r="I9" s="38" t="n"/>
      <c r="J9" s="50">
        <f>IF($H$7="","",IF($J$7="",IF(TODAY()&gt;$H$7,"Atrasado","Em produção"),IF($H$9&lt;=0,"No prazo","Atrasado")))</f>
        <v/>
      </c>
      <c r="K9" s="38" t="n"/>
      <c r="L9" s="38" t="n"/>
      <c r="M9" s="38" t="n"/>
      <c r="N9" s="38" t="n"/>
      <c r="O9" s="38" t="n"/>
    </row>
    <row r="10" ht="18" customHeight="1">
      <c r="A10" s="51" t="inlineStr">
        <is>
          <t>MÊS DE COMPETÊNCIA</t>
        </is>
      </c>
      <c r="B10" s="37" t="n"/>
      <c r="C10" s="37" t="n"/>
      <c r="D10" s="52" t="n"/>
      <c r="E10" s="46" t="n"/>
      <c r="F10" s="53" t="inlineStr">
        <is>
          <t>o mês em que a receita e o custo deste projeto pesam no painel de competência</t>
        </is>
      </c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</row>
    <row r="11" ht="20" customHeight="1">
      <c r="A11" s="8" t="inlineStr">
        <is>
          <t xml:space="preserve">  RESULTADO DO PROJETO          tudo aqui se atualiza conforme você lança os custos mais abaixo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</row>
    <row r="12" ht="13" customHeight="1">
      <c r="A12" s="44" t="inlineStr">
        <is>
          <t>VALOR DE VENDA</t>
        </is>
      </c>
      <c r="B12" s="13" t="n"/>
      <c r="C12" s="44" t="inlineStr">
        <is>
          <t>CUSTO TOTAL</t>
        </is>
      </c>
      <c r="D12" s="13" t="n"/>
      <c r="E12" s="44" t="inlineStr">
        <is>
          <t>MARGEM DE CONTRIBUIÇÃO</t>
        </is>
      </c>
      <c r="F12" s="13" t="n"/>
      <c r="G12" s="44" t="inlineStr">
        <is>
          <t>MC %</t>
        </is>
      </c>
      <c r="H12" s="44" t="inlineStr">
        <is>
          <t>MC % ORÇADA</t>
        </is>
      </c>
      <c r="I12" s="44" t="inlineStr">
        <is>
          <t>DESVIO DE CUSTO</t>
        </is>
      </c>
      <c r="J12" s="13" t="n"/>
      <c r="K12" s="13" t="n"/>
      <c r="L12" s="13" t="n"/>
      <c r="M12" s="13" t="n"/>
      <c r="N12" s="13" t="n"/>
      <c r="O12" s="13" t="n"/>
    </row>
    <row r="13" ht="30" customHeight="1">
      <c r="A13" s="54">
        <f>IF($D$28="",$C$28,$D$28)</f>
        <v/>
      </c>
      <c r="B13" s="15" t="n"/>
      <c r="C13" s="54">
        <f>IF($D$22=0,"",$D$22)</f>
        <v/>
      </c>
      <c r="D13" s="15" t="n"/>
      <c r="E13" s="54">
        <f>IF($A$13="","",$D$23)</f>
        <v/>
      </c>
      <c r="F13" s="15" t="n"/>
      <c r="G13" s="55">
        <f>IF(OR($A$13="",$A$13=0),"",$D$23/$A$13)</f>
        <v/>
      </c>
      <c r="H13" s="55">
        <f>IF(OR($C$28="",$C$28=0),"",$C$23/$C$28)</f>
        <v/>
      </c>
      <c r="I13" s="54">
        <f>IF(OR($C$22=0,$D$22=0),"",ROUND($D$22-$C$22,2))</f>
        <v/>
      </c>
      <c r="J13" s="15" t="n"/>
      <c r="K13" s="15" t="n"/>
      <c r="L13" s="15" t="n"/>
      <c r="M13" s="15" t="n"/>
      <c r="N13" s="15" t="n"/>
      <c r="O13" s="15" t="n"/>
    </row>
    <row r="14" ht="8" customHeight="1"/>
    <row r="15" ht="26" customHeight="1">
      <c r="A15" s="19" t="inlineStr">
        <is>
          <t>Resumo por categoria</t>
        </is>
      </c>
      <c r="B15" s="35" t="n"/>
      <c r="C15" s="19" t="inlineStr">
        <is>
          <t>Orçado (R$)</t>
        </is>
      </c>
      <c r="D15" s="19" t="inlineStr">
        <is>
          <t>Realizado (R$)</t>
        </is>
      </c>
      <c r="E15" s="19" t="inlineStr">
        <is>
          <t>Desvio (R$)</t>
        </is>
      </c>
      <c r="F15" s="35" t="n"/>
      <c r="G15" s="19" t="inlineStr">
        <is>
          <t>Desvio (%)</t>
        </is>
      </c>
      <c r="H15" s="19" t="inlineStr">
        <is>
          <t>% da venda realizada</t>
        </is>
      </c>
      <c r="I15" s="35" t="n"/>
      <c r="J15" s="35" t="n"/>
      <c r="K15" s="35" t="n"/>
      <c r="L15" s="35" t="n"/>
      <c r="M15" s="35" t="n"/>
      <c r="N15" s="35" t="n"/>
      <c r="O15" s="35" t="n"/>
    </row>
    <row r="16" ht="18" customHeight="1">
      <c r="A16" s="36" t="inlineStr">
        <is>
          <t>Custos de venda</t>
        </is>
      </c>
      <c r="B16" s="37" t="n"/>
      <c r="C16" s="56">
        <f>IF(C44="","",C44)</f>
        <v/>
      </c>
      <c r="D16" s="56">
        <f>IF(D44="","",D44)</f>
        <v/>
      </c>
      <c r="E16" s="56">
        <f>IF(OR($C16="",$D16=""),"",ROUND($D16-$C16,2))</f>
        <v/>
      </c>
      <c r="F16" s="38" t="n"/>
      <c r="G16" s="57">
        <f>IF(OR($C16="",$C16=0,$D16=""),"",$D16/$C16-1)</f>
        <v/>
      </c>
      <c r="H16" s="58">
        <f>IF(OR($D16="",$A$13="",$A$13=0),"",$D16/$A$13)</f>
        <v/>
      </c>
      <c r="I16" s="38" t="n"/>
      <c r="J16" s="38" t="n"/>
      <c r="K16" s="38" t="n"/>
      <c r="L16" s="38" t="n"/>
      <c r="M16" s="38" t="n"/>
      <c r="N16" s="38" t="n"/>
      <c r="O16" s="38" t="n"/>
    </row>
    <row r="17" ht="18" customHeight="1">
      <c r="A17" s="36" t="inlineStr">
        <is>
          <t>Comissões operacionais</t>
        </is>
      </c>
      <c r="B17" s="37" t="n"/>
      <c r="C17" s="56">
        <f>IF(C70="","",C70)</f>
        <v/>
      </c>
      <c r="D17" s="56">
        <f>IF(D70="","",D70)</f>
        <v/>
      </c>
      <c r="E17" s="56">
        <f>IF(OR($C17="",$D17=""),"",ROUND($D17-$C17,2))</f>
        <v/>
      </c>
      <c r="F17" s="38" t="n"/>
      <c r="G17" s="57">
        <f>IF(OR($C17="",$C17=0,$D17=""),"",$D17/$C17-1)</f>
        <v/>
      </c>
      <c r="H17" s="58">
        <f>IF(OR($D17="",$A$13="",$A$13=0),"",$D17/$A$13)</f>
        <v/>
      </c>
      <c r="I17" s="38" t="n"/>
      <c r="J17" s="38" t="n"/>
      <c r="K17" s="38" t="n"/>
      <c r="L17" s="38" t="n"/>
      <c r="M17" s="38" t="n"/>
      <c r="N17" s="38" t="n"/>
      <c r="O17" s="38" t="n"/>
    </row>
    <row r="18" ht="18" customHeight="1">
      <c r="A18" s="36" t="inlineStr">
        <is>
          <t>Material</t>
        </is>
      </c>
      <c r="B18" s="37" t="n"/>
      <c r="C18" s="56">
        <f>IF(C103="","",C103)</f>
        <v/>
      </c>
      <c r="D18" s="56">
        <f>IF(D103="","",D103)</f>
        <v/>
      </c>
      <c r="E18" s="56">
        <f>IF(OR($C18="",$D18=""),"",ROUND($D18-$C18,2))</f>
        <v/>
      </c>
      <c r="F18" s="38" t="n"/>
      <c r="G18" s="57">
        <f>IF(OR($C18="",$C18=0,$D18=""),"",$D18/$C18-1)</f>
        <v/>
      </c>
      <c r="H18" s="58">
        <f>IF(OR($D18="",$A$13="",$A$13=0),"",$D18/$A$13)</f>
        <v/>
      </c>
      <c r="I18" s="38" t="n"/>
      <c r="J18" s="38" t="n"/>
      <c r="K18" s="38" t="n"/>
      <c r="L18" s="38" t="n"/>
      <c r="M18" s="38" t="n"/>
      <c r="N18" s="38" t="n"/>
      <c r="O18" s="38" t="n"/>
    </row>
    <row r="19" ht="18" customHeight="1">
      <c r="A19" s="36" t="inlineStr">
        <is>
          <t>Serviços terceirizados</t>
        </is>
      </c>
      <c r="B19" s="37" t="n"/>
      <c r="C19" s="56">
        <f>IF(C108="","",C108)</f>
        <v/>
      </c>
      <c r="D19" s="56">
        <f>IF(D108="","",D108)</f>
        <v/>
      </c>
      <c r="E19" s="56">
        <f>IF(OR($C19="",$D19=""),"",ROUND($D19-$C19,2))</f>
        <v/>
      </c>
      <c r="F19" s="38" t="n"/>
      <c r="G19" s="57">
        <f>IF(OR($C19="",$C19=0,$D19=""),"",$D19/$C19-1)</f>
        <v/>
      </c>
      <c r="H19" s="58">
        <f>IF(OR($D19="",$A$13="",$A$13=0),"",$D19/$A$13)</f>
        <v/>
      </c>
      <c r="I19" s="38" t="n"/>
      <c r="J19" s="38" t="n"/>
      <c r="K19" s="38" t="n"/>
      <c r="L19" s="38" t="n"/>
      <c r="M19" s="38" t="n"/>
      <c r="N19" s="38" t="n"/>
      <c r="O19" s="38" t="n"/>
    </row>
    <row r="20" ht="18" customHeight="1">
      <c r="A20" s="36" t="inlineStr">
        <is>
          <t>Logística</t>
        </is>
      </c>
      <c r="B20" s="37" t="n"/>
      <c r="C20" s="56">
        <f>IF(C114="","",C114)</f>
        <v/>
      </c>
      <c r="D20" s="56">
        <f>IF(D114="","",D114)</f>
        <v/>
      </c>
      <c r="E20" s="56">
        <f>IF(OR($C20="",$D20=""),"",ROUND($D20-$C20,2))</f>
        <v/>
      </c>
      <c r="F20" s="38" t="n"/>
      <c r="G20" s="57">
        <f>IF(OR($C20="",$C20=0,$D20=""),"",$D20/$C20-1)</f>
        <v/>
      </c>
      <c r="H20" s="58">
        <f>IF(OR($D20="",$A$13="",$A$13=0),"",$D20/$A$13)</f>
        <v/>
      </c>
      <c r="I20" s="38" t="n"/>
      <c r="J20" s="38" t="n"/>
      <c r="K20" s="38" t="n"/>
      <c r="L20" s="38" t="n"/>
      <c r="M20" s="38" t="n"/>
      <c r="N20" s="38" t="n"/>
      <c r="O20" s="38" t="n"/>
    </row>
    <row r="21" ht="18" customHeight="1">
      <c r="A21" s="36" t="inlineStr">
        <is>
          <t>Retrabalho</t>
        </is>
      </c>
      <c r="B21" s="37" t="n"/>
      <c r="C21" s="56">
        <f>IF(C130="","",C130)</f>
        <v/>
      </c>
      <c r="D21" s="56">
        <f>IF(D130="","",D130)</f>
        <v/>
      </c>
      <c r="E21" s="56">
        <f>IF(OR($C21="",$D21=""),"",ROUND($D21-$C21,2))</f>
        <v/>
      </c>
      <c r="F21" s="38" t="n"/>
      <c r="G21" s="57">
        <f>IF(OR($C21="",$C21=0,$D21=""),"",$D21/$C21-1)</f>
        <v/>
      </c>
      <c r="H21" s="58">
        <f>IF(OR($D21="",$A$13="",$A$13=0),"",$D21/$A$13)</f>
        <v/>
      </c>
      <c r="I21" s="38" t="n"/>
      <c r="J21" s="38" t="n"/>
      <c r="K21" s="38" t="n"/>
      <c r="L21" s="38" t="n"/>
      <c r="M21" s="38" t="n"/>
      <c r="N21" s="38" t="n"/>
      <c r="O21" s="38" t="n"/>
    </row>
    <row r="22" ht="22" customHeight="1">
      <c r="A22" s="31" t="inlineStr">
        <is>
          <t>(=) CUSTO TOTAL DO PROJETO</t>
        </is>
      </c>
      <c r="B22" s="32" t="n"/>
      <c r="C22" s="59">
        <f>ROUND(SUM(C16:C21),2)</f>
        <v/>
      </c>
      <c r="D22" s="59">
        <f>ROUND(SUM(D16:D21),2)</f>
        <v/>
      </c>
      <c r="E22" s="60">
        <f>ROUND($D$22-$C$22,2)</f>
        <v/>
      </c>
      <c r="F22" s="32" t="n"/>
      <c r="G22" s="61">
        <f>IF(OR($C$22="",$C$22=0),"",$D$22/$C$22-1)</f>
        <v/>
      </c>
      <c r="H22" s="62">
        <f>IF(OR($A$13="",$A$13=0),"",$D$22/$A$13)</f>
        <v/>
      </c>
      <c r="I22" s="32" t="n"/>
      <c r="J22" s="32" t="n"/>
      <c r="K22" s="32" t="n"/>
      <c r="L22" s="32" t="n"/>
      <c r="M22" s="32" t="n"/>
      <c r="N22" s="32" t="n"/>
      <c r="O22" s="32" t="n"/>
    </row>
    <row r="23" ht="28" customHeight="1">
      <c r="A23" s="63" t="inlineStr">
        <is>
          <t>(=) MARGEM DE CONTRIBUIÇÃO</t>
        </is>
      </c>
      <c r="B23" s="64" t="n"/>
      <c r="C23" s="65">
        <f>ROUND($C$28-$C$22,2)</f>
        <v/>
      </c>
      <c r="D23" s="65">
        <f>ROUND($A$13-$D$22,2)</f>
        <v/>
      </c>
      <c r="E23" s="66">
        <f>ROUND($D$23-$C$23,2)</f>
        <v/>
      </c>
      <c r="F23" s="64" t="n"/>
      <c r="G23" s="67">
        <f>IF(OR($C$28="",$C$28=0),"",$C$23/$C$28)</f>
        <v/>
      </c>
      <c r="H23" s="68">
        <f>IF(OR($A$13="",$A$13=0),"",$D$23/$A$13)</f>
        <v/>
      </c>
      <c r="I23" s="64" t="n"/>
      <c r="J23" s="64" t="n"/>
      <c r="K23" s="64" t="n"/>
      <c r="L23" s="64" t="n"/>
      <c r="M23" s="64" t="n"/>
      <c r="N23" s="64" t="n"/>
      <c r="O23" s="64" t="n"/>
    </row>
    <row r="24" ht="22" customHeight="1">
      <c r="A24" s="69">
        <f>IF($A$13="","",IF(ROUND(SUMIF($I$134:$I$193,"A comprar",$E$134:$E$193),2)+ROUND(SUMIF($I$134:$I$193,"Comprado (a pagar)",$E$134:$E$193),2)=0,"   Nenhuma compra pendente lançada — o custo realizado já é o custo final.","   Já comprado e ainda a pagar: "&amp;TEXT(ROUND(SUMIF($I$134:$I$193,"Comprado (a pagar)",$E$134:$E$193),2),"R$ #,##0")&amp;"   ·   custo projetado: "&amp;TEXT($D$22+ROUND(SUMIF($I$134:$I$193,"A comprar",$E$134:$E$193),2),"R$ #,##0")&amp;"   ·   MC projetada: "&amp;TEXT(($A$13-$D$22-ROUND(SUMIF($I$134:$I$193,"A comprar",$E$134:$E$193),2))/$A$13,"0.0%")))</f>
        <v/>
      </c>
      <c r="B24" s="15" t="n"/>
      <c r="C24" s="15" t="n"/>
      <c r="D24" s="15" t="n"/>
      <c r="E24" s="15" t="n"/>
      <c r="F24" s="15" t="n"/>
      <c r="G24" s="15" t="n"/>
      <c r="H24" s="15" t="n"/>
      <c r="I24" s="70">
        <f>IF($A$13="","",ROUND(SUMIF($I$134:$I$193,"A comprar",$E$134:$E$193),2))</f>
        <v/>
      </c>
      <c r="J24" s="15" t="n"/>
      <c r="K24" s="15" t="n"/>
      <c r="L24" s="15" t="n"/>
      <c r="M24" s="15" t="n"/>
      <c r="N24" s="15" t="n"/>
      <c r="O24" s="15" t="n"/>
    </row>
    <row r="25" ht="8" customHeight="1"/>
    <row r="26" ht="20" customHeight="1">
      <c r="A26" s="8" t="inlineStr">
        <is>
          <t xml:space="preserve">  1 · VALOR DE VENDA E NOTAS EMITIDAS          o que foi vendido e o que já virou nota — a diferença é o que falta faturar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 ht="26" customHeight="1">
      <c r="A27" s="19" t="inlineStr">
        <is>
          <t>Item</t>
        </is>
      </c>
      <c r="B27" s="19" t="inlineStr">
        <is>
          <t>%</t>
        </is>
      </c>
      <c r="C27" s="19" t="inlineStr">
        <is>
          <t>Orçado (R$)</t>
        </is>
      </c>
      <c r="D27" s="19" t="inlineStr">
        <is>
          <t>Realizado (R$)</t>
        </is>
      </c>
      <c r="E27" s="19" t="inlineStr">
        <is>
          <t>Desvio (R$)</t>
        </is>
      </c>
      <c r="F27" s="35" t="n"/>
      <c r="G27" s="19" t="inlineStr">
        <is>
          <t>% da venda</t>
        </is>
      </c>
      <c r="H27" s="19" t="inlineStr">
        <is>
          <t>Observação</t>
        </is>
      </c>
      <c r="I27" s="35" t="n"/>
      <c r="J27" s="35" t="n"/>
      <c r="K27" s="35" t="n"/>
      <c r="L27" s="35" t="n"/>
      <c r="M27" s="35" t="n"/>
      <c r="N27" s="35" t="n"/>
      <c r="O27" s="35" t="n"/>
    </row>
    <row r="28" ht="17" customHeight="1">
      <c r="A28" s="36" t="inlineStr">
        <is>
          <t>Valor de venda do projeto</t>
        </is>
      </c>
      <c r="B28" s="37" t="n"/>
      <c r="C28" s="71" t="n"/>
      <c r="D28" s="71" t="n"/>
      <c r="E28" s="56">
        <f>IF(OR($C28="",$D28=""),"",ROUND($D28-$C28,2))</f>
        <v/>
      </c>
      <c r="F28" s="38" t="n"/>
      <c r="G28" s="72" t="n"/>
      <c r="H28" s="73" t="inlineStr">
        <is>
          <t>Orçado = valor da proposta · Realizado = valor fechado</t>
        </is>
      </c>
      <c r="I28" s="46" t="n"/>
      <c r="J28" s="46" t="n"/>
      <c r="K28" s="46" t="n"/>
      <c r="L28" s="46" t="n"/>
      <c r="M28" s="46" t="n"/>
      <c r="N28" s="46" t="n"/>
      <c r="O28" s="46" t="n"/>
    </row>
    <row r="29" ht="22" customHeight="1">
      <c r="A29" s="19" t="inlineStr">
        <is>
          <t>Nota fiscal</t>
        </is>
      </c>
      <c r="B29" s="19" t="inlineStr">
        <is>
          <t>Número</t>
        </is>
      </c>
      <c r="C29" s="19" t="inlineStr">
        <is>
          <t>Data</t>
        </is>
      </c>
      <c r="D29" s="19" t="inlineStr">
        <is>
          <t>Valor (R$)</t>
        </is>
      </c>
      <c r="E29" s="19" t="inlineStr"/>
      <c r="F29" s="35" t="n"/>
      <c r="G29" s="19" t="inlineStr">
        <is>
          <t>% da venda</t>
        </is>
      </c>
      <c r="H29" s="19" t="inlineStr">
        <is>
          <t>Observação</t>
        </is>
      </c>
      <c r="I29" s="35" t="n"/>
      <c r="J29" s="35" t="n"/>
      <c r="K29" s="35" t="n"/>
      <c r="L29" s="35" t="n"/>
      <c r="M29" s="35" t="n"/>
      <c r="N29" s="35" t="n"/>
      <c r="O29" s="35" t="n"/>
    </row>
    <row r="30" ht="17" customHeight="1">
      <c r="A30" s="36" t="inlineStr">
        <is>
          <t>Nota 1</t>
        </is>
      </c>
      <c r="B30" s="74" t="n"/>
      <c r="C30" s="75" t="n"/>
      <c r="D30" s="76" t="n"/>
      <c r="E30" s="37" t="n"/>
      <c r="F30" s="37" t="n"/>
      <c r="G30" s="72">
        <f>IF(OR($D30="",$A$13="",$A$13=0),"",$D30/$A$13)</f>
        <v/>
      </c>
      <c r="H30" s="73" t="n"/>
      <c r="I30" s="46" t="n"/>
      <c r="J30" s="46" t="n"/>
      <c r="K30" s="46" t="n"/>
      <c r="L30" s="46" t="n"/>
      <c r="M30" s="46" t="n"/>
      <c r="N30" s="46" t="n"/>
      <c r="O30" s="46" t="n"/>
    </row>
    <row r="31" ht="17" customHeight="1">
      <c r="A31" s="36" t="inlineStr">
        <is>
          <t>Nota 2</t>
        </is>
      </c>
      <c r="B31" s="74" t="n"/>
      <c r="C31" s="75" t="n"/>
      <c r="D31" s="76" t="n"/>
      <c r="E31" s="37" t="n"/>
      <c r="F31" s="37" t="n"/>
      <c r="G31" s="72">
        <f>IF(OR($D31="",$A$13="",$A$13=0),"",$D31/$A$13)</f>
        <v/>
      </c>
      <c r="H31" s="73" t="n"/>
      <c r="I31" s="46" t="n"/>
      <c r="J31" s="46" t="n"/>
      <c r="K31" s="46" t="n"/>
      <c r="L31" s="46" t="n"/>
      <c r="M31" s="46" t="n"/>
      <c r="N31" s="46" t="n"/>
      <c r="O31" s="46" t="n"/>
    </row>
    <row r="32" ht="17" customHeight="1">
      <c r="A32" s="36" t="inlineStr">
        <is>
          <t>Nota 3</t>
        </is>
      </c>
      <c r="B32" s="74" t="n"/>
      <c r="C32" s="75" t="n"/>
      <c r="D32" s="76" t="n"/>
      <c r="E32" s="37" t="n"/>
      <c r="F32" s="37" t="n"/>
      <c r="G32" s="72">
        <f>IF(OR($D32="",$A$13="",$A$13=0),"",$D32/$A$13)</f>
        <v/>
      </c>
      <c r="H32" s="73" t="n"/>
      <c r="I32" s="46" t="n"/>
      <c r="J32" s="46" t="n"/>
      <c r="K32" s="46" t="n"/>
      <c r="L32" s="46" t="n"/>
      <c r="M32" s="46" t="n"/>
      <c r="N32" s="46" t="n"/>
      <c r="O32" s="46" t="n"/>
    </row>
    <row r="33" ht="17" customHeight="1">
      <c r="A33" s="36" t="inlineStr">
        <is>
          <t>Nota 4</t>
        </is>
      </c>
      <c r="B33" s="74" t="n"/>
      <c r="C33" s="75" t="n"/>
      <c r="D33" s="76" t="n"/>
      <c r="E33" s="37" t="n"/>
      <c r="F33" s="37" t="n"/>
      <c r="G33" s="72">
        <f>IF(OR($D33="",$A$13="",$A$13=0),"",$D33/$A$13)</f>
        <v/>
      </c>
      <c r="H33" s="73" t="n"/>
      <c r="I33" s="46" t="n"/>
      <c r="J33" s="46" t="n"/>
      <c r="K33" s="46" t="n"/>
      <c r="L33" s="46" t="n"/>
      <c r="M33" s="46" t="n"/>
      <c r="N33" s="46" t="n"/>
      <c r="O33" s="46" t="n"/>
    </row>
    <row r="34" ht="20" customHeight="1">
      <c r="A34" s="31" t="inlineStr">
        <is>
          <t>(=) TOTAL FATURADO  →</t>
        </is>
      </c>
      <c r="B34" s="32" t="n"/>
      <c r="C34" s="32" t="n"/>
      <c r="D34" s="60">
        <f>ROUND(SUM($D$30:$D$33),2)</f>
        <v/>
      </c>
      <c r="E34" s="32" t="n"/>
      <c r="F34" s="32" t="n"/>
      <c r="G34" s="62">
        <f>IF(OR($A$13="",$A$13=0),"",$D$34/$A$13)</f>
        <v/>
      </c>
      <c r="H34" s="77">
        <f>IF(OR($A$13="",$A$13=0),"",IF(ROUND($A$13-$D$34,2)&lt;=0,"   Projeto totalmente faturado.","   Ainda a faturar: "&amp;TEXT($A$13-$D$34,"R$ #,##0.00")))</f>
        <v/>
      </c>
      <c r="I34" s="32" t="n"/>
      <c r="J34" s="32" t="n"/>
      <c r="K34" s="32" t="n"/>
      <c r="L34" s="32" t="n"/>
      <c r="M34" s="32" t="n"/>
      <c r="N34" s="32" t="n"/>
      <c r="O34" s="32" t="n"/>
    </row>
    <row r="35" ht="8" customHeight="1"/>
    <row r="36" ht="20" customHeight="1">
      <c r="A36" s="8" t="inlineStr">
        <is>
          <t xml:space="preserve">  2 · CUSTOS DE VENDA          tudo que sai por causa da venda · define a RECEITA LÍQUIDA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</row>
    <row r="37" ht="26" customHeight="1">
      <c r="A37" s="19" t="inlineStr">
        <is>
          <t>Item</t>
        </is>
      </c>
      <c r="B37" s="19" t="inlineStr">
        <is>
          <t>%</t>
        </is>
      </c>
      <c r="C37" s="19" t="inlineStr">
        <is>
          <t>Orçado (R$)</t>
        </is>
      </c>
      <c r="D37" s="19" t="inlineStr">
        <is>
          <t>Realizado (R$)</t>
        </is>
      </c>
      <c r="E37" s="19" t="inlineStr">
        <is>
          <t>Desvio (R$)</t>
        </is>
      </c>
      <c r="F37" s="35" t="n"/>
      <c r="G37" s="19" t="inlineStr">
        <is>
          <t>% da venda</t>
        </is>
      </c>
      <c r="H37" s="19" t="inlineStr">
        <is>
          <t>Observação</t>
        </is>
      </c>
      <c r="I37" s="35" t="n"/>
      <c r="J37" s="35" t="n"/>
      <c r="K37" s="35" t="n"/>
      <c r="L37" s="35" t="n"/>
      <c r="M37" s="35" t="n"/>
      <c r="N37" s="35" t="n"/>
      <c r="O37" s="35" t="n"/>
    </row>
    <row r="38" ht="17" customHeight="1">
      <c r="A38" s="36" t="inlineStr">
        <is>
          <t>Impostos sobre a nota (Simples)</t>
        </is>
      </c>
      <c r="B38" s="78" t="n"/>
      <c r="C38" s="56">
        <f>IF($B38="","",ROUND($B38*$C$28,2))</f>
        <v/>
      </c>
      <c r="D38" s="56">
        <f>IF($B38="","",ROUND($B38*$A$13,2))</f>
        <v/>
      </c>
      <c r="E38" s="56">
        <f>IF(OR($C38="",$D38=""),"",ROUND($D38-$C38,2))</f>
        <v/>
      </c>
      <c r="F38" s="38" t="n"/>
      <c r="G38" s="72">
        <f>IF(OR($D38="",$A$13="",$A$13=0),"",$D38/$A$13)</f>
        <v/>
      </c>
      <c r="H38" s="73" t="inlineStr">
        <is>
          <t>% sobre o valor de venda</t>
        </is>
      </c>
      <c r="I38" s="46" t="n"/>
      <c r="J38" s="46" t="n"/>
      <c r="K38" s="46" t="n"/>
      <c r="L38" s="46" t="n"/>
      <c r="M38" s="46" t="n"/>
      <c r="N38" s="46" t="n"/>
      <c r="O38" s="46" t="n"/>
    </row>
    <row r="39" ht="17" customHeight="1">
      <c r="A39" s="36" t="inlineStr">
        <is>
          <t>Taxa de máquina de cartão</t>
        </is>
      </c>
      <c r="B39" s="78" t="n"/>
      <c r="C39" s="56">
        <f>IF($B39="","",ROUND($B39*$C$28,2))</f>
        <v/>
      </c>
      <c r="D39" s="56">
        <f>IF($B39="","",ROUND($B39*$A$13,2))</f>
        <v/>
      </c>
      <c r="E39" s="56">
        <f>IF(OR($C39="",$D39=""),"",ROUND($D39-$C39,2))</f>
        <v/>
      </c>
      <c r="F39" s="38" t="n"/>
      <c r="G39" s="72">
        <f>IF(OR($D39="",$A$13="",$A$13=0),"",$D39/$A$13)</f>
        <v/>
      </c>
      <c r="H39" s="73" t="inlineStr">
        <is>
          <t>% sobre o valor de venda</t>
        </is>
      </c>
      <c r="I39" s="46" t="n"/>
      <c r="J39" s="46" t="n"/>
      <c r="K39" s="46" t="n"/>
      <c r="L39" s="46" t="n"/>
      <c r="M39" s="46" t="n"/>
      <c r="N39" s="46" t="n"/>
      <c r="O39" s="46" t="n"/>
    </row>
    <row r="40" ht="17" customHeight="1">
      <c r="A40" s="36" t="inlineStr">
        <is>
          <t>Taxas de transação (PIX, boleto, TED)</t>
        </is>
      </c>
      <c r="B40" s="37" t="n"/>
      <c r="C40" s="71" t="n"/>
      <c r="D40" s="71" t="n"/>
      <c r="E40" s="56">
        <f>IF(OR($C40="",$D40=""),"",ROUND($D40-$C40,2))</f>
        <v/>
      </c>
      <c r="F40" s="38" t="n"/>
      <c r="G40" s="72">
        <f>IF(OR($D40="",$A$13="",$A$13=0),"",$D40/$A$13)</f>
        <v/>
      </c>
      <c r="H40" s="73" t="inlineStr">
        <is>
          <t>valor em reais</t>
        </is>
      </c>
      <c r="I40" s="46" t="n"/>
      <c r="J40" s="46" t="n"/>
      <c r="K40" s="46" t="n"/>
      <c r="L40" s="46" t="n"/>
      <c r="M40" s="46" t="n"/>
      <c r="N40" s="46" t="n"/>
      <c r="O40" s="46" t="n"/>
    </row>
    <row r="41" ht="17" customHeight="1">
      <c r="A41" s="36" t="inlineStr">
        <is>
          <t>Comissão de venda (vendedor)</t>
        </is>
      </c>
      <c r="B41" s="78" t="n"/>
      <c r="C41" s="56">
        <f>IF($B41="","",ROUND($B41*$C$28,2))</f>
        <v/>
      </c>
      <c r="D41" s="56">
        <f>IF($B41="","",ROUND($B41*$A$13,2))</f>
        <v/>
      </c>
      <c r="E41" s="56">
        <f>IF(OR($C41="",$D41=""),"",ROUND($D41-$C41,2))</f>
        <v/>
      </c>
      <c r="F41" s="38" t="n"/>
      <c r="G41" s="72">
        <f>IF(OR($D41="",$A$13="",$A$13=0),"",$D41/$A$13)</f>
        <v/>
      </c>
      <c r="H41" s="73" t="inlineStr">
        <is>
          <t>% sobre o valor de venda</t>
        </is>
      </c>
      <c r="I41" s="46" t="n"/>
      <c r="J41" s="46" t="n"/>
      <c r="K41" s="46" t="n"/>
      <c r="L41" s="46" t="n"/>
      <c r="M41" s="46" t="n"/>
      <c r="N41" s="46" t="n"/>
      <c r="O41" s="46" t="n"/>
    </row>
    <row r="42" ht="17" customHeight="1">
      <c r="A42" s="36" t="inlineStr">
        <is>
          <t>Projeto / anteprojeto (externo)</t>
        </is>
      </c>
      <c r="B42" s="37" t="n"/>
      <c r="C42" s="71" t="n"/>
      <c r="D42" s="71" t="n"/>
      <c r="E42" s="56">
        <f>IF(OR($C42="",$D42=""),"",ROUND($D42-$C42,2))</f>
        <v/>
      </c>
      <c r="F42" s="38" t="n"/>
      <c r="G42" s="72">
        <f>IF(OR($D42="",$A$13="",$A$13=0),"",$D42/$A$13)</f>
        <v/>
      </c>
      <c r="H42" s="73" t="inlineStr">
        <is>
          <t>projetista ou arquiteto contratado para o projeto</t>
        </is>
      </c>
      <c r="I42" s="46" t="n"/>
      <c r="J42" s="46" t="n"/>
      <c r="K42" s="46" t="n"/>
      <c r="L42" s="46" t="n"/>
      <c r="M42" s="46" t="n"/>
      <c r="N42" s="46" t="n"/>
      <c r="O42" s="46" t="n"/>
    </row>
    <row r="43" ht="17" customHeight="1">
      <c r="A43" s="36" t="inlineStr">
        <is>
          <t>RT do parceiro</t>
        </is>
      </c>
      <c r="B43" s="78" t="n"/>
      <c r="C43" s="56">
        <f>IF($B43="","",ROUND($B43*($C$28-SUM($C$38:$C$40)),2))</f>
        <v/>
      </c>
      <c r="D43" s="56">
        <f>IF($B43="","",ROUND($B43*($A$13-SUM($D$38:$D$40)),2))</f>
        <v/>
      </c>
      <c r="E43" s="56">
        <f>IF(OR($C43="",$D43=""),"",ROUND($D43-$C43,2))</f>
        <v/>
      </c>
      <c r="F43" s="38" t="n"/>
      <c r="G43" s="72">
        <f>IF(OR($D43="",$A$13="",$A$13=0),"",$D43/$A$13)</f>
        <v/>
      </c>
      <c r="H43" s="73" t="inlineStr">
        <is>
          <t>% sobre o líquido: venda menos impostos, máquina e taxas</t>
        </is>
      </c>
      <c r="I43" s="46" t="n"/>
      <c r="J43" s="46" t="n"/>
      <c r="K43" s="46" t="n"/>
      <c r="L43" s="46" t="n"/>
      <c r="M43" s="46" t="n"/>
      <c r="N43" s="46" t="n"/>
      <c r="O43" s="46" t="n"/>
    </row>
    <row r="44" ht="20" customHeight="1">
      <c r="A44" s="31" t="inlineStr">
        <is>
          <t>(=) SUBTOTAL DOS CUSTOS DE VENDA</t>
        </is>
      </c>
      <c r="B44" s="32" t="n"/>
      <c r="C44" s="60">
        <f>ROUND(SUM(C38:C43),2)</f>
        <v/>
      </c>
      <c r="D44" s="60">
        <f>ROUND(SUM(D38:D43),2)</f>
        <v/>
      </c>
      <c r="E44" s="60">
        <f>ROUND($D44-$C44,2)</f>
        <v/>
      </c>
      <c r="F44" s="32" t="n"/>
      <c r="G44" s="62">
        <f>IF(OR($A$13="",$A$13=0),"",$D44/$A$13)</f>
        <v/>
      </c>
      <c r="H44" s="32" t="n"/>
      <c r="I44" s="32" t="n"/>
      <c r="J44" s="32" t="n"/>
      <c r="K44" s="32" t="n"/>
      <c r="L44" s="32" t="n"/>
      <c r="M44" s="32" t="n"/>
      <c r="N44" s="32" t="n"/>
      <c r="O44" s="32" t="n"/>
    </row>
    <row r="45" ht="24" customHeight="1">
      <c r="A45" s="79" t="inlineStr">
        <is>
          <t>(=) RECEITA LÍQUIDA</t>
        </is>
      </c>
      <c r="B45" s="64" t="n"/>
      <c r="C45" s="80">
        <f>ROUND($C$28-$C$44,2)</f>
        <v/>
      </c>
      <c r="D45" s="80">
        <f>ROUND($A$13-$D$44,2)</f>
        <v/>
      </c>
      <c r="E45" s="66">
        <f>ROUND($D$45-$C$45,2)</f>
        <v/>
      </c>
      <c r="F45" s="64" t="n"/>
      <c r="G45" s="81">
        <f>IF(OR($A$13="",$A$13=0),"",$D$45/$A$13)</f>
        <v/>
      </c>
      <c r="H45" s="82" t="inlineStr">
        <is>
          <t>É esta a base das comissões: coordenação, produção, montagem e projetista</t>
        </is>
      </c>
      <c r="I45" s="64" t="n"/>
      <c r="J45" s="64" t="n"/>
      <c r="K45" s="64" t="n"/>
      <c r="L45" s="64" t="n"/>
      <c r="M45" s="64" t="n"/>
      <c r="N45" s="64" t="n"/>
      <c r="O45" s="64" t="n"/>
    </row>
    <row r="46" ht="8" customHeight="1"/>
    <row r="47" ht="20" customHeight="1">
      <c r="A47" s="8" t="inlineStr">
        <is>
          <t xml:space="preserve">  3 · AMBIENTES, PRODUÇÃO, MONTAGEM E PROJETO          cada ambiente com quem produziu, quem montou e quem projetou · a comissão incide sobre a receita líquida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</row>
    <row r="48" ht="32" customHeight="1">
      <c r="A48" s="19" t="inlineStr">
        <is>
          <t>Ambiente</t>
        </is>
      </c>
      <c r="B48" s="19" t="inlineStr">
        <is>
          <t>% do total</t>
        </is>
      </c>
      <c r="C48" s="19" t="inlineStr">
        <is>
          <t>Valor do ambiente (R$)</t>
        </is>
      </c>
      <c r="D48" s="19" t="inlineStr">
        <is>
          <t>Produção — quem</t>
        </is>
      </c>
      <c r="E48" s="19" t="inlineStr">
        <is>
          <t>%</t>
        </is>
      </c>
      <c r="F48" s="19" t="inlineStr">
        <is>
          <t>Comissão produção (R$)</t>
        </is>
      </c>
      <c r="G48" s="19" t="inlineStr">
        <is>
          <t>Fabricado em</t>
        </is>
      </c>
      <c r="H48" s="19" t="inlineStr">
        <is>
          <t>Montagem — quem</t>
        </is>
      </c>
      <c r="I48" s="19" t="inlineStr">
        <is>
          <t>%</t>
        </is>
      </c>
      <c r="J48" s="19" t="inlineStr">
        <is>
          <t>Comissão montagem (R$)</t>
        </is>
      </c>
      <c r="K48" s="19" t="inlineStr">
        <is>
          <t>Montado em</t>
        </is>
      </c>
      <c r="L48" s="19" t="inlineStr">
        <is>
          <t>Projetista — quem</t>
        </is>
      </c>
      <c r="M48" s="19" t="inlineStr">
        <is>
          <t>%</t>
        </is>
      </c>
      <c r="N48" s="19" t="inlineStr">
        <is>
          <t>Comissão projetista (R$)</t>
        </is>
      </c>
      <c r="O48" s="19" t="inlineStr">
        <is>
          <t>Total do ambiente</t>
        </is>
      </c>
    </row>
    <row r="49" ht="18" customHeight="1">
      <c r="A49" s="83" t="n"/>
      <c r="B49" s="72">
        <f>IF(OR($C49="",$A$13="",$A$13=0),"",$C49/$A$13)</f>
        <v/>
      </c>
      <c r="C49" s="76" t="n"/>
      <c r="D49" s="83" t="n"/>
      <c r="E49" s="78" t="n"/>
      <c r="F49" s="56">
        <f>IF(OR($B49="",$E49="",$D$45=""),"",ROUND($B49*$D$45*$E49,2))</f>
        <v/>
      </c>
      <c r="G49" s="84" t="n"/>
      <c r="H49" s="83" t="n"/>
      <c r="I49" s="78" t="n"/>
      <c r="J49" s="56">
        <f>IF(OR($B49="",$I49="",$D$45=""),"",ROUND($B49*$D$45*$I49,2))</f>
        <v/>
      </c>
      <c r="K49" s="84" t="n"/>
      <c r="L49" s="83" t="n"/>
      <c r="M49" s="78" t="n"/>
      <c r="N49" s="56">
        <f>IF(OR($B49="",$M49="",$D$45=""),"",ROUND($B49*$D$45*$M49,2))</f>
        <v/>
      </c>
      <c r="O49" s="85">
        <f>IF(AND($F49="",$J49="",$N49=""),"",ROUND(IF($F49="",0,$F49)+IF($J49="",0,$J49)+IF($N49="",0,$N49),2))</f>
        <v/>
      </c>
    </row>
    <row r="50" ht="18" customHeight="1">
      <c r="A50" s="83" t="n"/>
      <c r="B50" s="72">
        <f>IF(OR($C50="",$A$13="",$A$13=0),"",$C50/$A$13)</f>
        <v/>
      </c>
      <c r="C50" s="76" t="n"/>
      <c r="D50" s="83" t="n"/>
      <c r="E50" s="78" t="n"/>
      <c r="F50" s="56">
        <f>IF(OR($B50="",$E50="",$D$45=""),"",ROUND($B50*$D$45*$E50,2))</f>
        <v/>
      </c>
      <c r="G50" s="84" t="n"/>
      <c r="H50" s="83" t="n"/>
      <c r="I50" s="78" t="n"/>
      <c r="J50" s="56">
        <f>IF(OR($B50="",$I50="",$D$45=""),"",ROUND($B50*$D$45*$I50,2))</f>
        <v/>
      </c>
      <c r="K50" s="84" t="n"/>
      <c r="L50" s="83" t="n"/>
      <c r="M50" s="78" t="n"/>
      <c r="N50" s="56">
        <f>IF(OR($B50="",$M50="",$D$45=""),"",ROUND($B50*$D$45*$M50,2))</f>
        <v/>
      </c>
      <c r="O50" s="85">
        <f>IF(AND($F50="",$J50="",$N50=""),"",ROUND(IF($F50="",0,$F50)+IF($J50="",0,$J50)+IF($N50="",0,$N50),2))</f>
        <v/>
      </c>
    </row>
    <row r="51" ht="18" customHeight="1">
      <c r="A51" s="83" t="n"/>
      <c r="B51" s="72">
        <f>IF(OR($C51="",$A$13="",$A$13=0),"",$C51/$A$13)</f>
        <v/>
      </c>
      <c r="C51" s="76" t="n"/>
      <c r="D51" s="83" t="n"/>
      <c r="E51" s="78" t="n"/>
      <c r="F51" s="56">
        <f>IF(OR($B51="",$E51="",$D$45=""),"",ROUND($B51*$D$45*$E51,2))</f>
        <v/>
      </c>
      <c r="G51" s="84" t="n"/>
      <c r="H51" s="83" t="n"/>
      <c r="I51" s="78" t="n"/>
      <c r="J51" s="56">
        <f>IF(OR($B51="",$I51="",$D$45=""),"",ROUND($B51*$D$45*$I51,2))</f>
        <v/>
      </c>
      <c r="K51" s="84" t="n"/>
      <c r="L51" s="83" t="n"/>
      <c r="M51" s="78" t="n"/>
      <c r="N51" s="56">
        <f>IF(OR($B51="",$M51="",$D$45=""),"",ROUND($B51*$D$45*$M51,2))</f>
        <v/>
      </c>
      <c r="O51" s="85">
        <f>IF(AND($F51="",$J51="",$N51=""),"",ROUND(IF($F51="",0,$F51)+IF($J51="",0,$J51)+IF($N51="",0,$N51),2))</f>
        <v/>
      </c>
    </row>
    <row r="52" ht="18" customHeight="1">
      <c r="A52" s="83" t="n"/>
      <c r="B52" s="72">
        <f>IF(OR($C52="",$A$13="",$A$13=0),"",$C52/$A$13)</f>
        <v/>
      </c>
      <c r="C52" s="76" t="n"/>
      <c r="D52" s="83" t="n"/>
      <c r="E52" s="78" t="n"/>
      <c r="F52" s="56">
        <f>IF(OR($B52="",$E52="",$D$45=""),"",ROUND($B52*$D$45*$E52,2))</f>
        <v/>
      </c>
      <c r="G52" s="84" t="n"/>
      <c r="H52" s="83" t="n"/>
      <c r="I52" s="78" t="n"/>
      <c r="J52" s="56">
        <f>IF(OR($B52="",$I52="",$D$45=""),"",ROUND($B52*$D$45*$I52,2))</f>
        <v/>
      </c>
      <c r="K52" s="84" t="n"/>
      <c r="L52" s="83" t="n"/>
      <c r="M52" s="78" t="n"/>
      <c r="N52" s="56">
        <f>IF(OR($B52="",$M52="",$D$45=""),"",ROUND($B52*$D$45*$M52,2))</f>
        <v/>
      </c>
      <c r="O52" s="85">
        <f>IF(AND($F52="",$J52="",$N52=""),"",ROUND(IF($F52="",0,$F52)+IF($J52="",0,$J52)+IF($N52="",0,$N52),2))</f>
        <v/>
      </c>
    </row>
    <row r="53" ht="18" customHeight="1">
      <c r="A53" s="83" t="n"/>
      <c r="B53" s="72">
        <f>IF(OR($C53="",$A$13="",$A$13=0),"",$C53/$A$13)</f>
        <v/>
      </c>
      <c r="C53" s="76" t="n"/>
      <c r="D53" s="83" t="n"/>
      <c r="E53" s="78" t="n"/>
      <c r="F53" s="56">
        <f>IF(OR($B53="",$E53="",$D$45=""),"",ROUND($B53*$D$45*$E53,2))</f>
        <v/>
      </c>
      <c r="G53" s="84" t="n"/>
      <c r="H53" s="83" t="n"/>
      <c r="I53" s="78" t="n"/>
      <c r="J53" s="56">
        <f>IF(OR($B53="",$I53="",$D$45=""),"",ROUND($B53*$D$45*$I53,2))</f>
        <v/>
      </c>
      <c r="K53" s="84" t="n"/>
      <c r="L53" s="83" t="n"/>
      <c r="M53" s="78" t="n"/>
      <c r="N53" s="56">
        <f>IF(OR($B53="",$M53="",$D$45=""),"",ROUND($B53*$D$45*$M53,2))</f>
        <v/>
      </c>
      <c r="O53" s="85">
        <f>IF(AND($F53="",$J53="",$N53=""),"",ROUND(IF($F53="",0,$F53)+IF($J53="",0,$J53)+IF($N53="",0,$N53),2))</f>
        <v/>
      </c>
    </row>
    <row r="54" ht="18" customHeight="1">
      <c r="A54" s="83" t="n"/>
      <c r="B54" s="72">
        <f>IF(OR($C54="",$A$13="",$A$13=0),"",$C54/$A$13)</f>
        <v/>
      </c>
      <c r="C54" s="76" t="n"/>
      <c r="D54" s="83" t="n"/>
      <c r="E54" s="78" t="n"/>
      <c r="F54" s="56">
        <f>IF(OR($B54="",$E54="",$D$45=""),"",ROUND($B54*$D$45*$E54,2))</f>
        <v/>
      </c>
      <c r="G54" s="84" t="n"/>
      <c r="H54" s="83" t="n"/>
      <c r="I54" s="78" t="n"/>
      <c r="J54" s="56">
        <f>IF(OR($B54="",$I54="",$D$45=""),"",ROUND($B54*$D$45*$I54,2))</f>
        <v/>
      </c>
      <c r="K54" s="84" t="n"/>
      <c r="L54" s="83" t="n"/>
      <c r="M54" s="78" t="n"/>
      <c r="N54" s="56">
        <f>IF(OR($B54="",$M54="",$D$45=""),"",ROUND($B54*$D$45*$M54,2))</f>
        <v/>
      </c>
      <c r="O54" s="85">
        <f>IF(AND($F54="",$J54="",$N54=""),"",ROUND(IF($F54="",0,$F54)+IF($J54="",0,$J54)+IF($N54="",0,$N54),2))</f>
        <v/>
      </c>
    </row>
    <row r="55" ht="18" customHeight="1">
      <c r="A55" s="83" t="n"/>
      <c r="B55" s="72">
        <f>IF(OR($C55="",$A$13="",$A$13=0),"",$C55/$A$13)</f>
        <v/>
      </c>
      <c r="C55" s="76" t="n"/>
      <c r="D55" s="83" t="n"/>
      <c r="E55" s="78" t="n"/>
      <c r="F55" s="56">
        <f>IF(OR($B55="",$E55="",$D$45=""),"",ROUND($B55*$D$45*$E55,2))</f>
        <v/>
      </c>
      <c r="G55" s="84" t="n"/>
      <c r="H55" s="83" t="n"/>
      <c r="I55" s="78" t="n"/>
      <c r="J55" s="56">
        <f>IF(OR($B55="",$I55="",$D$45=""),"",ROUND($B55*$D$45*$I55,2))</f>
        <v/>
      </c>
      <c r="K55" s="84" t="n"/>
      <c r="L55" s="83" t="n"/>
      <c r="M55" s="78" t="n"/>
      <c r="N55" s="56">
        <f>IF(OR($B55="",$M55="",$D$45=""),"",ROUND($B55*$D$45*$M55,2))</f>
        <v/>
      </c>
      <c r="O55" s="85">
        <f>IF(AND($F55="",$J55="",$N55=""),"",ROUND(IF($F55="",0,$F55)+IF($J55="",0,$J55)+IF($N55="",0,$N55),2))</f>
        <v/>
      </c>
    </row>
    <row r="56" ht="18" customHeight="1">
      <c r="A56" s="83" t="n"/>
      <c r="B56" s="72">
        <f>IF(OR($C56="",$A$13="",$A$13=0),"",$C56/$A$13)</f>
        <v/>
      </c>
      <c r="C56" s="76" t="n"/>
      <c r="D56" s="83" t="n"/>
      <c r="E56" s="78" t="n"/>
      <c r="F56" s="56">
        <f>IF(OR($B56="",$E56="",$D$45=""),"",ROUND($B56*$D$45*$E56,2))</f>
        <v/>
      </c>
      <c r="G56" s="84" t="n"/>
      <c r="H56" s="83" t="n"/>
      <c r="I56" s="78" t="n"/>
      <c r="J56" s="56">
        <f>IF(OR($B56="",$I56="",$D$45=""),"",ROUND($B56*$D$45*$I56,2))</f>
        <v/>
      </c>
      <c r="K56" s="84" t="n"/>
      <c r="L56" s="83" t="n"/>
      <c r="M56" s="78" t="n"/>
      <c r="N56" s="56">
        <f>IF(OR($B56="",$M56="",$D$45=""),"",ROUND($B56*$D$45*$M56,2))</f>
        <v/>
      </c>
      <c r="O56" s="85">
        <f>IF(AND($F56="",$J56="",$N56=""),"",ROUND(IF($F56="",0,$F56)+IF($J56="",0,$J56)+IF($N56="",0,$N56),2))</f>
        <v/>
      </c>
    </row>
    <row r="57" ht="18" customHeight="1">
      <c r="A57" s="83" t="n"/>
      <c r="B57" s="72">
        <f>IF(OR($C57="",$A$13="",$A$13=0),"",$C57/$A$13)</f>
        <v/>
      </c>
      <c r="C57" s="76" t="n"/>
      <c r="D57" s="83" t="n"/>
      <c r="E57" s="78" t="n"/>
      <c r="F57" s="56">
        <f>IF(OR($B57="",$E57="",$D$45=""),"",ROUND($B57*$D$45*$E57,2))</f>
        <v/>
      </c>
      <c r="G57" s="84" t="n"/>
      <c r="H57" s="83" t="n"/>
      <c r="I57" s="78" t="n"/>
      <c r="J57" s="56">
        <f>IF(OR($B57="",$I57="",$D$45=""),"",ROUND($B57*$D$45*$I57,2))</f>
        <v/>
      </c>
      <c r="K57" s="84" t="n"/>
      <c r="L57" s="83" t="n"/>
      <c r="M57" s="78" t="n"/>
      <c r="N57" s="56">
        <f>IF(OR($B57="",$M57="",$D$45=""),"",ROUND($B57*$D$45*$M57,2))</f>
        <v/>
      </c>
      <c r="O57" s="85">
        <f>IF(AND($F57="",$J57="",$N57=""),"",ROUND(IF($F57="",0,$F57)+IF($J57="",0,$J57)+IF($N57="",0,$N57),2))</f>
        <v/>
      </c>
    </row>
    <row r="58" ht="18" customHeight="1">
      <c r="A58" s="83" t="n"/>
      <c r="B58" s="72">
        <f>IF(OR($C58="",$A$13="",$A$13=0),"",$C58/$A$13)</f>
        <v/>
      </c>
      <c r="C58" s="76" t="n"/>
      <c r="D58" s="83" t="n"/>
      <c r="E58" s="78" t="n"/>
      <c r="F58" s="56">
        <f>IF(OR($B58="",$E58="",$D$45=""),"",ROUND($B58*$D$45*$E58,2))</f>
        <v/>
      </c>
      <c r="G58" s="84" t="n"/>
      <c r="H58" s="83" t="n"/>
      <c r="I58" s="78" t="n"/>
      <c r="J58" s="56">
        <f>IF(OR($B58="",$I58="",$D$45=""),"",ROUND($B58*$D$45*$I58,2))</f>
        <v/>
      </c>
      <c r="K58" s="84" t="n"/>
      <c r="L58" s="83" t="n"/>
      <c r="M58" s="78" t="n"/>
      <c r="N58" s="56">
        <f>IF(OR($B58="",$M58="",$D$45=""),"",ROUND($B58*$D$45*$M58,2))</f>
        <v/>
      </c>
      <c r="O58" s="85">
        <f>IF(AND($F58="",$J58="",$N58=""),"",ROUND(IF($F58="",0,$F58)+IF($J58="",0,$J58)+IF($N58="",0,$N58),2))</f>
        <v/>
      </c>
    </row>
    <row r="59" ht="18" customHeight="1">
      <c r="A59" s="83" t="n"/>
      <c r="B59" s="72">
        <f>IF(OR($C59="",$A$13="",$A$13=0),"",$C59/$A$13)</f>
        <v/>
      </c>
      <c r="C59" s="76" t="n"/>
      <c r="D59" s="83" t="n"/>
      <c r="E59" s="78" t="n"/>
      <c r="F59" s="56">
        <f>IF(OR($B59="",$E59="",$D$45=""),"",ROUND($B59*$D$45*$E59,2))</f>
        <v/>
      </c>
      <c r="G59" s="84" t="n"/>
      <c r="H59" s="83" t="n"/>
      <c r="I59" s="78" t="n"/>
      <c r="J59" s="56">
        <f>IF(OR($B59="",$I59="",$D$45=""),"",ROUND($B59*$D$45*$I59,2))</f>
        <v/>
      </c>
      <c r="K59" s="84" t="n"/>
      <c r="L59" s="83" t="n"/>
      <c r="M59" s="78" t="n"/>
      <c r="N59" s="56">
        <f>IF(OR($B59="",$M59="",$D$45=""),"",ROUND($B59*$D$45*$M59,2))</f>
        <v/>
      </c>
      <c r="O59" s="85">
        <f>IF(AND($F59="",$J59="",$N59=""),"",ROUND(IF($F59="",0,$F59)+IF($J59="",0,$J59)+IF($N59="",0,$N59),2))</f>
        <v/>
      </c>
    </row>
    <row r="60" ht="18" customHeight="1">
      <c r="A60" s="83" t="n"/>
      <c r="B60" s="72">
        <f>IF(OR($C60="",$A$13="",$A$13=0),"",$C60/$A$13)</f>
        <v/>
      </c>
      <c r="C60" s="76" t="n"/>
      <c r="D60" s="83" t="n"/>
      <c r="E60" s="78" t="n"/>
      <c r="F60" s="56">
        <f>IF(OR($B60="",$E60="",$D$45=""),"",ROUND($B60*$D$45*$E60,2))</f>
        <v/>
      </c>
      <c r="G60" s="84" t="n"/>
      <c r="H60" s="83" t="n"/>
      <c r="I60" s="78" t="n"/>
      <c r="J60" s="56">
        <f>IF(OR($B60="",$I60="",$D$45=""),"",ROUND($B60*$D$45*$I60,2))</f>
        <v/>
      </c>
      <c r="K60" s="84" t="n"/>
      <c r="L60" s="83" t="n"/>
      <c r="M60" s="78" t="n"/>
      <c r="N60" s="56">
        <f>IF(OR($B60="",$M60="",$D$45=""),"",ROUND($B60*$D$45*$M60,2))</f>
        <v/>
      </c>
      <c r="O60" s="85">
        <f>IF(AND($F60="",$J60="",$N60=""),"",ROUND(IF($F60="",0,$F60)+IF($J60="",0,$J60)+IF($N60="",0,$N60),2))</f>
        <v/>
      </c>
    </row>
    <row r="61" ht="20" customHeight="1">
      <c r="A61" s="31" t="inlineStr">
        <is>
          <t>SOMA DOS AMBIENTES</t>
        </is>
      </c>
      <c r="B61" s="62">
        <f>IF($A$13=0,"",$C$61/$A$13)</f>
        <v/>
      </c>
      <c r="C61" s="60">
        <f>ROUND(SUM(C49:C60),2)</f>
        <v/>
      </c>
      <c r="D61" s="86">
        <f>IF($C$61=0,"—",IF(ROUND($C$61-$A$13,2)=0,"OK · os ambientes somam o valor de venda","ATENÇÃO: diferença de "&amp;TEXT($C$61-$A$13,"R$ #,##0.00")))</f>
        <v/>
      </c>
      <c r="E61" s="32" t="n"/>
      <c r="F61" s="60">
        <f>ROUND(SUM(F49:F60),2)</f>
        <v/>
      </c>
      <c r="G61" s="32" t="n"/>
      <c r="H61" s="32" t="n"/>
      <c r="I61" s="32" t="n"/>
      <c r="J61" s="60">
        <f>ROUND(SUM(J49:J60),2)</f>
        <v/>
      </c>
      <c r="K61" s="32" t="n"/>
      <c r="L61" s="32" t="n"/>
      <c r="M61" s="32" t="n"/>
      <c r="N61" s="60">
        <f>ROUND(SUM(N49:N60),2)</f>
        <v/>
      </c>
      <c r="O61" s="60">
        <f>ROUND(SUM(O49:O60),2)</f>
        <v/>
      </c>
    </row>
    <row r="62" ht="8" customHeight="1"/>
    <row r="63" ht="20" customHeight="1">
      <c r="A63" s="8" t="inlineStr">
        <is>
          <t xml:space="preserve">  4 · COMISSÕES OPERACIONAIS          calculadas sobre a RECEITA LÍQUIDA · o realizado vem dos ambientes acima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</row>
    <row r="64" ht="26" customHeight="1">
      <c r="A64" s="19" t="inlineStr">
        <is>
          <t>Item</t>
        </is>
      </c>
      <c r="B64" s="19" t="inlineStr">
        <is>
          <t>%</t>
        </is>
      </c>
      <c r="C64" s="19" t="inlineStr">
        <is>
          <t>Orçado (R$)</t>
        </is>
      </c>
      <c r="D64" s="19" t="inlineStr">
        <is>
          <t>Realizado (R$)</t>
        </is>
      </c>
      <c r="E64" s="19" t="inlineStr">
        <is>
          <t>Desvio (R$)</t>
        </is>
      </c>
      <c r="F64" s="35" t="n"/>
      <c r="G64" s="19" t="inlineStr">
        <is>
          <t>% da venda</t>
        </is>
      </c>
      <c r="H64" s="19" t="inlineStr">
        <is>
          <t>Observação</t>
        </is>
      </c>
      <c r="I64" s="35" t="n"/>
      <c r="J64" s="35" t="n"/>
      <c r="K64" s="35" t="n"/>
      <c r="L64" s="35" t="n"/>
      <c r="M64" s="35" t="n"/>
      <c r="N64" s="35" t="n"/>
      <c r="O64" s="35" t="n"/>
    </row>
    <row r="65" ht="17" customHeight="1">
      <c r="A65" s="36" t="inlineStr">
        <is>
          <t>Coordenação de produção</t>
        </is>
      </c>
      <c r="B65" s="78" t="n"/>
      <c r="C65" s="56">
        <f>IF($B65="","",ROUND($B65*$C$45,2))</f>
        <v/>
      </c>
      <c r="D65" s="56">
        <f>IF($B65="","",ROUND($B65*$D$45,2))</f>
        <v/>
      </c>
      <c r="E65" s="56">
        <f>IF(OR($C65="",$D65=""),"",ROUND($D65-$C65,2))</f>
        <v/>
      </c>
      <c r="F65" s="38" t="n"/>
      <c r="G65" s="72">
        <f>IF(OR($D65="",$A$13="",$A$13=0),"",$D65/$A$13)</f>
        <v/>
      </c>
      <c r="H65" s="73" t="inlineStr">
        <is>
          <t>quem coordena está na identificação, no topo da ficha</t>
        </is>
      </c>
      <c r="I65" s="46" t="n"/>
      <c r="J65" s="46" t="n"/>
      <c r="K65" s="46" t="n"/>
      <c r="L65" s="46" t="n"/>
      <c r="M65" s="46" t="n"/>
      <c r="N65" s="46" t="n"/>
      <c r="O65" s="46" t="n"/>
    </row>
    <row r="66" ht="17" customHeight="1">
      <c r="A66" s="36" t="inlineStr">
        <is>
          <t>Gestão técnica</t>
        </is>
      </c>
      <c r="B66" s="78" t="n">
        <v>0.005</v>
      </c>
      <c r="C66" s="56">
        <f>IF($B66="","",ROUND($B66*$C$45,2))</f>
        <v/>
      </c>
      <c r="D66" s="56">
        <f>IF($B66="","",ROUND($B66*$D$45,2))</f>
        <v/>
      </c>
      <c r="E66" s="56">
        <f>IF(OR($C66="",$D66=""),"",ROUND($D66-$C66,2))</f>
        <v/>
      </c>
      <c r="F66" s="38" t="n"/>
      <c r="G66" s="72">
        <f>IF(OR($D66="",$A$13="",$A$13=0),"",$D66/$A$13)</f>
        <v/>
      </c>
      <c r="H66" s="73" t="n"/>
      <c r="I66" s="46" t="n"/>
      <c r="J66" s="46" t="n"/>
      <c r="K66" s="46" t="n"/>
      <c r="L66" s="46" t="n"/>
      <c r="M66" s="46" t="n"/>
      <c r="N66" s="46" t="n"/>
      <c r="O66" s="46" t="n"/>
    </row>
    <row r="67" ht="17" customHeight="1">
      <c r="A67" s="36" t="inlineStr">
        <is>
          <t>Comissão de produção</t>
        </is>
      </c>
      <c r="B67" s="78" t="n"/>
      <c r="C67" s="56">
        <f>IF($B67="","",ROUND($B67*$C$45,2))</f>
        <v/>
      </c>
      <c r="D67" s="56">
        <f>IF($F$61=0,"",$F$61)</f>
        <v/>
      </c>
      <c r="E67" s="56">
        <f>IF(OR($C67="",$D67=""),"",ROUND($D67-$C67,2))</f>
        <v/>
      </c>
      <c r="F67" s="38" t="n"/>
      <c r="G67" s="72">
        <f>IF(OR($D67="",$A$13="",$A$13=0),"",$D67/$A$13)</f>
        <v/>
      </c>
      <c r="H67" s="73" t="inlineStr">
        <is>
          <t>orçado = % único estimado · realizado = soma dos ambientes</t>
        </is>
      </c>
      <c r="I67" s="46" t="n"/>
      <c r="J67" s="46" t="n"/>
      <c r="K67" s="46" t="n"/>
      <c r="L67" s="46" t="n"/>
      <c r="M67" s="46" t="n"/>
      <c r="N67" s="46" t="n"/>
      <c r="O67" s="46" t="n"/>
    </row>
    <row r="68" ht="17" customHeight="1">
      <c r="A68" s="36" t="inlineStr">
        <is>
          <t>Comissão de montagem</t>
        </is>
      </c>
      <c r="B68" s="78" t="n"/>
      <c r="C68" s="56">
        <f>IF($B68="","",ROUND($B68*$C$45,2))</f>
        <v/>
      </c>
      <c r="D68" s="56">
        <f>IF($J$61=0,"",$J$61)</f>
        <v/>
      </c>
      <c r="E68" s="56">
        <f>IF(OR($C68="",$D68=""),"",ROUND($D68-$C68,2))</f>
        <v/>
      </c>
      <c r="F68" s="38" t="n"/>
      <c r="G68" s="72">
        <f>IF(OR($D68="",$A$13="",$A$13=0),"",$D68/$A$13)</f>
        <v/>
      </c>
      <c r="H68" s="73" t="inlineStr">
        <is>
          <t>orçado = % único estimado · realizado = soma dos ambientes</t>
        </is>
      </c>
      <c r="I68" s="46" t="n"/>
      <c r="J68" s="46" t="n"/>
      <c r="K68" s="46" t="n"/>
      <c r="L68" s="46" t="n"/>
      <c r="M68" s="46" t="n"/>
      <c r="N68" s="46" t="n"/>
      <c r="O68" s="46" t="n"/>
    </row>
    <row r="69" ht="17" customHeight="1">
      <c r="A69" s="36" t="inlineStr">
        <is>
          <t>Comissão de projetista</t>
        </is>
      </c>
      <c r="B69" s="78" t="n"/>
      <c r="C69" s="56">
        <f>IF($B69="","",ROUND($B69*$C$45,2))</f>
        <v/>
      </c>
      <c r="D69" s="56">
        <f>IF($N$61=0,"",$N$61)</f>
        <v/>
      </c>
      <c r="E69" s="56">
        <f>IF(OR($C69="",$D69=""),"",ROUND($D69-$C69,2))</f>
        <v/>
      </c>
      <c r="F69" s="38" t="n"/>
      <c r="G69" s="72">
        <f>IF(OR($D69="",$A$13="",$A$13=0),"",$D69/$A$13)</f>
        <v/>
      </c>
      <c r="H69" s="73" t="inlineStr">
        <is>
          <t>quem projetou cada ambiente está na coluna L do bloco 3</t>
        </is>
      </c>
      <c r="I69" s="46" t="n"/>
      <c r="J69" s="46" t="n"/>
      <c r="K69" s="46" t="n"/>
      <c r="L69" s="46" t="n"/>
      <c r="M69" s="46" t="n"/>
      <c r="N69" s="46" t="n"/>
      <c r="O69" s="46" t="n"/>
    </row>
    <row r="70" ht="20" customHeight="1">
      <c r="A70" s="31" t="inlineStr">
        <is>
          <t>(=) SUBTOTAL DAS COMISSÕES</t>
        </is>
      </c>
      <c r="B70" s="32" t="n"/>
      <c r="C70" s="60">
        <f>ROUND(SUM(C65:C69),2)</f>
        <v/>
      </c>
      <c r="D70" s="60">
        <f>ROUND(SUM(D65:D69),2)</f>
        <v/>
      </c>
      <c r="E70" s="60">
        <f>ROUND($D70-$C70,2)</f>
        <v/>
      </c>
      <c r="F70" s="32" t="n"/>
      <c r="G70" s="62">
        <f>IF(OR($A$13="",$A$13=0),"",$D70/$A$13)</f>
        <v/>
      </c>
      <c r="H70" s="32" t="n"/>
      <c r="I70" s="32" t="n"/>
      <c r="J70" s="32" t="n"/>
      <c r="K70" s="32" t="n"/>
      <c r="L70" s="32" t="n"/>
      <c r="M70" s="32" t="n"/>
      <c r="N70" s="32" t="n"/>
      <c r="O70" s="32" t="n"/>
    </row>
    <row r="71" ht="8" customHeight="1"/>
    <row r="72" ht="20" customHeight="1">
      <c r="A72" s="8" t="inlineStr">
        <is>
          <t xml:space="preserve">  5 · COMISSÕES POR COLABORADOR          consolidado automático — quem produziu, quem montou, quem projetou e o coordenador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</row>
    <row r="73" ht="26" customHeight="1">
      <c r="A73" s="19" t="inlineStr">
        <is>
          <t>Colaborador</t>
        </is>
      </c>
      <c r="B73" s="19" t="inlineStr">
        <is>
          <t>Produção (R$)</t>
        </is>
      </c>
      <c r="C73" s="35" t="n"/>
      <c r="D73" s="19" t="inlineStr">
        <is>
          <t>Montagem (R$)</t>
        </is>
      </c>
      <c r="E73" s="35" t="n"/>
      <c r="F73" s="19" t="inlineStr">
        <is>
          <t>Projeto (R$)</t>
        </is>
      </c>
      <c r="G73" s="35" t="n"/>
      <c r="H73" s="19" t="inlineStr">
        <is>
          <t>Coordenação / Gestão técnica (R$)</t>
        </is>
      </c>
      <c r="I73" s="35" t="n"/>
      <c r="J73" s="19" t="inlineStr">
        <is>
          <t>Total no projeto (R$)</t>
        </is>
      </c>
      <c r="K73" s="35" t="n"/>
      <c r="L73" s="35" t="n"/>
      <c r="M73" s="35" t="n"/>
    </row>
    <row r="74" ht="17" customHeight="1">
      <c r="A74" s="87" t="inlineStr">
        <is>
          <t>Deivison</t>
        </is>
      </c>
      <c r="B74" s="56">
        <f>IF($A74="","",ROUND(SUMIF($D$49:$D$60,$A74,$F$49:$F$60),2))</f>
        <v/>
      </c>
      <c r="C74" s="38" t="n"/>
      <c r="D74" s="56">
        <f>IF($A74="","",ROUND(SUMIF($H$49:$H$60,$A74,$J$49:$J$60),2))</f>
        <v/>
      </c>
      <c r="E74" s="38" t="n"/>
      <c r="F74" s="56">
        <f>IF($A74="","",ROUND(SUMIF($L$49:$L$60,$A74,$N$49:$N$60),2))</f>
        <v/>
      </c>
      <c r="G74" s="38" t="n"/>
      <c r="H74" s="56">
        <f>IF($A74="","",IF($A74=$F$9,IF($D$65="",0,$D$65),0)+IF($A74=$H$66,IF($D$66="",0,$D$66),0))</f>
        <v/>
      </c>
      <c r="I74" s="38" t="n"/>
      <c r="J74" s="88">
        <f>IF($A74="","",ROUND($B74+$D74+$F74+$H74,2))</f>
        <v/>
      </c>
      <c r="K74" s="38" t="n"/>
      <c r="L74" s="38" t="n"/>
      <c r="M74" s="38" t="n"/>
    </row>
    <row r="75" ht="17" customHeight="1">
      <c r="A75" s="87" t="inlineStr">
        <is>
          <t>Ronald</t>
        </is>
      </c>
      <c r="B75" s="56">
        <f>IF($A75="","",ROUND(SUMIF($D$49:$D$60,$A75,$F$49:$F$60),2))</f>
        <v/>
      </c>
      <c r="C75" s="38" t="n"/>
      <c r="D75" s="56">
        <f>IF($A75="","",ROUND(SUMIF($H$49:$H$60,$A75,$J$49:$J$60),2))</f>
        <v/>
      </c>
      <c r="E75" s="38" t="n"/>
      <c r="F75" s="56">
        <f>IF($A75="","",ROUND(SUMIF($L$49:$L$60,$A75,$N$49:$N$60),2))</f>
        <v/>
      </c>
      <c r="G75" s="38" t="n"/>
      <c r="H75" s="56">
        <f>IF($A75="","",IF($A75=$F$9,IF($D$65="",0,$D$65),0)+IF($A75=$H$66,IF($D$66="",0,$D$66),0))</f>
        <v/>
      </c>
      <c r="I75" s="38" t="n"/>
      <c r="J75" s="88">
        <f>IF($A75="","",ROUND($B75+$D75+$F75+$H75,2))</f>
        <v/>
      </c>
      <c r="K75" s="38" t="n"/>
      <c r="L75" s="38" t="n"/>
      <c r="M75" s="38" t="n"/>
    </row>
    <row r="76" ht="17" customHeight="1">
      <c r="A76" s="87" t="inlineStr">
        <is>
          <t>Samuel</t>
        </is>
      </c>
      <c r="B76" s="56">
        <f>IF($A76="","",ROUND(SUMIF($D$49:$D$60,$A76,$F$49:$F$60),2))</f>
        <v/>
      </c>
      <c r="C76" s="38" t="n"/>
      <c r="D76" s="56">
        <f>IF($A76="","",ROUND(SUMIF($H$49:$H$60,$A76,$J$49:$J$60),2))</f>
        <v/>
      </c>
      <c r="E76" s="38" t="n"/>
      <c r="F76" s="56">
        <f>IF($A76="","",ROUND(SUMIF($L$49:$L$60,$A76,$N$49:$N$60),2))</f>
        <v/>
      </c>
      <c r="G76" s="38" t="n"/>
      <c r="H76" s="56">
        <f>IF($A76="","",IF($A76=$F$9,IF($D$65="",0,$D$65),0)+IF($A76=$H$66,IF($D$66="",0,$D$66),0))</f>
        <v/>
      </c>
      <c r="I76" s="38" t="n"/>
      <c r="J76" s="88">
        <f>IF($A76="","",ROUND($B76+$D76+$F76+$H76,2))</f>
        <v/>
      </c>
      <c r="K76" s="38" t="n"/>
      <c r="L76" s="38" t="n"/>
      <c r="M76" s="38" t="n"/>
    </row>
    <row r="77" ht="17" customHeight="1">
      <c r="A77" s="87" t="inlineStr">
        <is>
          <t>Cesar</t>
        </is>
      </c>
      <c r="B77" s="56">
        <f>IF($A77="","",ROUND(SUMIF($D$49:$D$60,$A77,$F$49:$F$60),2))</f>
        <v/>
      </c>
      <c r="C77" s="38" t="n"/>
      <c r="D77" s="56">
        <f>IF($A77="","",ROUND(SUMIF($H$49:$H$60,$A77,$J$49:$J$60),2))</f>
        <v/>
      </c>
      <c r="E77" s="38" t="n"/>
      <c r="F77" s="56">
        <f>IF($A77="","",ROUND(SUMIF($L$49:$L$60,$A77,$N$49:$N$60),2))</f>
        <v/>
      </c>
      <c r="G77" s="38" t="n"/>
      <c r="H77" s="56">
        <f>IF($A77="","",IF($A77=$F$9,IF($D$65="",0,$D$65),0)+IF($A77=$H$66,IF($D$66="",0,$D$66),0))</f>
        <v/>
      </c>
      <c r="I77" s="38" t="n"/>
      <c r="J77" s="88">
        <f>IF($A77="","",ROUND($B77+$D77+$F77+$H77,2))</f>
        <v/>
      </c>
      <c r="K77" s="38" t="n"/>
      <c r="L77" s="38" t="n"/>
      <c r="M77" s="38" t="n"/>
    </row>
    <row r="78" ht="17" customHeight="1">
      <c r="A78" s="87" t="inlineStr">
        <is>
          <t>Jhon</t>
        </is>
      </c>
      <c r="B78" s="56">
        <f>IF($A78="","",ROUND(SUMIF($D$49:$D$60,$A78,$F$49:$F$60),2))</f>
        <v/>
      </c>
      <c r="C78" s="38" t="n"/>
      <c r="D78" s="56">
        <f>IF($A78="","",ROUND(SUMIF($H$49:$H$60,$A78,$J$49:$J$60),2))</f>
        <v/>
      </c>
      <c r="E78" s="38" t="n"/>
      <c r="F78" s="56">
        <f>IF($A78="","",ROUND(SUMIF($L$49:$L$60,$A78,$N$49:$N$60),2))</f>
        <v/>
      </c>
      <c r="G78" s="38" t="n"/>
      <c r="H78" s="56">
        <f>IF($A78="","",IF($A78=$F$9,IF($D$65="",0,$D$65),0)+IF($A78=$H$66,IF($D$66="",0,$D$66),0))</f>
        <v/>
      </c>
      <c r="I78" s="38" t="n"/>
      <c r="J78" s="88">
        <f>IF($A78="","",ROUND($B78+$D78+$F78+$H78,2))</f>
        <v/>
      </c>
      <c r="K78" s="38" t="n"/>
      <c r="L78" s="38" t="n"/>
      <c r="M78" s="38" t="n"/>
    </row>
    <row r="79" ht="17" customHeight="1">
      <c r="A79" s="87" t="inlineStr">
        <is>
          <t>Joelson</t>
        </is>
      </c>
      <c r="B79" s="56">
        <f>IF($A79="","",ROUND(SUMIF($D$49:$D$60,$A79,$F$49:$F$60),2))</f>
        <v/>
      </c>
      <c r="C79" s="38" t="n"/>
      <c r="D79" s="56">
        <f>IF($A79="","",ROUND(SUMIF($H$49:$H$60,$A79,$J$49:$J$60),2))</f>
        <v/>
      </c>
      <c r="E79" s="38" t="n"/>
      <c r="F79" s="56">
        <f>IF($A79="","",ROUND(SUMIF($L$49:$L$60,$A79,$N$49:$N$60),2))</f>
        <v/>
      </c>
      <c r="G79" s="38" t="n"/>
      <c r="H79" s="56">
        <f>IF($A79="","",IF($A79=$F$9,IF($D$65="",0,$D$65),0)+IF($A79=$H$66,IF($D$66="",0,$D$66),0))</f>
        <v/>
      </c>
      <c r="I79" s="38" t="n"/>
      <c r="J79" s="88">
        <f>IF($A79="","",ROUND($B79+$D79+$F79+$H79,2))</f>
        <v/>
      </c>
      <c r="K79" s="38" t="n"/>
      <c r="L79" s="38" t="n"/>
      <c r="M79" s="38" t="n"/>
    </row>
    <row r="80" ht="17" customHeight="1">
      <c r="A80" s="87" t="inlineStr">
        <is>
          <t>Davi</t>
        </is>
      </c>
      <c r="B80" s="56">
        <f>IF($A80="","",ROUND(SUMIF($D$49:$D$60,$A80,$F$49:$F$60),2))</f>
        <v/>
      </c>
      <c r="C80" s="38" t="n"/>
      <c r="D80" s="56">
        <f>IF($A80="","",ROUND(SUMIF($H$49:$H$60,$A80,$J$49:$J$60),2))</f>
        <v/>
      </c>
      <c r="E80" s="38" t="n"/>
      <c r="F80" s="56">
        <f>IF($A80="","",ROUND(SUMIF($L$49:$L$60,$A80,$N$49:$N$60),2))</f>
        <v/>
      </c>
      <c r="G80" s="38" t="n"/>
      <c r="H80" s="56">
        <f>IF($A80="","",IF($A80=$F$9,IF($D$65="",0,$D$65),0)+IF($A80=$H$66,IF($D$66="",0,$D$66),0))</f>
        <v/>
      </c>
      <c r="I80" s="38" t="n"/>
      <c r="J80" s="88">
        <f>IF($A80="","",ROUND($B80+$D80+$F80+$H80,2))</f>
        <v/>
      </c>
      <c r="K80" s="38" t="n"/>
      <c r="L80" s="38" t="n"/>
      <c r="M80" s="38" t="n"/>
    </row>
    <row r="81" ht="17" customHeight="1">
      <c r="A81" s="87" t="inlineStr">
        <is>
          <t>Jomar</t>
        </is>
      </c>
      <c r="B81" s="56">
        <f>IF($A81="","",ROUND(SUMIF($D$49:$D$60,$A81,$F$49:$F$60),2))</f>
        <v/>
      </c>
      <c r="C81" s="38" t="n"/>
      <c r="D81" s="56">
        <f>IF($A81="","",ROUND(SUMIF($H$49:$H$60,$A81,$J$49:$J$60),2))</f>
        <v/>
      </c>
      <c r="E81" s="38" t="n"/>
      <c r="F81" s="56">
        <f>IF($A81="","",ROUND(SUMIF($L$49:$L$60,$A81,$N$49:$N$60),2))</f>
        <v/>
      </c>
      <c r="G81" s="38" t="n"/>
      <c r="H81" s="56">
        <f>IF($A81="","",IF($A81=$F$9,IF($D$65="",0,$D$65),0)+IF($A81=$H$66,IF($D$66="",0,$D$66),0))</f>
        <v/>
      </c>
      <c r="I81" s="38" t="n"/>
      <c r="J81" s="88">
        <f>IF($A81="","",ROUND($B81+$D81+$F81+$H81,2))</f>
        <v/>
      </c>
      <c r="K81" s="38" t="n"/>
      <c r="L81" s="38" t="n"/>
      <c r="M81" s="38" t="n"/>
    </row>
    <row r="82" ht="17" customHeight="1">
      <c r="A82" s="87" t="inlineStr">
        <is>
          <t>Bruno</t>
        </is>
      </c>
      <c r="B82" s="56">
        <f>IF($A82="","",ROUND(SUMIF($D$49:$D$60,$A82,$F$49:$F$60),2))</f>
        <v/>
      </c>
      <c r="C82" s="38" t="n"/>
      <c r="D82" s="56">
        <f>IF($A82="","",ROUND(SUMIF($H$49:$H$60,$A82,$J$49:$J$60),2))</f>
        <v/>
      </c>
      <c r="E82" s="38" t="n"/>
      <c r="F82" s="56">
        <f>IF($A82="","",ROUND(SUMIF($L$49:$L$60,$A82,$N$49:$N$60),2))</f>
        <v/>
      </c>
      <c r="G82" s="38" t="n"/>
      <c r="H82" s="56">
        <f>IF($A82="","",IF($A82=$F$9,IF($D$65="",0,$D$65),0)+IF($A82=$H$66,IF($D$66="",0,$D$66),0))</f>
        <v/>
      </c>
      <c r="I82" s="38" t="n"/>
      <c r="J82" s="88">
        <f>IF($A82="","",ROUND($B82+$D82+$F82+$H82,2))</f>
        <v/>
      </c>
      <c r="K82" s="38" t="n"/>
      <c r="L82" s="38" t="n"/>
      <c r="M82" s="38" t="n"/>
    </row>
    <row r="83" ht="17" customHeight="1">
      <c r="A83" s="87" t="inlineStr">
        <is>
          <t>Wallace</t>
        </is>
      </c>
      <c r="B83" s="56">
        <f>IF($A83="","",ROUND(SUMIF($D$49:$D$60,$A83,$F$49:$F$60),2))</f>
        <v/>
      </c>
      <c r="C83" s="38" t="n"/>
      <c r="D83" s="56">
        <f>IF($A83="","",ROUND(SUMIF($H$49:$H$60,$A83,$J$49:$J$60),2))</f>
        <v/>
      </c>
      <c r="E83" s="38" t="n"/>
      <c r="F83" s="56">
        <f>IF($A83="","",ROUND(SUMIF($L$49:$L$60,$A83,$N$49:$N$60),2))</f>
        <v/>
      </c>
      <c r="G83" s="38" t="n"/>
      <c r="H83" s="56">
        <f>IF($A83="","",IF($A83=$F$9,IF($D$65="",0,$D$65),0)+IF($A83=$H$66,IF($D$66="",0,$D$66),0))</f>
        <v/>
      </c>
      <c r="I83" s="38" t="n"/>
      <c r="J83" s="88">
        <f>IF($A83="","",ROUND($B83+$D83+$F83+$H83,2))</f>
        <v/>
      </c>
      <c r="K83" s="38" t="n"/>
      <c r="L83" s="38" t="n"/>
      <c r="M83" s="38" t="n"/>
    </row>
    <row r="84" ht="17" customHeight="1">
      <c r="A84" s="87" t="inlineStr">
        <is>
          <t>Douglas</t>
        </is>
      </c>
      <c r="B84" s="56">
        <f>IF($A84="","",ROUND(SUMIF($D$49:$D$60,$A84,$F$49:$F$60),2))</f>
        <v/>
      </c>
      <c r="C84" s="38" t="n"/>
      <c r="D84" s="56">
        <f>IF($A84="","",ROUND(SUMIF($H$49:$H$60,$A84,$J$49:$J$60),2))</f>
        <v/>
      </c>
      <c r="E84" s="38" t="n"/>
      <c r="F84" s="56">
        <f>IF($A84="","",ROUND(SUMIF($L$49:$L$60,$A84,$N$49:$N$60),2))</f>
        <v/>
      </c>
      <c r="G84" s="38" t="n"/>
      <c r="H84" s="56">
        <f>IF($A84="","",IF($A84=$F$9,IF($D$65="",0,$D$65),0)+IF($A84=$H$66,IF($D$66="",0,$D$66),0))</f>
        <v/>
      </c>
      <c r="I84" s="38" t="n"/>
      <c r="J84" s="88">
        <f>IF($A84="","",ROUND($B84+$D84+$F84+$H84,2))</f>
        <v/>
      </c>
      <c r="K84" s="38" t="n"/>
      <c r="L84" s="38" t="n"/>
      <c r="M84" s="38" t="n"/>
    </row>
    <row r="85" ht="17" customHeight="1">
      <c r="A85" s="87" t="inlineStr">
        <is>
          <t>Terceiro / avulso</t>
        </is>
      </c>
      <c r="B85" s="56">
        <f>IF($A85="","",ROUND(SUMIF($D$49:$D$60,$A85,$F$49:$F$60),2))</f>
        <v/>
      </c>
      <c r="C85" s="38" t="n"/>
      <c r="D85" s="56">
        <f>IF($A85="","",ROUND(SUMIF($H$49:$H$60,$A85,$J$49:$J$60),2))</f>
        <v/>
      </c>
      <c r="E85" s="38" t="n"/>
      <c r="F85" s="56">
        <f>IF($A85="","",ROUND(SUMIF($L$49:$L$60,$A85,$N$49:$N$60),2))</f>
        <v/>
      </c>
      <c r="G85" s="38" t="n"/>
      <c r="H85" s="56">
        <f>IF($A85="","",IF($A85=$F$9,IF($D$65="",0,$D$65),0)+IF($A85=$H$66,IF($D$66="",0,$D$66),0))</f>
        <v/>
      </c>
      <c r="I85" s="38" t="n"/>
      <c r="J85" s="88">
        <f>IF($A85="","",ROUND($B85+$D85+$F85+$H85,2))</f>
        <v/>
      </c>
      <c r="K85" s="38" t="n"/>
      <c r="L85" s="38" t="n"/>
      <c r="M85" s="38" t="n"/>
    </row>
    <row r="86" ht="17" customHeight="1">
      <c r="A86" s="87" t="inlineStr">
        <is>
          <t>Lorrane</t>
        </is>
      </c>
      <c r="B86" s="56">
        <f>IF($A86="","",ROUND(SUMIF($D$49:$D$60,$A86,$F$49:$F$60),2))</f>
        <v/>
      </c>
      <c r="C86" s="38" t="n"/>
      <c r="D86" s="56">
        <f>IF($A86="","",ROUND(SUMIF($H$49:$H$60,$A86,$J$49:$J$60),2))</f>
        <v/>
      </c>
      <c r="E86" s="38" t="n"/>
      <c r="F86" s="56">
        <f>IF($A86="","",ROUND(SUMIF($L$49:$L$60,$A86,$N$49:$N$60),2))</f>
        <v/>
      </c>
      <c r="G86" s="38" t="n"/>
      <c r="H86" s="56">
        <f>IF($A86="","",IF($A86=$F$9,IF($D$65="",0,$D$65),0)+IF($A86=$H$66,IF($D$66="",0,$D$66),0))</f>
        <v/>
      </c>
      <c r="I86" s="38" t="n"/>
      <c r="J86" s="88">
        <f>IF($A86="","",ROUND($B86+$D86+$F86+$H86,2))</f>
        <v/>
      </c>
      <c r="K86" s="38" t="n"/>
      <c r="L86" s="38" t="n"/>
      <c r="M86" s="38" t="n"/>
    </row>
    <row r="87" ht="17" customHeight="1">
      <c r="A87" s="87" t="inlineStr">
        <is>
          <t>Lucas</t>
        </is>
      </c>
      <c r="B87" s="56">
        <f>IF($A87="","",ROUND(SUMIF($D$49:$D$60,$A87,$F$49:$F$60),2))</f>
        <v/>
      </c>
      <c r="C87" s="38" t="n"/>
      <c r="D87" s="56">
        <f>IF($A87="","",ROUND(SUMIF($H$49:$H$60,$A87,$J$49:$J$60),2))</f>
        <v/>
      </c>
      <c r="E87" s="38" t="n"/>
      <c r="F87" s="56">
        <f>IF($A87="","",ROUND(SUMIF($L$49:$L$60,$A87,$N$49:$N$60),2))</f>
        <v/>
      </c>
      <c r="G87" s="38" t="n"/>
      <c r="H87" s="56">
        <f>IF($A87="","",IF($A87=$F$9,IF($D$65="",0,$D$65),0)+IF($A87=$H$66,IF($D$66="",0,$D$66),0))</f>
        <v/>
      </c>
      <c r="I87" s="38" t="n"/>
      <c r="J87" s="88">
        <f>IF($A87="","",ROUND($B87+$D87+$F87+$H87,2))</f>
        <v/>
      </c>
      <c r="K87" s="38" t="n"/>
      <c r="L87" s="38" t="n"/>
      <c r="M87" s="38" t="n"/>
    </row>
    <row r="88" ht="17" customHeight="1">
      <c r="A88" s="87" t="inlineStr">
        <is>
          <t>Externo / avulso</t>
        </is>
      </c>
      <c r="B88" s="56">
        <f>IF($A88="","",ROUND(SUMIF($D$49:$D$60,$A88,$F$49:$F$60),2))</f>
        <v/>
      </c>
      <c r="C88" s="38" t="n"/>
      <c r="D88" s="56">
        <f>IF($A88="","",ROUND(SUMIF($H$49:$H$60,$A88,$J$49:$J$60),2))</f>
        <v/>
      </c>
      <c r="E88" s="38" t="n"/>
      <c r="F88" s="56">
        <f>IF($A88="","",ROUND(SUMIF($L$49:$L$60,$A88,$N$49:$N$60),2))</f>
        <v/>
      </c>
      <c r="G88" s="38" t="n"/>
      <c r="H88" s="56">
        <f>IF($A88="","",IF($A88=$F$9,IF($D$65="",0,$D$65),0)+IF($A88=$H$66,IF($D$66="",0,$D$66),0))</f>
        <v/>
      </c>
      <c r="I88" s="38" t="n"/>
      <c r="J88" s="88">
        <f>IF($A88="","",ROUND($B88+$D88+$F88+$H88,2))</f>
        <v/>
      </c>
      <c r="K88" s="38" t="n"/>
      <c r="L88" s="38" t="n"/>
      <c r="M88" s="38" t="n"/>
    </row>
    <row r="89" ht="17" customHeight="1">
      <c r="A89" s="87" t="inlineStr">
        <is>
          <t>Bruna</t>
        </is>
      </c>
      <c r="B89" s="56">
        <f>IF($A89="","",ROUND(SUMIF($D$49:$D$60,$A89,$F$49:$F$60),2))</f>
        <v/>
      </c>
      <c r="C89" s="38" t="n"/>
      <c r="D89" s="56">
        <f>IF($A89="","",ROUND(SUMIF($H$49:$H$60,$A89,$J$49:$J$60),2))</f>
        <v/>
      </c>
      <c r="E89" s="38" t="n"/>
      <c r="F89" s="56">
        <f>IF($A89="","",ROUND(SUMIF($L$49:$L$60,$A89,$N$49:$N$60),2))</f>
        <v/>
      </c>
      <c r="G89" s="38" t="n"/>
      <c r="H89" s="56">
        <f>IF($A89="","",IF($A89=$F$9,IF($D$65="",0,$D$65),0)+IF($A89=$H$66,IF($D$66="",0,$D$66),0))</f>
        <v/>
      </c>
      <c r="I89" s="38" t="n"/>
      <c r="J89" s="88">
        <f>IF($A89="","",ROUND($B89+$D89+$F89+$H89,2))</f>
        <v/>
      </c>
      <c r="K89" s="38" t="n"/>
      <c r="L89" s="38" t="n"/>
      <c r="M89" s="38" t="n"/>
    </row>
    <row r="90" ht="17" customHeight="1">
      <c r="A90" s="87" t="n"/>
      <c r="B90" s="56">
        <f>IF($A90="","",ROUND(SUMIF($D$49:$D$60,$A90,$F$49:$F$60),2))</f>
        <v/>
      </c>
      <c r="C90" s="38" t="n"/>
      <c r="D90" s="56">
        <f>IF($A90="","",ROUND(SUMIF($H$49:$H$60,$A90,$J$49:$J$60),2))</f>
        <v/>
      </c>
      <c r="E90" s="38" t="n"/>
      <c r="F90" s="56">
        <f>IF($A90="","",ROUND(SUMIF($L$49:$L$60,$A90,$N$49:$N$60),2))</f>
        <v/>
      </c>
      <c r="G90" s="38" t="n"/>
      <c r="H90" s="56">
        <f>IF($A90="","",IF($A90=$F$9,IF($D$65="",0,$D$65),0)+IF($A90=$H$66,IF($D$66="",0,$D$66),0))</f>
        <v/>
      </c>
      <c r="I90" s="38" t="n"/>
      <c r="J90" s="88">
        <f>IF($A90="","",ROUND($B90+$D90+$F90+$H90,2))</f>
        <v/>
      </c>
      <c r="K90" s="38" t="n"/>
      <c r="L90" s="38" t="n"/>
      <c r="M90" s="38" t="n"/>
    </row>
    <row r="91" ht="17" customHeight="1">
      <c r="A91" s="87" t="n"/>
      <c r="B91" s="56">
        <f>IF($A91="","",ROUND(SUMIF($D$49:$D$60,$A91,$F$49:$F$60),2))</f>
        <v/>
      </c>
      <c r="C91" s="38" t="n"/>
      <c r="D91" s="56">
        <f>IF($A91="","",ROUND(SUMIF($H$49:$H$60,$A91,$J$49:$J$60),2))</f>
        <v/>
      </c>
      <c r="E91" s="38" t="n"/>
      <c r="F91" s="56">
        <f>IF($A91="","",ROUND(SUMIF($L$49:$L$60,$A91,$N$49:$N$60),2))</f>
        <v/>
      </c>
      <c r="G91" s="38" t="n"/>
      <c r="H91" s="56">
        <f>IF($A91="","",IF($A91=$F$9,IF($D$65="",0,$D$65),0)+IF($A91=$H$66,IF($D$66="",0,$D$66),0))</f>
        <v/>
      </c>
      <c r="I91" s="38" t="n"/>
      <c r="J91" s="88">
        <f>IF($A91="","",ROUND($B91+$D91+$F91+$H91,2))</f>
        <v/>
      </c>
      <c r="K91" s="38" t="n"/>
      <c r="L91" s="38" t="n"/>
      <c r="M91" s="38" t="n"/>
    </row>
    <row r="92" ht="20" customHeight="1">
      <c r="A92" s="31" t="inlineStr">
        <is>
          <t>TOTAL</t>
        </is>
      </c>
      <c r="B92" s="60">
        <f>ROUND(SUM(B74:B91),2)</f>
        <v/>
      </c>
      <c r="C92" s="32" t="n"/>
      <c r="D92" s="60">
        <f>ROUND(SUM(D74:D91),2)</f>
        <v/>
      </c>
      <c r="E92" s="32" t="n"/>
      <c r="F92" s="60">
        <f>ROUND(SUM(F74:F91),2)</f>
        <v/>
      </c>
      <c r="G92" s="32" t="n"/>
      <c r="H92" s="60">
        <f>ROUND(SUM(H74:H91),2)</f>
        <v/>
      </c>
      <c r="I92" s="32" t="n"/>
      <c r="J92" s="60">
        <f>ROUND(SUM(J74:J91),2)</f>
        <v/>
      </c>
      <c r="K92" s="32" t="n"/>
      <c r="L92" s="32" t="n"/>
      <c r="M92" s="32" t="n"/>
    </row>
    <row r="93" ht="8" customHeight="1"/>
    <row r="94" ht="20" customHeight="1">
      <c r="A94" s="8" t="inlineStr">
        <is>
          <t xml:space="preserve">  6 · MATERIAL, TERCEIRIZADOS E LOGÍSTICA          o orçado você digita · o realizado vem sozinho do livro de lançamentos, lá no fim da ficha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</row>
    <row r="95" ht="30" customHeight="1">
      <c r="A95" s="19" t="inlineStr">
        <is>
          <t>Categoria</t>
        </is>
      </c>
      <c r="B95" s="19" t="inlineStr"/>
      <c r="C95" s="19" t="inlineStr">
        <is>
          <t>Orçado (R$)</t>
        </is>
      </c>
      <c r="D95" s="19" t="inlineStr">
        <is>
          <t>Realizado (R$)</t>
        </is>
      </c>
      <c r="E95" s="19" t="inlineStr">
        <is>
          <t>Desvio (R$)</t>
        </is>
      </c>
      <c r="F95" s="35" t="n"/>
      <c r="G95" s="19" t="inlineStr">
        <is>
          <t>Ainda a comprar</t>
        </is>
      </c>
      <c r="H95" s="19" t="inlineStr">
        <is>
          <t>Comprado, ainda a pagar</t>
        </is>
      </c>
      <c r="I95" s="35" t="n"/>
      <c r="J95" s="35" t="n"/>
      <c r="K95" s="35" t="n"/>
      <c r="L95" s="35" t="n"/>
      <c r="M95" s="35" t="n"/>
      <c r="N95" s="35" t="n"/>
      <c r="O95" s="35" t="n"/>
    </row>
    <row r="96" ht="17" customHeight="1">
      <c r="A96" s="36" t="inlineStr">
        <is>
          <t>MDF e MDP</t>
        </is>
      </c>
      <c r="B96" s="37" t="n"/>
      <c r="C96" s="71" t="n"/>
      <c r="D96" s="56">
        <f>ROUND(SUMIFS($E$134:$E$193,$B$134:$B$193,$A96,$I$134:$I$193,"Comprado (a pagar)")+SUMIFS($E$134:$E$193,$B$134:$B$193,$A96,$I$134:$I$193,"Pago"),2)</f>
        <v/>
      </c>
      <c r="E96" s="56">
        <f>IF($C96="","",ROUND($D96-$C96,2))</f>
        <v/>
      </c>
      <c r="F96" s="38" t="n"/>
      <c r="G96" s="89">
        <f>ROUND(SUMIFS($E$134:$E$193,$B$134:$B$193,$A96,$I$134:$I$193,"A comprar"),2)</f>
        <v/>
      </c>
      <c r="H96" s="90">
        <f>ROUND(SUMIFS($E$134:$E$193,$B$134:$B$193,$A96,$I$134:$I$193,"Comprado (a pagar)"),2)</f>
        <v/>
      </c>
      <c r="I96" s="38" t="n"/>
      <c r="J96" s="38" t="n"/>
      <c r="K96" s="38" t="n"/>
      <c r="L96" s="38" t="n"/>
      <c r="M96" s="38" t="n"/>
      <c r="N96" s="38" t="n"/>
      <c r="O96" s="38" t="n"/>
    </row>
    <row r="97" ht="17" customHeight="1">
      <c r="A97" s="36" t="inlineStr">
        <is>
          <t>Fita de borda</t>
        </is>
      </c>
      <c r="B97" s="37" t="n"/>
      <c r="C97" s="71" t="n"/>
      <c r="D97" s="56">
        <f>ROUND(SUMIFS($E$134:$E$193,$B$134:$B$193,$A97,$I$134:$I$193,"Comprado (a pagar)")+SUMIFS($E$134:$E$193,$B$134:$B$193,$A97,$I$134:$I$193,"Pago"),2)</f>
        <v/>
      </c>
      <c r="E97" s="56">
        <f>IF($C97="","",ROUND($D97-$C97,2))</f>
        <v/>
      </c>
      <c r="F97" s="38" t="n"/>
      <c r="G97" s="89">
        <f>ROUND(SUMIFS($E$134:$E$193,$B$134:$B$193,$A97,$I$134:$I$193,"A comprar"),2)</f>
        <v/>
      </c>
      <c r="H97" s="90">
        <f>ROUND(SUMIFS($E$134:$E$193,$B$134:$B$193,$A97,$I$134:$I$193,"Comprado (a pagar)"),2)</f>
        <v/>
      </c>
      <c r="I97" s="38" t="n"/>
      <c r="J97" s="38" t="n"/>
      <c r="K97" s="38" t="n"/>
      <c r="L97" s="38" t="n"/>
      <c r="M97" s="38" t="n"/>
      <c r="N97" s="38" t="n"/>
      <c r="O97" s="38" t="n"/>
    </row>
    <row r="98" ht="17" customHeight="1">
      <c r="A98" s="36" t="inlineStr">
        <is>
          <t>Ferragens</t>
        </is>
      </c>
      <c r="B98" s="37" t="n"/>
      <c r="C98" s="71" t="n"/>
      <c r="D98" s="56">
        <f>ROUND(SUMIFS($E$134:$E$193,$B$134:$B$193,$A98,$I$134:$I$193,"Comprado (a pagar)")+SUMIFS($E$134:$E$193,$B$134:$B$193,$A98,$I$134:$I$193,"Pago"),2)</f>
        <v/>
      </c>
      <c r="E98" s="56">
        <f>IF($C98="","",ROUND($D98-$C98,2))</f>
        <v/>
      </c>
      <c r="F98" s="38" t="n"/>
      <c r="G98" s="89">
        <f>ROUND(SUMIFS($E$134:$E$193,$B$134:$B$193,$A98,$I$134:$I$193,"A comprar"),2)</f>
        <v/>
      </c>
      <c r="H98" s="90">
        <f>ROUND(SUMIFS($E$134:$E$193,$B$134:$B$193,$A98,$I$134:$I$193,"Comprado (a pagar)"),2)</f>
        <v/>
      </c>
      <c r="I98" s="38" t="n"/>
      <c r="J98" s="38" t="n"/>
      <c r="K98" s="38" t="n"/>
      <c r="L98" s="38" t="n"/>
      <c r="M98" s="38" t="n"/>
      <c r="N98" s="38" t="n"/>
      <c r="O98" s="38" t="n"/>
    </row>
    <row r="99" ht="17" customHeight="1">
      <c r="A99" s="36" t="inlineStr">
        <is>
          <t>Vidros e espelhos</t>
        </is>
      </c>
      <c r="B99" s="37" t="n"/>
      <c r="C99" s="71" t="n"/>
      <c r="D99" s="56">
        <f>ROUND(SUMIFS($E$134:$E$193,$B$134:$B$193,$A99,$I$134:$I$193,"Comprado (a pagar)")+SUMIFS($E$134:$E$193,$B$134:$B$193,$A99,$I$134:$I$193,"Pago"),2)</f>
        <v/>
      </c>
      <c r="E99" s="56">
        <f>IF($C99="","",ROUND($D99-$C99,2))</f>
        <v/>
      </c>
      <c r="F99" s="38" t="n"/>
      <c r="G99" s="89">
        <f>ROUND(SUMIFS($E$134:$E$193,$B$134:$B$193,$A99,$I$134:$I$193,"A comprar"),2)</f>
        <v/>
      </c>
      <c r="H99" s="90">
        <f>ROUND(SUMIFS($E$134:$E$193,$B$134:$B$193,$A99,$I$134:$I$193,"Comprado (a pagar)"),2)</f>
        <v/>
      </c>
      <c r="I99" s="38" t="n"/>
      <c r="J99" s="38" t="n"/>
      <c r="K99" s="38" t="n"/>
      <c r="L99" s="38" t="n"/>
      <c r="M99" s="38" t="n"/>
      <c r="N99" s="38" t="n"/>
      <c r="O99" s="38" t="n"/>
    </row>
    <row r="100" ht="17" customHeight="1">
      <c r="A100" s="36" t="inlineStr">
        <is>
          <t>Esquadrias</t>
        </is>
      </c>
      <c r="B100" s="37" t="n"/>
      <c r="C100" s="71" t="n"/>
      <c r="D100" s="56">
        <f>ROUND(SUMIFS($E$134:$E$193,$B$134:$B$193,$A100,$I$134:$I$193,"Comprado (a pagar)")+SUMIFS($E$134:$E$193,$B$134:$B$193,$A100,$I$134:$I$193,"Pago"),2)</f>
        <v/>
      </c>
      <c r="E100" s="56">
        <f>IF($C100="","",ROUND($D100-$C100,2))</f>
        <v/>
      </c>
      <c r="F100" s="38" t="n"/>
      <c r="G100" s="89">
        <f>ROUND(SUMIFS($E$134:$E$193,$B$134:$B$193,$A100,$I$134:$I$193,"A comprar"),2)</f>
        <v/>
      </c>
      <c r="H100" s="90">
        <f>ROUND(SUMIFS($E$134:$E$193,$B$134:$B$193,$A100,$I$134:$I$193,"Comprado (a pagar)"),2)</f>
        <v/>
      </c>
      <c r="I100" s="38" t="n"/>
      <c r="J100" s="38" t="n"/>
      <c r="K100" s="38" t="n"/>
      <c r="L100" s="38" t="n"/>
      <c r="M100" s="38" t="n"/>
      <c r="N100" s="38" t="n"/>
      <c r="O100" s="38" t="n"/>
    </row>
    <row r="101" ht="17" customHeight="1">
      <c r="A101" s="36" t="inlineStr">
        <is>
          <t>Lâmina natural</t>
        </is>
      </c>
      <c r="B101" s="37" t="n"/>
      <c r="C101" s="71" t="n"/>
      <c r="D101" s="56">
        <f>ROUND(SUMIFS($E$134:$E$193,$B$134:$B$193,$A101,$I$134:$I$193,"Comprado (a pagar)")+SUMIFS($E$134:$E$193,$B$134:$B$193,$A101,$I$134:$I$193,"Pago"),2)</f>
        <v/>
      </c>
      <c r="E101" s="56">
        <f>IF($C101="","",ROUND($D101-$C101,2))</f>
        <v/>
      </c>
      <c r="F101" s="38" t="n"/>
      <c r="G101" s="89">
        <f>ROUND(SUMIFS($E$134:$E$193,$B$134:$B$193,$A101,$I$134:$I$193,"A comprar"),2)</f>
        <v/>
      </c>
      <c r="H101" s="90">
        <f>ROUND(SUMIFS($E$134:$E$193,$B$134:$B$193,$A101,$I$134:$I$193,"Comprado (a pagar)"),2)</f>
        <v/>
      </c>
      <c r="I101" s="38" t="n"/>
      <c r="J101" s="38" t="n"/>
      <c r="K101" s="38" t="n"/>
      <c r="L101" s="38" t="n"/>
      <c r="M101" s="38" t="n"/>
      <c r="N101" s="38" t="n"/>
      <c r="O101" s="38" t="n"/>
    </row>
    <row r="102" ht="17" customHeight="1">
      <c r="A102" s="36" t="inlineStr">
        <is>
          <t>Consumíveis</t>
        </is>
      </c>
      <c r="B102" s="37" t="n"/>
      <c r="C102" s="71" t="n"/>
      <c r="D102" s="56">
        <f>ROUND(SUMIFS($E$134:$E$193,$B$134:$B$193,$A102,$I$134:$I$193,"Comprado (a pagar)")+SUMIFS($E$134:$E$193,$B$134:$B$193,$A102,$I$134:$I$193,"Pago"),2)</f>
        <v/>
      </c>
      <c r="E102" s="56">
        <f>IF($C102="","",ROUND($D102-$C102,2))</f>
        <v/>
      </c>
      <c r="F102" s="38" t="n"/>
      <c r="G102" s="89">
        <f>ROUND(SUMIFS($E$134:$E$193,$B$134:$B$193,$A102,$I$134:$I$193,"A comprar"),2)</f>
        <v/>
      </c>
      <c r="H102" s="90">
        <f>ROUND(SUMIFS($E$134:$E$193,$B$134:$B$193,$A102,$I$134:$I$193,"Comprado (a pagar)"),2)</f>
        <v/>
      </c>
      <c r="I102" s="38" t="n"/>
      <c r="J102" s="38" t="n"/>
      <c r="K102" s="38" t="n"/>
      <c r="L102" s="38" t="n"/>
      <c r="M102" s="38" t="n"/>
      <c r="N102" s="38" t="n"/>
      <c r="O102" s="38" t="n"/>
    </row>
    <row r="103" ht="20" customHeight="1">
      <c r="A103" s="31" t="inlineStr">
        <is>
          <t>(=) SUBTOTAL · MATERIAL</t>
        </is>
      </c>
      <c r="B103" s="32" t="n"/>
      <c r="C103" s="60">
        <f>ROUND(SUM(C96:C102),2)</f>
        <v/>
      </c>
      <c r="D103" s="60">
        <f>ROUND(SUM(D96:D102),2)</f>
        <v/>
      </c>
      <c r="E103" s="60">
        <f>ROUND(SUM(E96:E102),2)</f>
        <v/>
      </c>
      <c r="F103" s="32" t="n"/>
      <c r="G103" s="60">
        <f>ROUND(SUM(G96:G102),2)</f>
        <v/>
      </c>
      <c r="H103" s="60">
        <f>ROUND(SUM(H96:H102),2)</f>
        <v/>
      </c>
      <c r="I103" s="32" t="n"/>
      <c r="J103" s="32" t="n"/>
      <c r="K103" s="32" t="n"/>
      <c r="L103" s="32" t="n"/>
      <c r="M103" s="32" t="n"/>
      <c r="N103" s="32" t="n"/>
      <c r="O103" s="32" t="n"/>
    </row>
    <row r="104" ht="17" customHeight="1">
      <c r="A104" s="36" t="inlineStr">
        <is>
          <t>Acabamento</t>
        </is>
      </c>
      <c r="B104" s="37" t="n"/>
      <c r="C104" s="71" t="n"/>
      <c r="D104" s="56">
        <f>ROUND(SUMIFS($E$134:$E$193,$B$134:$B$193,$A104,$I$134:$I$193,"Comprado (a pagar)")+SUMIFS($E$134:$E$193,$B$134:$B$193,$A104,$I$134:$I$193,"Pago"),2)</f>
        <v/>
      </c>
      <c r="E104" s="56">
        <f>IF($C104="","",ROUND($D104-$C104,2))</f>
        <v/>
      </c>
      <c r="F104" s="38" t="n"/>
      <c r="G104" s="89">
        <f>ROUND(SUMIFS($E$134:$E$193,$B$134:$B$193,$A104,$I$134:$I$193,"A comprar"),2)</f>
        <v/>
      </c>
      <c r="H104" s="90">
        <f>ROUND(SUMIFS($E$134:$E$193,$B$134:$B$193,$A104,$I$134:$I$193,"Comprado (a pagar)"),2)</f>
        <v/>
      </c>
      <c r="I104" s="38" t="n"/>
      <c r="J104" s="38" t="n"/>
      <c r="K104" s="38" t="n"/>
      <c r="L104" s="38" t="n"/>
      <c r="M104" s="38" t="n"/>
      <c r="N104" s="38" t="n"/>
      <c r="O104" s="38" t="n"/>
    </row>
    <row r="105" ht="17" customHeight="1">
      <c r="A105" s="36" t="inlineStr">
        <is>
          <t>Serralheria</t>
        </is>
      </c>
      <c r="B105" s="37" t="n"/>
      <c r="C105" s="71" t="n"/>
      <c r="D105" s="56">
        <f>ROUND(SUMIFS($E$134:$E$193,$B$134:$B$193,$A105,$I$134:$I$193,"Comprado (a pagar)")+SUMIFS($E$134:$E$193,$B$134:$B$193,$A105,$I$134:$I$193,"Pago"),2)</f>
        <v/>
      </c>
      <c r="E105" s="56">
        <f>IF($C105="","",ROUND($D105-$C105,2))</f>
        <v/>
      </c>
      <c r="F105" s="38" t="n"/>
      <c r="G105" s="89">
        <f>ROUND(SUMIFS($E$134:$E$193,$B$134:$B$193,$A105,$I$134:$I$193,"A comprar"),2)</f>
        <v/>
      </c>
      <c r="H105" s="90">
        <f>ROUND(SUMIFS($E$134:$E$193,$B$134:$B$193,$A105,$I$134:$I$193,"Comprado (a pagar)"),2)</f>
        <v/>
      </c>
      <c r="I105" s="38" t="n"/>
      <c r="J105" s="38" t="n"/>
      <c r="K105" s="38" t="n"/>
      <c r="L105" s="38" t="n"/>
      <c r="M105" s="38" t="n"/>
      <c r="N105" s="38" t="n"/>
      <c r="O105" s="38" t="n"/>
    </row>
    <row r="106" ht="17" customHeight="1">
      <c r="A106" s="36" t="inlineStr">
        <is>
          <t>Vidraceiro</t>
        </is>
      </c>
      <c r="B106" s="37" t="n"/>
      <c r="C106" s="71" t="n"/>
      <c r="D106" s="56">
        <f>ROUND(SUMIFS($E$134:$E$193,$B$134:$B$193,$A106,$I$134:$I$193,"Comprado (a pagar)")+SUMIFS($E$134:$E$193,$B$134:$B$193,$A106,$I$134:$I$193,"Pago"),2)</f>
        <v/>
      </c>
      <c r="E106" s="56">
        <f>IF($C106="","",ROUND($D106-$C106,2))</f>
        <v/>
      </c>
      <c r="F106" s="38" t="n"/>
      <c r="G106" s="89">
        <f>ROUND(SUMIFS($E$134:$E$193,$B$134:$B$193,$A106,$I$134:$I$193,"A comprar"),2)</f>
        <v/>
      </c>
      <c r="H106" s="90">
        <f>ROUND(SUMIFS($E$134:$E$193,$B$134:$B$193,$A106,$I$134:$I$193,"Comprado (a pagar)"),2)</f>
        <v/>
      </c>
      <c r="I106" s="38" t="n"/>
      <c r="J106" s="38" t="n"/>
      <c r="K106" s="38" t="n"/>
      <c r="L106" s="38" t="n"/>
      <c r="M106" s="38" t="n"/>
      <c r="N106" s="38" t="n"/>
      <c r="O106" s="38" t="n"/>
    </row>
    <row r="107" ht="17" customHeight="1">
      <c r="A107" s="36" t="inlineStr">
        <is>
          <t>Outro terceirizado</t>
        </is>
      </c>
      <c r="B107" s="37" t="n"/>
      <c r="C107" s="71" t="n"/>
      <c r="D107" s="56">
        <f>ROUND(SUMIFS($E$134:$E$193,$B$134:$B$193,$A107,$I$134:$I$193,"Comprado (a pagar)")+SUMIFS($E$134:$E$193,$B$134:$B$193,$A107,$I$134:$I$193,"Pago"),2)</f>
        <v/>
      </c>
      <c r="E107" s="56">
        <f>IF($C107="","",ROUND($D107-$C107,2))</f>
        <v/>
      </c>
      <c r="F107" s="38" t="n"/>
      <c r="G107" s="89">
        <f>ROUND(SUMIFS($E$134:$E$193,$B$134:$B$193,$A107,$I$134:$I$193,"A comprar"),2)</f>
        <v/>
      </c>
      <c r="H107" s="90">
        <f>ROUND(SUMIFS($E$134:$E$193,$B$134:$B$193,$A107,$I$134:$I$193,"Comprado (a pagar)"),2)</f>
        <v/>
      </c>
      <c r="I107" s="38" t="n"/>
      <c r="J107" s="38" t="n"/>
      <c r="K107" s="38" t="n"/>
      <c r="L107" s="38" t="n"/>
      <c r="M107" s="38" t="n"/>
      <c r="N107" s="38" t="n"/>
      <c r="O107" s="38" t="n"/>
    </row>
    <row r="108" ht="20" customHeight="1">
      <c r="A108" s="31" t="inlineStr">
        <is>
          <t>(=) SUBTOTAL · SERVIÇOS TERCEIRIZADOS</t>
        </is>
      </c>
      <c r="B108" s="32" t="n"/>
      <c r="C108" s="60">
        <f>ROUND(SUM(C104:C107),2)</f>
        <v/>
      </c>
      <c r="D108" s="60">
        <f>ROUND(SUM(D104:D107),2)</f>
        <v/>
      </c>
      <c r="E108" s="60">
        <f>ROUND(SUM(E104:E107),2)</f>
        <v/>
      </c>
      <c r="F108" s="32" t="n"/>
      <c r="G108" s="60">
        <f>ROUND(SUM(G104:G107),2)</f>
        <v/>
      </c>
      <c r="H108" s="60">
        <f>ROUND(SUM(H104:H107),2)</f>
        <v/>
      </c>
      <c r="I108" s="32" t="n"/>
      <c r="J108" s="32" t="n"/>
      <c r="K108" s="32" t="n"/>
      <c r="L108" s="32" t="n"/>
      <c r="M108" s="32" t="n"/>
      <c r="N108" s="32" t="n"/>
      <c r="O108" s="32" t="n"/>
    </row>
    <row r="109" ht="17" customHeight="1">
      <c r="A109" s="36" t="inlineStr">
        <is>
          <t>Uber e aplicativo</t>
        </is>
      </c>
      <c r="B109" s="37" t="n"/>
      <c r="C109" s="71" t="n"/>
      <c r="D109" s="56">
        <f>ROUND(SUMIFS($E$134:$E$193,$B$134:$B$193,$A109,$I$134:$I$193,"Comprado (a pagar)")+SUMIFS($E$134:$E$193,$B$134:$B$193,$A109,$I$134:$I$193,"Pago"),2)</f>
        <v/>
      </c>
      <c r="E109" s="56">
        <f>IF($C109="","",ROUND($D109-$C109,2))</f>
        <v/>
      </c>
      <c r="F109" s="38" t="n"/>
      <c r="G109" s="89">
        <f>ROUND(SUMIFS($E$134:$E$193,$B$134:$B$193,$A109,$I$134:$I$193,"A comprar"),2)</f>
        <v/>
      </c>
      <c r="H109" s="90">
        <f>ROUND(SUMIFS($E$134:$E$193,$B$134:$B$193,$A109,$I$134:$I$193,"Comprado (a pagar)"),2)</f>
        <v/>
      </c>
      <c r="I109" s="38" t="n"/>
      <c r="J109" s="38" t="n"/>
      <c r="K109" s="38" t="n"/>
      <c r="L109" s="38" t="n"/>
      <c r="M109" s="38" t="n"/>
      <c r="N109" s="38" t="n"/>
      <c r="O109" s="38" t="n"/>
    </row>
    <row r="110" ht="17" customHeight="1">
      <c r="A110" s="36" t="inlineStr">
        <is>
          <t>Carreto e entrega</t>
        </is>
      </c>
      <c r="B110" s="37" t="n"/>
      <c r="C110" s="71" t="n"/>
      <c r="D110" s="56">
        <f>ROUND(SUMIFS($E$134:$E$193,$B$134:$B$193,$A110,$I$134:$I$193,"Comprado (a pagar)")+SUMIFS($E$134:$E$193,$B$134:$B$193,$A110,$I$134:$I$193,"Pago"),2)</f>
        <v/>
      </c>
      <c r="E110" s="56">
        <f>IF($C110="","",ROUND($D110-$C110,2))</f>
        <v/>
      </c>
      <c r="F110" s="38" t="n"/>
      <c r="G110" s="89">
        <f>ROUND(SUMIFS($E$134:$E$193,$B$134:$B$193,$A110,$I$134:$I$193,"A comprar"),2)</f>
        <v/>
      </c>
      <c r="H110" s="90">
        <f>ROUND(SUMIFS($E$134:$E$193,$B$134:$B$193,$A110,$I$134:$I$193,"Comprado (a pagar)"),2)</f>
        <v/>
      </c>
      <c r="I110" s="38" t="n"/>
      <c r="J110" s="38" t="n"/>
      <c r="K110" s="38" t="n"/>
      <c r="L110" s="38" t="n"/>
      <c r="M110" s="38" t="n"/>
      <c r="N110" s="38" t="n"/>
      <c r="O110" s="38" t="n"/>
    </row>
    <row r="111" ht="17" customHeight="1">
      <c r="A111" s="36" t="inlineStr">
        <is>
          <t>Deslocamento da equipe</t>
        </is>
      </c>
      <c r="B111" s="37" t="n"/>
      <c r="C111" s="71" t="n"/>
      <c r="D111" s="56">
        <f>ROUND(SUMIFS($E$134:$E$193,$B$134:$B$193,$A111,$I$134:$I$193,"Comprado (a pagar)")+SUMIFS($E$134:$E$193,$B$134:$B$193,$A111,$I$134:$I$193,"Pago"),2)</f>
        <v/>
      </c>
      <c r="E111" s="56">
        <f>IF($C111="","",ROUND($D111-$C111,2))</f>
        <v/>
      </c>
      <c r="F111" s="38" t="n"/>
      <c r="G111" s="89">
        <f>ROUND(SUMIFS($E$134:$E$193,$B$134:$B$193,$A111,$I$134:$I$193,"A comprar"),2)</f>
        <v/>
      </c>
      <c r="H111" s="90">
        <f>ROUND(SUMIFS($E$134:$E$193,$B$134:$B$193,$A111,$I$134:$I$193,"Comprado (a pagar)"),2)</f>
        <v/>
      </c>
      <c r="I111" s="38" t="n"/>
      <c r="J111" s="38" t="n"/>
      <c r="K111" s="38" t="n"/>
      <c r="L111" s="38" t="n"/>
      <c r="M111" s="38" t="n"/>
      <c r="N111" s="38" t="n"/>
      <c r="O111" s="38" t="n"/>
    </row>
    <row r="112" ht="17" customHeight="1">
      <c r="A112" s="36" t="inlineStr">
        <is>
          <t>Frete de material</t>
        </is>
      </c>
      <c r="B112" s="37" t="n"/>
      <c r="C112" s="71" t="n"/>
      <c r="D112" s="56">
        <f>ROUND(SUMIFS($E$134:$E$193,$B$134:$B$193,$A112,$I$134:$I$193,"Comprado (a pagar)")+SUMIFS($E$134:$E$193,$B$134:$B$193,$A112,$I$134:$I$193,"Pago"),2)</f>
        <v/>
      </c>
      <c r="E112" s="56">
        <f>IF($C112="","",ROUND($D112-$C112,2))</f>
        <v/>
      </c>
      <c r="F112" s="38" t="n"/>
      <c r="G112" s="89">
        <f>ROUND(SUMIFS($E$134:$E$193,$B$134:$B$193,$A112,$I$134:$I$193,"A comprar"),2)</f>
        <v/>
      </c>
      <c r="H112" s="90">
        <f>ROUND(SUMIFS($E$134:$E$193,$B$134:$B$193,$A112,$I$134:$I$193,"Comprado (a pagar)"),2)</f>
        <v/>
      </c>
      <c r="I112" s="38" t="n"/>
      <c r="J112" s="38" t="n"/>
      <c r="K112" s="38" t="n"/>
      <c r="L112" s="38" t="n"/>
      <c r="M112" s="38" t="n"/>
      <c r="N112" s="38" t="n"/>
      <c r="O112" s="38" t="n"/>
    </row>
    <row r="113" ht="17" customHeight="1">
      <c r="A113" s="36" t="inlineStr">
        <is>
          <t>Estacionamento e pedágio</t>
        </is>
      </c>
      <c r="B113" s="37" t="n"/>
      <c r="C113" s="71" t="n"/>
      <c r="D113" s="56">
        <f>ROUND(SUMIFS($E$134:$E$193,$B$134:$B$193,$A113,$I$134:$I$193,"Comprado (a pagar)")+SUMIFS($E$134:$E$193,$B$134:$B$193,$A113,$I$134:$I$193,"Pago"),2)</f>
        <v/>
      </c>
      <c r="E113" s="56">
        <f>IF($C113="","",ROUND($D113-$C113,2))</f>
        <v/>
      </c>
      <c r="F113" s="38" t="n"/>
      <c r="G113" s="89">
        <f>ROUND(SUMIFS($E$134:$E$193,$B$134:$B$193,$A113,$I$134:$I$193,"A comprar"),2)</f>
        <v/>
      </c>
      <c r="H113" s="90">
        <f>ROUND(SUMIFS($E$134:$E$193,$B$134:$B$193,$A113,$I$134:$I$193,"Comprado (a pagar)"),2)</f>
        <v/>
      </c>
      <c r="I113" s="38" t="n"/>
      <c r="J113" s="38" t="n"/>
      <c r="K113" s="38" t="n"/>
      <c r="L113" s="38" t="n"/>
      <c r="M113" s="38" t="n"/>
      <c r="N113" s="38" t="n"/>
      <c r="O113" s="38" t="n"/>
    </row>
    <row r="114" ht="20" customHeight="1">
      <c r="A114" s="31" t="inlineStr">
        <is>
          <t>(=) SUBTOTAL · LOGÍSTICA</t>
        </is>
      </c>
      <c r="B114" s="32" t="n"/>
      <c r="C114" s="60">
        <f>ROUND(SUM(C109:C113),2)</f>
        <v/>
      </c>
      <c r="D114" s="60">
        <f>ROUND(SUM(D109:D113),2)</f>
        <v/>
      </c>
      <c r="E114" s="60">
        <f>ROUND(SUM(E109:E113),2)</f>
        <v/>
      </c>
      <c r="F114" s="32" t="n"/>
      <c r="G114" s="60">
        <f>ROUND(SUM(G109:G113),2)</f>
        <v/>
      </c>
      <c r="H114" s="60">
        <f>ROUND(SUM(H109:H113),2)</f>
        <v/>
      </c>
      <c r="I114" s="32" t="n"/>
      <c r="J114" s="32" t="n"/>
      <c r="K114" s="32" t="n"/>
      <c r="L114" s="32" t="n"/>
      <c r="M114" s="32" t="n"/>
      <c r="N114" s="32" t="n"/>
      <c r="O114" s="32" t="n"/>
    </row>
    <row r="115" ht="8" customHeight="1"/>
    <row r="116" ht="20" customHeight="1">
      <c r="A116" s="8" t="inlineStr">
        <is>
          <t xml:space="preserve">  7 · RETRABALHO          o que aconteceu, por que aconteceu e quanto custou — é aqui que o orçamento aprende</t>
        </is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</row>
    <row r="117" ht="26" customHeight="1">
      <c r="A117" s="19" t="inlineStr">
        <is>
          <t>O que aconteceu</t>
        </is>
      </c>
      <c r="B117" s="19" t="inlineStr">
        <is>
          <t>Causa</t>
        </is>
      </c>
      <c r="C117" s="35" t="n"/>
      <c r="D117" s="35" t="n"/>
      <c r="E117" s="19" t="inlineStr">
        <is>
          <t>Custo estimado (R$)</t>
        </is>
      </c>
      <c r="F117" s="35" t="n"/>
      <c r="G117" s="19" t="inlineStr">
        <is>
          <t>Providência / responsável</t>
        </is>
      </c>
      <c r="H117" s="35" t="n"/>
      <c r="I117" s="35" t="n"/>
      <c r="J117" s="35" t="n"/>
      <c r="K117" s="35" t="n"/>
      <c r="L117" s="35" t="n"/>
      <c r="M117" s="35" t="n"/>
      <c r="N117" s="35" t="n"/>
      <c r="O117" s="35" t="n"/>
    </row>
    <row r="118" ht="18" customHeight="1">
      <c r="A118" s="83" t="n"/>
      <c r="B118" s="83" t="n"/>
      <c r="C118" s="46" t="n"/>
      <c r="D118" s="46" t="n"/>
      <c r="E118" s="91" t="n"/>
      <c r="F118" s="46" t="n"/>
      <c r="G118" s="73" t="n"/>
      <c r="H118" s="46" t="n"/>
      <c r="I118" s="46" t="n"/>
      <c r="J118" s="46" t="n"/>
      <c r="K118" s="46" t="n"/>
      <c r="L118" s="46" t="n"/>
      <c r="M118" s="46" t="n"/>
      <c r="N118" s="46" t="n"/>
      <c r="O118" s="46" t="n"/>
    </row>
    <row r="119" ht="18" customHeight="1">
      <c r="A119" s="83" t="n"/>
      <c r="B119" s="83" t="n"/>
      <c r="C119" s="46" t="n"/>
      <c r="D119" s="46" t="n"/>
      <c r="E119" s="91" t="n"/>
      <c r="F119" s="46" t="n"/>
      <c r="G119" s="73" t="n"/>
      <c r="H119" s="46" t="n"/>
      <c r="I119" s="46" t="n"/>
      <c r="J119" s="46" t="n"/>
      <c r="K119" s="46" t="n"/>
      <c r="L119" s="46" t="n"/>
      <c r="M119" s="46" t="n"/>
      <c r="N119" s="46" t="n"/>
      <c r="O119" s="46" t="n"/>
    </row>
    <row r="120" ht="18" customHeight="1">
      <c r="A120" s="83" t="n"/>
      <c r="B120" s="83" t="n"/>
      <c r="C120" s="46" t="n"/>
      <c r="D120" s="46" t="n"/>
      <c r="E120" s="91" t="n"/>
      <c r="F120" s="46" t="n"/>
      <c r="G120" s="73" t="n"/>
      <c r="H120" s="46" t="n"/>
      <c r="I120" s="46" t="n"/>
      <c r="J120" s="46" t="n"/>
      <c r="K120" s="46" t="n"/>
      <c r="L120" s="46" t="n"/>
      <c r="M120" s="46" t="n"/>
      <c r="N120" s="46" t="n"/>
      <c r="O120" s="46" t="n"/>
    </row>
    <row r="121" ht="18" customHeight="1">
      <c r="A121" s="83" t="n"/>
      <c r="B121" s="83" t="n"/>
      <c r="C121" s="46" t="n"/>
      <c r="D121" s="46" t="n"/>
      <c r="E121" s="91" t="n"/>
      <c r="F121" s="46" t="n"/>
      <c r="G121" s="73" t="n"/>
      <c r="H121" s="46" t="n"/>
      <c r="I121" s="46" t="n"/>
      <c r="J121" s="46" t="n"/>
      <c r="K121" s="46" t="n"/>
      <c r="L121" s="46" t="n"/>
      <c r="M121" s="46" t="n"/>
      <c r="N121" s="46" t="n"/>
      <c r="O121" s="46" t="n"/>
    </row>
    <row r="122" ht="18" customHeight="1">
      <c r="A122" s="83" t="n"/>
      <c r="B122" s="83" t="n"/>
      <c r="C122" s="46" t="n"/>
      <c r="D122" s="46" t="n"/>
      <c r="E122" s="91" t="n"/>
      <c r="F122" s="46" t="n"/>
      <c r="G122" s="73" t="n"/>
      <c r="H122" s="46" t="n"/>
      <c r="I122" s="46" t="n"/>
      <c r="J122" s="46" t="n"/>
      <c r="K122" s="46" t="n"/>
      <c r="L122" s="46" t="n"/>
      <c r="M122" s="46" t="n"/>
      <c r="N122" s="46" t="n"/>
      <c r="O122" s="46" t="n"/>
    </row>
    <row r="123" ht="18" customHeight="1">
      <c r="A123" s="83" t="n"/>
      <c r="B123" s="83" t="n"/>
      <c r="C123" s="46" t="n"/>
      <c r="D123" s="46" t="n"/>
      <c r="E123" s="91" t="n"/>
      <c r="F123" s="46" t="n"/>
      <c r="G123" s="73" t="n"/>
      <c r="H123" s="46" t="n"/>
      <c r="I123" s="46" t="n"/>
      <c r="J123" s="46" t="n"/>
      <c r="K123" s="46" t="n"/>
      <c r="L123" s="46" t="n"/>
      <c r="M123" s="46" t="n"/>
      <c r="N123" s="46" t="n"/>
      <c r="O123" s="46" t="n"/>
    </row>
    <row r="124" ht="18" customHeight="1">
      <c r="A124" s="83" t="n"/>
      <c r="B124" s="83" t="n"/>
      <c r="C124" s="46" t="n"/>
      <c r="D124" s="46" t="n"/>
      <c r="E124" s="91" t="n"/>
      <c r="F124" s="46" t="n"/>
      <c r="G124" s="73" t="n"/>
      <c r="H124" s="46" t="n"/>
      <c r="I124" s="46" t="n"/>
      <c r="J124" s="46" t="n"/>
      <c r="K124" s="46" t="n"/>
      <c r="L124" s="46" t="n"/>
      <c r="M124" s="46" t="n"/>
      <c r="N124" s="46" t="n"/>
      <c r="O124" s="46" t="n"/>
    </row>
    <row r="125" ht="18" customHeight="1">
      <c r="A125" s="83" t="n"/>
      <c r="B125" s="83" t="n"/>
      <c r="C125" s="46" t="n"/>
      <c r="D125" s="46" t="n"/>
      <c r="E125" s="91" t="n"/>
      <c r="F125" s="46" t="n"/>
      <c r="G125" s="73" t="n"/>
      <c r="H125" s="46" t="n"/>
      <c r="I125" s="46" t="n"/>
      <c r="J125" s="46" t="n"/>
      <c r="K125" s="46" t="n"/>
      <c r="L125" s="46" t="n"/>
      <c r="M125" s="46" t="n"/>
      <c r="N125" s="46" t="n"/>
      <c r="O125" s="46" t="n"/>
    </row>
    <row r="126" ht="18" customHeight="1">
      <c r="A126" s="83" t="n"/>
      <c r="B126" s="83" t="n"/>
      <c r="C126" s="46" t="n"/>
      <c r="D126" s="46" t="n"/>
      <c r="E126" s="91" t="n"/>
      <c r="F126" s="46" t="n"/>
      <c r="G126" s="73" t="n"/>
      <c r="H126" s="46" t="n"/>
      <c r="I126" s="46" t="n"/>
      <c r="J126" s="46" t="n"/>
      <c r="K126" s="46" t="n"/>
      <c r="L126" s="46" t="n"/>
      <c r="M126" s="46" t="n"/>
      <c r="N126" s="46" t="n"/>
      <c r="O126" s="46" t="n"/>
    </row>
    <row r="127" ht="18" customHeight="1">
      <c r="A127" s="83" t="n"/>
      <c r="B127" s="83" t="n"/>
      <c r="C127" s="46" t="n"/>
      <c r="D127" s="46" t="n"/>
      <c r="E127" s="91" t="n"/>
      <c r="F127" s="46" t="n"/>
      <c r="G127" s="73" t="n"/>
      <c r="H127" s="46" t="n"/>
      <c r="I127" s="46" t="n"/>
      <c r="J127" s="46" t="n"/>
      <c r="K127" s="46" t="n"/>
      <c r="L127" s="46" t="n"/>
      <c r="M127" s="46" t="n"/>
      <c r="N127" s="46" t="n"/>
      <c r="O127" s="46" t="n"/>
    </row>
    <row r="128" ht="18" customHeight="1">
      <c r="A128" s="83" t="n"/>
      <c r="B128" s="83" t="n"/>
      <c r="C128" s="46" t="n"/>
      <c r="D128" s="46" t="n"/>
      <c r="E128" s="91" t="n"/>
      <c r="F128" s="46" t="n"/>
      <c r="G128" s="73" t="n"/>
      <c r="H128" s="46" t="n"/>
      <c r="I128" s="46" t="n"/>
      <c r="J128" s="46" t="n"/>
      <c r="K128" s="46" t="n"/>
      <c r="L128" s="46" t="n"/>
      <c r="M128" s="46" t="n"/>
      <c r="N128" s="46" t="n"/>
      <c r="O128" s="46" t="n"/>
    </row>
    <row r="129" ht="18" customHeight="1">
      <c r="A129" s="83" t="n"/>
      <c r="B129" s="83" t="n"/>
      <c r="C129" s="46" t="n"/>
      <c r="D129" s="46" t="n"/>
      <c r="E129" s="91" t="n"/>
      <c r="F129" s="46" t="n"/>
      <c r="G129" s="73" t="n"/>
      <c r="H129" s="46" t="n"/>
      <c r="I129" s="46" t="n"/>
      <c r="J129" s="46" t="n"/>
      <c r="K129" s="46" t="n"/>
      <c r="L129" s="46" t="n"/>
      <c r="M129" s="46" t="n"/>
      <c r="N129" s="46" t="n"/>
      <c r="O129" s="46" t="n"/>
    </row>
    <row r="130" ht="20" customHeight="1">
      <c r="A130" s="31" t="inlineStr">
        <is>
          <t>CONTINGÊNCIA PREVISTA NO ORÇAMENTO  →</t>
        </is>
      </c>
      <c r="B130" s="32" t="n"/>
      <c r="C130" s="92" t="n"/>
      <c r="D130" s="60">
        <f>ROUND(SUM($E$118:$E$129),2)</f>
        <v/>
      </c>
      <c r="E130" s="60">
        <f>ROUND($D$130-IF($C$130="",0,$C$130),2)</f>
        <v/>
      </c>
      <c r="F130" s="32" t="n"/>
      <c r="G130" s="62">
        <f>IF(OR($A$13="",$A$13=0),"",$D$130/$A$13)</f>
        <v/>
      </c>
      <c r="H130" s="93" t="inlineStr">
        <is>
          <t>orçado = a contingência prevista · realizado = a soma acima</t>
        </is>
      </c>
      <c r="I130" s="32" t="n"/>
      <c r="J130" s="32" t="n"/>
      <c r="K130" s="32" t="n"/>
      <c r="L130" s="32" t="n"/>
      <c r="M130" s="32" t="n"/>
      <c r="N130" s="32" t="n"/>
      <c r="O130" s="32" t="n"/>
    </row>
    <row r="131" ht="8" customHeight="1"/>
    <row r="132" ht="20" customHeight="1">
      <c r="A132" s="8" t="inlineStr">
        <is>
          <t xml:space="preserve">  8 · LIVRO DE COMPRAS E DESPESAS DO PROJETO          uma linha por compra, na ordem em que acontecer · pode inserir linhas à vontade aqui</t>
        </is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</row>
    <row r="133" ht="28" customHeight="1">
      <c r="A133" s="19" t="inlineStr">
        <is>
          <t>Descrição / fornecedor</t>
        </is>
      </c>
      <c r="B133" s="19" t="inlineStr">
        <is>
          <t>Categoria</t>
        </is>
      </c>
      <c r="C133" s="35" t="n"/>
      <c r="D133" s="19" t="inlineStr">
        <is>
          <t>Data</t>
        </is>
      </c>
      <c r="E133" s="19" t="inlineStr">
        <is>
          <t>Valor (R$)</t>
        </is>
      </c>
      <c r="F133" s="35" t="n"/>
      <c r="G133" s="19" t="inlineStr">
        <is>
          <t>Forma de pagamento</t>
        </is>
      </c>
      <c r="H133" s="35" t="n"/>
      <c r="I133" s="19" t="inlineStr">
        <is>
          <t>Status</t>
        </is>
      </c>
      <c r="J133" s="35" t="n"/>
      <c r="K133" s="35" t="n"/>
      <c r="L133" s="35" t="n"/>
      <c r="M133" s="35" t="n"/>
      <c r="N133" s="35" t="n"/>
      <c r="O133" s="35" t="n"/>
    </row>
    <row r="134" ht="17" customHeight="1">
      <c r="A134" s="83" t="n"/>
      <c r="B134" s="94" t="n"/>
      <c r="C134" s="46" t="n"/>
      <c r="D134" s="75" t="n"/>
      <c r="E134" s="95" t="n"/>
      <c r="F134" s="46" t="n"/>
      <c r="G134" s="96" t="n"/>
      <c r="H134" s="46" t="n"/>
      <c r="I134" s="97" t="n"/>
      <c r="J134" s="46" t="n"/>
      <c r="K134" s="46" t="n"/>
      <c r="L134" s="46" t="n"/>
      <c r="M134" s="46" t="n"/>
      <c r="N134" s="46" t="n"/>
      <c r="O134" s="46" t="n"/>
    </row>
    <row r="135" ht="17" customHeight="1">
      <c r="A135" s="83" t="n"/>
      <c r="B135" s="94" t="n"/>
      <c r="C135" s="46" t="n"/>
      <c r="D135" s="75" t="n"/>
      <c r="E135" s="95" t="n"/>
      <c r="F135" s="46" t="n"/>
      <c r="G135" s="96" t="n"/>
      <c r="H135" s="46" t="n"/>
      <c r="I135" s="97" t="n"/>
      <c r="J135" s="46" t="n"/>
      <c r="K135" s="46" t="n"/>
      <c r="L135" s="46" t="n"/>
      <c r="M135" s="46" t="n"/>
      <c r="N135" s="46" t="n"/>
      <c r="O135" s="46" t="n"/>
    </row>
    <row r="136" ht="17" customHeight="1">
      <c r="A136" s="83" t="n"/>
      <c r="B136" s="94" t="n"/>
      <c r="C136" s="46" t="n"/>
      <c r="D136" s="75" t="n"/>
      <c r="E136" s="95" t="n"/>
      <c r="F136" s="46" t="n"/>
      <c r="G136" s="96" t="n"/>
      <c r="H136" s="46" t="n"/>
      <c r="I136" s="97" t="n"/>
      <c r="J136" s="46" t="n"/>
      <c r="K136" s="46" t="n"/>
      <c r="L136" s="46" t="n"/>
      <c r="M136" s="46" t="n"/>
      <c r="N136" s="46" t="n"/>
      <c r="O136" s="46" t="n"/>
    </row>
    <row r="137" ht="17" customHeight="1">
      <c r="A137" s="83" t="n"/>
      <c r="B137" s="94" t="n"/>
      <c r="C137" s="46" t="n"/>
      <c r="D137" s="75" t="n"/>
      <c r="E137" s="95" t="n"/>
      <c r="F137" s="46" t="n"/>
      <c r="G137" s="96" t="n"/>
      <c r="H137" s="46" t="n"/>
      <c r="I137" s="97" t="n"/>
      <c r="J137" s="46" t="n"/>
      <c r="K137" s="46" t="n"/>
      <c r="L137" s="46" t="n"/>
      <c r="M137" s="46" t="n"/>
      <c r="N137" s="46" t="n"/>
      <c r="O137" s="46" t="n"/>
    </row>
    <row r="138" ht="17" customHeight="1">
      <c r="A138" s="83" t="n"/>
      <c r="B138" s="94" t="n"/>
      <c r="C138" s="46" t="n"/>
      <c r="D138" s="75" t="n"/>
      <c r="E138" s="95" t="n"/>
      <c r="F138" s="46" t="n"/>
      <c r="G138" s="96" t="n"/>
      <c r="H138" s="46" t="n"/>
      <c r="I138" s="97" t="n"/>
      <c r="J138" s="46" t="n"/>
      <c r="K138" s="46" t="n"/>
      <c r="L138" s="46" t="n"/>
      <c r="M138" s="46" t="n"/>
      <c r="N138" s="46" t="n"/>
      <c r="O138" s="46" t="n"/>
    </row>
    <row r="139" ht="17" customHeight="1">
      <c r="A139" s="83" t="n"/>
      <c r="B139" s="94" t="n"/>
      <c r="C139" s="46" t="n"/>
      <c r="D139" s="75" t="n"/>
      <c r="E139" s="95" t="n"/>
      <c r="F139" s="46" t="n"/>
      <c r="G139" s="96" t="n"/>
      <c r="H139" s="46" t="n"/>
      <c r="I139" s="97" t="n"/>
      <c r="J139" s="46" t="n"/>
      <c r="K139" s="46" t="n"/>
      <c r="L139" s="46" t="n"/>
      <c r="M139" s="46" t="n"/>
      <c r="N139" s="46" t="n"/>
      <c r="O139" s="46" t="n"/>
    </row>
    <row r="140" ht="17" customHeight="1">
      <c r="A140" s="83" t="n"/>
      <c r="B140" s="94" t="n"/>
      <c r="C140" s="46" t="n"/>
      <c r="D140" s="75" t="n"/>
      <c r="E140" s="95" t="n"/>
      <c r="F140" s="46" t="n"/>
      <c r="G140" s="96" t="n"/>
      <c r="H140" s="46" t="n"/>
      <c r="I140" s="97" t="n"/>
      <c r="J140" s="46" t="n"/>
      <c r="K140" s="46" t="n"/>
      <c r="L140" s="46" t="n"/>
      <c r="M140" s="46" t="n"/>
      <c r="N140" s="46" t="n"/>
      <c r="O140" s="46" t="n"/>
    </row>
    <row r="141" ht="17" customHeight="1">
      <c r="A141" s="83" t="n"/>
      <c r="B141" s="94" t="n"/>
      <c r="C141" s="46" t="n"/>
      <c r="D141" s="75" t="n"/>
      <c r="E141" s="95" t="n"/>
      <c r="F141" s="46" t="n"/>
      <c r="G141" s="96" t="n"/>
      <c r="H141" s="46" t="n"/>
      <c r="I141" s="97" t="n"/>
      <c r="J141" s="46" t="n"/>
      <c r="K141" s="46" t="n"/>
      <c r="L141" s="46" t="n"/>
      <c r="M141" s="46" t="n"/>
      <c r="N141" s="46" t="n"/>
      <c r="O141" s="46" t="n"/>
    </row>
    <row r="142" ht="17" customHeight="1">
      <c r="A142" s="83" t="n"/>
      <c r="B142" s="94" t="n"/>
      <c r="C142" s="46" t="n"/>
      <c r="D142" s="75" t="n"/>
      <c r="E142" s="95" t="n"/>
      <c r="F142" s="46" t="n"/>
      <c r="G142" s="96" t="n"/>
      <c r="H142" s="46" t="n"/>
      <c r="I142" s="97" t="n"/>
      <c r="J142" s="46" t="n"/>
      <c r="K142" s="46" t="n"/>
      <c r="L142" s="46" t="n"/>
      <c r="M142" s="46" t="n"/>
      <c r="N142" s="46" t="n"/>
      <c r="O142" s="46" t="n"/>
    </row>
    <row r="143" ht="17" customHeight="1">
      <c r="A143" s="83" t="n"/>
      <c r="B143" s="94" t="n"/>
      <c r="C143" s="46" t="n"/>
      <c r="D143" s="75" t="n"/>
      <c r="E143" s="95" t="n"/>
      <c r="F143" s="46" t="n"/>
      <c r="G143" s="96" t="n"/>
      <c r="H143" s="46" t="n"/>
      <c r="I143" s="97" t="n"/>
      <c r="J143" s="46" t="n"/>
      <c r="K143" s="46" t="n"/>
      <c r="L143" s="46" t="n"/>
      <c r="M143" s="46" t="n"/>
      <c r="N143" s="46" t="n"/>
      <c r="O143" s="46" t="n"/>
    </row>
    <row r="144" ht="17" customHeight="1">
      <c r="A144" s="83" t="n"/>
      <c r="B144" s="94" t="n"/>
      <c r="C144" s="46" t="n"/>
      <c r="D144" s="75" t="n"/>
      <c r="E144" s="95" t="n"/>
      <c r="F144" s="46" t="n"/>
      <c r="G144" s="96" t="n"/>
      <c r="H144" s="46" t="n"/>
      <c r="I144" s="97" t="n"/>
      <c r="J144" s="46" t="n"/>
      <c r="K144" s="46" t="n"/>
      <c r="L144" s="46" t="n"/>
      <c r="M144" s="46" t="n"/>
      <c r="N144" s="46" t="n"/>
      <c r="O144" s="46" t="n"/>
    </row>
    <row r="145" ht="17" customHeight="1">
      <c r="A145" s="83" t="n"/>
      <c r="B145" s="94" t="n"/>
      <c r="C145" s="46" t="n"/>
      <c r="D145" s="75" t="n"/>
      <c r="E145" s="95" t="n"/>
      <c r="F145" s="46" t="n"/>
      <c r="G145" s="96" t="n"/>
      <c r="H145" s="46" t="n"/>
      <c r="I145" s="97" t="n"/>
      <c r="J145" s="46" t="n"/>
      <c r="K145" s="46" t="n"/>
      <c r="L145" s="46" t="n"/>
      <c r="M145" s="46" t="n"/>
      <c r="N145" s="46" t="n"/>
      <c r="O145" s="46" t="n"/>
    </row>
    <row r="146" ht="17" customHeight="1">
      <c r="A146" s="83" t="n"/>
      <c r="B146" s="94" t="n"/>
      <c r="C146" s="46" t="n"/>
      <c r="D146" s="75" t="n"/>
      <c r="E146" s="95" t="n"/>
      <c r="F146" s="46" t="n"/>
      <c r="G146" s="96" t="n"/>
      <c r="H146" s="46" t="n"/>
      <c r="I146" s="97" t="n"/>
      <c r="J146" s="46" t="n"/>
      <c r="K146" s="46" t="n"/>
      <c r="L146" s="46" t="n"/>
      <c r="M146" s="46" t="n"/>
      <c r="N146" s="46" t="n"/>
      <c r="O146" s="46" t="n"/>
    </row>
    <row r="147" ht="17" customHeight="1">
      <c r="A147" s="83" t="n"/>
      <c r="B147" s="94" t="n"/>
      <c r="C147" s="46" t="n"/>
      <c r="D147" s="75" t="n"/>
      <c r="E147" s="95" t="n"/>
      <c r="F147" s="46" t="n"/>
      <c r="G147" s="96" t="n"/>
      <c r="H147" s="46" t="n"/>
      <c r="I147" s="97" t="n"/>
      <c r="J147" s="46" t="n"/>
      <c r="K147" s="46" t="n"/>
      <c r="L147" s="46" t="n"/>
      <c r="M147" s="46" t="n"/>
      <c r="N147" s="46" t="n"/>
      <c r="O147" s="46" t="n"/>
    </row>
    <row r="148" ht="17" customHeight="1">
      <c r="A148" s="83" t="n"/>
      <c r="B148" s="94" t="n"/>
      <c r="C148" s="46" t="n"/>
      <c r="D148" s="75" t="n"/>
      <c r="E148" s="95" t="n"/>
      <c r="F148" s="46" t="n"/>
      <c r="G148" s="96" t="n"/>
      <c r="H148" s="46" t="n"/>
      <c r="I148" s="97" t="n"/>
      <c r="J148" s="46" t="n"/>
      <c r="K148" s="46" t="n"/>
      <c r="L148" s="46" t="n"/>
      <c r="M148" s="46" t="n"/>
      <c r="N148" s="46" t="n"/>
      <c r="O148" s="46" t="n"/>
    </row>
    <row r="149" ht="17" customHeight="1">
      <c r="A149" s="83" t="n"/>
      <c r="B149" s="94" t="n"/>
      <c r="C149" s="46" t="n"/>
      <c r="D149" s="75" t="n"/>
      <c r="E149" s="95" t="n"/>
      <c r="F149" s="46" t="n"/>
      <c r="G149" s="96" t="n"/>
      <c r="H149" s="46" t="n"/>
      <c r="I149" s="97" t="n"/>
      <c r="J149" s="46" t="n"/>
      <c r="K149" s="46" t="n"/>
      <c r="L149" s="46" t="n"/>
      <c r="M149" s="46" t="n"/>
      <c r="N149" s="46" t="n"/>
      <c r="O149" s="46" t="n"/>
    </row>
    <row r="150" ht="17" customHeight="1">
      <c r="A150" s="83" t="n"/>
      <c r="B150" s="94" t="n"/>
      <c r="C150" s="46" t="n"/>
      <c r="D150" s="75" t="n"/>
      <c r="E150" s="95" t="n"/>
      <c r="F150" s="46" t="n"/>
      <c r="G150" s="96" t="n"/>
      <c r="H150" s="46" t="n"/>
      <c r="I150" s="97" t="n"/>
      <c r="J150" s="46" t="n"/>
      <c r="K150" s="46" t="n"/>
      <c r="L150" s="46" t="n"/>
      <c r="M150" s="46" t="n"/>
      <c r="N150" s="46" t="n"/>
      <c r="O150" s="46" t="n"/>
    </row>
    <row r="151" ht="17" customHeight="1">
      <c r="A151" s="83" t="n"/>
      <c r="B151" s="94" t="n"/>
      <c r="C151" s="46" t="n"/>
      <c r="D151" s="75" t="n"/>
      <c r="E151" s="95" t="n"/>
      <c r="F151" s="46" t="n"/>
      <c r="G151" s="96" t="n"/>
      <c r="H151" s="46" t="n"/>
      <c r="I151" s="97" t="n"/>
      <c r="J151" s="46" t="n"/>
      <c r="K151" s="46" t="n"/>
      <c r="L151" s="46" t="n"/>
      <c r="M151" s="46" t="n"/>
      <c r="N151" s="46" t="n"/>
      <c r="O151" s="46" t="n"/>
    </row>
    <row r="152" ht="17" customHeight="1">
      <c r="A152" s="83" t="n"/>
      <c r="B152" s="94" t="n"/>
      <c r="C152" s="46" t="n"/>
      <c r="D152" s="75" t="n"/>
      <c r="E152" s="95" t="n"/>
      <c r="F152" s="46" t="n"/>
      <c r="G152" s="96" t="n"/>
      <c r="H152" s="46" t="n"/>
      <c r="I152" s="97" t="n"/>
      <c r="J152" s="46" t="n"/>
      <c r="K152" s="46" t="n"/>
      <c r="L152" s="46" t="n"/>
      <c r="M152" s="46" t="n"/>
      <c r="N152" s="46" t="n"/>
      <c r="O152" s="46" t="n"/>
    </row>
    <row r="153" ht="17" customHeight="1">
      <c r="A153" s="83" t="n"/>
      <c r="B153" s="94" t="n"/>
      <c r="C153" s="46" t="n"/>
      <c r="D153" s="75" t="n"/>
      <c r="E153" s="95" t="n"/>
      <c r="F153" s="46" t="n"/>
      <c r="G153" s="96" t="n"/>
      <c r="H153" s="46" t="n"/>
      <c r="I153" s="97" t="n"/>
      <c r="J153" s="46" t="n"/>
      <c r="K153" s="46" t="n"/>
      <c r="L153" s="46" t="n"/>
      <c r="M153" s="46" t="n"/>
      <c r="N153" s="46" t="n"/>
      <c r="O153" s="46" t="n"/>
    </row>
    <row r="154" ht="17" customHeight="1">
      <c r="A154" s="83" t="n"/>
      <c r="B154" s="94" t="n"/>
      <c r="C154" s="46" t="n"/>
      <c r="D154" s="75" t="n"/>
      <c r="E154" s="95" t="n"/>
      <c r="F154" s="46" t="n"/>
      <c r="G154" s="96" t="n"/>
      <c r="H154" s="46" t="n"/>
      <c r="I154" s="97" t="n"/>
      <c r="J154" s="46" t="n"/>
      <c r="K154" s="46" t="n"/>
      <c r="L154" s="46" t="n"/>
      <c r="M154" s="46" t="n"/>
      <c r="N154" s="46" t="n"/>
      <c r="O154" s="46" t="n"/>
    </row>
    <row r="155" ht="17" customHeight="1">
      <c r="A155" s="83" t="n"/>
      <c r="B155" s="94" t="n"/>
      <c r="C155" s="46" t="n"/>
      <c r="D155" s="75" t="n"/>
      <c r="E155" s="95" t="n"/>
      <c r="F155" s="46" t="n"/>
      <c r="G155" s="96" t="n"/>
      <c r="H155" s="46" t="n"/>
      <c r="I155" s="97" t="n"/>
      <c r="J155" s="46" t="n"/>
      <c r="K155" s="46" t="n"/>
      <c r="L155" s="46" t="n"/>
      <c r="M155" s="46" t="n"/>
      <c r="N155" s="46" t="n"/>
      <c r="O155" s="46" t="n"/>
    </row>
    <row r="156" ht="17" customHeight="1">
      <c r="A156" s="83" t="n"/>
      <c r="B156" s="94" t="n"/>
      <c r="C156" s="46" t="n"/>
      <c r="D156" s="75" t="n"/>
      <c r="E156" s="95" t="n"/>
      <c r="F156" s="46" t="n"/>
      <c r="G156" s="96" t="n"/>
      <c r="H156" s="46" t="n"/>
      <c r="I156" s="97" t="n"/>
      <c r="J156" s="46" t="n"/>
      <c r="K156" s="46" t="n"/>
      <c r="L156" s="46" t="n"/>
      <c r="M156" s="46" t="n"/>
      <c r="N156" s="46" t="n"/>
      <c r="O156" s="46" t="n"/>
    </row>
    <row r="157" ht="17" customHeight="1">
      <c r="A157" s="83" t="n"/>
      <c r="B157" s="94" t="n"/>
      <c r="C157" s="46" t="n"/>
      <c r="D157" s="75" t="n"/>
      <c r="E157" s="95" t="n"/>
      <c r="F157" s="46" t="n"/>
      <c r="G157" s="96" t="n"/>
      <c r="H157" s="46" t="n"/>
      <c r="I157" s="97" t="n"/>
      <c r="J157" s="46" t="n"/>
      <c r="K157" s="46" t="n"/>
      <c r="L157" s="46" t="n"/>
      <c r="M157" s="46" t="n"/>
      <c r="N157" s="46" t="n"/>
      <c r="O157" s="46" t="n"/>
    </row>
    <row r="158" ht="17" customHeight="1">
      <c r="A158" s="83" t="n"/>
      <c r="B158" s="94" t="n"/>
      <c r="C158" s="46" t="n"/>
      <c r="D158" s="75" t="n"/>
      <c r="E158" s="95" t="n"/>
      <c r="F158" s="46" t="n"/>
      <c r="G158" s="96" t="n"/>
      <c r="H158" s="46" t="n"/>
      <c r="I158" s="97" t="n"/>
      <c r="J158" s="46" t="n"/>
      <c r="K158" s="46" t="n"/>
      <c r="L158" s="46" t="n"/>
      <c r="M158" s="46" t="n"/>
      <c r="N158" s="46" t="n"/>
      <c r="O158" s="46" t="n"/>
    </row>
    <row r="159" ht="17" customHeight="1">
      <c r="A159" s="83" t="n"/>
      <c r="B159" s="94" t="n"/>
      <c r="C159" s="46" t="n"/>
      <c r="D159" s="75" t="n"/>
      <c r="E159" s="95" t="n"/>
      <c r="F159" s="46" t="n"/>
      <c r="G159" s="96" t="n"/>
      <c r="H159" s="46" t="n"/>
      <c r="I159" s="97" t="n"/>
      <c r="J159" s="46" t="n"/>
      <c r="K159" s="46" t="n"/>
      <c r="L159" s="46" t="n"/>
      <c r="M159" s="46" t="n"/>
      <c r="N159" s="46" t="n"/>
      <c r="O159" s="46" t="n"/>
    </row>
    <row r="160" ht="17" customHeight="1">
      <c r="A160" s="83" t="n"/>
      <c r="B160" s="94" t="n"/>
      <c r="C160" s="46" t="n"/>
      <c r="D160" s="75" t="n"/>
      <c r="E160" s="95" t="n"/>
      <c r="F160" s="46" t="n"/>
      <c r="G160" s="96" t="n"/>
      <c r="H160" s="46" t="n"/>
      <c r="I160" s="97" t="n"/>
      <c r="J160" s="46" t="n"/>
      <c r="K160" s="46" t="n"/>
      <c r="L160" s="46" t="n"/>
      <c r="M160" s="46" t="n"/>
      <c r="N160" s="46" t="n"/>
      <c r="O160" s="46" t="n"/>
    </row>
    <row r="161" ht="17" customHeight="1">
      <c r="A161" s="83" t="n"/>
      <c r="B161" s="94" t="n"/>
      <c r="C161" s="46" t="n"/>
      <c r="D161" s="75" t="n"/>
      <c r="E161" s="95" t="n"/>
      <c r="F161" s="46" t="n"/>
      <c r="G161" s="96" t="n"/>
      <c r="H161" s="46" t="n"/>
      <c r="I161" s="97" t="n"/>
      <c r="J161" s="46" t="n"/>
      <c r="K161" s="46" t="n"/>
      <c r="L161" s="46" t="n"/>
      <c r="M161" s="46" t="n"/>
      <c r="N161" s="46" t="n"/>
      <c r="O161" s="46" t="n"/>
    </row>
    <row r="162" ht="17" customHeight="1">
      <c r="A162" s="83" t="n"/>
      <c r="B162" s="94" t="n"/>
      <c r="C162" s="46" t="n"/>
      <c r="D162" s="75" t="n"/>
      <c r="E162" s="95" t="n"/>
      <c r="F162" s="46" t="n"/>
      <c r="G162" s="96" t="n"/>
      <c r="H162" s="46" t="n"/>
      <c r="I162" s="97" t="n"/>
      <c r="J162" s="46" t="n"/>
      <c r="K162" s="46" t="n"/>
      <c r="L162" s="46" t="n"/>
      <c r="M162" s="46" t="n"/>
      <c r="N162" s="46" t="n"/>
      <c r="O162" s="46" t="n"/>
    </row>
    <row r="163" ht="17" customHeight="1">
      <c r="A163" s="83" t="n"/>
      <c r="B163" s="94" t="n"/>
      <c r="C163" s="46" t="n"/>
      <c r="D163" s="75" t="n"/>
      <c r="E163" s="95" t="n"/>
      <c r="F163" s="46" t="n"/>
      <c r="G163" s="96" t="n"/>
      <c r="H163" s="46" t="n"/>
      <c r="I163" s="97" t="n"/>
      <c r="J163" s="46" t="n"/>
      <c r="K163" s="46" t="n"/>
      <c r="L163" s="46" t="n"/>
      <c r="M163" s="46" t="n"/>
      <c r="N163" s="46" t="n"/>
      <c r="O163" s="46" t="n"/>
    </row>
    <row r="164" ht="17" customHeight="1">
      <c r="A164" s="83" t="n"/>
      <c r="B164" s="94" t="n"/>
      <c r="C164" s="46" t="n"/>
      <c r="D164" s="75" t="n"/>
      <c r="E164" s="95" t="n"/>
      <c r="F164" s="46" t="n"/>
      <c r="G164" s="96" t="n"/>
      <c r="H164" s="46" t="n"/>
      <c r="I164" s="97" t="n"/>
      <c r="J164" s="46" t="n"/>
      <c r="K164" s="46" t="n"/>
      <c r="L164" s="46" t="n"/>
      <c r="M164" s="46" t="n"/>
      <c r="N164" s="46" t="n"/>
      <c r="O164" s="46" t="n"/>
    </row>
    <row r="165" ht="17" customHeight="1">
      <c r="A165" s="83" t="n"/>
      <c r="B165" s="94" t="n"/>
      <c r="C165" s="46" t="n"/>
      <c r="D165" s="75" t="n"/>
      <c r="E165" s="95" t="n"/>
      <c r="F165" s="46" t="n"/>
      <c r="G165" s="96" t="n"/>
      <c r="H165" s="46" t="n"/>
      <c r="I165" s="97" t="n"/>
      <c r="J165" s="46" t="n"/>
      <c r="K165" s="46" t="n"/>
      <c r="L165" s="46" t="n"/>
      <c r="M165" s="46" t="n"/>
      <c r="N165" s="46" t="n"/>
      <c r="O165" s="46" t="n"/>
    </row>
    <row r="166" ht="17" customHeight="1">
      <c r="A166" s="83" t="n"/>
      <c r="B166" s="94" t="n"/>
      <c r="C166" s="46" t="n"/>
      <c r="D166" s="75" t="n"/>
      <c r="E166" s="95" t="n"/>
      <c r="F166" s="46" t="n"/>
      <c r="G166" s="96" t="n"/>
      <c r="H166" s="46" t="n"/>
      <c r="I166" s="97" t="n"/>
      <c r="J166" s="46" t="n"/>
      <c r="K166" s="46" t="n"/>
      <c r="L166" s="46" t="n"/>
      <c r="M166" s="46" t="n"/>
      <c r="N166" s="46" t="n"/>
      <c r="O166" s="46" t="n"/>
    </row>
    <row r="167" ht="17" customHeight="1">
      <c r="A167" s="83" t="n"/>
      <c r="B167" s="94" t="n"/>
      <c r="C167" s="46" t="n"/>
      <c r="D167" s="75" t="n"/>
      <c r="E167" s="95" t="n"/>
      <c r="F167" s="46" t="n"/>
      <c r="G167" s="96" t="n"/>
      <c r="H167" s="46" t="n"/>
      <c r="I167" s="97" t="n"/>
      <c r="J167" s="46" t="n"/>
      <c r="K167" s="46" t="n"/>
      <c r="L167" s="46" t="n"/>
      <c r="M167" s="46" t="n"/>
      <c r="N167" s="46" t="n"/>
      <c r="O167" s="46" t="n"/>
    </row>
    <row r="168" ht="17" customHeight="1">
      <c r="A168" s="83" t="n"/>
      <c r="B168" s="94" t="n"/>
      <c r="C168" s="46" t="n"/>
      <c r="D168" s="75" t="n"/>
      <c r="E168" s="95" t="n"/>
      <c r="F168" s="46" t="n"/>
      <c r="G168" s="96" t="n"/>
      <c r="H168" s="46" t="n"/>
      <c r="I168" s="97" t="n"/>
      <c r="J168" s="46" t="n"/>
      <c r="K168" s="46" t="n"/>
      <c r="L168" s="46" t="n"/>
      <c r="M168" s="46" t="n"/>
      <c r="N168" s="46" t="n"/>
      <c r="O168" s="46" t="n"/>
    </row>
    <row r="169" ht="17" customHeight="1">
      <c r="A169" s="83" t="n"/>
      <c r="B169" s="94" t="n"/>
      <c r="C169" s="46" t="n"/>
      <c r="D169" s="75" t="n"/>
      <c r="E169" s="95" t="n"/>
      <c r="F169" s="46" t="n"/>
      <c r="G169" s="96" t="n"/>
      <c r="H169" s="46" t="n"/>
      <c r="I169" s="97" t="n"/>
      <c r="J169" s="46" t="n"/>
      <c r="K169" s="46" t="n"/>
      <c r="L169" s="46" t="n"/>
      <c r="M169" s="46" t="n"/>
      <c r="N169" s="46" t="n"/>
      <c r="O169" s="46" t="n"/>
    </row>
    <row r="170" ht="17" customHeight="1">
      <c r="A170" s="83" t="n"/>
      <c r="B170" s="94" t="n"/>
      <c r="C170" s="46" t="n"/>
      <c r="D170" s="75" t="n"/>
      <c r="E170" s="95" t="n"/>
      <c r="F170" s="46" t="n"/>
      <c r="G170" s="96" t="n"/>
      <c r="H170" s="46" t="n"/>
      <c r="I170" s="97" t="n"/>
      <c r="J170" s="46" t="n"/>
      <c r="K170" s="46" t="n"/>
      <c r="L170" s="46" t="n"/>
      <c r="M170" s="46" t="n"/>
      <c r="N170" s="46" t="n"/>
      <c r="O170" s="46" t="n"/>
    </row>
    <row r="171" ht="17" customHeight="1">
      <c r="A171" s="83" t="n"/>
      <c r="B171" s="94" t="n"/>
      <c r="C171" s="46" t="n"/>
      <c r="D171" s="75" t="n"/>
      <c r="E171" s="95" t="n"/>
      <c r="F171" s="46" t="n"/>
      <c r="G171" s="96" t="n"/>
      <c r="H171" s="46" t="n"/>
      <c r="I171" s="97" t="n"/>
      <c r="J171" s="46" t="n"/>
      <c r="K171" s="46" t="n"/>
      <c r="L171" s="46" t="n"/>
      <c r="M171" s="46" t="n"/>
      <c r="N171" s="46" t="n"/>
      <c r="O171" s="46" t="n"/>
    </row>
    <row r="172" ht="17" customHeight="1">
      <c r="A172" s="83" t="n"/>
      <c r="B172" s="94" t="n"/>
      <c r="C172" s="46" t="n"/>
      <c r="D172" s="75" t="n"/>
      <c r="E172" s="95" t="n"/>
      <c r="F172" s="46" t="n"/>
      <c r="G172" s="96" t="n"/>
      <c r="H172" s="46" t="n"/>
      <c r="I172" s="97" t="n"/>
      <c r="J172" s="46" t="n"/>
      <c r="K172" s="46" t="n"/>
      <c r="L172" s="46" t="n"/>
      <c r="M172" s="46" t="n"/>
      <c r="N172" s="46" t="n"/>
      <c r="O172" s="46" t="n"/>
    </row>
    <row r="173" ht="17" customHeight="1">
      <c r="A173" s="83" t="n"/>
      <c r="B173" s="94" t="n"/>
      <c r="C173" s="46" t="n"/>
      <c r="D173" s="75" t="n"/>
      <c r="E173" s="95" t="n"/>
      <c r="F173" s="46" t="n"/>
      <c r="G173" s="96" t="n"/>
      <c r="H173" s="46" t="n"/>
      <c r="I173" s="97" t="n"/>
      <c r="J173" s="46" t="n"/>
      <c r="K173" s="46" t="n"/>
      <c r="L173" s="46" t="n"/>
      <c r="M173" s="46" t="n"/>
      <c r="N173" s="46" t="n"/>
      <c r="O173" s="46" t="n"/>
    </row>
    <row r="174" ht="17" customHeight="1">
      <c r="A174" s="83" t="n"/>
      <c r="B174" s="94" t="n"/>
      <c r="C174" s="46" t="n"/>
      <c r="D174" s="75" t="n"/>
      <c r="E174" s="95" t="n"/>
      <c r="F174" s="46" t="n"/>
      <c r="G174" s="96" t="n"/>
      <c r="H174" s="46" t="n"/>
      <c r="I174" s="97" t="n"/>
      <c r="J174" s="46" t="n"/>
      <c r="K174" s="46" t="n"/>
      <c r="L174" s="46" t="n"/>
      <c r="M174" s="46" t="n"/>
      <c r="N174" s="46" t="n"/>
      <c r="O174" s="46" t="n"/>
    </row>
    <row r="175" ht="17" customHeight="1">
      <c r="A175" s="83" t="n"/>
      <c r="B175" s="94" t="n"/>
      <c r="C175" s="46" t="n"/>
      <c r="D175" s="75" t="n"/>
      <c r="E175" s="95" t="n"/>
      <c r="F175" s="46" t="n"/>
      <c r="G175" s="96" t="n"/>
      <c r="H175" s="46" t="n"/>
      <c r="I175" s="97" t="n"/>
      <c r="J175" s="46" t="n"/>
      <c r="K175" s="46" t="n"/>
      <c r="L175" s="46" t="n"/>
      <c r="M175" s="46" t="n"/>
      <c r="N175" s="46" t="n"/>
      <c r="O175" s="46" t="n"/>
    </row>
    <row r="176" ht="17" customHeight="1">
      <c r="A176" s="83" t="n"/>
      <c r="B176" s="94" t="n"/>
      <c r="C176" s="46" t="n"/>
      <c r="D176" s="75" t="n"/>
      <c r="E176" s="95" t="n"/>
      <c r="F176" s="46" t="n"/>
      <c r="G176" s="96" t="n"/>
      <c r="H176" s="46" t="n"/>
      <c r="I176" s="97" t="n"/>
      <c r="J176" s="46" t="n"/>
      <c r="K176" s="46" t="n"/>
      <c r="L176" s="46" t="n"/>
      <c r="M176" s="46" t="n"/>
      <c r="N176" s="46" t="n"/>
      <c r="O176" s="46" t="n"/>
    </row>
    <row r="177" ht="17" customHeight="1">
      <c r="A177" s="83" t="n"/>
      <c r="B177" s="94" t="n"/>
      <c r="C177" s="46" t="n"/>
      <c r="D177" s="75" t="n"/>
      <c r="E177" s="95" t="n"/>
      <c r="F177" s="46" t="n"/>
      <c r="G177" s="96" t="n"/>
      <c r="H177" s="46" t="n"/>
      <c r="I177" s="97" t="n"/>
      <c r="J177" s="46" t="n"/>
      <c r="K177" s="46" t="n"/>
      <c r="L177" s="46" t="n"/>
      <c r="M177" s="46" t="n"/>
      <c r="N177" s="46" t="n"/>
      <c r="O177" s="46" t="n"/>
    </row>
    <row r="178" ht="17" customHeight="1">
      <c r="A178" s="83" t="n"/>
      <c r="B178" s="94" t="n"/>
      <c r="C178" s="46" t="n"/>
      <c r="D178" s="75" t="n"/>
      <c r="E178" s="95" t="n"/>
      <c r="F178" s="46" t="n"/>
      <c r="G178" s="96" t="n"/>
      <c r="H178" s="46" t="n"/>
      <c r="I178" s="97" t="n"/>
      <c r="J178" s="46" t="n"/>
      <c r="K178" s="46" t="n"/>
      <c r="L178" s="46" t="n"/>
      <c r="M178" s="46" t="n"/>
      <c r="N178" s="46" t="n"/>
      <c r="O178" s="46" t="n"/>
    </row>
    <row r="179" ht="17" customHeight="1">
      <c r="A179" s="83" t="n"/>
      <c r="B179" s="94" t="n"/>
      <c r="C179" s="46" t="n"/>
      <c r="D179" s="75" t="n"/>
      <c r="E179" s="95" t="n"/>
      <c r="F179" s="46" t="n"/>
      <c r="G179" s="96" t="n"/>
      <c r="H179" s="46" t="n"/>
      <c r="I179" s="97" t="n"/>
      <c r="J179" s="46" t="n"/>
      <c r="K179" s="46" t="n"/>
      <c r="L179" s="46" t="n"/>
      <c r="M179" s="46" t="n"/>
      <c r="N179" s="46" t="n"/>
      <c r="O179" s="46" t="n"/>
    </row>
    <row r="180" ht="17" customHeight="1">
      <c r="A180" s="83" t="n"/>
      <c r="B180" s="94" t="n"/>
      <c r="C180" s="46" t="n"/>
      <c r="D180" s="75" t="n"/>
      <c r="E180" s="95" t="n"/>
      <c r="F180" s="46" t="n"/>
      <c r="G180" s="96" t="n"/>
      <c r="H180" s="46" t="n"/>
      <c r="I180" s="97" t="n"/>
      <c r="J180" s="46" t="n"/>
      <c r="K180" s="46" t="n"/>
      <c r="L180" s="46" t="n"/>
      <c r="M180" s="46" t="n"/>
      <c r="N180" s="46" t="n"/>
      <c r="O180" s="46" t="n"/>
    </row>
    <row r="181" ht="17" customHeight="1">
      <c r="A181" s="83" t="n"/>
      <c r="B181" s="94" t="n"/>
      <c r="C181" s="46" t="n"/>
      <c r="D181" s="75" t="n"/>
      <c r="E181" s="95" t="n"/>
      <c r="F181" s="46" t="n"/>
      <c r="G181" s="96" t="n"/>
      <c r="H181" s="46" t="n"/>
      <c r="I181" s="97" t="n"/>
      <c r="J181" s="46" t="n"/>
      <c r="K181" s="46" t="n"/>
      <c r="L181" s="46" t="n"/>
      <c r="M181" s="46" t="n"/>
      <c r="N181" s="46" t="n"/>
      <c r="O181" s="46" t="n"/>
    </row>
    <row r="182" ht="17" customHeight="1">
      <c r="A182" s="83" t="n"/>
      <c r="B182" s="94" t="n"/>
      <c r="C182" s="46" t="n"/>
      <c r="D182" s="75" t="n"/>
      <c r="E182" s="95" t="n"/>
      <c r="F182" s="46" t="n"/>
      <c r="G182" s="96" t="n"/>
      <c r="H182" s="46" t="n"/>
      <c r="I182" s="97" t="n"/>
      <c r="J182" s="46" t="n"/>
      <c r="K182" s="46" t="n"/>
      <c r="L182" s="46" t="n"/>
      <c r="M182" s="46" t="n"/>
      <c r="N182" s="46" t="n"/>
      <c r="O182" s="46" t="n"/>
    </row>
    <row r="183" ht="17" customHeight="1">
      <c r="A183" s="83" t="n"/>
      <c r="B183" s="94" t="n"/>
      <c r="C183" s="46" t="n"/>
      <c r="D183" s="75" t="n"/>
      <c r="E183" s="95" t="n"/>
      <c r="F183" s="46" t="n"/>
      <c r="G183" s="96" t="n"/>
      <c r="H183" s="46" t="n"/>
      <c r="I183" s="97" t="n"/>
      <c r="J183" s="46" t="n"/>
      <c r="K183" s="46" t="n"/>
      <c r="L183" s="46" t="n"/>
      <c r="M183" s="46" t="n"/>
      <c r="N183" s="46" t="n"/>
      <c r="O183" s="46" t="n"/>
    </row>
    <row r="184" ht="17" customHeight="1">
      <c r="A184" s="83" t="n"/>
      <c r="B184" s="94" t="n"/>
      <c r="C184" s="46" t="n"/>
      <c r="D184" s="75" t="n"/>
      <c r="E184" s="95" t="n"/>
      <c r="F184" s="46" t="n"/>
      <c r="G184" s="96" t="n"/>
      <c r="H184" s="46" t="n"/>
      <c r="I184" s="97" t="n"/>
      <c r="J184" s="46" t="n"/>
      <c r="K184" s="46" t="n"/>
      <c r="L184" s="46" t="n"/>
      <c r="M184" s="46" t="n"/>
      <c r="N184" s="46" t="n"/>
      <c r="O184" s="46" t="n"/>
    </row>
    <row r="185" ht="17" customHeight="1">
      <c r="A185" s="83" t="n"/>
      <c r="B185" s="94" t="n"/>
      <c r="C185" s="46" t="n"/>
      <c r="D185" s="75" t="n"/>
      <c r="E185" s="95" t="n"/>
      <c r="F185" s="46" t="n"/>
      <c r="G185" s="96" t="n"/>
      <c r="H185" s="46" t="n"/>
      <c r="I185" s="97" t="n"/>
      <c r="J185" s="46" t="n"/>
      <c r="K185" s="46" t="n"/>
      <c r="L185" s="46" t="n"/>
      <c r="M185" s="46" t="n"/>
      <c r="N185" s="46" t="n"/>
      <c r="O185" s="46" t="n"/>
    </row>
    <row r="186" ht="17" customHeight="1">
      <c r="A186" s="83" t="n"/>
      <c r="B186" s="94" t="n"/>
      <c r="C186" s="46" t="n"/>
      <c r="D186" s="75" t="n"/>
      <c r="E186" s="95" t="n"/>
      <c r="F186" s="46" t="n"/>
      <c r="G186" s="96" t="n"/>
      <c r="H186" s="46" t="n"/>
      <c r="I186" s="97" t="n"/>
      <c r="J186" s="46" t="n"/>
      <c r="K186" s="46" t="n"/>
      <c r="L186" s="46" t="n"/>
      <c r="M186" s="46" t="n"/>
      <c r="N186" s="46" t="n"/>
      <c r="O186" s="46" t="n"/>
    </row>
    <row r="187" ht="17" customHeight="1">
      <c r="A187" s="83" t="n"/>
      <c r="B187" s="94" t="n"/>
      <c r="C187" s="46" t="n"/>
      <c r="D187" s="75" t="n"/>
      <c r="E187" s="95" t="n"/>
      <c r="F187" s="46" t="n"/>
      <c r="G187" s="96" t="n"/>
      <c r="H187" s="46" t="n"/>
      <c r="I187" s="97" t="n"/>
      <c r="J187" s="46" t="n"/>
      <c r="K187" s="46" t="n"/>
      <c r="L187" s="46" t="n"/>
      <c r="M187" s="46" t="n"/>
      <c r="N187" s="46" t="n"/>
      <c r="O187" s="46" t="n"/>
    </row>
    <row r="188" ht="17" customHeight="1">
      <c r="A188" s="83" t="n"/>
      <c r="B188" s="94" t="n"/>
      <c r="C188" s="46" t="n"/>
      <c r="D188" s="75" t="n"/>
      <c r="E188" s="95" t="n"/>
      <c r="F188" s="46" t="n"/>
      <c r="G188" s="96" t="n"/>
      <c r="H188" s="46" t="n"/>
      <c r="I188" s="97" t="n"/>
      <c r="J188" s="46" t="n"/>
      <c r="K188" s="46" t="n"/>
      <c r="L188" s="46" t="n"/>
      <c r="M188" s="46" t="n"/>
      <c r="N188" s="46" t="n"/>
      <c r="O188" s="46" t="n"/>
    </row>
    <row r="189" ht="17" customHeight="1">
      <c r="A189" s="83" t="n"/>
      <c r="B189" s="94" t="n"/>
      <c r="C189" s="46" t="n"/>
      <c r="D189" s="75" t="n"/>
      <c r="E189" s="95" t="n"/>
      <c r="F189" s="46" t="n"/>
      <c r="G189" s="96" t="n"/>
      <c r="H189" s="46" t="n"/>
      <c r="I189" s="97" t="n"/>
      <c r="J189" s="46" t="n"/>
      <c r="K189" s="46" t="n"/>
      <c r="L189" s="46" t="n"/>
      <c r="M189" s="46" t="n"/>
      <c r="N189" s="46" t="n"/>
      <c r="O189" s="46" t="n"/>
    </row>
    <row r="190" ht="17" customHeight="1">
      <c r="A190" s="83" t="n"/>
      <c r="B190" s="94" t="n"/>
      <c r="C190" s="46" t="n"/>
      <c r="D190" s="75" t="n"/>
      <c r="E190" s="95" t="n"/>
      <c r="F190" s="46" t="n"/>
      <c r="G190" s="96" t="n"/>
      <c r="H190" s="46" t="n"/>
      <c r="I190" s="97" t="n"/>
      <c r="J190" s="46" t="n"/>
      <c r="K190" s="46" t="n"/>
      <c r="L190" s="46" t="n"/>
      <c r="M190" s="46" t="n"/>
      <c r="N190" s="46" t="n"/>
      <c r="O190" s="46" t="n"/>
    </row>
    <row r="191" ht="17" customHeight="1">
      <c r="A191" s="83" t="n"/>
      <c r="B191" s="94" t="n"/>
      <c r="C191" s="46" t="n"/>
      <c r="D191" s="75" t="n"/>
      <c r="E191" s="95" t="n"/>
      <c r="F191" s="46" t="n"/>
      <c r="G191" s="96" t="n"/>
      <c r="H191" s="46" t="n"/>
      <c r="I191" s="97" t="n"/>
      <c r="J191" s="46" t="n"/>
      <c r="K191" s="46" t="n"/>
      <c r="L191" s="46" t="n"/>
      <c r="M191" s="46" t="n"/>
      <c r="N191" s="46" t="n"/>
      <c r="O191" s="46" t="n"/>
    </row>
    <row r="192" ht="17" customHeight="1">
      <c r="A192" s="83" t="n"/>
      <c r="B192" s="94" t="n"/>
      <c r="C192" s="46" t="n"/>
      <c r="D192" s="75" t="n"/>
      <c r="E192" s="95" t="n"/>
      <c r="F192" s="46" t="n"/>
      <c r="G192" s="96" t="n"/>
      <c r="H192" s="46" t="n"/>
      <c r="I192" s="97" t="n"/>
      <c r="J192" s="46" t="n"/>
      <c r="K192" s="46" t="n"/>
      <c r="L192" s="46" t="n"/>
      <c r="M192" s="46" t="n"/>
      <c r="N192" s="46" t="n"/>
      <c r="O192" s="46" t="n"/>
    </row>
    <row r="193" ht="17" customHeight="1">
      <c r="A193" s="83" t="n"/>
      <c r="B193" s="94" t="n"/>
      <c r="C193" s="46" t="n"/>
      <c r="D193" s="75" t="n"/>
      <c r="E193" s="95" t="n"/>
      <c r="F193" s="46" t="n"/>
      <c r="G193" s="96" t="n"/>
      <c r="H193" s="46" t="n"/>
      <c r="I193" s="97" t="n"/>
      <c r="J193" s="46" t="n"/>
      <c r="K193" s="46" t="n"/>
      <c r="L193" s="46" t="n"/>
      <c r="M193" s="46" t="n"/>
      <c r="N193" s="46" t="n"/>
      <c r="O193" s="46" t="n"/>
    </row>
    <row r="194" ht="22" customHeight="1">
      <c r="A194" s="31" t="inlineStr">
        <is>
          <t>TOTAL LANÇADO NO LIVRO</t>
        </is>
      </c>
      <c r="B194" s="32" t="n"/>
      <c r="C194" s="32" t="n"/>
      <c r="D194" s="32" t="n"/>
      <c r="E194" s="59">
        <f>ROUND(SUM($E$134:$E$193),2)</f>
        <v/>
      </c>
      <c r="F194" s="32" t="n"/>
      <c r="G194" s="98">
        <f>IF(COUNTA($B$134:$B$193)=COUNT($E$134:$E$193),"lançamentos: "&amp;COUNT($E$134:$E$193)&amp;" · todos classificados","ATENÇÃO: "&amp;(COUNT($E$134:$E$193)-COUNTA($B$134:$B$193))&amp;" lançamento(s) sem categoria")</f>
        <v/>
      </c>
      <c r="H194" s="32" t="n"/>
      <c r="I194" s="32" t="n"/>
      <c r="J194" s="32" t="n"/>
      <c r="K194" s="32" t="n"/>
      <c r="L194" s="32" t="n"/>
      <c r="M194" s="32" t="n"/>
      <c r="N194" s="32" t="n"/>
      <c r="O194" s="32" t="n"/>
    </row>
    <row r="196" ht="50" customHeight="1">
      <c r="A196" s="43" t="inlineStr">
        <is>
          <t xml:space="preserve">  Preencha primeiro a coluna ORÇADO com o que o orçamento previu e vá preenchendo o REALIZADO conforme o projeto anda — o desvio de cada linha é o que mostra onde o orçamento erra. Compras entram uma a uma no livro do bloco 8, com categoria, forma de pagamento e status; as categorias do bloco 6 se somam sozinhas. Você pode inserir linhas em qualquer bloco a partir da linha 26: tudo o que o Painel Geral lê está acima disso.</t>
        </is>
      </c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</row>
  </sheetData>
  <mergeCells count="561">
    <mergeCell ref="A196:O196"/>
    <mergeCell ref="I170:O170"/>
    <mergeCell ref="A15:B15"/>
    <mergeCell ref="I157:O157"/>
    <mergeCell ref="G128:O128"/>
    <mergeCell ref="B141:C141"/>
    <mergeCell ref="E142:F142"/>
    <mergeCell ref="I193:O193"/>
    <mergeCell ref="I172:O172"/>
    <mergeCell ref="H9:I9"/>
    <mergeCell ref="J76:M76"/>
    <mergeCell ref="G121:O121"/>
    <mergeCell ref="E171:F171"/>
    <mergeCell ref="G123:O123"/>
    <mergeCell ref="E137:F137"/>
    <mergeCell ref="G137:H137"/>
    <mergeCell ref="E173:F173"/>
    <mergeCell ref="H70:O70"/>
    <mergeCell ref="E148:F148"/>
    <mergeCell ref="G148:H148"/>
    <mergeCell ref="B78:C78"/>
    <mergeCell ref="D7:E7"/>
    <mergeCell ref="I183:O183"/>
    <mergeCell ref="D78:E78"/>
    <mergeCell ref="E166:F166"/>
    <mergeCell ref="G139:H139"/>
    <mergeCell ref="I175:O175"/>
    <mergeCell ref="H99:O99"/>
    <mergeCell ref="A34:C34"/>
    <mergeCell ref="I185:O185"/>
    <mergeCell ref="E168:F168"/>
    <mergeCell ref="G168:H168"/>
    <mergeCell ref="H87:I87"/>
    <mergeCell ref="H101:O101"/>
    <mergeCell ref="G143:H143"/>
    <mergeCell ref="D73:E73"/>
    <mergeCell ref="I176:O176"/>
    <mergeCell ref="J9:O9"/>
    <mergeCell ref="B154:C154"/>
    <mergeCell ref="H91:I91"/>
    <mergeCell ref="E117:F117"/>
    <mergeCell ref="A24:H24"/>
    <mergeCell ref="B156:C156"/>
    <mergeCell ref="E67:F67"/>
    <mergeCell ref="A103:B103"/>
    <mergeCell ref="H112:O112"/>
    <mergeCell ref="I138:O138"/>
    <mergeCell ref="I178:O178"/>
    <mergeCell ref="H114:O114"/>
    <mergeCell ref="E161:F161"/>
    <mergeCell ref="J73:M73"/>
    <mergeCell ref="G129:O129"/>
    <mergeCell ref="A72:O72"/>
    <mergeCell ref="J77:M77"/>
    <mergeCell ref="H75:I75"/>
    <mergeCell ref="B84:C84"/>
    <mergeCell ref="E110:F110"/>
    <mergeCell ref="H105:O105"/>
    <mergeCell ref="E16:F16"/>
    <mergeCell ref="E187:F187"/>
    <mergeCell ref="G138:H138"/>
    <mergeCell ref="B142:C142"/>
    <mergeCell ref="B80:C80"/>
    <mergeCell ref="E174:F174"/>
    <mergeCell ref="H15:O15"/>
    <mergeCell ref="H107:O107"/>
    <mergeCell ref="G126:O126"/>
    <mergeCell ref="B79:C79"/>
    <mergeCell ref="E18:F18"/>
    <mergeCell ref="D79:E79"/>
    <mergeCell ref="E189:F189"/>
    <mergeCell ref="G140:H140"/>
    <mergeCell ref="B144:C144"/>
    <mergeCell ref="F73:G73"/>
    <mergeCell ref="B81:C81"/>
    <mergeCell ref="D81:E81"/>
    <mergeCell ref="I191:O191"/>
    <mergeCell ref="H102:O102"/>
    <mergeCell ref="E29:F29"/>
    <mergeCell ref="H39:O39"/>
    <mergeCell ref="I192:O192"/>
    <mergeCell ref="E69:F69"/>
    <mergeCell ref="B170:C170"/>
    <mergeCell ref="E31:F31"/>
    <mergeCell ref="E158:F158"/>
    <mergeCell ref="E133:F133"/>
    <mergeCell ref="E108:F108"/>
    <mergeCell ref="G133:H133"/>
    <mergeCell ref="B172:C172"/>
    <mergeCell ref="E95:F95"/>
    <mergeCell ref="H28:O28"/>
    <mergeCell ref="E162:F162"/>
    <mergeCell ref="G135:H135"/>
    <mergeCell ref="B92:C92"/>
    <mergeCell ref="J74:M74"/>
    <mergeCell ref="D92:E92"/>
    <mergeCell ref="I146:O146"/>
    <mergeCell ref="F92:G92"/>
    <mergeCell ref="G153:H153"/>
    <mergeCell ref="A36:O36"/>
    <mergeCell ref="A11:O11"/>
    <mergeCell ref="B76:C76"/>
    <mergeCell ref="I181:O181"/>
    <mergeCell ref="A1:O1"/>
    <mergeCell ref="I12:O12"/>
    <mergeCell ref="E164:F164"/>
    <mergeCell ref="G164:H164"/>
    <mergeCell ref="H23:O23"/>
    <mergeCell ref="B150:C150"/>
    <mergeCell ref="E42:F42"/>
    <mergeCell ref="E17:F17"/>
    <mergeCell ref="E188:F188"/>
    <mergeCell ref="E126:F126"/>
    <mergeCell ref="B152:C152"/>
    <mergeCell ref="E180:F180"/>
    <mergeCell ref="J92:M92"/>
    <mergeCell ref="E19:F19"/>
    <mergeCell ref="E190:F190"/>
    <mergeCell ref="B145:C145"/>
    <mergeCell ref="G190:H190"/>
    <mergeCell ref="G146:H146"/>
    <mergeCell ref="B181:C181"/>
    <mergeCell ref="E182:F182"/>
    <mergeCell ref="A4:O4"/>
    <mergeCell ref="F10:O10"/>
    <mergeCell ref="H110:O110"/>
    <mergeCell ref="B87:C87"/>
    <mergeCell ref="I136:O136"/>
    <mergeCell ref="B147:C147"/>
    <mergeCell ref="D87:E87"/>
    <mergeCell ref="J87:M87"/>
    <mergeCell ref="E179:F179"/>
    <mergeCell ref="J89:M89"/>
    <mergeCell ref="D82:E82"/>
    <mergeCell ref="F82:G82"/>
    <mergeCell ref="G194:O194"/>
    <mergeCell ref="E37:F37"/>
    <mergeCell ref="E159:F159"/>
    <mergeCell ref="E97:F97"/>
    <mergeCell ref="G159:H159"/>
    <mergeCell ref="B163:C163"/>
    <mergeCell ref="H8:I8"/>
    <mergeCell ref="E109:F109"/>
    <mergeCell ref="H30:O30"/>
    <mergeCell ref="E145:F145"/>
    <mergeCell ref="E139:F139"/>
    <mergeCell ref="G161:H161"/>
    <mergeCell ref="B165:C165"/>
    <mergeCell ref="H29:O29"/>
    <mergeCell ref="E111:F111"/>
    <mergeCell ref="G136:H136"/>
    <mergeCell ref="A70:B70"/>
    <mergeCell ref="H44:O44"/>
    <mergeCell ref="H31:O31"/>
    <mergeCell ref="B77:C77"/>
    <mergeCell ref="D6:E6"/>
    <mergeCell ref="D77:E77"/>
    <mergeCell ref="I149:O149"/>
    <mergeCell ref="J82:M82"/>
    <mergeCell ref="H89:I89"/>
    <mergeCell ref="I151:O151"/>
    <mergeCell ref="B191:C191"/>
    <mergeCell ref="B178:C178"/>
    <mergeCell ref="E27:F27"/>
    <mergeCell ref="I144:O144"/>
    <mergeCell ref="E119:F119"/>
    <mergeCell ref="E183:F183"/>
    <mergeCell ref="G183:H183"/>
    <mergeCell ref="A6:C6"/>
    <mergeCell ref="E22:F22"/>
    <mergeCell ref="H42:O42"/>
    <mergeCell ref="E193:F193"/>
    <mergeCell ref="G193:H193"/>
    <mergeCell ref="D88:E88"/>
    <mergeCell ref="G149:H149"/>
    <mergeCell ref="F88:G88"/>
    <mergeCell ref="I177:O177"/>
    <mergeCell ref="G185:H185"/>
    <mergeCell ref="B90:C90"/>
    <mergeCell ref="D90:E90"/>
    <mergeCell ref="E122:F122"/>
    <mergeCell ref="G151:H151"/>
    <mergeCell ref="A45:B45"/>
    <mergeCell ref="G178:H178"/>
    <mergeCell ref="F6:G6"/>
    <mergeCell ref="J90:M90"/>
    <mergeCell ref="F83:G83"/>
    <mergeCell ref="H83:I83"/>
    <mergeCell ref="E38:F38"/>
    <mergeCell ref="A2:O2"/>
    <mergeCell ref="E147:F147"/>
    <mergeCell ref="F85:G85"/>
    <mergeCell ref="H85:I85"/>
    <mergeCell ref="G175:H175"/>
    <mergeCell ref="B179:C179"/>
    <mergeCell ref="E40:F40"/>
    <mergeCell ref="G162:H162"/>
    <mergeCell ref="H108:O108"/>
    <mergeCell ref="B166:C166"/>
    <mergeCell ref="B124:D124"/>
    <mergeCell ref="E186:F186"/>
    <mergeCell ref="G177:H177"/>
    <mergeCell ref="E104:F104"/>
    <mergeCell ref="H45:O45"/>
    <mergeCell ref="B174:C174"/>
    <mergeCell ref="B168:C168"/>
    <mergeCell ref="H32:O32"/>
    <mergeCell ref="B126:D126"/>
    <mergeCell ref="D9:E9"/>
    <mergeCell ref="H80:I80"/>
    <mergeCell ref="F9:G9"/>
    <mergeCell ref="I150:O150"/>
    <mergeCell ref="J83:M83"/>
    <mergeCell ref="I165:O165"/>
    <mergeCell ref="B169:C169"/>
    <mergeCell ref="I152:O152"/>
    <mergeCell ref="E66:F66"/>
    <mergeCell ref="J85:M85"/>
    <mergeCell ref="E130:F130"/>
    <mergeCell ref="E68:F68"/>
    <mergeCell ref="B134:C134"/>
    <mergeCell ref="G155:H155"/>
    <mergeCell ref="E160:F160"/>
    <mergeCell ref="E141:F141"/>
    <mergeCell ref="G118:O118"/>
    <mergeCell ref="E135:F135"/>
    <mergeCell ref="G157:H157"/>
    <mergeCell ref="E107:F107"/>
    <mergeCell ref="H73:I73"/>
    <mergeCell ref="E143:F143"/>
    <mergeCell ref="G172:H172"/>
    <mergeCell ref="G186:H186"/>
    <mergeCell ref="B162:C162"/>
    <mergeCell ref="D91:E91"/>
    <mergeCell ref="G152:H152"/>
    <mergeCell ref="F91:G91"/>
    <mergeCell ref="A21:B21"/>
    <mergeCell ref="I163:O163"/>
    <mergeCell ref="H84:I84"/>
    <mergeCell ref="A23:B23"/>
    <mergeCell ref="B187:C187"/>
    <mergeCell ref="E125:F125"/>
    <mergeCell ref="H86:I86"/>
    <mergeCell ref="E41:F41"/>
    <mergeCell ref="B189:C189"/>
    <mergeCell ref="E112:F112"/>
    <mergeCell ref="B188:C188"/>
    <mergeCell ref="B117:D117"/>
    <mergeCell ref="E43:F43"/>
    <mergeCell ref="J91:M91"/>
    <mergeCell ref="B190:C190"/>
    <mergeCell ref="B119:D119"/>
    <mergeCell ref="A16:B16"/>
    <mergeCell ref="G124:O124"/>
    <mergeCell ref="E138:F138"/>
    <mergeCell ref="A108:B108"/>
    <mergeCell ref="B127:D127"/>
    <mergeCell ref="I168:O168"/>
    <mergeCell ref="A18:B18"/>
    <mergeCell ref="B73:C73"/>
    <mergeCell ref="E167:F167"/>
    <mergeCell ref="H100:O100"/>
    <mergeCell ref="H7:I7"/>
    <mergeCell ref="G119:O119"/>
    <mergeCell ref="B137:C137"/>
    <mergeCell ref="E169:F169"/>
    <mergeCell ref="H66:O66"/>
    <mergeCell ref="B74:C74"/>
    <mergeCell ref="D74:E74"/>
    <mergeCell ref="B139:C139"/>
    <mergeCell ref="I184:O184"/>
    <mergeCell ref="B122:D122"/>
    <mergeCell ref="I171:O171"/>
    <mergeCell ref="H76:I76"/>
    <mergeCell ref="H95:O95"/>
    <mergeCell ref="A44:B44"/>
    <mergeCell ref="I173:O173"/>
    <mergeCell ref="H97:O97"/>
    <mergeCell ref="I166:O166"/>
    <mergeCell ref="G176:H176"/>
    <mergeCell ref="E64:F64"/>
    <mergeCell ref="J7:O7"/>
    <mergeCell ref="E156:F156"/>
    <mergeCell ref="E153:F153"/>
    <mergeCell ref="H21:O21"/>
    <mergeCell ref="E128:F128"/>
    <mergeCell ref="E155:F155"/>
    <mergeCell ref="D61:E61"/>
    <mergeCell ref="G184:H184"/>
    <mergeCell ref="G171:H171"/>
    <mergeCell ref="E65:F65"/>
    <mergeCell ref="E157:F157"/>
    <mergeCell ref="H16:O16"/>
    <mergeCell ref="A17:B17"/>
    <mergeCell ref="I134:O134"/>
    <mergeCell ref="H27:O27"/>
    <mergeCell ref="G117:O117"/>
    <mergeCell ref="A19:B19"/>
    <mergeCell ref="I161:O161"/>
    <mergeCell ref="E146:F146"/>
    <mergeCell ref="E12:F12"/>
    <mergeCell ref="G125:O125"/>
    <mergeCell ref="B138:C138"/>
    <mergeCell ref="E175:F175"/>
    <mergeCell ref="H67:O67"/>
    <mergeCell ref="H103:O103"/>
    <mergeCell ref="G127:O127"/>
    <mergeCell ref="E185:F185"/>
    <mergeCell ref="B140:C140"/>
    <mergeCell ref="I187:O187"/>
    <mergeCell ref="E170:F170"/>
    <mergeCell ref="I174:O174"/>
    <mergeCell ref="H98:O98"/>
    <mergeCell ref="D75:E75"/>
    <mergeCell ref="F75:G75"/>
    <mergeCell ref="I189:O189"/>
    <mergeCell ref="I188:O188"/>
    <mergeCell ref="G192:H192"/>
    <mergeCell ref="J8:O8"/>
    <mergeCell ref="E154:F154"/>
    <mergeCell ref="G154:H154"/>
    <mergeCell ref="B158:C158"/>
    <mergeCell ref="E172:F172"/>
    <mergeCell ref="B89:C89"/>
    <mergeCell ref="B160:C160"/>
    <mergeCell ref="D89:E89"/>
    <mergeCell ref="H18:O18"/>
    <mergeCell ref="L61:M61"/>
    <mergeCell ref="A194:D194"/>
    <mergeCell ref="I142:O142"/>
    <mergeCell ref="B153:C153"/>
    <mergeCell ref="J75:M75"/>
    <mergeCell ref="B184:C184"/>
    <mergeCell ref="H113:O113"/>
    <mergeCell ref="E20:F20"/>
    <mergeCell ref="I137:O137"/>
    <mergeCell ref="E177:F177"/>
    <mergeCell ref="E13:F13"/>
    <mergeCell ref="I164:O164"/>
    <mergeCell ref="I139:O139"/>
    <mergeCell ref="B88:C88"/>
    <mergeCell ref="B148:C148"/>
    <mergeCell ref="B82:C82"/>
    <mergeCell ref="E149:F149"/>
    <mergeCell ref="E176:F176"/>
    <mergeCell ref="E114:F114"/>
    <mergeCell ref="J88:M88"/>
    <mergeCell ref="A63:O63"/>
    <mergeCell ref="E15:F15"/>
    <mergeCell ref="E191:F191"/>
    <mergeCell ref="G142:H142"/>
    <mergeCell ref="B146:C146"/>
    <mergeCell ref="E178:F178"/>
    <mergeCell ref="H37:O37"/>
    <mergeCell ref="B83:C83"/>
    <mergeCell ref="B143:C143"/>
    <mergeCell ref="D83:E83"/>
    <mergeCell ref="E144:F144"/>
    <mergeCell ref="G144:H144"/>
    <mergeCell ref="H104:O104"/>
    <mergeCell ref="B85:C85"/>
    <mergeCell ref="A94:O94"/>
    <mergeCell ref="I190:O190"/>
    <mergeCell ref="D85:E85"/>
    <mergeCell ref="G173:H173"/>
    <mergeCell ref="H92:I92"/>
    <mergeCell ref="H106:O106"/>
    <mergeCell ref="F78:G78"/>
    <mergeCell ref="E106:F106"/>
    <mergeCell ref="H78:I78"/>
    <mergeCell ref="E33:F33"/>
    <mergeCell ref="H43:O43"/>
    <mergeCell ref="B159:C159"/>
    <mergeCell ref="D80:E80"/>
    <mergeCell ref="G170:H170"/>
    <mergeCell ref="B167:C167"/>
    <mergeCell ref="A26:O26"/>
    <mergeCell ref="B161:C161"/>
    <mergeCell ref="H6:I6"/>
    <mergeCell ref="H130:O130"/>
    <mergeCell ref="H68:O68"/>
    <mergeCell ref="B136:C136"/>
    <mergeCell ref="E28:F28"/>
    <mergeCell ref="B175:C175"/>
    <mergeCell ref="E30:F30"/>
    <mergeCell ref="J84:M84"/>
    <mergeCell ref="I145:O145"/>
    <mergeCell ref="J78:M78"/>
    <mergeCell ref="H69:O69"/>
    <mergeCell ref="A9:C9"/>
    <mergeCell ref="I147:O147"/>
    <mergeCell ref="J80:M80"/>
    <mergeCell ref="D8:E8"/>
    <mergeCell ref="J79:M79"/>
    <mergeCell ref="G150:H150"/>
    <mergeCell ref="I186:O186"/>
    <mergeCell ref="E21:F21"/>
    <mergeCell ref="J6:O6"/>
    <mergeCell ref="H82:I82"/>
    <mergeCell ref="B91:C91"/>
    <mergeCell ref="E192:F192"/>
    <mergeCell ref="H20:O20"/>
    <mergeCell ref="E129:F129"/>
    <mergeCell ref="H38:O38"/>
    <mergeCell ref="E23:F23"/>
    <mergeCell ref="D84:E84"/>
    <mergeCell ref="B155:C155"/>
    <mergeCell ref="G145:H145"/>
    <mergeCell ref="F84:G84"/>
    <mergeCell ref="B149:C149"/>
    <mergeCell ref="E181:F181"/>
    <mergeCell ref="B193:C193"/>
    <mergeCell ref="E194:F194"/>
    <mergeCell ref="G181:H181"/>
    <mergeCell ref="A3:O3"/>
    <mergeCell ref="H40:O40"/>
    <mergeCell ref="B86:C86"/>
    <mergeCell ref="G160:H160"/>
    <mergeCell ref="D86:E86"/>
    <mergeCell ref="I140:O140"/>
    <mergeCell ref="G147:H147"/>
    <mergeCell ref="F86:G86"/>
    <mergeCell ref="H64:O64"/>
    <mergeCell ref="B151:C151"/>
    <mergeCell ref="F80:G80"/>
    <mergeCell ref="G174:H174"/>
    <mergeCell ref="I158:O158"/>
    <mergeCell ref="I133:O133"/>
    <mergeCell ref="G189:H189"/>
    <mergeCell ref="F79:G79"/>
    <mergeCell ref="H79:I79"/>
    <mergeCell ref="E34:F34"/>
    <mergeCell ref="B182:C182"/>
    <mergeCell ref="E105:F105"/>
    <mergeCell ref="I160:O160"/>
    <mergeCell ref="E99:F99"/>
    <mergeCell ref="I135:O135"/>
    <mergeCell ref="F81:G81"/>
    <mergeCell ref="H81:I81"/>
    <mergeCell ref="E163:F163"/>
    <mergeCell ref="E101:F101"/>
    <mergeCell ref="G163:H163"/>
    <mergeCell ref="A22:B22"/>
    <mergeCell ref="B125:D125"/>
    <mergeCell ref="E113:F113"/>
    <mergeCell ref="B183:C183"/>
    <mergeCell ref="B177:C177"/>
    <mergeCell ref="E100:F100"/>
    <mergeCell ref="B164:C164"/>
    <mergeCell ref="J86:M86"/>
    <mergeCell ref="E136:F136"/>
    <mergeCell ref="G165:H165"/>
    <mergeCell ref="H33:O33"/>
    <mergeCell ref="I24:O24"/>
    <mergeCell ref="E102:F102"/>
    <mergeCell ref="G158:H158"/>
    <mergeCell ref="B120:D120"/>
    <mergeCell ref="D10:E10"/>
    <mergeCell ref="G169:H169"/>
    <mergeCell ref="I148:O148"/>
    <mergeCell ref="I153:O153"/>
    <mergeCell ref="E127:F127"/>
    <mergeCell ref="F74:G74"/>
    <mergeCell ref="B180:C180"/>
    <mergeCell ref="H74:I74"/>
    <mergeCell ref="G191:H191"/>
    <mergeCell ref="D76:E76"/>
    <mergeCell ref="F76:G76"/>
    <mergeCell ref="A47:O47"/>
    <mergeCell ref="B157:C157"/>
    <mergeCell ref="I179:O179"/>
    <mergeCell ref="B186:C186"/>
    <mergeCell ref="I141:O141"/>
    <mergeCell ref="E124:F124"/>
    <mergeCell ref="H65:O65"/>
    <mergeCell ref="E120:F120"/>
    <mergeCell ref="I159:O159"/>
    <mergeCell ref="I143:O143"/>
    <mergeCell ref="E184:F184"/>
    <mergeCell ref="A7:C7"/>
    <mergeCell ref="G122:O122"/>
    <mergeCell ref="E121:F121"/>
    <mergeCell ref="F87:G87"/>
    <mergeCell ref="B185:C185"/>
    <mergeCell ref="E151:F151"/>
    <mergeCell ref="H41:O41"/>
    <mergeCell ref="E123:F123"/>
    <mergeCell ref="F89:G89"/>
    <mergeCell ref="E150:F150"/>
    <mergeCell ref="E39:F39"/>
    <mergeCell ref="G179:H179"/>
    <mergeCell ref="F7:G7"/>
    <mergeCell ref="E44:F44"/>
    <mergeCell ref="B176:C176"/>
    <mergeCell ref="G166:H166"/>
    <mergeCell ref="H34:O34"/>
    <mergeCell ref="B128:D128"/>
    <mergeCell ref="G141:H141"/>
    <mergeCell ref="E103:F103"/>
    <mergeCell ref="E152:F152"/>
    <mergeCell ref="A116:O116"/>
    <mergeCell ref="E118:F118"/>
    <mergeCell ref="F8:G8"/>
    <mergeCell ref="A12:B12"/>
    <mergeCell ref="C12:D12"/>
    <mergeCell ref="G167:H167"/>
    <mergeCell ref="I154:O154"/>
    <mergeCell ref="B171:C171"/>
    <mergeCell ref="B123:D123"/>
    <mergeCell ref="I156:O156"/>
    <mergeCell ref="E70:F70"/>
    <mergeCell ref="F77:G77"/>
    <mergeCell ref="H77:I77"/>
    <mergeCell ref="H96:O96"/>
    <mergeCell ref="E32:F32"/>
    <mergeCell ref="G120:O120"/>
    <mergeCell ref="B133:C133"/>
    <mergeCell ref="E134:F134"/>
    <mergeCell ref="G134:H134"/>
    <mergeCell ref="B173:C173"/>
    <mergeCell ref="E96:F96"/>
    <mergeCell ref="B75:C75"/>
    <mergeCell ref="B135:C135"/>
    <mergeCell ref="I180:O180"/>
    <mergeCell ref="A130:B130"/>
    <mergeCell ref="I167:O167"/>
    <mergeCell ref="E98:F98"/>
    <mergeCell ref="I182:O182"/>
    <mergeCell ref="E165:F165"/>
    <mergeCell ref="I169:O169"/>
    <mergeCell ref="I13:O13"/>
    <mergeCell ref="E140:F140"/>
    <mergeCell ref="G156:H156"/>
    <mergeCell ref="B118:D118"/>
    <mergeCell ref="A8:C8"/>
    <mergeCell ref="H61:I61"/>
    <mergeCell ref="H88:I88"/>
    <mergeCell ref="J81:M81"/>
    <mergeCell ref="G187:H187"/>
    <mergeCell ref="A10:C10"/>
    <mergeCell ref="H17:O17"/>
    <mergeCell ref="F90:G90"/>
    <mergeCell ref="H90:I90"/>
    <mergeCell ref="H109:O109"/>
    <mergeCell ref="G180:H180"/>
    <mergeCell ref="E45:F45"/>
    <mergeCell ref="H22:O22"/>
    <mergeCell ref="B129:D129"/>
    <mergeCell ref="H19:O19"/>
    <mergeCell ref="G188:H188"/>
    <mergeCell ref="B192:C192"/>
    <mergeCell ref="A20:B20"/>
    <mergeCell ref="H111:O111"/>
    <mergeCell ref="B121:D121"/>
    <mergeCell ref="G182:H182"/>
    <mergeCell ref="I162:O162"/>
    <mergeCell ref="A132:O132"/>
    <mergeCell ref="A13:B13"/>
    <mergeCell ref="C13:D13"/>
    <mergeCell ref="I155:O155"/>
    <mergeCell ref="A114:B114"/>
  </mergeCells>
  <conditionalFormatting sqref="I134:O193">
    <cfRule type="expression" priority="1" dxfId="0" stopIfTrue="1">
      <formula>$I134="Pago"</formula>
    </cfRule>
    <cfRule type="expression" priority="2" dxfId="3" stopIfTrue="1">
      <formula>$I134="Comprado (a pagar)"</formula>
    </cfRule>
    <cfRule type="expression" priority="3" dxfId="1" stopIfTrue="1">
      <formula>$I134="A comprar"</formula>
    </cfRule>
  </conditionalFormatting>
  <conditionalFormatting sqref="A134:O193">
    <cfRule type="expression" priority="4" dxfId="6">
      <formula>AND($E134&lt;&gt;"",$B134="")</formula>
    </cfRule>
  </conditionalFormatting>
  <conditionalFormatting sqref="E16:F22">
    <cfRule type="expression" priority="5" dxfId="4">
      <formula>AND($E16&lt;&gt;"",$E16&gt;0)</formula>
    </cfRule>
    <cfRule type="expression" priority="6" dxfId="5">
      <formula>AND($E16&lt;&gt;"",$E16&lt;0)</formula>
    </cfRule>
  </conditionalFormatting>
  <conditionalFormatting sqref="E96:F114">
    <cfRule type="expression" priority="7" dxfId="4">
      <formula>AND($E96&lt;&gt;"",$E96&gt;0)</formula>
    </cfRule>
    <cfRule type="expression" priority="8" dxfId="5">
      <formula>AND($E96&lt;&gt;"",$E96&lt;0)</formula>
    </cfRule>
  </conditionalFormatting>
  <conditionalFormatting sqref="J9">
    <cfRule type="expression" priority="9" dxfId="0" stopIfTrue="1">
      <formula>$J$9="No prazo"</formula>
    </cfRule>
    <cfRule type="expression" priority="10" dxfId="2">
      <formula>$J$9="Atrasado"</formula>
    </cfRule>
  </conditionalFormatting>
  <conditionalFormatting sqref="A13:J13">
    <cfRule type="expression" priority="11" dxfId="6">
      <formula>AND($G$13&lt;&gt;"",$G$13&lt;0.25)</formula>
    </cfRule>
  </conditionalFormatting>
  <dataValidations count="12">
    <dataValidation sqref="D10:E1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"Jan/2026,Fev/2026,Mar/2026,Abr/2026,Mai/2026,Jun/2026,Jul/2026,Ago/2026,Set/2026,Out/2026,Nov/2026,Dez/2026,Jan/2027,Fev/2027,Mar/2027,Abr/2027,Mai/2027,Jun/2027,Jul/2027,Ago/2027,Set/2027,Out/2027,Nov/2027,Dez/2027"</formula1>
    </dataValidation>
    <dataValidation sqref="D49:D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H49:H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L49:L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"Lorrane,Lucas,Externo / avulso"</formula1>
    </dataValidation>
    <dataValidation sqref="H66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A74:A91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B118:B12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"Erro de projeto,Erro de medição,Erro de produção,Erro de montagem,Falha de material,Dano no transporte,Mudança pedida pelo cliente,Falha de fornecedor,Outro"</formula1>
    </dataValidation>
    <dataValidation sqref="B134:B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"MDF e MDP,Fita de borda,Ferragens,Vidros e espelhos,Esquadrias,Lâmina natural,Consumíveis,Acabamento,Serralheria,Vidraceiro,Outro terceirizado,Uber e aplicativo,Carreto e entrega,Deslocamento da equipe,Frete de material,Estacionamento e pedágio"</formula1>
    </dataValidation>
    <dataValidation sqref="G134:G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"PIX,Boleto,Cartão de crédito,Cartão parcelado,Dinheiro,Transferência,Faturado 30 dias,A combinar"</formula1>
    </dataValidation>
    <dataValidation sqref="I134:I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"A comprar,Comprado (a pagar),Pago"</formula1>
    </dataValidation>
    <dataValidation sqref="D9:E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"Jonathan,Vitor,Indicação,Arquiteto parceiro,Outro"</formula1>
    </dataValidation>
    <dataValidation sqref="F9:G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</dataValidations>
  <pageMargins left="0.4" right="0.3" top="0.4" bottom="0.3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O196"/>
  <sheetViews>
    <sheetView showGridLines="0"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14" customWidth="1" min="3" max="3"/>
    <col width="16" customWidth="1" min="4" max="4"/>
    <col width="7" customWidth="1" min="5" max="5"/>
    <col width="13" customWidth="1" min="6" max="6"/>
    <col width="13" customWidth="1" min="7" max="7"/>
    <col width="16" customWidth="1" min="8" max="8"/>
    <col width="7" customWidth="1" min="9" max="9"/>
    <col width="13" customWidth="1" min="10" max="10"/>
    <col width="13" customWidth="1" min="11" max="11"/>
    <col width="15" customWidth="1" min="12" max="12"/>
    <col width="7" customWidth="1" min="13" max="13"/>
    <col width="13" customWidth="1" min="14" max="14"/>
    <col width="14" customWidth="1" min="15" max="15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8" customHeight="1">
      <c r="A3" s="4" t="inlineStr">
        <is>
          <t>FICHA DE CUSTO DO PROJETO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 ht="17" customHeight="1">
      <c r="A4" s="6" t="inlineStr">
        <is>
          <t>Fundo creme = você preenche · fundo cinza = calculado · duplique esta aba a cada projeto e registre o nome dela no Painel Geral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 ht="6" customHeight="1"/>
    <row r="6" ht="13" customHeight="1">
      <c r="A6" s="44" t="inlineStr">
        <is>
          <t>CLIENTE</t>
        </is>
      </c>
      <c r="B6" s="13" t="n"/>
      <c r="C6" s="13" t="n"/>
      <c r="D6" s="44" t="inlineStr">
        <is>
          <t>Nº DO PROJETO</t>
        </is>
      </c>
      <c r="E6" s="13" t="n"/>
      <c r="F6" s="44" t="inlineStr">
        <is>
          <t>DATA DE ENTRADA</t>
        </is>
      </c>
      <c r="G6" s="13" t="n"/>
      <c r="H6" s="44" t="inlineStr">
        <is>
          <t>ENTREGA PREVISTA</t>
        </is>
      </c>
      <c r="I6" s="13" t="n"/>
      <c r="J6" s="44" t="inlineStr">
        <is>
          <t>ENTREGA REAL</t>
        </is>
      </c>
      <c r="K6" s="13" t="n"/>
      <c r="L6" s="13" t="n"/>
      <c r="M6" s="13" t="n"/>
      <c r="N6" s="13" t="n"/>
      <c r="O6" s="13" t="n"/>
    </row>
    <row r="7" ht="21" customHeight="1">
      <c r="A7" s="45" t="n"/>
      <c r="B7" s="46" t="n"/>
      <c r="C7" s="46" t="n"/>
      <c r="D7" s="45" t="n"/>
      <c r="E7" s="46" t="n"/>
      <c r="F7" s="47" t="n"/>
      <c r="G7" s="46" t="n"/>
      <c r="H7" s="47" t="n"/>
      <c r="I7" s="46" t="n"/>
      <c r="J7" s="47" t="n"/>
      <c r="K7" s="46" t="n"/>
      <c r="L7" s="46" t="n"/>
      <c r="M7" s="46" t="n"/>
      <c r="N7" s="46" t="n"/>
      <c r="O7" s="46" t="n"/>
    </row>
    <row r="8" ht="13" customHeight="1">
      <c r="A8" s="44" t="inlineStr">
        <is>
          <t>PROJETO</t>
        </is>
      </c>
      <c r="B8" s="13" t="n"/>
      <c r="C8" s="13" t="n"/>
      <c r="D8" s="44" t="inlineStr">
        <is>
          <t>VENDEDOR</t>
        </is>
      </c>
      <c r="E8" s="13" t="n"/>
      <c r="F8" s="44" t="inlineStr">
        <is>
          <t>COORDENADOR</t>
        </is>
      </c>
      <c r="G8" s="13" t="n"/>
      <c r="H8" s="44" t="inlineStr">
        <is>
          <t>DIAS DE ATRASO</t>
        </is>
      </c>
      <c r="I8" s="13" t="n"/>
      <c r="J8" s="44" t="inlineStr">
        <is>
          <t>SITUAÇÃO DA ENTREGA</t>
        </is>
      </c>
      <c r="K8" s="13" t="n"/>
      <c r="L8" s="13" t="n"/>
      <c r="M8" s="13" t="n"/>
      <c r="N8" s="13" t="n"/>
      <c r="O8" s="13" t="n"/>
    </row>
    <row r="9" ht="21" customHeight="1">
      <c r="A9" s="45" t="n"/>
      <c r="B9" s="46" t="n"/>
      <c r="C9" s="46" t="n"/>
      <c r="D9" s="45" t="n"/>
      <c r="E9" s="46" t="n"/>
      <c r="F9" s="48" t="n"/>
      <c r="G9" s="46" t="n"/>
      <c r="H9" s="49">
        <f>IF(OR($H$7="",$J$7=""),"",$J$7-$H$7)</f>
        <v/>
      </c>
      <c r="I9" s="38" t="n"/>
      <c r="J9" s="50">
        <f>IF($H$7="","",IF($J$7="",IF(TODAY()&gt;$H$7,"Atrasado","Em produção"),IF($H$9&lt;=0,"No prazo","Atrasado")))</f>
        <v/>
      </c>
      <c r="K9" s="38" t="n"/>
      <c r="L9" s="38" t="n"/>
      <c r="M9" s="38" t="n"/>
      <c r="N9" s="38" t="n"/>
      <c r="O9" s="38" t="n"/>
    </row>
    <row r="10" ht="18" customHeight="1">
      <c r="A10" s="51" t="inlineStr">
        <is>
          <t>MÊS DE COMPETÊNCIA</t>
        </is>
      </c>
      <c r="B10" s="37" t="n"/>
      <c r="C10" s="37" t="n"/>
      <c r="D10" s="52" t="n"/>
      <c r="E10" s="46" t="n"/>
      <c r="F10" s="53" t="inlineStr">
        <is>
          <t>o mês em que a receita e o custo deste projeto pesam no painel de competência</t>
        </is>
      </c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</row>
    <row r="11" ht="20" customHeight="1">
      <c r="A11" s="8" t="inlineStr">
        <is>
          <t xml:space="preserve">  RESULTADO DO PROJETO          tudo aqui se atualiza conforme você lança os custos mais abaixo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</row>
    <row r="12" ht="13" customHeight="1">
      <c r="A12" s="44" t="inlineStr">
        <is>
          <t>VALOR DE VENDA</t>
        </is>
      </c>
      <c r="B12" s="13" t="n"/>
      <c r="C12" s="44" t="inlineStr">
        <is>
          <t>CUSTO TOTAL</t>
        </is>
      </c>
      <c r="D12" s="13" t="n"/>
      <c r="E12" s="44" t="inlineStr">
        <is>
          <t>MARGEM DE CONTRIBUIÇÃO</t>
        </is>
      </c>
      <c r="F12" s="13" t="n"/>
      <c r="G12" s="44" t="inlineStr">
        <is>
          <t>MC %</t>
        </is>
      </c>
      <c r="H12" s="44" t="inlineStr">
        <is>
          <t>MC % ORÇADA</t>
        </is>
      </c>
      <c r="I12" s="44" t="inlineStr">
        <is>
          <t>DESVIO DE CUSTO</t>
        </is>
      </c>
      <c r="J12" s="13" t="n"/>
      <c r="K12" s="13" t="n"/>
      <c r="L12" s="13" t="n"/>
      <c r="M12" s="13" t="n"/>
      <c r="N12" s="13" t="n"/>
      <c r="O12" s="13" t="n"/>
    </row>
    <row r="13" ht="30" customHeight="1">
      <c r="A13" s="54">
        <f>IF($D$28="",$C$28,$D$28)</f>
        <v/>
      </c>
      <c r="B13" s="15" t="n"/>
      <c r="C13" s="54">
        <f>IF($D$22=0,"",$D$22)</f>
        <v/>
      </c>
      <c r="D13" s="15" t="n"/>
      <c r="E13" s="54">
        <f>IF($A$13="","",$D$23)</f>
        <v/>
      </c>
      <c r="F13" s="15" t="n"/>
      <c r="G13" s="55">
        <f>IF(OR($A$13="",$A$13=0),"",$D$23/$A$13)</f>
        <v/>
      </c>
      <c r="H13" s="55">
        <f>IF(OR($C$28="",$C$28=0),"",$C$23/$C$28)</f>
        <v/>
      </c>
      <c r="I13" s="54">
        <f>IF(OR($C$22=0,$D$22=0),"",ROUND($D$22-$C$22,2))</f>
        <v/>
      </c>
      <c r="J13" s="15" t="n"/>
      <c r="K13" s="15" t="n"/>
      <c r="L13" s="15" t="n"/>
      <c r="M13" s="15" t="n"/>
      <c r="N13" s="15" t="n"/>
      <c r="O13" s="15" t="n"/>
    </row>
    <row r="14" ht="8" customHeight="1"/>
    <row r="15" ht="26" customHeight="1">
      <c r="A15" s="19" t="inlineStr">
        <is>
          <t>Resumo por categoria</t>
        </is>
      </c>
      <c r="B15" s="35" t="n"/>
      <c r="C15" s="19" t="inlineStr">
        <is>
          <t>Orçado (R$)</t>
        </is>
      </c>
      <c r="D15" s="19" t="inlineStr">
        <is>
          <t>Realizado (R$)</t>
        </is>
      </c>
      <c r="E15" s="19" t="inlineStr">
        <is>
          <t>Desvio (R$)</t>
        </is>
      </c>
      <c r="F15" s="35" t="n"/>
      <c r="G15" s="19" t="inlineStr">
        <is>
          <t>Desvio (%)</t>
        </is>
      </c>
      <c r="H15" s="19" t="inlineStr">
        <is>
          <t>% da venda realizada</t>
        </is>
      </c>
      <c r="I15" s="35" t="n"/>
      <c r="J15" s="35" t="n"/>
      <c r="K15" s="35" t="n"/>
      <c r="L15" s="35" t="n"/>
      <c r="M15" s="35" t="n"/>
      <c r="N15" s="35" t="n"/>
      <c r="O15" s="35" t="n"/>
    </row>
    <row r="16" ht="18" customHeight="1">
      <c r="A16" s="36" t="inlineStr">
        <is>
          <t>Custos de venda</t>
        </is>
      </c>
      <c r="B16" s="37" t="n"/>
      <c r="C16" s="56">
        <f>IF(C44="","",C44)</f>
        <v/>
      </c>
      <c r="D16" s="56">
        <f>IF(D44="","",D44)</f>
        <v/>
      </c>
      <c r="E16" s="56">
        <f>IF(OR($C16="",$D16=""),"",ROUND($D16-$C16,2))</f>
        <v/>
      </c>
      <c r="F16" s="38" t="n"/>
      <c r="G16" s="57">
        <f>IF(OR($C16="",$C16=0,$D16=""),"",$D16/$C16-1)</f>
        <v/>
      </c>
      <c r="H16" s="58">
        <f>IF(OR($D16="",$A$13="",$A$13=0),"",$D16/$A$13)</f>
        <v/>
      </c>
      <c r="I16" s="38" t="n"/>
      <c r="J16" s="38" t="n"/>
      <c r="K16" s="38" t="n"/>
      <c r="L16" s="38" t="n"/>
      <c r="M16" s="38" t="n"/>
      <c r="N16" s="38" t="n"/>
      <c r="O16" s="38" t="n"/>
    </row>
    <row r="17" ht="18" customHeight="1">
      <c r="A17" s="36" t="inlineStr">
        <is>
          <t>Comissões operacionais</t>
        </is>
      </c>
      <c r="B17" s="37" t="n"/>
      <c r="C17" s="56">
        <f>IF(C70="","",C70)</f>
        <v/>
      </c>
      <c r="D17" s="56">
        <f>IF(D70="","",D70)</f>
        <v/>
      </c>
      <c r="E17" s="56">
        <f>IF(OR($C17="",$D17=""),"",ROUND($D17-$C17,2))</f>
        <v/>
      </c>
      <c r="F17" s="38" t="n"/>
      <c r="G17" s="57">
        <f>IF(OR($C17="",$C17=0,$D17=""),"",$D17/$C17-1)</f>
        <v/>
      </c>
      <c r="H17" s="58">
        <f>IF(OR($D17="",$A$13="",$A$13=0),"",$D17/$A$13)</f>
        <v/>
      </c>
      <c r="I17" s="38" t="n"/>
      <c r="J17" s="38" t="n"/>
      <c r="K17" s="38" t="n"/>
      <c r="L17" s="38" t="n"/>
      <c r="M17" s="38" t="n"/>
      <c r="N17" s="38" t="n"/>
      <c r="O17" s="38" t="n"/>
    </row>
    <row r="18" ht="18" customHeight="1">
      <c r="A18" s="36" t="inlineStr">
        <is>
          <t>Material</t>
        </is>
      </c>
      <c r="B18" s="37" t="n"/>
      <c r="C18" s="56">
        <f>IF(C103="","",C103)</f>
        <v/>
      </c>
      <c r="D18" s="56">
        <f>IF(D103="","",D103)</f>
        <v/>
      </c>
      <c r="E18" s="56">
        <f>IF(OR($C18="",$D18=""),"",ROUND($D18-$C18,2))</f>
        <v/>
      </c>
      <c r="F18" s="38" t="n"/>
      <c r="G18" s="57">
        <f>IF(OR($C18="",$C18=0,$D18=""),"",$D18/$C18-1)</f>
        <v/>
      </c>
      <c r="H18" s="58">
        <f>IF(OR($D18="",$A$13="",$A$13=0),"",$D18/$A$13)</f>
        <v/>
      </c>
      <c r="I18" s="38" t="n"/>
      <c r="J18" s="38" t="n"/>
      <c r="K18" s="38" t="n"/>
      <c r="L18" s="38" t="n"/>
      <c r="M18" s="38" t="n"/>
      <c r="N18" s="38" t="n"/>
      <c r="O18" s="38" t="n"/>
    </row>
    <row r="19" ht="18" customHeight="1">
      <c r="A19" s="36" t="inlineStr">
        <is>
          <t>Serviços terceirizados</t>
        </is>
      </c>
      <c r="B19" s="37" t="n"/>
      <c r="C19" s="56">
        <f>IF(C108="","",C108)</f>
        <v/>
      </c>
      <c r="D19" s="56">
        <f>IF(D108="","",D108)</f>
        <v/>
      </c>
      <c r="E19" s="56">
        <f>IF(OR($C19="",$D19=""),"",ROUND($D19-$C19,2))</f>
        <v/>
      </c>
      <c r="F19" s="38" t="n"/>
      <c r="G19" s="57">
        <f>IF(OR($C19="",$C19=0,$D19=""),"",$D19/$C19-1)</f>
        <v/>
      </c>
      <c r="H19" s="58">
        <f>IF(OR($D19="",$A$13="",$A$13=0),"",$D19/$A$13)</f>
        <v/>
      </c>
      <c r="I19" s="38" t="n"/>
      <c r="J19" s="38" t="n"/>
      <c r="K19" s="38" t="n"/>
      <c r="L19" s="38" t="n"/>
      <c r="M19" s="38" t="n"/>
      <c r="N19" s="38" t="n"/>
      <c r="O19" s="38" t="n"/>
    </row>
    <row r="20" ht="18" customHeight="1">
      <c r="A20" s="36" t="inlineStr">
        <is>
          <t>Logística</t>
        </is>
      </c>
      <c r="B20" s="37" t="n"/>
      <c r="C20" s="56">
        <f>IF(C114="","",C114)</f>
        <v/>
      </c>
      <c r="D20" s="56">
        <f>IF(D114="","",D114)</f>
        <v/>
      </c>
      <c r="E20" s="56">
        <f>IF(OR($C20="",$D20=""),"",ROUND($D20-$C20,2))</f>
        <v/>
      </c>
      <c r="F20" s="38" t="n"/>
      <c r="G20" s="57">
        <f>IF(OR($C20="",$C20=0,$D20=""),"",$D20/$C20-1)</f>
        <v/>
      </c>
      <c r="H20" s="58">
        <f>IF(OR($D20="",$A$13="",$A$13=0),"",$D20/$A$13)</f>
        <v/>
      </c>
      <c r="I20" s="38" t="n"/>
      <c r="J20" s="38" t="n"/>
      <c r="K20" s="38" t="n"/>
      <c r="L20" s="38" t="n"/>
      <c r="M20" s="38" t="n"/>
      <c r="N20" s="38" t="n"/>
      <c r="O20" s="38" t="n"/>
    </row>
    <row r="21" ht="18" customHeight="1">
      <c r="A21" s="36" t="inlineStr">
        <is>
          <t>Retrabalho</t>
        </is>
      </c>
      <c r="B21" s="37" t="n"/>
      <c r="C21" s="56">
        <f>IF(C130="","",C130)</f>
        <v/>
      </c>
      <c r="D21" s="56">
        <f>IF(D130="","",D130)</f>
        <v/>
      </c>
      <c r="E21" s="56">
        <f>IF(OR($C21="",$D21=""),"",ROUND($D21-$C21,2))</f>
        <v/>
      </c>
      <c r="F21" s="38" t="n"/>
      <c r="G21" s="57">
        <f>IF(OR($C21="",$C21=0,$D21=""),"",$D21/$C21-1)</f>
        <v/>
      </c>
      <c r="H21" s="58">
        <f>IF(OR($D21="",$A$13="",$A$13=0),"",$D21/$A$13)</f>
        <v/>
      </c>
      <c r="I21" s="38" t="n"/>
      <c r="J21" s="38" t="n"/>
      <c r="K21" s="38" t="n"/>
      <c r="L21" s="38" t="n"/>
      <c r="M21" s="38" t="n"/>
      <c r="N21" s="38" t="n"/>
      <c r="O21" s="38" t="n"/>
    </row>
    <row r="22" ht="22" customHeight="1">
      <c r="A22" s="31" t="inlineStr">
        <is>
          <t>(=) CUSTO TOTAL DO PROJETO</t>
        </is>
      </c>
      <c r="B22" s="32" t="n"/>
      <c r="C22" s="59">
        <f>ROUND(SUM(C16:C21),2)</f>
        <v/>
      </c>
      <c r="D22" s="59">
        <f>ROUND(SUM(D16:D21),2)</f>
        <v/>
      </c>
      <c r="E22" s="60">
        <f>ROUND($D$22-$C$22,2)</f>
        <v/>
      </c>
      <c r="F22" s="32" t="n"/>
      <c r="G22" s="61">
        <f>IF(OR($C$22="",$C$22=0),"",$D$22/$C$22-1)</f>
        <v/>
      </c>
      <c r="H22" s="62">
        <f>IF(OR($A$13="",$A$13=0),"",$D$22/$A$13)</f>
        <v/>
      </c>
      <c r="I22" s="32" t="n"/>
      <c r="J22" s="32" t="n"/>
      <c r="K22" s="32" t="n"/>
      <c r="L22" s="32" t="n"/>
      <c r="M22" s="32" t="n"/>
      <c r="N22" s="32" t="n"/>
      <c r="O22" s="32" t="n"/>
    </row>
    <row r="23" ht="28" customHeight="1">
      <c r="A23" s="63" t="inlineStr">
        <is>
          <t>(=) MARGEM DE CONTRIBUIÇÃO</t>
        </is>
      </c>
      <c r="B23" s="64" t="n"/>
      <c r="C23" s="65">
        <f>ROUND($C$28-$C$22,2)</f>
        <v/>
      </c>
      <c r="D23" s="65">
        <f>ROUND($A$13-$D$22,2)</f>
        <v/>
      </c>
      <c r="E23" s="66">
        <f>ROUND($D$23-$C$23,2)</f>
        <v/>
      </c>
      <c r="F23" s="64" t="n"/>
      <c r="G23" s="67">
        <f>IF(OR($C$28="",$C$28=0),"",$C$23/$C$28)</f>
        <v/>
      </c>
      <c r="H23" s="68">
        <f>IF(OR($A$13="",$A$13=0),"",$D$23/$A$13)</f>
        <v/>
      </c>
      <c r="I23" s="64" t="n"/>
      <c r="J23" s="64" t="n"/>
      <c r="K23" s="64" t="n"/>
      <c r="L23" s="64" t="n"/>
      <c r="M23" s="64" t="n"/>
      <c r="N23" s="64" t="n"/>
      <c r="O23" s="64" t="n"/>
    </row>
    <row r="24" ht="22" customHeight="1">
      <c r="A24" s="69">
        <f>IF($A$13="","",IF(ROUND(SUMIF($I$134:$I$193,"A comprar",$E$134:$E$193),2)+ROUND(SUMIF($I$134:$I$193,"Comprado (a pagar)",$E$134:$E$193),2)=0,"   Nenhuma compra pendente lançada — o custo realizado já é o custo final.","   Já comprado e ainda a pagar: "&amp;TEXT(ROUND(SUMIF($I$134:$I$193,"Comprado (a pagar)",$E$134:$E$193),2),"R$ #,##0")&amp;"   ·   custo projetado: "&amp;TEXT($D$22+ROUND(SUMIF($I$134:$I$193,"A comprar",$E$134:$E$193),2),"R$ #,##0")&amp;"   ·   MC projetada: "&amp;TEXT(($A$13-$D$22-ROUND(SUMIF($I$134:$I$193,"A comprar",$E$134:$E$193),2))/$A$13,"0.0%")))</f>
        <v/>
      </c>
      <c r="B24" s="15" t="n"/>
      <c r="C24" s="15" t="n"/>
      <c r="D24" s="15" t="n"/>
      <c r="E24" s="15" t="n"/>
      <c r="F24" s="15" t="n"/>
      <c r="G24" s="15" t="n"/>
      <c r="H24" s="15" t="n"/>
      <c r="I24" s="70">
        <f>IF($A$13="","",ROUND(SUMIF($I$134:$I$193,"A comprar",$E$134:$E$193),2))</f>
        <v/>
      </c>
      <c r="J24" s="15" t="n"/>
      <c r="K24" s="15" t="n"/>
      <c r="L24" s="15" t="n"/>
      <c r="M24" s="15" t="n"/>
      <c r="N24" s="15" t="n"/>
      <c r="O24" s="15" t="n"/>
    </row>
    <row r="25" ht="8" customHeight="1"/>
    <row r="26" ht="20" customHeight="1">
      <c r="A26" s="8" t="inlineStr">
        <is>
          <t xml:space="preserve">  1 · VALOR DE VENDA E NOTAS EMITIDAS          o que foi vendido e o que já virou nota — a diferença é o que falta faturar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 ht="26" customHeight="1">
      <c r="A27" s="19" t="inlineStr">
        <is>
          <t>Item</t>
        </is>
      </c>
      <c r="B27" s="19" t="inlineStr">
        <is>
          <t>%</t>
        </is>
      </c>
      <c r="C27" s="19" t="inlineStr">
        <is>
          <t>Orçado (R$)</t>
        </is>
      </c>
      <c r="D27" s="19" t="inlineStr">
        <is>
          <t>Realizado (R$)</t>
        </is>
      </c>
      <c r="E27" s="19" t="inlineStr">
        <is>
          <t>Desvio (R$)</t>
        </is>
      </c>
      <c r="F27" s="35" t="n"/>
      <c r="G27" s="19" t="inlineStr">
        <is>
          <t>% da venda</t>
        </is>
      </c>
      <c r="H27" s="19" t="inlineStr">
        <is>
          <t>Observação</t>
        </is>
      </c>
      <c r="I27" s="35" t="n"/>
      <c r="J27" s="35" t="n"/>
      <c r="K27" s="35" t="n"/>
      <c r="L27" s="35" t="n"/>
      <c r="M27" s="35" t="n"/>
      <c r="N27" s="35" t="n"/>
      <c r="O27" s="35" t="n"/>
    </row>
    <row r="28" ht="17" customHeight="1">
      <c r="A28" s="36" t="inlineStr">
        <is>
          <t>Valor de venda do projeto</t>
        </is>
      </c>
      <c r="B28" s="37" t="n"/>
      <c r="C28" s="71" t="n"/>
      <c r="D28" s="71" t="n"/>
      <c r="E28" s="56">
        <f>IF(OR($C28="",$D28=""),"",ROUND($D28-$C28,2))</f>
        <v/>
      </c>
      <c r="F28" s="38" t="n"/>
      <c r="G28" s="72" t="n"/>
      <c r="H28" s="73" t="inlineStr">
        <is>
          <t>Orçado = valor da proposta · Realizado = valor fechado</t>
        </is>
      </c>
      <c r="I28" s="46" t="n"/>
      <c r="J28" s="46" t="n"/>
      <c r="K28" s="46" t="n"/>
      <c r="L28" s="46" t="n"/>
      <c r="M28" s="46" t="n"/>
      <c r="N28" s="46" t="n"/>
      <c r="O28" s="46" t="n"/>
    </row>
    <row r="29" ht="22" customHeight="1">
      <c r="A29" s="19" t="inlineStr">
        <is>
          <t>Nota fiscal</t>
        </is>
      </c>
      <c r="B29" s="19" t="inlineStr">
        <is>
          <t>Número</t>
        </is>
      </c>
      <c r="C29" s="19" t="inlineStr">
        <is>
          <t>Data</t>
        </is>
      </c>
      <c r="D29" s="19" t="inlineStr">
        <is>
          <t>Valor (R$)</t>
        </is>
      </c>
      <c r="E29" s="19" t="inlineStr"/>
      <c r="F29" s="35" t="n"/>
      <c r="G29" s="19" t="inlineStr">
        <is>
          <t>% da venda</t>
        </is>
      </c>
      <c r="H29" s="19" t="inlineStr">
        <is>
          <t>Observação</t>
        </is>
      </c>
      <c r="I29" s="35" t="n"/>
      <c r="J29" s="35" t="n"/>
      <c r="K29" s="35" t="n"/>
      <c r="L29" s="35" t="n"/>
      <c r="M29" s="35" t="n"/>
      <c r="N29" s="35" t="n"/>
      <c r="O29" s="35" t="n"/>
    </row>
    <row r="30" ht="17" customHeight="1">
      <c r="A30" s="36" t="inlineStr">
        <is>
          <t>Nota 1</t>
        </is>
      </c>
      <c r="B30" s="74" t="n"/>
      <c r="C30" s="75" t="n"/>
      <c r="D30" s="76" t="n"/>
      <c r="E30" s="37" t="n"/>
      <c r="F30" s="37" t="n"/>
      <c r="G30" s="72">
        <f>IF(OR($D30="",$A$13="",$A$13=0),"",$D30/$A$13)</f>
        <v/>
      </c>
      <c r="H30" s="73" t="n"/>
      <c r="I30" s="46" t="n"/>
      <c r="J30" s="46" t="n"/>
      <c r="K30" s="46" t="n"/>
      <c r="L30" s="46" t="n"/>
      <c r="M30" s="46" t="n"/>
      <c r="N30" s="46" t="n"/>
      <c r="O30" s="46" t="n"/>
    </row>
    <row r="31" ht="17" customHeight="1">
      <c r="A31" s="36" t="inlineStr">
        <is>
          <t>Nota 2</t>
        </is>
      </c>
      <c r="B31" s="74" t="n"/>
      <c r="C31" s="75" t="n"/>
      <c r="D31" s="76" t="n"/>
      <c r="E31" s="37" t="n"/>
      <c r="F31" s="37" t="n"/>
      <c r="G31" s="72">
        <f>IF(OR($D31="",$A$13="",$A$13=0),"",$D31/$A$13)</f>
        <v/>
      </c>
      <c r="H31" s="73" t="n"/>
      <c r="I31" s="46" t="n"/>
      <c r="J31" s="46" t="n"/>
      <c r="K31" s="46" t="n"/>
      <c r="L31" s="46" t="n"/>
      <c r="M31" s="46" t="n"/>
      <c r="N31" s="46" t="n"/>
      <c r="O31" s="46" t="n"/>
    </row>
    <row r="32" ht="17" customHeight="1">
      <c r="A32" s="36" t="inlineStr">
        <is>
          <t>Nota 3</t>
        </is>
      </c>
      <c r="B32" s="74" t="n"/>
      <c r="C32" s="75" t="n"/>
      <c r="D32" s="76" t="n"/>
      <c r="E32" s="37" t="n"/>
      <c r="F32" s="37" t="n"/>
      <c r="G32" s="72">
        <f>IF(OR($D32="",$A$13="",$A$13=0),"",$D32/$A$13)</f>
        <v/>
      </c>
      <c r="H32" s="73" t="n"/>
      <c r="I32" s="46" t="n"/>
      <c r="J32" s="46" t="n"/>
      <c r="K32" s="46" t="n"/>
      <c r="L32" s="46" t="n"/>
      <c r="M32" s="46" t="n"/>
      <c r="N32" s="46" t="n"/>
      <c r="O32" s="46" t="n"/>
    </row>
    <row r="33" ht="17" customHeight="1">
      <c r="A33" s="36" t="inlineStr">
        <is>
          <t>Nota 4</t>
        </is>
      </c>
      <c r="B33" s="74" t="n"/>
      <c r="C33" s="75" t="n"/>
      <c r="D33" s="76" t="n"/>
      <c r="E33" s="37" t="n"/>
      <c r="F33" s="37" t="n"/>
      <c r="G33" s="72">
        <f>IF(OR($D33="",$A$13="",$A$13=0),"",$D33/$A$13)</f>
        <v/>
      </c>
      <c r="H33" s="73" t="n"/>
      <c r="I33" s="46" t="n"/>
      <c r="J33" s="46" t="n"/>
      <c r="K33" s="46" t="n"/>
      <c r="L33" s="46" t="n"/>
      <c r="M33" s="46" t="n"/>
      <c r="N33" s="46" t="n"/>
      <c r="O33" s="46" t="n"/>
    </row>
    <row r="34" ht="20" customHeight="1">
      <c r="A34" s="31" t="inlineStr">
        <is>
          <t>(=) TOTAL FATURADO  →</t>
        </is>
      </c>
      <c r="B34" s="32" t="n"/>
      <c r="C34" s="32" t="n"/>
      <c r="D34" s="60">
        <f>ROUND(SUM($D$30:$D$33),2)</f>
        <v/>
      </c>
      <c r="E34" s="32" t="n"/>
      <c r="F34" s="32" t="n"/>
      <c r="G34" s="62">
        <f>IF(OR($A$13="",$A$13=0),"",$D$34/$A$13)</f>
        <v/>
      </c>
      <c r="H34" s="77">
        <f>IF(OR($A$13="",$A$13=0),"",IF(ROUND($A$13-$D$34,2)&lt;=0,"   Projeto totalmente faturado.","   Ainda a faturar: "&amp;TEXT($A$13-$D$34,"R$ #,##0.00")))</f>
        <v/>
      </c>
      <c r="I34" s="32" t="n"/>
      <c r="J34" s="32" t="n"/>
      <c r="K34" s="32" t="n"/>
      <c r="L34" s="32" t="n"/>
      <c r="M34" s="32" t="n"/>
      <c r="N34" s="32" t="n"/>
      <c r="O34" s="32" t="n"/>
    </row>
    <row r="35" ht="8" customHeight="1"/>
    <row r="36" ht="20" customHeight="1">
      <c r="A36" s="8" t="inlineStr">
        <is>
          <t xml:space="preserve">  2 · CUSTOS DE VENDA          tudo que sai por causa da venda · define a RECEITA LÍQUIDA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</row>
    <row r="37" ht="26" customHeight="1">
      <c r="A37" s="19" t="inlineStr">
        <is>
          <t>Item</t>
        </is>
      </c>
      <c r="B37" s="19" t="inlineStr">
        <is>
          <t>%</t>
        </is>
      </c>
      <c r="C37" s="19" t="inlineStr">
        <is>
          <t>Orçado (R$)</t>
        </is>
      </c>
      <c r="D37" s="19" t="inlineStr">
        <is>
          <t>Realizado (R$)</t>
        </is>
      </c>
      <c r="E37" s="19" t="inlineStr">
        <is>
          <t>Desvio (R$)</t>
        </is>
      </c>
      <c r="F37" s="35" t="n"/>
      <c r="G37" s="19" t="inlineStr">
        <is>
          <t>% da venda</t>
        </is>
      </c>
      <c r="H37" s="19" t="inlineStr">
        <is>
          <t>Observação</t>
        </is>
      </c>
      <c r="I37" s="35" t="n"/>
      <c r="J37" s="35" t="n"/>
      <c r="K37" s="35" t="n"/>
      <c r="L37" s="35" t="n"/>
      <c r="M37" s="35" t="n"/>
      <c r="N37" s="35" t="n"/>
      <c r="O37" s="35" t="n"/>
    </row>
    <row r="38" ht="17" customHeight="1">
      <c r="A38" s="36" t="inlineStr">
        <is>
          <t>Impostos sobre a nota (Simples)</t>
        </is>
      </c>
      <c r="B38" s="78" t="n"/>
      <c r="C38" s="56">
        <f>IF($B38="","",ROUND($B38*$C$28,2))</f>
        <v/>
      </c>
      <c r="D38" s="56">
        <f>IF($B38="","",ROUND($B38*$A$13,2))</f>
        <v/>
      </c>
      <c r="E38" s="56">
        <f>IF(OR($C38="",$D38=""),"",ROUND($D38-$C38,2))</f>
        <v/>
      </c>
      <c r="F38" s="38" t="n"/>
      <c r="G38" s="72">
        <f>IF(OR($D38="",$A$13="",$A$13=0),"",$D38/$A$13)</f>
        <v/>
      </c>
      <c r="H38" s="73" t="inlineStr">
        <is>
          <t>% sobre o valor de venda</t>
        </is>
      </c>
      <c r="I38" s="46" t="n"/>
      <c r="J38" s="46" t="n"/>
      <c r="K38" s="46" t="n"/>
      <c r="L38" s="46" t="n"/>
      <c r="M38" s="46" t="n"/>
      <c r="N38" s="46" t="n"/>
      <c r="O38" s="46" t="n"/>
    </row>
    <row r="39" ht="17" customHeight="1">
      <c r="A39" s="36" t="inlineStr">
        <is>
          <t>Taxa de máquina de cartão</t>
        </is>
      </c>
      <c r="B39" s="78" t="n"/>
      <c r="C39" s="56">
        <f>IF($B39="","",ROUND($B39*$C$28,2))</f>
        <v/>
      </c>
      <c r="D39" s="56">
        <f>IF($B39="","",ROUND($B39*$A$13,2))</f>
        <v/>
      </c>
      <c r="E39" s="56">
        <f>IF(OR($C39="",$D39=""),"",ROUND($D39-$C39,2))</f>
        <v/>
      </c>
      <c r="F39" s="38" t="n"/>
      <c r="G39" s="72">
        <f>IF(OR($D39="",$A$13="",$A$13=0),"",$D39/$A$13)</f>
        <v/>
      </c>
      <c r="H39" s="73" t="inlineStr">
        <is>
          <t>% sobre o valor de venda</t>
        </is>
      </c>
      <c r="I39" s="46" t="n"/>
      <c r="J39" s="46" t="n"/>
      <c r="K39" s="46" t="n"/>
      <c r="L39" s="46" t="n"/>
      <c r="M39" s="46" t="n"/>
      <c r="N39" s="46" t="n"/>
      <c r="O39" s="46" t="n"/>
    </row>
    <row r="40" ht="17" customHeight="1">
      <c r="A40" s="36" t="inlineStr">
        <is>
          <t>Taxas de transação (PIX, boleto, TED)</t>
        </is>
      </c>
      <c r="B40" s="37" t="n"/>
      <c r="C40" s="71" t="n"/>
      <c r="D40" s="71" t="n"/>
      <c r="E40" s="56">
        <f>IF(OR($C40="",$D40=""),"",ROUND($D40-$C40,2))</f>
        <v/>
      </c>
      <c r="F40" s="38" t="n"/>
      <c r="G40" s="72">
        <f>IF(OR($D40="",$A$13="",$A$13=0),"",$D40/$A$13)</f>
        <v/>
      </c>
      <c r="H40" s="73" t="inlineStr">
        <is>
          <t>valor em reais</t>
        </is>
      </c>
      <c r="I40" s="46" t="n"/>
      <c r="J40" s="46" t="n"/>
      <c r="K40" s="46" t="n"/>
      <c r="L40" s="46" t="n"/>
      <c r="M40" s="46" t="n"/>
      <c r="N40" s="46" t="n"/>
      <c r="O40" s="46" t="n"/>
    </row>
    <row r="41" ht="17" customHeight="1">
      <c r="A41" s="36" t="inlineStr">
        <is>
          <t>Comissão de venda (vendedor)</t>
        </is>
      </c>
      <c r="B41" s="78" t="n"/>
      <c r="C41" s="56">
        <f>IF($B41="","",ROUND($B41*$C$28,2))</f>
        <v/>
      </c>
      <c r="D41" s="56">
        <f>IF($B41="","",ROUND($B41*$A$13,2))</f>
        <v/>
      </c>
      <c r="E41" s="56">
        <f>IF(OR($C41="",$D41=""),"",ROUND($D41-$C41,2))</f>
        <v/>
      </c>
      <c r="F41" s="38" t="n"/>
      <c r="G41" s="72">
        <f>IF(OR($D41="",$A$13="",$A$13=0),"",$D41/$A$13)</f>
        <v/>
      </c>
      <c r="H41" s="73" t="inlineStr">
        <is>
          <t>% sobre o valor de venda</t>
        </is>
      </c>
      <c r="I41" s="46" t="n"/>
      <c r="J41" s="46" t="n"/>
      <c r="K41" s="46" t="n"/>
      <c r="L41" s="46" t="n"/>
      <c r="M41" s="46" t="n"/>
      <c r="N41" s="46" t="n"/>
      <c r="O41" s="46" t="n"/>
    </row>
    <row r="42" ht="17" customHeight="1">
      <c r="A42" s="36" t="inlineStr">
        <is>
          <t>Projeto / anteprojeto (externo)</t>
        </is>
      </c>
      <c r="B42" s="37" t="n"/>
      <c r="C42" s="71" t="n"/>
      <c r="D42" s="71" t="n"/>
      <c r="E42" s="56">
        <f>IF(OR($C42="",$D42=""),"",ROUND($D42-$C42,2))</f>
        <v/>
      </c>
      <c r="F42" s="38" t="n"/>
      <c r="G42" s="72">
        <f>IF(OR($D42="",$A$13="",$A$13=0),"",$D42/$A$13)</f>
        <v/>
      </c>
      <c r="H42" s="73" t="inlineStr">
        <is>
          <t>projetista ou arquiteto contratado para o projeto</t>
        </is>
      </c>
      <c r="I42" s="46" t="n"/>
      <c r="J42" s="46" t="n"/>
      <c r="K42" s="46" t="n"/>
      <c r="L42" s="46" t="n"/>
      <c r="M42" s="46" t="n"/>
      <c r="N42" s="46" t="n"/>
      <c r="O42" s="46" t="n"/>
    </row>
    <row r="43" ht="17" customHeight="1">
      <c r="A43" s="36" t="inlineStr">
        <is>
          <t>RT do parceiro</t>
        </is>
      </c>
      <c r="B43" s="78" t="n"/>
      <c r="C43" s="56">
        <f>IF($B43="","",ROUND($B43*($C$28-SUM($C$38:$C$40)),2))</f>
        <v/>
      </c>
      <c r="D43" s="56">
        <f>IF($B43="","",ROUND($B43*($A$13-SUM($D$38:$D$40)),2))</f>
        <v/>
      </c>
      <c r="E43" s="56">
        <f>IF(OR($C43="",$D43=""),"",ROUND($D43-$C43,2))</f>
        <v/>
      </c>
      <c r="F43" s="38" t="n"/>
      <c r="G43" s="72">
        <f>IF(OR($D43="",$A$13="",$A$13=0),"",$D43/$A$13)</f>
        <v/>
      </c>
      <c r="H43" s="73" t="inlineStr">
        <is>
          <t>% sobre o líquido: venda menos impostos, máquina e taxas</t>
        </is>
      </c>
      <c r="I43" s="46" t="n"/>
      <c r="J43" s="46" t="n"/>
      <c r="K43" s="46" t="n"/>
      <c r="L43" s="46" t="n"/>
      <c r="M43" s="46" t="n"/>
      <c r="N43" s="46" t="n"/>
      <c r="O43" s="46" t="n"/>
    </row>
    <row r="44" ht="20" customHeight="1">
      <c r="A44" s="31" t="inlineStr">
        <is>
          <t>(=) SUBTOTAL DOS CUSTOS DE VENDA</t>
        </is>
      </c>
      <c r="B44" s="32" t="n"/>
      <c r="C44" s="60">
        <f>ROUND(SUM(C38:C43),2)</f>
        <v/>
      </c>
      <c r="D44" s="60">
        <f>ROUND(SUM(D38:D43),2)</f>
        <v/>
      </c>
      <c r="E44" s="60">
        <f>ROUND($D44-$C44,2)</f>
        <v/>
      </c>
      <c r="F44" s="32" t="n"/>
      <c r="G44" s="62">
        <f>IF(OR($A$13="",$A$13=0),"",$D44/$A$13)</f>
        <v/>
      </c>
      <c r="H44" s="32" t="n"/>
      <c r="I44" s="32" t="n"/>
      <c r="J44" s="32" t="n"/>
      <c r="K44" s="32" t="n"/>
      <c r="L44" s="32" t="n"/>
      <c r="M44" s="32" t="n"/>
      <c r="N44" s="32" t="n"/>
      <c r="O44" s="32" t="n"/>
    </row>
    <row r="45" ht="24" customHeight="1">
      <c r="A45" s="79" t="inlineStr">
        <is>
          <t>(=) RECEITA LÍQUIDA</t>
        </is>
      </c>
      <c r="B45" s="64" t="n"/>
      <c r="C45" s="80">
        <f>ROUND($C$28-$C$44,2)</f>
        <v/>
      </c>
      <c r="D45" s="80">
        <f>ROUND($A$13-$D$44,2)</f>
        <v/>
      </c>
      <c r="E45" s="66">
        <f>ROUND($D$45-$C$45,2)</f>
        <v/>
      </c>
      <c r="F45" s="64" t="n"/>
      <c r="G45" s="81">
        <f>IF(OR($A$13="",$A$13=0),"",$D$45/$A$13)</f>
        <v/>
      </c>
      <c r="H45" s="82" t="inlineStr">
        <is>
          <t>É esta a base das comissões: coordenação, produção, montagem e projetista</t>
        </is>
      </c>
      <c r="I45" s="64" t="n"/>
      <c r="J45" s="64" t="n"/>
      <c r="K45" s="64" t="n"/>
      <c r="L45" s="64" t="n"/>
      <c r="M45" s="64" t="n"/>
      <c r="N45" s="64" t="n"/>
      <c r="O45" s="64" t="n"/>
    </row>
    <row r="46" ht="8" customHeight="1"/>
    <row r="47" ht="20" customHeight="1">
      <c r="A47" s="8" t="inlineStr">
        <is>
          <t xml:space="preserve">  3 · AMBIENTES, PRODUÇÃO, MONTAGEM E PROJETO          cada ambiente com quem produziu, quem montou e quem projetou · a comissão incide sobre a receita líquida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</row>
    <row r="48" ht="32" customHeight="1">
      <c r="A48" s="19" t="inlineStr">
        <is>
          <t>Ambiente</t>
        </is>
      </c>
      <c r="B48" s="19" t="inlineStr">
        <is>
          <t>% do total</t>
        </is>
      </c>
      <c r="C48" s="19" t="inlineStr">
        <is>
          <t>Valor do ambiente (R$)</t>
        </is>
      </c>
      <c r="D48" s="19" t="inlineStr">
        <is>
          <t>Produção — quem</t>
        </is>
      </c>
      <c r="E48" s="19" t="inlineStr">
        <is>
          <t>%</t>
        </is>
      </c>
      <c r="F48" s="19" t="inlineStr">
        <is>
          <t>Comissão produção (R$)</t>
        </is>
      </c>
      <c r="G48" s="19" t="inlineStr">
        <is>
          <t>Fabricado em</t>
        </is>
      </c>
      <c r="H48" s="19" t="inlineStr">
        <is>
          <t>Montagem — quem</t>
        </is>
      </c>
      <c r="I48" s="19" t="inlineStr">
        <is>
          <t>%</t>
        </is>
      </c>
      <c r="J48" s="19" t="inlineStr">
        <is>
          <t>Comissão montagem (R$)</t>
        </is>
      </c>
      <c r="K48" s="19" t="inlineStr">
        <is>
          <t>Montado em</t>
        </is>
      </c>
      <c r="L48" s="19" t="inlineStr">
        <is>
          <t>Projetista — quem</t>
        </is>
      </c>
      <c r="M48" s="19" t="inlineStr">
        <is>
          <t>%</t>
        </is>
      </c>
      <c r="N48" s="19" t="inlineStr">
        <is>
          <t>Comissão projetista (R$)</t>
        </is>
      </c>
      <c r="O48" s="19" t="inlineStr">
        <is>
          <t>Total do ambiente</t>
        </is>
      </c>
    </row>
    <row r="49" ht="18" customHeight="1">
      <c r="A49" s="83" t="n"/>
      <c r="B49" s="72">
        <f>IF(OR($C49="",$A$13="",$A$13=0),"",$C49/$A$13)</f>
        <v/>
      </c>
      <c r="C49" s="76" t="n"/>
      <c r="D49" s="83" t="n"/>
      <c r="E49" s="78" t="n"/>
      <c r="F49" s="56">
        <f>IF(OR($B49="",$E49="",$D$45=""),"",ROUND($B49*$D$45*$E49,2))</f>
        <v/>
      </c>
      <c r="G49" s="84" t="n"/>
      <c r="H49" s="83" t="n"/>
      <c r="I49" s="78" t="n"/>
      <c r="J49" s="56">
        <f>IF(OR($B49="",$I49="",$D$45=""),"",ROUND($B49*$D$45*$I49,2))</f>
        <v/>
      </c>
      <c r="K49" s="84" t="n"/>
      <c r="L49" s="83" t="n"/>
      <c r="M49" s="78" t="n"/>
      <c r="N49" s="56">
        <f>IF(OR($B49="",$M49="",$D$45=""),"",ROUND($B49*$D$45*$M49,2))</f>
        <v/>
      </c>
      <c r="O49" s="85">
        <f>IF(AND($F49="",$J49="",$N49=""),"",ROUND(IF($F49="",0,$F49)+IF($J49="",0,$J49)+IF($N49="",0,$N49),2))</f>
        <v/>
      </c>
    </row>
    <row r="50" ht="18" customHeight="1">
      <c r="A50" s="83" t="n"/>
      <c r="B50" s="72">
        <f>IF(OR($C50="",$A$13="",$A$13=0),"",$C50/$A$13)</f>
        <v/>
      </c>
      <c r="C50" s="76" t="n"/>
      <c r="D50" s="83" t="n"/>
      <c r="E50" s="78" t="n"/>
      <c r="F50" s="56">
        <f>IF(OR($B50="",$E50="",$D$45=""),"",ROUND($B50*$D$45*$E50,2))</f>
        <v/>
      </c>
      <c r="G50" s="84" t="n"/>
      <c r="H50" s="83" t="n"/>
      <c r="I50" s="78" t="n"/>
      <c r="J50" s="56">
        <f>IF(OR($B50="",$I50="",$D$45=""),"",ROUND($B50*$D$45*$I50,2))</f>
        <v/>
      </c>
      <c r="K50" s="84" t="n"/>
      <c r="L50" s="83" t="n"/>
      <c r="M50" s="78" t="n"/>
      <c r="N50" s="56">
        <f>IF(OR($B50="",$M50="",$D$45=""),"",ROUND($B50*$D$45*$M50,2))</f>
        <v/>
      </c>
      <c r="O50" s="85">
        <f>IF(AND($F50="",$J50="",$N50=""),"",ROUND(IF($F50="",0,$F50)+IF($J50="",0,$J50)+IF($N50="",0,$N50),2))</f>
        <v/>
      </c>
    </row>
    <row r="51" ht="18" customHeight="1">
      <c r="A51" s="83" t="n"/>
      <c r="B51" s="72">
        <f>IF(OR($C51="",$A$13="",$A$13=0),"",$C51/$A$13)</f>
        <v/>
      </c>
      <c r="C51" s="76" t="n"/>
      <c r="D51" s="83" t="n"/>
      <c r="E51" s="78" t="n"/>
      <c r="F51" s="56">
        <f>IF(OR($B51="",$E51="",$D$45=""),"",ROUND($B51*$D$45*$E51,2))</f>
        <v/>
      </c>
      <c r="G51" s="84" t="n"/>
      <c r="H51" s="83" t="n"/>
      <c r="I51" s="78" t="n"/>
      <c r="J51" s="56">
        <f>IF(OR($B51="",$I51="",$D$45=""),"",ROUND($B51*$D$45*$I51,2))</f>
        <v/>
      </c>
      <c r="K51" s="84" t="n"/>
      <c r="L51" s="83" t="n"/>
      <c r="M51" s="78" t="n"/>
      <c r="N51" s="56">
        <f>IF(OR($B51="",$M51="",$D$45=""),"",ROUND($B51*$D$45*$M51,2))</f>
        <v/>
      </c>
      <c r="O51" s="85">
        <f>IF(AND($F51="",$J51="",$N51=""),"",ROUND(IF($F51="",0,$F51)+IF($J51="",0,$J51)+IF($N51="",0,$N51),2))</f>
        <v/>
      </c>
    </row>
    <row r="52" ht="18" customHeight="1">
      <c r="A52" s="83" t="n"/>
      <c r="B52" s="72">
        <f>IF(OR($C52="",$A$13="",$A$13=0),"",$C52/$A$13)</f>
        <v/>
      </c>
      <c r="C52" s="76" t="n"/>
      <c r="D52" s="83" t="n"/>
      <c r="E52" s="78" t="n"/>
      <c r="F52" s="56">
        <f>IF(OR($B52="",$E52="",$D$45=""),"",ROUND($B52*$D$45*$E52,2))</f>
        <v/>
      </c>
      <c r="G52" s="84" t="n"/>
      <c r="H52" s="83" t="n"/>
      <c r="I52" s="78" t="n"/>
      <c r="J52" s="56">
        <f>IF(OR($B52="",$I52="",$D$45=""),"",ROUND($B52*$D$45*$I52,2))</f>
        <v/>
      </c>
      <c r="K52" s="84" t="n"/>
      <c r="L52" s="83" t="n"/>
      <c r="M52" s="78" t="n"/>
      <c r="N52" s="56">
        <f>IF(OR($B52="",$M52="",$D$45=""),"",ROUND($B52*$D$45*$M52,2))</f>
        <v/>
      </c>
      <c r="O52" s="85">
        <f>IF(AND($F52="",$J52="",$N52=""),"",ROUND(IF($F52="",0,$F52)+IF($J52="",0,$J52)+IF($N52="",0,$N52),2))</f>
        <v/>
      </c>
    </row>
    <row r="53" ht="18" customHeight="1">
      <c r="A53" s="83" t="n"/>
      <c r="B53" s="72">
        <f>IF(OR($C53="",$A$13="",$A$13=0),"",$C53/$A$13)</f>
        <v/>
      </c>
      <c r="C53" s="76" t="n"/>
      <c r="D53" s="83" t="n"/>
      <c r="E53" s="78" t="n"/>
      <c r="F53" s="56">
        <f>IF(OR($B53="",$E53="",$D$45=""),"",ROUND($B53*$D$45*$E53,2))</f>
        <v/>
      </c>
      <c r="G53" s="84" t="n"/>
      <c r="H53" s="83" t="n"/>
      <c r="I53" s="78" t="n"/>
      <c r="J53" s="56">
        <f>IF(OR($B53="",$I53="",$D$45=""),"",ROUND($B53*$D$45*$I53,2))</f>
        <v/>
      </c>
      <c r="K53" s="84" t="n"/>
      <c r="L53" s="83" t="n"/>
      <c r="M53" s="78" t="n"/>
      <c r="N53" s="56">
        <f>IF(OR($B53="",$M53="",$D$45=""),"",ROUND($B53*$D$45*$M53,2))</f>
        <v/>
      </c>
      <c r="O53" s="85">
        <f>IF(AND($F53="",$J53="",$N53=""),"",ROUND(IF($F53="",0,$F53)+IF($J53="",0,$J53)+IF($N53="",0,$N53),2))</f>
        <v/>
      </c>
    </row>
    <row r="54" ht="18" customHeight="1">
      <c r="A54" s="83" t="n"/>
      <c r="B54" s="72">
        <f>IF(OR($C54="",$A$13="",$A$13=0),"",$C54/$A$13)</f>
        <v/>
      </c>
      <c r="C54" s="76" t="n"/>
      <c r="D54" s="83" t="n"/>
      <c r="E54" s="78" t="n"/>
      <c r="F54" s="56">
        <f>IF(OR($B54="",$E54="",$D$45=""),"",ROUND($B54*$D$45*$E54,2))</f>
        <v/>
      </c>
      <c r="G54" s="84" t="n"/>
      <c r="H54" s="83" t="n"/>
      <c r="I54" s="78" t="n"/>
      <c r="J54" s="56">
        <f>IF(OR($B54="",$I54="",$D$45=""),"",ROUND($B54*$D$45*$I54,2))</f>
        <v/>
      </c>
      <c r="K54" s="84" t="n"/>
      <c r="L54" s="83" t="n"/>
      <c r="M54" s="78" t="n"/>
      <c r="N54" s="56">
        <f>IF(OR($B54="",$M54="",$D$45=""),"",ROUND($B54*$D$45*$M54,2))</f>
        <v/>
      </c>
      <c r="O54" s="85">
        <f>IF(AND($F54="",$J54="",$N54=""),"",ROUND(IF($F54="",0,$F54)+IF($J54="",0,$J54)+IF($N54="",0,$N54),2))</f>
        <v/>
      </c>
    </row>
    <row r="55" ht="18" customHeight="1">
      <c r="A55" s="83" t="n"/>
      <c r="B55" s="72">
        <f>IF(OR($C55="",$A$13="",$A$13=0),"",$C55/$A$13)</f>
        <v/>
      </c>
      <c r="C55" s="76" t="n"/>
      <c r="D55" s="83" t="n"/>
      <c r="E55" s="78" t="n"/>
      <c r="F55" s="56">
        <f>IF(OR($B55="",$E55="",$D$45=""),"",ROUND($B55*$D$45*$E55,2))</f>
        <v/>
      </c>
      <c r="G55" s="84" t="n"/>
      <c r="H55" s="83" t="n"/>
      <c r="I55" s="78" t="n"/>
      <c r="J55" s="56">
        <f>IF(OR($B55="",$I55="",$D$45=""),"",ROUND($B55*$D$45*$I55,2))</f>
        <v/>
      </c>
      <c r="K55" s="84" t="n"/>
      <c r="L55" s="83" t="n"/>
      <c r="M55" s="78" t="n"/>
      <c r="N55" s="56">
        <f>IF(OR($B55="",$M55="",$D$45=""),"",ROUND($B55*$D$45*$M55,2))</f>
        <v/>
      </c>
      <c r="O55" s="85">
        <f>IF(AND($F55="",$J55="",$N55=""),"",ROUND(IF($F55="",0,$F55)+IF($J55="",0,$J55)+IF($N55="",0,$N55),2))</f>
        <v/>
      </c>
    </row>
    <row r="56" ht="18" customHeight="1">
      <c r="A56" s="83" t="n"/>
      <c r="B56" s="72">
        <f>IF(OR($C56="",$A$13="",$A$13=0),"",$C56/$A$13)</f>
        <v/>
      </c>
      <c r="C56" s="76" t="n"/>
      <c r="D56" s="83" t="n"/>
      <c r="E56" s="78" t="n"/>
      <c r="F56" s="56">
        <f>IF(OR($B56="",$E56="",$D$45=""),"",ROUND($B56*$D$45*$E56,2))</f>
        <v/>
      </c>
      <c r="G56" s="84" t="n"/>
      <c r="H56" s="83" t="n"/>
      <c r="I56" s="78" t="n"/>
      <c r="J56" s="56">
        <f>IF(OR($B56="",$I56="",$D$45=""),"",ROUND($B56*$D$45*$I56,2))</f>
        <v/>
      </c>
      <c r="K56" s="84" t="n"/>
      <c r="L56" s="83" t="n"/>
      <c r="M56" s="78" t="n"/>
      <c r="N56" s="56">
        <f>IF(OR($B56="",$M56="",$D$45=""),"",ROUND($B56*$D$45*$M56,2))</f>
        <v/>
      </c>
      <c r="O56" s="85">
        <f>IF(AND($F56="",$J56="",$N56=""),"",ROUND(IF($F56="",0,$F56)+IF($J56="",0,$J56)+IF($N56="",0,$N56),2))</f>
        <v/>
      </c>
    </row>
    <row r="57" ht="18" customHeight="1">
      <c r="A57" s="83" t="n"/>
      <c r="B57" s="72">
        <f>IF(OR($C57="",$A$13="",$A$13=0),"",$C57/$A$13)</f>
        <v/>
      </c>
      <c r="C57" s="76" t="n"/>
      <c r="D57" s="83" t="n"/>
      <c r="E57" s="78" t="n"/>
      <c r="F57" s="56">
        <f>IF(OR($B57="",$E57="",$D$45=""),"",ROUND($B57*$D$45*$E57,2))</f>
        <v/>
      </c>
      <c r="G57" s="84" t="n"/>
      <c r="H57" s="83" t="n"/>
      <c r="I57" s="78" t="n"/>
      <c r="J57" s="56">
        <f>IF(OR($B57="",$I57="",$D$45=""),"",ROUND($B57*$D$45*$I57,2))</f>
        <v/>
      </c>
      <c r="K57" s="84" t="n"/>
      <c r="L57" s="83" t="n"/>
      <c r="M57" s="78" t="n"/>
      <c r="N57" s="56">
        <f>IF(OR($B57="",$M57="",$D$45=""),"",ROUND($B57*$D$45*$M57,2))</f>
        <v/>
      </c>
      <c r="O57" s="85">
        <f>IF(AND($F57="",$J57="",$N57=""),"",ROUND(IF($F57="",0,$F57)+IF($J57="",0,$J57)+IF($N57="",0,$N57),2))</f>
        <v/>
      </c>
    </row>
    <row r="58" ht="18" customHeight="1">
      <c r="A58" s="83" t="n"/>
      <c r="B58" s="72">
        <f>IF(OR($C58="",$A$13="",$A$13=0),"",$C58/$A$13)</f>
        <v/>
      </c>
      <c r="C58" s="76" t="n"/>
      <c r="D58" s="83" t="n"/>
      <c r="E58" s="78" t="n"/>
      <c r="F58" s="56">
        <f>IF(OR($B58="",$E58="",$D$45=""),"",ROUND($B58*$D$45*$E58,2))</f>
        <v/>
      </c>
      <c r="G58" s="84" t="n"/>
      <c r="H58" s="83" t="n"/>
      <c r="I58" s="78" t="n"/>
      <c r="J58" s="56">
        <f>IF(OR($B58="",$I58="",$D$45=""),"",ROUND($B58*$D$45*$I58,2))</f>
        <v/>
      </c>
      <c r="K58" s="84" t="n"/>
      <c r="L58" s="83" t="n"/>
      <c r="M58" s="78" t="n"/>
      <c r="N58" s="56">
        <f>IF(OR($B58="",$M58="",$D$45=""),"",ROUND($B58*$D$45*$M58,2))</f>
        <v/>
      </c>
      <c r="O58" s="85">
        <f>IF(AND($F58="",$J58="",$N58=""),"",ROUND(IF($F58="",0,$F58)+IF($J58="",0,$J58)+IF($N58="",0,$N58),2))</f>
        <v/>
      </c>
    </row>
    <row r="59" ht="18" customHeight="1">
      <c r="A59" s="83" t="n"/>
      <c r="B59" s="72">
        <f>IF(OR($C59="",$A$13="",$A$13=0),"",$C59/$A$13)</f>
        <v/>
      </c>
      <c r="C59" s="76" t="n"/>
      <c r="D59" s="83" t="n"/>
      <c r="E59" s="78" t="n"/>
      <c r="F59" s="56">
        <f>IF(OR($B59="",$E59="",$D$45=""),"",ROUND($B59*$D$45*$E59,2))</f>
        <v/>
      </c>
      <c r="G59" s="84" t="n"/>
      <c r="H59" s="83" t="n"/>
      <c r="I59" s="78" t="n"/>
      <c r="J59" s="56">
        <f>IF(OR($B59="",$I59="",$D$45=""),"",ROUND($B59*$D$45*$I59,2))</f>
        <v/>
      </c>
      <c r="K59" s="84" t="n"/>
      <c r="L59" s="83" t="n"/>
      <c r="M59" s="78" t="n"/>
      <c r="N59" s="56">
        <f>IF(OR($B59="",$M59="",$D$45=""),"",ROUND($B59*$D$45*$M59,2))</f>
        <v/>
      </c>
      <c r="O59" s="85">
        <f>IF(AND($F59="",$J59="",$N59=""),"",ROUND(IF($F59="",0,$F59)+IF($J59="",0,$J59)+IF($N59="",0,$N59),2))</f>
        <v/>
      </c>
    </row>
    <row r="60" ht="18" customHeight="1">
      <c r="A60" s="83" t="n"/>
      <c r="B60" s="72">
        <f>IF(OR($C60="",$A$13="",$A$13=0),"",$C60/$A$13)</f>
        <v/>
      </c>
      <c r="C60" s="76" t="n"/>
      <c r="D60" s="83" t="n"/>
      <c r="E60" s="78" t="n"/>
      <c r="F60" s="56">
        <f>IF(OR($B60="",$E60="",$D$45=""),"",ROUND($B60*$D$45*$E60,2))</f>
        <v/>
      </c>
      <c r="G60" s="84" t="n"/>
      <c r="H60" s="83" t="n"/>
      <c r="I60" s="78" t="n"/>
      <c r="J60" s="56">
        <f>IF(OR($B60="",$I60="",$D$45=""),"",ROUND($B60*$D$45*$I60,2))</f>
        <v/>
      </c>
      <c r="K60" s="84" t="n"/>
      <c r="L60" s="83" t="n"/>
      <c r="M60" s="78" t="n"/>
      <c r="N60" s="56">
        <f>IF(OR($B60="",$M60="",$D$45=""),"",ROUND($B60*$D$45*$M60,2))</f>
        <v/>
      </c>
      <c r="O60" s="85">
        <f>IF(AND($F60="",$J60="",$N60=""),"",ROUND(IF($F60="",0,$F60)+IF($J60="",0,$J60)+IF($N60="",0,$N60),2))</f>
        <v/>
      </c>
    </row>
    <row r="61" ht="20" customHeight="1">
      <c r="A61" s="31" t="inlineStr">
        <is>
          <t>SOMA DOS AMBIENTES</t>
        </is>
      </c>
      <c r="B61" s="62">
        <f>IF($A$13=0,"",$C$61/$A$13)</f>
        <v/>
      </c>
      <c r="C61" s="60">
        <f>ROUND(SUM(C49:C60),2)</f>
        <v/>
      </c>
      <c r="D61" s="86">
        <f>IF($C$61=0,"—",IF(ROUND($C$61-$A$13,2)=0,"OK · os ambientes somam o valor de venda","ATENÇÃO: diferença de "&amp;TEXT($C$61-$A$13,"R$ #,##0.00")))</f>
        <v/>
      </c>
      <c r="E61" s="32" t="n"/>
      <c r="F61" s="60">
        <f>ROUND(SUM(F49:F60),2)</f>
        <v/>
      </c>
      <c r="G61" s="32" t="n"/>
      <c r="H61" s="32" t="n"/>
      <c r="I61" s="32" t="n"/>
      <c r="J61" s="60">
        <f>ROUND(SUM(J49:J60),2)</f>
        <v/>
      </c>
      <c r="K61" s="32" t="n"/>
      <c r="L61" s="32" t="n"/>
      <c r="M61" s="32" t="n"/>
      <c r="N61" s="60">
        <f>ROUND(SUM(N49:N60),2)</f>
        <v/>
      </c>
      <c r="O61" s="60">
        <f>ROUND(SUM(O49:O60),2)</f>
        <v/>
      </c>
    </row>
    <row r="62" ht="8" customHeight="1"/>
    <row r="63" ht="20" customHeight="1">
      <c r="A63" s="8" t="inlineStr">
        <is>
          <t xml:space="preserve">  4 · COMISSÕES OPERACIONAIS          calculadas sobre a RECEITA LÍQUIDA · o realizado vem dos ambientes acima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</row>
    <row r="64" ht="26" customHeight="1">
      <c r="A64" s="19" t="inlineStr">
        <is>
          <t>Item</t>
        </is>
      </c>
      <c r="B64" s="19" t="inlineStr">
        <is>
          <t>%</t>
        </is>
      </c>
      <c r="C64" s="19" t="inlineStr">
        <is>
          <t>Orçado (R$)</t>
        </is>
      </c>
      <c r="D64" s="19" t="inlineStr">
        <is>
          <t>Realizado (R$)</t>
        </is>
      </c>
      <c r="E64" s="19" t="inlineStr">
        <is>
          <t>Desvio (R$)</t>
        </is>
      </c>
      <c r="F64" s="35" t="n"/>
      <c r="G64" s="19" t="inlineStr">
        <is>
          <t>% da venda</t>
        </is>
      </c>
      <c r="H64" s="19" t="inlineStr">
        <is>
          <t>Observação</t>
        </is>
      </c>
      <c r="I64" s="35" t="n"/>
      <c r="J64" s="35" t="n"/>
      <c r="K64" s="35" t="n"/>
      <c r="L64" s="35" t="n"/>
      <c r="M64" s="35" t="n"/>
      <c r="N64" s="35" t="n"/>
      <c r="O64" s="35" t="n"/>
    </row>
    <row r="65" ht="17" customHeight="1">
      <c r="A65" s="36" t="inlineStr">
        <is>
          <t>Coordenação de produção</t>
        </is>
      </c>
      <c r="B65" s="78" t="n"/>
      <c r="C65" s="56">
        <f>IF($B65="","",ROUND($B65*$C$45,2))</f>
        <v/>
      </c>
      <c r="D65" s="56">
        <f>IF($B65="","",ROUND($B65*$D$45,2))</f>
        <v/>
      </c>
      <c r="E65" s="56">
        <f>IF(OR($C65="",$D65=""),"",ROUND($D65-$C65,2))</f>
        <v/>
      </c>
      <c r="F65" s="38" t="n"/>
      <c r="G65" s="72">
        <f>IF(OR($D65="",$A$13="",$A$13=0),"",$D65/$A$13)</f>
        <v/>
      </c>
      <c r="H65" s="73" t="inlineStr">
        <is>
          <t>quem coordena está na identificação, no topo da ficha</t>
        </is>
      </c>
      <c r="I65" s="46" t="n"/>
      <c r="J65" s="46" t="n"/>
      <c r="K65" s="46" t="n"/>
      <c r="L65" s="46" t="n"/>
      <c r="M65" s="46" t="n"/>
      <c r="N65" s="46" t="n"/>
      <c r="O65" s="46" t="n"/>
    </row>
    <row r="66" ht="17" customHeight="1">
      <c r="A66" s="36" t="inlineStr">
        <is>
          <t>Gestão técnica</t>
        </is>
      </c>
      <c r="B66" s="78" t="n">
        <v>0.005</v>
      </c>
      <c r="C66" s="56">
        <f>IF($B66="","",ROUND($B66*$C$45,2))</f>
        <v/>
      </c>
      <c r="D66" s="56">
        <f>IF($B66="","",ROUND($B66*$D$45,2))</f>
        <v/>
      </c>
      <c r="E66" s="56">
        <f>IF(OR($C66="",$D66=""),"",ROUND($D66-$C66,2))</f>
        <v/>
      </c>
      <c r="F66" s="38" t="n"/>
      <c r="G66" s="72">
        <f>IF(OR($D66="",$A$13="",$A$13=0),"",$D66/$A$13)</f>
        <v/>
      </c>
      <c r="H66" s="73" t="n"/>
      <c r="I66" s="46" t="n"/>
      <c r="J66" s="46" t="n"/>
      <c r="K66" s="46" t="n"/>
      <c r="L66" s="46" t="n"/>
      <c r="M66" s="46" t="n"/>
      <c r="N66" s="46" t="n"/>
      <c r="O66" s="46" t="n"/>
    </row>
    <row r="67" ht="17" customHeight="1">
      <c r="A67" s="36" t="inlineStr">
        <is>
          <t>Comissão de produção</t>
        </is>
      </c>
      <c r="B67" s="78" t="n"/>
      <c r="C67" s="56">
        <f>IF($B67="","",ROUND($B67*$C$45,2))</f>
        <v/>
      </c>
      <c r="D67" s="56">
        <f>IF($F$61=0,"",$F$61)</f>
        <v/>
      </c>
      <c r="E67" s="56">
        <f>IF(OR($C67="",$D67=""),"",ROUND($D67-$C67,2))</f>
        <v/>
      </c>
      <c r="F67" s="38" t="n"/>
      <c r="G67" s="72">
        <f>IF(OR($D67="",$A$13="",$A$13=0),"",$D67/$A$13)</f>
        <v/>
      </c>
      <c r="H67" s="73" t="inlineStr">
        <is>
          <t>orçado = % único estimado · realizado = soma dos ambientes</t>
        </is>
      </c>
      <c r="I67" s="46" t="n"/>
      <c r="J67" s="46" t="n"/>
      <c r="K67" s="46" t="n"/>
      <c r="L67" s="46" t="n"/>
      <c r="M67" s="46" t="n"/>
      <c r="N67" s="46" t="n"/>
      <c r="O67" s="46" t="n"/>
    </row>
    <row r="68" ht="17" customHeight="1">
      <c r="A68" s="36" t="inlineStr">
        <is>
          <t>Comissão de montagem</t>
        </is>
      </c>
      <c r="B68" s="78" t="n"/>
      <c r="C68" s="56">
        <f>IF($B68="","",ROUND($B68*$C$45,2))</f>
        <v/>
      </c>
      <c r="D68" s="56">
        <f>IF($J$61=0,"",$J$61)</f>
        <v/>
      </c>
      <c r="E68" s="56">
        <f>IF(OR($C68="",$D68=""),"",ROUND($D68-$C68,2))</f>
        <v/>
      </c>
      <c r="F68" s="38" t="n"/>
      <c r="G68" s="72">
        <f>IF(OR($D68="",$A$13="",$A$13=0),"",$D68/$A$13)</f>
        <v/>
      </c>
      <c r="H68" s="73" t="inlineStr">
        <is>
          <t>orçado = % único estimado · realizado = soma dos ambientes</t>
        </is>
      </c>
      <c r="I68" s="46" t="n"/>
      <c r="J68" s="46" t="n"/>
      <c r="K68" s="46" t="n"/>
      <c r="L68" s="46" t="n"/>
      <c r="M68" s="46" t="n"/>
      <c r="N68" s="46" t="n"/>
      <c r="O68" s="46" t="n"/>
    </row>
    <row r="69" ht="17" customHeight="1">
      <c r="A69" s="36" t="inlineStr">
        <is>
          <t>Comissão de projetista</t>
        </is>
      </c>
      <c r="B69" s="78" t="n"/>
      <c r="C69" s="56">
        <f>IF($B69="","",ROUND($B69*$C$45,2))</f>
        <v/>
      </c>
      <c r="D69" s="56">
        <f>IF($N$61=0,"",$N$61)</f>
        <v/>
      </c>
      <c r="E69" s="56">
        <f>IF(OR($C69="",$D69=""),"",ROUND($D69-$C69,2))</f>
        <v/>
      </c>
      <c r="F69" s="38" t="n"/>
      <c r="G69" s="72">
        <f>IF(OR($D69="",$A$13="",$A$13=0),"",$D69/$A$13)</f>
        <v/>
      </c>
      <c r="H69" s="73" t="inlineStr">
        <is>
          <t>quem projetou cada ambiente está na coluna L do bloco 3</t>
        </is>
      </c>
      <c r="I69" s="46" t="n"/>
      <c r="J69" s="46" t="n"/>
      <c r="K69" s="46" t="n"/>
      <c r="L69" s="46" t="n"/>
      <c r="M69" s="46" t="n"/>
      <c r="N69" s="46" t="n"/>
      <c r="O69" s="46" t="n"/>
    </row>
    <row r="70" ht="20" customHeight="1">
      <c r="A70" s="31" t="inlineStr">
        <is>
          <t>(=) SUBTOTAL DAS COMISSÕES</t>
        </is>
      </c>
      <c r="B70" s="32" t="n"/>
      <c r="C70" s="60">
        <f>ROUND(SUM(C65:C69),2)</f>
        <v/>
      </c>
      <c r="D70" s="60">
        <f>ROUND(SUM(D65:D69),2)</f>
        <v/>
      </c>
      <c r="E70" s="60">
        <f>ROUND($D70-$C70,2)</f>
        <v/>
      </c>
      <c r="F70" s="32" t="n"/>
      <c r="G70" s="62">
        <f>IF(OR($A$13="",$A$13=0),"",$D70/$A$13)</f>
        <v/>
      </c>
      <c r="H70" s="32" t="n"/>
      <c r="I70" s="32" t="n"/>
      <c r="J70" s="32" t="n"/>
      <c r="K70" s="32" t="n"/>
      <c r="L70" s="32" t="n"/>
      <c r="M70" s="32" t="n"/>
      <c r="N70" s="32" t="n"/>
      <c r="O70" s="32" t="n"/>
    </row>
    <row r="71" ht="8" customHeight="1"/>
    <row r="72" ht="20" customHeight="1">
      <c r="A72" s="8" t="inlineStr">
        <is>
          <t xml:space="preserve">  5 · COMISSÕES POR COLABORADOR          consolidado automático — quem produziu, quem montou, quem projetou e o coordenador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</row>
    <row r="73" ht="26" customHeight="1">
      <c r="A73" s="19" t="inlineStr">
        <is>
          <t>Colaborador</t>
        </is>
      </c>
      <c r="B73" s="19" t="inlineStr">
        <is>
          <t>Produção (R$)</t>
        </is>
      </c>
      <c r="C73" s="35" t="n"/>
      <c r="D73" s="19" t="inlineStr">
        <is>
          <t>Montagem (R$)</t>
        </is>
      </c>
      <c r="E73" s="35" t="n"/>
      <c r="F73" s="19" t="inlineStr">
        <is>
          <t>Projeto (R$)</t>
        </is>
      </c>
      <c r="G73" s="35" t="n"/>
      <c r="H73" s="19" t="inlineStr">
        <is>
          <t>Coordenação / Gestão técnica (R$)</t>
        </is>
      </c>
      <c r="I73" s="35" t="n"/>
      <c r="J73" s="19" t="inlineStr">
        <is>
          <t>Total no projeto (R$)</t>
        </is>
      </c>
      <c r="K73" s="35" t="n"/>
      <c r="L73" s="35" t="n"/>
      <c r="M73" s="35" t="n"/>
    </row>
    <row r="74" ht="17" customHeight="1">
      <c r="A74" s="87" t="inlineStr">
        <is>
          <t>Deivison</t>
        </is>
      </c>
      <c r="B74" s="56">
        <f>IF($A74="","",ROUND(SUMIF($D$49:$D$60,$A74,$F$49:$F$60),2))</f>
        <v/>
      </c>
      <c r="C74" s="38" t="n"/>
      <c r="D74" s="56">
        <f>IF($A74="","",ROUND(SUMIF($H$49:$H$60,$A74,$J$49:$J$60),2))</f>
        <v/>
      </c>
      <c r="E74" s="38" t="n"/>
      <c r="F74" s="56">
        <f>IF($A74="","",ROUND(SUMIF($L$49:$L$60,$A74,$N$49:$N$60),2))</f>
        <v/>
      </c>
      <c r="G74" s="38" t="n"/>
      <c r="H74" s="56">
        <f>IF($A74="","",IF($A74=$F$9,IF($D$65="",0,$D$65),0)+IF($A74=$H$66,IF($D$66="",0,$D$66),0))</f>
        <v/>
      </c>
      <c r="I74" s="38" t="n"/>
      <c r="J74" s="88">
        <f>IF($A74="","",ROUND($B74+$D74+$F74+$H74,2))</f>
        <v/>
      </c>
      <c r="K74" s="38" t="n"/>
      <c r="L74" s="38" t="n"/>
      <c r="M74" s="38" t="n"/>
    </row>
    <row r="75" ht="17" customHeight="1">
      <c r="A75" s="87" t="inlineStr">
        <is>
          <t>Ronald</t>
        </is>
      </c>
      <c r="B75" s="56">
        <f>IF($A75="","",ROUND(SUMIF($D$49:$D$60,$A75,$F$49:$F$60),2))</f>
        <v/>
      </c>
      <c r="C75" s="38" t="n"/>
      <c r="D75" s="56">
        <f>IF($A75="","",ROUND(SUMIF($H$49:$H$60,$A75,$J$49:$J$60),2))</f>
        <v/>
      </c>
      <c r="E75" s="38" t="n"/>
      <c r="F75" s="56">
        <f>IF($A75="","",ROUND(SUMIF($L$49:$L$60,$A75,$N$49:$N$60),2))</f>
        <v/>
      </c>
      <c r="G75" s="38" t="n"/>
      <c r="H75" s="56">
        <f>IF($A75="","",IF($A75=$F$9,IF($D$65="",0,$D$65),0)+IF($A75=$H$66,IF($D$66="",0,$D$66),0))</f>
        <v/>
      </c>
      <c r="I75" s="38" t="n"/>
      <c r="J75" s="88">
        <f>IF($A75="","",ROUND($B75+$D75+$F75+$H75,2))</f>
        <v/>
      </c>
      <c r="K75" s="38" t="n"/>
      <c r="L75" s="38" t="n"/>
      <c r="M75" s="38" t="n"/>
    </row>
    <row r="76" ht="17" customHeight="1">
      <c r="A76" s="87" t="inlineStr">
        <is>
          <t>Samuel</t>
        </is>
      </c>
      <c r="B76" s="56">
        <f>IF($A76="","",ROUND(SUMIF($D$49:$D$60,$A76,$F$49:$F$60),2))</f>
        <v/>
      </c>
      <c r="C76" s="38" t="n"/>
      <c r="D76" s="56">
        <f>IF($A76="","",ROUND(SUMIF($H$49:$H$60,$A76,$J$49:$J$60),2))</f>
        <v/>
      </c>
      <c r="E76" s="38" t="n"/>
      <c r="F76" s="56">
        <f>IF($A76="","",ROUND(SUMIF($L$49:$L$60,$A76,$N$49:$N$60),2))</f>
        <v/>
      </c>
      <c r="G76" s="38" t="n"/>
      <c r="H76" s="56">
        <f>IF($A76="","",IF($A76=$F$9,IF($D$65="",0,$D$65),0)+IF($A76=$H$66,IF($D$66="",0,$D$66),0))</f>
        <v/>
      </c>
      <c r="I76" s="38" t="n"/>
      <c r="J76" s="88">
        <f>IF($A76="","",ROUND($B76+$D76+$F76+$H76,2))</f>
        <v/>
      </c>
      <c r="K76" s="38" t="n"/>
      <c r="L76" s="38" t="n"/>
      <c r="M76" s="38" t="n"/>
    </row>
    <row r="77" ht="17" customHeight="1">
      <c r="A77" s="87" t="inlineStr">
        <is>
          <t>Cesar</t>
        </is>
      </c>
      <c r="B77" s="56">
        <f>IF($A77="","",ROUND(SUMIF($D$49:$D$60,$A77,$F$49:$F$60),2))</f>
        <v/>
      </c>
      <c r="C77" s="38" t="n"/>
      <c r="D77" s="56">
        <f>IF($A77="","",ROUND(SUMIF($H$49:$H$60,$A77,$J$49:$J$60),2))</f>
        <v/>
      </c>
      <c r="E77" s="38" t="n"/>
      <c r="F77" s="56">
        <f>IF($A77="","",ROUND(SUMIF($L$49:$L$60,$A77,$N$49:$N$60),2))</f>
        <v/>
      </c>
      <c r="G77" s="38" t="n"/>
      <c r="H77" s="56">
        <f>IF($A77="","",IF($A77=$F$9,IF($D$65="",0,$D$65),0)+IF($A77=$H$66,IF($D$66="",0,$D$66),0))</f>
        <v/>
      </c>
      <c r="I77" s="38" t="n"/>
      <c r="J77" s="88">
        <f>IF($A77="","",ROUND($B77+$D77+$F77+$H77,2))</f>
        <v/>
      </c>
      <c r="K77" s="38" t="n"/>
      <c r="L77" s="38" t="n"/>
      <c r="M77" s="38" t="n"/>
    </row>
    <row r="78" ht="17" customHeight="1">
      <c r="A78" s="87" t="inlineStr">
        <is>
          <t>Jhon</t>
        </is>
      </c>
      <c r="B78" s="56">
        <f>IF($A78="","",ROUND(SUMIF($D$49:$D$60,$A78,$F$49:$F$60),2))</f>
        <v/>
      </c>
      <c r="C78" s="38" t="n"/>
      <c r="D78" s="56">
        <f>IF($A78="","",ROUND(SUMIF($H$49:$H$60,$A78,$J$49:$J$60),2))</f>
        <v/>
      </c>
      <c r="E78" s="38" t="n"/>
      <c r="F78" s="56">
        <f>IF($A78="","",ROUND(SUMIF($L$49:$L$60,$A78,$N$49:$N$60),2))</f>
        <v/>
      </c>
      <c r="G78" s="38" t="n"/>
      <c r="H78" s="56">
        <f>IF($A78="","",IF($A78=$F$9,IF($D$65="",0,$D$65),0)+IF($A78=$H$66,IF($D$66="",0,$D$66),0))</f>
        <v/>
      </c>
      <c r="I78" s="38" t="n"/>
      <c r="J78" s="88">
        <f>IF($A78="","",ROUND($B78+$D78+$F78+$H78,2))</f>
        <v/>
      </c>
      <c r="K78" s="38" t="n"/>
      <c r="L78" s="38" t="n"/>
      <c r="M78" s="38" t="n"/>
    </row>
    <row r="79" ht="17" customHeight="1">
      <c r="A79" s="87" t="inlineStr">
        <is>
          <t>Joelson</t>
        </is>
      </c>
      <c r="B79" s="56">
        <f>IF($A79="","",ROUND(SUMIF($D$49:$D$60,$A79,$F$49:$F$60),2))</f>
        <v/>
      </c>
      <c r="C79" s="38" t="n"/>
      <c r="D79" s="56">
        <f>IF($A79="","",ROUND(SUMIF($H$49:$H$60,$A79,$J$49:$J$60),2))</f>
        <v/>
      </c>
      <c r="E79" s="38" t="n"/>
      <c r="F79" s="56">
        <f>IF($A79="","",ROUND(SUMIF($L$49:$L$60,$A79,$N$49:$N$60),2))</f>
        <v/>
      </c>
      <c r="G79" s="38" t="n"/>
      <c r="H79" s="56">
        <f>IF($A79="","",IF($A79=$F$9,IF($D$65="",0,$D$65),0)+IF($A79=$H$66,IF($D$66="",0,$D$66),0))</f>
        <v/>
      </c>
      <c r="I79" s="38" t="n"/>
      <c r="J79" s="88">
        <f>IF($A79="","",ROUND($B79+$D79+$F79+$H79,2))</f>
        <v/>
      </c>
      <c r="K79" s="38" t="n"/>
      <c r="L79" s="38" t="n"/>
      <c r="M79" s="38" t="n"/>
    </row>
    <row r="80" ht="17" customHeight="1">
      <c r="A80" s="87" t="inlineStr">
        <is>
          <t>Davi</t>
        </is>
      </c>
      <c r="B80" s="56">
        <f>IF($A80="","",ROUND(SUMIF($D$49:$D$60,$A80,$F$49:$F$60),2))</f>
        <v/>
      </c>
      <c r="C80" s="38" t="n"/>
      <c r="D80" s="56">
        <f>IF($A80="","",ROUND(SUMIF($H$49:$H$60,$A80,$J$49:$J$60),2))</f>
        <v/>
      </c>
      <c r="E80" s="38" t="n"/>
      <c r="F80" s="56">
        <f>IF($A80="","",ROUND(SUMIF($L$49:$L$60,$A80,$N$49:$N$60),2))</f>
        <v/>
      </c>
      <c r="G80" s="38" t="n"/>
      <c r="H80" s="56">
        <f>IF($A80="","",IF($A80=$F$9,IF($D$65="",0,$D$65),0)+IF($A80=$H$66,IF($D$66="",0,$D$66),0))</f>
        <v/>
      </c>
      <c r="I80" s="38" t="n"/>
      <c r="J80" s="88">
        <f>IF($A80="","",ROUND($B80+$D80+$F80+$H80,2))</f>
        <v/>
      </c>
      <c r="K80" s="38" t="n"/>
      <c r="L80" s="38" t="n"/>
      <c r="M80" s="38" t="n"/>
    </row>
    <row r="81" ht="17" customHeight="1">
      <c r="A81" s="87" t="inlineStr">
        <is>
          <t>Jomar</t>
        </is>
      </c>
      <c r="B81" s="56">
        <f>IF($A81="","",ROUND(SUMIF($D$49:$D$60,$A81,$F$49:$F$60),2))</f>
        <v/>
      </c>
      <c r="C81" s="38" t="n"/>
      <c r="D81" s="56">
        <f>IF($A81="","",ROUND(SUMIF($H$49:$H$60,$A81,$J$49:$J$60),2))</f>
        <v/>
      </c>
      <c r="E81" s="38" t="n"/>
      <c r="F81" s="56">
        <f>IF($A81="","",ROUND(SUMIF($L$49:$L$60,$A81,$N$49:$N$60),2))</f>
        <v/>
      </c>
      <c r="G81" s="38" t="n"/>
      <c r="H81" s="56">
        <f>IF($A81="","",IF($A81=$F$9,IF($D$65="",0,$D$65),0)+IF($A81=$H$66,IF($D$66="",0,$D$66),0))</f>
        <v/>
      </c>
      <c r="I81" s="38" t="n"/>
      <c r="J81" s="88">
        <f>IF($A81="","",ROUND($B81+$D81+$F81+$H81,2))</f>
        <v/>
      </c>
      <c r="K81" s="38" t="n"/>
      <c r="L81" s="38" t="n"/>
      <c r="M81" s="38" t="n"/>
    </row>
    <row r="82" ht="17" customHeight="1">
      <c r="A82" s="87" t="inlineStr">
        <is>
          <t>Bruno</t>
        </is>
      </c>
      <c r="B82" s="56">
        <f>IF($A82="","",ROUND(SUMIF($D$49:$D$60,$A82,$F$49:$F$60),2))</f>
        <v/>
      </c>
      <c r="C82" s="38" t="n"/>
      <c r="D82" s="56">
        <f>IF($A82="","",ROUND(SUMIF($H$49:$H$60,$A82,$J$49:$J$60),2))</f>
        <v/>
      </c>
      <c r="E82" s="38" t="n"/>
      <c r="F82" s="56">
        <f>IF($A82="","",ROUND(SUMIF($L$49:$L$60,$A82,$N$49:$N$60),2))</f>
        <v/>
      </c>
      <c r="G82" s="38" t="n"/>
      <c r="H82" s="56">
        <f>IF($A82="","",IF($A82=$F$9,IF($D$65="",0,$D$65),0)+IF($A82=$H$66,IF($D$66="",0,$D$66),0))</f>
        <v/>
      </c>
      <c r="I82" s="38" t="n"/>
      <c r="J82" s="88">
        <f>IF($A82="","",ROUND($B82+$D82+$F82+$H82,2))</f>
        <v/>
      </c>
      <c r="K82" s="38" t="n"/>
      <c r="L82" s="38" t="n"/>
      <c r="M82" s="38" t="n"/>
    </row>
    <row r="83" ht="17" customHeight="1">
      <c r="A83" s="87" t="inlineStr">
        <is>
          <t>Wallace</t>
        </is>
      </c>
      <c r="B83" s="56">
        <f>IF($A83="","",ROUND(SUMIF($D$49:$D$60,$A83,$F$49:$F$60),2))</f>
        <v/>
      </c>
      <c r="C83" s="38" t="n"/>
      <c r="D83" s="56">
        <f>IF($A83="","",ROUND(SUMIF($H$49:$H$60,$A83,$J$49:$J$60),2))</f>
        <v/>
      </c>
      <c r="E83" s="38" t="n"/>
      <c r="F83" s="56">
        <f>IF($A83="","",ROUND(SUMIF($L$49:$L$60,$A83,$N$49:$N$60),2))</f>
        <v/>
      </c>
      <c r="G83" s="38" t="n"/>
      <c r="H83" s="56">
        <f>IF($A83="","",IF($A83=$F$9,IF($D$65="",0,$D$65),0)+IF($A83=$H$66,IF($D$66="",0,$D$66),0))</f>
        <v/>
      </c>
      <c r="I83" s="38" t="n"/>
      <c r="J83" s="88">
        <f>IF($A83="","",ROUND($B83+$D83+$F83+$H83,2))</f>
        <v/>
      </c>
      <c r="K83" s="38" t="n"/>
      <c r="L83" s="38" t="n"/>
      <c r="M83" s="38" t="n"/>
    </row>
    <row r="84" ht="17" customHeight="1">
      <c r="A84" s="87" t="inlineStr">
        <is>
          <t>Douglas</t>
        </is>
      </c>
      <c r="B84" s="56">
        <f>IF($A84="","",ROUND(SUMIF($D$49:$D$60,$A84,$F$49:$F$60),2))</f>
        <v/>
      </c>
      <c r="C84" s="38" t="n"/>
      <c r="D84" s="56">
        <f>IF($A84="","",ROUND(SUMIF($H$49:$H$60,$A84,$J$49:$J$60),2))</f>
        <v/>
      </c>
      <c r="E84" s="38" t="n"/>
      <c r="F84" s="56">
        <f>IF($A84="","",ROUND(SUMIF($L$49:$L$60,$A84,$N$49:$N$60),2))</f>
        <v/>
      </c>
      <c r="G84" s="38" t="n"/>
      <c r="H84" s="56">
        <f>IF($A84="","",IF($A84=$F$9,IF($D$65="",0,$D$65),0)+IF($A84=$H$66,IF($D$66="",0,$D$66),0))</f>
        <v/>
      </c>
      <c r="I84" s="38" t="n"/>
      <c r="J84" s="88">
        <f>IF($A84="","",ROUND($B84+$D84+$F84+$H84,2))</f>
        <v/>
      </c>
      <c r="K84" s="38" t="n"/>
      <c r="L84" s="38" t="n"/>
      <c r="M84" s="38" t="n"/>
    </row>
    <row r="85" ht="17" customHeight="1">
      <c r="A85" s="87" t="inlineStr">
        <is>
          <t>Terceiro / avulso</t>
        </is>
      </c>
      <c r="B85" s="56">
        <f>IF($A85="","",ROUND(SUMIF($D$49:$D$60,$A85,$F$49:$F$60),2))</f>
        <v/>
      </c>
      <c r="C85" s="38" t="n"/>
      <c r="D85" s="56">
        <f>IF($A85="","",ROUND(SUMIF($H$49:$H$60,$A85,$J$49:$J$60),2))</f>
        <v/>
      </c>
      <c r="E85" s="38" t="n"/>
      <c r="F85" s="56">
        <f>IF($A85="","",ROUND(SUMIF($L$49:$L$60,$A85,$N$49:$N$60),2))</f>
        <v/>
      </c>
      <c r="G85" s="38" t="n"/>
      <c r="H85" s="56">
        <f>IF($A85="","",IF($A85=$F$9,IF($D$65="",0,$D$65),0)+IF($A85=$H$66,IF($D$66="",0,$D$66),0))</f>
        <v/>
      </c>
      <c r="I85" s="38" t="n"/>
      <c r="J85" s="88">
        <f>IF($A85="","",ROUND($B85+$D85+$F85+$H85,2))</f>
        <v/>
      </c>
      <c r="K85" s="38" t="n"/>
      <c r="L85" s="38" t="n"/>
      <c r="M85" s="38" t="n"/>
    </row>
    <row r="86" ht="17" customHeight="1">
      <c r="A86" s="87" t="inlineStr">
        <is>
          <t>Lorrane</t>
        </is>
      </c>
      <c r="B86" s="56">
        <f>IF($A86="","",ROUND(SUMIF($D$49:$D$60,$A86,$F$49:$F$60),2))</f>
        <v/>
      </c>
      <c r="C86" s="38" t="n"/>
      <c r="D86" s="56">
        <f>IF($A86="","",ROUND(SUMIF($H$49:$H$60,$A86,$J$49:$J$60),2))</f>
        <v/>
      </c>
      <c r="E86" s="38" t="n"/>
      <c r="F86" s="56">
        <f>IF($A86="","",ROUND(SUMIF($L$49:$L$60,$A86,$N$49:$N$60),2))</f>
        <v/>
      </c>
      <c r="G86" s="38" t="n"/>
      <c r="H86" s="56">
        <f>IF($A86="","",IF($A86=$F$9,IF($D$65="",0,$D$65),0)+IF($A86=$H$66,IF($D$66="",0,$D$66),0))</f>
        <v/>
      </c>
      <c r="I86" s="38" t="n"/>
      <c r="J86" s="88">
        <f>IF($A86="","",ROUND($B86+$D86+$F86+$H86,2))</f>
        <v/>
      </c>
      <c r="K86" s="38" t="n"/>
      <c r="L86" s="38" t="n"/>
      <c r="M86" s="38" t="n"/>
    </row>
    <row r="87" ht="17" customHeight="1">
      <c r="A87" s="87" t="inlineStr">
        <is>
          <t>Lucas</t>
        </is>
      </c>
      <c r="B87" s="56">
        <f>IF($A87="","",ROUND(SUMIF($D$49:$D$60,$A87,$F$49:$F$60),2))</f>
        <v/>
      </c>
      <c r="C87" s="38" t="n"/>
      <c r="D87" s="56">
        <f>IF($A87="","",ROUND(SUMIF($H$49:$H$60,$A87,$J$49:$J$60),2))</f>
        <v/>
      </c>
      <c r="E87" s="38" t="n"/>
      <c r="F87" s="56">
        <f>IF($A87="","",ROUND(SUMIF($L$49:$L$60,$A87,$N$49:$N$60),2))</f>
        <v/>
      </c>
      <c r="G87" s="38" t="n"/>
      <c r="H87" s="56">
        <f>IF($A87="","",IF($A87=$F$9,IF($D$65="",0,$D$65),0)+IF($A87=$H$66,IF($D$66="",0,$D$66),0))</f>
        <v/>
      </c>
      <c r="I87" s="38" t="n"/>
      <c r="J87" s="88">
        <f>IF($A87="","",ROUND($B87+$D87+$F87+$H87,2))</f>
        <v/>
      </c>
      <c r="K87" s="38" t="n"/>
      <c r="L87" s="38" t="n"/>
      <c r="M87" s="38" t="n"/>
    </row>
    <row r="88" ht="17" customHeight="1">
      <c r="A88" s="87" t="inlineStr">
        <is>
          <t>Externo / avulso</t>
        </is>
      </c>
      <c r="B88" s="56">
        <f>IF($A88="","",ROUND(SUMIF($D$49:$D$60,$A88,$F$49:$F$60),2))</f>
        <v/>
      </c>
      <c r="C88" s="38" t="n"/>
      <c r="D88" s="56">
        <f>IF($A88="","",ROUND(SUMIF($H$49:$H$60,$A88,$J$49:$J$60),2))</f>
        <v/>
      </c>
      <c r="E88" s="38" t="n"/>
      <c r="F88" s="56">
        <f>IF($A88="","",ROUND(SUMIF($L$49:$L$60,$A88,$N$49:$N$60),2))</f>
        <v/>
      </c>
      <c r="G88" s="38" t="n"/>
      <c r="H88" s="56">
        <f>IF($A88="","",IF($A88=$F$9,IF($D$65="",0,$D$65),0)+IF($A88=$H$66,IF($D$66="",0,$D$66),0))</f>
        <v/>
      </c>
      <c r="I88" s="38" t="n"/>
      <c r="J88" s="88">
        <f>IF($A88="","",ROUND($B88+$D88+$F88+$H88,2))</f>
        <v/>
      </c>
      <c r="K88" s="38" t="n"/>
      <c r="L88" s="38" t="n"/>
      <c r="M88" s="38" t="n"/>
    </row>
    <row r="89" ht="17" customHeight="1">
      <c r="A89" s="87" t="inlineStr">
        <is>
          <t>Bruna</t>
        </is>
      </c>
      <c r="B89" s="56">
        <f>IF($A89="","",ROUND(SUMIF($D$49:$D$60,$A89,$F$49:$F$60),2))</f>
        <v/>
      </c>
      <c r="C89" s="38" t="n"/>
      <c r="D89" s="56">
        <f>IF($A89="","",ROUND(SUMIF($H$49:$H$60,$A89,$J$49:$J$60),2))</f>
        <v/>
      </c>
      <c r="E89" s="38" t="n"/>
      <c r="F89" s="56">
        <f>IF($A89="","",ROUND(SUMIF($L$49:$L$60,$A89,$N$49:$N$60),2))</f>
        <v/>
      </c>
      <c r="G89" s="38" t="n"/>
      <c r="H89" s="56">
        <f>IF($A89="","",IF($A89=$F$9,IF($D$65="",0,$D$65),0)+IF($A89=$H$66,IF($D$66="",0,$D$66),0))</f>
        <v/>
      </c>
      <c r="I89" s="38" t="n"/>
      <c r="J89" s="88">
        <f>IF($A89="","",ROUND($B89+$D89+$F89+$H89,2))</f>
        <v/>
      </c>
      <c r="K89" s="38" t="n"/>
      <c r="L89" s="38" t="n"/>
      <c r="M89" s="38" t="n"/>
    </row>
    <row r="90" ht="17" customHeight="1">
      <c r="A90" s="87" t="n"/>
      <c r="B90" s="56">
        <f>IF($A90="","",ROUND(SUMIF($D$49:$D$60,$A90,$F$49:$F$60),2))</f>
        <v/>
      </c>
      <c r="C90" s="38" t="n"/>
      <c r="D90" s="56">
        <f>IF($A90="","",ROUND(SUMIF($H$49:$H$60,$A90,$J$49:$J$60),2))</f>
        <v/>
      </c>
      <c r="E90" s="38" t="n"/>
      <c r="F90" s="56">
        <f>IF($A90="","",ROUND(SUMIF($L$49:$L$60,$A90,$N$49:$N$60),2))</f>
        <v/>
      </c>
      <c r="G90" s="38" t="n"/>
      <c r="H90" s="56">
        <f>IF($A90="","",IF($A90=$F$9,IF($D$65="",0,$D$65),0)+IF($A90=$H$66,IF($D$66="",0,$D$66),0))</f>
        <v/>
      </c>
      <c r="I90" s="38" t="n"/>
      <c r="J90" s="88">
        <f>IF($A90="","",ROUND($B90+$D90+$F90+$H90,2))</f>
        <v/>
      </c>
      <c r="K90" s="38" t="n"/>
      <c r="L90" s="38" t="n"/>
      <c r="M90" s="38" t="n"/>
    </row>
    <row r="91" ht="17" customHeight="1">
      <c r="A91" s="87" t="n"/>
      <c r="B91" s="56">
        <f>IF($A91="","",ROUND(SUMIF($D$49:$D$60,$A91,$F$49:$F$60),2))</f>
        <v/>
      </c>
      <c r="C91" s="38" t="n"/>
      <c r="D91" s="56">
        <f>IF($A91="","",ROUND(SUMIF($H$49:$H$60,$A91,$J$49:$J$60),2))</f>
        <v/>
      </c>
      <c r="E91" s="38" t="n"/>
      <c r="F91" s="56">
        <f>IF($A91="","",ROUND(SUMIF($L$49:$L$60,$A91,$N$49:$N$60),2))</f>
        <v/>
      </c>
      <c r="G91" s="38" t="n"/>
      <c r="H91" s="56">
        <f>IF($A91="","",IF($A91=$F$9,IF($D$65="",0,$D$65),0)+IF($A91=$H$66,IF($D$66="",0,$D$66),0))</f>
        <v/>
      </c>
      <c r="I91" s="38" t="n"/>
      <c r="J91" s="88">
        <f>IF($A91="","",ROUND($B91+$D91+$F91+$H91,2))</f>
        <v/>
      </c>
      <c r="K91" s="38" t="n"/>
      <c r="L91" s="38" t="n"/>
      <c r="M91" s="38" t="n"/>
    </row>
    <row r="92" ht="20" customHeight="1">
      <c r="A92" s="31" t="inlineStr">
        <is>
          <t>TOTAL</t>
        </is>
      </c>
      <c r="B92" s="60">
        <f>ROUND(SUM(B74:B91),2)</f>
        <v/>
      </c>
      <c r="C92" s="32" t="n"/>
      <c r="D92" s="60">
        <f>ROUND(SUM(D74:D91),2)</f>
        <v/>
      </c>
      <c r="E92" s="32" t="n"/>
      <c r="F92" s="60">
        <f>ROUND(SUM(F74:F91),2)</f>
        <v/>
      </c>
      <c r="G92" s="32" t="n"/>
      <c r="H92" s="60">
        <f>ROUND(SUM(H74:H91),2)</f>
        <v/>
      </c>
      <c r="I92" s="32" t="n"/>
      <c r="J92" s="60">
        <f>ROUND(SUM(J74:J91),2)</f>
        <v/>
      </c>
      <c r="K92" s="32" t="n"/>
      <c r="L92" s="32" t="n"/>
      <c r="M92" s="32" t="n"/>
    </row>
    <row r="93" ht="8" customHeight="1"/>
    <row r="94" ht="20" customHeight="1">
      <c r="A94" s="8" t="inlineStr">
        <is>
          <t xml:space="preserve">  6 · MATERIAL, TERCEIRIZADOS E LOGÍSTICA          o orçado você digita · o realizado vem sozinho do livro de lançamentos, lá no fim da ficha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</row>
    <row r="95" ht="30" customHeight="1">
      <c r="A95" s="19" t="inlineStr">
        <is>
          <t>Categoria</t>
        </is>
      </c>
      <c r="B95" s="19" t="inlineStr"/>
      <c r="C95" s="19" t="inlineStr">
        <is>
          <t>Orçado (R$)</t>
        </is>
      </c>
      <c r="D95" s="19" t="inlineStr">
        <is>
          <t>Realizado (R$)</t>
        </is>
      </c>
      <c r="E95" s="19" t="inlineStr">
        <is>
          <t>Desvio (R$)</t>
        </is>
      </c>
      <c r="F95" s="35" t="n"/>
      <c r="G95" s="19" t="inlineStr">
        <is>
          <t>Ainda a comprar</t>
        </is>
      </c>
      <c r="H95" s="19" t="inlineStr">
        <is>
          <t>Comprado, ainda a pagar</t>
        </is>
      </c>
      <c r="I95" s="35" t="n"/>
      <c r="J95" s="35" t="n"/>
      <c r="K95" s="35" t="n"/>
      <c r="L95" s="35" t="n"/>
      <c r="M95" s="35" t="n"/>
      <c r="N95" s="35" t="n"/>
      <c r="O95" s="35" t="n"/>
    </row>
    <row r="96" ht="17" customHeight="1">
      <c r="A96" s="36" t="inlineStr">
        <is>
          <t>MDF e MDP</t>
        </is>
      </c>
      <c r="B96" s="37" t="n"/>
      <c r="C96" s="71" t="n"/>
      <c r="D96" s="56">
        <f>ROUND(SUMIFS($E$134:$E$193,$B$134:$B$193,$A96,$I$134:$I$193,"Comprado (a pagar)")+SUMIFS($E$134:$E$193,$B$134:$B$193,$A96,$I$134:$I$193,"Pago"),2)</f>
        <v/>
      </c>
      <c r="E96" s="56">
        <f>IF($C96="","",ROUND($D96-$C96,2))</f>
        <v/>
      </c>
      <c r="F96" s="38" t="n"/>
      <c r="G96" s="89">
        <f>ROUND(SUMIFS($E$134:$E$193,$B$134:$B$193,$A96,$I$134:$I$193,"A comprar"),2)</f>
        <v/>
      </c>
      <c r="H96" s="90">
        <f>ROUND(SUMIFS($E$134:$E$193,$B$134:$B$193,$A96,$I$134:$I$193,"Comprado (a pagar)"),2)</f>
        <v/>
      </c>
      <c r="I96" s="38" t="n"/>
      <c r="J96" s="38" t="n"/>
      <c r="K96" s="38" t="n"/>
      <c r="L96" s="38" t="n"/>
      <c r="M96" s="38" t="n"/>
      <c r="N96" s="38" t="n"/>
      <c r="O96" s="38" t="n"/>
    </row>
    <row r="97" ht="17" customHeight="1">
      <c r="A97" s="36" t="inlineStr">
        <is>
          <t>Fita de borda</t>
        </is>
      </c>
      <c r="B97" s="37" t="n"/>
      <c r="C97" s="71" t="n"/>
      <c r="D97" s="56">
        <f>ROUND(SUMIFS($E$134:$E$193,$B$134:$B$193,$A97,$I$134:$I$193,"Comprado (a pagar)")+SUMIFS($E$134:$E$193,$B$134:$B$193,$A97,$I$134:$I$193,"Pago"),2)</f>
        <v/>
      </c>
      <c r="E97" s="56">
        <f>IF($C97="","",ROUND($D97-$C97,2))</f>
        <v/>
      </c>
      <c r="F97" s="38" t="n"/>
      <c r="G97" s="89">
        <f>ROUND(SUMIFS($E$134:$E$193,$B$134:$B$193,$A97,$I$134:$I$193,"A comprar"),2)</f>
        <v/>
      </c>
      <c r="H97" s="90">
        <f>ROUND(SUMIFS($E$134:$E$193,$B$134:$B$193,$A97,$I$134:$I$193,"Comprado (a pagar)"),2)</f>
        <v/>
      </c>
      <c r="I97" s="38" t="n"/>
      <c r="J97" s="38" t="n"/>
      <c r="K97" s="38" t="n"/>
      <c r="L97" s="38" t="n"/>
      <c r="M97" s="38" t="n"/>
      <c r="N97" s="38" t="n"/>
      <c r="O97" s="38" t="n"/>
    </row>
    <row r="98" ht="17" customHeight="1">
      <c r="A98" s="36" t="inlineStr">
        <is>
          <t>Ferragens</t>
        </is>
      </c>
      <c r="B98" s="37" t="n"/>
      <c r="C98" s="71" t="n"/>
      <c r="D98" s="56">
        <f>ROUND(SUMIFS($E$134:$E$193,$B$134:$B$193,$A98,$I$134:$I$193,"Comprado (a pagar)")+SUMIFS($E$134:$E$193,$B$134:$B$193,$A98,$I$134:$I$193,"Pago"),2)</f>
        <v/>
      </c>
      <c r="E98" s="56">
        <f>IF($C98="","",ROUND($D98-$C98,2))</f>
        <v/>
      </c>
      <c r="F98" s="38" t="n"/>
      <c r="G98" s="89">
        <f>ROUND(SUMIFS($E$134:$E$193,$B$134:$B$193,$A98,$I$134:$I$193,"A comprar"),2)</f>
        <v/>
      </c>
      <c r="H98" s="90">
        <f>ROUND(SUMIFS($E$134:$E$193,$B$134:$B$193,$A98,$I$134:$I$193,"Comprado (a pagar)"),2)</f>
        <v/>
      </c>
      <c r="I98" s="38" t="n"/>
      <c r="J98" s="38" t="n"/>
      <c r="K98" s="38" t="n"/>
      <c r="L98" s="38" t="n"/>
      <c r="M98" s="38" t="n"/>
      <c r="N98" s="38" t="n"/>
      <c r="O98" s="38" t="n"/>
    </row>
    <row r="99" ht="17" customHeight="1">
      <c r="A99" s="36" t="inlineStr">
        <is>
          <t>Vidros e espelhos</t>
        </is>
      </c>
      <c r="B99" s="37" t="n"/>
      <c r="C99" s="71" t="n"/>
      <c r="D99" s="56">
        <f>ROUND(SUMIFS($E$134:$E$193,$B$134:$B$193,$A99,$I$134:$I$193,"Comprado (a pagar)")+SUMIFS($E$134:$E$193,$B$134:$B$193,$A99,$I$134:$I$193,"Pago"),2)</f>
        <v/>
      </c>
      <c r="E99" s="56">
        <f>IF($C99="","",ROUND($D99-$C99,2))</f>
        <v/>
      </c>
      <c r="F99" s="38" t="n"/>
      <c r="G99" s="89">
        <f>ROUND(SUMIFS($E$134:$E$193,$B$134:$B$193,$A99,$I$134:$I$193,"A comprar"),2)</f>
        <v/>
      </c>
      <c r="H99" s="90">
        <f>ROUND(SUMIFS($E$134:$E$193,$B$134:$B$193,$A99,$I$134:$I$193,"Comprado (a pagar)"),2)</f>
        <v/>
      </c>
      <c r="I99" s="38" t="n"/>
      <c r="J99" s="38" t="n"/>
      <c r="K99" s="38" t="n"/>
      <c r="L99" s="38" t="n"/>
      <c r="M99" s="38" t="n"/>
      <c r="N99" s="38" t="n"/>
      <c r="O99" s="38" t="n"/>
    </row>
    <row r="100" ht="17" customHeight="1">
      <c r="A100" s="36" t="inlineStr">
        <is>
          <t>Esquadrias</t>
        </is>
      </c>
      <c r="B100" s="37" t="n"/>
      <c r="C100" s="71" t="n"/>
      <c r="D100" s="56">
        <f>ROUND(SUMIFS($E$134:$E$193,$B$134:$B$193,$A100,$I$134:$I$193,"Comprado (a pagar)")+SUMIFS($E$134:$E$193,$B$134:$B$193,$A100,$I$134:$I$193,"Pago"),2)</f>
        <v/>
      </c>
      <c r="E100" s="56">
        <f>IF($C100="","",ROUND($D100-$C100,2))</f>
        <v/>
      </c>
      <c r="F100" s="38" t="n"/>
      <c r="G100" s="89">
        <f>ROUND(SUMIFS($E$134:$E$193,$B$134:$B$193,$A100,$I$134:$I$193,"A comprar"),2)</f>
        <v/>
      </c>
      <c r="H100" s="90">
        <f>ROUND(SUMIFS($E$134:$E$193,$B$134:$B$193,$A100,$I$134:$I$193,"Comprado (a pagar)"),2)</f>
        <v/>
      </c>
      <c r="I100" s="38" t="n"/>
      <c r="J100" s="38" t="n"/>
      <c r="K100" s="38" t="n"/>
      <c r="L100" s="38" t="n"/>
      <c r="M100" s="38" t="n"/>
      <c r="N100" s="38" t="n"/>
      <c r="O100" s="38" t="n"/>
    </row>
    <row r="101" ht="17" customHeight="1">
      <c r="A101" s="36" t="inlineStr">
        <is>
          <t>Lâmina natural</t>
        </is>
      </c>
      <c r="B101" s="37" t="n"/>
      <c r="C101" s="71" t="n"/>
      <c r="D101" s="56">
        <f>ROUND(SUMIFS($E$134:$E$193,$B$134:$B$193,$A101,$I$134:$I$193,"Comprado (a pagar)")+SUMIFS($E$134:$E$193,$B$134:$B$193,$A101,$I$134:$I$193,"Pago"),2)</f>
        <v/>
      </c>
      <c r="E101" s="56">
        <f>IF($C101="","",ROUND($D101-$C101,2))</f>
        <v/>
      </c>
      <c r="F101" s="38" t="n"/>
      <c r="G101" s="89">
        <f>ROUND(SUMIFS($E$134:$E$193,$B$134:$B$193,$A101,$I$134:$I$193,"A comprar"),2)</f>
        <v/>
      </c>
      <c r="H101" s="90">
        <f>ROUND(SUMIFS($E$134:$E$193,$B$134:$B$193,$A101,$I$134:$I$193,"Comprado (a pagar)"),2)</f>
        <v/>
      </c>
      <c r="I101" s="38" t="n"/>
      <c r="J101" s="38" t="n"/>
      <c r="K101" s="38" t="n"/>
      <c r="L101" s="38" t="n"/>
      <c r="M101" s="38" t="n"/>
      <c r="N101" s="38" t="n"/>
      <c r="O101" s="38" t="n"/>
    </row>
    <row r="102" ht="17" customHeight="1">
      <c r="A102" s="36" t="inlineStr">
        <is>
          <t>Consumíveis</t>
        </is>
      </c>
      <c r="B102" s="37" t="n"/>
      <c r="C102" s="71" t="n"/>
      <c r="D102" s="56">
        <f>ROUND(SUMIFS($E$134:$E$193,$B$134:$B$193,$A102,$I$134:$I$193,"Comprado (a pagar)")+SUMIFS($E$134:$E$193,$B$134:$B$193,$A102,$I$134:$I$193,"Pago"),2)</f>
        <v/>
      </c>
      <c r="E102" s="56">
        <f>IF($C102="","",ROUND($D102-$C102,2))</f>
        <v/>
      </c>
      <c r="F102" s="38" t="n"/>
      <c r="G102" s="89">
        <f>ROUND(SUMIFS($E$134:$E$193,$B$134:$B$193,$A102,$I$134:$I$193,"A comprar"),2)</f>
        <v/>
      </c>
      <c r="H102" s="90">
        <f>ROUND(SUMIFS($E$134:$E$193,$B$134:$B$193,$A102,$I$134:$I$193,"Comprado (a pagar)"),2)</f>
        <v/>
      </c>
      <c r="I102" s="38" t="n"/>
      <c r="J102" s="38" t="n"/>
      <c r="K102" s="38" t="n"/>
      <c r="L102" s="38" t="n"/>
      <c r="M102" s="38" t="n"/>
      <c r="N102" s="38" t="n"/>
      <c r="O102" s="38" t="n"/>
    </row>
    <row r="103" ht="20" customHeight="1">
      <c r="A103" s="31" t="inlineStr">
        <is>
          <t>(=) SUBTOTAL · MATERIAL</t>
        </is>
      </c>
      <c r="B103" s="32" t="n"/>
      <c r="C103" s="60">
        <f>ROUND(SUM(C96:C102),2)</f>
        <v/>
      </c>
      <c r="D103" s="60">
        <f>ROUND(SUM(D96:D102),2)</f>
        <v/>
      </c>
      <c r="E103" s="60">
        <f>ROUND(SUM(E96:E102),2)</f>
        <v/>
      </c>
      <c r="F103" s="32" t="n"/>
      <c r="G103" s="60">
        <f>ROUND(SUM(G96:G102),2)</f>
        <v/>
      </c>
      <c r="H103" s="60">
        <f>ROUND(SUM(H96:H102),2)</f>
        <v/>
      </c>
      <c r="I103" s="32" t="n"/>
      <c r="J103" s="32" t="n"/>
      <c r="K103" s="32" t="n"/>
      <c r="L103" s="32" t="n"/>
      <c r="M103" s="32" t="n"/>
      <c r="N103" s="32" t="n"/>
      <c r="O103" s="32" t="n"/>
    </row>
    <row r="104" ht="17" customHeight="1">
      <c r="A104" s="36" t="inlineStr">
        <is>
          <t>Acabamento</t>
        </is>
      </c>
      <c r="B104" s="37" t="n"/>
      <c r="C104" s="71" t="n"/>
      <c r="D104" s="56">
        <f>ROUND(SUMIFS($E$134:$E$193,$B$134:$B$193,$A104,$I$134:$I$193,"Comprado (a pagar)")+SUMIFS($E$134:$E$193,$B$134:$B$193,$A104,$I$134:$I$193,"Pago"),2)</f>
        <v/>
      </c>
      <c r="E104" s="56">
        <f>IF($C104="","",ROUND($D104-$C104,2))</f>
        <v/>
      </c>
      <c r="F104" s="38" t="n"/>
      <c r="G104" s="89">
        <f>ROUND(SUMIFS($E$134:$E$193,$B$134:$B$193,$A104,$I$134:$I$193,"A comprar"),2)</f>
        <v/>
      </c>
      <c r="H104" s="90">
        <f>ROUND(SUMIFS($E$134:$E$193,$B$134:$B$193,$A104,$I$134:$I$193,"Comprado (a pagar)"),2)</f>
        <v/>
      </c>
      <c r="I104" s="38" t="n"/>
      <c r="J104" s="38" t="n"/>
      <c r="K104" s="38" t="n"/>
      <c r="L104" s="38" t="n"/>
      <c r="M104" s="38" t="n"/>
      <c r="N104" s="38" t="n"/>
      <c r="O104" s="38" t="n"/>
    </row>
    <row r="105" ht="17" customHeight="1">
      <c r="A105" s="36" t="inlineStr">
        <is>
          <t>Serralheria</t>
        </is>
      </c>
      <c r="B105" s="37" t="n"/>
      <c r="C105" s="71" t="n"/>
      <c r="D105" s="56">
        <f>ROUND(SUMIFS($E$134:$E$193,$B$134:$B$193,$A105,$I$134:$I$193,"Comprado (a pagar)")+SUMIFS($E$134:$E$193,$B$134:$B$193,$A105,$I$134:$I$193,"Pago"),2)</f>
        <v/>
      </c>
      <c r="E105" s="56">
        <f>IF($C105="","",ROUND($D105-$C105,2))</f>
        <v/>
      </c>
      <c r="F105" s="38" t="n"/>
      <c r="G105" s="89">
        <f>ROUND(SUMIFS($E$134:$E$193,$B$134:$B$193,$A105,$I$134:$I$193,"A comprar"),2)</f>
        <v/>
      </c>
      <c r="H105" s="90">
        <f>ROUND(SUMIFS($E$134:$E$193,$B$134:$B$193,$A105,$I$134:$I$193,"Comprado (a pagar)"),2)</f>
        <v/>
      </c>
      <c r="I105" s="38" t="n"/>
      <c r="J105" s="38" t="n"/>
      <c r="K105" s="38" t="n"/>
      <c r="L105" s="38" t="n"/>
      <c r="M105" s="38" t="n"/>
      <c r="N105" s="38" t="n"/>
      <c r="O105" s="38" t="n"/>
    </row>
    <row r="106" ht="17" customHeight="1">
      <c r="A106" s="36" t="inlineStr">
        <is>
          <t>Vidraceiro</t>
        </is>
      </c>
      <c r="B106" s="37" t="n"/>
      <c r="C106" s="71" t="n"/>
      <c r="D106" s="56">
        <f>ROUND(SUMIFS($E$134:$E$193,$B$134:$B$193,$A106,$I$134:$I$193,"Comprado (a pagar)")+SUMIFS($E$134:$E$193,$B$134:$B$193,$A106,$I$134:$I$193,"Pago"),2)</f>
        <v/>
      </c>
      <c r="E106" s="56">
        <f>IF($C106="","",ROUND($D106-$C106,2))</f>
        <v/>
      </c>
      <c r="F106" s="38" t="n"/>
      <c r="G106" s="89">
        <f>ROUND(SUMIFS($E$134:$E$193,$B$134:$B$193,$A106,$I$134:$I$193,"A comprar"),2)</f>
        <v/>
      </c>
      <c r="H106" s="90">
        <f>ROUND(SUMIFS($E$134:$E$193,$B$134:$B$193,$A106,$I$134:$I$193,"Comprado (a pagar)"),2)</f>
        <v/>
      </c>
      <c r="I106" s="38" t="n"/>
      <c r="J106" s="38" t="n"/>
      <c r="K106" s="38" t="n"/>
      <c r="L106" s="38" t="n"/>
      <c r="M106" s="38" t="n"/>
      <c r="N106" s="38" t="n"/>
      <c r="O106" s="38" t="n"/>
    </row>
    <row r="107" ht="17" customHeight="1">
      <c r="A107" s="36" t="inlineStr">
        <is>
          <t>Outro terceirizado</t>
        </is>
      </c>
      <c r="B107" s="37" t="n"/>
      <c r="C107" s="71" t="n"/>
      <c r="D107" s="56">
        <f>ROUND(SUMIFS($E$134:$E$193,$B$134:$B$193,$A107,$I$134:$I$193,"Comprado (a pagar)")+SUMIFS($E$134:$E$193,$B$134:$B$193,$A107,$I$134:$I$193,"Pago"),2)</f>
        <v/>
      </c>
      <c r="E107" s="56">
        <f>IF($C107="","",ROUND($D107-$C107,2))</f>
        <v/>
      </c>
      <c r="F107" s="38" t="n"/>
      <c r="G107" s="89">
        <f>ROUND(SUMIFS($E$134:$E$193,$B$134:$B$193,$A107,$I$134:$I$193,"A comprar"),2)</f>
        <v/>
      </c>
      <c r="H107" s="90">
        <f>ROUND(SUMIFS($E$134:$E$193,$B$134:$B$193,$A107,$I$134:$I$193,"Comprado (a pagar)"),2)</f>
        <v/>
      </c>
      <c r="I107" s="38" t="n"/>
      <c r="J107" s="38" t="n"/>
      <c r="K107" s="38" t="n"/>
      <c r="L107" s="38" t="n"/>
      <c r="M107" s="38" t="n"/>
      <c r="N107" s="38" t="n"/>
      <c r="O107" s="38" t="n"/>
    </row>
    <row r="108" ht="20" customHeight="1">
      <c r="A108" s="31" t="inlineStr">
        <is>
          <t>(=) SUBTOTAL · SERVIÇOS TERCEIRIZADOS</t>
        </is>
      </c>
      <c r="B108" s="32" t="n"/>
      <c r="C108" s="60">
        <f>ROUND(SUM(C104:C107),2)</f>
        <v/>
      </c>
      <c r="D108" s="60">
        <f>ROUND(SUM(D104:D107),2)</f>
        <v/>
      </c>
      <c r="E108" s="60">
        <f>ROUND(SUM(E104:E107),2)</f>
        <v/>
      </c>
      <c r="F108" s="32" t="n"/>
      <c r="G108" s="60">
        <f>ROUND(SUM(G104:G107),2)</f>
        <v/>
      </c>
      <c r="H108" s="60">
        <f>ROUND(SUM(H104:H107),2)</f>
        <v/>
      </c>
      <c r="I108" s="32" t="n"/>
      <c r="J108" s="32" t="n"/>
      <c r="K108" s="32" t="n"/>
      <c r="L108" s="32" t="n"/>
      <c r="M108" s="32" t="n"/>
      <c r="N108" s="32" t="n"/>
      <c r="O108" s="32" t="n"/>
    </row>
    <row r="109" ht="17" customHeight="1">
      <c r="A109" s="36" t="inlineStr">
        <is>
          <t>Uber e aplicativo</t>
        </is>
      </c>
      <c r="B109" s="37" t="n"/>
      <c r="C109" s="71" t="n"/>
      <c r="D109" s="56">
        <f>ROUND(SUMIFS($E$134:$E$193,$B$134:$B$193,$A109,$I$134:$I$193,"Comprado (a pagar)")+SUMIFS($E$134:$E$193,$B$134:$B$193,$A109,$I$134:$I$193,"Pago"),2)</f>
        <v/>
      </c>
      <c r="E109" s="56">
        <f>IF($C109="","",ROUND($D109-$C109,2))</f>
        <v/>
      </c>
      <c r="F109" s="38" t="n"/>
      <c r="G109" s="89">
        <f>ROUND(SUMIFS($E$134:$E$193,$B$134:$B$193,$A109,$I$134:$I$193,"A comprar"),2)</f>
        <v/>
      </c>
      <c r="H109" s="90">
        <f>ROUND(SUMIFS($E$134:$E$193,$B$134:$B$193,$A109,$I$134:$I$193,"Comprado (a pagar)"),2)</f>
        <v/>
      </c>
      <c r="I109" s="38" t="n"/>
      <c r="J109" s="38" t="n"/>
      <c r="K109" s="38" t="n"/>
      <c r="L109" s="38" t="n"/>
      <c r="M109" s="38" t="n"/>
      <c r="N109" s="38" t="n"/>
      <c r="O109" s="38" t="n"/>
    </row>
    <row r="110" ht="17" customHeight="1">
      <c r="A110" s="36" t="inlineStr">
        <is>
          <t>Carreto e entrega</t>
        </is>
      </c>
      <c r="B110" s="37" t="n"/>
      <c r="C110" s="71" t="n"/>
      <c r="D110" s="56">
        <f>ROUND(SUMIFS($E$134:$E$193,$B$134:$B$193,$A110,$I$134:$I$193,"Comprado (a pagar)")+SUMIFS($E$134:$E$193,$B$134:$B$193,$A110,$I$134:$I$193,"Pago"),2)</f>
        <v/>
      </c>
      <c r="E110" s="56">
        <f>IF($C110="","",ROUND($D110-$C110,2))</f>
        <v/>
      </c>
      <c r="F110" s="38" t="n"/>
      <c r="G110" s="89">
        <f>ROUND(SUMIFS($E$134:$E$193,$B$134:$B$193,$A110,$I$134:$I$193,"A comprar"),2)</f>
        <v/>
      </c>
      <c r="H110" s="90">
        <f>ROUND(SUMIFS($E$134:$E$193,$B$134:$B$193,$A110,$I$134:$I$193,"Comprado (a pagar)"),2)</f>
        <v/>
      </c>
      <c r="I110" s="38" t="n"/>
      <c r="J110" s="38" t="n"/>
      <c r="K110" s="38" t="n"/>
      <c r="L110" s="38" t="n"/>
      <c r="M110" s="38" t="n"/>
      <c r="N110" s="38" t="n"/>
      <c r="O110" s="38" t="n"/>
    </row>
    <row r="111" ht="17" customHeight="1">
      <c r="A111" s="36" t="inlineStr">
        <is>
          <t>Deslocamento da equipe</t>
        </is>
      </c>
      <c r="B111" s="37" t="n"/>
      <c r="C111" s="71" t="n"/>
      <c r="D111" s="56">
        <f>ROUND(SUMIFS($E$134:$E$193,$B$134:$B$193,$A111,$I$134:$I$193,"Comprado (a pagar)")+SUMIFS($E$134:$E$193,$B$134:$B$193,$A111,$I$134:$I$193,"Pago"),2)</f>
        <v/>
      </c>
      <c r="E111" s="56">
        <f>IF($C111="","",ROUND($D111-$C111,2))</f>
        <v/>
      </c>
      <c r="F111" s="38" t="n"/>
      <c r="G111" s="89">
        <f>ROUND(SUMIFS($E$134:$E$193,$B$134:$B$193,$A111,$I$134:$I$193,"A comprar"),2)</f>
        <v/>
      </c>
      <c r="H111" s="90">
        <f>ROUND(SUMIFS($E$134:$E$193,$B$134:$B$193,$A111,$I$134:$I$193,"Comprado (a pagar)"),2)</f>
        <v/>
      </c>
      <c r="I111" s="38" t="n"/>
      <c r="J111" s="38" t="n"/>
      <c r="K111" s="38" t="n"/>
      <c r="L111" s="38" t="n"/>
      <c r="M111" s="38" t="n"/>
      <c r="N111" s="38" t="n"/>
      <c r="O111" s="38" t="n"/>
    </row>
    <row r="112" ht="17" customHeight="1">
      <c r="A112" s="36" t="inlineStr">
        <is>
          <t>Frete de material</t>
        </is>
      </c>
      <c r="B112" s="37" t="n"/>
      <c r="C112" s="71" t="n"/>
      <c r="D112" s="56">
        <f>ROUND(SUMIFS($E$134:$E$193,$B$134:$B$193,$A112,$I$134:$I$193,"Comprado (a pagar)")+SUMIFS($E$134:$E$193,$B$134:$B$193,$A112,$I$134:$I$193,"Pago"),2)</f>
        <v/>
      </c>
      <c r="E112" s="56">
        <f>IF($C112="","",ROUND($D112-$C112,2))</f>
        <v/>
      </c>
      <c r="F112" s="38" t="n"/>
      <c r="G112" s="89">
        <f>ROUND(SUMIFS($E$134:$E$193,$B$134:$B$193,$A112,$I$134:$I$193,"A comprar"),2)</f>
        <v/>
      </c>
      <c r="H112" s="90">
        <f>ROUND(SUMIFS($E$134:$E$193,$B$134:$B$193,$A112,$I$134:$I$193,"Comprado (a pagar)"),2)</f>
        <v/>
      </c>
      <c r="I112" s="38" t="n"/>
      <c r="J112" s="38" t="n"/>
      <c r="K112" s="38" t="n"/>
      <c r="L112" s="38" t="n"/>
      <c r="M112" s="38" t="n"/>
      <c r="N112" s="38" t="n"/>
      <c r="O112" s="38" t="n"/>
    </row>
    <row r="113" ht="17" customHeight="1">
      <c r="A113" s="36" t="inlineStr">
        <is>
          <t>Estacionamento e pedágio</t>
        </is>
      </c>
      <c r="B113" s="37" t="n"/>
      <c r="C113" s="71" t="n"/>
      <c r="D113" s="56">
        <f>ROUND(SUMIFS($E$134:$E$193,$B$134:$B$193,$A113,$I$134:$I$193,"Comprado (a pagar)")+SUMIFS($E$134:$E$193,$B$134:$B$193,$A113,$I$134:$I$193,"Pago"),2)</f>
        <v/>
      </c>
      <c r="E113" s="56">
        <f>IF($C113="","",ROUND($D113-$C113,2))</f>
        <v/>
      </c>
      <c r="F113" s="38" t="n"/>
      <c r="G113" s="89">
        <f>ROUND(SUMIFS($E$134:$E$193,$B$134:$B$193,$A113,$I$134:$I$193,"A comprar"),2)</f>
        <v/>
      </c>
      <c r="H113" s="90">
        <f>ROUND(SUMIFS($E$134:$E$193,$B$134:$B$193,$A113,$I$134:$I$193,"Comprado (a pagar)"),2)</f>
        <v/>
      </c>
      <c r="I113" s="38" t="n"/>
      <c r="J113" s="38" t="n"/>
      <c r="K113" s="38" t="n"/>
      <c r="L113" s="38" t="n"/>
      <c r="M113" s="38" t="n"/>
      <c r="N113" s="38" t="n"/>
      <c r="O113" s="38" t="n"/>
    </row>
    <row r="114" ht="20" customHeight="1">
      <c r="A114" s="31" t="inlineStr">
        <is>
          <t>(=) SUBTOTAL · LOGÍSTICA</t>
        </is>
      </c>
      <c r="B114" s="32" t="n"/>
      <c r="C114" s="60">
        <f>ROUND(SUM(C109:C113),2)</f>
        <v/>
      </c>
      <c r="D114" s="60">
        <f>ROUND(SUM(D109:D113),2)</f>
        <v/>
      </c>
      <c r="E114" s="60">
        <f>ROUND(SUM(E109:E113),2)</f>
        <v/>
      </c>
      <c r="F114" s="32" t="n"/>
      <c r="G114" s="60">
        <f>ROUND(SUM(G109:G113),2)</f>
        <v/>
      </c>
      <c r="H114" s="60">
        <f>ROUND(SUM(H109:H113),2)</f>
        <v/>
      </c>
      <c r="I114" s="32" t="n"/>
      <c r="J114" s="32" t="n"/>
      <c r="K114" s="32" t="n"/>
      <c r="L114" s="32" t="n"/>
      <c r="M114" s="32" t="n"/>
      <c r="N114" s="32" t="n"/>
      <c r="O114" s="32" t="n"/>
    </row>
    <row r="115" ht="8" customHeight="1"/>
    <row r="116" ht="20" customHeight="1">
      <c r="A116" s="8" t="inlineStr">
        <is>
          <t xml:space="preserve">  7 · RETRABALHO          o que aconteceu, por que aconteceu e quanto custou — é aqui que o orçamento aprende</t>
        </is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</row>
    <row r="117" ht="26" customHeight="1">
      <c r="A117" s="19" t="inlineStr">
        <is>
          <t>O que aconteceu</t>
        </is>
      </c>
      <c r="B117" s="19" t="inlineStr">
        <is>
          <t>Causa</t>
        </is>
      </c>
      <c r="C117" s="35" t="n"/>
      <c r="D117" s="35" t="n"/>
      <c r="E117" s="19" t="inlineStr">
        <is>
          <t>Custo estimado (R$)</t>
        </is>
      </c>
      <c r="F117" s="35" t="n"/>
      <c r="G117" s="19" t="inlineStr">
        <is>
          <t>Providência / responsável</t>
        </is>
      </c>
      <c r="H117" s="35" t="n"/>
      <c r="I117" s="35" t="n"/>
      <c r="J117" s="35" t="n"/>
      <c r="K117" s="35" t="n"/>
      <c r="L117" s="35" t="n"/>
      <c r="M117" s="35" t="n"/>
      <c r="N117" s="35" t="n"/>
      <c r="O117" s="35" t="n"/>
    </row>
    <row r="118" ht="18" customHeight="1">
      <c r="A118" s="83" t="n"/>
      <c r="B118" s="83" t="n"/>
      <c r="C118" s="46" t="n"/>
      <c r="D118" s="46" t="n"/>
      <c r="E118" s="91" t="n"/>
      <c r="F118" s="46" t="n"/>
      <c r="G118" s="73" t="n"/>
      <c r="H118" s="46" t="n"/>
      <c r="I118" s="46" t="n"/>
      <c r="J118" s="46" t="n"/>
      <c r="K118" s="46" t="n"/>
      <c r="L118" s="46" t="n"/>
      <c r="M118" s="46" t="n"/>
      <c r="N118" s="46" t="n"/>
      <c r="O118" s="46" t="n"/>
    </row>
    <row r="119" ht="18" customHeight="1">
      <c r="A119" s="83" t="n"/>
      <c r="B119" s="83" t="n"/>
      <c r="C119" s="46" t="n"/>
      <c r="D119" s="46" t="n"/>
      <c r="E119" s="91" t="n"/>
      <c r="F119" s="46" t="n"/>
      <c r="G119" s="73" t="n"/>
      <c r="H119" s="46" t="n"/>
      <c r="I119" s="46" t="n"/>
      <c r="J119" s="46" t="n"/>
      <c r="K119" s="46" t="n"/>
      <c r="L119" s="46" t="n"/>
      <c r="M119" s="46" t="n"/>
      <c r="N119" s="46" t="n"/>
      <c r="O119" s="46" t="n"/>
    </row>
    <row r="120" ht="18" customHeight="1">
      <c r="A120" s="83" t="n"/>
      <c r="B120" s="83" t="n"/>
      <c r="C120" s="46" t="n"/>
      <c r="D120" s="46" t="n"/>
      <c r="E120" s="91" t="n"/>
      <c r="F120" s="46" t="n"/>
      <c r="G120" s="73" t="n"/>
      <c r="H120" s="46" t="n"/>
      <c r="I120" s="46" t="n"/>
      <c r="J120" s="46" t="n"/>
      <c r="K120" s="46" t="n"/>
      <c r="L120" s="46" t="n"/>
      <c r="M120" s="46" t="n"/>
      <c r="N120" s="46" t="n"/>
      <c r="O120" s="46" t="n"/>
    </row>
    <row r="121" ht="18" customHeight="1">
      <c r="A121" s="83" t="n"/>
      <c r="B121" s="83" t="n"/>
      <c r="C121" s="46" t="n"/>
      <c r="D121" s="46" t="n"/>
      <c r="E121" s="91" t="n"/>
      <c r="F121" s="46" t="n"/>
      <c r="G121" s="73" t="n"/>
      <c r="H121" s="46" t="n"/>
      <c r="I121" s="46" t="n"/>
      <c r="J121" s="46" t="n"/>
      <c r="K121" s="46" t="n"/>
      <c r="L121" s="46" t="n"/>
      <c r="M121" s="46" t="n"/>
      <c r="N121" s="46" t="n"/>
      <c r="O121" s="46" t="n"/>
    </row>
    <row r="122" ht="18" customHeight="1">
      <c r="A122" s="83" t="n"/>
      <c r="B122" s="83" t="n"/>
      <c r="C122" s="46" t="n"/>
      <c r="D122" s="46" t="n"/>
      <c r="E122" s="91" t="n"/>
      <c r="F122" s="46" t="n"/>
      <c r="G122" s="73" t="n"/>
      <c r="H122" s="46" t="n"/>
      <c r="I122" s="46" t="n"/>
      <c r="J122" s="46" t="n"/>
      <c r="K122" s="46" t="n"/>
      <c r="L122" s="46" t="n"/>
      <c r="M122" s="46" t="n"/>
      <c r="N122" s="46" t="n"/>
      <c r="O122" s="46" t="n"/>
    </row>
    <row r="123" ht="18" customHeight="1">
      <c r="A123" s="83" t="n"/>
      <c r="B123" s="83" t="n"/>
      <c r="C123" s="46" t="n"/>
      <c r="D123" s="46" t="n"/>
      <c r="E123" s="91" t="n"/>
      <c r="F123" s="46" t="n"/>
      <c r="G123" s="73" t="n"/>
      <c r="H123" s="46" t="n"/>
      <c r="I123" s="46" t="n"/>
      <c r="J123" s="46" t="n"/>
      <c r="K123" s="46" t="n"/>
      <c r="L123" s="46" t="n"/>
      <c r="M123" s="46" t="n"/>
      <c r="N123" s="46" t="n"/>
      <c r="O123" s="46" t="n"/>
    </row>
    <row r="124" ht="18" customHeight="1">
      <c r="A124" s="83" t="n"/>
      <c r="B124" s="83" t="n"/>
      <c r="C124" s="46" t="n"/>
      <c r="D124" s="46" t="n"/>
      <c r="E124" s="91" t="n"/>
      <c r="F124" s="46" t="n"/>
      <c r="G124" s="73" t="n"/>
      <c r="H124" s="46" t="n"/>
      <c r="I124" s="46" t="n"/>
      <c r="J124" s="46" t="n"/>
      <c r="K124" s="46" t="n"/>
      <c r="L124" s="46" t="n"/>
      <c r="M124" s="46" t="n"/>
      <c r="N124" s="46" t="n"/>
      <c r="O124" s="46" t="n"/>
    </row>
    <row r="125" ht="18" customHeight="1">
      <c r="A125" s="83" t="n"/>
      <c r="B125" s="83" t="n"/>
      <c r="C125" s="46" t="n"/>
      <c r="D125" s="46" t="n"/>
      <c r="E125" s="91" t="n"/>
      <c r="F125" s="46" t="n"/>
      <c r="G125" s="73" t="n"/>
      <c r="H125" s="46" t="n"/>
      <c r="I125" s="46" t="n"/>
      <c r="J125" s="46" t="n"/>
      <c r="K125" s="46" t="n"/>
      <c r="L125" s="46" t="n"/>
      <c r="M125" s="46" t="n"/>
      <c r="N125" s="46" t="n"/>
      <c r="O125" s="46" t="n"/>
    </row>
    <row r="126" ht="18" customHeight="1">
      <c r="A126" s="83" t="n"/>
      <c r="B126" s="83" t="n"/>
      <c r="C126" s="46" t="n"/>
      <c r="D126" s="46" t="n"/>
      <c r="E126" s="91" t="n"/>
      <c r="F126" s="46" t="n"/>
      <c r="G126" s="73" t="n"/>
      <c r="H126" s="46" t="n"/>
      <c r="I126" s="46" t="n"/>
      <c r="J126" s="46" t="n"/>
      <c r="K126" s="46" t="n"/>
      <c r="L126" s="46" t="n"/>
      <c r="M126" s="46" t="n"/>
      <c r="N126" s="46" t="n"/>
      <c r="O126" s="46" t="n"/>
    </row>
    <row r="127" ht="18" customHeight="1">
      <c r="A127" s="83" t="n"/>
      <c r="B127" s="83" t="n"/>
      <c r="C127" s="46" t="n"/>
      <c r="D127" s="46" t="n"/>
      <c r="E127" s="91" t="n"/>
      <c r="F127" s="46" t="n"/>
      <c r="G127" s="73" t="n"/>
      <c r="H127" s="46" t="n"/>
      <c r="I127" s="46" t="n"/>
      <c r="J127" s="46" t="n"/>
      <c r="K127" s="46" t="n"/>
      <c r="L127" s="46" t="n"/>
      <c r="M127" s="46" t="n"/>
      <c r="N127" s="46" t="n"/>
      <c r="O127" s="46" t="n"/>
    </row>
    <row r="128" ht="18" customHeight="1">
      <c r="A128" s="83" t="n"/>
      <c r="B128" s="83" t="n"/>
      <c r="C128" s="46" t="n"/>
      <c r="D128" s="46" t="n"/>
      <c r="E128" s="91" t="n"/>
      <c r="F128" s="46" t="n"/>
      <c r="G128" s="73" t="n"/>
      <c r="H128" s="46" t="n"/>
      <c r="I128" s="46" t="n"/>
      <c r="J128" s="46" t="n"/>
      <c r="K128" s="46" t="n"/>
      <c r="L128" s="46" t="n"/>
      <c r="M128" s="46" t="n"/>
      <c r="N128" s="46" t="n"/>
      <c r="O128" s="46" t="n"/>
    </row>
    <row r="129" ht="18" customHeight="1">
      <c r="A129" s="83" t="n"/>
      <c r="B129" s="83" t="n"/>
      <c r="C129" s="46" t="n"/>
      <c r="D129" s="46" t="n"/>
      <c r="E129" s="91" t="n"/>
      <c r="F129" s="46" t="n"/>
      <c r="G129" s="73" t="n"/>
      <c r="H129" s="46" t="n"/>
      <c r="I129" s="46" t="n"/>
      <c r="J129" s="46" t="n"/>
      <c r="K129" s="46" t="n"/>
      <c r="L129" s="46" t="n"/>
      <c r="M129" s="46" t="n"/>
      <c r="N129" s="46" t="n"/>
      <c r="O129" s="46" t="n"/>
    </row>
    <row r="130" ht="20" customHeight="1">
      <c r="A130" s="31" t="inlineStr">
        <is>
          <t>CONTINGÊNCIA PREVISTA NO ORÇAMENTO  →</t>
        </is>
      </c>
      <c r="B130" s="32" t="n"/>
      <c r="C130" s="92" t="n"/>
      <c r="D130" s="60">
        <f>ROUND(SUM($E$118:$E$129),2)</f>
        <v/>
      </c>
      <c r="E130" s="60">
        <f>ROUND($D$130-IF($C$130="",0,$C$130),2)</f>
        <v/>
      </c>
      <c r="F130" s="32" t="n"/>
      <c r="G130" s="62">
        <f>IF(OR($A$13="",$A$13=0),"",$D$130/$A$13)</f>
        <v/>
      </c>
      <c r="H130" s="93" t="inlineStr">
        <is>
          <t>orçado = a contingência prevista · realizado = a soma acima</t>
        </is>
      </c>
      <c r="I130" s="32" t="n"/>
      <c r="J130" s="32" t="n"/>
      <c r="K130" s="32" t="n"/>
      <c r="L130" s="32" t="n"/>
      <c r="M130" s="32" t="n"/>
      <c r="N130" s="32" t="n"/>
      <c r="O130" s="32" t="n"/>
    </row>
    <row r="131" ht="8" customHeight="1"/>
    <row r="132" ht="20" customHeight="1">
      <c r="A132" s="8" t="inlineStr">
        <is>
          <t xml:space="preserve">  8 · LIVRO DE COMPRAS E DESPESAS DO PROJETO          uma linha por compra, na ordem em que acontecer · pode inserir linhas à vontade aqui</t>
        </is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</row>
    <row r="133" ht="28" customHeight="1">
      <c r="A133" s="19" t="inlineStr">
        <is>
          <t>Descrição / fornecedor</t>
        </is>
      </c>
      <c r="B133" s="19" t="inlineStr">
        <is>
          <t>Categoria</t>
        </is>
      </c>
      <c r="C133" s="35" t="n"/>
      <c r="D133" s="19" t="inlineStr">
        <is>
          <t>Data</t>
        </is>
      </c>
      <c r="E133" s="19" t="inlineStr">
        <is>
          <t>Valor (R$)</t>
        </is>
      </c>
      <c r="F133" s="35" t="n"/>
      <c r="G133" s="19" t="inlineStr">
        <is>
          <t>Forma de pagamento</t>
        </is>
      </c>
      <c r="H133" s="35" t="n"/>
      <c r="I133" s="19" t="inlineStr">
        <is>
          <t>Status</t>
        </is>
      </c>
      <c r="J133" s="35" t="n"/>
      <c r="K133" s="35" t="n"/>
      <c r="L133" s="35" t="n"/>
      <c r="M133" s="35" t="n"/>
      <c r="N133" s="35" t="n"/>
      <c r="O133" s="35" t="n"/>
    </row>
    <row r="134" ht="17" customHeight="1">
      <c r="A134" s="83" t="n"/>
      <c r="B134" s="94" t="n"/>
      <c r="C134" s="46" t="n"/>
      <c r="D134" s="75" t="n"/>
      <c r="E134" s="95" t="n"/>
      <c r="F134" s="46" t="n"/>
      <c r="G134" s="96" t="n"/>
      <c r="H134" s="46" t="n"/>
      <c r="I134" s="97" t="n"/>
      <c r="J134" s="46" t="n"/>
      <c r="K134" s="46" t="n"/>
      <c r="L134" s="46" t="n"/>
      <c r="M134" s="46" t="n"/>
      <c r="N134" s="46" t="n"/>
      <c r="O134" s="46" t="n"/>
    </row>
    <row r="135" ht="17" customHeight="1">
      <c r="A135" s="83" t="n"/>
      <c r="B135" s="94" t="n"/>
      <c r="C135" s="46" t="n"/>
      <c r="D135" s="75" t="n"/>
      <c r="E135" s="95" t="n"/>
      <c r="F135" s="46" t="n"/>
      <c r="G135" s="96" t="n"/>
      <c r="H135" s="46" t="n"/>
      <c r="I135" s="97" t="n"/>
      <c r="J135" s="46" t="n"/>
      <c r="K135" s="46" t="n"/>
      <c r="L135" s="46" t="n"/>
      <c r="M135" s="46" t="n"/>
      <c r="N135" s="46" t="n"/>
      <c r="O135" s="46" t="n"/>
    </row>
    <row r="136" ht="17" customHeight="1">
      <c r="A136" s="83" t="n"/>
      <c r="B136" s="94" t="n"/>
      <c r="C136" s="46" t="n"/>
      <c r="D136" s="75" t="n"/>
      <c r="E136" s="95" t="n"/>
      <c r="F136" s="46" t="n"/>
      <c r="G136" s="96" t="n"/>
      <c r="H136" s="46" t="n"/>
      <c r="I136" s="97" t="n"/>
      <c r="J136" s="46" t="n"/>
      <c r="K136" s="46" t="n"/>
      <c r="L136" s="46" t="n"/>
      <c r="M136" s="46" t="n"/>
      <c r="N136" s="46" t="n"/>
      <c r="O136" s="46" t="n"/>
    </row>
    <row r="137" ht="17" customHeight="1">
      <c r="A137" s="83" t="n"/>
      <c r="B137" s="94" t="n"/>
      <c r="C137" s="46" t="n"/>
      <c r="D137" s="75" t="n"/>
      <c r="E137" s="95" t="n"/>
      <c r="F137" s="46" t="n"/>
      <c r="G137" s="96" t="n"/>
      <c r="H137" s="46" t="n"/>
      <c r="I137" s="97" t="n"/>
      <c r="J137" s="46" t="n"/>
      <c r="K137" s="46" t="n"/>
      <c r="L137" s="46" t="n"/>
      <c r="M137" s="46" t="n"/>
      <c r="N137" s="46" t="n"/>
      <c r="O137" s="46" t="n"/>
    </row>
    <row r="138" ht="17" customHeight="1">
      <c r="A138" s="83" t="n"/>
      <c r="B138" s="94" t="n"/>
      <c r="C138" s="46" t="n"/>
      <c r="D138" s="75" t="n"/>
      <c r="E138" s="95" t="n"/>
      <c r="F138" s="46" t="n"/>
      <c r="G138" s="96" t="n"/>
      <c r="H138" s="46" t="n"/>
      <c r="I138" s="97" t="n"/>
      <c r="J138" s="46" t="n"/>
      <c r="K138" s="46" t="n"/>
      <c r="L138" s="46" t="n"/>
      <c r="M138" s="46" t="n"/>
      <c r="N138" s="46" t="n"/>
      <c r="O138" s="46" t="n"/>
    </row>
    <row r="139" ht="17" customHeight="1">
      <c r="A139" s="83" t="n"/>
      <c r="B139" s="94" t="n"/>
      <c r="C139" s="46" t="n"/>
      <c r="D139" s="75" t="n"/>
      <c r="E139" s="95" t="n"/>
      <c r="F139" s="46" t="n"/>
      <c r="G139" s="96" t="n"/>
      <c r="H139" s="46" t="n"/>
      <c r="I139" s="97" t="n"/>
      <c r="J139" s="46" t="n"/>
      <c r="K139" s="46" t="n"/>
      <c r="L139" s="46" t="n"/>
      <c r="M139" s="46" t="n"/>
      <c r="N139" s="46" t="n"/>
      <c r="O139" s="46" t="n"/>
    </row>
    <row r="140" ht="17" customHeight="1">
      <c r="A140" s="83" t="n"/>
      <c r="B140" s="94" t="n"/>
      <c r="C140" s="46" t="n"/>
      <c r="D140" s="75" t="n"/>
      <c r="E140" s="95" t="n"/>
      <c r="F140" s="46" t="n"/>
      <c r="G140" s="96" t="n"/>
      <c r="H140" s="46" t="n"/>
      <c r="I140" s="97" t="n"/>
      <c r="J140" s="46" t="n"/>
      <c r="K140" s="46" t="n"/>
      <c r="L140" s="46" t="n"/>
      <c r="M140" s="46" t="n"/>
      <c r="N140" s="46" t="n"/>
      <c r="O140" s="46" t="n"/>
    </row>
    <row r="141" ht="17" customHeight="1">
      <c r="A141" s="83" t="n"/>
      <c r="B141" s="94" t="n"/>
      <c r="C141" s="46" t="n"/>
      <c r="D141" s="75" t="n"/>
      <c r="E141" s="95" t="n"/>
      <c r="F141" s="46" t="n"/>
      <c r="G141" s="96" t="n"/>
      <c r="H141" s="46" t="n"/>
      <c r="I141" s="97" t="n"/>
      <c r="J141" s="46" t="n"/>
      <c r="K141" s="46" t="n"/>
      <c r="L141" s="46" t="n"/>
      <c r="M141" s="46" t="n"/>
      <c r="N141" s="46" t="n"/>
      <c r="O141" s="46" t="n"/>
    </row>
    <row r="142" ht="17" customHeight="1">
      <c r="A142" s="83" t="n"/>
      <c r="B142" s="94" t="n"/>
      <c r="C142" s="46" t="n"/>
      <c r="D142" s="75" t="n"/>
      <c r="E142" s="95" t="n"/>
      <c r="F142" s="46" t="n"/>
      <c r="G142" s="96" t="n"/>
      <c r="H142" s="46" t="n"/>
      <c r="I142" s="97" t="n"/>
      <c r="J142" s="46" t="n"/>
      <c r="K142" s="46" t="n"/>
      <c r="L142" s="46" t="n"/>
      <c r="M142" s="46" t="n"/>
      <c r="N142" s="46" t="n"/>
      <c r="O142" s="46" t="n"/>
    </row>
    <row r="143" ht="17" customHeight="1">
      <c r="A143" s="83" t="n"/>
      <c r="B143" s="94" t="n"/>
      <c r="C143" s="46" t="n"/>
      <c r="D143" s="75" t="n"/>
      <c r="E143" s="95" t="n"/>
      <c r="F143" s="46" t="n"/>
      <c r="G143" s="96" t="n"/>
      <c r="H143" s="46" t="n"/>
      <c r="I143" s="97" t="n"/>
      <c r="J143" s="46" t="n"/>
      <c r="K143" s="46" t="n"/>
      <c r="L143" s="46" t="n"/>
      <c r="M143" s="46" t="n"/>
      <c r="N143" s="46" t="n"/>
      <c r="O143" s="46" t="n"/>
    </row>
    <row r="144" ht="17" customHeight="1">
      <c r="A144" s="83" t="n"/>
      <c r="B144" s="94" t="n"/>
      <c r="C144" s="46" t="n"/>
      <c r="D144" s="75" t="n"/>
      <c r="E144" s="95" t="n"/>
      <c r="F144" s="46" t="n"/>
      <c r="G144" s="96" t="n"/>
      <c r="H144" s="46" t="n"/>
      <c r="I144" s="97" t="n"/>
      <c r="J144" s="46" t="n"/>
      <c r="K144" s="46" t="n"/>
      <c r="L144" s="46" t="n"/>
      <c r="M144" s="46" t="n"/>
      <c r="N144" s="46" t="n"/>
      <c r="O144" s="46" t="n"/>
    </row>
    <row r="145" ht="17" customHeight="1">
      <c r="A145" s="83" t="n"/>
      <c r="B145" s="94" t="n"/>
      <c r="C145" s="46" t="n"/>
      <c r="D145" s="75" t="n"/>
      <c r="E145" s="95" t="n"/>
      <c r="F145" s="46" t="n"/>
      <c r="G145" s="96" t="n"/>
      <c r="H145" s="46" t="n"/>
      <c r="I145" s="97" t="n"/>
      <c r="J145" s="46" t="n"/>
      <c r="K145" s="46" t="n"/>
      <c r="L145" s="46" t="n"/>
      <c r="M145" s="46" t="n"/>
      <c r="N145" s="46" t="n"/>
      <c r="O145" s="46" t="n"/>
    </row>
    <row r="146" ht="17" customHeight="1">
      <c r="A146" s="83" t="n"/>
      <c r="B146" s="94" t="n"/>
      <c r="C146" s="46" t="n"/>
      <c r="D146" s="75" t="n"/>
      <c r="E146" s="95" t="n"/>
      <c r="F146" s="46" t="n"/>
      <c r="G146" s="96" t="n"/>
      <c r="H146" s="46" t="n"/>
      <c r="I146" s="97" t="n"/>
      <c r="J146" s="46" t="n"/>
      <c r="K146" s="46" t="n"/>
      <c r="L146" s="46" t="n"/>
      <c r="M146" s="46" t="n"/>
      <c r="N146" s="46" t="n"/>
      <c r="O146" s="46" t="n"/>
    </row>
    <row r="147" ht="17" customHeight="1">
      <c r="A147" s="83" t="n"/>
      <c r="B147" s="94" t="n"/>
      <c r="C147" s="46" t="n"/>
      <c r="D147" s="75" t="n"/>
      <c r="E147" s="95" t="n"/>
      <c r="F147" s="46" t="n"/>
      <c r="G147" s="96" t="n"/>
      <c r="H147" s="46" t="n"/>
      <c r="I147" s="97" t="n"/>
      <c r="J147" s="46" t="n"/>
      <c r="K147" s="46" t="n"/>
      <c r="L147" s="46" t="n"/>
      <c r="M147" s="46" t="n"/>
      <c r="N147" s="46" t="n"/>
      <c r="O147" s="46" t="n"/>
    </row>
    <row r="148" ht="17" customHeight="1">
      <c r="A148" s="83" t="n"/>
      <c r="B148" s="94" t="n"/>
      <c r="C148" s="46" t="n"/>
      <c r="D148" s="75" t="n"/>
      <c r="E148" s="95" t="n"/>
      <c r="F148" s="46" t="n"/>
      <c r="G148" s="96" t="n"/>
      <c r="H148" s="46" t="n"/>
      <c r="I148" s="97" t="n"/>
      <c r="J148" s="46" t="n"/>
      <c r="K148" s="46" t="n"/>
      <c r="L148" s="46" t="n"/>
      <c r="M148" s="46" t="n"/>
      <c r="N148" s="46" t="n"/>
      <c r="O148" s="46" t="n"/>
    </row>
    <row r="149" ht="17" customHeight="1">
      <c r="A149" s="83" t="n"/>
      <c r="B149" s="94" t="n"/>
      <c r="C149" s="46" t="n"/>
      <c r="D149" s="75" t="n"/>
      <c r="E149" s="95" t="n"/>
      <c r="F149" s="46" t="n"/>
      <c r="G149" s="96" t="n"/>
      <c r="H149" s="46" t="n"/>
      <c r="I149" s="97" t="n"/>
      <c r="J149" s="46" t="n"/>
      <c r="K149" s="46" t="n"/>
      <c r="L149" s="46" t="n"/>
      <c r="M149" s="46" t="n"/>
      <c r="N149" s="46" t="n"/>
      <c r="O149" s="46" t="n"/>
    </row>
    <row r="150" ht="17" customHeight="1">
      <c r="A150" s="83" t="n"/>
      <c r="B150" s="94" t="n"/>
      <c r="C150" s="46" t="n"/>
      <c r="D150" s="75" t="n"/>
      <c r="E150" s="95" t="n"/>
      <c r="F150" s="46" t="n"/>
      <c r="G150" s="96" t="n"/>
      <c r="H150" s="46" t="n"/>
      <c r="I150" s="97" t="n"/>
      <c r="J150" s="46" t="n"/>
      <c r="K150" s="46" t="n"/>
      <c r="L150" s="46" t="n"/>
      <c r="M150" s="46" t="n"/>
      <c r="N150" s="46" t="n"/>
      <c r="O150" s="46" t="n"/>
    </row>
    <row r="151" ht="17" customHeight="1">
      <c r="A151" s="83" t="n"/>
      <c r="B151" s="94" t="n"/>
      <c r="C151" s="46" t="n"/>
      <c r="D151" s="75" t="n"/>
      <c r="E151" s="95" t="n"/>
      <c r="F151" s="46" t="n"/>
      <c r="G151" s="96" t="n"/>
      <c r="H151" s="46" t="n"/>
      <c r="I151" s="97" t="n"/>
      <c r="J151" s="46" t="n"/>
      <c r="K151" s="46" t="n"/>
      <c r="L151" s="46" t="n"/>
      <c r="M151" s="46" t="n"/>
      <c r="N151" s="46" t="n"/>
      <c r="O151" s="46" t="n"/>
    </row>
    <row r="152" ht="17" customHeight="1">
      <c r="A152" s="83" t="n"/>
      <c r="B152" s="94" t="n"/>
      <c r="C152" s="46" t="n"/>
      <c r="D152" s="75" t="n"/>
      <c r="E152" s="95" t="n"/>
      <c r="F152" s="46" t="n"/>
      <c r="G152" s="96" t="n"/>
      <c r="H152" s="46" t="n"/>
      <c r="I152" s="97" t="n"/>
      <c r="J152" s="46" t="n"/>
      <c r="K152" s="46" t="n"/>
      <c r="L152" s="46" t="n"/>
      <c r="M152" s="46" t="n"/>
      <c r="N152" s="46" t="n"/>
      <c r="O152" s="46" t="n"/>
    </row>
    <row r="153" ht="17" customHeight="1">
      <c r="A153" s="83" t="n"/>
      <c r="B153" s="94" t="n"/>
      <c r="C153" s="46" t="n"/>
      <c r="D153" s="75" t="n"/>
      <c r="E153" s="95" t="n"/>
      <c r="F153" s="46" t="n"/>
      <c r="G153" s="96" t="n"/>
      <c r="H153" s="46" t="n"/>
      <c r="I153" s="97" t="n"/>
      <c r="J153" s="46" t="n"/>
      <c r="K153" s="46" t="n"/>
      <c r="L153" s="46" t="n"/>
      <c r="M153" s="46" t="n"/>
      <c r="N153" s="46" t="n"/>
      <c r="O153" s="46" t="n"/>
    </row>
    <row r="154" ht="17" customHeight="1">
      <c r="A154" s="83" t="n"/>
      <c r="B154" s="94" t="n"/>
      <c r="C154" s="46" t="n"/>
      <c r="D154" s="75" t="n"/>
      <c r="E154" s="95" t="n"/>
      <c r="F154" s="46" t="n"/>
      <c r="G154" s="96" t="n"/>
      <c r="H154" s="46" t="n"/>
      <c r="I154" s="97" t="n"/>
      <c r="J154" s="46" t="n"/>
      <c r="K154" s="46" t="n"/>
      <c r="L154" s="46" t="n"/>
      <c r="M154" s="46" t="n"/>
      <c r="N154" s="46" t="n"/>
      <c r="O154" s="46" t="n"/>
    </row>
    <row r="155" ht="17" customHeight="1">
      <c r="A155" s="83" t="n"/>
      <c r="B155" s="94" t="n"/>
      <c r="C155" s="46" t="n"/>
      <c r="D155" s="75" t="n"/>
      <c r="E155" s="95" t="n"/>
      <c r="F155" s="46" t="n"/>
      <c r="G155" s="96" t="n"/>
      <c r="H155" s="46" t="n"/>
      <c r="I155" s="97" t="n"/>
      <c r="J155" s="46" t="n"/>
      <c r="K155" s="46" t="n"/>
      <c r="L155" s="46" t="n"/>
      <c r="M155" s="46" t="n"/>
      <c r="N155" s="46" t="n"/>
      <c r="O155" s="46" t="n"/>
    </row>
    <row r="156" ht="17" customHeight="1">
      <c r="A156" s="83" t="n"/>
      <c r="B156" s="94" t="n"/>
      <c r="C156" s="46" t="n"/>
      <c r="D156" s="75" t="n"/>
      <c r="E156" s="95" t="n"/>
      <c r="F156" s="46" t="n"/>
      <c r="G156" s="96" t="n"/>
      <c r="H156" s="46" t="n"/>
      <c r="I156" s="97" t="n"/>
      <c r="J156" s="46" t="n"/>
      <c r="K156" s="46" t="n"/>
      <c r="L156" s="46" t="n"/>
      <c r="M156" s="46" t="n"/>
      <c r="N156" s="46" t="n"/>
      <c r="O156" s="46" t="n"/>
    </row>
    <row r="157" ht="17" customHeight="1">
      <c r="A157" s="83" t="n"/>
      <c r="B157" s="94" t="n"/>
      <c r="C157" s="46" t="n"/>
      <c r="D157" s="75" t="n"/>
      <c r="E157" s="95" t="n"/>
      <c r="F157" s="46" t="n"/>
      <c r="G157" s="96" t="n"/>
      <c r="H157" s="46" t="n"/>
      <c r="I157" s="97" t="n"/>
      <c r="J157" s="46" t="n"/>
      <c r="K157" s="46" t="n"/>
      <c r="L157" s="46" t="n"/>
      <c r="M157" s="46" t="n"/>
      <c r="N157" s="46" t="n"/>
      <c r="O157" s="46" t="n"/>
    </row>
    <row r="158" ht="17" customHeight="1">
      <c r="A158" s="83" t="n"/>
      <c r="B158" s="94" t="n"/>
      <c r="C158" s="46" t="n"/>
      <c r="D158" s="75" t="n"/>
      <c r="E158" s="95" t="n"/>
      <c r="F158" s="46" t="n"/>
      <c r="G158" s="96" t="n"/>
      <c r="H158" s="46" t="n"/>
      <c r="I158" s="97" t="n"/>
      <c r="J158" s="46" t="n"/>
      <c r="K158" s="46" t="n"/>
      <c r="L158" s="46" t="n"/>
      <c r="M158" s="46" t="n"/>
      <c r="N158" s="46" t="n"/>
      <c r="O158" s="46" t="n"/>
    </row>
    <row r="159" ht="17" customHeight="1">
      <c r="A159" s="83" t="n"/>
      <c r="B159" s="94" t="n"/>
      <c r="C159" s="46" t="n"/>
      <c r="D159" s="75" t="n"/>
      <c r="E159" s="95" t="n"/>
      <c r="F159" s="46" t="n"/>
      <c r="G159" s="96" t="n"/>
      <c r="H159" s="46" t="n"/>
      <c r="I159" s="97" t="n"/>
      <c r="J159" s="46" t="n"/>
      <c r="K159" s="46" t="n"/>
      <c r="L159" s="46" t="n"/>
      <c r="M159" s="46" t="n"/>
      <c r="N159" s="46" t="n"/>
      <c r="O159" s="46" t="n"/>
    </row>
    <row r="160" ht="17" customHeight="1">
      <c r="A160" s="83" t="n"/>
      <c r="B160" s="94" t="n"/>
      <c r="C160" s="46" t="n"/>
      <c r="D160" s="75" t="n"/>
      <c r="E160" s="95" t="n"/>
      <c r="F160" s="46" t="n"/>
      <c r="G160" s="96" t="n"/>
      <c r="H160" s="46" t="n"/>
      <c r="I160" s="97" t="n"/>
      <c r="J160" s="46" t="n"/>
      <c r="K160" s="46" t="n"/>
      <c r="L160" s="46" t="n"/>
      <c r="M160" s="46" t="n"/>
      <c r="N160" s="46" t="n"/>
      <c r="O160" s="46" t="n"/>
    </row>
    <row r="161" ht="17" customHeight="1">
      <c r="A161" s="83" t="n"/>
      <c r="B161" s="94" t="n"/>
      <c r="C161" s="46" t="n"/>
      <c r="D161" s="75" t="n"/>
      <c r="E161" s="95" t="n"/>
      <c r="F161" s="46" t="n"/>
      <c r="G161" s="96" t="n"/>
      <c r="H161" s="46" t="n"/>
      <c r="I161" s="97" t="n"/>
      <c r="J161" s="46" t="n"/>
      <c r="K161" s="46" t="n"/>
      <c r="L161" s="46" t="n"/>
      <c r="M161" s="46" t="n"/>
      <c r="N161" s="46" t="n"/>
      <c r="O161" s="46" t="n"/>
    </row>
    <row r="162" ht="17" customHeight="1">
      <c r="A162" s="83" t="n"/>
      <c r="B162" s="94" t="n"/>
      <c r="C162" s="46" t="n"/>
      <c r="D162" s="75" t="n"/>
      <c r="E162" s="95" t="n"/>
      <c r="F162" s="46" t="n"/>
      <c r="G162" s="96" t="n"/>
      <c r="H162" s="46" t="n"/>
      <c r="I162" s="97" t="n"/>
      <c r="J162" s="46" t="n"/>
      <c r="K162" s="46" t="n"/>
      <c r="L162" s="46" t="n"/>
      <c r="M162" s="46" t="n"/>
      <c r="N162" s="46" t="n"/>
      <c r="O162" s="46" t="n"/>
    </row>
    <row r="163" ht="17" customHeight="1">
      <c r="A163" s="83" t="n"/>
      <c r="B163" s="94" t="n"/>
      <c r="C163" s="46" t="n"/>
      <c r="D163" s="75" t="n"/>
      <c r="E163" s="95" t="n"/>
      <c r="F163" s="46" t="n"/>
      <c r="G163" s="96" t="n"/>
      <c r="H163" s="46" t="n"/>
      <c r="I163" s="97" t="n"/>
      <c r="J163" s="46" t="n"/>
      <c r="K163" s="46" t="n"/>
      <c r="L163" s="46" t="n"/>
      <c r="M163" s="46" t="n"/>
      <c r="N163" s="46" t="n"/>
      <c r="O163" s="46" t="n"/>
    </row>
    <row r="164" ht="17" customHeight="1">
      <c r="A164" s="83" t="n"/>
      <c r="B164" s="94" t="n"/>
      <c r="C164" s="46" t="n"/>
      <c r="D164" s="75" t="n"/>
      <c r="E164" s="95" t="n"/>
      <c r="F164" s="46" t="n"/>
      <c r="G164" s="96" t="n"/>
      <c r="H164" s="46" t="n"/>
      <c r="I164" s="97" t="n"/>
      <c r="J164" s="46" t="n"/>
      <c r="K164" s="46" t="n"/>
      <c r="L164" s="46" t="n"/>
      <c r="M164" s="46" t="n"/>
      <c r="N164" s="46" t="n"/>
      <c r="O164" s="46" t="n"/>
    </row>
    <row r="165" ht="17" customHeight="1">
      <c r="A165" s="83" t="n"/>
      <c r="B165" s="94" t="n"/>
      <c r="C165" s="46" t="n"/>
      <c r="D165" s="75" t="n"/>
      <c r="E165" s="95" t="n"/>
      <c r="F165" s="46" t="n"/>
      <c r="G165" s="96" t="n"/>
      <c r="H165" s="46" t="n"/>
      <c r="I165" s="97" t="n"/>
      <c r="J165" s="46" t="n"/>
      <c r="K165" s="46" t="n"/>
      <c r="L165" s="46" t="n"/>
      <c r="M165" s="46" t="n"/>
      <c r="N165" s="46" t="n"/>
      <c r="O165" s="46" t="n"/>
    </row>
    <row r="166" ht="17" customHeight="1">
      <c r="A166" s="83" t="n"/>
      <c r="B166" s="94" t="n"/>
      <c r="C166" s="46" t="n"/>
      <c r="D166" s="75" t="n"/>
      <c r="E166" s="95" t="n"/>
      <c r="F166" s="46" t="n"/>
      <c r="G166" s="96" t="n"/>
      <c r="H166" s="46" t="n"/>
      <c r="I166" s="97" t="n"/>
      <c r="J166" s="46" t="n"/>
      <c r="K166" s="46" t="n"/>
      <c r="L166" s="46" t="n"/>
      <c r="M166" s="46" t="n"/>
      <c r="N166" s="46" t="n"/>
      <c r="O166" s="46" t="n"/>
    </row>
    <row r="167" ht="17" customHeight="1">
      <c r="A167" s="83" t="n"/>
      <c r="B167" s="94" t="n"/>
      <c r="C167" s="46" t="n"/>
      <c r="D167" s="75" t="n"/>
      <c r="E167" s="95" t="n"/>
      <c r="F167" s="46" t="n"/>
      <c r="G167" s="96" t="n"/>
      <c r="H167" s="46" t="n"/>
      <c r="I167" s="97" t="n"/>
      <c r="J167" s="46" t="n"/>
      <c r="K167" s="46" t="n"/>
      <c r="L167" s="46" t="n"/>
      <c r="M167" s="46" t="n"/>
      <c r="N167" s="46" t="n"/>
      <c r="O167" s="46" t="n"/>
    </row>
    <row r="168" ht="17" customHeight="1">
      <c r="A168" s="83" t="n"/>
      <c r="B168" s="94" t="n"/>
      <c r="C168" s="46" t="n"/>
      <c r="D168" s="75" t="n"/>
      <c r="E168" s="95" t="n"/>
      <c r="F168" s="46" t="n"/>
      <c r="G168" s="96" t="n"/>
      <c r="H168" s="46" t="n"/>
      <c r="I168" s="97" t="n"/>
      <c r="J168" s="46" t="n"/>
      <c r="K168" s="46" t="n"/>
      <c r="L168" s="46" t="n"/>
      <c r="M168" s="46" t="n"/>
      <c r="N168" s="46" t="n"/>
      <c r="O168" s="46" t="n"/>
    </row>
    <row r="169" ht="17" customHeight="1">
      <c r="A169" s="83" t="n"/>
      <c r="B169" s="94" t="n"/>
      <c r="C169" s="46" t="n"/>
      <c r="D169" s="75" t="n"/>
      <c r="E169" s="95" t="n"/>
      <c r="F169" s="46" t="n"/>
      <c r="G169" s="96" t="n"/>
      <c r="H169" s="46" t="n"/>
      <c r="I169" s="97" t="n"/>
      <c r="J169" s="46" t="n"/>
      <c r="K169" s="46" t="n"/>
      <c r="L169" s="46" t="n"/>
      <c r="M169" s="46" t="n"/>
      <c r="N169" s="46" t="n"/>
      <c r="O169" s="46" t="n"/>
    </row>
    <row r="170" ht="17" customHeight="1">
      <c r="A170" s="83" t="n"/>
      <c r="B170" s="94" t="n"/>
      <c r="C170" s="46" t="n"/>
      <c r="D170" s="75" t="n"/>
      <c r="E170" s="95" t="n"/>
      <c r="F170" s="46" t="n"/>
      <c r="G170" s="96" t="n"/>
      <c r="H170" s="46" t="n"/>
      <c r="I170" s="97" t="n"/>
      <c r="J170" s="46" t="n"/>
      <c r="K170" s="46" t="n"/>
      <c r="L170" s="46" t="n"/>
      <c r="M170" s="46" t="n"/>
      <c r="N170" s="46" t="n"/>
      <c r="O170" s="46" t="n"/>
    </row>
    <row r="171" ht="17" customHeight="1">
      <c r="A171" s="83" t="n"/>
      <c r="B171" s="94" t="n"/>
      <c r="C171" s="46" t="n"/>
      <c r="D171" s="75" t="n"/>
      <c r="E171" s="95" t="n"/>
      <c r="F171" s="46" t="n"/>
      <c r="G171" s="96" t="n"/>
      <c r="H171" s="46" t="n"/>
      <c r="I171" s="97" t="n"/>
      <c r="J171" s="46" t="n"/>
      <c r="K171" s="46" t="n"/>
      <c r="L171" s="46" t="n"/>
      <c r="M171" s="46" t="n"/>
      <c r="N171" s="46" t="n"/>
      <c r="O171" s="46" t="n"/>
    </row>
    <row r="172" ht="17" customHeight="1">
      <c r="A172" s="83" t="n"/>
      <c r="B172" s="94" t="n"/>
      <c r="C172" s="46" t="n"/>
      <c r="D172" s="75" t="n"/>
      <c r="E172" s="95" t="n"/>
      <c r="F172" s="46" t="n"/>
      <c r="G172" s="96" t="n"/>
      <c r="H172" s="46" t="n"/>
      <c r="I172" s="97" t="n"/>
      <c r="J172" s="46" t="n"/>
      <c r="K172" s="46" t="n"/>
      <c r="L172" s="46" t="n"/>
      <c r="M172" s="46" t="n"/>
      <c r="N172" s="46" t="n"/>
      <c r="O172" s="46" t="n"/>
    </row>
    <row r="173" ht="17" customHeight="1">
      <c r="A173" s="83" t="n"/>
      <c r="B173" s="94" t="n"/>
      <c r="C173" s="46" t="n"/>
      <c r="D173" s="75" t="n"/>
      <c r="E173" s="95" t="n"/>
      <c r="F173" s="46" t="n"/>
      <c r="G173" s="96" t="n"/>
      <c r="H173" s="46" t="n"/>
      <c r="I173" s="97" t="n"/>
      <c r="J173" s="46" t="n"/>
      <c r="K173" s="46" t="n"/>
      <c r="L173" s="46" t="n"/>
      <c r="M173" s="46" t="n"/>
      <c r="N173" s="46" t="n"/>
      <c r="O173" s="46" t="n"/>
    </row>
    <row r="174" ht="17" customHeight="1">
      <c r="A174" s="83" t="n"/>
      <c r="B174" s="94" t="n"/>
      <c r="C174" s="46" t="n"/>
      <c r="D174" s="75" t="n"/>
      <c r="E174" s="95" t="n"/>
      <c r="F174" s="46" t="n"/>
      <c r="G174" s="96" t="n"/>
      <c r="H174" s="46" t="n"/>
      <c r="I174" s="97" t="n"/>
      <c r="J174" s="46" t="n"/>
      <c r="K174" s="46" t="n"/>
      <c r="L174" s="46" t="n"/>
      <c r="M174" s="46" t="n"/>
      <c r="N174" s="46" t="n"/>
      <c r="O174" s="46" t="n"/>
    </row>
    <row r="175" ht="17" customHeight="1">
      <c r="A175" s="83" t="n"/>
      <c r="B175" s="94" t="n"/>
      <c r="C175" s="46" t="n"/>
      <c r="D175" s="75" t="n"/>
      <c r="E175" s="95" t="n"/>
      <c r="F175" s="46" t="n"/>
      <c r="G175" s="96" t="n"/>
      <c r="H175" s="46" t="n"/>
      <c r="I175" s="97" t="n"/>
      <c r="J175" s="46" t="n"/>
      <c r="K175" s="46" t="n"/>
      <c r="L175" s="46" t="n"/>
      <c r="M175" s="46" t="n"/>
      <c r="N175" s="46" t="n"/>
      <c r="O175" s="46" t="n"/>
    </row>
    <row r="176" ht="17" customHeight="1">
      <c r="A176" s="83" t="n"/>
      <c r="B176" s="94" t="n"/>
      <c r="C176" s="46" t="n"/>
      <c r="D176" s="75" t="n"/>
      <c r="E176" s="95" t="n"/>
      <c r="F176" s="46" t="n"/>
      <c r="G176" s="96" t="n"/>
      <c r="H176" s="46" t="n"/>
      <c r="I176" s="97" t="n"/>
      <c r="J176" s="46" t="n"/>
      <c r="K176" s="46" t="n"/>
      <c r="L176" s="46" t="n"/>
      <c r="M176" s="46" t="n"/>
      <c r="N176" s="46" t="n"/>
      <c r="O176" s="46" t="n"/>
    </row>
    <row r="177" ht="17" customHeight="1">
      <c r="A177" s="83" t="n"/>
      <c r="B177" s="94" t="n"/>
      <c r="C177" s="46" t="n"/>
      <c r="D177" s="75" t="n"/>
      <c r="E177" s="95" t="n"/>
      <c r="F177" s="46" t="n"/>
      <c r="G177" s="96" t="n"/>
      <c r="H177" s="46" t="n"/>
      <c r="I177" s="97" t="n"/>
      <c r="J177" s="46" t="n"/>
      <c r="K177" s="46" t="n"/>
      <c r="L177" s="46" t="n"/>
      <c r="M177" s="46" t="n"/>
      <c r="N177" s="46" t="n"/>
      <c r="O177" s="46" t="n"/>
    </row>
    <row r="178" ht="17" customHeight="1">
      <c r="A178" s="83" t="n"/>
      <c r="B178" s="94" t="n"/>
      <c r="C178" s="46" t="n"/>
      <c r="D178" s="75" t="n"/>
      <c r="E178" s="95" t="n"/>
      <c r="F178" s="46" t="n"/>
      <c r="G178" s="96" t="n"/>
      <c r="H178" s="46" t="n"/>
      <c r="I178" s="97" t="n"/>
      <c r="J178" s="46" t="n"/>
      <c r="K178" s="46" t="n"/>
      <c r="L178" s="46" t="n"/>
      <c r="M178" s="46" t="n"/>
      <c r="N178" s="46" t="n"/>
      <c r="O178" s="46" t="n"/>
    </row>
    <row r="179" ht="17" customHeight="1">
      <c r="A179" s="83" t="n"/>
      <c r="B179" s="94" t="n"/>
      <c r="C179" s="46" t="n"/>
      <c r="D179" s="75" t="n"/>
      <c r="E179" s="95" t="n"/>
      <c r="F179" s="46" t="n"/>
      <c r="G179" s="96" t="n"/>
      <c r="H179" s="46" t="n"/>
      <c r="I179" s="97" t="n"/>
      <c r="J179" s="46" t="n"/>
      <c r="K179" s="46" t="n"/>
      <c r="L179" s="46" t="n"/>
      <c r="M179" s="46" t="n"/>
      <c r="N179" s="46" t="n"/>
      <c r="O179" s="46" t="n"/>
    </row>
    <row r="180" ht="17" customHeight="1">
      <c r="A180" s="83" t="n"/>
      <c r="B180" s="94" t="n"/>
      <c r="C180" s="46" t="n"/>
      <c r="D180" s="75" t="n"/>
      <c r="E180" s="95" t="n"/>
      <c r="F180" s="46" t="n"/>
      <c r="G180" s="96" t="n"/>
      <c r="H180" s="46" t="n"/>
      <c r="I180" s="97" t="n"/>
      <c r="J180" s="46" t="n"/>
      <c r="K180" s="46" t="n"/>
      <c r="L180" s="46" t="n"/>
      <c r="M180" s="46" t="n"/>
      <c r="N180" s="46" t="n"/>
      <c r="O180" s="46" t="n"/>
    </row>
    <row r="181" ht="17" customHeight="1">
      <c r="A181" s="83" t="n"/>
      <c r="B181" s="94" t="n"/>
      <c r="C181" s="46" t="n"/>
      <c r="D181" s="75" t="n"/>
      <c r="E181" s="95" t="n"/>
      <c r="F181" s="46" t="n"/>
      <c r="G181" s="96" t="n"/>
      <c r="H181" s="46" t="n"/>
      <c r="I181" s="97" t="n"/>
      <c r="J181" s="46" t="n"/>
      <c r="K181" s="46" t="n"/>
      <c r="L181" s="46" t="n"/>
      <c r="M181" s="46" t="n"/>
      <c r="N181" s="46" t="n"/>
      <c r="O181" s="46" t="n"/>
    </row>
    <row r="182" ht="17" customHeight="1">
      <c r="A182" s="83" t="n"/>
      <c r="B182" s="94" t="n"/>
      <c r="C182" s="46" t="n"/>
      <c r="D182" s="75" t="n"/>
      <c r="E182" s="95" t="n"/>
      <c r="F182" s="46" t="n"/>
      <c r="G182" s="96" t="n"/>
      <c r="H182" s="46" t="n"/>
      <c r="I182" s="97" t="n"/>
      <c r="J182" s="46" t="n"/>
      <c r="K182" s="46" t="n"/>
      <c r="L182" s="46" t="n"/>
      <c r="M182" s="46" t="n"/>
      <c r="N182" s="46" t="n"/>
      <c r="O182" s="46" t="n"/>
    </row>
    <row r="183" ht="17" customHeight="1">
      <c r="A183" s="83" t="n"/>
      <c r="B183" s="94" t="n"/>
      <c r="C183" s="46" t="n"/>
      <c r="D183" s="75" t="n"/>
      <c r="E183" s="95" t="n"/>
      <c r="F183" s="46" t="n"/>
      <c r="G183" s="96" t="n"/>
      <c r="H183" s="46" t="n"/>
      <c r="I183" s="97" t="n"/>
      <c r="J183" s="46" t="n"/>
      <c r="K183" s="46" t="n"/>
      <c r="L183" s="46" t="n"/>
      <c r="M183" s="46" t="n"/>
      <c r="N183" s="46" t="n"/>
      <c r="O183" s="46" t="n"/>
    </row>
    <row r="184" ht="17" customHeight="1">
      <c r="A184" s="83" t="n"/>
      <c r="B184" s="94" t="n"/>
      <c r="C184" s="46" t="n"/>
      <c r="D184" s="75" t="n"/>
      <c r="E184" s="95" t="n"/>
      <c r="F184" s="46" t="n"/>
      <c r="G184" s="96" t="n"/>
      <c r="H184" s="46" t="n"/>
      <c r="I184" s="97" t="n"/>
      <c r="J184" s="46" t="n"/>
      <c r="K184" s="46" t="n"/>
      <c r="L184" s="46" t="n"/>
      <c r="M184" s="46" t="n"/>
      <c r="N184" s="46" t="n"/>
      <c r="O184" s="46" t="n"/>
    </row>
    <row r="185" ht="17" customHeight="1">
      <c r="A185" s="83" t="n"/>
      <c r="B185" s="94" t="n"/>
      <c r="C185" s="46" t="n"/>
      <c r="D185" s="75" t="n"/>
      <c r="E185" s="95" t="n"/>
      <c r="F185" s="46" t="n"/>
      <c r="G185" s="96" t="n"/>
      <c r="H185" s="46" t="n"/>
      <c r="I185" s="97" t="n"/>
      <c r="J185" s="46" t="n"/>
      <c r="K185" s="46" t="n"/>
      <c r="L185" s="46" t="n"/>
      <c r="M185" s="46" t="n"/>
      <c r="N185" s="46" t="n"/>
      <c r="O185" s="46" t="n"/>
    </row>
    <row r="186" ht="17" customHeight="1">
      <c r="A186" s="83" t="n"/>
      <c r="B186" s="94" t="n"/>
      <c r="C186" s="46" t="n"/>
      <c r="D186" s="75" t="n"/>
      <c r="E186" s="95" t="n"/>
      <c r="F186" s="46" t="n"/>
      <c r="G186" s="96" t="n"/>
      <c r="H186" s="46" t="n"/>
      <c r="I186" s="97" t="n"/>
      <c r="J186" s="46" t="n"/>
      <c r="K186" s="46" t="n"/>
      <c r="L186" s="46" t="n"/>
      <c r="M186" s="46" t="n"/>
      <c r="N186" s="46" t="n"/>
      <c r="O186" s="46" t="n"/>
    </row>
    <row r="187" ht="17" customHeight="1">
      <c r="A187" s="83" t="n"/>
      <c r="B187" s="94" t="n"/>
      <c r="C187" s="46" t="n"/>
      <c r="D187" s="75" t="n"/>
      <c r="E187" s="95" t="n"/>
      <c r="F187" s="46" t="n"/>
      <c r="G187" s="96" t="n"/>
      <c r="H187" s="46" t="n"/>
      <c r="I187" s="97" t="n"/>
      <c r="J187" s="46" t="n"/>
      <c r="K187" s="46" t="n"/>
      <c r="L187" s="46" t="n"/>
      <c r="M187" s="46" t="n"/>
      <c r="N187" s="46" t="n"/>
      <c r="O187" s="46" t="n"/>
    </row>
    <row r="188" ht="17" customHeight="1">
      <c r="A188" s="83" t="n"/>
      <c r="B188" s="94" t="n"/>
      <c r="C188" s="46" t="n"/>
      <c r="D188" s="75" t="n"/>
      <c r="E188" s="95" t="n"/>
      <c r="F188" s="46" t="n"/>
      <c r="G188" s="96" t="n"/>
      <c r="H188" s="46" t="n"/>
      <c r="I188" s="97" t="n"/>
      <c r="J188" s="46" t="n"/>
      <c r="K188" s="46" t="n"/>
      <c r="L188" s="46" t="n"/>
      <c r="M188" s="46" t="n"/>
      <c r="N188" s="46" t="n"/>
      <c r="O188" s="46" t="n"/>
    </row>
    <row r="189" ht="17" customHeight="1">
      <c r="A189" s="83" t="n"/>
      <c r="B189" s="94" t="n"/>
      <c r="C189" s="46" t="n"/>
      <c r="D189" s="75" t="n"/>
      <c r="E189" s="95" t="n"/>
      <c r="F189" s="46" t="n"/>
      <c r="G189" s="96" t="n"/>
      <c r="H189" s="46" t="n"/>
      <c r="I189" s="97" t="n"/>
      <c r="J189" s="46" t="n"/>
      <c r="K189" s="46" t="n"/>
      <c r="L189" s="46" t="n"/>
      <c r="M189" s="46" t="n"/>
      <c r="N189" s="46" t="n"/>
      <c r="O189" s="46" t="n"/>
    </row>
    <row r="190" ht="17" customHeight="1">
      <c r="A190" s="83" t="n"/>
      <c r="B190" s="94" t="n"/>
      <c r="C190" s="46" t="n"/>
      <c r="D190" s="75" t="n"/>
      <c r="E190" s="95" t="n"/>
      <c r="F190" s="46" t="n"/>
      <c r="G190" s="96" t="n"/>
      <c r="H190" s="46" t="n"/>
      <c r="I190" s="97" t="n"/>
      <c r="J190" s="46" t="n"/>
      <c r="K190" s="46" t="n"/>
      <c r="L190" s="46" t="n"/>
      <c r="M190" s="46" t="n"/>
      <c r="N190" s="46" t="n"/>
      <c r="O190" s="46" t="n"/>
    </row>
    <row r="191" ht="17" customHeight="1">
      <c r="A191" s="83" t="n"/>
      <c r="B191" s="94" t="n"/>
      <c r="C191" s="46" t="n"/>
      <c r="D191" s="75" t="n"/>
      <c r="E191" s="95" t="n"/>
      <c r="F191" s="46" t="n"/>
      <c r="G191" s="96" t="n"/>
      <c r="H191" s="46" t="n"/>
      <c r="I191" s="97" t="n"/>
      <c r="J191" s="46" t="n"/>
      <c r="K191" s="46" t="n"/>
      <c r="L191" s="46" t="n"/>
      <c r="M191" s="46" t="n"/>
      <c r="N191" s="46" t="n"/>
      <c r="O191" s="46" t="n"/>
    </row>
    <row r="192" ht="17" customHeight="1">
      <c r="A192" s="83" t="n"/>
      <c r="B192" s="94" t="n"/>
      <c r="C192" s="46" t="n"/>
      <c r="D192" s="75" t="n"/>
      <c r="E192" s="95" t="n"/>
      <c r="F192" s="46" t="n"/>
      <c r="G192" s="96" t="n"/>
      <c r="H192" s="46" t="n"/>
      <c r="I192" s="97" t="n"/>
      <c r="J192" s="46" t="n"/>
      <c r="K192" s="46" t="n"/>
      <c r="L192" s="46" t="n"/>
      <c r="M192" s="46" t="n"/>
      <c r="N192" s="46" t="n"/>
      <c r="O192" s="46" t="n"/>
    </row>
    <row r="193" ht="17" customHeight="1">
      <c r="A193" s="83" t="n"/>
      <c r="B193" s="94" t="n"/>
      <c r="C193" s="46" t="n"/>
      <c r="D193" s="75" t="n"/>
      <c r="E193" s="95" t="n"/>
      <c r="F193" s="46" t="n"/>
      <c r="G193" s="96" t="n"/>
      <c r="H193" s="46" t="n"/>
      <c r="I193" s="97" t="n"/>
      <c r="J193" s="46" t="n"/>
      <c r="K193" s="46" t="n"/>
      <c r="L193" s="46" t="n"/>
      <c r="M193" s="46" t="n"/>
      <c r="N193" s="46" t="n"/>
      <c r="O193" s="46" t="n"/>
    </row>
    <row r="194" ht="22" customHeight="1">
      <c r="A194" s="31" t="inlineStr">
        <is>
          <t>TOTAL LANÇADO NO LIVRO</t>
        </is>
      </c>
      <c r="B194" s="32" t="n"/>
      <c r="C194" s="32" t="n"/>
      <c r="D194" s="32" t="n"/>
      <c r="E194" s="59">
        <f>ROUND(SUM($E$134:$E$193),2)</f>
        <v/>
      </c>
      <c r="F194" s="32" t="n"/>
      <c r="G194" s="98">
        <f>IF(COUNTA($B$134:$B$193)=COUNT($E$134:$E$193),"lançamentos: "&amp;COUNT($E$134:$E$193)&amp;" · todos classificados","ATENÇÃO: "&amp;(COUNT($E$134:$E$193)-COUNTA($B$134:$B$193))&amp;" lançamento(s) sem categoria")</f>
        <v/>
      </c>
      <c r="H194" s="32" t="n"/>
      <c r="I194" s="32" t="n"/>
      <c r="J194" s="32" t="n"/>
      <c r="K194" s="32" t="n"/>
      <c r="L194" s="32" t="n"/>
      <c r="M194" s="32" t="n"/>
      <c r="N194" s="32" t="n"/>
      <c r="O194" s="32" t="n"/>
    </row>
    <row r="196" ht="50" customHeight="1">
      <c r="A196" s="43" t="inlineStr">
        <is>
          <t xml:space="preserve">  Preencha primeiro a coluna ORÇADO com o que o orçamento previu e vá preenchendo o REALIZADO conforme o projeto anda — o desvio de cada linha é o que mostra onde o orçamento erra. Compras entram uma a uma no livro do bloco 8, com categoria, forma de pagamento e status; as categorias do bloco 6 se somam sozinhas. Você pode inserir linhas em qualquer bloco a partir da linha 26: tudo o que o Painel Geral lê está acima disso.</t>
        </is>
      </c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</row>
  </sheetData>
  <mergeCells count="561">
    <mergeCell ref="A196:O196"/>
    <mergeCell ref="I170:O170"/>
    <mergeCell ref="A15:B15"/>
    <mergeCell ref="I157:O157"/>
    <mergeCell ref="G128:O128"/>
    <mergeCell ref="B141:C141"/>
    <mergeCell ref="E142:F142"/>
    <mergeCell ref="I193:O193"/>
    <mergeCell ref="I172:O172"/>
    <mergeCell ref="H9:I9"/>
    <mergeCell ref="J76:M76"/>
    <mergeCell ref="G121:O121"/>
    <mergeCell ref="E171:F171"/>
    <mergeCell ref="G123:O123"/>
    <mergeCell ref="E137:F137"/>
    <mergeCell ref="G137:H137"/>
    <mergeCell ref="E173:F173"/>
    <mergeCell ref="H70:O70"/>
    <mergeCell ref="E148:F148"/>
    <mergeCell ref="G148:H148"/>
    <mergeCell ref="B78:C78"/>
    <mergeCell ref="D7:E7"/>
    <mergeCell ref="I183:O183"/>
    <mergeCell ref="D78:E78"/>
    <mergeCell ref="E166:F166"/>
    <mergeCell ref="G139:H139"/>
    <mergeCell ref="I175:O175"/>
    <mergeCell ref="H99:O99"/>
    <mergeCell ref="A34:C34"/>
    <mergeCell ref="I185:O185"/>
    <mergeCell ref="E168:F168"/>
    <mergeCell ref="G168:H168"/>
    <mergeCell ref="H87:I87"/>
    <mergeCell ref="H101:O101"/>
    <mergeCell ref="G143:H143"/>
    <mergeCell ref="D73:E73"/>
    <mergeCell ref="I176:O176"/>
    <mergeCell ref="J9:O9"/>
    <mergeCell ref="B154:C154"/>
    <mergeCell ref="H91:I91"/>
    <mergeCell ref="E117:F117"/>
    <mergeCell ref="A24:H24"/>
    <mergeCell ref="B156:C156"/>
    <mergeCell ref="E67:F67"/>
    <mergeCell ref="A103:B103"/>
    <mergeCell ref="H112:O112"/>
    <mergeCell ref="I138:O138"/>
    <mergeCell ref="I178:O178"/>
    <mergeCell ref="H114:O114"/>
    <mergeCell ref="E161:F161"/>
    <mergeCell ref="J73:M73"/>
    <mergeCell ref="G129:O129"/>
    <mergeCell ref="A72:O72"/>
    <mergeCell ref="J77:M77"/>
    <mergeCell ref="H75:I75"/>
    <mergeCell ref="B84:C84"/>
    <mergeCell ref="E110:F110"/>
    <mergeCell ref="H105:O105"/>
    <mergeCell ref="E16:F16"/>
    <mergeCell ref="E187:F187"/>
    <mergeCell ref="G138:H138"/>
    <mergeCell ref="B142:C142"/>
    <mergeCell ref="B80:C80"/>
    <mergeCell ref="E174:F174"/>
    <mergeCell ref="H15:O15"/>
    <mergeCell ref="H107:O107"/>
    <mergeCell ref="G126:O126"/>
    <mergeCell ref="B79:C79"/>
    <mergeCell ref="E18:F18"/>
    <mergeCell ref="D79:E79"/>
    <mergeCell ref="E189:F189"/>
    <mergeCell ref="G140:H140"/>
    <mergeCell ref="B144:C144"/>
    <mergeCell ref="F73:G73"/>
    <mergeCell ref="B81:C81"/>
    <mergeCell ref="D81:E81"/>
    <mergeCell ref="I191:O191"/>
    <mergeCell ref="H102:O102"/>
    <mergeCell ref="E29:F29"/>
    <mergeCell ref="H39:O39"/>
    <mergeCell ref="I192:O192"/>
    <mergeCell ref="E69:F69"/>
    <mergeCell ref="B170:C170"/>
    <mergeCell ref="E31:F31"/>
    <mergeCell ref="E158:F158"/>
    <mergeCell ref="E133:F133"/>
    <mergeCell ref="E108:F108"/>
    <mergeCell ref="G133:H133"/>
    <mergeCell ref="B172:C172"/>
    <mergeCell ref="E95:F95"/>
    <mergeCell ref="H28:O28"/>
    <mergeCell ref="E162:F162"/>
    <mergeCell ref="G135:H135"/>
    <mergeCell ref="B92:C92"/>
    <mergeCell ref="J74:M74"/>
    <mergeCell ref="D92:E92"/>
    <mergeCell ref="I146:O146"/>
    <mergeCell ref="F92:G92"/>
    <mergeCell ref="G153:H153"/>
    <mergeCell ref="A36:O36"/>
    <mergeCell ref="A11:O11"/>
    <mergeCell ref="B76:C76"/>
    <mergeCell ref="I181:O181"/>
    <mergeCell ref="A1:O1"/>
    <mergeCell ref="I12:O12"/>
    <mergeCell ref="E164:F164"/>
    <mergeCell ref="G164:H164"/>
    <mergeCell ref="H23:O23"/>
    <mergeCell ref="B150:C150"/>
    <mergeCell ref="E42:F42"/>
    <mergeCell ref="E17:F17"/>
    <mergeCell ref="E188:F188"/>
    <mergeCell ref="E126:F126"/>
    <mergeCell ref="B152:C152"/>
    <mergeCell ref="E180:F180"/>
    <mergeCell ref="J92:M92"/>
    <mergeCell ref="E19:F19"/>
    <mergeCell ref="E190:F190"/>
    <mergeCell ref="B145:C145"/>
    <mergeCell ref="G190:H190"/>
    <mergeCell ref="G146:H146"/>
    <mergeCell ref="B181:C181"/>
    <mergeCell ref="E182:F182"/>
    <mergeCell ref="A4:O4"/>
    <mergeCell ref="F10:O10"/>
    <mergeCell ref="H110:O110"/>
    <mergeCell ref="B87:C87"/>
    <mergeCell ref="I136:O136"/>
    <mergeCell ref="B147:C147"/>
    <mergeCell ref="D87:E87"/>
    <mergeCell ref="J87:M87"/>
    <mergeCell ref="E179:F179"/>
    <mergeCell ref="J89:M89"/>
    <mergeCell ref="D82:E82"/>
    <mergeCell ref="F82:G82"/>
    <mergeCell ref="G194:O194"/>
    <mergeCell ref="E37:F37"/>
    <mergeCell ref="E159:F159"/>
    <mergeCell ref="E97:F97"/>
    <mergeCell ref="G159:H159"/>
    <mergeCell ref="B163:C163"/>
    <mergeCell ref="H8:I8"/>
    <mergeCell ref="E109:F109"/>
    <mergeCell ref="H30:O30"/>
    <mergeCell ref="E145:F145"/>
    <mergeCell ref="E139:F139"/>
    <mergeCell ref="G161:H161"/>
    <mergeCell ref="B165:C165"/>
    <mergeCell ref="H29:O29"/>
    <mergeCell ref="E111:F111"/>
    <mergeCell ref="G136:H136"/>
    <mergeCell ref="A70:B70"/>
    <mergeCell ref="H44:O44"/>
    <mergeCell ref="H31:O31"/>
    <mergeCell ref="B77:C77"/>
    <mergeCell ref="D6:E6"/>
    <mergeCell ref="D77:E77"/>
    <mergeCell ref="I149:O149"/>
    <mergeCell ref="J82:M82"/>
    <mergeCell ref="H89:I89"/>
    <mergeCell ref="I151:O151"/>
    <mergeCell ref="B191:C191"/>
    <mergeCell ref="B178:C178"/>
    <mergeCell ref="E27:F27"/>
    <mergeCell ref="I144:O144"/>
    <mergeCell ref="E119:F119"/>
    <mergeCell ref="E183:F183"/>
    <mergeCell ref="G183:H183"/>
    <mergeCell ref="A6:C6"/>
    <mergeCell ref="E22:F22"/>
    <mergeCell ref="H42:O42"/>
    <mergeCell ref="E193:F193"/>
    <mergeCell ref="G193:H193"/>
    <mergeCell ref="D88:E88"/>
    <mergeCell ref="G149:H149"/>
    <mergeCell ref="F88:G88"/>
    <mergeCell ref="I177:O177"/>
    <mergeCell ref="G185:H185"/>
    <mergeCell ref="B90:C90"/>
    <mergeCell ref="D90:E90"/>
    <mergeCell ref="E122:F122"/>
    <mergeCell ref="G151:H151"/>
    <mergeCell ref="A45:B45"/>
    <mergeCell ref="G178:H178"/>
    <mergeCell ref="F6:G6"/>
    <mergeCell ref="J90:M90"/>
    <mergeCell ref="F83:G83"/>
    <mergeCell ref="H83:I83"/>
    <mergeCell ref="E38:F38"/>
    <mergeCell ref="A2:O2"/>
    <mergeCell ref="E147:F147"/>
    <mergeCell ref="F85:G85"/>
    <mergeCell ref="H85:I85"/>
    <mergeCell ref="G175:H175"/>
    <mergeCell ref="B179:C179"/>
    <mergeCell ref="E40:F40"/>
    <mergeCell ref="G162:H162"/>
    <mergeCell ref="H108:O108"/>
    <mergeCell ref="B166:C166"/>
    <mergeCell ref="B124:D124"/>
    <mergeCell ref="E186:F186"/>
    <mergeCell ref="G177:H177"/>
    <mergeCell ref="E104:F104"/>
    <mergeCell ref="H45:O45"/>
    <mergeCell ref="B174:C174"/>
    <mergeCell ref="B168:C168"/>
    <mergeCell ref="H32:O32"/>
    <mergeCell ref="B126:D126"/>
    <mergeCell ref="D9:E9"/>
    <mergeCell ref="H80:I80"/>
    <mergeCell ref="F9:G9"/>
    <mergeCell ref="I150:O150"/>
    <mergeCell ref="J83:M83"/>
    <mergeCell ref="I165:O165"/>
    <mergeCell ref="B169:C169"/>
    <mergeCell ref="I152:O152"/>
    <mergeCell ref="E66:F66"/>
    <mergeCell ref="J85:M85"/>
    <mergeCell ref="E130:F130"/>
    <mergeCell ref="E68:F68"/>
    <mergeCell ref="B134:C134"/>
    <mergeCell ref="G155:H155"/>
    <mergeCell ref="E160:F160"/>
    <mergeCell ref="E141:F141"/>
    <mergeCell ref="G118:O118"/>
    <mergeCell ref="E135:F135"/>
    <mergeCell ref="G157:H157"/>
    <mergeCell ref="E107:F107"/>
    <mergeCell ref="H73:I73"/>
    <mergeCell ref="E143:F143"/>
    <mergeCell ref="G172:H172"/>
    <mergeCell ref="G186:H186"/>
    <mergeCell ref="B162:C162"/>
    <mergeCell ref="D91:E91"/>
    <mergeCell ref="G152:H152"/>
    <mergeCell ref="F91:G91"/>
    <mergeCell ref="A21:B21"/>
    <mergeCell ref="I163:O163"/>
    <mergeCell ref="H84:I84"/>
    <mergeCell ref="A23:B23"/>
    <mergeCell ref="B187:C187"/>
    <mergeCell ref="E125:F125"/>
    <mergeCell ref="H86:I86"/>
    <mergeCell ref="E41:F41"/>
    <mergeCell ref="B189:C189"/>
    <mergeCell ref="E112:F112"/>
    <mergeCell ref="B188:C188"/>
    <mergeCell ref="B117:D117"/>
    <mergeCell ref="E43:F43"/>
    <mergeCell ref="J91:M91"/>
    <mergeCell ref="B190:C190"/>
    <mergeCell ref="B119:D119"/>
    <mergeCell ref="A16:B16"/>
    <mergeCell ref="G124:O124"/>
    <mergeCell ref="E138:F138"/>
    <mergeCell ref="A108:B108"/>
    <mergeCell ref="B127:D127"/>
    <mergeCell ref="I168:O168"/>
    <mergeCell ref="A18:B18"/>
    <mergeCell ref="B73:C73"/>
    <mergeCell ref="E167:F167"/>
    <mergeCell ref="H100:O100"/>
    <mergeCell ref="H7:I7"/>
    <mergeCell ref="G119:O119"/>
    <mergeCell ref="B137:C137"/>
    <mergeCell ref="E169:F169"/>
    <mergeCell ref="H66:O66"/>
    <mergeCell ref="B74:C74"/>
    <mergeCell ref="D74:E74"/>
    <mergeCell ref="B139:C139"/>
    <mergeCell ref="I184:O184"/>
    <mergeCell ref="B122:D122"/>
    <mergeCell ref="I171:O171"/>
    <mergeCell ref="H76:I76"/>
    <mergeCell ref="H95:O95"/>
    <mergeCell ref="A44:B44"/>
    <mergeCell ref="I173:O173"/>
    <mergeCell ref="H97:O97"/>
    <mergeCell ref="I166:O166"/>
    <mergeCell ref="G176:H176"/>
    <mergeCell ref="E64:F64"/>
    <mergeCell ref="J7:O7"/>
    <mergeCell ref="E156:F156"/>
    <mergeCell ref="E153:F153"/>
    <mergeCell ref="H21:O21"/>
    <mergeCell ref="E128:F128"/>
    <mergeCell ref="E155:F155"/>
    <mergeCell ref="D61:E61"/>
    <mergeCell ref="G184:H184"/>
    <mergeCell ref="G171:H171"/>
    <mergeCell ref="E65:F65"/>
    <mergeCell ref="E157:F157"/>
    <mergeCell ref="H16:O16"/>
    <mergeCell ref="A17:B17"/>
    <mergeCell ref="I134:O134"/>
    <mergeCell ref="H27:O27"/>
    <mergeCell ref="G117:O117"/>
    <mergeCell ref="A19:B19"/>
    <mergeCell ref="I161:O161"/>
    <mergeCell ref="E146:F146"/>
    <mergeCell ref="E12:F12"/>
    <mergeCell ref="G125:O125"/>
    <mergeCell ref="B138:C138"/>
    <mergeCell ref="E175:F175"/>
    <mergeCell ref="H67:O67"/>
    <mergeCell ref="H103:O103"/>
    <mergeCell ref="G127:O127"/>
    <mergeCell ref="E185:F185"/>
    <mergeCell ref="B140:C140"/>
    <mergeCell ref="I187:O187"/>
    <mergeCell ref="E170:F170"/>
    <mergeCell ref="I174:O174"/>
    <mergeCell ref="H98:O98"/>
    <mergeCell ref="D75:E75"/>
    <mergeCell ref="F75:G75"/>
    <mergeCell ref="I189:O189"/>
    <mergeCell ref="I188:O188"/>
    <mergeCell ref="G192:H192"/>
    <mergeCell ref="J8:O8"/>
    <mergeCell ref="E154:F154"/>
    <mergeCell ref="G154:H154"/>
    <mergeCell ref="B158:C158"/>
    <mergeCell ref="E172:F172"/>
    <mergeCell ref="B89:C89"/>
    <mergeCell ref="B160:C160"/>
    <mergeCell ref="D89:E89"/>
    <mergeCell ref="H18:O18"/>
    <mergeCell ref="L61:M61"/>
    <mergeCell ref="A194:D194"/>
    <mergeCell ref="I142:O142"/>
    <mergeCell ref="B153:C153"/>
    <mergeCell ref="J75:M75"/>
    <mergeCell ref="B184:C184"/>
    <mergeCell ref="H113:O113"/>
    <mergeCell ref="E20:F20"/>
    <mergeCell ref="I137:O137"/>
    <mergeCell ref="E177:F177"/>
    <mergeCell ref="E13:F13"/>
    <mergeCell ref="I164:O164"/>
    <mergeCell ref="I139:O139"/>
    <mergeCell ref="B88:C88"/>
    <mergeCell ref="B148:C148"/>
    <mergeCell ref="B82:C82"/>
    <mergeCell ref="E149:F149"/>
    <mergeCell ref="E176:F176"/>
    <mergeCell ref="E114:F114"/>
    <mergeCell ref="J88:M88"/>
    <mergeCell ref="A63:O63"/>
    <mergeCell ref="E15:F15"/>
    <mergeCell ref="E191:F191"/>
    <mergeCell ref="G142:H142"/>
    <mergeCell ref="B146:C146"/>
    <mergeCell ref="E178:F178"/>
    <mergeCell ref="H37:O37"/>
    <mergeCell ref="B83:C83"/>
    <mergeCell ref="B143:C143"/>
    <mergeCell ref="D83:E83"/>
    <mergeCell ref="E144:F144"/>
    <mergeCell ref="G144:H144"/>
    <mergeCell ref="H104:O104"/>
    <mergeCell ref="B85:C85"/>
    <mergeCell ref="A94:O94"/>
    <mergeCell ref="I190:O190"/>
    <mergeCell ref="D85:E85"/>
    <mergeCell ref="G173:H173"/>
    <mergeCell ref="H92:I92"/>
    <mergeCell ref="H106:O106"/>
    <mergeCell ref="F78:G78"/>
    <mergeCell ref="E106:F106"/>
    <mergeCell ref="H78:I78"/>
    <mergeCell ref="E33:F33"/>
    <mergeCell ref="H43:O43"/>
    <mergeCell ref="B159:C159"/>
    <mergeCell ref="D80:E80"/>
    <mergeCell ref="G170:H170"/>
    <mergeCell ref="B167:C167"/>
    <mergeCell ref="A26:O26"/>
    <mergeCell ref="B161:C161"/>
    <mergeCell ref="H6:I6"/>
    <mergeCell ref="H130:O130"/>
    <mergeCell ref="H68:O68"/>
    <mergeCell ref="B136:C136"/>
    <mergeCell ref="E28:F28"/>
    <mergeCell ref="B175:C175"/>
    <mergeCell ref="E30:F30"/>
    <mergeCell ref="J84:M84"/>
    <mergeCell ref="I145:O145"/>
    <mergeCell ref="J78:M78"/>
    <mergeCell ref="H69:O69"/>
    <mergeCell ref="A9:C9"/>
    <mergeCell ref="I147:O147"/>
    <mergeCell ref="J80:M80"/>
    <mergeCell ref="D8:E8"/>
    <mergeCell ref="J79:M79"/>
    <mergeCell ref="G150:H150"/>
    <mergeCell ref="I186:O186"/>
    <mergeCell ref="E21:F21"/>
    <mergeCell ref="J6:O6"/>
    <mergeCell ref="H82:I82"/>
    <mergeCell ref="B91:C91"/>
    <mergeCell ref="E192:F192"/>
    <mergeCell ref="H20:O20"/>
    <mergeCell ref="E129:F129"/>
    <mergeCell ref="H38:O38"/>
    <mergeCell ref="E23:F23"/>
    <mergeCell ref="D84:E84"/>
    <mergeCell ref="B155:C155"/>
    <mergeCell ref="G145:H145"/>
    <mergeCell ref="F84:G84"/>
    <mergeCell ref="B149:C149"/>
    <mergeCell ref="E181:F181"/>
    <mergeCell ref="B193:C193"/>
    <mergeCell ref="E194:F194"/>
    <mergeCell ref="G181:H181"/>
    <mergeCell ref="A3:O3"/>
    <mergeCell ref="H40:O40"/>
    <mergeCell ref="B86:C86"/>
    <mergeCell ref="G160:H160"/>
    <mergeCell ref="D86:E86"/>
    <mergeCell ref="I140:O140"/>
    <mergeCell ref="G147:H147"/>
    <mergeCell ref="F86:G86"/>
    <mergeCell ref="H64:O64"/>
    <mergeCell ref="B151:C151"/>
    <mergeCell ref="F80:G80"/>
    <mergeCell ref="G174:H174"/>
    <mergeCell ref="I158:O158"/>
    <mergeCell ref="I133:O133"/>
    <mergeCell ref="G189:H189"/>
    <mergeCell ref="F79:G79"/>
    <mergeCell ref="H79:I79"/>
    <mergeCell ref="E34:F34"/>
    <mergeCell ref="B182:C182"/>
    <mergeCell ref="E105:F105"/>
    <mergeCell ref="I160:O160"/>
    <mergeCell ref="E99:F99"/>
    <mergeCell ref="I135:O135"/>
    <mergeCell ref="F81:G81"/>
    <mergeCell ref="H81:I81"/>
    <mergeCell ref="E163:F163"/>
    <mergeCell ref="E101:F101"/>
    <mergeCell ref="G163:H163"/>
    <mergeCell ref="A22:B22"/>
    <mergeCell ref="B125:D125"/>
    <mergeCell ref="E113:F113"/>
    <mergeCell ref="B183:C183"/>
    <mergeCell ref="B177:C177"/>
    <mergeCell ref="E100:F100"/>
    <mergeCell ref="B164:C164"/>
    <mergeCell ref="J86:M86"/>
    <mergeCell ref="E136:F136"/>
    <mergeCell ref="G165:H165"/>
    <mergeCell ref="H33:O33"/>
    <mergeCell ref="I24:O24"/>
    <mergeCell ref="E102:F102"/>
    <mergeCell ref="G158:H158"/>
    <mergeCell ref="B120:D120"/>
    <mergeCell ref="D10:E10"/>
    <mergeCell ref="G169:H169"/>
    <mergeCell ref="I148:O148"/>
    <mergeCell ref="I153:O153"/>
    <mergeCell ref="E127:F127"/>
    <mergeCell ref="F74:G74"/>
    <mergeCell ref="B180:C180"/>
    <mergeCell ref="H74:I74"/>
    <mergeCell ref="G191:H191"/>
    <mergeCell ref="D76:E76"/>
    <mergeCell ref="F76:G76"/>
    <mergeCell ref="A47:O47"/>
    <mergeCell ref="B157:C157"/>
    <mergeCell ref="I179:O179"/>
    <mergeCell ref="B186:C186"/>
    <mergeCell ref="I141:O141"/>
    <mergeCell ref="E124:F124"/>
    <mergeCell ref="H65:O65"/>
    <mergeCell ref="E120:F120"/>
    <mergeCell ref="I159:O159"/>
    <mergeCell ref="I143:O143"/>
    <mergeCell ref="E184:F184"/>
    <mergeCell ref="A7:C7"/>
    <mergeCell ref="G122:O122"/>
    <mergeCell ref="E121:F121"/>
    <mergeCell ref="F87:G87"/>
    <mergeCell ref="B185:C185"/>
    <mergeCell ref="E151:F151"/>
    <mergeCell ref="H41:O41"/>
    <mergeCell ref="E123:F123"/>
    <mergeCell ref="F89:G89"/>
    <mergeCell ref="E150:F150"/>
    <mergeCell ref="E39:F39"/>
    <mergeCell ref="G179:H179"/>
    <mergeCell ref="F7:G7"/>
    <mergeCell ref="E44:F44"/>
    <mergeCell ref="B176:C176"/>
    <mergeCell ref="G166:H166"/>
    <mergeCell ref="H34:O34"/>
    <mergeCell ref="B128:D128"/>
    <mergeCell ref="G141:H141"/>
    <mergeCell ref="E103:F103"/>
    <mergeCell ref="E152:F152"/>
    <mergeCell ref="A116:O116"/>
    <mergeCell ref="E118:F118"/>
    <mergeCell ref="F8:G8"/>
    <mergeCell ref="A12:B12"/>
    <mergeCell ref="C12:D12"/>
    <mergeCell ref="G167:H167"/>
    <mergeCell ref="I154:O154"/>
    <mergeCell ref="B171:C171"/>
    <mergeCell ref="B123:D123"/>
    <mergeCell ref="I156:O156"/>
    <mergeCell ref="E70:F70"/>
    <mergeCell ref="F77:G77"/>
    <mergeCell ref="H77:I77"/>
    <mergeCell ref="H96:O96"/>
    <mergeCell ref="E32:F32"/>
    <mergeCell ref="G120:O120"/>
    <mergeCell ref="B133:C133"/>
    <mergeCell ref="E134:F134"/>
    <mergeCell ref="G134:H134"/>
    <mergeCell ref="B173:C173"/>
    <mergeCell ref="E96:F96"/>
    <mergeCell ref="B75:C75"/>
    <mergeCell ref="B135:C135"/>
    <mergeCell ref="I180:O180"/>
    <mergeCell ref="A130:B130"/>
    <mergeCell ref="I167:O167"/>
    <mergeCell ref="E98:F98"/>
    <mergeCell ref="I182:O182"/>
    <mergeCell ref="E165:F165"/>
    <mergeCell ref="I169:O169"/>
    <mergeCell ref="I13:O13"/>
    <mergeCell ref="E140:F140"/>
    <mergeCell ref="G156:H156"/>
    <mergeCell ref="B118:D118"/>
    <mergeCell ref="A8:C8"/>
    <mergeCell ref="H61:I61"/>
    <mergeCell ref="H88:I88"/>
    <mergeCell ref="J81:M81"/>
    <mergeCell ref="G187:H187"/>
    <mergeCell ref="A10:C10"/>
    <mergeCell ref="H17:O17"/>
    <mergeCell ref="F90:G90"/>
    <mergeCell ref="H90:I90"/>
    <mergeCell ref="H109:O109"/>
    <mergeCell ref="G180:H180"/>
    <mergeCell ref="E45:F45"/>
    <mergeCell ref="H22:O22"/>
    <mergeCell ref="B129:D129"/>
    <mergeCell ref="H19:O19"/>
    <mergeCell ref="G188:H188"/>
    <mergeCell ref="B192:C192"/>
    <mergeCell ref="A20:B20"/>
    <mergeCell ref="H111:O111"/>
    <mergeCell ref="B121:D121"/>
    <mergeCell ref="G182:H182"/>
    <mergeCell ref="I162:O162"/>
    <mergeCell ref="A132:O132"/>
    <mergeCell ref="A13:B13"/>
    <mergeCell ref="C13:D13"/>
    <mergeCell ref="I155:O155"/>
    <mergeCell ref="A114:B114"/>
  </mergeCells>
  <conditionalFormatting sqref="I134:O193">
    <cfRule type="expression" priority="1" dxfId="0" stopIfTrue="1">
      <formula>$I134="Pago"</formula>
    </cfRule>
    <cfRule type="expression" priority="2" dxfId="3" stopIfTrue="1">
      <formula>$I134="Comprado (a pagar)"</formula>
    </cfRule>
    <cfRule type="expression" priority="3" dxfId="1" stopIfTrue="1">
      <formula>$I134="A comprar"</formula>
    </cfRule>
  </conditionalFormatting>
  <conditionalFormatting sqref="A134:O193">
    <cfRule type="expression" priority="4" dxfId="6">
      <formula>AND($E134&lt;&gt;"",$B134="")</formula>
    </cfRule>
  </conditionalFormatting>
  <conditionalFormatting sqref="E16:F22">
    <cfRule type="expression" priority="5" dxfId="4">
      <formula>AND($E16&lt;&gt;"",$E16&gt;0)</formula>
    </cfRule>
    <cfRule type="expression" priority="6" dxfId="5">
      <formula>AND($E16&lt;&gt;"",$E16&lt;0)</formula>
    </cfRule>
  </conditionalFormatting>
  <conditionalFormatting sqref="E96:F114">
    <cfRule type="expression" priority="7" dxfId="4">
      <formula>AND($E96&lt;&gt;"",$E96&gt;0)</formula>
    </cfRule>
    <cfRule type="expression" priority="8" dxfId="5">
      <formula>AND($E96&lt;&gt;"",$E96&lt;0)</formula>
    </cfRule>
  </conditionalFormatting>
  <conditionalFormatting sqref="J9">
    <cfRule type="expression" priority="9" dxfId="0" stopIfTrue="1">
      <formula>$J$9="No prazo"</formula>
    </cfRule>
    <cfRule type="expression" priority="10" dxfId="2">
      <formula>$J$9="Atrasado"</formula>
    </cfRule>
  </conditionalFormatting>
  <conditionalFormatting sqref="A13:J13">
    <cfRule type="expression" priority="11" dxfId="6">
      <formula>AND($G$13&lt;&gt;"",$G$13&lt;0.25)</formula>
    </cfRule>
  </conditionalFormatting>
  <dataValidations count="12">
    <dataValidation sqref="D10:E1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"Jan/2026,Fev/2026,Mar/2026,Abr/2026,Mai/2026,Jun/2026,Jul/2026,Ago/2026,Set/2026,Out/2026,Nov/2026,Dez/2026,Jan/2027,Fev/2027,Mar/2027,Abr/2027,Mai/2027,Jun/2027,Jul/2027,Ago/2027,Set/2027,Out/2027,Nov/2027,Dez/2027"</formula1>
    </dataValidation>
    <dataValidation sqref="D49:D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H49:H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L49:L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"Lorrane,Lucas,Externo / avulso"</formula1>
    </dataValidation>
    <dataValidation sqref="H66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A74:A91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B118:B12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"Erro de projeto,Erro de medição,Erro de produção,Erro de montagem,Falha de material,Dano no transporte,Mudança pedida pelo cliente,Falha de fornecedor,Outro"</formula1>
    </dataValidation>
    <dataValidation sqref="B134:B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"MDF e MDP,Fita de borda,Ferragens,Vidros e espelhos,Esquadrias,Lâmina natural,Consumíveis,Acabamento,Serralheria,Vidraceiro,Outro terceirizado,Uber e aplicativo,Carreto e entrega,Deslocamento da equipe,Frete de material,Estacionamento e pedágio"</formula1>
    </dataValidation>
    <dataValidation sqref="G134:G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"PIX,Boleto,Cartão de crédito,Cartão parcelado,Dinheiro,Transferência,Faturado 30 dias,A combinar"</formula1>
    </dataValidation>
    <dataValidation sqref="I134:I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"A comprar,Comprado (a pagar),Pago"</formula1>
    </dataValidation>
    <dataValidation sqref="D9:E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"Jonathan,Vitor,Indicação,Arquiteto parceiro,Outro"</formula1>
    </dataValidation>
    <dataValidation sqref="F9:G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</dataValidations>
  <pageMargins left="0.4" right="0.3" top="0.4" bottom="0.3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196"/>
  <sheetViews>
    <sheetView showGridLines="0"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14" customWidth="1" min="3" max="3"/>
    <col width="16" customWidth="1" min="4" max="4"/>
    <col width="7" customWidth="1" min="5" max="5"/>
    <col width="13" customWidth="1" min="6" max="6"/>
    <col width="13" customWidth="1" min="7" max="7"/>
    <col width="16" customWidth="1" min="8" max="8"/>
    <col width="7" customWidth="1" min="9" max="9"/>
    <col width="13" customWidth="1" min="10" max="10"/>
    <col width="13" customWidth="1" min="11" max="11"/>
    <col width="15" customWidth="1" min="12" max="12"/>
    <col width="7" customWidth="1" min="13" max="13"/>
    <col width="13" customWidth="1" min="14" max="14"/>
    <col width="14" customWidth="1" min="15" max="15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8" customHeight="1">
      <c r="A3" s="4" t="inlineStr">
        <is>
          <t>FICHA DE CUSTO DO PROJETO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 ht="17" customHeight="1">
      <c r="A4" s="6" t="inlineStr">
        <is>
          <t>Fundo creme = você preenche · fundo cinza = calculado · duplique esta aba a cada projeto e registre o nome dela no Painel Geral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 ht="6" customHeight="1"/>
    <row r="6" ht="13" customHeight="1">
      <c r="A6" s="44" t="inlineStr">
        <is>
          <t>CLIENTE</t>
        </is>
      </c>
      <c r="B6" s="13" t="n"/>
      <c r="C6" s="13" t="n"/>
      <c r="D6" s="44" t="inlineStr">
        <is>
          <t>Nº DO PROJETO</t>
        </is>
      </c>
      <c r="E6" s="13" t="n"/>
      <c r="F6" s="44" t="inlineStr">
        <is>
          <t>DATA DE ENTRADA</t>
        </is>
      </c>
      <c r="G6" s="13" t="n"/>
      <c r="H6" s="44" t="inlineStr">
        <is>
          <t>ENTREGA PREVISTA</t>
        </is>
      </c>
      <c r="I6" s="13" t="n"/>
      <c r="J6" s="44" t="inlineStr">
        <is>
          <t>ENTREGA REAL</t>
        </is>
      </c>
      <c r="K6" s="13" t="n"/>
      <c r="L6" s="13" t="n"/>
      <c r="M6" s="13" t="n"/>
      <c r="N6" s="13" t="n"/>
      <c r="O6" s="13" t="n"/>
    </row>
    <row r="7" ht="21" customHeight="1">
      <c r="A7" s="45" t="n"/>
      <c r="B7" s="46" t="n"/>
      <c r="C7" s="46" t="n"/>
      <c r="D7" s="45" t="n"/>
      <c r="E7" s="46" t="n"/>
      <c r="F7" s="47" t="n"/>
      <c r="G7" s="46" t="n"/>
      <c r="H7" s="47" t="n"/>
      <c r="I7" s="46" t="n"/>
      <c r="J7" s="47" t="n"/>
      <c r="K7" s="46" t="n"/>
      <c r="L7" s="46" t="n"/>
      <c r="M7" s="46" t="n"/>
      <c r="N7" s="46" t="n"/>
      <c r="O7" s="46" t="n"/>
    </row>
    <row r="8" ht="13" customHeight="1">
      <c r="A8" s="44" t="inlineStr">
        <is>
          <t>PROJETO</t>
        </is>
      </c>
      <c r="B8" s="13" t="n"/>
      <c r="C8" s="13" t="n"/>
      <c r="D8" s="44" t="inlineStr">
        <is>
          <t>VENDEDOR</t>
        </is>
      </c>
      <c r="E8" s="13" t="n"/>
      <c r="F8" s="44" t="inlineStr">
        <is>
          <t>COORDENADOR</t>
        </is>
      </c>
      <c r="G8" s="13" t="n"/>
      <c r="H8" s="44" t="inlineStr">
        <is>
          <t>DIAS DE ATRASO</t>
        </is>
      </c>
      <c r="I8" s="13" t="n"/>
      <c r="J8" s="44" t="inlineStr">
        <is>
          <t>SITUAÇÃO DA ENTREGA</t>
        </is>
      </c>
      <c r="K8" s="13" t="n"/>
      <c r="L8" s="13" t="n"/>
      <c r="M8" s="13" t="n"/>
      <c r="N8" s="13" t="n"/>
      <c r="O8" s="13" t="n"/>
    </row>
    <row r="9" ht="21" customHeight="1">
      <c r="A9" s="45" t="n"/>
      <c r="B9" s="46" t="n"/>
      <c r="C9" s="46" t="n"/>
      <c r="D9" s="45" t="n"/>
      <c r="E9" s="46" t="n"/>
      <c r="F9" s="48" t="n"/>
      <c r="G9" s="46" t="n"/>
      <c r="H9" s="49">
        <f>IF(OR($H$7="",$J$7=""),"",$J$7-$H$7)</f>
        <v/>
      </c>
      <c r="I9" s="38" t="n"/>
      <c r="J9" s="50">
        <f>IF($H$7="","",IF($J$7="",IF(TODAY()&gt;$H$7,"Atrasado","Em produção"),IF($H$9&lt;=0,"No prazo","Atrasado")))</f>
        <v/>
      </c>
      <c r="K9" s="38" t="n"/>
      <c r="L9" s="38" t="n"/>
      <c r="M9" s="38" t="n"/>
      <c r="N9" s="38" t="n"/>
      <c r="O9" s="38" t="n"/>
    </row>
    <row r="10" ht="18" customHeight="1">
      <c r="A10" s="51" t="inlineStr">
        <is>
          <t>MÊS DE COMPETÊNCIA</t>
        </is>
      </c>
      <c r="B10" s="37" t="n"/>
      <c r="C10" s="37" t="n"/>
      <c r="D10" s="52" t="n"/>
      <c r="E10" s="46" t="n"/>
      <c r="F10" s="53" t="inlineStr">
        <is>
          <t>o mês em que a receita e o custo deste projeto pesam no painel de competência</t>
        </is>
      </c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</row>
    <row r="11" ht="20" customHeight="1">
      <c r="A11" s="8" t="inlineStr">
        <is>
          <t xml:space="preserve">  RESULTADO DO PROJETO          tudo aqui se atualiza conforme você lança os custos mais abaixo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</row>
    <row r="12" ht="13" customHeight="1">
      <c r="A12" s="44" t="inlineStr">
        <is>
          <t>VALOR DE VENDA</t>
        </is>
      </c>
      <c r="B12" s="13" t="n"/>
      <c r="C12" s="44" t="inlineStr">
        <is>
          <t>CUSTO TOTAL</t>
        </is>
      </c>
      <c r="D12" s="13" t="n"/>
      <c r="E12" s="44" t="inlineStr">
        <is>
          <t>MARGEM DE CONTRIBUIÇÃO</t>
        </is>
      </c>
      <c r="F12" s="13" t="n"/>
      <c r="G12" s="44" t="inlineStr">
        <is>
          <t>MC %</t>
        </is>
      </c>
      <c r="H12" s="44" t="inlineStr">
        <is>
          <t>MC % ORÇADA</t>
        </is>
      </c>
      <c r="I12" s="44" t="inlineStr">
        <is>
          <t>DESVIO DE CUSTO</t>
        </is>
      </c>
      <c r="J12" s="13" t="n"/>
      <c r="K12" s="13" t="n"/>
      <c r="L12" s="13" t="n"/>
      <c r="M12" s="13" t="n"/>
      <c r="N12" s="13" t="n"/>
      <c r="O12" s="13" t="n"/>
    </row>
    <row r="13" ht="30" customHeight="1">
      <c r="A13" s="54">
        <f>IF($D$28="",$C$28,$D$28)</f>
        <v/>
      </c>
      <c r="B13" s="15" t="n"/>
      <c r="C13" s="54">
        <f>IF($D$22=0,"",$D$22)</f>
        <v/>
      </c>
      <c r="D13" s="15" t="n"/>
      <c r="E13" s="54">
        <f>IF($A$13="","",$D$23)</f>
        <v/>
      </c>
      <c r="F13" s="15" t="n"/>
      <c r="G13" s="55">
        <f>IF(OR($A$13="",$A$13=0),"",$D$23/$A$13)</f>
        <v/>
      </c>
      <c r="H13" s="55">
        <f>IF(OR($C$28="",$C$28=0),"",$C$23/$C$28)</f>
        <v/>
      </c>
      <c r="I13" s="54">
        <f>IF(OR($C$22=0,$D$22=0),"",ROUND($D$22-$C$22,2))</f>
        <v/>
      </c>
      <c r="J13" s="15" t="n"/>
      <c r="K13" s="15" t="n"/>
      <c r="L13" s="15" t="n"/>
      <c r="M13" s="15" t="n"/>
      <c r="N13" s="15" t="n"/>
      <c r="O13" s="15" t="n"/>
    </row>
    <row r="14" ht="8" customHeight="1"/>
    <row r="15" ht="26" customHeight="1">
      <c r="A15" s="19" t="inlineStr">
        <is>
          <t>Resumo por categoria</t>
        </is>
      </c>
      <c r="B15" s="35" t="n"/>
      <c r="C15" s="19" t="inlineStr">
        <is>
          <t>Orçado (R$)</t>
        </is>
      </c>
      <c r="D15" s="19" t="inlineStr">
        <is>
          <t>Realizado (R$)</t>
        </is>
      </c>
      <c r="E15" s="19" t="inlineStr">
        <is>
          <t>Desvio (R$)</t>
        </is>
      </c>
      <c r="F15" s="35" t="n"/>
      <c r="G15" s="19" t="inlineStr">
        <is>
          <t>Desvio (%)</t>
        </is>
      </c>
      <c r="H15" s="19" t="inlineStr">
        <is>
          <t>% da venda realizada</t>
        </is>
      </c>
      <c r="I15" s="35" t="n"/>
      <c r="J15" s="35" t="n"/>
      <c r="K15" s="35" t="n"/>
      <c r="L15" s="35" t="n"/>
      <c r="M15" s="35" t="n"/>
      <c r="N15" s="35" t="n"/>
      <c r="O15" s="35" t="n"/>
    </row>
    <row r="16" ht="18" customHeight="1">
      <c r="A16" s="36" t="inlineStr">
        <is>
          <t>Custos de venda</t>
        </is>
      </c>
      <c r="B16" s="37" t="n"/>
      <c r="C16" s="56">
        <f>IF(C44="","",C44)</f>
        <v/>
      </c>
      <c r="D16" s="56">
        <f>IF(D44="","",D44)</f>
        <v/>
      </c>
      <c r="E16" s="56">
        <f>IF(OR($C16="",$D16=""),"",ROUND($D16-$C16,2))</f>
        <v/>
      </c>
      <c r="F16" s="38" t="n"/>
      <c r="G16" s="57">
        <f>IF(OR($C16="",$C16=0,$D16=""),"",$D16/$C16-1)</f>
        <v/>
      </c>
      <c r="H16" s="58">
        <f>IF(OR($D16="",$A$13="",$A$13=0),"",$D16/$A$13)</f>
        <v/>
      </c>
      <c r="I16" s="38" t="n"/>
      <c r="J16" s="38" t="n"/>
      <c r="K16" s="38" t="n"/>
      <c r="L16" s="38" t="n"/>
      <c r="M16" s="38" t="n"/>
      <c r="N16" s="38" t="n"/>
      <c r="O16" s="38" t="n"/>
    </row>
    <row r="17" ht="18" customHeight="1">
      <c r="A17" s="36" t="inlineStr">
        <is>
          <t>Comissões operacionais</t>
        </is>
      </c>
      <c r="B17" s="37" t="n"/>
      <c r="C17" s="56">
        <f>IF(C70="","",C70)</f>
        <v/>
      </c>
      <c r="D17" s="56">
        <f>IF(D70="","",D70)</f>
        <v/>
      </c>
      <c r="E17" s="56">
        <f>IF(OR($C17="",$D17=""),"",ROUND($D17-$C17,2))</f>
        <v/>
      </c>
      <c r="F17" s="38" t="n"/>
      <c r="G17" s="57">
        <f>IF(OR($C17="",$C17=0,$D17=""),"",$D17/$C17-1)</f>
        <v/>
      </c>
      <c r="H17" s="58">
        <f>IF(OR($D17="",$A$13="",$A$13=0),"",$D17/$A$13)</f>
        <v/>
      </c>
      <c r="I17" s="38" t="n"/>
      <c r="J17" s="38" t="n"/>
      <c r="K17" s="38" t="n"/>
      <c r="L17" s="38" t="n"/>
      <c r="M17" s="38" t="n"/>
      <c r="N17" s="38" t="n"/>
      <c r="O17" s="38" t="n"/>
    </row>
    <row r="18" ht="18" customHeight="1">
      <c r="A18" s="36" t="inlineStr">
        <is>
          <t>Material</t>
        </is>
      </c>
      <c r="B18" s="37" t="n"/>
      <c r="C18" s="56">
        <f>IF(C103="","",C103)</f>
        <v/>
      </c>
      <c r="D18" s="56">
        <f>IF(D103="","",D103)</f>
        <v/>
      </c>
      <c r="E18" s="56">
        <f>IF(OR($C18="",$D18=""),"",ROUND($D18-$C18,2))</f>
        <v/>
      </c>
      <c r="F18" s="38" t="n"/>
      <c r="G18" s="57">
        <f>IF(OR($C18="",$C18=0,$D18=""),"",$D18/$C18-1)</f>
        <v/>
      </c>
      <c r="H18" s="58">
        <f>IF(OR($D18="",$A$13="",$A$13=0),"",$D18/$A$13)</f>
        <v/>
      </c>
      <c r="I18" s="38" t="n"/>
      <c r="J18" s="38" t="n"/>
      <c r="K18" s="38" t="n"/>
      <c r="L18" s="38" t="n"/>
      <c r="M18" s="38" t="n"/>
      <c r="N18" s="38" t="n"/>
      <c r="O18" s="38" t="n"/>
    </row>
    <row r="19" ht="18" customHeight="1">
      <c r="A19" s="36" t="inlineStr">
        <is>
          <t>Serviços terceirizados</t>
        </is>
      </c>
      <c r="B19" s="37" t="n"/>
      <c r="C19" s="56">
        <f>IF(C108="","",C108)</f>
        <v/>
      </c>
      <c r="D19" s="56">
        <f>IF(D108="","",D108)</f>
        <v/>
      </c>
      <c r="E19" s="56">
        <f>IF(OR($C19="",$D19=""),"",ROUND($D19-$C19,2))</f>
        <v/>
      </c>
      <c r="F19" s="38" t="n"/>
      <c r="G19" s="57">
        <f>IF(OR($C19="",$C19=0,$D19=""),"",$D19/$C19-1)</f>
        <v/>
      </c>
      <c r="H19" s="58">
        <f>IF(OR($D19="",$A$13="",$A$13=0),"",$D19/$A$13)</f>
        <v/>
      </c>
      <c r="I19" s="38" t="n"/>
      <c r="J19" s="38" t="n"/>
      <c r="K19" s="38" t="n"/>
      <c r="L19" s="38" t="n"/>
      <c r="M19" s="38" t="n"/>
      <c r="N19" s="38" t="n"/>
      <c r="O19" s="38" t="n"/>
    </row>
    <row r="20" ht="18" customHeight="1">
      <c r="A20" s="36" t="inlineStr">
        <is>
          <t>Logística</t>
        </is>
      </c>
      <c r="B20" s="37" t="n"/>
      <c r="C20" s="56">
        <f>IF(C114="","",C114)</f>
        <v/>
      </c>
      <c r="D20" s="56">
        <f>IF(D114="","",D114)</f>
        <v/>
      </c>
      <c r="E20" s="56">
        <f>IF(OR($C20="",$D20=""),"",ROUND($D20-$C20,2))</f>
        <v/>
      </c>
      <c r="F20" s="38" t="n"/>
      <c r="G20" s="57">
        <f>IF(OR($C20="",$C20=0,$D20=""),"",$D20/$C20-1)</f>
        <v/>
      </c>
      <c r="H20" s="58">
        <f>IF(OR($D20="",$A$13="",$A$13=0),"",$D20/$A$13)</f>
        <v/>
      </c>
      <c r="I20" s="38" t="n"/>
      <c r="J20" s="38" t="n"/>
      <c r="K20" s="38" t="n"/>
      <c r="L20" s="38" t="n"/>
      <c r="M20" s="38" t="n"/>
      <c r="N20" s="38" t="n"/>
      <c r="O20" s="38" t="n"/>
    </row>
    <row r="21" ht="18" customHeight="1">
      <c r="A21" s="36" t="inlineStr">
        <is>
          <t>Retrabalho</t>
        </is>
      </c>
      <c r="B21" s="37" t="n"/>
      <c r="C21" s="56">
        <f>IF(C130="","",C130)</f>
        <v/>
      </c>
      <c r="D21" s="56">
        <f>IF(D130="","",D130)</f>
        <v/>
      </c>
      <c r="E21" s="56">
        <f>IF(OR($C21="",$D21=""),"",ROUND($D21-$C21,2))</f>
        <v/>
      </c>
      <c r="F21" s="38" t="n"/>
      <c r="G21" s="57">
        <f>IF(OR($C21="",$C21=0,$D21=""),"",$D21/$C21-1)</f>
        <v/>
      </c>
      <c r="H21" s="58">
        <f>IF(OR($D21="",$A$13="",$A$13=0),"",$D21/$A$13)</f>
        <v/>
      </c>
      <c r="I21" s="38" t="n"/>
      <c r="J21" s="38" t="n"/>
      <c r="K21" s="38" t="n"/>
      <c r="L21" s="38" t="n"/>
      <c r="M21" s="38" t="n"/>
      <c r="N21" s="38" t="n"/>
      <c r="O21" s="38" t="n"/>
    </row>
    <row r="22" ht="22" customHeight="1">
      <c r="A22" s="31" t="inlineStr">
        <is>
          <t>(=) CUSTO TOTAL DO PROJETO</t>
        </is>
      </c>
      <c r="B22" s="32" t="n"/>
      <c r="C22" s="59">
        <f>ROUND(SUM(C16:C21),2)</f>
        <v/>
      </c>
      <c r="D22" s="59">
        <f>ROUND(SUM(D16:D21),2)</f>
        <v/>
      </c>
      <c r="E22" s="60">
        <f>ROUND($D$22-$C$22,2)</f>
        <v/>
      </c>
      <c r="F22" s="32" t="n"/>
      <c r="G22" s="61">
        <f>IF(OR($C$22="",$C$22=0),"",$D$22/$C$22-1)</f>
        <v/>
      </c>
      <c r="H22" s="62">
        <f>IF(OR($A$13="",$A$13=0),"",$D$22/$A$13)</f>
        <v/>
      </c>
      <c r="I22" s="32" t="n"/>
      <c r="J22" s="32" t="n"/>
      <c r="K22" s="32" t="n"/>
      <c r="L22" s="32" t="n"/>
      <c r="M22" s="32" t="n"/>
      <c r="N22" s="32" t="n"/>
      <c r="O22" s="32" t="n"/>
    </row>
    <row r="23" ht="28" customHeight="1">
      <c r="A23" s="63" t="inlineStr">
        <is>
          <t>(=) MARGEM DE CONTRIBUIÇÃO</t>
        </is>
      </c>
      <c r="B23" s="64" t="n"/>
      <c r="C23" s="65">
        <f>ROUND($C$28-$C$22,2)</f>
        <v/>
      </c>
      <c r="D23" s="65">
        <f>ROUND($A$13-$D$22,2)</f>
        <v/>
      </c>
      <c r="E23" s="66">
        <f>ROUND($D$23-$C$23,2)</f>
        <v/>
      </c>
      <c r="F23" s="64" t="n"/>
      <c r="G23" s="67">
        <f>IF(OR($C$28="",$C$28=0),"",$C$23/$C$28)</f>
        <v/>
      </c>
      <c r="H23" s="68">
        <f>IF(OR($A$13="",$A$13=0),"",$D$23/$A$13)</f>
        <v/>
      </c>
      <c r="I23" s="64" t="n"/>
      <c r="J23" s="64" t="n"/>
      <c r="K23" s="64" t="n"/>
      <c r="L23" s="64" t="n"/>
      <c r="M23" s="64" t="n"/>
      <c r="N23" s="64" t="n"/>
      <c r="O23" s="64" t="n"/>
    </row>
    <row r="24" ht="22" customHeight="1">
      <c r="A24" s="69">
        <f>IF($A$13="","",IF(ROUND(SUMIF($I$134:$I$193,"A comprar",$E$134:$E$193),2)+ROUND(SUMIF($I$134:$I$193,"Comprado (a pagar)",$E$134:$E$193),2)=0,"   Nenhuma compra pendente lançada — o custo realizado já é o custo final.","   Já comprado e ainda a pagar: "&amp;TEXT(ROUND(SUMIF($I$134:$I$193,"Comprado (a pagar)",$E$134:$E$193),2),"R$ #,##0")&amp;"   ·   custo projetado: "&amp;TEXT($D$22+ROUND(SUMIF($I$134:$I$193,"A comprar",$E$134:$E$193),2),"R$ #,##0")&amp;"   ·   MC projetada: "&amp;TEXT(($A$13-$D$22-ROUND(SUMIF($I$134:$I$193,"A comprar",$E$134:$E$193),2))/$A$13,"0.0%")))</f>
        <v/>
      </c>
      <c r="B24" s="15" t="n"/>
      <c r="C24" s="15" t="n"/>
      <c r="D24" s="15" t="n"/>
      <c r="E24" s="15" t="n"/>
      <c r="F24" s="15" t="n"/>
      <c r="G24" s="15" t="n"/>
      <c r="H24" s="15" t="n"/>
      <c r="I24" s="70">
        <f>IF($A$13="","",ROUND(SUMIF($I$134:$I$193,"A comprar",$E$134:$E$193),2))</f>
        <v/>
      </c>
      <c r="J24" s="15" t="n"/>
      <c r="K24" s="15" t="n"/>
      <c r="L24" s="15" t="n"/>
      <c r="M24" s="15" t="n"/>
      <c r="N24" s="15" t="n"/>
      <c r="O24" s="15" t="n"/>
    </row>
    <row r="25" ht="8" customHeight="1"/>
    <row r="26" ht="20" customHeight="1">
      <c r="A26" s="8" t="inlineStr">
        <is>
          <t xml:space="preserve">  1 · VALOR DE VENDA E NOTAS EMITIDAS          o que foi vendido e o que já virou nota — a diferença é o que falta faturar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 ht="26" customHeight="1">
      <c r="A27" s="19" t="inlineStr">
        <is>
          <t>Item</t>
        </is>
      </c>
      <c r="B27" s="19" t="inlineStr">
        <is>
          <t>%</t>
        </is>
      </c>
      <c r="C27" s="19" t="inlineStr">
        <is>
          <t>Orçado (R$)</t>
        </is>
      </c>
      <c r="D27" s="19" t="inlineStr">
        <is>
          <t>Realizado (R$)</t>
        </is>
      </c>
      <c r="E27" s="19" t="inlineStr">
        <is>
          <t>Desvio (R$)</t>
        </is>
      </c>
      <c r="F27" s="35" t="n"/>
      <c r="G27" s="19" t="inlineStr">
        <is>
          <t>% da venda</t>
        </is>
      </c>
      <c r="H27" s="19" t="inlineStr">
        <is>
          <t>Observação</t>
        </is>
      </c>
      <c r="I27" s="35" t="n"/>
      <c r="J27" s="35" t="n"/>
      <c r="K27" s="35" t="n"/>
      <c r="L27" s="35" t="n"/>
      <c r="M27" s="35" t="n"/>
      <c r="N27" s="35" t="n"/>
      <c r="O27" s="35" t="n"/>
    </row>
    <row r="28" ht="17" customHeight="1">
      <c r="A28" s="36" t="inlineStr">
        <is>
          <t>Valor de venda do projeto</t>
        </is>
      </c>
      <c r="B28" s="37" t="n"/>
      <c r="C28" s="71" t="n"/>
      <c r="D28" s="71" t="n"/>
      <c r="E28" s="56">
        <f>IF(OR($C28="",$D28=""),"",ROUND($D28-$C28,2))</f>
        <v/>
      </c>
      <c r="F28" s="38" t="n"/>
      <c r="G28" s="72" t="n"/>
      <c r="H28" s="73" t="inlineStr">
        <is>
          <t>Orçado = valor da proposta · Realizado = valor fechado</t>
        </is>
      </c>
      <c r="I28" s="46" t="n"/>
      <c r="J28" s="46" t="n"/>
      <c r="K28" s="46" t="n"/>
      <c r="L28" s="46" t="n"/>
      <c r="M28" s="46" t="n"/>
      <c r="N28" s="46" t="n"/>
      <c r="O28" s="46" t="n"/>
    </row>
    <row r="29" ht="22" customHeight="1">
      <c r="A29" s="19" t="inlineStr">
        <is>
          <t>Nota fiscal</t>
        </is>
      </c>
      <c r="B29" s="19" t="inlineStr">
        <is>
          <t>Número</t>
        </is>
      </c>
      <c r="C29" s="19" t="inlineStr">
        <is>
          <t>Data</t>
        </is>
      </c>
      <c r="D29" s="19" t="inlineStr">
        <is>
          <t>Valor (R$)</t>
        </is>
      </c>
      <c r="E29" s="19" t="inlineStr"/>
      <c r="F29" s="35" t="n"/>
      <c r="G29" s="19" t="inlineStr">
        <is>
          <t>% da venda</t>
        </is>
      </c>
      <c r="H29" s="19" t="inlineStr">
        <is>
          <t>Observação</t>
        </is>
      </c>
      <c r="I29" s="35" t="n"/>
      <c r="J29" s="35" t="n"/>
      <c r="K29" s="35" t="n"/>
      <c r="L29" s="35" t="n"/>
      <c r="M29" s="35" t="n"/>
      <c r="N29" s="35" t="n"/>
      <c r="O29" s="35" t="n"/>
    </row>
    <row r="30" ht="17" customHeight="1">
      <c r="A30" s="36" t="inlineStr">
        <is>
          <t>Nota 1</t>
        </is>
      </c>
      <c r="B30" s="74" t="n"/>
      <c r="C30" s="75" t="n"/>
      <c r="D30" s="76" t="n"/>
      <c r="E30" s="37" t="n"/>
      <c r="F30" s="37" t="n"/>
      <c r="G30" s="72">
        <f>IF(OR($D30="",$A$13="",$A$13=0),"",$D30/$A$13)</f>
        <v/>
      </c>
      <c r="H30" s="73" t="n"/>
      <c r="I30" s="46" t="n"/>
      <c r="J30" s="46" t="n"/>
      <c r="K30" s="46" t="n"/>
      <c r="L30" s="46" t="n"/>
      <c r="M30" s="46" t="n"/>
      <c r="N30" s="46" t="n"/>
      <c r="O30" s="46" t="n"/>
    </row>
    <row r="31" ht="17" customHeight="1">
      <c r="A31" s="36" t="inlineStr">
        <is>
          <t>Nota 2</t>
        </is>
      </c>
      <c r="B31" s="74" t="n"/>
      <c r="C31" s="75" t="n"/>
      <c r="D31" s="76" t="n"/>
      <c r="E31" s="37" t="n"/>
      <c r="F31" s="37" t="n"/>
      <c r="G31" s="72">
        <f>IF(OR($D31="",$A$13="",$A$13=0),"",$D31/$A$13)</f>
        <v/>
      </c>
      <c r="H31" s="73" t="n"/>
      <c r="I31" s="46" t="n"/>
      <c r="J31" s="46" t="n"/>
      <c r="K31" s="46" t="n"/>
      <c r="L31" s="46" t="n"/>
      <c r="M31" s="46" t="n"/>
      <c r="N31" s="46" t="n"/>
      <c r="O31" s="46" t="n"/>
    </row>
    <row r="32" ht="17" customHeight="1">
      <c r="A32" s="36" t="inlineStr">
        <is>
          <t>Nota 3</t>
        </is>
      </c>
      <c r="B32" s="74" t="n"/>
      <c r="C32" s="75" t="n"/>
      <c r="D32" s="76" t="n"/>
      <c r="E32" s="37" t="n"/>
      <c r="F32" s="37" t="n"/>
      <c r="G32" s="72">
        <f>IF(OR($D32="",$A$13="",$A$13=0),"",$D32/$A$13)</f>
        <v/>
      </c>
      <c r="H32" s="73" t="n"/>
      <c r="I32" s="46" t="n"/>
      <c r="J32" s="46" t="n"/>
      <c r="K32" s="46" t="n"/>
      <c r="L32" s="46" t="n"/>
      <c r="M32" s="46" t="n"/>
      <c r="N32" s="46" t="n"/>
      <c r="O32" s="46" t="n"/>
    </row>
    <row r="33" ht="17" customHeight="1">
      <c r="A33" s="36" t="inlineStr">
        <is>
          <t>Nota 4</t>
        </is>
      </c>
      <c r="B33" s="74" t="n"/>
      <c r="C33" s="75" t="n"/>
      <c r="D33" s="76" t="n"/>
      <c r="E33" s="37" t="n"/>
      <c r="F33" s="37" t="n"/>
      <c r="G33" s="72">
        <f>IF(OR($D33="",$A$13="",$A$13=0),"",$D33/$A$13)</f>
        <v/>
      </c>
      <c r="H33" s="73" t="n"/>
      <c r="I33" s="46" t="n"/>
      <c r="J33" s="46" t="n"/>
      <c r="K33" s="46" t="n"/>
      <c r="L33" s="46" t="n"/>
      <c r="M33" s="46" t="n"/>
      <c r="N33" s="46" t="n"/>
      <c r="O33" s="46" t="n"/>
    </row>
    <row r="34" ht="20" customHeight="1">
      <c r="A34" s="31" t="inlineStr">
        <is>
          <t>(=) TOTAL FATURADO  →</t>
        </is>
      </c>
      <c r="B34" s="32" t="n"/>
      <c r="C34" s="32" t="n"/>
      <c r="D34" s="60">
        <f>ROUND(SUM($D$30:$D$33),2)</f>
        <v/>
      </c>
      <c r="E34" s="32" t="n"/>
      <c r="F34" s="32" t="n"/>
      <c r="G34" s="62">
        <f>IF(OR($A$13="",$A$13=0),"",$D$34/$A$13)</f>
        <v/>
      </c>
      <c r="H34" s="77">
        <f>IF(OR($A$13="",$A$13=0),"",IF(ROUND($A$13-$D$34,2)&lt;=0,"   Projeto totalmente faturado.","   Ainda a faturar: "&amp;TEXT($A$13-$D$34,"R$ #,##0.00")))</f>
        <v/>
      </c>
      <c r="I34" s="32" t="n"/>
      <c r="J34" s="32" t="n"/>
      <c r="K34" s="32" t="n"/>
      <c r="L34" s="32" t="n"/>
      <c r="M34" s="32" t="n"/>
      <c r="N34" s="32" t="n"/>
      <c r="O34" s="32" t="n"/>
    </row>
    <row r="35" ht="8" customHeight="1"/>
    <row r="36" ht="20" customHeight="1">
      <c r="A36" s="8" t="inlineStr">
        <is>
          <t xml:space="preserve">  2 · CUSTOS DE VENDA          tudo que sai por causa da venda · define a RECEITA LÍQUIDA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</row>
    <row r="37" ht="26" customHeight="1">
      <c r="A37" s="19" t="inlineStr">
        <is>
          <t>Item</t>
        </is>
      </c>
      <c r="B37" s="19" t="inlineStr">
        <is>
          <t>%</t>
        </is>
      </c>
      <c r="C37" s="19" t="inlineStr">
        <is>
          <t>Orçado (R$)</t>
        </is>
      </c>
      <c r="D37" s="19" t="inlineStr">
        <is>
          <t>Realizado (R$)</t>
        </is>
      </c>
      <c r="E37" s="19" t="inlineStr">
        <is>
          <t>Desvio (R$)</t>
        </is>
      </c>
      <c r="F37" s="35" t="n"/>
      <c r="G37" s="19" t="inlineStr">
        <is>
          <t>% da venda</t>
        </is>
      </c>
      <c r="H37" s="19" t="inlineStr">
        <is>
          <t>Observação</t>
        </is>
      </c>
      <c r="I37" s="35" t="n"/>
      <c r="J37" s="35" t="n"/>
      <c r="K37" s="35" t="n"/>
      <c r="L37" s="35" t="n"/>
      <c r="M37" s="35" t="n"/>
      <c r="N37" s="35" t="n"/>
      <c r="O37" s="35" t="n"/>
    </row>
    <row r="38" ht="17" customHeight="1">
      <c r="A38" s="36" t="inlineStr">
        <is>
          <t>Impostos sobre a nota (Simples)</t>
        </is>
      </c>
      <c r="B38" s="78" t="n"/>
      <c r="C38" s="56">
        <f>IF($B38="","",ROUND($B38*$C$28,2))</f>
        <v/>
      </c>
      <c r="D38" s="56">
        <f>IF($B38="","",ROUND($B38*$A$13,2))</f>
        <v/>
      </c>
      <c r="E38" s="56">
        <f>IF(OR($C38="",$D38=""),"",ROUND($D38-$C38,2))</f>
        <v/>
      </c>
      <c r="F38" s="38" t="n"/>
      <c r="G38" s="72">
        <f>IF(OR($D38="",$A$13="",$A$13=0),"",$D38/$A$13)</f>
        <v/>
      </c>
      <c r="H38" s="73" t="inlineStr">
        <is>
          <t>% sobre o valor de venda</t>
        </is>
      </c>
      <c r="I38" s="46" t="n"/>
      <c r="J38" s="46" t="n"/>
      <c r="K38" s="46" t="n"/>
      <c r="L38" s="46" t="n"/>
      <c r="M38" s="46" t="n"/>
      <c r="N38" s="46" t="n"/>
      <c r="O38" s="46" t="n"/>
    </row>
    <row r="39" ht="17" customHeight="1">
      <c r="A39" s="36" t="inlineStr">
        <is>
          <t>Taxa de máquina de cartão</t>
        </is>
      </c>
      <c r="B39" s="78" t="n"/>
      <c r="C39" s="56">
        <f>IF($B39="","",ROUND($B39*$C$28,2))</f>
        <v/>
      </c>
      <c r="D39" s="56">
        <f>IF($B39="","",ROUND($B39*$A$13,2))</f>
        <v/>
      </c>
      <c r="E39" s="56">
        <f>IF(OR($C39="",$D39=""),"",ROUND($D39-$C39,2))</f>
        <v/>
      </c>
      <c r="F39" s="38" t="n"/>
      <c r="G39" s="72">
        <f>IF(OR($D39="",$A$13="",$A$13=0),"",$D39/$A$13)</f>
        <v/>
      </c>
      <c r="H39" s="73" t="inlineStr">
        <is>
          <t>% sobre o valor de venda</t>
        </is>
      </c>
      <c r="I39" s="46" t="n"/>
      <c r="J39" s="46" t="n"/>
      <c r="K39" s="46" t="n"/>
      <c r="L39" s="46" t="n"/>
      <c r="M39" s="46" t="n"/>
      <c r="N39" s="46" t="n"/>
      <c r="O39" s="46" t="n"/>
    </row>
    <row r="40" ht="17" customHeight="1">
      <c r="A40" s="36" t="inlineStr">
        <is>
          <t>Taxas de transação (PIX, boleto, TED)</t>
        </is>
      </c>
      <c r="B40" s="37" t="n"/>
      <c r="C40" s="71" t="n"/>
      <c r="D40" s="71" t="n"/>
      <c r="E40" s="56">
        <f>IF(OR($C40="",$D40=""),"",ROUND($D40-$C40,2))</f>
        <v/>
      </c>
      <c r="F40" s="38" t="n"/>
      <c r="G40" s="72">
        <f>IF(OR($D40="",$A$13="",$A$13=0),"",$D40/$A$13)</f>
        <v/>
      </c>
      <c r="H40" s="73" t="inlineStr">
        <is>
          <t>valor em reais</t>
        </is>
      </c>
      <c r="I40" s="46" t="n"/>
      <c r="J40" s="46" t="n"/>
      <c r="K40" s="46" t="n"/>
      <c r="L40" s="46" t="n"/>
      <c r="M40" s="46" t="n"/>
      <c r="N40" s="46" t="n"/>
      <c r="O40" s="46" t="n"/>
    </row>
    <row r="41" ht="17" customHeight="1">
      <c r="A41" s="36" t="inlineStr">
        <is>
          <t>Comissão de venda (vendedor)</t>
        </is>
      </c>
      <c r="B41" s="78" t="n"/>
      <c r="C41" s="56">
        <f>IF($B41="","",ROUND($B41*$C$28,2))</f>
        <v/>
      </c>
      <c r="D41" s="56">
        <f>IF($B41="","",ROUND($B41*$A$13,2))</f>
        <v/>
      </c>
      <c r="E41" s="56">
        <f>IF(OR($C41="",$D41=""),"",ROUND($D41-$C41,2))</f>
        <v/>
      </c>
      <c r="F41" s="38" t="n"/>
      <c r="G41" s="72">
        <f>IF(OR($D41="",$A$13="",$A$13=0),"",$D41/$A$13)</f>
        <v/>
      </c>
      <c r="H41" s="73" t="inlineStr">
        <is>
          <t>% sobre o valor de venda</t>
        </is>
      </c>
      <c r="I41" s="46" t="n"/>
      <c r="J41" s="46" t="n"/>
      <c r="K41" s="46" t="n"/>
      <c r="L41" s="46" t="n"/>
      <c r="M41" s="46" t="n"/>
      <c r="N41" s="46" t="n"/>
      <c r="O41" s="46" t="n"/>
    </row>
    <row r="42" ht="17" customHeight="1">
      <c r="A42" s="36" t="inlineStr">
        <is>
          <t>Projeto / anteprojeto (externo)</t>
        </is>
      </c>
      <c r="B42" s="37" t="n"/>
      <c r="C42" s="71" t="n"/>
      <c r="D42" s="71" t="n"/>
      <c r="E42" s="56">
        <f>IF(OR($C42="",$D42=""),"",ROUND($D42-$C42,2))</f>
        <v/>
      </c>
      <c r="F42" s="38" t="n"/>
      <c r="G42" s="72">
        <f>IF(OR($D42="",$A$13="",$A$13=0),"",$D42/$A$13)</f>
        <v/>
      </c>
      <c r="H42" s="73" t="inlineStr">
        <is>
          <t>projetista ou arquiteto contratado para o projeto</t>
        </is>
      </c>
      <c r="I42" s="46" t="n"/>
      <c r="J42" s="46" t="n"/>
      <c r="K42" s="46" t="n"/>
      <c r="L42" s="46" t="n"/>
      <c r="M42" s="46" t="n"/>
      <c r="N42" s="46" t="n"/>
      <c r="O42" s="46" t="n"/>
    </row>
    <row r="43" ht="17" customHeight="1">
      <c r="A43" s="36" t="inlineStr">
        <is>
          <t>RT do parceiro</t>
        </is>
      </c>
      <c r="B43" s="78" t="n"/>
      <c r="C43" s="56">
        <f>IF($B43="","",ROUND($B43*($C$28-SUM($C$38:$C$40)),2))</f>
        <v/>
      </c>
      <c r="D43" s="56">
        <f>IF($B43="","",ROUND($B43*($A$13-SUM($D$38:$D$40)),2))</f>
        <v/>
      </c>
      <c r="E43" s="56">
        <f>IF(OR($C43="",$D43=""),"",ROUND($D43-$C43,2))</f>
        <v/>
      </c>
      <c r="F43" s="38" t="n"/>
      <c r="G43" s="72">
        <f>IF(OR($D43="",$A$13="",$A$13=0),"",$D43/$A$13)</f>
        <v/>
      </c>
      <c r="H43" s="73" t="inlineStr">
        <is>
          <t>% sobre o líquido: venda menos impostos, máquina e taxas</t>
        </is>
      </c>
      <c r="I43" s="46" t="n"/>
      <c r="J43" s="46" t="n"/>
      <c r="K43" s="46" t="n"/>
      <c r="L43" s="46" t="n"/>
      <c r="M43" s="46" t="n"/>
      <c r="N43" s="46" t="n"/>
      <c r="O43" s="46" t="n"/>
    </row>
    <row r="44" ht="20" customHeight="1">
      <c r="A44" s="31" t="inlineStr">
        <is>
          <t>(=) SUBTOTAL DOS CUSTOS DE VENDA</t>
        </is>
      </c>
      <c r="B44" s="32" t="n"/>
      <c r="C44" s="60">
        <f>ROUND(SUM(C38:C43),2)</f>
        <v/>
      </c>
      <c r="D44" s="60">
        <f>ROUND(SUM(D38:D43),2)</f>
        <v/>
      </c>
      <c r="E44" s="60">
        <f>ROUND($D44-$C44,2)</f>
        <v/>
      </c>
      <c r="F44" s="32" t="n"/>
      <c r="G44" s="62">
        <f>IF(OR($A$13="",$A$13=0),"",$D44/$A$13)</f>
        <v/>
      </c>
      <c r="H44" s="32" t="n"/>
      <c r="I44" s="32" t="n"/>
      <c r="J44" s="32" t="n"/>
      <c r="K44" s="32" t="n"/>
      <c r="L44" s="32" t="n"/>
      <c r="M44" s="32" t="n"/>
      <c r="N44" s="32" t="n"/>
      <c r="O44" s="32" t="n"/>
    </row>
    <row r="45" ht="24" customHeight="1">
      <c r="A45" s="79" t="inlineStr">
        <is>
          <t>(=) RECEITA LÍQUIDA</t>
        </is>
      </c>
      <c r="B45" s="64" t="n"/>
      <c r="C45" s="80">
        <f>ROUND($C$28-$C$44,2)</f>
        <v/>
      </c>
      <c r="D45" s="80">
        <f>ROUND($A$13-$D$44,2)</f>
        <v/>
      </c>
      <c r="E45" s="66">
        <f>ROUND($D$45-$C$45,2)</f>
        <v/>
      </c>
      <c r="F45" s="64" t="n"/>
      <c r="G45" s="81">
        <f>IF(OR($A$13="",$A$13=0),"",$D$45/$A$13)</f>
        <v/>
      </c>
      <c r="H45" s="82" t="inlineStr">
        <is>
          <t>É esta a base das comissões: coordenação, produção, montagem e projetista</t>
        </is>
      </c>
      <c r="I45" s="64" t="n"/>
      <c r="J45" s="64" t="n"/>
      <c r="K45" s="64" t="n"/>
      <c r="L45" s="64" t="n"/>
      <c r="M45" s="64" t="n"/>
      <c r="N45" s="64" t="n"/>
      <c r="O45" s="64" t="n"/>
    </row>
    <row r="46" ht="8" customHeight="1"/>
    <row r="47" ht="20" customHeight="1">
      <c r="A47" s="8" t="inlineStr">
        <is>
          <t xml:space="preserve">  3 · AMBIENTES, PRODUÇÃO, MONTAGEM E PROJETO          cada ambiente com quem produziu, quem montou e quem projetou · a comissão incide sobre a receita líquida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</row>
    <row r="48" ht="32" customHeight="1">
      <c r="A48" s="19" t="inlineStr">
        <is>
          <t>Ambiente</t>
        </is>
      </c>
      <c r="B48" s="19" t="inlineStr">
        <is>
          <t>% do total</t>
        </is>
      </c>
      <c r="C48" s="19" t="inlineStr">
        <is>
          <t>Valor do ambiente (R$)</t>
        </is>
      </c>
      <c r="D48" s="19" t="inlineStr">
        <is>
          <t>Produção — quem</t>
        </is>
      </c>
      <c r="E48" s="19" t="inlineStr">
        <is>
          <t>%</t>
        </is>
      </c>
      <c r="F48" s="19" t="inlineStr">
        <is>
          <t>Comissão produção (R$)</t>
        </is>
      </c>
      <c r="G48" s="19" t="inlineStr">
        <is>
          <t>Fabricado em</t>
        </is>
      </c>
      <c r="H48" s="19" t="inlineStr">
        <is>
          <t>Montagem — quem</t>
        </is>
      </c>
      <c r="I48" s="19" t="inlineStr">
        <is>
          <t>%</t>
        </is>
      </c>
      <c r="J48" s="19" t="inlineStr">
        <is>
          <t>Comissão montagem (R$)</t>
        </is>
      </c>
      <c r="K48" s="19" t="inlineStr">
        <is>
          <t>Montado em</t>
        </is>
      </c>
      <c r="L48" s="19" t="inlineStr">
        <is>
          <t>Projetista — quem</t>
        </is>
      </c>
      <c r="M48" s="19" t="inlineStr">
        <is>
          <t>%</t>
        </is>
      </c>
      <c r="N48" s="19" t="inlineStr">
        <is>
          <t>Comissão projetista (R$)</t>
        </is>
      </c>
      <c r="O48" s="19" t="inlineStr">
        <is>
          <t>Total do ambiente</t>
        </is>
      </c>
    </row>
    <row r="49" ht="18" customHeight="1">
      <c r="A49" s="83" t="n"/>
      <c r="B49" s="72">
        <f>IF(OR($C49="",$A$13="",$A$13=0),"",$C49/$A$13)</f>
        <v/>
      </c>
      <c r="C49" s="76" t="n"/>
      <c r="D49" s="83" t="n"/>
      <c r="E49" s="78" t="n"/>
      <c r="F49" s="56">
        <f>IF(OR($B49="",$E49="",$D$45=""),"",ROUND($B49*$D$45*$E49,2))</f>
        <v/>
      </c>
      <c r="G49" s="84" t="n"/>
      <c r="H49" s="83" t="n"/>
      <c r="I49" s="78" t="n"/>
      <c r="J49" s="56">
        <f>IF(OR($B49="",$I49="",$D$45=""),"",ROUND($B49*$D$45*$I49,2))</f>
        <v/>
      </c>
      <c r="K49" s="84" t="n"/>
      <c r="L49" s="83" t="n"/>
      <c r="M49" s="78" t="n"/>
      <c r="N49" s="56">
        <f>IF(OR($B49="",$M49="",$D$45=""),"",ROUND($B49*$D$45*$M49,2))</f>
        <v/>
      </c>
      <c r="O49" s="85">
        <f>IF(AND($F49="",$J49="",$N49=""),"",ROUND(IF($F49="",0,$F49)+IF($J49="",0,$J49)+IF($N49="",0,$N49),2))</f>
        <v/>
      </c>
    </row>
    <row r="50" ht="18" customHeight="1">
      <c r="A50" s="83" t="n"/>
      <c r="B50" s="72">
        <f>IF(OR($C50="",$A$13="",$A$13=0),"",$C50/$A$13)</f>
        <v/>
      </c>
      <c r="C50" s="76" t="n"/>
      <c r="D50" s="83" t="n"/>
      <c r="E50" s="78" t="n"/>
      <c r="F50" s="56">
        <f>IF(OR($B50="",$E50="",$D$45=""),"",ROUND($B50*$D$45*$E50,2))</f>
        <v/>
      </c>
      <c r="G50" s="84" t="n"/>
      <c r="H50" s="83" t="n"/>
      <c r="I50" s="78" t="n"/>
      <c r="J50" s="56">
        <f>IF(OR($B50="",$I50="",$D$45=""),"",ROUND($B50*$D$45*$I50,2))</f>
        <v/>
      </c>
      <c r="K50" s="84" t="n"/>
      <c r="L50" s="83" t="n"/>
      <c r="M50" s="78" t="n"/>
      <c r="N50" s="56">
        <f>IF(OR($B50="",$M50="",$D$45=""),"",ROUND($B50*$D$45*$M50,2))</f>
        <v/>
      </c>
      <c r="O50" s="85">
        <f>IF(AND($F50="",$J50="",$N50=""),"",ROUND(IF($F50="",0,$F50)+IF($J50="",0,$J50)+IF($N50="",0,$N50),2))</f>
        <v/>
      </c>
    </row>
    <row r="51" ht="18" customHeight="1">
      <c r="A51" s="83" t="n"/>
      <c r="B51" s="72">
        <f>IF(OR($C51="",$A$13="",$A$13=0),"",$C51/$A$13)</f>
        <v/>
      </c>
      <c r="C51" s="76" t="n"/>
      <c r="D51" s="83" t="n"/>
      <c r="E51" s="78" t="n"/>
      <c r="F51" s="56">
        <f>IF(OR($B51="",$E51="",$D$45=""),"",ROUND($B51*$D$45*$E51,2))</f>
        <v/>
      </c>
      <c r="G51" s="84" t="n"/>
      <c r="H51" s="83" t="n"/>
      <c r="I51" s="78" t="n"/>
      <c r="J51" s="56">
        <f>IF(OR($B51="",$I51="",$D$45=""),"",ROUND($B51*$D$45*$I51,2))</f>
        <v/>
      </c>
      <c r="K51" s="84" t="n"/>
      <c r="L51" s="83" t="n"/>
      <c r="M51" s="78" t="n"/>
      <c r="N51" s="56">
        <f>IF(OR($B51="",$M51="",$D$45=""),"",ROUND($B51*$D$45*$M51,2))</f>
        <v/>
      </c>
      <c r="O51" s="85">
        <f>IF(AND($F51="",$J51="",$N51=""),"",ROUND(IF($F51="",0,$F51)+IF($J51="",0,$J51)+IF($N51="",0,$N51),2))</f>
        <v/>
      </c>
    </row>
    <row r="52" ht="18" customHeight="1">
      <c r="A52" s="83" t="n"/>
      <c r="B52" s="72">
        <f>IF(OR($C52="",$A$13="",$A$13=0),"",$C52/$A$13)</f>
        <v/>
      </c>
      <c r="C52" s="76" t="n"/>
      <c r="D52" s="83" t="n"/>
      <c r="E52" s="78" t="n"/>
      <c r="F52" s="56">
        <f>IF(OR($B52="",$E52="",$D$45=""),"",ROUND($B52*$D$45*$E52,2))</f>
        <v/>
      </c>
      <c r="G52" s="84" t="n"/>
      <c r="H52" s="83" t="n"/>
      <c r="I52" s="78" t="n"/>
      <c r="J52" s="56">
        <f>IF(OR($B52="",$I52="",$D$45=""),"",ROUND($B52*$D$45*$I52,2))</f>
        <v/>
      </c>
      <c r="K52" s="84" t="n"/>
      <c r="L52" s="83" t="n"/>
      <c r="M52" s="78" t="n"/>
      <c r="N52" s="56">
        <f>IF(OR($B52="",$M52="",$D$45=""),"",ROUND($B52*$D$45*$M52,2))</f>
        <v/>
      </c>
      <c r="O52" s="85">
        <f>IF(AND($F52="",$J52="",$N52=""),"",ROUND(IF($F52="",0,$F52)+IF($J52="",0,$J52)+IF($N52="",0,$N52),2))</f>
        <v/>
      </c>
    </row>
    <row r="53" ht="18" customHeight="1">
      <c r="A53" s="83" t="n"/>
      <c r="B53" s="72">
        <f>IF(OR($C53="",$A$13="",$A$13=0),"",$C53/$A$13)</f>
        <v/>
      </c>
      <c r="C53" s="76" t="n"/>
      <c r="D53" s="83" t="n"/>
      <c r="E53" s="78" t="n"/>
      <c r="F53" s="56">
        <f>IF(OR($B53="",$E53="",$D$45=""),"",ROUND($B53*$D$45*$E53,2))</f>
        <v/>
      </c>
      <c r="G53" s="84" t="n"/>
      <c r="H53" s="83" t="n"/>
      <c r="I53" s="78" t="n"/>
      <c r="J53" s="56">
        <f>IF(OR($B53="",$I53="",$D$45=""),"",ROUND($B53*$D$45*$I53,2))</f>
        <v/>
      </c>
      <c r="K53" s="84" t="n"/>
      <c r="L53" s="83" t="n"/>
      <c r="M53" s="78" t="n"/>
      <c r="N53" s="56">
        <f>IF(OR($B53="",$M53="",$D$45=""),"",ROUND($B53*$D$45*$M53,2))</f>
        <v/>
      </c>
      <c r="O53" s="85">
        <f>IF(AND($F53="",$J53="",$N53=""),"",ROUND(IF($F53="",0,$F53)+IF($J53="",0,$J53)+IF($N53="",0,$N53),2))</f>
        <v/>
      </c>
    </row>
    <row r="54" ht="18" customHeight="1">
      <c r="A54" s="83" t="n"/>
      <c r="B54" s="72">
        <f>IF(OR($C54="",$A$13="",$A$13=0),"",$C54/$A$13)</f>
        <v/>
      </c>
      <c r="C54" s="76" t="n"/>
      <c r="D54" s="83" t="n"/>
      <c r="E54" s="78" t="n"/>
      <c r="F54" s="56">
        <f>IF(OR($B54="",$E54="",$D$45=""),"",ROUND($B54*$D$45*$E54,2))</f>
        <v/>
      </c>
      <c r="G54" s="84" t="n"/>
      <c r="H54" s="83" t="n"/>
      <c r="I54" s="78" t="n"/>
      <c r="J54" s="56">
        <f>IF(OR($B54="",$I54="",$D$45=""),"",ROUND($B54*$D$45*$I54,2))</f>
        <v/>
      </c>
      <c r="K54" s="84" t="n"/>
      <c r="L54" s="83" t="n"/>
      <c r="M54" s="78" t="n"/>
      <c r="N54" s="56">
        <f>IF(OR($B54="",$M54="",$D$45=""),"",ROUND($B54*$D$45*$M54,2))</f>
        <v/>
      </c>
      <c r="O54" s="85">
        <f>IF(AND($F54="",$J54="",$N54=""),"",ROUND(IF($F54="",0,$F54)+IF($J54="",0,$J54)+IF($N54="",0,$N54),2))</f>
        <v/>
      </c>
    </row>
    <row r="55" ht="18" customHeight="1">
      <c r="A55" s="83" t="n"/>
      <c r="B55" s="72">
        <f>IF(OR($C55="",$A$13="",$A$13=0),"",$C55/$A$13)</f>
        <v/>
      </c>
      <c r="C55" s="76" t="n"/>
      <c r="D55" s="83" t="n"/>
      <c r="E55" s="78" t="n"/>
      <c r="F55" s="56">
        <f>IF(OR($B55="",$E55="",$D$45=""),"",ROUND($B55*$D$45*$E55,2))</f>
        <v/>
      </c>
      <c r="G55" s="84" t="n"/>
      <c r="H55" s="83" t="n"/>
      <c r="I55" s="78" t="n"/>
      <c r="J55" s="56">
        <f>IF(OR($B55="",$I55="",$D$45=""),"",ROUND($B55*$D$45*$I55,2))</f>
        <v/>
      </c>
      <c r="K55" s="84" t="n"/>
      <c r="L55" s="83" t="n"/>
      <c r="M55" s="78" t="n"/>
      <c r="N55" s="56">
        <f>IF(OR($B55="",$M55="",$D$45=""),"",ROUND($B55*$D$45*$M55,2))</f>
        <v/>
      </c>
      <c r="O55" s="85">
        <f>IF(AND($F55="",$J55="",$N55=""),"",ROUND(IF($F55="",0,$F55)+IF($J55="",0,$J55)+IF($N55="",0,$N55),2))</f>
        <v/>
      </c>
    </row>
    <row r="56" ht="18" customHeight="1">
      <c r="A56" s="83" t="n"/>
      <c r="B56" s="72">
        <f>IF(OR($C56="",$A$13="",$A$13=0),"",$C56/$A$13)</f>
        <v/>
      </c>
      <c r="C56" s="76" t="n"/>
      <c r="D56" s="83" t="n"/>
      <c r="E56" s="78" t="n"/>
      <c r="F56" s="56">
        <f>IF(OR($B56="",$E56="",$D$45=""),"",ROUND($B56*$D$45*$E56,2))</f>
        <v/>
      </c>
      <c r="G56" s="84" t="n"/>
      <c r="H56" s="83" t="n"/>
      <c r="I56" s="78" t="n"/>
      <c r="J56" s="56">
        <f>IF(OR($B56="",$I56="",$D$45=""),"",ROUND($B56*$D$45*$I56,2))</f>
        <v/>
      </c>
      <c r="K56" s="84" t="n"/>
      <c r="L56" s="83" t="n"/>
      <c r="M56" s="78" t="n"/>
      <c r="N56" s="56">
        <f>IF(OR($B56="",$M56="",$D$45=""),"",ROUND($B56*$D$45*$M56,2))</f>
        <v/>
      </c>
      <c r="O56" s="85">
        <f>IF(AND($F56="",$J56="",$N56=""),"",ROUND(IF($F56="",0,$F56)+IF($J56="",0,$J56)+IF($N56="",0,$N56),2))</f>
        <v/>
      </c>
    </row>
    <row r="57" ht="18" customHeight="1">
      <c r="A57" s="83" t="n"/>
      <c r="B57" s="72">
        <f>IF(OR($C57="",$A$13="",$A$13=0),"",$C57/$A$13)</f>
        <v/>
      </c>
      <c r="C57" s="76" t="n"/>
      <c r="D57" s="83" t="n"/>
      <c r="E57" s="78" t="n"/>
      <c r="F57" s="56">
        <f>IF(OR($B57="",$E57="",$D$45=""),"",ROUND($B57*$D$45*$E57,2))</f>
        <v/>
      </c>
      <c r="G57" s="84" t="n"/>
      <c r="H57" s="83" t="n"/>
      <c r="I57" s="78" t="n"/>
      <c r="J57" s="56">
        <f>IF(OR($B57="",$I57="",$D$45=""),"",ROUND($B57*$D$45*$I57,2))</f>
        <v/>
      </c>
      <c r="K57" s="84" t="n"/>
      <c r="L57" s="83" t="n"/>
      <c r="M57" s="78" t="n"/>
      <c r="N57" s="56">
        <f>IF(OR($B57="",$M57="",$D$45=""),"",ROUND($B57*$D$45*$M57,2))</f>
        <v/>
      </c>
      <c r="O57" s="85">
        <f>IF(AND($F57="",$J57="",$N57=""),"",ROUND(IF($F57="",0,$F57)+IF($J57="",0,$J57)+IF($N57="",0,$N57),2))</f>
        <v/>
      </c>
    </row>
    <row r="58" ht="18" customHeight="1">
      <c r="A58" s="83" t="n"/>
      <c r="B58" s="72">
        <f>IF(OR($C58="",$A$13="",$A$13=0),"",$C58/$A$13)</f>
        <v/>
      </c>
      <c r="C58" s="76" t="n"/>
      <c r="D58" s="83" t="n"/>
      <c r="E58" s="78" t="n"/>
      <c r="F58" s="56">
        <f>IF(OR($B58="",$E58="",$D$45=""),"",ROUND($B58*$D$45*$E58,2))</f>
        <v/>
      </c>
      <c r="G58" s="84" t="n"/>
      <c r="H58" s="83" t="n"/>
      <c r="I58" s="78" t="n"/>
      <c r="J58" s="56">
        <f>IF(OR($B58="",$I58="",$D$45=""),"",ROUND($B58*$D$45*$I58,2))</f>
        <v/>
      </c>
      <c r="K58" s="84" t="n"/>
      <c r="L58" s="83" t="n"/>
      <c r="M58" s="78" t="n"/>
      <c r="N58" s="56">
        <f>IF(OR($B58="",$M58="",$D$45=""),"",ROUND($B58*$D$45*$M58,2))</f>
        <v/>
      </c>
      <c r="O58" s="85">
        <f>IF(AND($F58="",$J58="",$N58=""),"",ROUND(IF($F58="",0,$F58)+IF($J58="",0,$J58)+IF($N58="",0,$N58),2))</f>
        <v/>
      </c>
    </row>
    <row r="59" ht="18" customHeight="1">
      <c r="A59" s="83" t="n"/>
      <c r="B59" s="72">
        <f>IF(OR($C59="",$A$13="",$A$13=0),"",$C59/$A$13)</f>
        <v/>
      </c>
      <c r="C59" s="76" t="n"/>
      <c r="D59" s="83" t="n"/>
      <c r="E59" s="78" t="n"/>
      <c r="F59" s="56">
        <f>IF(OR($B59="",$E59="",$D$45=""),"",ROUND($B59*$D$45*$E59,2))</f>
        <v/>
      </c>
      <c r="G59" s="84" t="n"/>
      <c r="H59" s="83" t="n"/>
      <c r="I59" s="78" t="n"/>
      <c r="J59" s="56">
        <f>IF(OR($B59="",$I59="",$D$45=""),"",ROUND($B59*$D$45*$I59,2))</f>
        <v/>
      </c>
      <c r="K59" s="84" t="n"/>
      <c r="L59" s="83" t="n"/>
      <c r="M59" s="78" t="n"/>
      <c r="N59" s="56">
        <f>IF(OR($B59="",$M59="",$D$45=""),"",ROUND($B59*$D$45*$M59,2))</f>
        <v/>
      </c>
      <c r="O59" s="85">
        <f>IF(AND($F59="",$J59="",$N59=""),"",ROUND(IF($F59="",0,$F59)+IF($J59="",0,$J59)+IF($N59="",0,$N59),2))</f>
        <v/>
      </c>
    </row>
    <row r="60" ht="18" customHeight="1">
      <c r="A60" s="83" t="n"/>
      <c r="B60" s="72">
        <f>IF(OR($C60="",$A$13="",$A$13=0),"",$C60/$A$13)</f>
        <v/>
      </c>
      <c r="C60" s="76" t="n"/>
      <c r="D60" s="83" t="n"/>
      <c r="E60" s="78" t="n"/>
      <c r="F60" s="56">
        <f>IF(OR($B60="",$E60="",$D$45=""),"",ROUND($B60*$D$45*$E60,2))</f>
        <v/>
      </c>
      <c r="G60" s="84" t="n"/>
      <c r="H60" s="83" t="n"/>
      <c r="I60" s="78" t="n"/>
      <c r="J60" s="56">
        <f>IF(OR($B60="",$I60="",$D$45=""),"",ROUND($B60*$D$45*$I60,2))</f>
        <v/>
      </c>
      <c r="K60" s="84" t="n"/>
      <c r="L60" s="83" t="n"/>
      <c r="M60" s="78" t="n"/>
      <c r="N60" s="56">
        <f>IF(OR($B60="",$M60="",$D$45=""),"",ROUND($B60*$D$45*$M60,2))</f>
        <v/>
      </c>
      <c r="O60" s="85">
        <f>IF(AND($F60="",$J60="",$N60=""),"",ROUND(IF($F60="",0,$F60)+IF($J60="",0,$J60)+IF($N60="",0,$N60),2))</f>
        <v/>
      </c>
    </row>
    <row r="61" ht="20" customHeight="1">
      <c r="A61" s="31" t="inlineStr">
        <is>
          <t>SOMA DOS AMBIENTES</t>
        </is>
      </c>
      <c r="B61" s="62">
        <f>IF($A$13=0,"",$C$61/$A$13)</f>
        <v/>
      </c>
      <c r="C61" s="60">
        <f>ROUND(SUM(C49:C60),2)</f>
        <v/>
      </c>
      <c r="D61" s="86">
        <f>IF($C$61=0,"—",IF(ROUND($C$61-$A$13,2)=0,"OK · os ambientes somam o valor de venda","ATENÇÃO: diferença de "&amp;TEXT($C$61-$A$13,"R$ #,##0.00")))</f>
        <v/>
      </c>
      <c r="E61" s="32" t="n"/>
      <c r="F61" s="60">
        <f>ROUND(SUM(F49:F60),2)</f>
        <v/>
      </c>
      <c r="G61" s="32" t="n"/>
      <c r="H61" s="32" t="n"/>
      <c r="I61" s="32" t="n"/>
      <c r="J61" s="60">
        <f>ROUND(SUM(J49:J60),2)</f>
        <v/>
      </c>
      <c r="K61" s="32" t="n"/>
      <c r="L61" s="32" t="n"/>
      <c r="M61" s="32" t="n"/>
      <c r="N61" s="60">
        <f>ROUND(SUM(N49:N60),2)</f>
        <v/>
      </c>
      <c r="O61" s="60">
        <f>ROUND(SUM(O49:O60),2)</f>
        <v/>
      </c>
    </row>
    <row r="62" ht="8" customHeight="1"/>
    <row r="63" ht="20" customHeight="1">
      <c r="A63" s="8" t="inlineStr">
        <is>
          <t xml:space="preserve">  4 · COMISSÕES OPERACIONAIS          calculadas sobre a RECEITA LÍQUIDA · o realizado vem dos ambientes acima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</row>
    <row r="64" ht="26" customHeight="1">
      <c r="A64" s="19" t="inlineStr">
        <is>
          <t>Item</t>
        </is>
      </c>
      <c r="B64" s="19" t="inlineStr">
        <is>
          <t>%</t>
        </is>
      </c>
      <c r="C64" s="19" t="inlineStr">
        <is>
          <t>Orçado (R$)</t>
        </is>
      </c>
      <c r="D64" s="19" t="inlineStr">
        <is>
          <t>Realizado (R$)</t>
        </is>
      </c>
      <c r="E64" s="19" t="inlineStr">
        <is>
          <t>Desvio (R$)</t>
        </is>
      </c>
      <c r="F64" s="35" t="n"/>
      <c r="G64" s="19" t="inlineStr">
        <is>
          <t>% da venda</t>
        </is>
      </c>
      <c r="H64" s="19" t="inlineStr">
        <is>
          <t>Observação</t>
        </is>
      </c>
      <c r="I64" s="35" t="n"/>
      <c r="J64" s="35" t="n"/>
      <c r="K64" s="35" t="n"/>
      <c r="L64" s="35" t="n"/>
      <c r="M64" s="35" t="n"/>
      <c r="N64" s="35" t="n"/>
      <c r="O64" s="35" t="n"/>
    </row>
    <row r="65" ht="17" customHeight="1">
      <c r="A65" s="36" t="inlineStr">
        <is>
          <t>Coordenação de produção</t>
        </is>
      </c>
      <c r="B65" s="78" t="n"/>
      <c r="C65" s="56">
        <f>IF($B65="","",ROUND($B65*$C$45,2))</f>
        <v/>
      </c>
      <c r="D65" s="56">
        <f>IF($B65="","",ROUND($B65*$D$45,2))</f>
        <v/>
      </c>
      <c r="E65" s="56">
        <f>IF(OR($C65="",$D65=""),"",ROUND($D65-$C65,2))</f>
        <v/>
      </c>
      <c r="F65" s="38" t="n"/>
      <c r="G65" s="72">
        <f>IF(OR($D65="",$A$13="",$A$13=0),"",$D65/$A$13)</f>
        <v/>
      </c>
      <c r="H65" s="73" t="inlineStr">
        <is>
          <t>quem coordena está na identificação, no topo da ficha</t>
        </is>
      </c>
      <c r="I65" s="46" t="n"/>
      <c r="J65" s="46" t="n"/>
      <c r="K65" s="46" t="n"/>
      <c r="L65" s="46" t="n"/>
      <c r="M65" s="46" t="n"/>
      <c r="N65" s="46" t="n"/>
      <c r="O65" s="46" t="n"/>
    </row>
    <row r="66" ht="17" customHeight="1">
      <c r="A66" s="36" t="inlineStr">
        <is>
          <t>Gestão técnica</t>
        </is>
      </c>
      <c r="B66" s="78" t="n">
        <v>0.005</v>
      </c>
      <c r="C66" s="56">
        <f>IF($B66="","",ROUND($B66*$C$45,2))</f>
        <v/>
      </c>
      <c r="D66" s="56">
        <f>IF($B66="","",ROUND($B66*$D$45,2))</f>
        <v/>
      </c>
      <c r="E66" s="56">
        <f>IF(OR($C66="",$D66=""),"",ROUND($D66-$C66,2))</f>
        <v/>
      </c>
      <c r="F66" s="38" t="n"/>
      <c r="G66" s="72">
        <f>IF(OR($D66="",$A$13="",$A$13=0),"",$D66/$A$13)</f>
        <v/>
      </c>
      <c r="H66" s="73" t="n"/>
      <c r="I66" s="46" t="n"/>
      <c r="J66" s="46" t="n"/>
      <c r="K66" s="46" t="n"/>
      <c r="L66" s="46" t="n"/>
      <c r="M66" s="46" t="n"/>
      <c r="N66" s="46" t="n"/>
      <c r="O66" s="46" t="n"/>
    </row>
    <row r="67" ht="17" customHeight="1">
      <c r="A67" s="36" t="inlineStr">
        <is>
          <t>Comissão de produção</t>
        </is>
      </c>
      <c r="B67" s="78" t="n"/>
      <c r="C67" s="56">
        <f>IF($B67="","",ROUND($B67*$C$45,2))</f>
        <v/>
      </c>
      <c r="D67" s="56">
        <f>IF($F$61=0,"",$F$61)</f>
        <v/>
      </c>
      <c r="E67" s="56">
        <f>IF(OR($C67="",$D67=""),"",ROUND($D67-$C67,2))</f>
        <v/>
      </c>
      <c r="F67" s="38" t="n"/>
      <c r="G67" s="72">
        <f>IF(OR($D67="",$A$13="",$A$13=0),"",$D67/$A$13)</f>
        <v/>
      </c>
      <c r="H67" s="73" t="inlineStr">
        <is>
          <t>orçado = % único estimado · realizado = soma dos ambientes</t>
        </is>
      </c>
      <c r="I67" s="46" t="n"/>
      <c r="J67" s="46" t="n"/>
      <c r="K67" s="46" t="n"/>
      <c r="L67" s="46" t="n"/>
      <c r="M67" s="46" t="n"/>
      <c r="N67" s="46" t="n"/>
      <c r="O67" s="46" t="n"/>
    </row>
    <row r="68" ht="17" customHeight="1">
      <c r="A68" s="36" t="inlineStr">
        <is>
          <t>Comissão de montagem</t>
        </is>
      </c>
      <c r="B68" s="78" t="n"/>
      <c r="C68" s="56">
        <f>IF($B68="","",ROUND($B68*$C$45,2))</f>
        <v/>
      </c>
      <c r="D68" s="56">
        <f>IF($J$61=0,"",$J$61)</f>
        <v/>
      </c>
      <c r="E68" s="56">
        <f>IF(OR($C68="",$D68=""),"",ROUND($D68-$C68,2))</f>
        <v/>
      </c>
      <c r="F68" s="38" t="n"/>
      <c r="G68" s="72">
        <f>IF(OR($D68="",$A$13="",$A$13=0),"",$D68/$A$13)</f>
        <v/>
      </c>
      <c r="H68" s="73" t="inlineStr">
        <is>
          <t>orçado = % único estimado · realizado = soma dos ambientes</t>
        </is>
      </c>
      <c r="I68" s="46" t="n"/>
      <c r="J68" s="46" t="n"/>
      <c r="K68" s="46" t="n"/>
      <c r="L68" s="46" t="n"/>
      <c r="M68" s="46" t="n"/>
      <c r="N68" s="46" t="n"/>
      <c r="O68" s="46" t="n"/>
    </row>
    <row r="69" ht="17" customHeight="1">
      <c r="A69" s="36" t="inlineStr">
        <is>
          <t>Comissão de projetista</t>
        </is>
      </c>
      <c r="B69" s="78" t="n"/>
      <c r="C69" s="56">
        <f>IF($B69="","",ROUND($B69*$C$45,2))</f>
        <v/>
      </c>
      <c r="D69" s="56">
        <f>IF($N$61=0,"",$N$61)</f>
        <v/>
      </c>
      <c r="E69" s="56">
        <f>IF(OR($C69="",$D69=""),"",ROUND($D69-$C69,2))</f>
        <v/>
      </c>
      <c r="F69" s="38" t="n"/>
      <c r="G69" s="72">
        <f>IF(OR($D69="",$A$13="",$A$13=0),"",$D69/$A$13)</f>
        <v/>
      </c>
      <c r="H69" s="73" t="inlineStr">
        <is>
          <t>quem projetou cada ambiente está na coluna L do bloco 3</t>
        </is>
      </c>
      <c r="I69" s="46" t="n"/>
      <c r="J69" s="46" t="n"/>
      <c r="K69" s="46" t="n"/>
      <c r="L69" s="46" t="n"/>
      <c r="M69" s="46" t="n"/>
      <c r="N69" s="46" t="n"/>
      <c r="O69" s="46" t="n"/>
    </row>
    <row r="70" ht="20" customHeight="1">
      <c r="A70" s="31" t="inlineStr">
        <is>
          <t>(=) SUBTOTAL DAS COMISSÕES</t>
        </is>
      </c>
      <c r="B70" s="32" t="n"/>
      <c r="C70" s="60">
        <f>ROUND(SUM(C65:C69),2)</f>
        <v/>
      </c>
      <c r="D70" s="60">
        <f>ROUND(SUM(D65:D69),2)</f>
        <v/>
      </c>
      <c r="E70" s="60">
        <f>ROUND($D70-$C70,2)</f>
        <v/>
      </c>
      <c r="F70" s="32" t="n"/>
      <c r="G70" s="62">
        <f>IF(OR($A$13="",$A$13=0),"",$D70/$A$13)</f>
        <v/>
      </c>
      <c r="H70" s="32" t="n"/>
      <c r="I70" s="32" t="n"/>
      <c r="J70" s="32" t="n"/>
      <c r="K70" s="32" t="n"/>
      <c r="L70" s="32" t="n"/>
      <c r="M70" s="32" t="n"/>
      <c r="N70" s="32" t="n"/>
      <c r="O70" s="32" t="n"/>
    </row>
    <row r="71" ht="8" customHeight="1"/>
    <row r="72" ht="20" customHeight="1">
      <c r="A72" s="8" t="inlineStr">
        <is>
          <t xml:space="preserve">  5 · COMISSÕES POR COLABORADOR          consolidado automático — quem produziu, quem montou, quem projetou e o coordenador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</row>
    <row r="73" ht="26" customHeight="1">
      <c r="A73" s="19" t="inlineStr">
        <is>
          <t>Colaborador</t>
        </is>
      </c>
      <c r="B73" s="19" t="inlineStr">
        <is>
          <t>Produção (R$)</t>
        </is>
      </c>
      <c r="C73" s="35" t="n"/>
      <c r="D73" s="19" t="inlineStr">
        <is>
          <t>Montagem (R$)</t>
        </is>
      </c>
      <c r="E73" s="35" t="n"/>
      <c r="F73" s="19" t="inlineStr">
        <is>
          <t>Projeto (R$)</t>
        </is>
      </c>
      <c r="G73" s="35" t="n"/>
      <c r="H73" s="19" t="inlineStr">
        <is>
          <t>Coordenação / Gestão técnica (R$)</t>
        </is>
      </c>
      <c r="I73" s="35" t="n"/>
      <c r="J73" s="19" t="inlineStr">
        <is>
          <t>Total no projeto (R$)</t>
        </is>
      </c>
      <c r="K73" s="35" t="n"/>
      <c r="L73" s="35" t="n"/>
      <c r="M73" s="35" t="n"/>
    </row>
    <row r="74" ht="17" customHeight="1">
      <c r="A74" s="87" t="inlineStr">
        <is>
          <t>Deivison</t>
        </is>
      </c>
      <c r="B74" s="56">
        <f>IF($A74="","",ROUND(SUMIF($D$49:$D$60,$A74,$F$49:$F$60),2))</f>
        <v/>
      </c>
      <c r="C74" s="38" t="n"/>
      <c r="D74" s="56">
        <f>IF($A74="","",ROUND(SUMIF($H$49:$H$60,$A74,$J$49:$J$60),2))</f>
        <v/>
      </c>
      <c r="E74" s="38" t="n"/>
      <c r="F74" s="56">
        <f>IF($A74="","",ROUND(SUMIF($L$49:$L$60,$A74,$N$49:$N$60),2))</f>
        <v/>
      </c>
      <c r="G74" s="38" t="n"/>
      <c r="H74" s="56">
        <f>IF($A74="","",IF($A74=$F$9,IF($D$65="",0,$D$65),0)+IF($A74=$H$66,IF($D$66="",0,$D$66),0))</f>
        <v/>
      </c>
      <c r="I74" s="38" t="n"/>
      <c r="J74" s="88">
        <f>IF($A74="","",ROUND($B74+$D74+$F74+$H74,2))</f>
        <v/>
      </c>
      <c r="K74" s="38" t="n"/>
      <c r="L74" s="38" t="n"/>
      <c r="M74" s="38" t="n"/>
    </row>
    <row r="75" ht="17" customHeight="1">
      <c r="A75" s="87" t="inlineStr">
        <is>
          <t>Ronald</t>
        </is>
      </c>
      <c r="B75" s="56">
        <f>IF($A75="","",ROUND(SUMIF($D$49:$D$60,$A75,$F$49:$F$60),2))</f>
        <v/>
      </c>
      <c r="C75" s="38" t="n"/>
      <c r="D75" s="56">
        <f>IF($A75="","",ROUND(SUMIF($H$49:$H$60,$A75,$J$49:$J$60),2))</f>
        <v/>
      </c>
      <c r="E75" s="38" t="n"/>
      <c r="F75" s="56">
        <f>IF($A75="","",ROUND(SUMIF($L$49:$L$60,$A75,$N$49:$N$60),2))</f>
        <v/>
      </c>
      <c r="G75" s="38" t="n"/>
      <c r="H75" s="56">
        <f>IF($A75="","",IF($A75=$F$9,IF($D$65="",0,$D$65),0)+IF($A75=$H$66,IF($D$66="",0,$D$66),0))</f>
        <v/>
      </c>
      <c r="I75" s="38" t="n"/>
      <c r="J75" s="88">
        <f>IF($A75="","",ROUND($B75+$D75+$F75+$H75,2))</f>
        <v/>
      </c>
      <c r="K75" s="38" t="n"/>
      <c r="L75" s="38" t="n"/>
      <c r="M75" s="38" t="n"/>
    </row>
    <row r="76" ht="17" customHeight="1">
      <c r="A76" s="87" t="inlineStr">
        <is>
          <t>Samuel</t>
        </is>
      </c>
      <c r="B76" s="56">
        <f>IF($A76="","",ROUND(SUMIF($D$49:$D$60,$A76,$F$49:$F$60),2))</f>
        <v/>
      </c>
      <c r="C76" s="38" t="n"/>
      <c r="D76" s="56">
        <f>IF($A76="","",ROUND(SUMIF($H$49:$H$60,$A76,$J$49:$J$60),2))</f>
        <v/>
      </c>
      <c r="E76" s="38" t="n"/>
      <c r="F76" s="56">
        <f>IF($A76="","",ROUND(SUMIF($L$49:$L$60,$A76,$N$49:$N$60),2))</f>
        <v/>
      </c>
      <c r="G76" s="38" t="n"/>
      <c r="H76" s="56">
        <f>IF($A76="","",IF($A76=$F$9,IF($D$65="",0,$D$65),0)+IF($A76=$H$66,IF($D$66="",0,$D$66),0))</f>
        <v/>
      </c>
      <c r="I76" s="38" t="n"/>
      <c r="J76" s="88">
        <f>IF($A76="","",ROUND($B76+$D76+$F76+$H76,2))</f>
        <v/>
      </c>
      <c r="K76" s="38" t="n"/>
      <c r="L76" s="38" t="n"/>
      <c r="M76" s="38" t="n"/>
    </row>
    <row r="77" ht="17" customHeight="1">
      <c r="A77" s="87" t="inlineStr">
        <is>
          <t>Cesar</t>
        </is>
      </c>
      <c r="B77" s="56">
        <f>IF($A77="","",ROUND(SUMIF($D$49:$D$60,$A77,$F$49:$F$60),2))</f>
        <v/>
      </c>
      <c r="C77" s="38" t="n"/>
      <c r="D77" s="56">
        <f>IF($A77="","",ROUND(SUMIF($H$49:$H$60,$A77,$J$49:$J$60),2))</f>
        <v/>
      </c>
      <c r="E77" s="38" t="n"/>
      <c r="F77" s="56">
        <f>IF($A77="","",ROUND(SUMIF($L$49:$L$60,$A77,$N$49:$N$60),2))</f>
        <v/>
      </c>
      <c r="G77" s="38" t="n"/>
      <c r="H77" s="56">
        <f>IF($A77="","",IF($A77=$F$9,IF($D$65="",0,$D$65),0)+IF($A77=$H$66,IF($D$66="",0,$D$66),0))</f>
        <v/>
      </c>
      <c r="I77" s="38" t="n"/>
      <c r="J77" s="88">
        <f>IF($A77="","",ROUND($B77+$D77+$F77+$H77,2))</f>
        <v/>
      </c>
      <c r="K77" s="38" t="n"/>
      <c r="L77" s="38" t="n"/>
      <c r="M77" s="38" t="n"/>
    </row>
    <row r="78" ht="17" customHeight="1">
      <c r="A78" s="87" t="inlineStr">
        <is>
          <t>Jhon</t>
        </is>
      </c>
      <c r="B78" s="56">
        <f>IF($A78="","",ROUND(SUMIF($D$49:$D$60,$A78,$F$49:$F$60),2))</f>
        <v/>
      </c>
      <c r="C78" s="38" t="n"/>
      <c r="D78" s="56">
        <f>IF($A78="","",ROUND(SUMIF($H$49:$H$60,$A78,$J$49:$J$60),2))</f>
        <v/>
      </c>
      <c r="E78" s="38" t="n"/>
      <c r="F78" s="56">
        <f>IF($A78="","",ROUND(SUMIF($L$49:$L$60,$A78,$N$49:$N$60),2))</f>
        <v/>
      </c>
      <c r="G78" s="38" t="n"/>
      <c r="H78" s="56">
        <f>IF($A78="","",IF($A78=$F$9,IF($D$65="",0,$D$65),0)+IF($A78=$H$66,IF($D$66="",0,$D$66),0))</f>
        <v/>
      </c>
      <c r="I78" s="38" t="n"/>
      <c r="J78" s="88">
        <f>IF($A78="","",ROUND($B78+$D78+$F78+$H78,2))</f>
        <v/>
      </c>
      <c r="K78" s="38" t="n"/>
      <c r="L78" s="38" t="n"/>
      <c r="M78" s="38" t="n"/>
    </row>
    <row r="79" ht="17" customHeight="1">
      <c r="A79" s="87" t="inlineStr">
        <is>
          <t>Joelson</t>
        </is>
      </c>
      <c r="B79" s="56">
        <f>IF($A79="","",ROUND(SUMIF($D$49:$D$60,$A79,$F$49:$F$60),2))</f>
        <v/>
      </c>
      <c r="C79" s="38" t="n"/>
      <c r="D79" s="56">
        <f>IF($A79="","",ROUND(SUMIF($H$49:$H$60,$A79,$J$49:$J$60),2))</f>
        <v/>
      </c>
      <c r="E79" s="38" t="n"/>
      <c r="F79" s="56">
        <f>IF($A79="","",ROUND(SUMIF($L$49:$L$60,$A79,$N$49:$N$60),2))</f>
        <v/>
      </c>
      <c r="G79" s="38" t="n"/>
      <c r="H79" s="56">
        <f>IF($A79="","",IF($A79=$F$9,IF($D$65="",0,$D$65),0)+IF($A79=$H$66,IF($D$66="",0,$D$66),0))</f>
        <v/>
      </c>
      <c r="I79" s="38" t="n"/>
      <c r="J79" s="88">
        <f>IF($A79="","",ROUND($B79+$D79+$F79+$H79,2))</f>
        <v/>
      </c>
      <c r="K79" s="38" t="n"/>
      <c r="L79" s="38" t="n"/>
      <c r="M79" s="38" t="n"/>
    </row>
    <row r="80" ht="17" customHeight="1">
      <c r="A80" s="87" t="inlineStr">
        <is>
          <t>Davi</t>
        </is>
      </c>
      <c r="B80" s="56">
        <f>IF($A80="","",ROUND(SUMIF($D$49:$D$60,$A80,$F$49:$F$60),2))</f>
        <v/>
      </c>
      <c r="C80" s="38" t="n"/>
      <c r="D80" s="56">
        <f>IF($A80="","",ROUND(SUMIF($H$49:$H$60,$A80,$J$49:$J$60),2))</f>
        <v/>
      </c>
      <c r="E80" s="38" t="n"/>
      <c r="F80" s="56">
        <f>IF($A80="","",ROUND(SUMIF($L$49:$L$60,$A80,$N$49:$N$60),2))</f>
        <v/>
      </c>
      <c r="G80" s="38" t="n"/>
      <c r="H80" s="56">
        <f>IF($A80="","",IF($A80=$F$9,IF($D$65="",0,$D$65),0)+IF($A80=$H$66,IF($D$66="",0,$D$66),0))</f>
        <v/>
      </c>
      <c r="I80" s="38" t="n"/>
      <c r="J80" s="88">
        <f>IF($A80="","",ROUND($B80+$D80+$F80+$H80,2))</f>
        <v/>
      </c>
      <c r="K80" s="38" t="n"/>
      <c r="L80" s="38" t="n"/>
      <c r="M80" s="38" t="n"/>
    </row>
    <row r="81" ht="17" customHeight="1">
      <c r="A81" s="87" t="inlineStr">
        <is>
          <t>Jomar</t>
        </is>
      </c>
      <c r="B81" s="56">
        <f>IF($A81="","",ROUND(SUMIF($D$49:$D$60,$A81,$F$49:$F$60),2))</f>
        <v/>
      </c>
      <c r="C81" s="38" t="n"/>
      <c r="D81" s="56">
        <f>IF($A81="","",ROUND(SUMIF($H$49:$H$60,$A81,$J$49:$J$60),2))</f>
        <v/>
      </c>
      <c r="E81" s="38" t="n"/>
      <c r="F81" s="56">
        <f>IF($A81="","",ROUND(SUMIF($L$49:$L$60,$A81,$N$49:$N$60),2))</f>
        <v/>
      </c>
      <c r="G81" s="38" t="n"/>
      <c r="H81" s="56">
        <f>IF($A81="","",IF($A81=$F$9,IF($D$65="",0,$D$65),0)+IF($A81=$H$66,IF($D$66="",0,$D$66),0))</f>
        <v/>
      </c>
      <c r="I81" s="38" t="n"/>
      <c r="J81" s="88">
        <f>IF($A81="","",ROUND($B81+$D81+$F81+$H81,2))</f>
        <v/>
      </c>
      <c r="K81" s="38" t="n"/>
      <c r="L81" s="38" t="n"/>
      <c r="M81" s="38" t="n"/>
    </row>
    <row r="82" ht="17" customHeight="1">
      <c r="A82" s="87" t="inlineStr">
        <is>
          <t>Bruno</t>
        </is>
      </c>
      <c r="B82" s="56">
        <f>IF($A82="","",ROUND(SUMIF($D$49:$D$60,$A82,$F$49:$F$60),2))</f>
        <v/>
      </c>
      <c r="C82" s="38" t="n"/>
      <c r="D82" s="56">
        <f>IF($A82="","",ROUND(SUMIF($H$49:$H$60,$A82,$J$49:$J$60),2))</f>
        <v/>
      </c>
      <c r="E82" s="38" t="n"/>
      <c r="F82" s="56">
        <f>IF($A82="","",ROUND(SUMIF($L$49:$L$60,$A82,$N$49:$N$60),2))</f>
        <v/>
      </c>
      <c r="G82" s="38" t="n"/>
      <c r="H82" s="56">
        <f>IF($A82="","",IF($A82=$F$9,IF($D$65="",0,$D$65),0)+IF($A82=$H$66,IF($D$66="",0,$D$66),0))</f>
        <v/>
      </c>
      <c r="I82" s="38" t="n"/>
      <c r="J82" s="88">
        <f>IF($A82="","",ROUND($B82+$D82+$F82+$H82,2))</f>
        <v/>
      </c>
      <c r="K82" s="38" t="n"/>
      <c r="L82" s="38" t="n"/>
      <c r="M82" s="38" t="n"/>
    </row>
    <row r="83" ht="17" customHeight="1">
      <c r="A83" s="87" t="inlineStr">
        <is>
          <t>Wallace</t>
        </is>
      </c>
      <c r="B83" s="56">
        <f>IF($A83="","",ROUND(SUMIF($D$49:$D$60,$A83,$F$49:$F$60),2))</f>
        <v/>
      </c>
      <c r="C83" s="38" t="n"/>
      <c r="D83" s="56">
        <f>IF($A83="","",ROUND(SUMIF($H$49:$H$60,$A83,$J$49:$J$60),2))</f>
        <v/>
      </c>
      <c r="E83" s="38" t="n"/>
      <c r="F83" s="56">
        <f>IF($A83="","",ROUND(SUMIF($L$49:$L$60,$A83,$N$49:$N$60),2))</f>
        <v/>
      </c>
      <c r="G83" s="38" t="n"/>
      <c r="H83" s="56">
        <f>IF($A83="","",IF($A83=$F$9,IF($D$65="",0,$D$65),0)+IF($A83=$H$66,IF($D$66="",0,$D$66),0))</f>
        <v/>
      </c>
      <c r="I83" s="38" t="n"/>
      <c r="J83" s="88">
        <f>IF($A83="","",ROUND($B83+$D83+$F83+$H83,2))</f>
        <v/>
      </c>
      <c r="K83" s="38" t="n"/>
      <c r="L83" s="38" t="n"/>
      <c r="M83" s="38" t="n"/>
    </row>
    <row r="84" ht="17" customHeight="1">
      <c r="A84" s="87" t="inlineStr">
        <is>
          <t>Douglas</t>
        </is>
      </c>
      <c r="B84" s="56">
        <f>IF($A84="","",ROUND(SUMIF($D$49:$D$60,$A84,$F$49:$F$60),2))</f>
        <v/>
      </c>
      <c r="C84" s="38" t="n"/>
      <c r="D84" s="56">
        <f>IF($A84="","",ROUND(SUMIF($H$49:$H$60,$A84,$J$49:$J$60),2))</f>
        <v/>
      </c>
      <c r="E84" s="38" t="n"/>
      <c r="F84" s="56">
        <f>IF($A84="","",ROUND(SUMIF($L$49:$L$60,$A84,$N$49:$N$60),2))</f>
        <v/>
      </c>
      <c r="G84" s="38" t="n"/>
      <c r="H84" s="56">
        <f>IF($A84="","",IF($A84=$F$9,IF($D$65="",0,$D$65),0)+IF($A84=$H$66,IF($D$66="",0,$D$66),0))</f>
        <v/>
      </c>
      <c r="I84" s="38" t="n"/>
      <c r="J84" s="88">
        <f>IF($A84="","",ROUND($B84+$D84+$F84+$H84,2))</f>
        <v/>
      </c>
      <c r="K84" s="38" t="n"/>
      <c r="L84" s="38" t="n"/>
      <c r="M84" s="38" t="n"/>
    </row>
    <row r="85" ht="17" customHeight="1">
      <c r="A85" s="87" t="inlineStr">
        <is>
          <t>Terceiro / avulso</t>
        </is>
      </c>
      <c r="B85" s="56">
        <f>IF($A85="","",ROUND(SUMIF($D$49:$D$60,$A85,$F$49:$F$60),2))</f>
        <v/>
      </c>
      <c r="C85" s="38" t="n"/>
      <c r="D85" s="56">
        <f>IF($A85="","",ROUND(SUMIF($H$49:$H$60,$A85,$J$49:$J$60),2))</f>
        <v/>
      </c>
      <c r="E85" s="38" t="n"/>
      <c r="F85" s="56">
        <f>IF($A85="","",ROUND(SUMIF($L$49:$L$60,$A85,$N$49:$N$60),2))</f>
        <v/>
      </c>
      <c r="G85" s="38" t="n"/>
      <c r="H85" s="56">
        <f>IF($A85="","",IF($A85=$F$9,IF($D$65="",0,$D$65),0)+IF($A85=$H$66,IF($D$66="",0,$D$66),0))</f>
        <v/>
      </c>
      <c r="I85" s="38" t="n"/>
      <c r="J85" s="88">
        <f>IF($A85="","",ROUND($B85+$D85+$F85+$H85,2))</f>
        <v/>
      </c>
      <c r="K85" s="38" t="n"/>
      <c r="L85" s="38" t="n"/>
      <c r="M85" s="38" t="n"/>
    </row>
    <row r="86" ht="17" customHeight="1">
      <c r="A86" s="87" t="inlineStr">
        <is>
          <t>Lorrane</t>
        </is>
      </c>
      <c r="B86" s="56">
        <f>IF($A86="","",ROUND(SUMIF($D$49:$D$60,$A86,$F$49:$F$60),2))</f>
        <v/>
      </c>
      <c r="C86" s="38" t="n"/>
      <c r="D86" s="56">
        <f>IF($A86="","",ROUND(SUMIF($H$49:$H$60,$A86,$J$49:$J$60),2))</f>
        <v/>
      </c>
      <c r="E86" s="38" t="n"/>
      <c r="F86" s="56">
        <f>IF($A86="","",ROUND(SUMIF($L$49:$L$60,$A86,$N$49:$N$60),2))</f>
        <v/>
      </c>
      <c r="G86" s="38" t="n"/>
      <c r="H86" s="56">
        <f>IF($A86="","",IF($A86=$F$9,IF($D$65="",0,$D$65),0)+IF($A86=$H$66,IF($D$66="",0,$D$66),0))</f>
        <v/>
      </c>
      <c r="I86" s="38" t="n"/>
      <c r="J86" s="88">
        <f>IF($A86="","",ROUND($B86+$D86+$F86+$H86,2))</f>
        <v/>
      </c>
      <c r="K86" s="38" t="n"/>
      <c r="L86" s="38" t="n"/>
      <c r="M86" s="38" t="n"/>
    </row>
    <row r="87" ht="17" customHeight="1">
      <c r="A87" s="87" t="inlineStr">
        <is>
          <t>Lucas</t>
        </is>
      </c>
      <c r="B87" s="56">
        <f>IF($A87="","",ROUND(SUMIF($D$49:$D$60,$A87,$F$49:$F$60),2))</f>
        <v/>
      </c>
      <c r="C87" s="38" t="n"/>
      <c r="D87" s="56">
        <f>IF($A87="","",ROUND(SUMIF($H$49:$H$60,$A87,$J$49:$J$60),2))</f>
        <v/>
      </c>
      <c r="E87" s="38" t="n"/>
      <c r="F87" s="56">
        <f>IF($A87="","",ROUND(SUMIF($L$49:$L$60,$A87,$N$49:$N$60),2))</f>
        <v/>
      </c>
      <c r="G87" s="38" t="n"/>
      <c r="H87" s="56">
        <f>IF($A87="","",IF($A87=$F$9,IF($D$65="",0,$D$65),0)+IF($A87=$H$66,IF($D$66="",0,$D$66),0))</f>
        <v/>
      </c>
      <c r="I87" s="38" t="n"/>
      <c r="J87" s="88">
        <f>IF($A87="","",ROUND($B87+$D87+$F87+$H87,2))</f>
        <v/>
      </c>
      <c r="K87" s="38" t="n"/>
      <c r="L87" s="38" t="n"/>
      <c r="M87" s="38" t="n"/>
    </row>
    <row r="88" ht="17" customHeight="1">
      <c r="A88" s="87" t="inlineStr">
        <is>
          <t>Externo / avulso</t>
        </is>
      </c>
      <c r="B88" s="56">
        <f>IF($A88="","",ROUND(SUMIF($D$49:$D$60,$A88,$F$49:$F$60),2))</f>
        <v/>
      </c>
      <c r="C88" s="38" t="n"/>
      <c r="D88" s="56">
        <f>IF($A88="","",ROUND(SUMIF($H$49:$H$60,$A88,$J$49:$J$60),2))</f>
        <v/>
      </c>
      <c r="E88" s="38" t="n"/>
      <c r="F88" s="56">
        <f>IF($A88="","",ROUND(SUMIF($L$49:$L$60,$A88,$N$49:$N$60),2))</f>
        <v/>
      </c>
      <c r="G88" s="38" t="n"/>
      <c r="H88" s="56">
        <f>IF($A88="","",IF($A88=$F$9,IF($D$65="",0,$D$65),0)+IF($A88=$H$66,IF($D$66="",0,$D$66),0))</f>
        <v/>
      </c>
      <c r="I88" s="38" t="n"/>
      <c r="J88" s="88">
        <f>IF($A88="","",ROUND($B88+$D88+$F88+$H88,2))</f>
        <v/>
      </c>
      <c r="K88" s="38" t="n"/>
      <c r="L88" s="38" t="n"/>
      <c r="M88" s="38" t="n"/>
    </row>
    <row r="89" ht="17" customHeight="1">
      <c r="A89" s="87" t="inlineStr">
        <is>
          <t>Bruna</t>
        </is>
      </c>
      <c r="B89" s="56">
        <f>IF($A89="","",ROUND(SUMIF($D$49:$D$60,$A89,$F$49:$F$60),2))</f>
        <v/>
      </c>
      <c r="C89" s="38" t="n"/>
      <c r="D89" s="56">
        <f>IF($A89="","",ROUND(SUMIF($H$49:$H$60,$A89,$J$49:$J$60),2))</f>
        <v/>
      </c>
      <c r="E89" s="38" t="n"/>
      <c r="F89" s="56">
        <f>IF($A89="","",ROUND(SUMIF($L$49:$L$60,$A89,$N$49:$N$60),2))</f>
        <v/>
      </c>
      <c r="G89" s="38" t="n"/>
      <c r="H89" s="56">
        <f>IF($A89="","",IF($A89=$F$9,IF($D$65="",0,$D$65),0)+IF($A89=$H$66,IF($D$66="",0,$D$66),0))</f>
        <v/>
      </c>
      <c r="I89" s="38" t="n"/>
      <c r="J89" s="88">
        <f>IF($A89="","",ROUND($B89+$D89+$F89+$H89,2))</f>
        <v/>
      </c>
      <c r="K89" s="38" t="n"/>
      <c r="L89" s="38" t="n"/>
      <c r="M89" s="38" t="n"/>
    </row>
    <row r="90" ht="17" customHeight="1">
      <c r="A90" s="87" t="n"/>
      <c r="B90" s="56">
        <f>IF($A90="","",ROUND(SUMIF($D$49:$D$60,$A90,$F$49:$F$60),2))</f>
        <v/>
      </c>
      <c r="C90" s="38" t="n"/>
      <c r="D90" s="56">
        <f>IF($A90="","",ROUND(SUMIF($H$49:$H$60,$A90,$J$49:$J$60),2))</f>
        <v/>
      </c>
      <c r="E90" s="38" t="n"/>
      <c r="F90" s="56">
        <f>IF($A90="","",ROUND(SUMIF($L$49:$L$60,$A90,$N$49:$N$60),2))</f>
        <v/>
      </c>
      <c r="G90" s="38" t="n"/>
      <c r="H90" s="56">
        <f>IF($A90="","",IF($A90=$F$9,IF($D$65="",0,$D$65),0)+IF($A90=$H$66,IF($D$66="",0,$D$66),0))</f>
        <v/>
      </c>
      <c r="I90" s="38" t="n"/>
      <c r="J90" s="88">
        <f>IF($A90="","",ROUND($B90+$D90+$F90+$H90,2))</f>
        <v/>
      </c>
      <c r="K90" s="38" t="n"/>
      <c r="L90" s="38" t="n"/>
      <c r="M90" s="38" t="n"/>
    </row>
    <row r="91" ht="17" customHeight="1">
      <c r="A91" s="87" t="n"/>
      <c r="B91" s="56">
        <f>IF($A91="","",ROUND(SUMIF($D$49:$D$60,$A91,$F$49:$F$60),2))</f>
        <v/>
      </c>
      <c r="C91" s="38" t="n"/>
      <c r="D91" s="56">
        <f>IF($A91="","",ROUND(SUMIF($H$49:$H$60,$A91,$J$49:$J$60),2))</f>
        <v/>
      </c>
      <c r="E91" s="38" t="n"/>
      <c r="F91" s="56">
        <f>IF($A91="","",ROUND(SUMIF($L$49:$L$60,$A91,$N$49:$N$60),2))</f>
        <v/>
      </c>
      <c r="G91" s="38" t="n"/>
      <c r="H91" s="56">
        <f>IF($A91="","",IF($A91=$F$9,IF($D$65="",0,$D$65),0)+IF($A91=$H$66,IF($D$66="",0,$D$66),0))</f>
        <v/>
      </c>
      <c r="I91" s="38" t="n"/>
      <c r="J91" s="88">
        <f>IF($A91="","",ROUND($B91+$D91+$F91+$H91,2))</f>
        <v/>
      </c>
      <c r="K91" s="38" t="n"/>
      <c r="L91" s="38" t="n"/>
      <c r="M91" s="38" t="n"/>
    </row>
    <row r="92" ht="20" customHeight="1">
      <c r="A92" s="31" t="inlineStr">
        <is>
          <t>TOTAL</t>
        </is>
      </c>
      <c r="B92" s="60">
        <f>ROUND(SUM(B74:B91),2)</f>
        <v/>
      </c>
      <c r="C92" s="32" t="n"/>
      <c r="D92" s="60">
        <f>ROUND(SUM(D74:D91),2)</f>
        <v/>
      </c>
      <c r="E92" s="32" t="n"/>
      <c r="F92" s="60">
        <f>ROUND(SUM(F74:F91),2)</f>
        <v/>
      </c>
      <c r="G92" s="32" t="n"/>
      <c r="H92" s="60">
        <f>ROUND(SUM(H74:H91),2)</f>
        <v/>
      </c>
      <c r="I92" s="32" t="n"/>
      <c r="J92" s="60">
        <f>ROUND(SUM(J74:J91),2)</f>
        <v/>
      </c>
      <c r="K92" s="32" t="n"/>
      <c r="L92" s="32" t="n"/>
      <c r="M92" s="32" t="n"/>
    </row>
    <row r="93" ht="8" customHeight="1"/>
    <row r="94" ht="20" customHeight="1">
      <c r="A94" s="8" t="inlineStr">
        <is>
          <t xml:space="preserve">  6 · MATERIAL, TERCEIRIZADOS E LOGÍSTICA          o orçado você digita · o realizado vem sozinho do livro de lançamentos, lá no fim da ficha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</row>
    <row r="95" ht="30" customHeight="1">
      <c r="A95" s="19" t="inlineStr">
        <is>
          <t>Categoria</t>
        </is>
      </c>
      <c r="B95" s="19" t="inlineStr"/>
      <c r="C95" s="19" t="inlineStr">
        <is>
          <t>Orçado (R$)</t>
        </is>
      </c>
      <c r="D95" s="19" t="inlineStr">
        <is>
          <t>Realizado (R$)</t>
        </is>
      </c>
      <c r="E95" s="19" t="inlineStr">
        <is>
          <t>Desvio (R$)</t>
        </is>
      </c>
      <c r="F95" s="35" t="n"/>
      <c r="G95" s="19" t="inlineStr">
        <is>
          <t>Ainda a comprar</t>
        </is>
      </c>
      <c r="H95" s="19" t="inlineStr">
        <is>
          <t>Comprado, ainda a pagar</t>
        </is>
      </c>
      <c r="I95" s="35" t="n"/>
      <c r="J95" s="35" t="n"/>
      <c r="K95" s="35" t="n"/>
      <c r="L95" s="35" t="n"/>
      <c r="M95" s="35" t="n"/>
      <c r="N95" s="35" t="n"/>
      <c r="O95" s="35" t="n"/>
    </row>
    <row r="96" ht="17" customHeight="1">
      <c r="A96" s="36" t="inlineStr">
        <is>
          <t>MDF e MDP</t>
        </is>
      </c>
      <c r="B96" s="37" t="n"/>
      <c r="C96" s="71" t="n"/>
      <c r="D96" s="56">
        <f>ROUND(SUMIFS($E$134:$E$193,$B$134:$B$193,$A96,$I$134:$I$193,"Comprado (a pagar)")+SUMIFS($E$134:$E$193,$B$134:$B$193,$A96,$I$134:$I$193,"Pago"),2)</f>
        <v/>
      </c>
      <c r="E96" s="56">
        <f>IF($C96="","",ROUND($D96-$C96,2))</f>
        <v/>
      </c>
      <c r="F96" s="38" t="n"/>
      <c r="G96" s="89">
        <f>ROUND(SUMIFS($E$134:$E$193,$B$134:$B$193,$A96,$I$134:$I$193,"A comprar"),2)</f>
        <v/>
      </c>
      <c r="H96" s="90">
        <f>ROUND(SUMIFS($E$134:$E$193,$B$134:$B$193,$A96,$I$134:$I$193,"Comprado (a pagar)"),2)</f>
        <v/>
      </c>
      <c r="I96" s="38" t="n"/>
      <c r="J96" s="38" t="n"/>
      <c r="K96" s="38" t="n"/>
      <c r="L96" s="38" t="n"/>
      <c r="M96" s="38" t="n"/>
      <c r="N96" s="38" t="n"/>
      <c r="O96" s="38" t="n"/>
    </row>
    <row r="97" ht="17" customHeight="1">
      <c r="A97" s="36" t="inlineStr">
        <is>
          <t>Fita de borda</t>
        </is>
      </c>
      <c r="B97" s="37" t="n"/>
      <c r="C97" s="71" t="n"/>
      <c r="D97" s="56">
        <f>ROUND(SUMIFS($E$134:$E$193,$B$134:$B$193,$A97,$I$134:$I$193,"Comprado (a pagar)")+SUMIFS($E$134:$E$193,$B$134:$B$193,$A97,$I$134:$I$193,"Pago"),2)</f>
        <v/>
      </c>
      <c r="E97" s="56">
        <f>IF($C97="","",ROUND($D97-$C97,2))</f>
        <v/>
      </c>
      <c r="F97" s="38" t="n"/>
      <c r="G97" s="89">
        <f>ROUND(SUMIFS($E$134:$E$193,$B$134:$B$193,$A97,$I$134:$I$193,"A comprar"),2)</f>
        <v/>
      </c>
      <c r="H97" s="90">
        <f>ROUND(SUMIFS($E$134:$E$193,$B$134:$B$193,$A97,$I$134:$I$193,"Comprado (a pagar)"),2)</f>
        <v/>
      </c>
      <c r="I97" s="38" t="n"/>
      <c r="J97" s="38" t="n"/>
      <c r="K97" s="38" t="n"/>
      <c r="L97" s="38" t="n"/>
      <c r="M97" s="38" t="n"/>
      <c r="N97" s="38" t="n"/>
      <c r="O97" s="38" t="n"/>
    </row>
    <row r="98" ht="17" customHeight="1">
      <c r="A98" s="36" t="inlineStr">
        <is>
          <t>Ferragens</t>
        </is>
      </c>
      <c r="B98" s="37" t="n"/>
      <c r="C98" s="71" t="n"/>
      <c r="D98" s="56">
        <f>ROUND(SUMIFS($E$134:$E$193,$B$134:$B$193,$A98,$I$134:$I$193,"Comprado (a pagar)")+SUMIFS($E$134:$E$193,$B$134:$B$193,$A98,$I$134:$I$193,"Pago"),2)</f>
        <v/>
      </c>
      <c r="E98" s="56">
        <f>IF($C98="","",ROUND($D98-$C98,2))</f>
        <v/>
      </c>
      <c r="F98" s="38" t="n"/>
      <c r="G98" s="89">
        <f>ROUND(SUMIFS($E$134:$E$193,$B$134:$B$193,$A98,$I$134:$I$193,"A comprar"),2)</f>
        <v/>
      </c>
      <c r="H98" s="90">
        <f>ROUND(SUMIFS($E$134:$E$193,$B$134:$B$193,$A98,$I$134:$I$193,"Comprado (a pagar)"),2)</f>
        <v/>
      </c>
      <c r="I98" s="38" t="n"/>
      <c r="J98" s="38" t="n"/>
      <c r="K98" s="38" t="n"/>
      <c r="L98" s="38" t="n"/>
      <c r="M98" s="38" t="n"/>
      <c r="N98" s="38" t="n"/>
      <c r="O98" s="38" t="n"/>
    </row>
    <row r="99" ht="17" customHeight="1">
      <c r="A99" s="36" t="inlineStr">
        <is>
          <t>Vidros e espelhos</t>
        </is>
      </c>
      <c r="B99" s="37" t="n"/>
      <c r="C99" s="71" t="n"/>
      <c r="D99" s="56">
        <f>ROUND(SUMIFS($E$134:$E$193,$B$134:$B$193,$A99,$I$134:$I$193,"Comprado (a pagar)")+SUMIFS($E$134:$E$193,$B$134:$B$193,$A99,$I$134:$I$193,"Pago"),2)</f>
        <v/>
      </c>
      <c r="E99" s="56">
        <f>IF($C99="","",ROUND($D99-$C99,2))</f>
        <v/>
      </c>
      <c r="F99" s="38" t="n"/>
      <c r="G99" s="89">
        <f>ROUND(SUMIFS($E$134:$E$193,$B$134:$B$193,$A99,$I$134:$I$193,"A comprar"),2)</f>
        <v/>
      </c>
      <c r="H99" s="90">
        <f>ROUND(SUMIFS($E$134:$E$193,$B$134:$B$193,$A99,$I$134:$I$193,"Comprado (a pagar)"),2)</f>
        <v/>
      </c>
      <c r="I99" s="38" t="n"/>
      <c r="J99" s="38" t="n"/>
      <c r="K99" s="38" t="n"/>
      <c r="L99" s="38" t="n"/>
      <c r="M99" s="38" t="n"/>
      <c r="N99" s="38" t="n"/>
      <c r="O99" s="38" t="n"/>
    </row>
    <row r="100" ht="17" customHeight="1">
      <c r="A100" s="36" t="inlineStr">
        <is>
          <t>Esquadrias</t>
        </is>
      </c>
      <c r="B100" s="37" t="n"/>
      <c r="C100" s="71" t="n"/>
      <c r="D100" s="56">
        <f>ROUND(SUMIFS($E$134:$E$193,$B$134:$B$193,$A100,$I$134:$I$193,"Comprado (a pagar)")+SUMIFS($E$134:$E$193,$B$134:$B$193,$A100,$I$134:$I$193,"Pago"),2)</f>
        <v/>
      </c>
      <c r="E100" s="56">
        <f>IF($C100="","",ROUND($D100-$C100,2))</f>
        <v/>
      </c>
      <c r="F100" s="38" t="n"/>
      <c r="G100" s="89">
        <f>ROUND(SUMIFS($E$134:$E$193,$B$134:$B$193,$A100,$I$134:$I$193,"A comprar"),2)</f>
        <v/>
      </c>
      <c r="H100" s="90">
        <f>ROUND(SUMIFS($E$134:$E$193,$B$134:$B$193,$A100,$I$134:$I$193,"Comprado (a pagar)"),2)</f>
        <v/>
      </c>
      <c r="I100" s="38" t="n"/>
      <c r="J100" s="38" t="n"/>
      <c r="K100" s="38" t="n"/>
      <c r="L100" s="38" t="n"/>
      <c r="M100" s="38" t="n"/>
      <c r="N100" s="38" t="n"/>
      <c r="O100" s="38" t="n"/>
    </row>
    <row r="101" ht="17" customHeight="1">
      <c r="A101" s="36" t="inlineStr">
        <is>
          <t>Lâmina natural</t>
        </is>
      </c>
      <c r="B101" s="37" t="n"/>
      <c r="C101" s="71" t="n"/>
      <c r="D101" s="56">
        <f>ROUND(SUMIFS($E$134:$E$193,$B$134:$B$193,$A101,$I$134:$I$193,"Comprado (a pagar)")+SUMIFS($E$134:$E$193,$B$134:$B$193,$A101,$I$134:$I$193,"Pago"),2)</f>
        <v/>
      </c>
      <c r="E101" s="56">
        <f>IF($C101="","",ROUND($D101-$C101,2))</f>
        <v/>
      </c>
      <c r="F101" s="38" t="n"/>
      <c r="G101" s="89">
        <f>ROUND(SUMIFS($E$134:$E$193,$B$134:$B$193,$A101,$I$134:$I$193,"A comprar"),2)</f>
        <v/>
      </c>
      <c r="H101" s="90">
        <f>ROUND(SUMIFS($E$134:$E$193,$B$134:$B$193,$A101,$I$134:$I$193,"Comprado (a pagar)"),2)</f>
        <v/>
      </c>
      <c r="I101" s="38" t="n"/>
      <c r="J101" s="38" t="n"/>
      <c r="K101" s="38" t="n"/>
      <c r="L101" s="38" t="n"/>
      <c r="M101" s="38" t="n"/>
      <c r="N101" s="38" t="n"/>
      <c r="O101" s="38" t="n"/>
    </row>
    <row r="102" ht="17" customHeight="1">
      <c r="A102" s="36" t="inlineStr">
        <is>
          <t>Consumíveis</t>
        </is>
      </c>
      <c r="B102" s="37" t="n"/>
      <c r="C102" s="71" t="n"/>
      <c r="D102" s="56">
        <f>ROUND(SUMIFS($E$134:$E$193,$B$134:$B$193,$A102,$I$134:$I$193,"Comprado (a pagar)")+SUMIFS($E$134:$E$193,$B$134:$B$193,$A102,$I$134:$I$193,"Pago"),2)</f>
        <v/>
      </c>
      <c r="E102" s="56">
        <f>IF($C102="","",ROUND($D102-$C102,2))</f>
        <v/>
      </c>
      <c r="F102" s="38" t="n"/>
      <c r="G102" s="89">
        <f>ROUND(SUMIFS($E$134:$E$193,$B$134:$B$193,$A102,$I$134:$I$193,"A comprar"),2)</f>
        <v/>
      </c>
      <c r="H102" s="90">
        <f>ROUND(SUMIFS($E$134:$E$193,$B$134:$B$193,$A102,$I$134:$I$193,"Comprado (a pagar)"),2)</f>
        <v/>
      </c>
      <c r="I102" s="38" t="n"/>
      <c r="J102" s="38" t="n"/>
      <c r="K102" s="38" t="n"/>
      <c r="L102" s="38" t="n"/>
      <c r="M102" s="38" t="n"/>
      <c r="N102" s="38" t="n"/>
      <c r="O102" s="38" t="n"/>
    </row>
    <row r="103" ht="20" customHeight="1">
      <c r="A103" s="31" t="inlineStr">
        <is>
          <t>(=) SUBTOTAL · MATERIAL</t>
        </is>
      </c>
      <c r="B103" s="32" t="n"/>
      <c r="C103" s="60">
        <f>ROUND(SUM(C96:C102),2)</f>
        <v/>
      </c>
      <c r="D103" s="60">
        <f>ROUND(SUM(D96:D102),2)</f>
        <v/>
      </c>
      <c r="E103" s="60">
        <f>ROUND(SUM(E96:E102),2)</f>
        <v/>
      </c>
      <c r="F103" s="32" t="n"/>
      <c r="G103" s="60">
        <f>ROUND(SUM(G96:G102),2)</f>
        <v/>
      </c>
      <c r="H103" s="60">
        <f>ROUND(SUM(H96:H102),2)</f>
        <v/>
      </c>
      <c r="I103" s="32" t="n"/>
      <c r="J103" s="32" t="n"/>
      <c r="K103" s="32" t="n"/>
      <c r="L103" s="32" t="n"/>
      <c r="M103" s="32" t="n"/>
      <c r="N103" s="32" t="n"/>
      <c r="O103" s="32" t="n"/>
    </row>
    <row r="104" ht="17" customHeight="1">
      <c r="A104" s="36" t="inlineStr">
        <is>
          <t>Acabamento</t>
        </is>
      </c>
      <c r="B104" s="37" t="n"/>
      <c r="C104" s="71" t="n"/>
      <c r="D104" s="56">
        <f>ROUND(SUMIFS($E$134:$E$193,$B$134:$B$193,$A104,$I$134:$I$193,"Comprado (a pagar)")+SUMIFS($E$134:$E$193,$B$134:$B$193,$A104,$I$134:$I$193,"Pago"),2)</f>
        <v/>
      </c>
      <c r="E104" s="56">
        <f>IF($C104="","",ROUND($D104-$C104,2))</f>
        <v/>
      </c>
      <c r="F104" s="38" t="n"/>
      <c r="G104" s="89">
        <f>ROUND(SUMIFS($E$134:$E$193,$B$134:$B$193,$A104,$I$134:$I$193,"A comprar"),2)</f>
        <v/>
      </c>
      <c r="H104" s="90">
        <f>ROUND(SUMIFS($E$134:$E$193,$B$134:$B$193,$A104,$I$134:$I$193,"Comprado (a pagar)"),2)</f>
        <v/>
      </c>
      <c r="I104" s="38" t="n"/>
      <c r="J104" s="38" t="n"/>
      <c r="K104" s="38" t="n"/>
      <c r="L104" s="38" t="n"/>
      <c r="M104" s="38" t="n"/>
      <c r="N104" s="38" t="n"/>
      <c r="O104" s="38" t="n"/>
    </row>
    <row r="105" ht="17" customHeight="1">
      <c r="A105" s="36" t="inlineStr">
        <is>
          <t>Serralheria</t>
        </is>
      </c>
      <c r="B105" s="37" t="n"/>
      <c r="C105" s="71" t="n"/>
      <c r="D105" s="56">
        <f>ROUND(SUMIFS($E$134:$E$193,$B$134:$B$193,$A105,$I$134:$I$193,"Comprado (a pagar)")+SUMIFS($E$134:$E$193,$B$134:$B$193,$A105,$I$134:$I$193,"Pago"),2)</f>
        <v/>
      </c>
      <c r="E105" s="56">
        <f>IF($C105="","",ROUND($D105-$C105,2))</f>
        <v/>
      </c>
      <c r="F105" s="38" t="n"/>
      <c r="G105" s="89">
        <f>ROUND(SUMIFS($E$134:$E$193,$B$134:$B$193,$A105,$I$134:$I$193,"A comprar"),2)</f>
        <v/>
      </c>
      <c r="H105" s="90">
        <f>ROUND(SUMIFS($E$134:$E$193,$B$134:$B$193,$A105,$I$134:$I$193,"Comprado (a pagar)"),2)</f>
        <v/>
      </c>
      <c r="I105" s="38" t="n"/>
      <c r="J105" s="38" t="n"/>
      <c r="K105" s="38" t="n"/>
      <c r="L105" s="38" t="n"/>
      <c r="M105" s="38" t="n"/>
      <c r="N105" s="38" t="n"/>
      <c r="O105" s="38" t="n"/>
    </row>
    <row r="106" ht="17" customHeight="1">
      <c r="A106" s="36" t="inlineStr">
        <is>
          <t>Vidraceiro</t>
        </is>
      </c>
      <c r="B106" s="37" t="n"/>
      <c r="C106" s="71" t="n"/>
      <c r="D106" s="56">
        <f>ROUND(SUMIFS($E$134:$E$193,$B$134:$B$193,$A106,$I$134:$I$193,"Comprado (a pagar)")+SUMIFS($E$134:$E$193,$B$134:$B$193,$A106,$I$134:$I$193,"Pago"),2)</f>
        <v/>
      </c>
      <c r="E106" s="56">
        <f>IF($C106="","",ROUND($D106-$C106,2))</f>
        <v/>
      </c>
      <c r="F106" s="38" t="n"/>
      <c r="G106" s="89">
        <f>ROUND(SUMIFS($E$134:$E$193,$B$134:$B$193,$A106,$I$134:$I$193,"A comprar"),2)</f>
        <v/>
      </c>
      <c r="H106" s="90">
        <f>ROUND(SUMIFS($E$134:$E$193,$B$134:$B$193,$A106,$I$134:$I$193,"Comprado (a pagar)"),2)</f>
        <v/>
      </c>
      <c r="I106" s="38" t="n"/>
      <c r="J106" s="38" t="n"/>
      <c r="K106" s="38" t="n"/>
      <c r="L106" s="38" t="n"/>
      <c r="M106" s="38" t="n"/>
      <c r="N106" s="38" t="n"/>
      <c r="O106" s="38" t="n"/>
    </row>
    <row r="107" ht="17" customHeight="1">
      <c r="A107" s="36" t="inlineStr">
        <is>
          <t>Outro terceirizado</t>
        </is>
      </c>
      <c r="B107" s="37" t="n"/>
      <c r="C107" s="71" t="n"/>
      <c r="D107" s="56">
        <f>ROUND(SUMIFS($E$134:$E$193,$B$134:$B$193,$A107,$I$134:$I$193,"Comprado (a pagar)")+SUMIFS($E$134:$E$193,$B$134:$B$193,$A107,$I$134:$I$193,"Pago"),2)</f>
        <v/>
      </c>
      <c r="E107" s="56">
        <f>IF($C107="","",ROUND($D107-$C107,2))</f>
        <v/>
      </c>
      <c r="F107" s="38" t="n"/>
      <c r="G107" s="89">
        <f>ROUND(SUMIFS($E$134:$E$193,$B$134:$B$193,$A107,$I$134:$I$193,"A comprar"),2)</f>
        <v/>
      </c>
      <c r="H107" s="90">
        <f>ROUND(SUMIFS($E$134:$E$193,$B$134:$B$193,$A107,$I$134:$I$193,"Comprado (a pagar)"),2)</f>
        <v/>
      </c>
      <c r="I107" s="38" t="n"/>
      <c r="J107" s="38" t="n"/>
      <c r="K107" s="38" t="n"/>
      <c r="L107" s="38" t="n"/>
      <c r="M107" s="38" t="n"/>
      <c r="N107" s="38" t="n"/>
      <c r="O107" s="38" t="n"/>
    </row>
    <row r="108" ht="20" customHeight="1">
      <c r="A108" s="31" t="inlineStr">
        <is>
          <t>(=) SUBTOTAL · SERVIÇOS TERCEIRIZADOS</t>
        </is>
      </c>
      <c r="B108" s="32" t="n"/>
      <c r="C108" s="60">
        <f>ROUND(SUM(C104:C107),2)</f>
        <v/>
      </c>
      <c r="D108" s="60">
        <f>ROUND(SUM(D104:D107),2)</f>
        <v/>
      </c>
      <c r="E108" s="60">
        <f>ROUND(SUM(E104:E107),2)</f>
        <v/>
      </c>
      <c r="F108" s="32" t="n"/>
      <c r="G108" s="60">
        <f>ROUND(SUM(G104:G107),2)</f>
        <v/>
      </c>
      <c r="H108" s="60">
        <f>ROUND(SUM(H104:H107),2)</f>
        <v/>
      </c>
      <c r="I108" s="32" t="n"/>
      <c r="J108" s="32" t="n"/>
      <c r="K108" s="32" t="n"/>
      <c r="L108" s="32" t="n"/>
      <c r="M108" s="32" t="n"/>
      <c r="N108" s="32" t="n"/>
      <c r="O108" s="32" t="n"/>
    </row>
    <row r="109" ht="17" customHeight="1">
      <c r="A109" s="36" t="inlineStr">
        <is>
          <t>Uber e aplicativo</t>
        </is>
      </c>
      <c r="B109" s="37" t="n"/>
      <c r="C109" s="71" t="n"/>
      <c r="D109" s="56">
        <f>ROUND(SUMIFS($E$134:$E$193,$B$134:$B$193,$A109,$I$134:$I$193,"Comprado (a pagar)")+SUMIFS($E$134:$E$193,$B$134:$B$193,$A109,$I$134:$I$193,"Pago"),2)</f>
        <v/>
      </c>
      <c r="E109" s="56">
        <f>IF($C109="","",ROUND($D109-$C109,2))</f>
        <v/>
      </c>
      <c r="F109" s="38" t="n"/>
      <c r="G109" s="89">
        <f>ROUND(SUMIFS($E$134:$E$193,$B$134:$B$193,$A109,$I$134:$I$193,"A comprar"),2)</f>
        <v/>
      </c>
      <c r="H109" s="90">
        <f>ROUND(SUMIFS($E$134:$E$193,$B$134:$B$193,$A109,$I$134:$I$193,"Comprado (a pagar)"),2)</f>
        <v/>
      </c>
      <c r="I109" s="38" t="n"/>
      <c r="J109" s="38" t="n"/>
      <c r="K109" s="38" t="n"/>
      <c r="L109" s="38" t="n"/>
      <c r="M109" s="38" t="n"/>
      <c r="N109" s="38" t="n"/>
      <c r="O109" s="38" t="n"/>
    </row>
    <row r="110" ht="17" customHeight="1">
      <c r="A110" s="36" t="inlineStr">
        <is>
          <t>Carreto e entrega</t>
        </is>
      </c>
      <c r="B110" s="37" t="n"/>
      <c r="C110" s="71" t="n"/>
      <c r="D110" s="56">
        <f>ROUND(SUMIFS($E$134:$E$193,$B$134:$B$193,$A110,$I$134:$I$193,"Comprado (a pagar)")+SUMIFS($E$134:$E$193,$B$134:$B$193,$A110,$I$134:$I$193,"Pago"),2)</f>
        <v/>
      </c>
      <c r="E110" s="56">
        <f>IF($C110="","",ROUND($D110-$C110,2))</f>
        <v/>
      </c>
      <c r="F110" s="38" t="n"/>
      <c r="G110" s="89">
        <f>ROUND(SUMIFS($E$134:$E$193,$B$134:$B$193,$A110,$I$134:$I$193,"A comprar"),2)</f>
        <v/>
      </c>
      <c r="H110" s="90">
        <f>ROUND(SUMIFS($E$134:$E$193,$B$134:$B$193,$A110,$I$134:$I$193,"Comprado (a pagar)"),2)</f>
        <v/>
      </c>
      <c r="I110" s="38" t="n"/>
      <c r="J110" s="38" t="n"/>
      <c r="K110" s="38" t="n"/>
      <c r="L110" s="38" t="n"/>
      <c r="M110" s="38" t="n"/>
      <c r="N110" s="38" t="n"/>
      <c r="O110" s="38" t="n"/>
    </row>
    <row r="111" ht="17" customHeight="1">
      <c r="A111" s="36" t="inlineStr">
        <is>
          <t>Deslocamento da equipe</t>
        </is>
      </c>
      <c r="B111" s="37" t="n"/>
      <c r="C111" s="71" t="n"/>
      <c r="D111" s="56">
        <f>ROUND(SUMIFS($E$134:$E$193,$B$134:$B$193,$A111,$I$134:$I$193,"Comprado (a pagar)")+SUMIFS($E$134:$E$193,$B$134:$B$193,$A111,$I$134:$I$193,"Pago"),2)</f>
        <v/>
      </c>
      <c r="E111" s="56">
        <f>IF($C111="","",ROUND($D111-$C111,2))</f>
        <v/>
      </c>
      <c r="F111" s="38" t="n"/>
      <c r="G111" s="89">
        <f>ROUND(SUMIFS($E$134:$E$193,$B$134:$B$193,$A111,$I$134:$I$193,"A comprar"),2)</f>
        <v/>
      </c>
      <c r="H111" s="90">
        <f>ROUND(SUMIFS($E$134:$E$193,$B$134:$B$193,$A111,$I$134:$I$193,"Comprado (a pagar)"),2)</f>
        <v/>
      </c>
      <c r="I111" s="38" t="n"/>
      <c r="J111" s="38" t="n"/>
      <c r="K111" s="38" t="n"/>
      <c r="L111" s="38" t="n"/>
      <c r="M111" s="38" t="n"/>
      <c r="N111" s="38" t="n"/>
      <c r="O111" s="38" t="n"/>
    </row>
    <row r="112" ht="17" customHeight="1">
      <c r="A112" s="36" t="inlineStr">
        <is>
          <t>Frete de material</t>
        </is>
      </c>
      <c r="B112" s="37" t="n"/>
      <c r="C112" s="71" t="n"/>
      <c r="D112" s="56">
        <f>ROUND(SUMIFS($E$134:$E$193,$B$134:$B$193,$A112,$I$134:$I$193,"Comprado (a pagar)")+SUMIFS($E$134:$E$193,$B$134:$B$193,$A112,$I$134:$I$193,"Pago"),2)</f>
        <v/>
      </c>
      <c r="E112" s="56">
        <f>IF($C112="","",ROUND($D112-$C112,2))</f>
        <v/>
      </c>
      <c r="F112" s="38" t="n"/>
      <c r="G112" s="89">
        <f>ROUND(SUMIFS($E$134:$E$193,$B$134:$B$193,$A112,$I$134:$I$193,"A comprar"),2)</f>
        <v/>
      </c>
      <c r="H112" s="90">
        <f>ROUND(SUMIFS($E$134:$E$193,$B$134:$B$193,$A112,$I$134:$I$193,"Comprado (a pagar)"),2)</f>
        <v/>
      </c>
      <c r="I112" s="38" t="n"/>
      <c r="J112" s="38" t="n"/>
      <c r="K112" s="38" t="n"/>
      <c r="L112" s="38" t="n"/>
      <c r="M112" s="38" t="n"/>
      <c r="N112" s="38" t="n"/>
      <c r="O112" s="38" t="n"/>
    </row>
    <row r="113" ht="17" customHeight="1">
      <c r="A113" s="36" t="inlineStr">
        <is>
          <t>Estacionamento e pedágio</t>
        </is>
      </c>
      <c r="B113" s="37" t="n"/>
      <c r="C113" s="71" t="n"/>
      <c r="D113" s="56">
        <f>ROUND(SUMIFS($E$134:$E$193,$B$134:$B$193,$A113,$I$134:$I$193,"Comprado (a pagar)")+SUMIFS($E$134:$E$193,$B$134:$B$193,$A113,$I$134:$I$193,"Pago"),2)</f>
        <v/>
      </c>
      <c r="E113" s="56">
        <f>IF($C113="","",ROUND($D113-$C113,2))</f>
        <v/>
      </c>
      <c r="F113" s="38" t="n"/>
      <c r="G113" s="89">
        <f>ROUND(SUMIFS($E$134:$E$193,$B$134:$B$193,$A113,$I$134:$I$193,"A comprar"),2)</f>
        <v/>
      </c>
      <c r="H113" s="90">
        <f>ROUND(SUMIFS($E$134:$E$193,$B$134:$B$193,$A113,$I$134:$I$193,"Comprado (a pagar)"),2)</f>
        <v/>
      </c>
      <c r="I113" s="38" t="n"/>
      <c r="J113" s="38" t="n"/>
      <c r="K113" s="38" t="n"/>
      <c r="L113" s="38" t="n"/>
      <c r="M113" s="38" t="n"/>
      <c r="N113" s="38" t="n"/>
      <c r="O113" s="38" t="n"/>
    </row>
    <row r="114" ht="20" customHeight="1">
      <c r="A114" s="31" t="inlineStr">
        <is>
          <t>(=) SUBTOTAL · LOGÍSTICA</t>
        </is>
      </c>
      <c r="B114" s="32" t="n"/>
      <c r="C114" s="60">
        <f>ROUND(SUM(C109:C113),2)</f>
        <v/>
      </c>
      <c r="D114" s="60">
        <f>ROUND(SUM(D109:D113),2)</f>
        <v/>
      </c>
      <c r="E114" s="60">
        <f>ROUND(SUM(E109:E113),2)</f>
        <v/>
      </c>
      <c r="F114" s="32" t="n"/>
      <c r="G114" s="60">
        <f>ROUND(SUM(G109:G113),2)</f>
        <v/>
      </c>
      <c r="H114" s="60">
        <f>ROUND(SUM(H109:H113),2)</f>
        <v/>
      </c>
      <c r="I114" s="32" t="n"/>
      <c r="J114" s="32" t="n"/>
      <c r="K114" s="32" t="n"/>
      <c r="L114" s="32" t="n"/>
      <c r="M114" s="32" t="n"/>
      <c r="N114" s="32" t="n"/>
      <c r="O114" s="32" t="n"/>
    </row>
    <row r="115" ht="8" customHeight="1"/>
    <row r="116" ht="20" customHeight="1">
      <c r="A116" s="8" t="inlineStr">
        <is>
          <t xml:space="preserve">  7 · RETRABALHO          o que aconteceu, por que aconteceu e quanto custou — é aqui que o orçamento aprende</t>
        </is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</row>
    <row r="117" ht="26" customHeight="1">
      <c r="A117" s="19" t="inlineStr">
        <is>
          <t>O que aconteceu</t>
        </is>
      </c>
      <c r="B117" s="19" t="inlineStr">
        <is>
          <t>Causa</t>
        </is>
      </c>
      <c r="C117" s="35" t="n"/>
      <c r="D117" s="35" t="n"/>
      <c r="E117" s="19" t="inlineStr">
        <is>
          <t>Custo estimado (R$)</t>
        </is>
      </c>
      <c r="F117" s="35" t="n"/>
      <c r="G117" s="19" t="inlineStr">
        <is>
          <t>Providência / responsável</t>
        </is>
      </c>
      <c r="H117" s="35" t="n"/>
      <c r="I117" s="35" t="n"/>
      <c r="J117" s="35" t="n"/>
      <c r="K117" s="35" t="n"/>
      <c r="L117" s="35" t="n"/>
      <c r="M117" s="35" t="n"/>
      <c r="N117" s="35" t="n"/>
      <c r="O117" s="35" t="n"/>
    </row>
    <row r="118" ht="18" customHeight="1">
      <c r="A118" s="83" t="n"/>
      <c r="B118" s="83" t="n"/>
      <c r="C118" s="46" t="n"/>
      <c r="D118" s="46" t="n"/>
      <c r="E118" s="91" t="n"/>
      <c r="F118" s="46" t="n"/>
      <c r="G118" s="73" t="n"/>
      <c r="H118" s="46" t="n"/>
      <c r="I118" s="46" t="n"/>
      <c r="J118" s="46" t="n"/>
      <c r="K118" s="46" t="n"/>
      <c r="L118" s="46" t="n"/>
      <c r="M118" s="46" t="n"/>
      <c r="N118" s="46" t="n"/>
      <c r="O118" s="46" t="n"/>
    </row>
    <row r="119" ht="18" customHeight="1">
      <c r="A119" s="83" t="n"/>
      <c r="B119" s="83" t="n"/>
      <c r="C119" s="46" t="n"/>
      <c r="D119" s="46" t="n"/>
      <c r="E119" s="91" t="n"/>
      <c r="F119" s="46" t="n"/>
      <c r="G119" s="73" t="n"/>
      <c r="H119" s="46" t="n"/>
      <c r="I119" s="46" t="n"/>
      <c r="J119" s="46" t="n"/>
      <c r="K119" s="46" t="n"/>
      <c r="L119" s="46" t="n"/>
      <c r="M119" s="46" t="n"/>
      <c r="N119" s="46" t="n"/>
      <c r="O119" s="46" t="n"/>
    </row>
    <row r="120" ht="18" customHeight="1">
      <c r="A120" s="83" t="n"/>
      <c r="B120" s="83" t="n"/>
      <c r="C120" s="46" t="n"/>
      <c r="D120" s="46" t="n"/>
      <c r="E120" s="91" t="n"/>
      <c r="F120" s="46" t="n"/>
      <c r="G120" s="73" t="n"/>
      <c r="H120" s="46" t="n"/>
      <c r="I120" s="46" t="n"/>
      <c r="J120" s="46" t="n"/>
      <c r="K120" s="46" t="n"/>
      <c r="L120" s="46" t="n"/>
      <c r="M120" s="46" t="n"/>
      <c r="N120" s="46" t="n"/>
      <c r="O120" s="46" t="n"/>
    </row>
    <row r="121" ht="18" customHeight="1">
      <c r="A121" s="83" t="n"/>
      <c r="B121" s="83" t="n"/>
      <c r="C121" s="46" t="n"/>
      <c r="D121" s="46" t="n"/>
      <c r="E121" s="91" t="n"/>
      <c r="F121" s="46" t="n"/>
      <c r="G121" s="73" t="n"/>
      <c r="H121" s="46" t="n"/>
      <c r="I121" s="46" t="n"/>
      <c r="J121" s="46" t="n"/>
      <c r="K121" s="46" t="n"/>
      <c r="L121" s="46" t="n"/>
      <c r="M121" s="46" t="n"/>
      <c r="N121" s="46" t="n"/>
      <c r="O121" s="46" t="n"/>
    </row>
    <row r="122" ht="18" customHeight="1">
      <c r="A122" s="83" t="n"/>
      <c r="B122" s="83" t="n"/>
      <c r="C122" s="46" t="n"/>
      <c r="D122" s="46" t="n"/>
      <c r="E122" s="91" t="n"/>
      <c r="F122" s="46" t="n"/>
      <c r="G122" s="73" t="n"/>
      <c r="H122" s="46" t="n"/>
      <c r="I122" s="46" t="n"/>
      <c r="J122" s="46" t="n"/>
      <c r="K122" s="46" t="n"/>
      <c r="L122" s="46" t="n"/>
      <c r="M122" s="46" t="n"/>
      <c r="N122" s="46" t="n"/>
      <c r="O122" s="46" t="n"/>
    </row>
    <row r="123" ht="18" customHeight="1">
      <c r="A123" s="83" t="n"/>
      <c r="B123" s="83" t="n"/>
      <c r="C123" s="46" t="n"/>
      <c r="D123" s="46" t="n"/>
      <c r="E123" s="91" t="n"/>
      <c r="F123" s="46" t="n"/>
      <c r="G123" s="73" t="n"/>
      <c r="H123" s="46" t="n"/>
      <c r="I123" s="46" t="n"/>
      <c r="J123" s="46" t="n"/>
      <c r="K123" s="46" t="n"/>
      <c r="L123" s="46" t="n"/>
      <c r="M123" s="46" t="n"/>
      <c r="N123" s="46" t="n"/>
      <c r="O123" s="46" t="n"/>
    </row>
    <row r="124" ht="18" customHeight="1">
      <c r="A124" s="83" t="n"/>
      <c r="B124" s="83" t="n"/>
      <c r="C124" s="46" t="n"/>
      <c r="D124" s="46" t="n"/>
      <c r="E124" s="91" t="n"/>
      <c r="F124" s="46" t="n"/>
      <c r="G124" s="73" t="n"/>
      <c r="H124" s="46" t="n"/>
      <c r="I124" s="46" t="n"/>
      <c r="J124" s="46" t="n"/>
      <c r="K124" s="46" t="n"/>
      <c r="L124" s="46" t="n"/>
      <c r="M124" s="46" t="n"/>
      <c r="N124" s="46" t="n"/>
      <c r="O124" s="46" t="n"/>
    </row>
    <row r="125" ht="18" customHeight="1">
      <c r="A125" s="83" t="n"/>
      <c r="B125" s="83" t="n"/>
      <c r="C125" s="46" t="n"/>
      <c r="D125" s="46" t="n"/>
      <c r="E125" s="91" t="n"/>
      <c r="F125" s="46" t="n"/>
      <c r="G125" s="73" t="n"/>
      <c r="H125" s="46" t="n"/>
      <c r="I125" s="46" t="n"/>
      <c r="J125" s="46" t="n"/>
      <c r="K125" s="46" t="n"/>
      <c r="L125" s="46" t="n"/>
      <c r="M125" s="46" t="n"/>
      <c r="N125" s="46" t="n"/>
      <c r="O125" s="46" t="n"/>
    </row>
    <row r="126" ht="18" customHeight="1">
      <c r="A126" s="83" t="n"/>
      <c r="B126" s="83" t="n"/>
      <c r="C126" s="46" t="n"/>
      <c r="D126" s="46" t="n"/>
      <c r="E126" s="91" t="n"/>
      <c r="F126" s="46" t="n"/>
      <c r="G126" s="73" t="n"/>
      <c r="H126" s="46" t="n"/>
      <c r="I126" s="46" t="n"/>
      <c r="J126" s="46" t="n"/>
      <c r="K126" s="46" t="n"/>
      <c r="L126" s="46" t="n"/>
      <c r="M126" s="46" t="n"/>
      <c r="N126" s="46" t="n"/>
      <c r="O126" s="46" t="n"/>
    </row>
    <row r="127" ht="18" customHeight="1">
      <c r="A127" s="83" t="n"/>
      <c r="B127" s="83" t="n"/>
      <c r="C127" s="46" t="n"/>
      <c r="D127" s="46" t="n"/>
      <c r="E127" s="91" t="n"/>
      <c r="F127" s="46" t="n"/>
      <c r="G127" s="73" t="n"/>
      <c r="H127" s="46" t="n"/>
      <c r="I127" s="46" t="n"/>
      <c r="J127" s="46" t="n"/>
      <c r="K127" s="46" t="n"/>
      <c r="L127" s="46" t="n"/>
      <c r="M127" s="46" t="n"/>
      <c r="N127" s="46" t="n"/>
      <c r="O127" s="46" t="n"/>
    </row>
    <row r="128" ht="18" customHeight="1">
      <c r="A128" s="83" t="n"/>
      <c r="B128" s="83" t="n"/>
      <c r="C128" s="46" t="n"/>
      <c r="D128" s="46" t="n"/>
      <c r="E128" s="91" t="n"/>
      <c r="F128" s="46" t="n"/>
      <c r="G128" s="73" t="n"/>
      <c r="H128" s="46" t="n"/>
      <c r="I128" s="46" t="n"/>
      <c r="J128" s="46" t="n"/>
      <c r="K128" s="46" t="n"/>
      <c r="L128" s="46" t="n"/>
      <c r="M128" s="46" t="n"/>
      <c r="N128" s="46" t="n"/>
      <c r="O128" s="46" t="n"/>
    </row>
    <row r="129" ht="18" customHeight="1">
      <c r="A129" s="83" t="n"/>
      <c r="B129" s="83" t="n"/>
      <c r="C129" s="46" t="n"/>
      <c r="D129" s="46" t="n"/>
      <c r="E129" s="91" t="n"/>
      <c r="F129" s="46" t="n"/>
      <c r="G129" s="73" t="n"/>
      <c r="H129" s="46" t="n"/>
      <c r="I129" s="46" t="n"/>
      <c r="J129" s="46" t="n"/>
      <c r="K129" s="46" t="n"/>
      <c r="L129" s="46" t="n"/>
      <c r="M129" s="46" t="n"/>
      <c r="N129" s="46" t="n"/>
      <c r="O129" s="46" t="n"/>
    </row>
    <row r="130" ht="20" customHeight="1">
      <c r="A130" s="31" t="inlineStr">
        <is>
          <t>CONTINGÊNCIA PREVISTA NO ORÇAMENTO  →</t>
        </is>
      </c>
      <c r="B130" s="32" t="n"/>
      <c r="C130" s="92" t="n"/>
      <c r="D130" s="60">
        <f>ROUND(SUM($E$118:$E$129),2)</f>
        <v/>
      </c>
      <c r="E130" s="60">
        <f>ROUND($D$130-IF($C$130="",0,$C$130),2)</f>
        <v/>
      </c>
      <c r="F130" s="32" t="n"/>
      <c r="G130" s="62">
        <f>IF(OR($A$13="",$A$13=0),"",$D$130/$A$13)</f>
        <v/>
      </c>
      <c r="H130" s="93" t="inlineStr">
        <is>
          <t>orçado = a contingência prevista · realizado = a soma acima</t>
        </is>
      </c>
      <c r="I130" s="32" t="n"/>
      <c r="J130" s="32" t="n"/>
      <c r="K130" s="32" t="n"/>
      <c r="L130" s="32" t="n"/>
      <c r="M130" s="32" t="n"/>
      <c r="N130" s="32" t="n"/>
      <c r="O130" s="32" t="n"/>
    </row>
    <row r="131" ht="8" customHeight="1"/>
    <row r="132" ht="20" customHeight="1">
      <c r="A132" s="8" t="inlineStr">
        <is>
          <t xml:space="preserve">  8 · LIVRO DE COMPRAS E DESPESAS DO PROJETO          uma linha por compra, na ordem em que acontecer · pode inserir linhas à vontade aqui</t>
        </is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</row>
    <row r="133" ht="28" customHeight="1">
      <c r="A133" s="19" t="inlineStr">
        <is>
          <t>Descrição / fornecedor</t>
        </is>
      </c>
      <c r="B133" s="19" t="inlineStr">
        <is>
          <t>Categoria</t>
        </is>
      </c>
      <c r="C133" s="35" t="n"/>
      <c r="D133" s="19" t="inlineStr">
        <is>
          <t>Data</t>
        </is>
      </c>
      <c r="E133" s="19" t="inlineStr">
        <is>
          <t>Valor (R$)</t>
        </is>
      </c>
      <c r="F133" s="35" t="n"/>
      <c r="G133" s="19" t="inlineStr">
        <is>
          <t>Forma de pagamento</t>
        </is>
      </c>
      <c r="H133" s="35" t="n"/>
      <c r="I133" s="19" t="inlineStr">
        <is>
          <t>Status</t>
        </is>
      </c>
      <c r="J133" s="35" t="n"/>
      <c r="K133" s="35" t="n"/>
      <c r="L133" s="35" t="n"/>
      <c r="M133" s="35" t="n"/>
      <c r="N133" s="35" t="n"/>
      <c r="O133" s="35" t="n"/>
    </row>
    <row r="134" ht="17" customHeight="1">
      <c r="A134" s="83" t="n"/>
      <c r="B134" s="94" t="n"/>
      <c r="C134" s="46" t="n"/>
      <c r="D134" s="75" t="n"/>
      <c r="E134" s="95" t="n"/>
      <c r="F134" s="46" t="n"/>
      <c r="G134" s="96" t="n"/>
      <c r="H134" s="46" t="n"/>
      <c r="I134" s="97" t="n"/>
      <c r="J134" s="46" t="n"/>
      <c r="K134" s="46" t="n"/>
      <c r="L134" s="46" t="n"/>
      <c r="M134" s="46" t="n"/>
      <c r="N134" s="46" t="n"/>
      <c r="O134" s="46" t="n"/>
    </row>
    <row r="135" ht="17" customHeight="1">
      <c r="A135" s="83" t="n"/>
      <c r="B135" s="94" t="n"/>
      <c r="C135" s="46" t="n"/>
      <c r="D135" s="75" t="n"/>
      <c r="E135" s="95" t="n"/>
      <c r="F135" s="46" t="n"/>
      <c r="G135" s="96" t="n"/>
      <c r="H135" s="46" t="n"/>
      <c r="I135" s="97" t="n"/>
      <c r="J135" s="46" t="n"/>
      <c r="K135" s="46" t="n"/>
      <c r="L135" s="46" t="n"/>
      <c r="M135" s="46" t="n"/>
      <c r="N135" s="46" t="n"/>
      <c r="O135" s="46" t="n"/>
    </row>
    <row r="136" ht="17" customHeight="1">
      <c r="A136" s="83" t="n"/>
      <c r="B136" s="94" t="n"/>
      <c r="C136" s="46" t="n"/>
      <c r="D136" s="75" t="n"/>
      <c r="E136" s="95" t="n"/>
      <c r="F136" s="46" t="n"/>
      <c r="G136" s="96" t="n"/>
      <c r="H136" s="46" t="n"/>
      <c r="I136" s="97" t="n"/>
      <c r="J136" s="46" t="n"/>
      <c r="K136" s="46" t="n"/>
      <c r="L136" s="46" t="n"/>
      <c r="M136" s="46" t="n"/>
      <c r="N136" s="46" t="n"/>
      <c r="O136" s="46" t="n"/>
    </row>
    <row r="137" ht="17" customHeight="1">
      <c r="A137" s="83" t="n"/>
      <c r="B137" s="94" t="n"/>
      <c r="C137" s="46" t="n"/>
      <c r="D137" s="75" t="n"/>
      <c r="E137" s="95" t="n"/>
      <c r="F137" s="46" t="n"/>
      <c r="G137" s="96" t="n"/>
      <c r="H137" s="46" t="n"/>
      <c r="I137" s="97" t="n"/>
      <c r="J137" s="46" t="n"/>
      <c r="K137" s="46" t="n"/>
      <c r="L137" s="46" t="n"/>
      <c r="M137" s="46" t="n"/>
      <c r="N137" s="46" t="n"/>
      <c r="O137" s="46" t="n"/>
    </row>
    <row r="138" ht="17" customHeight="1">
      <c r="A138" s="83" t="n"/>
      <c r="B138" s="94" t="n"/>
      <c r="C138" s="46" t="n"/>
      <c r="D138" s="75" t="n"/>
      <c r="E138" s="95" t="n"/>
      <c r="F138" s="46" t="n"/>
      <c r="G138" s="96" t="n"/>
      <c r="H138" s="46" t="n"/>
      <c r="I138" s="97" t="n"/>
      <c r="J138" s="46" t="n"/>
      <c r="K138" s="46" t="n"/>
      <c r="L138" s="46" t="n"/>
      <c r="M138" s="46" t="n"/>
      <c r="N138" s="46" t="n"/>
      <c r="O138" s="46" t="n"/>
    </row>
    <row r="139" ht="17" customHeight="1">
      <c r="A139" s="83" t="n"/>
      <c r="B139" s="94" t="n"/>
      <c r="C139" s="46" t="n"/>
      <c r="D139" s="75" t="n"/>
      <c r="E139" s="95" t="n"/>
      <c r="F139" s="46" t="n"/>
      <c r="G139" s="96" t="n"/>
      <c r="H139" s="46" t="n"/>
      <c r="I139" s="97" t="n"/>
      <c r="J139" s="46" t="n"/>
      <c r="K139" s="46" t="n"/>
      <c r="L139" s="46" t="n"/>
      <c r="M139" s="46" t="n"/>
      <c r="N139" s="46" t="n"/>
      <c r="O139" s="46" t="n"/>
    </row>
    <row r="140" ht="17" customHeight="1">
      <c r="A140" s="83" t="n"/>
      <c r="B140" s="94" t="n"/>
      <c r="C140" s="46" t="n"/>
      <c r="D140" s="75" t="n"/>
      <c r="E140" s="95" t="n"/>
      <c r="F140" s="46" t="n"/>
      <c r="G140" s="96" t="n"/>
      <c r="H140" s="46" t="n"/>
      <c r="I140" s="97" t="n"/>
      <c r="J140" s="46" t="n"/>
      <c r="K140" s="46" t="n"/>
      <c r="L140" s="46" t="n"/>
      <c r="M140" s="46" t="n"/>
      <c r="N140" s="46" t="n"/>
      <c r="O140" s="46" t="n"/>
    </row>
    <row r="141" ht="17" customHeight="1">
      <c r="A141" s="83" t="n"/>
      <c r="B141" s="94" t="n"/>
      <c r="C141" s="46" t="n"/>
      <c r="D141" s="75" t="n"/>
      <c r="E141" s="95" t="n"/>
      <c r="F141" s="46" t="n"/>
      <c r="G141" s="96" t="n"/>
      <c r="H141" s="46" t="n"/>
      <c r="I141" s="97" t="n"/>
      <c r="J141" s="46" t="n"/>
      <c r="K141" s="46" t="n"/>
      <c r="L141" s="46" t="n"/>
      <c r="M141" s="46" t="n"/>
      <c r="N141" s="46" t="n"/>
      <c r="O141" s="46" t="n"/>
    </row>
    <row r="142" ht="17" customHeight="1">
      <c r="A142" s="83" t="n"/>
      <c r="B142" s="94" t="n"/>
      <c r="C142" s="46" t="n"/>
      <c r="D142" s="75" t="n"/>
      <c r="E142" s="95" t="n"/>
      <c r="F142" s="46" t="n"/>
      <c r="G142" s="96" t="n"/>
      <c r="H142" s="46" t="n"/>
      <c r="I142" s="97" t="n"/>
      <c r="J142" s="46" t="n"/>
      <c r="K142" s="46" t="n"/>
      <c r="L142" s="46" t="n"/>
      <c r="M142" s="46" t="n"/>
      <c r="N142" s="46" t="n"/>
      <c r="O142" s="46" t="n"/>
    </row>
    <row r="143" ht="17" customHeight="1">
      <c r="A143" s="83" t="n"/>
      <c r="B143" s="94" t="n"/>
      <c r="C143" s="46" t="n"/>
      <c r="D143" s="75" t="n"/>
      <c r="E143" s="95" t="n"/>
      <c r="F143" s="46" t="n"/>
      <c r="G143" s="96" t="n"/>
      <c r="H143" s="46" t="n"/>
      <c r="I143" s="97" t="n"/>
      <c r="J143" s="46" t="n"/>
      <c r="K143" s="46" t="n"/>
      <c r="L143" s="46" t="n"/>
      <c r="M143" s="46" t="n"/>
      <c r="N143" s="46" t="n"/>
      <c r="O143" s="46" t="n"/>
    </row>
    <row r="144" ht="17" customHeight="1">
      <c r="A144" s="83" t="n"/>
      <c r="B144" s="94" t="n"/>
      <c r="C144" s="46" t="n"/>
      <c r="D144" s="75" t="n"/>
      <c r="E144" s="95" t="n"/>
      <c r="F144" s="46" t="n"/>
      <c r="G144" s="96" t="n"/>
      <c r="H144" s="46" t="n"/>
      <c r="I144" s="97" t="n"/>
      <c r="J144" s="46" t="n"/>
      <c r="K144" s="46" t="n"/>
      <c r="L144" s="46" t="n"/>
      <c r="M144" s="46" t="n"/>
      <c r="N144" s="46" t="n"/>
      <c r="O144" s="46" t="n"/>
    </row>
    <row r="145" ht="17" customHeight="1">
      <c r="A145" s="83" t="n"/>
      <c r="B145" s="94" t="n"/>
      <c r="C145" s="46" t="n"/>
      <c r="D145" s="75" t="n"/>
      <c r="E145" s="95" t="n"/>
      <c r="F145" s="46" t="n"/>
      <c r="G145" s="96" t="n"/>
      <c r="H145" s="46" t="n"/>
      <c r="I145" s="97" t="n"/>
      <c r="J145" s="46" t="n"/>
      <c r="K145" s="46" t="n"/>
      <c r="L145" s="46" t="n"/>
      <c r="M145" s="46" t="n"/>
      <c r="N145" s="46" t="n"/>
      <c r="O145" s="46" t="n"/>
    </row>
    <row r="146" ht="17" customHeight="1">
      <c r="A146" s="83" t="n"/>
      <c r="B146" s="94" t="n"/>
      <c r="C146" s="46" t="n"/>
      <c r="D146" s="75" t="n"/>
      <c r="E146" s="95" t="n"/>
      <c r="F146" s="46" t="n"/>
      <c r="G146" s="96" t="n"/>
      <c r="H146" s="46" t="n"/>
      <c r="I146" s="97" t="n"/>
      <c r="J146" s="46" t="n"/>
      <c r="K146" s="46" t="n"/>
      <c r="L146" s="46" t="n"/>
      <c r="M146" s="46" t="n"/>
      <c r="N146" s="46" t="n"/>
      <c r="O146" s="46" t="n"/>
    </row>
    <row r="147" ht="17" customHeight="1">
      <c r="A147" s="83" t="n"/>
      <c r="B147" s="94" t="n"/>
      <c r="C147" s="46" t="n"/>
      <c r="D147" s="75" t="n"/>
      <c r="E147" s="95" t="n"/>
      <c r="F147" s="46" t="n"/>
      <c r="G147" s="96" t="n"/>
      <c r="H147" s="46" t="n"/>
      <c r="I147" s="97" t="n"/>
      <c r="J147" s="46" t="n"/>
      <c r="K147" s="46" t="n"/>
      <c r="L147" s="46" t="n"/>
      <c r="M147" s="46" t="n"/>
      <c r="N147" s="46" t="n"/>
      <c r="O147" s="46" t="n"/>
    </row>
    <row r="148" ht="17" customHeight="1">
      <c r="A148" s="83" t="n"/>
      <c r="B148" s="94" t="n"/>
      <c r="C148" s="46" t="n"/>
      <c r="D148" s="75" t="n"/>
      <c r="E148" s="95" t="n"/>
      <c r="F148" s="46" t="n"/>
      <c r="G148" s="96" t="n"/>
      <c r="H148" s="46" t="n"/>
      <c r="I148" s="97" t="n"/>
      <c r="J148" s="46" t="n"/>
      <c r="K148" s="46" t="n"/>
      <c r="L148" s="46" t="n"/>
      <c r="M148" s="46" t="n"/>
      <c r="N148" s="46" t="n"/>
      <c r="O148" s="46" t="n"/>
    </row>
    <row r="149" ht="17" customHeight="1">
      <c r="A149" s="83" t="n"/>
      <c r="B149" s="94" t="n"/>
      <c r="C149" s="46" t="n"/>
      <c r="D149" s="75" t="n"/>
      <c r="E149" s="95" t="n"/>
      <c r="F149" s="46" t="n"/>
      <c r="G149" s="96" t="n"/>
      <c r="H149" s="46" t="n"/>
      <c r="I149" s="97" t="n"/>
      <c r="J149" s="46" t="n"/>
      <c r="K149" s="46" t="n"/>
      <c r="L149" s="46" t="n"/>
      <c r="M149" s="46" t="n"/>
      <c r="N149" s="46" t="n"/>
      <c r="O149" s="46" t="n"/>
    </row>
    <row r="150" ht="17" customHeight="1">
      <c r="A150" s="83" t="n"/>
      <c r="B150" s="94" t="n"/>
      <c r="C150" s="46" t="n"/>
      <c r="D150" s="75" t="n"/>
      <c r="E150" s="95" t="n"/>
      <c r="F150" s="46" t="n"/>
      <c r="G150" s="96" t="n"/>
      <c r="H150" s="46" t="n"/>
      <c r="I150" s="97" t="n"/>
      <c r="J150" s="46" t="n"/>
      <c r="K150" s="46" t="n"/>
      <c r="L150" s="46" t="n"/>
      <c r="M150" s="46" t="n"/>
      <c r="N150" s="46" t="n"/>
      <c r="O150" s="46" t="n"/>
    </row>
    <row r="151" ht="17" customHeight="1">
      <c r="A151" s="83" t="n"/>
      <c r="B151" s="94" t="n"/>
      <c r="C151" s="46" t="n"/>
      <c r="D151" s="75" t="n"/>
      <c r="E151" s="95" t="n"/>
      <c r="F151" s="46" t="n"/>
      <c r="G151" s="96" t="n"/>
      <c r="H151" s="46" t="n"/>
      <c r="I151" s="97" t="n"/>
      <c r="J151" s="46" t="n"/>
      <c r="K151" s="46" t="n"/>
      <c r="L151" s="46" t="n"/>
      <c r="M151" s="46" t="n"/>
      <c r="N151" s="46" t="n"/>
      <c r="O151" s="46" t="n"/>
    </row>
    <row r="152" ht="17" customHeight="1">
      <c r="A152" s="83" t="n"/>
      <c r="B152" s="94" t="n"/>
      <c r="C152" s="46" t="n"/>
      <c r="D152" s="75" t="n"/>
      <c r="E152" s="95" t="n"/>
      <c r="F152" s="46" t="n"/>
      <c r="G152" s="96" t="n"/>
      <c r="H152" s="46" t="n"/>
      <c r="I152" s="97" t="n"/>
      <c r="J152" s="46" t="n"/>
      <c r="K152" s="46" t="n"/>
      <c r="L152" s="46" t="n"/>
      <c r="M152" s="46" t="n"/>
      <c r="N152" s="46" t="n"/>
      <c r="O152" s="46" t="n"/>
    </row>
    <row r="153" ht="17" customHeight="1">
      <c r="A153" s="83" t="n"/>
      <c r="B153" s="94" t="n"/>
      <c r="C153" s="46" t="n"/>
      <c r="D153" s="75" t="n"/>
      <c r="E153" s="95" t="n"/>
      <c r="F153" s="46" t="n"/>
      <c r="G153" s="96" t="n"/>
      <c r="H153" s="46" t="n"/>
      <c r="I153" s="97" t="n"/>
      <c r="J153" s="46" t="n"/>
      <c r="K153" s="46" t="n"/>
      <c r="L153" s="46" t="n"/>
      <c r="M153" s="46" t="n"/>
      <c r="N153" s="46" t="n"/>
      <c r="O153" s="46" t="n"/>
    </row>
    <row r="154" ht="17" customHeight="1">
      <c r="A154" s="83" t="n"/>
      <c r="B154" s="94" t="n"/>
      <c r="C154" s="46" t="n"/>
      <c r="D154" s="75" t="n"/>
      <c r="E154" s="95" t="n"/>
      <c r="F154" s="46" t="n"/>
      <c r="G154" s="96" t="n"/>
      <c r="H154" s="46" t="n"/>
      <c r="I154" s="97" t="n"/>
      <c r="J154" s="46" t="n"/>
      <c r="K154" s="46" t="n"/>
      <c r="L154" s="46" t="n"/>
      <c r="M154" s="46" t="n"/>
      <c r="N154" s="46" t="n"/>
      <c r="O154" s="46" t="n"/>
    </row>
    <row r="155" ht="17" customHeight="1">
      <c r="A155" s="83" t="n"/>
      <c r="B155" s="94" t="n"/>
      <c r="C155" s="46" t="n"/>
      <c r="D155" s="75" t="n"/>
      <c r="E155" s="95" t="n"/>
      <c r="F155" s="46" t="n"/>
      <c r="G155" s="96" t="n"/>
      <c r="H155" s="46" t="n"/>
      <c r="I155" s="97" t="n"/>
      <c r="J155" s="46" t="n"/>
      <c r="K155" s="46" t="n"/>
      <c r="L155" s="46" t="n"/>
      <c r="M155" s="46" t="n"/>
      <c r="N155" s="46" t="n"/>
      <c r="O155" s="46" t="n"/>
    </row>
    <row r="156" ht="17" customHeight="1">
      <c r="A156" s="83" t="n"/>
      <c r="B156" s="94" t="n"/>
      <c r="C156" s="46" t="n"/>
      <c r="D156" s="75" t="n"/>
      <c r="E156" s="95" t="n"/>
      <c r="F156" s="46" t="n"/>
      <c r="G156" s="96" t="n"/>
      <c r="H156" s="46" t="n"/>
      <c r="I156" s="97" t="n"/>
      <c r="J156" s="46" t="n"/>
      <c r="K156" s="46" t="n"/>
      <c r="L156" s="46" t="n"/>
      <c r="M156" s="46" t="n"/>
      <c r="N156" s="46" t="n"/>
      <c r="O156" s="46" t="n"/>
    </row>
    <row r="157" ht="17" customHeight="1">
      <c r="A157" s="83" t="n"/>
      <c r="B157" s="94" t="n"/>
      <c r="C157" s="46" t="n"/>
      <c r="D157" s="75" t="n"/>
      <c r="E157" s="95" t="n"/>
      <c r="F157" s="46" t="n"/>
      <c r="G157" s="96" t="n"/>
      <c r="H157" s="46" t="n"/>
      <c r="I157" s="97" t="n"/>
      <c r="J157" s="46" t="n"/>
      <c r="K157" s="46" t="n"/>
      <c r="L157" s="46" t="n"/>
      <c r="M157" s="46" t="n"/>
      <c r="N157" s="46" t="n"/>
      <c r="O157" s="46" t="n"/>
    </row>
    <row r="158" ht="17" customHeight="1">
      <c r="A158" s="83" t="n"/>
      <c r="B158" s="94" t="n"/>
      <c r="C158" s="46" t="n"/>
      <c r="D158" s="75" t="n"/>
      <c r="E158" s="95" t="n"/>
      <c r="F158" s="46" t="n"/>
      <c r="G158" s="96" t="n"/>
      <c r="H158" s="46" t="n"/>
      <c r="I158" s="97" t="n"/>
      <c r="J158" s="46" t="n"/>
      <c r="K158" s="46" t="n"/>
      <c r="L158" s="46" t="n"/>
      <c r="M158" s="46" t="n"/>
      <c r="N158" s="46" t="n"/>
      <c r="O158" s="46" t="n"/>
    </row>
    <row r="159" ht="17" customHeight="1">
      <c r="A159" s="83" t="n"/>
      <c r="B159" s="94" t="n"/>
      <c r="C159" s="46" t="n"/>
      <c r="D159" s="75" t="n"/>
      <c r="E159" s="95" t="n"/>
      <c r="F159" s="46" t="n"/>
      <c r="G159" s="96" t="n"/>
      <c r="H159" s="46" t="n"/>
      <c r="I159" s="97" t="n"/>
      <c r="J159" s="46" t="n"/>
      <c r="K159" s="46" t="n"/>
      <c r="L159" s="46" t="n"/>
      <c r="M159" s="46" t="n"/>
      <c r="N159" s="46" t="n"/>
      <c r="O159" s="46" t="n"/>
    </row>
    <row r="160" ht="17" customHeight="1">
      <c r="A160" s="83" t="n"/>
      <c r="B160" s="94" t="n"/>
      <c r="C160" s="46" t="n"/>
      <c r="D160" s="75" t="n"/>
      <c r="E160" s="95" t="n"/>
      <c r="F160" s="46" t="n"/>
      <c r="G160" s="96" t="n"/>
      <c r="H160" s="46" t="n"/>
      <c r="I160" s="97" t="n"/>
      <c r="J160" s="46" t="n"/>
      <c r="K160" s="46" t="n"/>
      <c r="L160" s="46" t="n"/>
      <c r="M160" s="46" t="n"/>
      <c r="N160" s="46" t="n"/>
      <c r="O160" s="46" t="n"/>
    </row>
    <row r="161" ht="17" customHeight="1">
      <c r="A161" s="83" t="n"/>
      <c r="B161" s="94" t="n"/>
      <c r="C161" s="46" t="n"/>
      <c r="D161" s="75" t="n"/>
      <c r="E161" s="95" t="n"/>
      <c r="F161" s="46" t="n"/>
      <c r="G161" s="96" t="n"/>
      <c r="H161" s="46" t="n"/>
      <c r="I161" s="97" t="n"/>
      <c r="J161" s="46" t="n"/>
      <c r="K161" s="46" t="n"/>
      <c r="L161" s="46" t="n"/>
      <c r="M161" s="46" t="n"/>
      <c r="N161" s="46" t="n"/>
      <c r="O161" s="46" t="n"/>
    </row>
    <row r="162" ht="17" customHeight="1">
      <c r="A162" s="83" t="n"/>
      <c r="B162" s="94" t="n"/>
      <c r="C162" s="46" t="n"/>
      <c r="D162" s="75" t="n"/>
      <c r="E162" s="95" t="n"/>
      <c r="F162" s="46" t="n"/>
      <c r="G162" s="96" t="n"/>
      <c r="H162" s="46" t="n"/>
      <c r="I162" s="97" t="n"/>
      <c r="J162" s="46" t="n"/>
      <c r="K162" s="46" t="n"/>
      <c r="L162" s="46" t="n"/>
      <c r="M162" s="46" t="n"/>
      <c r="N162" s="46" t="n"/>
      <c r="O162" s="46" t="n"/>
    </row>
    <row r="163" ht="17" customHeight="1">
      <c r="A163" s="83" t="n"/>
      <c r="B163" s="94" t="n"/>
      <c r="C163" s="46" t="n"/>
      <c r="D163" s="75" t="n"/>
      <c r="E163" s="95" t="n"/>
      <c r="F163" s="46" t="n"/>
      <c r="G163" s="96" t="n"/>
      <c r="H163" s="46" t="n"/>
      <c r="I163" s="97" t="n"/>
      <c r="J163" s="46" t="n"/>
      <c r="K163" s="46" t="n"/>
      <c r="L163" s="46" t="n"/>
      <c r="M163" s="46" t="n"/>
      <c r="N163" s="46" t="n"/>
      <c r="O163" s="46" t="n"/>
    </row>
    <row r="164" ht="17" customHeight="1">
      <c r="A164" s="83" t="n"/>
      <c r="B164" s="94" t="n"/>
      <c r="C164" s="46" t="n"/>
      <c r="D164" s="75" t="n"/>
      <c r="E164" s="95" t="n"/>
      <c r="F164" s="46" t="n"/>
      <c r="G164" s="96" t="n"/>
      <c r="H164" s="46" t="n"/>
      <c r="I164" s="97" t="n"/>
      <c r="J164" s="46" t="n"/>
      <c r="K164" s="46" t="n"/>
      <c r="L164" s="46" t="n"/>
      <c r="M164" s="46" t="n"/>
      <c r="N164" s="46" t="n"/>
      <c r="O164" s="46" t="n"/>
    </row>
    <row r="165" ht="17" customHeight="1">
      <c r="A165" s="83" t="n"/>
      <c r="B165" s="94" t="n"/>
      <c r="C165" s="46" t="n"/>
      <c r="D165" s="75" t="n"/>
      <c r="E165" s="95" t="n"/>
      <c r="F165" s="46" t="n"/>
      <c r="G165" s="96" t="n"/>
      <c r="H165" s="46" t="n"/>
      <c r="I165" s="97" t="n"/>
      <c r="J165" s="46" t="n"/>
      <c r="K165" s="46" t="n"/>
      <c r="L165" s="46" t="n"/>
      <c r="M165" s="46" t="n"/>
      <c r="N165" s="46" t="n"/>
      <c r="O165" s="46" t="n"/>
    </row>
    <row r="166" ht="17" customHeight="1">
      <c r="A166" s="83" t="n"/>
      <c r="B166" s="94" t="n"/>
      <c r="C166" s="46" t="n"/>
      <c r="D166" s="75" t="n"/>
      <c r="E166" s="95" t="n"/>
      <c r="F166" s="46" t="n"/>
      <c r="G166" s="96" t="n"/>
      <c r="H166" s="46" t="n"/>
      <c r="I166" s="97" t="n"/>
      <c r="J166" s="46" t="n"/>
      <c r="K166" s="46" t="n"/>
      <c r="L166" s="46" t="n"/>
      <c r="M166" s="46" t="n"/>
      <c r="N166" s="46" t="n"/>
      <c r="O166" s="46" t="n"/>
    </row>
    <row r="167" ht="17" customHeight="1">
      <c r="A167" s="83" t="n"/>
      <c r="B167" s="94" t="n"/>
      <c r="C167" s="46" t="n"/>
      <c r="D167" s="75" t="n"/>
      <c r="E167" s="95" t="n"/>
      <c r="F167" s="46" t="n"/>
      <c r="G167" s="96" t="n"/>
      <c r="H167" s="46" t="n"/>
      <c r="I167" s="97" t="n"/>
      <c r="J167" s="46" t="n"/>
      <c r="K167" s="46" t="n"/>
      <c r="L167" s="46" t="n"/>
      <c r="M167" s="46" t="n"/>
      <c r="N167" s="46" t="n"/>
      <c r="O167" s="46" t="n"/>
    </row>
    <row r="168" ht="17" customHeight="1">
      <c r="A168" s="83" t="n"/>
      <c r="B168" s="94" t="n"/>
      <c r="C168" s="46" t="n"/>
      <c r="D168" s="75" t="n"/>
      <c r="E168" s="95" t="n"/>
      <c r="F168" s="46" t="n"/>
      <c r="G168" s="96" t="n"/>
      <c r="H168" s="46" t="n"/>
      <c r="I168" s="97" t="n"/>
      <c r="J168" s="46" t="n"/>
      <c r="K168" s="46" t="n"/>
      <c r="L168" s="46" t="n"/>
      <c r="M168" s="46" t="n"/>
      <c r="N168" s="46" t="n"/>
      <c r="O168" s="46" t="n"/>
    </row>
    <row r="169" ht="17" customHeight="1">
      <c r="A169" s="83" t="n"/>
      <c r="B169" s="94" t="n"/>
      <c r="C169" s="46" t="n"/>
      <c r="D169" s="75" t="n"/>
      <c r="E169" s="95" t="n"/>
      <c r="F169" s="46" t="n"/>
      <c r="G169" s="96" t="n"/>
      <c r="H169" s="46" t="n"/>
      <c r="I169" s="97" t="n"/>
      <c r="J169" s="46" t="n"/>
      <c r="K169" s="46" t="n"/>
      <c r="L169" s="46" t="n"/>
      <c r="M169" s="46" t="n"/>
      <c r="N169" s="46" t="n"/>
      <c r="O169" s="46" t="n"/>
    </row>
    <row r="170" ht="17" customHeight="1">
      <c r="A170" s="83" t="n"/>
      <c r="B170" s="94" t="n"/>
      <c r="C170" s="46" t="n"/>
      <c r="D170" s="75" t="n"/>
      <c r="E170" s="95" t="n"/>
      <c r="F170" s="46" t="n"/>
      <c r="G170" s="96" t="n"/>
      <c r="H170" s="46" t="n"/>
      <c r="I170" s="97" t="n"/>
      <c r="J170" s="46" t="n"/>
      <c r="K170" s="46" t="n"/>
      <c r="L170" s="46" t="n"/>
      <c r="M170" s="46" t="n"/>
      <c r="N170" s="46" t="n"/>
      <c r="O170" s="46" t="n"/>
    </row>
    <row r="171" ht="17" customHeight="1">
      <c r="A171" s="83" t="n"/>
      <c r="B171" s="94" t="n"/>
      <c r="C171" s="46" t="n"/>
      <c r="D171" s="75" t="n"/>
      <c r="E171" s="95" t="n"/>
      <c r="F171" s="46" t="n"/>
      <c r="G171" s="96" t="n"/>
      <c r="H171" s="46" t="n"/>
      <c r="I171" s="97" t="n"/>
      <c r="J171" s="46" t="n"/>
      <c r="K171" s="46" t="n"/>
      <c r="L171" s="46" t="n"/>
      <c r="M171" s="46" t="n"/>
      <c r="N171" s="46" t="n"/>
      <c r="O171" s="46" t="n"/>
    </row>
    <row r="172" ht="17" customHeight="1">
      <c r="A172" s="83" t="n"/>
      <c r="B172" s="94" t="n"/>
      <c r="C172" s="46" t="n"/>
      <c r="D172" s="75" t="n"/>
      <c r="E172" s="95" t="n"/>
      <c r="F172" s="46" t="n"/>
      <c r="G172" s="96" t="n"/>
      <c r="H172" s="46" t="n"/>
      <c r="I172" s="97" t="n"/>
      <c r="J172" s="46" t="n"/>
      <c r="K172" s="46" t="n"/>
      <c r="L172" s="46" t="n"/>
      <c r="M172" s="46" t="n"/>
      <c r="N172" s="46" t="n"/>
      <c r="O172" s="46" t="n"/>
    </row>
    <row r="173" ht="17" customHeight="1">
      <c r="A173" s="83" t="n"/>
      <c r="B173" s="94" t="n"/>
      <c r="C173" s="46" t="n"/>
      <c r="D173" s="75" t="n"/>
      <c r="E173" s="95" t="n"/>
      <c r="F173" s="46" t="n"/>
      <c r="G173" s="96" t="n"/>
      <c r="H173" s="46" t="n"/>
      <c r="I173" s="97" t="n"/>
      <c r="J173" s="46" t="n"/>
      <c r="K173" s="46" t="n"/>
      <c r="L173" s="46" t="n"/>
      <c r="M173" s="46" t="n"/>
      <c r="N173" s="46" t="n"/>
      <c r="O173" s="46" t="n"/>
    </row>
    <row r="174" ht="17" customHeight="1">
      <c r="A174" s="83" t="n"/>
      <c r="B174" s="94" t="n"/>
      <c r="C174" s="46" t="n"/>
      <c r="D174" s="75" t="n"/>
      <c r="E174" s="95" t="n"/>
      <c r="F174" s="46" t="n"/>
      <c r="G174" s="96" t="n"/>
      <c r="H174" s="46" t="n"/>
      <c r="I174" s="97" t="n"/>
      <c r="J174" s="46" t="n"/>
      <c r="K174" s="46" t="n"/>
      <c r="L174" s="46" t="n"/>
      <c r="M174" s="46" t="n"/>
      <c r="N174" s="46" t="n"/>
      <c r="O174" s="46" t="n"/>
    </row>
    <row r="175" ht="17" customHeight="1">
      <c r="A175" s="83" t="n"/>
      <c r="B175" s="94" t="n"/>
      <c r="C175" s="46" t="n"/>
      <c r="D175" s="75" t="n"/>
      <c r="E175" s="95" t="n"/>
      <c r="F175" s="46" t="n"/>
      <c r="G175" s="96" t="n"/>
      <c r="H175" s="46" t="n"/>
      <c r="I175" s="97" t="n"/>
      <c r="J175" s="46" t="n"/>
      <c r="K175" s="46" t="n"/>
      <c r="L175" s="46" t="n"/>
      <c r="M175" s="46" t="n"/>
      <c r="N175" s="46" t="n"/>
      <c r="O175" s="46" t="n"/>
    </row>
    <row r="176" ht="17" customHeight="1">
      <c r="A176" s="83" t="n"/>
      <c r="B176" s="94" t="n"/>
      <c r="C176" s="46" t="n"/>
      <c r="D176" s="75" t="n"/>
      <c r="E176" s="95" t="n"/>
      <c r="F176" s="46" t="n"/>
      <c r="G176" s="96" t="n"/>
      <c r="H176" s="46" t="n"/>
      <c r="I176" s="97" t="n"/>
      <c r="J176" s="46" t="n"/>
      <c r="K176" s="46" t="n"/>
      <c r="L176" s="46" t="n"/>
      <c r="M176" s="46" t="n"/>
      <c r="N176" s="46" t="n"/>
      <c r="O176" s="46" t="n"/>
    </row>
    <row r="177" ht="17" customHeight="1">
      <c r="A177" s="83" t="n"/>
      <c r="B177" s="94" t="n"/>
      <c r="C177" s="46" t="n"/>
      <c r="D177" s="75" t="n"/>
      <c r="E177" s="95" t="n"/>
      <c r="F177" s="46" t="n"/>
      <c r="G177" s="96" t="n"/>
      <c r="H177" s="46" t="n"/>
      <c r="I177" s="97" t="n"/>
      <c r="J177" s="46" t="n"/>
      <c r="K177" s="46" t="n"/>
      <c r="L177" s="46" t="n"/>
      <c r="M177" s="46" t="n"/>
      <c r="N177" s="46" t="n"/>
      <c r="O177" s="46" t="n"/>
    </row>
    <row r="178" ht="17" customHeight="1">
      <c r="A178" s="83" t="n"/>
      <c r="B178" s="94" t="n"/>
      <c r="C178" s="46" t="n"/>
      <c r="D178" s="75" t="n"/>
      <c r="E178" s="95" t="n"/>
      <c r="F178" s="46" t="n"/>
      <c r="G178" s="96" t="n"/>
      <c r="H178" s="46" t="n"/>
      <c r="I178" s="97" t="n"/>
      <c r="J178" s="46" t="n"/>
      <c r="K178" s="46" t="n"/>
      <c r="L178" s="46" t="n"/>
      <c r="M178" s="46" t="n"/>
      <c r="N178" s="46" t="n"/>
      <c r="O178" s="46" t="n"/>
    </row>
    <row r="179" ht="17" customHeight="1">
      <c r="A179" s="83" t="n"/>
      <c r="B179" s="94" t="n"/>
      <c r="C179" s="46" t="n"/>
      <c r="D179" s="75" t="n"/>
      <c r="E179" s="95" t="n"/>
      <c r="F179" s="46" t="n"/>
      <c r="G179" s="96" t="n"/>
      <c r="H179" s="46" t="n"/>
      <c r="I179" s="97" t="n"/>
      <c r="J179" s="46" t="n"/>
      <c r="K179" s="46" t="n"/>
      <c r="L179" s="46" t="n"/>
      <c r="M179" s="46" t="n"/>
      <c r="N179" s="46" t="n"/>
      <c r="O179" s="46" t="n"/>
    </row>
    <row r="180" ht="17" customHeight="1">
      <c r="A180" s="83" t="n"/>
      <c r="B180" s="94" t="n"/>
      <c r="C180" s="46" t="n"/>
      <c r="D180" s="75" t="n"/>
      <c r="E180" s="95" t="n"/>
      <c r="F180" s="46" t="n"/>
      <c r="G180" s="96" t="n"/>
      <c r="H180" s="46" t="n"/>
      <c r="I180" s="97" t="n"/>
      <c r="J180" s="46" t="n"/>
      <c r="K180" s="46" t="n"/>
      <c r="L180" s="46" t="n"/>
      <c r="M180" s="46" t="n"/>
      <c r="N180" s="46" t="n"/>
      <c r="O180" s="46" t="n"/>
    </row>
    <row r="181" ht="17" customHeight="1">
      <c r="A181" s="83" t="n"/>
      <c r="B181" s="94" t="n"/>
      <c r="C181" s="46" t="n"/>
      <c r="D181" s="75" t="n"/>
      <c r="E181" s="95" t="n"/>
      <c r="F181" s="46" t="n"/>
      <c r="G181" s="96" t="n"/>
      <c r="H181" s="46" t="n"/>
      <c r="I181" s="97" t="n"/>
      <c r="J181" s="46" t="n"/>
      <c r="K181" s="46" t="n"/>
      <c r="L181" s="46" t="n"/>
      <c r="M181" s="46" t="n"/>
      <c r="N181" s="46" t="n"/>
      <c r="O181" s="46" t="n"/>
    </row>
    <row r="182" ht="17" customHeight="1">
      <c r="A182" s="83" t="n"/>
      <c r="B182" s="94" t="n"/>
      <c r="C182" s="46" t="n"/>
      <c r="D182" s="75" t="n"/>
      <c r="E182" s="95" t="n"/>
      <c r="F182" s="46" t="n"/>
      <c r="G182" s="96" t="n"/>
      <c r="H182" s="46" t="n"/>
      <c r="I182" s="97" t="n"/>
      <c r="J182" s="46" t="n"/>
      <c r="K182" s="46" t="n"/>
      <c r="L182" s="46" t="n"/>
      <c r="M182" s="46" t="n"/>
      <c r="N182" s="46" t="n"/>
      <c r="O182" s="46" t="n"/>
    </row>
    <row r="183" ht="17" customHeight="1">
      <c r="A183" s="83" t="n"/>
      <c r="B183" s="94" t="n"/>
      <c r="C183" s="46" t="n"/>
      <c r="D183" s="75" t="n"/>
      <c r="E183" s="95" t="n"/>
      <c r="F183" s="46" t="n"/>
      <c r="G183" s="96" t="n"/>
      <c r="H183" s="46" t="n"/>
      <c r="I183" s="97" t="n"/>
      <c r="J183" s="46" t="n"/>
      <c r="K183" s="46" t="n"/>
      <c r="L183" s="46" t="n"/>
      <c r="M183" s="46" t="n"/>
      <c r="N183" s="46" t="n"/>
      <c r="O183" s="46" t="n"/>
    </row>
    <row r="184" ht="17" customHeight="1">
      <c r="A184" s="83" t="n"/>
      <c r="B184" s="94" t="n"/>
      <c r="C184" s="46" t="n"/>
      <c r="D184" s="75" t="n"/>
      <c r="E184" s="95" t="n"/>
      <c r="F184" s="46" t="n"/>
      <c r="G184" s="96" t="n"/>
      <c r="H184" s="46" t="n"/>
      <c r="I184" s="97" t="n"/>
      <c r="J184" s="46" t="n"/>
      <c r="K184" s="46" t="n"/>
      <c r="L184" s="46" t="n"/>
      <c r="M184" s="46" t="n"/>
      <c r="N184" s="46" t="n"/>
      <c r="O184" s="46" t="n"/>
    </row>
    <row r="185" ht="17" customHeight="1">
      <c r="A185" s="83" t="n"/>
      <c r="B185" s="94" t="n"/>
      <c r="C185" s="46" t="n"/>
      <c r="D185" s="75" t="n"/>
      <c r="E185" s="95" t="n"/>
      <c r="F185" s="46" t="n"/>
      <c r="G185" s="96" t="n"/>
      <c r="H185" s="46" t="n"/>
      <c r="I185" s="97" t="n"/>
      <c r="J185" s="46" t="n"/>
      <c r="K185" s="46" t="n"/>
      <c r="L185" s="46" t="n"/>
      <c r="M185" s="46" t="n"/>
      <c r="N185" s="46" t="n"/>
      <c r="O185" s="46" t="n"/>
    </row>
    <row r="186" ht="17" customHeight="1">
      <c r="A186" s="83" t="n"/>
      <c r="B186" s="94" t="n"/>
      <c r="C186" s="46" t="n"/>
      <c r="D186" s="75" t="n"/>
      <c r="E186" s="95" t="n"/>
      <c r="F186" s="46" t="n"/>
      <c r="G186" s="96" t="n"/>
      <c r="H186" s="46" t="n"/>
      <c r="I186" s="97" t="n"/>
      <c r="J186" s="46" t="n"/>
      <c r="K186" s="46" t="n"/>
      <c r="L186" s="46" t="n"/>
      <c r="M186" s="46" t="n"/>
      <c r="N186" s="46" t="n"/>
      <c r="O186" s="46" t="n"/>
    </row>
    <row r="187" ht="17" customHeight="1">
      <c r="A187" s="83" t="n"/>
      <c r="B187" s="94" t="n"/>
      <c r="C187" s="46" t="n"/>
      <c r="D187" s="75" t="n"/>
      <c r="E187" s="95" t="n"/>
      <c r="F187" s="46" t="n"/>
      <c r="G187" s="96" t="n"/>
      <c r="H187" s="46" t="n"/>
      <c r="I187" s="97" t="n"/>
      <c r="J187" s="46" t="n"/>
      <c r="K187" s="46" t="n"/>
      <c r="L187" s="46" t="n"/>
      <c r="M187" s="46" t="n"/>
      <c r="N187" s="46" t="n"/>
      <c r="O187" s="46" t="n"/>
    </row>
    <row r="188" ht="17" customHeight="1">
      <c r="A188" s="83" t="n"/>
      <c r="B188" s="94" t="n"/>
      <c r="C188" s="46" t="n"/>
      <c r="D188" s="75" t="n"/>
      <c r="E188" s="95" t="n"/>
      <c r="F188" s="46" t="n"/>
      <c r="G188" s="96" t="n"/>
      <c r="H188" s="46" t="n"/>
      <c r="I188" s="97" t="n"/>
      <c r="J188" s="46" t="n"/>
      <c r="K188" s="46" t="n"/>
      <c r="L188" s="46" t="n"/>
      <c r="M188" s="46" t="n"/>
      <c r="N188" s="46" t="n"/>
      <c r="O188" s="46" t="n"/>
    </row>
    <row r="189" ht="17" customHeight="1">
      <c r="A189" s="83" t="n"/>
      <c r="B189" s="94" t="n"/>
      <c r="C189" s="46" t="n"/>
      <c r="D189" s="75" t="n"/>
      <c r="E189" s="95" t="n"/>
      <c r="F189" s="46" t="n"/>
      <c r="G189" s="96" t="n"/>
      <c r="H189" s="46" t="n"/>
      <c r="I189" s="97" t="n"/>
      <c r="J189" s="46" t="n"/>
      <c r="K189" s="46" t="n"/>
      <c r="L189" s="46" t="n"/>
      <c r="M189" s="46" t="n"/>
      <c r="N189" s="46" t="n"/>
      <c r="O189" s="46" t="n"/>
    </row>
    <row r="190" ht="17" customHeight="1">
      <c r="A190" s="83" t="n"/>
      <c r="B190" s="94" t="n"/>
      <c r="C190" s="46" t="n"/>
      <c r="D190" s="75" t="n"/>
      <c r="E190" s="95" t="n"/>
      <c r="F190" s="46" t="n"/>
      <c r="G190" s="96" t="n"/>
      <c r="H190" s="46" t="n"/>
      <c r="I190" s="97" t="n"/>
      <c r="J190" s="46" t="n"/>
      <c r="K190" s="46" t="n"/>
      <c r="L190" s="46" t="n"/>
      <c r="M190" s="46" t="n"/>
      <c r="N190" s="46" t="n"/>
      <c r="O190" s="46" t="n"/>
    </row>
    <row r="191" ht="17" customHeight="1">
      <c r="A191" s="83" t="n"/>
      <c r="B191" s="94" t="n"/>
      <c r="C191" s="46" t="n"/>
      <c r="D191" s="75" t="n"/>
      <c r="E191" s="95" t="n"/>
      <c r="F191" s="46" t="n"/>
      <c r="G191" s="96" t="n"/>
      <c r="H191" s="46" t="n"/>
      <c r="I191" s="97" t="n"/>
      <c r="J191" s="46" t="n"/>
      <c r="K191" s="46" t="n"/>
      <c r="L191" s="46" t="n"/>
      <c r="M191" s="46" t="n"/>
      <c r="N191" s="46" t="n"/>
      <c r="O191" s="46" t="n"/>
    </row>
    <row r="192" ht="17" customHeight="1">
      <c r="A192" s="83" t="n"/>
      <c r="B192" s="94" t="n"/>
      <c r="C192" s="46" t="n"/>
      <c r="D192" s="75" t="n"/>
      <c r="E192" s="95" t="n"/>
      <c r="F192" s="46" t="n"/>
      <c r="G192" s="96" t="n"/>
      <c r="H192" s="46" t="n"/>
      <c r="I192" s="97" t="n"/>
      <c r="J192" s="46" t="n"/>
      <c r="K192" s="46" t="n"/>
      <c r="L192" s="46" t="n"/>
      <c r="M192" s="46" t="n"/>
      <c r="N192" s="46" t="n"/>
      <c r="O192" s="46" t="n"/>
    </row>
    <row r="193" ht="17" customHeight="1">
      <c r="A193" s="83" t="n"/>
      <c r="B193" s="94" t="n"/>
      <c r="C193" s="46" t="n"/>
      <c r="D193" s="75" t="n"/>
      <c r="E193" s="95" t="n"/>
      <c r="F193" s="46" t="n"/>
      <c r="G193" s="96" t="n"/>
      <c r="H193" s="46" t="n"/>
      <c r="I193" s="97" t="n"/>
      <c r="J193" s="46" t="n"/>
      <c r="K193" s="46" t="n"/>
      <c r="L193" s="46" t="n"/>
      <c r="M193" s="46" t="n"/>
      <c r="N193" s="46" t="n"/>
      <c r="O193" s="46" t="n"/>
    </row>
    <row r="194" ht="22" customHeight="1">
      <c r="A194" s="31" t="inlineStr">
        <is>
          <t>TOTAL LANÇADO NO LIVRO</t>
        </is>
      </c>
      <c r="B194" s="32" t="n"/>
      <c r="C194" s="32" t="n"/>
      <c r="D194" s="32" t="n"/>
      <c r="E194" s="59">
        <f>ROUND(SUM($E$134:$E$193),2)</f>
        <v/>
      </c>
      <c r="F194" s="32" t="n"/>
      <c r="G194" s="98">
        <f>IF(COUNTA($B$134:$B$193)=COUNT($E$134:$E$193),"lançamentos: "&amp;COUNT($E$134:$E$193)&amp;" · todos classificados","ATENÇÃO: "&amp;(COUNT($E$134:$E$193)-COUNTA($B$134:$B$193))&amp;" lançamento(s) sem categoria")</f>
        <v/>
      </c>
      <c r="H194" s="32" t="n"/>
      <c r="I194" s="32" t="n"/>
      <c r="J194" s="32" t="n"/>
      <c r="K194" s="32" t="n"/>
      <c r="L194" s="32" t="n"/>
      <c r="M194" s="32" t="n"/>
      <c r="N194" s="32" t="n"/>
      <c r="O194" s="32" t="n"/>
    </row>
    <row r="196" ht="50" customHeight="1">
      <c r="A196" s="43" t="inlineStr">
        <is>
          <t xml:space="preserve">  Preencha primeiro a coluna ORÇADO com o que o orçamento previu e vá preenchendo o REALIZADO conforme o projeto anda — o desvio de cada linha é o que mostra onde o orçamento erra. Compras entram uma a uma no livro do bloco 8, com categoria, forma de pagamento e status; as categorias do bloco 6 se somam sozinhas. Você pode inserir linhas em qualquer bloco a partir da linha 26: tudo o que o Painel Geral lê está acima disso.</t>
        </is>
      </c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</row>
  </sheetData>
  <mergeCells count="561">
    <mergeCell ref="A196:O196"/>
    <mergeCell ref="I170:O170"/>
    <mergeCell ref="A15:B15"/>
    <mergeCell ref="I157:O157"/>
    <mergeCell ref="G128:O128"/>
    <mergeCell ref="B141:C141"/>
    <mergeCell ref="E142:F142"/>
    <mergeCell ref="I193:O193"/>
    <mergeCell ref="I172:O172"/>
    <mergeCell ref="H9:I9"/>
    <mergeCell ref="J76:M76"/>
    <mergeCell ref="G121:O121"/>
    <mergeCell ref="E171:F171"/>
    <mergeCell ref="G123:O123"/>
    <mergeCell ref="E137:F137"/>
    <mergeCell ref="G137:H137"/>
    <mergeCell ref="E173:F173"/>
    <mergeCell ref="H70:O70"/>
    <mergeCell ref="E148:F148"/>
    <mergeCell ref="G148:H148"/>
    <mergeCell ref="B78:C78"/>
    <mergeCell ref="D7:E7"/>
    <mergeCell ref="I183:O183"/>
    <mergeCell ref="D78:E78"/>
    <mergeCell ref="E166:F166"/>
    <mergeCell ref="G139:H139"/>
    <mergeCell ref="I175:O175"/>
    <mergeCell ref="H99:O99"/>
    <mergeCell ref="A34:C34"/>
    <mergeCell ref="I185:O185"/>
    <mergeCell ref="E168:F168"/>
    <mergeCell ref="G168:H168"/>
    <mergeCell ref="H87:I87"/>
    <mergeCell ref="H101:O101"/>
    <mergeCell ref="G143:H143"/>
    <mergeCell ref="D73:E73"/>
    <mergeCell ref="I176:O176"/>
    <mergeCell ref="J9:O9"/>
    <mergeCell ref="B154:C154"/>
    <mergeCell ref="H91:I91"/>
    <mergeCell ref="E117:F117"/>
    <mergeCell ref="A24:H24"/>
    <mergeCell ref="B156:C156"/>
    <mergeCell ref="E67:F67"/>
    <mergeCell ref="A103:B103"/>
    <mergeCell ref="H112:O112"/>
    <mergeCell ref="I138:O138"/>
    <mergeCell ref="I178:O178"/>
    <mergeCell ref="H114:O114"/>
    <mergeCell ref="E161:F161"/>
    <mergeCell ref="J73:M73"/>
    <mergeCell ref="G129:O129"/>
    <mergeCell ref="A72:O72"/>
    <mergeCell ref="J77:M77"/>
    <mergeCell ref="H75:I75"/>
    <mergeCell ref="B84:C84"/>
    <mergeCell ref="E110:F110"/>
    <mergeCell ref="H105:O105"/>
    <mergeCell ref="E16:F16"/>
    <mergeCell ref="E187:F187"/>
    <mergeCell ref="G138:H138"/>
    <mergeCell ref="B142:C142"/>
    <mergeCell ref="B80:C80"/>
    <mergeCell ref="E174:F174"/>
    <mergeCell ref="H15:O15"/>
    <mergeCell ref="H107:O107"/>
    <mergeCell ref="G126:O126"/>
    <mergeCell ref="B79:C79"/>
    <mergeCell ref="E18:F18"/>
    <mergeCell ref="D79:E79"/>
    <mergeCell ref="E189:F189"/>
    <mergeCell ref="G140:H140"/>
    <mergeCell ref="B144:C144"/>
    <mergeCell ref="F73:G73"/>
    <mergeCell ref="B81:C81"/>
    <mergeCell ref="D81:E81"/>
    <mergeCell ref="I191:O191"/>
    <mergeCell ref="H102:O102"/>
    <mergeCell ref="E29:F29"/>
    <mergeCell ref="H39:O39"/>
    <mergeCell ref="I192:O192"/>
    <mergeCell ref="E69:F69"/>
    <mergeCell ref="B170:C170"/>
    <mergeCell ref="E31:F31"/>
    <mergeCell ref="E158:F158"/>
    <mergeCell ref="E133:F133"/>
    <mergeCell ref="E108:F108"/>
    <mergeCell ref="G133:H133"/>
    <mergeCell ref="B172:C172"/>
    <mergeCell ref="E95:F95"/>
    <mergeCell ref="H28:O28"/>
    <mergeCell ref="E162:F162"/>
    <mergeCell ref="G135:H135"/>
    <mergeCell ref="B92:C92"/>
    <mergeCell ref="J74:M74"/>
    <mergeCell ref="D92:E92"/>
    <mergeCell ref="I146:O146"/>
    <mergeCell ref="F92:G92"/>
    <mergeCell ref="G153:H153"/>
    <mergeCell ref="A36:O36"/>
    <mergeCell ref="A11:O11"/>
    <mergeCell ref="B76:C76"/>
    <mergeCell ref="I181:O181"/>
    <mergeCell ref="A1:O1"/>
    <mergeCell ref="I12:O12"/>
    <mergeCell ref="E164:F164"/>
    <mergeCell ref="G164:H164"/>
    <mergeCell ref="H23:O23"/>
    <mergeCell ref="B150:C150"/>
    <mergeCell ref="E42:F42"/>
    <mergeCell ref="E17:F17"/>
    <mergeCell ref="E188:F188"/>
    <mergeCell ref="E126:F126"/>
    <mergeCell ref="B152:C152"/>
    <mergeCell ref="E180:F180"/>
    <mergeCell ref="J92:M92"/>
    <mergeCell ref="E19:F19"/>
    <mergeCell ref="E190:F190"/>
    <mergeCell ref="B145:C145"/>
    <mergeCell ref="G190:H190"/>
    <mergeCell ref="G146:H146"/>
    <mergeCell ref="B181:C181"/>
    <mergeCell ref="E182:F182"/>
    <mergeCell ref="A4:O4"/>
    <mergeCell ref="F10:O10"/>
    <mergeCell ref="H110:O110"/>
    <mergeCell ref="B87:C87"/>
    <mergeCell ref="I136:O136"/>
    <mergeCell ref="B147:C147"/>
    <mergeCell ref="D87:E87"/>
    <mergeCell ref="J87:M87"/>
    <mergeCell ref="E179:F179"/>
    <mergeCell ref="J89:M89"/>
    <mergeCell ref="D82:E82"/>
    <mergeCell ref="F82:G82"/>
    <mergeCell ref="G194:O194"/>
    <mergeCell ref="E37:F37"/>
    <mergeCell ref="E159:F159"/>
    <mergeCell ref="E97:F97"/>
    <mergeCell ref="G159:H159"/>
    <mergeCell ref="B163:C163"/>
    <mergeCell ref="H8:I8"/>
    <mergeCell ref="E109:F109"/>
    <mergeCell ref="H30:O30"/>
    <mergeCell ref="E145:F145"/>
    <mergeCell ref="E139:F139"/>
    <mergeCell ref="G161:H161"/>
    <mergeCell ref="B165:C165"/>
    <mergeCell ref="H29:O29"/>
    <mergeCell ref="E111:F111"/>
    <mergeCell ref="G136:H136"/>
    <mergeCell ref="A70:B70"/>
    <mergeCell ref="H44:O44"/>
    <mergeCell ref="H31:O31"/>
    <mergeCell ref="B77:C77"/>
    <mergeCell ref="D6:E6"/>
    <mergeCell ref="D77:E77"/>
    <mergeCell ref="I149:O149"/>
    <mergeCell ref="J82:M82"/>
    <mergeCell ref="H89:I89"/>
    <mergeCell ref="I151:O151"/>
    <mergeCell ref="B191:C191"/>
    <mergeCell ref="B178:C178"/>
    <mergeCell ref="E27:F27"/>
    <mergeCell ref="I144:O144"/>
    <mergeCell ref="E119:F119"/>
    <mergeCell ref="E183:F183"/>
    <mergeCell ref="G183:H183"/>
    <mergeCell ref="A6:C6"/>
    <mergeCell ref="E22:F22"/>
    <mergeCell ref="H42:O42"/>
    <mergeCell ref="E193:F193"/>
    <mergeCell ref="G193:H193"/>
    <mergeCell ref="D88:E88"/>
    <mergeCell ref="G149:H149"/>
    <mergeCell ref="F88:G88"/>
    <mergeCell ref="I177:O177"/>
    <mergeCell ref="G185:H185"/>
    <mergeCell ref="B90:C90"/>
    <mergeCell ref="D90:E90"/>
    <mergeCell ref="E122:F122"/>
    <mergeCell ref="G151:H151"/>
    <mergeCell ref="A45:B45"/>
    <mergeCell ref="G178:H178"/>
    <mergeCell ref="F6:G6"/>
    <mergeCell ref="J90:M90"/>
    <mergeCell ref="F83:G83"/>
    <mergeCell ref="H83:I83"/>
    <mergeCell ref="E38:F38"/>
    <mergeCell ref="A2:O2"/>
    <mergeCell ref="E147:F147"/>
    <mergeCell ref="F85:G85"/>
    <mergeCell ref="H85:I85"/>
    <mergeCell ref="G175:H175"/>
    <mergeCell ref="B179:C179"/>
    <mergeCell ref="E40:F40"/>
    <mergeCell ref="G162:H162"/>
    <mergeCell ref="H108:O108"/>
    <mergeCell ref="B166:C166"/>
    <mergeCell ref="B124:D124"/>
    <mergeCell ref="E186:F186"/>
    <mergeCell ref="G177:H177"/>
    <mergeCell ref="E104:F104"/>
    <mergeCell ref="H45:O45"/>
    <mergeCell ref="B174:C174"/>
    <mergeCell ref="B168:C168"/>
    <mergeCell ref="H32:O32"/>
    <mergeCell ref="B126:D126"/>
    <mergeCell ref="D9:E9"/>
    <mergeCell ref="H80:I80"/>
    <mergeCell ref="F9:G9"/>
    <mergeCell ref="I150:O150"/>
    <mergeCell ref="J83:M83"/>
    <mergeCell ref="I165:O165"/>
    <mergeCell ref="B169:C169"/>
    <mergeCell ref="I152:O152"/>
    <mergeCell ref="E66:F66"/>
    <mergeCell ref="J85:M85"/>
    <mergeCell ref="E130:F130"/>
    <mergeCell ref="E68:F68"/>
    <mergeCell ref="B134:C134"/>
    <mergeCell ref="G155:H155"/>
    <mergeCell ref="E160:F160"/>
    <mergeCell ref="E141:F141"/>
    <mergeCell ref="G118:O118"/>
    <mergeCell ref="E135:F135"/>
    <mergeCell ref="G157:H157"/>
    <mergeCell ref="E107:F107"/>
    <mergeCell ref="H73:I73"/>
    <mergeCell ref="E143:F143"/>
    <mergeCell ref="G172:H172"/>
    <mergeCell ref="G186:H186"/>
    <mergeCell ref="B162:C162"/>
    <mergeCell ref="D91:E91"/>
    <mergeCell ref="G152:H152"/>
    <mergeCell ref="F91:G91"/>
    <mergeCell ref="A21:B21"/>
    <mergeCell ref="I163:O163"/>
    <mergeCell ref="H84:I84"/>
    <mergeCell ref="A23:B23"/>
    <mergeCell ref="B187:C187"/>
    <mergeCell ref="E125:F125"/>
    <mergeCell ref="H86:I86"/>
    <mergeCell ref="E41:F41"/>
    <mergeCell ref="B189:C189"/>
    <mergeCell ref="E112:F112"/>
    <mergeCell ref="B188:C188"/>
    <mergeCell ref="B117:D117"/>
    <mergeCell ref="E43:F43"/>
    <mergeCell ref="J91:M91"/>
    <mergeCell ref="B190:C190"/>
    <mergeCell ref="B119:D119"/>
    <mergeCell ref="A16:B16"/>
    <mergeCell ref="G124:O124"/>
    <mergeCell ref="E138:F138"/>
    <mergeCell ref="A108:B108"/>
    <mergeCell ref="B127:D127"/>
    <mergeCell ref="I168:O168"/>
    <mergeCell ref="A18:B18"/>
    <mergeCell ref="B73:C73"/>
    <mergeCell ref="E167:F167"/>
    <mergeCell ref="H100:O100"/>
    <mergeCell ref="H7:I7"/>
    <mergeCell ref="G119:O119"/>
    <mergeCell ref="B137:C137"/>
    <mergeCell ref="E169:F169"/>
    <mergeCell ref="H66:O66"/>
    <mergeCell ref="B74:C74"/>
    <mergeCell ref="D74:E74"/>
    <mergeCell ref="B139:C139"/>
    <mergeCell ref="I184:O184"/>
    <mergeCell ref="B122:D122"/>
    <mergeCell ref="I171:O171"/>
    <mergeCell ref="H76:I76"/>
    <mergeCell ref="H95:O95"/>
    <mergeCell ref="A44:B44"/>
    <mergeCell ref="I173:O173"/>
    <mergeCell ref="H97:O97"/>
    <mergeCell ref="I166:O166"/>
    <mergeCell ref="G176:H176"/>
    <mergeCell ref="E64:F64"/>
    <mergeCell ref="J7:O7"/>
    <mergeCell ref="E156:F156"/>
    <mergeCell ref="E153:F153"/>
    <mergeCell ref="H21:O21"/>
    <mergeCell ref="E128:F128"/>
    <mergeCell ref="E155:F155"/>
    <mergeCell ref="D61:E61"/>
    <mergeCell ref="G184:H184"/>
    <mergeCell ref="G171:H171"/>
    <mergeCell ref="E65:F65"/>
    <mergeCell ref="E157:F157"/>
    <mergeCell ref="H16:O16"/>
    <mergeCell ref="A17:B17"/>
    <mergeCell ref="I134:O134"/>
    <mergeCell ref="H27:O27"/>
    <mergeCell ref="G117:O117"/>
    <mergeCell ref="A19:B19"/>
    <mergeCell ref="I161:O161"/>
    <mergeCell ref="E146:F146"/>
    <mergeCell ref="E12:F12"/>
    <mergeCell ref="G125:O125"/>
    <mergeCell ref="B138:C138"/>
    <mergeCell ref="E175:F175"/>
    <mergeCell ref="H67:O67"/>
    <mergeCell ref="H103:O103"/>
    <mergeCell ref="G127:O127"/>
    <mergeCell ref="E185:F185"/>
    <mergeCell ref="B140:C140"/>
    <mergeCell ref="I187:O187"/>
    <mergeCell ref="E170:F170"/>
    <mergeCell ref="I174:O174"/>
    <mergeCell ref="H98:O98"/>
    <mergeCell ref="D75:E75"/>
    <mergeCell ref="F75:G75"/>
    <mergeCell ref="I189:O189"/>
    <mergeCell ref="I188:O188"/>
    <mergeCell ref="G192:H192"/>
    <mergeCell ref="J8:O8"/>
    <mergeCell ref="E154:F154"/>
    <mergeCell ref="G154:H154"/>
    <mergeCell ref="B158:C158"/>
    <mergeCell ref="E172:F172"/>
    <mergeCell ref="B89:C89"/>
    <mergeCell ref="B160:C160"/>
    <mergeCell ref="D89:E89"/>
    <mergeCell ref="H18:O18"/>
    <mergeCell ref="L61:M61"/>
    <mergeCell ref="A194:D194"/>
    <mergeCell ref="I142:O142"/>
    <mergeCell ref="B153:C153"/>
    <mergeCell ref="J75:M75"/>
    <mergeCell ref="B184:C184"/>
    <mergeCell ref="H113:O113"/>
    <mergeCell ref="E20:F20"/>
    <mergeCell ref="I137:O137"/>
    <mergeCell ref="E177:F177"/>
    <mergeCell ref="E13:F13"/>
    <mergeCell ref="I164:O164"/>
    <mergeCell ref="I139:O139"/>
    <mergeCell ref="B88:C88"/>
    <mergeCell ref="B148:C148"/>
    <mergeCell ref="B82:C82"/>
    <mergeCell ref="E149:F149"/>
    <mergeCell ref="E176:F176"/>
    <mergeCell ref="E114:F114"/>
    <mergeCell ref="J88:M88"/>
    <mergeCell ref="A63:O63"/>
    <mergeCell ref="E15:F15"/>
    <mergeCell ref="E191:F191"/>
    <mergeCell ref="G142:H142"/>
    <mergeCell ref="B146:C146"/>
    <mergeCell ref="E178:F178"/>
    <mergeCell ref="H37:O37"/>
    <mergeCell ref="B83:C83"/>
    <mergeCell ref="B143:C143"/>
    <mergeCell ref="D83:E83"/>
    <mergeCell ref="E144:F144"/>
    <mergeCell ref="G144:H144"/>
    <mergeCell ref="H104:O104"/>
    <mergeCell ref="B85:C85"/>
    <mergeCell ref="A94:O94"/>
    <mergeCell ref="I190:O190"/>
    <mergeCell ref="D85:E85"/>
    <mergeCell ref="G173:H173"/>
    <mergeCell ref="H92:I92"/>
    <mergeCell ref="H106:O106"/>
    <mergeCell ref="F78:G78"/>
    <mergeCell ref="E106:F106"/>
    <mergeCell ref="H78:I78"/>
    <mergeCell ref="E33:F33"/>
    <mergeCell ref="H43:O43"/>
    <mergeCell ref="B159:C159"/>
    <mergeCell ref="D80:E80"/>
    <mergeCell ref="G170:H170"/>
    <mergeCell ref="B167:C167"/>
    <mergeCell ref="A26:O26"/>
    <mergeCell ref="B161:C161"/>
    <mergeCell ref="H6:I6"/>
    <mergeCell ref="H130:O130"/>
    <mergeCell ref="H68:O68"/>
    <mergeCell ref="B136:C136"/>
    <mergeCell ref="E28:F28"/>
    <mergeCell ref="B175:C175"/>
    <mergeCell ref="E30:F30"/>
    <mergeCell ref="J84:M84"/>
    <mergeCell ref="I145:O145"/>
    <mergeCell ref="J78:M78"/>
    <mergeCell ref="H69:O69"/>
    <mergeCell ref="A9:C9"/>
    <mergeCell ref="I147:O147"/>
    <mergeCell ref="J80:M80"/>
    <mergeCell ref="D8:E8"/>
    <mergeCell ref="J79:M79"/>
    <mergeCell ref="G150:H150"/>
    <mergeCell ref="I186:O186"/>
    <mergeCell ref="E21:F21"/>
    <mergeCell ref="J6:O6"/>
    <mergeCell ref="H82:I82"/>
    <mergeCell ref="B91:C91"/>
    <mergeCell ref="E192:F192"/>
    <mergeCell ref="H20:O20"/>
    <mergeCell ref="E129:F129"/>
    <mergeCell ref="H38:O38"/>
    <mergeCell ref="E23:F23"/>
    <mergeCell ref="D84:E84"/>
    <mergeCell ref="B155:C155"/>
    <mergeCell ref="G145:H145"/>
    <mergeCell ref="F84:G84"/>
    <mergeCell ref="B149:C149"/>
    <mergeCell ref="E181:F181"/>
    <mergeCell ref="B193:C193"/>
    <mergeCell ref="E194:F194"/>
    <mergeCell ref="G181:H181"/>
    <mergeCell ref="A3:O3"/>
    <mergeCell ref="H40:O40"/>
    <mergeCell ref="B86:C86"/>
    <mergeCell ref="G160:H160"/>
    <mergeCell ref="D86:E86"/>
    <mergeCell ref="I140:O140"/>
    <mergeCell ref="G147:H147"/>
    <mergeCell ref="F86:G86"/>
    <mergeCell ref="H64:O64"/>
    <mergeCell ref="B151:C151"/>
    <mergeCell ref="F80:G80"/>
    <mergeCell ref="G174:H174"/>
    <mergeCell ref="I158:O158"/>
    <mergeCell ref="I133:O133"/>
    <mergeCell ref="G189:H189"/>
    <mergeCell ref="F79:G79"/>
    <mergeCell ref="H79:I79"/>
    <mergeCell ref="E34:F34"/>
    <mergeCell ref="B182:C182"/>
    <mergeCell ref="E105:F105"/>
    <mergeCell ref="I160:O160"/>
    <mergeCell ref="E99:F99"/>
    <mergeCell ref="I135:O135"/>
    <mergeCell ref="F81:G81"/>
    <mergeCell ref="H81:I81"/>
    <mergeCell ref="E163:F163"/>
    <mergeCell ref="E101:F101"/>
    <mergeCell ref="G163:H163"/>
    <mergeCell ref="A22:B22"/>
    <mergeCell ref="B125:D125"/>
    <mergeCell ref="E113:F113"/>
    <mergeCell ref="B183:C183"/>
    <mergeCell ref="B177:C177"/>
    <mergeCell ref="E100:F100"/>
    <mergeCell ref="B164:C164"/>
    <mergeCell ref="J86:M86"/>
    <mergeCell ref="E136:F136"/>
    <mergeCell ref="G165:H165"/>
    <mergeCell ref="H33:O33"/>
    <mergeCell ref="I24:O24"/>
    <mergeCell ref="E102:F102"/>
    <mergeCell ref="G158:H158"/>
    <mergeCell ref="B120:D120"/>
    <mergeCell ref="D10:E10"/>
    <mergeCell ref="G169:H169"/>
    <mergeCell ref="I148:O148"/>
    <mergeCell ref="I153:O153"/>
    <mergeCell ref="E127:F127"/>
    <mergeCell ref="F74:G74"/>
    <mergeCell ref="B180:C180"/>
    <mergeCell ref="H74:I74"/>
    <mergeCell ref="G191:H191"/>
    <mergeCell ref="D76:E76"/>
    <mergeCell ref="F76:G76"/>
    <mergeCell ref="A47:O47"/>
    <mergeCell ref="B157:C157"/>
    <mergeCell ref="I179:O179"/>
    <mergeCell ref="B186:C186"/>
    <mergeCell ref="I141:O141"/>
    <mergeCell ref="E124:F124"/>
    <mergeCell ref="H65:O65"/>
    <mergeCell ref="E120:F120"/>
    <mergeCell ref="I159:O159"/>
    <mergeCell ref="I143:O143"/>
    <mergeCell ref="E184:F184"/>
    <mergeCell ref="A7:C7"/>
    <mergeCell ref="G122:O122"/>
    <mergeCell ref="E121:F121"/>
    <mergeCell ref="F87:G87"/>
    <mergeCell ref="B185:C185"/>
    <mergeCell ref="E151:F151"/>
    <mergeCell ref="H41:O41"/>
    <mergeCell ref="E123:F123"/>
    <mergeCell ref="F89:G89"/>
    <mergeCell ref="E150:F150"/>
    <mergeCell ref="E39:F39"/>
    <mergeCell ref="G179:H179"/>
    <mergeCell ref="F7:G7"/>
    <mergeCell ref="E44:F44"/>
    <mergeCell ref="B176:C176"/>
    <mergeCell ref="G166:H166"/>
    <mergeCell ref="H34:O34"/>
    <mergeCell ref="B128:D128"/>
    <mergeCell ref="G141:H141"/>
    <mergeCell ref="E103:F103"/>
    <mergeCell ref="E152:F152"/>
    <mergeCell ref="A116:O116"/>
    <mergeCell ref="E118:F118"/>
    <mergeCell ref="F8:G8"/>
    <mergeCell ref="A12:B12"/>
    <mergeCell ref="C12:D12"/>
    <mergeCell ref="G167:H167"/>
    <mergeCell ref="I154:O154"/>
    <mergeCell ref="B171:C171"/>
    <mergeCell ref="B123:D123"/>
    <mergeCell ref="I156:O156"/>
    <mergeCell ref="E70:F70"/>
    <mergeCell ref="F77:G77"/>
    <mergeCell ref="H77:I77"/>
    <mergeCell ref="H96:O96"/>
    <mergeCell ref="E32:F32"/>
    <mergeCell ref="G120:O120"/>
    <mergeCell ref="B133:C133"/>
    <mergeCell ref="E134:F134"/>
    <mergeCell ref="G134:H134"/>
    <mergeCell ref="B173:C173"/>
    <mergeCell ref="E96:F96"/>
    <mergeCell ref="B75:C75"/>
    <mergeCell ref="B135:C135"/>
    <mergeCell ref="I180:O180"/>
    <mergeCell ref="A130:B130"/>
    <mergeCell ref="I167:O167"/>
    <mergeCell ref="E98:F98"/>
    <mergeCell ref="I182:O182"/>
    <mergeCell ref="E165:F165"/>
    <mergeCell ref="I169:O169"/>
    <mergeCell ref="I13:O13"/>
    <mergeCell ref="E140:F140"/>
    <mergeCell ref="G156:H156"/>
    <mergeCell ref="B118:D118"/>
    <mergeCell ref="A8:C8"/>
    <mergeCell ref="H61:I61"/>
    <mergeCell ref="H88:I88"/>
    <mergeCell ref="J81:M81"/>
    <mergeCell ref="G187:H187"/>
    <mergeCell ref="A10:C10"/>
    <mergeCell ref="H17:O17"/>
    <mergeCell ref="F90:G90"/>
    <mergeCell ref="H90:I90"/>
    <mergeCell ref="H109:O109"/>
    <mergeCell ref="G180:H180"/>
    <mergeCell ref="E45:F45"/>
    <mergeCell ref="H22:O22"/>
    <mergeCell ref="B129:D129"/>
    <mergeCell ref="H19:O19"/>
    <mergeCell ref="G188:H188"/>
    <mergeCell ref="B192:C192"/>
    <mergeCell ref="A20:B20"/>
    <mergeCell ref="H111:O111"/>
    <mergeCell ref="B121:D121"/>
    <mergeCell ref="G182:H182"/>
    <mergeCell ref="I162:O162"/>
    <mergeCell ref="A132:O132"/>
    <mergeCell ref="A13:B13"/>
    <mergeCell ref="C13:D13"/>
    <mergeCell ref="I155:O155"/>
    <mergeCell ref="A114:B114"/>
  </mergeCells>
  <conditionalFormatting sqref="I134:O193">
    <cfRule type="expression" priority="1" dxfId="0" stopIfTrue="1">
      <formula>$I134="Pago"</formula>
    </cfRule>
    <cfRule type="expression" priority="2" dxfId="3" stopIfTrue="1">
      <formula>$I134="Comprado (a pagar)"</formula>
    </cfRule>
    <cfRule type="expression" priority="3" dxfId="1" stopIfTrue="1">
      <formula>$I134="A comprar"</formula>
    </cfRule>
  </conditionalFormatting>
  <conditionalFormatting sqref="A134:O193">
    <cfRule type="expression" priority="4" dxfId="6">
      <formula>AND($E134&lt;&gt;"",$B134="")</formula>
    </cfRule>
  </conditionalFormatting>
  <conditionalFormatting sqref="E16:F22">
    <cfRule type="expression" priority="5" dxfId="4">
      <formula>AND($E16&lt;&gt;"",$E16&gt;0)</formula>
    </cfRule>
    <cfRule type="expression" priority="6" dxfId="5">
      <formula>AND($E16&lt;&gt;"",$E16&lt;0)</formula>
    </cfRule>
  </conditionalFormatting>
  <conditionalFormatting sqref="E96:F114">
    <cfRule type="expression" priority="7" dxfId="4">
      <formula>AND($E96&lt;&gt;"",$E96&gt;0)</formula>
    </cfRule>
    <cfRule type="expression" priority="8" dxfId="5">
      <formula>AND($E96&lt;&gt;"",$E96&lt;0)</formula>
    </cfRule>
  </conditionalFormatting>
  <conditionalFormatting sqref="J9">
    <cfRule type="expression" priority="9" dxfId="0" stopIfTrue="1">
      <formula>$J$9="No prazo"</formula>
    </cfRule>
    <cfRule type="expression" priority="10" dxfId="2">
      <formula>$J$9="Atrasado"</formula>
    </cfRule>
  </conditionalFormatting>
  <conditionalFormatting sqref="A13:J13">
    <cfRule type="expression" priority="11" dxfId="6">
      <formula>AND($G$13&lt;&gt;"",$G$13&lt;0.25)</formula>
    </cfRule>
  </conditionalFormatting>
  <dataValidations count="12">
    <dataValidation sqref="D10:E1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"Jan/2026,Fev/2026,Mar/2026,Abr/2026,Mai/2026,Jun/2026,Jul/2026,Ago/2026,Set/2026,Out/2026,Nov/2026,Dez/2026,Jan/2027,Fev/2027,Mar/2027,Abr/2027,Mai/2027,Jun/2027,Jul/2027,Ago/2027,Set/2027,Out/2027,Nov/2027,Dez/2027"</formula1>
    </dataValidation>
    <dataValidation sqref="D49:D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H49:H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L49:L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"Lorrane,Lucas,Externo / avulso"</formula1>
    </dataValidation>
    <dataValidation sqref="H66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A74:A91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B118:B12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"Erro de projeto,Erro de medição,Erro de produção,Erro de montagem,Falha de material,Dano no transporte,Mudança pedida pelo cliente,Falha de fornecedor,Outro"</formula1>
    </dataValidation>
    <dataValidation sqref="B134:B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"MDF e MDP,Fita de borda,Ferragens,Vidros e espelhos,Esquadrias,Lâmina natural,Consumíveis,Acabamento,Serralheria,Vidraceiro,Outro terceirizado,Uber e aplicativo,Carreto e entrega,Deslocamento da equipe,Frete de material,Estacionamento e pedágio"</formula1>
    </dataValidation>
    <dataValidation sqref="G134:G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"PIX,Boleto,Cartão de crédito,Cartão parcelado,Dinheiro,Transferência,Faturado 30 dias,A combinar"</formula1>
    </dataValidation>
    <dataValidation sqref="I134:I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"A comprar,Comprado (a pagar),Pago"</formula1>
    </dataValidation>
    <dataValidation sqref="D9:E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"Jonathan,Vitor,Indicação,Arquiteto parceiro,Outro"</formula1>
    </dataValidation>
    <dataValidation sqref="F9:G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</dataValidations>
  <pageMargins left="0.4" right="0.3" top="0.4" bottom="0.3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96"/>
  <sheetViews>
    <sheetView showGridLines="0"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14" customWidth="1" min="3" max="3"/>
    <col width="16" customWidth="1" min="4" max="4"/>
    <col width="7" customWidth="1" min="5" max="5"/>
    <col width="13" customWidth="1" min="6" max="6"/>
    <col width="13" customWidth="1" min="7" max="7"/>
    <col width="16" customWidth="1" min="8" max="8"/>
    <col width="7" customWidth="1" min="9" max="9"/>
    <col width="13" customWidth="1" min="10" max="10"/>
    <col width="13" customWidth="1" min="11" max="11"/>
    <col width="15" customWidth="1" min="12" max="12"/>
    <col width="7" customWidth="1" min="13" max="13"/>
    <col width="13" customWidth="1" min="14" max="14"/>
    <col width="14" customWidth="1" min="15" max="15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8" customHeight="1">
      <c r="A3" s="4" t="inlineStr">
        <is>
          <t>FICHA DE CUSTO DO PROJETO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 ht="17" customHeight="1">
      <c r="A4" s="6" t="inlineStr">
        <is>
          <t>Fundo creme = você preenche · fundo cinza = calculado · duplique esta aba a cada projeto e registre o nome dela no Painel Geral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 ht="6" customHeight="1"/>
    <row r="6" ht="13" customHeight="1">
      <c r="A6" s="44" t="inlineStr">
        <is>
          <t>CLIENTE</t>
        </is>
      </c>
      <c r="B6" s="13" t="n"/>
      <c r="C6" s="13" t="n"/>
      <c r="D6" s="44" t="inlineStr">
        <is>
          <t>Nº DO PROJETO</t>
        </is>
      </c>
      <c r="E6" s="13" t="n"/>
      <c r="F6" s="44" t="inlineStr">
        <is>
          <t>DATA DE ENTRADA</t>
        </is>
      </c>
      <c r="G6" s="13" t="n"/>
      <c r="H6" s="44" t="inlineStr">
        <is>
          <t>ENTREGA PREVISTA</t>
        </is>
      </c>
      <c r="I6" s="13" t="n"/>
      <c r="J6" s="44" t="inlineStr">
        <is>
          <t>ENTREGA REAL</t>
        </is>
      </c>
      <c r="K6" s="13" t="n"/>
      <c r="L6" s="13" t="n"/>
      <c r="M6" s="13" t="n"/>
      <c r="N6" s="13" t="n"/>
      <c r="O6" s="13" t="n"/>
    </row>
    <row r="7" ht="21" customHeight="1">
      <c r="A7" s="45" t="n"/>
      <c r="B7" s="46" t="n"/>
      <c r="C7" s="46" t="n"/>
      <c r="D7" s="45" t="n"/>
      <c r="E7" s="46" t="n"/>
      <c r="F7" s="47" t="n"/>
      <c r="G7" s="46" t="n"/>
      <c r="H7" s="47" t="n"/>
      <c r="I7" s="46" t="n"/>
      <c r="J7" s="47" t="n"/>
      <c r="K7" s="46" t="n"/>
      <c r="L7" s="46" t="n"/>
      <c r="M7" s="46" t="n"/>
      <c r="N7" s="46" t="n"/>
      <c r="O7" s="46" t="n"/>
    </row>
    <row r="8" ht="13" customHeight="1">
      <c r="A8" s="44" t="inlineStr">
        <is>
          <t>PROJETO</t>
        </is>
      </c>
      <c r="B8" s="13" t="n"/>
      <c r="C8" s="13" t="n"/>
      <c r="D8" s="44" t="inlineStr">
        <is>
          <t>VENDEDOR</t>
        </is>
      </c>
      <c r="E8" s="13" t="n"/>
      <c r="F8" s="44" t="inlineStr">
        <is>
          <t>COORDENADOR</t>
        </is>
      </c>
      <c r="G8" s="13" t="n"/>
      <c r="H8" s="44" t="inlineStr">
        <is>
          <t>DIAS DE ATRASO</t>
        </is>
      </c>
      <c r="I8" s="13" t="n"/>
      <c r="J8" s="44" t="inlineStr">
        <is>
          <t>SITUAÇÃO DA ENTREGA</t>
        </is>
      </c>
      <c r="K8" s="13" t="n"/>
      <c r="L8" s="13" t="n"/>
      <c r="M8" s="13" t="n"/>
      <c r="N8" s="13" t="n"/>
      <c r="O8" s="13" t="n"/>
    </row>
    <row r="9" ht="21" customHeight="1">
      <c r="A9" s="45" t="n"/>
      <c r="B9" s="46" t="n"/>
      <c r="C9" s="46" t="n"/>
      <c r="D9" s="45" t="n"/>
      <c r="E9" s="46" t="n"/>
      <c r="F9" s="48" t="n"/>
      <c r="G9" s="46" t="n"/>
      <c r="H9" s="49">
        <f>IF(OR($H$7="",$J$7=""),"",$J$7-$H$7)</f>
        <v/>
      </c>
      <c r="I9" s="38" t="n"/>
      <c r="J9" s="50">
        <f>IF($H$7="","",IF($J$7="",IF(TODAY()&gt;$H$7,"Atrasado","Em produção"),IF($H$9&lt;=0,"No prazo","Atrasado")))</f>
        <v/>
      </c>
      <c r="K9" s="38" t="n"/>
      <c r="L9" s="38" t="n"/>
      <c r="M9" s="38" t="n"/>
      <c r="N9" s="38" t="n"/>
      <c r="O9" s="38" t="n"/>
    </row>
    <row r="10" ht="18" customHeight="1">
      <c r="A10" s="51" t="inlineStr">
        <is>
          <t>MÊS DE COMPETÊNCIA</t>
        </is>
      </c>
      <c r="B10" s="37" t="n"/>
      <c r="C10" s="37" t="n"/>
      <c r="D10" s="52" t="n"/>
      <c r="E10" s="46" t="n"/>
      <c r="F10" s="53" t="inlineStr">
        <is>
          <t>o mês em que a receita e o custo deste projeto pesam no painel de competência</t>
        </is>
      </c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</row>
    <row r="11" ht="20" customHeight="1">
      <c r="A11" s="8" t="inlineStr">
        <is>
          <t xml:space="preserve">  RESULTADO DO PROJETO          tudo aqui se atualiza conforme você lança os custos mais abaixo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</row>
    <row r="12" ht="13" customHeight="1">
      <c r="A12" s="44" t="inlineStr">
        <is>
          <t>VALOR DE VENDA</t>
        </is>
      </c>
      <c r="B12" s="13" t="n"/>
      <c r="C12" s="44" t="inlineStr">
        <is>
          <t>CUSTO TOTAL</t>
        </is>
      </c>
      <c r="D12" s="13" t="n"/>
      <c r="E12" s="44" t="inlineStr">
        <is>
          <t>MARGEM DE CONTRIBUIÇÃO</t>
        </is>
      </c>
      <c r="F12" s="13" t="n"/>
      <c r="G12" s="44" t="inlineStr">
        <is>
          <t>MC %</t>
        </is>
      </c>
      <c r="H12" s="44" t="inlineStr">
        <is>
          <t>MC % ORÇADA</t>
        </is>
      </c>
      <c r="I12" s="44" t="inlineStr">
        <is>
          <t>DESVIO DE CUSTO</t>
        </is>
      </c>
      <c r="J12" s="13" t="n"/>
      <c r="K12" s="13" t="n"/>
      <c r="L12" s="13" t="n"/>
      <c r="M12" s="13" t="n"/>
      <c r="N12" s="13" t="n"/>
      <c r="O12" s="13" t="n"/>
    </row>
    <row r="13" ht="30" customHeight="1">
      <c r="A13" s="54">
        <f>IF($D$28="",$C$28,$D$28)</f>
        <v/>
      </c>
      <c r="B13" s="15" t="n"/>
      <c r="C13" s="54">
        <f>IF($D$22=0,"",$D$22)</f>
        <v/>
      </c>
      <c r="D13" s="15" t="n"/>
      <c r="E13" s="54">
        <f>IF($A$13="","",$D$23)</f>
        <v/>
      </c>
      <c r="F13" s="15" t="n"/>
      <c r="G13" s="55">
        <f>IF(OR($A$13="",$A$13=0),"",$D$23/$A$13)</f>
        <v/>
      </c>
      <c r="H13" s="55">
        <f>IF(OR($C$28="",$C$28=0),"",$C$23/$C$28)</f>
        <v/>
      </c>
      <c r="I13" s="54">
        <f>IF(OR($C$22=0,$D$22=0),"",ROUND($D$22-$C$22,2))</f>
        <v/>
      </c>
      <c r="J13" s="15" t="n"/>
      <c r="K13" s="15" t="n"/>
      <c r="L13" s="15" t="n"/>
      <c r="M13" s="15" t="n"/>
      <c r="N13" s="15" t="n"/>
      <c r="O13" s="15" t="n"/>
    </row>
    <row r="14" ht="8" customHeight="1"/>
    <row r="15" ht="26" customHeight="1">
      <c r="A15" s="19" t="inlineStr">
        <is>
          <t>Resumo por categoria</t>
        </is>
      </c>
      <c r="B15" s="35" t="n"/>
      <c r="C15" s="19" t="inlineStr">
        <is>
          <t>Orçado (R$)</t>
        </is>
      </c>
      <c r="D15" s="19" t="inlineStr">
        <is>
          <t>Realizado (R$)</t>
        </is>
      </c>
      <c r="E15" s="19" t="inlineStr">
        <is>
          <t>Desvio (R$)</t>
        </is>
      </c>
      <c r="F15" s="35" t="n"/>
      <c r="G15" s="19" t="inlineStr">
        <is>
          <t>Desvio (%)</t>
        </is>
      </c>
      <c r="H15" s="19" t="inlineStr">
        <is>
          <t>% da venda realizada</t>
        </is>
      </c>
      <c r="I15" s="35" t="n"/>
      <c r="J15" s="35" t="n"/>
      <c r="K15" s="35" t="n"/>
      <c r="L15" s="35" t="n"/>
      <c r="M15" s="35" t="n"/>
      <c r="N15" s="35" t="n"/>
      <c r="O15" s="35" t="n"/>
    </row>
    <row r="16" ht="18" customHeight="1">
      <c r="A16" s="36" t="inlineStr">
        <is>
          <t>Custos de venda</t>
        </is>
      </c>
      <c r="B16" s="37" t="n"/>
      <c r="C16" s="56">
        <f>IF(C44="","",C44)</f>
        <v/>
      </c>
      <c r="D16" s="56">
        <f>IF(D44="","",D44)</f>
        <v/>
      </c>
      <c r="E16" s="56">
        <f>IF(OR($C16="",$D16=""),"",ROUND($D16-$C16,2))</f>
        <v/>
      </c>
      <c r="F16" s="38" t="n"/>
      <c r="G16" s="57">
        <f>IF(OR($C16="",$C16=0,$D16=""),"",$D16/$C16-1)</f>
        <v/>
      </c>
      <c r="H16" s="58">
        <f>IF(OR($D16="",$A$13="",$A$13=0),"",$D16/$A$13)</f>
        <v/>
      </c>
      <c r="I16" s="38" t="n"/>
      <c r="J16" s="38" t="n"/>
      <c r="K16" s="38" t="n"/>
      <c r="L16" s="38" t="n"/>
      <c r="M16" s="38" t="n"/>
      <c r="N16" s="38" t="n"/>
      <c r="O16" s="38" t="n"/>
    </row>
    <row r="17" ht="18" customHeight="1">
      <c r="A17" s="36" t="inlineStr">
        <is>
          <t>Comissões operacionais</t>
        </is>
      </c>
      <c r="B17" s="37" t="n"/>
      <c r="C17" s="56">
        <f>IF(C70="","",C70)</f>
        <v/>
      </c>
      <c r="D17" s="56">
        <f>IF(D70="","",D70)</f>
        <v/>
      </c>
      <c r="E17" s="56">
        <f>IF(OR($C17="",$D17=""),"",ROUND($D17-$C17,2))</f>
        <v/>
      </c>
      <c r="F17" s="38" t="n"/>
      <c r="G17" s="57">
        <f>IF(OR($C17="",$C17=0,$D17=""),"",$D17/$C17-1)</f>
        <v/>
      </c>
      <c r="H17" s="58">
        <f>IF(OR($D17="",$A$13="",$A$13=0),"",$D17/$A$13)</f>
        <v/>
      </c>
      <c r="I17" s="38" t="n"/>
      <c r="J17" s="38" t="n"/>
      <c r="K17" s="38" t="n"/>
      <c r="L17" s="38" t="n"/>
      <c r="M17" s="38" t="n"/>
      <c r="N17" s="38" t="n"/>
      <c r="O17" s="38" t="n"/>
    </row>
    <row r="18" ht="18" customHeight="1">
      <c r="A18" s="36" t="inlineStr">
        <is>
          <t>Material</t>
        </is>
      </c>
      <c r="B18" s="37" t="n"/>
      <c r="C18" s="56">
        <f>IF(C103="","",C103)</f>
        <v/>
      </c>
      <c r="D18" s="56">
        <f>IF(D103="","",D103)</f>
        <v/>
      </c>
      <c r="E18" s="56">
        <f>IF(OR($C18="",$D18=""),"",ROUND($D18-$C18,2))</f>
        <v/>
      </c>
      <c r="F18" s="38" t="n"/>
      <c r="G18" s="57">
        <f>IF(OR($C18="",$C18=0,$D18=""),"",$D18/$C18-1)</f>
        <v/>
      </c>
      <c r="H18" s="58">
        <f>IF(OR($D18="",$A$13="",$A$13=0),"",$D18/$A$13)</f>
        <v/>
      </c>
      <c r="I18" s="38" t="n"/>
      <c r="J18" s="38" t="n"/>
      <c r="K18" s="38" t="n"/>
      <c r="L18" s="38" t="n"/>
      <c r="M18" s="38" t="n"/>
      <c r="N18" s="38" t="n"/>
      <c r="O18" s="38" t="n"/>
    </row>
    <row r="19" ht="18" customHeight="1">
      <c r="A19" s="36" t="inlineStr">
        <is>
          <t>Serviços terceirizados</t>
        </is>
      </c>
      <c r="B19" s="37" t="n"/>
      <c r="C19" s="56">
        <f>IF(C108="","",C108)</f>
        <v/>
      </c>
      <c r="D19" s="56">
        <f>IF(D108="","",D108)</f>
        <v/>
      </c>
      <c r="E19" s="56">
        <f>IF(OR($C19="",$D19=""),"",ROUND($D19-$C19,2))</f>
        <v/>
      </c>
      <c r="F19" s="38" t="n"/>
      <c r="G19" s="57">
        <f>IF(OR($C19="",$C19=0,$D19=""),"",$D19/$C19-1)</f>
        <v/>
      </c>
      <c r="H19" s="58">
        <f>IF(OR($D19="",$A$13="",$A$13=0),"",$D19/$A$13)</f>
        <v/>
      </c>
      <c r="I19" s="38" t="n"/>
      <c r="J19" s="38" t="n"/>
      <c r="K19" s="38" t="n"/>
      <c r="L19" s="38" t="n"/>
      <c r="M19" s="38" t="n"/>
      <c r="N19" s="38" t="n"/>
      <c r="O19" s="38" t="n"/>
    </row>
    <row r="20" ht="18" customHeight="1">
      <c r="A20" s="36" t="inlineStr">
        <is>
          <t>Logística</t>
        </is>
      </c>
      <c r="B20" s="37" t="n"/>
      <c r="C20" s="56">
        <f>IF(C114="","",C114)</f>
        <v/>
      </c>
      <c r="D20" s="56">
        <f>IF(D114="","",D114)</f>
        <v/>
      </c>
      <c r="E20" s="56">
        <f>IF(OR($C20="",$D20=""),"",ROUND($D20-$C20,2))</f>
        <v/>
      </c>
      <c r="F20" s="38" t="n"/>
      <c r="G20" s="57">
        <f>IF(OR($C20="",$C20=0,$D20=""),"",$D20/$C20-1)</f>
        <v/>
      </c>
      <c r="H20" s="58">
        <f>IF(OR($D20="",$A$13="",$A$13=0),"",$D20/$A$13)</f>
        <v/>
      </c>
      <c r="I20" s="38" t="n"/>
      <c r="J20" s="38" t="n"/>
      <c r="K20" s="38" t="n"/>
      <c r="L20" s="38" t="n"/>
      <c r="M20" s="38" t="n"/>
      <c r="N20" s="38" t="n"/>
      <c r="O20" s="38" t="n"/>
    </row>
    <row r="21" ht="18" customHeight="1">
      <c r="A21" s="36" t="inlineStr">
        <is>
          <t>Retrabalho</t>
        </is>
      </c>
      <c r="B21" s="37" t="n"/>
      <c r="C21" s="56">
        <f>IF(C130="","",C130)</f>
        <v/>
      </c>
      <c r="D21" s="56">
        <f>IF(D130="","",D130)</f>
        <v/>
      </c>
      <c r="E21" s="56">
        <f>IF(OR($C21="",$D21=""),"",ROUND($D21-$C21,2))</f>
        <v/>
      </c>
      <c r="F21" s="38" t="n"/>
      <c r="G21" s="57">
        <f>IF(OR($C21="",$C21=0,$D21=""),"",$D21/$C21-1)</f>
        <v/>
      </c>
      <c r="H21" s="58">
        <f>IF(OR($D21="",$A$13="",$A$13=0),"",$D21/$A$13)</f>
        <v/>
      </c>
      <c r="I21" s="38" t="n"/>
      <c r="J21" s="38" t="n"/>
      <c r="K21" s="38" t="n"/>
      <c r="L21" s="38" t="n"/>
      <c r="M21" s="38" t="n"/>
      <c r="N21" s="38" t="n"/>
      <c r="O21" s="38" t="n"/>
    </row>
    <row r="22" ht="22" customHeight="1">
      <c r="A22" s="31" t="inlineStr">
        <is>
          <t>(=) CUSTO TOTAL DO PROJETO</t>
        </is>
      </c>
      <c r="B22" s="32" t="n"/>
      <c r="C22" s="59">
        <f>ROUND(SUM(C16:C21),2)</f>
        <v/>
      </c>
      <c r="D22" s="59">
        <f>ROUND(SUM(D16:D21),2)</f>
        <v/>
      </c>
      <c r="E22" s="60">
        <f>ROUND($D$22-$C$22,2)</f>
        <v/>
      </c>
      <c r="F22" s="32" t="n"/>
      <c r="G22" s="61">
        <f>IF(OR($C$22="",$C$22=0),"",$D$22/$C$22-1)</f>
        <v/>
      </c>
      <c r="H22" s="62">
        <f>IF(OR($A$13="",$A$13=0),"",$D$22/$A$13)</f>
        <v/>
      </c>
      <c r="I22" s="32" t="n"/>
      <c r="J22" s="32" t="n"/>
      <c r="K22" s="32" t="n"/>
      <c r="L22" s="32" t="n"/>
      <c r="M22" s="32" t="n"/>
      <c r="N22" s="32" t="n"/>
      <c r="O22" s="32" t="n"/>
    </row>
    <row r="23" ht="28" customHeight="1">
      <c r="A23" s="63" t="inlineStr">
        <is>
          <t>(=) MARGEM DE CONTRIBUIÇÃO</t>
        </is>
      </c>
      <c r="B23" s="64" t="n"/>
      <c r="C23" s="65">
        <f>ROUND($C$28-$C$22,2)</f>
        <v/>
      </c>
      <c r="D23" s="65">
        <f>ROUND($A$13-$D$22,2)</f>
        <v/>
      </c>
      <c r="E23" s="66">
        <f>ROUND($D$23-$C$23,2)</f>
        <v/>
      </c>
      <c r="F23" s="64" t="n"/>
      <c r="G23" s="67">
        <f>IF(OR($C$28="",$C$28=0),"",$C$23/$C$28)</f>
        <v/>
      </c>
      <c r="H23" s="68">
        <f>IF(OR($A$13="",$A$13=0),"",$D$23/$A$13)</f>
        <v/>
      </c>
      <c r="I23" s="64" t="n"/>
      <c r="J23" s="64" t="n"/>
      <c r="K23" s="64" t="n"/>
      <c r="L23" s="64" t="n"/>
      <c r="M23" s="64" t="n"/>
      <c r="N23" s="64" t="n"/>
      <c r="O23" s="64" t="n"/>
    </row>
    <row r="24" ht="22" customHeight="1">
      <c r="A24" s="69">
        <f>IF($A$13="","",IF(ROUND(SUMIF($I$134:$I$193,"A comprar",$E$134:$E$193),2)+ROUND(SUMIF($I$134:$I$193,"Comprado (a pagar)",$E$134:$E$193),2)=0,"   Nenhuma compra pendente lançada — o custo realizado já é o custo final.","   Já comprado e ainda a pagar: "&amp;TEXT(ROUND(SUMIF($I$134:$I$193,"Comprado (a pagar)",$E$134:$E$193),2),"R$ #,##0")&amp;"   ·   custo projetado: "&amp;TEXT($D$22+ROUND(SUMIF($I$134:$I$193,"A comprar",$E$134:$E$193),2),"R$ #,##0")&amp;"   ·   MC projetada: "&amp;TEXT(($A$13-$D$22-ROUND(SUMIF($I$134:$I$193,"A comprar",$E$134:$E$193),2))/$A$13,"0.0%")))</f>
        <v/>
      </c>
      <c r="B24" s="15" t="n"/>
      <c r="C24" s="15" t="n"/>
      <c r="D24" s="15" t="n"/>
      <c r="E24" s="15" t="n"/>
      <c r="F24" s="15" t="n"/>
      <c r="G24" s="15" t="n"/>
      <c r="H24" s="15" t="n"/>
      <c r="I24" s="70">
        <f>IF($A$13="","",ROUND(SUMIF($I$134:$I$193,"A comprar",$E$134:$E$193),2))</f>
        <v/>
      </c>
      <c r="J24" s="15" t="n"/>
      <c r="K24" s="15" t="n"/>
      <c r="L24" s="15" t="n"/>
      <c r="M24" s="15" t="n"/>
      <c r="N24" s="15" t="n"/>
      <c r="O24" s="15" t="n"/>
    </row>
    <row r="25" ht="8" customHeight="1"/>
    <row r="26" ht="20" customHeight="1">
      <c r="A26" s="8" t="inlineStr">
        <is>
          <t xml:space="preserve">  1 · VALOR DE VENDA E NOTAS EMITIDAS          o que foi vendido e o que já virou nota — a diferença é o que falta faturar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 ht="26" customHeight="1">
      <c r="A27" s="19" t="inlineStr">
        <is>
          <t>Item</t>
        </is>
      </c>
      <c r="B27" s="19" t="inlineStr">
        <is>
          <t>%</t>
        </is>
      </c>
      <c r="C27" s="19" t="inlineStr">
        <is>
          <t>Orçado (R$)</t>
        </is>
      </c>
      <c r="D27" s="19" t="inlineStr">
        <is>
          <t>Realizado (R$)</t>
        </is>
      </c>
      <c r="E27" s="19" t="inlineStr">
        <is>
          <t>Desvio (R$)</t>
        </is>
      </c>
      <c r="F27" s="35" t="n"/>
      <c r="G27" s="19" t="inlineStr">
        <is>
          <t>% da venda</t>
        </is>
      </c>
      <c r="H27" s="19" t="inlineStr">
        <is>
          <t>Observação</t>
        </is>
      </c>
      <c r="I27" s="35" t="n"/>
      <c r="J27" s="35" t="n"/>
      <c r="K27" s="35" t="n"/>
      <c r="L27" s="35" t="n"/>
      <c r="M27" s="35" t="n"/>
      <c r="N27" s="35" t="n"/>
      <c r="O27" s="35" t="n"/>
    </row>
    <row r="28" ht="17" customHeight="1">
      <c r="A28" s="36" t="inlineStr">
        <is>
          <t>Valor de venda do projeto</t>
        </is>
      </c>
      <c r="B28" s="37" t="n"/>
      <c r="C28" s="71" t="n"/>
      <c r="D28" s="71" t="n"/>
      <c r="E28" s="56">
        <f>IF(OR($C28="",$D28=""),"",ROUND($D28-$C28,2))</f>
        <v/>
      </c>
      <c r="F28" s="38" t="n"/>
      <c r="G28" s="72" t="n"/>
      <c r="H28" s="73" t="inlineStr">
        <is>
          <t>Orçado = valor da proposta · Realizado = valor fechado</t>
        </is>
      </c>
      <c r="I28" s="46" t="n"/>
      <c r="J28" s="46" t="n"/>
      <c r="K28" s="46" t="n"/>
      <c r="L28" s="46" t="n"/>
      <c r="M28" s="46" t="n"/>
      <c r="N28" s="46" t="n"/>
      <c r="O28" s="46" t="n"/>
    </row>
    <row r="29" ht="22" customHeight="1">
      <c r="A29" s="19" t="inlineStr">
        <is>
          <t>Nota fiscal</t>
        </is>
      </c>
      <c r="B29" s="19" t="inlineStr">
        <is>
          <t>Número</t>
        </is>
      </c>
      <c r="C29" s="19" t="inlineStr">
        <is>
          <t>Data</t>
        </is>
      </c>
      <c r="D29" s="19" t="inlineStr">
        <is>
          <t>Valor (R$)</t>
        </is>
      </c>
      <c r="E29" s="19" t="inlineStr"/>
      <c r="F29" s="35" t="n"/>
      <c r="G29" s="19" t="inlineStr">
        <is>
          <t>% da venda</t>
        </is>
      </c>
      <c r="H29" s="19" t="inlineStr">
        <is>
          <t>Observação</t>
        </is>
      </c>
      <c r="I29" s="35" t="n"/>
      <c r="J29" s="35" t="n"/>
      <c r="K29" s="35" t="n"/>
      <c r="L29" s="35" t="n"/>
      <c r="M29" s="35" t="n"/>
      <c r="N29" s="35" t="n"/>
      <c r="O29" s="35" t="n"/>
    </row>
    <row r="30" ht="17" customHeight="1">
      <c r="A30" s="36" t="inlineStr">
        <is>
          <t>Nota 1</t>
        </is>
      </c>
      <c r="B30" s="74" t="n"/>
      <c r="C30" s="75" t="n"/>
      <c r="D30" s="76" t="n"/>
      <c r="E30" s="37" t="n"/>
      <c r="F30" s="37" t="n"/>
      <c r="G30" s="72">
        <f>IF(OR($D30="",$A$13="",$A$13=0),"",$D30/$A$13)</f>
        <v/>
      </c>
      <c r="H30" s="73" t="n"/>
      <c r="I30" s="46" t="n"/>
      <c r="J30" s="46" t="n"/>
      <c r="K30" s="46" t="n"/>
      <c r="L30" s="46" t="n"/>
      <c r="M30" s="46" t="n"/>
      <c r="N30" s="46" t="n"/>
      <c r="O30" s="46" t="n"/>
    </row>
    <row r="31" ht="17" customHeight="1">
      <c r="A31" s="36" t="inlineStr">
        <is>
          <t>Nota 2</t>
        </is>
      </c>
      <c r="B31" s="74" t="n"/>
      <c r="C31" s="75" t="n"/>
      <c r="D31" s="76" t="n"/>
      <c r="E31" s="37" t="n"/>
      <c r="F31" s="37" t="n"/>
      <c r="G31" s="72">
        <f>IF(OR($D31="",$A$13="",$A$13=0),"",$D31/$A$13)</f>
        <v/>
      </c>
      <c r="H31" s="73" t="n"/>
      <c r="I31" s="46" t="n"/>
      <c r="J31" s="46" t="n"/>
      <c r="K31" s="46" t="n"/>
      <c r="L31" s="46" t="n"/>
      <c r="M31" s="46" t="n"/>
      <c r="N31" s="46" t="n"/>
      <c r="O31" s="46" t="n"/>
    </row>
    <row r="32" ht="17" customHeight="1">
      <c r="A32" s="36" t="inlineStr">
        <is>
          <t>Nota 3</t>
        </is>
      </c>
      <c r="B32" s="74" t="n"/>
      <c r="C32" s="75" t="n"/>
      <c r="D32" s="76" t="n"/>
      <c r="E32" s="37" t="n"/>
      <c r="F32" s="37" t="n"/>
      <c r="G32" s="72">
        <f>IF(OR($D32="",$A$13="",$A$13=0),"",$D32/$A$13)</f>
        <v/>
      </c>
      <c r="H32" s="73" t="n"/>
      <c r="I32" s="46" t="n"/>
      <c r="J32" s="46" t="n"/>
      <c r="K32" s="46" t="n"/>
      <c r="L32" s="46" t="n"/>
      <c r="M32" s="46" t="n"/>
      <c r="N32" s="46" t="n"/>
      <c r="O32" s="46" t="n"/>
    </row>
    <row r="33" ht="17" customHeight="1">
      <c r="A33" s="36" t="inlineStr">
        <is>
          <t>Nota 4</t>
        </is>
      </c>
      <c r="B33" s="74" t="n"/>
      <c r="C33" s="75" t="n"/>
      <c r="D33" s="76" t="n"/>
      <c r="E33" s="37" t="n"/>
      <c r="F33" s="37" t="n"/>
      <c r="G33" s="72">
        <f>IF(OR($D33="",$A$13="",$A$13=0),"",$D33/$A$13)</f>
        <v/>
      </c>
      <c r="H33" s="73" t="n"/>
      <c r="I33" s="46" t="n"/>
      <c r="J33" s="46" t="n"/>
      <c r="K33" s="46" t="n"/>
      <c r="L33" s="46" t="n"/>
      <c r="M33" s="46" t="n"/>
      <c r="N33" s="46" t="n"/>
      <c r="O33" s="46" t="n"/>
    </row>
    <row r="34" ht="20" customHeight="1">
      <c r="A34" s="31" t="inlineStr">
        <is>
          <t>(=) TOTAL FATURADO  →</t>
        </is>
      </c>
      <c r="B34" s="32" t="n"/>
      <c r="C34" s="32" t="n"/>
      <c r="D34" s="60">
        <f>ROUND(SUM($D$30:$D$33),2)</f>
        <v/>
      </c>
      <c r="E34" s="32" t="n"/>
      <c r="F34" s="32" t="n"/>
      <c r="G34" s="62">
        <f>IF(OR($A$13="",$A$13=0),"",$D$34/$A$13)</f>
        <v/>
      </c>
      <c r="H34" s="77">
        <f>IF(OR($A$13="",$A$13=0),"",IF(ROUND($A$13-$D$34,2)&lt;=0,"   Projeto totalmente faturado.","   Ainda a faturar: "&amp;TEXT($A$13-$D$34,"R$ #,##0.00")))</f>
        <v/>
      </c>
      <c r="I34" s="32" t="n"/>
      <c r="J34" s="32" t="n"/>
      <c r="K34" s="32" t="n"/>
      <c r="L34" s="32" t="n"/>
      <c r="M34" s="32" t="n"/>
      <c r="N34" s="32" t="n"/>
      <c r="O34" s="32" t="n"/>
    </row>
    <row r="35" ht="8" customHeight="1"/>
    <row r="36" ht="20" customHeight="1">
      <c r="A36" s="8" t="inlineStr">
        <is>
          <t xml:space="preserve">  2 · CUSTOS DE VENDA          tudo que sai por causa da venda · define a RECEITA LÍQUIDA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</row>
    <row r="37" ht="26" customHeight="1">
      <c r="A37" s="19" t="inlineStr">
        <is>
          <t>Item</t>
        </is>
      </c>
      <c r="B37" s="19" t="inlineStr">
        <is>
          <t>%</t>
        </is>
      </c>
      <c r="C37" s="19" t="inlineStr">
        <is>
          <t>Orçado (R$)</t>
        </is>
      </c>
      <c r="D37" s="19" t="inlineStr">
        <is>
          <t>Realizado (R$)</t>
        </is>
      </c>
      <c r="E37" s="19" t="inlineStr">
        <is>
          <t>Desvio (R$)</t>
        </is>
      </c>
      <c r="F37" s="35" t="n"/>
      <c r="G37" s="19" t="inlineStr">
        <is>
          <t>% da venda</t>
        </is>
      </c>
      <c r="H37" s="19" t="inlineStr">
        <is>
          <t>Observação</t>
        </is>
      </c>
      <c r="I37" s="35" t="n"/>
      <c r="J37" s="35" t="n"/>
      <c r="K37" s="35" t="n"/>
      <c r="L37" s="35" t="n"/>
      <c r="M37" s="35" t="n"/>
      <c r="N37" s="35" t="n"/>
      <c r="O37" s="35" t="n"/>
    </row>
    <row r="38" ht="17" customHeight="1">
      <c r="A38" s="36" t="inlineStr">
        <is>
          <t>Impostos sobre a nota (Simples)</t>
        </is>
      </c>
      <c r="B38" s="78" t="n"/>
      <c r="C38" s="56">
        <f>IF($B38="","",ROUND($B38*$C$28,2))</f>
        <v/>
      </c>
      <c r="D38" s="56">
        <f>IF($B38="","",ROUND($B38*$A$13,2))</f>
        <v/>
      </c>
      <c r="E38" s="56">
        <f>IF(OR($C38="",$D38=""),"",ROUND($D38-$C38,2))</f>
        <v/>
      </c>
      <c r="F38" s="38" t="n"/>
      <c r="G38" s="72">
        <f>IF(OR($D38="",$A$13="",$A$13=0),"",$D38/$A$13)</f>
        <v/>
      </c>
      <c r="H38" s="73" t="inlineStr">
        <is>
          <t>% sobre o valor de venda</t>
        </is>
      </c>
      <c r="I38" s="46" t="n"/>
      <c r="J38" s="46" t="n"/>
      <c r="K38" s="46" t="n"/>
      <c r="L38" s="46" t="n"/>
      <c r="M38" s="46" t="n"/>
      <c r="N38" s="46" t="n"/>
      <c r="O38" s="46" t="n"/>
    </row>
    <row r="39" ht="17" customHeight="1">
      <c r="A39" s="36" t="inlineStr">
        <is>
          <t>Taxa de máquina de cartão</t>
        </is>
      </c>
      <c r="B39" s="78" t="n"/>
      <c r="C39" s="56">
        <f>IF($B39="","",ROUND($B39*$C$28,2))</f>
        <v/>
      </c>
      <c r="D39" s="56">
        <f>IF($B39="","",ROUND($B39*$A$13,2))</f>
        <v/>
      </c>
      <c r="E39" s="56">
        <f>IF(OR($C39="",$D39=""),"",ROUND($D39-$C39,2))</f>
        <v/>
      </c>
      <c r="F39" s="38" t="n"/>
      <c r="G39" s="72">
        <f>IF(OR($D39="",$A$13="",$A$13=0),"",$D39/$A$13)</f>
        <v/>
      </c>
      <c r="H39" s="73" t="inlineStr">
        <is>
          <t>% sobre o valor de venda</t>
        </is>
      </c>
      <c r="I39" s="46" t="n"/>
      <c r="J39" s="46" t="n"/>
      <c r="K39" s="46" t="n"/>
      <c r="L39" s="46" t="n"/>
      <c r="M39" s="46" t="n"/>
      <c r="N39" s="46" t="n"/>
      <c r="O39" s="46" t="n"/>
    </row>
    <row r="40" ht="17" customHeight="1">
      <c r="A40" s="36" t="inlineStr">
        <is>
          <t>Taxas de transação (PIX, boleto, TED)</t>
        </is>
      </c>
      <c r="B40" s="37" t="n"/>
      <c r="C40" s="71" t="n"/>
      <c r="D40" s="71" t="n"/>
      <c r="E40" s="56">
        <f>IF(OR($C40="",$D40=""),"",ROUND($D40-$C40,2))</f>
        <v/>
      </c>
      <c r="F40" s="38" t="n"/>
      <c r="G40" s="72">
        <f>IF(OR($D40="",$A$13="",$A$13=0),"",$D40/$A$13)</f>
        <v/>
      </c>
      <c r="H40" s="73" t="inlineStr">
        <is>
          <t>valor em reais</t>
        </is>
      </c>
      <c r="I40" s="46" t="n"/>
      <c r="J40" s="46" t="n"/>
      <c r="K40" s="46" t="n"/>
      <c r="L40" s="46" t="n"/>
      <c r="M40" s="46" t="n"/>
      <c r="N40" s="46" t="n"/>
      <c r="O40" s="46" t="n"/>
    </row>
    <row r="41" ht="17" customHeight="1">
      <c r="A41" s="36" t="inlineStr">
        <is>
          <t>Comissão de venda (vendedor)</t>
        </is>
      </c>
      <c r="B41" s="78" t="n"/>
      <c r="C41" s="56">
        <f>IF($B41="","",ROUND($B41*$C$28,2))</f>
        <v/>
      </c>
      <c r="D41" s="56">
        <f>IF($B41="","",ROUND($B41*$A$13,2))</f>
        <v/>
      </c>
      <c r="E41" s="56">
        <f>IF(OR($C41="",$D41=""),"",ROUND($D41-$C41,2))</f>
        <v/>
      </c>
      <c r="F41" s="38" t="n"/>
      <c r="G41" s="72">
        <f>IF(OR($D41="",$A$13="",$A$13=0),"",$D41/$A$13)</f>
        <v/>
      </c>
      <c r="H41" s="73" t="inlineStr">
        <is>
          <t>% sobre o valor de venda</t>
        </is>
      </c>
      <c r="I41" s="46" t="n"/>
      <c r="J41" s="46" t="n"/>
      <c r="K41" s="46" t="n"/>
      <c r="L41" s="46" t="n"/>
      <c r="M41" s="46" t="n"/>
      <c r="N41" s="46" t="n"/>
      <c r="O41" s="46" t="n"/>
    </row>
    <row r="42" ht="17" customHeight="1">
      <c r="A42" s="36" t="inlineStr">
        <is>
          <t>Projeto / anteprojeto (externo)</t>
        </is>
      </c>
      <c r="B42" s="37" t="n"/>
      <c r="C42" s="71" t="n"/>
      <c r="D42" s="71" t="n"/>
      <c r="E42" s="56">
        <f>IF(OR($C42="",$D42=""),"",ROUND($D42-$C42,2))</f>
        <v/>
      </c>
      <c r="F42" s="38" t="n"/>
      <c r="G42" s="72">
        <f>IF(OR($D42="",$A$13="",$A$13=0),"",$D42/$A$13)</f>
        <v/>
      </c>
      <c r="H42" s="73" t="inlineStr">
        <is>
          <t>projetista ou arquiteto contratado para o projeto</t>
        </is>
      </c>
      <c r="I42" s="46" t="n"/>
      <c r="J42" s="46" t="n"/>
      <c r="K42" s="46" t="n"/>
      <c r="L42" s="46" t="n"/>
      <c r="M42" s="46" t="n"/>
      <c r="N42" s="46" t="n"/>
      <c r="O42" s="46" t="n"/>
    </row>
    <row r="43" ht="17" customHeight="1">
      <c r="A43" s="36" t="inlineStr">
        <is>
          <t>RT do parceiro</t>
        </is>
      </c>
      <c r="B43" s="78" t="n"/>
      <c r="C43" s="56">
        <f>IF($B43="","",ROUND($B43*($C$28-SUM($C$38:$C$40)),2))</f>
        <v/>
      </c>
      <c r="D43" s="56">
        <f>IF($B43="","",ROUND($B43*($A$13-SUM($D$38:$D$40)),2))</f>
        <v/>
      </c>
      <c r="E43" s="56">
        <f>IF(OR($C43="",$D43=""),"",ROUND($D43-$C43,2))</f>
        <v/>
      </c>
      <c r="F43" s="38" t="n"/>
      <c r="G43" s="72">
        <f>IF(OR($D43="",$A$13="",$A$13=0),"",$D43/$A$13)</f>
        <v/>
      </c>
      <c r="H43" s="73" t="inlineStr">
        <is>
          <t>% sobre o líquido: venda menos impostos, máquina e taxas</t>
        </is>
      </c>
      <c r="I43" s="46" t="n"/>
      <c r="J43" s="46" t="n"/>
      <c r="K43" s="46" t="n"/>
      <c r="L43" s="46" t="n"/>
      <c r="M43" s="46" t="n"/>
      <c r="N43" s="46" t="n"/>
      <c r="O43" s="46" t="n"/>
    </row>
    <row r="44" ht="20" customHeight="1">
      <c r="A44" s="31" t="inlineStr">
        <is>
          <t>(=) SUBTOTAL DOS CUSTOS DE VENDA</t>
        </is>
      </c>
      <c r="B44" s="32" t="n"/>
      <c r="C44" s="60">
        <f>ROUND(SUM(C38:C43),2)</f>
        <v/>
      </c>
      <c r="D44" s="60">
        <f>ROUND(SUM(D38:D43),2)</f>
        <v/>
      </c>
      <c r="E44" s="60">
        <f>ROUND($D44-$C44,2)</f>
        <v/>
      </c>
      <c r="F44" s="32" t="n"/>
      <c r="G44" s="62">
        <f>IF(OR($A$13="",$A$13=0),"",$D44/$A$13)</f>
        <v/>
      </c>
      <c r="H44" s="32" t="n"/>
      <c r="I44" s="32" t="n"/>
      <c r="J44" s="32" t="n"/>
      <c r="K44" s="32" t="n"/>
      <c r="L44" s="32" t="n"/>
      <c r="M44" s="32" t="n"/>
      <c r="N44" s="32" t="n"/>
      <c r="O44" s="32" t="n"/>
    </row>
    <row r="45" ht="24" customHeight="1">
      <c r="A45" s="79" t="inlineStr">
        <is>
          <t>(=) RECEITA LÍQUIDA</t>
        </is>
      </c>
      <c r="B45" s="64" t="n"/>
      <c r="C45" s="80">
        <f>ROUND($C$28-$C$44,2)</f>
        <v/>
      </c>
      <c r="D45" s="80">
        <f>ROUND($A$13-$D$44,2)</f>
        <v/>
      </c>
      <c r="E45" s="66">
        <f>ROUND($D$45-$C$45,2)</f>
        <v/>
      </c>
      <c r="F45" s="64" t="n"/>
      <c r="G45" s="81">
        <f>IF(OR($A$13="",$A$13=0),"",$D$45/$A$13)</f>
        <v/>
      </c>
      <c r="H45" s="82" t="inlineStr">
        <is>
          <t>É esta a base das comissões: coordenação, produção, montagem e projetista</t>
        </is>
      </c>
      <c r="I45" s="64" t="n"/>
      <c r="J45" s="64" t="n"/>
      <c r="K45" s="64" t="n"/>
      <c r="L45" s="64" t="n"/>
      <c r="M45" s="64" t="n"/>
      <c r="N45" s="64" t="n"/>
      <c r="O45" s="64" t="n"/>
    </row>
    <row r="46" ht="8" customHeight="1"/>
    <row r="47" ht="20" customHeight="1">
      <c r="A47" s="8" t="inlineStr">
        <is>
          <t xml:space="preserve">  3 · AMBIENTES, PRODUÇÃO, MONTAGEM E PROJETO          cada ambiente com quem produziu, quem montou e quem projetou · a comissão incide sobre a receita líquida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</row>
    <row r="48" ht="32" customHeight="1">
      <c r="A48" s="19" t="inlineStr">
        <is>
          <t>Ambiente</t>
        </is>
      </c>
      <c r="B48" s="19" t="inlineStr">
        <is>
          <t>% do total</t>
        </is>
      </c>
      <c r="C48" s="19" t="inlineStr">
        <is>
          <t>Valor do ambiente (R$)</t>
        </is>
      </c>
      <c r="D48" s="19" t="inlineStr">
        <is>
          <t>Produção — quem</t>
        </is>
      </c>
      <c r="E48" s="19" t="inlineStr">
        <is>
          <t>%</t>
        </is>
      </c>
      <c r="F48" s="19" t="inlineStr">
        <is>
          <t>Comissão produção (R$)</t>
        </is>
      </c>
      <c r="G48" s="19" t="inlineStr">
        <is>
          <t>Fabricado em</t>
        </is>
      </c>
      <c r="H48" s="19" t="inlineStr">
        <is>
          <t>Montagem — quem</t>
        </is>
      </c>
      <c r="I48" s="19" t="inlineStr">
        <is>
          <t>%</t>
        </is>
      </c>
      <c r="J48" s="19" t="inlineStr">
        <is>
          <t>Comissão montagem (R$)</t>
        </is>
      </c>
      <c r="K48" s="19" t="inlineStr">
        <is>
          <t>Montado em</t>
        </is>
      </c>
      <c r="L48" s="19" t="inlineStr">
        <is>
          <t>Projetista — quem</t>
        </is>
      </c>
      <c r="M48" s="19" t="inlineStr">
        <is>
          <t>%</t>
        </is>
      </c>
      <c r="N48" s="19" t="inlineStr">
        <is>
          <t>Comissão projetista (R$)</t>
        </is>
      </c>
      <c r="O48" s="19" t="inlineStr">
        <is>
          <t>Total do ambiente</t>
        </is>
      </c>
    </row>
    <row r="49" ht="18" customHeight="1">
      <c r="A49" s="83" t="n"/>
      <c r="B49" s="72">
        <f>IF(OR($C49="",$A$13="",$A$13=0),"",$C49/$A$13)</f>
        <v/>
      </c>
      <c r="C49" s="76" t="n"/>
      <c r="D49" s="83" t="n"/>
      <c r="E49" s="78" t="n"/>
      <c r="F49" s="56">
        <f>IF(OR($B49="",$E49="",$D$45=""),"",ROUND($B49*$D$45*$E49,2))</f>
        <v/>
      </c>
      <c r="G49" s="84" t="n"/>
      <c r="H49" s="83" t="n"/>
      <c r="I49" s="78" t="n"/>
      <c r="J49" s="56">
        <f>IF(OR($B49="",$I49="",$D$45=""),"",ROUND($B49*$D$45*$I49,2))</f>
        <v/>
      </c>
      <c r="K49" s="84" t="n"/>
      <c r="L49" s="83" t="n"/>
      <c r="M49" s="78" t="n"/>
      <c r="N49" s="56">
        <f>IF(OR($B49="",$M49="",$D$45=""),"",ROUND($B49*$D$45*$M49,2))</f>
        <v/>
      </c>
      <c r="O49" s="85">
        <f>IF(AND($F49="",$J49="",$N49=""),"",ROUND(IF($F49="",0,$F49)+IF($J49="",0,$J49)+IF($N49="",0,$N49),2))</f>
        <v/>
      </c>
    </row>
    <row r="50" ht="18" customHeight="1">
      <c r="A50" s="83" t="n"/>
      <c r="B50" s="72">
        <f>IF(OR($C50="",$A$13="",$A$13=0),"",$C50/$A$13)</f>
        <v/>
      </c>
      <c r="C50" s="76" t="n"/>
      <c r="D50" s="83" t="n"/>
      <c r="E50" s="78" t="n"/>
      <c r="F50" s="56">
        <f>IF(OR($B50="",$E50="",$D$45=""),"",ROUND($B50*$D$45*$E50,2))</f>
        <v/>
      </c>
      <c r="G50" s="84" t="n"/>
      <c r="H50" s="83" t="n"/>
      <c r="I50" s="78" t="n"/>
      <c r="J50" s="56">
        <f>IF(OR($B50="",$I50="",$D$45=""),"",ROUND($B50*$D$45*$I50,2))</f>
        <v/>
      </c>
      <c r="K50" s="84" t="n"/>
      <c r="L50" s="83" t="n"/>
      <c r="M50" s="78" t="n"/>
      <c r="N50" s="56">
        <f>IF(OR($B50="",$M50="",$D$45=""),"",ROUND($B50*$D$45*$M50,2))</f>
        <v/>
      </c>
      <c r="O50" s="85">
        <f>IF(AND($F50="",$J50="",$N50=""),"",ROUND(IF($F50="",0,$F50)+IF($J50="",0,$J50)+IF($N50="",0,$N50),2))</f>
        <v/>
      </c>
    </row>
    <row r="51" ht="18" customHeight="1">
      <c r="A51" s="83" t="n"/>
      <c r="B51" s="72">
        <f>IF(OR($C51="",$A$13="",$A$13=0),"",$C51/$A$13)</f>
        <v/>
      </c>
      <c r="C51" s="76" t="n"/>
      <c r="D51" s="83" t="n"/>
      <c r="E51" s="78" t="n"/>
      <c r="F51" s="56">
        <f>IF(OR($B51="",$E51="",$D$45=""),"",ROUND($B51*$D$45*$E51,2))</f>
        <v/>
      </c>
      <c r="G51" s="84" t="n"/>
      <c r="H51" s="83" t="n"/>
      <c r="I51" s="78" t="n"/>
      <c r="J51" s="56">
        <f>IF(OR($B51="",$I51="",$D$45=""),"",ROUND($B51*$D$45*$I51,2))</f>
        <v/>
      </c>
      <c r="K51" s="84" t="n"/>
      <c r="L51" s="83" t="n"/>
      <c r="M51" s="78" t="n"/>
      <c r="N51" s="56">
        <f>IF(OR($B51="",$M51="",$D$45=""),"",ROUND($B51*$D$45*$M51,2))</f>
        <v/>
      </c>
      <c r="O51" s="85">
        <f>IF(AND($F51="",$J51="",$N51=""),"",ROUND(IF($F51="",0,$F51)+IF($J51="",0,$J51)+IF($N51="",0,$N51),2))</f>
        <v/>
      </c>
    </row>
    <row r="52" ht="18" customHeight="1">
      <c r="A52" s="83" t="n"/>
      <c r="B52" s="72">
        <f>IF(OR($C52="",$A$13="",$A$13=0),"",$C52/$A$13)</f>
        <v/>
      </c>
      <c r="C52" s="76" t="n"/>
      <c r="D52" s="83" t="n"/>
      <c r="E52" s="78" t="n"/>
      <c r="F52" s="56">
        <f>IF(OR($B52="",$E52="",$D$45=""),"",ROUND($B52*$D$45*$E52,2))</f>
        <v/>
      </c>
      <c r="G52" s="84" t="n"/>
      <c r="H52" s="83" t="n"/>
      <c r="I52" s="78" t="n"/>
      <c r="J52" s="56">
        <f>IF(OR($B52="",$I52="",$D$45=""),"",ROUND($B52*$D$45*$I52,2))</f>
        <v/>
      </c>
      <c r="K52" s="84" t="n"/>
      <c r="L52" s="83" t="n"/>
      <c r="M52" s="78" t="n"/>
      <c r="N52" s="56">
        <f>IF(OR($B52="",$M52="",$D$45=""),"",ROUND($B52*$D$45*$M52,2))</f>
        <v/>
      </c>
      <c r="O52" s="85">
        <f>IF(AND($F52="",$J52="",$N52=""),"",ROUND(IF($F52="",0,$F52)+IF($J52="",0,$J52)+IF($N52="",0,$N52),2))</f>
        <v/>
      </c>
    </row>
    <row r="53" ht="18" customHeight="1">
      <c r="A53" s="83" t="n"/>
      <c r="B53" s="72">
        <f>IF(OR($C53="",$A$13="",$A$13=0),"",$C53/$A$13)</f>
        <v/>
      </c>
      <c r="C53" s="76" t="n"/>
      <c r="D53" s="83" t="n"/>
      <c r="E53" s="78" t="n"/>
      <c r="F53" s="56">
        <f>IF(OR($B53="",$E53="",$D$45=""),"",ROUND($B53*$D$45*$E53,2))</f>
        <v/>
      </c>
      <c r="G53" s="84" t="n"/>
      <c r="H53" s="83" t="n"/>
      <c r="I53" s="78" t="n"/>
      <c r="J53" s="56">
        <f>IF(OR($B53="",$I53="",$D$45=""),"",ROUND($B53*$D$45*$I53,2))</f>
        <v/>
      </c>
      <c r="K53" s="84" t="n"/>
      <c r="L53" s="83" t="n"/>
      <c r="M53" s="78" t="n"/>
      <c r="N53" s="56">
        <f>IF(OR($B53="",$M53="",$D$45=""),"",ROUND($B53*$D$45*$M53,2))</f>
        <v/>
      </c>
      <c r="O53" s="85">
        <f>IF(AND($F53="",$J53="",$N53=""),"",ROUND(IF($F53="",0,$F53)+IF($J53="",0,$J53)+IF($N53="",0,$N53),2))</f>
        <v/>
      </c>
    </row>
    <row r="54" ht="18" customHeight="1">
      <c r="A54" s="83" t="n"/>
      <c r="B54" s="72">
        <f>IF(OR($C54="",$A$13="",$A$13=0),"",$C54/$A$13)</f>
        <v/>
      </c>
      <c r="C54" s="76" t="n"/>
      <c r="D54" s="83" t="n"/>
      <c r="E54" s="78" t="n"/>
      <c r="F54" s="56">
        <f>IF(OR($B54="",$E54="",$D$45=""),"",ROUND($B54*$D$45*$E54,2))</f>
        <v/>
      </c>
      <c r="G54" s="84" t="n"/>
      <c r="H54" s="83" t="n"/>
      <c r="I54" s="78" t="n"/>
      <c r="J54" s="56">
        <f>IF(OR($B54="",$I54="",$D$45=""),"",ROUND($B54*$D$45*$I54,2))</f>
        <v/>
      </c>
      <c r="K54" s="84" t="n"/>
      <c r="L54" s="83" t="n"/>
      <c r="M54" s="78" t="n"/>
      <c r="N54" s="56">
        <f>IF(OR($B54="",$M54="",$D$45=""),"",ROUND($B54*$D$45*$M54,2))</f>
        <v/>
      </c>
      <c r="O54" s="85">
        <f>IF(AND($F54="",$J54="",$N54=""),"",ROUND(IF($F54="",0,$F54)+IF($J54="",0,$J54)+IF($N54="",0,$N54),2))</f>
        <v/>
      </c>
    </row>
    <row r="55" ht="18" customHeight="1">
      <c r="A55" s="83" t="n"/>
      <c r="B55" s="72">
        <f>IF(OR($C55="",$A$13="",$A$13=0),"",$C55/$A$13)</f>
        <v/>
      </c>
      <c r="C55" s="76" t="n"/>
      <c r="D55" s="83" t="n"/>
      <c r="E55" s="78" t="n"/>
      <c r="F55" s="56">
        <f>IF(OR($B55="",$E55="",$D$45=""),"",ROUND($B55*$D$45*$E55,2))</f>
        <v/>
      </c>
      <c r="G55" s="84" t="n"/>
      <c r="H55" s="83" t="n"/>
      <c r="I55" s="78" t="n"/>
      <c r="J55" s="56">
        <f>IF(OR($B55="",$I55="",$D$45=""),"",ROUND($B55*$D$45*$I55,2))</f>
        <v/>
      </c>
      <c r="K55" s="84" t="n"/>
      <c r="L55" s="83" t="n"/>
      <c r="M55" s="78" t="n"/>
      <c r="N55" s="56">
        <f>IF(OR($B55="",$M55="",$D$45=""),"",ROUND($B55*$D$45*$M55,2))</f>
        <v/>
      </c>
      <c r="O55" s="85">
        <f>IF(AND($F55="",$J55="",$N55=""),"",ROUND(IF($F55="",0,$F55)+IF($J55="",0,$J55)+IF($N55="",0,$N55),2))</f>
        <v/>
      </c>
    </row>
    <row r="56" ht="18" customHeight="1">
      <c r="A56" s="83" t="n"/>
      <c r="B56" s="72">
        <f>IF(OR($C56="",$A$13="",$A$13=0),"",$C56/$A$13)</f>
        <v/>
      </c>
      <c r="C56" s="76" t="n"/>
      <c r="D56" s="83" t="n"/>
      <c r="E56" s="78" t="n"/>
      <c r="F56" s="56">
        <f>IF(OR($B56="",$E56="",$D$45=""),"",ROUND($B56*$D$45*$E56,2))</f>
        <v/>
      </c>
      <c r="G56" s="84" t="n"/>
      <c r="H56" s="83" t="n"/>
      <c r="I56" s="78" t="n"/>
      <c r="J56" s="56">
        <f>IF(OR($B56="",$I56="",$D$45=""),"",ROUND($B56*$D$45*$I56,2))</f>
        <v/>
      </c>
      <c r="K56" s="84" t="n"/>
      <c r="L56" s="83" t="n"/>
      <c r="M56" s="78" t="n"/>
      <c r="N56" s="56">
        <f>IF(OR($B56="",$M56="",$D$45=""),"",ROUND($B56*$D$45*$M56,2))</f>
        <v/>
      </c>
      <c r="O56" s="85">
        <f>IF(AND($F56="",$J56="",$N56=""),"",ROUND(IF($F56="",0,$F56)+IF($J56="",0,$J56)+IF($N56="",0,$N56),2))</f>
        <v/>
      </c>
    </row>
    <row r="57" ht="18" customHeight="1">
      <c r="A57" s="83" t="n"/>
      <c r="B57" s="72">
        <f>IF(OR($C57="",$A$13="",$A$13=0),"",$C57/$A$13)</f>
        <v/>
      </c>
      <c r="C57" s="76" t="n"/>
      <c r="D57" s="83" t="n"/>
      <c r="E57" s="78" t="n"/>
      <c r="F57" s="56">
        <f>IF(OR($B57="",$E57="",$D$45=""),"",ROUND($B57*$D$45*$E57,2))</f>
        <v/>
      </c>
      <c r="G57" s="84" t="n"/>
      <c r="H57" s="83" t="n"/>
      <c r="I57" s="78" t="n"/>
      <c r="J57" s="56">
        <f>IF(OR($B57="",$I57="",$D$45=""),"",ROUND($B57*$D$45*$I57,2))</f>
        <v/>
      </c>
      <c r="K57" s="84" t="n"/>
      <c r="L57" s="83" t="n"/>
      <c r="M57" s="78" t="n"/>
      <c r="N57" s="56">
        <f>IF(OR($B57="",$M57="",$D$45=""),"",ROUND($B57*$D$45*$M57,2))</f>
        <v/>
      </c>
      <c r="O57" s="85">
        <f>IF(AND($F57="",$J57="",$N57=""),"",ROUND(IF($F57="",0,$F57)+IF($J57="",0,$J57)+IF($N57="",0,$N57),2))</f>
        <v/>
      </c>
    </row>
    <row r="58" ht="18" customHeight="1">
      <c r="A58" s="83" t="n"/>
      <c r="B58" s="72">
        <f>IF(OR($C58="",$A$13="",$A$13=0),"",$C58/$A$13)</f>
        <v/>
      </c>
      <c r="C58" s="76" t="n"/>
      <c r="D58" s="83" t="n"/>
      <c r="E58" s="78" t="n"/>
      <c r="F58" s="56">
        <f>IF(OR($B58="",$E58="",$D$45=""),"",ROUND($B58*$D$45*$E58,2))</f>
        <v/>
      </c>
      <c r="G58" s="84" t="n"/>
      <c r="H58" s="83" t="n"/>
      <c r="I58" s="78" t="n"/>
      <c r="J58" s="56">
        <f>IF(OR($B58="",$I58="",$D$45=""),"",ROUND($B58*$D$45*$I58,2))</f>
        <v/>
      </c>
      <c r="K58" s="84" t="n"/>
      <c r="L58" s="83" t="n"/>
      <c r="M58" s="78" t="n"/>
      <c r="N58" s="56">
        <f>IF(OR($B58="",$M58="",$D$45=""),"",ROUND($B58*$D$45*$M58,2))</f>
        <v/>
      </c>
      <c r="O58" s="85">
        <f>IF(AND($F58="",$J58="",$N58=""),"",ROUND(IF($F58="",0,$F58)+IF($J58="",0,$J58)+IF($N58="",0,$N58),2))</f>
        <v/>
      </c>
    </row>
    <row r="59" ht="18" customHeight="1">
      <c r="A59" s="83" t="n"/>
      <c r="B59" s="72">
        <f>IF(OR($C59="",$A$13="",$A$13=0),"",$C59/$A$13)</f>
        <v/>
      </c>
      <c r="C59" s="76" t="n"/>
      <c r="D59" s="83" t="n"/>
      <c r="E59" s="78" t="n"/>
      <c r="F59" s="56">
        <f>IF(OR($B59="",$E59="",$D$45=""),"",ROUND($B59*$D$45*$E59,2))</f>
        <v/>
      </c>
      <c r="G59" s="84" t="n"/>
      <c r="H59" s="83" t="n"/>
      <c r="I59" s="78" t="n"/>
      <c r="J59" s="56">
        <f>IF(OR($B59="",$I59="",$D$45=""),"",ROUND($B59*$D$45*$I59,2))</f>
        <v/>
      </c>
      <c r="K59" s="84" t="n"/>
      <c r="L59" s="83" t="n"/>
      <c r="M59" s="78" t="n"/>
      <c r="N59" s="56">
        <f>IF(OR($B59="",$M59="",$D$45=""),"",ROUND($B59*$D$45*$M59,2))</f>
        <v/>
      </c>
      <c r="O59" s="85">
        <f>IF(AND($F59="",$J59="",$N59=""),"",ROUND(IF($F59="",0,$F59)+IF($J59="",0,$J59)+IF($N59="",0,$N59),2))</f>
        <v/>
      </c>
    </row>
    <row r="60" ht="18" customHeight="1">
      <c r="A60" s="83" t="n"/>
      <c r="B60" s="72">
        <f>IF(OR($C60="",$A$13="",$A$13=0),"",$C60/$A$13)</f>
        <v/>
      </c>
      <c r="C60" s="76" t="n"/>
      <c r="D60" s="83" t="n"/>
      <c r="E60" s="78" t="n"/>
      <c r="F60" s="56">
        <f>IF(OR($B60="",$E60="",$D$45=""),"",ROUND($B60*$D$45*$E60,2))</f>
        <v/>
      </c>
      <c r="G60" s="84" t="n"/>
      <c r="H60" s="83" t="n"/>
      <c r="I60" s="78" t="n"/>
      <c r="J60" s="56">
        <f>IF(OR($B60="",$I60="",$D$45=""),"",ROUND($B60*$D$45*$I60,2))</f>
        <v/>
      </c>
      <c r="K60" s="84" t="n"/>
      <c r="L60" s="83" t="n"/>
      <c r="M60" s="78" t="n"/>
      <c r="N60" s="56">
        <f>IF(OR($B60="",$M60="",$D$45=""),"",ROUND($B60*$D$45*$M60,2))</f>
        <v/>
      </c>
      <c r="O60" s="85">
        <f>IF(AND($F60="",$J60="",$N60=""),"",ROUND(IF($F60="",0,$F60)+IF($J60="",0,$J60)+IF($N60="",0,$N60),2))</f>
        <v/>
      </c>
    </row>
    <row r="61" ht="20" customHeight="1">
      <c r="A61" s="31" t="inlineStr">
        <is>
          <t>SOMA DOS AMBIENTES</t>
        </is>
      </c>
      <c r="B61" s="62">
        <f>IF($A$13=0,"",$C$61/$A$13)</f>
        <v/>
      </c>
      <c r="C61" s="60">
        <f>ROUND(SUM(C49:C60),2)</f>
        <v/>
      </c>
      <c r="D61" s="86">
        <f>IF($C$61=0,"—",IF(ROUND($C$61-$A$13,2)=0,"OK · os ambientes somam o valor de venda","ATENÇÃO: diferença de "&amp;TEXT($C$61-$A$13,"R$ #,##0.00")))</f>
        <v/>
      </c>
      <c r="E61" s="32" t="n"/>
      <c r="F61" s="60">
        <f>ROUND(SUM(F49:F60),2)</f>
        <v/>
      </c>
      <c r="G61" s="32" t="n"/>
      <c r="H61" s="32" t="n"/>
      <c r="I61" s="32" t="n"/>
      <c r="J61" s="60">
        <f>ROUND(SUM(J49:J60),2)</f>
        <v/>
      </c>
      <c r="K61" s="32" t="n"/>
      <c r="L61" s="32" t="n"/>
      <c r="M61" s="32" t="n"/>
      <c r="N61" s="60">
        <f>ROUND(SUM(N49:N60),2)</f>
        <v/>
      </c>
      <c r="O61" s="60">
        <f>ROUND(SUM(O49:O60),2)</f>
        <v/>
      </c>
    </row>
    <row r="62" ht="8" customHeight="1"/>
    <row r="63" ht="20" customHeight="1">
      <c r="A63" s="8" t="inlineStr">
        <is>
          <t xml:space="preserve">  4 · COMISSÕES OPERACIONAIS          calculadas sobre a RECEITA LÍQUIDA · o realizado vem dos ambientes acima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</row>
    <row r="64" ht="26" customHeight="1">
      <c r="A64" s="19" t="inlineStr">
        <is>
          <t>Item</t>
        </is>
      </c>
      <c r="B64" s="19" t="inlineStr">
        <is>
          <t>%</t>
        </is>
      </c>
      <c r="C64" s="19" t="inlineStr">
        <is>
          <t>Orçado (R$)</t>
        </is>
      </c>
      <c r="D64" s="19" t="inlineStr">
        <is>
          <t>Realizado (R$)</t>
        </is>
      </c>
      <c r="E64" s="19" t="inlineStr">
        <is>
          <t>Desvio (R$)</t>
        </is>
      </c>
      <c r="F64" s="35" t="n"/>
      <c r="G64" s="19" t="inlineStr">
        <is>
          <t>% da venda</t>
        </is>
      </c>
      <c r="H64" s="19" t="inlineStr">
        <is>
          <t>Observação</t>
        </is>
      </c>
      <c r="I64" s="35" t="n"/>
      <c r="J64" s="35" t="n"/>
      <c r="K64" s="35" t="n"/>
      <c r="L64" s="35" t="n"/>
      <c r="M64" s="35" t="n"/>
      <c r="N64" s="35" t="n"/>
      <c r="O64" s="35" t="n"/>
    </row>
    <row r="65" ht="17" customHeight="1">
      <c r="A65" s="36" t="inlineStr">
        <is>
          <t>Coordenação de produção</t>
        </is>
      </c>
      <c r="B65" s="78" t="n"/>
      <c r="C65" s="56">
        <f>IF($B65="","",ROUND($B65*$C$45,2))</f>
        <v/>
      </c>
      <c r="D65" s="56">
        <f>IF($B65="","",ROUND($B65*$D$45,2))</f>
        <v/>
      </c>
      <c r="E65" s="56">
        <f>IF(OR($C65="",$D65=""),"",ROUND($D65-$C65,2))</f>
        <v/>
      </c>
      <c r="F65" s="38" t="n"/>
      <c r="G65" s="72">
        <f>IF(OR($D65="",$A$13="",$A$13=0),"",$D65/$A$13)</f>
        <v/>
      </c>
      <c r="H65" s="73" t="inlineStr">
        <is>
          <t>quem coordena está na identificação, no topo da ficha</t>
        </is>
      </c>
      <c r="I65" s="46" t="n"/>
      <c r="J65" s="46" t="n"/>
      <c r="K65" s="46" t="n"/>
      <c r="L65" s="46" t="n"/>
      <c r="M65" s="46" t="n"/>
      <c r="N65" s="46" t="n"/>
      <c r="O65" s="46" t="n"/>
    </row>
    <row r="66" ht="17" customHeight="1">
      <c r="A66" s="36" t="inlineStr">
        <is>
          <t>Gestão técnica</t>
        </is>
      </c>
      <c r="B66" s="78" t="n">
        <v>0.005</v>
      </c>
      <c r="C66" s="56">
        <f>IF($B66="","",ROUND($B66*$C$45,2))</f>
        <v/>
      </c>
      <c r="D66" s="56">
        <f>IF($B66="","",ROUND($B66*$D$45,2))</f>
        <v/>
      </c>
      <c r="E66" s="56">
        <f>IF(OR($C66="",$D66=""),"",ROUND($D66-$C66,2))</f>
        <v/>
      </c>
      <c r="F66" s="38" t="n"/>
      <c r="G66" s="72">
        <f>IF(OR($D66="",$A$13="",$A$13=0),"",$D66/$A$13)</f>
        <v/>
      </c>
      <c r="H66" s="73" t="n"/>
      <c r="I66" s="46" t="n"/>
      <c r="J66" s="46" t="n"/>
      <c r="K66" s="46" t="n"/>
      <c r="L66" s="46" t="n"/>
      <c r="M66" s="46" t="n"/>
      <c r="N66" s="46" t="n"/>
      <c r="O66" s="46" t="n"/>
    </row>
    <row r="67" ht="17" customHeight="1">
      <c r="A67" s="36" t="inlineStr">
        <is>
          <t>Comissão de produção</t>
        </is>
      </c>
      <c r="B67" s="78" t="n"/>
      <c r="C67" s="56">
        <f>IF($B67="","",ROUND($B67*$C$45,2))</f>
        <v/>
      </c>
      <c r="D67" s="56">
        <f>IF($F$61=0,"",$F$61)</f>
        <v/>
      </c>
      <c r="E67" s="56">
        <f>IF(OR($C67="",$D67=""),"",ROUND($D67-$C67,2))</f>
        <v/>
      </c>
      <c r="F67" s="38" t="n"/>
      <c r="G67" s="72">
        <f>IF(OR($D67="",$A$13="",$A$13=0),"",$D67/$A$13)</f>
        <v/>
      </c>
      <c r="H67" s="73" t="inlineStr">
        <is>
          <t>orçado = % único estimado · realizado = soma dos ambientes</t>
        </is>
      </c>
      <c r="I67" s="46" t="n"/>
      <c r="J67" s="46" t="n"/>
      <c r="K67" s="46" t="n"/>
      <c r="L67" s="46" t="n"/>
      <c r="M67" s="46" t="n"/>
      <c r="N67" s="46" t="n"/>
      <c r="O67" s="46" t="n"/>
    </row>
    <row r="68" ht="17" customHeight="1">
      <c r="A68" s="36" t="inlineStr">
        <is>
          <t>Comissão de montagem</t>
        </is>
      </c>
      <c r="B68" s="78" t="n"/>
      <c r="C68" s="56">
        <f>IF($B68="","",ROUND($B68*$C$45,2))</f>
        <v/>
      </c>
      <c r="D68" s="56">
        <f>IF($J$61=0,"",$J$61)</f>
        <v/>
      </c>
      <c r="E68" s="56">
        <f>IF(OR($C68="",$D68=""),"",ROUND($D68-$C68,2))</f>
        <v/>
      </c>
      <c r="F68" s="38" t="n"/>
      <c r="G68" s="72">
        <f>IF(OR($D68="",$A$13="",$A$13=0),"",$D68/$A$13)</f>
        <v/>
      </c>
      <c r="H68" s="73" t="inlineStr">
        <is>
          <t>orçado = % único estimado · realizado = soma dos ambientes</t>
        </is>
      </c>
      <c r="I68" s="46" t="n"/>
      <c r="J68" s="46" t="n"/>
      <c r="K68" s="46" t="n"/>
      <c r="L68" s="46" t="n"/>
      <c r="M68" s="46" t="n"/>
      <c r="N68" s="46" t="n"/>
      <c r="O68" s="46" t="n"/>
    </row>
    <row r="69" ht="17" customHeight="1">
      <c r="A69" s="36" t="inlineStr">
        <is>
          <t>Comissão de projetista</t>
        </is>
      </c>
      <c r="B69" s="78" t="n"/>
      <c r="C69" s="56">
        <f>IF($B69="","",ROUND($B69*$C$45,2))</f>
        <v/>
      </c>
      <c r="D69" s="56">
        <f>IF($N$61=0,"",$N$61)</f>
        <v/>
      </c>
      <c r="E69" s="56">
        <f>IF(OR($C69="",$D69=""),"",ROUND($D69-$C69,2))</f>
        <v/>
      </c>
      <c r="F69" s="38" t="n"/>
      <c r="G69" s="72">
        <f>IF(OR($D69="",$A$13="",$A$13=0),"",$D69/$A$13)</f>
        <v/>
      </c>
      <c r="H69" s="73" t="inlineStr">
        <is>
          <t>quem projetou cada ambiente está na coluna L do bloco 3</t>
        </is>
      </c>
      <c r="I69" s="46" t="n"/>
      <c r="J69" s="46" t="n"/>
      <c r="K69" s="46" t="n"/>
      <c r="L69" s="46" t="n"/>
      <c r="M69" s="46" t="n"/>
      <c r="N69" s="46" t="n"/>
      <c r="O69" s="46" t="n"/>
    </row>
    <row r="70" ht="20" customHeight="1">
      <c r="A70" s="31" t="inlineStr">
        <is>
          <t>(=) SUBTOTAL DAS COMISSÕES</t>
        </is>
      </c>
      <c r="B70" s="32" t="n"/>
      <c r="C70" s="60">
        <f>ROUND(SUM(C65:C69),2)</f>
        <v/>
      </c>
      <c r="D70" s="60">
        <f>ROUND(SUM(D65:D69),2)</f>
        <v/>
      </c>
      <c r="E70" s="60">
        <f>ROUND($D70-$C70,2)</f>
        <v/>
      </c>
      <c r="F70" s="32" t="n"/>
      <c r="G70" s="62">
        <f>IF(OR($A$13="",$A$13=0),"",$D70/$A$13)</f>
        <v/>
      </c>
      <c r="H70" s="32" t="n"/>
      <c r="I70" s="32" t="n"/>
      <c r="J70" s="32" t="n"/>
      <c r="K70" s="32" t="n"/>
      <c r="L70" s="32" t="n"/>
      <c r="M70" s="32" t="n"/>
      <c r="N70" s="32" t="n"/>
      <c r="O70" s="32" t="n"/>
    </row>
    <row r="71" ht="8" customHeight="1"/>
    <row r="72" ht="20" customHeight="1">
      <c r="A72" s="8" t="inlineStr">
        <is>
          <t xml:space="preserve">  5 · COMISSÕES POR COLABORADOR          consolidado automático — quem produziu, quem montou, quem projetou e o coordenador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</row>
    <row r="73" ht="26" customHeight="1">
      <c r="A73" s="19" t="inlineStr">
        <is>
          <t>Colaborador</t>
        </is>
      </c>
      <c r="B73" s="19" t="inlineStr">
        <is>
          <t>Produção (R$)</t>
        </is>
      </c>
      <c r="C73" s="35" t="n"/>
      <c r="D73" s="19" t="inlineStr">
        <is>
          <t>Montagem (R$)</t>
        </is>
      </c>
      <c r="E73" s="35" t="n"/>
      <c r="F73" s="19" t="inlineStr">
        <is>
          <t>Projeto (R$)</t>
        </is>
      </c>
      <c r="G73" s="35" t="n"/>
      <c r="H73" s="19" t="inlineStr">
        <is>
          <t>Coordenação / Gestão técnica (R$)</t>
        </is>
      </c>
      <c r="I73" s="35" t="n"/>
      <c r="J73" s="19" t="inlineStr">
        <is>
          <t>Total no projeto (R$)</t>
        </is>
      </c>
      <c r="K73" s="35" t="n"/>
      <c r="L73" s="35" t="n"/>
      <c r="M73" s="35" t="n"/>
    </row>
    <row r="74" ht="17" customHeight="1">
      <c r="A74" s="87" t="inlineStr">
        <is>
          <t>Deivison</t>
        </is>
      </c>
      <c r="B74" s="56">
        <f>IF($A74="","",ROUND(SUMIF($D$49:$D$60,$A74,$F$49:$F$60),2))</f>
        <v/>
      </c>
      <c r="C74" s="38" t="n"/>
      <c r="D74" s="56">
        <f>IF($A74="","",ROUND(SUMIF($H$49:$H$60,$A74,$J$49:$J$60),2))</f>
        <v/>
      </c>
      <c r="E74" s="38" t="n"/>
      <c r="F74" s="56">
        <f>IF($A74="","",ROUND(SUMIF($L$49:$L$60,$A74,$N$49:$N$60),2))</f>
        <v/>
      </c>
      <c r="G74" s="38" t="n"/>
      <c r="H74" s="56">
        <f>IF($A74="","",IF($A74=$F$9,IF($D$65="",0,$D$65),0)+IF($A74=$H$66,IF($D$66="",0,$D$66),0))</f>
        <v/>
      </c>
      <c r="I74" s="38" t="n"/>
      <c r="J74" s="88">
        <f>IF($A74="","",ROUND($B74+$D74+$F74+$H74,2))</f>
        <v/>
      </c>
      <c r="K74" s="38" t="n"/>
      <c r="L74" s="38" t="n"/>
      <c r="M74" s="38" t="n"/>
    </row>
    <row r="75" ht="17" customHeight="1">
      <c r="A75" s="87" t="inlineStr">
        <is>
          <t>Ronald</t>
        </is>
      </c>
      <c r="B75" s="56">
        <f>IF($A75="","",ROUND(SUMIF($D$49:$D$60,$A75,$F$49:$F$60),2))</f>
        <v/>
      </c>
      <c r="C75" s="38" t="n"/>
      <c r="D75" s="56">
        <f>IF($A75="","",ROUND(SUMIF($H$49:$H$60,$A75,$J$49:$J$60),2))</f>
        <v/>
      </c>
      <c r="E75" s="38" t="n"/>
      <c r="F75" s="56">
        <f>IF($A75="","",ROUND(SUMIF($L$49:$L$60,$A75,$N$49:$N$60),2))</f>
        <v/>
      </c>
      <c r="G75" s="38" t="n"/>
      <c r="H75" s="56">
        <f>IF($A75="","",IF($A75=$F$9,IF($D$65="",0,$D$65),0)+IF($A75=$H$66,IF($D$66="",0,$D$66),0))</f>
        <v/>
      </c>
      <c r="I75" s="38" t="n"/>
      <c r="J75" s="88">
        <f>IF($A75="","",ROUND($B75+$D75+$F75+$H75,2))</f>
        <v/>
      </c>
      <c r="K75" s="38" t="n"/>
      <c r="L75" s="38" t="n"/>
      <c r="M75" s="38" t="n"/>
    </row>
    <row r="76" ht="17" customHeight="1">
      <c r="A76" s="87" t="inlineStr">
        <is>
          <t>Samuel</t>
        </is>
      </c>
      <c r="B76" s="56">
        <f>IF($A76="","",ROUND(SUMIF($D$49:$D$60,$A76,$F$49:$F$60),2))</f>
        <v/>
      </c>
      <c r="C76" s="38" t="n"/>
      <c r="D76" s="56">
        <f>IF($A76="","",ROUND(SUMIF($H$49:$H$60,$A76,$J$49:$J$60),2))</f>
        <v/>
      </c>
      <c r="E76" s="38" t="n"/>
      <c r="F76" s="56">
        <f>IF($A76="","",ROUND(SUMIF($L$49:$L$60,$A76,$N$49:$N$60),2))</f>
        <v/>
      </c>
      <c r="G76" s="38" t="n"/>
      <c r="H76" s="56">
        <f>IF($A76="","",IF($A76=$F$9,IF($D$65="",0,$D$65),0)+IF($A76=$H$66,IF($D$66="",0,$D$66),0))</f>
        <v/>
      </c>
      <c r="I76" s="38" t="n"/>
      <c r="J76" s="88">
        <f>IF($A76="","",ROUND($B76+$D76+$F76+$H76,2))</f>
        <v/>
      </c>
      <c r="K76" s="38" t="n"/>
      <c r="L76" s="38" t="n"/>
      <c r="M76" s="38" t="n"/>
    </row>
    <row r="77" ht="17" customHeight="1">
      <c r="A77" s="87" t="inlineStr">
        <is>
          <t>Cesar</t>
        </is>
      </c>
      <c r="B77" s="56">
        <f>IF($A77="","",ROUND(SUMIF($D$49:$D$60,$A77,$F$49:$F$60),2))</f>
        <v/>
      </c>
      <c r="C77" s="38" t="n"/>
      <c r="D77" s="56">
        <f>IF($A77="","",ROUND(SUMIF($H$49:$H$60,$A77,$J$49:$J$60),2))</f>
        <v/>
      </c>
      <c r="E77" s="38" t="n"/>
      <c r="F77" s="56">
        <f>IF($A77="","",ROUND(SUMIF($L$49:$L$60,$A77,$N$49:$N$60),2))</f>
        <v/>
      </c>
      <c r="G77" s="38" t="n"/>
      <c r="H77" s="56">
        <f>IF($A77="","",IF($A77=$F$9,IF($D$65="",0,$D$65),0)+IF($A77=$H$66,IF($D$66="",0,$D$66),0))</f>
        <v/>
      </c>
      <c r="I77" s="38" t="n"/>
      <c r="J77" s="88">
        <f>IF($A77="","",ROUND($B77+$D77+$F77+$H77,2))</f>
        <v/>
      </c>
      <c r="K77" s="38" t="n"/>
      <c r="L77" s="38" t="n"/>
      <c r="M77" s="38" t="n"/>
    </row>
    <row r="78" ht="17" customHeight="1">
      <c r="A78" s="87" t="inlineStr">
        <is>
          <t>Jhon</t>
        </is>
      </c>
      <c r="B78" s="56">
        <f>IF($A78="","",ROUND(SUMIF($D$49:$D$60,$A78,$F$49:$F$60),2))</f>
        <v/>
      </c>
      <c r="C78" s="38" t="n"/>
      <c r="D78" s="56">
        <f>IF($A78="","",ROUND(SUMIF($H$49:$H$60,$A78,$J$49:$J$60),2))</f>
        <v/>
      </c>
      <c r="E78" s="38" t="n"/>
      <c r="F78" s="56">
        <f>IF($A78="","",ROUND(SUMIF($L$49:$L$60,$A78,$N$49:$N$60),2))</f>
        <v/>
      </c>
      <c r="G78" s="38" t="n"/>
      <c r="H78" s="56">
        <f>IF($A78="","",IF($A78=$F$9,IF($D$65="",0,$D$65),0)+IF($A78=$H$66,IF($D$66="",0,$D$66),0))</f>
        <v/>
      </c>
      <c r="I78" s="38" t="n"/>
      <c r="J78" s="88">
        <f>IF($A78="","",ROUND($B78+$D78+$F78+$H78,2))</f>
        <v/>
      </c>
      <c r="K78" s="38" t="n"/>
      <c r="L78" s="38" t="n"/>
      <c r="M78" s="38" t="n"/>
    </row>
    <row r="79" ht="17" customHeight="1">
      <c r="A79" s="87" t="inlineStr">
        <is>
          <t>Joelson</t>
        </is>
      </c>
      <c r="B79" s="56">
        <f>IF($A79="","",ROUND(SUMIF($D$49:$D$60,$A79,$F$49:$F$60),2))</f>
        <v/>
      </c>
      <c r="C79" s="38" t="n"/>
      <c r="D79" s="56">
        <f>IF($A79="","",ROUND(SUMIF($H$49:$H$60,$A79,$J$49:$J$60),2))</f>
        <v/>
      </c>
      <c r="E79" s="38" t="n"/>
      <c r="F79" s="56">
        <f>IF($A79="","",ROUND(SUMIF($L$49:$L$60,$A79,$N$49:$N$60),2))</f>
        <v/>
      </c>
      <c r="G79" s="38" t="n"/>
      <c r="H79" s="56">
        <f>IF($A79="","",IF($A79=$F$9,IF($D$65="",0,$D$65),0)+IF($A79=$H$66,IF($D$66="",0,$D$66),0))</f>
        <v/>
      </c>
      <c r="I79" s="38" t="n"/>
      <c r="J79" s="88">
        <f>IF($A79="","",ROUND($B79+$D79+$F79+$H79,2))</f>
        <v/>
      </c>
      <c r="K79" s="38" t="n"/>
      <c r="L79" s="38" t="n"/>
      <c r="M79" s="38" t="n"/>
    </row>
    <row r="80" ht="17" customHeight="1">
      <c r="A80" s="87" t="inlineStr">
        <is>
          <t>Davi</t>
        </is>
      </c>
      <c r="B80" s="56">
        <f>IF($A80="","",ROUND(SUMIF($D$49:$D$60,$A80,$F$49:$F$60),2))</f>
        <v/>
      </c>
      <c r="C80" s="38" t="n"/>
      <c r="D80" s="56">
        <f>IF($A80="","",ROUND(SUMIF($H$49:$H$60,$A80,$J$49:$J$60),2))</f>
        <v/>
      </c>
      <c r="E80" s="38" t="n"/>
      <c r="F80" s="56">
        <f>IF($A80="","",ROUND(SUMIF($L$49:$L$60,$A80,$N$49:$N$60),2))</f>
        <v/>
      </c>
      <c r="G80" s="38" t="n"/>
      <c r="H80" s="56">
        <f>IF($A80="","",IF($A80=$F$9,IF($D$65="",0,$D$65),0)+IF($A80=$H$66,IF($D$66="",0,$D$66),0))</f>
        <v/>
      </c>
      <c r="I80" s="38" t="n"/>
      <c r="J80" s="88">
        <f>IF($A80="","",ROUND($B80+$D80+$F80+$H80,2))</f>
        <v/>
      </c>
      <c r="K80" s="38" t="n"/>
      <c r="L80" s="38" t="n"/>
      <c r="M80" s="38" t="n"/>
    </row>
    <row r="81" ht="17" customHeight="1">
      <c r="A81" s="87" t="inlineStr">
        <is>
          <t>Jomar</t>
        </is>
      </c>
      <c r="B81" s="56">
        <f>IF($A81="","",ROUND(SUMIF($D$49:$D$60,$A81,$F$49:$F$60),2))</f>
        <v/>
      </c>
      <c r="C81" s="38" t="n"/>
      <c r="D81" s="56">
        <f>IF($A81="","",ROUND(SUMIF($H$49:$H$60,$A81,$J$49:$J$60),2))</f>
        <v/>
      </c>
      <c r="E81" s="38" t="n"/>
      <c r="F81" s="56">
        <f>IF($A81="","",ROUND(SUMIF($L$49:$L$60,$A81,$N$49:$N$60),2))</f>
        <v/>
      </c>
      <c r="G81" s="38" t="n"/>
      <c r="H81" s="56">
        <f>IF($A81="","",IF($A81=$F$9,IF($D$65="",0,$D$65),0)+IF($A81=$H$66,IF($D$66="",0,$D$66),0))</f>
        <v/>
      </c>
      <c r="I81" s="38" t="n"/>
      <c r="J81" s="88">
        <f>IF($A81="","",ROUND($B81+$D81+$F81+$H81,2))</f>
        <v/>
      </c>
      <c r="K81" s="38" t="n"/>
      <c r="L81" s="38" t="n"/>
      <c r="M81" s="38" t="n"/>
    </row>
    <row r="82" ht="17" customHeight="1">
      <c r="A82" s="87" t="inlineStr">
        <is>
          <t>Bruno</t>
        </is>
      </c>
      <c r="B82" s="56">
        <f>IF($A82="","",ROUND(SUMIF($D$49:$D$60,$A82,$F$49:$F$60),2))</f>
        <v/>
      </c>
      <c r="C82" s="38" t="n"/>
      <c r="D82" s="56">
        <f>IF($A82="","",ROUND(SUMIF($H$49:$H$60,$A82,$J$49:$J$60),2))</f>
        <v/>
      </c>
      <c r="E82" s="38" t="n"/>
      <c r="F82" s="56">
        <f>IF($A82="","",ROUND(SUMIF($L$49:$L$60,$A82,$N$49:$N$60),2))</f>
        <v/>
      </c>
      <c r="G82" s="38" t="n"/>
      <c r="H82" s="56">
        <f>IF($A82="","",IF($A82=$F$9,IF($D$65="",0,$D$65),0)+IF($A82=$H$66,IF($D$66="",0,$D$66),0))</f>
        <v/>
      </c>
      <c r="I82" s="38" t="n"/>
      <c r="J82" s="88">
        <f>IF($A82="","",ROUND($B82+$D82+$F82+$H82,2))</f>
        <v/>
      </c>
      <c r="K82" s="38" t="n"/>
      <c r="L82" s="38" t="n"/>
      <c r="M82" s="38" t="n"/>
    </row>
    <row r="83" ht="17" customHeight="1">
      <c r="A83" s="87" t="inlineStr">
        <is>
          <t>Wallace</t>
        </is>
      </c>
      <c r="B83" s="56">
        <f>IF($A83="","",ROUND(SUMIF($D$49:$D$60,$A83,$F$49:$F$60),2))</f>
        <v/>
      </c>
      <c r="C83" s="38" t="n"/>
      <c r="D83" s="56">
        <f>IF($A83="","",ROUND(SUMIF($H$49:$H$60,$A83,$J$49:$J$60),2))</f>
        <v/>
      </c>
      <c r="E83" s="38" t="n"/>
      <c r="F83" s="56">
        <f>IF($A83="","",ROUND(SUMIF($L$49:$L$60,$A83,$N$49:$N$60),2))</f>
        <v/>
      </c>
      <c r="G83" s="38" t="n"/>
      <c r="H83" s="56">
        <f>IF($A83="","",IF($A83=$F$9,IF($D$65="",0,$D$65),0)+IF($A83=$H$66,IF($D$66="",0,$D$66),0))</f>
        <v/>
      </c>
      <c r="I83" s="38" t="n"/>
      <c r="J83" s="88">
        <f>IF($A83="","",ROUND($B83+$D83+$F83+$H83,2))</f>
        <v/>
      </c>
      <c r="K83" s="38" t="n"/>
      <c r="L83" s="38" t="n"/>
      <c r="M83" s="38" t="n"/>
    </row>
    <row r="84" ht="17" customHeight="1">
      <c r="A84" s="87" t="inlineStr">
        <is>
          <t>Douglas</t>
        </is>
      </c>
      <c r="B84" s="56">
        <f>IF($A84="","",ROUND(SUMIF($D$49:$D$60,$A84,$F$49:$F$60),2))</f>
        <v/>
      </c>
      <c r="C84" s="38" t="n"/>
      <c r="D84" s="56">
        <f>IF($A84="","",ROUND(SUMIF($H$49:$H$60,$A84,$J$49:$J$60),2))</f>
        <v/>
      </c>
      <c r="E84" s="38" t="n"/>
      <c r="F84" s="56">
        <f>IF($A84="","",ROUND(SUMIF($L$49:$L$60,$A84,$N$49:$N$60),2))</f>
        <v/>
      </c>
      <c r="G84" s="38" t="n"/>
      <c r="H84" s="56">
        <f>IF($A84="","",IF($A84=$F$9,IF($D$65="",0,$D$65),0)+IF($A84=$H$66,IF($D$66="",0,$D$66),0))</f>
        <v/>
      </c>
      <c r="I84" s="38" t="n"/>
      <c r="J84" s="88">
        <f>IF($A84="","",ROUND($B84+$D84+$F84+$H84,2))</f>
        <v/>
      </c>
      <c r="K84" s="38" t="n"/>
      <c r="L84" s="38" t="n"/>
      <c r="M84" s="38" t="n"/>
    </row>
    <row r="85" ht="17" customHeight="1">
      <c r="A85" s="87" t="inlineStr">
        <is>
          <t>Terceiro / avulso</t>
        </is>
      </c>
      <c r="B85" s="56">
        <f>IF($A85="","",ROUND(SUMIF($D$49:$D$60,$A85,$F$49:$F$60),2))</f>
        <v/>
      </c>
      <c r="C85" s="38" t="n"/>
      <c r="D85" s="56">
        <f>IF($A85="","",ROUND(SUMIF($H$49:$H$60,$A85,$J$49:$J$60),2))</f>
        <v/>
      </c>
      <c r="E85" s="38" t="n"/>
      <c r="F85" s="56">
        <f>IF($A85="","",ROUND(SUMIF($L$49:$L$60,$A85,$N$49:$N$60),2))</f>
        <v/>
      </c>
      <c r="G85" s="38" t="n"/>
      <c r="H85" s="56">
        <f>IF($A85="","",IF($A85=$F$9,IF($D$65="",0,$D$65),0)+IF($A85=$H$66,IF($D$66="",0,$D$66),0))</f>
        <v/>
      </c>
      <c r="I85" s="38" t="n"/>
      <c r="J85" s="88">
        <f>IF($A85="","",ROUND($B85+$D85+$F85+$H85,2))</f>
        <v/>
      </c>
      <c r="K85" s="38" t="n"/>
      <c r="L85" s="38" t="n"/>
      <c r="M85" s="38" t="n"/>
    </row>
    <row r="86" ht="17" customHeight="1">
      <c r="A86" s="87" t="inlineStr">
        <is>
          <t>Lorrane</t>
        </is>
      </c>
      <c r="B86" s="56">
        <f>IF($A86="","",ROUND(SUMIF($D$49:$D$60,$A86,$F$49:$F$60),2))</f>
        <v/>
      </c>
      <c r="C86" s="38" t="n"/>
      <c r="D86" s="56">
        <f>IF($A86="","",ROUND(SUMIF($H$49:$H$60,$A86,$J$49:$J$60),2))</f>
        <v/>
      </c>
      <c r="E86" s="38" t="n"/>
      <c r="F86" s="56">
        <f>IF($A86="","",ROUND(SUMIF($L$49:$L$60,$A86,$N$49:$N$60),2))</f>
        <v/>
      </c>
      <c r="G86" s="38" t="n"/>
      <c r="H86" s="56">
        <f>IF($A86="","",IF($A86=$F$9,IF($D$65="",0,$D$65),0)+IF($A86=$H$66,IF($D$66="",0,$D$66),0))</f>
        <v/>
      </c>
      <c r="I86" s="38" t="n"/>
      <c r="J86" s="88">
        <f>IF($A86="","",ROUND($B86+$D86+$F86+$H86,2))</f>
        <v/>
      </c>
      <c r="K86" s="38" t="n"/>
      <c r="L86" s="38" t="n"/>
      <c r="M86" s="38" t="n"/>
    </row>
    <row r="87" ht="17" customHeight="1">
      <c r="A87" s="87" t="inlineStr">
        <is>
          <t>Lucas</t>
        </is>
      </c>
      <c r="B87" s="56">
        <f>IF($A87="","",ROUND(SUMIF($D$49:$D$60,$A87,$F$49:$F$60),2))</f>
        <v/>
      </c>
      <c r="C87" s="38" t="n"/>
      <c r="D87" s="56">
        <f>IF($A87="","",ROUND(SUMIF($H$49:$H$60,$A87,$J$49:$J$60),2))</f>
        <v/>
      </c>
      <c r="E87" s="38" t="n"/>
      <c r="F87" s="56">
        <f>IF($A87="","",ROUND(SUMIF($L$49:$L$60,$A87,$N$49:$N$60),2))</f>
        <v/>
      </c>
      <c r="G87" s="38" t="n"/>
      <c r="H87" s="56">
        <f>IF($A87="","",IF($A87=$F$9,IF($D$65="",0,$D$65),0)+IF($A87=$H$66,IF($D$66="",0,$D$66),0))</f>
        <v/>
      </c>
      <c r="I87" s="38" t="n"/>
      <c r="J87" s="88">
        <f>IF($A87="","",ROUND($B87+$D87+$F87+$H87,2))</f>
        <v/>
      </c>
      <c r="K87" s="38" t="n"/>
      <c r="L87" s="38" t="n"/>
      <c r="M87" s="38" t="n"/>
    </row>
    <row r="88" ht="17" customHeight="1">
      <c r="A88" s="87" t="inlineStr">
        <is>
          <t>Externo / avulso</t>
        </is>
      </c>
      <c r="B88" s="56">
        <f>IF($A88="","",ROUND(SUMIF($D$49:$D$60,$A88,$F$49:$F$60),2))</f>
        <v/>
      </c>
      <c r="C88" s="38" t="n"/>
      <c r="D88" s="56">
        <f>IF($A88="","",ROUND(SUMIF($H$49:$H$60,$A88,$J$49:$J$60),2))</f>
        <v/>
      </c>
      <c r="E88" s="38" t="n"/>
      <c r="F88" s="56">
        <f>IF($A88="","",ROUND(SUMIF($L$49:$L$60,$A88,$N$49:$N$60),2))</f>
        <v/>
      </c>
      <c r="G88" s="38" t="n"/>
      <c r="H88" s="56">
        <f>IF($A88="","",IF($A88=$F$9,IF($D$65="",0,$D$65),0)+IF($A88=$H$66,IF($D$66="",0,$D$66),0))</f>
        <v/>
      </c>
      <c r="I88" s="38" t="n"/>
      <c r="J88" s="88">
        <f>IF($A88="","",ROUND($B88+$D88+$F88+$H88,2))</f>
        <v/>
      </c>
      <c r="K88" s="38" t="n"/>
      <c r="L88" s="38" t="n"/>
      <c r="M88" s="38" t="n"/>
    </row>
    <row r="89" ht="17" customHeight="1">
      <c r="A89" s="87" t="inlineStr">
        <is>
          <t>Bruna</t>
        </is>
      </c>
      <c r="B89" s="56">
        <f>IF($A89="","",ROUND(SUMIF($D$49:$D$60,$A89,$F$49:$F$60),2))</f>
        <v/>
      </c>
      <c r="C89" s="38" t="n"/>
      <c r="D89" s="56">
        <f>IF($A89="","",ROUND(SUMIF($H$49:$H$60,$A89,$J$49:$J$60),2))</f>
        <v/>
      </c>
      <c r="E89" s="38" t="n"/>
      <c r="F89" s="56">
        <f>IF($A89="","",ROUND(SUMIF($L$49:$L$60,$A89,$N$49:$N$60),2))</f>
        <v/>
      </c>
      <c r="G89" s="38" t="n"/>
      <c r="H89" s="56">
        <f>IF($A89="","",IF($A89=$F$9,IF($D$65="",0,$D$65),0)+IF($A89=$H$66,IF($D$66="",0,$D$66),0))</f>
        <v/>
      </c>
      <c r="I89" s="38" t="n"/>
      <c r="J89" s="88">
        <f>IF($A89="","",ROUND($B89+$D89+$F89+$H89,2))</f>
        <v/>
      </c>
      <c r="K89" s="38" t="n"/>
      <c r="L89" s="38" t="n"/>
      <c r="M89" s="38" t="n"/>
    </row>
    <row r="90" ht="17" customHeight="1">
      <c r="A90" s="87" t="n"/>
      <c r="B90" s="56">
        <f>IF($A90="","",ROUND(SUMIF($D$49:$D$60,$A90,$F$49:$F$60),2))</f>
        <v/>
      </c>
      <c r="C90" s="38" t="n"/>
      <c r="D90" s="56">
        <f>IF($A90="","",ROUND(SUMIF($H$49:$H$60,$A90,$J$49:$J$60),2))</f>
        <v/>
      </c>
      <c r="E90" s="38" t="n"/>
      <c r="F90" s="56">
        <f>IF($A90="","",ROUND(SUMIF($L$49:$L$60,$A90,$N$49:$N$60),2))</f>
        <v/>
      </c>
      <c r="G90" s="38" t="n"/>
      <c r="H90" s="56">
        <f>IF($A90="","",IF($A90=$F$9,IF($D$65="",0,$D$65),0)+IF($A90=$H$66,IF($D$66="",0,$D$66),0))</f>
        <v/>
      </c>
      <c r="I90" s="38" t="n"/>
      <c r="J90" s="88">
        <f>IF($A90="","",ROUND($B90+$D90+$F90+$H90,2))</f>
        <v/>
      </c>
      <c r="K90" s="38" t="n"/>
      <c r="L90" s="38" t="n"/>
      <c r="M90" s="38" t="n"/>
    </row>
    <row r="91" ht="17" customHeight="1">
      <c r="A91" s="87" t="n"/>
      <c r="B91" s="56">
        <f>IF($A91="","",ROUND(SUMIF($D$49:$D$60,$A91,$F$49:$F$60),2))</f>
        <v/>
      </c>
      <c r="C91" s="38" t="n"/>
      <c r="D91" s="56">
        <f>IF($A91="","",ROUND(SUMIF($H$49:$H$60,$A91,$J$49:$J$60),2))</f>
        <v/>
      </c>
      <c r="E91" s="38" t="n"/>
      <c r="F91" s="56">
        <f>IF($A91="","",ROUND(SUMIF($L$49:$L$60,$A91,$N$49:$N$60),2))</f>
        <v/>
      </c>
      <c r="G91" s="38" t="n"/>
      <c r="H91" s="56">
        <f>IF($A91="","",IF($A91=$F$9,IF($D$65="",0,$D$65),0)+IF($A91=$H$66,IF($D$66="",0,$D$66),0))</f>
        <v/>
      </c>
      <c r="I91" s="38" t="n"/>
      <c r="J91" s="88">
        <f>IF($A91="","",ROUND($B91+$D91+$F91+$H91,2))</f>
        <v/>
      </c>
      <c r="K91" s="38" t="n"/>
      <c r="L91" s="38" t="n"/>
      <c r="M91" s="38" t="n"/>
    </row>
    <row r="92" ht="20" customHeight="1">
      <c r="A92" s="31" t="inlineStr">
        <is>
          <t>TOTAL</t>
        </is>
      </c>
      <c r="B92" s="60">
        <f>ROUND(SUM(B74:B91),2)</f>
        <v/>
      </c>
      <c r="C92" s="32" t="n"/>
      <c r="D92" s="60">
        <f>ROUND(SUM(D74:D91),2)</f>
        <v/>
      </c>
      <c r="E92" s="32" t="n"/>
      <c r="F92" s="60">
        <f>ROUND(SUM(F74:F91),2)</f>
        <v/>
      </c>
      <c r="G92" s="32" t="n"/>
      <c r="H92" s="60">
        <f>ROUND(SUM(H74:H91),2)</f>
        <v/>
      </c>
      <c r="I92" s="32" t="n"/>
      <c r="J92" s="60">
        <f>ROUND(SUM(J74:J91),2)</f>
        <v/>
      </c>
      <c r="K92" s="32" t="n"/>
      <c r="L92" s="32" t="n"/>
      <c r="M92" s="32" t="n"/>
    </row>
    <row r="93" ht="8" customHeight="1"/>
    <row r="94" ht="20" customHeight="1">
      <c r="A94" s="8" t="inlineStr">
        <is>
          <t xml:space="preserve">  6 · MATERIAL, TERCEIRIZADOS E LOGÍSTICA          o orçado você digita · o realizado vem sozinho do livro de lançamentos, lá no fim da ficha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</row>
    <row r="95" ht="30" customHeight="1">
      <c r="A95" s="19" t="inlineStr">
        <is>
          <t>Categoria</t>
        </is>
      </c>
      <c r="B95" s="19" t="inlineStr"/>
      <c r="C95" s="19" t="inlineStr">
        <is>
          <t>Orçado (R$)</t>
        </is>
      </c>
      <c r="D95" s="19" t="inlineStr">
        <is>
          <t>Realizado (R$)</t>
        </is>
      </c>
      <c r="E95" s="19" t="inlineStr">
        <is>
          <t>Desvio (R$)</t>
        </is>
      </c>
      <c r="F95" s="35" t="n"/>
      <c r="G95" s="19" t="inlineStr">
        <is>
          <t>Ainda a comprar</t>
        </is>
      </c>
      <c r="H95" s="19" t="inlineStr">
        <is>
          <t>Comprado, ainda a pagar</t>
        </is>
      </c>
      <c r="I95" s="35" t="n"/>
      <c r="J95" s="35" t="n"/>
      <c r="K95" s="35" t="n"/>
      <c r="L95" s="35" t="n"/>
      <c r="M95" s="35" t="n"/>
      <c r="N95" s="35" t="n"/>
      <c r="O95" s="35" t="n"/>
    </row>
    <row r="96" ht="17" customHeight="1">
      <c r="A96" s="36" t="inlineStr">
        <is>
          <t>MDF e MDP</t>
        </is>
      </c>
      <c r="B96" s="37" t="n"/>
      <c r="C96" s="71" t="n"/>
      <c r="D96" s="56">
        <f>ROUND(SUMIFS($E$134:$E$193,$B$134:$B$193,$A96,$I$134:$I$193,"Comprado (a pagar)")+SUMIFS($E$134:$E$193,$B$134:$B$193,$A96,$I$134:$I$193,"Pago"),2)</f>
        <v/>
      </c>
      <c r="E96" s="56">
        <f>IF($C96="","",ROUND($D96-$C96,2))</f>
        <v/>
      </c>
      <c r="F96" s="38" t="n"/>
      <c r="G96" s="89">
        <f>ROUND(SUMIFS($E$134:$E$193,$B$134:$B$193,$A96,$I$134:$I$193,"A comprar"),2)</f>
        <v/>
      </c>
      <c r="H96" s="90">
        <f>ROUND(SUMIFS($E$134:$E$193,$B$134:$B$193,$A96,$I$134:$I$193,"Comprado (a pagar)"),2)</f>
        <v/>
      </c>
      <c r="I96" s="38" t="n"/>
      <c r="J96" s="38" t="n"/>
      <c r="K96" s="38" t="n"/>
      <c r="L96" s="38" t="n"/>
      <c r="M96" s="38" t="n"/>
      <c r="N96" s="38" t="n"/>
      <c r="O96" s="38" t="n"/>
    </row>
    <row r="97" ht="17" customHeight="1">
      <c r="A97" s="36" t="inlineStr">
        <is>
          <t>Fita de borda</t>
        </is>
      </c>
      <c r="B97" s="37" t="n"/>
      <c r="C97" s="71" t="n"/>
      <c r="D97" s="56">
        <f>ROUND(SUMIFS($E$134:$E$193,$B$134:$B$193,$A97,$I$134:$I$193,"Comprado (a pagar)")+SUMIFS($E$134:$E$193,$B$134:$B$193,$A97,$I$134:$I$193,"Pago"),2)</f>
        <v/>
      </c>
      <c r="E97" s="56">
        <f>IF($C97="","",ROUND($D97-$C97,2))</f>
        <v/>
      </c>
      <c r="F97" s="38" t="n"/>
      <c r="G97" s="89">
        <f>ROUND(SUMIFS($E$134:$E$193,$B$134:$B$193,$A97,$I$134:$I$193,"A comprar"),2)</f>
        <v/>
      </c>
      <c r="H97" s="90">
        <f>ROUND(SUMIFS($E$134:$E$193,$B$134:$B$193,$A97,$I$134:$I$193,"Comprado (a pagar)"),2)</f>
        <v/>
      </c>
      <c r="I97" s="38" t="n"/>
      <c r="J97" s="38" t="n"/>
      <c r="K97" s="38" t="n"/>
      <c r="L97" s="38" t="n"/>
      <c r="M97" s="38" t="n"/>
      <c r="N97" s="38" t="n"/>
      <c r="O97" s="38" t="n"/>
    </row>
    <row r="98" ht="17" customHeight="1">
      <c r="A98" s="36" t="inlineStr">
        <is>
          <t>Ferragens</t>
        </is>
      </c>
      <c r="B98" s="37" t="n"/>
      <c r="C98" s="71" t="n"/>
      <c r="D98" s="56">
        <f>ROUND(SUMIFS($E$134:$E$193,$B$134:$B$193,$A98,$I$134:$I$193,"Comprado (a pagar)")+SUMIFS($E$134:$E$193,$B$134:$B$193,$A98,$I$134:$I$193,"Pago"),2)</f>
        <v/>
      </c>
      <c r="E98" s="56">
        <f>IF($C98="","",ROUND($D98-$C98,2))</f>
        <v/>
      </c>
      <c r="F98" s="38" t="n"/>
      <c r="G98" s="89">
        <f>ROUND(SUMIFS($E$134:$E$193,$B$134:$B$193,$A98,$I$134:$I$193,"A comprar"),2)</f>
        <v/>
      </c>
      <c r="H98" s="90">
        <f>ROUND(SUMIFS($E$134:$E$193,$B$134:$B$193,$A98,$I$134:$I$193,"Comprado (a pagar)"),2)</f>
        <v/>
      </c>
      <c r="I98" s="38" t="n"/>
      <c r="J98" s="38" t="n"/>
      <c r="K98" s="38" t="n"/>
      <c r="L98" s="38" t="n"/>
      <c r="M98" s="38" t="n"/>
      <c r="N98" s="38" t="n"/>
      <c r="O98" s="38" t="n"/>
    </row>
    <row r="99" ht="17" customHeight="1">
      <c r="A99" s="36" t="inlineStr">
        <is>
          <t>Vidros e espelhos</t>
        </is>
      </c>
      <c r="B99" s="37" t="n"/>
      <c r="C99" s="71" t="n"/>
      <c r="D99" s="56">
        <f>ROUND(SUMIFS($E$134:$E$193,$B$134:$B$193,$A99,$I$134:$I$193,"Comprado (a pagar)")+SUMIFS($E$134:$E$193,$B$134:$B$193,$A99,$I$134:$I$193,"Pago"),2)</f>
        <v/>
      </c>
      <c r="E99" s="56">
        <f>IF($C99="","",ROUND($D99-$C99,2))</f>
        <v/>
      </c>
      <c r="F99" s="38" t="n"/>
      <c r="G99" s="89">
        <f>ROUND(SUMIFS($E$134:$E$193,$B$134:$B$193,$A99,$I$134:$I$193,"A comprar"),2)</f>
        <v/>
      </c>
      <c r="H99" s="90">
        <f>ROUND(SUMIFS($E$134:$E$193,$B$134:$B$193,$A99,$I$134:$I$193,"Comprado (a pagar)"),2)</f>
        <v/>
      </c>
      <c r="I99" s="38" t="n"/>
      <c r="J99" s="38" t="n"/>
      <c r="K99" s="38" t="n"/>
      <c r="L99" s="38" t="n"/>
      <c r="M99" s="38" t="n"/>
      <c r="N99" s="38" t="n"/>
      <c r="O99" s="38" t="n"/>
    </row>
    <row r="100" ht="17" customHeight="1">
      <c r="A100" s="36" t="inlineStr">
        <is>
          <t>Esquadrias</t>
        </is>
      </c>
      <c r="B100" s="37" t="n"/>
      <c r="C100" s="71" t="n"/>
      <c r="D100" s="56">
        <f>ROUND(SUMIFS($E$134:$E$193,$B$134:$B$193,$A100,$I$134:$I$193,"Comprado (a pagar)")+SUMIFS($E$134:$E$193,$B$134:$B$193,$A100,$I$134:$I$193,"Pago"),2)</f>
        <v/>
      </c>
      <c r="E100" s="56">
        <f>IF($C100="","",ROUND($D100-$C100,2))</f>
        <v/>
      </c>
      <c r="F100" s="38" t="n"/>
      <c r="G100" s="89">
        <f>ROUND(SUMIFS($E$134:$E$193,$B$134:$B$193,$A100,$I$134:$I$193,"A comprar"),2)</f>
        <v/>
      </c>
      <c r="H100" s="90">
        <f>ROUND(SUMIFS($E$134:$E$193,$B$134:$B$193,$A100,$I$134:$I$193,"Comprado (a pagar)"),2)</f>
        <v/>
      </c>
      <c r="I100" s="38" t="n"/>
      <c r="J100" s="38" t="n"/>
      <c r="K100" s="38" t="n"/>
      <c r="L100" s="38" t="n"/>
      <c r="M100" s="38" t="n"/>
      <c r="N100" s="38" t="n"/>
      <c r="O100" s="38" t="n"/>
    </row>
    <row r="101" ht="17" customHeight="1">
      <c r="A101" s="36" t="inlineStr">
        <is>
          <t>Lâmina natural</t>
        </is>
      </c>
      <c r="B101" s="37" t="n"/>
      <c r="C101" s="71" t="n"/>
      <c r="D101" s="56">
        <f>ROUND(SUMIFS($E$134:$E$193,$B$134:$B$193,$A101,$I$134:$I$193,"Comprado (a pagar)")+SUMIFS($E$134:$E$193,$B$134:$B$193,$A101,$I$134:$I$193,"Pago"),2)</f>
        <v/>
      </c>
      <c r="E101" s="56">
        <f>IF($C101="","",ROUND($D101-$C101,2))</f>
        <v/>
      </c>
      <c r="F101" s="38" t="n"/>
      <c r="G101" s="89">
        <f>ROUND(SUMIFS($E$134:$E$193,$B$134:$B$193,$A101,$I$134:$I$193,"A comprar"),2)</f>
        <v/>
      </c>
      <c r="H101" s="90">
        <f>ROUND(SUMIFS($E$134:$E$193,$B$134:$B$193,$A101,$I$134:$I$193,"Comprado (a pagar)"),2)</f>
        <v/>
      </c>
      <c r="I101" s="38" t="n"/>
      <c r="J101" s="38" t="n"/>
      <c r="K101" s="38" t="n"/>
      <c r="L101" s="38" t="n"/>
      <c r="M101" s="38" t="n"/>
      <c r="N101" s="38" t="n"/>
      <c r="O101" s="38" t="n"/>
    </row>
    <row r="102" ht="17" customHeight="1">
      <c r="A102" s="36" t="inlineStr">
        <is>
          <t>Consumíveis</t>
        </is>
      </c>
      <c r="B102" s="37" t="n"/>
      <c r="C102" s="71" t="n"/>
      <c r="D102" s="56">
        <f>ROUND(SUMIFS($E$134:$E$193,$B$134:$B$193,$A102,$I$134:$I$193,"Comprado (a pagar)")+SUMIFS($E$134:$E$193,$B$134:$B$193,$A102,$I$134:$I$193,"Pago"),2)</f>
        <v/>
      </c>
      <c r="E102" s="56">
        <f>IF($C102="","",ROUND($D102-$C102,2))</f>
        <v/>
      </c>
      <c r="F102" s="38" t="n"/>
      <c r="G102" s="89">
        <f>ROUND(SUMIFS($E$134:$E$193,$B$134:$B$193,$A102,$I$134:$I$193,"A comprar"),2)</f>
        <v/>
      </c>
      <c r="H102" s="90">
        <f>ROUND(SUMIFS($E$134:$E$193,$B$134:$B$193,$A102,$I$134:$I$193,"Comprado (a pagar)"),2)</f>
        <v/>
      </c>
      <c r="I102" s="38" t="n"/>
      <c r="J102" s="38" t="n"/>
      <c r="K102" s="38" t="n"/>
      <c r="L102" s="38" t="n"/>
      <c r="M102" s="38" t="n"/>
      <c r="N102" s="38" t="n"/>
      <c r="O102" s="38" t="n"/>
    </row>
    <row r="103" ht="20" customHeight="1">
      <c r="A103" s="31" t="inlineStr">
        <is>
          <t>(=) SUBTOTAL · MATERIAL</t>
        </is>
      </c>
      <c r="B103" s="32" t="n"/>
      <c r="C103" s="60">
        <f>ROUND(SUM(C96:C102),2)</f>
        <v/>
      </c>
      <c r="D103" s="60">
        <f>ROUND(SUM(D96:D102),2)</f>
        <v/>
      </c>
      <c r="E103" s="60">
        <f>ROUND(SUM(E96:E102),2)</f>
        <v/>
      </c>
      <c r="F103" s="32" t="n"/>
      <c r="G103" s="60">
        <f>ROUND(SUM(G96:G102),2)</f>
        <v/>
      </c>
      <c r="H103" s="60">
        <f>ROUND(SUM(H96:H102),2)</f>
        <v/>
      </c>
      <c r="I103" s="32" t="n"/>
      <c r="J103" s="32" t="n"/>
      <c r="K103" s="32" t="n"/>
      <c r="L103" s="32" t="n"/>
      <c r="M103" s="32" t="n"/>
      <c r="N103" s="32" t="n"/>
      <c r="O103" s="32" t="n"/>
    </row>
    <row r="104" ht="17" customHeight="1">
      <c r="A104" s="36" t="inlineStr">
        <is>
          <t>Acabamento</t>
        </is>
      </c>
      <c r="B104" s="37" t="n"/>
      <c r="C104" s="71" t="n"/>
      <c r="D104" s="56">
        <f>ROUND(SUMIFS($E$134:$E$193,$B$134:$B$193,$A104,$I$134:$I$193,"Comprado (a pagar)")+SUMIFS($E$134:$E$193,$B$134:$B$193,$A104,$I$134:$I$193,"Pago"),2)</f>
        <v/>
      </c>
      <c r="E104" s="56">
        <f>IF($C104="","",ROUND($D104-$C104,2))</f>
        <v/>
      </c>
      <c r="F104" s="38" t="n"/>
      <c r="G104" s="89">
        <f>ROUND(SUMIFS($E$134:$E$193,$B$134:$B$193,$A104,$I$134:$I$193,"A comprar"),2)</f>
        <v/>
      </c>
      <c r="H104" s="90">
        <f>ROUND(SUMIFS($E$134:$E$193,$B$134:$B$193,$A104,$I$134:$I$193,"Comprado (a pagar)"),2)</f>
        <v/>
      </c>
      <c r="I104" s="38" t="n"/>
      <c r="J104" s="38" t="n"/>
      <c r="K104" s="38" t="n"/>
      <c r="L104" s="38" t="n"/>
      <c r="M104" s="38" t="n"/>
      <c r="N104" s="38" t="n"/>
      <c r="O104" s="38" t="n"/>
    </row>
    <row r="105" ht="17" customHeight="1">
      <c r="A105" s="36" t="inlineStr">
        <is>
          <t>Serralheria</t>
        </is>
      </c>
      <c r="B105" s="37" t="n"/>
      <c r="C105" s="71" t="n"/>
      <c r="D105" s="56">
        <f>ROUND(SUMIFS($E$134:$E$193,$B$134:$B$193,$A105,$I$134:$I$193,"Comprado (a pagar)")+SUMIFS($E$134:$E$193,$B$134:$B$193,$A105,$I$134:$I$193,"Pago"),2)</f>
        <v/>
      </c>
      <c r="E105" s="56">
        <f>IF($C105="","",ROUND($D105-$C105,2))</f>
        <v/>
      </c>
      <c r="F105" s="38" t="n"/>
      <c r="G105" s="89">
        <f>ROUND(SUMIFS($E$134:$E$193,$B$134:$B$193,$A105,$I$134:$I$193,"A comprar"),2)</f>
        <v/>
      </c>
      <c r="H105" s="90">
        <f>ROUND(SUMIFS($E$134:$E$193,$B$134:$B$193,$A105,$I$134:$I$193,"Comprado (a pagar)"),2)</f>
        <v/>
      </c>
      <c r="I105" s="38" t="n"/>
      <c r="J105" s="38" t="n"/>
      <c r="K105" s="38" t="n"/>
      <c r="L105" s="38" t="n"/>
      <c r="M105" s="38" t="n"/>
      <c r="N105" s="38" t="n"/>
      <c r="O105" s="38" t="n"/>
    </row>
    <row r="106" ht="17" customHeight="1">
      <c r="A106" s="36" t="inlineStr">
        <is>
          <t>Vidraceiro</t>
        </is>
      </c>
      <c r="B106" s="37" t="n"/>
      <c r="C106" s="71" t="n"/>
      <c r="D106" s="56">
        <f>ROUND(SUMIFS($E$134:$E$193,$B$134:$B$193,$A106,$I$134:$I$193,"Comprado (a pagar)")+SUMIFS($E$134:$E$193,$B$134:$B$193,$A106,$I$134:$I$193,"Pago"),2)</f>
        <v/>
      </c>
      <c r="E106" s="56">
        <f>IF($C106="","",ROUND($D106-$C106,2))</f>
        <v/>
      </c>
      <c r="F106" s="38" t="n"/>
      <c r="G106" s="89">
        <f>ROUND(SUMIFS($E$134:$E$193,$B$134:$B$193,$A106,$I$134:$I$193,"A comprar"),2)</f>
        <v/>
      </c>
      <c r="H106" s="90">
        <f>ROUND(SUMIFS($E$134:$E$193,$B$134:$B$193,$A106,$I$134:$I$193,"Comprado (a pagar)"),2)</f>
        <v/>
      </c>
      <c r="I106" s="38" t="n"/>
      <c r="J106" s="38" t="n"/>
      <c r="K106" s="38" t="n"/>
      <c r="L106" s="38" t="n"/>
      <c r="M106" s="38" t="n"/>
      <c r="N106" s="38" t="n"/>
      <c r="O106" s="38" t="n"/>
    </row>
    <row r="107" ht="17" customHeight="1">
      <c r="A107" s="36" t="inlineStr">
        <is>
          <t>Outro terceirizado</t>
        </is>
      </c>
      <c r="B107" s="37" t="n"/>
      <c r="C107" s="71" t="n"/>
      <c r="D107" s="56">
        <f>ROUND(SUMIFS($E$134:$E$193,$B$134:$B$193,$A107,$I$134:$I$193,"Comprado (a pagar)")+SUMIFS($E$134:$E$193,$B$134:$B$193,$A107,$I$134:$I$193,"Pago"),2)</f>
        <v/>
      </c>
      <c r="E107" s="56">
        <f>IF($C107="","",ROUND($D107-$C107,2))</f>
        <v/>
      </c>
      <c r="F107" s="38" t="n"/>
      <c r="G107" s="89">
        <f>ROUND(SUMIFS($E$134:$E$193,$B$134:$B$193,$A107,$I$134:$I$193,"A comprar"),2)</f>
        <v/>
      </c>
      <c r="H107" s="90">
        <f>ROUND(SUMIFS($E$134:$E$193,$B$134:$B$193,$A107,$I$134:$I$193,"Comprado (a pagar)"),2)</f>
        <v/>
      </c>
      <c r="I107" s="38" t="n"/>
      <c r="J107" s="38" t="n"/>
      <c r="K107" s="38" t="n"/>
      <c r="L107" s="38" t="n"/>
      <c r="M107" s="38" t="n"/>
      <c r="N107" s="38" t="n"/>
      <c r="O107" s="38" t="n"/>
    </row>
    <row r="108" ht="20" customHeight="1">
      <c r="A108" s="31" t="inlineStr">
        <is>
          <t>(=) SUBTOTAL · SERVIÇOS TERCEIRIZADOS</t>
        </is>
      </c>
      <c r="B108" s="32" t="n"/>
      <c r="C108" s="60">
        <f>ROUND(SUM(C104:C107),2)</f>
        <v/>
      </c>
      <c r="D108" s="60">
        <f>ROUND(SUM(D104:D107),2)</f>
        <v/>
      </c>
      <c r="E108" s="60">
        <f>ROUND(SUM(E104:E107),2)</f>
        <v/>
      </c>
      <c r="F108" s="32" t="n"/>
      <c r="G108" s="60">
        <f>ROUND(SUM(G104:G107),2)</f>
        <v/>
      </c>
      <c r="H108" s="60">
        <f>ROUND(SUM(H104:H107),2)</f>
        <v/>
      </c>
      <c r="I108" s="32" t="n"/>
      <c r="J108" s="32" t="n"/>
      <c r="K108" s="32" t="n"/>
      <c r="L108" s="32" t="n"/>
      <c r="M108" s="32" t="n"/>
      <c r="N108" s="32" t="n"/>
      <c r="O108" s="32" t="n"/>
    </row>
    <row r="109" ht="17" customHeight="1">
      <c r="A109" s="36" t="inlineStr">
        <is>
          <t>Uber e aplicativo</t>
        </is>
      </c>
      <c r="B109" s="37" t="n"/>
      <c r="C109" s="71" t="n"/>
      <c r="D109" s="56">
        <f>ROUND(SUMIFS($E$134:$E$193,$B$134:$B$193,$A109,$I$134:$I$193,"Comprado (a pagar)")+SUMIFS($E$134:$E$193,$B$134:$B$193,$A109,$I$134:$I$193,"Pago"),2)</f>
        <v/>
      </c>
      <c r="E109" s="56">
        <f>IF($C109="","",ROUND($D109-$C109,2))</f>
        <v/>
      </c>
      <c r="F109" s="38" t="n"/>
      <c r="G109" s="89">
        <f>ROUND(SUMIFS($E$134:$E$193,$B$134:$B$193,$A109,$I$134:$I$193,"A comprar"),2)</f>
        <v/>
      </c>
      <c r="H109" s="90">
        <f>ROUND(SUMIFS($E$134:$E$193,$B$134:$B$193,$A109,$I$134:$I$193,"Comprado (a pagar)"),2)</f>
        <v/>
      </c>
      <c r="I109" s="38" t="n"/>
      <c r="J109" s="38" t="n"/>
      <c r="K109" s="38" t="n"/>
      <c r="L109" s="38" t="n"/>
      <c r="M109" s="38" t="n"/>
      <c r="N109" s="38" t="n"/>
      <c r="O109" s="38" t="n"/>
    </row>
    <row r="110" ht="17" customHeight="1">
      <c r="A110" s="36" t="inlineStr">
        <is>
          <t>Carreto e entrega</t>
        </is>
      </c>
      <c r="B110" s="37" t="n"/>
      <c r="C110" s="71" t="n"/>
      <c r="D110" s="56">
        <f>ROUND(SUMIFS($E$134:$E$193,$B$134:$B$193,$A110,$I$134:$I$193,"Comprado (a pagar)")+SUMIFS($E$134:$E$193,$B$134:$B$193,$A110,$I$134:$I$193,"Pago"),2)</f>
        <v/>
      </c>
      <c r="E110" s="56">
        <f>IF($C110="","",ROUND($D110-$C110,2))</f>
        <v/>
      </c>
      <c r="F110" s="38" t="n"/>
      <c r="G110" s="89">
        <f>ROUND(SUMIFS($E$134:$E$193,$B$134:$B$193,$A110,$I$134:$I$193,"A comprar"),2)</f>
        <v/>
      </c>
      <c r="H110" s="90">
        <f>ROUND(SUMIFS($E$134:$E$193,$B$134:$B$193,$A110,$I$134:$I$193,"Comprado (a pagar)"),2)</f>
        <v/>
      </c>
      <c r="I110" s="38" t="n"/>
      <c r="J110" s="38" t="n"/>
      <c r="K110" s="38" t="n"/>
      <c r="L110" s="38" t="n"/>
      <c r="M110" s="38" t="n"/>
      <c r="N110" s="38" t="n"/>
      <c r="O110" s="38" t="n"/>
    </row>
    <row r="111" ht="17" customHeight="1">
      <c r="A111" s="36" t="inlineStr">
        <is>
          <t>Deslocamento da equipe</t>
        </is>
      </c>
      <c r="B111" s="37" t="n"/>
      <c r="C111" s="71" t="n"/>
      <c r="D111" s="56">
        <f>ROUND(SUMIFS($E$134:$E$193,$B$134:$B$193,$A111,$I$134:$I$193,"Comprado (a pagar)")+SUMIFS($E$134:$E$193,$B$134:$B$193,$A111,$I$134:$I$193,"Pago"),2)</f>
        <v/>
      </c>
      <c r="E111" s="56">
        <f>IF($C111="","",ROUND($D111-$C111,2))</f>
        <v/>
      </c>
      <c r="F111" s="38" t="n"/>
      <c r="G111" s="89">
        <f>ROUND(SUMIFS($E$134:$E$193,$B$134:$B$193,$A111,$I$134:$I$193,"A comprar"),2)</f>
        <v/>
      </c>
      <c r="H111" s="90">
        <f>ROUND(SUMIFS($E$134:$E$193,$B$134:$B$193,$A111,$I$134:$I$193,"Comprado (a pagar)"),2)</f>
        <v/>
      </c>
      <c r="I111" s="38" t="n"/>
      <c r="J111" s="38" t="n"/>
      <c r="K111" s="38" t="n"/>
      <c r="L111" s="38" t="n"/>
      <c r="M111" s="38" t="n"/>
      <c r="N111" s="38" t="n"/>
      <c r="O111" s="38" t="n"/>
    </row>
    <row r="112" ht="17" customHeight="1">
      <c r="A112" s="36" t="inlineStr">
        <is>
          <t>Frete de material</t>
        </is>
      </c>
      <c r="B112" s="37" t="n"/>
      <c r="C112" s="71" t="n"/>
      <c r="D112" s="56">
        <f>ROUND(SUMIFS($E$134:$E$193,$B$134:$B$193,$A112,$I$134:$I$193,"Comprado (a pagar)")+SUMIFS($E$134:$E$193,$B$134:$B$193,$A112,$I$134:$I$193,"Pago"),2)</f>
        <v/>
      </c>
      <c r="E112" s="56">
        <f>IF($C112="","",ROUND($D112-$C112,2))</f>
        <v/>
      </c>
      <c r="F112" s="38" t="n"/>
      <c r="G112" s="89">
        <f>ROUND(SUMIFS($E$134:$E$193,$B$134:$B$193,$A112,$I$134:$I$193,"A comprar"),2)</f>
        <v/>
      </c>
      <c r="H112" s="90">
        <f>ROUND(SUMIFS($E$134:$E$193,$B$134:$B$193,$A112,$I$134:$I$193,"Comprado (a pagar)"),2)</f>
        <v/>
      </c>
      <c r="I112" s="38" t="n"/>
      <c r="J112" s="38" t="n"/>
      <c r="K112" s="38" t="n"/>
      <c r="L112" s="38" t="n"/>
      <c r="M112" s="38" t="n"/>
      <c r="N112" s="38" t="n"/>
      <c r="O112" s="38" t="n"/>
    </row>
    <row r="113" ht="17" customHeight="1">
      <c r="A113" s="36" t="inlineStr">
        <is>
          <t>Estacionamento e pedágio</t>
        </is>
      </c>
      <c r="B113" s="37" t="n"/>
      <c r="C113" s="71" t="n"/>
      <c r="D113" s="56">
        <f>ROUND(SUMIFS($E$134:$E$193,$B$134:$B$193,$A113,$I$134:$I$193,"Comprado (a pagar)")+SUMIFS($E$134:$E$193,$B$134:$B$193,$A113,$I$134:$I$193,"Pago"),2)</f>
        <v/>
      </c>
      <c r="E113" s="56">
        <f>IF($C113="","",ROUND($D113-$C113,2))</f>
        <v/>
      </c>
      <c r="F113" s="38" t="n"/>
      <c r="G113" s="89">
        <f>ROUND(SUMIFS($E$134:$E$193,$B$134:$B$193,$A113,$I$134:$I$193,"A comprar"),2)</f>
        <v/>
      </c>
      <c r="H113" s="90">
        <f>ROUND(SUMIFS($E$134:$E$193,$B$134:$B$193,$A113,$I$134:$I$193,"Comprado (a pagar)"),2)</f>
        <v/>
      </c>
      <c r="I113" s="38" t="n"/>
      <c r="J113" s="38" t="n"/>
      <c r="K113" s="38" t="n"/>
      <c r="L113" s="38" t="n"/>
      <c r="M113" s="38" t="n"/>
      <c r="N113" s="38" t="n"/>
      <c r="O113" s="38" t="n"/>
    </row>
    <row r="114" ht="20" customHeight="1">
      <c r="A114" s="31" t="inlineStr">
        <is>
          <t>(=) SUBTOTAL · LOGÍSTICA</t>
        </is>
      </c>
      <c r="B114" s="32" t="n"/>
      <c r="C114" s="60">
        <f>ROUND(SUM(C109:C113),2)</f>
        <v/>
      </c>
      <c r="D114" s="60">
        <f>ROUND(SUM(D109:D113),2)</f>
        <v/>
      </c>
      <c r="E114" s="60">
        <f>ROUND(SUM(E109:E113),2)</f>
        <v/>
      </c>
      <c r="F114" s="32" t="n"/>
      <c r="G114" s="60">
        <f>ROUND(SUM(G109:G113),2)</f>
        <v/>
      </c>
      <c r="H114" s="60">
        <f>ROUND(SUM(H109:H113),2)</f>
        <v/>
      </c>
      <c r="I114" s="32" t="n"/>
      <c r="J114" s="32" t="n"/>
      <c r="K114" s="32" t="n"/>
      <c r="L114" s="32" t="n"/>
      <c r="M114" s="32" t="n"/>
      <c r="N114" s="32" t="n"/>
      <c r="O114" s="32" t="n"/>
    </row>
    <row r="115" ht="8" customHeight="1"/>
    <row r="116" ht="20" customHeight="1">
      <c r="A116" s="8" t="inlineStr">
        <is>
          <t xml:space="preserve">  7 · RETRABALHO          o que aconteceu, por que aconteceu e quanto custou — é aqui que o orçamento aprende</t>
        </is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</row>
    <row r="117" ht="26" customHeight="1">
      <c r="A117" s="19" t="inlineStr">
        <is>
          <t>O que aconteceu</t>
        </is>
      </c>
      <c r="B117" s="19" t="inlineStr">
        <is>
          <t>Causa</t>
        </is>
      </c>
      <c r="C117" s="35" t="n"/>
      <c r="D117" s="35" t="n"/>
      <c r="E117" s="19" t="inlineStr">
        <is>
          <t>Custo estimado (R$)</t>
        </is>
      </c>
      <c r="F117" s="35" t="n"/>
      <c r="G117" s="19" t="inlineStr">
        <is>
          <t>Providência / responsável</t>
        </is>
      </c>
      <c r="H117" s="35" t="n"/>
      <c r="I117" s="35" t="n"/>
      <c r="J117" s="35" t="n"/>
      <c r="K117" s="35" t="n"/>
      <c r="L117" s="35" t="n"/>
      <c r="M117" s="35" t="n"/>
      <c r="N117" s="35" t="n"/>
      <c r="O117" s="35" t="n"/>
    </row>
    <row r="118" ht="18" customHeight="1">
      <c r="A118" s="83" t="n"/>
      <c r="B118" s="83" t="n"/>
      <c r="C118" s="46" t="n"/>
      <c r="D118" s="46" t="n"/>
      <c r="E118" s="91" t="n"/>
      <c r="F118" s="46" t="n"/>
      <c r="G118" s="73" t="n"/>
      <c r="H118" s="46" t="n"/>
      <c r="I118" s="46" t="n"/>
      <c r="J118" s="46" t="n"/>
      <c r="K118" s="46" t="n"/>
      <c r="L118" s="46" t="n"/>
      <c r="M118" s="46" t="n"/>
      <c r="N118" s="46" t="n"/>
      <c r="O118" s="46" t="n"/>
    </row>
    <row r="119" ht="18" customHeight="1">
      <c r="A119" s="83" t="n"/>
      <c r="B119" s="83" t="n"/>
      <c r="C119" s="46" t="n"/>
      <c r="D119" s="46" t="n"/>
      <c r="E119" s="91" t="n"/>
      <c r="F119" s="46" t="n"/>
      <c r="G119" s="73" t="n"/>
      <c r="H119" s="46" t="n"/>
      <c r="I119" s="46" t="n"/>
      <c r="J119" s="46" t="n"/>
      <c r="K119" s="46" t="n"/>
      <c r="L119" s="46" t="n"/>
      <c r="M119" s="46" t="n"/>
      <c r="N119" s="46" t="n"/>
      <c r="O119" s="46" t="n"/>
    </row>
    <row r="120" ht="18" customHeight="1">
      <c r="A120" s="83" t="n"/>
      <c r="B120" s="83" t="n"/>
      <c r="C120" s="46" t="n"/>
      <c r="D120" s="46" t="n"/>
      <c r="E120" s="91" t="n"/>
      <c r="F120" s="46" t="n"/>
      <c r="G120" s="73" t="n"/>
      <c r="H120" s="46" t="n"/>
      <c r="I120" s="46" t="n"/>
      <c r="J120" s="46" t="n"/>
      <c r="K120" s="46" t="n"/>
      <c r="L120" s="46" t="n"/>
      <c r="M120" s="46" t="n"/>
      <c r="N120" s="46" t="n"/>
      <c r="O120" s="46" t="n"/>
    </row>
    <row r="121" ht="18" customHeight="1">
      <c r="A121" s="83" t="n"/>
      <c r="B121" s="83" t="n"/>
      <c r="C121" s="46" t="n"/>
      <c r="D121" s="46" t="n"/>
      <c r="E121" s="91" t="n"/>
      <c r="F121" s="46" t="n"/>
      <c r="G121" s="73" t="n"/>
      <c r="H121" s="46" t="n"/>
      <c r="I121" s="46" t="n"/>
      <c r="J121" s="46" t="n"/>
      <c r="K121" s="46" t="n"/>
      <c r="L121" s="46" t="n"/>
      <c r="M121" s="46" t="n"/>
      <c r="N121" s="46" t="n"/>
      <c r="O121" s="46" t="n"/>
    </row>
    <row r="122" ht="18" customHeight="1">
      <c r="A122" s="83" t="n"/>
      <c r="B122" s="83" t="n"/>
      <c r="C122" s="46" t="n"/>
      <c r="D122" s="46" t="n"/>
      <c r="E122" s="91" t="n"/>
      <c r="F122" s="46" t="n"/>
      <c r="G122" s="73" t="n"/>
      <c r="H122" s="46" t="n"/>
      <c r="I122" s="46" t="n"/>
      <c r="J122" s="46" t="n"/>
      <c r="K122" s="46" t="n"/>
      <c r="L122" s="46" t="n"/>
      <c r="M122" s="46" t="n"/>
      <c r="N122" s="46" t="n"/>
      <c r="O122" s="46" t="n"/>
    </row>
    <row r="123" ht="18" customHeight="1">
      <c r="A123" s="83" t="n"/>
      <c r="B123" s="83" t="n"/>
      <c r="C123" s="46" t="n"/>
      <c r="D123" s="46" t="n"/>
      <c r="E123" s="91" t="n"/>
      <c r="F123" s="46" t="n"/>
      <c r="G123" s="73" t="n"/>
      <c r="H123" s="46" t="n"/>
      <c r="I123" s="46" t="n"/>
      <c r="J123" s="46" t="n"/>
      <c r="K123" s="46" t="n"/>
      <c r="L123" s="46" t="n"/>
      <c r="M123" s="46" t="n"/>
      <c r="N123" s="46" t="n"/>
      <c r="O123" s="46" t="n"/>
    </row>
    <row r="124" ht="18" customHeight="1">
      <c r="A124" s="83" t="n"/>
      <c r="B124" s="83" t="n"/>
      <c r="C124" s="46" t="n"/>
      <c r="D124" s="46" t="n"/>
      <c r="E124" s="91" t="n"/>
      <c r="F124" s="46" t="n"/>
      <c r="G124" s="73" t="n"/>
      <c r="H124" s="46" t="n"/>
      <c r="I124" s="46" t="n"/>
      <c r="J124" s="46" t="n"/>
      <c r="K124" s="46" t="n"/>
      <c r="L124" s="46" t="n"/>
      <c r="M124" s="46" t="n"/>
      <c r="N124" s="46" t="n"/>
      <c r="O124" s="46" t="n"/>
    </row>
    <row r="125" ht="18" customHeight="1">
      <c r="A125" s="83" t="n"/>
      <c r="B125" s="83" t="n"/>
      <c r="C125" s="46" t="n"/>
      <c r="D125" s="46" t="n"/>
      <c r="E125" s="91" t="n"/>
      <c r="F125" s="46" t="n"/>
      <c r="G125" s="73" t="n"/>
      <c r="H125" s="46" t="n"/>
      <c r="I125" s="46" t="n"/>
      <c r="J125" s="46" t="n"/>
      <c r="K125" s="46" t="n"/>
      <c r="L125" s="46" t="n"/>
      <c r="M125" s="46" t="n"/>
      <c r="N125" s="46" t="n"/>
      <c r="O125" s="46" t="n"/>
    </row>
    <row r="126" ht="18" customHeight="1">
      <c r="A126" s="83" t="n"/>
      <c r="B126" s="83" t="n"/>
      <c r="C126" s="46" t="n"/>
      <c r="D126" s="46" t="n"/>
      <c r="E126" s="91" t="n"/>
      <c r="F126" s="46" t="n"/>
      <c r="G126" s="73" t="n"/>
      <c r="H126" s="46" t="n"/>
      <c r="I126" s="46" t="n"/>
      <c r="J126" s="46" t="n"/>
      <c r="K126" s="46" t="n"/>
      <c r="L126" s="46" t="n"/>
      <c r="M126" s="46" t="n"/>
      <c r="N126" s="46" t="n"/>
      <c r="O126" s="46" t="n"/>
    </row>
    <row r="127" ht="18" customHeight="1">
      <c r="A127" s="83" t="n"/>
      <c r="B127" s="83" t="n"/>
      <c r="C127" s="46" t="n"/>
      <c r="D127" s="46" t="n"/>
      <c r="E127" s="91" t="n"/>
      <c r="F127" s="46" t="n"/>
      <c r="G127" s="73" t="n"/>
      <c r="H127" s="46" t="n"/>
      <c r="I127" s="46" t="n"/>
      <c r="J127" s="46" t="n"/>
      <c r="K127" s="46" t="n"/>
      <c r="L127" s="46" t="n"/>
      <c r="M127" s="46" t="n"/>
      <c r="N127" s="46" t="n"/>
      <c r="O127" s="46" t="n"/>
    </row>
    <row r="128" ht="18" customHeight="1">
      <c r="A128" s="83" t="n"/>
      <c r="B128" s="83" t="n"/>
      <c r="C128" s="46" t="n"/>
      <c r="D128" s="46" t="n"/>
      <c r="E128" s="91" t="n"/>
      <c r="F128" s="46" t="n"/>
      <c r="G128" s="73" t="n"/>
      <c r="H128" s="46" t="n"/>
      <c r="I128" s="46" t="n"/>
      <c r="J128" s="46" t="n"/>
      <c r="K128" s="46" t="n"/>
      <c r="L128" s="46" t="n"/>
      <c r="M128" s="46" t="n"/>
      <c r="N128" s="46" t="n"/>
      <c r="O128" s="46" t="n"/>
    </row>
    <row r="129" ht="18" customHeight="1">
      <c r="A129" s="83" t="n"/>
      <c r="B129" s="83" t="n"/>
      <c r="C129" s="46" t="n"/>
      <c r="D129" s="46" t="n"/>
      <c r="E129" s="91" t="n"/>
      <c r="F129" s="46" t="n"/>
      <c r="G129" s="73" t="n"/>
      <c r="H129" s="46" t="n"/>
      <c r="I129" s="46" t="n"/>
      <c r="J129" s="46" t="n"/>
      <c r="K129" s="46" t="n"/>
      <c r="L129" s="46" t="n"/>
      <c r="M129" s="46" t="n"/>
      <c r="N129" s="46" t="n"/>
      <c r="O129" s="46" t="n"/>
    </row>
    <row r="130" ht="20" customHeight="1">
      <c r="A130" s="31" t="inlineStr">
        <is>
          <t>CONTINGÊNCIA PREVISTA NO ORÇAMENTO  →</t>
        </is>
      </c>
      <c r="B130" s="32" t="n"/>
      <c r="C130" s="92" t="n"/>
      <c r="D130" s="60">
        <f>ROUND(SUM($E$118:$E$129),2)</f>
        <v/>
      </c>
      <c r="E130" s="60">
        <f>ROUND($D$130-IF($C$130="",0,$C$130),2)</f>
        <v/>
      </c>
      <c r="F130" s="32" t="n"/>
      <c r="G130" s="62">
        <f>IF(OR($A$13="",$A$13=0),"",$D$130/$A$13)</f>
        <v/>
      </c>
      <c r="H130" s="93" t="inlineStr">
        <is>
          <t>orçado = a contingência prevista · realizado = a soma acima</t>
        </is>
      </c>
      <c r="I130" s="32" t="n"/>
      <c r="J130" s="32" t="n"/>
      <c r="K130" s="32" t="n"/>
      <c r="L130" s="32" t="n"/>
      <c r="M130" s="32" t="n"/>
      <c r="N130" s="32" t="n"/>
      <c r="O130" s="32" t="n"/>
    </row>
    <row r="131" ht="8" customHeight="1"/>
    <row r="132" ht="20" customHeight="1">
      <c r="A132" s="8" t="inlineStr">
        <is>
          <t xml:space="preserve">  8 · LIVRO DE COMPRAS E DESPESAS DO PROJETO          uma linha por compra, na ordem em que acontecer · pode inserir linhas à vontade aqui</t>
        </is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</row>
    <row r="133" ht="28" customHeight="1">
      <c r="A133" s="19" t="inlineStr">
        <is>
          <t>Descrição / fornecedor</t>
        </is>
      </c>
      <c r="B133" s="19" t="inlineStr">
        <is>
          <t>Categoria</t>
        </is>
      </c>
      <c r="C133" s="35" t="n"/>
      <c r="D133" s="19" t="inlineStr">
        <is>
          <t>Data</t>
        </is>
      </c>
      <c r="E133" s="19" t="inlineStr">
        <is>
          <t>Valor (R$)</t>
        </is>
      </c>
      <c r="F133" s="35" t="n"/>
      <c r="G133" s="19" t="inlineStr">
        <is>
          <t>Forma de pagamento</t>
        </is>
      </c>
      <c r="H133" s="35" t="n"/>
      <c r="I133" s="19" t="inlineStr">
        <is>
          <t>Status</t>
        </is>
      </c>
      <c r="J133" s="35" t="n"/>
      <c r="K133" s="35" t="n"/>
      <c r="L133" s="35" t="n"/>
      <c r="M133" s="35" t="n"/>
      <c r="N133" s="35" t="n"/>
      <c r="O133" s="35" t="n"/>
    </row>
    <row r="134" ht="17" customHeight="1">
      <c r="A134" s="83" t="n"/>
      <c r="B134" s="94" t="n"/>
      <c r="C134" s="46" t="n"/>
      <c r="D134" s="75" t="n"/>
      <c r="E134" s="95" t="n"/>
      <c r="F134" s="46" t="n"/>
      <c r="G134" s="96" t="n"/>
      <c r="H134" s="46" t="n"/>
      <c r="I134" s="97" t="n"/>
      <c r="J134" s="46" t="n"/>
      <c r="K134" s="46" t="n"/>
      <c r="L134" s="46" t="n"/>
      <c r="M134" s="46" t="n"/>
      <c r="N134" s="46" t="n"/>
      <c r="O134" s="46" t="n"/>
    </row>
    <row r="135" ht="17" customHeight="1">
      <c r="A135" s="83" t="n"/>
      <c r="B135" s="94" t="n"/>
      <c r="C135" s="46" t="n"/>
      <c r="D135" s="75" t="n"/>
      <c r="E135" s="95" t="n"/>
      <c r="F135" s="46" t="n"/>
      <c r="G135" s="96" t="n"/>
      <c r="H135" s="46" t="n"/>
      <c r="I135" s="97" t="n"/>
      <c r="J135" s="46" t="n"/>
      <c r="K135" s="46" t="n"/>
      <c r="L135" s="46" t="n"/>
      <c r="M135" s="46" t="n"/>
      <c r="N135" s="46" t="n"/>
      <c r="O135" s="46" t="n"/>
    </row>
    <row r="136" ht="17" customHeight="1">
      <c r="A136" s="83" t="n"/>
      <c r="B136" s="94" t="n"/>
      <c r="C136" s="46" t="n"/>
      <c r="D136" s="75" t="n"/>
      <c r="E136" s="95" t="n"/>
      <c r="F136" s="46" t="n"/>
      <c r="G136" s="96" t="n"/>
      <c r="H136" s="46" t="n"/>
      <c r="I136" s="97" t="n"/>
      <c r="J136" s="46" t="n"/>
      <c r="K136" s="46" t="n"/>
      <c r="L136" s="46" t="n"/>
      <c r="M136" s="46" t="n"/>
      <c r="N136" s="46" t="n"/>
      <c r="O136" s="46" t="n"/>
    </row>
    <row r="137" ht="17" customHeight="1">
      <c r="A137" s="83" t="n"/>
      <c r="B137" s="94" t="n"/>
      <c r="C137" s="46" t="n"/>
      <c r="D137" s="75" t="n"/>
      <c r="E137" s="95" t="n"/>
      <c r="F137" s="46" t="n"/>
      <c r="G137" s="96" t="n"/>
      <c r="H137" s="46" t="n"/>
      <c r="I137" s="97" t="n"/>
      <c r="J137" s="46" t="n"/>
      <c r="K137" s="46" t="n"/>
      <c r="L137" s="46" t="n"/>
      <c r="M137" s="46" t="n"/>
      <c r="N137" s="46" t="n"/>
      <c r="O137" s="46" t="n"/>
    </row>
    <row r="138" ht="17" customHeight="1">
      <c r="A138" s="83" t="n"/>
      <c r="B138" s="94" t="n"/>
      <c r="C138" s="46" t="n"/>
      <c r="D138" s="75" t="n"/>
      <c r="E138" s="95" t="n"/>
      <c r="F138" s="46" t="n"/>
      <c r="G138" s="96" t="n"/>
      <c r="H138" s="46" t="n"/>
      <c r="I138" s="97" t="n"/>
      <c r="J138" s="46" t="n"/>
      <c r="K138" s="46" t="n"/>
      <c r="L138" s="46" t="n"/>
      <c r="M138" s="46" t="n"/>
      <c r="N138" s="46" t="n"/>
      <c r="O138" s="46" t="n"/>
    </row>
    <row r="139" ht="17" customHeight="1">
      <c r="A139" s="83" t="n"/>
      <c r="B139" s="94" t="n"/>
      <c r="C139" s="46" t="n"/>
      <c r="D139" s="75" t="n"/>
      <c r="E139" s="95" t="n"/>
      <c r="F139" s="46" t="n"/>
      <c r="G139" s="96" t="n"/>
      <c r="H139" s="46" t="n"/>
      <c r="I139" s="97" t="n"/>
      <c r="J139" s="46" t="n"/>
      <c r="K139" s="46" t="n"/>
      <c r="L139" s="46" t="n"/>
      <c r="M139" s="46" t="n"/>
      <c r="N139" s="46" t="n"/>
      <c r="O139" s="46" t="n"/>
    </row>
    <row r="140" ht="17" customHeight="1">
      <c r="A140" s="83" t="n"/>
      <c r="B140" s="94" t="n"/>
      <c r="C140" s="46" t="n"/>
      <c r="D140" s="75" t="n"/>
      <c r="E140" s="95" t="n"/>
      <c r="F140" s="46" t="n"/>
      <c r="G140" s="96" t="n"/>
      <c r="H140" s="46" t="n"/>
      <c r="I140" s="97" t="n"/>
      <c r="J140" s="46" t="n"/>
      <c r="K140" s="46" t="n"/>
      <c r="L140" s="46" t="n"/>
      <c r="M140" s="46" t="n"/>
      <c r="N140" s="46" t="n"/>
      <c r="O140" s="46" t="n"/>
    </row>
    <row r="141" ht="17" customHeight="1">
      <c r="A141" s="83" t="n"/>
      <c r="B141" s="94" t="n"/>
      <c r="C141" s="46" t="n"/>
      <c r="D141" s="75" t="n"/>
      <c r="E141" s="95" t="n"/>
      <c r="F141" s="46" t="n"/>
      <c r="G141" s="96" t="n"/>
      <c r="H141" s="46" t="n"/>
      <c r="I141" s="97" t="n"/>
      <c r="J141" s="46" t="n"/>
      <c r="K141" s="46" t="n"/>
      <c r="L141" s="46" t="n"/>
      <c r="M141" s="46" t="n"/>
      <c r="N141" s="46" t="n"/>
      <c r="O141" s="46" t="n"/>
    </row>
    <row r="142" ht="17" customHeight="1">
      <c r="A142" s="83" t="n"/>
      <c r="B142" s="94" t="n"/>
      <c r="C142" s="46" t="n"/>
      <c r="D142" s="75" t="n"/>
      <c r="E142" s="95" t="n"/>
      <c r="F142" s="46" t="n"/>
      <c r="G142" s="96" t="n"/>
      <c r="H142" s="46" t="n"/>
      <c r="I142" s="97" t="n"/>
      <c r="J142" s="46" t="n"/>
      <c r="K142" s="46" t="n"/>
      <c r="L142" s="46" t="n"/>
      <c r="M142" s="46" t="n"/>
      <c r="N142" s="46" t="n"/>
      <c r="O142" s="46" t="n"/>
    </row>
    <row r="143" ht="17" customHeight="1">
      <c r="A143" s="83" t="n"/>
      <c r="B143" s="94" t="n"/>
      <c r="C143" s="46" t="n"/>
      <c r="D143" s="75" t="n"/>
      <c r="E143" s="95" t="n"/>
      <c r="F143" s="46" t="n"/>
      <c r="G143" s="96" t="n"/>
      <c r="H143" s="46" t="n"/>
      <c r="I143" s="97" t="n"/>
      <c r="J143" s="46" t="n"/>
      <c r="K143" s="46" t="n"/>
      <c r="L143" s="46" t="n"/>
      <c r="M143" s="46" t="n"/>
      <c r="N143" s="46" t="n"/>
      <c r="O143" s="46" t="n"/>
    </row>
    <row r="144" ht="17" customHeight="1">
      <c r="A144" s="83" t="n"/>
      <c r="B144" s="94" t="n"/>
      <c r="C144" s="46" t="n"/>
      <c r="D144" s="75" t="n"/>
      <c r="E144" s="95" t="n"/>
      <c r="F144" s="46" t="n"/>
      <c r="G144" s="96" t="n"/>
      <c r="H144" s="46" t="n"/>
      <c r="I144" s="97" t="n"/>
      <c r="J144" s="46" t="n"/>
      <c r="K144" s="46" t="n"/>
      <c r="L144" s="46" t="n"/>
      <c r="M144" s="46" t="n"/>
      <c r="N144" s="46" t="n"/>
      <c r="O144" s="46" t="n"/>
    </row>
    <row r="145" ht="17" customHeight="1">
      <c r="A145" s="83" t="n"/>
      <c r="B145" s="94" t="n"/>
      <c r="C145" s="46" t="n"/>
      <c r="D145" s="75" t="n"/>
      <c r="E145" s="95" t="n"/>
      <c r="F145" s="46" t="n"/>
      <c r="G145" s="96" t="n"/>
      <c r="H145" s="46" t="n"/>
      <c r="I145" s="97" t="n"/>
      <c r="J145" s="46" t="n"/>
      <c r="K145" s="46" t="n"/>
      <c r="L145" s="46" t="n"/>
      <c r="M145" s="46" t="n"/>
      <c r="N145" s="46" t="n"/>
      <c r="O145" s="46" t="n"/>
    </row>
    <row r="146" ht="17" customHeight="1">
      <c r="A146" s="83" t="n"/>
      <c r="B146" s="94" t="n"/>
      <c r="C146" s="46" t="n"/>
      <c r="D146" s="75" t="n"/>
      <c r="E146" s="95" t="n"/>
      <c r="F146" s="46" t="n"/>
      <c r="G146" s="96" t="n"/>
      <c r="H146" s="46" t="n"/>
      <c r="I146" s="97" t="n"/>
      <c r="J146" s="46" t="n"/>
      <c r="K146" s="46" t="n"/>
      <c r="L146" s="46" t="n"/>
      <c r="M146" s="46" t="n"/>
      <c r="N146" s="46" t="n"/>
      <c r="O146" s="46" t="n"/>
    </row>
    <row r="147" ht="17" customHeight="1">
      <c r="A147" s="83" t="n"/>
      <c r="B147" s="94" t="n"/>
      <c r="C147" s="46" t="n"/>
      <c r="D147" s="75" t="n"/>
      <c r="E147" s="95" t="n"/>
      <c r="F147" s="46" t="n"/>
      <c r="G147" s="96" t="n"/>
      <c r="H147" s="46" t="n"/>
      <c r="I147" s="97" t="n"/>
      <c r="J147" s="46" t="n"/>
      <c r="K147" s="46" t="n"/>
      <c r="L147" s="46" t="n"/>
      <c r="M147" s="46" t="n"/>
      <c r="N147" s="46" t="n"/>
      <c r="O147" s="46" t="n"/>
    </row>
    <row r="148" ht="17" customHeight="1">
      <c r="A148" s="83" t="n"/>
      <c r="B148" s="94" t="n"/>
      <c r="C148" s="46" t="n"/>
      <c r="D148" s="75" t="n"/>
      <c r="E148" s="95" t="n"/>
      <c r="F148" s="46" t="n"/>
      <c r="G148" s="96" t="n"/>
      <c r="H148" s="46" t="n"/>
      <c r="I148" s="97" t="n"/>
      <c r="J148" s="46" t="n"/>
      <c r="K148" s="46" t="n"/>
      <c r="L148" s="46" t="n"/>
      <c r="M148" s="46" t="n"/>
      <c r="N148" s="46" t="n"/>
      <c r="O148" s="46" t="n"/>
    </row>
    <row r="149" ht="17" customHeight="1">
      <c r="A149" s="83" t="n"/>
      <c r="B149" s="94" t="n"/>
      <c r="C149" s="46" t="n"/>
      <c r="D149" s="75" t="n"/>
      <c r="E149" s="95" t="n"/>
      <c r="F149" s="46" t="n"/>
      <c r="G149" s="96" t="n"/>
      <c r="H149" s="46" t="n"/>
      <c r="I149" s="97" t="n"/>
      <c r="J149" s="46" t="n"/>
      <c r="K149" s="46" t="n"/>
      <c r="L149" s="46" t="n"/>
      <c r="M149" s="46" t="n"/>
      <c r="N149" s="46" t="n"/>
      <c r="O149" s="46" t="n"/>
    </row>
    <row r="150" ht="17" customHeight="1">
      <c r="A150" s="83" t="n"/>
      <c r="B150" s="94" t="n"/>
      <c r="C150" s="46" t="n"/>
      <c r="D150" s="75" t="n"/>
      <c r="E150" s="95" t="n"/>
      <c r="F150" s="46" t="n"/>
      <c r="G150" s="96" t="n"/>
      <c r="H150" s="46" t="n"/>
      <c r="I150" s="97" t="n"/>
      <c r="J150" s="46" t="n"/>
      <c r="K150" s="46" t="n"/>
      <c r="L150" s="46" t="n"/>
      <c r="M150" s="46" t="n"/>
      <c r="N150" s="46" t="n"/>
      <c r="O150" s="46" t="n"/>
    </row>
    <row r="151" ht="17" customHeight="1">
      <c r="A151" s="83" t="n"/>
      <c r="B151" s="94" t="n"/>
      <c r="C151" s="46" t="n"/>
      <c r="D151" s="75" t="n"/>
      <c r="E151" s="95" t="n"/>
      <c r="F151" s="46" t="n"/>
      <c r="G151" s="96" t="n"/>
      <c r="H151" s="46" t="n"/>
      <c r="I151" s="97" t="n"/>
      <c r="J151" s="46" t="n"/>
      <c r="K151" s="46" t="n"/>
      <c r="L151" s="46" t="n"/>
      <c r="M151" s="46" t="n"/>
      <c r="N151" s="46" t="n"/>
      <c r="O151" s="46" t="n"/>
    </row>
    <row r="152" ht="17" customHeight="1">
      <c r="A152" s="83" t="n"/>
      <c r="B152" s="94" t="n"/>
      <c r="C152" s="46" t="n"/>
      <c r="D152" s="75" t="n"/>
      <c r="E152" s="95" t="n"/>
      <c r="F152" s="46" t="n"/>
      <c r="G152" s="96" t="n"/>
      <c r="H152" s="46" t="n"/>
      <c r="I152" s="97" t="n"/>
      <c r="J152" s="46" t="n"/>
      <c r="K152" s="46" t="n"/>
      <c r="L152" s="46" t="n"/>
      <c r="M152" s="46" t="n"/>
      <c r="N152" s="46" t="n"/>
      <c r="O152" s="46" t="n"/>
    </row>
    <row r="153" ht="17" customHeight="1">
      <c r="A153" s="83" t="n"/>
      <c r="B153" s="94" t="n"/>
      <c r="C153" s="46" t="n"/>
      <c r="D153" s="75" t="n"/>
      <c r="E153" s="95" t="n"/>
      <c r="F153" s="46" t="n"/>
      <c r="G153" s="96" t="n"/>
      <c r="H153" s="46" t="n"/>
      <c r="I153" s="97" t="n"/>
      <c r="J153" s="46" t="n"/>
      <c r="K153" s="46" t="n"/>
      <c r="L153" s="46" t="n"/>
      <c r="M153" s="46" t="n"/>
      <c r="N153" s="46" t="n"/>
      <c r="O153" s="46" t="n"/>
    </row>
    <row r="154" ht="17" customHeight="1">
      <c r="A154" s="83" t="n"/>
      <c r="B154" s="94" t="n"/>
      <c r="C154" s="46" t="n"/>
      <c r="D154" s="75" t="n"/>
      <c r="E154" s="95" t="n"/>
      <c r="F154" s="46" t="n"/>
      <c r="G154" s="96" t="n"/>
      <c r="H154" s="46" t="n"/>
      <c r="I154" s="97" t="n"/>
      <c r="J154" s="46" t="n"/>
      <c r="K154" s="46" t="n"/>
      <c r="L154" s="46" t="n"/>
      <c r="M154" s="46" t="n"/>
      <c r="N154" s="46" t="n"/>
      <c r="O154" s="46" t="n"/>
    </row>
    <row r="155" ht="17" customHeight="1">
      <c r="A155" s="83" t="n"/>
      <c r="B155" s="94" t="n"/>
      <c r="C155" s="46" t="n"/>
      <c r="D155" s="75" t="n"/>
      <c r="E155" s="95" t="n"/>
      <c r="F155" s="46" t="n"/>
      <c r="G155" s="96" t="n"/>
      <c r="H155" s="46" t="n"/>
      <c r="I155" s="97" t="n"/>
      <c r="J155" s="46" t="n"/>
      <c r="K155" s="46" t="n"/>
      <c r="L155" s="46" t="n"/>
      <c r="M155" s="46" t="n"/>
      <c r="N155" s="46" t="n"/>
      <c r="O155" s="46" t="n"/>
    </row>
    <row r="156" ht="17" customHeight="1">
      <c r="A156" s="83" t="n"/>
      <c r="B156" s="94" t="n"/>
      <c r="C156" s="46" t="n"/>
      <c r="D156" s="75" t="n"/>
      <c r="E156" s="95" t="n"/>
      <c r="F156" s="46" t="n"/>
      <c r="G156" s="96" t="n"/>
      <c r="H156" s="46" t="n"/>
      <c r="I156" s="97" t="n"/>
      <c r="J156" s="46" t="n"/>
      <c r="K156" s="46" t="n"/>
      <c r="L156" s="46" t="n"/>
      <c r="M156" s="46" t="n"/>
      <c r="N156" s="46" t="n"/>
      <c r="O156" s="46" t="n"/>
    </row>
    <row r="157" ht="17" customHeight="1">
      <c r="A157" s="83" t="n"/>
      <c r="B157" s="94" t="n"/>
      <c r="C157" s="46" t="n"/>
      <c r="D157" s="75" t="n"/>
      <c r="E157" s="95" t="n"/>
      <c r="F157" s="46" t="n"/>
      <c r="G157" s="96" t="n"/>
      <c r="H157" s="46" t="n"/>
      <c r="I157" s="97" t="n"/>
      <c r="J157" s="46" t="n"/>
      <c r="K157" s="46" t="n"/>
      <c r="L157" s="46" t="n"/>
      <c r="M157" s="46" t="n"/>
      <c r="N157" s="46" t="n"/>
      <c r="O157" s="46" t="n"/>
    </row>
    <row r="158" ht="17" customHeight="1">
      <c r="A158" s="83" t="n"/>
      <c r="B158" s="94" t="n"/>
      <c r="C158" s="46" t="n"/>
      <c r="D158" s="75" t="n"/>
      <c r="E158" s="95" t="n"/>
      <c r="F158" s="46" t="n"/>
      <c r="G158" s="96" t="n"/>
      <c r="H158" s="46" t="n"/>
      <c r="I158" s="97" t="n"/>
      <c r="J158" s="46" t="n"/>
      <c r="K158" s="46" t="n"/>
      <c r="L158" s="46" t="n"/>
      <c r="M158" s="46" t="n"/>
      <c r="N158" s="46" t="n"/>
      <c r="O158" s="46" t="n"/>
    </row>
    <row r="159" ht="17" customHeight="1">
      <c r="A159" s="83" t="n"/>
      <c r="B159" s="94" t="n"/>
      <c r="C159" s="46" t="n"/>
      <c r="D159" s="75" t="n"/>
      <c r="E159" s="95" t="n"/>
      <c r="F159" s="46" t="n"/>
      <c r="G159" s="96" t="n"/>
      <c r="H159" s="46" t="n"/>
      <c r="I159" s="97" t="n"/>
      <c r="J159" s="46" t="n"/>
      <c r="K159" s="46" t="n"/>
      <c r="L159" s="46" t="n"/>
      <c r="M159" s="46" t="n"/>
      <c r="N159" s="46" t="n"/>
      <c r="O159" s="46" t="n"/>
    </row>
    <row r="160" ht="17" customHeight="1">
      <c r="A160" s="83" t="n"/>
      <c r="B160" s="94" t="n"/>
      <c r="C160" s="46" t="n"/>
      <c r="D160" s="75" t="n"/>
      <c r="E160" s="95" t="n"/>
      <c r="F160" s="46" t="n"/>
      <c r="G160" s="96" t="n"/>
      <c r="H160" s="46" t="n"/>
      <c r="I160" s="97" t="n"/>
      <c r="J160" s="46" t="n"/>
      <c r="K160" s="46" t="n"/>
      <c r="L160" s="46" t="n"/>
      <c r="M160" s="46" t="n"/>
      <c r="N160" s="46" t="n"/>
      <c r="O160" s="46" t="n"/>
    </row>
    <row r="161" ht="17" customHeight="1">
      <c r="A161" s="83" t="n"/>
      <c r="B161" s="94" t="n"/>
      <c r="C161" s="46" t="n"/>
      <c r="D161" s="75" t="n"/>
      <c r="E161" s="95" t="n"/>
      <c r="F161" s="46" t="n"/>
      <c r="G161" s="96" t="n"/>
      <c r="H161" s="46" t="n"/>
      <c r="I161" s="97" t="n"/>
      <c r="J161" s="46" t="n"/>
      <c r="K161" s="46" t="n"/>
      <c r="L161" s="46" t="n"/>
      <c r="M161" s="46" t="n"/>
      <c r="N161" s="46" t="n"/>
      <c r="O161" s="46" t="n"/>
    </row>
    <row r="162" ht="17" customHeight="1">
      <c r="A162" s="83" t="n"/>
      <c r="B162" s="94" t="n"/>
      <c r="C162" s="46" t="n"/>
      <c r="D162" s="75" t="n"/>
      <c r="E162" s="95" t="n"/>
      <c r="F162" s="46" t="n"/>
      <c r="G162" s="96" t="n"/>
      <c r="H162" s="46" t="n"/>
      <c r="I162" s="97" t="n"/>
      <c r="J162" s="46" t="n"/>
      <c r="K162" s="46" t="n"/>
      <c r="L162" s="46" t="n"/>
      <c r="M162" s="46" t="n"/>
      <c r="N162" s="46" t="n"/>
      <c r="O162" s="46" t="n"/>
    </row>
    <row r="163" ht="17" customHeight="1">
      <c r="A163" s="83" t="n"/>
      <c r="B163" s="94" t="n"/>
      <c r="C163" s="46" t="n"/>
      <c r="D163" s="75" t="n"/>
      <c r="E163" s="95" t="n"/>
      <c r="F163" s="46" t="n"/>
      <c r="G163" s="96" t="n"/>
      <c r="H163" s="46" t="n"/>
      <c r="I163" s="97" t="n"/>
      <c r="J163" s="46" t="n"/>
      <c r="K163" s="46" t="n"/>
      <c r="L163" s="46" t="n"/>
      <c r="M163" s="46" t="n"/>
      <c r="N163" s="46" t="n"/>
      <c r="O163" s="46" t="n"/>
    </row>
    <row r="164" ht="17" customHeight="1">
      <c r="A164" s="83" t="n"/>
      <c r="B164" s="94" t="n"/>
      <c r="C164" s="46" t="n"/>
      <c r="D164" s="75" t="n"/>
      <c r="E164" s="95" t="n"/>
      <c r="F164" s="46" t="n"/>
      <c r="G164" s="96" t="n"/>
      <c r="H164" s="46" t="n"/>
      <c r="I164" s="97" t="n"/>
      <c r="J164" s="46" t="n"/>
      <c r="K164" s="46" t="n"/>
      <c r="L164" s="46" t="n"/>
      <c r="M164" s="46" t="n"/>
      <c r="N164" s="46" t="n"/>
      <c r="O164" s="46" t="n"/>
    </row>
    <row r="165" ht="17" customHeight="1">
      <c r="A165" s="83" t="n"/>
      <c r="B165" s="94" t="n"/>
      <c r="C165" s="46" t="n"/>
      <c r="D165" s="75" t="n"/>
      <c r="E165" s="95" t="n"/>
      <c r="F165" s="46" t="n"/>
      <c r="G165" s="96" t="n"/>
      <c r="H165" s="46" t="n"/>
      <c r="I165" s="97" t="n"/>
      <c r="J165" s="46" t="n"/>
      <c r="K165" s="46" t="n"/>
      <c r="L165" s="46" t="n"/>
      <c r="M165" s="46" t="n"/>
      <c r="N165" s="46" t="n"/>
      <c r="O165" s="46" t="n"/>
    </row>
    <row r="166" ht="17" customHeight="1">
      <c r="A166" s="83" t="n"/>
      <c r="B166" s="94" t="n"/>
      <c r="C166" s="46" t="n"/>
      <c r="D166" s="75" t="n"/>
      <c r="E166" s="95" t="n"/>
      <c r="F166" s="46" t="n"/>
      <c r="G166" s="96" t="n"/>
      <c r="H166" s="46" t="n"/>
      <c r="I166" s="97" t="n"/>
      <c r="J166" s="46" t="n"/>
      <c r="K166" s="46" t="n"/>
      <c r="L166" s="46" t="n"/>
      <c r="M166" s="46" t="n"/>
      <c r="N166" s="46" t="n"/>
      <c r="O166" s="46" t="n"/>
    </row>
    <row r="167" ht="17" customHeight="1">
      <c r="A167" s="83" t="n"/>
      <c r="B167" s="94" t="n"/>
      <c r="C167" s="46" t="n"/>
      <c r="D167" s="75" t="n"/>
      <c r="E167" s="95" t="n"/>
      <c r="F167" s="46" t="n"/>
      <c r="G167" s="96" t="n"/>
      <c r="H167" s="46" t="n"/>
      <c r="I167" s="97" t="n"/>
      <c r="J167" s="46" t="n"/>
      <c r="K167" s="46" t="n"/>
      <c r="L167" s="46" t="n"/>
      <c r="M167" s="46" t="n"/>
      <c r="N167" s="46" t="n"/>
      <c r="O167" s="46" t="n"/>
    </row>
    <row r="168" ht="17" customHeight="1">
      <c r="A168" s="83" t="n"/>
      <c r="B168" s="94" t="n"/>
      <c r="C168" s="46" t="n"/>
      <c r="D168" s="75" t="n"/>
      <c r="E168" s="95" t="n"/>
      <c r="F168" s="46" t="n"/>
      <c r="G168" s="96" t="n"/>
      <c r="H168" s="46" t="n"/>
      <c r="I168" s="97" t="n"/>
      <c r="J168" s="46" t="n"/>
      <c r="K168" s="46" t="n"/>
      <c r="L168" s="46" t="n"/>
      <c r="M168" s="46" t="n"/>
      <c r="N168" s="46" t="n"/>
      <c r="O168" s="46" t="n"/>
    </row>
    <row r="169" ht="17" customHeight="1">
      <c r="A169" s="83" t="n"/>
      <c r="B169" s="94" t="n"/>
      <c r="C169" s="46" t="n"/>
      <c r="D169" s="75" t="n"/>
      <c r="E169" s="95" t="n"/>
      <c r="F169" s="46" t="n"/>
      <c r="G169" s="96" t="n"/>
      <c r="H169" s="46" t="n"/>
      <c r="I169" s="97" t="n"/>
      <c r="J169" s="46" t="n"/>
      <c r="K169" s="46" t="n"/>
      <c r="L169" s="46" t="n"/>
      <c r="M169" s="46" t="n"/>
      <c r="N169" s="46" t="n"/>
      <c r="O169" s="46" t="n"/>
    </row>
    <row r="170" ht="17" customHeight="1">
      <c r="A170" s="83" t="n"/>
      <c r="B170" s="94" t="n"/>
      <c r="C170" s="46" t="n"/>
      <c r="D170" s="75" t="n"/>
      <c r="E170" s="95" t="n"/>
      <c r="F170" s="46" t="n"/>
      <c r="G170" s="96" t="n"/>
      <c r="H170" s="46" t="n"/>
      <c r="I170" s="97" t="n"/>
      <c r="J170" s="46" t="n"/>
      <c r="K170" s="46" t="n"/>
      <c r="L170" s="46" t="n"/>
      <c r="M170" s="46" t="n"/>
      <c r="N170" s="46" t="n"/>
      <c r="O170" s="46" t="n"/>
    </row>
    <row r="171" ht="17" customHeight="1">
      <c r="A171" s="83" t="n"/>
      <c r="B171" s="94" t="n"/>
      <c r="C171" s="46" t="n"/>
      <c r="D171" s="75" t="n"/>
      <c r="E171" s="95" t="n"/>
      <c r="F171" s="46" t="n"/>
      <c r="G171" s="96" t="n"/>
      <c r="H171" s="46" t="n"/>
      <c r="I171" s="97" t="n"/>
      <c r="J171" s="46" t="n"/>
      <c r="K171" s="46" t="n"/>
      <c r="L171" s="46" t="n"/>
      <c r="M171" s="46" t="n"/>
      <c r="N171" s="46" t="n"/>
      <c r="O171" s="46" t="n"/>
    </row>
    <row r="172" ht="17" customHeight="1">
      <c r="A172" s="83" t="n"/>
      <c r="B172" s="94" t="n"/>
      <c r="C172" s="46" t="n"/>
      <c r="D172" s="75" t="n"/>
      <c r="E172" s="95" t="n"/>
      <c r="F172" s="46" t="n"/>
      <c r="G172" s="96" t="n"/>
      <c r="H172" s="46" t="n"/>
      <c r="I172" s="97" t="n"/>
      <c r="J172" s="46" t="n"/>
      <c r="K172" s="46" t="n"/>
      <c r="L172" s="46" t="n"/>
      <c r="M172" s="46" t="n"/>
      <c r="N172" s="46" t="n"/>
      <c r="O172" s="46" t="n"/>
    </row>
    <row r="173" ht="17" customHeight="1">
      <c r="A173" s="83" t="n"/>
      <c r="B173" s="94" t="n"/>
      <c r="C173" s="46" t="n"/>
      <c r="D173" s="75" t="n"/>
      <c r="E173" s="95" t="n"/>
      <c r="F173" s="46" t="n"/>
      <c r="G173" s="96" t="n"/>
      <c r="H173" s="46" t="n"/>
      <c r="I173" s="97" t="n"/>
      <c r="J173" s="46" t="n"/>
      <c r="K173" s="46" t="n"/>
      <c r="L173" s="46" t="n"/>
      <c r="M173" s="46" t="n"/>
      <c r="N173" s="46" t="n"/>
      <c r="O173" s="46" t="n"/>
    </row>
    <row r="174" ht="17" customHeight="1">
      <c r="A174" s="83" t="n"/>
      <c r="B174" s="94" t="n"/>
      <c r="C174" s="46" t="n"/>
      <c r="D174" s="75" t="n"/>
      <c r="E174" s="95" t="n"/>
      <c r="F174" s="46" t="n"/>
      <c r="G174" s="96" t="n"/>
      <c r="H174" s="46" t="n"/>
      <c r="I174" s="97" t="n"/>
      <c r="J174" s="46" t="n"/>
      <c r="K174" s="46" t="n"/>
      <c r="L174" s="46" t="n"/>
      <c r="M174" s="46" t="n"/>
      <c r="N174" s="46" t="n"/>
      <c r="O174" s="46" t="n"/>
    </row>
    <row r="175" ht="17" customHeight="1">
      <c r="A175" s="83" t="n"/>
      <c r="B175" s="94" t="n"/>
      <c r="C175" s="46" t="n"/>
      <c r="D175" s="75" t="n"/>
      <c r="E175" s="95" t="n"/>
      <c r="F175" s="46" t="n"/>
      <c r="G175" s="96" t="n"/>
      <c r="H175" s="46" t="n"/>
      <c r="I175" s="97" t="n"/>
      <c r="J175" s="46" t="n"/>
      <c r="K175" s="46" t="n"/>
      <c r="L175" s="46" t="n"/>
      <c r="M175" s="46" t="n"/>
      <c r="N175" s="46" t="n"/>
      <c r="O175" s="46" t="n"/>
    </row>
    <row r="176" ht="17" customHeight="1">
      <c r="A176" s="83" t="n"/>
      <c r="B176" s="94" t="n"/>
      <c r="C176" s="46" t="n"/>
      <c r="D176" s="75" t="n"/>
      <c r="E176" s="95" t="n"/>
      <c r="F176" s="46" t="n"/>
      <c r="G176" s="96" t="n"/>
      <c r="H176" s="46" t="n"/>
      <c r="I176" s="97" t="n"/>
      <c r="J176" s="46" t="n"/>
      <c r="K176" s="46" t="n"/>
      <c r="L176" s="46" t="n"/>
      <c r="M176" s="46" t="n"/>
      <c r="N176" s="46" t="n"/>
      <c r="O176" s="46" t="n"/>
    </row>
    <row r="177" ht="17" customHeight="1">
      <c r="A177" s="83" t="n"/>
      <c r="B177" s="94" t="n"/>
      <c r="C177" s="46" t="n"/>
      <c r="D177" s="75" t="n"/>
      <c r="E177" s="95" t="n"/>
      <c r="F177" s="46" t="n"/>
      <c r="G177" s="96" t="n"/>
      <c r="H177" s="46" t="n"/>
      <c r="I177" s="97" t="n"/>
      <c r="J177" s="46" t="n"/>
      <c r="K177" s="46" t="n"/>
      <c r="L177" s="46" t="n"/>
      <c r="M177" s="46" t="n"/>
      <c r="N177" s="46" t="n"/>
      <c r="O177" s="46" t="n"/>
    </row>
    <row r="178" ht="17" customHeight="1">
      <c r="A178" s="83" t="n"/>
      <c r="B178" s="94" t="n"/>
      <c r="C178" s="46" t="n"/>
      <c r="D178" s="75" t="n"/>
      <c r="E178" s="95" t="n"/>
      <c r="F178" s="46" t="n"/>
      <c r="G178" s="96" t="n"/>
      <c r="H178" s="46" t="n"/>
      <c r="I178" s="97" t="n"/>
      <c r="J178" s="46" t="n"/>
      <c r="K178" s="46" t="n"/>
      <c r="L178" s="46" t="n"/>
      <c r="M178" s="46" t="n"/>
      <c r="N178" s="46" t="n"/>
      <c r="O178" s="46" t="n"/>
    </row>
    <row r="179" ht="17" customHeight="1">
      <c r="A179" s="83" t="n"/>
      <c r="B179" s="94" t="n"/>
      <c r="C179" s="46" t="n"/>
      <c r="D179" s="75" t="n"/>
      <c r="E179" s="95" t="n"/>
      <c r="F179" s="46" t="n"/>
      <c r="G179" s="96" t="n"/>
      <c r="H179" s="46" t="n"/>
      <c r="I179" s="97" t="n"/>
      <c r="J179" s="46" t="n"/>
      <c r="K179" s="46" t="n"/>
      <c r="L179" s="46" t="n"/>
      <c r="M179" s="46" t="n"/>
      <c r="N179" s="46" t="n"/>
      <c r="O179" s="46" t="n"/>
    </row>
    <row r="180" ht="17" customHeight="1">
      <c r="A180" s="83" t="n"/>
      <c r="B180" s="94" t="n"/>
      <c r="C180" s="46" t="n"/>
      <c r="D180" s="75" t="n"/>
      <c r="E180" s="95" t="n"/>
      <c r="F180" s="46" t="n"/>
      <c r="G180" s="96" t="n"/>
      <c r="H180" s="46" t="n"/>
      <c r="I180" s="97" t="n"/>
      <c r="J180" s="46" t="n"/>
      <c r="K180" s="46" t="n"/>
      <c r="L180" s="46" t="n"/>
      <c r="M180" s="46" t="n"/>
      <c r="N180" s="46" t="n"/>
      <c r="O180" s="46" t="n"/>
    </row>
    <row r="181" ht="17" customHeight="1">
      <c r="A181" s="83" t="n"/>
      <c r="B181" s="94" t="n"/>
      <c r="C181" s="46" t="n"/>
      <c r="D181" s="75" t="n"/>
      <c r="E181" s="95" t="n"/>
      <c r="F181" s="46" t="n"/>
      <c r="G181" s="96" t="n"/>
      <c r="H181" s="46" t="n"/>
      <c r="I181" s="97" t="n"/>
      <c r="J181" s="46" t="n"/>
      <c r="K181" s="46" t="n"/>
      <c r="L181" s="46" t="n"/>
      <c r="M181" s="46" t="n"/>
      <c r="N181" s="46" t="n"/>
      <c r="O181" s="46" t="n"/>
    </row>
    <row r="182" ht="17" customHeight="1">
      <c r="A182" s="83" t="n"/>
      <c r="B182" s="94" t="n"/>
      <c r="C182" s="46" t="n"/>
      <c r="D182" s="75" t="n"/>
      <c r="E182" s="95" t="n"/>
      <c r="F182" s="46" t="n"/>
      <c r="G182" s="96" t="n"/>
      <c r="H182" s="46" t="n"/>
      <c r="I182" s="97" t="n"/>
      <c r="J182" s="46" t="n"/>
      <c r="K182" s="46" t="n"/>
      <c r="L182" s="46" t="n"/>
      <c r="M182" s="46" t="n"/>
      <c r="N182" s="46" t="n"/>
      <c r="O182" s="46" t="n"/>
    </row>
    <row r="183" ht="17" customHeight="1">
      <c r="A183" s="83" t="n"/>
      <c r="B183" s="94" t="n"/>
      <c r="C183" s="46" t="n"/>
      <c r="D183" s="75" t="n"/>
      <c r="E183" s="95" t="n"/>
      <c r="F183" s="46" t="n"/>
      <c r="G183" s="96" t="n"/>
      <c r="H183" s="46" t="n"/>
      <c r="I183" s="97" t="n"/>
      <c r="J183" s="46" t="n"/>
      <c r="K183" s="46" t="n"/>
      <c r="L183" s="46" t="n"/>
      <c r="M183" s="46" t="n"/>
      <c r="N183" s="46" t="n"/>
      <c r="O183" s="46" t="n"/>
    </row>
    <row r="184" ht="17" customHeight="1">
      <c r="A184" s="83" t="n"/>
      <c r="B184" s="94" t="n"/>
      <c r="C184" s="46" t="n"/>
      <c r="D184" s="75" t="n"/>
      <c r="E184" s="95" t="n"/>
      <c r="F184" s="46" t="n"/>
      <c r="G184" s="96" t="n"/>
      <c r="H184" s="46" t="n"/>
      <c r="I184" s="97" t="n"/>
      <c r="J184" s="46" t="n"/>
      <c r="K184" s="46" t="n"/>
      <c r="L184" s="46" t="n"/>
      <c r="M184" s="46" t="n"/>
      <c r="N184" s="46" t="n"/>
      <c r="O184" s="46" t="n"/>
    </row>
    <row r="185" ht="17" customHeight="1">
      <c r="A185" s="83" t="n"/>
      <c r="B185" s="94" t="n"/>
      <c r="C185" s="46" t="n"/>
      <c r="D185" s="75" t="n"/>
      <c r="E185" s="95" t="n"/>
      <c r="F185" s="46" t="n"/>
      <c r="G185" s="96" t="n"/>
      <c r="H185" s="46" t="n"/>
      <c r="I185" s="97" t="n"/>
      <c r="J185" s="46" t="n"/>
      <c r="K185" s="46" t="n"/>
      <c r="L185" s="46" t="n"/>
      <c r="M185" s="46" t="n"/>
      <c r="N185" s="46" t="n"/>
      <c r="O185" s="46" t="n"/>
    </row>
    <row r="186" ht="17" customHeight="1">
      <c r="A186" s="83" t="n"/>
      <c r="B186" s="94" t="n"/>
      <c r="C186" s="46" t="n"/>
      <c r="D186" s="75" t="n"/>
      <c r="E186" s="95" t="n"/>
      <c r="F186" s="46" t="n"/>
      <c r="G186" s="96" t="n"/>
      <c r="H186" s="46" t="n"/>
      <c r="I186" s="97" t="n"/>
      <c r="J186" s="46" t="n"/>
      <c r="K186" s="46" t="n"/>
      <c r="L186" s="46" t="n"/>
      <c r="M186" s="46" t="n"/>
      <c r="N186" s="46" t="n"/>
      <c r="O186" s="46" t="n"/>
    </row>
    <row r="187" ht="17" customHeight="1">
      <c r="A187" s="83" t="n"/>
      <c r="B187" s="94" t="n"/>
      <c r="C187" s="46" t="n"/>
      <c r="D187" s="75" t="n"/>
      <c r="E187" s="95" t="n"/>
      <c r="F187" s="46" t="n"/>
      <c r="G187" s="96" t="n"/>
      <c r="H187" s="46" t="n"/>
      <c r="I187" s="97" t="n"/>
      <c r="J187" s="46" t="n"/>
      <c r="K187" s="46" t="n"/>
      <c r="L187" s="46" t="n"/>
      <c r="M187" s="46" t="n"/>
      <c r="N187" s="46" t="n"/>
      <c r="O187" s="46" t="n"/>
    </row>
    <row r="188" ht="17" customHeight="1">
      <c r="A188" s="83" t="n"/>
      <c r="B188" s="94" t="n"/>
      <c r="C188" s="46" t="n"/>
      <c r="D188" s="75" t="n"/>
      <c r="E188" s="95" t="n"/>
      <c r="F188" s="46" t="n"/>
      <c r="G188" s="96" t="n"/>
      <c r="H188" s="46" t="n"/>
      <c r="I188" s="97" t="n"/>
      <c r="J188" s="46" t="n"/>
      <c r="K188" s="46" t="n"/>
      <c r="L188" s="46" t="n"/>
      <c r="M188" s="46" t="n"/>
      <c r="N188" s="46" t="n"/>
      <c r="O188" s="46" t="n"/>
    </row>
    <row r="189" ht="17" customHeight="1">
      <c r="A189" s="83" t="n"/>
      <c r="B189" s="94" t="n"/>
      <c r="C189" s="46" t="n"/>
      <c r="D189" s="75" t="n"/>
      <c r="E189" s="95" t="n"/>
      <c r="F189" s="46" t="n"/>
      <c r="G189" s="96" t="n"/>
      <c r="H189" s="46" t="n"/>
      <c r="I189" s="97" t="n"/>
      <c r="J189" s="46" t="n"/>
      <c r="K189" s="46" t="n"/>
      <c r="L189" s="46" t="n"/>
      <c r="M189" s="46" t="n"/>
      <c r="N189" s="46" t="n"/>
      <c r="O189" s="46" t="n"/>
    </row>
    <row r="190" ht="17" customHeight="1">
      <c r="A190" s="83" t="n"/>
      <c r="B190" s="94" t="n"/>
      <c r="C190" s="46" t="n"/>
      <c r="D190" s="75" t="n"/>
      <c r="E190" s="95" t="n"/>
      <c r="F190" s="46" t="n"/>
      <c r="G190" s="96" t="n"/>
      <c r="H190" s="46" t="n"/>
      <c r="I190" s="97" t="n"/>
      <c r="J190" s="46" t="n"/>
      <c r="K190" s="46" t="n"/>
      <c r="L190" s="46" t="n"/>
      <c r="M190" s="46" t="n"/>
      <c r="N190" s="46" t="n"/>
      <c r="O190" s="46" t="n"/>
    </row>
    <row r="191" ht="17" customHeight="1">
      <c r="A191" s="83" t="n"/>
      <c r="B191" s="94" t="n"/>
      <c r="C191" s="46" t="n"/>
      <c r="D191" s="75" t="n"/>
      <c r="E191" s="95" t="n"/>
      <c r="F191" s="46" t="n"/>
      <c r="G191" s="96" t="n"/>
      <c r="H191" s="46" t="n"/>
      <c r="I191" s="97" t="n"/>
      <c r="J191" s="46" t="n"/>
      <c r="K191" s="46" t="n"/>
      <c r="L191" s="46" t="n"/>
      <c r="M191" s="46" t="n"/>
      <c r="N191" s="46" t="n"/>
      <c r="O191" s="46" t="n"/>
    </row>
    <row r="192" ht="17" customHeight="1">
      <c r="A192" s="83" t="n"/>
      <c r="B192" s="94" t="n"/>
      <c r="C192" s="46" t="n"/>
      <c r="D192" s="75" t="n"/>
      <c r="E192" s="95" t="n"/>
      <c r="F192" s="46" t="n"/>
      <c r="G192" s="96" t="n"/>
      <c r="H192" s="46" t="n"/>
      <c r="I192" s="97" t="n"/>
      <c r="J192" s="46" t="n"/>
      <c r="K192" s="46" t="n"/>
      <c r="L192" s="46" t="n"/>
      <c r="M192" s="46" t="n"/>
      <c r="N192" s="46" t="n"/>
      <c r="O192" s="46" t="n"/>
    </row>
    <row r="193" ht="17" customHeight="1">
      <c r="A193" s="83" t="n"/>
      <c r="B193" s="94" t="n"/>
      <c r="C193" s="46" t="n"/>
      <c r="D193" s="75" t="n"/>
      <c r="E193" s="95" t="n"/>
      <c r="F193" s="46" t="n"/>
      <c r="G193" s="96" t="n"/>
      <c r="H193" s="46" t="n"/>
      <c r="I193" s="97" t="n"/>
      <c r="J193" s="46" t="n"/>
      <c r="K193" s="46" t="n"/>
      <c r="L193" s="46" t="n"/>
      <c r="M193" s="46" t="n"/>
      <c r="N193" s="46" t="n"/>
      <c r="O193" s="46" t="n"/>
    </row>
    <row r="194" ht="22" customHeight="1">
      <c r="A194" s="31" t="inlineStr">
        <is>
          <t>TOTAL LANÇADO NO LIVRO</t>
        </is>
      </c>
      <c r="B194" s="32" t="n"/>
      <c r="C194" s="32" t="n"/>
      <c r="D194" s="32" t="n"/>
      <c r="E194" s="59">
        <f>ROUND(SUM($E$134:$E$193),2)</f>
        <v/>
      </c>
      <c r="F194" s="32" t="n"/>
      <c r="G194" s="98">
        <f>IF(COUNTA($B$134:$B$193)=COUNT($E$134:$E$193),"lançamentos: "&amp;COUNT($E$134:$E$193)&amp;" · todos classificados","ATENÇÃO: "&amp;(COUNT($E$134:$E$193)-COUNTA($B$134:$B$193))&amp;" lançamento(s) sem categoria")</f>
        <v/>
      </c>
      <c r="H194" s="32" t="n"/>
      <c r="I194" s="32" t="n"/>
      <c r="J194" s="32" t="n"/>
      <c r="K194" s="32" t="n"/>
      <c r="L194" s="32" t="n"/>
      <c r="M194" s="32" t="n"/>
      <c r="N194" s="32" t="n"/>
      <c r="O194" s="32" t="n"/>
    </row>
    <row r="196" ht="50" customHeight="1">
      <c r="A196" s="43" t="inlineStr">
        <is>
          <t xml:space="preserve">  Preencha primeiro a coluna ORÇADO com o que o orçamento previu e vá preenchendo o REALIZADO conforme o projeto anda — o desvio de cada linha é o que mostra onde o orçamento erra. Compras entram uma a uma no livro do bloco 8, com categoria, forma de pagamento e status; as categorias do bloco 6 se somam sozinhas. Você pode inserir linhas em qualquer bloco a partir da linha 26: tudo o que o Painel Geral lê está acima disso.</t>
        </is>
      </c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</row>
  </sheetData>
  <mergeCells count="561">
    <mergeCell ref="A196:O196"/>
    <mergeCell ref="I170:O170"/>
    <mergeCell ref="A15:B15"/>
    <mergeCell ref="I157:O157"/>
    <mergeCell ref="G128:O128"/>
    <mergeCell ref="B141:C141"/>
    <mergeCell ref="E142:F142"/>
    <mergeCell ref="I193:O193"/>
    <mergeCell ref="I172:O172"/>
    <mergeCell ref="H9:I9"/>
    <mergeCell ref="J76:M76"/>
    <mergeCell ref="G121:O121"/>
    <mergeCell ref="E171:F171"/>
    <mergeCell ref="G123:O123"/>
    <mergeCell ref="E137:F137"/>
    <mergeCell ref="G137:H137"/>
    <mergeCell ref="E173:F173"/>
    <mergeCell ref="H70:O70"/>
    <mergeCell ref="E148:F148"/>
    <mergeCell ref="G148:H148"/>
    <mergeCell ref="B78:C78"/>
    <mergeCell ref="D7:E7"/>
    <mergeCell ref="I183:O183"/>
    <mergeCell ref="D78:E78"/>
    <mergeCell ref="E166:F166"/>
    <mergeCell ref="G139:H139"/>
    <mergeCell ref="I175:O175"/>
    <mergeCell ref="H99:O99"/>
    <mergeCell ref="A34:C34"/>
    <mergeCell ref="I185:O185"/>
    <mergeCell ref="E168:F168"/>
    <mergeCell ref="G168:H168"/>
    <mergeCell ref="H87:I87"/>
    <mergeCell ref="H101:O101"/>
    <mergeCell ref="G143:H143"/>
    <mergeCell ref="D73:E73"/>
    <mergeCell ref="I176:O176"/>
    <mergeCell ref="J9:O9"/>
    <mergeCell ref="B154:C154"/>
    <mergeCell ref="H91:I91"/>
    <mergeCell ref="E117:F117"/>
    <mergeCell ref="A24:H24"/>
    <mergeCell ref="B156:C156"/>
    <mergeCell ref="E67:F67"/>
    <mergeCell ref="A103:B103"/>
    <mergeCell ref="H112:O112"/>
    <mergeCell ref="I138:O138"/>
    <mergeCell ref="I178:O178"/>
    <mergeCell ref="H114:O114"/>
    <mergeCell ref="E161:F161"/>
    <mergeCell ref="J73:M73"/>
    <mergeCell ref="G129:O129"/>
    <mergeCell ref="A72:O72"/>
    <mergeCell ref="J77:M77"/>
    <mergeCell ref="H75:I75"/>
    <mergeCell ref="B84:C84"/>
    <mergeCell ref="E110:F110"/>
    <mergeCell ref="H105:O105"/>
    <mergeCell ref="E16:F16"/>
    <mergeCell ref="E187:F187"/>
    <mergeCell ref="G138:H138"/>
    <mergeCell ref="B142:C142"/>
    <mergeCell ref="B80:C80"/>
    <mergeCell ref="E174:F174"/>
    <mergeCell ref="H15:O15"/>
    <mergeCell ref="H107:O107"/>
    <mergeCell ref="G126:O126"/>
    <mergeCell ref="B79:C79"/>
    <mergeCell ref="E18:F18"/>
    <mergeCell ref="D79:E79"/>
    <mergeCell ref="E189:F189"/>
    <mergeCell ref="G140:H140"/>
    <mergeCell ref="B144:C144"/>
    <mergeCell ref="F73:G73"/>
    <mergeCell ref="B81:C81"/>
    <mergeCell ref="D81:E81"/>
    <mergeCell ref="I191:O191"/>
    <mergeCell ref="H102:O102"/>
    <mergeCell ref="E29:F29"/>
    <mergeCell ref="H39:O39"/>
    <mergeCell ref="I192:O192"/>
    <mergeCell ref="E69:F69"/>
    <mergeCell ref="B170:C170"/>
    <mergeCell ref="E31:F31"/>
    <mergeCell ref="E158:F158"/>
    <mergeCell ref="E133:F133"/>
    <mergeCell ref="E108:F108"/>
    <mergeCell ref="G133:H133"/>
    <mergeCell ref="B172:C172"/>
    <mergeCell ref="E95:F95"/>
    <mergeCell ref="H28:O28"/>
    <mergeCell ref="E162:F162"/>
    <mergeCell ref="G135:H135"/>
    <mergeCell ref="B92:C92"/>
    <mergeCell ref="J74:M74"/>
    <mergeCell ref="D92:E92"/>
    <mergeCell ref="I146:O146"/>
    <mergeCell ref="F92:G92"/>
    <mergeCell ref="G153:H153"/>
    <mergeCell ref="A36:O36"/>
    <mergeCell ref="A11:O11"/>
    <mergeCell ref="B76:C76"/>
    <mergeCell ref="I181:O181"/>
    <mergeCell ref="A1:O1"/>
    <mergeCell ref="I12:O12"/>
    <mergeCell ref="E164:F164"/>
    <mergeCell ref="G164:H164"/>
    <mergeCell ref="H23:O23"/>
    <mergeCell ref="B150:C150"/>
    <mergeCell ref="E42:F42"/>
    <mergeCell ref="E17:F17"/>
    <mergeCell ref="E188:F188"/>
    <mergeCell ref="E126:F126"/>
    <mergeCell ref="B152:C152"/>
    <mergeCell ref="E180:F180"/>
    <mergeCell ref="J92:M92"/>
    <mergeCell ref="E19:F19"/>
    <mergeCell ref="E190:F190"/>
    <mergeCell ref="B145:C145"/>
    <mergeCell ref="G190:H190"/>
    <mergeCell ref="G146:H146"/>
    <mergeCell ref="B181:C181"/>
    <mergeCell ref="E182:F182"/>
    <mergeCell ref="A4:O4"/>
    <mergeCell ref="F10:O10"/>
    <mergeCell ref="H110:O110"/>
    <mergeCell ref="B87:C87"/>
    <mergeCell ref="I136:O136"/>
    <mergeCell ref="B147:C147"/>
    <mergeCell ref="D87:E87"/>
    <mergeCell ref="J87:M87"/>
    <mergeCell ref="E179:F179"/>
    <mergeCell ref="J89:M89"/>
    <mergeCell ref="D82:E82"/>
    <mergeCell ref="F82:G82"/>
    <mergeCell ref="G194:O194"/>
    <mergeCell ref="E37:F37"/>
    <mergeCell ref="E159:F159"/>
    <mergeCell ref="E97:F97"/>
    <mergeCell ref="G159:H159"/>
    <mergeCell ref="B163:C163"/>
    <mergeCell ref="H8:I8"/>
    <mergeCell ref="E109:F109"/>
    <mergeCell ref="H30:O30"/>
    <mergeCell ref="E145:F145"/>
    <mergeCell ref="E139:F139"/>
    <mergeCell ref="G161:H161"/>
    <mergeCell ref="B165:C165"/>
    <mergeCell ref="H29:O29"/>
    <mergeCell ref="E111:F111"/>
    <mergeCell ref="G136:H136"/>
    <mergeCell ref="A70:B70"/>
    <mergeCell ref="H44:O44"/>
    <mergeCell ref="H31:O31"/>
    <mergeCell ref="B77:C77"/>
    <mergeCell ref="D6:E6"/>
    <mergeCell ref="D77:E77"/>
    <mergeCell ref="I149:O149"/>
    <mergeCell ref="J82:M82"/>
    <mergeCell ref="H89:I89"/>
    <mergeCell ref="I151:O151"/>
    <mergeCell ref="B191:C191"/>
    <mergeCell ref="B178:C178"/>
    <mergeCell ref="E27:F27"/>
    <mergeCell ref="I144:O144"/>
    <mergeCell ref="E119:F119"/>
    <mergeCell ref="E183:F183"/>
    <mergeCell ref="G183:H183"/>
    <mergeCell ref="A6:C6"/>
    <mergeCell ref="E22:F22"/>
    <mergeCell ref="H42:O42"/>
    <mergeCell ref="E193:F193"/>
    <mergeCell ref="G193:H193"/>
    <mergeCell ref="D88:E88"/>
    <mergeCell ref="G149:H149"/>
    <mergeCell ref="F88:G88"/>
    <mergeCell ref="I177:O177"/>
    <mergeCell ref="G185:H185"/>
    <mergeCell ref="B90:C90"/>
    <mergeCell ref="D90:E90"/>
    <mergeCell ref="E122:F122"/>
    <mergeCell ref="G151:H151"/>
    <mergeCell ref="A45:B45"/>
    <mergeCell ref="G178:H178"/>
    <mergeCell ref="F6:G6"/>
    <mergeCell ref="J90:M90"/>
    <mergeCell ref="F83:G83"/>
    <mergeCell ref="H83:I83"/>
    <mergeCell ref="E38:F38"/>
    <mergeCell ref="A2:O2"/>
    <mergeCell ref="E147:F147"/>
    <mergeCell ref="F85:G85"/>
    <mergeCell ref="H85:I85"/>
    <mergeCell ref="G175:H175"/>
    <mergeCell ref="B179:C179"/>
    <mergeCell ref="E40:F40"/>
    <mergeCell ref="G162:H162"/>
    <mergeCell ref="H108:O108"/>
    <mergeCell ref="B166:C166"/>
    <mergeCell ref="B124:D124"/>
    <mergeCell ref="E186:F186"/>
    <mergeCell ref="G177:H177"/>
    <mergeCell ref="E104:F104"/>
    <mergeCell ref="H45:O45"/>
    <mergeCell ref="B174:C174"/>
    <mergeCell ref="B168:C168"/>
    <mergeCell ref="H32:O32"/>
    <mergeCell ref="B126:D126"/>
    <mergeCell ref="D9:E9"/>
    <mergeCell ref="H80:I80"/>
    <mergeCell ref="F9:G9"/>
    <mergeCell ref="I150:O150"/>
    <mergeCell ref="J83:M83"/>
    <mergeCell ref="I165:O165"/>
    <mergeCell ref="B169:C169"/>
    <mergeCell ref="I152:O152"/>
    <mergeCell ref="E66:F66"/>
    <mergeCell ref="J85:M85"/>
    <mergeCell ref="E130:F130"/>
    <mergeCell ref="E68:F68"/>
    <mergeCell ref="B134:C134"/>
    <mergeCell ref="G155:H155"/>
    <mergeCell ref="E160:F160"/>
    <mergeCell ref="E141:F141"/>
    <mergeCell ref="G118:O118"/>
    <mergeCell ref="E135:F135"/>
    <mergeCell ref="G157:H157"/>
    <mergeCell ref="E107:F107"/>
    <mergeCell ref="H73:I73"/>
    <mergeCell ref="E143:F143"/>
    <mergeCell ref="G172:H172"/>
    <mergeCell ref="G186:H186"/>
    <mergeCell ref="B162:C162"/>
    <mergeCell ref="D91:E91"/>
    <mergeCell ref="G152:H152"/>
    <mergeCell ref="F91:G91"/>
    <mergeCell ref="A21:B21"/>
    <mergeCell ref="I163:O163"/>
    <mergeCell ref="H84:I84"/>
    <mergeCell ref="A23:B23"/>
    <mergeCell ref="B187:C187"/>
    <mergeCell ref="E125:F125"/>
    <mergeCell ref="H86:I86"/>
    <mergeCell ref="E41:F41"/>
    <mergeCell ref="B189:C189"/>
    <mergeCell ref="E112:F112"/>
    <mergeCell ref="B188:C188"/>
    <mergeCell ref="B117:D117"/>
    <mergeCell ref="E43:F43"/>
    <mergeCell ref="J91:M91"/>
    <mergeCell ref="B190:C190"/>
    <mergeCell ref="B119:D119"/>
    <mergeCell ref="A16:B16"/>
    <mergeCell ref="G124:O124"/>
    <mergeCell ref="E138:F138"/>
    <mergeCell ref="A108:B108"/>
    <mergeCell ref="B127:D127"/>
    <mergeCell ref="I168:O168"/>
    <mergeCell ref="A18:B18"/>
    <mergeCell ref="B73:C73"/>
    <mergeCell ref="E167:F167"/>
    <mergeCell ref="H100:O100"/>
    <mergeCell ref="H7:I7"/>
    <mergeCell ref="G119:O119"/>
    <mergeCell ref="B137:C137"/>
    <mergeCell ref="E169:F169"/>
    <mergeCell ref="H66:O66"/>
    <mergeCell ref="B74:C74"/>
    <mergeCell ref="D74:E74"/>
    <mergeCell ref="B139:C139"/>
    <mergeCell ref="I184:O184"/>
    <mergeCell ref="B122:D122"/>
    <mergeCell ref="I171:O171"/>
    <mergeCell ref="H76:I76"/>
    <mergeCell ref="H95:O95"/>
    <mergeCell ref="A44:B44"/>
    <mergeCell ref="I173:O173"/>
    <mergeCell ref="H97:O97"/>
    <mergeCell ref="I166:O166"/>
    <mergeCell ref="G176:H176"/>
    <mergeCell ref="E64:F64"/>
    <mergeCell ref="J7:O7"/>
    <mergeCell ref="E156:F156"/>
    <mergeCell ref="E153:F153"/>
    <mergeCell ref="H21:O21"/>
    <mergeCell ref="E128:F128"/>
    <mergeCell ref="E155:F155"/>
    <mergeCell ref="D61:E61"/>
    <mergeCell ref="G184:H184"/>
    <mergeCell ref="G171:H171"/>
    <mergeCell ref="E65:F65"/>
    <mergeCell ref="E157:F157"/>
    <mergeCell ref="H16:O16"/>
    <mergeCell ref="A17:B17"/>
    <mergeCell ref="I134:O134"/>
    <mergeCell ref="H27:O27"/>
    <mergeCell ref="G117:O117"/>
    <mergeCell ref="A19:B19"/>
    <mergeCell ref="I161:O161"/>
    <mergeCell ref="E146:F146"/>
    <mergeCell ref="E12:F12"/>
    <mergeCell ref="G125:O125"/>
    <mergeCell ref="B138:C138"/>
    <mergeCell ref="E175:F175"/>
    <mergeCell ref="H67:O67"/>
    <mergeCell ref="H103:O103"/>
    <mergeCell ref="G127:O127"/>
    <mergeCell ref="E185:F185"/>
    <mergeCell ref="B140:C140"/>
    <mergeCell ref="I187:O187"/>
    <mergeCell ref="E170:F170"/>
    <mergeCell ref="I174:O174"/>
    <mergeCell ref="H98:O98"/>
    <mergeCell ref="D75:E75"/>
    <mergeCell ref="F75:G75"/>
    <mergeCell ref="I189:O189"/>
    <mergeCell ref="I188:O188"/>
    <mergeCell ref="G192:H192"/>
    <mergeCell ref="J8:O8"/>
    <mergeCell ref="E154:F154"/>
    <mergeCell ref="G154:H154"/>
    <mergeCell ref="B158:C158"/>
    <mergeCell ref="E172:F172"/>
    <mergeCell ref="B89:C89"/>
    <mergeCell ref="B160:C160"/>
    <mergeCell ref="D89:E89"/>
    <mergeCell ref="H18:O18"/>
    <mergeCell ref="L61:M61"/>
    <mergeCell ref="A194:D194"/>
    <mergeCell ref="I142:O142"/>
    <mergeCell ref="B153:C153"/>
    <mergeCell ref="J75:M75"/>
    <mergeCell ref="B184:C184"/>
    <mergeCell ref="H113:O113"/>
    <mergeCell ref="E20:F20"/>
    <mergeCell ref="I137:O137"/>
    <mergeCell ref="E177:F177"/>
    <mergeCell ref="E13:F13"/>
    <mergeCell ref="I164:O164"/>
    <mergeCell ref="I139:O139"/>
    <mergeCell ref="B88:C88"/>
    <mergeCell ref="B148:C148"/>
    <mergeCell ref="B82:C82"/>
    <mergeCell ref="E149:F149"/>
    <mergeCell ref="E176:F176"/>
    <mergeCell ref="E114:F114"/>
    <mergeCell ref="J88:M88"/>
    <mergeCell ref="A63:O63"/>
    <mergeCell ref="E15:F15"/>
    <mergeCell ref="E191:F191"/>
    <mergeCell ref="G142:H142"/>
    <mergeCell ref="B146:C146"/>
    <mergeCell ref="E178:F178"/>
    <mergeCell ref="H37:O37"/>
    <mergeCell ref="B83:C83"/>
    <mergeCell ref="B143:C143"/>
    <mergeCell ref="D83:E83"/>
    <mergeCell ref="E144:F144"/>
    <mergeCell ref="G144:H144"/>
    <mergeCell ref="H104:O104"/>
    <mergeCell ref="B85:C85"/>
    <mergeCell ref="A94:O94"/>
    <mergeCell ref="I190:O190"/>
    <mergeCell ref="D85:E85"/>
    <mergeCell ref="G173:H173"/>
    <mergeCell ref="H92:I92"/>
    <mergeCell ref="H106:O106"/>
    <mergeCell ref="F78:G78"/>
    <mergeCell ref="E106:F106"/>
    <mergeCell ref="H78:I78"/>
    <mergeCell ref="E33:F33"/>
    <mergeCell ref="H43:O43"/>
    <mergeCell ref="B159:C159"/>
    <mergeCell ref="D80:E80"/>
    <mergeCell ref="G170:H170"/>
    <mergeCell ref="B167:C167"/>
    <mergeCell ref="A26:O26"/>
    <mergeCell ref="B161:C161"/>
    <mergeCell ref="H6:I6"/>
    <mergeCell ref="H130:O130"/>
    <mergeCell ref="H68:O68"/>
    <mergeCell ref="B136:C136"/>
    <mergeCell ref="E28:F28"/>
    <mergeCell ref="B175:C175"/>
    <mergeCell ref="E30:F30"/>
    <mergeCell ref="J84:M84"/>
    <mergeCell ref="I145:O145"/>
    <mergeCell ref="J78:M78"/>
    <mergeCell ref="H69:O69"/>
    <mergeCell ref="A9:C9"/>
    <mergeCell ref="I147:O147"/>
    <mergeCell ref="J80:M80"/>
    <mergeCell ref="D8:E8"/>
    <mergeCell ref="J79:M79"/>
    <mergeCell ref="G150:H150"/>
    <mergeCell ref="I186:O186"/>
    <mergeCell ref="E21:F21"/>
    <mergeCell ref="J6:O6"/>
    <mergeCell ref="H82:I82"/>
    <mergeCell ref="B91:C91"/>
    <mergeCell ref="E192:F192"/>
    <mergeCell ref="H20:O20"/>
    <mergeCell ref="E129:F129"/>
    <mergeCell ref="H38:O38"/>
    <mergeCell ref="E23:F23"/>
    <mergeCell ref="D84:E84"/>
    <mergeCell ref="B155:C155"/>
    <mergeCell ref="G145:H145"/>
    <mergeCell ref="F84:G84"/>
    <mergeCell ref="B149:C149"/>
    <mergeCell ref="E181:F181"/>
    <mergeCell ref="B193:C193"/>
    <mergeCell ref="E194:F194"/>
    <mergeCell ref="G181:H181"/>
    <mergeCell ref="A3:O3"/>
    <mergeCell ref="H40:O40"/>
    <mergeCell ref="B86:C86"/>
    <mergeCell ref="G160:H160"/>
    <mergeCell ref="D86:E86"/>
    <mergeCell ref="I140:O140"/>
    <mergeCell ref="G147:H147"/>
    <mergeCell ref="F86:G86"/>
    <mergeCell ref="H64:O64"/>
    <mergeCell ref="B151:C151"/>
    <mergeCell ref="F80:G80"/>
    <mergeCell ref="G174:H174"/>
    <mergeCell ref="I158:O158"/>
    <mergeCell ref="I133:O133"/>
    <mergeCell ref="G189:H189"/>
    <mergeCell ref="F79:G79"/>
    <mergeCell ref="H79:I79"/>
    <mergeCell ref="E34:F34"/>
    <mergeCell ref="B182:C182"/>
    <mergeCell ref="E105:F105"/>
    <mergeCell ref="I160:O160"/>
    <mergeCell ref="E99:F99"/>
    <mergeCell ref="I135:O135"/>
    <mergeCell ref="F81:G81"/>
    <mergeCell ref="H81:I81"/>
    <mergeCell ref="E163:F163"/>
    <mergeCell ref="E101:F101"/>
    <mergeCell ref="G163:H163"/>
    <mergeCell ref="A22:B22"/>
    <mergeCell ref="B125:D125"/>
    <mergeCell ref="E113:F113"/>
    <mergeCell ref="B183:C183"/>
    <mergeCell ref="B177:C177"/>
    <mergeCell ref="E100:F100"/>
    <mergeCell ref="B164:C164"/>
    <mergeCell ref="J86:M86"/>
    <mergeCell ref="E136:F136"/>
    <mergeCell ref="G165:H165"/>
    <mergeCell ref="H33:O33"/>
    <mergeCell ref="I24:O24"/>
    <mergeCell ref="E102:F102"/>
    <mergeCell ref="G158:H158"/>
    <mergeCell ref="B120:D120"/>
    <mergeCell ref="D10:E10"/>
    <mergeCell ref="G169:H169"/>
    <mergeCell ref="I148:O148"/>
    <mergeCell ref="I153:O153"/>
    <mergeCell ref="E127:F127"/>
    <mergeCell ref="F74:G74"/>
    <mergeCell ref="B180:C180"/>
    <mergeCell ref="H74:I74"/>
    <mergeCell ref="G191:H191"/>
    <mergeCell ref="D76:E76"/>
    <mergeCell ref="F76:G76"/>
    <mergeCell ref="A47:O47"/>
    <mergeCell ref="B157:C157"/>
    <mergeCell ref="I179:O179"/>
    <mergeCell ref="B186:C186"/>
    <mergeCell ref="I141:O141"/>
    <mergeCell ref="E124:F124"/>
    <mergeCell ref="H65:O65"/>
    <mergeCell ref="E120:F120"/>
    <mergeCell ref="I159:O159"/>
    <mergeCell ref="I143:O143"/>
    <mergeCell ref="E184:F184"/>
    <mergeCell ref="A7:C7"/>
    <mergeCell ref="G122:O122"/>
    <mergeCell ref="E121:F121"/>
    <mergeCell ref="F87:G87"/>
    <mergeCell ref="B185:C185"/>
    <mergeCell ref="E151:F151"/>
    <mergeCell ref="H41:O41"/>
    <mergeCell ref="E123:F123"/>
    <mergeCell ref="F89:G89"/>
    <mergeCell ref="E150:F150"/>
    <mergeCell ref="E39:F39"/>
    <mergeCell ref="G179:H179"/>
    <mergeCell ref="F7:G7"/>
    <mergeCell ref="E44:F44"/>
    <mergeCell ref="B176:C176"/>
    <mergeCell ref="G166:H166"/>
    <mergeCell ref="H34:O34"/>
    <mergeCell ref="B128:D128"/>
    <mergeCell ref="G141:H141"/>
    <mergeCell ref="E103:F103"/>
    <mergeCell ref="E152:F152"/>
    <mergeCell ref="A116:O116"/>
    <mergeCell ref="E118:F118"/>
    <mergeCell ref="F8:G8"/>
    <mergeCell ref="A12:B12"/>
    <mergeCell ref="C12:D12"/>
    <mergeCell ref="G167:H167"/>
    <mergeCell ref="I154:O154"/>
    <mergeCell ref="B171:C171"/>
    <mergeCell ref="B123:D123"/>
    <mergeCell ref="I156:O156"/>
    <mergeCell ref="E70:F70"/>
    <mergeCell ref="F77:G77"/>
    <mergeCell ref="H77:I77"/>
    <mergeCell ref="H96:O96"/>
    <mergeCell ref="E32:F32"/>
    <mergeCell ref="G120:O120"/>
    <mergeCell ref="B133:C133"/>
    <mergeCell ref="E134:F134"/>
    <mergeCell ref="G134:H134"/>
    <mergeCell ref="B173:C173"/>
    <mergeCell ref="E96:F96"/>
    <mergeCell ref="B75:C75"/>
    <mergeCell ref="B135:C135"/>
    <mergeCell ref="I180:O180"/>
    <mergeCell ref="A130:B130"/>
    <mergeCell ref="I167:O167"/>
    <mergeCell ref="E98:F98"/>
    <mergeCell ref="I182:O182"/>
    <mergeCell ref="E165:F165"/>
    <mergeCell ref="I169:O169"/>
    <mergeCell ref="I13:O13"/>
    <mergeCell ref="E140:F140"/>
    <mergeCell ref="G156:H156"/>
    <mergeCell ref="B118:D118"/>
    <mergeCell ref="A8:C8"/>
    <mergeCell ref="H61:I61"/>
    <mergeCell ref="H88:I88"/>
    <mergeCell ref="J81:M81"/>
    <mergeCell ref="G187:H187"/>
    <mergeCell ref="A10:C10"/>
    <mergeCell ref="H17:O17"/>
    <mergeCell ref="F90:G90"/>
    <mergeCell ref="H90:I90"/>
    <mergeCell ref="H109:O109"/>
    <mergeCell ref="G180:H180"/>
    <mergeCell ref="E45:F45"/>
    <mergeCell ref="H22:O22"/>
    <mergeCell ref="B129:D129"/>
    <mergeCell ref="H19:O19"/>
    <mergeCell ref="G188:H188"/>
    <mergeCell ref="B192:C192"/>
    <mergeCell ref="A20:B20"/>
    <mergeCell ref="H111:O111"/>
    <mergeCell ref="B121:D121"/>
    <mergeCell ref="G182:H182"/>
    <mergeCell ref="I162:O162"/>
    <mergeCell ref="A132:O132"/>
    <mergeCell ref="A13:B13"/>
    <mergeCell ref="C13:D13"/>
    <mergeCell ref="I155:O155"/>
    <mergeCell ref="A114:B114"/>
  </mergeCells>
  <conditionalFormatting sqref="I134:O193">
    <cfRule type="expression" priority="1" dxfId="0" stopIfTrue="1">
      <formula>$I134="Pago"</formula>
    </cfRule>
    <cfRule type="expression" priority="2" dxfId="3" stopIfTrue="1">
      <formula>$I134="Comprado (a pagar)"</formula>
    </cfRule>
    <cfRule type="expression" priority="3" dxfId="1" stopIfTrue="1">
      <formula>$I134="A comprar"</formula>
    </cfRule>
  </conditionalFormatting>
  <conditionalFormatting sqref="A134:O193">
    <cfRule type="expression" priority="4" dxfId="6">
      <formula>AND($E134&lt;&gt;"",$B134="")</formula>
    </cfRule>
  </conditionalFormatting>
  <conditionalFormatting sqref="E16:F22">
    <cfRule type="expression" priority="5" dxfId="4">
      <formula>AND($E16&lt;&gt;"",$E16&gt;0)</formula>
    </cfRule>
    <cfRule type="expression" priority="6" dxfId="5">
      <formula>AND($E16&lt;&gt;"",$E16&lt;0)</formula>
    </cfRule>
  </conditionalFormatting>
  <conditionalFormatting sqref="E96:F114">
    <cfRule type="expression" priority="7" dxfId="4">
      <formula>AND($E96&lt;&gt;"",$E96&gt;0)</formula>
    </cfRule>
    <cfRule type="expression" priority="8" dxfId="5">
      <formula>AND($E96&lt;&gt;"",$E96&lt;0)</formula>
    </cfRule>
  </conditionalFormatting>
  <conditionalFormatting sqref="J9">
    <cfRule type="expression" priority="9" dxfId="0" stopIfTrue="1">
      <formula>$J$9="No prazo"</formula>
    </cfRule>
    <cfRule type="expression" priority="10" dxfId="2">
      <formula>$J$9="Atrasado"</formula>
    </cfRule>
  </conditionalFormatting>
  <conditionalFormatting sqref="A13:J13">
    <cfRule type="expression" priority="11" dxfId="6">
      <formula>AND($G$13&lt;&gt;"",$G$13&lt;0.25)</formula>
    </cfRule>
  </conditionalFormatting>
  <dataValidations count="12">
    <dataValidation sqref="D10:E1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"Jan/2026,Fev/2026,Mar/2026,Abr/2026,Mai/2026,Jun/2026,Jul/2026,Ago/2026,Set/2026,Out/2026,Nov/2026,Dez/2026,Jan/2027,Fev/2027,Mar/2027,Abr/2027,Mai/2027,Jun/2027,Jul/2027,Ago/2027,Set/2027,Out/2027,Nov/2027,Dez/2027"</formula1>
    </dataValidation>
    <dataValidation sqref="D49:D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H49:H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L49:L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"Lorrane,Lucas,Externo / avulso"</formula1>
    </dataValidation>
    <dataValidation sqref="H66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A74:A91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B118:B12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"Erro de projeto,Erro de medição,Erro de produção,Erro de montagem,Falha de material,Dano no transporte,Mudança pedida pelo cliente,Falha de fornecedor,Outro"</formula1>
    </dataValidation>
    <dataValidation sqref="B134:B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"MDF e MDP,Fita de borda,Ferragens,Vidros e espelhos,Esquadrias,Lâmina natural,Consumíveis,Acabamento,Serralheria,Vidraceiro,Outro terceirizado,Uber e aplicativo,Carreto e entrega,Deslocamento da equipe,Frete de material,Estacionamento e pedágio"</formula1>
    </dataValidation>
    <dataValidation sqref="G134:G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"PIX,Boleto,Cartão de crédito,Cartão parcelado,Dinheiro,Transferência,Faturado 30 dias,A combinar"</formula1>
    </dataValidation>
    <dataValidation sqref="I134:I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"A comprar,Comprado (a pagar),Pago"</formula1>
    </dataValidation>
    <dataValidation sqref="D9:E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"Jonathan,Vitor,Indicação,Arquiteto parceiro,Outro"</formula1>
    </dataValidation>
    <dataValidation sqref="F9:G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</dataValidations>
  <pageMargins left="0.4" right="0.3" top="0.4" bottom="0.3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96"/>
  <sheetViews>
    <sheetView showGridLines="0"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14" customWidth="1" min="3" max="3"/>
    <col width="16" customWidth="1" min="4" max="4"/>
    <col width="7" customWidth="1" min="5" max="5"/>
    <col width="13" customWidth="1" min="6" max="6"/>
    <col width="13" customWidth="1" min="7" max="7"/>
    <col width="16" customWidth="1" min="8" max="8"/>
    <col width="7" customWidth="1" min="9" max="9"/>
    <col width="13" customWidth="1" min="10" max="10"/>
    <col width="13" customWidth="1" min="11" max="11"/>
    <col width="15" customWidth="1" min="12" max="12"/>
    <col width="7" customWidth="1" min="13" max="13"/>
    <col width="13" customWidth="1" min="14" max="14"/>
    <col width="14" customWidth="1" min="15" max="15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8" customHeight="1">
      <c r="A3" s="4" t="inlineStr">
        <is>
          <t>FICHA DE CUSTO DO PROJETO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 ht="17" customHeight="1">
      <c r="A4" s="6" t="inlineStr">
        <is>
          <t>Fundo creme = você preenche · fundo cinza = calculado · duplique esta aba a cada projeto e registre o nome dela no Painel Geral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 ht="6" customHeight="1"/>
    <row r="6" ht="13" customHeight="1">
      <c r="A6" s="44" t="inlineStr">
        <is>
          <t>CLIENTE</t>
        </is>
      </c>
      <c r="B6" s="13" t="n"/>
      <c r="C6" s="13" t="n"/>
      <c r="D6" s="44" t="inlineStr">
        <is>
          <t>Nº DO PROJETO</t>
        </is>
      </c>
      <c r="E6" s="13" t="n"/>
      <c r="F6" s="44" t="inlineStr">
        <is>
          <t>DATA DE ENTRADA</t>
        </is>
      </c>
      <c r="G6" s="13" t="n"/>
      <c r="H6" s="44" t="inlineStr">
        <is>
          <t>ENTREGA PREVISTA</t>
        </is>
      </c>
      <c r="I6" s="13" t="n"/>
      <c r="J6" s="44" t="inlineStr">
        <is>
          <t>ENTREGA REAL</t>
        </is>
      </c>
      <c r="K6" s="13" t="n"/>
      <c r="L6" s="13" t="n"/>
      <c r="M6" s="13" t="n"/>
      <c r="N6" s="13" t="n"/>
      <c r="O6" s="13" t="n"/>
    </row>
    <row r="7" ht="21" customHeight="1">
      <c r="A7" s="45" t="n"/>
      <c r="B7" s="46" t="n"/>
      <c r="C7" s="46" t="n"/>
      <c r="D7" s="45" t="n"/>
      <c r="E7" s="46" t="n"/>
      <c r="F7" s="47" t="n"/>
      <c r="G7" s="46" t="n"/>
      <c r="H7" s="47" t="n"/>
      <c r="I7" s="46" t="n"/>
      <c r="J7" s="47" t="n"/>
      <c r="K7" s="46" t="n"/>
      <c r="L7" s="46" t="n"/>
      <c r="M7" s="46" t="n"/>
      <c r="N7" s="46" t="n"/>
      <c r="O7" s="46" t="n"/>
    </row>
    <row r="8" ht="13" customHeight="1">
      <c r="A8" s="44" t="inlineStr">
        <is>
          <t>PROJETO</t>
        </is>
      </c>
      <c r="B8" s="13" t="n"/>
      <c r="C8" s="13" t="n"/>
      <c r="D8" s="44" t="inlineStr">
        <is>
          <t>VENDEDOR</t>
        </is>
      </c>
      <c r="E8" s="13" t="n"/>
      <c r="F8" s="44" t="inlineStr">
        <is>
          <t>COORDENADOR</t>
        </is>
      </c>
      <c r="G8" s="13" t="n"/>
      <c r="H8" s="44" t="inlineStr">
        <is>
          <t>DIAS DE ATRASO</t>
        </is>
      </c>
      <c r="I8" s="13" t="n"/>
      <c r="J8" s="44" t="inlineStr">
        <is>
          <t>SITUAÇÃO DA ENTREGA</t>
        </is>
      </c>
      <c r="K8" s="13" t="n"/>
      <c r="L8" s="13" t="n"/>
      <c r="M8" s="13" t="n"/>
      <c r="N8" s="13" t="n"/>
      <c r="O8" s="13" t="n"/>
    </row>
    <row r="9" ht="21" customHeight="1">
      <c r="A9" s="45" t="n"/>
      <c r="B9" s="46" t="n"/>
      <c r="C9" s="46" t="n"/>
      <c r="D9" s="45" t="n"/>
      <c r="E9" s="46" t="n"/>
      <c r="F9" s="48" t="n"/>
      <c r="G9" s="46" t="n"/>
      <c r="H9" s="49">
        <f>IF(OR($H$7="",$J$7=""),"",$J$7-$H$7)</f>
        <v/>
      </c>
      <c r="I9" s="38" t="n"/>
      <c r="J9" s="50">
        <f>IF($H$7="","",IF($J$7="",IF(TODAY()&gt;$H$7,"Atrasado","Em produção"),IF($H$9&lt;=0,"No prazo","Atrasado")))</f>
        <v/>
      </c>
      <c r="K9" s="38" t="n"/>
      <c r="L9" s="38" t="n"/>
      <c r="M9" s="38" t="n"/>
      <c r="N9" s="38" t="n"/>
      <c r="O9" s="38" t="n"/>
    </row>
    <row r="10" ht="18" customHeight="1">
      <c r="A10" s="51" t="inlineStr">
        <is>
          <t>MÊS DE COMPETÊNCIA</t>
        </is>
      </c>
      <c r="B10" s="37" t="n"/>
      <c r="C10" s="37" t="n"/>
      <c r="D10" s="52" t="n"/>
      <c r="E10" s="46" t="n"/>
      <c r="F10" s="53" t="inlineStr">
        <is>
          <t>o mês em que a receita e o custo deste projeto pesam no painel de competência</t>
        </is>
      </c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</row>
    <row r="11" ht="20" customHeight="1">
      <c r="A11" s="8" t="inlineStr">
        <is>
          <t xml:space="preserve">  RESULTADO DO PROJETO          tudo aqui se atualiza conforme você lança os custos mais abaixo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</row>
    <row r="12" ht="13" customHeight="1">
      <c r="A12" s="44" t="inlineStr">
        <is>
          <t>VALOR DE VENDA</t>
        </is>
      </c>
      <c r="B12" s="13" t="n"/>
      <c r="C12" s="44" t="inlineStr">
        <is>
          <t>CUSTO TOTAL</t>
        </is>
      </c>
      <c r="D12" s="13" t="n"/>
      <c r="E12" s="44" t="inlineStr">
        <is>
          <t>MARGEM DE CONTRIBUIÇÃO</t>
        </is>
      </c>
      <c r="F12" s="13" t="n"/>
      <c r="G12" s="44" t="inlineStr">
        <is>
          <t>MC %</t>
        </is>
      </c>
      <c r="H12" s="44" t="inlineStr">
        <is>
          <t>MC % ORÇADA</t>
        </is>
      </c>
      <c r="I12" s="44" t="inlineStr">
        <is>
          <t>DESVIO DE CUSTO</t>
        </is>
      </c>
      <c r="J12" s="13" t="n"/>
      <c r="K12" s="13" t="n"/>
      <c r="L12" s="13" t="n"/>
      <c r="M12" s="13" t="n"/>
      <c r="N12" s="13" t="n"/>
      <c r="O12" s="13" t="n"/>
    </row>
    <row r="13" ht="30" customHeight="1">
      <c r="A13" s="54">
        <f>IF($D$28="",$C$28,$D$28)</f>
        <v/>
      </c>
      <c r="B13" s="15" t="n"/>
      <c r="C13" s="54">
        <f>IF($D$22=0,"",$D$22)</f>
        <v/>
      </c>
      <c r="D13" s="15" t="n"/>
      <c r="E13" s="54">
        <f>IF($A$13="","",$D$23)</f>
        <v/>
      </c>
      <c r="F13" s="15" t="n"/>
      <c r="G13" s="55">
        <f>IF(OR($A$13="",$A$13=0),"",$D$23/$A$13)</f>
        <v/>
      </c>
      <c r="H13" s="55">
        <f>IF(OR($C$28="",$C$28=0),"",$C$23/$C$28)</f>
        <v/>
      </c>
      <c r="I13" s="54">
        <f>IF(OR($C$22=0,$D$22=0),"",ROUND($D$22-$C$22,2))</f>
        <v/>
      </c>
      <c r="J13" s="15" t="n"/>
      <c r="K13" s="15" t="n"/>
      <c r="L13" s="15" t="n"/>
      <c r="M13" s="15" t="n"/>
      <c r="N13" s="15" t="n"/>
      <c r="O13" s="15" t="n"/>
    </row>
    <row r="14" ht="8" customHeight="1"/>
    <row r="15" ht="26" customHeight="1">
      <c r="A15" s="19" t="inlineStr">
        <is>
          <t>Resumo por categoria</t>
        </is>
      </c>
      <c r="B15" s="35" t="n"/>
      <c r="C15" s="19" t="inlineStr">
        <is>
          <t>Orçado (R$)</t>
        </is>
      </c>
      <c r="D15" s="19" t="inlineStr">
        <is>
          <t>Realizado (R$)</t>
        </is>
      </c>
      <c r="E15" s="19" t="inlineStr">
        <is>
          <t>Desvio (R$)</t>
        </is>
      </c>
      <c r="F15" s="35" t="n"/>
      <c r="G15" s="19" t="inlineStr">
        <is>
          <t>Desvio (%)</t>
        </is>
      </c>
      <c r="H15" s="19" t="inlineStr">
        <is>
          <t>% da venda realizada</t>
        </is>
      </c>
      <c r="I15" s="35" t="n"/>
      <c r="J15" s="35" t="n"/>
      <c r="K15" s="35" t="n"/>
      <c r="L15" s="35" t="n"/>
      <c r="M15" s="35" t="n"/>
      <c r="N15" s="35" t="n"/>
      <c r="O15" s="35" t="n"/>
    </row>
    <row r="16" ht="18" customHeight="1">
      <c r="A16" s="36" t="inlineStr">
        <is>
          <t>Custos de venda</t>
        </is>
      </c>
      <c r="B16" s="37" t="n"/>
      <c r="C16" s="56">
        <f>IF(C44="","",C44)</f>
        <v/>
      </c>
      <c r="D16" s="56">
        <f>IF(D44="","",D44)</f>
        <v/>
      </c>
      <c r="E16" s="56">
        <f>IF(OR($C16="",$D16=""),"",ROUND($D16-$C16,2))</f>
        <v/>
      </c>
      <c r="F16" s="38" t="n"/>
      <c r="G16" s="57">
        <f>IF(OR($C16="",$C16=0,$D16=""),"",$D16/$C16-1)</f>
        <v/>
      </c>
      <c r="H16" s="58">
        <f>IF(OR($D16="",$A$13="",$A$13=0),"",$D16/$A$13)</f>
        <v/>
      </c>
      <c r="I16" s="38" t="n"/>
      <c r="J16" s="38" t="n"/>
      <c r="K16" s="38" t="n"/>
      <c r="L16" s="38" t="n"/>
      <c r="M16" s="38" t="n"/>
      <c r="N16" s="38" t="n"/>
      <c r="O16" s="38" t="n"/>
    </row>
    <row r="17" ht="18" customHeight="1">
      <c r="A17" s="36" t="inlineStr">
        <is>
          <t>Comissões operacionais</t>
        </is>
      </c>
      <c r="B17" s="37" t="n"/>
      <c r="C17" s="56">
        <f>IF(C70="","",C70)</f>
        <v/>
      </c>
      <c r="D17" s="56">
        <f>IF(D70="","",D70)</f>
        <v/>
      </c>
      <c r="E17" s="56">
        <f>IF(OR($C17="",$D17=""),"",ROUND($D17-$C17,2))</f>
        <v/>
      </c>
      <c r="F17" s="38" t="n"/>
      <c r="G17" s="57">
        <f>IF(OR($C17="",$C17=0,$D17=""),"",$D17/$C17-1)</f>
        <v/>
      </c>
      <c r="H17" s="58">
        <f>IF(OR($D17="",$A$13="",$A$13=0),"",$D17/$A$13)</f>
        <v/>
      </c>
      <c r="I17" s="38" t="n"/>
      <c r="J17" s="38" t="n"/>
      <c r="K17" s="38" t="n"/>
      <c r="L17" s="38" t="n"/>
      <c r="M17" s="38" t="n"/>
      <c r="N17" s="38" t="n"/>
      <c r="O17" s="38" t="n"/>
    </row>
    <row r="18" ht="18" customHeight="1">
      <c r="A18" s="36" t="inlineStr">
        <is>
          <t>Material</t>
        </is>
      </c>
      <c r="B18" s="37" t="n"/>
      <c r="C18" s="56">
        <f>IF(C103="","",C103)</f>
        <v/>
      </c>
      <c r="D18" s="56">
        <f>IF(D103="","",D103)</f>
        <v/>
      </c>
      <c r="E18" s="56">
        <f>IF(OR($C18="",$D18=""),"",ROUND($D18-$C18,2))</f>
        <v/>
      </c>
      <c r="F18" s="38" t="n"/>
      <c r="G18" s="57">
        <f>IF(OR($C18="",$C18=0,$D18=""),"",$D18/$C18-1)</f>
        <v/>
      </c>
      <c r="H18" s="58">
        <f>IF(OR($D18="",$A$13="",$A$13=0),"",$D18/$A$13)</f>
        <v/>
      </c>
      <c r="I18" s="38" t="n"/>
      <c r="J18" s="38" t="n"/>
      <c r="K18" s="38" t="n"/>
      <c r="L18" s="38" t="n"/>
      <c r="M18" s="38" t="n"/>
      <c r="N18" s="38" t="n"/>
      <c r="O18" s="38" t="n"/>
    </row>
    <row r="19" ht="18" customHeight="1">
      <c r="A19" s="36" t="inlineStr">
        <is>
          <t>Serviços terceirizados</t>
        </is>
      </c>
      <c r="B19" s="37" t="n"/>
      <c r="C19" s="56">
        <f>IF(C108="","",C108)</f>
        <v/>
      </c>
      <c r="D19" s="56">
        <f>IF(D108="","",D108)</f>
        <v/>
      </c>
      <c r="E19" s="56">
        <f>IF(OR($C19="",$D19=""),"",ROUND($D19-$C19,2))</f>
        <v/>
      </c>
      <c r="F19" s="38" t="n"/>
      <c r="G19" s="57">
        <f>IF(OR($C19="",$C19=0,$D19=""),"",$D19/$C19-1)</f>
        <v/>
      </c>
      <c r="H19" s="58">
        <f>IF(OR($D19="",$A$13="",$A$13=0),"",$D19/$A$13)</f>
        <v/>
      </c>
      <c r="I19" s="38" t="n"/>
      <c r="J19" s="38" t="n"/>
      <c r="K19" s="38" t="n"/>
      <c r="L19" s="38" t="n"/>
      <c r="M19" s="38" t="n"/>
      <c r="N19" s="38" t="n"/>
      <c r="O19" s="38" t="n"/>
    </row>
    <row r="20" ht="18" customHeight="1">
      <c r="A20" s="36" t="inlineStr">
        <is>
          <t>Logística</t>
        </is>
      </c>
      <c r="B20" s="37" t="n"/>
      <c r="C20" s="56">
        <f>IF(C114="","",C114)</f>
        <v/>
      </c>
      <c r="D20" s="56">
        <f>IF(D114="","",D114)</f>
        <v/>
      </c>
      <c r="E20" s="56">
        <f>IF(OR($C20="",$D20=""),"",ROUND($D20-$C20,2))</f>
        <v/>
      </c>
      <c r="F20" s="38" t="n"/>
      <c r="G20" s="57">
        <f>IF(OR($C20="",$C20=0,$D20=""),"",$D20/$C20-1)</f>
        <v/>
      </c>
      <c r="H20" s="58">
        <f>IF(OR($D20="",$A$13="",$A$13=0),"",$D20/$A$13)</f>
        <v/>
      </c>
      <c r="I20" s="38" t="n"/>
      <c r="J20" s="38" t="n"/>
      <c r="K20" s="38" t="n"/>
      <c r="L20" s="38" t="n"/>
      <c r="M20" s="38" t="n"/>
      <c r="N20" s="38" t="n"/>
      <c r="O20" s="38" t="n"/>
    </row>
    <row r="21" ht="18" customHeight="1">
      <c r="A21" s="36" t="inlineStr">
        <is>
          <t>Retrabalho</t>
        </is>
      </c>
      <c r="B21" s="37" t="n"/>
      <c r="C21" s="56">
        <f>IF(C130="","",C130)</f>
        <v/>
      </c>
      <c r="D21" s="56">
        <f>IF(D130="","",D130)</f>
        <v/>
      </c>
      <c r="E21" s="56">
        <f>IF(OR($C21="",$D21=""),"",ROUND($D21-$C21,2))</f>
        <v/>
      </c>
      <c r="F21" s="38" t="n"/>
      <c r="G21" s="57">
        <f>IF(OR($C21="",$C21=0,$D21=""),"",$D21/$C21-1)</f>
        <v/>
      </c>
      <c r="H21" s="58">
        <f>IF(OR($D21="",$A$13="",$A$13=0),"",$D21/$A$13)</f>
        <v/>
      </c>
      <c r="I21" s="38" t="n"/>
      <c r="J21" s="38" t="n"/>
      <c r="K21" s="38" t="n"/>
      <c r="L21" s="38" t="n"/>
      <c r="M21" s="38" t="n"/>
      <c r="N21" s="38" t="n"/>
      <c r="O21" s="38" t="n"/>
    </row>
    <row r="22" ht="22" customHeight="1">
      <c r="A22" s="31" t="inlineStr">
        <is>
          <t>(=) CUSTO TOTAL DO PROJETO</t>
        </is>
      </c>
      <c r="B22" s="32" t="n"/>
      <c r="C22" s="59">
        <f>ROUND(SUM(C16:C21),2)</f>
        <v/>
      </c>
      <c r="D22" s="59">
        <f>ROUND(SUM(D16:D21),2)</f>
        <v/>
      </c>
      <c r="E22" s="60">
        <f>ROUND($D$22-$C$22,2)</f>
        <v/>
      </c>
      <c r="F22" s="32" t="n"/>
      <c r="G22" s="61">
        <f>IF(OR($C$22="",$C$22=0),"",$D$22/$C$22-1)</f>
        <v/>
      </c>
      <c r="H22" s="62">
        <f>IF(OR($A$13="",$A$13=0),"",$D$22/$A$13)</f>
        <v/>
      </c>
      <c r="I22" s="32" t="n"/>
      <c r="J22" s="32" t="n"/>
      <c r="K22" s="32" t="n"/>
      <c r="L22" s="32" t="n"/>
      <c r="M22" s="32" t="n"/>
      <c r="N22" s="32" t="n"/>
      <c r="O22" s="32" t="n"/>
    </row>
    <row r="23" ht="28" customHeight="1">
      <c r="A23" s="63" t="inlineStr">
        <is>
          <t>(=) MARGEM DE CONTRIBUIÇÃO</t>
        </is>
      </c>
      <c r="B23" s="64" t="n"/>
      <c r="C23" s="65">
        <f>ROUND($C$28-$C$22,2)</f>
        <v/>
      </c>
      <c r="D23" s="65">
        <f>ROUND($A$13-$D$22,2)</f>
        <v/>
      </c>
      <c r="E23" s="66">
        <f>ROUND($D$23-$C$23,2)</f>
        <v/>
      </c>
      <c r="F23" s="64" t="n"/>
      <c r="G23" s="67">
        <f>IF(OR($C$28="",$C$28=0),"",$C$23/$C$28)</f>
        <v/>
      </c>
      <c r="H23" s="68">
        <f>IF(OR($A$13="",$A$13=0),"",$D$23/$A$13)</f>
        <v/>
      </c>
      <c r="I23" s="64" t="n"/>
      <c r="J23" s="64" t="n"/>
      <c r="K23" s="64" t="n"/>
      <c r="L23" s="64" t="n"/>
      <c r="M23" s="64" t="n"/>
      <c r="N23" s="64" t="n"/>
      <c r="O23" s="64" t="n"/>
    </row>
    <row r="24" ht="22" customHeight="1">
      <c r="A24" s="69">
        <f>IF($A$13="","",IF(ROUND(SUMIF($I$134:$I$193,"A comprar",$E$134:$E$193),2)+ROUND(SUMIF($I$134:$I$193,"Comprado (a pagar)",$E$134:$E$193),2)=0,"   Nenhuma compra pendente lançada — o custo realizado já é o custo final.","   Já comprado e ainda a pagar: "&amp;TEXT(ROUND(SUMIF($I$134:$I$193,"Comprado (a pagar)",$E$134:$E$193),2),"R$ #,##0")&amp;"   ·   custo projetado: "&amp;TEXT($D$22+ROUND(SUMIF($I$134:$I$193,"A comprar",$E$134:$E$193),2),"R$ #,##0")&amp;"   ·   MC projetada: "&amp;TEXT(($A$13-$D$22-ROUND(SUMIF($I$134:$I$193,"A comprar",$E$134:$E$193),2))/$A$13,"0.0%")))</f>
        <v/>
      </c>
      <c r="B24" s="15" t="n"/>
      <c r="C24" s="15" t="n"/>
      <c r="D24" s="15" t="n"/>
      <c r="E24" s="15" t="n"/>
      <c r="F24" s="15" t="n"/>
      <c r="G24" s="15" t="n"/>
      <c r="H24" s="15" t="n"/>
      <c r="I24" s="70">
        <f>IF($A$13="","",ROUND(SUMIF($I$134:$I$193,"A comprar",$E$134:$E$193),2))</f>
        <v/>
      </c>
      <c r="J24" s="15" t="n"/>
      <c r="K24" s="15" t="n"/>
      <c r="L24" s="15" t="n"/>
      <c r="M24" s="15" t="n"/>
      <c r="N24" s="15" t="n"/>
      <c r="O24" s="15" t="n"/>
    </row>
    <row r="25" ht="8" customHeight="1"/>
    <row r="26" ht="20" customHeight="1">
      <c r="A26" s="8" t="inlineStr">
        <is>
          <t xml:space="preserve">  1 · VALOR DE VENDA E NOTAS EMITIDAS          o que foi vendido e o que já virou nota — a diferença é o que falta faturar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 ht="26" customHeight="1">
      <c r="A27" s="19" t="inlineStr">
        <is>
          <t>Item</t>
        </is>
      </c>
      <c r="B27" s="19" t="inlineStr">
        <is>
          <t>%</t>
        </is>
      </c>
      <c r="C27" s="19" t="inlineStr">
        <is>
          <t>Orçado (R$)</t>
        </is>
      </c>
      <c r="D27" s="19" t="inlineStr">
        <is>
          <t>Realizado (R$)</t>
        </is>
      </c>
      <c r="E27" s="19" t="inlineStr">
        <is>
          <t>Desvio (R$)</t>
        </is>
      </c>
      <c r="F27" s="35" t="n"/>
      <c r="G27" s="19" t="inlineStr">
        <is>
          <t>% da venda</t>
        </is>
      </c>
      <c r="H27" s="19" t="inlineStr">
        <is>
          <t>Observação</t>
        </is>
      </c>
      <c r="I27" s="35" t="n"/>
      <c r="J27" s="35" t="n"/>
      <c r="K27" s="35" t="n"/>
      <c r="L27" s="35" t="n"/>
      <c r="M27" s="35" t="n"/>
      <c r="N27" s="35" t="n"/>
      <c r="O27" s="35" t="n"/>
    </row>
    <row r="28" ht="17" customHeight="1">
      <c r="A28" s="36" t="inlineStr">
        <is>
          <t>Valor de venda do projeto</t>
        </is>
      </c>
      <c r="B28" s="37" t="n"/>
      <c r="C28" s="71" t="n"/>
      <c r="D28" s="71" t="n"/>
      <c r="E28" s="56">
        <f>IF(OR($C28="",$D28=""),"",ROUND($D28-$C28,2))</f>
        <v/>
      </c>
      <c r="F28" s="38" t="n"/>
      <c r="G28" s="72" t="n"/>
      <c r="H28" s="73" t="inlineStr">
        <is>
          <t>Orçado = valor da proposta · Realizado = valor fechado</t>
        </is>
      </c>
      <c r="I28" s="46" t="n"/>
      <c r="J28" s="46" t="n"/>
      <c r="K28" s="46" t="n"/>
      <c r="L28" s="46" t="n"/>
      <c r="M28" s="46" t="n"/>
      <c r="N28" s="46" t="n"/>
      <c r="O28" s="46" t="n"/>
    </row>
    <row r="29" ht="22" customHeight="1">
      <c r="A29" s="19" t="inlineStr">
        <is>
          <t>Nota fiscal</t>
        </is>
      </c>
      <c r="B29" s="19" t="inlineStr">
        <is>
          <t>Número</t>
        </is>
      </c>
      <c r="C29" s="19" t="inlineStr">
        <is>
          <t>Data</t>
        </is>
      </c>
      <c r="D29" s="19" t="inlineStr">
        <is>
          <t>Valor (R$)</t>
        </is>
      </c>
      <c r="E29" s="19" t="inlineStr"/>
      <c r="F29" s="35" t="n"/>
      <c r="G29" s="19" t="inlineStr">
        <is>
          <t>% da venda</t>
        </is>
      </c>
      <c r="H29" s="19" t="inlineStr">
        <is>
          <t>Observação</t>
        </is>
      </c>
      <c r="I29" s="35" t="n"/>
      <c r="J29" s="35" t="n"/>
      <c r="K29" s="35" t="n"/>
      <c r="L29" s="35" t="n"/>
      <c r="M29" s="35" t="n"/>
      <c r="N29" s="35" t="n"/>
      <c r="O29" s="35" t="n"/>
    </row>
    <row r="30" ht="17" customHeight="1">
      <c r="A30" s="36" t="inlineStr">
        <is>
          <t>Nota 1</t>
        </is>
      </c>
      <c r="B30" s="74" t="n"/>
      <c r="C30" s="75" t="n"/>
      <c r="D30" s="76" t="n"/>
      <c r="E30" s="37" t="n"/>
      <c r="F30" s="37" t="n"/>
      <c r="G30" s="72">
        <f>IF(OR($D30="",$A$13="",$A$13=0),"",$D30/$A$13)</f>
        <v/>
      </c>
      <c r="H30" s="73" t="n"/>
      <c r="I30" s="46" t="n"/>
      <c r="J30" s="46" t="n"/>
      <c r="K30" s="46" t="n"/>
      <c r="L30" s="46" t="n"/>
      <c r="M30" s="46" t="n"/>
      <c r="N30" s="46" t="n"/>
      <c r="O30" s="46" t="n"/>
    </row>
    <row r="31" ht="17" customHeight="1">
      <c r="A31" s="36" t="inlineStr">
        <is>
          <t>Nota 2</t>
        </is>
      </c>
      <c r="B31" s="74" t="n"/>
      <c r="C31" s="75" t="n"/>
      <c r="D31" s="76" t="n"/>
      <c r="E31" s="37" t="n"/>
      <c r="F31" s="37" t="n"/>
      <c r="G31" s="72">
        <f>IF(OR($D31="",$A$13="",$A$13=0),"",$D31/$A$13)</f>
        <v/>
      </c>
      <c r="H31" s="73" t="n"/>
      <c r="I31" s="46" t="n"/>
      <c r="J31" s="46" t="n"/>
      <c r="K31" s="46" t="n"/>
      <c r="L31" s="46" t="n"/>
      <c r="M31" s="46" t="n"/>
      <c r="N31" s="46" t="n"/>
      <c r="O31" s="46" t="n"/>
    </row>
    <row r="32" ht="17" customHeight="1">
      <c r="A32" s="36" t="inlineStr">
        <is>
          <t>Nota 3</t>
        </is>
      </c>
      <c r="B32" s="74" t="n"/>
      <c r="C32" s="75" t="n"/>
      <c r="D32" s="76" t="n"/>
      <c r="E32" s="37" t="n"/>
      <c r="F32" s="37" t="n"/>
      <c r="G32" s="72">
        <f>IF(OR($D32="",$A$13="",$A$13=0),"",$D32/$A$13)</f>
        <v/>
      </c>
      <c r="H32" s="73" t="n"/>
      <c r="I32" s="46" t="n"/>
      <c r="J32" s="46" t="n"/>
      <c r="K32" s="46" t="n"/>
      <c r="L32" s="46" t="n"/>
      <c r="M32" s="46" t="n"/>
      <c r="N32" s="46" t="n"/>
      <c r="O32" s="46" t="n"/>
    </row>
    <row r="33" ht="17" customHeight="1">
      <c r="A33" s="36" t="inlineStr">
        <is>
          <t>Nota 4</t>
        </is>
      </c>
      <c r="B33" s="74" t="n"/>
      <c r="C33" s="75" t="n"/>
      <c r="D33" s="76" t="n"/>
      <c r="E33" s="37" t="n"/>
      <c r="F33" s="37" t="n"/>
      <c r="G33" s="72">
        <f>IF(OR($D33="",$A$13="",$A$13=0),"",$D33/$A$13)</f>
        <v/>
      </c>
      <c r="H33" s="73" t="n"/>
      <c r="I33" s="46" t="n"/>
      <c r="J33" s="46" t="n"/>
      <c r="K33" s="46" t="n"/>
      <c r="L33" s="46" t="n"/>
      <c r="M33" s="46" t="n"/>
      <c r="N33" s="46" t="n"/>
      <c r="O33" s="46" t="n"/>
    </row>
    <row r="34" ht="20" customHeight="1">
      <c r="A34" s="31" t="inlineStr">
        <is>
          <t>(=) TOTAL FATURADO  →</t>
        </is>
      </c>
      <c r="B34" s="32" t="n"/>
      <c r="C34" s="32" t="n"/>
      <c r="D34" s="60">
        <f>ROUND(SUM($D$30:$D$33),2)</f>
        <v/>
      </c>
      <c r="E34" s="32" t="n"/>
      <c r="F34" s="32" t="n"/>
      <c r="G34" s="62">
        <f>IF(OR($A$13="",$A$13=0),"",$D$34/$A$13)</f>
        <v/>
      </c>
      <c r="H34" s="77">
        <f>IF(OR($A$13="",$A$13=0),"",IF(ROUND($A$13-$D$34,2)&lt;=0,"   Projeto totalmente faturado.","   Ainda a faturar: "&amp;TEXT($A$13-$D$34,"R$ #,##0.00")))</f>
        <v/>
      </c>
      <c r="I34" s="32" t="n"/>
      <c r="J34" s="32" t="n"/>
      <c r="K34" s="32" t="n"/>
      <c r="L34" s="32" t="n"/>
      <c r="M34" s="32" t="n"/>
      <c r="N34" s="32" t="n"/>
      <c r="O34" s="32" t="n"/>
    </row>
    <row r="35" ht="8" customHeight="1"/>
    <row r="36" ht="20" customHeight="1">
      <c r="A36" s="8" t="inlineStr">
        <is>
          <t xml:space="preserve">  2 · CUSTOS DE VENDA          tudo que sai por causa da venda · define a RECEITA LÍQUIDA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</row>
    <row r="37" ht="26" customHeight="1">
      <c r="A37" s="19" t="inlineStr">
        <is>
          <t>Item</t>
        </is>
      </c>
      <c r="B37" s="19" t="inlineStr">
        <is>
          <t>%</t>
        </is>
      </c>
      <c r="C37" s="19" t="inlineStr">
        <is>
          <t>Orçado (R$)</t>
        </is>
      </c>
      <c r="D37" s="19" t="inlineStr">
        <is>
          <t>Realizado (R$)</t>
        </is>
      </c>
      <c r="E37" s="19" t="inlineStr">
        <is>
          <t>Desvio (R$)</t>
        </is>
      </c>
      <c r="F37" s="35" t="n"/>
      <c r="G37" s="19" t="inlineStr">
        <is>
          <t>% da venda</t>
        </is>
      </c>
      <c r="H37" s="19" t="inlineStr">
        <is>
          <t>Observação</t>
        </is>
      </c>
      <c r="I37" s="35" t="n"/>
      <c r="J37" s="35" t="n"/>
      <c r="K37" s="35" t="n"/>
      <c r="L37" s="35" t="n"/>
      <c r="M37" s="35" t="n"/>
      <c r="N37" s="35" t="n"/>
      <c r="O37" s="35" t="n"/>
    </row>
    <row r="38" ht="17" customHeight="1">
      <c r="A38" s="36" t="inlineStr">
        <is>
          <t>Impostos sobre a nota (Simples)</t>
        </is>
      </c>
      <c r="B38" s="78" t="n"/>
      <c r="C38" s="56">
        <f>IF($B38="","",ROUND($B38*$C$28,2))</f>
        <v/>
      </c>
      <c r="D38" s="56">
        <f>IF($B38="","",ROUND($B38*$A$13,2))</f>
        <v/>
      </c>
      <c r="E38" s="56">
        <f>IF(OR($C38="",$D38=""),"",ROUND($D38-$C38,2))</f>
        <v/>
      </c>
      <c r="F38" s="38" t="n"/>
      <c r="G38" s="72">
        <f>IF(OR($D38="",$A$13="",$A$13=0),"",$D38/$A$13)</f>
        <v/>
      </c>
      <c r="H38" s="73" t="inlineStr">
        <is>
          <t>% sobre o valor de venda</t>
        </is>
      </c>
      <c r="I38" s="46" t="n"/>
      <c r="J38" s="46" t="n"/>
      <c r="K38" s="46" t="n"/>
      <c r="L38" s="46" t="n"/>
      <c r="M38" s="46" t="n"/>
      <c r="N38" s="46" t="n"/>
      <c r="O38" s="46" t="n"/>
    </row>
    <row r="39" ht="17" customHeight="1">
      <c r="A39" s="36" t="inlineStr">
        <is>
          <t>Taxa de máquina de cartão</t>
        </is>
      </c>
      <c r="B39" s="78" t="n"/>
      <c r="C39" s="56">
        <f>IF($B39="","",ROUND($B39*$C$28,2))</f>
        <v/>
      </c>
      <c r="D39" s="56">
        <f>IF($B39="","",ROUND($B39*$A$13,2))</f>
        <v/>
      </c>
      <c r="E39" s="56">
        <f>IF(OR($C39="",$D39=""),"",ROUND($D39-$C39,2))</f>
        <v/>
      </c>
      <c r="F39" s="38" t="n"/>
      <c r="G39" s="72">
        <f>IF(OR($D39="",$A$13="",$A$13=0),"",$D39/$A$13)</f>
        <v/>
      </c>
      <c r="H39" s="73" t="inlineStr">
        <is>
          <t>% sobre o valor de venda</t>
        </is>
      </c>
      <c r="I39" s="46" t="n"/>
      <c r="J39" s="46" t="n"/>
      <c r="K39" s="46" t="n"/>
      <c r="L39" s="46" t="n"/>
      <c r="M39" s="46" t="n"/>
      <c r="N39" s="46" t="n"/>
      <c r="O39" s="46" t="n"/>
    </row>
    <row r="40" ht="17" customHeight="1">
      <c r="A40" s="36" t="inlineStr">
        <is>
          <t>Taxas de transação (PIX, boleto, TED)</t>
        </is>
      </c>
      <c r="B40" s="37" t="n"/>
      <c r="C40" s="71" t="n"/>
      <c r="D40" s="71" t="n"/>
      <c r="E40" s="56">
        <f>IF(OR($C40="",$D40=""),"",ROUND($D40-$C40,2))</f>
        <v/>
      </c>
      <c r="F40" s="38" t="n"/>
      <c r="G40" s="72">
        <f>IF(OR($D40="",$A$13="",$A$13=0),"",$D40/$A$13)</f>
        <v/>
      </c>
      <c r="H40" s="73" t="inlineStr">
        <is>
          <t>valor em reais</t>
        </is>
      </c>
      <c r="I40" s="46" t="n"/>
      <c r="J40" s="46" t="n"/>
      <c r="K40" s="46" t="n"/>
      <c r="L40" s="46" t="n"/>
      <c r="M40" s="46" t="n"/>
      <c r="N40" s="46" t="n"/>
      <c r="O40" s="46" t="n"/>
    </row>
    <row r="41" ht="17" customHeight="1">
      <c r="A41" s="36" t="inlineStr">
        <is>
          <t>Comissão de venda (vendedor)</t>
        </is>
      </c>
      <c r="B41" s="78" t="n"/>
      <c r="C41" s="56">
        <f>IF($B41="","",ROUND($B41*$C$28,2))</f>
        <v/>
      </c>
      <c r="D41" s="56">
        <f>IF($B41="","",ROUND($B41*$A$13,2))</f>
        <v/>
      </c>
      <c r="E41" s="56">
        <f>IF(OR($C41="",$D41=""),"",ROUND($D41-$C41,2))</f>
        <v/>
      </c>
      <c r="F41" s="38" t="n"/>
      <c r="G41" s="72">
        <f>IF(OR($D41="",$A$13="",$A$13=0),"",$D41/$A$13)</f>
        <v/>
      </c>
      <c r="H41" s="73" t="inlineStr">
        <is>
          <t>% sobre o valor de venda</t>
        </is>
      </c>
      <c r="I41" s="46" t="n"/>
      <c r="J41" s="46" t="n"/>
      <c r="K41" s="46" t="n"/>
      <c r="L41" s="46" t="n"/>
      <c r="M41" s="46" t="n"/>
      <c r="N41" s="46" t="n"/>
      <c r="O41" s="46" t="n"/>
    </row>
    <row r="42" ht="17" customHeight="1">
      <c r="A42" s="36" t="inlineStr">
        <is>
          <t>Projeto / anteprojeto (externo)</t>
        </is>
      </c>
      <c r="B42" s="37" t="n"/>
      <c r="C42" s="71" t="n"/>
      <c r="D42" s="71" t="n"/>
      <c r="E42" s="56">
        <f>IF(OR($C42="",$D42=""),"",ROUND($D42-$C42,2))</f>
        <v/>
      </c>
      <c r="F42" s="38" t="n"/>
      <c r="G42" s="72">
        <f>IF(OR($D42="",$A$13="",$A$13=0),"",$D42/$A$13)</f>
        <v/>
      </c>
      <c r="H42" s="73" t="inlineStr">
        <is>
          <t>projetista ou arquiteto contratado para o projeto</t>
        </is>
      </c>
      <c r="I42" s="46" t="n"/>
      <c r="J42" s="46" t="n"/>
      <c r="K42" s="46" t="n"/>
      <c r="L42" s="46" t="n"/>
      <c r="M42" s="46" t="n"/>
      <c r="N42" s="46" t="n"/>
      <c r="O42" s="46" t="n"/>
    </row>
    <row r="43" ht="17" customHeight="1">
      <c r="A43" s="36" t="inlineStr">
        <is>
          <t>RT do parceiro</t>
        </is>
      </c>
      <c r="B43" s="78" t="n"/>
      <c r="C43" s="56">
        <f>IF($B43="","",ROUND($B43*($C$28-SUM($C$38:$C$40)),2))</f>
        <v/>
      </c>
      <c r="D43" s="56">
        <f>IF($B43="","",ROUND($B43*($A$13-SUM($D$38:$D$40)),2))</f>
        <v/>
      </c>
      <c r="E43" s="56">
        <f>IF(OR($C43="",$D43=""),"",ROUND($D43-$C43,2))</f>
        <v/>
      </c>
      <c r="F43" s="38" t="n"/>
      <c r="G43" s="72">
        <f>IF(OR($D43="",$A$13="",$A$13=0),"",$D43/$A$13)</f>
        <v/>
      </c>
      <c r="H43" s="73" t="inlineStr">
        <is>
          <t>% sobre o líquido: venda menos impostos, máquina e taxas</t>
        </is>
      </c>
      <c r="I43" s="46" t="n"/>
      <c r="J43" s="46" t="n"/>
      <c r="K43" s="46" t="n"/>
      <c r="L43" s="46" t="n"/>
      <c r="M43" s="46" t="n"/>
      <c r="N43" s="46" t="n"/>
      <c r="O43" s="46" t="n"/>
    </row>
    <row r="44" ht="20" customHeight="1">
      <c r="A44" s="31" t="inlineStr">
        <is>
          <t>(=) SUBTOTAL DOS CUSTOS DE VENDA</t>
        </is>
      </c>
      <c r="B44" s="32" t="n"/>
      <c r="C44" s="60">
        <f>ROUND(SUM(C38:C43),2)</f>
        <v/>
      </c>
      <c r="D44" s="60">
        <f>ROUND(SUM(D38:D43),2)</f>
        <v/>
      </c>
      <c r="E44" s="60">
        <f>ROUND($D44-$C44,2)</f>
        <v/>
      </c>
      <c r="F44" s="32" t="n"/>
      <c r="G44" s="62">
        <f>IF(OR($A$13="",$A$13=0),"",$D44/$A$13)</f>
        <v/>
      </c>
      <c r="H44" s="32" t="n"/>
      <c r="I44" s="32" t="n"/>
      <c r="J44" s="32" t="n"/>
      <c r="K44" s="32" t="n"/>
      <c r="L44" s="32" t="n"/>
      <c r="M44" s="32" t="n"/>
      <c r="N44" s="32" t="n"/>
      <c r="O44" s="32" t="n"/>
    </row>
    <row r="45" ht="24" customHeight="1">
      <c r="A45" s="79" t="inlineStr">
        <is>
          <t>(=) RECEITA LÍQUIDA</t>
        </is>
      </c>
      <c r="B45" s="64" t="n"/>
      <c r="C45" s="80">
        <f>ROUND($C$28-$C$44,2)</f>
        <v/>
      </c>
      <c r="D45" s="80">
        <f>ROUND($A$13-$D$44,2)</f>
        <v/>
      </c>
      <c r="E45" s="66">
        <f>ROUND($D$45-$C$45,2)</f>
        <v/>
      </c>
      <c r="F45" s="64" t="n"/>
      <c r="G45" s="81">
        <f>IF(OR($A$13="",$A$13=0),"",$D$45/$A$13)</f>
        <v/>
      </c>
      <c r="H45" s="82" t="inlineStr">
        <is>
          <t>É esta a base das comissões: coordenação, produção, montagem e projetista</t>
        </is>
      </c>
      <c r="I45" s="64" t="n"/>
      <c r="J45" s="64" t="n"/>
      <c r="K45" s="64" t="n"/>
      <c r="L45" s="64" t="n"/>
      <c r="M45" s="64" t="n"/>
      <c r="N45" s="64" t="n"/>
      <c r="O45" s="64" t="n"/>
    </row>
    <row r="46" ht="8" customHeight="1"/>
    <row r="47" ht="20" customHeight="1">
      <c r="A47" s="8" t="inlineStr">
        <is>
          <t xml:space="preserve">  3 · AMBIENTES, PRODUÇÃO, MONTAGEM E PROJETO          cada ambiente com quem produziu, quem montou e quem projetou · a comissão incide sobre a receita líquida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</row>
    <row r="48" ht="32" customHeight="1">
      <c r="A48" s="19" t="inlineStr">
        <is>
          <t>Ambiente</t>
        </is>
      </c>
      <c r="B48" s="19" t="inlineStr">
        <is>
          <t>% do total</t>
        </is>
      </c>
      <c r="C48" s="19" t="inlineStr">
        <is>
          <t>Valor do ambiente (R$)</t>
        </is>
      </c>
      <c r="D48" s="19" t="inlineStr">
        <is>
          <t>Produção — quem</t>
        </is>
      </c>
      <c r="E48" s="19" t="inlineStr">
        <is>
          <t>%</t>
        </is>
      </c>
      <c r="F48" s="19" t="inlineStr">
        <is>
          <t>Comissão produção (R$)</t>
        </is>
      </c>
      <c r="G48" s="19" t="inlineStr">
        <is>
          <t>Fabricado em</t>
        </is>
      </c>
      <c r="H48" s="19" t="inlineStr">
        <is>
          <t>Montagem — quem</t>
        </is>
      </c>
      <c r="I48" s="19" t="inlineStr">
        <is>
          <t>%</t>
        </is>
      </c>
      <c r="J48" s="19" t="inlineStr">
        <is>
          <t>Comissão montagem (R$)</t>
        </is>
      </c>
      <c r="K48" s="19" t="inlineStr">
        <is>
          <t>Montado em</t>
        </is>
      </c>
      <c r="L48" s="19" t="inlineStr">
        <is>
          <t>Projetista — quem</t>
        </is>
      </c>
      <c r="M48" s="19" t="inlineStr">
        <is>
          <t>%</t>
        </is>
      </c>
      <c r="N48" s="19" t="inlineStr">
        <is>
          <t>Comissão projetista (R$)</t>
        </is>
      </c>
      <c r="O48" s="19" t="inlineStr">
        <is>
          <t>Total do ambiente</t>
        </is>
      </c>
    </row>
    <row r="49" ht="18" customHeight="1">
      <c r="A49" s="83" t="n"/>
      <c r="B49" s="72">
        <f>IF(OR($C49="",$A$13="",$A$13=0),"",$C49/$A$13)</f>
        <v/>
      </c>
      <c r="C49" s="76" t="n"/>
      <c r="D49" s="83" t="n"/>
      <c r="E49" s="78" t="n"/>
      <c r="F49" s="56">
        <f>IF(OR($B49="",$E49="",$D$45=""),"",ROUND($B49*$D$45*$E49,2))</f>
        <v/>
      </c>
      <c r="G49" s="84" t="n"/>
      <c r="H49" s="83" t="n"/>
      <c r="I49" s="78" t="n"/>
      <c r="J49" s="56">
        <f>IF(OR($B49="",$I49="",$D$45=""),"",ROUND($B49*$D$45*$I49,2))</f>
        <v/>
      </c>
      <c r="K49" s="84" t="n"/>
      <c r="L49" s="83" t="n"/>
      <c r="M49" s="78" t="n"/>
      <c r="N49" s="56">
        <f>IF(OR($B49="",$M49="",$D$45=""),"",ROUND($B49*$D$45*$M49,2))</f>
        <v/>
      </c>
      <c r="O49" s="85">
        <f>IF(AND($F49="",$J49="",$N49=""),"",ROUND(IF($F49="",0,$F49)+IF($J49="",0,$J49)+IF($N49="",0,$N49),2))</f>
        <v/>
      </c>
    </row>
    <row r="50" ht="18" customHeight="1">
      <c r="A50" s="83" t="n"/>
      <c r="B50" s="72">
        <f>IF(OR($C50="",$A$13="",$A$13=0),"",$C50/$A$13)</f>
        <v/>
      </c>
      <c r="C50" s="76" t="n"/>
      <c r="D50" s="83" t="n"/>
      <c r="E50" s="78" t="n"/>
      <c r="F50" s="56">
        <f>IF(OR($B50="",$E50="",$D$45=""),"",ROUND($B50*$D$45*$E50,2))</f>
        <v/>
      </c>
      <c r="G50" s="84" t="n"/>
      <c r="H50" s="83" t="n"/>
      <c r="I50" s="78" t="n"/>
      <c r="J50" s="56">
        <f>IF(OR($B50="",$I50="",$D$45=""),"",ROUND($B50*$D$45*$I50,2))</f>
        <v/>
      </c>
      <c r="K50" s="84" t="n"/>
      <c r="L50" s="83" t="n"/>
      <c r="M50" s="78" t="n"/>
      <c r="N50" s="56">
        <f>IF(OR($B50="",$M50="",$D$45=""),"",ROUND($B50*$D$45*$M50,2))</f>
        <v/>
      </c>
      <c r="O50" s="85">
        <f>IF(AND($F50="",$J50="",$N50=""),"",ROUND(IF($F50="",0,$F50)+IF($J50="",0,$J50)+IF($N50="",0,$N50),2))</f>
        <v/>
      </c>
    </row>
    <row r="51" ht="18" customHeight="1">
      <c r="A51" s="83" t="n"/>
      <c r="B51" s="72">
        <f>IF(OR($C51="",$A$13="",$A$13=0),"",$C51/$A$13)</f>
        <v/>
      </c>
      <c r="C51" s="76" t="n"/>
      <c r="D51" s="83" t="n"/>
      <c r="E51" s="78" t="n"/>
      <c r="F51" s="56">
        <f>IF(OR($B51="",$E51="",$D$45=""),"",ROUND($B51*$D$45*$E51,2))</f>
        <v/>
      </c>
      <c r="G51" s="84" t="n"/>
      <c r="H51" s="83" t="n"/>
      <c r="I51" s="78" t="n"/>
      <c r="J51" s="56">
        <f>IF(OR($B51="",$I51="",$D$45=""),"",ROUND($B51*$D$45*$I51,2))</f>
        <v/>
      </c>
      <c r="K51" s="84" t="n"/>
      <c r="L51" s="83" t="n"/>
      <c r="M51" s="78" t="n"/>
      <c r="N51" s="56">
        <f>IF(OR($B51="",$M51="",$D$45=""),"",ROUND($B51*$D$45*$M51,2))</f>
        <v/>
      </c>
      <c r="O51" s="85">
        <f>IF(AND($F51="",$J51="",$N51=""),"",ROUND(IF($F51="",0,$F51)+IF($J51="",0,$J51)+IF($N51="",0,$N51),2))</f>
        <v/>
      </c>
    </row>
    <row r="52" ht="18" customHeight="1">
      <c r="A52" s="83" t="n"/>
      <c r="B52" s="72">
        <f>IF(OR($C52="",$A$13="",$A$13=0),"",$C52/$A$13)</f>
        <v/>
      </c>
      <c r="C52" s="76" t="n"/>
      <c r="D52" s="83" t="n"/>
      <c r="E52" s="78" t="n"/>
      <c r="F52" s="56">
        <f>IF(OR($B52="",$E52="",$D$45=""),"",ROUND($B52*$D$45*$E52,2))</f>
        <v/>
      </c>
      <c r="G52" s="84" t="n"/>
      <c r="H52" s="83" t="n"/>
      <c r="I52" s="78" t="n"/>
      <c r="J52" s="56">
        <f>IF(OR($B52="",$I52="",$D$45=""),"",ROUND($B52*$D$45*$I52,2))</f>
        <v/>
      </c>
      <c r="K52" s="84" t="n"/>
      <c r="L52" s="83" t="n"/>
      <c r="M52" s="78" t="n"/>
      <c r="N52" s="56">
        <f>IF(OR($B52="",$M52="",$D$45=""),"",ROUND($B52*$D$45*$M52,2))</f>
        <v/>
      </c>
      <c r="O52" s="85">
        <f>IF(AND($F52="",$J52="",$N52=""),"",ROUND(IF($F52="",0,$F52)+IF($J52="",0,$J52)+IF($N52="",0,$N52),2))</f>
        <v/>
      </c>
    </row>
    <row r="53" ht="18" customHeight="1">
      <c r="A53" s="83" t="n"/>
      <c r="B53" s="72">
        <f>IF(OR($C53="",$A$13="",$A$13=0),"",$C53/$A$13)</f>
        <v/>
      </c>
      <c r="C53" s="76" t="n"/>
      <c r="D53" s="83" t="n"/>
      <c r="E53" s="78" t="n"/>
      <c r="F53" s="56">
        <f>IF(OR($B53="",$E53="",$D$45=""),"",ROUND($B53*$D$45*$E53,2))</f>
        <v/>
      </c>
      <c r="G53" s="84" t="n"/>
      <c r="H53" s="83" t="n"/>
      <c r="I53" s="78" t="n"/>
      <c r="J53" s="56">
        <f>IF(OR($B53="",$I53="",$D$45=""),"",ROUND($B53*$D$45*$I53,2))</f>
        <v/>
      </c>
      <c r="K53" s="84" t="n"/>
      <c r="L53" s="83" t="n"/>
      <c r="M53" s="78" t="n"/>
      <c r="N53" s="56">
        <f>IF(OR($B53="",$M53="",$D$45=""),"",ROUND($B53*$D$45*$M53,2))</f>
        <v/>
      </c>
      <c r="O53" s="85">
        <f>IF(AND($F53="",$J53="",$N53=""),"",ROUND(IF($F53="",0,$F53)+IF($J53="",0,$J53)+IF($N53="",0,$N53),2))</f>
        <v/>
      </c>
    </row>
    <row r="54" ht="18" customHeight="1">
      <c r="A54" s="83" t="n"/>
      <c r="B54" s="72">
        <f>IF(OR($C54="",$A$13="",$A$13=0),"",$C54/$A$13)</f>
        <v/>
      </c>
      <c r="C54" s="76" t="n"/>
      <c r="D54" s="83" t="n"/>
      <c r="E54" s="78" t="n"/>
      <c r="F54" s="56">
        <f>IF(OR($B54="",$E54="",$D$45=""),"",ROUND($B54*$D$45*$E54,2))</f>
        <v/>
      </c>
      <c r="G54" s="84" t="n"/>
      <c r="H54" s="83" t="n"/>
      <c r="I54" s="78" t="n"/>
      <c r="J54" s="56">
        <f>IF(OR($B54="",$I54="",$D$45=""),"",ROUND($B54*$D$45*$I54,2))</f>
        <v/>
      </c>
      <c r="K54" s="84" t="n"/>
      <c r="L54" s="83" t="n"/>
      <c r="M54" s="78" t="n"/>
      <c r="N54" s="56">
        <f>IF(OR($B54="",$M54="",$D$45=""),"",ROUND($B54*$D$45*$M54,2))</f>
        <v/>
      </c>
      <c r="O54" s="85">
        <f>IF(AND($F54="",$J54="",$N54=""),"",ROUND(IF($F54="",0,$F54)+IF($J54="",0,$J54)+IF($N54="",0,$N54),2))</f>
        <v/>
      </c>
    </row>
    <row r="55" ht="18" customHeight="1">
      <c r="A55" s="83" t="n"/>
      <c r="B55" s="72">
        <f>IF(OR($C55="",$A$13="",$A$13=0),"",$C55/$A$13)</f>
        <v/>
      </c>
      <c r="C55" s="76" t="n"/>
      <c r="D55" s="83" t="n"/>
      <c r="E55" s="78" t="n"/>
      <c r="F55" s="56">
        <f>IF(OR($B55="",$E55="",$D$45=""),"",ROUND($B55*$D$45*$E55,2))</f>
        <v/>
      </c>
      <c r="G55" s="84" t="n"/>
      <c r="H55" s="83" t="n"/>
      <c r="I55" s="78" t="n"/>
      <c r="J55" s="56">
        <f>IF(OR($B55="",$I55="",$D$45=""),"",ROUND($B55*$D$45*$I55,2))</f>
        <v/>
      </c>
      <c r="K55" s="84" t="n"/>
      <c r="L55" s="83" t="n"/>
      <c r="M55" s="78" t="n"/>
      <c r="N55" s="56">
        <f>IF(OR($B55="",$M55="",$D$45=""),"",ROUND($B55*$D$45*$M55,2))</f>
        <v/>
      </c>
      <c r="O55" s="85">
        <f>IF(AND($F55="",$J55="",$N55=""),"",ROUND(IF($F55="",0,$F55)+IF($J55="",0,$J55)+IF($N55="",0,$N55),2))</f>
        <v/>
      </c>
    </row>
    <row r="56" ht="18" customHeight="1">
      <c r="A56" s="83" t="n"/>
      <c r="B56" s="72">
        <f>IF(OR($C56="",$A$13="",$A$13=0),"",$C56/$A$13)</f>
        <v/>
      </c>
      <c r="C56" s="76" t="n"/>
      <c r="D56" s="83" t="n"/>
      <c r="E56" s="78" t="n"/>
      <c r="F56" s="56">
        <f>IF(OR($B56="",$E56="",$D$45=""),"",ROUND($B56*$D$45*$E56,2))</f>
        <v/>
      </c>
      <c r="G56" s="84" t="n"/>
      <c r="H56" s="83" t="n"/>
      <c r="I56" s="78" t="n"/>
      <c r="J56" s="56">
        <f>IF(OR($B56="",$I56="",$D$45=""),"",ROUND($B56*$D$45*$I56,2))</f>
        <v/>
      </c>
      <c r="K56" s="84" t="n"/>
      <c r="L56" s="83" t="n"/>
      <c r="M56" s="78" t="n"/>
      <c r="N56" s="56">
        <f>IF(OR($B56="",$M56="",$D$45=""),"",ROUND($B56*$D$45*$M56,2))</f>
        <v/>
      </c>
      <c r="O56" s="85">
        <f>IF(AND($F56="",$J56="",$N56=""),"",ROUND(IF($F56="",0,$F56)+IF($J56="",0,$J56)+IF($N56="",0,$N56),2))</f>
        <v/>
      </c>
    </row>
    <row r="57" ht="18" customHeight="1">
      <c r="A57" s="83" t="n"/>
      <c r="B57" s="72">
        <f>IF(OR($C57="",$A$13="",$A$13=0),"",$C57/$A$13)</f>
        <v/>
      </c>
      <c r="C57" s="76" t="n"/>
      <c r="D57" s="83" t="n"/>
      <c r="E57" s="78" t="n"/>
      <c r="F57" s="56">
        <f>IF(OR($B57="",$E57="",$D$45=""),"",ROUND($B57*$D$45*$E57,2))</f>
        <v/>
      </c>
      <c r="G57" s="84" t="n"/>
      <c r="H57" s="83" t="n"/>
      <c r="I57" s="78" t="n"/>
      <c r="J57" s="56">
        <f>IF(OR($B57="",$I57="",$D$45=""),"",ROUND($B57*$D$45*$I57,2))</f>
        <v/>
      </c>
      <c r="K57" s="84" t="n"/>
      <c r="L57" s="83" t="n"/>
      <c r="M57" s="78" t="n"/>
      <c r="N57" s="56">
        <f>IF(OR($B57="",$M57="",$D$45=""),"",ROUND($B57*$D$45*$M57,2))</f>
        <v/>
      </c>
      <c r="O57" s="85">
        <f>IF(AND($F57="",$J57="",$N57=""),"",ROUND(IF($F57="",0,$F57)+IF($J57="",0,$J57)+IF($N57="",0,$N57),2))</f>
        <v/>
      </c>
    </row>
    <row r="58" ht="18" customHeight="1">
      <c r="A58" s="83" t="n"/>
      <c r="B58" s="72">
        <f>IF(OR($C58="",$A$13="",$A$13=0),"",$C58/$A$13)</f>
        <v/>
      </c>
      <c r="C58" s="76" t="n"/>
      <c r="D58" s="83" t="n"/>
      <c r="E58" s="78" t="n"/>
      <c r="F58" s="56">
        <f>IF(OR($B58="",$E58="",$D$45=""),"",ROUND($B58*$D$45*$E58,2))</f>
        <v/>
      </c>
      <c r="G58" s="84" t="n"/>
      <c r="H58" s="83" t="n"/>
      <c r="I58" s="78" t="n"/>
      <c r="J58" s="56">
        <f>IF(OR($B58="",$I58="",$D$45=""),"",ROUND($B58*$D$45*$I58,2))</f>
        <v/>
      </c>
      <c r="K58" s="84" t="n"/>
      <c r="L58" s="83" t="n"/>
      <c r="M58" s="78" t="n"/>
      <c r="N58" s="56">
        <f>IF(OR($B58="",$M58="",$D$45=""),"",ROUND($B58*$D$45*$M58,2))</f>
        <v/>
      </c>
      <c r="O58" s="85">
        <f>IF(AND($F58="",$J58="",$N58=""),"",ROUND(IF($F58="",0,$F58)+IF($J58="",0,$J58)+IF($N58="",0,$N58),2))</f>
        <v/>
      </c>
    </row>
    <row r="59" ht="18" customHeight="1">
      <c r="A59" s="83" t="n"/>
      <c r="B59" s="72">
        <f>IF(OR($C59="",$A$13="",$A$13=0),"",$C59/$A$13)</f>
        <v/>
      </c>
      <c r="C59" s="76" t="n"/>
      <c r="D59" s="83" t="n"/>
      <c r="E59" s="78" t="n"/>
      <c r="F59" s="56">
        <f>IF(OR($B59="",$E59="",$D$45=""),"",ROUND($B59*$D$45*$E59,2))</f>
        <v/>
      </c>
      <c r="G59" s="84" t="n"/>
      <c r="H59" s="83" t="n"/>
      <c r="I59" s="78" t="n"/>
      <c r="J59" s="56">
        <f>IF(OR($B59="",$I59="",$D$45=""),"",ROUND($B59*$D$45*$I59,2))</f>
        <v/>
      </c>
      <c r="K59" s="84" t="n"/>
      <c r="L59" s="83" t="n"/>
      <c r="M59" s="78" t="n"/>
      <c r="N59" s="56">
        <f>IF(OR($B59="",$M59="",$D$45=""),"",ROUND($B59*$D$45*$M59,2))</f>
        <v/>
      </c>
      <c r="O59" s="85">
        <f>IF(AND($F59="",$J59="",$N59=""),"",ROUND(IF($F59="",0,$F59)+IF($J59="",0,$J59)+IF($N59="",0,$N59),2))</f>
        <v/>
      </c>
    </row>
    <row r="60" ht="18" customHeight="1">
      <c r="A60" s="83" t="n"/>
      <c r="B60" s="72">
        <f>IF(OR($C60="",$A$13="",$A$13=0),"",$C60/$A$13)</f>
        <v/>
      </c>
      <c r="C60" s="76" t="n"/>
      <c r="D60" s="83" t="n"/>
      <c r="E60" s="78" t="n"/>
      <c r="F60" s="56">
        <f>IF(OR($B60="",$E60="",$D$45=""),"",ROUND($B60*$D$45*$E60,2))</f>
        <v/>
      </c>
      <c r="G60" s="84" t="n"/>
      <c r="H60" s="83" t="n"/>
      <c r="I60" s="78" t="n"/>
      <c r="J60" s="56">
        <f>IF(OR($B60="",$I60="",$D$45=""),"",ROUND($B60*$D$45*$I60,2))</f>
        <v/>
      </c>
      <c r="K60" s="84" t="n"/>
      <c r="L60" s="83" t="n"/>
      <c r="M60" s="78" t="n"/>
      <c r="N60" s="56">
        <f>IF(OR($B60="",$M60="",$D$45=""),"",ROUND($B60*$D$45*$M60,2))</f>
        <v/>
      </c>
      <c r="O60" s="85">
        <f>IF(AND($F60="",$J60="",$N60=""),"",ROUND(IF($F60="",0,$F60)+IF($J60="",0,$J60)+IF($N60="",0,$N60),2))</f>
        <v/>
      </c>
    </row>
    <row r="61" ht="20" customHeight="1">
      <c r="A61" s="31" t="inlineStr">
        <is>
          <t>SOMA DOS AMBIENTES</t>
        </is>
      </c>
      <c r="B61" s="62">
        <f>IF($A$13=0,"",$C$61/$A$13)</f>
        <v/>
      </c>
      <c r="C61" s="60">
        <f>ROUND(SUM(C49:C60),2)</f>
        <v/>
      </c>
      <c r="D61" s="86">
        <f>IF($C$61=0,"—",IF(ROUND($C$61-$A$13,2)=0,"OK · os ambientes somam o valor de venda","ATENÇÃO: diferença de "&amp;TEXT($C$61-$A$13,"R$ #,##0.00")))</f>
        <v/>
      </c>
      <c r="E61" s="32" t="n"/>
      <c r="F61" s="60">
        <f>ROUND(SUM(F49:F60),2)</f>
        <v/>
      </c>
      <c r="G61" s="32" t="n"/>
      <c r="H61" s="32" t="n"/>
      <c r="I61" s="32" t="n"/>
      <c r="J61" s="60">
        <f>ROUND(SUM(J49:J60),2)</f>
        <v/>
      </c>
      <c r="K61" s="32" t="n"/>
      <c r="L61" s="32" t="n"/>
      <c r="M61" s="32" t="n"/>
      <c r="N61" s="60">
        <f>ROUND(SUM(N49:N60),2)</f>
        <v/>
      </c>
      <c r="O61" s="60">
        <f>ROUND(SUM(O49:O60),2)</f>
        <v/>
      </c>
    </row>
    <row r="62" ht="8" customHeight="1"/>
    <row r="63" ht="20" customHeight="1">
      <c r="A63" s="8" t="inlineStr">
        <is>
          <t xml:space="preserve">  4 · COMISSÕES OPERACIONAIS          calculadas sobre a RECEITA LÍQUIDA · o realizado vem dos ambientes acima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</row>
    <row r="64" ht="26" customHeight="1">
      <c r="A64" s="19" t="inlineStr">
        <is>
          <t>Item</t>
        </is>
      </c>
      <c r="B64" s="19" t="inlineStr">
        <is>
          <t>%</t>
        </is>
      </c>
      <c r="C64" s="19" t="inlineStr">
        <is>
          <t>Orçado (R$)</t>
        </is>
      </c>
      <c r="D64" s="19" t="inlineStr">
        <is>
          <t>Realizado (R$)</t>
        </is>
      </c>
      <c r="E64" s="19" t="inlineStr">
        <is>
          <t>Desvio (R$)</t>
        </is>
      </c>
      <c r="F64" s="35" t="n"/>
      <c r="G64" s="19" t="inlineStr">
        <is>
          <t>% da venda</t>
        </is>
      </c>
      <c r="H64" s="19" t="inlineStr">
        <is>
          <t>Observação</t>
        </is>
      </c>
      <c r="I64" s="35" t="n"/>
      <c r="J64" s="35" t="n"/>
      <c r="K64" s="35" t="n"/>
      <c r="L64" s="35" t="n"/>
      <c r="M64" s="35" t="n"/>
      <c r="N64" s="35" t="n"/>
      <c r="O64" s="35" t="n"/>
    </row>
    <row r="65" ht="17" customHeight="1">
      <c r="A65" s="36" t="inlineStr">
        <is>
          <t>Coordenação de produção</t>
        </is>
      </c>
      <c r="B65" s="78" t="n"/>
      <c r="C65" s="56">
        <f>IF($B65="","",ROUND($B65*$C$45,2))</f>
        <v/>
      </c>
      <c r="D65" s="56">
        <f>IF($B65="","",ROUND($B65*$D$45,2))</f>
        <v/>
      </c>
      <c r="E65" s="56">
        <f>IF(OR($C65="",$D65=""),"",ROUND($D65-$C65,2))</f>
        <v/>
      </c>
      <c r="F65" s="38" t="n"/>
      <c r="G65" s="72">
        <f>IF(OR($D65="",$A$13="",$A$13=0),"",$D65/$A$13)</f>
        <v/>
      </c>
      <c r="H65" s="73" t="inlineStr">
        <is>
          <t>quem coordena está na identificação, no topo da ficha</t>
        </is>
      </c>
      <c r="I65" s="46" t="n"/>
      <c r="J65" s="46" t="n"/>
      <c r="K65" s="46" t="n"/>
      <c r="L65" s="46" t="n"/>
      <c r="M65" s="46" t="n"/>
      <c r="N65" s="46" t="n"/>
      <c r="O65" s="46" t="n"/>
    </row>
    <row r="66" ht="17" customHeight="1">
      <c r="A66" s="36" t="inlineStr">
        <is>
          <t>Gestão técnica</t>
        </is>
      </c>
      <c r="B66" s="78" t="n">
        <v>0.005</v>
      </c>
      <c r="C66" s="56">
        <f>IF($B66="","",ROUND($B66*$C$45,2))</f>
        <v/>
      </c>
      <c r="D66" s="56">
        <f>IF($B66="","",ROUND($B66*$D$45,2))</f>
        <v/>
      </c>
      <c r="E66" s="56">
        <f>IF(OR($C66="",$D66=""),"",ROUND($D66-$C66,2))</f>
        <v/>
      </c>
      <c r="F66" s="38" t="n"/>
      <c r="G66" s="72">
        <f>IF(OR($D66="",$A$13="",$A$13=0),"",$D66/$A$13)</f>
        <v/>
      </c>
      <c r="H66" s="73" t="n"/>
      <c r="I66" s="46" t="n"/>
      <c r="J66" s="46" t="n"/>
      <c r="K66" s="46" t="n"/>
      <c r="L66" s="46" t="n"/>
      <c r="M66" s="46" t="n"/>
      <c r="N66" s="46" t="n"/>
      <c r="O66" s="46" t="n"/>
    </row>
    <row r="67" ht="17" customHeight="1">
      <c r="A67" s="36" t="inlineStr">
        <is>
          <t>Comissão de produção</t>
        </is>
      </c>
      <c r="B67" s="78" t="n"/>
      <c r="C67" s="56">
        <f>IF($B67="","",ROUND($B67*$C$45,2))</f>
        <v/>
      </c>
      <c r="D67" s="56">
        <f>IF($F$61=0,"",$F$61)</f>
        <v/>
      </c>
      <c r="E67" s="56">
        <f>IF(OR($C67="",$D67=""),"",ROUND($D67-$C67,2))</f>
        <v/>
      </c>
      <c r="F67" s="38" t="n"/>
      <c r="G67" s="72">
        <f>IF(OR($D67="",$A$13="",$A$13=0),"",$D67/$A$13)</f>
        <v/>
      </c>
      <c r="H67" s="73" t="inlineStr">
        <is>
          <t>orçado = % único estimado · realizado = soma dos ambientes</t>
        </is>
      </c>
      <c r="I67" s="46" t="n"/>
      <c r="J67" s="46" t="n"/>
      <c r="K67" s="46" t="n"/>
      <c r="L67" s="46" t="n"/>
      <c r="M67" s="46" t="n"/>
      <c r="N67" s="46" t="n"/>
      <c r="O67" s="46" t="n"/>
    </row>
    <row r="68" ht="17" customHeight="1">
      <c r="A68" s="36" t="inlineStr">
        <is>
          <t>Comissão de montagem</t>
        </is>
      </c>
      <c r="B68" s="78" t="n"/>
      <c r="C68" s="56">
        <f>IF($B68="","",ROUND($B68*$C$45,2))</f>
        <v/>
      </c>
      <c r="D68" s="56">
        <f>IF($J$61=0,"",$J$61)</f>
        <v/>
      </c>
      <c r="E68" s="56">
        <f>IF(OR($C68="",$D68=""),"",ROUND($D68-$C68,2))</f>
        <v/>
      </c>
      <c r="F68" s="38" t="n"/>
      <c r="G68" s="72">
        <f>IF(OR($D68="",$A$13="",$A$13=0),"",$D68/$A$13)</f>
        <v/>
      </c>
      <c r="H68" s="73" t="inlineStr">
        <is>
          <t>orçado = % único estimado · realizado = soma dos ambientes</t>
        </is>
      </c>
      <c r="I68" s="46" t="n"/>
      <c r="J68" s="46" t="n"/>
      <c r="K68" s="46" t="n"/>
      <c r="L68" s="46" t="n"/>
      <c r="M68" s="46" t="n"/>
      <c r="N68" s="46" t="n"/>
      <c r="O68" s="46" t="n"/>
    </row>
    <row r="69" ht="17" customHeight="1">
      <c r="A69" s="36" t="inlineStr">
        <is>
          <t>Comissão de projetista</t>
        </is>
      </c>
      <c r="B69" s="78" t="n"/>
      <c r="C69" s="56">
        <f>IF($B69="","",ROUND($B69*$C$45,2))</f>
        <v/>
      </c>
      <c r="D69" s="56">
        <f>IF($N$61=0,"",$N$61)</f>
        <v/>
      </c>
      <c r="E69" s="56">
        <f>IF(OR($C69="",$D69=""),"",ROUND($D69-$C69,2))</f>
        <v/>
      </c>
      <c r="F69" s="38" t="n"/>
      <c r="G69" s="72">
        <f>IF(OR($D69="",$A$13="",$A$13=0),"",$D69/$A$13)</f>
        <v/>
      </c>
      <c r="H69" s="73" t="inlineStr">
        <is>
          <t>quem projetou cada ambiente está na coluna L do bloco 3</t>
        </is>
      </c>
      <c r="I69" s="46" t="n"/>
      <c r="J69" s="46" t="n"/>
      <c r="K69" s="46" t="n"/>
      <c r="L69" s="46" t="n"/>
      <c r="M69" s="46" t="n"/>
      <c r="N69" s="46" t="n"/>
      <c r="O69" s="46" t="n"/>
    </row>
    <row r="70" ht="20" customHeight="1">
      <c r="A70" s="31" t="inlineStr">
        <is>
          <t>(=) SUBTOTAL DAS COMISSÕES</t>
        </is>
      </c>
      <c r="B70" s="32" t="n"/>
      <c r="C70" s="60">
        <f>ROUND(SUM(C65:C69),2)</f>
        <v/>
      </c>
      <c r="D70" s="60">
        <f>ROUND(SUM(D65:D69),2)</f>
        <v/>
      </c>
      <c r="E70" s="60">
        <f>ROUND($D70-$C70,2)</f>
        <v/>
      </c>
      <c r="F70" s="32" t="n"/>
      <c r="G70" s="62">
        <f>IF(OR($A$13="",$A$13=0),"",$D70/$A$13)</f>
        <v/>
      </c>
      <c r="H70" s="32" t="n"/>
      <c r="I70" s="32" t="n"/>
      <c r="J70" s="32" t="n"/>
      <c r="K70" s="32" t="n"/>
      <c r="L70" s="32" t="n"/>
      <c r="M70" s="32" t="n"/>
      <c r="N70" s="32" t="n"/>
      <c r="O70" s="32" t="n"/>
    </row>
    <row r="71" ht="8" customHeight="1"/>
    <row r="72" ht="20" customHeight="1">
      <c r="A72" s="8" t="inlineStr">
        <is>
          <t xml:space="preserve">  5 · COMISSÕES POR COLABORADOR          consolidado automático — quem produziu, quem montou, quem projetou e o coordenador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</row>
    <row r="73" ht="26" customHeight="1">
      <c r="A73" s="19" t="inlineStr">
        <is>
          <t>Colaborador</t>
        </is>
      </c>
      <c r="B73" s="19" t="inlineStr">
        <is>
          <t>Produção (R$)</t>
        </is>
      </c>
      <c r="C73" s="35" t="n"/>
      <c r="D73" s="19" t="inlineStr">
        <is>
          <t>Montagem (R$)</t>
        </is>
      </c>
      <c r="E73" s="35" t="n"/>
      <c r="F73" s="19" t="inlineStr">
        <is>
          <t>Projeto (R$)</t>
        </is>
      </c>
      <c r="G73" s="35" t="n"/>
      <c r="H73" s="19" t="inlineStr">
        <is>
          <t>Coordenação / Gestão técnica (R$)</t>
        </is>
      </c>
      <c r="I73" s="35" t="n"/>
      <c r="J73" s="19" t="inlineStr">
        <is>
          <t>Total no projeto (R$)</t>
        </is>
      </c>
      <c r="K73" s="35" t="n"/>
      <c r="L73" s="35" t="n"/>
      <c r="M73" s="35" t="n"/>
    </row>
    <row r="74" ht="17" customHeight="1">
      <c r="A74" s="87" t="inlineStr">
        <is>
          <t>Deivison</t>
        </is>
      </c>
      <c r="B74" s="56">
        <f>IF($A74="","",ROUND(SUMIF($D$49:$D$60,$A74,$F$49:$F$60),2))</f>
        <v/>
      </c>
      <c r="C74" s="38" t="n"/>
      <c r="D74" s="56">
        <f>IF($A74="","",ROUND(SUMIF($H$49:$H$60,$A74,$J$49:$J$60),2))</f>
        <v/>
      </c>
      <c r="E74" s="38" t="n"/>
      <c r="F74" s="56">
        <f>IF($A74="","",ROUND(SUMIF($L$49:$L$60,$A74,$N$49:$N$60),2))</f>
        <v/>
      </c>
      <c r="G74" s="38" t="n"/>
      <c r="H74" s="56">
        <f>IF($A74="","",IF($A74=$F$9,IF($D$65="",0,$D$65),0)+IF($A74=$H$66,IF($D$66="",0,$D$66),0))</f>
        <v/>
      </c>
      <c r="I74" s="38" t="n"/>
      <c r="J74" s="88">
        <f>IF($A74="","",ROUND($B74+$D74+$F74+$H74,2))</f>
        <v/>
      </c>
      <c r="K74" s="38" t="n"/>
      <c r="L74" s="38" t="n"/>
      <c r="M74" s="38" t="n"/>
    </row>
    <row r="75" ht="17" customHeight="1">
      <c r="A75" s="87" t="inlineStr">
        <is>
          <t>Ronald</t>
        </is>
      </c>
      <c r="B75" s="56">
        <f>IF($A75="","",ROUND(SUMIF($D$49:$D$60,$A75,$F$49:$F$60),2))</f>
        <v/>
      </c>
      <c r="C75" s="38" t="n"/>
      <c r="D75" s="56">
        <f>IF($A75="","",ROUND(SUMIF($H$49:$H$60,$A75,$J$49:$J$60),2))</f>
        <v/>
      </c>
      <c r="E75" s="38" t="n"/>
      <c r="F75" s="56">
        <f>IF($A75="","",ROUND(SUMIF($L$49:$L$60,$A75,$N$49:$N$60),2))</f>
        <v/>
      </c>
      <c r="G75" s="38" t="n"/>
      <c r="H75" s="56">
        <f>IF($A75="","",IF($A75=$F$9,IF($D$65="",0,$D$65),0)+IF($A75=$H$66,IF($D$66="",0,$D$66),0))</f>
        <v/>
      </c>
      <c r="I75" s="38" t="n"/>
      <c r="J75" s="88">
        <f>IF($A75="","",ROUND($B75+$D75+$F75+$H75,2))</f>
        <v/>
      </c>
      <c r="K75" s="38" t="n"/>
      <c r="L75" s="38" t="n"/>
      <c r="M75" s="38" t="n"/>
    </row>
    <row r="76" ht="17" customHeight="1">
      <c r="A76" s="87" t="inlineStr">
        <is>
          <t>Samuel</t>
        </is>
      </c>
      <c r="B76" s="56">
        <f>IF($A76="","",ROUND(SUMIF($D$49:$D$60,$A76,$F$49:$F$60),2))</f>
        <v/>
      </c>
      <c r="C76" s="38" t="n"/>
      <c r="D76" s="56">
        <f>IF($A76="","",ROUND(SUMIF($H$49:$H$60,$A76,$J$49:$J$60),2))</f>
        <v/>
      </c>
      <c r="E76" s="38" t="n"/>
      <c r="F76" s="56">
        <f>IF($A76="","",ROUND(SUMIF($L$49:$L$60,$A76,$N$49:$N$60),2))</f>
        <v/>
      </c>
      <c r="G76" s="38" t="n"/>
      <c r="H76" s="56">
        <f>IF($A76="","",IF($A76=$F$9,IF($D$65="",0,$D$65),0)+IF($A76=$H$66,IF($D$66="",0,$D$66),0))</f>
        <v/>
      </c>
      <c r="I76" s="38" t="n"/>
      <c r="J76" s="88">
        <f>IF($A76="","",ROUND($B76+$D76+$F76+$H76,2))</f>
        <v/>
      </c>
      <c r="K76" s="38" t="n"/>
      <c r="L76" s="38" t="n"/>
      <c r="M76" s="38" t="n"/>
    </row>
    <row r="77" ht="17" customHeight="1">
      <c r="A77" s="87" t="inlineStr">
        <is>
          <t>Cesar</t>
        </is>
      </c>
      <c r="B77" s="56">
        <f>IF($A77="","",ROUND(SUMIF($D$49:$D$60,$A77,$F$49:$F$60),2))</f>
        <v/>
      </c>
      <c r="C77" s="38" t="n"/>
      <c r="D77" s="56">
        <f>IF($A77="","",ROUND(SUMIF($H$49:$H$60,$A77,$J$49:$J$60),2))</f>
        <v/>
      </c>
      <c r="E77" s="38" t="n"/>
      <c r="F77" s="56">
        <f>IF($A77="","",ROUND(SUMIF($L$49:$L$60,$A77,$N$49:$N$60),2))</f>
        <v/>
      </c>
      <c r="G77" s="38" t="n"/>
      <c r="H77" s="56">
        <f>IF($A77="","",IF($A77=$F$9,IF($D$65="",0,$D$65),0)+IF($A77=$H$66,IF($D$66="",0,$D$66),0))</f>
        <v/>
      </c>
      <c r="I77" s="38" t="n"/>
      <c r="J77" s="88">
        <f>IF($A77="","",ROUND($B77+$D77+$F77+$H77,2))</f>
        <v/>
      </c>
      <c r="K77" s="38" t="n"/>
      <c r="L77" s="38" t="n"/>
      <c r="M77" s="38" t="n"/>
    </row>
    <row r="78" ht="17" customHeight="1">
      <c r="A78" s="87" t="inlineStr">
        <is>
          <t>Jhon</t>
        </is>
      </c>
      <c r="B78" s="56">
        <f>IF($A78="","",ROUND(SUMIF($D$49:$D$60,$A78,$F$49:$F$60),2))</f>
        <v/>
      </c>
      <c r="C78" s="38" t="n"/>
      <c r="D78" s="56">
        <f>IF($A78="","",ROUND(SUMIF($H$49:$H$60,$A78,$J$49:$J$60),2))</f>
        <v/>
      </c>
      <c r="E78" s="38" t="n"/>
      <c r="F78" s="56">
        <f>IF($A78="","",ROUND(SUMIF($L$49:$L$60,$A78,$N$49:$N$60),2))</f>
        <v/>
      </c>
      <c r="G78" s="38" t="n"/>
      <c r="H78" s="56">
        <f>IF($A78="","",IF($A78=$F$9,IF($D$65="",0,$D$65),0)+IF($A78=$H$66,IF($D$66="",0,$D$66),0))</f>
        <v/>
      </c>
      <c r="I78" s="38" t="n"/>
      <c r="J78" s="88">
        <f>IF($A78="","",ROUND($B78+$D78+$F78+$H78,2))</f>
        <v/>
      </c>
      <c r="K78" s="38" t="n"/>
      <c r="L78" s="38" t="n"/>
      <c r="M78" s="38" t="n"/>
    </row>
    <row r="79" ht="17" customHeight="1">
      <c r="A79" s="87" t="inlineStr">
        <is>
          <t>Joelson</t>
        </is>
      </c>
      <c r="B79" s="56">
        <f>IF($A79="","",ROUND(SUMIF($D$49:$D$60,$A79,$F$49:$F$60),2))</f>
        <v/>
      </c>
      <c r="C79" s="38" t="n"/>
      <c r="D79" s="56">
        <f>IF($A79="","",ROUND(SUMIF($H$49:$H$60,$A79,$J$49:$J$60),2))</f>
        <v/>
      </c>
      <c r="E79" s="38" t="n"/>
      <c r="F79" s="56">
        <f>IF($A79="","",ROUND(SUMIF($L$49:$L$60,$A79,$N$49:$N$60),2))</f>
        <v/>
      </c>
      <c r="G79" s="38" t="n"/>
      <c r="H79" s="56">
        <f>IF($A79="","",IF($A79=$F$9,IF($D$65="",0,$D$65),0)+IF($A79=$H$66,IF($D$66="",0,$D$66),0))</f>
        <v/>
      </c>
      <c r="I79" s="38" t="n"/>
      <c r="J79" s="88">
        <f>IF($A79="","",ROUND($B79+$D79+$F79+$H79,2))</f>
        <v/>
      </c>
      <c r="K79" s="38" t="n"/>
      <c r="L79" s="38" t="n"/>
      <c r="M79" s="38" t="n"/>
    </row>
    <row r="80" ht="17" customHeight="1">
      <c r="A80" s="87" t="inlineStr">
        <is>
          <t>Davi</t>
        </is>
      </c>
      <c r="B80" s="56">
        <f>IF($A80="","",ROUND(SUMIF($D$49:$D$60,$A80,$F$49:$F$60),2))</f>
        <v/>
      </c>
      <c r="C80" s="38" t="n"/>
      <c r="D80" s="56">
        <f>IF($A80="","",ROUND(SUMIF($H$49:$H$60,$A80,$J$49:$J$60),2))</f>
        <v/>
      </c>
      <c r="E80" s="38" t="n"/>
      <c r="F80" s="56">
        <f>IF($A80="","",ROUND(SUMIF($L$49:$L$60,$A80,$N$49:$N$60),2))</f>
        <v/>
      </c>
      <c r="G80" s="38" t="n"/>
      <c r="H80" s="56">
        <f>IF($A80="","",IF($A80=$F$9,IF($D$65="",0,$D$65),0)+IF($A80=$H$66,IF($D$66="",0,$D$66),0))</f>
        <v/>
      </c>
      <c r="I80" s="38" t="n"/>
      <c r="J80" s="88">
        <f>IF($A80="","",ROUND($B80+$D80+$F80+$H80,2))</f>
        <v/>
      </c>
      <c r="K80" s="38" t="n"/>
      <c r="L80" s="38" t="n"/>
      <c r="M80" s="38" t="n"/>
    </row>
    <row r="81" ht="17" customHeight="1">
      <c r="A81" s="87" t="inlineStr">
        <is>
          <t>Jomar</t>
        </is>
      </c>
      <c r="B81" s="56">
        <f>IF($A81="","",ROUND(SUMIF($D$49:$D$60,$A81,$F$49:$F$60),2))</f>
        <v/>
      </c>
      <c r="C81" s="38" t="n"/>
      <c r="D81" s="56">
        <f>IF($A81="","",ROUND(SUMIF($H$49:$H$60,$A81,$J$49:$J$60),2))</f>
        <v/>
      </c>
      <c r="E81" s="38" t="n"/>
      <c r="F81" s="56">
        <f>IF($A81="","",ROUND(SUMIF($L$49:$L$60,$A81,$N$49:$N$60),2))</f>
        <v/>
      </c>
      <c r="G81" s="38" t="n"/>
      <c r="H81" s="56">
        <f>IF($A81="","",IF($A81=$F$9,IF($D$65="",0,$D$65),0)+IF($A81=$H$66,IF($D$66="",0,$D$66),0))</f>
        <v/>
      </c>
      <c r="I81" s="38" t="n"/>
      <c r="J81" s="88">
        <f>IF($A81="","",ROUND($B81+$D81+$F81+$H81,2))</f>
        <v/>
      </c>
      <c r="K81" s="38" t="n"/>
      <c r="L81" s="38" t="n"/>
      <c r="M81" s="38" t="n"/>
    </row>
    <row r="82" ht="17" customHeight="1">
      <c r="A82" s="87" t="inlineStr">
        <is>
          <t>Bruno</t>
        </is>
      </c>
      <c r="B82" s="56">
        <f>IF($A82="","",ROUND(SUMIF($D$49:$D$60,$A82,$F$49:$F$60),2))</f>
        <v/>
      </c>
      <c r="C82" s="38" t="n"/>
      <c r="D82" s="56">
        <f>IF($A82="","",ROUND(SUMIF($H$49:$H$60,$A82,$J$49:$J$60),2))</f>
        <v/>
      </c>
      <c r="E82" s="38" t="n"/>
      <c r="F82" s="56">
        <f>IF($A82="","",ROUND(SUMIF($L$49:$L$60,$A82,$N$49:$N$60),2))</f>
        <v/>
      </c>
      <c r="G82" s="38" t="n"/>
      <c r="H82" s="56">
        <f>IF($A82="","",IF($A82=$F$9,IF($D$65="",0,$D$65),0)+IF($A82=$H$66,IF($D$66="",0,$D$66),0))</f>
        <v/>
      </c>
      <c r="I82" s="38" t="n"/>
      <c r="J82" s="88">
        <f>IF($A82="","",ROUND($B82+$D82+$F82+$H82,2))</f>
        <v/>
      </c>
      <c r="K82" s="38" t="n"/>
      <c r="L82" s="38" t="n"/>
      <c r="M82" s="38" t="n"/>
    </row>
    <row r="83" ht="17" customHeight="1">
      <c r="A83" s="87" t="inlineStr">
        <is>
          <t>Wallace</t>
        </is>
      </c>
      <c r="B83" s="56">
        <f>IF($A83="","",ROUND(SUMIF($D$49:$D$60,$A83,$F$49:$F$60),2))</f>
        <v/>
      </c>
      <c r="C83" s="38" t="n"/>
      <c r="D83" s="56">
        <f>IF($A83="","",ROUND(SUMIF($H$49:$H$60,$A83,$J$49:$J$60),2))</f>
        <v/>
      </c>
      <c r="E83" s="38" t="n"/>
      <c r="F83" s="56">
        <f>IF($A83="","",ROUND(SUMIF($L$49:$L$60,$A83,$N$49:$N$60),2))</f>
        <v/>
      </c>
      <c r="G83" s="38" t="n"/>
      <c r="H83" s="56">
        <f>IF($A83="","",IF($A83=$F$9,IF($D$65="",0,$D$65),0)+IF($A83=$H$66,IF($D$66="",0,$D$66),0))</f>
        <v/>
      </c>
      <c r="I83" s="38" t="n"/>
      <c r="J83" s="88">
        <f>IF($A83="","",ROUND($B83+$D83+$F83+$H83,2))</f>
        <v/>
      </c>
      <c r="K83" s="38" t="n"/>
      <c r="L83" s="38" t="n"/>
      <c r="M83" s="38" t="n"/>
    </row>
    <row r="84" ht="17" customHeight="1">
      <c r="A84" s="87" t="inlineStr">
        <is>
          <t>Douglas</t>
        </is>
      </c>
      <c r="B84" s="56">
        <f>IF($A84="","",ROUND(SUMIF($D$49:$D$60,$A84,$F$49:$F$60),2))</f>
        <v/>
      </c>
      <c r="C84" s="38" t="n"/>
      <c r="D84" s="56">
        <f>IF($A84="","",ROUND(SUMIF($H$49:$H$60,$A84,$J$49:$J$60),2))</f>
        <v/>
      </c>
      <c r="E84" s="38" t="n"/>
      <c r="F84" s="56">
        <f>IF($A84="","",ROUND(SUMIF($L$49:$L$60,$A84,$N$49:$N$60),2))</f>
        <v/>
      </c>
      <c r="G84" s="38" t="n"/>
      <c r="H84" s="56">
        <f>IF($A84="","",IF($A84=$F$9,IF($D$65="",0,$D$65),0)+IF($A84=$H$66,IF($D$66="",0,$D$66),0))</f>
        <v/>
      </c>
      <c r="I84" s="38" t="n"/>
      <c r="J84" s="88">
        <f>IF($A84="","",ROUND($B84+$D84+$F84+$H84,2))</f>
        <v/>
      </c>
      <c r="K84" s="38" t="n"/>
      <c r="L84" s="38" t="n"/>
      <c r="M84" s="38" t="n"/>
    </row>
    <row r="85" ht="17" customHeight="1">
      <c r="A85" s="87" t="inlineStr">
        <is>
          <t>Terceiro / avulso</t>
        </is>
      </c>
      <c r="B85" s="56">
        <f>IF($A85="","",ROUND(SUMIF($D$49:$D$60,$A85,$F$49:$F$60),2))</f>
        <v/>
      </c>
      <c r="C85" s="38" t="n"/>
      <c r="D85" s="56">
        <f>IF($A85="","",ROUND(SUMIF($H$49:$H$60,$A85,$J$49:$J$60),2))</f>
        <v/>
      </c>
      <c r="E85" s="38" t="n"/>
      <c r="F85" s="56">
        <f>IF($A85="","",ROUND(SUMIF($L$49:$L$60,$A85,$N$49:$N$60),2))</f>
        <v/>
      </c>
      <c r="G85" s="38" t="n"/>
      <c r="H85" s="56">
        <f>IF($A85="","",IF($A85=$F$9,IF($D$65="",0,$D$65),0)+IF($A85=$H$66,IF($D$66="",0,$D$66),0))</f>
        <v/>
      </c>
      <c r="I85" s="38" t="n"/>
      <c r="J85" s="88">
        <f>IF($A85="","",ROUND($B85+$D85+$F85+$H85,2))</f>
        <v/>
      </c>
      <c r="K85" s="38" t="n"/>
      <c r="L85" s="38" t="n"/>
      <c r="M85" s="38" t="n"/>
    </row>
    <row r="86" ht="17" customHeight="1">
      <c r="A86" s="87" t="inlineStr">
        <is>
          <t>Lorrane</t>
        </is>
      </c>
      <c r="B86" s="56">
        <f>IF($A86="","",ROUND(SUMIF($D$49:$D$60,$A86,$F$49:$F$60),2))</f>
        <v/>
      </c>
      <c r="C86" s="38" t="n"/>
      <c r="D86" s="56">
        <f>IF($A86="","",ROUND(SUMIF($H$49:$H$60,$A86,$J$49:$J$60),2))</f>
        <v/>
      </c>
      <c r="E86" s="38" t="n"/>
      <c r="F86" s="56">
        <f>IF($A86="","",ROUND(SUMIF($L$49:$L$60,$A86,$N$49:$N$60),2))</f>
        <v/>
      </c>
      <c r="G86" s="38" t="n"/>
      <c r="H86" s="56">
        <f>IF($A86="","",IF($A86=$F$9,IF($D$65="",0,$D$65),0)+IF($A86=$H$66,IF($D$66="",0,$D$66),0))</f>
        <v/>
      </c>
      <c r="I86" s="38" t="n"/>
      <c r="J86" s="88">
        <f>IF($A86="","",ROUND($B86+$D86+$F86+$H86,2))</f>
        <v/>
      </c>
      <c r="K86" s="38" t="n"/>
      <c r="L86" s="38" t="n"/>
      <c r="M86" s="38" t="n"/>
    </row>
    <row r="87" ht="17" customHeight="1">
      <c r="A87" s="87" t="inlineStr">
        <is>
          <t>Lucas</t>
        </is>
      </c>
      <c r="B87" s="56">
        <f>IF($A87="","",ROUND(SUMIF($D$49:$D$60,$A87,$F$49:$F$60),2))</f>
        <v/>
      </c>
      <c r="C87" s="38" t="n"/>
      <c r="D87" s="56">
        <f>IF($A87="","",ROUND(SUMIF($H$49:$H$60,$A87,$J$49:$J$60),2))</f>
        <v/>
      </c>
      <c r="E87" s="38" t="n"/>
      <c r="F87" s="56">
        <f>IF($A87="","",ROUND(SUMIF($L$49:$L$60,$A87,$N$49:$N$60),2))</f>
        <v/>
      </c>
      <c r="G87" s="38" t="n"/>
      <c r="H87" s="56">
        <f>IF($A87="","",IF($A87=$F$9,IF($D$65="",0,$D$65),0)+IF($A87=$H$66,IF($D$66="",0,$D$66),0))</f>
        <v/>
      </c>
      <c r="I87" s="38" t="n"/>
      <c r="J87" s="88">
        <f>IF($A87="","",ROUND($B87+$D87+$F87+$H87,2))</f>
        <v/>
      </c>
      <c r="K87" s="38" t="n"/>
      <c r="L87" s="38" t="n"/>
      <c r="M87" s="38" t="n"/>
    </row>
    <row r="88" ht="17" customHeight="1">
      <c r="A88" s="87" t="inlineStr">
        <is>
          <t>Externo / avulso</t>
        </is>
      </c>
      <c r="B88" s="56">
        <f>IF($A88="","",ROUND(SUMIF($D$49:$D$60,$A88,$F$49:$F$60),2))</f>
        <v/>
      </c>
      <c r="C88" s="38" t="n"/>
      <c r="D88" s="56">
        <f>IF($A88="","",ROUND(SUMIF($H$49:$H$60,$A88,$J$49:$J$60),2))</f>
        <v/>
      </c>
      <c r="E88" s="38" t="n"/>
      <c r="F88" s="56">
        <f>IF($A88="","",ROUND(SUMIF($L$49:$L$60,$A88,$N$49:$N$60),2))</f>
        <v/>
      </c>
      <c r="G88" s="38" t="n"/>
      <c r="H88" s="56">
        <f>IF($A88="","",IF($A88=$F$9,IF($D$65="",0,$D$65),0)+IF($A88=$H$66,IF($D$66="",0,$D$66),0))</f>
        <v/>
      </c>
      <c r="I88" s="38" t="n"/>
      <c r="J88" s="88">
        <f>IF($A88="","",ROUND($B88+$D88+$F88+$H88,2))</f>
        <v/>
      </c>
      <c r="K88" s="38" t="n"/>
      <c r="L88" s="38" t="n"/>
      <c r="M88" s="38" t="n"/>
    </row>
    <row r="89" ht="17" customHeight="1">
      <c r="A89" s="87" t="inlineStr">
        <is>
          <t>Bruna</t>
        </is>
      </c>
      <c r="B89" s="56">
        <f>IF($A89="","",ROUND(SUMIF($D$49:$D$60,$A89,$F$49:$F$60),2))</f>
        <v/>
      </c>
      <c r="C89" s="38" t="n"/>
      <c r="D89" s="56">
        <f>IF($A89="","",ROUND(SUMIF($H$49:$H$60,$A89,$J$49:$J$60),2))</f>
        <v/>
      </c>
      <c r="E89" s="38" t="n"/>
      <c r="F89" s="56">
        <f>IF($A89="","",ROUND(SUMIF($L$49:$L$60,$A89,$N$49:$N$60),2))</f>
        <v/>
      </c>
      <c r="G89" s="38" t="n"/>
      <c r="H89" s="56">
        <f>IF($A89="","",IF($A89=$F$9,IF($D$65="",0,$D$65),0)+IF($A89=$H$66,IF($D$66="",0,$D$66),0))</f>
        <v/>
      </c>
      <c r="I89" s="38" t="n"/>
      <c r="J89" s="88">
        <f>IF($A89="","",ROUND($B89+$D89+$F89+$H89,2))</f>
        <v/>
      </c>
      <c r="K89" s="38" t="n"/>
      <c r="L89" s="38" t="n"/>
      <c r="M89" s="38" t="n"/>
    </row>
    <row r="90" ht="17" customHeight="1">
      <c r="A90" s="87" t="n"/>
      <c r="B90" s="56">
        <f>IF($A90="","",ROUND(SUMIF($D$49:$D$60,$A90,$F$49:$F$60),2))</f>
        <v/>
      </c>
      <c r="C90" s="38" t="n"/>
      <c r="D90" s="56">
        <f>IF($A90="","",ROUND(SUMIF($H$49:$H$60,$A90,$J$49:$J$60),2))</f>
        <v/>
      </c>
      <c r="E90" s="38" t="n"/>
      <c r="F90" s="56">
        <f>IF($A90="","",ROUND(SUMIF($L$49:$L$60,$A90,$N$49:$N$60),2))</f>
        <v/>
      </c>
      <c r="G90" s="38" t="n"/>
      <c r="H90" s="56">
        <f>IF($A90="","",IF($A90=$F$9,IF($D$65="",0,$D$65),0)+IF($A90=$H$66,IF($D$66="",0,$D$66),0))</f>
        <v/>
      </c>
      <c r="I90" s="38" t="n"/>
      <c r="J90" s="88">
        <f>IF($A90="","",ROUND($B90+$D90+$F90+$H90,2))</f>
        <v/>
      </c>
      <c r="K90" s="38" t="n"/>
      <c r="L90" s="38" t="n"/>
      <c r="M90" s="38" t="n"/>
    </row>
    <row r="91" ht="17" customHeight="1">
      <c r="A91" s="87" t="n"/>
      <c r="B91" s="56">
        <f>IF($A91="","",ROUND(SUMIF($D$49:$D$60,$A91,$F$49:$F$60),2))</f>
        <v/>
      </c>
      <c r="C91" s="38" t="n"/>
      <c r="D91" s="56">
        <f>IF($A91="","",ROUND(SUMIF($H$49:$H$60,$A91,$J$49:$J$60),2))</f>
        <v/>
      </c>
      <c r="E91" s="38" t="n"/>
      <c r="F91" s="56">
        <f>IF($A91="","",ROUND(SUMIF($L$49:$L$60,$A91,$N$49:$N$60),2))</f>
        <v/>
      </c>
      <c r="G91" s="38" t="n"/>
      <c r="H91" s="56">
        <f>IF($A91="","",IF($A91=$F$9,IF($D$65="",0,$D$65),0)+IF($A91=$H$66,IF($D$66="",0,$D$66),0))</f>
        <v/>
      </c>
      <c r="I91" s="38" t="n"/>
      <c r="J91" s="88">
        <f>IF($A91="","",ROUND($B91+$D91+$F91+$H91,2))</f>
        <v/>
      </c>
      <c r="K91" s="38" t="n"/>
      <c r="L91" s="38" t="n"/>
      <c r="M91" s="38" t="n"/>
    </row>
    <row r="92" ht="20" customHeight="1">
      <c r="A92" s="31" t="inlineStr">
        <is>
          <t>TOTAL</t>
        </is>
      </c>
      <c r="B92" s="60">
        <f>ROUND(SUM(B74:B91),2)</f>
        <v/>
      </c>
      <c r="C92" s="32" t="n"/>
      <c r="D92" s="60">
        <f>ROUND(SUM(D74:D91),2)</f>
        <v/>
      </c>
      <c r="E92" s="32" t="n"/>
      <c r="F92" s="60">
        <f>ROUND(SUM(F74:F91),2)</f>
        <v/>
      </c>
      <c r="G92" s="32" t="n"/>
      <c r="H92" s="60">
        <f>ROUND(SUM(H74:H91),2)</f>
        <v/>
      </c>
      <c r="I92" s="32" t="n"/>
      <c r="J92" s="60">
        <f>ROUND(SUM(J74:J91),2)</f>
        <v/>
      </c>
      <c r="K92" s="32" t="n"/>
      <c r="L92" s="32" t="n"/>
      <c r="M92" s="32" t="n"/>
    </row>
    <row r="93" ht="8" customHeight="1"/>
    <row r="94" ht="20" customHeight="1">
      <c r="A94" s="8" t="inlineStr">
        <is>
          <t xml:space="preserve">  6 · MATERIAL, TERCEIRIZADOS E LOGÍSTICA          o orçado você digita · o realizado vem sozinho do livro de lançamentos, lá no fim da ficha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</row>
    <row r="95" ht="30" customHeight="1">
      <c r="A95" s="19" t="inlineStr">
        <is>
          <t>Categoria</t>
        </is>
      </c>
      <c r="B95" s="19" t="inlineStr"/>
      <c r="C95" s="19" t="inlineStr">
        <is>
          <t>Orçado (R$)</t>
        </is>
      </c>
      <c r="D95" s="19" t="inlineStr">
        <is>
          <t>Realizado (R$)</t>
        </is>
      </c>
      <c r="E95" s="19" t="inlineStr">
        <is>
          <t>Desvio (R$)</t>
        </is>
      </c>
      <c r="F95" s="35" t="n"/>
      <c r="G95" s="19" t="inlineStr">
        <is>
          <t>Ainda a comprar</t>
        </is>
      </c>
      <c r="H95" s="19" t="inlineStr">
        <is>
          <t>Comprado, ainda a pagar</t>
        </is>
      </c>
      <c r="I95" s="35" t="n"/>
      <c r="J95" s="35" t="n"/>
      <c r="K95" s="35" t="n"/>
      <c r="L95" s="35" t="n"/>
      <c r="M95" s="35" t="n"/>
      <c r="N95" s="35" t="n"/>
      <c r="O95" s="35" t="n"/>
    </row>
    <row r="96" ht="17" customHeight="1">
      <c r="A96" s="36" t="inlineStr">
        <is>
          <t>MDF e MDP</t>
        </is>
      </c>
      <c r="B96" s="37" t="n"/>
      <c r="C96" s="71" t="n"/>
      <c r="D96" s="56">
        <f>ROUND(SUMIFS($E$134:$E$193,$B$134:$B$193,$A96,$I$134:$I$193,"Comprado (a pagar)")+SUMIFS($E$134:$E$193,$B$134:$B$193,$A96,$I$134:$I$193,"Pago"),2)</f>
        <v/>
      </c>
      <c r="E96" s="56">
        <f>IF($C96="","",ROUND($D96-$C96,2))</f>
        <v/>
      </c>
      <c r="F96" s="38" t="n"/>
      <c r="G96" s="89">
        <f>ROUND(SUMIFS($E$134:$E$193,$B$134:$B$193,$A96,$I$134:$I$193,"A comprar"),2)</f>
        <v/>
      </c>
      <c r="H96" s="90">
        <f>ROUND(SUMIFS($E$134:$E$193,$B$134:$B$193,$A96,$I$134:$I$193,"Comprado (a pagar)"),2)</f>
        <v/>
      </c>
      <c r="I96" s="38" t="n"/>
      <c r="J96" s="38" t="n"/>
      <c r="K96" s="38" t="n"/>
      <c r="L96" s="38" t="n"/>
      <c r="M96" s="38" t="n"/>
      <c r="N96" s="38" t="n"/>
      <c r="O96" s="38" t="n"/>
    </row>
    <row r="97" ht="17" customHeight="1">
      <c r="A97" s="36" t="inlineStr">
        <is>
          <t>Fita de borda</t>
        </is>
      </c>
      <c r="B97" s="37" t="n"/>
      <c r="C97" s="71" t="n"/>
      <c r="D97" s="56">
        <f>ROUND(SUMIFS($E$134:$E$193,$B$134:$B$193,$A97,$I$134:$I$193,"Comprado (a pagar)")+SUMIFS($E$134:$E$193,$B$134:$B$193,$A97,$I$134:$I$193,"Pago"),2)</f>
        <v/>
      </c>
      <c r="E97" s="56">
        <f>IF($C97="","",ROUND($D97-$C97,2))</f>
        <v/>
      </c>
      <c r="F97" s="38" t="n"/>
      <c r="G97" s="89">
        <f>ROUND(SUMIFS($E$134:$E$193,$B$134:$B$193,$A97,$I$134:$I$193,"A comprar"),2)</f>
        <v/>
      </c>
      <c r="H97" s="90">
        <f>ROUND(SUMIFS($E$134:$E$193,$B$134:$B$193,$A97,$I$134:$I$193,"Comprado (a pagar)"),2)</f>
        <v/>
      </c>
      <c r="I97" s="38" t="n"/>
      <c r="J97" s="38" t="n"/>
      <c r="K97" s="38" t="n"/>
      <c r="L97" s="38" t="n"/>
      <c r="M97" s="38" t="n"/>
      <c r="N97" s="38" t="n"/>
      <c r="O97" s="38" t="n"/>
    </row>
    <row r="98" ht="17" customHeight="1">
      <c r="A98" s="36" t="inlineStr">
        <is>
          <t>Ferragens</t>
        </is>
      </c>
      <c r="B98" s="37" t="n"/>
      <c r="C98" s="71" t="n"/>
      <c r="D98" s="56">
        <f>ROUND(SUMIFS($E$134:$E$193,$B$134:$B$193,$A98,$I$134:$I$193,"Comprado (a pagar)")+SUMIFS($E$134:$E$193,$B$134:$B$193,$A98,$I$134:$I$193,"Pago"),2)</f>
        <v/>
      </c>
      <c r="E98" s="56">
        <f>IF($C98="","",ROUND($D98-$C98,2))</f>
        <v/>
      </c>
      <c r="F98" s="38" t="n"/>
      <c r="G98" s="89">
        <f>ROUND(SUMIFS($E$134:$E$193,$B$134:$B$193,$A98,$I$134:$I$193,"A comprar"),2)</f>
        <v/>
      </c>
      <c r="H98" s="90">
        <f>ROUND(SUMIFS($E$134:$E$193,$B$134:$B$193,$A98,$I$134:$I$193,"Comprado (a pagar)"),2)</f>
        <v/>
      </c>
      <c r="I98" s="38" t="n"/>
      <c r="J98" s="38" t="n"/>
      <c r="K98" s="38" t="n"/>
      <c r="L98" s="38" t="n"/>
      <c r="M98" s="38" t="n"/>
      <c r="N98" s="38" t="n"/>
      <c r="O98" s="38" t="n"/>
    </row>
    <row r="99" ht="17" customHeight="1">
      <c r="A99" s="36" t="inlineStr">
        <is>
          <t>Vidros e espelhos</t>
        </is>
      </c>
      <c r="B99" s="37" t="n"/>
      <c r="C99" s="71" t="n"/>
      <c r="D99" s="56">
        <f>ROUND(SUMIFS($E$134:$E$193,$B$134:$B$193,$A99,$I$134:$I$193,"Comprado (a pagar)")+SUMIFS($E$134:$E$193,$B$134:$B$193,$A99,$I$134:$I$193,"Pago"),2)</f>
        <v/>
      </c>
      <c r="E99" s="56">
        <f>IF($C99="","",ROUND($D99-$C99,2))</f>
        <v/>
      </c>
      <c r="F99" s="38" t="n"/>
      <c r="G99" s="89">
        <f>ROUND(SUMIFS($E$134:$E$193,$B$134:$B$193,$A99,$I$134:$I$193,"A comprar"),2)</f>
        <v/>
      </c>
      <c r="H99" s="90">
        <f>ROUND(SUMIFS($E$134:$E$193,$B$134:$B$193,$A99,$I$134:$I$193,"Comprado (a pagar)"),2)</f>
        <v/>
      </c>
      <c r="I99" s="38" t="n"/>
      <c r="J99" s="38" t="n"/>
      <c r="K99" s="38" t="n"/>
      <c r="L99" s="38" t="n"/>
      <c r="M99" s="38" t="n"/>
      <c r="N99" s="38" t="n"/>
      <c r="O99" s="38" t="n"/>
    </row>
    <row r="100" ht="17" customHeight="1">
      <c r="A100" s="36" t="inlineStr">
        <is>
          <t>Esquadrias</t>
        </is>
      </c>
      <c r="B100" s="37" t="n"/>
      <c r="C100" s="71" t="n"/>
      <c r="D100" s="56">
        <f>ROUND(SUMIFS($E$134:$E$193,$B$134:$B$193,$A100,$I$134:$I$193,"Comprado (a pagar)")+SUMIFS($E$134:$E$193,$B$134:$B$193,$A100,$I$134:$I$193,"Pago"),2)</f>
        <v/>
      </c>
      <c r="E100" s="56">
        <f>IF($C100="","",ROUND($D100-$C100,2))</f>
        <v/>
      </c>
      <c r="F100" s="38" t="n"/>
      <c r="G100" s="89">
        <f>ROUND(SUMIFS($E$134:$E$193,$B$134:$B$193,$A100,$I$134:$I$193,"A comprar"),2)</f>
        <v/>
      </c>
      <c r="H100" s="90">
        <f>ROUND(SUMIFS($E$134:$E$193,$B$134:$B$193,$A100,$I$134:$I$193,"Comprado (a pagar)"),2)</f>
        <v/>
      </c>
      <c r="I100" s="38" t="n"/>
      <c r="J100" s="38" t="n"/>
      <c r="K100" s="38" t="n"/>
      <c r="L100" s="38" t="n"/>
      <c r="M100" s="38" t="n"/>
      <c r="N100" s="38" t="n"/>
      <c r="O100" s="38" t="n"/>
    </row>
    <row r="101" ht="17" customHeight="1">
      <c r="A101" s="36" t="inlineStr">
        <is>
          <t>Lâmina natural</t>
        </is>
      </c>
      <c r="B101" s="37" t="n"/>
      <c r="C101" s="71" t="n"/>
      <c r="D101" s="56">
        <f>ROUND(SUMIFS($E$134:$E$193,$B$134:$B$193,$A101,$I$134:$I$193,"Comprado (a pagar)")+SUMIFS($E$134:$E$193,$B$134:$B$193,$A101,$I$134:$I$193,"Pago"),2)</f>
        <v/>
      </c>
      <c r="E101" s="56">
        <f>IF($C101="","",ROUND($D101-$C101,2))</f>
        <v/>
      </c>
      <c r="F101" s="38" t="n"/>
      <c r="G101" s="89">
        <f>ROUND(SUMIFS($E$134:$E$193,$B$134:$B$193,$A101,$I$134:$I$193,"A comprar"),2)</f>
        <v/>
      </c>
      <c r="H101" s="90">
        <f>ROUND(SUMIFS($E$134:$E$193,$B$134:$B$193,$A101,$I$134:$I$193,"Comprado (a pagar)"),2)</f>
        <v/>
      </c>
      <c r="I101" s="38" t="n"/>
      <c r="J101" s="38" t="n"/>
      <c r="K101" s="38" t="n"/>
      <c r="L101" s="38" t="n"/>
      <c r="M101" s="38" t="n"/>
      <c r="N101" s="38" t="n"/>
      <c r="O101" s="38" t="n"/>
    </row>
    <row r="102" ht="17" customHeight="1">
      <c r="A102" s="36" t="inlineStr">
        <is>
          <t>Consumíveis</t>
        </is>
      </c>
      <c r="B102" s="37" t="n"/>
      <c r="C102" s="71" t="n"/>
      <c r="D102" s="56">
        <f>ROUND(SUMIFS($E$134:$E$193,$B$134:$B$193,$A102,$I$134:$I$193,"Comprado (a pagar)")+SUMIFS($E$134:$E$193,$B$134:$B$193,$A102,$I$134:$I$193,"Pago"),2)</f>
        <v/>
      </c>
      <c r="E102" s="56">
        <f>IF($C102="","",ROUND($D102-$C102,2))</f>
        <v/>
      </c>
      <c r="F102" s="38" t="n"/>
      <c r="G102" s="89">
        <f>ROUND(SUMIFS($E$134:$E$193,$B$134:$B$193,$A102,$I$134:$I$193,"A comprar"),2)</f>
        <v/>
      </c>
      <c r="H102" s="90">
        <f>ROUND(SUMIFS($E$134:$E$193,$B$134:$B$193,$A102,$I$134:$I$193,"Comprado (a pagar)"),2)</f>
        <v/>
      </c>
      <c r="I102" s="38" t="n"/>
      <c r="J102" s="38" t="n"/>
      <c r="K102" s="38" t="n"/>
      <c r="L102" s="38" t="n"/>
      <c r="M102" s="38" t="n"/>
      <c r="N102" s="38" t="n"/>
      <c r="O102" s="38" t="n"/>
    </row>
    <row r="103" ht="20" customHeight="1">
      <c r="A103" s="31" t="inlineStr">
        <is>
          <t>(=) SUBTOTAL · MATERIAL</t>
        </is>
      </c>
      <c r="B103" s="32" t="n"/>
      <c r="C103" s="60">
        <f>ROUND(SUM(C96:C102),2)</f>
        <v/>
      </c>
      <c r="D103" s="60">
        <f>ROUND(SUM(D96:D102),2)</f>
        <v/>
      </c>
      <c r="E103" s="60">
        <f>ROUND(SUM(E96:E102),2)</f>
        <v/>
      </c>
      <c r="F103" s="32" t="n"/>
      <c r="G103" s="60">
        <f>ROUND(SUM(G96:G102),2)</f>
        <v/>
      </c>
      <c r="H103" s="60">
        <f>ROUND(SUM(H96:H102),2)</f>
        <v/>
      </c>
      <c r="I103" s="32" t="n"/>
      <c r="J103" s="32" t="n"/>
      <c r="K103" s="32" t="n"/>
      <c r="L103" s="32" t="n"/>
      <c r="M103" s="32" t="n"/>
      <c r="N103" s="32" t="n"/>
      <c r="O103" s="32" t="n"/>
    </row>
    <row r="104" ht="17" customHeight="1">
      <c r="A104" s="36" t="inlineStr">
        <is>
          <t>Acabamento</t>
        </is>
      </c>
      <c r="B104" s="37" t="n"/>
      <c r="C104" s="71" t="n"/>
      <c r="D104" s="56">
        <f>ROUND(SUMIFS($E$134:$E$193,$B$134:$B$193,$A104,$I$134:$I$193,"Comprado (a pagar)")+SUMIFS($E$134:$E$193,$B$134:$B$193,$A104,$I$134:$I$193,"Pago"),2)</f>
        <v/>
      </c>
      <c r="E104" s="56">
        <f>IF($C104="","",ROUND($D104-$C104,2))</f>
        <v/>
      </c>
      <c r="F104" s="38" t="n"/>
      <c r="G104" s="89">
        <f>ROUND(SUMIFS($E$134:$E$193,$B$134:$B$193,$A104,$I$134:$I$193,"A comprar"),2)</f>
        <v/>
      </c>
      <c r="H104" s="90">
        <f>ROUND(SUMIFS($E$134:$E$193,$B$134:$B$193,$A104,$I$134:$I$193,"Comprado (a pagar)"),2)</f>
        <v/>
      </c>
      <c r="I104" s="38" t="n"/>
      <c r="J104" s="38" t="n"/>
      <c r="K104" s="38" t="n"/>
      <c r="L104" s="38" t="n"/>
      <c r="M104" s="38" t="n"/>
      <c r="N104" s="38" t="n"/>
      <c r="O104" s="38" t="n"/>
    </row>
    <row r="105" ht="17" customHeight="1">
      <c r="A105" s="36" t="inlineStr">
        <is>
          <t>Serralheria</t>
        </is>
      </c>
      <c r="B105" s="37" t="n"/>
      <c r="C105" s="71" t="n"/>
      <c r="D105" s="56">
        <f>ROUND(SUMIFS($E$134:$E$193,$B$134:$B$193,$A105,$I$134:$I$193,"Comprado (a pagar)")+SUMIFS($E$134:$E$193,$B$134:$B$193,$A105,$I$134:$I$193,"Pago"),2)</f>
        <v/>
      </c>
      <c r="E105" s="56">
        <f>IF($C105="","",ROUND($D105-$C105,2))</f>
        <v/>
      </c>
      <c r="F105" s="38" t="n"/>
      <c r="G105" s="89">
        <f>ROUND(SUMIFS($E$134:$E$193,$B$134:$B$193,$A105,$I$134:$I$193,"A comprar"),2)</f>
        <v/>
      </c>
      <c r="H105" s="90">
        <f>ROUND(SUMIFS($E$134:$E$193,$B$134:$B$193,$A105,$I$134:$I$193,"Comprado (a pagar)"),2)</f>
        <v/>
      </c>
      <c r="I105" s="38" t="n"/>
      <c r="J105" s="38" t="n"/>
      <c r="K105" s="38" t="n"/>
      <c r="L105" s="38" t="n"/>
      <c r="M105" s="38" t="n"/>
      <c r="N105" s="38" t="n"/>
      <c r="O105" s="38" t="n"/>
    </row>
    <row r="106" ht="17" customHeight="1">
      <c r="A106" s="36" t="inlineStr">
        <is>
          <t>Vidraceiro</t>
        </is>
      </c>
      <c r="B106" s="37" t="n"/>
      <c r="C106" s="71" t="n"/>
      <c r="D106" s="56">
        <f>ROUND(SUMIFS($E$134:$E$193,$B$134:$B$193,$A106,$I$134:$I$193,"Comprado (a pagar)")+SUMIFS($E$134:$E$193,$B$134:$B$193,$A106,$I$134:$I$193,"Pago"),2)</f>
        <v/>
      </c>
      <c r="E106" s="56">
        <f>IF($C106="","",ROUND($D106-$C106,2))</f>
        <v/>
      </c>
      <c r="F106" s="38" t="n"/>
      <c r="G106" s="89">
        <f>ROUND(SUMIFS($E$134:$E$193,$B$134:$B$193,$A106,$I$134:$I$193,"A comprar"),2)</f>
        <v/>
      </c>
      <c r="H106" s="90">
        <f>ROUND(SUMIFS($E$134:$E$193,$B$134:$B$193,$A106,$I$134:$I$193,"Comprado (a pagar)"),2)</f>
        <v/>
      </c>
      <c r="I106" s="38" t="n"/>
      <c r="J106" s="38" t="n"/>
      <c r="K106" s="38" t="n"/>
      <c r="L106" s="38" t="n"/>
      <c r="M106" s="38" t="n"/>
      <c r="N106" s="38" t="n"/>
      <c r="O106" s="38" t="n"/>
    </row>
    <row r="107" ht="17" customHeight="1">
      <c r="A107" s="36" t="inlineStr">
        <is>
          <t>Outro terceirizado</t>
        </is>
      </c>
      <c r="B107" s="37" t="n"/>
      <c r="C107" s="71" t="n"/>
      <c r="D107" s="56">
        <f>ROUND(SUMIFS($E$134:$E$193,$B$134:$B$193,$A107,$I$134:$I$193,"Comprado (a pagar)")+SUMIFS($E$134:$E$193,$B$134:$B$193,$A107,$I$134:$I$193,"Pago"),2)</f>
        <v/>
      </c>
      <c r="E107" s="56">
        <f>IF($C107="","",ROUND($D107-$C107,2))</f>
        <v/>
      </c>
      <c r="F107" s="38" t="n"/>
      <c r="G107" s="89">
        <f>ROUND(SUMIFS($E$134:$E$193,$B$134:$B$193,$A107,$I$134:$I$193,"A comprar"),2)</f>
        <v/>
      </c>
      <c r="H107" s="90">
        <f>ROUND(SUMIFS($E$134:$E$193,$B$134:$B$193,$A107,$I$134:$I$193,"Comprado (a pagar)"),2)</f>
        <v/>
      </c>
      <c r="I107" s="38" t="n"/>
      <c r="J107" s="38" t="n"/>
      <c r="K107" s="38" t="n"/>
      <c r="L107" s="38" t="n"/>
      <c r="M107" s="38" t="n"/>
      <c r="N107" s="38" t="n"/>
      <c r="O107" s="38" t="n"/>
    </row>
    <row r="108" ht="20" customHeight="1">
      <c r="A108" s="31" t="inlineStr">
        <is>
          <t>(=) SUBTOTAL · SERVIÇOS TERCEIRIZADOS</t>
        </is>
      </c>
      <c r="B108" s="32" t="n"/>
      <c r="C108" s="60">
        <f>ROUND(SUM(C104:C107),2)</f>
        <v/>
      </c>
      <c r="D108" s="60">
        <f>ROUND(SUM(D104:D107),2)</f>
        <v/>
      </c>
      <c r="E108" s="60">
        <f>ROUND(SUM(E104:E107),2)</f>
        <v/>
      </c>
      <c r="F108" s="32" t="n"/>
      <c r="G108" s="60">
        <f>ROUND(SUM(G104:G107),2)</f>
        <v/>
      </c>
      <c r="H108" s="60">
        <f>ROUND(SUM(H104:H107),2)</f>
        <v/>
      </c>
      <c r="I108" s="32" t="n"/>
      <c r="J108" s="32" t="n"/>
      <c r="K108" s="32" t="n"/>
      <c r="L108" s="32" t="n"/>
      <c r="M108" s="32" t="n"/>
      <c r="N108" s="32" t="n"/>
      <c r="O108" s="32" t="n"/>
    </row>
    <row r="109" ht="17" customHeight="1">
      <c r="A109" s="36" t="inlineStr">
        <is>
          <t>Uber e aplicativo</t>
        </is>
      </c>
      <c r="B109" s="37" t="n"/>
      <c r="C109" s="71" t="n"/>
      <c r="D109" s="56">
        <f>ROUND(SUMIFS($E$134:$E$193,$B$134:$B$193,$A109,$I$134:$I$193,"Comprado (a pagar)")+SUMIFS($E$134:$E$193,$B$134:$B$193,$A109,$I$134:$I$193,"Pago"),2)</f>
        <v/>
      </c>
      <c r="E109" s="56">
        <f>IF($C109="","",ROUND($D109-$C109,2))</f>
        <v/>
      </c>
      <c r="F109" s="38" t="n"/>
      <c r="G109" s="89">
        <f>ROUND(SUMIFS($E$134:$E$193,$B$134:$B$193,$A109,$I$134:$I$193,"A comprar"),2)</f>
        <v/>
      </c>
      <c r="H109" s="90">
        <f>ROUND(SUMIFS($E$134:$E$193,$B$134:$B$193,$A109,$I$134:$I$193,"Comprado (a pagar)"),2)</f>
        <v/>
      </c>
      <c r="I109" s="38" t="n"/>
      <c r="J109" s="38" t="n"/>
      <c r="K109" s="38" t="n"/>
      <c r="L109" s="38" t="n"/>
      <c r="M109" s="38" t="n"/>
      <c r="N109" s="38" t="n"/>
      <c r="O109" s="38" t="n"/>
    </row>
    <row r="110" ht="17" customHeight="1">
      <c r="A110" s="36" t="inlineStr">
        <is>
          <t>Carreto e entrega</t>
        </is>
      </c>
      <c r="B110" s="37" t="n"/>
      <c r="C110" s="71" t="n"/>
      <c r="D110" s="56">
        <f>ROUND(SUMIFS($E$134:$E$193,$B$134:$B$193,$A110,$I$134:$I$193,"Comprado (a pagar)")+SUMIFS($E$134:$E$193,$B$134:$B$193,$A110,$I$134:$I$193,"Pago"),2)</f>
        <v/>
      </c>
      <c r="E110" s="56">
        <f>IF($C110="","",ROUND($D110-$C110,2))</f>
        <v/>
      </c>
      <c r="F110" s="38" t="n"/>
      <c r="G110" s="89">
        <f>ROUND(SUMIFS($E$134:$E$193,$B$134:$B$193,$A110,$I$134:$I$193,"A comprar"),2)</f>
        <v/>
      </c>
      <c r="H110" s="90">
        <f>ROUND(SUMIFS($E$134:$E$193,$B$134:$B$193,$A110,$I$134:$I$193,"Comprado (a pagar)"),2)</f>
        <v/>
      </c>
      <c r="I110" s="38" t="n"/>
      <c r="J110" s="38" t="n"/>
      <c r="K110" s="38" t="n"/>
      <c r="L110" s="38" t="n"/>
      <c r="M110" s="38" t="n"/>
      <c r="N110" s="38" t="n"/>
      <c r="O110" s="38" t="n"/>
    </row>
    <row r="111" ht="17" customHeight="1">
      <c r="A111" s="36" t="inlineStr">
        <is>
          <t>Deslocamento da equipe</t>
        </is>
      </c>
      <c r="B111" s="37" t="n"/>
      <c r="C111" s="71" t="n"/>
      <c r="D111" s="56">
        <f>ROUND(SUMIFS($E$134:$E$193,$B$134:$B$193,$A111,$I$134:$I$193,"Comprado (a pagar)")+SUMIFS($E$134:$E$193,$B$134:$B$193,$A111,$I$134:$I$193,"Pago"),2)</f>
        <v/>
      </c>
      <c r="E111" s="56">
        <f>IF($C111="","",ROUND($D111-$C111,2))</f>
        <v/>
      </c>
      <c r="F111" s="38" t="n"/>
      <c r="G111" s="89">
        <f>ROUND(SUMIFS($E$134:$E$193,$B$134:$B$193,$A111,$I$134:$I$193,"A comprar"),2)</f>
        <v/>
      </c>
      <c r="H111" s="90">
        <f>ROUND(SUMIFS($E$134:$E$193,$B$134:$B$193,$A111,$I$134:$I$193,"Comprado (a pagar)"),2)</f>
        <v/>
      </c>
      <c r="I111" s="38" t="n"/>
      <c r="J111" s="38" t="n"/>
      <c r="K111" s="38" t="n"/>
      <c r="L111" s="38" t="n"/>
      <c r="M111" s="38" t="n"/>
      <c r="N111" s="38" t="n"/>
      <c r="O111" s="38" t="n"/>
    </row>
    <row r="112" ht="17" customHeight="1">
      <c r="A112" s="36" t="inlineStr">
        <is>
          <t>Frete de material</t>
        </is>
      </c>
      <c r="B112" s="37" t="n"/>
      <c r="C112" s="71" t="n"/>
      <c r="D112" s="56">
        <f>ROUND(SUMIFS($E$134:$E$193,$B$134:$B$193,$A112,$I$134:$I$193,"Comprado (a pagar)")+SUMIFS($E$134:$E$193,$B$134:$B$193,$A112,$I$134:$I$193,"Pago"),2)</f>
        <v/>
      </c>
      <c r="E112" s="56">
        <f>IF($C112="","",ROUND($D112-$C112,2))</f>
        <v/>
      </c>
      <c r="F112" s="38" t="n"/>
      <c r="G112" s="89">
        <f>ROUND(SUMIFS($E$134:$E$193,$B$134:$B$193,$A112,$I$134:$I$193,"A comprar"),2)</f>
        <v/>
      </c>
      <c r="H112" s="90">
        <f>ROUND(SUMIFS($E$134:$E$193,$B$134:$B$193,$A112,$I$134:$I$193,"Comprado (a pagar)"),2)</f>
        <v/>
      </c>
      <c r="I112" s="38" t="n"/>
      <c r="J112" s="38" t="n"/>
      <c r="K112" s="38" t="n"/>
      <c r="L112" s="38" t="n"/>
      <c r="M112" s="38" t="n"/>
      <c r="N112" s="38" t="n"/>
      <c r="O112" s="38" t="n"/>
    </row>
    <row r="113" ht="17" customHeight="1">
      <c r="A113" s="36" t="inlineStr">
        <is>
          <t>Estacionamento e pedágio</t>
        </is>
      </c>
      <c r="B113" s="37" t="n"/>
      <c r="C113" s="71" t="n"/>
      <c r="D113" s="56">
        <f>ROUND(SUMIFS($E$134:$E$193,$B$134:$B$193,$A113,$I$134:$I$193,"Comprado (a pagar)")+SUMIFS($E$134:$E$193,$B$134:$B$193,$A113,$I$134:$I$193,"Pago"),2)</f>
        <v/>
      </c>
      <c r="E113" s="56">
        <f>IF($C113="","",ROUND($D113-$C113,2))</f>
        <v/>
      </c>
      <c r="F113" s="38" t="n"/>
      <c r="G113" s="89">
        <f>ROUND(SUMIFS($E$134:$E$193,$B$134:$B$193,$A113,$I$134:$I$193,"A comprar"),2)</f>
        <v/>
      </c>
      <c r="H113" s="90">
        <f>ROUND(SUMIFS($E$134:$E$193,$B$134:$B$193,$A113,$I$134:$I$193,"Comprado (a pagar)"),2)</f>
        <v/>
      </c>
      <c r="I113" s="38" t="n"/>
      <c r="J113" s="38" t="n"/>
      <c r="K113" s="38" t="n"/>
      <c r="L113" s="38" t="n"/>
      <c r="M113" s="38" t="n"/>
      <c r="N113" s="38" t="n"/>
      <c r="O113" s="38" t="n"/>
    </row>
    <row r="114" ht="20" customHeight="1">
      <c r="A114" s="31" t="inlineStr">
        <is>
          <t>(=) SUBTOTAL · LOGÍSTICA</t>
        </is>
      </c>
      <c r="B114" s="32" t="n"/>
      <c r="C114" s="60">
        <f>ROUND(SUM(C109:C113),2)</f>
        <v/>
      </c>
      <c r="D114" s="60">
        <f>ROUND(SUM(D109:D113),2)</f>
        <v/>
      </c>
      <c r="E114" s="60">
        <f>ROUND(SUM(E109:E113),2)</f>
        <v/>
      </c>
      <c r="F114" s="32" t="n"/>
      <c r="G114" s="60">
        <f>ROUND(SUM(G109:G113),2)</f>
        <v/>
      </c>
      <c r="H114" s="60">
        <f>ROUND(SUM(H109:H113),2)</f>
        <v/>
      </c>
      <c r="I114" s="32" t="n"/>
      <c r="J114" s="32" t="n"/>
      <c r="K114" s="32" t="n"/>
      <c r="L114" s="32" t="n"/>
      <c r="M114" s="32" t="n"/>
      <c r="N114" s="32" t="n"/>
      <c r="O114" s="32" t="n"/>
    </row>
    <row r="115" ht="8" customHeight="1"/>
    <row r="116" ht="20" customHeight="1">
      <c r="A116" s="8" t="inlineStr">
        <is>
          <t xml:space="preserve">  7 · RETRABALHO          o que aconteceu, por que aconteceu e quanto custou — é aqui que o orçamento aprende</t>
        </is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</row>
    <row r="117" ht="26" customHeight="1">
      <c r="A117" s="19" t="inlineStr">
        <is>
          <t>O que aconteceu</t>
        </is>
      </c>
      <c r="B117" s="19" t="inlineStr">
        <is>
          <t>Causa</t>
        </is>
      </c>
      <c r="C117" s="35" t="n"/>
      <c r="D117" s="35" t="n"/>
      <c r="E117" s="19" t="inlineStr">
        <is>
          <t>Custo estimado (R$)</t>
        </is>
      </c>
      <c r="F117" s="35" t="n"/>
      <c r="G117" s="19" t="inlineStr">
        <is>
          <t>Providência / responsável</t>
        </is>
      </c>
      <c r="H117" s="35" t="n"/>
      <c r="I117" s="35" t="n"/>
      <c r="J117" s="35" t="n"/>
      <c r="K117" s="35" t="n"/>
      <c r="L117" s="35" t="n"/>
      <c r="M117" s="35" t="n"/>
      <c r="N117" s="35" t="n"/>
      <c r="O117" s="35" t="n"/>
    </row>
    <row r="118" ht="18" customHeight="1">
      <c r="A118" s="83" t="n"/>
      <c r="B118" s="83" t="n"/>
      <c r="C118" s="46" t="n"/>
      <c r="D118" s="46" t="n"/>
      <c r="E118" s="91" t="n"/>
      <c r="F118" s="46" t="n"/>
      <c r="G118" s="73" t="n"/>
      <c r="H118" s="46" t="n"/>
      <c r="I118" s="46" t="n"/>
      <c r="J118" s="46" t="n"/>
      <c r="K118" s="46" t="n"/>
      <c r="L118" s="46" t="n"/>
      <c r="M118" s="46" t="n"/>
      <c r="N118" s="46" t="n"/>
      <c r="O118" s="46" t="n"/>
    </row>
    <row r="119" ht="18" customHeight="1">
      <c r="A119" s="83" t="n"/>
      <c r="B119" s="83" t="n"/>
      <c r="C119" s="46" t="n"/>
      <c r="D119" s="46" t="n"/>
      <c r="E119" s="91" t="n"/>
      <c r="F119" s="46" t="n"/>
      <c r="G119" s="73" t="n"/>
      <c r="H119" s="46" t="n"/>
      <c r="I119" s="46" t="n"/>
      <c r="J119" s="46" t="n"/>
      <c r="K119" s="46" t="n"/>
      <c r="L119" s="46" t="n"/>
      <c r="M119" s="46" t="n"/>
      <c r="N119" s="46" t="n"/>
      <c r="O119" s="46" t="n"/>
    </row>
    <row r="120" ht="18" customHeight="1">
      <c r="A120" s="83" t="n"/>
      <c r="B120" s="83" t="n"/>
      <c r="C120" s="46" t="n"/>
      <c r="D120" s="46" t="n"/>
      <c r="E120" s="91" t="n"/>
      <c r="F120" s="46" t="n"/>
      <c r="G120" s="73" t="n"/>
      <c r="H120" s="46" t="n"/>
      <c r="I120" s="46" t="n"/>
      <c r="J120" s="46" t="n"/>
      <c r="K120" s="46" t="n"/>
      <c r="L120" s="46" t="n"/>
      <c r="M120" s="46" t="n"/>
      <c r="N120" s="46" t="n"/>
      <c r="O120" s="46" t="n"/>
    </row>
    <row r="121" ht="18" customHeight="1">
      <c r="A121" s="83" t="n"/>
      <c r="B121" s="83" t="n"/>
      <c r="C121" s="46" t="n"/>
      <c r="D121" s="46" t="n"/>
      <c r="E121" s="91" t="n"/>
      <c r="F121" s="46" t="n"/>
      <c r="G121" s="73" t="n"/>
      <c r="H121" s="46" t="n"/>
      <c r="I121" s="46" t="n"/>
      <c r="J121" s="46" t="n"/>
      <c r="K121" s="46" t="n"/>
      <c r="L121" s="46" t="n"/>
      <c r="M121" s="46" t="n"/>
      <c r="N121" s="46" t="n"/>
      <c r="O121" s="46" t="n"/>
    </row>
    <row r="122" ht="18" customHeight="1">
      <c r="A122" s="83" t="n"/>
      <c r="B122" s="83" t="n"/>
      <c r="C122" s="46" t="n"/>
      <c r="D122" s="46" t="n"/>
      <c r="E122" s="91" t="n"/>
      <c r="F122" s="46" t="n"/>
      <c r="G122" s="73" t="n"/>
      <c r="H122" s="46" t="n"/>
      <c r="I122" s="46" t="n"/>
      <c r="J122" s="46" t="n"/>
      <c r="K122" s="46" t="n"/>
      <c r="L122" s="46" t="n"/>
      <c r="M122" s="46" t="n"/>
      <c r="N122" s="46" t="n"/>
      <c r="O122" s="46" t="n"/>
    </row>
    <row r="123" ht="18" customHeight="1">
      <c r="A123" s="83" t="n"/>
      <c r="B123" s="83" t="n"/>
      <c r="C123" s="46" t="n"/>
      <c r="D123" s="46" t="n"/>
      <c r="E123" s="91" t="n"/>
      <c r="F123" s="46" t="n"/>
      <c r="G123" s="73" t="n"/>
      <c r="H123" s="46" t="n"/>
      <c r="I123" s="46" t="n"/>
      <c r="J123" s="46" t="n"/>
      <c r="K123" s="46" t="n"/>
      <c r="L123" s="46" t="n"/>
      <c r="M123" s="46" t="n"/>
      <c r="N123" s="46" t="n"/>
      <c r="O123" s="46" t="n"/>
    </row>
    <row r="124" ht="18" customHeight="1">
      <c r="A124" s="83" t="n"/>
      <c r="B124" s="83" t="n"/>
      <c r="C124" s="46" t="n"/>
      <c r="D124" s="46" t="n"/>
      <c r="E124" s="91" t="n"/>
      <c r="F124" s="46" t="n"/>
      <c r="G124" s="73" t="n"/>
      <c r="H124" s="46" t="n"/>
      <c r="I124" s="46" t="n"/>
      <c r="J124" s="46" t="n"/>
      <c r="K124" s="46" t="n"/>
      <c r="L124" s="46" t="n"/>
      <c r="M124" s="46" t="n"/>
      <c r="N124" s="46" t="n"/>
      <c r="O124" s="46" t="n"/>
    </row>
    <row r="125" ht="18" customHeight="1">
      <c r="A125" s="83" t="n"/>
      <c r="B125" s="83" t="n"/>
      <c r="C125" s="46" t="n"/>
      <c r="D125" s="46" t="n"/>
      <c r="E125" s="91" t="n"/>
      <c r="F125" s="46" t="n"/>
      <c r="G125" s="73" t="n"/>
      <c r="H125" s="46" t="n"/>
      <c r="I125" s="46" t="n"/>
      <c r="J125" s="46" t="n"/>
      <c r="K125" s="46" t="n"/>
      <c r="L125" s="46" t="n"/>
      <c r="M125" s="46" t="n"/>
      <c r="N125" s="46" t="n"/>
      <c r="O125" s="46" t="n"/>
    </row>
    <row r="126" ht="18" customHeight="1">
      <c r="A126" s="83" t="n"/>
      <c r="B126" s="83" t="n"/>
      <c r="C126" s="46" t="n"/>
      <c r="D126" s="46" t="n"/>
      <c r="E126" s="91" t="n"/>
      <c r="F126" s="46" t="n"/>
      <c r="G126" s="73" t="n"/>
      <c r="H126" s="46" t="n"/>
      <c r="I126" s="46" t="n"/>
      <c r="J126" s="46" t="n"/>
      <c r="K126" s="46" t="n"/>
      <c r="L126" s="46" t="n"/>
      <c r="M126" s="46" t="n"/>
      <c r="N126" s="46" t="n"/>
      <c r="O126" s="46" t="n"/>
    </row>
    <row r="127" ht="18" customHeight="1">
      <c r="A127" s="83" t="n"/>
      <c r="B127" s="83" t="n"/>
      <c r="C127" s="46" t="n"/>
      <c r="D127" s="46" t="n"/>
      <c r="E127" s="91" t="n"/>
      <c r="F127" s="46" t="n"/>
      <c r="G127" s="73" t="n"/>
      <c r="H127" s="46" t="n"/>
      <c r="I127" s="46" t="n"/>
      <c r="J127" s="46" t="n"/>
      <c r="K127" s="46" t="n"/>
      <c r="L127" s="46" t="n"/>
      <c r="M127" s="46" t="n"/>
      <c r="N127" s="46" t="n"/>
      <c r="O127" s="46" t="n"/>
    </row>
    <row r="128" ht="18" customHeight="1">
      <c r="A128" s="83" t="n"/>
      <c r="B128" s="83" t="n"/>
      <c r="C128" s="46" t="n"/>
      <c r="D128" s="46" t="n"/>
      <c r="E128" s="91" t="n"/>
      <c r="F128" s="46" t="n"/>
      <c r="G128" s="73" t="n"/>
      <c r="H128" s="46" t="n"/>
      <c r="I128" s="46" t="n"/>
      <c r="J128" s="46" t="n"/>
      <c r="K128" s="46" t="n"/>
      <c r="L128" s="46" t="n"/>
      <c r="M128" s="46" t="n"/>
      <c r="N128" s="46" t="n"/>
      <c r="O128" s="46" t="n"/>
    </row>
    <row r="129" ht="18" customHeight="1">
      <c r="A129" s="83" t="n"/>
      <c r="B129" s="83" t="n"/>
      <c r="C129" s="46" t="n"/>
      <c r="D129" s="46" t="n"/>
      <c r="E129" s="91" t="n"/>
      <c r="F129" s="46" t="n"/>
      <c r="G129" s="73" t="n"/>
      <c r="H129" s="46" t="n"/>
      <c r="I129" s="46" t="n"/>
      <c r="J129" s="46" t="n"/>
      <c r="K129" s="46" t="n"/>
      <c r="L129" s="46" t="n"/>
      <c r="M129" s="46" t="n"/>
      <c r="N129" s="46" t="n"/>
      <c r="O129" s="46" t="n"/>
    </row>
    <row r="130" ht="20" customHeight="1">
      <c r="A130" s="31" t="inlineStr">
        <is>
          <t>CONTINGÊNCIA PREVISTA NO ORÇAMENTO  →</t>
        </is>
      </c>
      <c r="B130" s="32" t="n"/>
      <c r="C130" s="92" t="n"/>
      <c r="D130" s="60">
        <f>ROUND(SUM($E$118:$E$129),2)</f>
        <v/>
      </c>
      <c r="E130" s="60">
        <f>ROUND($D$130-IF($C$130="",0,$C$130),2)</f>
        <v/>
      </c>
      <c r="F130" s="32" t="n"/>
      <c r="G130" s="62">
        <f>IF(OR($A$13="",$A$13=0),"",$D$130/$A$13)</f>
        <v/>
      </c>
      <c r="H130" s="93" t="inlineStr">
        <is>
          <t>orçado = a contingência prevista · realizado = a soma acima</t>
        </is>
      </c>
      <c r="I130" s="32" t="n"/>
      <c r="J130" s="32" t="n"/>
      <c r="K130" s="32" t="n"/>
      <c r="L130" s="32" t="n"/>
      <c r="M130" s="32" t="n"/>
      <c r="N130" s="32" t="n"/>
      <c r="O130" s="32" t="n"/>
    </row>
    <row r="131" ht="8" customHeight="1"/>
    <row r="132" ht="20" customHeight="1">
      <c r="A132" s="8" t="inlineStr">
        <is>
          <t xml:space="preserve">  8 · LIVRO DE COMPRAS E DESPESAS DO PROJETO          uma linha por compra, na ordem em que acontecer · pode inserir linhas à vontade aqui</t>
        </is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</row>
    <row r="133" ht="28" customHeight="1">
      <c r="A133" s="19" t="inlineStr">
        <is>
          <t>Descrição / fornecedor</t>
        </is>
      </c>
      <c r="B133" s="19" t="inlineStr">
        <is>
          <t>Categoria</t>
        </is>
      </c>
      <c r="C133" s="35" t="n"/>
      <c r="D133" s="19" t="inlineStr">
        <is>
          <t>Data</t>
        </is>
      </c>
      <c r="E133" s="19" t="inlineStr">
        <is>
          <t>Valor (R$)</t>
        </is>
      </c>
      <c r="F133" s="35" t="n"/>
      <c r="G133" s="19" t="inlineStr">
        <is>
          <t>Forma de pagamento</t>
        </is>
      </c>
      <c r="H133" s="35" t="n"/>
      <c r="I133" s="19" t="inlineStr">
        <is>
          <t>Status</t>
        </is>
      </c>
      <c r="J133" s="35" t="n"/>
      <c r="K133" s="35" t="n"/>
      <c r="L133" s="35" t="n"/>
      <c r="M133" s="35" t="n"/>
      <c r="N133" s="35" t="n"/>
      <c r="O133" s="35" t="n"/>
    </row>
    <row r="134" ht="17" customHeight="1">
      <c r="A134" s="83" t="n"/>
      <c r="B134" s="94" t="n"/>
      <c r="C134" s="46" t="n"/>
      <c r="D134" s="75" t="n"/>
      <c r="E134" s="95" t="n"/>
      <c r="F134" s="46" t="n"/>
      <c r="G134" s="96" t="n"/>
      <c r="H134" s="46" t="n"/>
      <c r="I134" s="97" t="n"/>
      <c r="J134" s="46" t="n"/>
      <c r="K134" s="46" t="n"/>
      <c r="L134" s="46" t="n"/>
      <c r="M134" s="46" t="n"/>
      <c r="N134" s="46" t="n"/>
      <c r="O134" s="46" t="n"/>
    </row>
    <row r="135" ht="17" customHeight="1">
      <c r="A135" s="83" t="n"/>
      <c r="B135" s="94" t="n"/>
      <c r="C135" s="46" t="n"/>
      <c r="D135" s="75" t="n"/>
      <c r="E135" s="95" t="n"/>
      <c r="F135" s="46" t="n"/>
      <c r="G135" s="96" t="n"/>
      <c r="H135" s="46" t="n"/>
      <c r="I135" s="97" t="n"/>
      <c r="J135" s="46" t="n"/>
      <c r="K135" s="46" t="n"/>
      <c r="L135" s="46" t="n"/>
      <c r="M135" s="46" t="n"/>
      <c r="N135" s="46" t="n"/>
      <c r="O135" s="46" t="n"/>
    </row>
    <row r="136" ht="17" customHeight="1">
      <c r="A136" s="83" t="n"/>
      <c r="B136" s="94" t="n"/>
      <c r="C136" s="46" t="n"/>
      <c r="D136" s="75" t="n"/>
      <c r="E136" s="95" t="n"/>
      <c r="F136" s="46" t="n"/>
      <c r="G136" s="96" t="n"/>
      <c r="H136" s="46" t="n"/>
      <c r="I136" s="97" t="n"/>
      <c r="J136" s="46" t="n"/>
      <c r="K136" s="46" t="n"/>
      <c r="L136" s="46" t="n"/>
      <c r="M136" s="46" t="n"/>
      <c r="N136" s="46" t="n"/>
      <c r="O136" s="46" t="n"/>
    </row>
    <row r="137" ht="17" customHeight="1">
      <c r="A137" s="83" t="n"/>
      <c r="B137" s="94" t="n"/>
      <c r="C137" s="46" t="n"/>
      <c r="D137" s="75" t="n"/>
      <c r="E137" s="95" t="n"/>
      <c r="F137" s="46" t="n"/>
      <c r="G137" s="96" t="n"/>
      <c r="H137" s="46" t="n"/>
      <c r="I137" s="97" t="n"/>
      <c r="J137" s="46" t="n"/>
      <c r="K137" s="46" t="n"/>
      <c r="L137" s="46" t="n"/>
      <c r="M137" s="46" t="n"/>
      <c r="N137" s="46" t="n"/>
      <c r="O137" s="46" t="n"/>
    </row>
    <row r="138" ht="17" customHeight="1">
      <c r="A138" s="83" t="n"/>
      <c r="B138" s="94" t="n"/>
      <c r="C138" s="46" t="n"/>
      <c r="D138" s="75" t="n"/>
      <c r="E138" s="95" t="n"/>
      <c r="F138" s="46" t="n"/>
      <c r="G138" s="96" t="n"/>
      <c r="H138" s="46" t="n"/>
      <c r="I138" s="97" t="n"/>
      <c r="J138" s="46" t="n"/>
      <c r="K138" s="46" t="n"/>
      <c r="L138" s="46" t="n"/>
      <c r="M138" s="46" t="n"/>
      <c r="N138" s="46" t="n"/>
      <c r="O138" s="46" t="n"/>
    </row>
    <row r="139" ht="17" customHeight="1">
      <c r="A139" s="83" t="n"/>
      <c r="B139" s="94" t="n"/>
      <c r="C139" s="46" t="n"/>
      <c r="D139" s="75" t="n"/>
      <c r="E139" s="95" t="n"/>
      <c r="F139" s="46" t="n"/>
      <c r="G139" s="96" t="n"/>
      <c r="H139" s="46" t="n"/>
      <c r="I139" s="97" t="n"/>
      <c r="J139" s="46" t="n"/>
      <c r="K139" s="46" t="n"/>
      <c r="L139" s="46" t="n"/>
      <c r="M139" s="46" t="n"/>
      <c r="N139" s="46" t="n"/>
      <c r="O139" s="46" t="n"/>
    </row>
    <row r="140" ht="17" customHeight="1">
      <c r="A140" s="83" t="n"/>
      <c r="B140" s="94" t="n"/>
      <c r="C140" s="46" t="n"/>
      <c r="D140" s="75" t="n"/>
      <c r="E140" s="95" t="n"/>
      <c r="F140" s="46" t="n"/>
      <c r="G140" s="96" t="n"/>
      <c r="H140" s="46" t="n"/>
      <c r="I140" s="97" t="n"/>
      <c r="J140" s="46" t="n"/>
      <c r="K140" s="46" t="n"/>
      <c r="L140" s="46" t="n"/>
      <c r="M140" s="46" t="n"/>
      <c r="N140" s="46" t="n"/>
      <c r="O140" s="46" t="n"/>
    </row>
    <row r="141" ht="17" customHeight="1">
      <c r="A141" s="83" t="n"/>
      <c r="B141" s="94" t="n"/>
      <c r="C141" s="46" t="n"/>
      <c r="D141" s="75" t="n"/>
      <c r="E141" s="95" t="n"/>
      <c r="F141" s="46" t="n"/>
      <c r="G141" s="96" t="n"/>
      <c r="H141" s="46" t="n"/>
      <c r="I141" s="97" t="n"/>
      <c r="J141" s="46" t="n"/>
      <c r="K141" s="46" t="n"/>
      <c r="L141" s="46" t="n"/>
      <c r="M141" s="46" t="n"/>
      <c r="N141" s="46" t="n"/>
      <c r="O141" s="46" t="n"/>
    </row>
    <row r="142" ht="17" customHeight="1">
      <c r="A142" s="83" t="n"/>
      <c r="B142" s="94" t="n"/>
      <c r="C142" s="46" t="n"/>
      <c r="D142" s="75" t="n"/>
      <c r="E142" s="95" t="n"/>
      <c r="F142" s="46" t="n"/>
      <c r="G142" s="96" t="n"/>
      <c r="H142" s="46" t="n"/>
      <c r="I142" s="97" t="n"/>
      <c r="J142" s="46" t="n"/>
      <c r="K142" s="46" t="n"/>
      <c r="L142" s="46" t="n"/>
      <c r="M142" s="46" t="n"/>
      <c r="N142" s="46" t="n"/>
      <c r="O142" s="46" t="n"/>
    </row>
    <row r="143" ht="17" customHeight="1">
      <c r="A143" s="83" t="n"/>
      <c r="B143" s="94" t="n"/>
      <c r="C143" s="46" t="n"/>
      <c r="D143" s="75" t="n"/>
      <c r="E143" s="95" t="n"/>
      <c r="F143" s="46" t="n"/>
      <c r="G143" s="96" t="n"/>
      <c r="H143" s="46" t="n"/>
      <c r="I143" s="97" t="n"/>
      <c r="J143" s="46" t="n"/>
      <c r="K143" s="46" t="n"/>
      <c r="L143" s="46" t="n"/>
      <c r="M143" s="46" t="n"/>
      <c r="N143" s="46" t="n"/>
      <c r="O143" s="46" t="n"/>
    </row>
    <row r="144" ht="17" customHeight="1">
      <c r="A144" s="83" t="n"/>
      <c r="B144" s="94" t="n"/>
      <c r="C144" s="46" t="n"/>
      <c r="D144" s="75" t="n"/>
      <c r="E144" s="95" t="n"/>
      <c r="F144" s="46" t="n"/>
      <c r="G144" s="96" t="n"/>
      <c r="H144" s="46" t="n"/>
      <c r="I144" s="97" t="n"/>
      <c r="J144" s="46" t="n"/>
      <c r="K144" s="46" t="n"/>
      <c r="L144" s="46" t="n"/>
      <c r="M144" s="46" t="n"/>
      <c r="N144" s="46" t="n"/>
      <c r="O144" s="46" t="n"/>
    </row>
    <row r="145" ht="17" customHeight="1">
      <c r="A145" s="83" t="n"/>
      <c r="B145" s="94" t="n"/>
      <c r="C145" s="46" t="n"/>
      <c r="D145" s="75" t="n"/>
      <c r="E145" s="95" t="n"/>
      <c r="F145" s="46" t="n"/>
      <c r="G145" s="96" t="n"/>
      <c r="H145" s="46" t="n"/>
      <c r="I145" s="97" t="n"/>
      <c r="J145" s="46" t="n"/>
      <c r="K145" s="46" t="n"/>
      <c r="L145" s="46" t="n"/>
      <c r="M145" s="46" t="n"/>
      <c r="N145" s="46" t="n"/>
      <c r="O145" s="46" t="n"/>
    </row>
    <row r="146" ht="17" customHeight="1">
      <c r="A146" s="83" t="n"/>
      <c r="B146" s="94" t="n"/>
      <c r="C146" s="46" t="n"/>
      <c r="D146" s="75" t="n"/>
      <c r="E146" s="95" t="n"/>
      <c r="F146" s="46" t="n"/>
      <c r="G146" s="96" t="n"/>
      <c r="H146" s="46" t="n"/>
      <c r="I146" s="97" t="n"/>
      <c r="J146" s="46" t="n"/>
      <c r="K146" s="46" t="n"/>
      <c r="L146" s="46" t="n"/>
      <c r="M146" s="46" t="n"/>
      <c r="N146" s="46" t="n"/>
      <c r="O146" s="46" t="n"/>
    </row>
    <row r="147" ht="17" customHeight="1">
      <c r="A147" s="83" t="n"/>
      <c r="B147" s="94" t="n"/>
      <c r="C147" s="46" t="n"/>
      <c r="D147" s="75" t="n"/>
      <c r="E147" s="95" t="n"/>
      <c r="F147" s="46" t="n"/>
      <c r="G147" s="96" t="n"/>
      <c r="H147" s="46" t="n"/>
      <c r="I147" s="97" t="n"/>
      <c r="J147" s="46" t="n"/>
      <c r="K147" s="46" t="n"/>
      <c r="L147" s="46" t="n"/>
      <c r="M147" s="46" t="n"/>
      <c r="N147" s="46" t="n"/>
      <c r="O147" s="46" t="n"/>
    </row>
    <row r="148" ht="17" customHeight="1">
      <c r="A148" s="83" t="n"/>
      <c r="B148" s="94" t="n"/>
      <c r="C148" s="46" t="n"/>
      <c r="D148" s="75" t="n"/>
      <c r="E148" s="95" t="n"/>
      <c r="F148" s="46" t="n"/>
      <c r="G148" s="96" t="n"/>
      <c r="H148" s="46" t="n"/>
      <c r="I148" s="97" t="n"/>
      <c r="J148" s="46" t="n"/>
      <c r="K148" s="46" t="n"/>
      <c r="L148" s="46" t="n"/>
      <c r="M148" s="46" t="n"/>
      <c r="N148" s="46" t="n"/>
      <c r="O148" s="46" t="n"/>
    </row>
    <row r="149" ht="17" customHeight="1">
      <c r="A149" s="83" t="n"/>
      <c r="B149" s="94" t="n"/>
      <c r="C149" s="46" t="n"/>
      <c r="D149" s="75" t="n"/>
      <c r="E149" s="95" t="n"/>
      <c r="F149" s="46" t="n"/>
      <c r="G149" s="96" t="n"/>
      <c r="H149" s="46" t="n"/>
      <c r="I149" s="97" t="n"/>
      <c r="J149" s="46" t="n"/>
      <c r="K149" s="46" t="n"/>
      <c r="L149" s="46" t="n"/>
      <c r="M149" s="46" t="n"/>
      <c r="N149" s="46" t="n"/>
      <c r="O149" s="46" t="n"/>
    </row>
    <row r="150" ht="17" customHeight="1">
      <c r="A150" s="83" t="n"/>
      <c r="B150" s="94" t="n"/>
      <c r="C150" s="46" t="n"/>
      <c r="D150" s="75" t="n"/>
      <c r="E150" s="95" t="n"/>
      <c r="F150" s="46" t="n"/>
      <c r="G150" s="96" t="n"/>
      <c r="H150" s="46" t="n"/>
      <c r="I150" s="97" t="n"/>
      <c r="J150" s="46" t="n"/>
      <c r="K150" s="46" t="n"/>
      <c r="L150" s="46" t="n"/>
      <c r="M150" s="46" t="n"/>
      <c r="N150" s="46" t="n"/>
      <c r="O150" s="46" t="n"/>
    </row>
    <row r="151" ht="17" customHeight="1">
      <c r="A151" s="83" t="n"/>
      <c r="B151" s="94" t="n"/>
      <c r="C151" s="46" t="n"/>
      <c r="D151" s="75" t="n"/>
      <c r="E151" s="95" t="n"/>
      <c r="F151" s="46" t="n"/>
      <c r="G151" s="96" t="n"/>
      <c r="H151" s="46" t="n"/>
      <c r="I151" s="97" t="n"/>
      <c r="J151" s="46" t="n"/>
      <c r="K151" s="46" t="n"/>
      <c r="L151" s="46" t="n"/>
      <c r="M151" s="46" t="n"/>
      <c r="N151" s="46" t="n"/>
      <c r="O151" s="46" t="n"/>
    </row>
    <row r="152" ht="17" customHeight="1">
      <c r="A152" s="83" t="n"/>
      <c r="B152" s="94" t="n"/>
      <c r="C152" s="46" t="n"/>
      <c r="D152" s="75" t="n"/>
      <c r="E152" s="95" t="n"/>
      <c r="F152" s="46" t="n"/>
      <c r="G152" s="96" t="n"/>
      <c r="H152" s="46" t="n"/>
      <c r="I152" s="97" t="n"/>
      <c r="J152" s="46" t="n"/>
      <c r="K152" s="46" t="n"/>
      <c r="L152" s="46" t="n"/>
      <c r="M152" s="46" t="n"/>
      <c r="N152" s="46" t="n"/>
      <c r="O152" s="46" t="n"/>
    </row>
    <row r="153" ht="17" customHeight="1">
      <c r="A153" s="83" t="n"/>
      <c r="B153" s="94" t="n"/>
      <c r="C153" s="46" t="n"/>
      <c r="D153" s="75" t="n"/>
      <c r="E153" s="95" t="n"/>
      <c r="F153" s="46" t="n"/>
      <c r="G153" s="96" t="n"/>
      <c r="H153" s="46" t="n"/>
      <c r="I153" s="97" t="n"/>
      <c r="J153" s="46" t="n"/>
      <c r="K153" s="46" t="n"/>
      <c r="L153" s="46" t="n"/>
      <c r="M153" s="46" t="n"/>
      <c r="N153" s="46" t="n"/>
      <c r="O153" s="46" t="n"/>
    </row>
    <row r="154" ht="17" customHeight="1">
      <c r="A154" s="83" t="n"/>
      <c r="B154" s="94" t="n"/>
      <c r="C154" s="46" t="n"/>
      <c r="D154" s="75" t="n"/>
      <c r="E154" s="95" t="n"/>
      <c r="F154" s="46" t="n"/>
      <c r="G154" s="96" t="n"/>
      <c r="H154" s="46" t="n"/>
      <c r="I154" s="97" t="n"/>
      <c r="J154" s="46" t="n"/>
      <c r="K154" s="46" t="n"/>
      <c r="L154" s="46" t="n"/>
      <c r="M154" s="46" t="n"/>
      <c r="N154" s="46" t="n"/>
      <c r="O154" s="46" t="n"/>
    </row>
    <row r="155" ht="17" customHeight="1">
      <c r="A155" s="83" t="n"/>
      <c r="B155" s="94" t="n"/>
      <c r="C155" s="46" t="n"/>
      <c r="D155" s="75" t="n"/>
      <c r="E155" s="95" t="n"/>
      <c r="F155" s="46" t="n"/>
      <c r="G155" s="96" t="n"/>
      <c r="H155" s="46" t="n"/>
      <c r="I155" s="97" t="n"/>
      <c r="J155" s="46" t="n"/>
      <c r="K155" s="46" t="n"/>
      <c r="L155" s="46" t="n"/>
      <c r="M155" s="46" t="n"/>
      <c r="N155" s="46" t="n"/>
      <c r="O155" s="46" t="n"/>
    </row>
    <row r="156" ht="17" customHeight="1">
      <c r="A156" s="83" t="n"/>
      <c r="B156" s="94" t="n"/>
      <c r="C156" s="46" t="n"/>
      <c r="D156" s="75" t="n"/>
      <c r="E156" s="95" t="n"/>
      <c r="F156" s="46" t="n"/>
      <c r="G156" s="96" t="n"/>
      <c r="H156" s="46" t="n"/>
      <c r="I156" s="97" t="n"/>
      <c r="J156" s="46" t="n"/>
      <c r="K156" s="46" t="n"/>
      <c r="L156" s="46" t="n"/>
      <c r="M156" s="46" t="n"/>
      <c r="N156" s="46" t="n"/>
      <c r="O156" s="46" t="n"/>
    </row>
    <row r="157" ht="17" customHeight="1">
      <c r="A157" s="83" t="n"/>
      <c r="B157" s="94" t="n"/>
      <c r="C157" s="46" t="n"/>
      <c r="D157" s="75" t="n"/>
      <c r="E157" s="95" t="n"/>
      <c r="F157" s="46" t="n"/>
      <c r="G157" s="96" t="n"/>
      <c r="H157" s="46" t="n"/>
      <c r="I157" s="97" t="n"/>
      <c r="J157" s="46" t="n"/>
      <c r="K157" s="46" t="n"/>
      <c r="L157" s="46" t="n"/>
      <c r="M157" s="46" t="n"/>
      <c r="N157" s="46" t="n"/>
      <c r="O157" s="46" t="n"/>
    </row>
    <row r="158" ht="17" customHeight="1">
      <c r="A158" s="83" t="n"/>
      <c r="B158" s="94" t="n"/>
      <c r="C158" s="46" t="n"/>
      <c r="D158" s="75" t="n"/>
      <c r="E158" s="95" t="n"/>
      <c r="F158" s="46" t="n"/>
      <c r="G158" s="96" t="n"/>
      <c r="H158" s="46" t="n"/>
      <c r="I158" s="97" t="n"/>
      <c r="J158" s="46" t="n"/>
      <c r="K158" s="46" t="n"/>
      <c r="L158" s="46" t="n"/>
      <c r="M158" s="46" t="n"/>
      <c r="N158" s="46" t="n"/>
      <c r="O158" s="46" t="n"/>
    </row>
    <row r="159" ht="17" customHeight="1">
      <c r="A159" s="83" t="n"/>
      <c r="B159" s="94" t="n"/>
      <c r="C159" s="46" t="n"/>
      <c r="D159" s="75" t="n"/>
      <c r="E159" s="95" t="n"/>
      <c r="F159" s="46" t="n"/>
      <c r="G159" s="96" t="n"/>
      <c r="H159" s="46" t="n"/>
      <c r="I159" s="97" t="n"/>
      <c r="J159" s="46" t="n"/>
      <c r="K159" s="46" t="n"/>
      <c r="L159" s="46" t="n"/>
      <c r="M159" s="46" t="n"/>
      <c r="N159" s="46" t="n"/>
      <c r="O159" s="46" t="n"/>
    </row>
    <row r="160" ht="17" customHeight="1">
      <c r="A160" s="83" t="n"/>
      <c r="B160" s="94" t="n"/>
      <c r="C160" s="46" t="n"/>
      <c r="D160" s="75" t="n"/>
      <c r="E160" s="95" t="n"/>
      <c r="F160" s="46" t="n"/>
      <c r="G160" s="96" t="n"/>
      <c r="H160" s="46" t="n"/>
      <c r="I160" s="97" t="n"/>
      <c r="J160" s="46" t="n"/>
      <c r="K160" s="46" t="n"/>
      <c r="L160" s="46" t="n"/>
      <c r="M160" s="46" t="n"/>
      <c r="N160" s="46" t="n"/>
      <c r="O160" s="46" t="n"/>
    </row>
    <row r="161" ht="17" customHeight="1">
      <c r="A161" s="83" t="n"/>
      <c r="B161" s="94" t="n"/>
      <c r="C161" s="46" t="n"/>
      <c r="D161" s="75" t="n"/>
      <c r="E161" s="95" t="n"/>
      <c r="F161" s="46" t="n"/>
      <c r="G161" s="96" t="n"/>
      <c r="H161" s="46" t="n"/>
      <c r="I161" s="97" t="n"/>
      <c r="J161" s="46" t="n"/>
      <c r="K161" s="46" t="n"/>
      <c r="L161" s="46" t="n"/>
      <c r="M161" s="46" t="n"/>
      <c r="N161" s="46" t="n"/>
      <c r="O161" s="46" t="n"/>
    </row>
    <row r="162" ht="17" customHeight="1">
      <c r="A162" s="83" t="n"/>
      <c r="B162" s="94" t="n"/>
      <c r="C162" s="46" t="n"/>
      <c r="D162" s="75" t="n"/>
      <c r="E162" s="95" t="n"/>
      <c r="F162" s="46" t="n"/>
      <c r="G162" s="96" t="n"/>
      <c r="H162" s="46" t="n"/>
      <c r="I162" s="97" t="n"/>
      <c r="J162" s="46" t="n"/>
      <c r="K162" s="46" t="n"/>
      <c r="L162" s="46" t="n"/>
      <c r="M162" s="46" t="n"/>
      <c r="N162" s="46" t="n"/>
      <c r="O162" s="46" t="n"/>
    </row>
    <row r="163" ht="17" customHeight="1">
      <c r="A163" s="83" t="n"/>
      <c r="B163" s="94" t="n"/>
      <c r="C163" s="46" t="n"/>
      <c r="D163" s="75" t="n"/>
      <c r="E163" s="95" t="n"/>
      <c r="F163" s="46" t="n"/>
      <c r="G163" s="96" t="n"/>
      <c r="H163" s="46" t="n"/>
      <c r="I163" s="97" t="n"/>
      <c r="J163" s="46" t="n"/>
      <c r="K163" s="46" t="n"/>
      <c r="L163" s="46" t="n"/>
      <c r="M163" s="46" t="n"/>
      <c r="N163" s="46" t="n"/>
      <c r="O163" s="46" t="n"/>
    </row>
    <row r="164" ht="17" customHeight="1">
      <c r="A164" s="83" t="n"/>
      <c r="B164" s="94" t="n"/>
      <c r="C164" s="46" t="n"/>
      <c r="D164" s="75" t="n"/>
      <c r="E164" s="95" t="n"/>
      <c r="F164" s="46" t="n"/>
      <c r="G164" s="96" t="n"/>
      <c r="H164" s="46" t="n"/>
      <c r="I164" s="97" t="n"/>
      <c r="J164" s="46" t="n"/>
      <c r="K164" s="46" t="n"/>
      <c r="L164" s="46" t="n"/>
      <c r="M164" s="46" t="n"/>
      <c r="N164" s="46" t="n"/>
      <c r="O164" s="46" t="n"/>
    </row>
    <row r="165" ht="17" customHeight="1">
      <c r="A165" s="83" t="n"/>
      <c r="B165" s="94" t="n"/>
      <c r="C165" s="46" t="n"/>
      <c r="D165" s="75" t="n"/>
      <c r="E165" s="95" t="n"/>
      <c r="F165" s="46" t="n"/>
      <c r="G165" s="96" t="n"/>
      <c r="H165" s="46" t="n"/>
      <c r="I165" s="97" t="n"/>
      <c r="J165" s="46" t="n"/>
      <c r="K165" s="46" t="n"/>
      <c r="L165" s="46" t="n"/>
      <c r="M165" s="46" t="n"/>
      <c r="N165" s="46" t="n"/>
      <c r="O165" s="46" t="n"/>
    </row>
    <row r="166" ht="17" customHeight="1">
      <c r="A166" s="83" t="n"/>
      <c r="B166" s="94" t="n"/>
      <c r="C166" s="46" t="n"/>
      <c r="D166" s="75" t="n"/>
      <c r="E166" s="95" t="n"/>
      <c r="F166" s="46" t="n"/>
      <c r="G166" s="96" t="n"/>
      <c r="H166" s="46" t="n"/>
      <c r="I166" s="97" t="n"/>
      <c r="J166" s="46" t="n"/>
      <c r="K166" s="46" t="n"/>
      <c r="L166" s="46" t="n"/>
      <c r="M166" s="46" t="n"/>
      <c r="N166" s="46" t="n"/>
      <c r="O166" s="46" t="n"/>
    </row>
    <row r="167" ht="17" customHeight="1">
      <c r="A167" s="83" t="n"/>
      <c r="B167" s="94" t="n"/>
      <c r="C167" s="46" t="n"/>
      <c r="D167" s="75" t="n"/>
      <c r="E167" s="95" t="n"/>
      <c r="F167" s="46" t="n"/>
      <c r="G167" s="96" t="n"/>
      <c r="H167" s="46" t="n"/>
      <c r="I167" s="97" t="n"/>
      <c r="J167" s="46" t="n"/>
      <c r="K167" s="46" t="n"/>
      <c r="L167" s="46" t="n"/>
      <c r="M167" s="46" t="n"/>
      <c r="N167" s="46" t="n"/>
      <c r="O167" s="46" t="n"/>
    </row>
    <row r="168" ht="17" customHeight="1">
      <c r="A168" s="83" t="n"/>
      <c r="B168" s="94" t="n"/>
      <c r="C168" s="46" t="n"/>
      <c r="D168" s="75" t="n"/>
      <c r="E168" s="95" t="n"/>
      <c r="F168" s="46" t="n"/>
      <c r="G168" s="96" t="n"/>
      <c r="H168" s="46" t="n"/>
      <c r="I168" s="97" t="n"/>
      <c r="J168" s="46" t="n"/>
      <c r="K168" s="46" t="n"/>
      <c r="L168" s="46" t="n"/>
      <c r="M168" s="46" t="n"/>
      <c r="N168" s="46" t="n"/>
      <c r="O168" s="46" t="n"/>
    </row>
    <row r="169" ht="17" customHeight="1">
      <c r="A169" s="83" t="n"/>
      <c r="B169" s="94" t="n"/>
      <c r="C169" s="46" t="n"/>
      <c r="D169" s="75" t="n"/>
      <c r="E169" s="95" t="n"/>
      <c r="F169" s="46" t="n"/>
      <c r="G169" s="96" t="n"/>
      <c r="H169" s="46" t="n"/>
      <c r="I169" s="97" t="n"/>
      <c r="J169" s="46" t="n"/>
      <c r="K169" s="46" t="n"/>
      <c r="L169" s="46" t="n"/>
      <c r="M169" s="46" t="n"/>
      <c r="N169" s="46" t="n"/>
      <c r="O169" s="46" t="n"/>
    </row>
    <row r="170" ht="17" customHeight="1">
      <c r="A170" s="83" t="n"/>
      <c r="B170" s="94" t="n"/>
      <c r="C170" s="46" t="n"/>
      <c r="D170" s="75" t="n"/>
      <c r="E170" s="95" t="n"/>
      <c r="F170" s="46" t="n"/>
      <c r="G170" s="96" t="n"/>
      <c r="H170" s="46" t="n"/>
      <c r="I170" s="97" t="n"/>
      <c r="J170" s="46" t="n"/>
      <c r="K170" s="46" t="n"/>
      <c r="L170" s="46" t="n"/>
      <c r="M170" s="46" t="n"/>
      <c r="N170" s="46" t="n"/>
      <c r="O170" s="46" t="n"/>
    </row>
    <row r="171" ht="17" customHeight="1">
      <c r="A171" s="83" t="n"/>
      <c r="B171" s="94" t="n"/>
      <c r="C171" s="46" t="n"/>
      <c r="D171" s="75" t="n"/>
      <c r="E171" s="95" t="n"/>
      <c r="F171" s="46" t="n"/>
      <c r="G171" s="96" t="n"/>
      <c r="H171" s="46" t="n"/>
      <c r="I171" s="97" t="n"/>
      <c r="J171" s="46" t="n"/>
      <c r="K171" s="46" t="n"/>
      <c r="L171" s="46" t="n"/>
      <c r="M171" s="46" t="n"/>
      <c r="N171" s="46" t="n"/>
      <c r="O171" s="46" t="n"/>
    </row>
    <row r="172" ht="17" customHeight="1">
      <c r="A172" s="83" t="n"/>
      <c r="B172" s="94" t="n"/>
      <c r="C172" s="46" t="n"/>
      <c r="D172" s="75" t="n"/>
      <c r="E172" s="95" t="n"/>
      <c r="F172" s="46" t="n"/>
      <c r="G172" s="96" t="n"/>
      <c r="H172" s="46" t="n"/>
      <c r="I172" s="97" t="n"/>
      <c r="J172" s="46" t="n"/>
      <c r="K172" s="46" t="n"/>
      <c r="L172" s="46" t="n"/>
      <c r="M172" s="46" t="n"/>
      <c r="N172" s="46" t="n"/>
      <c r="O172" s="46" t="n"/>
    </row>
    <row r="173" ht="17" customHeight="1">
      <c r="A173" s="83" t="n"/>
      <c r="B173" s="94" t="n"/>
      <c r="C173" s="46" t="n"/>
      <c r="D173" s="75" t="n"/>
      <c r="E173" s="95" t="n"/>
      <c r="F173" s="46" t="n"/>
      <c r="G173" s="96" t="n"/>
      <c r="H173" s="46" t="n"/>
      <c r="I173" s="97" t="n"/>
      <c r="J173" s="46" t="n"/>
      <c r="K173" s="46" t="n"/>
      <c r="L173" s="46" t="n"/>
      <c r="M173" s="46" t="n"/>
      <c r="N173" s="46" t="n"/>
      <c r="O173" s="46" t="n"/>
    </row>
    <row r="174" ht="17" customHeight="1">
      <c r="A174" s="83" t="n"/>
      <c r="B174" s="94" t="n"/>
      <c r="C174" s="46" t="n"/>
      <c r="D174" s="75" t="n"/>
      <c r="E174" s="95" t="n"/>
      <c r="F174" s="46" t="n"/>
      <c r="G174" s="96" t="n"/>
      <c r="H174" s="46" t="n"/>
      <c r="I174" s="97" t="n"/>
      <c r="J174" s="46" t="n"/>
      <c r="K174" s="46" t="n"/>
      <c r="L174" s="46" t="n"/>
      <c r="M174" s="46" t="n"/>
      <c r="N174" s="46" t="n"/>
      <c r="O174" s="46" t="n"/>
    </row>
    <row r="175" ht="17" customHeight="1">
      <c r="A175" s="83" t="n"/>
      <c r="B175" s="94" t="n"/>
      <c r="C175" s="46" t="n"/>
      <c r="D175" s="75" t="n"/>
      <c r="E175" s="95" t="n"/>
      <c r="F175" s="46" t="n"/>
      <c r="G175" s="96" t="n"/>
      <c r="H175" s="46" t="n"/>
      <c r="I175" s="97" t="n"/>
      <c r="J175" s="46" t="n"/>
      <c r="K175" s="46" t="n"/>
      <c r="L175" s="46" t="n"/>
      <c r="M175" s="46" t="n"/>
      <c r="N175" s="46" t="n"/>
      <c r="O175" s="46" t="n"/>
    </row>
    <row r="176" ht="17" customHeight="1">
      <c r="A176" s="83" t="n"/>
      <c r="B176" s="94" t="n"/>
      <c r="C176" s="46" t="n"/>
      <c r="D176" s="75" t="n"/>
      <c r="E176" s="95" t="n"/>
      <c r="F176" s="46" t="n"/>
      <c r="G176" s="96" t="n"/>
      <c r="H176" s="46" t="n"/>
      <c r="I176" s="97" t="n"/>
      <c r="J176" s="46" t="n"/>
      <c r="K176" s="46" t="n"/>
      <c r="L176" s="46" t="n"/>
      <c r="M176" s="46" t="n"/>
      <c r="N176" s="46" t="n"/>
      <c r="O176" s="46" t="n"/>
    </row>
    <row r="177" ht="17" customHeight="1">
      <c r="A177" s="83" t="n"/>
      <c r="B177" s="94" t="n"/>
      <c r="C177" s="46" t="n"/>
      <c r="D177" s="75" t="n"/>
      <c r="E177" s="95" t="n"/>
      <c r="F177" s="46" t="n"/>
      <c r="G177" s="96" t="n"/>
      <c r="H177" s="46" t="n"/>
      <c r="I177" s="97" t="n"/>
      <c r="J177" s="46" t="n"/>
      <c r="K177" s="46" t="n"/>
      <c r="L177" s="46" t="n"/>
      <c r="M177" s="46" t="n"/>
      <c r="N177" s="46" t="n"/>
      <c r="O177" s="46" t="n"/>
    </row>
    <row r="178" ht="17" customHeight="1">
      <c r="A178" s="83" t="n"/>
      <c r="B178" s="94" t="n"/>
      <c r="C178" s="46" t="n"/>
      <c r="D178" s="75" t="n"/>
      <c r="E178" s="95" t="n"/>
      <c r="F178" s="46" t="n"/>
      <c r="G178" s="96" t="n"/>
      <c r="H178" s="46" t="n"/>
      <c r="I178" s="97" t="n"/>
      <c r="J178" s="46" t="n"/>
      <c r="K178" s="46" t="n"/>
      <c r="L178" s="46" t="n"/>
      <c r="M178" s="46" t="n"/>
      <c r="N178" s="46" t="n"/>
      <c r="O178" s="46" t="n"/>
    </row>
    <row r="179" ht="17" customHeight="1">
      <c r="A179" s="83" t="n"/>
      <c r="B179" s="94" t="n"/>
      <c r="C179" s="46" t="n"/>
      <c r="D179" s="75" t="n"/>
      <c r="E179" s="95" t="n"/>
      <c r="F179" s="46" t="n"/>
      <c r="G179" s="96" t="n"/>
      <c r="H179" s="46" t="n"/>
      <c r="I179" s="97" t="n"/>
      <c r="J179" s="46" t="n"/>
      <c r="K179" s="46" t="n"/>
      <c r="L179" s="46" t="n"/>
      <c r="M179" s="46" t="n"/>
      <c r="N179" s="46" t="n"/>
      <c r="O179" s="46" t="n"/>
    </row>
    <row r="180" ht="17" customHeight="1">
      <c r="A180" s="83" t="n"/>
      <c r="B180" s="94" t="n"/>
      <c r="C180" s="46" t="n"/>
      <c r="D180" s="75" t="n"/>
      <c r="E180" s="95" t="n"/>
      <c r="F180" s="46" t="n"/>
      <c r="G180" s="96" t="n"/>
      <c r="H180" s="46" t="n"/>
      <c r="I180" s="97" t="n"/>
      <c r="J180" s="46" t="n"/>
      <c r="K180" s="46" t="n"/>
      <c r="L180" s="46" t="n"/>
      <c r="M180" s="46" t="n"/>
      <c r="N180" s="46" t="n"/>
      <c r="O180" s="46" t="n"/>
    </row>
    <row r="181" ht="17" customHeight="1">
      <c r="A181" s="83" t="n"/>
      <c r="B181" s="94" t="n"/>
      <c r="C181" s="46" t="n"/>
      <c r="D181" s="75" t="n"/>
      <c r="E181" s="95" t="n"/>
      <c r="F181" s="46" t="n"/>
      <c r="G181" s="96" t="n"/>
      <c r="H181" s="46" t="n"/>
      <c r="I181" s="97" t="n"/>
      <c r="J181" s="46" t="n"/>
      <c r="K181" s="46" t="n"/>
      <c r="L181" s="46" t="n"/>
      <c r="M181" s="46" t="n"/>
      <c r="N181" s="46" t="n"/>
      <c r="O181" s="46" t="n"/>
    </row>
    <row r="182" ht="17" customHeight="1">
      <c r="A182" s="83" t="n"/>
      <c r="B182" s="94" t="n"/>
      <c r="C182" s="46" t="n"/>
      <c r="D182" s="75" t="n"/>
      <c r="E182" s="95" t="n"/>
      <c r="F182" s="46" t="n"/>
      <c r="G182" s="96" t="n"/>
      <c r="H182" s="46" t="n"/>
      <c r="I182" s="97" t="n"/>
      <c r="J182" s="46" t="n"/>
      <c r="K182" s="46" t="n"/>
      <c r="L182" s="46" t="n"/>
      <c r="M182" s="46" t="n"/>
      <c r="N182" s="46" t="n"/>
      <c r="O182" s="46" t="n"/>
    </row>
    <row r="183" ht="17" customHeight="1">
      <c r="A183" s="83" t="n"/>
      <c r="B183" s="94" t="n"/>
      <c r="C183" s="46" t="n"/>
      <c r="D183" s="75" t="n"/>
      <c r="E183" s="95" t="n"/>
      <c r="F183" s="46" t="n"/>
      <c r="G183" s="96" t="n"/>
      <c r="H183" s="46" t="n"/>
      <c r="I183" s="97" t="n"/>
      <c r="J183" s="46" t="n"/>
      <c r="K183" s="46" t="n"/>
      <c r="L183" s="46" t="n"/>
      <c r="M183" s="46" t="n"/>
      <c r="N183" s="46" t="n"/>
      <c r="O183" s="46" t="n"/>
    </row>
    <row r="184" ht="17" customHeight="1">
      <c r="A184" s="83" t="n"/>
      <c r="B184" s="94" t="n"/>
      <c r="C184" s="46" t="n"/>
      <c r="D184" s="75" t="n"/>
      <c r="E184" s="95" t="n"/>
      <c r="F184" s="46" t="n"/>
      <c r="G184" s="96" t="n"/>
      <c r="H184" s="46" t="n"/>
      <c r="I184" s="97" t="n"/>
      <c r="J184" s="46" t="n"/>
      <c r="K184" s="46" t="n"/>
      <c r="L184" s="46" t="n"/>
      <c r="M184" s="46" t="n"/>
      <c r="N184" s="46" t="n"/>
      <c r="O184" s="46" t="n"/>
    </row>
    <row r="185" ht="17" customHeight="1">
      <c r="A185" s="83" t="n"/>
      <c r="B185" s="94" t="n"/>
      <c r="C185" s="46" t="n"/>
      <c r="D185" s="75" t="n"/>
      <c r="E185" s="95" t="n"/>
      <c r="F185" s="46" t="n"/>
      <c r="G185" s="96" t="n"/>
      <c r="H185" s="46" t="n"/>
      <c r="I185" s="97" t="n"/>
      <c r="J185" s="46" t="n"/>
      <c r="K185" s="46" t="n"/>
      <c r="L185" s="46" t="n"/>
      <c r="M185" s="46" t="n"/>
      <c r="N185" s="46" t="n"/>
      <c r="O185" s="46" t="n"/>
    </row>
    <row r="186" ht="17" customHeight="1">
      <c r="A186" s="83" t="n"/>
      <c r="B186" s="94" t="n"/>
      <c r="C186" s="46" t="n"/>
      <c r="D186" s="75" t="n"/>
      <c r="E186" s="95" t="n"/>
      <c r="F186" s="46" t="n"/>
      <c r="G186" s="96" t="n"/>
      <c r="H186" s="46" t="n"/>
      <c r="I186" s="97" t="n"/>
      <c r="J186" s="46" t="n"/>
      <c r="K186" s="46" t="n"/>
      <c r="L186" s="46" t="n"/>
      <c r="M186" s="46" t="n"/>
      <c r="N186" s="46" t="n"/>
      <c r="O186" s="46" t="n"/>
    </row>
    <row r="187" ht="17" customHeight="1">
      <c r="A187" s="83" t="n"/>
      <c r="B187" s="94" t="n"/>
      <c r="C187" s="46" t="n"/>
      <c r="D187" s="75" t="n"/>
      <c r="E187" s="95" t="n"/>
      <c r="F187" s="46" t="n"/>
      <c r="G187" s="96" t="n"/>
      <c r="H187" s="46" t="n"/>
      <c r="I187" s="97" t="n"/>
      <c r="J187" s="46" t="n"/>
      <c r="K187" s="46" t="n"/>
      <c r="L187" s="46" t="n"/>
      <c r="M187" s="46" t="n"/>
      <c r="N187" s="46" t="n"/>
      <c r="O187" s="46" t="n"/>
    </row>
    <row r="188" ht="17" customHeight="1">
      <c r="A188" s="83" t="n"/>
      <c r="B188" s="94" t="n"/>
      <c r="C188" s="46" t="n"/>
      <c r="D188" s="75" t="n"/>
      <c r="E188" s="95" t="n"/>
      <c r="F188" s="46" t="n"/>
      <c r="G188" s="96" t="n"/>
      <c r="H188" s="46" t="n"/>
      <c r="I188" s="97" t="n"/>
      <c r="J188" s="46" t="n"/>
      <c r="K188" s="46" t="n"/>
      <c r="L188" s="46" t="n"/>
      <c r="M188" s="46" t="n"/>
      <c r="N188" s="46" t="n"/>
      <c r="O188" s="46" t="n"/>
    </row>
    <row r="189" ht="17" customHeight="1">
      <c r="A189" s="83" t="n"/>
      <c r="B189" s="94" t="n"/>
      <c r="C189" s="46" t="n"/>
      <c r="D189" s="75" t="n"/>
      <c r="E189" s="95" t="n"/>
      <c r="F189" s="46" t="n"/>
      <c r="G189" s="96" t="n"/>
      <c r="H189" s="46" t="n"/>
      <c r="I189" s="97" t="n"/>
      <c r="J189" s="46" t="n"/>
      <c r="K189" s="46" t="n"/>
      <c r="L189" s="46" t="n"/>
      <c r="M189" s="46" t="n"/>
      <c r="N189" s="46" t="n"/>
      <c r="O189" s="46" t="n"/>
    </row>
    <row r="190" ht="17" customHeight="1">
      <c r="A190" s="83" t="n"/>
      <c r="B190" s="94" t="n"/>
      <c r="C190" s="46" t="n"/>
      <c r="D190" s="75" t="n"/>
      <c r="E190" s="95" t="n"/>
      <c r="F190" s="46" t="n"/>
      <c r="G190" s="96" t="n"/>
      <c r="H190" s="46" t="n"/>
      <c r="I190" s="97" t="n"/>
      <c r="J190" s="46" t="n"/>
      <c r="K190" s="46" t="n"/>
      <c r="L190" s="46" t="n"/>
      <c r="M190" s="46" t="n"/>
      <c r="N190" s="46" t="n"/>
      <c r="O190" s="46" t="n"/>
    </row>
    <row r="191" ht="17" customHeight="1">
      <c r="A191" s="83" t="n"/>
      <c r="B191" s="94" t="n"/>
      <c r="C191" s="46" t="n"/>
      <c r="D191" s="75" t="n"/>
      <c r="E191" s="95" t="n"/>
      <c r="F191" s="46" t="n"/>
      <c r="G191" s="96" t="n"/>
      <c r="H191" s="46" t="n"/>
      <c r="I191" s="97" t="n"/>
      <c r="J191" s="46" t="n"/>
      <c r="K191" s="46" t="n"/>
      <c r="L191" s="46" t="n"/>
      <c r="M191" s="46" t="n"/>
      <c r="N191" s="46" t="n"/>
      <c r="O191" s="46" t="n"/>
    </row>
    <row r="192" ht="17" customHeight="1">
      <c r="A192" s="83" t="n"/>
      <c r="B192" s="94" t="n"/>
      <c r="C192" s="46" t="n"/>
      <c r="D192" s="75" t="n"/>
      <c r="E192" s="95" t="n"/>
      <c r="F192" s="46" t="n"/>
      <c r="G192" s="96" t="n"/>
      <c r="H192" s="46" t="n"/>
      <c r="I192" s="97" t="n"/>
      <c r="J192" s="46" t="n"/>
      <c r="K192" s="46" t="n"/>
      <c r="L192" s="46" t="n"/>
      <c r="M192" s="46" t="n"/>
      <c r="N192" s="46" t="n"/>
      <c r="O192" s="46" t="n"/>
    </row>
    <row r="193" ht="17" customHeight="1">
      <c r="A193" s="83" t="n"/>
      <c r="B193" s="94" t="n"/>
      <c r="C193" s="46" t="n"/>
      <c r="D193" s="75" t="n"/>
      <c r="E193" s="95" t="n"/>
      <c r="F193" s="46" t="n"/>
      <c r="G193" s="96" t="n"/>
      <c r="H193" s="46" t="n"/>
      <c r="I193" s="97" t="n"/>
      <c r="J193" s="46" t="n"/>
      <c r="K193" s="46" t="n"/>
      <c r="L193" s="46" t="n"/>
      <c r="M193" s="46" t="n"/>
      <c r="N193" s="46" t="n"/>
      <c r="O193" s="46" t="n"/>
    </row>
    <row r="194" ht="22" customHeight="1">
      <c r="A194" s="31" t="inlineStr">
        <is>
          <t>TOTAL LANÇADO NO LIVRO</t>
        </is>
      </c>
      <c r="B194" s="32" t="n"/>
      <c r="C194" s="32" t="n"/>
      <c r="D194" s="32" t="n"/>
      <c r="E194" s="59">
        <f>ROUND(SUM($E$134:$E$193),2)</f>
        <v/>
      </c>
      <c r="F194" s="32" t="n"/>
      <c r="G194" s="98">
        <f>IF(COUNTA($B$134:$B$193)=COUNT($E$134:$E$193),"lançamentos: "&amp;COUNT($E$134:$E$193)&amp;" · todos classificados","ATENÇÃO: "&amp;(COUNT($E$134:$E$193)-COUNTA($B$134:$B$193))&amp;" lançamento(s) sem categoria")</f>
        <v/>
      </c>
      <c r="H194" s="32" t="n"/>
      <c r="I194" s="32" t="n"/>
      <c r="J194" s="32" t="n"/>
      <c r="K194" s="32" t="n"/>
      <c r="L194" s="32" t="n"/>
      <c r="M194" s="32" t="n"/>
      <c r="N194" s="32" t="n"/>
      <c r="O194" s="32" t="n"/>
    </row>
    <row r="196" ht="50" customHeight="1">
      <c r="A196" s="43" t="inlineStr">
        <is>
          <t xml:space="preserve">  Preencha primeiro a coluna ORÇADO com o que o orçamento previu e vá preenchendo o REALIZADO conforme o projeto anda — o desvio de cada linha é o que mostra onde o orçamento erra. Compras entram uma a uma no livro do bloco 8, com categoria, forma de pagamento e status; as categorias do bloco 6 se somam sozinhas. Você pode inserir linhas em qualquer bloco a partir da linha 26: tudo o que o Painel Geral lê está acima disso.</t>
        </is>
      </c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</row>
  </sheetData>
  <mergeCells count="561">
    <mergeCell ref="A196:O196"/>
    <mergeCell ref="I170:O170"/>
    <mergeCell ref="A15:B15"/>
    <mergeCell ref="I157:O157"/>
    <mergeCell ref="G128:O128"/>
    <mergeCell ref="B141:C141"/>
    <mergeCell ref="E142:F142"/>
    <mergeCell ref="I193:O193"/>
    <mergeCell ref="I172:O172"/>
    <mergeCell ref="H9:I9"/>
    <mergeCell ref="J76:M76"/>
    <mergeCell ref="G121:O121"/>
    <mergeCell ref="E171:F171"/>
    <mergeCell ref="G123:O123"/>
    <mergeCell ref="E137:F137"/>
    <mergeCell ref="G137:H137"/>
    <mergeCell ref="E173:F173"/>
    <mergeCell ref="H70:O70"/>
    <mergeCell ref="E148:F148"/>
    <mergeCell ref="G148:H148"/>
    <mergeCell ref="B78:C78"/>
    <mergeCell ref="D7:E7"/>
    <mergeCell ref="I183:O183"/>
    <mergeCell ref="D78:E78"/>
    <mergeCell ref="E166:F166"/>
    <mergeCell ref="G139:H139"/>
    <mergeCell ref="I175:O175"/>
    <mergeCell ref="H99:O99"/>
    <mergeCell ref="A34:C34"/>
    <mergeCell ref="I185:O185"/>
    <mergeCell ref="E168:F168"/>
    <mergeCell ref="G168:H168"/>
    <mergeCell ref="H87:I87"/>
    <mergeCell ref="H101:O101"/>
    <mergeCell ref="G143:H143"/>
    <mergeCell ref="D73:E73"/>
    <mergeCell ref="I176:O176"/>
    <mergeCell ref="J9:O9"/>
    <mergeCell ref="B154:C154"/>
    <mergeCell ref="H91:I91"/>
    <mergeCell ref="E117:F117"/>
    <mergeCell ref="A24:H24"/>
    <mergeCell ref="B156:C156"/>
    <mergeCell ref="E67:F67"/>
    <mergeCell ref="A103:B103"/>
    <mergeCell ref="H112:O112"/>
    <mergeCell ref="I138:O138"/>
    <mergeCell ref="I178:O178"/>
    <mergeCell ref="H114:O114"/>
    <mergeCell ref="E161:F161"/>
    <mergeCell ref="J73:M73"/>
    <mergeCell ref="G129:O129"/>
    <mergeCell ref="A72:O72"/>
    <mergeCell ref="J77:M77"/>
    <mergeCell ref="H75:I75"/>
    <mergeCell ref="B84:C84"/>
    <mergeCell ref="E110:F110"/>
    <mergeCell ref="H105:O105"/>
    <mergeCell ref="E16:F16"/>
    <mergeCell ref="E187:F187"/>
    <mergeCell ref="G138:H138"/>
    <mergeCell ref="B142:C142"/>
    <mergeCell ref="B80:C80"/>
    <mergeCell ref="E174:F174"/>
    <mergeCell ref="H15:O15"/>
    <mergeCell ref="H107:O107"/>
    <mergeCell ref="G126:O126"/>
    <mergeCell ref="B79:C79"/>
    <mergeCell ref="E18:F18"/>
    <mergeCell ref="D79:E79"/>
    <mergeCell ref="E189:F189"/>
    <mergeCell ref="G140:H140"/>
    <mergeCell ref="B144:C144"/>
    <mergeCell ref="F73:G73"/>
    <mergeCell ref="B81:C81"/>
    <mergeCell ref="D81:E81"/>
    <mergeCell ref="I191:O191"/>
    <mergeCell ref="H102:O102"/>
    <mergeCell ref="E29:F29"/>
    <mergeCell ref="H39:O39"/>
    <mergeCell ref="I192:O192"/>
    <mergeCell ref="E69:F69"/>
    <mergeCell ref="B170:C170"/>
    <mergeCell ref="E31:F31"/>
    <mergeCell ref="E158:F158"/>
    <mergeCell ref="E133:F133"/>
    <mergeCell ref="E108:F108"/>
    <mergeCell ref="G133:H133"/>
    <mergeCell ref="B172:C172"/>
    <mergeCell ref="E95:F95"/>
    <mergeCell ref="H28:O28"/>
    <mergeCell ref="E162:F162"/>
    <mergeCell ref="G135:H135"/>
    <mergeCell ref="B92:C92"/>
    <mergeCell ref="J74:M74"/>
    <mergeCell ref="D92:E92"/>
    <mergeCell ref="I146:O146"/>
    <mergeCell ref="F92:G92"/>
    <mergeCell ref="G153:H153"/>
    <mergeCell ref="A36:O36"/>
    <mergeCell ref="A11:O11"/>
    <mergeCell ref="B76:C76"/>
    <mergeCell ref="I181:O181"/>
    <mergeCell ref="A1:O1"/>
    <mergeCell ref="I12:O12"/>
    <mergeCell ref="E164:F164"/>
    <mergeCell ref="G164:H164"/>
    <mergeCell ref="H23:O23"/>
    <mergeCell ref="B150:C150"/>
    <mergeCell ref="E42:F42"/>
    <mergeCell ref="E17:F17"/>
    <mergeCell ref="E188:F188"/>
    <mergeCell ref="E126:F126"/>
    <mergeCell ref="B152:C152"/>
    <mergeCell ref="E180:F180"/>
    <mergeCell ref="J92:M92"/>
    <mergeCell ref="E19:F19"/>
    <mergeCell ref="E190:F190"/>
    <mergeCell ref="B145:C145"/>
    <mergeCell ref="G190:H190"/>
    <mergeCell ref="G146:H146"/>
    <mergeCell ref="B181:C181"/>
    <mergeCell ref="E182:F182"/>
    <mergeCell ref="A4:O4"/>
    <mergeCell ref="F10:O10"/>
    <mergeCell ref="H110:O110"/>
    <mergeCell ref="B87:C87"/>
    <mergeCell ref="I136:O136"/>
    <mergeCell ref="B147:C147"/>
    <mergeCell ref="D87:E87"/>
    <mergeCell ref="J87:M87"/>
    <mergeCell ref="E179:F179"/>
    <mergeCell ref="J89:M89"/>
    <mergeCell ref="D82:E82"/>
    <mergeCell ref="F82:G82"/>
    <mergeCell ref="G194:O194"/>
    <mergeCell ref="E37:F37"/>
    <mergeCell ref="E159:F159"/>
    <mergeCell ref="E97:F97"/>
    <mergeCell ref="G159:H159"/>
    <mergeCell ref="B163:C163"/>
    <mergeCell ref="H8:I8"/>
    <mergeCell ref="E109:F109"/>
    <mergeCell ref="H30:O30"/>
    <mergeCell ref="E145:F145"/>
    <mergeCell ref="E139:F139"/>
    <mergeCell ref="G161:H161"/>
    <mergeCell ref="B165:C165"/>
    <mergeCell ref="H29:O29"/>
    <mergeCell ref="E111:F111"/>
    <mergeCell ref="G136:H136"/>
    <mergeCell ref="A70:B70"/>
    <mergeCell ref="H44:O44"/>
    <mergeCell ref="H31:O31"/>
    <mergeCell ref="B77:C77"/>
    <mergeCell ref="D6:E6"/>
    <mergeCell ref="D77:E77"/>
    <mergeCell ref="I149:O149"/>
    <mergeCell ref="J82:M82"/>
    <mergeCell ref="H89:I89"/>
    <mergeCell ref="I151:O151"/>
    <mergeCell ref="B191:C191"/>
    <mergeCell ref="B178:C178"/>
    <mergeCell ref="E27:F27"/>
    <mergeCell ref="I144:O144"/>
    <mergeCell ref="E119:F119"/>
    <mergeCell ref="E183:F183"/>
    <mergeCell ref="G183:H183"/>
    <mergeCell ref="A6:C6"/>
    <mergeCell ref="E22:F22"/>
    <mergeCell ref="H42:O42"/>
    <mergeCell ref="E193:F193"/>
    <mergeCell ref="G193:H193"/>
    <mergeCell ref="D88:E88"/>
    <mergeCell ref="G149:H149"/>
    <mergeCell ref="F88:G88"/>
    <mergeCell ref="I177:O177"/>
    <mergeCell ref="G185:H185"/>
    <mergeCell ref="B90:C90"/>
    <mergeCell ref="D90:E90"/>
    <mergeCell ref="E122:F122"/>
    <mergeCell ref="G151:H151"/>
    <mergeCell ref="A45:B45"/>
    <mergeCell ref="G178:H178"/>
    <mergeCell ref="F6:G6"/>
    <mergeCell ref="J90:M90"/>
    <mergeCell ref="F83:G83"/>
    <mergeCell ref="H83:I83"/>
    <mergeCell ref="E38:F38"/>
    <mergeCell ref="A2:O2"/>
    <mergeCell ref="E147:F147"/>
    <mergeCell ref="F85:G85"/>
    <mergeCell ref="H85:I85"/>
    <mergeCell ref="G175:H175"/>
    <mergeCell ref="B179:C179"/>
    <mergeCell ref="E40:F40"/>
    <mergeCell ref="G162:H162"/>
    <mergeCell ref="H108:O108"/>
    <mergeCell ref="B166:C166"/>
    <mergeCell ref="B124:D124"/>
    <mergeCell ref="E186:F186"/>
    <mergeCell ref="G177:H177"/>
    <mergeCell ref="E104:F104"/>
    <mergeCell ref="H45:O45"/>
    <mergeCell ref="B174:C174"/>
    <mergeCell ref="B168:C168"/>
    <mergeCell ref="H32:O32"/>
    <mergeCell ref="B126:D126"/>
    <mergeCell ref="D9:E9"/>
    <mergeCell ref="H80:I80"/>
    <mergeCell ref="F9:G9"/>
    <mergeCell ref="I150:O150"/>
    <mergeCell ref="J83:M83"/>
    <mergeCell ref="I165:O165"/>
    <mergeCell ref="B169:C169"/>
    <mergeCell ref="I152:O152"/>
    <mergeCell ref="E66:F66"/>
    <mergeCell ref="J85:M85"/>
    <mergeCell ref="E130:F130"/>
    <mergeCell ref="E68:F68"/>
    <mergeCell ref="B134:C134"/>
    <mergeCell ref="G155:H155"/>
    <mergeCell ref="E160:F160"/>
    <mergeCell ref="E141:F141"/>
    <mergeCell ref="G118:O118"/>
    <mergeCell ref="E135:F135"/>
    <mergeCell ref="G157:H157"/>
    <mergeCell ref="E107:F107"/>
    <mergeCell ref="H73:I73"/>
    <mergeCell ref="E143:F143"/>
    <mergeCell ref="G172:H172"/>
    <mergeCell ref="G186:H186"/>
    <mergeCell ref="B162:C162"/>
    <mergeCell ref="D91:E91"/>
    <mergeCell ref="G152:H152"/>
    <mergeCell ref="F91:G91"/>
    <mergeCell ref="A21:B21"/>
    <mergeCell ref="I163:O163"/>
    <mergeCell ref="H84:I84"/>
    <mergeCell ref="A23:B23"/>
    <mergeCell ref="B187:C187"/>
    <mergeCell ref="E125:F125"/>
    <mergeCell ref="H86:I86"/>
    <mergeCell ref="E41:F41"/>
    <mergeCell ref="B189:C189"/>
    <mergeCell ref="E112:F112"/>
    <mergeCell ref="B188:C188"/>
    <mergeCell ref="B117:D117"/>
    <mergeCell ref="E43:F43"/>
    <mergeCell ref="J91:M91"/>
    <mergeCell ref="B190:C190"/>
    <mergeCell ref="B119:D119"/>
    <mergeCell ref="A16:B16"/>
    <mergeCell ref="G124:O124"/>
    <mergeCell ref="E138:F138"/>
    <mergeCell ref="A108:B108"/>
    <mergeCell ref="B127:D127"/>
    <mergeCell ref="I168:O168"/>
    <mergeCell ref="A18:B18"/>
    <mergeCell ref="B73:C73"/>
    <mergeCell ref="E167:F167"/>
    <mergeCell ref="H100:O100"/>
    <mergeCell ref="H7:I7"/>
    <mergeCell ref="G119:O119"/>
    <mergeCell ref="B137:C137"/>
    <mergeCell ref="E169:F169"/>
    <mergeCell ref="H66:O66"/>
    <mergeCell ref="B74:C74"/>
    <mergeCell ref="D74:E74"/>
    <mergeCell ref="B139:C139"/>
    <mergeCell ref="I184:O184"/>
    <mergeCell ref="B122:D122"/>
    <mergeCell ref="I171:O171"/>
    <mergeCell ref="H76:I76"/>
    <mergeCell ref="H95:O95"/>
    <mergeCell ref="A44:B44"/>
    <mergeCell ref="I173:O173"/>
    <mergeCell ref="H97:O97"/>
    <mergeCell ref="I166:O166"/>
    <mergeCell ref="G176:H176"/>
    <mergeCell ref="E64:F64"/>
    <mergeCell ref="J7:O7"/>
    <mergeCell ref="E156:F156"/>
    <mergeCell ref="E153:F153"/>
    <mergeCell ref="H21:O21"/>
    <mergeCell ref="E128:F128"/>
    <mergeCell ref="E155:F155"/>
    <mergeCell ref="D61:E61"/>
    <mergeCell ref="G184:H184"/>
    <mergeCell ref="G171:H171"/>
    <mergeCell ref="E65:F65"/>
    <mergeCell ref="E157:F157"/>
    <mergeCell ref="H16:O16"/>
    <mergeCell ref="A17:B17"/>
    <mergeCell ref="I134:O134"/>
    <mergeCell ref="H27:O27"/>
    <mergeCell ref="G117:O117"/>
    <mergeCell ref="A19:B19"/>
    <mergeCell ref="I161:O161"/>
    <mergeCell ref="E146:F146"/>
    <mergeCell ref="E12:F12"/>
    <mergeCell ref="G125:O125"/>
    <mergeCell ref="B138:C138"/>
    <mergeCell ref="E175:F175"/>
    <mergeCell ref="H67:O67"/>
    <mergeCell ref="H103:O103"/>
    <mergeCell ref="G127:O127"/>
    <mergeCell ref="E185:F185"/>
    <mergeCell ref="B140:C140"/>
    <mergeCell ref="I187:O187"/>
    <mergeCell ref="E170:F170"/>
    <mergeCell ref="I174:O174"/>
    <mergeCell ref="H98:O98"/>
    <mergeCell ref="D75:E75"/>
    <mergeCell ref="F75:G75"/>
    <mergeCell ref="I189:O189"/>
    <mergeCell ref="I188:O188"/>
    <mergeCell ref="G192:H192"/>
    <mergeCell ref="J8:O8"/>
    <mergeCell ref="E154:F154"/>
    <mergeCell ref="G154:H154"/>
    <mergeCell ref="B158:C158"/>
    <mergeCell ref="E172:F172"/>
    <mergeCell ref="B89:C89"/>
    <mergeCell ref="B160:C160"/>
    <mergeCell ref="D89:E89"/>
    <mergeCell ref="H18:O18"/>
    <mergeCell ref="L61:M61"/>
    <mergeCell ref="A194:D194"/>
    <mergeCell ref="I142:O142"/>
    <mergeCell ref="B153:C153"/>
    <mergeCell ref="J75:M75"/>
    <mergeCell ref="B184:C184"/>
    <mergeCell ref="H113:O113"/>
    <mergeCell ref="E20:F20"/>
    <mergeCell ref="I137:O137"/>
    <mergeCell ref="E177:F177"/>
    <mergeCell ref="E13:F13"/>
    <mergeCell ref="I164:O164"/>
    <mergeCell ref="I139:O139"/>
    <mergeCell ref="B88:C88"/>
    <mergeCell ref="B148:C148"/>
    <mergeCell ref="B82:C82"/>
    <mergeCell ref="E149:F149"/>
    <mergeCell ref="E176:F176"/>
    <mergeCell ref="E114:F114"/>
    <mergeCell ref="J88:M88"/>
    <mergeCell ref="A63:O63"/>
    <mergeCell ref="E15:F15"/>
    <mergeCell ref="E191:F191"/>
    <mergeCell ref="G142:H142"/>
    <mergeCell ref="B146:C146"/>
    <mergeCell ref="E178:F178"/>
    <mergeCell ref="H37:O37"/>
    <mergeCell ref="B83:C83"/>
    <mergeCell ref="B143:C143"/>
    <mergeCell ref="D83:E83"/>
    <mergeCell ref="E144:F144"/>
    <mergeCell ref="G144:H144"/>
    <mergeCell ref="H104:O104"/>
    <mergeCell ref="B85:C85"/>
    <mergeCell ref="A94:O94"/>
    <mergeCell ref="I190:O190"/>
    <mergeCell ref="D85:E85"/>
    <mergeCell ref="G173:H173"/>
    <mergeCell ref="H92:I92"/>
    <mergeCell ref="H106:O106"/>
    <mergeCell ref="F78:G78"/>
    <mergeCell ref="E106:F106"/>
    <mergeCell ref="H78:I78"/>
    <mergeCell ref="E33:F33"/>
    <mergeCell ref="H43:O43"/>
    <mergeCell ref="B159:C159"/>
    <mergeCell ref="D80:E80"/>
    <mergeCell ref="G170:H170"/>
    <mergeCell ref="B167:C167"/>
    <mergeCell ref="A26:O26"/>
    <mergeCell ref="B161:C161"/>
    <mergeCell ref="H6:I6"/>
    <mergeCell ref="H130:O130"/>
    <mergeCell ref="H68:O68"/>
    <mergeCell ref="B136:C136"/>
    <mergeCell ref="E28:F28"/>
    <mergeCell ref="B175:C175"/>
    <mergeCell ref="E30:F30"/>
    <mergeCell ref="J84:M84"/>
    <mergeCell ref="I145:O145"/>
    <mergeCell ref="J78:M78"/>
    <mergeCell ref="H69:O69"/>
    <mergeCell ref="A9:C9"/>
    <mergeCell ref="I147:O147"/>
    <mergeCell ref="J80:M80"/>
    <mergeCell ref="D8:E8"/>
    <mergeCell ref="J79:M79"/>
    <mergeCell ref="G150:H150"/>
    <mergeCell ref="I186:O186"/>
    <mergeCell ref="E21:F21"/>
    <mergeCell ref="J6:O6"/>
    <mergeCell ref="H82:I82"/>
    <mergeCell ref="B91:C91"/>
    <mergeCell ref="E192:F192"/>
    <mergeCell ref="H20:O20"/>
    <mergeCell ref="E129:F129"/>
    <mergeCell ref="H38:O38"/>
    <mergeCell ref="E23:F23"/>
    <mergeCell ref="D84:E84"/>
    <mergeCell ref="B155:C155"/>
    <mergeCell ref="G145:H145"/>
    <mergeCell ref="F84:G84"/>
    <mergeCell ref="B149:C149"/>
    <mergeCell ref="E181:F181"/>
    <mergeCell ref="B193:C193"/>
    <mergeCell ref="E194:F194"/>
    <mergeCell ref="G181:H181"/>
    <mergeCell ref="A3:O3"/>
    <mergeCell ref="H40:O40"/>
    <mergeCell ref="B86:C86"/>
    <mergeCell ref="G160:H160"/>
    <mergeCell ref="D86:E86"/>
    <mergeCell ref="I140:O140"/>
    <mergeCell ref="G147:H147"/>
    <mergeCell ref="F86:G86"/>
    <mergeCell ref="H64:O64"/>
    <mergeCell ref="B151:C151"/>
    <mergeCell ref="F80:G80"/>
    <mergeCell ref="G174:H174"/>
    <mergeCell ref="I158:O158"/>
    <mergeCell ref="I133:O133"/>
    <mergeCell ref="G189:H189"/>
    <mergeCell ref="F79:G79"/>
    <mergeCell ref="H79:I79"/>
    <mergeCell ref="E34:F34"/>
    <mergeCell ref="B182:C182"/>
    <mergeCell ref="E105:F105"/>
    <mergeCell ref="I160:O160"/>
    <mergeCell ref="E99:F99"/>
    <mergeCell ref="I135:O135"/>
    <mergeCell ref="F81:G81"/>
    <mergeCell ref="H81:I81"/>
    <mergeCell ref="E163:F163"/>
    <mergeCell ref="E101:F101"/>
    <mergeCell ref="G163:H163"/>
    <mergeCell ref="A22:B22"/>
    <mergeCell ref="B125:D125"/>
    <mergeCell ref="E113:F113"/>
    <mergeCell ref="B183:C183"/>
    <mergeCell ref="B177:C177"/>
    <mergeCell ref="E100:F100"/>
    <mergeCell ref="B164:C164"/>
    <mergeCell ref="J86:M86"/>
    <mergeCell ref="E136:F136"/>
    <mergeCell ref="G165:H165"/>
    <mergeCell ref="H33:O33"/>
    <mergeCell ref="I24:O24"/>
    <mergeCell ref="E102:F102"/>
    <mergeCell ref="G158:H158"/>
    <mergeCell ref="B120:D120"/>
    <mergeCell ref="D10:E10"/>
    <mergeCell ref="G169:H169"/>
    <mergeCell ref="I148:O148"/>
    <mergeCell ref="I153:O153"/>
    <mergeCell ref="E127:F127"/>
    <mergeCell ref="F74:G74"/>
    <mergeCell ref="B180:C180"/>
    <mergeCell ref="H74:I74"/>
    <mergeCell ref="G191:H191"/>
    <mergeCell ref="D76:E76"/>
    <mergeCell ref="F76:G76"/>
    <mergeCell ref="A47:O47"/>
    <mergeCell ref="B157:C157"/>
    <mergeCell ref="I179:O179"/>
    <mergeCell ref="B186:C186"/>
    <mergeCell ref="I141:O141"/>
    <mergeCell ref="E124:F124"/>
    <mergeCell ref="H65:O65"/>
    <mergeCell ref="E120:F120"/>
    <mergeCell ref="I159:O159"/>
    <mergeCell ref="I143:O143"/>
    <mergeCell ref="E184:F184"/>
    <mergeCell ref="A7:C7"/>
    <mergeCell ref="G122:O122"/>
    <mergeCell ref="E121:F121"/>
    <mergeCell ref="F87:G87"/>
    <mergeCell ref="B185:C185"/>
    <mergeCell ref="E151:F151"/>
    <mergeCell ref="H41:O41"/>
    <mergeCell ref="E123:F123"/>
    <mergeCell ref="F89:G89"/>
    <mergeCell ref="E150:F150"/>
    <mergeCell ref="E39:F39"/>
    <mergeCell ref="G179:H179"/>
    <mergeCell ref="F7:G7"/>
    <mergeCell ref="E44:F44"/>
    <mergeCell ref="B176:C176"/>
    <mergeCell ref="G166:H166"/>
    <mergeCell ref="H34:O34"/>
    <mergeCell ref="B128:D128"/>
    <mergeCell ref="G141:H141"/>
    <mergeCell ref="E103:F103"/>
    <mergeCell ref="E152:F152"/>
    <mergeCell ref="A116:O116"/>
    <mergeCell ref="E118:F118"/>
    <mergeCell ref="F8:G8"/>
    <mergeCell ref="A12:B12"/>
    <mergeCell ref="C12:D12"/>
    <mergeCell ref="G167:H167"/>
    <mergeCell ref="I154:O154"/>
    <mergeCell ref="B171:C171"/>
    <mergeCell ref="B123:D123"/>
    <mergeCell ref="I156:O156"/>
    <mergeCell ref="E70:F70"/>
    <mergeCell ref="F77:G77"/>
    <mergeCell ref="H77:I77"/>
    <mergeCell ref="H96:O96"/>
    <mergeCell ref="E32:F32"/>
    <mergeCell ref="G120:O120"/>
    <mergeCell ref="B133:C133"/>
    <mergeCell ref="E134:F134"/>
    <mergeCell ref="G134:H134"/>
    <mergeCell ref="B173:C173"/>
    <mergeCell ref="E96:F96"/>
    <mergeCell ref="B75:C75"/>
    <mergeCell ref="B135:C135"/>
    <mergeCell ref="I180:O180"/>
    <mergeCell ref="A130:B130"/>
    <mergeCell ref="I167:O167"/>
    <mergeCell ref="E98:F98"/>
    <mergeCell ref="I182:O182"/>
    <mergeCell ref="E165:F165"/>
    <mergeCell ref="I169:O169"/>
    <mergeCell ref="I13:O13"/>
    <mergeCell ref="E140:F140"/>
    <mergeCell ref="G156:H156"/>
    <mergeCell ref="B118:D118"/>
    <mergeCell ref="A8:C8"/>
    <mergeCell ref="H61:I61"/>
    <mergeCell ref="H88:I88"/>
    <mergeCell ref="J81:M81"/>
    <mergeCell ref="G187:H187"/>
    <mergeCell ref="A10:C10"/>
    <mergeCell ref="H17:O17"/>
    <mergeCell ref="F90:G90"/>
    <mergeCell ref="H90:I90"/>
    <mergeCell ref="H109:O109"/>
    <mergeCell ref="G180:H180"/>
    <mergeCell ref="E45:F45"/>
    <mergeCell ref="H22:O22"/>
    <mergeCell ref="B129:D129"/>
    <mergeCell ref="H19:O19"/>
    <mergeCell ref="G188:H188"/>
    <mergeCell ref="B192:C192"/>
    <mergeCell ref="A20:B20"/>
    <mergeCell ref="H111:O111"/>
    <mergeCell ref="B121:D121"/>
    <mergeCell ref="G182:H182"/>
    <mergeCell ref="I162:O162"/>
    <mergeCell ref="A132:O132"/>
    <mergeCell ref="A13:B13"/>
    <mergeCell ref="C13:D13"/>
    <mergeCell ref="I155:O155"/>
    <mergeCell ref="A114:B114"/>
  </mergeCells>
  <conditionalFormatting sqref="I134:O193">
    <cfRule type="expression" priority="1" dxfId="0" stopIfTrue="1">
      <formula>$I134="Pago"</formula>
    </cfRule>
    <cfRule type="expression" priority="2" dxfId="3" stopIfTrue="1">
      <formula>$I134="Comprado (a pagar)"</formula>
    </cfRule>
    <cfRule type="expression" priority="3" dxfId="1" stopIfTrue="1">
      <formula>$I134="A comprar"</formula>
    </cfRule>
  </conditionalFormatting>
  <conditionalFormatting sqref="A134:O193">
    <cfRule type="expression" priority="4" dxfId="6">
      <formula>AND($E134&lt;&gt;"",$B134="")</formula>
    </cfRule>
  </conditionalFormatting>
  <conditionalFormatting sqref="E16:F22">
    <cfRule type="expression" priority="5" dxfId="4">
      <formula>AND($E16&lt;&gt;"",$E16&gt;0)</formula>
    </cfRule>
    <cfRule type="expression" priority="6" dxfId="5">
      <formula>AND($E16&lt;&gt;"",$E16&lt;0)</formula>
    </cfRule>
  </conditionalFormatting>
  <conditionalFormatting sqref="E96:F114">
    <cfRule type="expression" priority="7" dxfId="4">
      <formula>AND($E96&lt;&gt;"",$E96&gt;0)</formula>
    </cfRule>
    <cfRule type="expression" priority="8" dxfId="5">
      <formula>AND($E96&lt;&gt;"",$E96&lt;0)</formula>
    </cfRule>
  </conditionalFormatting>
  <conditionalFormatting sqref="J9">
    <cfRule type="expression" priority="9" dxfId="0" stopIfTrue="1">
      <formula>$J$9="No prazo"</formula>
    </cfRule>
    <cfRule type="expression" priority="10" dxfId="2">
      <formula>$J$9="Atrasado"</formula>
    </cfRule>
  </conditionalFormatting>
  <conditionalFormatting sqref="A13:J13">
    <cfRule type="expression" priority="11" dxfId="6">
      <formula>AND($G$13&lt;&gt;"",$G$13&lt;0.25)</formula>
    </cfRule>
  </conditionalFormatting>
  <dataValidations count="12">
    <dataValidation sqref="D10:E1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"Jan/2026,Fev/2026,Mar/2026,Abr/2026,Mai/2026,Jun/2026,Jul/2026,Ago/2026,Set/2026,Out/2026,Nov/2026,Dez/2026,Jan/2027,Fev/2027,Mar/2027,Abr/2027,Mai/2027,Jun/2027,Jul/2027,Ago/2027,Set/2027,Out/2027,Nov/2027,Dez/2027"</formula1>
    </dataValidation>
    <dataValidation sqref="D49:D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H49:H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L49:L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"Lorrane,Lucas,Externo / avulso"</formula1>
    </dataValidation>
    <dataValidation sqref="H66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A74:A91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B118:B12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"Erro de projeto,Erro de medição,Erro de produção,Erro de montagem,Falha de material,Dano no transporte,Mudança pedida pelo cliente,Falha de fornecedor,Outro"</formula1>
    </dataValidation>
    <dataValidation sqref="B134:B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"MDF e MDP,Fita de borda,Ferragens,Vidros e espelhos,Esquadrias,Lâmina natural,Consumíveis,Acabamento,Serralheria,Vidraceiro,Outro terceirizado,Uber e aplicativo,Carreto e entrega,Deslocamento da equipe,Frete de material,Estacionamento e pedágio"</formula1>
    </dataValidation>
    <dataValidation sqref="G134:G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"PIX,Boleto,Cartão de crédito,Cartão parcelado,Dinheiro,Transferência,Faturado 30 dias,A combinar"</formula1>
    </dataValidation>
    <dataValidation sqref="I134:I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"A comprar,Comprado (a pagar),Pago"</formula1>
    </dataValidation>
    <dataValidation sqref="D9:E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"Jonathan,Vitor,Indicação,Arquiteto parceiro,Outro"</formula1>
    </dataValidation>
    <dataValidation sqref="F9:G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</dataValidations>
  <pageMargins left="0.4" right="0.3" top="0.4" bottom="0.3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96"/>
  <sheetViews>
    <sheetView showGridLines="0"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14" customWidth="1" min="3" max="3"/>
    <col width="16" customWidth="1" min="4" max="4"/>
    <col width="7" customWidth="1" min="5" max="5"/>
    <col width="13" customWidth="1" min="6" max="6"/>
    <col width="13" customWidth="1" min="7" max="7"/>
    <col width="16" customWidth="1" min="8" max="8"/>
    <col width="7" customWidth="1" min="9" max="9"/>
    <col width="13" customWidth="1" min="10" max="10"/>
    <col width="13" customWidth="1" min="11" max="11"/>
    <col width="15" customWidth="1" min="12" max="12"/>
    <col width="7" customWidth="1" min="13" max="13"/>
    <col width="13" customWidth="1" min="14" max="14"/>
    <col width="14" customWidth="1" min="15" max="15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8" customHeight="1">
      <c r="A3" s="4" t="inlineStr">
        <is>
          <t>FICHA DE CUSTO DO PROJETO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 ht="17" customHeight="1">
      <c r="A4" s="6" t="inlineStr">
        <is>
          <t>Fundo creme = você preenche · fundo cinza = calculado · duplique esta aba a cada projeto e registre o nome dela no Painel Geral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 ht="6" customHeight="1"/>
    <row r="6" ht="13" customHeight="1">
      <c r="A6" s="44" t="inlineStr">
        <is>
          <t>CLIENTE</t>
        </is>
      </c>
      <c r="B6" s="13" t="n"/>
      <c r="C6" s="13" t="n"/>
      <c r="D6" s="44" t="inlineStr">
        <is>
          <t>Nº DO PROJETO</t>
        </is>
      </c>
      <c r="E6" s="13" t="n"/>
      <c r="F6" s="44" t="inlineStr">
        <is>
          <t>DATA DE ENTRADA</t>
        </is>
      </c>
      <c r="G6" s="13" t="n"/>
      <c r="H6" s="44" t="inlineStr">
        <is>
          <t>ENTREGA PREVISTA</t>
        </is>
      </c>
      <c r="I6" s="13" t="n"/>
      <c r="J6" s="44" t="inlineStr">
        <is>
          <t>ENTREGA REAL</t>
        </is>
      </c>
      <c r="K6" s="13" t="n"/>
      <c r="L6" s="13" t="n"/>
      <c r="M6" s="13" t="n"/>
      <c r="N6" s="13" t="n"/>
      <c r="O6" s="13" t="n"/>
    </row>
    <row r="7" ht="21" customHeight="1">
      <c r="A7" s="45" t="n"/>
      <c r="B7" s="46" t="n"/>
      <c r="C7" s="46" t="n"/>
      <c r="D7" s="45" t="n"/>
      <c r="E7" s="46" t="n"/>
      <c r="F7" s="47" t="n"/>
      <c r="G7" s="46" t="n"/>
      <c r="H7" s="47" t="n"/>
      <c r="I7" s="46" t="n"/>
      <c r="J7" s="47" t="n"/>
      <c r="K7" s="46" t="n"/>
      <c r="L7" s="46" t="n"/>
      <c r="M7" s="46" t="n"/>
      <c r="N7" s="46" t="n"/>
      <c r="O7" s="46" t="n"/>
    </row>
    <row r="8" ht="13" customHeight="1">
      <c r="A8" s="44" t="inlineStr">
        <is>
          <t>PROJETO</t>
        </is>
      </c>
      <c r="B8" s="13" t="n"/>
      <c r="C8" s="13" t="n"/>
      <c r="D8" s="44" t="inlineStr">
        <is>
          <t>VENDEDOR</t>
        </is>
      </c>
      <c r="E8" s="13" t="n"/>
      <c r="F8" s="44" t="inlineStr">
        <is>
          <t>COORDENADOR</t>
        </is>
      </c>
      <c r="G8" s="13" t="n"/>
      <c r="H8" s="44" t="inlineStr">
        <is>
          <t>DIAS DE ATRASO</t>
        </is>
      </c>
      <c r="I8" s="13" t="n"/>
      <c r="J8" s="44" t="inlineStr">
        <is>
          <t>SITUAÇÃO DA ENTREGA</t>
        </is>
      </c>
      <c r="K8" s="13" t="n"/>
      <c r="L8" s="13" t="n"/>
      <c r="M8" s="13" t="n"/>
      <c r="N8" s="13" t="n"/>
      <c r="O8" s="13" t="n"/>
    </row>
    <row r="9" ht="21" customHeight="1">
      <c r="A9" s="45" t="n"/>
      <c r="B9" s="46" t="n"/>
      <c r="C9" s="46" t="n"/>
      <c r="D9" s="45" t="n"/>
      <c r="E9" s="46" t="n"/>
      <c r="F9" s="48" t="n"/>
      <c r="G9" s="46" t="n"/>
      <c r="H9" s="49">
        <f>IF(OR($H$7="",$J$7=""),"",$J$7-$H$7)</f>
        <v/>
      </c>
      <c r="I9" s="38" t="n"/>
      <c r="J9" s="50">
        <f>IF($H$7="","",IF($J$7="",IF(TODAY()&gt;$H$7,"Atrasado","Em produção"),IF($H$9&lt;=0,"No prazo","Atrasado")))</f>
        <v/>
      </c>
      <c r="K9" s="38" t="n"/>
      <c r="L9" s="38" t="n"/>
      <c r="M9" s="38" t="n"/>
      <c r="N9" s="38" t="n"/>
      <c r="O9" s="38" t="n"/>
    </row>
    <row r="10" ht="18" customHeight="1">
      <c r="A10" s="51" t="inlineStr">
        <is>
          <t>MÊS DE COMPETÊNCIA</t>
        </is>
      </c>
      <c r="B10" s="37" t="n"/>
      <c r="C10" s="37" t="n"/>
      <c r="D10" s="52" t="n"/>
      <c r="E10" s="46" t="n"/>
      <c r="F10" s="53" t="inlineStr">
        <is>
          <t>o mês em que a receita e o custo deste projeto pesam no painel de competência</t>
        </is>
      </c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</row>
    <row r="11" ht="20" customHeight="1">
      <c r="A11" s="8" t="inlineStr">
        <is>
          <t xml:space="preserve">  RESULTADO DO PROJETO          tudo aqui se atualiza conforme você lança os custos mais abaixo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</row>
    <row r="12" ht="13" customHeight="1">
      <c r="A12" s="44" t="inlineStr">
        <is>
          <t>VALOR DE VENDA</t>
        </is>
      </c>
      <c r="B12" s="13" t="n"/>
      <c r="C12" s="44" t="inlineStr">
        <is>
          <t>CUSTO TOTAL</t>
        </is>
      </c>
      <c r="D12" s="13" t="n"/>
      <c r="E12" s="44" t="inlineStr">
        <is>
          <t>MARGEM DE CONTRIBUIÇÃO</t>
        </is>
      </c>
      <c r="F12" s="13" t="n"/>
      <c r="G12" s="44" t="inlineStr">
        <is>
          <t>MC %</t>
        </is>
      </c>
      <c r="H12" s="44" t="inlineStr">
        <is>
          <t>MC % ORÇADA</t>
        </is>
      </c>
      <c r="I12" s="44" t="inlineStr">
        <is>
          <t>DESVIO DE CUSTO</t>
        </is>
      </c>
      <c r="J12" s="13" t="n"/>
      <c r="K12" s="13" t="n"/>
      <c r="L12" s="13" t="n"/>
      <c r="M12" s="13" t="n"/>
      <c r="N12" s="13" t="n"/>
      <c r="O12" s="13" t="n"/>
    </row>
    <row r="13" ht="30" customHeight="1">
      <c r="A13" s="54">
        <f>IF($D$28="",$C$28,$D$28)</f>
        <v/>
      </c>
      <c r="B13" s="15" t="n"/>
      <c r="C13" s="54">
        <f>IF($D$22=0,"",$D$22)</f>
        <v/>
      </c>
      <c r="D13" s="15" t="n"/>
      <c r="E13" s="54">
        <f>IF($A$13="","",$D$23)</f>
        <v/>
      </c>
      <c r="F13" s="15" t="n"/>
      <c r="G13" s="55">
        <f>IF(OR($A$13="",$A$13=0),"",$D$23/$A$13)</f>
        <v/>
      </c>
      <c r="H13" s="55">
        <f>IF(OR($C$28="",$C$28=0),"",$C$23/$C$28)</f>
        <v/>
      </c>
      <c r="I13" s="54">
        <f>IF(OR($C$22=0,$D$22=0),"",ROUND($D$22-$C$22,2))</f>
        <v/>
      </c>
      <c r="J13" s="15" t="n"/>
      <c r="K13" s="15" t="n"/>
      <c r="L13" s="15" t="n"/>
      <c r="M13" s="15" t="n"/>
      <c r="N13" s="15" t="n"/>
      <c r="O13" s="15" t="n"/>
    </row>
    <row r="14" ht="8" customHeight="1"/>
    <row r="15" ht="26" customHeight="1">
      <c r="A15" s="19" t="inlineStr">
        <is>
          <t>Resumo por categoria</t>
        </is>
      </c>
      <c r="B15" s="35" t="n"/>
      <c r="C15" s="19" t="inlineStr">
        <is>
          <t>Orçado (R$)</t>
        </is>
      </c>
      <c r="D15" s="19" t="inlineStr">
        <is>
          <t>Realizado (R$)</t>
        </is>
      </c>
      <c r="E15" s="19" t="inlineStr">
        <is>
          <t>Desvio (R$)</t>
        </is>
      </c>
      <c r="F15" s="35" t="n"/>
      <c r="G15" s="19" t="inlineStr">
        <is>
          <t>Desvio (%)</t>
        </is>
      </c>
      <c r="H15" s="19" t="inlineStr">
        <is>
          <t>% da venda realizada</t>
        </is>
      </c>
      <c r="I15" s="35" t="n"/>
      <c r="J15" s="35" t="n"/>
      <c r="K15" s="35" t="n"/>
      <c r="L15" s="35" t="n"/>
      <c r="M15" s="35" t="n"/>
      <c r="N15" s="35" t="n"/>
      <c r="O15" s="35" t="n"/>
    </row>
    <row r="16" ht="18" customHeight="1">
      <c r="A16" s="36" t="inlineStr">
        <is>
          <t>Custos de venda</t>
        </is>
      </c>
      <c r="B16" s="37" t="n"/>
      <c r="C16" s="56">
        <f>IF(C44="","",C44)</f>
        <v/>
      </c>
      <c r="D16" s="56">
        <f>IF(D44="","",D44)</f>
        <v/>
      </c>
      <c r="E16" s="56">
        <f>IF(OR($C16="",$D16=""),"",ROUND($D16-$C16,2))</f>
        <v/>
      </c>
      <c r="F16" s="38" t="n"/>
      <c r="G16" s="57">
        <f>IF(OR($C16="",$C16=0,$D16=""),"",$D16/$C16-1)</f>
        <v/>
      </c>
      <c r="H16" s="58">
        <f>IF(OR($D16="",$A$13="",$A$13=0),"",$D16/$A$13)</f>
        <v/>
      </c>
      <c r="I16" s="38" t="n"/>
      <c r="J16" s="38" t="n"/>
      <c r="K16" s="38" t="n"/>
      <c r="L16" s="38" t="n"/>
      <c r="M16" s="38" t="n"/>
      <c r="N16" s="38" t="n"/>
      <c r="O16" s="38" t="n"/>
    </row>
    <row r="17" ht="18" customHeight="1">
      <c r="A17" s="36" t="inlineStr">
        <is>
          <t>Comissões operacionais</t>
        </is>
      </c>
      <c r="B17" s="37" t="n"/>
      <c r="C17" s="56">
        <f>IF(C70="","",C70)</f>
        <v/>
      </c>
      <c r="D17" s="56">
        <f>IF(D70="","",D70)</f>
        <v/>
      </c>
      <c r="E17" s="56">
        <f>IF(OR($C17="",$D17=""),"",ROUND($D17-$C17,2))</f>
        <v/>
      </c>
      <c r="F17" s="38" t="n"/>
      <c r="G17" s="57">
        <f>IF(OR($C17="",$C17=0,$D17=""),"",$D17/$C17-1)</f>
        <v/>
      </c>
      <c r="H17" s="58">
        <f>IF(OR($D17="",$A$13="",$A$13=0),"",$D17/$A$13)</f>
        <v/>
      </c>
      <c r="I17" s="38" t="n"/>
      <c r="J17" s="38" t="n"/>
      <c r="K17" s="38" t="n"/>
      <c r="L17" s="38" t="n"/>
      <c r="M17" s="38" t="n"/>
      <c r="N17" s="38" t="n"/>
      <c r="O17" s="38" t="n"/>
    </row>
    <row r="18" ht="18" customHeight="1">
      <c r="A18" s="36" t="inlineStr">
        <is>
          <t>Material</t>
        </is>
      </c>
      <c r="B18" s="37" t="n"/>
      <c r="C18" s="56">
        <f>IF(C103="","",C103)</f>
        <v/>
      </c>
      <c r="D18" s="56">
        <f>IF(D103="","",D103)</f>
        <v/>
      </c>
      <c r="E18" s="56">
        <f>IF(OR($C18="",$D18=""),"",ROUND($D18-$C18,2))</f>
        <v/>
      </c>
      <c r="F18" s="38" t="n"/>
      <c r="G18" s="57">
        <f>IF(OR($C18="",$C18=0,$D18=""),"",$D18/$C18-1)</f>
        <v/>
      </c>
      <c r="H18" s="58">
        <f>IF(OR($D18="",$A$13="",$A$13=0),"",$D18/$A$13)</f>
        <v/>
      </c>
      <c r="I18" s="38" t="n"/>
      <c r="J18" s="38" t="n"/>
      <c r="K18" s="38" t="n"/>
      <c r="L18" s="38" t="n"/>
      <c r="M18" s="38" t="n"/>
      <c r="N18" s="38" t="n"/>
      <c r="O18" s="38" t="n"/>
    </row>
    <row r="19" ht="18" customHeight="1">
      <c r="A19" s="36" t="inlineStr">
        <is>
          <t>Serviços terceirizados</t>
        </is>
      </c>
      <c r="B19" s="37" t="n"/>
      <c r="C19" s="56">
        <f>IF(C108="","",C108)</f>
        <v/>
      </c>
      <c r="D19" s="56">
        <f>IF(D108="","",D108)</f>
        <v/>
      </c>
      <c r="E19" s="56">
        <f>IF(OR($C19="",$D19=""),"",ROUND($D19-$C19,2))</f>
        <v/>
      </c>
      <c r="F19" s="38" t="n"/>
      <c r="G19" s="57">
        <f>IF(OR($C19="",$C19=0,$D19=""),"",$D19/$C19-1)</f>
        <v/>
      </c>
      <c r="H19" s="58">
        <f>IF(OR($D19="",$A$13="",$A$13=0),"",$D19/$A$13)</f>
        <v/>
      </c>
      <c r="I19" s="38" t="n"/>
      <c r="J19" s="38" t="n"/>
      <c r="K19" s="38" t="n"/>
      <c r="L19" s="38" t="n"/>
      <c r="M19" s="38" t="n"/>
      <c r="N19" s="38" t="n"/>
      <c r="O19" s="38" t="n"/>
    </row>
    <row r="20" ht="18" customHeight="1">
      <c r="A20" s="36" t="inlineStr">
        <is>
          <t>Logística</t>
        </is>
      </c>
      <c r="B20" s="37" t="n"/>
      <c r="C20" s="56">
        <f>IF(C114="","",C114)</f>
        <v/>
      </c>
      <c r="D20" s="56">
        <f>IF(D114="","",D114)</f>
        <v/>
      </c>
      <c r="E20" s="56">
        <f>IF(OR($C20="",$D20=""),"",ROUND($D20-$C20,2))</f>
        <v/>
      </c>
      <c r="F20" s="38" t="n"/>
      <c r="G20" s="57">
        <f>IF(OR($C20="",$C20=0,$D20=""),"",$D20/$C20-1)</f>
        <v/>
      </c>
      <c r="H20" s="58">
        <f>IF(OR($D20="",$A$13="",$A$13=0),"",$D20/$A$13)</f>
        <v/>
      </c>
      <c r="I20" s="38" t="n"/>
      <c r="J20" s="38" t="n"/>
      <c r="K20" s="38" t="n"/>
      <c r="L20" s="38" t="n"/>
      <c r="M20" s="38" t="n"/>
      <c r="N20" s="38" t="n"/>
      <c r="O20" s="38" t="n"/>
    </row>
    <row r="21" ht="18" customHeight="1">
      <c r="A21" s="36" t="inlineStr">
        <is>
          <t>Retrabalho</t>
        </is>
      </c>
      <c r="B21" s="37" t="n"/>
      <c r="C21" s="56">
        <f>IF(C130="","",C130)</f>
        <v/>
      </c>
      <c r="D21" s="56">
        <f>IF(D130="","",D130)</f>
        <v/>
      </c>
      <c r="E21" s="56">
        <f>IF(OR($C21="",$D21=""),"",ROUND($D21-$C21,2))</f>
        <v/>
      </c>
      <c r="F21" s="38" t="n"/>
      <c r="G21" s="57">
        <f>IF(OR($C21="",$C21=0,$D21=""),"",$D21/$C21-1)</f>
        <v/>
      </c>
      <c r="H21" s="58">
        <f>IF(OR($D21="",$A$13="",$A$13=0),"",$D21/$A$13)</f>
        <v/>
      </c>
      <c r="I21" s="38" t="n"/>
      <c r="J21" s="38" t="n"/>
      <c r="K21" s="38" t="n"/>
      <c r="L21" s="38" t="n"/>
      <c r="M21" s="38" t="n"/>
      <c r="N21" s="38" t="n"/>
      <c r="O21" s="38" t="n"/>
    </row>
    <row r="22" ht="22" customHeight="1">
      <c r="A22" s="31" t="inlineStr">
        <is>
          <t>(=) CUSTO TOTAL DO PROJETO</t>
        </is>
      </c>
      <c r="B22" s="32" t="n"/>
      <c r="C22" s="59">
        <f>ROUND(SUM(C16:C21),2)</f>
        <v/>
      </c>
      <c r="D22" s="59">
        <f>ROUND(SUM(D16:D21),2)</f>
        <v/>
      </c>
      <c r="E22" s="60">
        <f>ROUND($D$22-$C$22,2)</f>
        <v/>
      </c>
      <c r="F22" s="32" t="n"/>
      <c r="G22" s="61">
        <f>IF(OR($C$22="",$C$22=0),"",$D$22/$C$22-1)</f>
        <v/>
      </c>
      <c r="H22" s="62">
        <f>IF(OR($A$13="",$A$13=0),"",$D$22/$A$13)</f>
        <v/>
      </c>
      <c r="I22" s="32" t="n"/>
      <c r="J22" s="32" t="n"/>
      <c r="K22" s="32" t="n"/>
      <c r="L22" s="32" t="n"/>
      <c r="M22" s="32" t="n"/>
      <c r="N22" s="32" t="n"/>
      <c r="O22" s="32" t="n"/>
    </row>
    <row r="23" ht="28" customHeight="1">
      <c r="A23" s="63" t="inlineStr">
        <is>
          <t>(=) MARGEM DE CONTRIBUIÇÃO</t>
        </is>
      </c>
      <c r="B23" s="64" t="n"/>
      <c r="C23" s="65">
        <f>ROUND($C$28-$C$22,2)</f>
        <v/>
      </c>
      <c r="D23" s="65">
        <f>ROUND($A$13-$D$22,2)</f>
        <v/>
      </c>
      <c r="E23" s="66">
        <f>ROUND($D$23-$C$23,2)</f>
        <v/>
      </c>
      <c r="F23" s="64" t="n"/>
      <c r="G23" s="67">
        <f>IF(OR($C$28="",$C$28=0),"",$C$23/$C$28)</f>
        <v/>
      </c>
      <c r="H23" s="68">
        <f>IF(OR($A$13="",$A$13=0),"",$D$23/$A$13)</f>
        <v/>
      </c>
      <c r="I23" s="64" t="n"/>
      <c r="J23" s="64" t="n"/>
      <c r="K23" s="64" t="n"/>
      <c r="L23" s="64" t="n"/>
      <c r="M23" s="64" t="n"/>
      <c r="N23" s="64" t="n"/>
      <c r="O23" s="64" t="n"/>
    </row>
    <row r="24" ht="22" customHeight="1">
      <c r="A24" s="69">
        <f>IF($A$13="","",IF(ROUND(SUMIF($I$134:$I$193,"A comprar",$E$134:$E$193),2)+ROUND(SUMIF($I$134:$I$193,"Comprado (a pagar)",$E$134:$E$193),2)=0,"   Nenhuma compra pendente lançada — o custo realizado já é o custo final.","   Já comprado e ainda a pagar: "&amp;TEXT(ROUND(SUMIF($I$134:$I$193,"Comprado (a pagar)",$E$134:$E$193),2),"R$ #,##0")&amp;"   ·   custo projetado: "&amp;TEXT($D$22+ROUND(SUMIF($I$134:$I$193,"A comprar",$E$134:$E$193),2),"R$ #,##0")&amp;"   ·   MC projetada: "&amp;TEXT(($A$13-$D$22-ROUND(SUMIF($I$134:$I$193,"A comprar",$E$134:$E$193),2))/$A$13,"0.0%")))</f>
        <v/>
      </c>
      <c r="B24" s="15" t="n"/>
      <c r="C24" s="15" t="n"/>
      <c r="D24" s="15" t="n"/>
      <c r="E24" s="15" t="n"/>
      <c r="F24" s="15" t="n"/>
      <c r="G24" s="15" t="n"/>
      <c r="H24" s="15" t="n"/>
      <c r="I24" s="70">
        <f>IF($A$13="","",ROUND(SUMIF($I$134:$I$193,"A comprar",$E$134:$E$193),2))</f>
        <v/>
      </c>
      <c r="J24" s="15" t="n"/>
      <c r="K24" s="15" t="n"/>
      <c r="L24" s="15" t="n"/>
      <c r="M24" s="15" t="n"/>
      <c r="N24" s="15" t="n"/>
      <c r="O24" s="15" t="n"/>
    </row>
    <row r="25" ht="8" customHeight="1"/>
    <row r="26" ht="20" customHeight="1">
      <c r="A26" s="8" t="inlineStr">
        <is>
          <t xml:space="preserve">  1 · VALOR DE VENDA E NOTAS EMITIDAS          o que foi vendido e o que já virou nota — a diferença é o que falta faturar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 ht="26" customHeight="1">
      <c r="A27" s="19" t="inlineStr">
        <is>
          <t>Item</t>
        </is>
      </c>
      <c r="B27" s="19" t="inlineStr">
        <is>
          <t>%</t>
        </is>
      </c>
      <c r="C27" s="19" t="inlineStr">
        <is>
          <t>Orçado (R$)</t>
        </is>
      </c>
      <c r="D27" s="19" t="inlineStr">
        <is>
          <t>Realizado (R$)</t>
        </is>
      </c>
      <c r="E27" s="19" t="inlineStr">
        <is>
          <t>Desvio (R$)</t>
        </is>
      </c>
      <c r="F27" s="35" t="n"/>
      <c r="G27" s="19" t="inlineStr">
        <is>
          <t>% da venda</t>
        </is>
      </c>
      <c r="H27" s="19" t="inlineStr">
        <is>
          <t>Observação</t>
        </is>
      </c>
      <c r="I27" s="35" t="n"/>
      <c r="J27" s="35" t="n"/>
      <c r="K27" s="35" t="n"/>
      <c r="L27" s="35" t="n"/>
      <c r="M27" s="35" t="n"/>
      <c r="N27" s="35" t="n"/>
      <c r="O27" s="35" t="n"/>
    </row>
    <row r="28" ht="17" customHeight="1">
      <c r="A28" s="36" t="inlineStr">
        <is>
          <t>Valor de venda do projeto</t>
        </is>
      </c>
      <c r="B28" s="37" t="n"/>
      <c r="C28" s="71" t="n"/>
      <c r="D28" s="71" t="n"/>
      <c r="E28" s="56">
        <f>IF(OR($C28="",$D28=""),"",ROUND($D28-$C28,2))</f>
        <v/>
      </c>
      <c r="F28" s="38" t="n"/>
      <c r="G28" s="72" t="n"/>
      <c r="H28" s="73" t="inlineStr">
        <is>
          <t>Orçado = valor da proposta · Realizado = valor fechado</t>
        </is>
      </c>
      <c r="I28" s="46" t="n"/>
      <c r="J28" s="46" t="n"/>
      <c r="K28" s="46" t="n"/>
      <c r="L28" s="46" t="n"/>
      <c r="M28" s="46" t="n"/>
      <c r="N28" s="46" t="n"/>
      <c r="O28" s="46" t="n"/>
    </row>
    <row r="29" ht="22" customHeight="1">
      <c r="A29" s="19" t="inlineStr">
        <is>
          <t>Nota fiscal</t>
        </is>
      </c>
      <c r="B29" s="19" t="inlineStr">
        <is>
          <t>Número</t>
        </is>
      </c>
      <c r="C29" s="19" t="inlineStr">
        <is>
          <t>Data</t>
        </is>
      </c>
      <c r="D29" s="19" t="inlineStr">
        <is>
          <t>Valor (R$)</t>
        </is>
      </c>
      <c r="E29" s="19" t="inlineStr"/>
      <c r="F29" s="35" t="n"/>
      <c r="G29" s="19" t="inlineStr">
        <is>
          <t>% da venda</t>
        </is>
      </c>
      <c r="H29" s="19" t="inlineStr">
        <is>
          <t>Observação</t>
        </is>
      </c>
      <c r="I29" s="35" t="n"/>
      <c r="J29" s="35" t="n"/>
      <c r="K29" s="35" t="n"/>
      <c r="L29" s="35" t="n"/>
      <c r="M29" s="35" t="n"/>
      <c r="N29" s="35" t="n"/>
      <c r="O29" s="35" t="n"/>
    </row>
    <row r="30" ht="17" customHeight="1">
      <c r="A30" s="36" t="inlineStr">
        <is>
          <t>Nota 1</t>
        </is>
      </c>
      <c r="B30" s="74" t="n"/>
      <c r="C30" s="75" t="n"/>
      <c r="D30" s="76" t="n"/>
      <c r="E30" s="37" t="n"/>
      <c r="F30" s="37" t="n"/>
      <c r="G30" s="72">
        <f>IF(OR($D30="",$A$13="",$A$13=0),"",$D30/$A$13)</f>
        <v/>
      </c>
      <c r="H30" s="73" t="n"/>
      <c r="I30" s="46" t="n"/>
      <c r="J30" s="46" t="n"/>
      <c r="K30" s="46" t="n"/>
      <c r="L30" s="46" t="n"/>
      <c r="M30" s="46" t="n"/>
      <c r="N30" s="46" t="n"/>
      <c r="O30" s="46" t="n"/>
    </row>
    <row r="31" ht="17" customHeight="1">
      <c r="A31" s="36" t="inlineStr">
        <is>
          <t>Nota 2</t>
        </is>
      </c>
      <c r="B31" s="74" t="n"/>
      <c r="C31" s="75" t="n"/>
      <c r="D31" s="76" t="n"/>
      <c r="E31" s="37" t="n"/>
      <c r="F31" s="37" t="n"/>
      <c r="G31" s="72">
        <f>IF(OR($D31="",$A$13="",$A$13=0),"",$D31/$A$13)</f>
        <v/>
      </c>
      <c r="H31" s="73" t="n"/>
      <c r="I31" s="46" t="n"/>
      <c r="J31" s="46" t="n"/>
      <c r="K31" s="46" t="n"/>
      <c r="L31" s="46" t="n"/>
      <c r="M31" s="46" t="n"/>
      <c r="N31" s="46" t="n"/>
      <c r="O31" s="46" t="n"/>
    </row>
    <row r="32" ht="17" customHeight="1">
      <c r="A32" s="36" t="inlineStr">
        <is>
          <t>Nota 3</t>
        </is>
      </c>
      <c r="B32" s="74" t="n"/>
      <c r="C32" s="75" t="n"/>
      <c r="D32" s="76" t="n"/>
      <c r="E32" s="37" t="n"/>
      <c r="F32" s="37" t="n"/>
      <c r="G32" s="72">
        <f>IF(OR($D32="",$A$13="",$A$13=0),"",$D32/$A$13)</f>
        <v/>
      </c>
      <c r="H32" s="73" t="n"/>
      <c r="I32" s="46" t="n"/>
      <c r="J32" s="46" t="n"/>
      <c r="K32" s="46" t="n"/>
      <c r="L32" s="46" t="n"/>
      <c r="M32" s="46" t="n"/>
      <c r="N32" s="46" t="n"/>
      <c r="O32" s="46" t="n"/>
    </row>
    <row r="33" ht="17" customHeight="1">
      <c r="A33" s="36" t="inlineStr">
        <is>
          <t>Nota 4</t>
        </is>
      </c>
      <c r="B33" s="74" t="n"/>
      <c r="C33" s="75" t="n"/>
      <c r="D33" s="76" t="n"/>
      <c r="E33" s="37" t="n"/>
      <c r="F33" s="37" t="n"/>
      <c r="G33" s="72">
        <f>IF(OR($D33="",$A$13="",$A$13=0),"",$D33/$A$13)</f>
        <v/>
      </c>
      <c r="H33" s="73" t="n"/>
      <c r="I33" s="46" t="n"/>
      <c r="J33" s="46" t="n"/>
      <c r="K33" s="46" t="n"/>
      <c r="L33" s="46" t="n"/>
      <c r="M33" s="46" t="n"/>
      <c r="N33" s="46" t="n"/>
      <c r="O33" s="46" t="n"/>
    </row>
    <row r="34" ht="20" customHeight="1">
      <c r="A34" s="31" t="inlineStr">
        <is>
          <t>(=) TOTAL FATURADO  →</t>
        </is>
      </c>
      <c r="B34" s="32" t="n"/>
      <c r="C34" s="32" t="n"/>
      <c r="D34" s="60">
        <f>ROUND(SUM($D$30:$D$33),2)</f>
        <v/>
      </c>
      <c r="E34" s="32" t="n"/>
      <c r="F34" s="32" t="n"/>
      <c r="G34" s="62">
        <f>IF(OR($A$13="",$A$13=0),"",$D$34/$A$13)</f>
        <v/>
      </c>
      <c r="H34" s="77">
        <f>IF(OR($A$13="",$A$13=0),"",IF(ROUND($A$13-$D$34,2)&lt;=0,"   Projeto totalmente faturado.","   Ainda a faturar: "&amp;TEXT($A$13-$D$34,"R$ #,##0.00")))</f>
        <v/>
      </c>
      <c r="I34" s="32" t="n"/>
      <c r="J34" s="32" t="n"/>
      <c r="K34" s="32" t="n"/>
      <c r="L34" s="32" t="n"/>
      <c r="M34" s="32" t="n"/>
      <c r="N34" s="32" t="n"/>
      <c r="O34" s="32" t="n"/>
    </row>
    <row r="35" ht="8" customHeight="1"/>
    <row r="36" ht="20" customHeight="1">
      <c r="A36" s="8" t="inlineStr">
        <is>
          <t xml:space="preserve">  2 · CUSTOS DE VENDA          tudo que sai por causa da venda · define a RECEITA LÍQUIDA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</row>
    <row r="37" ht="26" customHeight="1">
      <c r="A37" s="19" t="inlineStr">
        <is>
          <t>Item</t>
        </is>
      </c>
      <c r="B37" s="19" t="inlineStr">
        <is>
          <t>%</t>
        </is>
      </c>
      <c r="C37" s="19" t="inlineStr">
        <is>
          <t>Orçado (R$)</t>
        </is>
      </c>
      <c r="D37" s="19" t="inlineStr">
        <is>
          <t>Realizado (R$)</t>
        </is>
      </c>
      <c r="E37" s="19" t="inlineStr">
        <is>
          <t>Desvio (R$)</t>
        </is>
      </c>
      <c r="F37" s="35" t="n"/>
      <c r="G37" s="19" t="inlineStr">
        <is>
          <t>% da venda</t>
        </is>
      </c>
      <c r="H37" s="19" t="inlineStr">
        <is>
          <t>Observação</t>
        </is>
      </c>
      <c r="I37" s="35" t="n"/>
      <c r="J37" s="35" t="n"/>
      <c r="K37" s="35" t="n"/>
      <c r="L37" s="35" t="n"/>
      <c r="M37" s="35" t="n"/>
      <c r="N37" s="35" t="n"/>
      <c r="O37" s="35" t="n"/>
    </row>
    <row r="38" ht="17" customHeight="1">
      <c r="A38" s="36" t="inlineStr">
        <is>
          <t>Impostos sobre a nota (Simples)</t>
        </is>
      </c>
      <c r="B38" s="78" t="n"/>
      <c r="C38" s="56">
        <f>IF($B38="","",ROUND($B38*$C$28,2))</f>
        <v/>
      </c>
      <c r="D38" s="56">
        <f>IF($B38="","",ROUND($B38*$A$13,2))</f>
        <v/>
      </c>
      <c r="E38" s="56">
        <f>IF(OR($C38="",$D38=""),"",ROUND($D38-$C38,2))</f>
        <v/>
      </c>
      <c r="F38" s="38" t="n"/>
      <c r="G38" s="72">
        <f>IF(OR($D38="",$A$13="",$A$13=0),"",$D38/$A$13)</f>
        <v/>
      </c>
      <c r="H38" s="73" t="inlineStr">
        <is>
          <t>% sobre o valor de venda</t>
        </is>
      </c>
      <c r="I38" s="46" t="n"/>
      <c r="J38" s="46" t="n"/>
      <c r="K38" s="46" t="n"/>
      <c r="L38" s="46" t="n"/>
      <c r="M38" s="46" t="n"/>
      <c r="N38" s="46" t="n"/>
      <c r="O38" s="46" t="n"/>
    </row>
    <row r="39" ht="17" customHeight="1">
      <c r="A39" s="36" t="inlineStr">
        <is>
          <t>Taxa de máquina de cartão</t>
        </is>
      </c>
      <c r="B39" s="78" t="n"/>
      <c r="C39" s="56">
        <f>IF($B39="","",ROUND($B39*$C$28,2))</f>
        <v/>
      </c>
      <c r="D39" s="56">
        <f>IF($B39="","",ROUND($B39*$A$13,2))</f>
        <v/>
      </c>
      <c r="E39" s="56">
        <f>IF(OR($C39="",$D39=""),"",ROUND($D39-$C39,2))</f>
        <v/>
      </c>
      <c r="F39" s="38" t="n"/>
      <c r="G39" s="72">
        <f>IF(OR($D39="",$A$13="",$A$13=0),"",$D39/$A$13)</f>
        <v/>
      </c>
      <c r="H39" s="73" t="inlineStr">
        <is>
          <t>% sobre o valor de venda</t>
        </is>
      </c>
      <c r="I39" s="46" t="n"/>
      <c r="J39" s="46" t="n"/>
      <c r="K39" s="46" t="n"/>
      <c r="L39" s="46" t="n"/>
      <c r="M39" s="46" t="n"/>
      <c r="N39" s="46" t="n"/>
      <c r="O39" s="46" t="n"/>
    </row>
    <row r="40" ht="17" customHeight="1">
      <c r="A40" s="36" t="inlineStr">
        <is>
          <t>Taxas de transação (PIX, boleto, TED)</t>
        </is>
      </c>
      <c r="B40" s="37" t="n"/>
      <c r="C40" s="71" t="n"/>
      <c r="D40" s="71" t="n"/>
      <c r="E40" s="56">
        <f>IF(OR($C40="",$D40=""),"",ROUND($D40-$C40,2))</f>
        <v/>
      </c>
      <c r="F40" s="38" t="n"/>
      <c r="G40" s="72">
        <f>IF(OR($D40="",$A$13="",$A$13=0),"",$D40/$A$13)</f>
        <v/>
      </c>
      <c r="H40" s="73" t="inlineStr">
        <is>
          <t>valor em reais</t>
        </is>
      </c>
      <c r="I40" s="46" t="n"/>
      <c r="J40" s="46" t="n"/>
      <c r="K40" s="46" t="n"/>
      <c r="L40" s="46" t="n"/>
      <c r="M40" s="46" t="n"/>
      <c r="N40" s="46" t="n"/>
      <c r="O40" s="46" t="n"/>
    </row>
    <row r="41" ht="17" customHeight="1">
      <c r="A41" s="36" t="inlineStr">
        <is>
          <t>Comissão de venda (vendedor)</t>
        </is>
      </c>
      <c r="B41" s="78" t="n"/>
      <c r="C41" s="56">
        <f>IF($B41="","",ROUND($B41*$C$28,2))</f>
        <v/>
      </c>
      <c r="D41" s="56">
        <f>IF($B41="","",ROUND($B41*$A$13,2))</f>
        <v/>
      </c>
      <c r="E41" s="56">
        <f>IF(OR($C41="",$D41=""),"",ROUND($D41-$C41,2))</f>
        <v/>
      </c>
      <c r="F41" s="38" t="n"/>
      <c r="G41" s="72">
        <f>IF(OR($D41="",$A$13="",$A$13=0),"",$D41/$A$13)</f>
        <v/>
      </c>
      <c r="H41" s="73" t="inlineStr">
        <is>
          <t>% sobre o valor de venda</t>
        </is>
      </c>
      <c r="I41" s="46" t="n"/>
      <c r="J41" s="46" t="n"/>
      <c r="K41" s="46" t="n"/>
      <c r="L41" s="46" t="n"/>
      <c r="M41" s="46" t="n"/>
      <c r="N41" s="46" t="n"/>
      <c r="O41" s="46" t="n"/>
    </row>
    <row r="42" ht="17" customHeight="1">
      <c r="A42" s="36" t="inlineStr">
        <is>
          <t>Projeto / anteprojeto (externo)</t>
        </is>
      </c>
      <c r="B42" s="37" t="n"/>
      <c r="C42" s="71" t="n"/>
      <c r="D42" s="71" t="n"/>
      <c r="E42" s="56">
        <f>IF(OR($C42="",$D42=""),"",ROUND($D42-$C42,2))</f>
        <v/>
      </c>
      <c r="F42" s="38" t="n"/>
      <c r="G42" s="72">
        <f>IF(OR($D42="",$A$13="",$A$13=0),"",$D42/$A$13)</f>
        <v/>
      </c>
      <c r="H42" s="73" t="inlineStr">
        <is>
          <t>projetista ou arquiteto contratado para o projeto</t>
        </is>
      </c>
      <c r="I42" s="46" t="n"/>
      <c r="J42" s="46" t="n"/>
      <c r="K42" s="46" t="n"/>
      <c r="L42" s="46" t="n"/>
      <c r="M42" s="46" t="n"/>
      <c r="N42" s="46" t="n"/>
      <c r="O42" s="46" t="n"/>
    </row>
    <row r="43" ht="17" customHeight="1">
      <c r="A43" s="36" t="inlineStr">
        <is>
          <t>RT do parceiro</t>
        </is>
      </c>
      <c r="B43" s="78" t="n"/>
      <c r="C43" s="56">
        <f>IF($B43="","",ROUND($B43*($C$28-SUM($C$38:$C$40)),2))</f>
        <v/>
      </c>
      <c r="D43" s="56">
        <f>IF($B43="","",ROUND($B43*($A$13-SUM($D$38:$D$40)),2))</f>
        <v/>
      </c>
      <c r="E43" s="56">
        <f>IF(OR($C43="",$D43=""),"",ROUND($D43-$C43,2))</f>
        <v/>
      </c>
      <c r="F43" s="38" t="n"/>
      <c r="G43" s="72">
        <f>IF(OR($D43="",$A$13="",$A$13=0),"",$D43/$A$13)</f>
        <v/>
      </c>
      <c r="H43" s="73" t="inlineStr">
        <is>
          <t>% sobre o líquido: venda menos impostos, máquina e taxas</t>
        </is>
      </c>
      <c r="I43" s="46" t="n"/>
      <c r="J43" s="46" t="n"/>
      <c r="K43" s="46" t="n"/>
      <c r="L43" s="46" t="n"/>
      <c r="M43" s="46" t="n"/>
      <c r="N43" s="46" t="n"/>
      <c r="O43" s="46" t="n"/>
    </row>
    <row r="44" ht="20" customHeight="1">
      <c r="A44" s="31" t="inlineStr">
        <is>
          <t>(=) SUBTOTAL DOS CUSTOS DE VENDA</t>
        </is>
      </c>
      <c r="B44" s="32" t="n"/>
      <c r="C44" s="60">
        <f>ROUND(SUM(C38:C43),2)</f>
        <v/>
      </c>
      <c r="D44" s="60">
        <f>ROUND(SUM(D38:D43),2)</f>
        <v/>
      </c>
      <c r="E44" s="60">
        <f>ROUND($D44-$C44,2)</f>
        <v/>
      </c>
      <c r="F44" s="32" t="n"/>
      <c r="G44" s="62">
        <f>IF(OR($A$13="",$A$13=0),"",$D44/$A$13)</f>
        <v/>
      </c>
      <c r="H44" s="32" t="n"/>
      <c r="I44" s="32" t="n"/>
      <c r="J44" s="32" t="n"/>
      <c r="K44" s="32" t="n"/>
      <c r="L44" s="32" t="n"/>
      <c r="M44" s="32" t="n"/>
      <c r="N44" s="32" t="n"/>
      <c r="O44" s="32" t="n"/>
    </row>
    <row r="45" ht="24" customHeight="1">
      <c r="A45" s="79" t="inlineStr">
        <is>
          <t>(=) RECEITA LÍQUIDA</t>
        </is>
      </c>
      <c r="B45" s="64" t="n"/>
      <c r="C45" s="80">
        <f>ROUND($C$28-$C$44,2)</f>
        <v/>
      </c>
      <c r="D45" s="80">
        <f>ROUND($A$13-$D$44,2)</f>
        <v/>
      </c>
      <c r="E45" s="66">
        <f>ROUND($D$45-$C$45,2)</f>
        <v/>
      </c>
      <c r="F45" s="64" t="n"/>
      <c r="G45" s="81">
        <f>IF(OR($A$13="",$A$13=0),"",$D$45/$A$13)</f>
        <v/>
      </c>
      <c r="H45" s="82" t="inlineStr">
        <is>
          <t>É esta a base das comissões: coordenação, produção, montagem e projetista</t>
        </is>
      </c>
      <c r="I45" s="64" t="n"/>
      <c r="J45" s="64" t="n"/>
      <c r="K45" s="64" t="n"/>
      <c r="L45" s="64" t="n"/>
      <c r="M45" s="64" t="n"/>
      <c r="N45" s="64" t="n"/>
      <c r="O45" s="64" t="n"/>
    </row>
    <row r="46" ht="8" customHeight="1"/>
    <row r="47" ht="20" customHeight="1">
      <c r="A47" s="8" t="inlineStr">
        <is>
          <t xml:space="preserve">  3 · AMBIENTES, PRODUÇÃO, MONTAGEM E PROJETO          cada ambiente com quem produziu, quem montou e quem projetou · a comissão incide sobre a receita líquida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</row>
    <row r="48" ht="32" customHeight="1">
      <c r="A48" s="19" t="inlineStr">
        <is>
          <t>Ambiente</t>
        </is>
      </c>
      <c r="B48" s="19" t="inlineStr">
        <is>
          <t>% do total</t>
        </is>
      </c>
      <c r="C48" s="19" t="inlineStr">
        <is>
          <t>Valor do ambiente (R$)</t>
        </is>
      </c>
      <c r="D48" s="19" t="inlineStr">
        <is>
          <t>Produção — quem</t>
        </is>
      </c>
      <c r="E48" s="19" t="inlineStr">
        <is>
          <t>%</t>
        </is>
      </c>
      <c r="F48" s="19" t="inlineStr">
        <is>
          <t>Comissão produção (R$)</t>
        </is>
      </c>
      <c r="G48" s="19" t="inlineStr">
        <is>
          <t>Fabricado em</t>
        </is>
      </c>
      <c r="H48" s="19" t="inlineStr">
        <is>
          <t>Montagem — quem</t>
        </is>
      </c>
      <c r="I48" s="19" t="inlineStr">
        <is>
          <t>%</t>
        </is>
      </c>
      <c r="J48" s="19" t="inlineStr">
        <is>
          <t>Comissão montagem (R$)</t>
        </is>
      </c>
      <c r="K48" s="19" t="inlineStr">
        <is>
          <t>Montado em</t>
        </is>
      </c>
      <c r="L48" s="19" t="inlineStr">
        <is>
          <t>Projetista — quem</t>
        </is>
      </c>
      <c r="M48" s="19" t="inlineStr">
        <is>
          <t>%</t>
        </is>
      </c>
      <c r="N48" s="19" t="inlineStr">
        <is>
          <t>Comissão projetista (R$)</t>
        </is>
      </c>
      <c r="O48" s="19" t="inlineStr">
        <is>
          <t>Total do ambiente</t>
        </is>
      </c>
    </row>
    <row r="49" ht="18" customHeight="1">
      <c r="A49" s="83" t="n"/>
      <c r="B49" s="72">
        <f>IF(OR($C49="",$A$13="",$A$13=0),"",$C49/$A$13)</f>
        <v/>
      </c>
      <c r="C49" s="76" t="n"/>
      <c r="D49" s="83" t="n"/>
      <c r="E49" s="78" t="n"/>
      <c r="F49" s="56">
        <f>IF(OR($B49="",$E49="",$D$45=""),"",ROUND($B49*$D$45*$E49,2))</f>
        <v/>
      </c>
      <c r="G49" s="84" t="n"/>
      <c r="H49" s="83" t="n"/>
      <c r="I49" s="78" t="n"/>
      <c r="J49" s="56">
        <f>IF(OR($B49="",$I49="",$D$45=""),"",ROUND($B49*$D$45*$I49,2))</f>
        <v/>
      </c>
      <c r="K49" s="84" t="n"/>
      <c r="L49" s="83" t="n"/>
      <c r="M49" s="78" t="n"/>
      <c r="N49" s="56">
        <f>IF(OR($B49="",$M49="",$D$45=""),"",ROUND($B49*$D$45*$M49,2))</f>
        <v/>
      </c>
      <c r="O49" s="85">
        <f>IF(AND($F49="",$J49="",$N49=""),"",ROUND(IF($F49="",0,$F49)+IF($J49="",0,$J49)+IF($N49="",0,$N49),2))</f>
        <v/>
      </c>
    </row>
    <row r="50" ht="18" customHeight="1">
      <c r="A50" s="83" t="n"/>
      <c r="B50" s="72">
        <f>IF(OR($C50="",$A$13="",$A$13=0),"",$C50/$A$13)</f>
        <v/>
      </c>
      <c r="C50" s="76" t="n"/>
      <c r="D50" s="83" t="n"/>
      <c r="E50" s="78" t="n"/>
      <c r="F50" s="56">
        <f>IF(OR($B50="",$E50="",$D$45=""),"",ROUND($B50*$D$45*$E50,2))</f>
        <v/>
      </c>
      <c r="G50" s="84" t="n"/>
      <c r="H50" s="83" t="n"/>
      <c r="I50" s="78" t="n"/>
      <c r="J50" s="56">
        <f>IF(OR($B50="",$I50="",$D$45=""),"",ROUND($B50*$D$45*$I50,2))</f>
        <v/>
      </c>
      <c r="K50" s="84" t="n"/>
      <c r="L50" s="83" t="n"/>
      <c r="M50" s="78" t="n"/>
      <c r="N50" s="56">
        <f>IF(OR($B50="",$M50="",$D$45=""),"",ROUND($B50*$D$45*$M50,2))</f>
        <v/>
      </c>
      <c r="O50" s="85">
        <f>IF(AND($F50="",$J50="",$N50=""),"",ROUND(IF($F50="",0,$F50)+IF($J50="",0,$J50)+IF($N50="",0,$N50),2))</f>
        <v/>
      </c>
    </row>
    <row r="51" ht="18" customHeight="1">
      <c r="A51" s="83" t="n"/>
      <c r="B51" s="72">
        <f>IF(OR($C51="",$A$13="",$A$13=0),"",$C51/$A$13)</f>
        <v/>
      </c>
      <c r="C51" s="76" t="n"/>
      <c r="D51" s="83" t="n"/>
      <c r="E51" s="78" t="n"/>
      <c r="F51" s="56">
        <f>IF(OR($B51="",$E51="",$D$45=""),"",ROUND($B51*$D$45*$E51,2))</f>
        <v/>
      </c>
      <c r="G51" s="84" t="n"/>
      <c r="H51" s="83" t="n"/>
      <c r="I51" s="78" t="n"/>
      <c r="J51" s="56">
        <f>IF(OR($B51="",$I51="",$D$45=""),"",ROUND($B51*$D$45*$I51,2))</f>
        <v/>
      </c>
      <c r="K51" s="84" t="n"/>
      <c r="L51" s="83" t="n"/>
      <c r="M51" s="78" t="n"/>
      <c r="N51" s="56">
        <f>IF(OR($B51="",$M51="",$D$45=""),"",ROUND($B51*$D$45*$M51,2))</f>
        <v/>
      </c>
      <c r="O51" s="85">
        <f>IF(AND($F51="",$J51="",$N51=""),"",ROUND(IF($F51="",0,$F51)+IF($J51="",0,$J51)+IF($N51="",0,$N51),2))</f>
        <v/>
      </c>
    </row>
    <row r="52" ht="18" customHeight="1">
      <c r="A52" s="83" t="n"/>
      <c r="B52" s="72">
        <f>IF(OR($C52="",$A$13="",$A$13=0),"",$C52/$A$13)</f>
        <v/>
      </c>
      <c r="C52" s="76" t="n"/>
      <c r="D52" s="83" t="n"/>
      <c r="E52" s="78" t="n"/>
      <c r="F52" s="56">
        <f>IF(OR($B52="",$E52="",$D$45=""),"",ROUND($B52*$D$45*$E52,2))</f>
        <v/>
      </c>
      <c r="G52" s="84" t="n"/>
      <c r="H52" s="83" t="n"/>
      <c r="I52" s="78" t="n"/>
      <c r="J52" s="56">
        <f>IF(OR($B52="",$I52="",$D$45=""),"",ROUND($B52*$D$45*$I52,2))</f>
        <v/>
      </c>
      <c r="K52" s="84" t="n"/>
      <c r="L52" s="83" t="n"/>
      <c r="M52" s="78" t="n"/>
      <c r="N52" s="56">
        <f>IF(OR($B52="",$M52="",$D$45=""),"",ROUND($B52*$D$45*$M52,2))</f>
        <v/>
      </c>
      <c r="O52" s="85">
        <f>IF(AND($F52="",$J52="",$N52=""),"",ROUND(IF($F52="",0,$F52)+IF($J52="",0,$J52)+IF($N52="",0,$N52),2))</f>
        <v/>
      </c>
    </row>
    <row r="53" ht="18" customHeight="1">
      <c r="A53" s="83" t="n"/>
      <c r="B53" s="72">
        <f>IF(OR($C53="",$A$13="",$A$13=0),"",$C53/$A$13)</f>
        <v/>
      </c>
      <c r="C53" s="76" t="n"/>
      <c r="D53" s="83" t="n"/>
      <c r="E53" s="78" t="n"/>
      <c r="F53" s="56">
        <f>IF(OR($B53="",$E53="",$D$45=""),"",ROUND($B53*$D$45*$E53,2))</f>
        <v/>
      </c>
      <c r="G53" s="84" t="n"/>
      <c r="H53" s="83" t="n"/>
      <c r="I53" s="78" t="n"/>
      <c r="J53" s="56">
        <f>IF(OR($B53="",$I53="",$D$45=""),"",ROUND($B53*$D$45*$I53,2))</f>
        <v/>
      </c>
      <c r="K53" s="84" t="n"/>
      <c r="L53" s="83" t="n"/>
      <c r="M53" s="78" t="n"/>
      <c r="N53" s="56">
        <f>IF(OR($B53="",$M53="",$D$45=""),"",ROUND($B53*$D$45*$M53,2))</f>
        <v/>
      </c>
      <c r="O53" s="85">
        <f>IF(AND($F53="",$J53="",$N53=""),"",ROUND(IF($F53="",0,$F53)+IF($J53="",0,$J53)+IF($N53="",0,$N53),2))</f>
        <v/>
      </c>
    </row>
    <row r="54" ht="18" customHeight="1">
      <c r="A54" s="83" t="n"/>
      <c r="B54" s="72">
        <f>IF(OR($C54="",$A$13="",$A$13=0),"",$C54/$A$13)</f>
        <v/>
      </c>
      <c r="C54" s="76" t="n"/>
      <c r="D54" s="83" t="n"/>
      <c r="E54" s="78" t="n"/>
      <c r="F54" s="56">
        <f>IF(OR($B54="",$E54="",$D$45=""),"",ROUND($B54*$D$45*$E54,2))</f>
        <v/>
      </c>
      <c r="G54" s="84" t="n"/>
      <c r="H54" s="83" t="n"/>
      <c r="I54" s="78" t="n"/>
      <c r="J54" s="56">
        <f>IF(OR($B54="",$I54="",$D$45=""),"",ROUND($B54*$D$45*$I54,2))</f>
        <v/>
      </c>
      <c r="K54" s="84" t="n"/>
      <c r="L54" s="83" t="n"/>
      <c r="M54" s="78" t="n"/>
      <c r="N54" s="56">
        <f>IF(OR($B54="",$M54="",$D$45=""),"",ROUND($B54*$D$45*$M54,2))</f>
        <v/>
      </c>
      <c r="O54" s="85">
        <f>IF(AND($F54="",$J54="",$N54=""),"",ROUND(IF($F54="",0,$F54)+IF($J54="",0,$J54)+IF($N54="",0,$N54),2))</f>
        <v/>
      </c>
    </row>
    <row r="55" ht="18" customHeight="1">
      <c r="A55" s="83" t="n"/>
      <c r="B55" s="72">
        <f>IF(OR($C55="",$A$13="",$A$13=0),"",$C55/$A$13)</f>
        <v/>
      </c>
      <c r="C55" s="76" t="n"/>
      <c r="D55" s="83" t="n"/>
      <c r="E55" s="78" t="n"/>
      <c r="F55" s="56">
        <f>IF(OR($B55="",$E55="",$D$45=""),"",ROUND($B55*$D$45*$E55,2))</f>
        <v/>
      </c>
      <c r="G55" s="84" t="n"/>
      <c r="H55" s="83" t="n"/>
      <c r="I55" s="78" t="n"/>
      <c r="J55" s="56">
        <f>IF(OR($B55="",$I55="",$D$45=""),"",ROUND($B55*$D$45*$I55,2))</f>
        <v/>
      </c>
      <c r="K55" s="84" t="n"/>
      <c r="L55" s="83" t="n"/>
      <c r="M55" s="78" t="n"/>
      <c r="N55" s="56">
        <f>IF(OR($B55="",$M55="",$D$45=""),"",ROUND($B55*$D$45*$M55,2))</f>
        <v/>
      </c>
      <c r="O55" s="85">
        <f>IF(AND($F55="",$J55="",$N55=""),"",ROUND(IF($F55="",0,$F55)+IF($J55="",0,$J55)+IF($N55="",0,$N55),2))</f>
        <v/>
      </c>
    </row>
    <row r="56" ht="18" customHeight="1">
      <c r="A56" s="83" t="n"/>
      <c r="B56" s="72">
        <f>IF(OR($C56="",$A$13="",$A$13=0),"",$C56/$A$13)</f>
        <v/>
      </c>
      <c r="C56" s="76" t="n"/>
      <c r="D56" s="83" t="n"/>
      <c r="E56" s="78" t="n"/>
      <c r="F56" s="56">
        <f>IF(OR($B56="",$E56="",$D$45=""),"",ROUND($B56*$D$45*$E56,2))</f>
        <v/>
      </c>
      <c r="G56" s="84" t="n"/>
      <c r="H56" s="83" t="n"/>
      <c r="I56" s="78" t="n"/>
      <c r="J56" s="56">
        <f>IF(OR($B56="",$I56="",$D$45=""),"",ROUND($B56*$D$45*$I56,2))</f>
        <v/>
      </c>
      <c r="K56" s="84" t="n"/>
      <c r="L56" s="83" t="n"/>
      <c r="M56" s="78" t="n"/>
      <c r="N56" s="56">
        <f>IF(OR($B56="",$M56="",$D$45=""),"",ROUND($B56*$D$45*$M56,2))</f>
        <v/>
      </c>
      <c r="O56" s="85">
        <f>IF(AND($F56="",$J56="",$N56=""),"",ROUND(IF($F56="",0,$F56)+IF($J56="",0,$J56)+IF($N56="",0,$N56),2))</f>
        <v/>
      </c>
    </row>
    <row r="57" ht="18" customHeight="1">
      <c r="A57" s="83" t="n"/>
      <c r="B57" s="72">
        <f>IF(OR($C57="",$A$13="",$A$13=0),"",$C57/$A$13)</f>
        <v/>
      </c>
      <c r="C57" s="76" t="n"/>
      <c r="D57" s="83" t="n"/>
      <c r="E57" s="78" t="n"/>
      <c r="F57" s="56">
        <f>IF(OR($B57="",$E57="",$D$45=""),"",ROUND($B57*$D$45*$E57,2))</f>
        <v/>
      </c>
      <c r="G57" s="84" t="n"/>
      <c r="H57" s="83" t="n"/>
      <c r="I57" s="78" t="n"/>
      <c r="J57" s="56">
        <f>IF(OR($B57="",$I57="",$D$45=""),"",ROUND($B57*$D$45*$I57,2))</f>
        <v/>
      </c>
      <c r="K57" s="84" t="n"/>
      <c r="L57" s="83" t="n"/>
      <c r="M57" s="78" t="n"/>
      <c r="N57" s="56">
        <f>IF(OR($B57="",$M57="",$D$45=""),"",ROUND($B57*$D$45*$M57,2))</f>
        <v/>
      </c>
      <c r="O57" s="85">
        <f>IF(AND($F57="",$J57="",$N57=""),"",ROUND(IF($F57="",0,$F57)+IF($J57="",0,$J57)+IF($N57="",0,$N57),2))</f>
        <v/>
      </c>
    </row>
    <row r="58" ht="18" customHeight="1">
      <c r="A58" s="83" t="n"/>
      <c r="B58" s="72">
        <f>IF(OR($C58="",$A$13="",$A$13=0),"",$C58/$A$13)</f>
        <v/>
      </c>
      <c r="C58" s="76" t="n"/>
      <c r="D58" s="83" t="n"/>
      <c r="E58" s="78" t="n"/>
      <c r="F58" s="56">
        <f>IF(OR($B58="",$E58="",$D$45=""),"",ROUND($B58*$D$45*$E58,2))</f>
        <v/>
      </c>
      <c r="G58" s="84" t="n"/>
      <c r="H58" s="83" t="n"/>
      <c r="I58" s="78" t="n"/>
      <c r="J58" s="56">
        <f>IF(OR($B58="",$I58="",$D$45=""),"",ROUND($B58*$D$45*$I58,2))</f>
        <v/>
      </c>
      <c r="K58" s="84" t="n"/>
      <c r="L58" s="83" t="n"/>
      <c r="M58" s="78" t="n"/>
      <c r="N58" s="56">
        <f>IF(OR($B58="",$M58="",$D$45=""),"",ROUND($B58*$D$45*$M58,2))</f>
        <v/>
      </c>
      <c r="O58" s="85">
        <f>IF(AND($F58="",$J58="",$N58=""),"",ROUND(IF($F58="",0,$F58)+IF($J58="",0,$J58)+IF($N58="",0,$N58),2))</f>
        <v/>
      </c>
    </row>
    <row r="59" ht="18" customHeight="1">
      <c r="A59" s="83" t="n"/>
      <c r="B59" s="72">
        <f>IF(OR($C59="",$A$13="",$A$13=0),"",$C59/$A$13)</f>
        <v/>
      </c>
      <c r="C59" s="76" t="n"/>
      <c r="D59" s="83" t="n"/>
      <c r="E59" s="78" t="n"/>
      <c r="F59" s="56">
        <f>IF(OR($B59="",$E59="",$D$45=""),"",ROUND($B59*$D$45*$E59,2))</f>
        <v/>
      </c>
      <c r="G59" s="84" t="n"/>
      <c r="H59" s="83" t="n"/>
      <c r="I59" s="78" t="n"/>
      <c r="J59" s="56">
        <f>IF(OR($B59="",$I59="",$D$45=""),"",ROUND($B59*$D$45*$I59,2))</f>
        <v/>
      </c>
      <c r="K59" s="84" t="n"/>
      <c r="L59" s="83" t="n"/>
      <c r="M59" s="78" t="n"/>
      <c r="N59" s="56">
        <f>IF(OR($B59="",$M59="",$D$45=""),"",ROUND($B59*$D$45*$M59,2))</f>
        <v/>
      </c>
      <c r="O59" s="85">
        <f>IF(AND($F59="",$J59="",$N59=""),"",ROUND(IF($F59="",0,$F59)+IF($J59="",0,$J59)+IF($N59="",0,$N59),2))</f>
        <v/>
      </c>
    </row>
    <row r="60" ht="18" customHeight="1">
      <c r="A60" s="83" t="n"/>
      <c r="B60" s="72">
        <f>IF(OR($C60="",$A$13="",$A$13=0),"",$C60/$A$13)</f>
        <v/>
      </c>
      <c r="C60" s="76" t="n"/>
      <c r="D60" s="83" t="n"/>
      <c r="E60" s="78" t="n"/>
      <c r="F60" s="56">
        <f>IF(OR($B60="",$E60="",$D$45=""),"",ROUND($B60*$D$45*$E60,2))</f>
        <v/>
      </c>
      <c r="G60" s="84" t="n"/>
      <c r="H60" s="83" t="n"/>
      <c r="I60" s="78" t="n"/>
      <c r="J60" s="56">
        <f>IF(OR($B60="",$I60="",$D$45=""),"",ROUND($B60*$D$45*$I60,2))</f>
        <v/>
      </c>
      <c r="K60" s="84" t="n"/>
      <c r="L60" s="83" t="n"/>
      <c r="M60" s="78" t="n"/>
      <c r="N60" s="56">
        <f>IF(OR($B60="",$M60="",$D$45=""),"",ROUND($B60*$D$45*$M60,2))</f>
        <v/>
      </c>
      <c r="O60" s="85">
        <f>IF(AND($F60="",$J60="",$N60=""),"",ROUND(IF($F60="",0,$F60)+IF($J60="",0,$J60)+IF($N60="",0,$N60),2))</f>
        <v/>
      </c>
    </row>
    <row r="61" ht="20" customHeight="1">
      <c r="A61" s="31" t="inlineStr">
        <is>
          <t>SOMA DOS AMBIENTES</t>
        </is>
      </c>
      <c r="B61" s="62">
        <f>IF($A$13=0,"",$C$61/$A$13)</f>
        <v/>
      </c>
      <c r="C61" s="60">
        <f>ROUND(SUM(C49:C60),2)</f>
        <v/>
      </c>
      <c r="D61" s="86">
        <f>IF($C$61=0,"—",IF(ROUND($C$61-$A$13,2)=0,"OK · os ambientes somam o valor de venda","ATENÇÃO: diferença de "&amp;TEXT($C$61-$A$13,"R$ #,##0.00")))</f>
        <v/>
      </c>
      <c r="E61" s="32" t="n"/>
      <c r="F61" s="60">
        <f>ROUND(SUM(F49:F60),2)</f>
        <v/>
      </c>
      <c r="G61" s="32" t="n"/>
      <c r="H61" s="32" t="n"/>
      <c r="I61" s="32" t="n"/>
      <c r="J61" s="60">
        <f>ROUND(SUM(J49:J60),2)</f>
        <v/>
      </c>
      <c r="K61" s="32" t="n"/>
      <c r="L61" s="32" t="n"/>
      <c r="M61" s="32" t="n"/>
      <c r="N61" s="60">
        <f>ROUND(SUM(N49:N60),2)</f>
        <v/>
      </c>
      <c r="O61" s="60">
        <f>ROUND(SUM(O49:O60),2)</f>
        <v/>
      </c>
    </row>
    <row r="62" ht="8" customHeight="1"/>
    <row r="63" ht="20" customHeight="1">
      <c r="A63" s="8" t="inlineStr">
        <is>
          <t xml:space="preserve">  4 · COMISSÕES OPERACIONAIS          calculadas sobre a RECEITA LÍQUIDA · o realizado vem dos ambientes acima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</row>
    <row r="64" ht="26" customHeight="1">
      <c r="A64" s="19" t="inlineStr">
        <is>
          <t>Item</t>
        </is>
      </c>
      <c r="B64" s="19" t="inlineStr">
        <is>
          <t>%</t>
        </is>
      </c>
      <c r="C64" s="19" t="inlineStr">
        <is>
          <t>Orçado (R$)</t>
        </is>
      </c>
      <c r="D64" s="19" t="inlineStr">
        <is>
          <t>Realizado (R$)</t>
        </is>
      </c>
      <c r="E64" s="19" t="inlineStr">
        <is>
          <t>Desvio (R$)</t>
        </is>
      </c>
      <c r="F64" s="35" t="n"/>
      <c r="G64" s="19" t="inlineStr">
        <is>
          <t>% da venda</t>
        </is>
      </c>
      <c r="H64" s="19" t="inlineStr">
        <is>
          <t>Observação</t>
        </is>
      </c>
      <c r="I64" s="35" t="n"/>
      <c r="J64" s="35" t="n"/>
      <c r="K64" s="35" t="n"/>
      <c r="L64" s="35" t="n"/>
      <c r="M64" s="35" t="n"/>
      <c r="N64" s="35" t="n"/>
      <c r="O64" s="35" t="n"/>
    </row>
    <row r="65" ht="17" customHeight="1">
      <c r="A65" s="36" t="inlineStr">
        <is>
          <t>Coordenação de produção</t>
        </is>
      </c>
      <c r="B65" s="78" t="n"/>
      <c r="C65" s="56">
        <f>IF($B65="","",ROUND($B65*$C$45,2))</f>
        <v/>
      </c>
      <c r="D65" s="56">
        <f>IF($B65="","",ROUND($B65*$D$45,2))</f>
        <v/>
      </c>
      <c r="E65" s="56">
        <f>IF(OR($C65="",$D65=""),"",ROUND($D65-$C65,2))</f>
        <v/>
      </c>
      <c r="F65" s="38" t="n"/>
      <c r="G65" s="72">
        <f>IF(OR($D65="",$A$13="",$A$13=0),"",$D65/$A$13)</f>
        <v/>
      </c>
      <c r="H65" s="73" t="inlineStr">
        <is>
          <t>quem coordena está na identificação, no topo da ficha</t>
        </is>
      </c>
      <c r="I65" s="46" t="n"/>
      <c r="J65" s="46" t="n"/>
      <c r="K65" s="46" t="n"/>
      <c r="L65" s="46" t="n"/>
      <c r="M65" s="46" t="n"/>
      <c r="N65" s="46" t="n"/>
      <c r="O65" s="46" t="n"/>
    </row>
    <row r="66" ht="17" customHeight="1">
      <c r="A66" s="36" t="inlineStr">
        <is>
          <t>Gestão técnica</t>
        </is>
      </c>
      <c r="B66" s="78" t="n">
        <v>0.005</v>
      </c>
      <c r="C66" s="56">
        <f>IF($B66="","",ROUND($B66*$C$45,2))</f>
        <v/>
      </c>
      <c r="D66" s="56">
        <f>IF($B66="","",ROUND($B66*$D$45,2))</f>
        <v/>
      </c>
      <c r="E66" s="56">
        <f>IF(OR($C66="",$D66=""),"",ROUND($D66-$C66,2))</f>
        <v/>
      </c>
      <c r="F66" s="38" t="n"/>
      <c r="G66" s="72">
        <f>IF(OR($D66="",$A$13="",$A$13=0),"",$D66/$A$13)</f>
        <v/>
      </c>
      <c r="H66" s="73" t="n"/>
      <c r="I66" s="46" t="n"/>
      <c r="J66" s="46" t="n"/>
      <c r="K66" s="46" t="n"/>
      <c r="L66" s="46" t="n"/>
      <c r="M66" s="46" t="n"/>
      <c r="N66" s="46" t="n"/>
      <c r="O66" s="46" t="n"/>
    </row>
    <row r="67" ht="17" customHeight="1">
      <c r="A67" s="36" t="inlineStr">
        <is>
          <t>Comissão de produção</t>
        </is>
      </c>
      <c r="B67" s="78" t="n"/>
      <c r="C67" s="56">
        <f>IF($B67="","",ROUND($B67*$C$45,2))</f>
        <v/>
      </c>
      <c r="D67" s="56">
        <f>IF($F$61=0,"",$F$61)</f>
        <v/>
      </c>
      <c r="E67" s="56">
        <f>IF(OR($C67="",$D67=""),"",ROUND($D67-$C67,2))</f>
        <v/>
      </c>
      <c r="F67" s="38" t="n"/>
      <c r="G67" s="72">
        <f>IF(OR($D67="",$A$13="",$A$13=0),"",$D67/$A$13)</f>
        <v/>
      </c>
      <c r="H67" s="73" t="inlineStr">
        <is>
          <t>orçado = % único estimado · realizado = soma dos ambientes</t>
        </is>
      </c>
      <c r="I67" s="46" t="n"/>
      <c r="J67" s="46" t="n"/>
      <c r="K67" s="46" t="n"/>
      <c r="L67" s="46" t="n"/>
      <c r="M67" s="46" t="n"/>
      <c r="N67" s="46" t="n"/>
      <c r="O67" s="46" t="n"/>
    </row>
    <row r="68" ht="17" customHeight="1">
      <c r="A68" s="36" t="inlineStr">
        <is>
          <t>Comissão de montagem</t>
        </is>
      </c>
      <c r="B68" s="78" t="n"/>
      <c r="C68" s="56">
        <f>IF($B68="","",ROUND($B68*$C$45,2))</f>
        <v/>
      </c>
      <c r="D68" s="56">
        <f>IF($J$61=0,"",$J$61)</f>
        <v/>
      </c>
      <c r="E68" s="56">
        <f>IF(OR($C68="",$D68=""),"",ROUND($D68-$C68,2))</f>
        <v/>
      </c>
      <c r="F68" s="38" t="n"/>
      <c r="G68" s="72">
        <f>IF(OR($D68="",$A$13="",$A$13=0),"",$D68/$A$13)</f>
        <v/>
      </c>
      <c r="H68" s="73" t="inlineStr">
        <is>
          <t>orçado = % único estimado · realizado = soma dos ambientes</t>
        </is>
      </c>
      <c r="I68" s="46" t="n"/>
      <c r="J68" s="46" t="n"/>
      <c r="K68" s="46" t="n"/>
      <c r="L68" s="46" t="n"/>
      <c r="M68" s="46" t="n"/>
      <c r="N68" s="46" t="n"/>
      <c r="O68" s="46" t="n"/>
    </row>
    <row r="69" ht="17" customHeight="1">
      <c r="A69" s="36" t="inlineStr">
        <is>
          <t>Comissão de projetista</t>
        </is>
      </c>
      <c r="B69" s="78" t="n"/>
      <c r="C69" s="56">
        <f>IF($B69="","",ROUND($B69*$C$45,2))</f>
        <v/>
      </c>
      <c r="D69" s="56">
        <f>IF($N$61=0,"",$N$61)</f>
        <v/>
      </c>
      <c r="E69" s="56">
        <f>IF(OR($C69="",$D69=""),"",ROUND($D69-$C69,2))</f>
        <v/>
      </c>
      <c r="F69" s="38" t="n"/>
      <c r="G69" s="72">
        <f>IF(OR($D69="",$A$13="",$A$13=0),"",$D69/$A$13)</f>
        <v/>
      </c>
      <c r="H69" s="73" t="inlineStr">
        <is>
          <t>quem projetou cada ambiente está na coluna L do bloco 3</t>
        </is>
      </c>
      <c r="I69" s="46" t="n"/>
      <c r="J69" s="46" t="n"/>
      <c r="K69" s="46" t="n"/>
      <c r="L69" s="46" t="n"/>
      <c r="M69" s="46" t="n"/>
      <c r="N69" s="46" t="n"/>
      <c r="O69" s="46" t="n"/>
    </row>
    <row r="70" ht="20" customHeight="1">
      <c r="A70" s="31" t="inlineStr">
        <is>
          <t>(=) SUBTOTAL DAS COMISSÕES</t>
        </is>
      </c>
      <c r="B70" s="32" t="n"/>
      <c r="C70" s="60">
        <f>ROUND(SUM(C65:C69),2)</f>
        <v/>
      </c>
      <c r="D70" s="60">
        <f>ROUND(SUM(D65:D69),2)</f>
        <v/>
      </c>
      <c r="E70" s="60">
        <f>ROUND($D70-$C70,2)</f>
        <v/>
      </c>
      <c r="F70" s="32" t="n"/>
      <c r="G70" s="62">
        <f>IF(OR($A$13="",$A$13=0),"",$D70/$A$13)</f>
        <v/>
      </c>
      <c r="H70" s="32" t="n"/>
      <c r="I70" s="32" t="n"/>
      <c r="J70" s="32" t="n"/>
      <c r="K70" s="32" t="n"/>
      <c r="L70" s="32" t="n"/>
      <c r="M70" s="32" t="n"/>
      <c r="N70" s="32" t="n"/>
      <c r="O70" s="32" t="n"/>
    </row>
    <row r="71" ht="8" customHeight="1"/>
    <row r="72" ht="20" customHeight="1">
      <c r="A72" s="8" t="inlineStr">
        <is>
          <t xml:space="preserve">  5 · COMISSÕES POR COLABORADOR          consolidado automático — quem produziu, quem montou, quem projetou e o coordenador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</row>
    <row r="73" ht="26" customHeight="1">
      <c r="A73" s="19" t="inlineStr">
        <is>
          <t>Colaborador</t>
        </is>
      </c>
      <c r="B73" s="19" t="inlineStr">
        <is>
          <t>Produção (R$)</t>
        </is>
      </c>
      <c r="C73" s="35" t="n"/>
      <c r="D73" s="19" t="inlineStr">
        <is>
          <t>Montagem (R$)</t>
        </is>
      </c>
      <c r="E73" s="35" t="n"/>
      <c r="F73" s="19" t="inlineStr">
        <is>
          <t>Projeto (R$)</t>
        </is>
      </c>
      <c r="G73" s="35" t="n"/>
      <c r="H73" s="19" t="inlineStr">
        <is>
          <t>Coordenação / Gestão técnica (R$)</t>
        </is>
      </c>
      <c r="I73" s="35" t="n"/>
      <c r="J73" s="19" t="inlineStr">
        <is>
          <t>Total no projeto (R$)</t>
        </is>
      </c>
      <c r="K73" s="35" t="n"/>
      <c r="L73" s="35" t="n"/>
      <c r="M73" s="35" t="n"/>
    </row>
    <row r="74" ht="17" customHeight="1">
      <c r="A74" s="87" t="inlineStr">
        <is>
          <t>Deivison</t>
        </is>
      </c>
      <c r="B74" s="56">
        <f>IF($A74="","",ROUND(SUMIF($D$49:$D$60,$A74,$F$49:$F$60),2))</f>
        <v/>
      </c>
      <c r="C74" s="38" t="n"/>
      <c r="D74" s="56">
        <f>IF($A74="","",ROUND(SUMIF($H$49:$H$60,$A74,$J$49:$J$60),2))</f>
        <v/>
      </c>
      <c r="E74" s="38" t="n"/>
      <c r="F74" s="56">
        <f>IF($A74="","",ROUND(SUMIF($L$49:$L$60,$A74,$N$49:$N$60),2))</f>
        <v/>
      </c>
      <c r="G74" s="38" t="n"/>
      <c r="H74" s="56">
        <f>IF($A74="","",IF($A74=$F$9,IF($D$65="",0,$D$65),0)+IF($A74=$H$66,IF($D$66="",0,$D$66),0))</f>
        <v/>
      </c>
      <c r="I74" s="38" t="n"/>
      <c r="J74" s="88">
        <f>IF($A74="","",ROUND($B74+$D74+$F74+$H74,2))</f>
        <v/>
      </c>
      <c r="K74" s="38" t="n"/>
      <c r="L74" s="38" t="n"/>
      <c r="M74" s="38" t="n"/>
    </row>
    <row r="75" ht="17" customHeight="1">
      <c r="A75" s="87" t="inlineStr">
        <is>
          <t>Ronald</t>
        </is>
      </c>
      <c r="B75" s="56">
        <f>IF($A75="","",ROUND(SUMIF($D$49:$D$60,$A75,$F$49:$F$60),2))</f>
        <v/>
      </c>
      <c r="C75" s="38" t="n"/>
      <c r="D75" s="56">
        <f>IF($A75="","",ROUND(SUMIF($H$49:$H$60,$A75,$J$49:$J$60),2))</f>
        <v/>
      </c>
      <c r="E75" s="38" t="n"/>
      <c r="F75" s="56">
        <f>IF($A75="","",ROUND(SUMIF($L$49:$L$60,$A75,$N$49:$N$60),2))</f>
        <v/>
      </c>
      <c r="G75" s="38" t="n"/>
      <c r="H75" s="56">
        <f>IF($A75="","",IF($A75=$F$9,IF($D$65="",0,$D$65),0)+IF($A75=$H$66,IF($D$66="",0,$D$66),0))</f>
        <v/>
      </c>
      <c r="I75" s="38" t="n"/>
      <c r="J75" s="88">
        <f>IF($A75="","",ROUND($B75+$D75+$F75+$H75,2))</f>
        <v/>
      </c>
      <c r="K75" s="38" t="n"/>
      <c r="L75" s="38" t="n"/>
      <c r="M75" s="38" t="n"/>
    </row>
    <row r="76" ht="17" customHeight="1">
      <c r="A76" s="87" t="inlineStr">
        <is>
          <t>Samuel</t>
        </is>
      </c>
      <c r="B76" s="56">
        <f>IF($A76="","",ROUND(SUMIF($D$49:$D$60,$A76,$F$49:$F$60),2))</f>
        <v/>
      </c>
      <c r="C76" s="38" t="n"/>
      <c r="D76" s="56">
        <f>IF($A76="","",ROUND(SUMIF($H$49:$H$60,$A76,$J$49:$J$60),2))</f>
        <v/>
      </c>
      <c r="E76" s="38" t="n"/>
      <c r="F76" s="56">
        <f>IF($A76="","",ROUND(SUMIF($L$49:$L$60,$A76,$N$49:$N$60),2))</f>
        <v/>
      </c>
      <c r="G76" s="38" t="n"/>
      <c r="H76" s="56">
        <f>IF($A76="","",IF($A76=$F$9,IF($D$65="",0,$D$65),0)+IF($A76=$H$66,IF($D$66="",0,$D$66),0))</f>
        <v/>
      </c>
      <c r="I76" s="38" t="n"/>
      <c r="J76" s="88">
        <f>IF($A76="","",ROUND($B76+$D76+$F76+$H76,2))</f>
        <v/>
      </c>
      <c r="K76" s="38" t="n"/>
      <c r="L76" s="38" t="n"/>
      <c r="M76" s="38" t="n"/>
    </row>
    <row r="77" ht="17" customHeight="1">
      <c r="A77" s="87" t="inlineStr">
        <is>
          <t>Cesar</t>
        </is>
      </c>
      <c r="B77" s="56">
        <f>IF($A77="","",ROUND(SUMIF($D$49:$D$60,$A77,$F$49:$F$60),2))</f>
        <v/>
      </c>
      <c r="C77" s="38" t="n"/>
      <c r="D77" s="56">
        <f>IF($A77="","",ROUND(SUMIF($H$49:$H$60,$A77,$J$49:$J$60),2))</f>
        <v/>
      </c>
      <c r="E77" s="38" t="n"/>
      <c r="F77" s="56">
        <f>IF($A77="","",ROUND(SUMIF($L$49:$L$60,$A77,$N$49:$N$60),2))</f>
        <v/>
      </c>
      <c r="G77" s="38" t="n"/>
      <c r="H77" s="56">
        <f>IF($A77="","",IF($A77=$F$9,IF($D$65="",0,$D$65),0)+IF($A77=$H$66,IF($D$66="",0,$D$66),0))</f>
        <v/>
      </c>
      <c r="I77" s="38" t="n"/>
      <c r="J77" s="88">
        <f>IF($A77="","",ROUND($B77+$D77+$F77+$H77,2))</f>
        <v/>
      </c>
      <c r="K77" s="38" t="n"/>
      <c r="L77" s="38" t="n"/>
      <c r="M77" s="38" t="n"/>
    </row>
    <row r="78" ht="17" customHeight="1">
      <c r="A78" s="87" t="inlineStr">
        <is>
          <t>Jhon</t>
        </is>
      </c>
      <c r="B78" s="56">
        <f>IF($A78="","",ROUND(SUMIF($D$49:$D$60,$A78,$F$49:$F$60),2))</f>
        <v/>
      </c>
      <c r="C78" s="38" t="n"/>
      <c r="D78" s="56">
        <f>IF($A78="","",ROUND(SUMIF($H$49:$H$60,$A78,$J$49:$J$60),2))</f>
        <v/>
      </c>
      <c r="E78" s="38" t="n"/>
      <c r="F78" s="56">
        <f>IF($A78="","",ROUND(SUMIF($L$49:$L$60,$A78,$N$49:$N$60),2))</f>
        <v/>
      </c>
      <c r="G78" s="38" t="n"/>
      <c r="H78" s="56">
        <f>IF($A78="","",IF($A78=$F$9,IF($D$65="",0,$D$65),0)+IF($A78=$H$66,IF($D$66="",0,$D$66),0))</f>
        <v/>
      </c>
      <c r="I78" s="38" t="n"/>
      <c r="J78" s="88">
        <f>IF($A78="","",ROUND($B78+$D78+$F78+$H78,2))</f>
        <v/>
      </c>
      <c r="K78" s="38" t="n"/>
      <c r="L78" s="38" t="n"/>
      <c r="M78" s="38" t="n"/>
    </row>
    <row r="79" ht="17" customHeight="1">
      <c r="A79" s="87" t="inlineStr">
        <is>
          <t>Joelson</t>
        </is>
      </c>
      <c r="B79" s="56">
        <f>IF($A79="","",ROUND(SUMIF($D$49:$D$60,$A79,$F$49:$F$60),2))</f>
        <v/>
      </c>
      <c r="C79" s="38" t="n"/>
      <c r="D79" s="56">
        <f>IF($A79="","",ROUND(SUMIF($H$49:$H$60,$A79,$J$49:$J$60),2))</f>
        <v/>
      </c>
      <c r="E79" s="38" t="n"/>
      <c r="F79" s="56">
        <f>IF($A79="","",ROUND(SUMIF($L$49:$L$60,$A79,$N$49:$N$60),2))</f>
        <v/>
      </c>
      <c r="G79" s="38" t="n"/>
      <c r="H79" s="56">
        <f>IF($A79="","",IF($A79=$F$9,IF($D$65="",0,$D$65),0)+IF($A79=$H$66,IF($D$66="",0,$D$66),0))</f>
        <v/>
      </c>
      <c r="I79" s="38" t="n"/>
      <c r="J79" s="88">
        <f>IF($A79="","",ROUND($B79+$D79+$F79+$H79,2))</f>
        <v/>
      </c>
      <c r="K79" s="38" t="n"/>
      <c r="L79" s="38" t="n"/>
      <c r="M79" s="38" t="n"/>
    </row>
    <row r="80" ht="17" customHeight="1">
      <c r="A80" s="87" t="inlineStr">
        <is>
          <t>Davi</t>
        </is>
      </c>
      <c r="B80" s="56">
        <f>IF($A80="","",ROUND(SUMIF($D$49:$D$60,$A80,$F$49:$F$60),2))</f>
        <v/>
      </c>
      <c r="C80" s="38" t="n"/>
      <c r="D80" s="56">
        <f>IF($A80="","",ROUND(SUMIF($H$49:$H$60,$A80,$J$49:$J$60),2))</f>
        <v/>
      </c>
      <c r="E80" s="38" t="n"/>
      <c r="F80" s="56">
        <f>IF($A80="","",ROUND(SUMIF($L$49:$L$60,$A80,$N$49:$N$60),2))</f>
        <v/>
      </c>
      <c r="G80" s="38" t="n"/>
      <c r="H80" s="56">
        <f>IF($A80="","",IF($A80=$F$9,IF($D$65="",0,$D$65),0)+IF($A80=$H$66,IF($D$66="",0,$D$66),0))</f>
        <v/>
      </c>
      <c r="I80" s="38" t="n"/>
      <c r="J80" s="88">
        <f>IF($A80="","",ROUND($B80+$D80+$F80+$H80,2))</f>
        <v/>
      </c>
      <c r="K80" s="38" t="n"/>
      <c r="L80" s="38" t="n"/>
      <c r="M80" s="38" t="n"/>
    </row>
    <row r="81" ht="17" customHeight="1">
      <c r="A81" s="87" t="inlineStr">
        <is>
          <t>Jomar</t>
        </is>
      </c>
      <c r="B81" s="56">
        <f>IF($A81="","",ROUND(SUMIF($D$49:$D$60,$A81,$F$49:$F$60),2))</f>
        <v/>
      </c>
      <c r="C81" s="38" t="n"/>
      <c r="D81" s="56">
        <f>IF($A81="","",ROUND(SUMIF($H$49:$H$60,$A81,$J$49:$J$60),2))</f>
        <v/>
      </c>
      <c r="E81" s="38" t="n"/>
      <c r="F81" s="56">
        <f>IF($A81="","",ROUND(SUMIF($L$49:$L$60,$A81,$N$49:$N$60),2))</f>
        <v/>
      </c>
      <c r="G81" s="38" t="n"/>
      <c r="H81" s="56">
        <f>IF($A81="","",IF($A81=$F$9,IF($D$65="",0,$D$65),0)+IF($A81=$H$66,IF($D$66="",0,$D$66),0))</f>
        <v/>
      </c>
      <c r="I81" s="38" t="n"/>
      <c r="J81" s="88">
        <f>IF($A81="","",ROUND($B81+$D81+$F81+$H81,2))</f>
        <v/>
      </c>
      <c r="K81" s="38" t="n"/>
      <c r="L81" s="38" t="n"/>
      <c r="M81" s="38" t="n"/>
    </row>
    <row r="82" ht="17" customHeight="1">
      <c r="A82" s="87" t="inlineStr">
        <is>
          <t>Bruno</t>
        </is>
      </c>
      <c r="B82" s="56">
        <f>IF($A82="","",ROUND(SUMIF($D$49:$D$60,$A82,$F$49:$F$60),2))</f>
        <v/>
      </c>
      <c r="C82" s="38" t="n"/>
      <c r="D82" s="56">
        <f>IF($A82="","",ROUND(SUMIF($H$49:$H$60,$A82,$J$49:$J$60),2))</f>
        <v/>
      </c>
      <c r="E82" s="38" t="n"/>
      <c r="F82" s="56">
        <f>IF($A82="","",ROUND(SUMIF($L$49:$L$60,$A82,$N$49:$N$60),2))</f>
        <v/>
      </c>
      <c r="G82" s="38" t="n"/>
      <c r="H82" s="56">
        <f>IF($A82="","",IF($A82=$F$9,IF($D$65="",0,$D$65),0)+IF($A82=$H$66,IF($D$66="",0,$D$66),0))</f>
        <v/>
      </c>
      <c r="I82" s="38" t="n"/>
      <c r="J82" s="88">
        <f>IF($A82="","",ROUND($B82+$D82+$F82+$H82,2))</f>
        <v/>
      </c>
      <c r="K82" s="38" t="n"/>
      <c r="L82" s="38" t="n"/>
      <c r="M82" s="38" t="n"/>
    </row>
    <row r="83" ht="17" customHeight="1">
      <c r="A83" s="87" t="inlineStr">
        <is>
          <t>Wallace</t>
        </is>
      </c>
      <c r="B83" s="56">
        <f>IF($A83="","",ROUND(SUMIF($D$49:$D$60,$A83,$F$49:$F$60),2))</f>
        <v/>
      </c>
      <c r="C83" s="38" t="n"/>
      <c r="D83" s="56">
        <f>IF($A83="","",ROUND(SUMIF($H$49:$H$60,$A83,$J$49:$J$60),2))</f>
        <v/>
      </c>
      <c r="E83" s="38" t="n"/>
      <c r="F83" s="56">
        <f>IF($A83="","",ROUND(SUMIF($L$49:$L$60,$A83,$N$49:$N$60),2))</f>
        <v/>
      </c>
      <c r="G83" s="38" t="n"/>
      <c r="H83" s="56">
        <f>IF($A83="","",IF($A83=$F$9,IF($D$65="",0,$D$65),0)+IF($A83=$H$66,IF($D$66="",0,$D$66),0))</f>
        <v/>
      </c>
      <c r="I83" s="38" t="n"/>
      <c r="J83" s="88">
        <f>IF($A83="","",ROUND($B83+$D83+$F83+$H83,2))</f>
        <v/>
      </c>
      <c r="K83" s="38" t="n"/>
      <c r="L83" s="38" t="n"/>
      <c r="M83" s="38" t="n"/>
    </row>
    <row r="84" ht="17" customHeight="1">
      <c r="A84" s="87" t="inlineStr">
        <is>
          <t>Douglas</t>
        </is>
      </c>
      <c r="B84" s="56">
        <f>IF($A84="","",ROUND(SUMIF($D$49:$D$60,$A84,$F$49:$F$60),2))</f>
        <v/>
      </c>
      <c r="C84" s="38" t="n"/>
      <c r="D84" s="56">
        <f>IF($A84="","",ROUND(SUMIF($H$49:$H$60,$A84,$J$49:$J$60),2))</f>
        <v/>
      </c>
      <c r="E84" s="38" t="n"/>
      <c r="F84" s="56">
        <f>IF($A84="","",ROUND(SUMIF($L$49:$L$60,$A84,$N$49:$N$60),2))</f>
        <v/>
      </c>
      <c r="G84" s="38" t="n"/>
      <c r="H84" s="56">
        <f>IF($A84="","",IF($A84=$F$9,IF($D$65="",0,$D$65),0)+IF($A84=$H$66,IF($D$66="",0,$D$66),0))</f>
        <v/>
      </c>
      <c r="I84" s="38" t="n"/>
      <c r="J84" s="88">
        <f>IF($A84="","",ROUND($B84+$D84+$F84+$H84,2))</f>
        <v/>
      </c>
      <c r="K84" s="38" t="n"/>
      <c r="L84" s="38" t="n"/>
      <c r="M84" s="38" t="n"/>
    </row>
    <row r="85" ht="17" customHeight="1">
      <c r="A85" s="87" t="inlineStr">
        <is>
          <t>Terceiro / avulso</t>
        </is>
      </c>
      <c r="B85" s="56">
        <f>IF($A85="","",ROUND(SUMIF($D$49:$D$60,$A85,$F$49:$F$60),2))</f>
        <v/>
      </c>
      <c r="C85" s="38" t="n"/>
      <c r="D85" s="56">
        <f>IF($A85="","",ROUND(SUMIF($H$49:$H$60,$A85,$J$49:$J$60),2))</f>
        <v/>
      </c>
      <c r="E85" s="38" t="n"/>
      <c r="F85" s="56">
        <f>IF($A85="","",ROUND(SUMIF($L$49:$L$60,$A85,$N$49:$N$60),2))</f>
        <v/>
      </c>
      <c r="G85" s="38" t="n"/>
      <c r="H85" s="56">
        <f>IF($A85="","",IF($A85=$F$9,IF($D$65="",0,$D$65),0)+IF($A85=$H$66,IF($D$66="",0,$D$66),0))</f>
        <v/>
      </c>
      <c r="I85" s="38" t="n"/>
      <c r="J85" s="88">
        <f>IF($A85="","",ROUND($B85+$D85+$F85+$H85,2))</f>
        <v/>
      </c>
      <c r="K85" s="38" t="n"/>
      <c r="L85" s="38" t="n"/>
      <c r="M85" s="38" t="n"/>
    </row>
    <row r="86" ht="17" customHeight="1">
      <c r="A86" s="87" t="inlineStr">
        <is>
          <t>Lorrane</t>
        </is>
      </c>
      <c r="B86" s="56">
        <f>IF($A86="","",ROUND(SUMIF($D$49:$D$60,$A86,$F$49:$F$60),2))</f>
        <v/>
      </c>
      <c r="C86" s="38" t="n"/>
      <c r="D86" s="56">
        <f>IF($A86="","",ROUND(SUMIF($H$49:$H$60,$A86,$J$49:$J$60),2))</f>
        <v/>
      </c>
      <c r="E86" s="38" t="n"/>
      <c r="F86" s="56">
        <f>IF($A86="","",ROUND(SUMIF($L$49:$L$60,$A86,$N$49:$N$60),2))</f>
        <v/>
      </c>
      <c r="G86" s="38" t="n"/>
      <c r="H86" s="56">
        <f>IF($A86="","",IF($A86=$F$9,IF($D$65="",0,$D$65),0)+IF($A86=$H$66,IF($D$66="",0,$D$66),0))</f>
        <v/>
      </c>
      <c r="I86" s="38" t="n"/>
      <c r="J86" s="88">
        <f>IF($A86="","",ROUND($B86+$D86+$F86+$H86,2))</f>
        <v/>
      </c>
      <c r="K86" s="38" t="n"/>
      <c r="L86" s="38" t="n"/>
      <c r="M86" s="38" t="n"/>
    </row>
    <row r="87" ht="17" customHeight="1">
      <c r="A87" s="87" t="inlineStr">
        <is>
          <t>Lucas</t>
        </is>
      </c>
      <c r="B87" s="56">
        <f>IF($A87="","",ROUND(SUMIF($D$49:$D$60,$A87,$F$49:$F$60),2))</f>
        <v/>
      </c>
      <c r="C87" s="38" t="n"/>
      <c r="D87" s="56">
        <f>IF($A87="","",ROUND(SUMIF($H$49:$H$60,$A87,$J$49:$J$60),2))</f>
        <v/>
      </c>
      <c r="E87" s="38" t="n"/>
      <c r="F87" s="56">
        <f>IF($A87="","",ROUND(SUMIF($L$49:$L$60,$A87,$N$49:$N$60),2))</f>
        <v/>
      </c>
      <c r="G87" s="38" t="n"/>
      <c r="H87" s="56">
        <f>IF($A87="","",IF($A87=$F$9,IF($D$65="",0,$D$65),0)+IF($A87=$H$66,IF($D$66="",0,$D$66),0))</f>
        <v/>
      </c>
      <c r="I87" s="38" t="n"/>
      <c r="J87" s="88">
        <f>IF($A87="","",ROUND($B87+$D87+$F87+$H87,2))</f>
        <v/>
      </c>
      <c r="K87" s="38" t="n"/>
      <c r="L87" s="38" t="n"/>
      <c r="M87" s="38" t="n"/>
    </row>
    <row r="88" ht="17" customHeight="1">
      <c r="A88" s="87" t="inlineStr">
        <is>
          <t>Externo / avulso</t>
        </is>
      </c>
      <c r="B88" s="56">
        <f>IF($A88="","",ROUND(SUMIF($D$49:$D$60,$A88,$F$49:$F$60),2))</f>
        <v/>
      </c>
      <c r="C88" s="38" t="n"/>
      <c r="D88" s="56">
        <f>IF($A88="","",ROUND(SUMIF($H$49:$H$60,$A88,$J$49:$J$60),2))</f>
        <v/>
      </c>
      <c r="E88" s="38" t="n"/>
      <c r="F88" s="56">
        <f>IF($A88="","",ROUND(SUMIF($L$49:$L$60,$A88,$N$49:$N$60),2))</f>
        <v/>
      </c>
      <c r="G88" s="38" t="n"/>
      <c r="H88" s="56">
        <f>IF($A88="","",IF($A88=$F$9,IF($D$65="",0,$D$65),0)+IF($A88=$H$66,IF($D$66="",0,$D$66),0))</f>
        <v/>
      </c>
      <c r="I88" s="38" t="n"/>
      <c r="J88" s="88">
        <f>IF($A88="","",ROUND($B88+$D88+$F88+$H88,2))</f>
        <v/>
      </c>
      <c r="K88" s="38" t="n"/>
      <c r="L88" s="38" t="n"/>
      <c r="M88" s="38" t="n"/>
    </row>
    <row r="89" ht="17" customHeight="1">
      <c r="A89" s="87" t="inlineStr">
        <is>
          <t>Bruna</t>
        </is>
      </c>
      <c r="B89" s="56">
        <f>IF($A89="","",ROUND(SUMIF($D$49:$D$60,$A89,$F$49:$F$60),2))</f>
        <v/>
      </c>
      <c r="C89" s="38" t="n"/>
      <c r="D89" s="56">
        <f>IF($A89="","",ROUND(SUMIF($H$49:$H$60,$A89,$J$49:$J$60),2))</f>
        <v/>
      </c>
      <c r="E89" s="38" t="n"/>
      <c r="F89" s="56">
        <f>IF($A89="","",ROUND(SUMIF($L$49:$L$60,$A89,$N$49:$N$60),2))</f>
        <v/>
      </c>
      <c r="G89" s="38" t="n"/>
      <c r="H89" s="56">
        <f>IF($A89="","",IF($A89=$F$9,IF($D$65="",0,$D$65),0)+IF($A89=$H$66,IF($D$66="",0,$D$66),0))</f>
        <v/>
      </c>
      <c r="I89" s="38" t="n"/>
      <c r="J89" s="88">
        <f>IF($A89="","",ROUND($B89+$D89+$F89+$H89,2))</f>
        <v/>
      </c>
      <c r="K89" s="38" t="n"/>
      <c r="L89" s="38" t="n"/>
      <c r="M89" s="38" t="n"/>
    </row>
    <row r="90" ht="17" customHeight="1">
      <c r="A90" s="87" t="n"/>
      <c r="B90" s="56">
        <f>IF($A90="","",ROUND(SUMIF($D$49:$D$60,$A90,$F$49:$F$60),2))</f>
        <v/>
      </c>
      <c r="C90" s="38" t="n"/>
      <c r="D90" s="56">
        <f>IF($A90="","",ROUND(SUMIF($H$49:$H$60,$A90,$J$49:$J$60),2))</f>
        <v/>
      </c>
      <c r="E90" s="38" t="n"/>
      <c r="F90" s="56">
        <f>IF($A90="","",ROUND(SUMIF($L$49:$L$60,$A90,$N$49:$N$60),2))</f>
        <v/>
      </c>
      <c r="G90" s="38" t="n"/>
      <c r="H90" s="56">
        <f>IF($A90="","",IF($A90=$F$9,IF($D$65="",0,$D$65),0)+IF($A90=$H$66,IF($D$66="",0,$D$66),0))</f>
        <v/>
      </c>
      <c r="I90" s="38" t="n"/>
      <c r="J90" s="88">
        <f>IF($A90="","",ROUND($B90+$D90+$F90+$H90,2))</f>
        <v/>
      </c>
      <c r="K90" s="38" t="n"/>
      <c r="L90" s="38" t="n"/>
      <c r="M90" s="38" t="n"/>
    </row>
    <row r="91" ht="17" customHeight="1">
      <c r="A91" s="87" t="n"/>
      <c r="B91" s="56">
        <f>IF($A91="","",ROUND(SUMIF($D$49:$D$60,$A91,$F$49:$F$60),2))</f>
        <v/>
      </c>
      <c r="C91" s="38" t="n"/>
      <c r="D91" s="56">
        <f>IF($A91="","",ROUND(SUMIF($H$49:$H$60,$A91,$J$49:$J$60),2))</f>
        <v/>
      </c>
      <c r="E91" s="38" t="n"/>
      <c r="F91" s="56">
        <f>IF($A91="","",ROUND(SUMIF($L$49:$L$60,$A91,$N$49:$N$60),2))</f>
        <v/>
      </c>
      <c r="G91" s="38" t="n"/>
      <c r="H91" s="56">
        <f>IF($A91="","",IF($A91=$F$9,IF($D$65="",0,$D$65),0)+IF($A91=$H$66,IF($D$66="",0,$D$66),0))</f>
        <v/>
      </c>
      <c r="I91" s="38" t="n"/>
      <c r="J91" s="88">
        <f>IF($A91="","",ROUND($B91+$D91+$F91+$H91,2))</f>
        <v/>
      </c>
      <c r="K91" s="38" t="n"/>
      <c r="L91" s="38" t="n"/>
      <c r="M91" s="38" t="n"/>
    </row>
    <row r="92" ht="20" customHeight="1">
      <c r="A92" s="31" t="inlineStr">
        <is>
          <t>TOTAL</t>
        </is>
      </c>
      <c r="B92" s="60">
        <f>ROUND(SUM(B74:B91),2)</f>
        <v/>
      </c>
      <c r="C92" s="32" t="n"/>
      <c r="D92" s="60">
        <f>ROUND(SUM(D74:D91),2)</f>
        <v/>
      </c>
      <c r="E92" s="32" t="n"/>
      <c r="F92" s="60">
        <f>ROUND(SUM(F74:F91),2)</f>
        <v/>
      </c>
      <c r="G92" s="32" t="n"/>
      <c r="H92" s="60">
        <f>ROUND(SUM(H74:H91),2)</f>
        <v/>
      </c>
      <c r="I92" s="32" t="n"/>
      <c r="J92" s="60">
        <f>ROUND(SUM(J74:J91),2)</f>
        <v/>
      </c>
      <c r="K92" s="32" t="n"/>
      <c r="L92" s="32" t="n"/>
      <c r="M92" s="32" t="n"/>
    </row>
    <row r="93" ht="8" customHeight="1"/>
    <row r="94" ht="20" customHeight="1">
      <c r="A94" s="8" t="inlineStr">
        <is>
          <t xml:space="preserve">  6 · MATERIAL, TERCEIRIZADOS E LOGÍSTICA          o orçado você digita · o realizado vem sozinho do livro de lançamentos, lá no fim da ficha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</row>
    <row r="95" ht="30" customHeight="1">
      <c r="A95" s="19" t="inlineStr">
        <is>
          <t>Categoria</t>
        </is>
      </c>
      <c r="B95" s="19" t="inlineStr"/>
      <c r="C95" s="19" t="inlineStr">
        <is>
          <t>Orçado (R$)</t>
        </is>
      </c>
      <c r="D95" s="19" t="inlineStr">
        <is>
          <t>Realizado (R$)</t>
        </is>
      </c>
      <c r="E95" s="19" t="inlineStr">
        <is>
          <t>Desvio (R$)</t>
        </is>
      </c>
      <c r="F95" s="35" t="n"/>
      <c r="G95" s="19" t="inlineStr">
        <is>
          <t>Ainda a comprar</t>
        </is>
      </c>
      <c r="H95" s="19" t="inlineStr">
        <is>
          <t>Comprado, ainda a pagar</t>
        </is>
      </c>
      <c r="I95" s="35" t="n"/>
      <c r="J95" s="35" t="n"/>
      <c r="K95" s="35" t="n"/>
      <c r="L95" s="35" t="n"/>
      <c r="M95" s="35" t="n"/>
      <c r="N95" s="35" t="n"/>
      <c r="O95" s="35" t="n"/>
    </row>
    <row r="96" ht="17" customHeight="1">
      <c r="A96" s="36" t="inlineStr">
        <is>
          <t>MDF e MDP</t>
        </is>
      </c>
      <c r="B96" s="37" t="n"/>
      <c r="C96" s="71" t="n"/>
      <c r="D96" s="56">
        <f>ROUND(SUMIFS($E$134:$E$193,$B$134:$B$193,$A96,$I$134:$I$193,"Comprado (a pagar)")+SUMIFS($E$134:$E$193,$B$134:$B$193,$A96,$I$134:$I$193,"Pago"),2)</f>
        <v/>
      </c>
      <c r="E96" s="56">
        <f>IF($C96="","",ROUND($D96-$C96,2))</f>
        <v/>
      </c>
      <c r="F96" s="38" t="n"/>
      <c r="G96" s="89">
        <f>ROUND(SUMIFS($E$134:$E$193,$B$134:$B$193,$A96,$I$134:$I$193,"A comprar"),2)</f>
        <v/>
      </c>
      <c r="H96" s="90">
        <f>ROUND(SUMIFS($E$134:$E$193,$B$134:$B$193,$A96,$I$134:$I$193,"Comprado (a pagar)"),2)</f>
        <v/>
      </c>
      <c r="I96" s="38" t="n"/>
      <c r="J96" s="38" t="n"/>
      <c r="K96" s="38" t="n"/>
      <c r="L96" s="38" t="n"/>
      <c r="M96" s="38" t="n"/>
      <c r="N96" s="38" t="n"/>
      <c r="O96" s="38" t="n"/>
    </row>
    <row r="97" ht="17" customHeight="1">
      <c r="A97" s="36" t="inlineStr">
        <is>
          <t>Fita de borda</t>
        </is>
      </c>
      <c r="B97" s="37" t="n"/>
      <c r="C97" s="71" t="n"/>
      <c r="D97" s="56">
        <f>ROUND(SUMIFS($E$134:$E$193,$B$134:$B$193,$A97,$I$134:$I$193,"Comprado (a pagar)")+SUMIFS($E$134:$E$193,$B$134:$B$193,$A97,$I$134:$I$193,"Pago"),2)</f>
        <v/>
      </c>
      <c r="E97" s="56">
        <f>IF($C97="","",ROUND($D97-$C97,2))</f>
        <v/>
      </c>
      <c r="F97" s="38" t="n"/>
      <c r="G97" s="89">
        <f>ROUND(SUMIFS($E$134:$E$193,$B$134:$B$193,$A97,$I$134:$I$193,"A comprar"),2)</f>
        <v/>
      </c>
      <c r="H97" s="90">
        <f>ROUND(SUMIFS($E$134:$E$193,$B$134:$B$193,$A97,$I$134:$I$193,"Comprado (a pagar)"),2)</f>
        <v/>
      </c>
      <c r="I97" s="38" t="n"/>
      <c r="J97" s="38" t="n"/>
      <c r="K97" s="38" t="n"/>
      <c r="L97" s="38" t="n"/>
      <c r="M97" s="38" t="n"/>
      <c r="N97" s="38" t="n"/>
      <c r="O97" s="38" t="n"/>
    </row>
    <row r="98" ht="17" customHeight="1">
      <c r="A98" s="36" t="inlineStr">
        <is>
          <t>Ferragens</t>
        </is>
      </c>
      <c r="B98" s="37" t="n"/>
      <c r="C98" s="71" t="n"/>
      <c r="D98" s="56">
        <f>ROUND(SUMIFS($E$134:$E$193,$B$134:$B$193,$A98,$I$134:$I$193,"Comprado (a pagar)")+SUMIFS($E$134:$E$193,$B$134:$B$193,$A98,$I$134:$I$193,"Pago"),2)</f>
        <v/>
      </c>
      <c r="E98" s="56">
        <f>IF($C98="","",ROUND($D98-$C98,2))</f>
        <v/>
      </c>
      <c r="F98" s="38" t="n"/>
      <c r="G98" s="89">
        <f>ROUND(SUMIFS($E$134:$E$193,$B$134:$B$193,$A98,$I$134:$I$193,"A comprar"),2)</f>
        <v/>
      </c>
      <c r="H98" s="90">
        <f>ROUND(SUMIFS($E$134:$E$193,$B$134:$B$193,$A98,$I$134:$I$193,"Comprado (a pagar)"),2)</f>
        <v/>
      </c>
      <c r="I98" s="38" t="n"/>
      <c r="J98" s="38" t="n"/>
      <c r="K98" s="38" t="n"/>
      <c r="L98" s="38" t="n"/>
      <c r="M98" s="38" t="n"/>
      <c r="N98" s="38" t="n"/>
      <c r="O98" s="38" t="n"/>
    </row>
    <row r="99" ht="17" customHeight="1">
      <c r="A99" s="36" t="inlineStr">
        <is>
          <t>Vidros e espelhos</t>
        </is>
      </c>
      <c r="B99" s="37" t="n"/>
      <c r="C99" s="71" t="n"/>
      <c r="D99" s="56">
        <f>ROUND(SUMIFS($E$134:$E$193,$B$134:$B$193,$A99,$I$134:$I$193,"Comprado (a pagar)")+SUMIFS($E$134:$E$193,$B$134:$B$193,$A99,$I$134:$I$193,"Pago"),2)</f>
        <v/>
      </c>
      <c r="E99" s="56">
        <f>IF($C99="","",ROUND($D99-$C99,2))</f>
        <v/>
      </c>
      <c r="F99" s="38" t="n"/>
      <c r="G99" s="89">
        <f>ROUND(SUMIFS($E$134:$E$193,$B$134:$B$193,$A99,$I$134:$I$193,"A comprar"),2)</f>
        <v/>
      </c>
      <c r="H99" s="90">
        <f>ROUND(SUMIFS($E$134:$E$193,$B$134:$B$193,$A99,$I$134:$I$193,"Comprado (a pagar)"),2)</f>
        <v/>
      </c>
      <c r="I99" s="38" t="n"/>
      <c r="J99" s="38" t="n"/>
      <c r="K99" s="38" t="n"/>
      <c r="L99" s="38" t="n"/>
      <c r="M99" s="38" t="n"/>
      <c r="N99" s="38" t="n"/>
      <c r="O99" s="38" t="n"/>
    </row>
    <row r="100" ht="17" customHeight="1">
      <c r="A100" s="36" t="inlineStr">
        <is>
          <t>Esquadrias</t>
        </is>
      </c>
      <c r="B100" s="37" t="n"/>
      <c r="C100" s="71" t="n"/>
      <c r="D100" s="56">
        <f>ROUND(SUMIFS($E$134:$E$193,$B$134:$B$193,$A100,$I$134:$I$193,"Comprado (a pagar)")+SUMIFS($E$134:$E$193,$B$134:$B$193,$A100,$I$134:$I$193,"Pago"),2)</f>
        <v/>
      </c>
      <c r="E100" s="56">
        <f>IF($C100="","",ROUND($D100-$C100,2))</f>
        <v/>
      </c>
      <c r="F100" s="38" t="n"/>
      <c r="G100" s="89">
        <f>ROUND(SUMIFS($E$134:$E$193,$B$134:$B$193,$A100,$I$134:$I$193,"A comprar"),2)</f>
        <v/>
      </c>
      <c r="H100" s="90">
        <f>ROUND(SUMIFS($E$134:$E$193,$B$134:$B$193,$A100,$I$134:$I$193,"Comprado (a pagar)"),2)</f>
        <v/>
      </c>
      <c r="I100" s="38" t="n"/>
      <c r="J100" s="38" t="n"/>
      <c r="K100" s="38" t="n"/>
      <c r="L100" s="38" t="n"/>
      <c r="M100" s="38" t="n"/>
      <c r="N100" s="38" t="n"/>
      <c r="O100" s="38" t="n"/>
    </row>
    <row r="101" ht="17" customHeight="1">
      <c r="A101" s="36" t="inlineStr">
        <is>
          <t>Lâmina natural</t>
        </is>
      </c>
      <c r="B101" s="37" t="n"/>
      <c r="C101" s="71" t="n"/>
      <c r="D101" s="56">
        <f>ROUND(SUMIFS($E$134:$E$193,$B$134:$B$193,$A101,$I$134:$I$193,"Comprado (a pagar)")+SUMIFS($E$134:$E$193,$B$134:$B$193,$A101,$I$134:$I$193,"Pago"),2)</f>
        <v/>
      </c>
      <c r="E101" s="56">
        <f>IF($C101="","",ROUND($D101-$C101,2))</f>
        <v/>
      </c>
      <c r="F101" s="38" t="n"/>
      <c r="G101" s="89">
        <f>ROUND(SUMIFS($E$134:$E$193,$B$134:$B$193,$A101,$I$134:$I$193,"A comprar"),2)</f>
        <v/>
      </c>
      <c r="H101" s="90">
        <f>ROUND(SUMIFS($E$134:$E$193,$B$134:$B$193,$A101,$I$134:$I$193,"Comprado (a pagar)"),2)</f>
        <v/>
      </c>
      <c r="I101" s="38" t="n"/>
      <c r="J101" s="38" t="n"/>
      <c r="K101" s="38" t="n"/>
      <c r="L101" s="38" t="n"/>
      <c r="M101" s="38" t="n"/>
      <c r="N101" s="38" t="n"/>
      <c r="O101" s="38" t="n"/>
    </row>
    <row r="102" ht="17" customHeight="1">
      <c r="A102" s="36" t="inlineStr">
        <is>
          <t>Consumíveis</t>
        </is>
      </c>
      <c r="B102" s="37" t="n"/>
      <c r="C102" s="71" t="n"/>
      <c r="D102" s="56">
        <f>ROUND(SUMIFS($E$134:$E$193,$B$134:$B$193,$A102,$I$134:$I$193,"Comprado (a pagar)")+SUMIFS($E$134:$E$193,$B$134:$B$193,$A102,$I$134:$I$193,"Pago"),2)</f>
        <v/>
      </c>
      <c r="E102" s="56">
        <f>IF($C102="","",ROUND($D102-$C102,2))</f>
        <v/>
      </c>
      <c r="F102" s="38" t="n"/>
      <c r="G102" s="89">
        <f>ROUND(SUMIFS($E$134:$E$193,$B$134:$B$193,$A102,$I$134:$I$193,"A comprar"),2)</f>
        <v/>
      </c>
      <c r="H102" s="90">
        <f>ROUND(SUMIFS($E$134:$E$193,$B$134:$B$193,$A102,$I$134:$I$193,"Comprado (a pagar)"),2)</f>
        <v/>
      </c>
      <c r="I102" s="38" t="n"/>
      <c r="J102" s="38" t="n"/>
      <c r="K102" s="38" t="n"/>
      <c r="L102" s="38" t="n"/>
      <c r="M102" s="38" t="n"/>
      <c r="N102" s="38" t="n"/>
      <c r="O102" s="38" t="n"/>
    </row>
    <row r="103" ht="20" customHeight="1">
      <c r="A103" s="31" t="inlineStr">
        <is>
          <t>(=) SUBTOTAL · MATERIAL</t>
        </is>
      </c>
      <c r="B103" s="32" t="n"/>
      <c r="C103" s="60">
        <f>ROUND(SUM(C96:C102),2)</f>
        <v/>
      </c>
      <c r="D103" s="60">
        <f>ROUND(SUM(D96:D102),2)</f>
        <v/>
      </c>
      <c r="E103" s="60">
        <f>ROUND(SUM(E96:E102),2)</f>
        <v/>
      </c>
      <c r="F103" s="32" t="n"/>
      <c r="G103" s="60">
        <f>ROUND(SUM(G96:G102),2)</f>
        <v/>
      </c>
      <c r="H103" s="60">
        <f>ROUND(SUM(H96:H102),2)</f>
        <v/>
      </c>
      <c r="I103" s="32" t="n"/>
      <c r="J103" s="32" t="n"/>
      <c r="K103" s="32" t="n"/>
      <c r="L103" s="32" t="n"/>
      <c r="M103" s="32" t="n"/>
      <c r="N103" s="32" t="n"/>
      <c r="O103" s="32" t="n"/>
    </row>
    <row r="104" ht="17" customHeight="1">
      <c r="A104" s="36" t="inlineStr">
        <is>
          <t>Acabamento</t>
        </is>
      </c>
      <c r="B104" s="37" t="n"/>
      <c r="C104" s="71" t="n"/>
      <c r="D104" s="56">
        <f>ROUND(SUMIFS($E$134:$E$193,$B$134:$B$193,$A104,$I$134:$I$193,"Comprado (a pagar)")+SUMIFS($E$134:$E$193,$B$134:$B$193,$A104,$I$134:$I$193,"Pago"),2)</f>
        <v/>
      </c>
      <c r="E104" s="56">
        <f>IF($C104="","",ROUND($D104-$C104,2))</f>
        <v/>
      </c>
      <c r="F104" s="38" t="n"/>
      <c r="G104" s="89">
        <f>ROUND(SUMIFS($E$134:$E$193,$B$134:$B$193,$A104,$I$134:$I$193,"A comprar"),2)</f>
        <v/>
      </c>
      <c r="H104" s="90">
        <f>ROUND(SUMIFS($E$134:$E$193,$B$134:$B$193,$A104,$I$134:$I$193,"Comprado (a pagar)"),2)</f>
        <v/>
      </c>
      <c r="I104" s="38" t="n"/>
      <c r="J104" s="38" t="n"/>
      <c r="K104" s="38" t="n"/>
      <c r="L104" s="38" t="n"/>
      <c r="M104" s="38" t="n"/>
      <c r="N104" s="38" t="n"/>
      <c r="O104" s="38" t="n"/>
    </row>
    <row r="105" ht="17" customHeight="1">
      <c r="A105" s="36" t="inlineStr">
        <is>
          <t>Serralheria</t>
        </is>
      </c>
      <c r="B105" s="37" t="n"/>
      <c r="C105" s="71" t="n"/>
      <c r="D105" s="56">
        <f>ROUND(SUMIFS($E$134:$E$193,$B$134:$B$193,$A105,$I$134:$I$193,"Comprado (a pagar)")+SUMIFS($E$134:$E$193,$B$134:$B$193,$A105,$I$134:$I$193,"Pago"),2)</f>
        <v/>
      </c>
      <c r="E105" s="56">
        <f>IF($C105="","",ROUND($D105-$C105,2))</f>
        <v/>
      </c>
      <c r="F105" s="38" t="n"/>
      <c r="G105" s="89">
        <f>ROUND(SUMIFS($E$134:$E$193,$B$134:$B$193,$A105,$I$134:$I$193,"A comprar"),2)</f>
        <v/>
      </c>
      <c r="H105" s="90">
        <f>ROUND(SUMIFS($E$134:$E$193,$B$134:$B$193,$A105,$I$134:$I$193,"Comprado (a pagar)"),2)</f>
        <v/>
      </c>
      <c r="I105" s="38" t="n"/>
      <c r="J105" s="38" t="n"/>
      <c r="K105" s="38" t="n"/>
      <c r="L105" s="38" t="n"/>
      <c r="M105" s="38" t="n"/>
      <c r="N105" s="38" t="n"/>
      <c r="O105" s="38" t="n"/>
    </row>
    <row r="106" ht="17" customHeight="1">
      <c r="A106" s="36" t="inlineStr">
        <is>
          <t>Vidraceiro</t>
        </is>
      </c>
      <c r="B106" s="37" t="n"/>
      <c r="C106" s="71" t="n"/>
      <c r="D106" s="56">
        <f>ROUND(SUMIFS($E$134:$E$193,$B$134:$B$193,$A106,$I$134:$I$193,"Comprado (a pagar)")+SUMIFS($E$134:$E$193,$B$134:$B$193,$A106,$I$134:$I$193,"Pago"),2)</f>
        <v/>
      </c>
      <c r="E106" s="56">
        <f>IF($C106="","",ROUND($D106-$C106,2))</f>
        <v/>
      </c>
      <c r="F106" s="38" t="n"/>
      <c r="G106" s="89">
        <f>ROUND(SUMIFS($E$134:$E$193,$B$134:$B$193,$A106,$I$134:$I$193,"A comprar"),2)</f>
        <v/>
      </c>
      <c r="H106" s="90">
        <f>ROUND(SUMIFS($E$134:$E$193,$B$134:$B$193,$A106,$I$134:$I$193,"Comprado (a pagar)"),2)</f>
        <v/>
      </c>
      <c r="I106" s="38" t="n"/>
      <c r="J106" s="38" t="n"/>
      <c r="K106" s="38" t="n"/>
      <c r="L106" s="38" t="n"/>
      <c r="M106" s="38" t="n"/>
      <c r="N106" s="38" t="n"/>
      <c r="O106" s="38" t="n"/>
    </row>
    <row r="107" ht="17" customHeight="1">
      <c r="A107" s="36" t="inlineStr">
        <is>
          <t>Outro terceirizado</t>
        </is>
      </c>
      <c r="B107" s="37" t="n"/>
      <c r="C107" s="71" t="n"/>
      <c r="D107" s="56">
        <f>ROUND(SUMIFS($E$134:$E$193,$B$134:$B$193,$A107,$I$134:$I$193,"Comprado (a pagar)")+SUMIFS($E$134:$E$193,$B$134:$B$193,$A107,$I$134:$I$193,"Pago"),2)</f>
        <v/>
      </c>
      <c r="E107" s="56">
        <f>IF($C107="","",ROUND($D107-$C107,2))</f>
        <v/>
      </c>
      <c r="F107" s="38" t="n"/>
      <c r="G107" s="89">
        <f>ROUND(SUMIFS($E$134:$E$193,$B$134:$B$193,$A107,$I$134:$I$193,"A comprar"),2)</f>
        <v/>
      </c>
      <c r="H107" s="90">
        <f>ROUND(SUMIFS($E$134:$E$193,$B$134:$B$193,$A107,$I$134:$I$193,"Comprado (a pagar)"),2)</f>
        <v/>
      </c>
      <c r="I107" s="38" t="n"/>
      <c r="J107" s="38" t="n"/>
      <c r="K107" s="38" t="n"/>
      <c r="L107" s="38" t="n"/>
      <c r="M107" s="38" t="n"/>
      <c r="N107" s="38" t="n"/>
      <c r="O107" s="38" t="n"/>
    </row>
    <row r="108" ht="20" customHeight="1">
      <c r="A108" s="31" t="inlineStr">
        <is>
          <t>(=) SUBTOTAL · SERVIÇOS TERCEIRIZADOS</t>
        </is>
      </c>
      <c r="B108" s="32" t="n"/>
      <c r="C108" s="60">
        <f>ROUND(SUM(C104:C107),2)</f>
        <v/>
      </c>
      <c r="D108" s="60">
        <f>ROUND(SUM(D104:D107),2)</f>
        <v/>
      </c>
      <c r="E108" s="60">
        <f>ROUND(SUM(E104:E107),2)</f>
        <v/>
      </c>
      <c r="F108" s="32" t="n"/>
      <c r="G108" s="60">
        <f>ROUND(SUM(G104:G107),2)</f>
        <v/>
      </c>
      <c r="H108" s="60">
        <f>ROUND(SUM(H104:H107),2)</f>
        <v/>
      </c>
      <c r="I108" s="32" t="n"/>
      <c r="J108" s="32" t="n"/>
      <c r="K108" s="32" t="n"/>
      <c r="L108" s="32" t="n"/>
      <c r="M108" s="32" t="n"/>
      <c r="N108" s="32" t="n"/>
      <c r="O108" s="32" t="n"/>
    </row>
    <row r="109" ht="17" customHeight="1">
      <c r="A109" s="36" t="inlineStr">
        <is>
          <t>Uber e aplicativo</t>
        </is>
      </c>
      <c r="B109" s="37" t="n"/>
      <c r="C109" s="71" t="n"/>
      <c r="D109" s="56">
        <f>ROUND(SUMIFS($E$134:$E$193,$B$134:$B$193,$A109,$I$134:$I$193,"Comprado (a pagar)")+SUMIFS($E$134:$E$193,$B$134:$B$193,$A109,$I$134:$I$193,"Pago"),2)</f>
        <v/>
      </c>
      <c r="E109" s="56">
        <f>IF($C109="","",ROUND($D109-$C109,2))</f>
        <v/>
      </c>
      <c r="F109" s="38" t="n"/>
      <c r="G109" s="89">
        <f>ROUND(SUMIFS($E$134:$E$193,$B$134:$B$193,$A109,$I$134:$I$193,"A comprar"),2)</f>
        <v/>
      </c>
      <c r="H109" s="90">
        <f>ROUND(SUMIFS($E$134:$E$193,$B$134:$B$193,$A109,$I$134:$I$193,"Comprado (a pagar)"),2)</f>
        <v/>
      </c>
      <c r="I109" s="38" t="n"/>
      <c r="J109" s="38" t="n"/>
      <c r="K109" s="38" t="n"/>
      <c r="L109" s="38" t="n"/>
      <c r="M109" s="38" t="n"/>
      <c r="N109" s="38" t="n"/>
      <c r="O109" s="38" t="n"/>
    </row>
    <row r="110" ht="17" customHeight="1">
      <c r="A110" s="36" t="inlineStr">
        <is>
          <t>Carreto e entrega</t>
        </is>
      </c>
      <c r="B110" s="37" t="n"/>
      <c r="C110" s="71" t="n"/>
      <c r="D110" s="56">
        <f>ROUND(SUMIFS($E$134:$E$193,$B$134:$B$193,$A110,$I$134:$I$193,"Comprado (a pagar)")+SUMIFS($E$134:$E$193,$B$134:$B$193,$A110,$I$134:$I$193,"Pago"),2)</f>
        <v/>
      </c>
      <c r="E110" s="56">
        <f>IF($C110="","",ROUND($D110-$C110,2))</f>
        <v/>
      </c>
      <c r="F110" s="38" t="n"/>
      <c r="G110" s="89">
        <f>ROUND(SUMIFS($E$134:$E$193,$B$134:$B$193,$A110,$I$134:$I$193,"A comprar"),2)</f>
        <v/>
      </c>
      <c r="H110" s="90">
        <f>ROUND(SUMIFS($E$134:$E$193,$B$134:$B$193,$A110,$I$134:$I$193,"Comprado (a pagar)"),2)</f>
        <v/>
      </c>
      <c r="I110" s="38" t="n"/>
      <c r="J110" s="38" t="n"/>
      <c r="K110" s="38" t="n"/>
      <c r="L110" s="38" t="n"/>
      <c r="M110" s="38" t="n"/>
      <c r="N110" s="38" t="n"/>
      <c r="O110" s="38" t="n"/>
    </row>
    <row r="111" ht="17" customHeight="1">
      <c r="A111" s="36" t="inlineStr">
        <is>
          <t>Deslocamento da equipe</t>
        </is>
      </c>
      <c r="B111" s="37" t="n"/>
      <c r="C111" s="71" t="n"/>
      <c r="D111" s="56">
        <f>ROUND(SUMIFS($E$134:$E$193,$B$134:$B$193,$A111,$I$134:$I$193,"Comprado (a pagar)")+SUMIFS($E$134:$E$193,$B$134:$B$193,$A111,$I$134:$I$193,"Pago"),2)</f>
        <v/>
      </c>
      <c r="E111" s="56">
        <f>IF($C111="","",ROUND($D111-$C111,2))</f>
        <v/>
      </c>
      <c r="F111" s="38" t="n"/>
      <c r="G111" s="89">
        <f>ROUND(SUMIFS($E$134:$E$193,$B$134:$B$193,$A111,$I$134:$I$193,"A comprar"),2)</f>
        <v/>
      </c>
      <c r="H111" s="90">
        <f>ROUND(SUMIFS($E$134:$E$193,$B$134:$B$193,$A111,$I$134:$I$193,"Comprado (a pagar)"),2)</f>
        <v/>
      </c>
      <c r="I111" s="38" t="n"/>
      <c r="J111" s="38" t="n"/>
      <c r="K111" s="38" t="n"/>
      <c r="L111" s="38" t="n"/>
      <c r="M111" s="38" t="n"/>
      <c r="N111" s="38" t="n"/>
      <c r="O111" s="38" t="n"/>
    </row>
    <row r="112" ht="17" customHeight="1">
      <c r="A112" s="36" t="inlineStr">
        <is>
          <t>Frete de material</t>
        </is>
      </c>
      <c r="B112" s="37" t="n"/>
      <c r="C112" s="71" t="n"/>
      <c r="D112" s="56">
        <f>ROUND(SUMIFS($E$134:$E$193,$B$134:$B$193,$A112,$I$134:$I$193,"Comprado (a pagar)")+SUMIFS($E$134:$E$193,$B$134:$B$193,$A112,$I$134:$I$193,"Pago"),2)</f>
        <v/>
      </c>
      <c r="E112" s="56">
        <f>IF($C112="","",ROUND($D112-$C112,2))</f>
        <v/>
      </c>
      <c r="F112" s="38" t="n"/>
      <c r="G112" s="89">
        <f>ROUND(SUMIFS($E$134:$E$193,$B$134:$B$193,$A112,$I$134:$I$193,"A comprar"),2)</f>
        <v/>
      </c>
      <c r="H112" s="90">
        <f>ROUND(SUMIFS($E$134:$E$193,$B$134:$B$193,$A112,$I$134:$I$193,"Comprado (a pagar)"),2)</f>
        <v/>
      </c>
      <c r="I112" s="38" t="n"/>
      <c r="J112" s="38" t="n"/>
      <c r="K112" s="38" t="n"/>
      <c r="L112" s="38" t="n"/>
      <c r="M112" s="38" t="n"/>
      <c r="N112" s="38" t="n"/>
      <c r="O112" s="38" t="n"/>
    </row>
    <row r="113" ht="17" customHeight="1">
      <c r="A113" s="36" t="inlineStr">
        <is>
          <t>Estacionamento e pedágio</t>
        </is>
      </c>
      <c r="B113" s="37" t="n"/>
      <c r="C113" s="71" t="n"/>
      <c r="D113" s="56">
        <f>ROUND(SUMIFS($E$134:$E$193,$B$134:$B$193,$A113,$I$134:$I$193,"Comprado (a pagar)")+SUMIFS($E$134:$E$193,$B$134:$B$193,$A113,$I$134:$I$193,"Pago"),2)</f>
        <v/>
      </c>
      <c r="E113" s="56">
        <f>IF($C113="","",ROUND($D113-$C113,2))</f>
        <v/>
      </c>
      <c r="F113" s="38" t="n"/>
      <c r="G113" s="89">
        <f>ROUND(SUMIFS($E$134:$E$193,$B$134:$B$193,$A113,$I$134:$I$193,"A comprar"),2)</f>
        <v/>
      </c>
      <c r="H113" s="90">
        <f>ROUND(SUMIFS($E$134:$E$193,$B$134:$B$193,$A113,$I$134:$I$193,"Comprado (a pagar)"),2)</f>
        <v/>
      </c>
      <c r="I113" s="38" t="n"/>
      <c r="J113" s="38" t="n"/>
      <c r="K113" s="38" t="n"/>
      <c r="L113" s="38" t="n"/>
      <c r="M113" s="38" t="n"/>
      <c r="N113" s="38" t="n"/>
      <c r="O113" s="38" t="n"/>
    </row>
    <row r="114" ht="20" customHeight="1">
      <c r="A114" s="31" t="inlineStr">
        <is>
          <t>(=) SUBTOTAL · LOGÍSTICA</t>
        </is>
      </c>
      <c r="B114" s="32" t="n"/>
      <c r="C114" s="60">
        <f>ROUND(SUM(C109:C113),2)</f>
        <v/>
      </c>
      <c r="D114" s="60">
        <f>ROUND(SUM(D109:D113),2)</f>
        <v/>
      </c>
      <c r="E114" s="60">
        <f>ROUND(SUM(E109:E113),2)</f>
        <v/>
      </c>
      <c r="F114" s="32" t="n"/>
      <c r="G114" s="60">
        <f>ROUND(SUM(G109:G113),2)</f>
        <v/>
      </c>
      <c r="H114" s="60">
        <f>ROUND(SUM(H109:H113),2)</f>
        <v/>
      </c>
      <c r="I114" s="32" t="n"/>
      <c r="J114" s="32" t="n"/>
      <c r="K114" s="32" t="n"/>
      <c r="L114" s="32" t="n"/>
      <c r="M114" s="32" t="n"/>
      <c r="N114" s="32" t="n"/>
      <c r="O114" s="32" t="n"/>
    </row>
    <row r="115" ht="8" customHeight="1"/>
    <row r="116" ht="20" customHeight="1">
      <c r="A116" s="8" t="inlineStr">
        <is>
          <t xml:space="preserve">  7 · RETRABALHO          o que aconteceu, por que aconteceu e quanto custou — é aqui que o orçamento aprende</t>
        </is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</row>
    <row r="117" ht="26" customHeight="1">
      <c r="A117" s="19" t="inlineStr">
        <is>
          <t>O que aconteceu</t>
        </is>
      </c>
      <c r="B117" s="19" t="inlineStr">
        <is>
          <t>Causa</t>
        </is>
      </c>
      <c r="C117" s="35" t="n"/>
      <c r="D117" s="35" t="n"/>
      <c r="E117" s="19" t="inlineStr">
        <is>
          <t>Custo estimado (R$)</t>
        </is>
      </c>
      <c r="F117" s="35" t="n"/>
      <c r="G117" s="19" t="inlineStr">
        <is>
          <t>Providência / responsável</t>
        </is>
      </c>
      <c r="H117" s="35" t="n"/>
      <c r="I117" s="35" t="n"/>
      <c r="J117" s="35" t="n"/>
      <c r="K117" s="35" t="n"/>
      <c r="L117" s="35" t="n"/>
      <c r="M117" s="35" t="n"/>
      <c r="N117" s="35" t="n"/>
      <c r="O117" s="35" t="n"/>
    </row>
    <row r="118" ht="18" customHeight="1">
      <c r="A118" s="83" t="n"/>
      <c r="B118" s="83" t="n"/>
      <c r="C118" s="46" t="n"/>
      <c r="D118" s="46" t="n"/>
      <c r="E118" s="91" t="n"/>
      <c r="F118" s="46" t="n"/>
      <c r="G118" s="73" t="n"/>
      <c r="H118" s="46" t="n"/>
      <c r="I118" s="46" t="n"/>
      <c r="J118" s="46" t="n"/>
      <c r="K118" s="46" t="n"/>
      <c r="L118" s="46" t="n"/>
      <c r="M118" s="46" t="n"/>
      <c r="N118" s="46" t="n"/>
      <c r="O118" s="46" t="n"/>
    </row>
    <row r="119" ht="18" customHeight="1">
      <c r="A119" s="83" t="n"/>
      <c r="B119" s="83" t="n"/>
      <c r="C119" s="46" t="n"/>
      <c r="D119" s="46" t="n"/>
      <c r="E119" s="91" t="n"/>
      <c r="F119" s="46" t="n"/>
      <c r="G119" s="73" t="n"/>
      <c r="H119" s="46" t="n"/>
      <c r="I119" s="46" t="n"/>
      <c r="J119" s="46" t="n"/>
      <c r="K119" s="46" t="n"/>
      <c r="L119" s="46" t="n"/>
      <c r="M119" s="46" t="n"/>
      <c r="N119" s="46" t="n"/>
      <c r="O119" s="46" t="n"/>
    </row>
    <row r="120" ht="18" customHeight="1">
      <c r="A120" s="83" t="n"/>
      <c r="B120" s="83" t="n"/>
      <c r="C120" s="46" t="n"/>
      <c r="D120" s="46" t="n"/>
      <c r="E120" s="91" t="n"/>
      <c r="F120" s="46" t="n"/>
      <c r="G120" s="73" t="n"/>
      <c r="H120" s="46" t="n"/>
      <c r="I120" s="46" t="n"/>
      <c r="J120" s="46" t="n"/>
      <c r="K120" s="46" t="n"/>
      <c r="L120" s="46" t="n"/>
      <c r="M120" s="46" t="n"/>
      <c r="N120" s="46" t="n"/>
      <c r="O120" s="46" t="n"/>
    </row>
    <row r="121" ht="18" customHeight="1">
      <c r="A121" s="83" t="n"/>
      <c r="B121" s="83" t="n"/>
      <c r="C121" s="46" t="n"/>
      <c r="D121" s="46" t="n"/>
      <c r="E121" s="91" t="n"/>
      <c r="F121" s="46" t="n"/>
      <c r="G121" s="73" t="n"/>
      <c r="H121" s="46" t="n"/>
      <c r="I121" s="46" t="n"/>
      <c r="J121" s="46" t="n"/>
      <c r="K121" s="46" t="n"/>
      <c r="L121" s="46" t="n"/>
      <c r="M121" s="46" t="n"/>
      <c r="N121" s="46" t="n"/>
      <c r="O121" s="46" t="n"/>
    </row>
    <row r="122" ht="18" customHeight="1">
      <c r="A122" s="83" t="n"/>
      <c r="B122" s="83" t="n"/>
      <c r="C122" s="46" t="n"/>
      <c r="D122" s="46" t="n"/>
      <c r="E122" s="91" t="n"/>
      <c r="F122" s="46" t="n"/>
      <c r="G122" s="73" t="n"/>
      <c r="H122" s="46" t="n"/>
      <c r="I122" s="46" t="n"/>
      <c r="J122" s="46" t="n"/>
      <c r="K122" s="46" t="n"/>
      <c r="L122" s="46" t="n"/>
      <c r="M122" s="46" t="n"/>
      <c r="N122" s="46" t="n"/>
      <c r="O122" s="46" t="n"/>
    </row>
    <row r="123" ht="18" customHeight="1">
      <c r="A123" s="83" t="n"/>
      <c r="B123" s="83" t="n"/>
      <c r="C123" s="46" t="n"/>
      <c r="D123" s="46" t="n"/>
      <c r="E123" s="91" t="n"/>
      <c r="F123" s="46" t="n"/>
      <c r="G123" s="73" t="n"/>
      <c r="H123" s="46" t="n"/>
      <c r="I123" s="46" t="n"/>
      <c r="J123" s="46" t="n"/>
      <c r="K123" s="46" t="n"/>
      <c r="L123" s="46" t="n"/>
      <c r="M123" s="46" t="n"/>
      <c r="N123" s="46" t="n"/>
      <c r="O123" s="46" t="n"/>
    </row>
    <row r="124" ht="18" customHeight="1">
      <c r="A124" s="83" t="n"/>
      <c r="B124" s="83" t="n"/>
      <c r="C124" s="46" t="n"/>
      <c r="D124" s="46" t="n"/>
      <c r="E124" s="91" t="n"/>
      <c r="F124" s="46" t="n"/>
      <c r="G124" s="73" t="n"/>
      <c r="H124" s="46" t="n"/>
      <c r="I124" s="46" t="n"/>
      <c r="J124" s="46" t="n"/>
      <c r="K124" s="46" t="n"/>
      <c r="L124" s="46" t="n"/>
      <c r="M124" s="46" t="n"/>
      <c r="N124" s="46" t="n"/>
      <c r="O124" s="46" t="n"/>
    </row>
    <row r="125" ht="18" customHeight="1">
      <c r="A125" s="83" t="n"/>
      <c r="B125" s="83" t="n"/>
      <c r="C125" s="46" t="n"/>
      <c r="D125" s="46" t="n"/>
      <c r="E125" s="91" t="n"/>
      <c r="F125" s="46" t="n"/>
      <c r="G125" s="73" t="n"/>
      <c r="H125" s="46" t="n"/>
      <c r="I125" s="46" t="n"/>
      <c r="J125" s="46" t="n"/>
      <c r="K125" s="46" t="n"/>
      <c r="L125" s="46" t="n"/>
      <c r="M125" s="46" t="n"/>
      <c r="N125" s="46" t="n"/>
      <c r="O125" s="46" t="n"/>
    </row>
    <row r="126" ht="18" customHeight="1">
      <c r="A126" s="83" t="n"/>
      <c r="B126" s="83" t="n"/>
      <c r="C126" s="46" t="n"/>
      <c r="D126" s="46" t="n"/>
      <c r="E126" s="91" t="n"/>
      <c r="F126" s="46" t="n"/>
      <c r="G126" s="73" t="n"/>
      <c r="H126" s="46" t="n"/>
      <c r="I126" s="46" t="n"/>
      <c r="J126" s="46" t="n"/>
      <c r="K126" s="46" t="n"/>
      <c r="L126" s="46" t="n"/>
      <c r="M126" s="46" t="n"/>
      <c r="N126" s="46" t="n"/>
      <c r="O126" s="46" t="n"/>
    </row>
    <row r="127" ht="18" customHeight="1">
      <c r="A127" s="83" t="n"/>
      <c r="B127" s="83" t="n"/>
      <c r="C127" s="46" t="n"/>
      <c r="D127" s="46" t="n"/>
      <c r="E127" s="91" t="n"/>
      <c r="F127" s="46" t="n"/>
      <c r="G127" s="73" t="n"/>
      <c r="H127" s="46" t="n"/>
      <c r="I127" s="46" t="n"/>
      <c r="J127" s="46" t="n"/>
      <c r="K127" s="46" t="n"/>
      <c r="L127" s="46" t="n"/>
      <c r="M127" s="46" t="n"/>
      <c r="N127" s="46" t="n"/>
      <c r="O127" s="46" t="n"/>
    </row>
    <row r="128" ht="18" customHeight="1">
      <c r="A128" s="83" t="n"/>
      <c r="B128" s="83" t="n"/>
      <c r="C128" s="46" t="n"/>
      <c r="D128" s="46" t="n"/>
      <c r="E128" s="91" t="n"/>
      <c r="F128" s="46" t="n"/>
      <c r="G128" s="73" t="n"/>
      <c r="H128" s="46" t="n"/>
      <c r="I128" s="46" t="n"/>
      <c r="J128" s="46" t="n"/>
      <c r="K128" s="46" t="n"/>
      <c r="L128" s="46" t="n"/>
      <c r="M128" s="46" t="n"/>
      <c r="N128" s="46" t="n"/>
      <c r="O128" s="46" t="n"/>
    </row>
    <row r="129" ht="18" customHeight="1">
      <c r="A129" s="83" t="n"/>
      <c r="B129" s="83" t="n"/>
      <c r="C129" s="46" t="n"/>
      <c r="D129" s="46" t="n"/>
      <c r="E129" s="91" t="n"/>
      <c r="F129" s="46" t="n"/>
      <c r="G129" s="73" t="n"/>
      <c r="H129" s="46" t="n"/>
      <c r="I129" s="46" t="n"/>
      <c r="J129" s="46" t="n"/>
      <c r="K129" s="46" t="n"/>
      <c r="L129" s="46" t="n"/>
      <c r="M129" s="46" t="n"/>
      <c r="N129" s="46" t="n"/>
      <c r="O129" s="46" t="n"/>
    </row>
    <row r="130" ht="20" customHeight="1">
      <c r="A130" s="31" t="inlineStr">
        <is>
          <t>CONTINGÊNCIA PREVISTA NO ORÇAMENTO  →</t>
        </is>
      </c>
      <c r="B130" s="32" t="n"/>
      <c r="C130" s="92" t="n"/>
      <c r="D130" s="60">
        <f>ROUND(SUM($E$118:$E$129),2)</f>
        <v/>
      </c>
      <c r="E130" s="60">
        <f>ROUND($D$130-IF($C$130="",0,$C$130),2)</f>
        <v/>
      </c>
      <c r="F130" s="32" t="n"/>
      <c r="G130" s="62">
        <f>IF(OR($A$13="",$A$13=0),"",$D$130/$A$13)</f>
        <v/>
      </c>
      <c r="H130" s="93" t="inlineStr">
        <is>
          <t>orçado = a contingência prevista · realizado = a soma acima</t>
        </is>
      </c>
      <c r="I130" s="32" t="n"/>
      <c r="J130" s="32" t="n"/>
      <c r="K130" s="32" t="n"/>
      <c r="L130" s="32" t="n"/>
      <c r="M130" s="32" t="n"/>
      <c r="N130" s="32" t="n"/>
      <c r="O130" s="32" t="n"/>
    </row>
    <row r="131" ht="8" customHeight="1"/>
    <row r="132" ht="20" customHeight="1">
      <c r="A132" s="8" t="inlineStr">
        <is>
          <t xml:space="preserve">  8 · LIVRO DE COMPRAS E DESPESAS DO PROJETO          uma linha por compra, na ordem em que acontecer · pode inserir linhas à vontade aqui</t>
        </is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</row>
    <row r="133" ht="28" customHeight="1">
      <c r="A133" s="19" t="inlineStr">
        <is>
          <t>Descrição / fornecedor</t>
        </is>
      </c>
      <c r="B133" s="19" t="inlineStr">
        <is>
          <t>Categoria</t>
        </is>
      </c>
      <c r="C133" s="35" t="n"/>
      <c r="D133" s="19" t="inlineStr">
        <is>
          <t>Data</t>
        </is>
      </c>
      <c r="E133" s="19" t="inlineStr">
        <is>
          <t>Valor (R$)</t>
        </is>
      </c>
      <c r="F133" s="35" t="n"/>
      <c r="G133" s="19" t="inlineStr">
        <is>
          <t>Forma de pagamento</t>
        </is>
      </c>
      <c r="H133" s="35" t="n"/>
      <c r="I133" s="19" t="inlineStr">
        <is>
          <t>Status</t>
        </is>
      </c>
      <c r="J133" s="35" t="n"/>
      <c r="K133" s="35" t="n"/>
      <c r="L133" s="35" t="n"/>
      <c r="M133" s="35" t="n"/>
      <c r="N133" s="35" t="n"/>
      <c r="O133" s="35" t="n"/>
    </row>
    <row r="134" ht="17" customHeight="1">
      <c r="A134" s="83" t="n"/>
      <c r="B134" s="94" t="n"/>
      <c r="C134" s="46" t="n"/>
      <c r="D134" s="75" t="n"/>
      <c r="E134" s="95" t="n"/>
      <c r="F134" s="46" t="n"/>
      <c r="G134" s="96" t="n"/>
      <c r="H134" s="46" t="n"/>
      <c r="I134" s="97" t="n"/>
      <c r="J134" s="46" t="n"/>
      <c r="K134" s="46" t="n"/>
      <c r="L134" s="46" t="n"/>
      <c r="M134" s="46" t="n"/>
      <c r="N134" s="46" t="n"/>
      <c r="O134" s="46" t="n"/>
    </row>
    <row r="135" ht="17" customHeight="1">
      <c r="A135" s="83" t="n"/>
      <c r="B135" s="94" t="n"/>
      <c r="C135" s="46" t="n"/>
      <c r="D135" s="75" t="n"/>
      <c r="E135" s="95" t="n"/>
      <c r="F135" s="46" t="n"/>
      <c r="G135" s="96" t="n"/>
      <c r="H135" s="46" t="n"/>
      <c r="I135" s="97" t="n"/>
      <c r="J135" s="46" t="n"/>
      <c r="K135" s="46" t="n"/>
      <c r="L135" s="46" t="n"/>
      <c r="M135" s="46" t="n"/>
      <c r="N135" s="46" t="n"/>
      <c r="O135" s="46" t="n"/>
    </row>
    <row r="136" ht="17" customHeight="1">
      <c r="A136" s="83" t="n"/>
      <c r="B136" s="94" t="n"/>
      <c r="C136" s="46" t="n"/>
      <c r="D136" s="75" t="n"/>
      <c r="E136" s="95" t="n"/>
      <c r="F136" s="46" t="n"/>
      <c r="G136" s="96" t="n"/>
      <c r="H136" s="46" t="n"/>
      <c r="I136" s="97" t="n"/>
      <c r="J136" s="46" t="n"/>
      <c r="K136" s="46" t="n"/>
      <c r="L136" s="46" t="n"/>
      <c r="M136" s="46" t="n"/>
      <c r="N136" s="46" t="n"/>
      <c r="O136" s="46" t="n"/>
    </row>
    <row r="137" ht="17" customHeight="1">
      <c r="A137" s="83" t="n"/>
      <c r="B137" s="94" t="n"/>
      <c r="C137" s="46" t="n"/>
      <c r="D137" s="75" t="n"/>
      <c r="E137" s="95" t="n"/>
      <c r="F137" s="46" t="n"/>
      <c r="G137" s="96" t="n"/>
      <c r="H137" s="46" t="n"/>
      <c r="I137" s="97" t="n"/>
      <c r="J137" s="46" t="n"/>
      <c r="K137" s="46" t="n"/>
      <c r="L137" s="46" t="n"/>
      <c r="M137" s="46" t="n"/>
      <c r="N137" s="46" t="n"/>
      <c r="O137" s="46" t="n"/>
    </row>
    <row r="138" ht="17" customHeight="1">
      <c r="A138" s="83" t="n"/>
      <c r="B138" s="94" t="n"/>
      <c r="C138" s="46" t="n"/>
      <c r="D138" s="75" t="n"/>
      <c r="E138" s="95" t="n"/>
      <c r="F138" s="46" t="n"/>
      <c r="G138" s="96" t="n"/>
      <c r="H138" s="46" t="n"/>
      <c r="I138" s="97" t="n"/>
      <c r="J138" s="46" t="n"/>
      <c r="K138" s="46" t="n"/>
      <c r="L138" s="46" t="n"/>
      <c r="M138" s="46" t="n"/>
      <c r="N138" s="46" t="n"/>
      <c r="O138" s="46" t="n"/>
    </row>
    <row r="139" ht="17" customHeight="1">
      <c r="A139" s="83" t="n"/>
      <c r="B139" s="94" t="n"/>
      <c r="C139" s="46" t="n"/>
      <c r="D139" s="75" t="n"/>
      <c r="E139" s="95" t="n"/>
      <c r="F139" s="46" t="n"/>
      <c r="G139" s="96" t="n"/>
      <c r="H139" s="46" t="n"/>
      <c r="I139" s="97" t="n"/>
      <c r="J139" s="46" t="n"/>
      <c r="K139" s="46" t="n"/>
      <c r="L139" s="46" t="n"/>
      <c r="M139" s="46" t="n"/>
      <c r="N139" s="46" t="n"/>
      <c r="O139" s="46" t="n"/>
    </row>
    <row r="140" ht="17" customHeight="1">
      <c r="A140" s="83" t="n"/>
      <c r="B140" s="94" t="n"/>
      <c r="C140" s="46" t="n"/>
      <c r="D140" s="75" t="n"/>
      <c r="E140" s="95" t="n"/>
      <c r="F140" s="46" t="n"/>
      <c r="G140" s="96" t="n"/>
      <c r="H140" s="46" t="n"/>
      <c r="I140" s="97" t="n"/>
      <c r="J140" s="46" t="n"/>
      <c r="K140" s="46" t="n"/>
      <c r="L140" s="46" t="n"/>
      <c r="M140" s="46" t="n"/>
      <c r="N140" s="46" t="n"/>
      <c r="O140" s="46" t="n"/>
    </row>
    <row r="141" ht="17" customHeight="1">
      <c r="A141" s="83" t="n"/>
      <c r="B141" s="94" t="n"/>
      <c r="C141" s="46" t="n"/>
      <c r="D141" s="75" t="n"/>
      <c r="E141" s="95" t="n"/>
      <c r="F141" s="46" t="n"/>
      <c r="G141" s="96" t="n"/>
      <c r="H141" s="46" t="n"/>
      <c r="I141" s="97" t="n"/>
      <c r="J141" s="46" t="n"/>
      <c r="K141" s="46" t="n"/>
      <c r="L141" s="46" t="n"/>
      <c r="M141" s="46" t="n"/>
      <c r="N141" s="46" t="n"/>
      <c r="O141" s="46" t="n"/>
    </row>
    <row r="142" ht="17" customHeight="1">
      <c r="A142" s="83" t="n"/>
      <c r="B142" s="94" t="n"/>
      <c r="C142" s="46" t="n"/>
      <c r="D142" s="75" t="n"/>
      <c r="E142" s="95" t="n"/>
      <c r="F142" s="46" t="n"/>
      <c r="G142" s="96" t="n"/>
      <c r="H142" s="46" t="n"/>
      <c r="I142" s="97" t="n"/>
      <c r="J142" s="46" t="n"/>
      <c r="K142" s="46" t="n"/>
      <c r="L142" s="46" t="n"/>
      <c r="M142" s="46" t="n"/>
      <c r="N142" s="46" t="n"/>
      <c r="O142" s="46" t="n"/>
    </row>
    <row r="143" ht="17" customHeight="1">
      <c r="A143" s="83" t="n"/>
      <c r="B143" s="94" t="n"/>
      <c r="C143" s="46" t="n"/>
      <c r="D143" s="75" t="n"/>
      <c r="E143" s="95" t="n"/>
      <c r="F143" s="46" t="n"/>
      <c r="G143" s="96" t="n"/>
      <c r="H143" s="46" t="n"/>
      <c r="I143" s="97" t="n"/>
      <c r="J143" s="46" t="n"/>
      <c r="K143" s="46" t="n"/>
      <c r="L143" s="46" t="n"/>
      <c r="M143" s="46" t="n"/>
      <c r="N143" s="46" t="n"/>
      <c r="O143" s="46" t="n"/>
    </row>
    <row r="144" ht="17" customHeight="1">
      <c r="A144" s="83" t="n"/>
      <c r="B144" s="94" t="n"/>
      <c r="C144" s="46" t="n"/>
      <c r="D144" s="75" t="n"/>
      <c r="E144" s="95" t="n"/>
      <c r="F144" s="46" t="n"/>
      <c r="G144" s="96" t="n"/>
      <c r="H144" s="46" t="n"/>
      <c r="I144" s="97" t="n"/>
      <c r="J144" s="46" t="n"/>
      <c r="K144" s="46" t="n"/>
      <c r="L144" s="46" t="n"/>
      <c r="M144" s="46" t="n"/>
      <c r="N144" s="46" t="n"/>
      <c r="O144" s="46" t="n"/>
    </row>
    <row r="145" ht="17" customHeight="1">
      <c r="A145" s="83" t="n"/>
      <c r="B145" s="94" t="n"/>
      <c r="C145" s="46" t="n"/>
      <c r="D145" s="75" t="n"/>
      <c r="E145" s="95" t="n"/>
      <c r="F145" s="46" t="n"/>
      <c r="G145" s="96" t="n"/>
      <c r="H145" s="46" t="n"/>
      <c r="I145" s="97" t="n"/>
      <c r="J145" s="46" t="n"/>
      <c r="K145" s="46" t="n"/>
      <c r="L145" s="46" t="n"/>
      <c r="M145" s="46" t="n"/>
      <c r="N145" s="46" t="n"/>
      <c r="O145" s="46" t="n"/>
    </row>
    <row r="146" ht="17" customHeight="1">
      <c r="A146" s="83" t="n"/>
      <c r="B146" s="94" t="n"/>
      <c r="C146" s="46" t="n"/>
      <c r="D146" s="75" t="n"/>
      <c r="E146" s="95" t="n"/>
      <c r="F146" s="46" t="n"/>
      <c r="G146" s="96" t="n"/>
      <c r="H146" s="46" t="n"/>
      <c r="I146" s="97" t="n"/>
      <c r="J146" s="46" t="n"/>
      <c r="K146" s="46" t="n"/>
      <c r="L146" s="46" t="n"/>
      <c r="M146" s="46" t="n"/>
      <c r="N146" s="46" t="n"/>
      <c r="O146" s="46" t="n"/>
    </row>
    <row r="147" ht="17" customHeight="1">
      <c r="A147" s="83" t="n"/>
      <c r="B147" s="94" t="n"/>
      <c r="C147" s="46" t="n"/>
      <c r="D147" s="75" t="n"/>
      <c r="E147" s="95" t="n"/>
      <c r="F147" s="46" t="n"/>
      <c r="G147" s="96" t="n"/>
      <c r="H147" s="46" t="n"/>
      <c r="I147" s="97" t="n"/>
      <c r="J147" s="46" t="n"/>
      <c r="K147" s="46" t="n"/>
      <c r="L147" s="46" t="n"/>
      <c r="M147" s="46" t="n"/>
      <c r="N147" s="46" t="n"/>
      <c r="O147" s="46" t="n"/>
    </row>
    <row r="148" ht="17" customHeight="1">
      <c r="A148" s="83" t="n"/>
      <c r="B148" s="94" t="n"/>
      <c r="C148" s="46" t="n"/>
      <c r="D148" s="75" t="n"/>
      <c r="E148" s="95" t="n"/>
      <c r="F148" s="46" t="n"/>
      <c r="G148" s="96" t="n"/>
      <c r="H148" s="46" t="n"/>
      <c r="I148" s="97" t="n"/>
      <c r="J148" s="46" t="n"/>
      <c r="K148" s="46" t="n"/>
      <c r="L148" s="46" t="n"/>
      <c r="M148" s="46" t="n"/>
      <c r="N148" s="46" t="n"/>
      <c r="O148" s="46" t="n"/>
    </row>
    <row r="149" ht="17" customHeight="1">
      <c r="A149" s="83" t="n"/>
      <c r="B149" s="94" t="n"/>
      <c r="C149" s="46" t="n"/>
      <c r="D149" s="75" t="n"/>
      <c r="E149" s="95" t="n"/>
      <c r="F149" s="46" t="n"/>
      <c r="G149" s="96" t="n"/>
      <c r="H149" s="46" t="n"/>
      <c r="I149" s="97" t="n"/>
      <c r="J149" s="46" t="n"/>
      <c r="K149" s="46" t="n"/>
      <c r="L149" s="46" t="n"/>
      <c r="M149" s="46" t="n"/>
      <c r="N149" s="46" t="n"/>
      <c r="O149" s="46" t="n"/>
    </row>
    <row r="150" ht="17" customHeight="1">
      <c r="A150" s="83" t="n"/>
      <c r="B150" s="94" t="n"/>
      <c r="C150" s="46" t="n"/>
      <c r="D150" s="75" t="n"/>
      <c r="E150" s="95" t="n"/>
      <c r="F150" s="46" t="n"/>
      <c r="G150" s="96" t="n"/>
      <c r="H150" s="46" t="n"/>
      <c r="I150" s="97" t="n"/>
      <c r="J150" s="46" t="n"/>
      <c r="K150" s="46" t="n"/>
      <c r="L150" s="46" t="n"/>
      <c r="M150" s="46" t="n"/>
      <c r="N150" s="46" t="n"/>
      <c r="O150" s="46" t="n"/>
    </row>
    <row r="151" ht="17" customHeight="1">
      <c r="A151" s="83" t="n"/>
      <c r="B151" s="94" t="n"/>
      <c r="C151" s="46" t="n"/>
      <c r="D151" s="75" t="n"/>
      <c r="E151" s="95" t="n"/>
      <c r="F151" s="46" t="n"/>
      <c r="G151" s="96" t="n"/>
      <c r="H151" s="46" t="n"/>
      <c r="I151" s="97" t="n"/>
      <c r="J151" s="46" t="n"/>
      <c r="K151" s="46" t="n"/>
      <c r="L151" s="46" t="n"/>
      <c r="M151" s="46" t="n"/>
      <c r="N151" s="46" t="n"/>
      <c r="O151" s="46" t="n"/>
    </row>
    <row r="152" ht="17" customHeight="1">
      <c r="A152" s="83" t="n"/>
      <c r="B152" s="94" t="n"/>
      <c r="C152" s="46" t="n"/>
      <c r="D152" s="75" t="n"/>
      <c r="E152" s="95" t="n"/>
      <c r="F152" s="46" t="n"/>
      <c r="G152" s="96" t="n"/>
      <c r="H152" s="46" t="n"/>
      <c r="I152" s="97" t="n"/>
      <c r="J152" s="46" t="n"/>
      <c r="K152" s="46" t="n"/>
      <c r="L152" s="46" t="n"/>
      <c r="M152" s="46" t="n"/>
      <c r="N152" s="46" t="n"/>
      <c r="O152" s="46" t="n"/>
    </row>
    <row r="153" ht="17" customHeight="1">
      <c r="A153" s="83" t="n"/>
      <c r="B153" s="94" t="n"/>
      <c r="C153" s="46" t="n"/>
      <c r="D153" s="75" t="n"/>
      <c r="E153" s="95" t="n"/>
      <c r="F153" s="46" t="n"/>
      <c r="G153" s="96" t="n"/>
      <c r="H153" s="46" t="n"/>
      <c r="I153" s="97" t="n"/>
      <c r="J153" s="46" t="n"/>
      <c r="K153" s="46" t="n"/>
      <c r="L153" s="46" t="n"/>
      <c r="M153" s="46" t="n"/>
      <c r="N153" s="46" t="n"/>
      <c r="O153" s="46" t="n"/>
    </row>
    <row r="154" ht="17" customHeight="1">
      <c r="A154" s="83" t="n"/>
      <c r="B154" s="94" t="n"/>
      <c r="C154" s="46" t="n"/>
      <c r="D154" s="75" t="n"/>
      <c r="E154" s="95" t="n"/>
      <c r="F154" s="46" t="n"/>
      <c r="G154" s="96" t="n"/>
      <c r="H154" s="46" t="n"/>
      <c r="I154" s="97" t="n"/>
      <c r="J154" s="46" t="n"/>
      <c r="K154" s="46" t="n"/>
      <c r="L154" s="46" t="n"/>
      <c r="M154" s="46" t="n"/>
      <c r="N154" s="46" t="n"/>
      <c r="O154" s="46" t="n"/>
    </row>
    <row r="155" ht="17" customHeight="1">
      <c r="A155" s="83" t="n"/>
      <c r="B155" s="94" t="n"/>
      <c r="C155" s="46" t="n"/>
      <c r="D155" s="75" t="n"/>
      <c r="E155" s="95" t="n"/>
      <c r="F155" s="46" t="n"/>
      <c r="G155" s="96" t="n"/>
      <c r="H155" s="46" t="n"/>
      <c r="I155" s="97" t="n"/>
      <c r="J155" s="46" t="n"/>
      <c r="K155" s="46" t="n"/>
      <c r="L155" s="46" t="n"/>
      <c r="M155" s="46" t="n"/>
      <c r="N155" s="46" t="n"/>
      <c r="O155" s="46" t="n"/>
    </row>
    <row r="156" ht="17" customHeight="1">
      <c r="A156" s="83" t="n"/>
      <c r="B156" s="94" t="n"/>
      <c r="C156" s="46" t="n"/>
      <c r="D156" s="75" t="n"/>
      <c r="E156" s="95" t="n"/>
      <c r="F156" s="46" t="n"/>
      <c r="G156" s="96" t="n"/>
      <c r="H156" s="46" t="n"/>
      <c r="I156" s="97" t="n"/>
      <c r="J156" s="46" t="n"/>
      <c r="K156" s="46" t="n"/>
      <c r="L156" s="46" t="n"/>
      <c r="M156" s="46" t="n"/>
      <c r="N156" s="46" t="n"/>
      <c r="O156" s="46" t="n"/>
    </row>
    <row r="157" ht="17" customHeight="1">
      <c r="A157" s="83" t="n"/>
      <c r="B157" s="94" t="n"/>
      <c r="C157" s="46" t="n"/>
      <c r="D157" s="75" t="n"/>
      <c r="E157" s="95" t="n"/>
      <c r="F157" s="46" t="n"/>
      <c r="G157" s="96" t="n"/>
      <c r="H157" s="46" t="n"/>
      <c r="I157" s="97" t="n"/>
      <c r="J157" s="46" t="n"/>
      <c r="K157" s="46" t="n"/>
      <c r="L157" s="46" t="n"/>
      <c r="M157" s="46" t="n"/>
      <c r="N157" s="46" t="n"/>
      <c r="O157" s="46" t="n"/>
    </row>
    <row r="158" ht="17" customHeight="1">
      <c r="A158" s="83" t="n"/>
      <c r="B158" s="94" t="n"/>
      <c r="C158" s="46" t="n"/>
      <c r="D158" s="75" t="n"/>
      <c r="E158" s="95" t="n"/>
      <c r="F158" s="46" t="n"/>
      <c r="G158" s="96" t="n"/>
      <c r="H158" s="46" t="n"/>
      <c r="I158" s="97" t="n"/>
      <c r="J158" s="46" t="n"/>
      <c r="K158" s="46" t="n"/>
      <c r="L158" s="46" t="n"/>
      <c r="M158" s="46" t="n"/>
      <c r="N158" s="46" t="n"/>
      <c r="O158" s="46" t="n"/>
    </row>
    <row r="159" ht="17" customHeight="1">
      <c r="A159" s="83" t="n"/>
      <c r="B159" s="94" t="n"/>
      <c r="C159" s="46" t="n"/>
      <c r="D159" s="75" t="n"/>
      <c r="E159" s="95" t="n"/>
      <c r="F159" s="46" t="n"/>
      <c r="G159" s="96" t="n"/>
      <c r="H159" s="46" t="n"/>
      <c r="I159" s="97" t="n"/>
      <c r="J159" s="46" t="n"/>
      <c r="K159" s="46" t="n"/>
      <c r="L159" s="46" t="n"/>
      <c r="M159" s="46" t="n"/>
      <c r="N159" s="46" t="n"/>
      <c r="O159" s="46" t="n"/>
    </row>
    <row r="160" ht="17" customHeight="1">
      <c r="A160" s="83" t="n"/>
      <c r="B160" s="94" t="n"/>
      <c r="C160" s="46" t="n"/>
      <c r="D160" s="75" t="n"/>
      <c r="E160" s="95" t="n"/>
      <c r="F160" s="46" t="n"/>
      <c r="G160" s="96" t="n"/>
      <c r="H160" s="46" t="n"/>
      <c r="I160" s="97" t="n"/>
      <c r="J160" s="46" t="n"/>
      <c r="K160" s="46" t="n"/>
      <c r="L160" s="46" t="n"/>
      <c r="M160" s="46" t="n"/>
      <c r="N160" s="46" t="n"/>
      <c r="O160" s="46" t="n"/>
    </row>
    <row r="161" ht="17" customHeight="1">
      <c r="A161" s="83" t="n"/>
      <c r="B161" s="94" t="n"/>
      <c r="C161" s="46" t="n"/>
      <c r="D161" s="75" t="n"/>
      <c r="E161" s="95" t="n"/>
      <c r="F161" s="46" t="n"/>
      <c r="G161" s="96" t="n"/>
      <c r="H161" s="46" t="n"/>
      <c r="I161" s="97" t="n"/>
      <c r="J161" s="46" t="n"/>
      <c r="K161" s="46" t="n"/>
      <c r="L161" s="46" t="n"/>
      <c r="M161" s="46" t="n"/>
      <c r="N161" s="46" t="n"/>
      <c r="O161" s="46" t="n"/>
    </row>
    <row r="162" ht="17" customHeight="1">
      <c r="A162" s="83" t="n"/>
      <c r="B162" s="94" t="n"/>
      <c r="C162" s="46" t="n"/>
      <c r="D162" s="75" t="n"/>
      <c r="E162" s="95" t="n"/>
      <c r="F162" s="46" t="n"/>
      <c r="G162" s="96" t="n"/>
      <c r="H162" s="46" t="n"/>
      <c r="I162" s="97" t="n"/>
      <c r="J162" s="46" t="n"/>
      <c r="K162" s="46" t="n"/>
      <c r="L162" s="46" t="n"/>
      <c r="M162" s="46" t="n"/>
      <c r="N162" s="46" t="n"/>
      <c r="O162" s="46" t="n"/>
    </row>
    <row r="163" ht="17" customHeight="1">
      <c r="A163" s="83" t="n"/>
      <c r="B163" s="94" t="n"/>
      <c r="C163" s="46" t="n"/>
      <c r="D163" s="75" t="n"/>
      <c r="E163" s="95" t="n"/>
      <c r="F163" s="46" t="n"/>
      <c r="G163" s="96" t="n"/>
      <c r="H163" s="46" t="n"/>
      <c r="I163" s="97" t="n"/>
      <c r="J163" s="46" t="n"/>
      <c r="K163" s="46" t="n"/>
      <c r="L163" s="46" t="n"/>
      <c r="M163" s="46" t="n"/>
      <c r="N163" s="46" t="n"/>
      <c r="O163" s="46" t="n"/>
    </row>
    <row r="164" ht="17" customHeight="1">
      <c r="A164" s="83" t="n"/>
      <c r="B164" s="94" t="n"/>
      <c r="C164" s="46" t="n"/>
      <c r="D164" s="75" t="n"/>
      <c r="E164" s="95" t="n"/>
      <c r="F164" s="46" t="n"/>
      <c r="G164" s="96" t="n"/>
      <c r="H164" s="46" t="n"/>
      <c r="I164" s="97" t="n"/>
      <c r="J164" s="46" t="n"/>
      <c r="K164" s="46" t="n"/>
      <c r="L164" s="46" t="n"/>
      <c r="M164" s="46" t="n"/>
      <c r="N164" s="46" t="n"/>
      <c r="O164" s="46" t="n"/>
    </row>
    <row r="165" ht="17" customHeight="1">
      <c r="A165" s="83" t="n"/>
      <c r="B165" s="94" t="n"/>
      <c r="C165" s="46" t="n"/>
      <c r="D165" s="75" t="n"/>
      <c r="E165" s="95" t="n"/>
      <c r="F165" s="46" t="n"/>
      <c r="G165" s="96" t="n"/>
      <c r="H165" s="46" t="n"/>
      <c r="I165" s="97" t="n"/>
      <c r="J165" s="46" t="n"/>
      <c r="K165" s="46" t="n"/>
      <c r="L165" s="46" t="n"/>
      <c r="M165" s="46" t="n"/>
      <c r="N165" s="46" t="n"/>
      <c r="O165" s="46" t="n"/>
    </row>
    <row r="166" ht="17" customHeight="1">
      <c r="A166" s="83" t="n"/>
      <c r="B166" s="94" t="n"/>
      <c r="C166" s="46" t="n"/>
      <c r="D166" s="75" t="n"/>
      <c r="E166" s="95" t="n"/>
      <c r="F166" s="46" t="n"/>
      <c r="G166" s="96" t="n"/>
      <c r="H166" s="46" t="n"/>
      <c r="I166" s="97" t="n"/>
      <c r="J166" s="46" t="n"/>
      <c r="K166" s="46" t="n"/>
      <c r="L166" s="46" t="n"/>
      <c r="M166" s="46" t="n"/>
      <c r="N166" s="46" t="n"/>
      <c r="O166" s="46" t="n"/>
    </row>
    <row r="167" ht="17" customHeight="1">
      <c r="A167" s="83" t="n"/>
      <c r="B167" s="94" t="n"/>
      <c r="C167" s="46" t="n"/>
      <c r="D167" s="75" t="n"/>
      <c r="E167" s="95" t="n"/>
      <c r="F167" s="46" t="n"/>
      <c r="G167" s="96" t="n"/>
      <c r="H167" s="46" t="n"/>
      <c r="I167" s="97" t="n"/>
      <c r="J167" s="46" t="n"/>
      <c r="K167" s="46" t="n"/>
      <c r="L167" s="46" t="n"/>
      <c r="M167" s="46" t="n"/>
      <c r="N167" s="46" t="n"/>
      <c r="O167" s="46" t="n"/>
    </row>
    <row r="168" ht="17" customHeight="1">
      <c r="A168" s="83" t="n"/>
      <c r="B168" s="94" t="n"/>
      <c r="C168" s="46" t="n"/>
      <c r="D168" s="75" t="n"/>
      <c r="E168" s="95" t="n"/>
      <c r="F168" s="46" t="n"/>
      <c r="G168" s="96" t="n"/>
      <c r="H168" s="46" t="n"/>
      <c r="I168" s="97" t="n"/>
      <c r="J168" s="46" t="n"/>
      <c r="K168" s="46" t="n"/>
      <c r="L168" s="46" t="n"/>
      <c r="M168" s="46" t="n"/>
      <c r="N168" s="46" t="n"/>
      <c r="O168" s="46" t="n"/>
    </row>
    <row r="169" ht="17" customHeight="1">
      <c r="A169" s="83" t="n"/>
      <c r="B169" s="94" t="n"/>
      <c r="C169" s="46" t="n"/>
      <c r="D169" s="75" t="n"/>
      <c r="E169" s="95" t="n"/>
      <c r="F169" s="46" t="n"/>
      <c r="G169" s="96" t="n"/>
      <c r="H169" s="46" t="n"/>
      <c r="I169" s="97" t="n"/>
      <c r="J169" s="46" t="n"/>
      <c r="K169" s="46" t="n"/>
      <c r="L169" s="46" t="n"/>
      <c r="M169" s="46" t="n"/>
      <c r="N169" s="46" t="n"/>
      <c r="O169" s="46" t="n"/>
    </row>
    <row r="170" ht="17" customHeight="1">
      <c r="A170" s="83" t="n"/>
      <c r="B170" s="94" t="n"/>
      <c r="C170" s="46" t="n"/>
      <c r="D170" s="75" t="n"/>
      <c r="E170" s="95" t="n"/>
      <c r="F170" s="46" t="n"/>
      <c r="G170" s="96" t="n"/>
      <c r="H170" s="46" t="n"/>
      <c r="I170" s="97" t="n"/>
      <c r="J170" s="46" t="n"/>
      <c r="K170" s="46" t="n"/>
      <c r="L170" s="46" t="n"/>
      <c r="M170" s="46" t="n"/>
      <c r="N170" s="46" t="n"/>
      <c r="O170" s="46" t="n"/>
    </row>
    <row r="171" ht="17" customHeight="1">
      <c r="A171" s="83" t="n"/>
      <c r="B171" s="94" t="n"/>
      <c r="C171" s="46" t="n"/>
      <c r="D171" s="75" t="n"/>
      <c r="E171" s="95" t="n"/>
      <c r="F171" s="46" t="n"/>
      <c r="G171" s="96" t="n"/>
      <c r="H171" s="46" t="n"/>
      <c r="I171" s="97" t="n"/>
      <c r="J171" s="46" t="n"/>
      <c r="K171" s="46" t="n"/>
      <c r="L171" s="46" t="n"/>
      <c r="M171" s="46" t="n"/>
      <c r="N171" s="46" t="n"/>
      <c r="O171" s="46" t="n"/>
    </row>
    <row r="172" ht="17" customHeight="1">
      <c r="A172" s="83" t="n"/>
      <c r="B172" s="94" t="n"/>
      <c r="C172" s="46" t="n"/>
      <c r="D172" s="75" t="n"/>
      <c r="E172" s="95" t="n"/>
      <c r="F172" s="46" t="n"/>
      <c r="G172" s="96" t="n"/>
      <c r="H172" s="46" t="n"/>
      <c r="I172" s="97" t="n"/>
      <c r="J172" s="46" t="n"/>
      <c r="K172" s="46" t="n"/>
      <c r="L172" s="46" t="n"/>
      <c r="M172" s="46" t="n"/>
      <c r="N172" s="46" t="n"/>
      <c r="O172" s="46" t="n"/>
    </row>
    <row r="173" ht="17" customHeight="1">
      <c r="A173" s="83" t="n"/>
      <c r="B173" s="94" t="n"/>
      <c r="C173" s="46" t="n"/>
      <c r="D173" s="75" t="n"/>
      <c r="E173" s="95" t="n"/>
      <c r="F173" s="46" t="n"/>
      <c r="G173" s="96" t="n"/>
      <c r="H173" s="46" t="n"/>
      <c r="I173" s="97" t="n"/>
      <c r="J173" s="46" t="n"/>
      <c r="K173" s="46" t="n"/>
      <c r="L173" s="46" t="n"/>
      <c r="M173" s="46" t="n"/>
      <c r="N173" s="46" t="n"/>
      <c r="O173" s="46" t="n"/>
    </row>
    <row r="174" ht="17" customHeight="1">
      <c r="A174" s="83" t="n"/>
      <c r="B174" s="94" t="n"/>
      <c r="C174" s="46" t="n"/>
      <c r="D174" s="75" t="n"/>
      <c r="E174" s="95" t="n"/>
      <c r="F174" s="46" t="n"/>
      <c r="G174" s="96" t="n"/>
      <c r="H174" s="46" t="n"/>
      <c r="I174" s="97" t="n"/>
      <c r="J174" s="46" t="n"/>
      <c r="K174" s="46" t="n"/>
      <c r="L174" s="46" t="n"/>
      <c r="M174" s="46" t="n"/>
      <c r="N174" s="46" t="n"/>
      <c r="O174" s="46" t="n"/>
    </row>
    <row r="175" ht="17" customHeight="1">
      <c r="A175" s="83" t="n"/>
      <c r="B175" s="94" t="n"/>
      <c r="C175" s="46" t="n"/>
      <c r="D175" s="75" t="n"/>
      <c r="E175" s="95" t="n"/>
      <c r="F175" s="46" t="n"/>
      <c r="G175" s="96" t="n"/>
      <c r="H175" s="46" t="n"/>
      <c r="I175" s="97" t="n"/>
      <c r="J175" s="46" t="n"/>
      <c r="K175" s="46" t="n"/>
      <c r="L175" s="46" t="n"/>
      <c r="M175" s="46" t="n"/>
      <c r="N175" s="46" t="n"/>
      <c r="O175" s="46" t="n"/>
    </row>
    <row r="176" ht="17" customHeight="1">
      <c r="A176" s="83" t="n"/>
      <c r="B176" s="94" t="n"/>
      <c r="C176" s="46" t="n"/>
      <c r="D176" s="75" t="n"/>
      <c r="E176" s="95" t="n"/>
      <c r="F176" s="46" t="n"/>
      <c r="G176" s="96" t="n"/>
      <c r="H176" s="46" t="n"/>
      <c r="I176" s="97" t="n"/>
      <c r="J176" s="46" t="n"/>
      <c r="K176" s="46" t="n"/>
      <c r="L176" s="46" t="n"/>
      <c r="M176" s="46" t="n"/>
      <c r="N176" s="46" t="n"/>
      <c r="O176" s="46" t="n"/>
    </row>
    <row r="177" ht="17" customHeight="1">
      <c r="A177" s="83" t="n"/>
      <c r="B177" s="94" t="n"/>
      <c r="C177" s="46" t="n"/>
      <c r="D177" s="75" t="n"/>
      <c r="E177" s="95" t="n"/>
      <c r="F177" s="46" t="n"/>
      <c r="G177" s="96" t="n"/>
      <c r="H177" s="46" t="n"/>
      <c r="I177" s="97" t="n"/>
      <c r="J177" s="46" t="n"/>
      <c r="K177" s="46" t="n"/>
      <c r="L177" s="46" t="n"/>
      <c r="M177" s="46" t="n"/>
      <c r="N177" s="46" t="n"/>
      <c r="O177" s="46" t="n"/>
    </row>
    <row r="178" ht="17" customHeight="1">
      <c r="A178" s="83" t="n"/>
      <c r="B178" s="94" t="n"/>
      <c r="C178" s="46" t="n"/>
      <c r="D178" s="75" t="n"/>
      <c r="E178" s="95" t="n"/>
      <c r="F178" s="46" t="n"/>
      <c r="G178" s="96" t="n"/>
      <c r="H178" s="46" t="n"/>
      <c r="I178" s="97" t="n"/>
      <c r="J178" s="46" t="n"/>
      <c r="K178" s="46" t="n"/>
      <c r="L178" s="46" t="n"/>
      <c r="M178" s="46" t="n"/>
      <c r="N178" s="46" t="n"/>
      <c r="O178" s="46" t="n"/>
    </row>
    <row r="179" ht="17" customHeight="1">
      <c r="A179" s="83" t="n"/>
      <c r="B179" s="94" t="n"/>
      <c r="C179" s="46" t="n"/>
      <c r="D179" s="75" t="n"/>
      <c r="E179" s="95" t="n"/>
      <c r="F179" s="46" t="n"/>
      <c r="G179" s="96" t="n"/>
      <c r="H179" s="46" t="n"/>
      <c r="I179" s="97" t="n"/>
      <c r="J179" s="46" t="n"/>
      <c r="K179" s="46" t="n"/>
      <c r="L179" s="46" t="n"/>
      <c r="M179" s="46" t="n"/>
      <c r="N179" s="46" t="n"/>
      <c r="O179" s="46" t="n"/>
    </row>
    <row r="180" ht="17" customHeight="1">
      <c r="A180" s="83" t="n"/>
      <c r="B180" s="94" t="n"/>
      <c r="C180" s="46" t="n"/>
      <c r="D180" s="75" t="n"/>
      <c r="E180" s="95" t="n"/>
      <c r="F180" s="46" t="n"/>
      <c r="G180" s="96" t="n"/>
      <c r="H180" s="46" t="n"/>
      <c r="I180" s="97" t="n"/>
      <c r="J180" s="46" t="n"/>
      <c r="K180" s="46" t="n"/>
      <c r="L180" s="46" t="n"/>
      <c r="M180" s="46" t="n"/>
      <c r="N180" s="46" t="n"/>
      <c r="O180" s="46" t="n"/>
    </row>
    <row r="181" ht="17" customHeight="1">
      <c r="A181" s="83" t="n"/>
      <c r="B181" s="94" t="n"/>
      <c r="C181" s="46" t="n"/>
      <c r="D181" s="75" t="n"/>
      <c r="E181" s="95" t="n"/>
      <c r="F181" s="46" t="n"/>
      <c r="G181" s="96" t="n"/>
      <c r="H181" s="46" t="n"/>
      <c r="I181" s="97" t="n"/>
      <c r="J181" s="46" t="n"/>
      <c r="K181" s="46" t="n"/>
      <c r="L181" s="46" t="n"/>
      <c r="M181" s="46" t="n"/>
      <c r="N181" s="46" t="n"/>
      <c r="O181" s="46" t="n"/>
    </row>
    <row r="182" ht="17" customHeight="1">
      <c r="A182" s="83" t="n"/>
      <c r="B182" s="94" t="n"/>
      <c r="C182" s="46" t="n"/>
      <c r="D182" s="75" t="n"/>
      <c r="E182" s="95" t="n"/>
      <c r="F182" s="46" t="n"/>
      <c r="G182" s="96" t="n"/>
      <c r="H182" s="46" t="n"/>
      <c r="I182" s="97" t="n"/>
      <c r="J182" s="46" t="n"/>
      <c r="K182" s="46" t="n"/>
      <c r="L182" s="46" t="n"/>
      <c r="M182" s="46" t="n"/>
      <c r="N182" s="46" t="n"/>
      <c r="O182" s="46" t="n"/>
    </row>
    <row r="183" ht="17" customHeight="1">
      <c r="A183" s="83" t="n"/>
      <c r="B183" s="94" t="n"/>
      <c r="C183" s="46" t="n"/>
      <c r="D183" s="75" t="n"/>
      <c r="E183" s="95" t="n"/>
      <c r="F183" s="46" t="n"/>
      <c r="G183" s="96" t="n"/>
      <c r="H183" s="46" t="n"/>
      <c r="I183" s="97" t="n"/>
      <c r="J183" s="46" t="n"/>
      <c r="K183" s="46" t="n"/>
      <c r="L183" s="46" t="n"/>
      <c r="M183" s="46" t="n"/>
      <c r="N183" s="46" t="n"/>
      <c r="O183" s="46" t="n"/>
    </row>
    <row r="184" ht="17" customHeight="1">
      <c r="A184" s="83" t="n"/>
      <c r="B184" s="94" t="n"/>
      <c r="C184" s="46" t="n"/>
      <c r="D184" s="75" t="n"/>
      <c r="E184" s="95" t="n"/>
      <c r="F184" s="46" t="n"/>
      <c r="G184" s="96" t="n"/>
      <c r="H184" s="46" t="n"/>
      <c r="I184" s="97" t="n"/>
      <c r="J184" s="46" t="n"/>
      <c r="K184" s="46" t="n"/>
      <c r="L184" s="46" t="n"/>
      <c r="M184" s="46" t="n"/>
      <c r="N184" s="46" t="n"/>
      <c r="O184" s="46" t="n"/>
    </row>
    <row r="185" ht="17" customHeight="1">
      <c r="A185" s="83" t="n"/>
      <c r="B185" s="94" t="n"/>
      <c r="C185" s="46" t="n"/>
      <c r="D185" s="75" t="n"/>
      <c r="E185" s="95" t="n"/>
      <c r="F185" s="46" t="n"/>
      <c r="G185" s="96" t="n"/>
      <c r="H185" s="46" t="n"/>
      <c r="I185" s="97" t="n"/>
      <c r="J185" s="46" t="n"/>
      <c r="K185" s="46" t="n"/>
      <c r="L185" s="46" t="n"/>
      <c r="M185" s="46" t="n"/>
      <c r="N185" s="46" t="n"/>
      <c r="O185" s="46" t="n"/>
    </row>
    <row r="186" ht="17" customHeight="1">
      <c r="A186" s="83" t="n"/>
      <c r="B186" s="94" t="n"/>
      <c r="C186" s="46" t="n"/>
      <c r="D186" s="75" t="n"/>
      <c r="E186" s="95" t="n"/>
      <c r="F186" s="46" t="n"/>
      <c r="G186" s="96" t="n"/>
      <c r="H186" s="46" t="n"/>
      <c r="I186" s="97" t="n"/>
      <c r="J186" s="46" t="n"/>
      <c r="K186" s="46" t="n"/>
      <c r="L186" s="46" t="n"/>
      <c r="M186" s="46" t="n"/>
      <c r="N186" s="46" t="n"/>
      <c r="O186" s="46" t="n"/>
    </row>
    <row r="187" ht="17" customHeight="1">
      <c r="A187" s="83" t="n"/>
      <c r="B187" s="94" t="n"/>
      <c r="C187" s="46" t="n"/>
      <c r="D187" s="75" t="n"/>
      <c r="E187" s="95" t="n"/>
      <c r="F187" s="46" t="n"/>
      <c r="G187" s="96" t="n"/>
      <c r="H187" s="46" t="n"/>
      <c r="I187" s="97" t="n"/>
      <c r="J187" s="46" t="n"/>
      <c r="K187" s="46" t="n"/>
      <c r="L187" s="46" t="n"/>
      <c r="M187" s="46" t="n"/>
      <c r="N187" s="46" t="n"/>
      <c r="O187" s="46" t="n"/>
    </row>
    <row r="188" ht="17" customHeight="1">
      <c r="A188" s="83" t="n"/>
      <c r="B188" s="94" t="n"/>
      <c r="C188" s="46" t="n"/>
      <c r="D188" s="75" t="n"/>
      <c r="E188" s="95" t="n"/>
      <c r="F188" s="46" t="n"/>
      <c r="G188" s="96" t="n"/>
      <c r="H188" s="46" t="n"/>
      <c r="I188" s="97" t="n"/>
      <c r="J188" s="46" t="n"/>
      <c r="K188" s="46" t="n"/>
      <c r="L188" s="46" t="n"/>
      <c r="M188" s="46" t="n"/>
      <c r="N188" s="46" t="n"/>
      <c r="O188" s="46" t="n"/>
    </row>
    <row r="189" ht="17" customHeight="1">
      <c r="A189" s="83" t="n"/>
      <c r="B189" s="94" t="n"/>
      <c r="C189" s="46" t="n"/>
      <c r="D189" s="75" t="n"/>
      <c r="E189" s="95" t="n"/>
      <c r="F189" s="46" t="n"/>
      <c r="G189" s="96" t="n"/>
      <c r="H189" s="46" t="n"/>
      <c r="I189" s="97" t="n"/>
      <c r="J189" s="46" t="n"/>
      <c r="K189" s="46" t="n"/>
      <c r="L189" s="46" t="n"/>
      <c r="M189" s="46" t="n"/>
      <c r="N189" s="46" t="n"/>
      <c r="O189" s="46" t="n"/>
    </row>
    <row r="190" ht="17" customHeight="1">
      <c r="A190" s="83" t="n"/>
      <c r="B190" s="94" t="n"/>
      <c r="C190" s="46" t="n"/>
      <c r="D190" s="75" t="n"/>
      <c r="E190" s="95" t="n"/>
      <c r="F190" s="46" t="n"/>
      <c r="G190" s="96" t="n"/>
      <c r="H190" s="46" t="n"/>
      <c r="I190" s="97" t="n"/>
      <c r="J190" s="46" t="n"/>
      <c r="K190" s="46" t="n"/>
      <c r="L190" s="46" t="n"/>
      <c r="M190" s="46" t="n"/>
      <c r="N190" s="46" t="n"/>
      <c r="O190" s="46" t="n"/>
    </row>
    <row r="191" ht="17" customHeight="1">
      <c r="A191" s="83" t="n"/>
      <c r="B191" s="94" t="n"/>
      <c r="C191" s="46" t="n"/>
      <c r="D191" s="75" t="n"/>
      <c r="E191" s="95" t="n"/>
      <c r="F191" s="46" t="n"/>
      <c r="G191" s="96" t="n"/>
      <c r="H191" s="46" t="n"/>
      <c r="I191" s="97" t="n"/>
      <c r="J191" s="46" t="n"/>
      <c r="K191" s="46" t="n"/>
      <c r="L191" s="46" t="n"/>
      <c r="M191" s="46" t="n"/>
      <c r="N191" s="46" t="n"/>
      <c r="O191" s="46" t="n"/>
    </row>
    <row r="192" ht="17" customHeight="1">
      <c r="A192" s="83" t="n"/>
      <c r="B192" s="94" t="n"/>
      <c r="C192" s="46" t="n"/>
      <c r="D192" s="75" t="n"/>
      <c r="E192" s="95" t="n"/>
      <c r="F192" s="46" t="n"/>
      <c r="G192" s="96" t="n"/>
      <c r="H192" s="46" t="n"/>
      <c r="I192" s="97" t="n"/>
      <c r="J192" s="46" t="n"/>
      <c r="K192" s="46" t="n"/>
      <c r="L192" s="46" t="n"/>
      <c r="M192" s="46" t="n"/>
      <c r="N192" s="46" t="n"/>
      <c r="O192" s="46" t="n"/>
    </row>
    <row r="193" ht="17" customHeight="1">
      <c r="A193" s="83" t="n"/>
      <c r="B193" s="94" t="n"/>
      <c r="C193" s="46" t="n"/>
      <c r="D193" s="75" t="n"/>
      <c r="E193" s="95" t="n"/>
      <c r="F193" s="46" t="n"/>
      <c r="G193" s="96" t="n"/>
      <c r="H193" s="46" t="n"/>
      <c r="I193" s="97" t="n"/>
      <c r="J193" s="46" t="n"/>
      <c r="K193" s="46" t="n"/>
      <c r="L193" s="46" t="n"/>
      <c r="M193" s="46" t="n"/>
      <c r="N193" s="46" t="n"/>
      <c r="O193" s="46" t="n"/>
    </row>
    <row r="194" ht="22" customHeight="1">
      <c r="A194" s="31" t="inlineStr">
        <is>
          <t>TOTAL LANÇADO NO LIVRO</t>
        </is>
      </c>
      <c r="B194" s="32" t="n"/>
      <c r="C194" s="32" t="n"/>
      <c r="D194" s="32" t="n"/>
      <c r="E194" s="59">
        <f>ROUND(SUM($E$134:$E$193),2)</f>
        <v/>
      </c>
      <c r="F194" s="32" t="n"/>
      <c r="G194" s="98">
        <f>IF(COUNTA($B$134:$B$193)=COUNT($E$134:$E$193),"lançamentos: "&amp;COUNT($E$134:$E$193)&amp;" · todos classificados","ATENÇÃO: "&amp;(COUNT($E$134:$E$193)-COUNTA($B$134:$B$193))&amp;" lançamento(s) sem categoria")</f>
        <v/>
      </c>
      <c r="H194" s="32" t="n"/>
      <c r="I194" s="32" t="n"/>
      <c r="J194" s="32" t="n"/>
      <c r="K194" s="32" t="n"/>
      <c r="L194" s="32" t="n"/>
      <c r="M194" s="32" t="n"/>
      <c r="N194" s="32" t="n"/>
      <c r="O194" s="32" t="n"/>
    </row>
    <row r="196" ht="50" customHeight="1">
      <c r="A196" s="43" t="inlineStr">
        <is>
          <t xml:space="preserve">  Preencha primeiro a coluna ORÇADO com o que o orçamento previu e vá preenchendo o REALIZADO conforme o projeto anda — o desvio de cada linha é o que mostra onde o orçamento erra. Compras entram uma a uma no livro do bloco 8, com categoria, forma de pagamento e status; as categorias do bloco 6 se somam sozinhas. Você pode inserir linhas em qualquer bloco a partir da linha 26: tudo o que o Painel Geral lê está acima disso.</t>
        </is>
      </c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</row>
  </sheetData>
  <mergeCells count="561">
    <mergeCell ref="A196:O196"/>
    <mergeCell ref="I170:O170"/>
    <mergeCell ref="A15:B15"/>
    <mergeCell ref="I157:O157"/>
    <mergeCell ref="G128:O128"/>
    <mergeCell ref="B141:C141"/>
    <mergeCell ref="E142:F142"/>
    <mergeCell ref="I193:O193"/>
    <mergeCell ref="I172:O172"/>
    <mergeCell ref="H9:I9"/>
    <mergeCell ref="J76:M76"/>
    <mergeCell ref="G121:O121"/>
    <mergeCell ref="E171:F171"/>
    <mergeCell ref="G123:O123"/>
    <mergeCell ref="E137:F137"/>
    <mergeCell ref="G137:H137"/>
    <mergeCell ref="E173:F173"/>
    <mergeCell ref="H70:O70"/>
    <mergeCell ref="E148:F148"/>
    <mergeCell ref="G148:H148"/>
    <mergeCell ref="B78:C78"/>
    <mergeCell ref="D7:E7"/>
    <mergeCell ref="I183:O183"/>
    <mergeCell ref="D78:E78"/>
    <mergeCell ref="E166:F166"/>
    <mergeCell ref="G139:H139"/>
    <mergeCell ref="I175:O175"/>
    <mergeCell ref="H99:O99"/>
    <mergeCell ref="A34:C34"/>
    <mergeCell ref="I185:O185"/>
    <mergeCell ref="E168:F168"/>
    <mergeCell ref="G168:H168"/>
    <mergeCell ref="H87:I87"/>
    <mergeCell ref="H101:O101"/>
    <mergeCell ref="G143:H143"/>
    <mergeCell ref="D73:E73"/>
    <mergeCell ref="I176:O176"/>
    <mergeCell ref="J9:O9"/>
    <mergeCell ref="B154:C154"/>
    <mergeCell ref="H91:I91"/>
    <mergeCell ref="E117:F117"/>
    <mergeCell ref="A24:H24"/>
    <mergeCell ref="B156:C156"/>
    <mergeCell ref="E67:F67"/>
    <mergeCell ref="A103:B103"/>
    <mergeCell ref="H112:O112"/>
    <mergeCell ref="I138:O138"/>
    <mergeCell ref="I178:O178"/>
    <mergeCell ref="H114:O114"/>
    <mergeCell ref="E161:F161"/>
    <mergeCell ref="J73:M73"/>
    <mergeCell ref="G129:O129"/>
    <mergeCell ref="A72:O72"/>
    <mergeCell ref="J77:M77"/>
    <mergeCell ref="H75:I75"/>
    <mergeCell ref="B84:C84"/>
    <mergeCell ref="E110:F110"/>
    <mergeCell ref="H105:O105"/>
    <mergeCell ref="E16:F16"/>
    <mergeCell ref="E187:F187"/>
    <mergeCell ref="G138:H138"/>
    <mergeCell ref="B142:C142"/>
    <mergeCell ref="B80:C80"/>
    <mergeCell ref="E174:F174"/>
    <mergeCell ref="H15:O15"/>
    <mergeCell ref="H107:O107"/>
    <mergeCell ref="G126:O126"/>
    <mergeCell ref="B79:C79"/>
    <mergeCell ref="E18:F18"/>
    <mergeCell ref="D79:E79"/>
    <mergeCell ref="E189:F189"/>
    <mergeCell ref="G140:H140"/>
    <mergeCell ref="B144:C144"/>
    <mergeCell ref="F73:G73"/>
    <mergeCell ref="B81:C81"/>
    <mergeCell ref="D81:E81"/>
    <mergeCell ref="I191:O191"/>
    <mergeCell ref="H102:O102"/>
    <mergeCell ref="E29:F29"/>
    <mergeCell ref="H39:O39"/>
    <mergeCell ref="I192:O192"/>
    <mergeCell ref="E69:F69"/>
    <mergeCell ref="B170:C170"/>
    <mergeCell ref="E31:F31"/>
    <mergeCell ref="E158:F158"/>
    <mergeCell ref="E133:F133"/>
    <mergeCell ref="E108:F108"/>
    <mergeCell ref="G133:H133"/>
    <mergeCell ref="B172:C172"/>
    <mergeCell ref="E95:F95"/>
    <mergeCell ref="H28:O28"/>
    <mergeCell ref="E162:F162"/>
    <mergeCell ref="G135:H135"/>
    <mergeCell ref="B92:C92"/>
    <mergeCell ref="J74:M74"/>
    <mergeCell ref="D92:E92"/>
    <mergeCell ref="I146:O146"/>
    <mergeCell ref="F92:G92"/>
    <mergeCell ref="G153:H153"/>
    <mergeCell ref="A36:O36"/>
    <mergeCell ref="A11:O11"/>
    <mergeCell ref="B76:C76"/>
    <mergeCell ref="I181:O181"/>
    <mergeCell ref="A1:O1"/>
    <mergeCell ref="I12:O12"/>
    <mergeCell ref="E164:F164"/>
    <mergeCell ref="G164:H164"/>
    <mergeCell ref="H23:O23"/>
    <mergeCell ref="B150:C150"/>
    <mergeCell ref="E42:F42"/>
    <mergeCell ref="E17:F17"/>
    <mergeCell ref="E188:F188"/>
    <mergeCell ref="E126:F126"/>
    <mergeCell ref="B152:C152"/>
    <mergeCell ref="E180:F180"/>
    <mergeCell ref="J92:M92"/>
    <mergeCell ref="E19:F19"/>
    <mergeCell ref="E190:F190"/>
    <mergeCell ref="B145:C145"/>
    <mergeCell ref="G190:H190"/>
    <mergeCell ref="G146:H146"/>
    <mergeCell ref="B181:C181"/>
    <mergeCell ref="E182:F182"/>
    <mergeCell ref="A4:O4"/>
    <mergeCell ref="F10:O10"/>
    <mergeCell ref="H110:O110"/>
    <mergeCell ref="B87:C87"/>
    <mergeCell ref="I136:O136"/>
    <mergeCell ref="B147:C147"/>
    <mergeCell ref="D87:E87"/>
    <mergeCell ref="J87:M87"/>
    <mergeCell ref="E179:F179"/>
    <mergeCell ref="J89:M89"/>
    <mergeCell ref="D82:E82"/>
    <mergeCell ref="F82:G82"/>
    <mergeCell ref="G194:O194"/>
    <mergeCell ref="E37:F37"/>
    <mergeCell ref="E159:F159"/>
    <mergeCell ref="E97:F97"/>
    <mergeCell ref="G159:H159"/>
    <mergeCell ref="B163:C163"/>
    <mergeCell ref="H8:I8"/>
    <mergeCell ref="E109:F109"/>
    <mergeCell ref="H30:O30"/>
    <mergeCell ref="E145:F145"/>
    <mergeCell ref="E139:F139"/>
    <mergeCell ref="G161:H161"/>
    <mergeCell ref="B165:C165"/>
    <mergeCell ref="H29:O29"/>
    <mergeCell ref="E111:F111"/>
    <mergeCell ref="G136:H136"/>
    <mergeCell ref="A70:B70"/>
    <mergeCell ref="H44:O44"/>
    <mergeCell ref="H31:O31"/>
    <mergeCell ref="B77:C77"/>
    <mergeCell ref="D6:E6"/>
    <mergeCell ref="D77:E77"/>
    <mergeCell ref="I149:O149"/>
    <mergeCell ref="J82:M82"/>
    <mergeCell ref="H89:I89"/>
    <mergeCell ref="I151:O151"/>
    <mergeCell ref="B191:C191"/>
    <mergeCell ref="B178:C178"/>
    <mergeCell ref="E27:F27"/>
    <mergeCell ref="I144:O144"/>
    <mergeCell ref="E119:F119"/>
    <mergeCell ref="E183:F183"/>
    <mergeCell ref="G183:H183"/>
    <mergeCell ref="A6:C6"/>
    <mergeCell ref="E22:F22"/>
    <mergeCell ref="H42:O42"/>
    <mergeCell ref="E193:F193"/>
    <mergeCell ref="G193:H193"/>
    <mergeCell ref="D88:E88"/>
    <mergeCell ref="G149:H149"/>
    <mergeCell ref="F88:G88"/>
    <mergeCell ref="I177:O177"/>
    <mergeCell ref="G185:H185"/>
    <mergeCell ref="B90:C90"/>
    <mergeCell ref="D90:E90"/>
    <mergeCell ref="E122:F122"/>
    <mergeCell ref="G151:H151"/>
    <mergeCell ref="A45:B45"/>
    <mergeCell ref="G178:H178"/>
    <mergeCell ref="F6:G6"/>
    <mergeCell ref="J90:M90"/>
    <mergeCell ref="F83:G83"/>
    <mergeCell ref="H83:I83"/>
    <mergeCell ref="E38:F38"/>
    <mergeCell ref="A2:O2"/>
    <mergeCell ref="E147:F147"/>
    <mergeCell ref="F85:G85"/>
    <mergeCell ref="H85:I85"/>
    <mergeCell ref="G175:H175"/>
    <mergeCell ref="B179:C179"/>
    <mergeCell ref="E40:F40"/>
    <mergeCell ref="G162:H162"/>
    <mergeCell ref="H108:O108"/>
    <mergeCell ref="B166:C166"/>
    <mergeCell ref="B124:D124"/>
    <mergeCell ref="E186:F186"/>
    <mergeCell ref="G177:H177"/>
    <mergeCell ref="E104:F104"/>
    <mergeCell ref="H45:O45"/>
    <mergeCell ref="B174:C174"/>
    <mergeCell ref="B168:C168"/>
    <mergeCell ref="H32:O32"/>
    <mergeCell ref="B126:D126"/>
    <mergeCell ref="D9:E9"/>
    <mergeCell ref="H80:I80"/>
    <mergeCell ref="F9:G9"/>
    <mergeCell ref="I150:O150"/>
    <mergeCell ref="J83:M83"/>
    <mergeCell ref="I165:O165"/>
    <mergeCell ref="B169:C169"/>
    <mergeCell ref="I152:O152"/>
    <mergeCell ref="E66:F66"/>
    <mergeCell ref="J85:M85"/>
    <mergeCell ref="E130:F130"/>
    <mergeCell ref="E68:F68"/>
    <mergeCell ref="B134:C134"/>
    <mergeCell ref="G155:H155"/>
    <mergeCell ref="E160:F160"/>
    <mergeCell ref="E141:F141"/>
    <mergeCell ref="G118:O118"/>
    <mergeCell ref="E135:F135"/>
    <mergeCell ref="G157:H157"/>
    <mergeCell ref="E107:F107"/>
    <mergeCell ref="H73:I73"/>
    <mergeCell ref="E143:F143"/>
    <mergeCell ref="G172:H172"/>
    <mergeCell ref="G186:H186"/>
    <mergeCell ref="B162:C162"/>
    <mergeCell ref="D91:E91"/>
    <mergeCell ref="G152:H152"/>
    <mergeCell ref="F91:G91"/>
    <mergeCell ref="A21:B21"/>
    <mergeCell ref="I163:O163"/>
    <mergeCell ref="H84:I84"/>
    <mergeCell ref="A23:B23"/>
    <mergeCell ref="B187:C187"/>
    <mergeCell ref="E125:F125"/>
    <mergeCell ref="H86:I86"/>
    <mergeCell ref="E41:F41"/>
    <mergeCell ref="B189:C189"/>
    <mergeCell ref="E112:F112"/>
    <mergeCell ref="B188:C188"/>
    <mergeCell ref="B117:D117"/>
    <mergeCell ref="E43:F43"/>
    <mergeCell ref="J91:M91"/>
    <mergeCell ref="B190:C190"/>
    <mergeCell ref="B119:D119"/>
    <mergeCell ref="A16:B16"/>
    <mergeCell ref="G124:O124"/>
    <mergeCell ref="E138:F138"/>
    <mergeCell ref="A108:B108"/>
    <mergeCell ref="B127:D127"/>
    <mergeCell ref="I168:O168"/>
    <mergeCell ref="A18:B18"/>
    <mergeCell ref="B73:C73"/>
    <mergeCell ref="E167:F167"/>
    <mergeCell ref="H100:O100"/>
    <mergeCell ref="H7:I7"/>
    <mergeCell ref="G119:O119"/>
    <mergeCell ref="B137:C137"/>
    <mergeCell ref="E169:F169"/>
    <mergeCell ref="H66:O66"/>
    <mergeCell ref="B74:C74"/>
    <mergeCell ref="D74:E74"/>
    <mergeCell ref="B139:C139"/>
    <mergeCell ref="I184:O184"/>
    <mergeCell ref="B122:D122"/>
    <mergeCell ref="I171:O171"/>
    <mergeCell ref="H76:I76"/>
    <mergeCell ref="H95:O95"/>
    <mergeCell ref="A44:B44"/>
    <mergeCell ref="I173:O173"/>
    <mergeCell ref="H97:O97"/>
    <mergeCell ref="I166:O166"/>
    <mergeCell ref="G176:H176"/>
    <mergeCell ref="E64:F64"/>
    <mergeCell ref="J7:O7"/>
    <mergeCell ref="E156:F156"/>
    <mergeCell ref="E153:F153"/>
    <mergeCell ref="H21:O21"/>
    <mergeCell ref="E128:F128"/>
    <mergeCell ref="E155:F155"/>
    <mergeCell ref="D61:E61"/>
    <mergeCell ref="G184:H184"/>
    <mergeCell ref="G171:H171"/>
    <mergeCell ref="E65:F65"/>
    <mergeCell ref="E157:F157"/>
    <mergeCell ref="H16:O16"/>
    <mergeCell ref="A17:B17"/>
    <mergeCell ref="I134:O134"/>
    <mergeCell ref="H27:O27"/>
    <mergeCell ref="G117:O117"/>
    <mergeCell ref="A19:B19"/>
    <mergeCell ref="I161:O161"/>
    <mergeCell ref="E146:F146"/>
    <mergeCell ref="E12:F12"/>
    <mergeCell ref="G125:O125"/>
    <mergeCell ref="B138:C138"/>
    <mergeCell ref="E175:F175"/>
    <mergeCell ref="H67:O67"/>
    <mergeCell ref="H103:O103"/>
    <mergeCell ref="G127:O127"/>
    <mergeCell ref="E185:F185"/>
    <mergeCell ref="B140:C140"/>
    <mergeCell ref="I187:O187"/>
    <mergeCell ref="E170:F170"/>
    <mergeCell ref="I174:O174"/>
    <mergeCell ref="H98:O98"/>
    <mergeCell ref="D75:E75"/>
    <mergeCell ref="F75:G75"/>
    <mergeCell ref="I189:O189"/>
    <mergeCell ref="I188:O188"/>
    <mergeCell ref="G192:H192"/>
    <mergeCell ref="J8:O8"/>
    <mergeCell ref="E154:F154"/>
    <mergeCell ref="G154:H154"/>
    <mergeCell ref="B158:C158"/>
    <mergeCell ref="E172:F172"/>
    <mergeCell ref="B89:C89"/>
    <mergeCell ref="B160:C160"/>
    <mergeCell ref="D89:E89"/>
    <mergeCell ref="H18:O18"/>
    <mergeCell ref="L61:M61"/>
    <mergeCell ref="A194:D194"/>
    <mergeCell ref="I142:O142"/>
    <mergeCell ref="B153:C153"/>
    <mergeCell ref="J75:M75"/>
    <mergeCell ref="B184:C184"/>
    <mergeCell ref="H113:O113"/>
    <mergeCell ref="E20:F20"/>
    <mergeCell ref="I137:O137"/>
    <mergeCell ref="E177:F177"/>
    <mergeCell ref="E13:F13"/>
    <mergeCell ref="I164:O164"/>
    <mergeCell ref="I139:O139"/>
    <mergeCell ref="B88:C88"/>
    <mergeCell ref="B148:C148"/>
    <mergeCell ref="B82:C82"/>
    <mergeCell ref="E149:F149"/>
    <mergeCell ref="E176:F176"/>
    <mergeCell ref="E114:F114"/>
    <mergeCell ref="J88:M88"/>
    <mergeCell ref="A63:O63"/>
    <mergeCell ref="E15:F15"/>
    <mergeCell ref="E191:F191"/>
    <mergeCell ref="G142:H142"/>
    <mergeCell ref="B146:C146"/>
    <mergeCell ref="E178:F178"/>
    <mergeCell ref="H37:O37"/>
    <mergeCell ref="B83:C83"/>
    <mergeCell ref="B143:C143"/>
    <mergeCell ref="D83:E83"/>
    <mergeCell ref="E144:F144"/>
    <mergeCell ref="G144:H144"/>
    <mergeCell ref="H104:O104"/>
    <mergeCell ref="B85:C85"/>
    <mergeCell ref="A94:O94"/>
    <mergeCell ref="I190:O190"/>
    <mergeCell ref="D85:E85"/>
    <mergeCell ref="G173:H173"/>
    <mergeCell ref="H92:I92"/>
    <mergeCell ref="H106:O106"/>
    <mergeCell ref="F78:G78"/>
    <mergeCell ref="E106:F106"/>
    <mergeCell ref="H78:I78"/>
    <mergeCell ref="E33:F33"/>
    <mergeCell ref="H43:O43"/>
    <mergeCell ref="B159:C159"/>
    <mergeCell ref="D80:E80"/>
    <mergeCell ref="G170:H170"/>
    <mergeCell ref="B167:C167"/>
    <mergeCell ref="A26:O26"/>
    <mergeCell ref="B161:C161"/>
    <mergeCell ref="H6:I6"/>
    <mergeCell ref="H130:O130"/>
    <mergeCell ref="H68:O68"/>
    <mergeCell ref="B136:C136"/>
    <mergeCell ref="E28:F28"/>
    <mergeCell ref="B175:C175"/>
    <mergeCell ref="E30:F30"/>
    <mergeCell ref="J84:M84"/>
    <mergeCell ref="I145:O145"/>
    <mergeCell ref="J78:M78"/>
    <mergeCell ref="H69:O69"/>
    <mergeCell ref="A9:C9"/>
    <mergeCell ref="I147:O147"/>
    <mergeCell ref="J80:M80"/>
    <mergeCell ref="D8:E8"/>
    <mergeCell ref="J79:M79"/>
    <mergeCell ref="G150:H150"/>
    <mergeCell ref="I186:O186"/>
    <mergeCell ref="E21:F21"/>
    <mergeCell ref="J6:O6"/>
    <mergeCell ref="H82:I82"/>
    <mergeCell ref="B91:C91"/>
    <mergeCell ref="E192:F192"/>
    <mergeCell ref="H20:O20"/>
    <mergeCell ref="E129:F129"/>
    <mergeCell ref="H38:O38"/>
    <mergeCell ref="E23:F23"/>
    <mergeCell ref="D84:E84"/>
    <mergeCell ref="B155:C155"/>
    <mergeCell ref="G145:H145"/>
    <mergeCell ref="F84:G84"/>
    <mergeCell ref="B149:C149"/>
    <mergeCell ref="E181:F181"/>
    <mergeCell ref="B193:C193"/>
    <mergeCell ref="E194:F194"/>
    <mergeCell ref="G181:H181"/>
    <mergeCell ref="A3:O3"/>
    <mergeCell ref="H40:O40"/>
    <mergeCell ref="B86:C86"/>
    <mergeCell ref="G160:H160"/>
    <mergeCell ref="D86:E86"/>
    <mergeCell ref="I140:O140"/>
    <mergeCell ref="G147:H147"/>
    <mergeCell ref="F86:G86"/>
    <mergeCell ref="H64:O64"/>
    <mergeCell ref="B151:C151"/>
    <mergeCell ref="F80:G80"/>
    <mergeCell ref="G174:H174"/>
    <mergeCell ref="I158:O158"/>
    <mergeCell ref="I133:O133"/>
    <mergeCell ref="G189:H189"/>
    <mergeCell ref="F79:G79"/>
    <mergeCell ref="H79:I79"/>
    <mergeCell ref="E34:F34"/>
    <mergeCell ref="B182:C182"/>
    <mergeCell ref="E105:F105"/>
    <mergeCell ref="I160:O160"/>
    <mergeCell ref="E99:F99"/>
    <mergeCell ref="I135:O135"/>
    <mergeCell ref="F81:G81"/>
    <mergeCell ref="H81:I81"/>
    <mergeCell ref="E163:F163"/>
    <mergeCell ref="E101:F101"/>
    <mergeCell ref="G163:H163"/>
    <mergeCell ref="A22:B22"/>
    <mergeCell ref="B125:D125"/>
    <mergeCell ref="E113:F113"/>
    <mergeCell ref="B183:C183"/>
    <mergeCell ref="B177:C177"/>
    <mergeCell ref="E100:F100"/>
    <mergeCell ref="B164:C164"/>
    <mergeCell ref="J86:M86"/>
    <mergeCell ref="E136:F136"/>
    <mergeCell ref="G165:H165"/>
    <mergeCell ref="H33:O33"/>
    <mergeCell ref="I24:O24"/>
    <mergeCell ref="E102:F102"/>
    <mergeCell ref="G158:H158"/>
    <mergeCell ref="B120:D120"/>
    <mergeCell ref="D10:E10"/>
    <mergeCell ref="G169:H169"/>
    <mergeCell ref="I148:O148"/>
    <mergeCell ref="I153:O153"/>
    <mergeCell ref="E127:F127"/>
    <mergeCell ref="F74:G74"/>
    <mergeCell ref="B180:C180"/>
    <mergeCell ref="H74:I74"/>
    <mergeCell ref="G191:H191"/>
    <mergeCell ref="D76:E76"/>
    <mergeCell ref="F76:G76"/>
    <mergeCell ref="A47:O47"/>
    <mergeCell ref="B157:C157"/>
    <mergeCell ref="I179:O179"/>
    <mergeCell ref="B186:C186"/>
    <mergeCell ref="I141:O141"/>
    <mergeCell ref="E124:F124"/>
    <mergeCell ref="H65:O65"/>
    <mergeCell ref="E120:F120"/>
    <mergeCell ref="I159:O159"/>
    <mergeCell ref="I143:O143"/>
    <mergeCell ref="E184:F184"/>
    <mergeCell ref="A7:C7"/>
    <mergeCell ref="G122:O122"/>
    <mergeCell ref="E121:F121"/>
    <mergeCell ref="F87:G87"/>
    <mergeCell ref="B185:C185"/>
    <mergeCell ref="E151:F151"/>
    <mergeCell ref="H41:O41"/>
    <mergeCell ref="E123:F123"/>
    <mergeCell ref="F89:G89"/>
    <mergeCell ref="E150:F150"/>
    <mergeCell ref="E39:F39"/>
    <mergeCell ref="G179:H179"/>
    <mergeCell ref="F7:G7"/>
    <mergeCell ref="E44:F44"/>
    <mergeCell ref="B176:C176"/>
    <mergeCell ref="G166:H166"/>
    <mergeCell ref="H34:O34"/>
    <mergeCell ref="B128:D128"/>
    <mergeCell ref="G141:H141"/>
    <mergeCell ref="E103:F103"/>
    <mergeCell ref="E152:F152"/>
    <mergeCell ref="A116:O116"/>
    <mergeCell ref="E118:F118"/>
    <mergeCell ref="F8:G8"/>
    <mergeCell ref="A12:B12"/>
    <mergeCell ref="C12:D12"/>
    <mergeCell ref="G167:H167"/>
    <mergeCell ref="I154:O154"/>
    <mergeCell ref="B171:C171"/>
    <mergeCell ref="B123:D123"/>
    <mergeCell ref="I156:O156"/>
    <mergeCell ref="E70:F70"/>
    <mergeCell ref="F77:G77"/>
    <mergeCell ref="H77:I77"/>
    <mergeCell ref="H96:O96"/>
    <mergeCell ref="E32:F32"/>
    <mergeCell ref="G120:O120"/>
    <mergeCell ref="B133:C133"/>
    <mergeCell ref="E134:F134"/>
    <mergeCell ref="G134:H134"/>
    <mergeCell ref="B173:C173"/>
    <mergeCell ref="E96:F96"/>
    <mergeCell ref="B75:C75"/>
    <mergeCell ref="B135:C135"/>
    <mergeCell ref="I180:O180"/>
    <mergeCell ref="A130:B130"/>
    <mergeCell ref="I167:O167"/>
    <mergeCell ref="E98:F98"/>
    <mergeCell ref="I182:O182"/>
    <mergeCell ref="E165:F165"/>
    <mergeCell ref="I169:O169"/>
    <mergeCell ref="I13:O13"/>
    <mergeCell ref="E140:F140"/>
    <mergeCell ref="G156:H156"/>
    <mergeCell ref="B118:D118"/>
    <mergeCell ref="A8:C8"/>
    <mergeCell ref="H61:I61"/>
    <mergeCell ref="H88:I88"/>
    <mergeCell ref="J81:M81"/>
    <mergeCell ref="G187:H187"/>
    <mergeCell ref="A10:C10"/>
    <mergeCell ref="H17:O17"/>
    <mergeCell ref="F90:G90"/>
    <mergeCell ref="H90:I90"/>
    <mergeCell ref="H109:O109"/>
    <mergeCell ref="G180:H180"/>
    <mergeCell ref="E45:F45"/>
    <mergeCell ref="H22:O22"/>
    <mergeCell ref="B129:D129"/>
    <mergeCell ref="H19:O19"/>
    <mergeCell ref="G188:H188"/>
    <mergeCell ref="B192:C192"/>
    <mergeCell ref="A20:B20"/>
    <mergeCell ref="H111:O111"/>
    <mergeCell ref="B121:D121"/>
    <mergeCell ref="G182:H182"/>
    <mergeCell ref="I162:O162"/>
    <mergeCell ref="A132:O132"/>
    <mergeCell ref="A13:B13"/>
    <mergeCell ref="C13:D13"/>
    <mergeCell ref="I155:O155"/>
    <mergeCell ref="A114:B114"/>
  </mergeCells>
  <conditionalFormatting sqref="I134:O193">
    <cfRule type="expression" priority="1" dxfId="0" stopIfTrue="1">
      <formula>$I134="Pago"</formula>
    </cfRule>
    <cfRule type="expression" priority="2" dxfId="3" stopIfTrue="1">
      <formula>$I134="Comprado (a pagar)"</formula>
    </cfRule>
    <cfRule type="expression" priority="3" dxfId="1" stopIfTrue="1">
      <formula>$I134="A comprar"</formula>
    </cfRule>
  </conditionalFormatting>
  <conditionalFormatting sqref="A134:O193">
    <cfRule type="expression" priority="4" dxfId="6">
      <formula>AND($E134&lt;&gt;"",$B134="")</formula>
    </cfRule>
  </conditionalFormatting>
  <conditionalFormatting sqref="E16:F22">
    <cfRule type="expression" priority="5" dxfId="4">
      <formula>AND($E16&lt;&gt;"",$E16&gt;0)</formula>
    </cfRule>
    <cfRule type="expression" priority="6" dxfId="5">
      <formula>AND($E16&lt;&gt;"",$E16&lt;0)</formula>
    </cfRule>
  </conditionalFormatting>
  <conditionalFormatting sqref="E96:F114">
    <cfRule type="expression" priority="7" dxfId="4">
      <formula>AND($E96&lt;&gt;"",$E96&gt;0)</formula>
    </cfRule>
    <cfRule type="expression" priority="8" dxfId="5">
      <formula>AND($E96&lt;&gt;"",$E96&lt;0)</formula>
    </cfRule>
  </conditionalFormatting>
  <conditionalFormatting sqref="J9">
    <cfRule type="expression" priority="9" dxfId="0" stopIfTrue="1">
      <formula>$J$9="No prazo"</formula>
    </cfRule>
    <cfRule type="expression" priority="10" dxfId="2">
      <formula>$J$9="Atrasado"</formula>
    </cfRule>
  </conditionalFormatting>
  <conditionalFormatting sqref="A13:J13">
    <cfRule type="expression" priority="11" dxfId="6">
      <formula>AND($G$13&lt;&gt;"",$G$13&lt;0.25)</formula>
    </cfRule>
  </conditionalFormatting>
  <dataValidations count="12">
    <dataValidation sqref="D10:E1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"Jan/2026,Fev/2026,Mar/2026,Abr/2026,Mai/2026,Jun/2026,Jul/2026,Ago/2026,Set/2026,Out/2026,Nov/2026,Dez/2026,Jan/2027,Fev/2027,Mar/2027,Abr/2027,Mai/2027,Jun/2027,Jul/2027,Ago/2027,Set/2027,Out/2027,Nov/2027,Dez/2027"</formula1>
    </dataValidation>
    <dataValidation sqref="D49:D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H49:H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L49:L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"Lorrane,Lucas,Externo / avulso"</formula1>
    </dataValidation>
    <dataValidation sqref="H66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A74:A91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B118:B12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"Erro de projeto,Erro de medição,Erro de produção,Erro de montagem,Falha de material,Dano no transporte,Mudança pedida pelo cliente,Falha de fornecedor,Outro"</formula1>
    </dataValidation>
    <dataValidation sqref="B134:B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"MDF e MDP,Fita de borda,Ferragens,Vidros e espelhos,Esquadrias,Lâmina natural,Consumíveis,Acabamento,Serralheria,Vidraceiro,Outro terceirizado,Uber e aplicativo,Carreto e entrega,Deslocamento da equipe,Frete de material,Estacionamento e pedágio"</formula1>
    </dataValidation>
    <dataValidation sqref="G134:G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"PIX,Boleto,Cartão de crédito,Cartão parcelado,Dinheiro,Transferência,Faturado 30 dias,A combinar"</formula1>
    </dataValidation>
    <dataValidation sqref="I134:I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"A comprar,Comprado (a pagar),Pago"</formula1>
    </dataValidation>
    <dataValidation sqref="D9:E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"Jonathan,Vitor,Indicação,Arquiteto parceiro,Outro"</formula1>
    </dataValidation>
    <dataValidation sqref="F9:G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</dataValidations>
  <pageMargins left="0.4" right="0.3" top="0.4" bottom="0.3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96"/>
  <sheetViews>
    <sheetView showGridLines="0"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14" customWidth="1" min="3" max="3"/>
    <col width="16" customWidth="1" min="4" max="4"/>
    <col width="7" customWidth="1" min="5" max="5"/>
    <col width="13" customWidth="1" min="6" max="6"/>
    <col width="13" customWidth="1" min="7" max="7"/>
    <col width="16" customWidth="1" min="8" max="8"/>
    <col width="7" customWidth="1" min="9" max="9"/>
    <col width="13" customWidth="1" min="10" max="10"/>
    <col width="13" customWidth="1" min="11" max="11"/>
    <col width="15" customWidth="1" min="12" max="12"/>
    <col width="7" customWidth="1" min="13" max="13"/>
    <col width="13" customWidth="1" min="14" max="14"/>
    <col width="14" customWidth="1" min="15" max="15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8" customHeight="1">
      <c r="A3" s="4" t="inlineStr">
        <is>
          <t>FICHA DE CUSTO DO PROJETO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 ht="17" customHeight="1">
      <c r="A4" s="6" t="inlineStr">
        <is>
          <t>Fundo creme = você preenche · fundo cinza = calculado · duplique esta aba a cada projeto e registre o nome dela no Painel Geral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 ht="6" customHeight="1"/>
    <row r="6" ht="13" customHeight="1">
      <c r="A6" s="44" t="inlineStr">
        <is>
          <t>CLIENTE</t>
        </is>
      </c>
      <c r="B6" s="13" t="n"/>
      <c r="C6" s="13" t="n"/>
      <c r="D6" s="44" t="inlineStr">
        <is>
          <t>Nº DO PROJETO</t>
        </is>
      </c>
      <c r="E6" s="13" t="n"/>
      <c r="F6" s="44" t="inlineStr">
        <is>
          <t>DATA DE ENTRADA</t>
        </is>
      </c>
      <c r="G6" s="13" t="n"/>
      <c r="H6" s="44" t="inlineStr">
        <is>
          <t>ENTREGA PREVISTA</t>
        </is>
      </c>
      <c r="I6" s="13" t="n"/>
      <c r="J6" s="44" t="inlineStr">
        <is>
          <t>ENTREGA REAL</t>
        </is>
      </c>
      <c r="K6" s="13" t="n"/>
      <c r="L6" s="13" t="n"/>
      <c r="M6" s="13" t="n"/>
      <c r="N6" s="13" t="n"/>
      <c r="O6" s="13" t="n"/>
    </row>
    <row r="7" ht="21" customHeight="1">
      <c r="A7" s="45" t="n"/>
      <c r="B7" s="46" t="n"/>
      <c r="C7" s="46" t="n"/>
      <c r="D7" s="45" t="n"/>
      <c r="E7" s="46" t="n"/>
      <c r="F7" s="47" t="n"/>
      <c r="G7" s="46" t="n"/>
      <c r="H7" s="47" t="n"/>
      <c r="I7" s="46" t="n"/>
      <c r="J7" s="47" t="n"/>
      <c r="K7" s="46" t="n"/>
      <c r="L7" s="46" t="n"/>
      <c r="M7" s="46" t="n"/>
      <c r="N7" s="46" t="n"/>
      <c r="O7" s="46" t="n"/>
    </row>
    <row r="8" ht="13" customHeight="1">
      <c r="A8" s="44" t="inlineStr">
        <is>
          <t>PROJETO</t>
        </is>
      </c>
      <c r="B8" s="13" t="n"/>
      <c r="C8" s="13" t="n"/>
      <c r="D8" s="44" t="inlineStr">
        <is>
          <t>VENDEDOR</t>
        </is>
      </c>
      <c r="E8" s="13" t="n"/>
      <c r="F8" s="44" t="inlineStr">
        <is>
          <t>COORDENADOR</t>
        </is>
      </c>
      <c r="G8" s="13" t="n"/>
      <c r="H8" s="44" t="inlineStr">
        <is>
          <t>DIAS DE ATRASO</t>
        </is>
      </c>
      <c r="I8" s="13" t="n"/>
      <c r="J8" s="44" t="inlineStr">
        <is>
          <t>SITUAÇÃO DA ENTREGA</t>
        </is>
      </c>
      <c r="K8" s="13" t="n"/>
      <c r="L8" s="13" t="n"/>
      <c r="M8" s="13" t="n"/>
      <c r="N8" s="13" t="n"/>
      <c r="O8" s="13" t="n"/>
    </row>
    <row r="9" ht="21" customHeight="1">
      <c r="A9" s="45" t="n"/>
      <c r="B9" s="46" t="n"/>
      <c r="C9" s="46" t="n"/>
      <c r="D9" s="45" t="n"/>
      <c r="E9" s="46" t="n"/>
      <c r="F9" s="48" t="n"/>
      <c r="G9" s="46" t="n"/>
      <c r="H9" s="49">
        <f>IF(OR($H$7="",$J$7=""),"",$J$7-$H$7)</f>
        <v/>
      </c>
      <c r="I9" s="38" t="n"/>
      <c r="J9" s="50">
        <f>IF($H$7="","",IF($J$7="",IF(TODAY()&gt;$H$7,"Atrasado","Em produção"),IF($H$9&lt;=0,"No prazo","Atrasado")))</f>
        <v/>
      </c>
      <c r="K9" s="38" t="n"/>
      <c r="L9" s="38" t="n"/>
      <c r="M9" s="38" t="n"/>
      <c r="N9" s="38" t="n"/>
      <c r="O9" s="38" t="n"/>
    </row>
    <row r="10" ht="18" customHeight="1">
      <c r="A10" s="51" t="inlineStr">
        <is>
          <t>MÊS DE COMPETÊNCIA</t>
        </is>
      </c>
      <c r="B10" s="37" t="n"/>
      <c r="C10" s="37" t="n"/>
      <c r="D10" s="52" t="n"/>
      <c r="E10" s="46" t="n"/>
      <c r="F10" s="53" t="inlineStr">
        <is>
          <t>o mês em que a receita e o custo deste projeto pesam no painel de competência</t>
        </is>
      </c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</row>
    <row r="11" ht="20" customHeight="1">
      <c r="A11" s="8" t="inlineStr">
        <is>
          <t xml:space="preserve">  RESULTADO DO PROJETO          tudo aqui se atualiza conforme você lança os custos mais abaixo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</row>
    <row r="12" ht="13" customHeight="1">
      <c r="A12" s="44" t="inlineStr">
        <is>
          <t>VALOR DE VENDA</t>
        </is>
      </c>
      <c r="B12" s="13" t="n"/>
      <c r="C12" s="44" t="inlineStr">
        <is>
          <t>CUSTO TOTAL</t>
        </is>
      </c>
      <c r="D12" s="13" t="n"/>
      <c r="E12" s="44" t="inlineStr">
        <is>
          <t>MARGEM DE CONTRIBUIÇÃO</t>
        </is>
      </c>
      <c r="F12" s="13" t="n"/>
      <c r="G12" s="44" t="inlineStr">
        <is>
          <t>MC %</t>
        </is>
      </c>
      <c r="H12" s="44" t="inlineStr">
        <is>
          <t>MC % ORÇADA</t>
        </is>
      </c>
      <c r="I12" s="44" t="inlineStr">
        <is>
          <t>DESVIO DE CUSTO</t>
        </is>
      </c>
      <c r="J12" s="13" t="n"/>
      <c r="K12" s="13" t="n"/>
      <c r="L12" s="13" t="n"/>
      <c r="M12" s="13" t="n"/>
      <c r="N12" s="13" t="n"/>
      <c r="O12" s="13" t="n"/>
    </row>
    <row r="13" ht="30" customHeight="1">
      <c r="A13" s="54">
        <f>IF($D$28="",$C$28,$D$28)</f>
        <v/>
      </c>
      <c r="B13" s="15" t="n"/>
      <c r="C13" s="54">
        <f>IF($D$22=0,"",$D$22)</f>
        <v/>
      </c>
      <c r="D13" s="15" t="n"/>
      <c r="E13" s="54">
        <f>IF($A$13="","",$D$23)</f>
        <v/>
      </c>
      <c r="F13" s="15" t="n"/>
      <c r="G13" s="55">
        <f>IF(OR($A$13="",$A$13=0),"",$D$23/$A$13)</f>
        <v/>
      </c>
      <c r="H13" s="55">
        <f>IF(OR($C$28="",$C$28=0),"",$C$23/$C$28)</f>
        <v/>
      </c>
      <c r="I13" s="54">
        <f>IF(OR($C$22=0,$D$22=0),"",ROUND($D$22-$C$22,2))</f>
        <v/>
      </c>
      <c r="J13" s="15" t="n"/>
      <c r="K13" s="15" t="n"/>
      <c r="L13" s="15" t="n"/>
      <c r="M13" s="15" t="n"/>
      <c r="N13" s="15" t="n"/>
      <c r="O13" s="15" t="n"/>
    </row>
    <row r="14" ht="8" customHeight="1"/>
    <row r="15" ht="26" customHeight="1">
      <c r="A15" s="19" t="inlineStr">
        <is>
          <t>Resumo por categoria</t>
        </is>
      </c>
      <c r="B15" s="35" t="n"/>
      <c r="C15" s="19" t="inlineStr">
        <is>
          <t>Orçado (R$)</t>
        </is>
      </c>
      <c r="D15" s="19" t="inlineStr">
        <is>
          <t>Realizado (R$)</t>
        </is>
      </c>
      <c r="E15" s="19" t="inlineStr">
        <is>
          <t>Desvio (R$)</t>
        </is>
      </c>
      <c r="F15" s="35" t="n"/>
      <c r="G15" s="19" t="inlineStr">
        <is>
          <t>Desvio (%)</t>
        </is>
      </c>
      <c r="H15" s="19" t="inlineStr">
        <is>
          <t>% da venda realizada</t>
        </is>
      </c>
      <c r="I15" s="35" t="n"/>
      <c r="J15" s="35" t="n"/>
      <c r="K15" s="35" t="n"/>
      <c r="L15" s="35" t="n"/>
      <c r="M15" s="35" t="n"/>
      <c r="N15" s="35" t="n"/>
      <c r="O15" s="35" t="n"/>
    </row>
    <row r="16" ht="18" customHeight="1">
      <c r="A16" s="36" t="inlineStr">
        <is>
          <t>Custos de venda</t>
        </is>
      </c>
      <c r="B16" s="37" t="n"/>
      <c r="C16" s="56">
        <f>IF(C44="","",C44)</f>
        <v/>
      </c>
      <c r="D16" s="56">
        <f>IF(D44="","",D44)</f>
        <v/>
      </c>
      <c r="E16" s="56">
        <f>IF(OR($C16="",$D16=""),"",ROUND($D16-$C16,2))</f>
        <v/>
      </c>
      <c r="F16" s="38" t="n"/>
      <c r="G16" s="57">
        <f>IF(OR($C16="",$C16=0,$D16=""),"",$D16/$C16-1)</f>
        <v/>
      </c>
      <c r="H16" s="58">
        <f>IF(OR($D16="",$A$13="",$A$13=0),"",$D16/$A$13)</f>
        <v/>
      </c>
      <c r="I16" s="38" t="n"/>
      <c r="J16" s="38" t="n"/>
      <c r="K16" s="38" t="n"/>
      <c r="L16" s="38" t="n"/>
      <c r="M16" s="38" t="n"/>
      <c r="N16" s="38" t="n"/>
      <c r="O16" s="38" t="n"/>
    </row>
    <row r="17" ht="18" customHeight="1">
      <c r="A17" s="36" t="inlineStr">
        <is>
          <t>Comissões operacionais</t>
        </is>
      </c>
      <c r="B17" s="37" t="n"/>
      <c r="C17" s="56">
        <f>IF(C70="","",C70)</f>
        <v/>
      </c>
      <c r="D17" s="56">
        <f>IF(D70="","",D70)</f>
        <v/>
      </c>
      <c r="E17" s="56">
        <f>IF(OR($C17="",$D17=""),"",ROUND($D17-$C17,2))</f>
        <v/>
      </c>
      <c r="F17" s="38" t="n"/>
      <c r="G17" s="57">
        <f>IF(OR($C17="",$C17=0,$D17=""),"",$D17/$C17-1)</f>
        <v/>
      </c>
      <c r="H17" s="58">
        <f>IF(OR($D17="",$A$13="",$A$13=0),"",$D17/$A$13)</f>
        <v/>
      </c>
      <c r="I17" s="38" t="n"/>
      <c r="J17" s="38" t="n"/>
      <c r="K17" s="38" t="n"/>
      <c r="L17" s="38" t="n"/>
      <c r="M17" s="38" t="n"/>
      <c r="N17" s="38" t="n"/>
      <c r="O17" s="38" t="n"/>
    </row>
    <row r="18" ht="18" customHeight="1">
      <c r="A18" s="36" t="inlineStr">
        <is>
          <t>Material</t>
        </is>
      </c>
      <c r="B18" s="37" t="n"/>
      <c r="C18" s="56">
        <f>IF(C103="","",C103)</f>
        <v/>
      </c>
      <c r="D18" s="56">
        <f>IF(D103="","",D103)</f>
        <v/>
      </c>
      <c r="E18" s="56">
        <f>IF(OR($C18="",$D18=""),"",ROUND($D18-$C18,2))</f>
        <v/>
      </c>
      <c r="F18" s="38" t="n"/>
      <c r="G18" s="57">
        <f>IF(OR($C18="",$C18=0,$D18=""),"",$D18/$C18-1)</f>
        <v/>
      </c>
      <c r="H18" s="58">
        <f>IF(OR($D18="",$A$13="",$A$13=0),"",$D18/$A$13)</f>
        <v/>
      </c>
      <c r="I18" s="38" t="n"/>
      <c r="J18" s="38" t="n"/>
      <c r="K18" s="38" t="n"/>
      <c r="L18" s="38" t="n"/>
      <c r="M18" s="38" t="n"/>
      <c r="N18" s="38" t="n"/>
      <c r="O18" s="38" t="n"/>
    </row>
    <row r="19" ht="18" customHeight="1">
      <c r="A19" s="36" t="inlineStr">
        <is>
          <t>Serviços terceirizados</t>
        </is>
      </c>
      <c r="B19" s="37" t="n"/>
      <c r="C19" s="56">
        <f>IF(C108="","",C108)</f>
        <v/>
      </c>
      <c r="D19" s="56">
        <f>IF(D108="","",D108)</f>
        <v/>
      </c>
      <c r="E19" s="56">
        <f>IF(OR($C19="",$D19=""),"",ROUND($D19-$C19,2))</f>
        <v/>
      </c>
      <c r="F19" s="38" t="n"/>
      <c r="G19" s="57">
        <f>IF(OR($C19="",$C19=0,$D19=""),"",$D19/$C19-1)</f>
        <v/>
      </c>
      <c r="H19" s="58">
        <f>IF(OR($D19="",$A$13="",$A$13=0),"",$D19/$A$13)</f>
        <v/>
      </c>
      <c r="I19" s="38" t="n"/>
      <c r="J19" s="38" t="n"/>
      <c r="K19" s="38" t="n"/>
      <c r="L19" s="38" t="n"/>
      <c r="M19" s="38" t="n"/>
      <c r="N19" s="38" t="n"/>
      <c r="O19" s="38" t="n"/>
    </row>
    <row r="20" ht="18" customHeight="1">
      <c r="A20" s="36" t="inlineStr">
        <is>
          <t>Logística</t>
        </is>
      </c>
      <c r="B20" s="37" t="n"/>
      <c r="C20" s="56">
        <f>IF(C114="","",C114)</f>
        <v/>
      </c>
      <c r="D20" s="56">
        <f>IF(D114="","",D114)</f>
        <v/>
      </c>
      <c r="E20" s="56">
        <f>IF(OR($C20="",$D20=""),"",ROUND($D20-$C20,2))</f>
        <v/>
      </c>
      <c r="F20" s="38" t="n"/>
      <c r="G20" s="57">
        <f>IF(OR($C20="",$C20=0,$D20=""),"",$D20/$C20-1)</f>
        <v/>
      </c>
      <c r="H20" s="58">
        <f>IF(OR($D20="",$A$13="",$A$13=0),"",$D20/$A$13)</f>
        <v/>
      </c>
      <c r="I20" s="38" t="n"/>
      <c r="J20" s="38" t="n"/>
      <c r="K20" s="38" t="n"/>
      <c r="L20" s="38" t="n"/>
      <c r="M20" s="38" t="n"/>
      <c r="N20" s="38" t="n"/>
      <c r="O20" s="38" t="n"/>
    </row>
    <row r="21" ht="18" customHeight="1">
      <c r="A21" s="36" t="inlineStr">
        <is>
          <t>Retrabalho</t>
        </is>
      </c>
      <c r="B21" s="37" t="n"/>
      <c r="C21" s="56">
        <f>IF(C130="","",C130)</f>
        <v/>
      </c>
      <c r="D21" s="56">
        <f>IF(D130="","",D130)</f>
        <v/>
      </c>
      <c r="E21" s="56">
        <f>IF(OR($C21="",$D21=""),"",ROUND($D21-$C21,2))</f>
        <v/>
      </c>
      <c r="F21" s="38" t="n"/>
      <c r="G21" s="57">
        <f>IF(OR($C21="",$C21=0,$D21=""),"",$D21/$C21-1)</f>
        <v/>
      </c>
      <c r="H21" s="58">
        <f>IF(OR($D21="",$A$13="",$A$13=0),"",$D21/$A$13)</f>
        <v/>
      </c>
      <c r="I21" s="38" t="n"/>
      <c r="J21" s="38" t="n"/>
      <c r="K21" s="38" t="n"/>
      <c r="L21" s="38" t="n"/>
      <c r="M21" s="38" t="n"/>
      <c r="N21" s="38" t="n"/>
      <c r="O21" s="38" t="n"/>
    </row>
    <row r="22" ht="22" customHeight="1">
      <c r="A22" s="31" t="inlineStr">
        <is>
          <t>(=) CUSTO TOTAL DO PROJETO</t>
        </is>
      </c>
      <c r="B22" s="32" t="n"/>
      <c r="C22" s="59">
        <f>ROUND(SUM(C16:C21),2)</f>
        <v/>
      </c>
      <c r="D22" s="59">
        <f>ROUND(SUM(D16:D21),2)</f>
        <v/>
      </c>
      <c r="E22" s="60">
        <f>ROUND($D$22-$C$22,2)</f>
        <v/>
      </c>
      <c r="F22" s="32" t="n"/>
      <c r="G22" s="61">
        <f>IF(OR($C$22="",$C$22=0),"",$D$22/$C$22-1)</f>
        <v/>
      </c>
      <c r="H22" s="62">
        <f>IF(OR($A$13="",$A$13=0),"",$D$22/$A$13)</f>
        <v/>
      </c>
      <c r="I22" s="32" t="n"/>
      <c r="J22" s="32" t="n"/>
      <c r="K22" s="32" t="n"/>
      <c r="L22" s="32" t="n"/>
      <c r="M22" s="32" t="n"/>
      <c r="N22" s="32" t="n"/>
      <c r="O22" s="32" t="n"/>
    </row>
    <row r="23" ht="28" customHeight="1">
      <c r="A23" s="63" t="inlineStr">
        <is>
          <t>(=) MARGEM DE CONTRIBUIÇÃO</t>
        </is>
      </c>
      <c r="B23" s="64" t="n"/>
      <c r="C23" s="65">
        <f>ROUND($C$28-$C$22,2)</f>
        <v/>
      </c>
      <c r="D23" s="65">
        <f>ROUND($A$13-$D$22,2)</f>
        <v/>
      </c>
      <c r="E23" s="66">
        <f>ROUND($D$23-$C$23,2)</f>
        <v/>
      </c>
      <c r="F23" s="64" t="n"/>
      <c r="G23" s="67">
        <f>IF(OR($C$28="",$C$28=0),"",$C$23/$C$28)</f>
        <v/>
      </c>
      <c r="H23" s="68">
        <f>IF(OR($A$13="",$A$13=0),"",$D$23/$A$13)</f>
        <v/>
      </c>
      <c r="I23" s="64" t="n"/>
      <c r="J23" s="64" t="n"/>
      <c r="K23" s="64" t="n"/>
      <c r="L23" s="64" t="n"/>
      <c r="M23" s="64" t="n"/>
      <c r="N23" s="64" t="n"/>
      <c r="O23" s="64" t="n"/>
    </row>
    <row r="24" ht="22" customHeight="1">
      <c r="A24" s="69">
        <f>IF($A$13="","",IF(ROUND(SUMIF($I$134:$I$193,"A comprar",$E$134:$E$193),2)+ROUND(SUMIF($I$134:$I$193,"Comprado (a pagar)",$E$134:$E$193),2)=0,"   Nenhuma compra pendente lançada — o custo realizado já é o custo final.","   Já comprado e ainda a pagar: "&amp;TEXT(ROUND(SUMIF($I$134:$I$193,"Comprado (a pagar)",$E$134:$E$193),2),"R$ #,##0")&amp;"   ·   custo projetado: "&amp;TEXT($D$22+ROUND(SUMIF($I$134:$I$193,"A comprar",$E$134:$E$193),2),"R$ #,##0")&amp;"   ·   MC projetada: "&amp;TEXT(($A$13-$D$22-ROUND(SUMIF($I$134:$I$193,"A comprar",$E$134:$E$193),2))/$A$13,"0.0%")))</f>
        <v/>
      </c>
      <c r="B24" s="15" t="n"/>
      <c r="C24" s="15" t="n"/>
      <c r="D24" s="15" t="n"/>
      <c r="E24" s="15" t="n"/>
      <c r="F24" s="15" t="n"/>
      <c r="G24" s="15" t="n"/>
      <c r="H24" s="15" t="n"/>
      <c r="I24" s="70">
        <f>IF($A$13="","",ROUND(SUMIF($I$134:$I$193,"A comprar",$E$134:$E$193),2))</f>
        <v/>
      </c>
      <c r="J24" s="15" t="n"/>
      <c r="K24" s="15" t="n"/>
      <c r="L24" s="15" t="n"/>
      <c r="M24" s="15" t="n"/>
      <c r="N24" s="15" t="n"/>
      <c r="O24" s="15" t="n"/>
    </row>
    <row r="25" ht="8" customHeight="1"/>
    <row r="26" ht="20" customHeight="1">
      <c r="A26" s="8" t="inlineStr">
        <is>
          <t xml:space="preserve">  1 · VALOR DE VENDA E NOTAS EMITIDAS          o que foi vendido e o que já virou nota — a diferença é o que falta faturar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 ht="26" customHeight="1">
      <c r="A27" s="19" t="inlineStr">
        <is>
          <t>Item</t>
        </is>
      </c>
      <c r="B27" s="19" t="inlineStr">
        <is>
          <t>%</t>
        </is>
      </c>
      <c r="C27" s="19" t="inlineStr">
        <is>
          <t>Orçado (R$)</t>
        </is>
      </c>
      <c r="D27" s="19" t="inlineStr">
        <is>
          <t>Realizado (R$)</t>
        </is>
      </c>
      <c r="E27" s="19" t="inlineStr">
        <is>
          <t>Desvio (R$)</t>
        </is>
      </c>
      <c r="F27" s="35" t="n"/>
      <c r="G27" s="19" t="inlineStr">
        <is>
          <t>% da venda</t>
        </is>
      </c>
      <c r="H27" s="19" t="inlineStr">
        <is>
          <t>Observação</t>
        </is>
      </c>
      <c r="I27" s="35" t="n"/>
      <c r="J27" s="35" t="n"/>
      <c r="K27" s="35" t="n"/>
      <c r="L27" s="35" t="n"/>
      <c r="M27" s="35" t="n"/>
      <c r="N27" s="35" t="n"/>
      <c r="O27" s="35" t="n"/>
    </row>
    <row r="28" ht="17" customHeight="1">
      <c r="A28" s="36" t="inlineStr">
        <is>
          <t>Valor de venda do projeto</t>
        </is>
      </c>
      <c r="B28" s="37" t="n"/>
      <c r="C28" s="71" t="n"/>
      <c r="D28" s="71" t="n"/>
      <c r="E28" s="56">
        <f>IF(OR($C28="",$D28=""),"",ROUND($D28-$C28,2))</f>
        <v/>
      </c>
      <c r="F28" s="38" t="n"/>
      <c r="G28" s="72" t="n"/>
      <c r="H28" s="73" t="inlineStr">
        <is>
          <t>Orçado = valor da proposta · Realizado = valor fechado</t>
        </is>
      </c>
      <c r="I28" s="46" t="n"/>
      <c r="J28" s="46" t="n"/>
      <c r="K28" s="46" t="n"/>
      <c r="L28" s="46" t="n"/>
      <c r="M28" s="46" t="n"/>
      <c r="N28" s="46" t="n"/>
      <c r="O28" s="46" t="n"/>
    </row>
    <row r="29" ht="22" customHeight="1">
      <c r="A29" s="19" t="inlineStr">
        <is>
          <t>Nota fiscal</t>
        </is>
      </c>
      <c r="B29" s="19" t="inlineStr">
        <is>
          <t>Número</t>
        </is>
      </c>
      <c r="C29" s="19" t="inlineStr">
        <is>
          <t>Data</t>
        </is>
      </c>
      <c r="D29" s="19" t="inlineStr">
        <is>
          <t>Valor (R$)</t>
        </is>
      </c>
      <c r="E29" s="19" t="inlineStr"/>
      <c r="F29" s="35" t="n"/>
      <c r="G29" s="19" t="inlineStr">
        <is>
          <t>% da venda</t>
        </is>
      </c>
      <c r="H29" s="19" t="inlineStr">
        <is>
          <t>Observação</t>
        </is>
      </c>
      <c r="I29" s="35" t="n"/>
      <c r="J29" s="35" t="n"/>
      <c r="K29" s="35" t="n"/>
      <c r="L29" s="35" t="n"/>
      <c r="M29" s="35" t="n"/>
      <c r="N29" s="35" t="n"/>
      <c r="O29" s="35" t="n"/>
    </row>
    <row r="30" ht="17" customHeight="1">
      <c r="A30" s="36" t="inlineStr">
        <is>
          <t>Nota 1</t>
        </is>
      </c>
      <c r="B30" s="74" t="n"/>
      <c r="C30" s="75" t="n"/>
      <c r="D30" s="76" t="n"/>
      <c r="E30" s="37" t="n"/>
      <c r="F30" s="37" t="n"/>
      <c r="G30" s="72">
        <f>IF(OR($D30="",$A$13="",$A$13=0),"",$D30/$A$13)</f>
        <v/>
      </c>
      <c r="H30" s="73" t="n"/>
      <c r="I30" s="46" t="n"/>
      <c r="J30" s="46" t="n"/>
      <c r="K30" s="46" t="n"/>
      <c r="L30" s="46" t="n"/>
      <c r="M30" s="46" t="n"/>
      <c r="N30" s="46" t="n"/>
      <c r="O30" s="46" t="n"/>
    </row>
    <row r="31" ht="17" customHeight="1">
      <c r="A31" s="36" t="inlineStr">
        <is>
          <t>Nota 2</t>
        </is>
      </c>
      <c r="B31" s="74" t="n"/>
      <c r="C31" s="75" t="n"/>
      <c r="D31" s="76" t="n"/>
      <c r="E31" s="37" t="n"/>
      <c r="F31" s="37" t="n"/>
      <c r="G31" s="72">
        <f>IF(OR($D31="",$A$13="",$A$13=0),"",$D31/$A$13)</f>
        <v/>
      </c>
      <c r="H31" s="73" t="n"/>
      <c r="I31" s="46" t="n"/>
      <c r="J31" s="46" t="n"/>
      <c r="K31" s="46" t="n"/>
      <c r="L31" s="46" t="n"/>
      <c r="M31" s="46" t="n"/>
      <c r="N31" s="46" t="n"/>
      <c r="O31" s="46" t="n"/>
    </row>
    <row r="32" ht="17" customHeight="1">
      <c r="A32" s="36" t="inlineStr">
        <is>
          <t>Nota 3</t>
        </is>
      </c>
      <c r="B32" s="74" t="n"/>
      <c r="C32" s="75" t="n"/>
      <c r="D32" s="76" t="n"/>
      <c r="E32" s="37" t="n"/>
      <c r="F32" s="37" t="n"/>
      <c r="G32" s="72">
        <f>IF(OR($D32="",$A$13="",$A$13=0),"",$D32/$A$13)</f>
        <v/>
      </c>
      <c r="H32" s="73" t="n"/>
      <c r="I32" s="46" t="n"/>
      <c r="J32" s="46" t="n"/>
      <c r="K32" s="46" t="n"/>
      <c r="L32" s="46" t="n"/>
      <c r="M32" s="46" t="n"/>
      <c r="N32" s="46" t="n"/>
      <c r="O32" s="46" t="n"/>
    </row>
    <row r="33" ht="17" customHeight="1">
      <c r="A33" s="36" t="inlineStr">
        <is>
          <t>Nota 4</t>
        </is>
      </c>
      <c r="B33" s="74" t="n"/>
      <c r="C33" s="75" t="n"/>
      <c r="D33" s="76" t="n"/>
      <c r="E33" s="37" t="n"/>
      <c r="F33" s="37" t="n"/>
      <c r="G33" s="72">
        <f>IF(OR($D33="",$A$13="",$A$13=0),"",$D33/$A$13)</f>
        <v/>
      </c>
      <c r="H33" s="73" t="n"/>
      <c r="I33" s="46" t="n"/>
      <c r="J33" s="46" t="n"/>
      <c r="K33" s="46" t="n"/>
      <c r="L33" s="46" t="n"/>
      <c r="M33" s="46" t="n"/>
      <c r="N33" s="46" t="n"/>
      <c r="O33" s="46" t="n"/>
    </row>
    <row r="34" ht="20" customHeight="1">
      <c r="A34" s="31" t="inlineStr">
        <is>
          <t>(=) TOTAL FATURADO  →</t>
        </is>
      </c>
      <c r="B34" s="32" t="n"/>
      <c r="C34" s="32" t="n"/>
      <c r="D34" s="60">
        <f>ROUND(SUM($D$30:$D$33),2)</f>
        <v/>
      </c>
      <c r="E34" s="32" t="n"/>
      <c r="F34" s="32" t="n"/>
      <c r="G34" s="62">
        <f>IF(OR($A$13="",$A$13=0),"",$D$34/$A$13)</f>
        <v/>
      </c>
      <c r="H34" s="77">
        <f>IF(OR($A$13="",$A$13=0),"",IF(ROUND($A$13-$D$34,2)&lt;=0,"   Projeto totalmente faturado.","   Ainda a faturar: "&amp;TEXT($A$13-$D$34,"R$ #,##0.00")))</f>
        <v/>
      </c>
      <c r="I34" s="32" t="n"/>
      <c r="J34" s="32" t="n"/>
      <c r="K34" s="32" t="n"/>
      <c r="L34" s="32" t="n"/>
      <c r="M34" s="32" t="n"/>
      <c r="N34" s="32" t="n"/>
      <c r="O34" s="32" t="n"/>
    </row>
    <row r="35" ht="8" customHeight="1"/>
    <row r="36" ht="20" customHeight="1">
      <c r="A36" s="8" t="inlineStr">
        <is>
          <t xml:space="preserve">  2 · CUSTOS DE VENDA          tudo que sai por causa da venda · define a RECEITA LÍQUIDA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</row>
    <row r="37" ht="26" customHeight="1">
      <c r="A37" s="19" t="inlineStr">
        <is>
          <t>Item</t>
        </is>
      </c>
      <c r="B37" s="19" t="inlineStr">
        <is>
          <t>%</t>
        </is>
      </c>
      <c r="C37" s="19" t="inlineStr">
        <is>
          <t>Orçado (R$)</t>
        </is>
      </c>
      <c r="D37" s="19" t="inlineStr">
        <is>
          <t>Realizado (R$)</t>
        </is>
      </c>
      <c r="E37" s="19" t="inlineStr">
        <is>
          <t>Desvio (R$)</t>
        </is>
      </c>
      <c r="F37" s="35" t="n"/>
      <c r="G37" s="19" t="inlineStr">
        <is>
          <t>% da venda</t>
        </is>
      </c>
      <c r="H37" s="19" t="inlineStr">
        <is>
          <t>Observação</t>
        </is>
      </c>
      <c r="I37" s="35" t="n"/>
      <c r="J37" s="35" t="n"/>
      <c r="K37" s="35" t="n"/>
      <c r="L37" s="35" t="n"/>
      <c r="M37" s="35" t="n"/>
      <c r="N37" s="35" t="n"/>
      <c r="O37" s="35" t="n"/>
    </row>
    <row r="38" ht="17" customHeight="1">
      <c r="A38" s="36" t="inlineStr">
        <is>
          <t>Impostos sobre a nota (Simples)</t>
        </is>
      </c>
      <c r="B38" s="78" t="n"/>
      <c r="C38" s="56">
        <f>IF($B38="","",ROUND($B38*$C$28,2))</f>
        <v/>
      </c>
      <c r="D38" s="56">
        <f>IF($B38="","",ROUND($B38*$A$13,2))</f>
        <v/>
      </c>
      <c r="E38" s="56">
        <f>IF(OR($C38="",$D38=""),"",ROUND($D38-$C38,2))</f>
        <v/>
      </c>
      <c r="F38" s="38" t="n"/>
      <c r="G38" s="72">
        <f>IF(OR($D38="",$A$13="",$A$13=0),"",$D38/$A$13)</f>
        <v/>
      </c>
      <c r="H38" s="73" t="inlineStr">
        <is>
          <t>% sobre o valor de venda</t>
        </is>
      </c>
      <c r="I38" s="46" t="n"/>
      <c r="J38" s="46" t="n"/>
      <c r="K38" s="46" t="n"/>
      <c r="L38" s="46" t="n"/>
      <c r="M38" s="46" t="n"/>
      <c r="N38" s="46" t="n"/>
      <c r="O38" s="46" t="n"/>
    </row>
    <row r="39" ht="17" customHeight="1">
      <c r="A39" s="36" t="inlineStr">
        <is>
          <t>Taxa de máquina de cartão</t>
        </is>
      </c>
      <c r="B39" s="78" t="n"/>
      <c r="C39" s="56">
        <f>IF($B39="","",ROUND($B39*$C$28,2))</f>
        <v/>
      </c>
      <c r="D39" s="56">
        <f>IF($B39="","",ROUND($B39*$A$13,2))</f>
        <v/>
      </c>
      <c r="E39" s="56">
        <f>IF(OR($C39="",$D39=""),"",ROUND($D39-$C39,2))</f>
        <v/>
      </c>
      <c r="F39" s="38" t="n"/>
      <c r="G39" s="72">
        <f>IF(OR($D39="",$A$13="",$A$13=0),"",$D39/$A$13)</f>
        <v/>
      </c>
      <c r="H39" s="73" t="inlineStr">
        <is>
          <t>% sobre o valor de venda</t>
        </is>
      </c>
      <c r="I39" s="46" t="n"/>
      <c r="J39" s="46" t="n"/>
      <c r="K39" s="46" t="n"/>
      <c r="L39" s="46" t="n"/>
      <c r="M39" s="46" t="n"/>
      <c r="N39" s="46" t="n"/>
      <c r="O39" s="46" t="n"/>
    </row>
    <row r="40" ht="17" customHeight="1">
      <c r="A40" s="36" t="inlineStr">
        <is>
          <t>Taxas de transação (PIX, boleto, TED)</t>
        </is>
      </c>
      <c r="B40" s="37" t="n"/>
      <c r="C40" s="71" t="n"/>
      <c r="D40" s="71" t="n"/>
      <c r="E40" s="56">
        <f>IF(OR($C40="",$D40=""),"",ROUND($D40-$C40,2))</f>
        <v/>
      </c>
      <c r="F40" s="38" t="n"/>
      <c r="G40" s="72">
        <f>IF(OR($D40="",$A$13="",$A$13=0),"",$D40/$A$13)</f>
        <v/>
      </c>
      <c r="H40" s="73" t="inlineStr">
        <is>
          <t>valor em reais</t>
        </is>
      </c>
      <c r="I40" s="46" t="n"/>
      <c r="J40" s="46" t="n"/>
      <c r="K40" s="46" t="n"/>
      <c r="L40" s="46" t="n"/>
      <c r="M40" s="46" t="n"/>
      <c r="N40" s="46" t="n"/>
      <c r="O40" s="46" t="n"/>
    </row>
    <row r="41" ht="17" customHeight="1">
      <c r="A41" s="36" t="inlineStr">
        <is>
          <t>Comissão de venda (vendedor)</t>
        </is>
      </c>
      <c r="B41" s="78" t="n"/>
      <c r="C41" s="56">
        <f>IF($B41="","",ROUND($B41*$C$28,2))</f>
        <v/>
      </c>
      <c r="D41" s="56">
        <f>IF($B41="","",ROUND($B41*$A$13,2))</f>
        <v/>
      </c>
      <c r="E41" s="56">
        <f>IF(OR($C41="",$D41=""),"",ROUND($D41-$C41,2))</f>
        <v/>
      </c>
      <c r="F41" s="38" t="n"/>
      <c r="G41" s="72">
        <f>IF(OR($D41="",$A$13="",$A$13=0),"",$D41/$A$13)</f>
        <v/>
      </c>
      <c r="H41" s="73" t="inlineStr">
        <is>
          <t>% sobre o valor de venda</t>
        </is>
      </c>
      <c r="I41" s="46" t="n"/>
      <c r="J41" s="46" t="n"/>
      <c r="K41" s="46" t="n"/>
      <c r="L41" s="46" t="n"/>
      <c r="M41" s="46" t="n"/>
      <c r="N41" s="46" t="n"/>
      <c r="O41" s="46" t="n"/>
    </row>
    <row r="42" ht="17" customHeight="1">
      <c r="A42" s="36" t="inlineStr">
        <is>
          <t>Projeto / anteprojeto (externo)</t>
        </is>
      </c>
      <c r="B42" s="37" t="n"/>
      <c r="C42" s="71" t="n"/>
      <c r="D42" s="71" t="n"/>
      <c r="E42" s="56">
        <f>IF(OR($C42="",$D42=""),"",ROUND($D42-$C42,2))</f>
        <v/>
      </c>
      <c r="F42" s="38" t="n"/>
      <c r="G42" s="72">
        <f>IF(OR($D42="",$A$13="",$A$13=0),"",$D42/$A$13)</f>
        <v/>
      </c>
      <c r="H42" s="73" t="inlineStr">
        <is>
          <t>projetista ou arquiteto contratado para o projeto</t>
        </is>
      </c>
      <c r="I42" s="46" t="n"/>
      <c r="J42" s="46" t="n"/>
      <c r="K42" s="46" t="n"/>
      <c r="L42" s="46" t="n"/>
      <c r="M42" s="46" t="n"/>
      <c r="N42" s="46" t="n"/>
      <c r="O42" s="46" t="n"/>
    </row>
    <row r="43" ht="17" customHeight="1">
      <c r="A43" s="36" t="inlineStr">
        <is>
          <t>RT do parceiro</t>
        </is>
      </c>
      <c r="B43" s="78" t="n"/>
      <c r="C43" s="56">
        <f>IF($B43="","",ROUND($B43*($C$28-SUM($C$38:$C$40)),2))</f>
        <v/>
      </c>
      <c r="D43" s="56">
        <f>IF($B43="","",ROUND($B43*($A$13-SUM($D$38:$D$40)),2))</f>
        <v/>
      </c>
      <c r="E43" s="56">
        <f>IF(OR($C43="",$D43=""),"",ROUND($D43-$C43,2))</f>
        <v/>
      </c>
      <c r="F43" s="38" t="n"/>
      <c r="G43" s="72">
        <f>IF(OR($D43="",$A$13="",$A$13=0),"",$D43/$A$13)</f>
        <v/>
      </c>
      <c r="H43" s="73" t="inlineStr">
        <is>
          <t>% sobre o líquido: venda menos impostos, máquina e taxas</t>
        </is>
      </c>
      <c r="I43" s="46" t="n"/>
      <c r="J43" s="46" t="n"/>
      <c r="K43" s="46" t="n"/>
      <c r="L43" s="46" t="n"/>
      <c r="M43" s="46" t="n"/>
      <c r="N43" s="46" t="n"/>
      <c r="O43" s="46" t="n"/>
    </row>
    <row r="44" ht="20" customHeight="1">
      <c r="A44" s="31" t="inlineStr">
        <is>
          <t>(=) SUBTOTAL DOS CUSTOS DE VENDA</t>
        </is>
      </c>
      <c r="B44" s="32" t="n"/>
      <c r="C44" s="60">
        <f>ROUND(SUM(C38:C43),2)</f>
        <v/>
      </c>
      <c r="D44" s="60">
        <f>ROUND(SUM(D38:D43),2)</f>
        <v/>
      </c>
      <c r="E44" s="60">
        <f>ROUND($D44-$C44,2)</f>
        <v/>
      </c>
      <c r="F44" s="32" t="n"/>
      <c r="G44" s="62">
        <f>IF(OR($A$13="",$A$13=0),"",$D44/$A$13)</f>
        <v/>
      </c>
      <c r="H44" s="32" t="n"/>
      <c r="I44" s="32" t="n"/>
      <c r="J44" s="32" t="n"/>
      <c r="K44" s="32" t="n"/>
      <c r="L44" s="32" t="n"/>
      <c r="M44" s="32" t="n"/>
      <c r="N44" s="32" t="n"/>
      <c r="O44" s="32" t="n"/>
    </row>
    <row r="45" ht="24" customHeight="1">
      <c r="A45" s="79" t="inlineStr">
        <is>
          <t>(=) RECEITA LÍQUIDA</t>
        </is>
      </c>
      <c r="B45" s="64" t="n"/>
      <c r="C45" s="80">
        <f>ROUND($C$28-$C$44,2)</f>
        <v/>
      </c>
      <c r="D45" s="80">
        <f>ROUND($A$13-$D$44,2)</f>
        <v/>
      </c>
      <c r="E45" s="66">
        <f>ROUND($D$45-$C$45,2)</f>
        <v/>
      </c>
      <c r="F45" s="64" t="n"/>
      <c r="G45" s="81">
        <f>IF(OR($A$13="",$A$13=0),"",$D$45/$A$13)</f>
        <v/>
      </c>
      <c r="H45" s="82" t="inlineStr">
        <is>
          <t>É esta a base das comissões: coordenação, produção, montagem e projetista</t>
        </is>
      </c>
      <c r="I45" s="64" t="n"/>
      <c r="J45" s="64" t="n"/>
      <c r="K45" s="64" t="n"/>
      <c r="L45" s="64" t="n"/>
      <c r="M45" s="64" t="n"/>
      <c r="N45" s="64" t="n"/>
      <c r="O45" s="64" t="n"/>
    </row>
    <row r="46" ht="8" customHeight="1"/>
    <row r="47" ht="20" customHeight="1">
      <c r="A47" s="8" t="inlineStr">
        <is>
          <t xml:space="preserve">  3 · AMBIENTES, PRODUÇÃO, MONTAGEM E PROJETO          cada ambiente com quem produziu, quem montou e quem projetou · a comissão incide sobre a receita líquida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</row>
    <row r="48" ht="32" customHeight="1">
      <c r="A48" s="19" t="inlineStr">
        <is>
          <t>Ambiente</t>
        </is>
      </c>
      <c r="B48" s="19" t="inlineStr">
        <is>
          <t>% do total</t>
        </is>
      </c>
      <c r="C48" s="19" t="inlineStr">
        <is>
          <t>Valor do ambiente (R$)</t>
        </is>
      </c>
      <c r="D48" s="19" t="inlineStr">
        <is>
          <t>Produção — quem</t>
        </is>
      </c>
      <c r="E48" s="19" t="inlineStr">
        <is>
          <t>%</t>
        </is>
      </c>
      <c r="F48" s="19" t="inlineStr">
        <is>
          <t>Comissão produção (R$)</t>
        </is>
      </c>
      <c r="G48" s="19" t="inlineStr">
        <is>
          <t>Fabricado em</t>
        </is>
      </c>
      <c r="H48" s="19" t="inlineStr">
        <is>
          <t>Montagem — quem</t>
        </is>
      </c>
      <c r="I48" s="19" t="inlineStr">
        <is>
          <t>%</t>
        </is>
      </c>
      <c r="J48" s="19" t="inlineStr">
        <is>
          <t>Comissão montagem (R$)</t>
        </is>
      </c>
      <c r="K48" s="19" t="inlineStr">
        <is>
          <t>Montado em</t>
        </is>
      </c>
      <c r="L48" s="19" t="inlineStr">
        <is>
          <t>Projetista — quem</t>
        </is>
      </c>
      <c r="M48" s="19" t="inlineStr">
        <is>
          <t>%</t>
        </is>
      </c>
      <c r="N48" s="19" t="inlineStr">
        <is>
          <t>Comissão projetista (R$)</t>
        </is>
      </c>
      <c r="O48" s="19" t="inlineStr">
        <is>
          <t>Total do ambiente</t>
        </is>
      </c>
    </row>
    <row r="49" ht="18" customHeight="1">
      <c r="A49" s="83" t="n"/>
      <c r="B49" s="72">
        <f>IF(OR($C49="",$A$13="",$A$13=0),"",$C49/$A$13)</f>
        <v/>
      </c>
      <c r="C49" s="76" t="n"/>
      <c r="D49" s="83" t="n"/>
      <c r="E49" s="78" t="n"/>
      <c r="F49" s="56">
        <f>IF(OR($B49="",$E49="",$D$45=""),"",ROUND($B49*$D$45*$E49,2))</f>
        <v/>
      </c>
      <c r="G49" s="84" t="n"/>
      <c r="H49" s="83" t="n"/>
      <c r="I49" s="78" t="n"/>
      <c r="J49" s="56">
        <f>IF(OR($B49="",$I49="",$D$45=""),"",ROUND($B49*$D$45*$I49,2))</f>
        <v/>
      </c>
      <c r="K49" s="84" t="n"/>
      <c r="L49" s="83" t="n"/>
      <c r="M49" s="78" t="n"/>
      <c r="N49" s="56">
        <f>IF(OR($B49="",$M49="",$D$45=""),"",ROUND($B49*$D$45*$M49,2))</f>
        <v/>
      </c>
      <c r="O49" s="85">
        <f>IF(AND($F49="",$J49="",$N49=""),"",ROUND(IF($F49="",0,$F49)+IF($J49="",0,$J49)+IF($N49="",0,$N49),2))</f>
        <v/>
      </c>
    </row>
    <row r="50" ht="18" customHeight="1">
      <c r="A50" s="83" t="n"/>
      <c r="B50" s="72">
        <f>IF(OR($C50="",$A$13="",$A$13=0),"",$C50/$A$13)</f>
        <v/>
      </c>
      <c r="C50" s="76" t="n"/>
      <c r="D50" s="83" t="n"/>
      <c r="E50" s="78" t="n"/>
      <c r="F50" s="56">
        <f>IF(OR($B50="",$E50="",$D$45=""),"",ROUND($B50*$D$45*$E50,2))</f>
        <v/>
      </c>
      <c r="G50" s="84" t="n"/>
      <c r="H50" s="83" t="n"/>
      <c r="I50" s="78" t="n"/>
      <c r="J50" s="56">
        <f>IF(OR($B50="",$I50="",$D$45=""),"",ROUND($B50*$D$45*$I50,2))</f>
        <v/>
      </c>
      <c r="K50" s="84" t="n"/>
      <c r="L50" s="83" t="n"/>
      <c r="M50" s="78" t="n"/>
      <c r="N50" s="56">
        <f>IF(OR($B50="",$M50="",$D$45=""),"",ROUND($B50*$D$45*$M50,2))</f>
        <v/>
      </c>
      <c r="O50" s="85">
        <f>IF(AND($F50="",$J50="",$N50=""),"",ROUND(IF($F50="",0,$F50)+IF($J50="",0,$J50)+IF($N50="",0,$N50),2))</f>
        <v/>
      </c>
    </row>
    <row r="51" ht="18" customHeight="1">
      <c r="A51" s="83" t="n"/>
      <c r="B51" s="72">
        <f>IF(OR($C51="",$A$13="",$A$13=0),"",$C51/$A$13)</f>
        <v/>
      </c>
      <c r="C51" s="76" t="n"/>
      <c r="D51" s="83" t="n"/>
      <c r="E51" s="78" t="n"/>
      <c r="F51" s="56">
        <f>IF(OR($B51="",$E51="",$D$45=""),"",ROUND($B51*$D$45*$E51,2))</f>
        <v/>
      </c>
      <c r="G51" s="84" t="n"/>
      <c r="H51" s="83" t="n"/>
      <c r="I51" s="78" t="n"/>
      <c r="J51" s="56">
        <f>IF(OR($B51="",$I51="",$D$45=""),"",ROUND($B51*$D$45*$I51,2))</f>
        <v/>
      </c>
      <c r="K51" s="84" t="n"/>
      <c r="L51" s="83" t="n"/>
      <c r="M51" s="78" t="n"/>
      <c r="N51" s="56">
        <f>IF(OR($B51="",$M51="",$D$45=""),"",ROUND($B51*$D$45*$M51,2))</f>
        <v/>
      </c>
      <c r="O51" s="85">
        <f>IF(AND($F51="",$J51="",$N51=""),"",ROUND(IF($F51="",0,$F51)+IF($J51="",0,$J51)+IF($N51="",0,$N51),2))</f>
        <v/>
      </c>
    </row>
    <row r="52" ht="18" customHeight="1">
      <c r="A52" s="83" t="n"/>
      <c r="B52" s="72">
        <f>IF(OR($C52="",$A$13="",$A$13=0),"",$C52/$A$13)</f>
        <v/>
      </c>
      <c r="C52" s="76" t="n"/>
      <c r="D52" s="83" t="n"/>
      <c r="E52" s="78" t="n"/>
      <c r="F52" s="56">
        <f>IF(OR($B52="",$E52="",$D$45=""),"",ROUND($B52*$D$45*$E52,2))</f>
        <v/>
      </c>
      <c r="G52" s="84" t="n"/>
      <c r="H52" s="83" t="n"/>
      <c r="I52" s="78" t="n"/>
      <c r="J52" s="56">
        <f>IF(OR($B52="",$I52="",$D$45=""),"",ROUND($B52*$D$45*$I52,2))</f>
        <v/>
      </c>
      <c r="K52" s="84" t="n"/>
      <c r="L52" s="83" t="n"/>
      <c r="M52" s="78" t="n"/>
      <c r="N52" s="56">
        <f>IF(OR($B52="",$M52="",$D$45=""),"",ROUND($B52*$D$45*$M52,2))</f>
        <v/>
      </c>
      <c r="O52" s="85">
        <f>IF(AND($F52="",$J52="",$N52=""),"",ROUND(IF($F52="",0,$F52)+IF($J52="",0,$J52)+IF($N52="",0,$N52),2))</f>
        <v/>
      </c>
    </row>
    <row r="53" ht="18" customHeight="1">
      <c r="A53" s="83" t="n"/>
      <c r="B53" s="72">
        <f>IF(OR($C53="",$A$13="",$A$13=0),"",$C53/$A$13)</f>
        <v/>
      </c>
      <c r="C53" s="76" t="n"/>
      <c r="D53" s="83" t="n"/>
      <c r="E53" s="78" t="n"/>
      <c r="F53" s="56">
        <f>IF(OR($B53="",$E53="",$D$45=""),"",ROUND($B53*$D$45*$E53,2))</f>
        <v/>
      </c>
      <c r="G53" s="84" t="n"/>
      <c r="H53" s="83" t="n"/>
      <c r="I53" s="78" t="n"/>
      <c r="J53" s="56">
        <f>IF(OR($B53="",$I53="",$D$45=""),"",ROUND($B53*$D$45*$I53,2))</f>
        <v/>
      </c>
      <c r="K53" s="84" t="n"/>
      <c r="L53" s="83" t="n"/>
      <c r="M53" s="78" t="n"/>
      <c r="N53" s="56">
        <f>IF(OR($B53="",$M53="",$D$45=""),"",ROUND($B53*$D$45*$M53,2))</f>
        <v/>
      </c>
      <c r="O53" s="85">
        <f>IF(AND($F53="",$J53="",$N53=""),"",ROUND(IF($F53="",0,$F53)+IF($J53="",0,$J53)+IF($N53="",0,$N53),2))</f>
        <v/>
      </c>
    </row>
    <row r="54" ht="18" customHeight="1">
      <c r="A54" s="83" t="n"/>
      <c r="B54" s="72">
        <f>IF(OR($C54="",$A$13="",$A$13=0),"",$C54/$A$13)</f>
        <v/>
      </c>
      <c r="C54" s="76" t="n"/>
      <c r="D54" s="83" t="n"/>
      <c r="E54" s="78" t="n"/>
      <c r="F54" s="56">
        <f>IF(OR($B54="",$E54="",$D$45=""),"",ROUND($B54*$D$45*$E54,2))</f>
        <v/>
      </c>
      <c r="G54" s="84" t="n"/>
      <c r="H54" s="83" t="n"/>
      <c r="I54" s="78" t="n"/>
      <c r="J54" s="56">
        <f>IF(OR($B54="",$I54="",$D$45=""),"",ROUND($B54*$D$45*$I54,2))</f>
        <v/>
      </c>
      <c r="K54" s="84" t="n"/>
      <c r="L54" s="83" t="n"/>
      <c r="M54" s="78" t="n"/>
      <c r="N54" s="56">
        <f>IF(OR($B54="",$M54="",$D$45=""),"",ROUND($B54*$D$45*$M54,2))</f>
        <v/>
      </c>
      <c r="O54" s="85">
        <f>IF(AND($F54="",$J54="",$N54=""),"",ROUND(IF($F54="",0,$F54)+IF($J54="",0,$J54)+IF($N54="",0,$N54),2))</f>
        <v/>
      </c>
    </row>
    <row r="55" ht="18" customHeight="1">
      <c r="A55" s="83" t="n"/>
      <c r="B55" s="72">
        <f>IF(OR($C55="",$A$13="",$A$13=0),"",$C55/$A$13)</f>
        <v/>
      </c>
      <c r="C55" s="76" t="n"/>
      <c r="D55" s="83" t="n"/>
      <c r="E55" s="78" t="n"/>
      <c r="F55" s="56">
        <f>IF(OR($B55="",$E55="",$D$45=""),"",ROUND($B55*$D$45*$E55,2))</f>
        <v/>
      </c>
      <c r="G55" s="84" t="n"/>
      <c r="H55" s="83" t="n"/>
      <c r="I55" s="78" t="n"/>
      <c r="J55" s="56">
        <f>IF(OR($B55="",$I55="",$D$45=""),"",ROUND($B55*$D$45*$I55,2))</f>
        <v/>
      </c>
      <c r="K55" s="84" t="n"/>
      <c r="L55" s="83" t="n"/>
      <c r="M55" s="78" t="n"/>
      <c r="N55" s="56">
        <f>IF(OR($B55="",$M55="",$D$45=""),"",ROUND($B55*$D$45*$M55,2))</f>
        <v/>
      </c>
      <c r="O55" s="85">
        <f>IF(AND($F55="",$J55="",$N55=""),"",ROUND(IF($F55="",0,$F55)+IF($J55="",0,$J55)+IF($N55="",0,$N55),2))</f>
        <v/>
      </c>
    </row>
    <row r="56" ht="18" customHeight="1">
      <c r="A56" s="83" t="n"/>
      <c r="B56" s="72">
        <f>IF(OR($C56="",$A$13="",$A$13=0),"",$C56/$A$13)</f>
        <v/>
      </c>
      <c r="C56" s="76" t="n"/>
      <c r="D56" s="83" t="n"/>
      <c r="E56" s="78" t="n"/>
      <c r="F56" s="56">
        <f>IF(OR($B56="",$E56="",$D$45=""),"",ROUND($B56*$D$45*$E56,2))</f>
        <v/>
      </c>
      <c r="G56" s="84" t="n"/>
      <c r="H56" s="83" t="n"/>
      <c r="I56" s="78" t="n"/>
      <c r="J56" s="56">
        <f>IF(OR($B56="",$I56="",$D$45=""),"",ROUND($B56*$D$45*$I56,2))</f>
        <v/>
      </c>
      <c r="K56" s="84" t="n"/>
      <c r="L56" s="83" t="n"/>
      <c r="M56" s="78" t="n"/>
      <c r="N56" s="56">
        <f>IF(OR($B56="",$M56="",$D$45=""),"",ROUND($B56*$D$45*$M56,2))</f>
        <v/>
      </c>
      <c r="O56" s="85">
        <f>IF(AND($F56="",$J56="",$N56=""),"",ROUND(IF($F56="",0,$F56)+IF($J56="",0,$J56)+IF($N56="",0,$N56),2))</f>
        <v/>
      </c>
    </row>
    <row r="57" ht="18" customHeight="1">
      <c r="A57" s="83" t="n"/>
      <c r="B57" s="72">
        <f>IF(OR($C57="",$A$13="",$A$13=0),"",$C57/$A$13)</f>
        <v/>
      </c>
      <c r="C57" s="76" t="n"/>
      <c r="D57" s="83" t="n"/>
      <c r="E57" s="78" t="n"/>
      <c r="F57" s="56">
        <f>IF(OR($B57="",$E57="",$D$45=""),"",ROUND($B57*$D$45*$E57,2))</f>
        <v/>
      </c>
      <c r="G57" s="84" t="n"/>
      <c r="H57" s="83" t="n"/>
      <c r="I57" s="78" t="n"/>
      <c r="J57" s="56">
        <f>IF(OR($B57="",$I57="",$D$45=""),"",ROUND($B57*$D$45*$I57,2))</f>
        <v/>
      </c>
      <c r="K57" s="84" t="n"/>
      <c r="L57" s="83" t="n"/>
      <c r="M57" s="78" t="n"/>
      <c r="N57" s="56">
        <f>IF(OR($B57="",$M57="",$D$45=""),"",ROUND($B57*$D$45*$M57,2))</f>
        <v/>
      </c>
      <c r="O57" s="85">
        <f>IF(AND($F57="",$J57="",$N57=""),"",ROUND(IF($F57="",0,$F57)+IF($J57="",0,$J57)+IF($N57="",0,$N57),2))</f>
        <v/>
      </c>
    </row>
    <row r="58" ht="18" customHeight="1">
      <c r="A58" s="83" t="n"/>
      <c r="B58" s="72">
        <f>IF(OR($C58="",$A$13="",$A$13=0),"",$C58/$A$13)</f>
        <v/>
      </c>
      <c r="C58" s="76" t="n"/>
      <c r="D58" s="83" t="n"/>
      <c r="E58" s="78" t="n"/>
      <c r="F58" s="56">
        <f>IF(OR($B58="",$E58="",$D$45=""),"",ROUND($B58*$D$45*$E58,2))</f>
        <v/>
      </c>
      <c r="G58" s="84" t="n"/>
      <c r="H58" s="83" t="n"/>
      <c r="I58" s="78" t="n"/>
      <c r="J58" s="56">
        <f>IF(OR($B58="",$I58="",$D$45=""),"",ROUND($B58*$D$45*$I58,2))</f>
        <v/>
      </c>
      <c r="K58" s="84" t="n"/>
      <c r="L58" s="83" t="n"/>
      <c r="M58" s="78" t="n"/>
      <c r="N58" s="56">
        <f>IF(OR($B58="",$M58="",$D$45=""),"",ROUND($B58*$D$45*$M58,2))</f>
        <v/>
      </c>
      <c r="O58" s="85">
        <f>IF(AND($F58="",$J58="",$N58=""),"",ROUND(IF($F58="",0,$F58)+IF($J58="",0,$J58)+IF($N58="",0,$N58),2))</f>
        <v/>
      </c>
    </row>
    <row r="59" ht="18" customHeight="1">
      <c r="A59" s="83" t="n"/>
      <c r="B59" s="72">
        <f>IF(OR($C59="",$A$13="",$A$13=0),"",$C59/$A$13)</f>
        <v/>
      </c>
      <c r="C59" s="76" t="n"/>
      <c r="D59" s="83" t="n"/>
      <c r="E59" s="78" t="n"/>
      <c r="F59" s="56">
        <f>IF(OR($B59="",$E59="",$D$45=""),"",ROUND($B59*$D$45*$E59,2))</f>
        <v/>
      </c>
      <c r="G59" s="84" t="n"/>
      <c r="H59" s="83" t="n"/>
      <c r="I59" s="78" t="n"/>
      <c r="J59" s="56">
        <f>IF(OR($B59="",$I59="",$D$45=""),"",ROUND($B59*$D$45*$I59,2))</f>
        <v/>
      </c>
      <c r="K59" s="84" t="n"/>
      <c r="L59" s="83" t="n"/>
      <c r="M59" s="78" t="n"/>
      <c r="N59" s="56">
        <f>IF(OR($B59="",$M59="",$D$45=""),"",ROUND($B59*$D$45*$M59,2))</f>
        <v/>
      </c>
      <c r="O59" s="85">
        <f>IF(AND($F59="",$J59="",$N59=""),"",ROUND(IF($F59="",0,$F59)+IF($J59="",0,$J59)+IF($N59="",0,$N59),2))</f>
        <v/>
      </c>
    </row>
    <row r="60" ht="18" customHeight="1">
      <c r="A60" s="83" t="n"/>
      <c r="B60" s="72">
        <f>IF(OR($C60="",$A$13="",$A$13=0),"",$C60/$A$13)</f>
        <v/>
      </c>
      <c r="C60" s="76" t="n"/>
      <c r="D60" s="83" t="n"/>
      <c r="E60" s="78" t="n"/>
      <c r="F60" s="56">
        <f>IF(OR($B60="",$E60="",$D$45=""),"",ROUND($B60*$D$45*$E60,2))</f>
        <v/>
      </c>
      <c r="G60" s="84" t="n"/>
      <c r="H60" s="83" t="n"/>
      <c r="I60" s="78" t="n"/>
      <c r="J60" s="56">
        <f>IF(OR($B60="",$I60="",$D$45=""),"",ROUND($B60*$D$45*$I60,2))</f>
        <v/>
      </c>
      <c r="K60" s="84" t="n"/>
      <c r="L60" s="83" t="n"/>
      <c r="M60" s="78" t="n"/>
      <c r="N60" s="56">
        <f>IF(OR($B60="",$M60="",$D$45=""),"",ROUND($B60*$D$45*$M60,2))</f>
        <v/>
      </c>
      <c r="O60" s="85">
        <f>IF(AND($F60="",$J60="",$N60=""),"",ROUND(IF($F60="",0,$F60)+IF($J60="",0,$J60)+IF($N60="",0,$N60),2))</f>
        <v/>
      </c>
    </row>
    <row r="61" ht="20" customHeight="1">
      <c r="A61" s="31" t="inlineStr">
        <is>
          <t>SOMA DOS AMBIENTES</t>
        </is>
      </c>
      <c r="B61" s="62">
        <f>IF($A$13=0,"",$C$61/$A$13)</f>
        <v/>
      </c>
      <c r="C61" s="60">
        <f>ROUND(SUM(C49:C60),2)</f>
        <v/>
      </c>
      <c r="D61" s="86">
        <f>IF($C$61=0,"—",IF(ROUND($C$61-$A$13,2)=0,"OK · os ambientes somam o valor de venda","ATENÇÃO: diferença de "&amp;TEXT($C$61-$A$13,"R$ #,##0.00")))</f>
        <v/>
      </c>
      <c r="E61" s="32" t="n"/>
      <c r="F61" s="60">
        <f>ROUND(SUM(F49:F60),2)</f>
        <v/>
      </c>
      <c r="G61" s="32" t="n"/>
      <c r="H61" s="32" t="n"/>
      <c r="I61" s="32" t="n"/>
      <c r="J61" s="60">
        <f>ROUND(SUM(J49:J60),2)</f>
        <v/>
      </c>
      <c r="K61" s="32" t="n"/>
      <c r="L61" s="32" t="n"/>
      <c r="M61" s="32" t="n"/>
      <c r="N61" s="60">
        <f>ROUND(SUM(N49:N60),2)</f>
        <v/>
      </c>
      <c r="O61" s="60">
        <f>ROUND(SUM(O49:O60),2)</f>
        <v/>
      </c>
    </row>
    <row r="62" ht="8" customHeight="1"/>
    <row r="63" ht="20" customHeight="1">
      <c r="A63" s="8" t="inlineStr">
        <is>
          <t xml:space="preserve">  4 · COMISSÕES OPERACIONAIS          calculadas sobre a RECEITA LÍQUIDA · o realizado vem dos ambientes acima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</row>
    <row r="64" ht="26" customHeight="1">
      <c r="A64" s="19" t="inlineStr">
        <is>
          <t>Item</t>
        </is>
      </c>
      <c r="B64" s="19" t="inlineStr">
        <is>
          <t>%</t>
        </is>
      </c>
      <c r="C64" s="19" t="inlineStr">
        <is>
          <t>Orçado (R$)</t>
        </is>
      </c>
      <c r="D64" s="19" t="inlineStr">
        <is>
          <t>Realizado (R$)</t>
        </is>
      </c>
      <c r="E64" s="19" t="inlineStr">
        <is>
          <t>Desvio (R$)</t>
        </is>
      </c>
      <c r="F64" s="35" t="n"/>
      <c r="G64" s="19" t="inlineStr">
        <is>
          <t>% da venda</t>
        </is>
      </c>
      <c r="H64" s="19" t="inlineStr">
        <is>
          <t>Observação</t>
        </is>
      </c>
      <c r="I64" s="35" t="n"/>
      <c r="J64" s="35" t="n"/>
      <c r="K64" s="35" t="n"/>
      <c r="L64" s="35" t="n"/>
      <c r="M64" s="35" t="n"/>
      <c r="N64" s="35" t="n"/>
      <c r="O64" s="35" t="n"/>
    </row>
    <row r="65" ht="17" customHeight="1">
      <c r="A65" s="36" t="inlineStr">
        <is>
          <t>Coordenação de produção</t>
        </is>
      </c>
      <c r="B65" s="78" t="n"/>
      <c r="C65" s="56">
        <f>IF($B65="","",ROUND($B65*$C$45,2))</f>
        <v/>
      </c>
      <c r="D65" s="56">
        <f>IF($B65="","",ROUND($B65*$D$45,2))</f>
        <v/>
      </c>
      <c r="E65" s="56">
        <f>IF(OR($C65="",$D65=""),"",ROUND($D65-$C65,2))</f>
        <v/>
      </c>
      <c r="F65" s="38" t="n"/>
      <c r="G65" s="72">
        <f>IF(OR($D65="",$A$13="",$A$13=0),"",$D65/$A$13)</f>
        <v/>
      </c>
      <c r="H65" s="73" t="inlineStr">
        <is>
          <t>quem coordena está na identificação, no topo da ficha</t>
        </is>
      </c>
      <c r="I65" s="46" t="n"/>
      <c r="J65" s="46" t="n"/>
      <c r="K65" s="46" t="n"/>
      <c r="L65" s="46" t="n"/>
      <c r="M65" s="46" t="n"/>
      <c r="N65" s="46" t="n"/>
      <c r="O65" s="46" t="n"/>
    </row>
    <row r="66" ht="17" customHeight="1">
      <c r="A66" s="36" t="inlineStr">
        <is>
          <t>Gestão técnica</t>
        </is>
      </c>
      <c r="B66" s="78" t="n">
        <v>0.005</v>
      </c>
      <c r="C66" s="56">
        <f>IF($B66="","",ROUND($B66*$C$45,2))</f>
        <v/>
      </c>
      <c r="D66" s="56">
        <f>IF($B66="","",ROUND($B66*$D$45,2))</f>
        <v/>
      </c>
      <c r="E66" s="56">
        <f>IF(OR($C66="",$D66=""),"",ROUND($D66-$C66,2))</f>
        <v/>
      </c>
      <c r="F66" s="38" t="n"/>
      <c r="G66" s="72">
        <f>IF(OR($D66="",$A$13="",$A$13=0),"",$D66/$A$13)</f>
        <v/>
      </c>
      <c r="H66" s="73" t="n"/>
      <c r="I66" s="46" t="n"/>
      <c r="J66" s="46" t="n"/>
      <c r="K66" s="46" t="n"/>
      <c r="L66" s="46" t="n"/>
      <c r="M66" s="46" t="n"/>
      <c r="N66" s="46" t="n"/>
      <c r="O66" s="46" t="n"/>
    </row>
    <row r="67" ht="17" customHeight="1">
      <c r="A67" s="36" t="inlineStr">
        <is>
          <t>Comissão de produção</t>
        </is>
      </c>
      <c r="B67" s="78" t="n"/>
      <c r="C67" s="56">
        <f>IF($B67="","",ROUND($B67*$C$45,2))</f>
        <v/>
      </c>
      <c r="D67" s="56">
        <f>IF($F$61=0,"",$F$61)</f>
        <v/>
      </c>
      <c r="E67" s="56">
        <f>IF(OR($C67="",$D67=""),"",ROUND($D67-$C67,2))</f>
        <v/>
      </c>
      <c r="F67" s="38" t="n"/>
      <c r="G67" s="72">
        <f>IF(OR($D67="",$A$13="",$A$13=0),"",$D67/$A$13)</f>
        <v/>
      </c>
      <c r="H67" s="73" t="inlineStr">
        <is>
          <t>orçado = % único estimado · realizado = soma dos ambientes</t>
        </is>
      </c>
      <c r="I67" s="46" t="n"/>
      <c r="J67" s="46" t="n"/>
      <c r="K67" s="46" t="n"/>
      <c r="L67" s="46" t="n"/>
      <c r="M67" s="46" t="n"/>
      <c r="N67" s="46" t="n"/>
      <c r="O67" s="46" t="n"/>
    </row>
    <row r="68" ht="17" customHeight="1">
      <c r="A68" s="36" t="inlineStr">
        <is>
          <t>Comissão de montagem</t>
        </is>
      </c>
      <c r="B68" s="78" t="n"/>
      <c r="C68" s="56">
        <f>IF($B68="","",ROUND($B68*$C$45,2))</f>
        <v/>
      </c>
      <c r="D68" s="56">
        <f>IF($J$61=0,"",$J$61)</f>
        <v/>
      </c>
      <c r="E68" s="56">
        <f>IF(OR($C68="",$D68=""),"",ROUND($D68-$C68,2))</f>
        <v/>
      </c>
      <c r="F68" s="38" t="n"/>
      <c r="G68" s="72">
        <f>IF(OR($D68="",$A$13="",$A$13=0),"",$D68/$A$13)</f>
        <v/>
      </c>
      <c r="H68" s="73" t="inlineStr">
        <is>
          <t>orçado = % único estimado · realizado = soma dos ambientes</t>
        </is>
      </c>
      <c r="I68" s="46" t="n"/>
      <c r="J68" s="46" t="n"/>
      <c r="K68" s="46" t="n"/>
      <c r="L68" s="46" t="n"/>
      <c r="M68" s="46" t="n"/>
      <c r="N68" s="46" t="n"/>
      <c r="O68" s="46" t="n"/>
    </row>
    <row r="69" ht="17" customHeight="1">
      <c r="A69" s="36" t="inlineStr">
        <is>
          <t>Comissão de projetista</t>
        </is>
      </c>
      <c r="B69" s="78" t="n"/>
      <c r="C69" s="56">
        <f>IF($B69="","",ROUND($B69*$C$45,2))</f>
        <v/>
      </c>
      <c r="D69" s="56">
        <f>IF($N$61=0,"",$N$61)</f>
        <v/>
      </c>
      <c r="E69" s="56">
        <f>IF(OR($C69="",$D69=""),"",ROUND($D69-$C69,2))</f>
        <v/>
      </c>
      <c r="F69" s="38" t="n"/>
      <c r="G69" s="72">
        <f>IF(OR($D69="",$A$13="",$A$13=0),"",$D69/$A$13)</f>
        <v/>
      </c>
      <c r="H69" s="73" t="inlineStr">
        <is>
          <t>quem projetou cada ambiente está na coluna L do bloco 3</t>
        </is>
      </c>
      <c r="I69" s="46" t="n"/>
      <c r="J69" s="46" t="n"/>
      <c r="K69" s="46" t="n"/>
      <c r="L69" s="46" t="n"/>
      <c r="M69" s="46" t="n"/>
      <c r="N69" s="46" t="n"/>
      <c r="O69" s="46" t="n"/>
    </row>
    <row r="70" ht="20" customHeight="1">
      <c r="A70" s="31" t="inlineStr">
        <is>
          <t>(=) SUBTOTAL DAS COMISSÕES</t>
        </is>
      </c>
      <c r="B70" s="32" t="n"/>
      <c r="C70" s="60">
        <f>ROUND(SUM(C65:C69),2)</f>
        <v/>
      </c>
      <c r="D70" s="60">
        <f>ROUND(SUM(D65:D69),2)</f>
        <v/>
      </c>
      <c r="E70" s="60">
        <f>ROUND($D70-$C70,2)</f>
        <v/>
      </c>
      <c r="F70" s="32" t="n"/>
      <c r="G70" s="62">
        <f>IF(OR($A$13="",$A$13=0),"",$D70/$A$13)</f>
        <v/>
      </c>
      <c r="H70" s="32" t="n"/>
      <c r="I70" s="32" t="n"/>
      <c r="J70" s="32" t="n"/>
      <c r="K70" s="32" t="n"/>
      <c r="L70" s="32" t="n"/>
      <c r="M70" s="32" t="n"/>
      <c r="N70" s="32" t="n"/>
      <c r="O70" s="32" t="n"/>
    </row>
    <row r="71" ht="8" customHeight="1"/>
    <row r="72" ht="20" customHeight="1">
      <c r="A72" s="8" t="inlineStr">
        <is>
          <t xml:space="preserve">  5 · COMISSÕES POR COLABORADOR          consolidado automático — quem produziu, quem montou, quem projetou e o coordenador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</row>
    <row r="73" ht="26" customHeight="1">
      <c r="A73" s="19" t="inlineStr">
        <is>
          <t>Colaborador</t>
        </is>
      </c>
      <c r="B73" s="19" t="inlineStr">
        <is>
          <t>Produção (R$)</t>
        </is>
      </c>
      <c r="C73" s="35" t="n"/>
      <c r="D73" s="19" t="inlineStr">
        <is>
          <t>Montagem (R$)</t>
        </is>
      </c>
      <c r="E73" s="35" t="n"/>
      <c r="F73" s="19" t="inlineStr">
        <is>
          <t>Projeto (R$)</t>
        </is>
      </c>
      <c r="G73" s="35" t="n"/>
      <c r="H73" s="19" t="inlineStr">
        <is>
          <t>Coordenação / Gestão técnica (R$)</t>
        </is>
      </c>
      <c r="I73" s="35" t="n"/>
      <c r="J73" s="19" t="inlineStr">
        <is>
          <t>Total no projeto (R$)</t>
        </is>
      </c>
      <c r="K73" s="35" t="n"/>
      <c r="L73" s="35" t="n"/>
      <c r="M73" s="35" t="n"/>
    </row>
    <row r="74" ht="17" customHeight="1">
      <c r="A74" s="87" t="inlineStr">
        <is>
          <t>Deivison</t>
        </is>
      </c>
      <c r="B74" s="56">
        <f>IF($A74="","",ROUND(SUMIF($D$49:$D$60,$A74,$F$49:$F$60),2))</f>
        <v/>
      </c>
      <c r="C74" s="38" t="n"/>
      <c r="D74" s="56">
        <f>IF($A74="","",ROUND(SUMIF($H$49:$H$60,$A74,$J$49:$J$60),2))</f>
        <v/>
      </c>
      <c r="E74" s="38" t="n"/>
      <c r="F74" s="56">
        <f>IF($A74="","",ROUND(SUMIF($L$49:$L$60,$A74,$N$49:$N$60),2))</f>
        <v/>
      </c>
      <c r="G74" s="38" t="n"/>
      <c r="H74" s="56">
        <f>IF($A74="","",IF($A74=$F$9,IF($D$65="",0,$D$65),0)+IF($A74=$H$66,IF($D$66="",0,$D$66),0))</f>
        <v/>
      </c>
      <c r="I74" s="38" t="n"/>
      <c r="J74" s="88">
        <f>IF($A74="","",ROUND($B74+$D74+$F74+$H74,2))</f>
        <v/>
      </c>
      <c r="K74" s="38" t="n"/>
      <c r="L74" s="38" t="n"/>
      <c r="M74" s="38" t="n"/>
    </row>
    <row r="75" ht="17" customHeight="1">
      <c r="A75" s="87" t="inlineStr">
        <is>
          <t>Ronald</t>
        </is>
      </c>
      <c r="B75" s="56">
        <f>IF($A75="","",ROUND(SUMIF($D$49:$D$60,$A75,$F$49:$F$60),2))</f>
        <v/>
      </c>
      <c r="C75" s="38" t="n"/>
      <c r="D75" s="56">
        <f>IF($A75="","",ROUND(SUMIF($H$49:$H$60,$A75,$J$49:$J$60),2))</f>
        <v/>
      </c>
      <c r="E75" s="38" t="n"/>
      <c r="F75" s="56">
        <f>IF($A75="","",ROUND(SUMIF($L$49:$L$60,$A75,$N$49:$N$60),2))</f>
        <v/>
      </c>
      <c r="G75" s="38" t="n"/>
      <c r="H75" s="56">
        <f>IF($A75="","",IF($A75=$F$9,IF($D$65="",0,$D$65),0)+IF($A75=$H$66,IF($D$66="",0,$D$66),0))</f>
        <v/>
      </c>
      <c r="I75" s="38" t="n"/>
      <c r="J75" s="88">
        <f>IF($A75="","",ROUND($B75+$D75+$F75+$H75,2))</f>
        <v/>
      </c>
      <c r="K75" s="38" t="n"/>
      <c r="L75" s="38" t="n"/>
      <c r="M75" s="38" t="n"/>
    </row>
    <row r="76" ht="17" customHeight="1">
      <c r="A76" s="87" t="inlineStr">
        <is>
          <t>Samuel</t>
        </is>
      </c>
      <c r="B76" s="56">
        <f>IF($A76="","",ROUND(SUMIF($D$49:$D$60,$A76,$F$49:$F$60),2))</f>
        <v/>
      </c>
      <c r="C76" s="38" t="n"/>
      <c r="D76" s="56">
        <f>IF($A76="","",ROUND(SUMIF($H$49:$H$60,$A76,$J$49:$J$60),2))</f>
        <v/>
      </c>
      <c r="E76" s="38" t="n"/>
      <c r="F76" s="56">
        <f>IF($A76="","",ROUND(SUMIF($L$49:$L$60,$A76,$N$49:$N$60),2))</f>
        <v/>
      </c>
      <c r="G76" s="38" t="n"/>
      <c r="H76" s="56">
        <f>IF($A76="","",IF($A76=$F$9,IF($D$65="",0,$D$65),0)+IF($A76=$H$66,IF($D$66="",0,$D$66),0))</f>
        <v/>
      </c>
      <c r="I76" s="38" t="n"/>
      <c r="J76" s="88">
        <f>IF($A76="","",ROUND($B76+$D76+$F76+$H76,2))</f>
        <v/>
      </c>
      <c r="K76" s="38" t="n"/>
      <c r="L76" s="38" t="n"/>
      <c r="M76" s="38" t="n"/>
    </row>
    <row r="77" ht="17" customHeight="1">
      <c r="A77" s="87" t="inlineStr">
        <is>
          <t>Cesar</t>
        </is>
      </c>
      <c r="B77" s="56">
        <f>IF($A77="","",ROUND(SUMIF($D$49:$D$60,$A77,$F$49:$F$60),2))</f>
        <v/>
      </c>
      <c r="C77" s="38" t="n"/>
      <c r="D77" s="56">
        <f>IF($A77="","",ROUND(SUMIF($H$49:$H$60,$A77,$J$49:$J$60),2))</f>
        <v/>
      </c>
      <c r="E77" s="38" t="n"/>
      <c r="F77" s="56">
        <f>IF($A77="","",ROUND(SUMIF($L$49:$L$60,$A77,$N$49:$N$60),2))</f>
        <v/>
      </c>
      <c r="G77" s="38" t="n"/>
      <c r="H77" s="56">
        <f>IF($A77="","",IF($A77=$F$9,IF($D$65="",0,$D$65),0)+IF($A77=$H$66,IF($D$66="",0,$D$66),0))</f>
        <v/>
      </c>
      <c r="I77" s="38" t="n"/>
      <c r="J77" s="88">
        <f>IF($A77="","",ROUND($B77+$D77+$F77+$H77,2))</f>
        <v/>
      </c>
      <c r="K77" s="38" t="n"/>
      <c r="L77" s="38" t="n"/>
      <c r="M77" s="38" t="n"/>
    </row>
    <row r="78" ht="17" customHeight="1">
      <c r="A78" s="87" t="inlineStr">
        <is>
          <t>Jhon</t>
        </is>
      </c>
      <c r="B78" s="56">
        <f>IF($A78="","",ROUND(SUMIF($D$49:$D$60,$A78,$F$49:$F$60),2))</f>
        <v/>
      </c>
      <c r="C78" s="38" t="n"/>
      <c r="D78" s="56">
        <f>IF($A78="","",ROUND(SUMIF($H$49:$H$60,$A78,$J$49:$J$60),2))</f>
        <v/>
      </c>
      <c r="E78" s="38" t="n"/>
      <c r="F78" s="56">
        <f>IF($A78="","",ROUND(SUMIF($L$49:$L$60,$A78,$N$49:$N$60),2))</f>
        <v/>
      </c>
      <c r="G78" s="38" t="n"/>
      <c r="H78" s="56">
        <f>IF($A78="","",IF($A78=$F$9,IF($D$65="",0,$D$65),0)+IF($A78=$H$66,IF($D$66="",0,$D$66),0))</f>
        <v/>
      </c>
      <c r="I78" s="38" t="n"/>
      <c r="J78" s="88">
        <f>IF($A78="","",ROUND($B78+$D78+$F78+$H78,2))</f>
        <v/>
      </c>
      <c r="K78" s="38" t="n"/>
      <c r="L78" s="38" t="n"/>
      <c r="M78" s="38" t="n"/>
    </row>
    <row r="79" ht="17" customHeight="1">
      <c r="A79" s="87" t="inlineStr">
        <is>
          <t>Joelson</t>
        </is>
      </c>
      <c r="B79" s="56">
        <f>IF($A79="","",ROUND(SUMIF($D$49:$D$60,$A79,$F$49:$F$60),2))</f>
        <v/>
      </c>
      <c r="C79" s="38" t="n"/>
      <c r="D79" s="56">
        <f>IF($A79="","",ROUND(SUMIF($H$49:$H$60,$A79,$J$49:$J$60),2))</f>
        <v/>
      </c>
      <c r="E79" s="38" t="n"/>
      <c r="F79" s="56">
        <f>IF($A79="","",ROUND(SUMIF($L$49:$L$60,$A79,$N$49:$N$60),2))</f>
        <v/>
      </c>
      <c r="G79" s="38" t="n"/>
      <c r="H79" s="56">
        <f>IF($A79="","",IF($A79=$F$9,IF($D$65="",0,$D$65),0)+IF($A79=$H$66,IF($D$66="",0,$D$66),0))</f>
        <v/>
      </c>
      <c r="I79" s="38" t="n"/>
      <c r="J79" s="88">
        <f>IF($A79="","",ROUND($B79+$D79+$F79+$H79,2))</f>
        <v/>
      </c>
      <c r="K79" s="38" t="n"/>
      <c r="L79" s="38" t="n"/>
      <c r="M79" s="38" t="n"/>
    </row>
    <row r="80" ht="17" customHeight="1">
      <c r="A80" s="87" t="inlineStr">
        <is>
          <t>Davi</t>
        </is>
      </c>
      <c r="B80" s="56">
        <f>IF($A80="","",ROUND(SUMIF($D$49:$D$60,$A80,$F$49:$F$60),2))</f>
        <v/>
      </c>
      <c r="C80" s="38" t="n"/>
      <c r="D80" s="56">
        <f>IF($A80="","",ROUND(SUMIF($H$49:$H$60,$A80,$J$49:$J$60),2))</f>
        <v/>
      </c>
      <c r="E80" s="38" t="n"/>
      <c r="F80" s="56">
        <f>IF($A80="","",ROUND(SUMIF($L$49:$L$60,$A80,$N$49:$N$60),2))</f>
        <v/>
      </c>
      <c r="G80" s="38" t="n"/>
      <c r="H80" s="56">
        <f>IF($A80="","",IF($A80=$F$9,IF($D$65="",0,$D$65),0)+IF($A80=$H$66,IF($D$66="",0,$D$66),0))</f>
        <v/>
      </c>
      <c r="I80" s="38" t="n"/>
      <c r="J80" s="88">
        <f>IF($A80="","",ROUND($B80+$D80+$F80+$H80,2))</f>
        <v/>
      </c>
      <c r="K80" s="38" t="n"/>
      <c r="L80" s="38" t="n"/>
      <c r="M80" s="38" t="n"/>
    </row>
    <row r="81" ht="17" customHeight="1">
      <c r="A81" s="87" t="inlineStr">
        <is>
          <t>Jomar</t>
        </is>
      </c>
      <c r="B81" s="56">
        <f>IF($A81="","",ROUND(SUMIF($D$49:$D$60,$A81,$F$49:$F$60),2))</f>
        <v/>
      </c>
      <c r="C81" s="38" t="n"/>
      <c r="D81" s="56">
        <f>IF($A81="","",ROUND(SUMIF($H$49:$H$60,$A81,$J$49:$J$60),2))</f>
        <v/>
      </c>
      <c r="E81" s="38" t="n"/>
      <c r="F81" s="56">
        <f>IF($A81="","",ROUND(SUMIF($L$49:$L$60,$A81,$N$49:$N$60),2))</f>
        <v/>
      </c>
      <c r="G81" s="38" t="n"/>
      <c r="H81" s="56">
        <f>IF($A81="","",IF($A81=$F$9,IF($D$65="",0,$D$65),0)+IF($A81=$H$66,IF($D$66="",0,$D$66),0))</f>
        <v/>
      </c>
      <c r="I81" s="38" t="n"/>
      <c r="J81" s="88">
        <f>IF($A81="","",ROUND($B81+$D81+$F81+$H81,2))</f>
        <v/>
      </c>
      <c r="K81" s="38" t="n"/>
      <c r="L81" s="38" t="n"/>
      <c r="M81" s="38" t="n"/>
    </row>
    <row r="82" ht="17" customHeight="1">
      <c r="A82" s="87" t="inlineStr">
        <is>
          <t>Bruno</t>
        </is>
      </c>
      <c r="B82" s="56">
        <f>IF($A82="","",ROUND(SUMIF($D$49:$D$60,$A82,$F$49:$F$60),2))</f>
        <v/>
      </c>
      <c r="C82" s="38" t="n"/>
      <c r="D82" s="56">
        <f>IF($A82="","",ROUND(SUMIF($H$49:$H$60,$A82,$J$49:$J$60),2))</f>
        <v/>
      </c>
      <c r="E82" s="38" t="n"/>
      <c r="F82" s="56">
        <f>IF($A82="","",ROUND(SUMIF($L$49:$L$60,$A82,$N$49:$N$60),2))</f>
        <v/>
      </c>
      <c r="G82" s="38" t="n"/>
      <c r="H82" s="56">
        <f>IF($A82="","",IF($A82=$F$9,IF($D$65="",0,$D$65),0)+IF($A82=$H$66,IF($D$66="",0,$D$66),0))</f>
        <v/>
      </c>
      <c r="I82" s="38" t="n"/>
      <c r="J82" s="88">
        <f>IF($A82="","",ROUND($B82+$D82+$F82+$H82,2))</f>
        <v/>
      </c>
      <c r="K82" s="38" t="n"/>
      <c r="L82" s="38" t="n"/>
      <c r="M82" s="38" t="n"/>
    </row>
    <row r="83" ht="17" customHeight="1">
      <c r="A83" s="87" t="inlineStr">
        <is>
          <t>Wallace</t>
        </is>
      </c>
      <c r="B83" s="56">
        <f>IF($A83="","",ROUND(SUMIF($D$49:$D$60,$A83,$F$49:$F$60),2))</f>
        <v/>
      </c>
      <c r="C83" s="38" t="n"/>
      <c r="D83" s="56">
        <f>IF($A83="","",ROUND(SUMIF($H$49:$H$60,$A83,$J$49:$J$60),2))</f>
        <v/>
      </c>
      <c r="E83" s="38" t="n"/>
      <c r="F83" s="56">
        <f>IF($A83="","",ROUND(SUMIF($L$49:$L$60,$A83,$N$49:$N$60),2))</f>
        <v/>
      </c>
      <c r="G83" s="38" t="n"/>
      <c r="H83" s="56">
        <f>IF($A83="","",IF($A83=$F$9,IF($D$65="",0,$D$65),0)+IF($A83=$H$66,IF($D$66="",0,$D$66),0))</f>
        <v/>
      </c>
      <c r="I83" s="38" t="n"/>
      <c r="J83" s="88">
        <f>IF($A83="","",ROUND($B83+$D83+$F83+$H83,2))</f>
        <v/>
      </c>
      <c r="K83" s="38" t="n"/>
      <c r="L83" s="38" t="n"/>
      <c r="M83" s="38" t="n"/>
    </row>
    <row r="84" ht="17" customHeight="1">
      <c r="A84" s="87" t="inlineStr">
        <is>
          <t>Douglas</t>
        </is>
      </c>
      <c r="B84" s="56">
        <f>IF($A84="","",ROUND(SUMIF($D$49:$D$60,$A84,$F$49:$F$60),2))</f>
        <v/>
      </c>
      <c r="C84" s="38" t="n"/>
      <c r="D84" s="56">
        <f>IF($A84="","",ROUND(SUMIF($H$49:$H$60,$A84,$J$49:$J$60),2))</f>
        <v/>
      </c>
      <c r="E84" s="38" t="n"/>
      <c r="F84" s="56">
        <f>IF($A84="","",ROUND(SUMIF($L$49:$L$60,$A84,$N$49:$N$60),2))</f>
        <v/>
      </c>
      <c r="G84" s="38" t="n"/>
      <c r="H84" s="56">
        <f>IF($A84="","",IF($A84=$F$9,IF($D$65="",0,$D$65),0)+IF($A84=$H$66,IF($D$66="",0,$D$66),0))</f>
        <v/>
      </c>
      <c r="I84" s="38" t="n"/>
      <c r="J84" s="88">
        <f>IF($A84="","",ROUND($B84+$D84+$F84+$H84,2))</f>
        <v/>
      </c>
      <c r="K84" s="38" t="n"/>
      <c r="L84" s="38" t="n"/>
      <c r="M84" s="38" t="n"/>
    </row>
    <row r="85" ht="17" customHeight="1">
      <c r="A85" s="87" t="inlineStr">
        <is>
          <t>Terceiro / avulso</t>
        </is>
      </c>
      <c r="B85" s="56">
        <f>IF($A85="","",ROUND(SUMIF($D$49:$D$60,$A85,$F$49:$F$60),2))</f>
        <v/>
      </c>
      <c r="C85" s="38" t="n"/>
      <c r="D85" s="56">
        <f>IF($A85="","",ROUND(SUMIF($H$49:$H$60,$A85,$J$49:$J$60),2))</f>
        <v/>
      </c>
      <c r="E85" s="38" t="n"/>
      <c r="F85" s="56">
        <f>IF($A85="","",ROUND(SUMIF($L$49:$L$60,$A85,$N$49:$N$60),2))</f>
        <v/>
      </c>
      <c r="G85" s="38" t="n"/>
      <c r="H85" s="56">
        <f>IF($A85="","",IF($A85=$F$9,IF($D$65="",0,$D$65),0)+IF($A85=$H$66,IF($D$66="",0,$D$66),0))</f>
        <v/>
      </c>
      <c r="I85" s="38" t="n"/>
      <c r="J85" s="88">
        <f>IF($A85="","",ROUND($B85+$D85+$F85+$H85,2))</f>
        <v/>
      </c>
      <c r="K85" s="38" t="n"/>
      <c r="L85" s="38" t="n"/>
      <c r="M85" s="38" t="n"/>
    </row>
    <row r="86" ht="17" customHeight="1">
      <c r="A86" s="87" t="inlineStr">
        <is>
          <t>Lorrane</t>
        </is>
      </c>
      <c r="B86" s="56">
        <f>IF($A86="","",ROUND(SUMIF($D$49:$D$60,$A86,$F$49:$F$60),2))</f>
        <v/>
      </c>
      <c r="C86" s="38" t="n"/>
      <c r="D86" s="56">
        <f>IF($A86="","",ROUND(SUMIF($H$49:$H$60,$A86,$J$49:$J$60),2))</f>
        <v/>
      </c>
      <c r="E86" s="38" t="n"/>
      <c r="F86" s="56">
        <f>IF($A86="","",ROUND(SUMIF($L$49:$L$60,$A86,$N$49:$N$60),2))</f>
        <v/>
      </c>
      <c r="G86" s="38" t="n"/>
      <c r="H86" s="56">
        <f>IF($A86="","",IF($A86=$F$9,IF($D$65="",0,$D$65),0)+IF($A86=$H$66,IF($D$66="",0,$D$66),0))</f>
        <v/>
      </c>
      <c r="I86" s="38" t="n"/>
      <c r="J86" s="88">
        <f>IF($A86="","",ROUND($B86+$D86+$F86+$H86,2))</f>
        <v/>
      </c>
      <c r="K86" s="38" t="n"/>
      <c r="L86" s="38" t="n"/>
      <c r="M86" s="38" t="n"/>
    </row>
    <row r="87" ht="17" customHeight="1">
      <c r="A87" s="87" t="inlineStr">
        <is>
          <t>Lucas</t>
        </is>
      </c>
      <c r="B87" s="56">
        <f>IF($A87="","",ROUND(SUMIF($D$49:$D$60,$A87,$F$49:$F$60),2))</f>
        <v/>
      </c>
      <c r="C87" s="38" t="n"/>
      <c r="D87" s="56">
        <f>IF($A87="","",ROUND(SUMIF($H$49:$H$60,$A87,$J$49:$J$60),2))</f>
        <v/>
      </c>
      <c r="E87" s="38" t="n"/>
      <c r="F87" s="56">
        <f>IF($A87="","",ROUND(SUMIF($L$49:$L$60,$A87,$N$49:$N$60),2))</f>
        <v/>
      </c>
      <c r="G87" s="38" t="n"/>
      <c r="H87" s="56">
        <f>IF($A87="","",IF($A87=$F$9,IF($D$65="",0,$D$65),0)+IF($A87=$H$66,IF($D$66="",0,$D$66),0))</f>
        <v/>
      </c>
      <c r="I87" s="38" t="n"/>
      <c r="J87" s="88">
        <f>IF($A87="","",ROUND($B87+$D87+$F87+$H87,2))</f>
        <v/>
      </c>
      <c r="K87" s="38" t="n"/>
      <c r="L87" s="38" t="n"/>
      <c r="M87" s="38" t="n"/>
    </row>
    <row r="88" ht="17" customHeight="1">
      <c r="A88" s="87" t="inlineStr">
        <is>
          <t>Externo / avulso</t>
        </is>
      </c>
      <c r="B88" s="56">
        <f>IF($A88="","",ROUND(SUMIF($D$49:$D$60,$A88,$F$49:$F$60),2))</f>
        <v/>
      </c>
      <c r="C88" s="38" t="n"/>
      <c r="D88" s="56">
        <f>IF($A88="","",ROUND(SUMIF($H$49:$H$60,$A88,$J$49:$J$60),2))</f>
        <v/>
      </c>
      <c r="E88" s="38" t="n"/>
      <c r="F88" s="56">
        <f>IF($A88="","",ROUND(SUMIF($L$49:$L$60,$A88,$N$49:$N$60),2))</f>
        <v/>
      </c>
      <c r="G88" s="38" t="n"/>
      <c r="H88" s="56">
        <f>IF($A88="","",IF($A88=$F$9,IF($D$65="",0,$D$65),0)+IF($A88=$H$66,IF($D$66="",0,$D$66),0))</f>
        <v/>
      </c>
      <c r="I88" s="38" t="n"/>
      <c r="J88" s="88">
        <f>IF($A88="","",ROUND($B88+$D88+$F88+$H88,2))</f>
        <v/>
      </c>
      <c r="K88" s="38" t="n"/>
      <c r="L88" s="38" t="n"/>
      <c r="M88" s="38" t="n"/>
    </row>
    <row r="89" ht="17" customHeight="1">
      <c r="A89" s="87" t="inlineStr">
        <is>
          <t>Bruna</t>
        </is>
      </c>
      <c r="B89" s="56">
        <f>IF($A89="","",ROUND(SUMIF($D$49:$D$60,$A89,$F$49:$F$60),2))</f>
        <v/>
      </c>
      <c r="C89" s="38" t="n"/>
      <c r="D89" s="56">
        <f>IF($A89="","",ROUND(SUMIF($H$49:$H$60,$A89,$J$49:$J$60),2))</f>
        <v/>
      </c>
      <c r="E89" s="38" t="n"/>
      <c r="F89" s="56">
        <f>IF($A89="","",ROUND(SUMIF($L$49:$L$60,$A89,$N$49:$N$60),2))</f>
        <v/>
      </c>
      <c r="G89" s="38" t="n"/>
      <c r="H89" s="56">
        <f>IF($A89="","",IF($A89=$F$9,IF($D$65="",0,$D$65),0)+IF($A89=$H$66,IF($D$66="",0,$D$66),0))</f>
        <v/>
      </c>
      <c r="I89" s="38" t="n"/>
      <c r="J89" s="88">
        <f>IF($A89="","",ROUND($B89+$D89+$F89+$H89,2))</f>
        <v/>
      </c>
      <c r="K89" s="38" t="n"/>
      <c r="L89" s="38" t="n"/>
      <c r="M89" s="38" t="n"/>
    </row>
    <row r="90" ht="17" customHeight="1">
      <c r="A90" s="87" t="n"/>
      <c r="B90" s="56">
        <f>IF($A90="","",ROUND(SUMIF($D$49:$D$60,$A90,$F$49:$F$60),2))</f>
        <v/>
      </c>
      <c r="C90" s="38" t="n"/>
      <c r="D90" s="56">
        <f>IF($A90="","",ROUND(SUMIF($H$49:$H$60,$A90,$J$49:$J$60),2))</f>
        <v/>
      </c>
      <c r="E90" s="38" t="n"/>
      <c r="F90" s="56">
        <f>IF($A90="","",ROUND(SUMIF($L$49:$L$60,$A90,$N$49:$N$60),2))</f>
        <v/>
      </c>
      <c r="G90" s="38" t="n"/>
      <c r="H90" s="56">
        <f>IF($A90="","",IF($A90=$F$9,IF($D$65="",0,$D$65),0)+IF($A90=$H$66,IF($D$66="",0,$D$66),0))</f>
        <v/>
      </c>
      <c r="I90" s="38" t="n"/>
      <c r="J90" s="88">
        <f>IF($A90="","",ROUND($B90+$D90+$F90+$H90,2))</f>
        <v/>
      </c>
      <c r="K90" s="38" t="n"/>
      <c r="L90" s="38" t="n"/>
      <c r="M90" s="38" t="n"/>
    </row>
    <row r="91" ht="17" customHeight="1">
      <c r="A91" s="87" t="n"/>
      <c r="B91" s="56">
        <f>IF($A91="","",ROUND(SUMIF($D$49:$D$60,$A91,$F$49:$F$60),2))</f>
        <v/>
      </c>
      <c r="C91" s="38" t="n"/>
      <c r="D91" s="56">
        <f>IF($A91="","",ROUND(SUMIF($H$49:$H$60,$A91,$J$49:$J$60),2))</f>
        <v/>
      </c>
      <c r="E91" s="38" t="n"/>
      <c r="F91" s="56">
        <f>IF($A91="","",ROUND(SUMIF($L$49:$L$60,$A91,$N$49:$N$60),2))</f>
        <v/>
      </c>
      <c r="G91" s="38" t="n"/>
      <c r="H91" s="56">
        <f>IF($A91="","",IF($A91=$F$9,IF($D$65="",0,$D$65),0)+IF($A91=$H$66,IF($D$66="",0,$D$66),0))</f>
        <v/>
      </c>
      <c r="I91" s="38" t="n"/>
      <c r="J91" s="88">
        <f>IF($A91="","",ROUND($B91+$D91+$F91+$H91,2))</f>
        <v/>
      </c>
      <c r="K91" s="38" t="n"/>
      <c r="L91" s="38" t="n"/>
      <c r="M91" s="38" t="n"/>
    </row>
    <row r="92" ht="20" customHeight="1">
      <c r="A92" s="31" t="inlineStr">
        <is>
          <t>TOTAL</t>
        </is>
      </c>
      <c r="B92" s="60">
        <f>ROUND(SUM(B74:B91),2)</f>
        <v/>
      </c>
      <c r="C92" s="32" t="n"/>
      <c r="D92" s="60">
        <f>ROUND(SUM(D74:D91),2)</f>
        <v/>
      </c>
      <c r="E92" s="32" t="n"/>
      <c r="F92" s="60">
        <f>ROUND(SUM(F74:F91),2)</f>
        <v/>
      </c>
      <c r="G92" s="32" t="n"/>
      <c r="H92" s="60">
        <f>ROUND(SUM(H74:H91),2)</f>
        <v/>
      </c>
      <c r="I92" s="32" t="n"/>
      <c r="J92" s="60">
        <f>ROUND(SUM(J74:J91),2)</f>
        <v/>
      </c>
      <c r="K92" s="32" t="n"/>
      <c r="L92" s="32" t="n"/>
      <c r="M92" s="32" t="n"/>
    </row>
    <row r="93" ht="8" customHeight="1"/>
    <row r="94" ht="20" customHeight="1">
      <c r="A94" s="8" t="inlineStr">
        <is>
          <t xml:space="preserve">  6 · MATERIAL, TERCEIRIZADOS E LOGÍSTICA          o orçado você digita · o realizado vem sozinho do livro de lançamentos, lá no fim da ficha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</row>
    <row r="95" ht="30" customHeight="1">
      <c r="A95" s="19" t="inlineStr">
        <is>
          <t>Categoria</t>
        </is>
      </c>
      <c r="B95" s="19" t="inlineStr"/>
      <c r="C95" s="19" t="inlineStr">
        <is>
          <t>Orçado (R$)</t>
        </is>
      </c>
      <c r="D95" s="19" t="inlineStr">
        <is>
          <t>Realizado (R$)</t>
        </is>
      </c>
      <c r="E95" s="19" t="inlineStr">
        <is>
          <t>Desvio (R$)</t>
        </is>
      </c>
      <c r="F95" s="35" t="n"/>
      <c r="G95" s="19" t="inlineStr">
        <is>
          <t>Ainda a comprar</t>
        </is>
      </c>
      <c r="H95" s="19" t="inlineStr">
        <is>
          <t>Comprado, ainda a pagar</t>
        </is>
      </c>
      <c r="I95" s="35" t="n"/>
      <c r="J95" s="35" t="n"/>
      <c r="K95" s="35" t="n"/>
      <c r="L95" s="35" t="n"/>
      <c r="M95" s="35" t="n"/>
      <c r="N95" s="35" t="n"/>
      <c r="O95" s="35" t="n"/>
    </row>
    <row r="96" ht="17" customHeight="1">
      <c r="A96" s="36" t="inlineStr">
        <is>
          <t>MDF e MDP</t>
        </is>
      </c>
      <c r="B96" s="37" t="n"/>
      <c r="C96" s="71" t="n"/>
      <c r="D96" s="56">
        <f>ROUND(SUMIFS($E$134:$E$193,$B$134:$B$193,$A96,$I$134:$I$193,"Comprado (a pagar)")+SUMIFS($E$134:$E$193,$B$134:$B$193,$A96,$I$134:$I$193,"Pago"),2)</f>
        <v/>
      </c>
      <c r="E96" s="56">
        <f>IF($C96="","",ROUND($D96-$C96,2))</f>
        <v/>
      </c>
      <c r="F96" s="38" t="n"/>
      <c r="G96" s="89">
        <f>ROUND(SUMIFS($E$134:$E$193,$B$134:$B$193,$A96,$I$134:$I$193,"A comprar"),2)</f>
        <v/>
      </c>
      <c r="H96" s="90">
        <f>ROUND(SUMIFS($E$134:$E$193,$B$134:$B$193,$A96,$I$134:$I$193,"Comprado (a pagar)"),2)</f>
        <v/>
      </c>
      <c r="I96" s="38" t="n"/>
      <c r="J96" s="38" t="n"/>
      <c r="K96" s="38" t="n"/>
      <c r="L96" s="38" t="n"/>
      <c r="M96" s="38" t="n"/>
      <c r="N96" s="38" t="n"/>
      <c r="O96" s="38" t="n"/>
    </row>
    <row r="97" ht="17" customHeight="1">
      <c r="A97" s="36" t="inlineStr">
        <is>
          <t>Fita de borda</t>
        </is>
      </c>
      <c r="B97" s="37" t="n"/>
      <c r="C97" s="71" t="n"/>
      <c r="D97" s="56">
        <f>ROUND(SUMIFS($E$134:$E$193,$B$134:$B$193,$A97,$I$134:$I$193,"Comprado (a pagar)")+SUMIFS($E$134:$E$193,$B$134:$B$193,$A97,$I$134:$I$193,"Pago"),2)</f>
        <v/>
      </c>
      <c r="E97" s="56">
        <f>IF($C97="","",ROUND($D97-$C97,2))</f>
        <v/>
      </c>
      <c r="F97" s="38" t="n"/>
      <c r="G97" s="89">
        <f>ROUND(SUMIFS($E$134:$E$193,$B$134:$B$193,$A97,$I$134:$I$193,"A comprar"),2)</f>
        <v/>
      </c>
      <c r="H97" s="90">
        <f>ROUND(SUMIFS($E$134:$E$193,$B$134:$B$193,$A97,$I$134:$I$193,"Comprado (a pagar)"),2)</f>
        <v/>
      </c>
      <c r="I97" s="38" t="n"/>
      <c r="J97" s="38" t="n"/>
      <c r="K97" s="38" t="n"/>
      <c r="L97" s="38" t="n"/>
      <c r="M97" s="38" t="n"/>
      <c r="N97" s="38" t="n"/>
      <c r="O97" s="38" t="n"/>
    </row>
    <row r="98" ht="17" customHeight="1">
      <c r="A98" s="36" t="inlineStr">
        <is>
          <t>Ferragens</t>
        </is>
      </c>
      <c r="B98" s="37" t="n"/>
      <c r="C98" s="71" t="n"/>
      <c r="D98" s="56">
        <f>ROUND(SUMIFS($E$134:$E$193,$B$134:$B$193,$A98,$I$134:$I$193,"Comprado (a pagar)")+SUMIFS($E$134:$E$193,$B$134:$B$193,$A98,$I$134:$I$193,"Pago"),2)</f>
        <v/>
      </c>
      <c r="E98" s="56">
        <f>IF($C98="","",ROUND($D98-$C98,2))</f>
        <v/>
      </c>
      <c r="F98" s="38" t="n"/>
      <c r="G98" s="89">
        <f>ROUND(SUMIFS($E$134:$E$193,$B$134:$B$193,$A98,$I$134:$I$193,"A comprar"),2)</f>
        <v/>
      </c>
      <c r="H98" s="90">
        <f>ROUND(SUMIFS($E$134:$E$193,$B$134:$B$193,$A98,$I$134:$I$193,"Comprado (a pagar)"),2)</f>
        <v/>
      </c>
      <c r="I98" s="38" t="n"/>
      <c r="J98" s="38" t="n"/>
      <c r="K98" s="38" t="n"/>
      <c r="L98" s="38" t="n"/>
      <c r="M98" s="38" t="n"/>
      <c r="N98" s="38" t="n"/>
      <c r="O98" s="38" t="n"/>
    </row>
    <row r="99" ht="17" customHeight="1">
      <c r="A99" s="36" t="inlineStr">
        <is>
          <t>Vidros e espelhos</t>
        </is>
      </c>
      <c r="B99" s="37" t="n"/>
      <c r="C99" s="71" t="n"/>
      <c r="D99" s="56">
        <f>ROUND(SUMIFS($E$134:$E$193,$B$134:$B$193,$A99,$I$134:$I$193,"Comprado (a pagar)")+SUMIFS($E$134:$E$193,$B$134:$B$193,$A99,$I$134:$I$193,"Pago"),2)</f>
        <v/>
      </c>
      <c r="E99" s="56">
        <f>IF($C99="","",ROUND($D99-$C99,2))</f>
        <v/>
      </c>
      <c r="F99" s="38" t="n"/>
      <c r="G99" s="89">
        <f>ROUND(SUMIFS($E$134:$E$193,$B$134:$B$193,$A99,$I$134:$I$193,"A comprar"),2)</f>
        <v/>
      </c>
      <c r="H99" s="90">
        <f>ROUND(SUMIFS($E$134:$E$193,$B$134:$B$193,$A99,$I$134:$I$193,"Comprado (a pagar)"),2)</f>
        <v/>
      </c>
      <c r="I99" s="38" t="n"/>
      <c r="J99" s="38" t="n"/>
      <c r="K99" s="38" t="n"/>
      <c r="L99" s="38" t="n"/>
      <c r="M99" s="38" t="n"/>
      <c r="N99" s="38" t="n"/>
      <c r="O99" s="38" t="n"/>
    </row>
    <row r="100" ht="17" customHeight="1">
      <c r="A100" s="36" t="inlineStr">
        <is>
          <t>Esquadrias</t>
        </is>
      </c>
      <c r="B100" s="37" t="n"/>
      <c r="C100" s="71" t="n"/>
      <c r="D100" s="56">
        <f>ROUND(SUMIFS($E$134:$E$193,$B$134:$B$193,$A100,$I$134:$I$193,"Comprado (a pagar)")+SUMIFS($E$134:$E$193,$B$134:$B$193,$A100,$I$134:$I$193,"Pago"),2)</f>
        <v/>
      </c>
      <c r="E100" s="56">
        <f>IF($C100="","",ROUND($D100-$C100,2))</f>
        <v/>
      </c>
      <c r="F100" s="38" t="n"/>
      <c r="G100" s="89">
        <f>ROUND(SUMIFS($E$134:$E$193,$B$134:$B$193,$A100,$I$134:$I$193,"A comprar"),2)</f>
        <v/>
      </c>
      <c r="H100" s="90">
        <f>ROUND(SUMIFS($E$134:$E$193,$B$134:$B$193,$A100,$I$134:$I$193,"Comprado (a pagar)"),2)</f>
        <v/>
      </c>
      <c r="I100" s="38" t="n"/>
      <c r="J100" s="38" t="n"/>
      <c r="K100" s="38" t="n"/>
      <c r="L100" s="38" t="n"/>
      <c r="M100" s="38" t="n"/>
      <c r="N100" s="38" t="n"/>
      <c r="O100" s="38" t="n"/>
    </row>
    <row r="101" ht="17" customHeight="1">
      <c r="A101" s="36" t="inlineStr">
        <is>
          <t>Lâmina natural</t>
        </is>
      </c>
      <c r="B101" s="37" t="n"/>
      <c r="C101" s="71" t="n"/>
      <c r="D101" s="56">
        <f>ROUND(SUMIFS($E$134:$E$193,$B$134:$B$193,$A101,$I$134:$I$193,"Comprado (a pagar)")+SUMIFS($E$134:$E$193,$B$134:$B$193,$A101,$I$134:$I$193,"Pago"),2)</f>
        <v/>
      </c>
      <c r="E101" s="56">
        <f>IF($C101="","",ROUND($D101-$C101,2))</f>
        <v/>
      </c>
      <c r="F101" s="38" t="n"/>
      <c r="G101" s="89">
        <f>ROUND(SUMIFS($E$134:$E$193,$B$134:$B$193,$A101,$I$134:$I$193,"A comprar"),2)</f>
        <v/>
      </c>
      <c r="H101" s="90">
        <f>ROUND(SUMIFS($E$134:$E$193,$B$134:$B$193,$A101,$I$134:$I$193,"Comprado (a pagar)"),2)</f>
        <v/>
      </c>
      <c r="I101" s="38" t="n"/>
      <c r="J101" s="38" t="n"/>
      <c r="K101" s="38" t="n"/>
      <c r="L101" s="38" t="n"/>
      <c r="M101" s="38" t="n"/>
      <c r="N101" s="38" t="n"/>
      <c r="O101" s="38" t="n"/>
    </row>
    <row r="102" ht="17" customHeight="1">
      <c r="A102" s="36" t="inlineStr">
        <is>
          <t>Consumíveis</t>
        </is>
      </c>
      <c r="B102" s="37" t="n"/>
      <c r="C102" s="71" t="n"/>
      <c r="D102" s="56">
        <f>ROUND(SUMIFS($E$134:$E$193,$B$134:$B$193,$A102,$I$134:$I$193,"Comprado (a pagar)")+SUMIFS($E$134:$E$193,$B$134:$B$193,$A102,$I$134:$I$193,"Pago"),2)</f>
        <v/>
      </c>
      <c r="E102" s="56">
        <f>IF($C102="","",ROUND($D102-$C102,2))</f>
        <v/>
      </c>
      <c r="F102" s="38" t="n"/>
      <c r="G102" s="89">
        <f>ROUND(SUMIFS($E$134:$E$193,$B$134:$B$193,$A102,$I$134:$I$193,"A comprar"),2)</f>
        <v/>
      </c>
      <c r="H102" s="90">
        <f>ROUND(SUMIFS($E$134:$E$193,$B$134:$B$193,$A102,$I$134:$I$193,"Comprado (a pagar)"),2)</f>
        <v/>
      </c>
      <c r="I102" s="38" t="n"/>
      <c r="J102" s="38" t="n"/>
      <c r="K102" s="38" t="n"/>
      <c r="L102" s="38" t="n"/>
      <c r="M102" s="38" t="n"/>
      <c r="N102" s="38" t="n"/>
      <c r="O102" s="38" t="n"/>
    </row>
    <row r="103" ht="20" customHeight="1">
      <c r="A103" s="31" t="inlineStr">
        <is>
          <t>(=) SUBTOTAL · MATERIAL</t>
        </is>
      </c>
      <c r="B103" s="32" t="n"/>
      <c r="C103" s="60">
        <f>ROUND(SUM(C96:C102),2)</f>
        <v/>
      </c>
      <c r="D103" s="60">
        <f>ROUND(SUM(D96:D102),2)</f>
        <v/>
      </c>
      <c r="E103" s="60">
        <f>ROUND(SUM(E96:E102),2)</f>
        <v/>
      </c>
      <c r="F103" s="32" t="n"/>
      <c r="G103" s="60">
        <f>ROUND(SUM(G96:G102),2)</f>
        <v/>
      </c>
      <c r="H103" s="60">
        <f>ROUND(SUM(H96:H102),2)</f>
        <v/>
      </c>
      <c r="I103" s="32" t="n"/>
      <c r="J103" s="32" t="n"/>
      <c r="K103" s="32" t="n"/>
      <c r="L103" s="32" t="n"/>
      <c r="M103" s="32" t="n"/>
      <c r="N103" s="32" t="n"/>
      <c r="O103" s="32" t="n"/>
    </row>
    <row r="104" ht="17" customHeight="1">
      <c r="A104" s="36" t="inlineStr">
        <is>
          <t>Acabamento</t>
        </is>
      </c>
      <c r="B104" s="37" t="n"/>
      <c r="C104" s="71" t="n"/>
      <c r="D104" s="56">
        <f>ROUND(SUMIFS($E$134:$E$193,$B$134:$B$193,$A104,$I$134:$I$193,"Comprado (a pagar)")+SUMIFS($E$134:$E$193,$B$134:$B$193,$A104,$I$134:$I$193,"Pago"),2)</f>
        <v/>
      </c>
      <c r="E104" s="56">
        <f>IF($C104="","",ROUND($D104-$C104,2))</f>
        <v/>
      </c>
      <c r="F104" s="38" t="n"/>
      <c r="G104" s="89">
        <f>ROUND(SUMIFS($E$134:$E$193,$B$134:$B$193,$A104,$I$134:$I$193,"A comprar"),2)</f>
        <v/>
      </c>
      <c r="H104" s="90">
        <f>ROUND(SUMIFS($E$134:$E$193,$B$134:$B$193,$A104,$I$134:$I$193,"Comprado (a pagar)"),2)</f>
        <v/>
      </c>
      <c r="I104" s="38" t="n"/>
      <c r="J104" s="38" t="n"/>
      <c r="K104" s="38" t="n"/>
      <c r="L104" s="38" t="n"/>
      <c r="M104" s="38" t="n"/>
      <c r="N104" s="38" t="n"/>
      <c r="O104" s="38" t="n"/>
    </row>
    <row r="105" ht="17" customHeight="1">
      <c r="A105" s="36" t="inlineStr">
        <is>
          <t>Serralheria</t>
        </is>
      </c>
      <c r="B105" s="37" t="n"/>
      <c r="C105" s="71" t="n"/>
      <c r="D105" s="56">
        <f>ROUND(SUMIFS($E$134:$E$193,$B$134:$B$193,$A105,$I$134:$I$193,"Comprado (a pagar)")+SUMIFS($E$134:$E$193,$B$134:$B$193,$A105,$I$134:$I$193,"Pago"),2)</f>
        <v/>
      </c>
      <c r="E105" s="56">
        <f>IF($C105="","",ROUND($D105-$C105,2))</f>
        <v/>
      </c>
      <c r="F105" s="38" t="n"/>
      <c r="G105" s="89">
        <f>ROUND(SUMIFS($E$134:$E$193,$B$134:$B$193,$A105,$I$134:$I$193,"A comprar"),2)</f>
        <v/>
      </c>
      <c r="H105" s="90">
        <f>ROUND(SUMIFS($E$134:$E$193,$B$134:$B$193,$A105,$I$134:$I$193,"Comprado (a pagar)"),2)</f>
        <v/>
      </c>
      <c r="I105" s="38" t="n"/>
      <c r="J105" s="38" t="n"/>
      <c r="K105" s="38" t="n"/>
      <c r="L105" s="38" t="n"/>
      <c r="M105" s="38" t="n"/>
      <c r="N105" s="38" t="n"/>
      <c r="O105" s="38" t="n"/>
    </row>
    <row r="106" ht="17" customHeight="1">
      <c r="A106" s="36" t="inlineStr">
        <is>
          <t>Vidraceiro</t>
        </is>
      </c>
      <c r="B106" s="37" t="n"/>
      <c r="C106" s="71" t="n"/>
      <c r="D106" s="56">
        <f>ROUND(SUMIFS($E$134:$E$193,$B$134:$B$193,$A106,$I$134:$I$193,"Comprado (a pagar)")+SUMIFS($E$134:$E$193,$B$134:$B$193,$A106,$I$134:$I$193,"Pago"),2)</f>
        <v/>
      </c>
      <c r="E106" s="56">
        <f>IF($C106="","",ROUND($D106-$C106,2))</f>
        <v/>
      </c>
      <c r="F106" s="38" t="n"/>
      <c r="G106" s="89">
        <f>ROUND(SUMIFS($E$134:$E$193,$B$134:$B$193,$A106,$I$134:$I$193,"A comprar"),2)</f>
        <v/>
      </c>
      <c r="H106" s="90">
        <f>ROUND(SUMIFS($E$134:$E$193,$B$134:$B$193,$A106,$I$134:$I$193,"Comprado (a pagar)"),2)</f>
        <v/>
      </c>
      <c r="I106" s="38" t="n"/>
      <c r="J106" s="38" t="n"/>
      <c r="K106" s="38" t="n"/>
      <c r="L106" s="38" t="n"/>
      <c r="M106" s="38" t="n"/>
      <c r="N106" s="38" t="n"/>
      <c r="O106" s="38" t="n"/>
    </row>
    <row r="107" ht="17" customHeight="1">
      <c r="A107" s="36" t="inlineStr">
        <is>
          <t>Outro terceirizado</t>
        </is>
      </c>
      <c r="B107" s="37" t="n"/>
      <c r="C107" s="71" t="n"/>
      <c r="D107" s="56">
        <f>ROUND(SUMIFS($E$134:$E$193,$B$134:$B$193,$A107,$I$134:$I$193,"Comprado (a pagar)")+SUMIFS($E$134:$E$193,$B$134:$B$193,$A107,$I$134:$I$193,"Pago"),2)</f>
        <v/>
      </c>
      <c r="E107" s="56">
        <f>IF($C107="","",ROUND($D107-$C107,2))</f>
        <v/>
      </c>
      <c r="F107" s="38" t="n"/>
      <c r="G107" s="89">
        <f>ROUND(SUMIFS($E$134:$E$193,$B$134:$B$193,$A107,$I$134:$I$193,"A comprar"),2)</f>
        <v/>
      </c>
      <c r="H107" s="90">
        <f>ROUND(SUMIFS($E$134:$E$193,$B$134:$B$193,$A107,$I$134:$I$193,"Comprado (a pagar)"),2)</f>
        <v/>
      </c>
      <c r="I107" s="38" t="n"/>
      <c r="J107" s="38" t="n"/>
      <c r="K107" s="38" t="n"/>
      <c r="L107" s="38" t="n"/>
      <c r="M107" s="38" t="n"/>
      <c r="N107" s="38" t="n"/>
      <c r="O107" s="38" t="n"/>
    </row>
    <row r="108" ht="20" customHeight="1">
      <c r="A108" s="31" t="inlineStr">
        <is>
          <t>(=) SUBTOTAL · SERVIÇOS TERCEIRIZADOS</t>
        </is>
      </c>
      <c r="B108" s="32" t="n"/>
      <c r="C108" s="60">
        <f>ROUND(SUM(C104:C107),2)</f>
        <v/>
      </c>
      <c r="D108" s="60">
        <f>ROUND(SUM(D104:D107),2)</f>
        <v/>
      </c>
      <c r="E108" s="60">
        <f>ROUND(SUM(E104:E107),2)</f>
        <v/>
      </c>
      <c r="F108" s="32" t="n"/>
      <c r="G108" s="60">
        <f>ROUND(SUM(G104:G107),2)</f>
        <v/>
      </c>
      <c r="H108" s="60">
        <f>ROUND(SUM(H104:H107),2)</f>
        <v/>
      </c>
      <c r="I108" s="32" t="n"/>
      <c r="J108" s="32" t="n"/>
      <c r="K108" s="32" t="n"/>
      <c r="L108" s="32" t="n"/>
      <c r="M108" s="32" t="n"/>
      <c r="N108" s="32" t="n"/>
      <c r="O108" s="32" t="n"/>
    </row>
    <row r="109" ht="17" customHeight="1">
      <c r="A109" s="36" t="inlineStr">
        <is>
          <t>Uber e aplicativo</t>
        </is>
      </c>
      <c r="B109" s="37" t="n"/>
      <c r="C109" s="71" t="n"/>
      <c r="D109" s="56">
        <f>ROUND(SUMIFS($E$134:$E$193,$B$134:$B$193,$A109,$I$134:$I$193,"Comprado (a pagar)")+SUMIFS($E$134:$E$193,$B$134:$B$193,$A109,$I$134:$I$193,"Pago"),2)</f>
        <v/>
      </c>
      <c r="E109" s="56">
        <f>IF($C109="","",ROUND($D109-$C109,2))</f>
        <v/>
      </c>
      <c r="F109" s="38" t="n"/>
      <c r="G109" s="89">
        <f>ROUND(SUMIFS($E$134:$E$193,$B$134:$B$193,$A109,$I$134:$I$193,"A comprar"),2)</f>
        <v/>
      </c>
      <c r="H109" s="90">
        <f>ROUND(SUMIFS($E$134:$E$193,$B$134:$B$193,$A109,$I$134:$I$193,"Comprado (a pagar)"),2)</f>
        <v/>
      </c>
      <c r="I109" s="38" t="n"/>
      <c r="J109" s="38" t="n"/>
      <c r="K109" s="38" t="n"/>
      <c r="L109" s="38" t="n"/>
      <c r="M109" s="38" t="n"/>
      <c r="N109" s="38" t="n"/>
      <c r="O109" s="38" t="n"/>
    </row>
    <row r="110" ht="17" customHeight="1">
      <c r="A110" s="36" t="inlineStr">
        <is>
          <t>Carreto e entrega</t>
        </is>
      </c>
      <c r="B110" s="37" t="n"/>
      <c r="C110" s="71" t="n"/>
      <c r="D110" s="56">
        <f>ROUND(SUMIFS($E$134:$E$193,$B$134:$B$193,$A110,$I$134:$I$193,"Comprado (a pagar)")+SUMIFS($E$134:$E$193,$B$134:$B$193,$A110,$I$134:$I$193,"Pago"),2)</f>
        <v/>
      </c>
      <c r="E110" s="56">
        <f>IF($C110="","",ROUND($D110-$C110,2))</f>
        <v/>
      </c>
      <c r="F110" s="38" t="n"/>
      <c r="G110" s="89">
        <f>ROUND(SUMIFS($E$134:$E$193,$B$134:$B$193,$A110,$I$134:$I$193,"A comprar"),2)</f>
        <v/>
      </c>
      <c r="H110" s="90">
        <f>ROUND(SUMIFS($E$134:$E$193,$B$134:$B$193,$A110,$I$134:$I$193,"Comprado (a pagar)"),2)</f>
        <v/>
      </c>
      <c r="I110" s="38" t="n"/>
      <c r="J110" s="38" t="n"/>
      <c r="K110" s="38" t="n"/>
      <c r="L110" s="38" t="n"/>
      <c r="M110" s="38" t="n"/>
      <c r="N110" s="38" t="n"/>
      <c r="O110" s="38" t="n"/>
    </row>
    <row r="111" ht="17" customHeight="1">
      <c r="A111" s="36" t="inlineStr">
        <is>
          <t>Deslocamento da equipe</t>
        </is>
      </c>
      <c r="B111" s="37" t="n"/>
      <c r="C111" s="71" t="n"/>
      <c r="D111" s="56">
        <f>ROUND(SUMIFS($E$134:$E$193,$B$134:$B$193,$A111,$I$134:$I$193,"Comprado (a pagar)")+SUMIFS($E$134:$E$193,$B$134:$B$193,$A111,$I$134:$I$193,"Pago"),2)</f>
        <v/>
      </c>
      <c r="E111" s="56">
        <f>IF($C111="","",ROUND($D111-$C111,2))</f>
        <v/>
      </c>
      <c r="F111" s="38" t="n"/>
      <c r="G111" s="89">
        <f>ROUND(SUMIFS($E$134:$E$193,$B$134:$B$193,$A111,$I$134:$I$193,"A comprar"),2)</f>
        <v/>
      </c>
      <c r="H111" s="90">
        <f>ROUND(SUMIFS($E$134:$E$193,$B$134:$B$193,$A111,$I$134:$I$193,"Comprado (a pagar)"),2)</f>
        <v/>
      </c>
      <c r="I111" s="38" t="n"/>
      <c r="J111" s="38" t="n"/>
      <c r="K111" s="38" t="n"/>
      <c r="L111" s="38" t="n"/>
      <c r="M111" s="38" t="n"/>
      <c r="N111" s="38" t="n"/>
      <c r="O111" s="38" t="n"/>
    </row>
    <row r="112" ht="17" customHeight="1">
      <c r="A112" s="36" t="inlineStr">
        <is>
          <t>Frete de material</t>
        </is>
      </c>
      <c r="B112" s="37" t="n"/>
      <c r="C112" s="71" t="n"/>
      <c r="D112" s="56">
        <f>ROUND(SUMIFS($E$134:$E$193,$B$134:$B$193,$A112,$I$134:$I$193,"Comprado (a pagar)")+SUMIFS($E$134:$E$193,$B$134:$B$193,$A112,$I$134:$I$193,"Pago"),2)</f>
        <v/>
      </c>
      <c r="E112" s="56">
        <f>IF($C112="","",ROUND($D112-$C112,2))</f>
        <v/>
      </c>
      <c r="F112" s="38" t="n"/>
      <c r="G112" s="89">
        <f>ROUND(SUMIFS($E$134:$E$193,$B$134:$B$193,$A112,$I$134:$I$193,"A comprar"),2)</f>
        <v/>
      </c>
      <c r="H112" s="90">
        <f>ROUND(SUMIFS($E$134:$E$193,$B$134:$B$193,$A112,$I$134:$I$193,"Comprado (a pagar)"),2)</f>
        <v/>
      </c>
      <c r="I112" s="38" t="n"/>
      <c r="J112" s="38" t="n"/>
      <c r="K112" s="38" t="n"/>
      <c r="L112" s="38" t="n"/>
      <c r="M112" s="38" t="n"/>
      <c r="N112" s="38" t="n"/>
      <c r="O112" s="38" t="n"/>
    </row>
    <row r="113" ht="17" customHeight="1">
      <c r="A113" s="36" t="inlineStr">
        <is>
          <t>Estacionamento e pedágio</t>
        </is>
      </c>
      <c r="B113" s="37" t="n"/>
      <c r="C113" s="71" t="n"/>
      <c r="D113" s="56">
        <f>ROUND(SUMIFS($E$134:$E$193,$B$134:$B$193,$A113,$I$134:$I$193,"Comprado (a pagar)")+SUMIFS($E$134:$E$193,$B$134:$B$193,$A113,$I$134:$I$193,"Pago"),2)</f>
        <v/>
      </c>
      <c r="E113" s="56">
        <f>IF($C113="","",ROUND($D113-$C113,2))</f>
        <v/>
      </c>
      <c r="F113" s="38" t="n"/>
      <c r="G113" s="89">
        <f>ROUND(SUMIFS($E$134:$E$193,$B$134:$B$193,$A113,$I$134:$I$193,"A comprar"),2)</f>
        <v/>
      </c>
      <c r="H113" s="90">
        <f>ROUND(SUMIFS($E$134:$E$193,$B$134:$B$193,$A113,$I$134:$I$193,"Comprado (a pagar)"),2)</f>
        <v/>
      </c>
      <c r="I113" s="38" t="n"/>
      <c r="J113" s="38" t="n"/>
      <c r="K113" s="38" t="n"/>
      <c r="L113" s="38" t="n"/>
      <c r="M113" s="38" t="n"/>
      <c r="N113" s="38" t="n"/>
      <c r="O113" s="38" t="n"/>
    </row>
    <row r="114" ht="20" customHeight="1">
      <c r="A114" s="31" t="inlineStr">
        <is>
          <t>(=) SUBTOTAL · LOGÍSTICA</t>
        </is>
      </c>
      <c r="B114" s="32" t="n"/>
      <c r="C114" s="60">
        <f>ROUND(SUM(C109:C113),2)</f>
        <v/>
      </c>
      <c r="D114" s="60">
        <f>ROUND(SUM(D109:D113),2)</f>
        <v/>
      </c>
      <c r="E114" s="60">
        <f>ROUND(SUM(E109:E113),2)</f>
        <v/>
      </c>
      <c r="F114" s="32" t="n"/>
      <c r="G114" s="60">
        <f>ROUND(SUM(G109:G113),2)</f>
        <v/>
      </c>
      <c r="H114" s="60">
        <f>ROUND(SUM(H109:H113),2)</f>
        <v/>
      </c>
      <c r="I114" s="32" t="n"/>
      <c r="J114" s="32" t="n"/>
      <c r="K114" s="32" t="n"/>
      <c r="L114" s="32" t="n"/>
      <c r="M114" s="32" t="n"/>
      <c r="N114" s="32" t="n"/>
      <c r="O114" s="32" t="n"/>
    </row>
    <row r="115" ht="8" customHeight="1"/>
    <row r="116" ht="20" customHeight="1">
      <c r="A116" s="8" t="inlineStr">
        <is>
          <t xml:space="preserve">  7 · RETRABALHO          o que aconteceu, por que aconteceu e quanto custou — é aqui que o orçamento aprende</t>
        </is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</row>
    <row r="117" ht="26" customHeight="1">
      <c r="A117" s="19" t="inlineStr">
        <is>
          <t>O que aconteceu</t>
        </is>
      </c>
      <c r="B117" s="19" t="inlineStr">
        <is>
          <t>Causa</t>
        </is>
      </c>
      <c r="C117" s="35" t="n"/>
      <c r="D117" s="35" t="n"/>
      <c r="E117" s="19" t="inlineStr">
        <is>
          <t>Custo estimado (R$)</t>
        </is>
      </c>
      <c r="F117" s="35" t="n"/>
      <c r="G117" s="19" t="inlineStr">
        <is>
          <t>Providência / responsável</t>
        </is>
      </c>
      <c r="H117" s="35" t="n"/>
      <c r="I117" s="35" t="n"/>
      <c r="J117" s="35" t="n"/>
      <c r="K117" s="35" t="n"/>
      <c r="L117" s="35" t="n"/>
      <c r="M117" s="35" t="n"/>
      <c r="N117" s="35" t="n"/>
      <c r="O117" s="35" t="n"/>
    </row>
    <row r="118" ht="18" customHeight="1">
      <c r="A118" s="83" t="n"/>
      <c r="B118" s="83" t="n"/>
      <c r="C118" s="46" t="n"/>
      <c r="D118" s="46" t="n"/>
      <c r="E118" s="91" t="n"/>
      <c r="F118" s="46" t="n"/>
      <c r="G118" s="73" t="n"/>
      <c r="H118" s="46" t="n"/>
      <c r="I118" s="46" t="n"/>
      <c r="J118" s="46" t="n"/>
      <c r="K118" s="46" t="n"/>
      <c r="L118" s="46" t="n"/>
      <c r="M118" s="46" t="n"/>
      <c r="N118" s="46" t="n"/>
      <c r="O118" s="46" t="n"/>
    </row>
    <row r="119" ht="18" customHeight="1">
      <c r="A119" s="83" t="n"/>
      <c r="B119" s="83" t="n"/>
      <c r="C119" s="46" t="n"/>
      <c r="D119" s="46" t="n"/>
      <c r="E119" s="91" t="n"/>
      <c r="F119" s="46" t="n"/>
      <c r="G119" s="73" t="n"/>
      <c r="H119" s="46" t="n"/>
      <c r="I119" s="46" t="n"/>
      <c r="J119" s="46" t="n"/>
      <c r="K119" s="46" t="n"/>
      <c r="L119" s="46" t="n"/>
      <c r="M119" s="46" t="n"/>
      <c r="N119" s="46" t="n"/>
      <c r="O119" s="46" t="n"/>
    </row>
    <row r="120" ht="18" customHeight="1">
      <c r="A120" s="83" t="n"/>
      <c r="B120" s="83" t="n"/>
      <c r="C120" s="46" t="n"/>
      <c r="D120" s="46" t="n"/>
      <c r="E120" s="91" t="n"/>
      <c r="F120" s="46" t="n"/>
      <c r="G120" s="73" t="n"/>
      <c r="H120" s="46" t="n"/>
      <c r="I120" s="46" t="n"/>
      <c r="J120" s="46" t="n"/>
      <c r="K120" s="46" t="n"/>
      <c r="L120" s="46" t="n"/>
      <c r="M120" s="46" t="n"/>
      <c r="N120" s="46" t="n"/>
      <c r="O120" s="46" t="n"/>
    </row>
    <row r="121" ht="18" customHeight="1">
      <c r="A121" s="83" t="n"/>
      <c r="B121" s="83" t="n"/>
      <c r="C121" s="46" t="n"/>
      <c r="D121" s="46" t="n"/>
      <c r="E121" s="91" t="n"/>
      <c r="F121" s="46" t="n"/>
      <c r="G121" s="73" t="n"/>
      <c r="H121" s="46" t="n"/>
      <c r="I121" s="46" t="n"/>
      <c r="J121" s="46" t="n"/>
      <c r="K121" s="46" t="n"/>
      <c r="L121" s="46" t="n"/>
      <c r="M121" s="46" t="n"/>
      <c r="N121" s="46" t="n"/>
      <c r="O121" s="46" t="n"/>
    </row>
    <row r="122" ht="18" customHeight="1">
      <c r="A122" s="83" t="n"/>
      <c r="B122" s="83" t="n"/>
      <c r="C122" s="46" t="n"/>
      <c r="D122" s="46" t="n"/>
      <c r="E122" s="91" t="n"/>
      <c r="F122" s="46" t="n"/>
      <c r="G122" s="73" t="n"/>
      <c r="H122" s="46" t="n"/>
      <c r="I122" s="46" t="n"/>
      <c r="J122" s="46" t="n"/>
      <c r="K122" s="46" t="n"/>
      <c r="L122" s="46" t="n"/>
      <c r="M122" s="46" t="n"/>
      <c r="N122" s="46" t="n"/>
      <c r="O122" s="46" t="n"/>
    </row>
    <row r="123" ht="18" customHeight="1">
      <c r="A123" s="83" t="n"/>
      <c r="B123" s="83" t="n"/>
      <c r="C123" s="46" t="n"/>
      <c r="D123" s="46" t="n"/>
      <c r="E123" s="91" t="n"/>
      <c r="F123" s="46" t="n"/>
      <c r="G123" s="73" t="n"/>
      <c r="H123" s="46" t="n"/>
      <c r="I123" s="46" t="n"/>
      <c r="J123" s="46" t="n"/>
      <c r="K123" s="46" t="n"/>
      <c r="L123" s="46" t="n"/>
      <c r="M123" s="46" t="n"/>
      <c r="N123" s="46" t="n"/>
      <c r="O123" s="46" t="n"/>
    </row>
    <row r="124" ht="18" customHeight="1">
      <c r="A124" s="83" t="n"/>
      <c r="B124" s="83" t="n"/>
      <c r="C124" s="46" t="n"/>
      <c r="D124" s="46" t="n"/>
      <c r="E124" s="91" t="n"/>
      <c r="F124" s="46" t="n"/>
      <c r="G124" s="73" t="n"/>
      <c r="H124" s="46" t="n"/>
      <c r="I124" s="46" t="n"/>
      <c r="J124" s="46" t="n"/>
      <c r="K124" s="46" t="n"/>
      <c r="L124" s="46" t="n"/>
      <c r="M124" s="46" t="n"/>
      <c r="N124" s="46" t="n"/>
      <c r="O124" s="46" t="n"/>
    </row>
    <row r="125" ht="18" customHeight="1">
      <c r="A125" s="83" t="n"/>
      <c r="B125" s="83" t="n"/>
      <c r="C125" s="46" t="n"/>
      <c r="D125" s="46" t="n"/>
      <c r="E125" s="91" t="n"/>
      <c r="F125" s="46" t="n"/>
      <c r="G125" s="73" t="n"/>
      <c r="H125" s="46" t="n"/>
      <c r="I125" s="46" t="n"/>
      <c r="J125" s="46" t="n"/>
      <c r="K125" s="46" t="n"/>
      <c r="L125" s="46" t="n"/>
      <c r="M125" s="46" t="n"/>
      <c r="N125" s="46" t="n"/>
      <c r="O125" s="46" t="n"/>
    </row>
    <row r="126" ht="18" customHeight="1">
      <c r="A126" s="83" t="n"/>
      <c r="B126" s="83" t="n"/>
      <c r="C126" s="46" t="n"/>
      <c r="D126" s="46" t="n"/>
      <c r="E126" s="91" t="n"/>
      <c r="F126" s="46" t="n"/>
      <c r="G126" s="73" t="n"/>
      <c r="H126" s="46" t="n"/>
      <c r="I126" s="46" t="n"/>
      <c r="J126" s="46" t="n"/>
      <c r="K126" s="46" t="n"/>
      <c r="L126" s="46" t="n"/>
      <c r="M126" s="46" t="n"/>
      <c r="N126" s="46" t="n"/>
      <c r="O126" s="46" t="n"/>
    </row>
    <row r="127" ht="18" customHeight="1">
      <c r="A127" s="83" t="n"/>
      <c r="B127" s="83" t="n"/>
      <c r="C127" s="46" t="n"/>
      <c r="D127" s="46" t="n"/>
      <c r="E127" s="91" t="n"/>
      <c r="F127" s="46" t="n"/>
      <c r="G127" s="73" t="n"/>
      <c r="H127" s="46" t="n"/>
      <c r="I127" s="46" t="n"/>
      <c r="J127" s="46" t="n"/>
      <c r="K127" s="46" t="n"/>
      <c r="L127" s="46" t="n"/>
      <c r="M127" s="46" t="n"/>
      <c r="N127" s="46" t="n"/>
      <c r="O127" s="46" t="n"/>
    </row>
    <row r="128" ht="18" customHeight="1">
      <c r="A128" s="83" t="n"/>
      <c r="B128" s="83" t="n"/>
      <c r="C128" s="46" t="n"/>
      <c r="D128" s="46" t="n"/>
      <c r="E128" s="91" t="n"/>
      <c r="F128" s="46" t="n"/>
      <c r="G128" s="73" t="n"/>
      <c r="H128" s="46" t="n"/>
      <c r="I128" s="46" t="n"/>
      <c r="J128" s="46" t="n"/>
      <c r="K128" s="46" t="n"/>
      <c r="L128" s="46" t="n"/>
      <c r="M128" s="46" t="n"/>
      <c r="N128" s="46" t="n"/>
      <c r="O128" s="46" t="n"/>
    </row>
    <row r="129" ht="18" customHeight="1">
      <c r="A129" s="83" t="n"/>
      <c r="B129" s="83" t="n"/>
      <c r="C129" s="46" t="n"/>
      <c r="D129" s="46" t="n"/>
      <c r="E129" s="91" t="n"/>
      <c r="F129" s="46" t="n"/>
      <c r="G129" s="73" t="n"/>
      <c r="H129" s="46" t="n"/>
      <c r="I129" s="46" t="n"/>
      <c r="J129" s="46" t="n"/>
      <c r="K129" s="46" t="n"/>
      <c r="L129" s="46" t="n"/>
      <c r="M129" s="46" t="n"/>
      <c r="N129" s="46" t="n"/>
      <c r="O129" s="46" t="n"/>
    </row>
    <row r="130" ht="20" customHeight="1">
      <c r="A130" s="31" t="inlineStr">
        <is>
          <t>CONTINGÊNCIA PREVISTA NO ORÇAMENTO  →</t>
        </is>
      </c>
      <c r="B130" s="32" t="n"/>
      <c r="C130" s="92" t="n"/>
      <c r="D130" s="60">
        <f>ROUND(SUM($E$118:$E$129),2)</f>
        <v/>
      </c>
      <c r="E130" s="60">
        <f>ROUND($D$130-IF($C$130="",0,$C$130),2)</f>
        <v/>
      </c>
      <c r="F130" s="32" t="n"/>
      <c r="G130" s="62">
        <f>IF(OR($A$13="",$A$13=0),"",$D$130/$A$13)</f>
        <v/>
      </c>
      <c r="H130" s="93" t="inlineStr">
        <is>
          <t>orçado = a contingência prevista · realizado = a soma acima</t>
        </is>
      </c>
      <c r="I130" s="32" t="n"/>
      <c r="J130" s="32" t="n"/>
      <c r="K130" s="32" t="n"/>
      <c r="L130" s="32" t="n"/>
      <c r="M130" s="32" t="n"/>
      <c r="N130" s="32" t="n"/>
      <c r="O130" s="32" t="n"/>
    </row>
    <row r="131" ht="8" customHeight="1"/>
    <row r="132" ht="20" customHeight="1">
      <c r="A132" s="8" t="inlineStr">
        <is>
          <t xml:space="preserve">  8 · LIVRO DE COMPRAS E DESPESAS DO PROJETO          uma linha por compra, na ordem em que acontecer · pode inserir linhas à vontade aqui</t>
        </is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</row>
    <row r="133" ht="28" customHeight="1">
      <c r="A133" s="19" t="inlineStr">
        <is>
          <t>Descrição / fornecedor</t>
        </is>
      </c>
      <c r="B133" s="19" t="inlineStr">
        <is>
          <t>Categoria</t>
        </is>
      </c>
      <c r="C133" s="35" t="n"/>
      <c r="D133" s="19" t="inlineStr">
        <is>
          <t>Data</t>
        </is>
      </c>
      <c r="E133" s="19" t="inlineStr">
        <is>
          <t>Valor (R$)</t>
        </is>
      </c>
      <c r="F133" s="35" t="n"/>
      <c r="G133" s="19" t="inlineStr">
        <is>
          <t>Forma de pagamento</t>
        </is>
      </c>
      <c r="H133" s="35" t="n"/>
      <c r="I133" s="19" t="inlineStr">
        <is>
          <t>Status</t>
        </is>
      </c>
      <c r="J133" s="35" t="n"/>
      <c r="K133" s="35" t="n"/>
      <c r="L133" s="35" t="n"/>
      <c r="M133" s="35" t="n"/>
      <c r="N133" s="35" t="n"/>
      <c r="O133" s="35" t="n"/>
    </row>
    <row r="134" ht="17" customHeight="1">
      <c r="A134" s="83" t="n"/>
      <c r="B134" s="94" t="n"/>
      <c r="C134" s="46" t="n"/>
      <c r="D134" s="75" t="n"/>
      <c r="E134" s="95" t="n"/>
      <c r="F134" s="46" t="n"/>
      <c r="G134" s="96" t="n"/>
      <c r="H134" s="46" t="n"/>
      <c r="I134" s="97" t="n"/>
      <c r="J134" s="46" t="n"/>
      <c r="K134" s="46" t="n"/>
      <c r="L134" s="46" t="n"/>
      <c r="M134" s="46" t="n"/>
      <c r="N134" s="46" t="n"/>
      <c r="O134" s="46" t="n"/>
    </row>
    <row r="135" ht="17" customHeight="1">
      <c r="A135" s="83" t="n"/>
      <c r="B135" s="94" t="n"/>
      <c r="C135" s="46" t="n"/>
      <c r="D135" s="75" t="n"/>
      <c r="E135" s="95" t="n"/>
      <c r="F135" s="46" t="n"/>
      <c r="G135" s="96" t="n"/>
      <c r="H135" s="46" t="n"/>
      <c r="I135" s="97" t="n"/>
      <c r="J135" s="46" t="n"/>
      <c r="K135" s="46" t="n"/>
      <c r="L135" s="46" t="n"/>
      <c r="M135" s="46" t="n"/>
      <c r="N135" s="46" t="n"/>
      <c r="O135" s="46" t="n"/>
    </row>
    <row r="136" ht="17" customHeight="1">
      <c r="A136" s="83" t="n"/>
      <c r="B136" s="94" t="n"/>
      <c r="C136" s="46" t="n"/>
      <c r="D136" s="75" t="n"/>
      <c r="E136" s="95" t="n"/>
      <c r="F136" s="46" t="n"/>
      <c r="G136" s="96" t="n"/>
      <c r="H136" s="46" t="n"/>
      <c r="I136" s="97" t="n"/>
      <c r="J136" s="46" t="n"/>
      <c r="K136" s="46" t="n"/>
      <c r="L136" s="46" t="n"/>
      <c r="M136" s="46" t="n"/>
      <c r="N136" s="46" t="n"/>
      <c r="O136" s="46" t="n"/>
    </row>
    <row r="137" ht="17" customHeight="1">
      <c r="A137" s="83" t="n"/>
      <c r="B137" s="94" t="n"/>
      <c r="C137" s="46" t="n"/>
      <c r="D137" s="75" t="n"/>
      <c r="E137" s="95" t="n"/>
      <c r="F137" s="46" t="n"/>
      <c r="G137" s="96" t="n"/>
      <c r="H137" s="46" t="n"/>
      <c r="I137" s="97" t="n"/>
      <c r="J137" s="46" t="n"/>
      <c r="K137" s="46" t="n"/>
      <c r="L137" s="46" t="n"/>
      <c r="M137" s="46" t="n"/>
      <c r="N137" s="46" t="n"/>
      <c r="O137" s="46" t="n"/>
    </row>
    <row r="138" ht="17" customHeight="1">
      <c r="A138" s="83" t="n"/>
      <c r="B138" s="94" t="n"/>
      <c r="C138" s="46" t="n"/>
      <c r="D138" s="75" t="n"/>
      <c r="E138" s="95" t="n"/>
      <c r="F138" s="46" t="n"/>
      <c r="G138" s="96" t="n"/>
      <c r="H138" s="46" t="n"/>
      <c r="I138" s="97" t="n"/>
      <c r="J138" s="46" t="n"/>
      <c r="K138" s="46" t="n"/>
      <c r="L138" s="46" t="n"/>
      <c r="M138" s="46" t="n"/>
      <c r="N138" s="46" t="n"/>
      <c r="O138" s="46" t="n"/>
    </row>
    <row r="139" ht="17" customHeight="1">
      <c r="A139" s="83" t="n"/>
      <c r="B139" s="94" t="n"/>
      <c r="C139" s="46" t="n"/>
      <c r="D139" s="75" t="n"/>
      <c r="E139" s="95" t="n"/>
      <c r="F139" s="46" t="n"/>
      <c r="G139" s="96" t="n"/>
      <c r="H139" s="46" t="n"/>
      <c r="I139" s="97" t="n"/>
      <c r="J139" s="46" t="n"/>
      <c r="K139" s="46" t="n"/>
      <c r="L139" s="46" t="n"/>
      <c r="M139" s="46" t="n"/>
      <c r="N139" s="46" t="n"/>
      <c r="O139" s="46" t="n"/>
    </row>
    <row r="140" ht="17" customHeight="1">
      <c r="A140" s="83" t="n"/>
      <c r="B140" s="94" t="n"/>
      <c r="C140" s="46" t="n"/>
      <c r="D140" s="75" t="n"/>
      <c r="E140" s="95" t="n"/>
      <c r="F140" s="46" t="n"/>
      <c r="G140" s="96" t="n"/>
      <c r="H140" s="46" t="n"/>
      <c r="I140" s="97" t="n"/>
      <c r="J140" s="46" t="n"/>
      <c r="K140" s="46" t="n"/>
      <c r="L140" s="46" t="n"/>
      <c r="M140" s="46" t="n"/>
      <c r="N140" s="46" t="n"/>
      <c r="O140" s="46" t="n"/>
    </row>
    <row r="141" ht="17" customHeight="1">
      <c r="A141" s="83" t="n"/>
      <c r="B141" s="94" t="n"/>
      <c r="C141" s="46" t="n"/>
      <c r="D141" s="75" t="n"/>
      <c r="E141" s="95" t="n"/>
      <c r="F141" s="46" t="n"/>
      <c r="G141" s="96" t="n"/>
      <c r="H141" s="46" t="n"/>
      <c r="I141" s="97" t="n"/>
      <c r="J141" s="46" t="n"/>
      <c r="K141" s="46" t="n"/>
      <c r="L141" s="46" t="n"/>
      <c r="M141" s="46" t="n"/>
      <c r="N141" s="46" t="n"/>
      <c r="O141" s="46" t="n"/>
    </row>
    <row r="142" ht="17" customHeight="1">
      <c r="A142" s="83" t="n"/>
      <c r="B142" s="94" t="n"/>
      <c r="C142" s="46" t="n"/>
      <c r="D142" s="75" t="n"/>
      <c r="E142" s="95" t="n"/>
      <c r="F142" s="46" t="n"/>
      <c r="G142" s="96" t="n"/>
      <c r="H142" s="46" t="n"/>
      <c r="I142" s="97" t="n"/>
      <c r="J142" s="46" t="n"/>
      <c r="K142" s="46" t="n"/>
      <c r="L142" s="46" t="n"/>
      <c r="M142" s="46" t="n"/>
      <c r="N142" s="46" t="n"/>
      <c r="O142" s="46" t="n"/>
    </row>
    <row r="143" ht="17" customHeight="1">
      <c r="A143" s="83" t="n"/>
      <c r="B143" s="94" t="n"/>
      <c r="C143" s="46" t="n"/>
      <c r="D143" s="75" t="n"/>
      <c r="E143" s="95" t="n"/>
      <c r="F143" s="46" t="n"/>
      <c r="G143" s="96" t="n"/>
      <c r="H143" s="46" t="n"/>
      <c r="I143" s="97" t="n"/>
      <c r="J143" s="46" t="n"/>
      <c r="K143" s="46" t="n"/>
      <c r="L143" s="46" t="n"/>
      <c r="M143" s="46" t="n"/>
      <c r="N143" s="46" t="n"/>
      <c r="O143" s="46" t="n"/>
    </row>
    <row r="144" ht="17" customHeight="1">
      <c r="A144" s="83" t="n"/>
      <c r="B144" s="94" t="n"/>
      <c r="C144" s="46" t="n"/>
      <c r="D144" s="75" t="n"/>
      <c r="E144" s="95" t="n"/>
      <c r="F144" s="46" t="n"/>
      <c r="G144" s="96" t="n"/>
      <c r="H144" s="46" t="n"/>
      <c r="I144" s="97" t="n"/>
      <c r="J144" s="46" t="n"/>
      <c r="K144" s="46" t="n"/>
      <c r="L144" s="46" t="n"/>
      <c r="M144" s="46" t="n"/>
      <c r="N144" s="46" t="n"/>
      <c r="O144" s="46" t="n"/>
    </row>
    <row r="145" ht="17" customHeight="1">
      <c r="A145" s="83" t="n"/>
      <c r="B145" s="94" t="n"/>
      <c r="C145" s="46" t="n"/>
      <c r="D145" s="75" t="n"/>
      <c r="E145" s="95" t="n"/>
      <c r="F145" s="46" t="n"/>
      <c r="G145" s="96" t="n"/>
      <c r="H145" s="46" t="n"/>
      <c r="I145" s="97" t="n"/>
      <c r="J145" s="46" t="n"/>
      <c r="K145" s="46" t="n"/>
      <c r="L145" s="46" t="n"/>
      <c r="M145" s="46" t="n"/>
      <c r="N145" s="46" t="n"/>
      <c r="O145" s="46" t="n"/>
    </row>
    <row r="146" ht="17" customHeight="1">
      <c r="A146" s="83" t="n"/>
      <c r="B146" s="94" t="n"/>
      <c r="C146" s="46" t="n"/>
      <c r="D146" s="75" t="n"/>
      <c r="E146" s="95" t="n"/>
      <c r="F146" s="46" t="n"/>
      <c r="G146" s="96" t="n"/>
      <c r="H146" s="46" t="n"/>
      <c r="I146" s="97" t="n"/>
      <c r="J146" s="46" t="n"/>
      <c r="K146" s="46" t="n"/>
      <c r="L146" s="46" t="n"/>
      <c r="M146" s="46" t="n"/>
      <c r="N146" s="46" t="n"/>
      <c r="O146" s="46" t="n"/>
    </row>
    <row r="147" ht="17" customHeight="1">
      <c r="A147" s="83" t="n"/>
      <c r="B147" s="94" t="n"/>
      <c r="C147" s="46" t="n"/>
      <c r="D147" s="75" t="n"/>
      <c r="E147" s="95" t="n"/>
      <c r="F147" s="46" t="n"/>
      <c r="G147" s="96" t="n"/>
      <c r="H147" s="46" t="n"/>
      <c r="I147" s="97" t="n"/>
      <c r="J147" s="46" t="n"/>
      <c r="K147" s="46" t="n"/>
      <c r="L147" s="46" t="n"/>
      <c r="M147" s="46" t="n"/>
      <c r="N147" s="46" t="n"/>
      <c r="O147" s="46" t="n"/>
    </row>
    <row r="148" ht="17" customHeight="1">
      <c r="A148" s="83" t="n"/>
      <c r="B148" s="94" t="n"/>
      <c r="C148" s="46" t="n"/>
      <c r="D148" s="75" t="n"/>
      <c r="E148" s="95" t="n"/>
      <c r="F148" s="46" t="n"/>
      <c r="G148" s="96" t="n"/>
      <c r="H148" s="46" t="n"/>
      <c r="I148" s="97" t="n"/>
      <c r="J148" s="46" t="n"/>
      <c r="K148" s="46" t="n"/>
      <c r="L148" s="46" t="n"/>
      <c r="M148" s="46" t="n"/>
      <c r="N148" s="46" t="n"/>
      <c r="O148" s="46" t="n"/>
    </row>
    <row r="149" ht="17" customHeight="1">
      <c r="A149" s="83" t="n"/>
      <c r="B149" s="94" t="n"/>
      <c r="C149" s="46" t="n"/>
      <c r="D149" s="75" t="n"/>
      <c r="E149" s="95" t="n"/>
      <c r="F149" s="46" t="n"/>
      <c r="G149" s="96" t="n"/>
      <c r="H149" s="46" t="n"/>
      <c r="I149" s="97" t="n"/>
      <c r="J149" s="46" t="n"/>
      <c r="K149" s="46" t="n"/>
      <c r="L149" s="46" t="n"/>
      <c r="M149" s="46" t="n"/>
      <c r="N149" s="46" t="n"/>
      <c r="O149" s="46" t="n"/>
    </row>
    <row r="150" ht="17" customHeight="1">
      <c r="A150" s="83" t="n"/>
      <c r="B150" s="94" t="n"/>
      <c r="C150" s="46" t="n"/>
      <c r="D150" s="75" t="n"/>
      <c r="E150" s="95" t="n"/>
      <c r="F150" s="46" t="n"/>
      <c r="G150" s="96" t="n"/>
      <c r="H150" s="46" t="n"/>
      <c r="I150" s="97" t="n"/>
      <c r="J150" s="46" t="n"/>
      <c r="K150" s="46" t="n"/>
      <c r="L150" s="46" t="n"/>
      <c r="M150" s="46" t="n"/>
      <c r="N150" s="46" t="n"/>
      <c r="O150" s="46" t="n"/>
    </row>
    <row r="151" ht="17" customHeight="1">
      <c r="A151" s="83" t="n"/>
      <c r="B151" s="94" t="n"/>
      <c r="C151" s="46" t="n"/>
      <c r="D151" s="75" t="n"/>
      <c r="E151" s="95" t="n"/>
      <c r="F151" s="46" t="n"/>
      <c r="G151" s="96" t="n"/>
      <c r="H151" s="46" t="n"/>
      <c r="I151" s="97" t="n"/>
      <c r="J151" s="46" t="n"/>
      <c r="K151" s="46" t="n"/>
      <c r="L151" s="46" t="n"/>
      <c r="M151" s="46" t="n"/>
      <c r="N151" s="46" t="n"/>
      <c r="O151" s="46" t="n"/>
    </row>
    <row r="152" ht="17" customHeight="1">
      <c r="A152" s="83" t="n"/>
      <c r="B152" s="94" t="n"/>
      <c r="C152" s="46" t="n"/>
      <c r="D152" s="75" t="n"/>
      <c r="E152" s="95" t="n"/>
      <c r="F152" s="46" t="n"/>
      <c r="G152" s="96" t="n"/>
      <c r="H152" s="46" t="n"/>
      <c r="I152" s="97" t="n"/>
      <c r="J152" s="46" t="n"/>
      <c r="K152" s="46" t="n"/>
      <c r="L152" s="46" t="n"/>
      <c r="M152" s="46" t="n"/>
      <c r="N152" s="46" t="n"/>
      <c r="O152" s="46" t="n"/>
    </row>
    <row r="153" ht="17" customHeight="1">
      <c r="A153" s="83" t="n"/>
      <c r="B153" s="94" t="n"/>
      <c r="C153" s="46" t="n"/>
      <c r="D153" s="75" t="n"/>
      <c r="E153" s="95" t="n"/>
      <c r="F153" s="46" t="n"/>
      <c r="G153" s="96" t="n"/>
      <c r="H153" s="46" t="n"/>
      <c r="I153" s="97" t="n"/>
      <c r="J153" s="46" t="n"/>
      <c r="K153" s="46" t="n"/>
      <c r="L153" s="46" t="n"/>
      <c r="M153" s="46" t="n"/>
      <c r="N153" s="46" t="n"/>
      <c r="O153" s="46" t="n"/>
    </row>
    <row r="154" ht="17" customHeight="1">
      <c r="A154" s="83" t="n"/>
      <c r="B154" s="94" t="n"/>
      <c r="C154" s="46" t="n"/>
      <c r="D154" s="75" t="n"/>
      <c r="E154" s="95" t="n"/>
      <c r="F154" s="46" t="n"/>
      <c r="G154" s="96" t="n"/>
      <c r="H154" s="46" t="n"/>
      <c r="I154" s="97" t="n"/>
      <c r="J154" s="46" t="n"/>
      <c r="K154" s="46" t="n"/>
      <c r="L154" s="46" t="n"/>
      <c r="M154" s="46" t="n"/>
      <c r="N154" s="46" t="n"/>
      <c r="O154" s="46" t="n"/>
    </row>
    <row r="155" ht="17" customHeight="1">
      <c r="A155" s="83" t="n"/>
      <c r="B155" s="94" t="n"/>
      <c r="C155" s="46" t="n"/>
      <c r="D155" s="75" t="n"/>
      <c r="E155" s="95" t="n"/>
      <c r="F155" s="46" t="n"/>
      <c r="G155" s="96" t="n"/>
      <c r="H155" s="46" t="n"/>
      <c r="I155" s="97" t="n"/>
      <c r="J155" s="46" t="n"/>
      <c r="K155" s="46" t="n"/>
      <c r="L155" s="46" t="n"/>
      <c r="M155" s="46" t="n"/>
      <c r="N155" s="46" t="n"/>
      <c r="O155" s="46" t="n"/>
    </row>
    <row r="156" ht="17" customHeight="1">
      <c r="A156" s="83" t="n"/>
      <c r="B156" s="94" t="n"/>
      <c r="C156" s="46" t="n"/>
      <c r="D156" s="75" t="n"/>
      <c r="E156" s="95" t="n"/>
      <c r="F156" s="46" t="n"/>
      <c r="G156" s="96" t="n"/>
      <c r="H156" s="46" t="n"/>
      <c r="I156" s="97" t="n"/>
      <c r="J156" s="46" t="n"/>
      <c r="K156" s="46" t="n"/>
      <c r="L156" s="46" t="n"/>
      <c r="M156" s="46" t="n"/>
      <c r="N156" s="46" t="n"/>
      <c r="O156" s="46" t="n"/>
    </row>
    <row r="157" ht="17" customHeight="1">
      <c r="A157" s="83" t="n"/>
      <c r="B157" s="94" t="n"/>
      <c r="C157" s="46" t="n"/>
      <c r="D157" s="75" t="n"/>
      <c r="E157" s="95" t="n"/>
      <c r="F157" s="46" t="n"/>
      <c r="G157" s="96" t="n"/>
      <c r="H157" s="46" t="n"/>
      <c r="I157" s="97" t="n"/>
      <c r="J157" s="46" t="n"/>
      <c r="K157" s="46" t="n"/>
      <c r="L157" s="46" t="n"/>
      <c r="M157" s="46" t="n"/>
      <c r="N157" s="46" t="n"/>
      <c r="O157" s="46" t="n"/>
    </row>
    <row r="158" ht="17" customHeight="1">
      <c r="A158" s="83" t="n"/>
      <c r="B158" s="94" t="n"/>
      <c r="C158" s="46" t="n"/>
      <c r="D158" s="75" t="n"/>
      <c r="E158" s="95" t="n"/>
      <c r="F158" s="46" t="n"/>
      <c r="G158" s="96" t="n"/>
      <c r="H158" s="46" t="n"/>
      <c r="I158" s="97" t="n"/>
      <c r="J158" s="46" t="n"/>
      <c r="K158" s="46" t="n"/>
      <c r="L158" s="46" t="n"/>
      <c r="M158" s="46" t="n"/>
      <c r="N158" s="46" t="n"/>
      <c r="O158" s="46" t="n"/>
    </row>
    <row r="159" ht="17" customHeight="1">
      <c r="A159" s="83" t="n"/>
      <c r="B159" s="94" t="n"/>
      <c r="C159" s="46" t="n"/>
      <c r="D159" s="75" t="n"/>
      <c r="E159" s="95" t="n"/>
      <c r="F159" s="46" t="n"/>
      <c r="G159" s="96" t="n"/>
      <c r="H159" s="46" t="n"/>
      <c r="I159" s="97" t="n"/>
      <c r="J159" s="46" t="n"/>
      <c r="K159" s="46" t="n"/>
      <c r="L159" s="46" t="n"/>
      <c r="M159" s="46" t="n"/>
      <c r="N159" s="46" t="n"/>
      <c r="O159" s="46" t="n"/>
    </row>
    <row r="160" ht="17" customHeight="1">
      <c r="A160" s="83" t="n"/>
      <c r="B160" s="94" t="n"/>
      <c r="C160" s="46" t="n"/>
      <c r="D160" s="75" t="n"/>
      <c r="E160" s="95" t="n"/>
      <c r="F160" s="46" t="n"/>
      <c r="G160" s="96" t="n"/>
      <c r="H160" s="46" t="n"/>
      <c r="I160" s="97" t="n"/>
      <c r="J160" s="46" t="n"/>
      <c r="K160" s="46" t="n"/>
      <c r="L160" s="46" t="n"/>
      <c r="M160" s="46" t="n"/>
      <c r="N160" s="46" t="n"/>
      <c r="O160" s="46" t="n"/>
    </row>
    <row r="161" ht="17" customHeight="1">
      <c r="A161" s="83" t="n"/>
      <c r="B161" s="94" t="n"/>
      <c r="C161" s="46" t="n"/>
      <c r="D161" s="75" t="n"/>
      <c r="E161" s="95" t="n"/>
      <c r="F161" s="46" t="n"/>
      <c r="G161" s="96" t="n"/>
      <c r="H161" s="46" t="n"/>
      <c r="I161" s="97" t="n"/>
      <c r="J161" s="46" t="n"/>
      <c r="K161" s="46" t="n"/>
      <c r="L161" s="46" t="n"/>
      <c r="M161" s="46" t="n"/>
      <c r="N161" s="46" t="n"/>
      <c r="O161" s="46" t="n"/>
    </row>
    <row r="162" ht="17" customHeight="1">
      <c r="A162" s="83" t="n"/>
      <c r="B162" s="94" t="n"/>
      <c r="C162" s="46" t="n"/>
      <c r="D162" s="75" t="n"/>
      <c r="E162" s="95" t="n"/>
      <c r="F162" s="46" t="n"/>
      <c r="G162" s="96" t="n"/>
      <c r="H162" s="46" t="n"/>
      <c r="I162" s="97" t="n"/>
      <c r="J162" s="46" t="n"/>
      <c r="K162" s="46" t="n"/>
      <c r="L162" s="46" t="n"/>
      <c r="M162" s="46" t="n"/>
      <c r="N162" s="46" t="n"/>
      <c r="O162" s="46" t="n"/>
    </row>
    <row r="163" ht="17" customHeight="1">
      <c r="A163" s="83" t="n"/>
      <c r="B163" s="94" t="n"/>
      <c r="C163" s="46" t="n"/>
      <c r="D163" s="75" t="n"/>
      <c r="E163" s="95" t="n"/>
      <c r="F163" s="46" t="n"/>
      <c r="G163" s="96" t="n"/>
      <c r="H163" s="46" t="n"/>
      <c r="I163" s="97" t="n"/>
      <c r="J163" s="46" t="n"/>
      <c r="K163" s="46" t="n"/>
      <c r="L163" s="46" t="n"/>
      <c r="M163" s="46" t="n"/>
      <c r="N163" s="46" t="n"/>
      <c r="O163" s="46" t="n"/>
    </row>
    <row r="164" ht="17" customHeight="1">
      <c r="A164" s="83" t="n"/>
      <c r="B164" s="94" t="n"/>
      <c r="C164" s="46" t="n"/>
      <c r="D164" s="75" t="n"/>
      <c r="E164" s="95" t="n"/>
      <c r="F164" s="46" t="n"/>
      <c r="G164" s="96" t="n"/>
      <c r="H164" s="46" t="n"/>
      <c r="I164" s="97" t="n"/>
      <c r="J164" s="46" t="n"/>
      <c r="K164" s="46" t="n"/>
      <c r="L164" s="46" t="n"/>
      <c r="M164" s="46" t="n"/>
      <c r="N164" s="46" t="n"/>
      <c r="O164" s="46" t="n"/>
    </row>
    <row r="165" ht="17" customHeight="1">
      <c r="A165" s="83" t="n"/>
      <c r="B165" s="94" t="n"/>
      <c r="C165" s="46" t="n"/>
      <c r="D165" s="75" t="n"/>
      <c r="E165" s="95" t="n"/>
      <c r="F165" s="46" t="n"/>
      <c r="G165" s="96" t="n"/>
      <c r="H165" s="46" t="n"/>
      <c r="I165" s="97" t="n"/>
      <c r="J165" s="46" t="n"/>
      <c r="K165" s="46" t="n"/>
      <c r="L165" s="46" t="n"/>
      <c r="M165" s="46" t="n"/>
      <c r="N165" s="46" t="n"/>
      <c r="O165" s="46" t="n"/>
    </row>
    <row r="166" ht="17" customHeight="1">
      <c r="A166" s="83" t="n"/>
      <c r="B166" s="94" t="n"/>
      <c r="C166" s="46" t="n"/>
      <c r="D166" s="75" t="n"/>
      <c r="E166" s="95" t="n"/>
      <c r="F166" s="46" t="n"/>
      <c r="G166" s="96" t="n"/>
      <c r="H166" s="46" t="n"/>
      <c r="I166" s="97" t="n"/>
      <c r="J166" s="46" t="n"/>
      <c r="K166" s="46" t="n"/>
      <c r="L166" s="46" t="n"/>
      <c r="M166" s="46" t="n"/>
      <c r="N166" s="46" t="n"/>
      <c r="O166" s="46" t="n"/>
    </row>
    <row r="167" ht="17" customHeight="1">
      <c r="A167" s="83" t="n"/>
      <c r="B167" s="94" t="n"/>
      <c r="C167" s="46" t="n"/>
      <c r="D167" s="75" t="n"/>
      <c r="E167" s="95" t="n"/>
      <c r="F167" s="46" t="n"/>
      <c r="G167" s="96" t="n"/>
      <c r="H167" s="46" t="n"/>
      <c r="I167" s="97" t="n"/>
      <c r="J167" s="46" t="n"/>
      <c r="K167" s="46" t="n"/>
      <c r="L167" s="46" t="n"/>
      <c r="M167" s="46" t="n"/>
      <c r="N167" s="46" t="n"/>
      <c r="O167" s="46" t="n"/>
    </row>
    <row r="168" ht="17" customHeight="1">
      <c r="A168" s="83" t="n"/>
      <c r="B168" s="94" t="n"/>
      <c r="C168" s="46" t="n"/>
      <c r="D168" s="75" t="n"/>
      <c r="E168" s="95" t="n"/>
      <c r="F168" s="46" t="n"/>
      <c r="G168" s="96" t="n"/>
      <c r="H168" s="46" t="n"/>
      <c r="I168" s="97" t="n"/>
      <c r="J168" s="46" t="n"/>
      <c r="K168" s="46" t="n"/>
      <c r="L168" s="46" t="n"/>
      <c r="M168" s="46" t="n"/>
      <c r="N168" s="46" t="n"/>
      <c r="O168" s="46" t="n"/>
    </row>
    <row r="169" ht="17" customHeight="1">
      <c r="A169" s="83" t="n"/>
      <c r="B169" s="94" t="n"/>
      <c r="C169" s="46" t="n"/>
      <c r="D169" s="75" t="n"/>
      <c r="E169" s="95" t="n"/>
      <c r="F169" s="46" t="n"/>
      <c r="G169" s="96" t="n"/>
      <c r="H169" s="46" t="n"/>
      <c r="I169" s="97" t="n"/>
      <c r="J169" s="46" t="n"/>
      <c r="K169" s="46" t="n"/>
      <c r="L169" s="46" t="n"/>
      <c r="M169" s="46" t="n"/>
      <c r="N169" s="46" t="n"/>
      <c r="O169" s="46" t="n"/>
    </row>
    <row r="170" ht="17" customHeight="1">
      <c r="A170" s="83" t="n"/>
      <c r="B170" s="94" t="n"/>
      <c r="C170" s="46" t="n"/>
      <c r="D170" s="75" t="n"/>
      <c r="E170" s="95" t="n"/>
      <c r="F170" s="46" t="n"/>
      <c r="G170" s="96" t="n"/>
      <c r="H170" s="46" t="n"/>
      <c r="I170" s="97" t="n"/>
      <c r="J170" s="46" t="n"/>
      <c r="K170" s="46" t="n"/>
      <c r="L170" s="46" t="n"/>
      <c r="M170" s="46" t="n"/>
      <c r="N170" s="46" t="n"/>
      <c r="O170" s="46" t="n"/>
    </row>
    <row r="171" ht="17" customHeight="1">
      <c r="A171" s="83" t="n"/>
      <c r="B171" s="94" t="n"/>
      <c r="C171" s="46" t="n"/>
      <c r="D171" s="75" t="n"/>
      <c r="E171" s="95" t="n"/>
      <c r="F171" s="46" t="n"/>
      <c r="G171" s="96" t="n"/>
      <c r="H171" s="46" t="n"/>
      <c r="I171" s="97" t="n"/>
      <c r="J171" s="46" t="n"/>
      <c r="K171" s="46" t="n"/>
      <c r="L171" s="46" t="n"/>
      <c r="M171" s="46" t="n"/>
      <c r="N171" s="46" t="n"/>
      <c r="O171" s="46" t="n"/>
    </row>
    <row r="172" ht="17" customHeight="1">
      <c r="A172" s="83" t="n"/>
      <c r="B172" s="94" t="n"/>
      <c r="C172" s="46" t="n"/>
      <c r="D172" s="75" t="n"/>
      <c r="E172" s="95" t="n"/>
      <c r="F172" s="46" t="n"/>
      <c r="G172" s="96" t="n"/>
      <c r="H172" s="46" t="n"/>
      <c r="I172" s="97" t="n"/>
      <c r="J172" s="46" t="n"/>
      <c r="K172" s="46" t="n"/>
      <c r="L172" s="46" t="n"/>
      <c r="M172" s="46" t="n"/>
      <c r="N172" s="46" t="n"/>
      <c r="O172" s="46" t="n"/>
    </row>
    <row r="173" ht="17" customHeight="1">
      <c r="A173" s="83" t="n"/>
      <c r="B173" s="94" t="n"/>
      <c r="C173" s="46" t="n"/>
      <c r="D173" s="75" t="n"/>
      <c r="E173" s="95" t="n"/>
      <c r="F173" s="46" t="n"/>
      <c r="G173" s="96" t="n"/>
      <c r="H173" s="46" t="n"/>
      <c r="I173" s="97" t="n"/>
      <c r="J173" s="46" t="n"/>
      <c r="K173" s="46" t="n"/>
      <c r="L173" s="46" t="n"/>
      <c r="M173" s="46" t="n"/>
      <c r="N173" s="46" t="n"/>
      <c r="O173" s="46" t="n"/>
    </row>
    <row r="174" ht="17" customHeight="1">
      <c r="A174" s="83" t="n"/>
      <c r="B174" s="94" t="n"/>
      <c r="C174" s="46" t="n"/>
      <c r="D174" s="75" t="n"/>
      <c r="E174" s="95" t="n"/>
      <c r="F174" s="46" t="n"/>
      <c r="G174" s="96" t="n"/>
      <c r="H174" s="46" t="n"/>
      <c r="I174" s="97" t="n"/>
      <c r="J174" s="46" t="n"/>
      <c r="K174" s="46" t="n"/>
      <c r="L174" s="46" t="n"/>
      <c r="M174" s="46" t="n"/>
      <c r="N174" s="46" t="n"/>
      <c r="O174" s="46" t="n"/>
    </row>
    <row r="175" ht="17" customHeight="1">
      <c r="A175" s="83" t="n"/>
      <c r="B175" s="94" t="n"/>
      <c r="C175" s="46" t="n"/>
      <c r="D175" s="75" t="n"/>
      <c r="E175" s="95" t="n"/>
      <c r="F175" s="46" t="n"/>
      <c r="G175" s="96" t="n"/>
      <c r="H175" s="46" t="n"/>
      <c r="I175" s="97" t="n"/>
      <c r="J175" s="46" t="n"/>
      <c r="K175" s="46" t="n"/>
      <c r="L175" s="46" t="n"/>
      <c r="M175" s="46" t="n"/>
      <c r="N175" s="46" t="n"/>
      <c r="O175" s="46" t="n"/>
    </row>
    <row r="176" ht="17" customHeight="1">
      <c r="A176" s="83" t="n"/>
      <c r="B176" s="94" t="n"/>
      <c r="C176" s="46" t="n"/>
      <c r="D176" s="75" t="n"/>
      <c r="E176" s="95" t="n"/>
      <c r="F176" s="46" t="n"/>
      <c r="G176" s="96" t="n"/>
      <c r="H176" s="46" t="n"/>
      <c r="I176" s="97" t="n"/>
      <c r="J176" s="46" t="n"/>
      <c r="K176" s="46" t="n"/>
      <c r="L176" s="46" t="n"/>
      <c r="M176" s="46" t="n"/>
      <c r="N176" s="46" t="n"/>
      <c r="O176" s="46" t="n"/>
    </row>
    <row r="177" ht="17" customHeight="1">
      <c r="A177" s="83" t="n"/>
      <c r="B177" s="94" t="n"/>
      <c r="C177" s="46" t="n"/>
      <c r="D177" s="75" t="n"/>
      <c r="E177" s="95" t="n"/>
      <c r="F177" s="46" t="n"/>
      <c r="G177" s="96" t="n"/>
      <c r="H177" s="46" t="n"/>
      <c r="I177" s="97" t="n"/>
      <c r="J177" s="46" t="n"/>
      <c r="K177" s="46" t="n"/>
      <c r="L177" s="46" t="n"/>
      <c r="M177" s="46" t="n"/>
      <c r="N177" s="46" t="n"/>
      <c r="O177" s="46" t="n"/>
    </row>
    <row r="178" ht="17" customHeight="1">
      <c r="A178" s="83" t="n"/>
      <c r="B178" s="94" t="n"/>
      <c r="C178" s="46" t="n"/>
      <c r="D178" s="75" t="n"/>
      <c r="E178" s="95" t="n"/>
      <c r="F178" s="46" t="n"/>
      <c r="G178" s="96" t="n"/>
      <c r="H178" s="46" t="n"/>
      <c r="I178" s="97" t="n"/>
      <c r="J178" s="46" t="n"/>
      <c r="K178" s="46" t="n"/>
      <c r="L178" s="46" t="n"/>
      <c r="M178" s="46" t="n"/>
      <c r="N178" s="46" t="n"/>
      <c r="O178" s="46" t="n"/>
    </row>
    <row r="179" ht="17" customHeight="1">
      <c r="A179" s="83" t="n"/>
      <c r="B179" s="94" t="n"/>
      <c r="C179" s="46" t="n"/>
      <c r="D179" s="75" t="n"/>
      <c r="E179" s="95" t="n"/>
      <c r="F179" s="46" t="n"/>
      <c r="G179" s="96" t="n"/>
      <c r="H179" s="46" t="n"/>
      <c r="I179" s="97" t="n"/>
      <c r="J179" s="46" t="n"/>
      <c r="K179" s="46" t="n"/>
      <c r="L179" s="46" t="n"/>
      <c r="M179" s="46" t="n"/>
      <c r="N179" s="46" t="n"/>
      <c r="O179" s="46" t="n"/>
    </row>
    <row r="180" ht="17" customHeight="1">
      <c r="A180" s="83" t="n"/>
      <c r="B180" s="94" t="n"/>
      <c r="C180" s="46" t="n"/>
      <c r="D180" s="75" t="n"/>
      <c r="E180" s="95" t="n"/>
      <c r="F180" s="46" t="n"/>
      <c r="G180" s="96" t="n"/>
      <c r="H180" s="46" t="n"/>
      <c r="I180" s="97" t="n"/>
      <c r="J180" s="46" t="n"/>
      <c r="K180" s="46" t="n"/>
      <c r="L180" s="46" t="n"/>
      <c r="M180" s="46" t="n"/>
      <c r="N180" s="46" t="n"/>
      <c r="O180" s="46" t="n"/>
    </row>
    <row r="181" ht="17" customHeight="1">
      <c r="A181" s="83" t="n"/>
      <c r="B181" s="94" t="n"/>
      <c r="C181" s="46" t="n"/>
      <c r="D181" s="75" t="n"/>
      <c r="E181" s="95" t="n"/>
      <c r="F181" s="46" t="n"/>
      <c r="G181" s="96" t="n"/>
      <c r="H181" s="46" t="n"/>
      <c r="I181" s="97" t="n"/>
      <c r="J181" s="46" t="n"/>
      <c r="K181" s="46" t="n"/>
      <c r="L181" s="46" t="n"/>
      <c r="M181" s="46" t="n"/>
      <c r="N181" s="46" t="n"/>
      <c r="O181" s="46" t="n"/>
    </row>
    <row r="182" ht="17" customHeight="1">
      <c r="A182" s="83" t="n"/>
      <c r="B182" s="94" t="n"/>
      <c r="C182" s="46" t="n"/>
      <c r="D182" s="75" t="n"/>
      <c r="E182" s="95" t="n"/>
      <c r="F182" s="46" t="n"/>
      <c r="G182" s="96" t="n"/>
      <c r="H182" s="46" t="n"/>
      <c r="I182" s="97" t="n"/>
      <c r="J182" s="46" t="n"/>
      <c r="K182" s="46" t="n"/>
      <c r="L182" s="46" t="n"/>
      <c r="M182" s="46" t="n"/>
      <c r="N182" s="46" t="n"/>
      <c r="O182" s="46" t="n"/>
    </row>
    <row r="183" ht="17" customHeight="1">
      <c r="A183" s="83" t="n"/>
      <c r="B183" s="94" t="n"/>
      <c r="C183" s="46" t="n"/>
      <c r="D183" s="75" t="n"/>
      <c r="E183" s="95" t="n"/>
      <c r="F183" s="46" t="n"/>
      <c r="G183" s="96" t="n"/>
      <c r="H183" s="46" t="n"/>
      <c r="I183" s="97" t="n"/>
      <c r="J183" s="46" t="n"/>
      <c r="K183" s="46" t="n"/>
      <c r="L183" s="46" t="n"/>
      <c r="M183" s="46" t="n"/>
      <c r="N183" s="46" t="n"/>
      <c r="O183" s="46" t="n"/>
    </row>
    <row r="184" ht="17" customHeight="1">
      <c r="A184" s="83" t="n"/>
      <c r="B184" s="94" t="n"/>
      <c r="C184" s="46" t="n"/>
      <c r="D184" s="75" t="n"/>
      <c r="E184" s="95" t="n"/>
      <c r="F184" s="46" t="n"/>
      <c r="G184" s="96" t="n"/>
      <c r="H184" s="46" t="n"/>
      <c r="I184" s="97" t="n"/>
      <c r="J184" s="46" t="n"/>
      <c r="K184" s="46" t="n"/>
      <c r="L184" s="46" t="n"/>
      <c r="M184" s="46" t="n"/>
      <c r="N184" s="46" t="n"/>
      <c r="O184" s="46" t="n"/>
    </row>
    <row r="185" ht="17" customHeight="1">
      <c r="A185" s="83" t="n"/>
      <c r="B185" s="94" t="n"/>
      <c r="C185" s="46" t="n"/>
      <c r="D185" s="75" t="n"/>
      <c r="E185" s="95" t="n"/>
      <c r="F185" s="46" t="n"/>
      <c r="G185" s="96" t="n"/>
      <c r="H185" s="46" t="n"/>
      <c r="I185" s="97" t="n"/>
      <c r="J185" s="46" t="n"/>
      <c r="K185" s="46" t="n"/>
      <c r="L185" s="46" t="n"/>
      <c r="M185" s="46" t="n"/>
      <c r="N185" s="46" t="n"/>
      <c r="O185" s="46" t="n"/>
    </row>
    <row r="186" ht="17" customHeight="1">
      <c r="A186" s="83" t="n"/>
      <c r="B186" s="94" t="n"/>
      <c r="C186" s="46" t="n"/>
      <c r="D186" s="75" t="n"/>
      <c r="E186" s="95" t="n"/>
      <c r="F186" s="46" t="n"/>
      <c r="G186" s="96" t="n"/>
      <c r="H186" s="46" t="n"/>
      <c r="I186" s="97" t="n"/>
      <c r="J186" s="46" t="n"/>
      <c r="K186" s="46" t="n"/>
      <c r="L186" s="46" t="n"/>
      <c r="M186" s="46" t="n"/>
      <c r="N186" s="46" t="n"/>
      <c r="O186" s="46" t="n"/>
    </row>
    <row r="187" ht="17" customHeight="1">
      <c r="A187" s="83" t="n"/>
      <c r="B187" s="94" t="n"/>
      <c r="C187" s="46" t="n"/>
      <c r="D187" s="75" t="n"/>
      <c r="E187" s="95" t="n"/>
      <c r="F187" s="46" t="n"/>
      <c r="G187" s="96" t="n"/>
      <c r="H187" s="46" t="n"/>
      <c r="I187" s="97" t="n"/>
      <c r="J187" s="46" t="n"/>
      <c r="K187" s="46" t="n"/>
      <c r="L187" s="46" t="n"/>
      <c r="M187" s="46" t="n"/>
      <c r="N187" s="46" t="n"/>
      <c r="O187" s="46" t="n"/>
    </row>
    <row r="188" ht="17" customHeight="1">
      <c r="A188" s="83" t="n"/>
      <c r="B188" s="94" t="n"/>
      <c r="C188" s="46" t="n"/>
      <c r="D188" s="75" t="n"/>
      <c r="E188" s="95" t="n"/>
      <c r="F188" s="46" t="n"/>
      <c r="G188" s="96" t="n"/>
      <c r="H188" s="46" t="n"/>
      <c r="I188" s="97" t="n"/>
      <c r="J188" s="46" t="n"/>
      <c r="K188" s="46" t="n"/>
      <c r="L188" s="46" t="n"/>
      <c r="M188" s="46" t="n"/>
      <c r="N188" s="46" t="n"/>
      <c r="O188" s="46" t="n"/>
    </row>
    <row r="189" ht="17" customHeight="1">
      <c r="A189" s="83" t="n"/>
      <c r="B189" s="94" t="n"/>
      <c r="C189" s="46" t="n"/>
      <c r="D189" s="75" t="n"/>
      <c r="E189" s="95" t="n"/>
      <c r="F189" s="46" t="n"/>
      <c r="G189" s="96" t="n"/>
      <c r="H189" s="46" t="n"/>
      <c r="I189" s="97" t="n"/>
      <c r="J189" s="46" t="n"/>
      <c r="K189" s="46" t="n"/>
      <c r="L189" s="46" t="n"/>
      <c r="M189" s="46" t="n"/>
      <c r="N189" s="46" t="n"/>
      <c r="O189" s="46" t="n"/>
    </row>
    <row r="190" ht="17" customHeight="1">
      <c r="A190" s="83" t="n"/>
      <c r="B190" s="94" t="n"/>
      <c r="C190" s="46" t="n"/>
      <c r="D190" s="75" t="n"/>
      <c r="E190" s="95" t="n"/>
      <c r="F190" s="46" t="n"/>
      <c r="G190" s="96" t="n"/>
      <c r="H190" s="46" t="n"/>
      <c r="I190" s="97" t="n"/>
      <c r="J190" s="46" t="n"/>
      <c r="K190" s="46" t="n"/>
      <c r="L190" s="46" t="n"/>
      <c r="M190" s="46" t="n"/>
      <c r="N190" s="46" t="n"/>
      <c r="O190" s="46" t="n"/>
    </row>
    <row r="191" ht="17" customHeight="1">
      <c r="A191" s="83" t="n"/>
      <c r="B191" s="94" t="n"/>
      <c r="C191" s="46" t="n"/>
      <c r="D191" s="75" t="n"/>
      <c r="E191" s="95" t="n"/>
      <c r="F191" s="46" t="n"/>
      <c r="G191" s="96" t="n"/>
      <c r="H191" s="46" t="n"/>
      <c r="I191" s="97" t="n"/>
      <c r="J191" s="46" t="n"/>
      <c r="K191" s="46" t="n"/>
      <c r="L191" s="46" t="n"/>
      <c r="M191" s="46" t="n"/>
      <c r="N191" s="46" t="n"/>
      <c r="O191" s="46" t="n"/>
    </row>
    <row r="192" ht="17" customHeight="1">
      <c r="A192" s="83" t="n"/>
      <c r="B192" s="94" t="n"/>
      <c r="C192" s="46" t="n"/>
      <c r="D192" s="75" t="n"/>
      <c r="E192" s="95" t="n"/>
      <c r="F192" s="46" t="n"/>
      <c r="G192" s="96" t="n"/>
      <c r="H192" s="46" t="n"/>
      <c r="I192" s="97" t="n"/>
      <c r="J192" s="46" t="n"/>
      <c r="K192" s="46" t="n"/>
      <c r="L192" s="46" t="n"/>
      <c r="M192" s="46" t="n"/>
      <c r="N192" s="46" t="n"/>
      <c r="O192" s="46" t="n"/>
    </row>
    <row r="193" ht="17" customHeight="1">
      <c r="A193" s="83" t="n"/>
      <c r="B193" s="94" t="n"/>
      <c r="C193" s="46" t="n"/>
      <c r="D193" s="75" t="n"/>
      <c r="E193" s="95" t="n"/>
      <c r="F193" s="46" t="n"/>
      <c r="G193" s="96" t="n"/>
      <c r="H193" s="46" t="n"/>
      <c r="I193" s="97" t="n"/>
      <c r="J193" s="46" t="n"/>
      <c r="K193" s="46" t="n"/>
      <c r="L193" s="46" t="n"/>
      <c r="M193" s="46" t="n"/>
      <c r="N193" s="46" t="n"/>
      <c r="O193" s="46" t="n"/>
    </row>
    <row r="194" ht="22" customHeight="1">
      <c r="A194" s="31" t="inlineStr">
        <is>
          <t>TOTAL LANÇADO NO LIVRO</t>
        </is>
      </c>
      <c r="B194" s="32" t="n"/>
      <c r="C194" s="32" t="n"/>
      <c r="D194" s="32" t="n"/>
      <c r="E194" s="59">
        <f>ROUND(SUM($E$134:$E$193),2)</f>
        <v/>
      </c>
      <c r="F194" s="32" t="n"/>
      <c r="G194" s="98">
        <f>IF(COUNTA($B$134:$B$193)=COUNT($E$134:$E$193),"lançamentos: "&amp;COUNT($E$134:$E$193)&amp;" · todos classificados","ATENÇÃO: "&amp;(COUNT($E$134:$E$193)-COUNTA($B$134:$B$193))&amp;" lançamento(s) sem categoria")</f>
        <v/>
      </c>
      <c r="H194" s="32" t="n"/>
      <c r="I194" s="32" t="n"/>
      <c r="J194" s="32" t="n"/>
      <c r="K194" s="32" t="n"/>
      <c r="L194" s="32" t="n"/>
      <c r="M194" s="32" t="n"/>
      <c r="N194" s="32" t="n"/>
      <c r="O194" s="32" t="n"/>
    </row>
    <row r="196" ht="50" customHeight="1">
      <c r="A196" s="43" t="inlineStr">
        <is>
          <t xml:space="preserve">  Preencha primeiro a coluna ORÇADO com o que o orçamento previu e vá preenchendo o REALIZADO conforme o projeto anda — o desvio de cada linha é o que mostra onde o orçamento erra. Compras entram uma a uma no livro do bloco 8, com categoria, forma de pagamento e status; as categorias do bloco 6 se somam sozinhas. Você pode inserir linhas em qualquer bloco a partir da linha 26: tudo o que o Painel Geral lê está acima disso.</t>
        </is>
      </c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</row>
  </sheetData>
  <mergeCells count="561">
    <mergeCell ref="A196:O196"/>
    <mergeCell ref="I170:O170"/>
    <mergeCell ref="A15:B15"/>
    <mergeCell ref="I157:O157"/>
    <mergeCell ref="G128:O128"/>
    <mergeCell ref="B141:C141"/>
    <mergeCell ref="E142:F142"/>
    <mergeCell ref="I193:O193"/>
    <mergeCell ref="I172:O172"/>
    <mergeCell ref="H9:I9"/>
    <mergeCell ref="J76:M76"/>
    <mergeCell ref="G121:O121"/>
    <mergeCell ref="E171:F171"/>
    <mergeCell ref="G123:O123"/>
    <mergeCell ref="E137:F137"/>
    <mergeCell ref="G137:H137"/>
    <mergeCell ref="E173:F173"/>
    <mergeCell ref="H70:O70"/>
    <mergeCell ref="E148:F148"/>
    <mergeCell ref="G148:H148"/>
    <mergeCell ref="B78:C78"/>
    <mergeCell ref="D7:E7"/>
    <mergeCell ref="I183:O183"/>
    <mergeCell ref="D78:E78"/>
    <mergeCell ref="E166:F166"/>
    <mergeCell ref="G139:H139"/>
    <mergeCell ref="I175:O175"/>
    <mergeCell ref="H99:O99"/>
    <mergeCell ref="A34:C34"/>
    <mergeCell ref="I185:O185"/>
    <mergeCell ref="E168:F168"/>
    <mergeCell ref="G168:H168"/>
    <mergeCell ref="H87:I87"/>
    <mergeCell ref="H101:O101"/>
    <mergeCell ref="G143:H143"/>
    <mergeCell ref="D73:E73"/>
    <mergeCell ref="I176:O176"/>
    <mergeCell ref="J9:O9"/>
    <mergeCell ref="B154:C154"/>
    <mergeCell ref="H91:I91"/>
    <mergeCell ref="E117:F117"/>
    <mergeCell ref="A24:H24"/>
    <mergeCell ref="B156:C156"/>
    <mergeCell ref="E67:F67"/>
    <mergeCell ref="A103:B103"/>
    <mergeCell ref="H112:O112"/>
    <mergeCell ref="I138:O138"/>
    <mergeCell ref="I178:O178"/>
    <mergeCell ref="H114:O114"/>
    <mergeCell ref="E161:F161"/>
    <mergeCell ref="J73:M73"/>
    <mergeCell ref="G129:O129"/>
    <mergeCell ref="A72:O72"/>
    <mergeCell ref="J77:M77"/>
    <mergeCell ref="H75:I75"/>
    <mergeCell ref="B84:C84"/>
    <mergeCell ref="E110:F110"/>
    <mergeCell ref="H105:O105"/>
    <mergeCell ref="E16:F16"/>
    <mergeCell ref="E187:F187"/>
    <mergeCell ref="G138:H138"/>
    <mergeCell ref="B142:C142"/>
    <mergeCell ref="B80:C80"/>
    <mergeCell ref="E174:F174"/>
    <mergeCell ref="H15:O15"/>
    <mergeCell ref="H107:O107"/>
    <mergeCell ref="G126:O126"/>
    <mergeCell ref="B79:C79"/>
    <mergeCell ref="E18:F18"/>
    <mergeCell ref="D79:E79"/>
    <mergeCell ref="E189:F189"/>
    <mergeCell ref="G140:H140"/>
    <mergeCell ref="B144:C144"/>
    <mergeCell ref="F73:G73"/>
    <mergeCell ref="B81:C81"/>
    <mergeCell ref="D81:E81"/>
    <mergeCell ref="I191:O191"/>
    <mergeCell ref="H102:O102"/>
    <mergeCell ref="E29:F29"/>
    <mergeCell ref="H39:O39"/>
    <mergeCell ref="I192:O192"/>
    <mergeCell ref="E69:F69"/>
    <mergeCell ref="B170:C170"/>
    <mergeCell ref="E31:F31"/>
    <mergeCell ref="E158:F158"/>
    <mergeCell ref="E133:F133"/>
    <mergeCell ref="E108:F108"/>
    <mergeCell ref="G133:H133"/>
    <mergeCell ref="B172:C172"/>
    <mergeCell ref="E95:F95"/>
    <mergeCell ref="H28:O28"/>
    <mergeCell ref="E162:F162"/>
    <mergeCell ref="G135:H135"/>
    <mergeCell ref="B92:C92"/>
    <mergeCell ref="J74:M74"/>
    <mergeCell ref="D92:E92"/>
    <mergeCell ref="I146:O146"/>
    <mergeCell ref="F92:G92"/>
    <mergeCell ref="G153:H153"/>
    <mergeCell ref="A36:O36"/>
    <mergeCell ref="A11:O11"/>
    <mergeCell ref="B76:C76"/>
    <mergeCell ref="I181:O181"/>
    <mergeCell ref="A1:O1"/>
    <mergeCell ref="I12:O12"/>
    <mergeCell ref="E164:F164"/>
    <mergeCell ref="G164:H164"/>
    <mergeCell ref="H23:O23"/>
    <mergeCell ref="B150:C150"/>
    <mergeCell ref="E42:F42"/>
    <mergeCell ref="E17:F17"/>
    <mergeCell ref="E188:F188"/>
    <mergeCell ref="E126:F126"/>
    <mergeCell ref="B152:C152"/>
    <mergeCell ref="E180:F180"/>
    <mergeCell ref="J92:M92"/>
    <mergeCell ref="E19:F19"/>
    <mergeCell ref="E190:F190"/>
    <mergeCell ref="B145:C145"/>
    <mergeCell ref="G190:H190"/>
    <mergeCell ref="G146:H146"/>
    <mergeCell ref="B181:C181"/>
    <mergeCell ref="E182:F182"/>
    <mergeCell ref="A4:O4"/>
    <mergeCell ref="F10:O10"/>
    <mergeCell ref="H110:O110"/>
    <mergeCell ref="B87:C87"/>
    <mergeCell ref="I136:O136"/>
    <mergeCell ref="B147:C147"/>
    <mergeCell ref="D87:E87"/>
    <mergeCell ref="J87:M87"/>
    <mergeCell ref="E179:F179"/>
    <mergeCell ref="J89:M89"/>
    <mergeCell ref="D82:E82"/>
    <mergeCell ref="F82:G82"/>
    <mergeCell ref="G194:O194"/>
    <mergeCell ref="E37:F37"/>
    <mergeCell ref="E159:F159"/>
    <mergeCell ref="E97:F97"/>
    <mergeCell ref="G159:H159"/>
    <mergeCell ref="B163:C163"/>
    <mergeCell ref="H8:I8"/>
    <mergeCell ref="E109:F109"/>
    <mergeCell ref="H30:O30"/>
    <mergeCell ref="E145:F145"/>
    <mergeCell ref="E139:F139"/>
    <mergeCell ref="G161:H161"/>
    <mergeCell ref="B165:C165"/>
    <mergeCell ref="H29:O29"/>
    <mergeCell ref="E111:F111"/>
    <mergeCell ref="G136:H136"/>
    <mergeCell ref="A70:B70"/>
    <mergeCell ref="H44:O44"/>
    <mergeCell ref="H31:O31"/>
    <mergeCell ref="B77:C77"/>
    <mergeCell ref="D6:E6"/>
    <mergeCell ref="D77:E77"/>
    <mergeCell ref="I149:O149"/>
    <mergeCell ref="J82:M82"/>
    <mergeCell ref="H89:I89"/>
    <mergeCell ref="I151:O151"/>
    <mergeCell ref="B191:C191"/>
    <mergeCell ref="B178:C178"/>
    <mergeCell ref="E27:F27"/>
    <mergeCell ref="I144:O144"/>
    <mergeCell ref="E119:F119"/>
    <mergeCell ref="E183:F183"/>
    <mergeCell ref="G183:H183"/>
    <mergeCell ref="A6:C6"/>
    <mergeCell ref="E22:F22"/>
    <mergeCell ref="H42:O42"/>
    <mergeCell ref="E193:F193"/>
    <mergeCell ref="G193:H193"/>
    <mergeCell ref="D88:E88"/>
    <mergeCell ref="G149:H149"/>
    <mergeCell ref="F88:G88"/>
    <mergeCell ref="I177:O177"/>
    <mergeCell ref="G185:H185"/>
    <mergeCell ref="B90:C90"/>
    <mergeCell ref="D90:E90"/>
    <mergeCell ref="E122:F122"/>
    <mergeCell ref="G151:H151"/>
    <mergeCell ref="A45:B45"/>
    <mergeCell ref="G178:H178"/>
    <mergeCell ref="F6:G6"/>
    <mergeCell ref="J90:M90"/>
    <mergeCell ref="F83:G83"/>
    <mergeCell ref="H83:I83"/>
    <mergeCell ref="E38:F38"/>
    <mergeCell ref="A2:O2"/>
    <mergeCell ref="E147:F147"/>
    <mergeCell ref="F85:G85"/>
    <mergeCell ref="H85:I85"/>
    <mergeCell ref="G175:H175"/>
    <mergeCell ref="B179:C179"/>
    <mergeCell ref="E40:F40"/>
    <mergeCell ref="G162:H162"/>
    <mergeCell ref="H108:O108"/>
    <mergeCell ref="B166:C166"/>
    <mergeCell ref="B124:D124"/>
    <mergeCell ref="E186:F186"/>
    <mergeCell ref="G177:H177"/>
    <mergeCell ref="E104:F104"/>
    <mergeCell ref="H45:O45"/>
    <mergeCell ref="B174:C174"/>
    <mergeCell ref="B168:C168"/>
    <mergeCell ref="H32:O32"/>
    <mergeCell ref="B126:D126"/>
    <mergeCell ref="D9:E9"/>
    <mergeCell ref="H80:I80"/>
    <mergeCell ref="F9:G9"/>
    <mergeCell ref="I150:O150"/>
    <mergeCell ref="J83:M83"/>
    <mergeCell ref="I165:O165"/>
    <mergeCell ref="B169:C169"/>
    <mergeCell ref="I152:O152"/>
    <mergeCell ref="E66:F66"/>
    <mergeCell ref="J85:M85"/>
    <mergeCell ref="E130:F130"/>
    <mergeCell ref="E68:F68"/>
    <mergeCell ref="B134:C134"/>
    <mergeCell ref="G155:H155"/>
    <mergeCell ref="E160:F160"/>
    <mergeCell ref="E141:F141"/>
    <mergeCell ref="G118:O118"/>
    <mergeCell ref="E135:F135"/>
    <mergeCell ref="G157:H157"/>
    <mergeCell ref="E107:F107"/>
    <mergeCell ref="H73:I73"/>
    <mergeCell ref="E143:F143"/>
    <mergeCell ref="G172:H172"/>
    <mergeCell ref="G186:H186"/>
    <mergeCell ref="B162:C162"/>
    <mergeCell ref="D91:E91"/>
    <mergeCell ref="G152:H152"/>
    <mergeCell ref="F91:G91"/>
    <mergeCell ref="A21:B21"/>
    <mergeCell ref="I163:O163"/>
    <mergeCell ref="H84:I84"/>
    <mergeCell ref="A23:B23"/>
    <mergeCell ref="B187:C187"/>
    <mergeCell ref="E125:F125"/>
    <mergeCell ref="H86:I86"/>
    <mergeCell ref="E41:F41"/>
    <mergeCell ref="B189:C189"/>
    <mergeCell ref="E112:F112"/>
    <mergeCell ref="B188:C188"/>
    <mergeCell ref="B117:D117"/>
    <mergeCell ref="E43:F43"/>
    <mergeCell ref="J91:M91"/>
    <mergeCell ref="B190:C190"/>
    <mergeCell ref="B119:D119"/>
    <mergeCell ref="A16:B16"/>
    <mergeCell ref="G124:O124"/>
    <mergeCell ref="E138:F138"/>
    <mergeCell ref="A108:B108"/>
    <mergeCell ref="B127:D127"/>
    <mergeCell ref="I168:O168"/>
    <mergeCell ref="A18:B18"/>
    <mergeCell ref="B73:C73"/>
    <mergeCell ref="E167:F167"/>
    <mergeCell ref="H100:O100"/>
    <mergeCell ref="H7:I7"/>
    <mergeCell ref="G119:O119"/>
    <mergeCell ref="B137:C137"/>
    <mergeCell ref="E169:F169"/>
    <mergeCell ref="H66:O66"/>
    <mergeCell ref="B74:C74"/>
    <mergeCell ref="D74:E74"/>
    <mergeCell ref="B139:C139"/>
    <mergeCell ref="I184:O184"/>
    <mergeCell ref="B122:D122"/>
    <mergeCell ref="I171:O171"/>
    <mergeCell ref="H76:I76"/>
    <mergeCell ref="H95:O95"/>
    <mergeCell ref="A44:B44"/>
    <mergeCell ref="I173:O173"/>
    <mergeCell ref="H97:O97"/>
    <mergeCell ref="I166:O166"/>
    <mergeCell ref="G176:H176"/>
    <mergeCell ref="E64:F64"/>
    <mergeCell ref="J7:O7"/>
    <mergeCell ref="E156:F156"/>
    <mergeCell ref="E153:F153"/>
    <mergeCell ref="H21:O21"/>
    <mergeCell ref="E128:F128"/>
    <mergeCell ref="E155:F155"/>
    <mergeCell ref="D61:E61"/>
    <mergeCell ref="G184:H184"/>
    <mergeCell ref="G171:H171"/>
    <mergeCell ref="E65:F65"/>
    <mergeCell ref="E157:F157"/>
    <mergeCell ref="H16:O16"/>
    <mergeCell ref="A17:B17"/>
    <mergeCell ref="I134:O134"/>
    <mergeCell ref="H27:O27"/>
    <mergeCell ref="G117:O117"/>
    <mergeCell ref="A19:B19"/>
    <mergeCell ref="I161:O161"/>
    <mergeCell ref="E146:F146"/>
    <mergeCell ref="E12:F12"/>
    <mergeCell ref="G125:O125"/>
    <mergeCell ref="B138:C138"/>
    <mergeCell ref="E175:F175"/>
    <mergeCell ref="H67:O67"/>
    <mergeCell ref="H103:O103"/>
    <mergeCell ref="G127:O127"/>
    <mergeCell ref="E185:F185"/>
    <mergeCell ref="B140:C140"/>
    <mergeCell ref="I187:O187"/>
    <mergeCell ref="E170:F170"/>
    <mergeCell ref="I174:O174"/>
    <mergeCell ref="H98:O98"/>
    <mergeCell ref="D75:E75"/>
    <mergeCell ref="F75:G75"/>
    <mergeCell ref="I189:O189"/>
    <mergeCell ref="I188:O188"/>
    <mergeCell ref="G192:H192"/>
    <mergeCell ref="J8:O8"/>
    <mergeCell ref="E154:F154"/>
    <mergeCell ref="G154:H154"/>
    <mergeCell ref="B158:C158"/>
    <mergeCell ref="E172:F172"/>
    <mergeCell ref="B89:C89"/>
    <mergeCell ref="B160:C160"/>
    <mergeCell ref="D89:E89"/>
    <mergeCell ref="H18:O18"/>
    <mergeCell ref="L61:M61"/>
    <mergeCell ref="A194:D194"/>
    <mergeCell ref="I142:O142"/>
    <mergeCell ref="B153:C153"/>
    <mergeCell ref="J75:M75"/>
    <mergeCell ref="B184:C184"/>
    <mergeCell ref="H113:O113"/>
    <mergeCell ref="E20:F20"/>
    <mergeCell ref="I137:O137"/>
    <mergeCell ref="E177:F177"/>
    <mergeCell ref="E13:F13"/>
    <mergeCell ref="I164:O164"/>
    <mergeCell ref="I139:O139"/>
    <mergeCell ref="B88:C88"/>
    <mergeCell ref="B148:C148"/>
    <mergeCell ref="B82:C82"/>
    <mergeCell ref="E149:F149"/>
    <mergeCell ref="E176:F176"/>
    <mergeCell ref="E114:F114"/>
    <mergeCell ref="J88:M88"/>
    <mergeCell ref="A63:O63"/>
    <mergeCell ref="E15:F15"/>
    <mergeCell ref="E191:F191"/>
    <mergeCell ref="G142:H142"/>
    <mergeCell ref="B146:C146"/>
    <mergeCell ref="E178:F178"/>
    <mergeCell ref="H37:O37"/>
    <mergeCell ref="B83:C83"/>
    <mergeCell ref="B143:C143"/>
    <mergeCell ref="D83:E83"/>
    <mergeCell ref="E144:F144"/>
    <mergeCell ref="G144:H144"/>
    <mergeCell ref="H104:O104"/>
    <mergeCell ref="B85:C85"/>
    <mergeCell ref="A94:O94"/>
    <mergeCell ref="I190:O190"/>
    <mergeCell ref="D85:E85"/>
    <mergeCell ref="G173:H173"/>
    <mergeCell ref="H92:I92"/>
    <mergeCell ref="H106:O106"/>
    <mergeCell ref="F78:G78"/>
    <mergeCell ref="E106:F106"/>
    <mergeCell ref="H78:I78"/>
    <mergeCell ref="E33:F33"/>
    <mergeCell ref="H43:O43"/>
    <mergeCell ref="B159:C159"/>
    <mergeCell ref="D80:E80"/>
    <mergeCell ref="G170:H170"/>
    <mergeCell ref="B167:C167"/>
    <mergeCell ref="A26:O26"/>
    <mergeCell ref="B161:C161"/>
    <mergeCell ref="H6:I6"/>
    <mergeCell ref="H130:O130"/>
    <mergeCell ref="H68:O68"/>
    <mergeCell ref="B136:C136"/>
    <mergeCell ref="E28:F28"/>
    <mergeCell ref="B175:C175"/>
    <mergeCell ref="E30:F30"/>
    <mergeCell ref="J84:M84"/>
    <mergeCell ref="I145:O145"/>
    <mergeCell ref="J78:M78"/>
    <mergeCell ref="H69:O69"/>
    <mergeCell ref="A9:C9"/>
    <mergeCell ref="I147:O147"/>
    <mergeCell ref="J80:M80"/>
    <mergeCell ref="D8:E8"/>
    <mergeCell ref="J79:M79"/>
    <mergeCell ref="G150:H150"/>
    <mergeCell ref="I186:O186"/>
    <mergeCell ref="E21:F21"/>
    <mergeCell ref="J6:O6"/>
    <mergeCell ref="H82:I82"/>
    <mergeCell ref="B91:C91"/>
    <mergeCell ref="E192:F192"/>
    <mergeCell ref="H20:O20"/>
    <mergeCell ref="E129:F129"/>
    <mergeCell ref="H38:O38"/>
    <mergeCell ref="E23:F23"/>
    <mergeCell ref="D84:E84"/>
    <mergeCell ref="B155:C155"/>
    <mergeCell ref="G145:H145"/>
    <mergeCell ref="F84:G84"/>
    <mergeCell ref="B149:C149"/>
    <mergeCell ref="E181:F181"/>
    <mergeCell ref="B193:C193"/>
    <mergeCell ref="E194:F194"/>
    <mergeCell ref="G181:H181"/>
    <mergeCell ref="A3:O3"/>
    <mergeCell ref="H40:O40"/>
    <mergeCell ref="B86:C86"/>
    <mergeCell ref="G160:H160"/>
    <mergeCell ref="D86:E86"/>
    <mergeCell ref="I140:O140"/>
    <mergeCell ref="G147:H147"/>
    <mergeCell ref="F86:G86"/>
    <mergeCell ref="H64:O64"/>
    <mergeCell ref="B151:C151"/>
    <mergeCell ref="F80:G80"/>
    <mergeCell ref="G174:H174"/>
    <mergeCell ref="I158:O158"/>
    <mergeCell ref="I133:O133"/>
    <mergeCell ref="G189:H189"/>
    <mergeCell ref="F79:G79"/>
    <mergeCell ref="H79:I79"/>
    <mergeCell ref="E34:F34"/>
    <mergeCell ref="B182:C182"/>
    <mergeCell ref="E105:F105"/>
    <mergeCell ref="I160:O160"/>
    <mergeCell ref="E99:F99"/>
    <mergeCell ref="I135:O135"/>
    <mergeCell ref="F81:G81"/>
    <mergeCell ref="H81:I81"/>
    <mergeCell ref="E163:F163"/>
    <mergeCell ref="E101:F101"/>
    <mergeCell ref="G163:H163"/>
    <mergeCell ref="A22:B22"/>
    <mergeCell ref="B125:D125"/>
    <mergeCell ref="E113:F113"/>
    <mergeCell ref="B183:C183"/>
    <mergeCell ref="B177:C177"/>
    <mergeCell ref="E100:F100"/>
    <mergeCell ref="B164:C164"/>
    <mergeCell ref="J86:M86"/>
    <mergeCell ref="E136:F136"/>
    <mergeCell ref="G165:H165"/>
    <mergeCell ref="H33:O33"/>
    <mergeCell ref="I24:O24"/>
    <mergeCell ref="E102:F102"/>
    <mergeCell ref="G158:H158"/>
    <mergeCell ref="B120:D120"/>
    <mergeCell ref="D10:E10"/>
    <mergeCell ref="G169:H169"/>
    <mergeCell ref="I148:O148"/>
    <mergeCell ref="I153:O153"/>
    <mergeCell ref="E127:F127"/>
    <mergeCell ref="F74:G74"/>
    <mergeCell ref="B180:C180"/>
    <mergeCell ref="H74:I74"/>
    <mergeCell ref="G191:H191"/>
    <mergeCell ref="D76:E76"/>
    <mergeCell ref="F76:G76"/>
    <mergeCell ref="A47:O47"/>
    <mergeCell ref="B157:C157"/>
    <mergeCell ref="I179:O179"/>
    <mergeCell ref="B186:C186"/>
    <mergeCell ref="I141:O141"/>
    <mergeCell ref="E124:F124"/>
    <mergeCell ref="H65:O65"/>
    <mergeCell ref="E120:F120"/>
    <mergeCell ref="I159:O159"/>
    <mergeCell ref="I143:O143"/>
    <mergeCell ref="E184:F184"/>
    <mergeCell ref="A7:C7"/>
    <mergeCell ref="G122:O122"/>
    <mergeCell ref="E121:F121"/>
    <mergeCell ref="F87:G87"/>
    <mergeCell ref="B185:C185"/>
    <mergeCell ref="E151:F151"/>
    <mergeCell ref="H41:O41"/>
    <mergeCell ref="E123:F123"/>
    <mergeCell ref="F89:G89"/>
    <mergeCell ref="E150:F150"/>
    <mergeCell ref="E39:F39"/>
    <mergeCell ref="G179:H179"/>
    <mergeCell ref="F7:G7"/>
    <mergeCell ref="E44:F44"/>
    <mergeCell ref="B176:C176"/>
    <mergeCell ref="G166:H166"/>
    <mergeCell ref="H34:O34"/>
    <mergeCell ref="B128:D128"/>
    <mergeCell ref="G141:H141"/>
    <mergeCell ref="E103:F103"/>
    <mergeCell ref="E152:F152"/>
    <mergeCell ref="A116:O116"/>
    <mergeCell ref="E118:F118"/>
    <mergeCell ref="F8:G8"/>
    <mergeCell ref="A12:B12"/>
    <mergeCell ref="C12:D12"/>
    <mergeCell ref="G167:H167"/>
    <mergeCell ref="I154:O154"/>
    <mergeCell ref="B171:C171"/>
    <mergeCell ref="B123:D123"/>
    <mergeCell ref="I156:O156"/>
    <mergeCell ref="E70:F70"/>
    <mergeCell ref="F77:G77"/>
    <mergeCell ref="H77:I77"/>
    <mergeCell ref="H96:O96"/>
    <mergeCell ref="E32:F32"/>
    <mergeCell ref="G120:O120"/>
    <mergeCell ref="B133:C133"/>
    <mergeCell ref="E134:F134"/>
    <mergeCell ref="G134:H134"/>
    <mergeCell ref="B173:C173"/>
    <mergeCell ref="E96:F96"/>
    <mergeCell ref="B75:C75"/>
    <mergeCell ref="B135:C135"/>
    <mergeCell ref="I180:O180"/>
    <mergeCell ref="A130:B130"/>
    <mergeCell ref="I167:O167"/>
    <mergeCell ref="E98:F98"/>
    <mergeCell ref="I182:O182"/>
    <mergeCell ref="E165:F165"/>
    <mergeCell ref="I169:O169"/>
    <mergeCell ref="I13:O13"/>
    <mergeCell ref="E140:F140"/>
    <mergeCell ref="G156:H156"/>
    <mergeCell ref="B118:D118"/>
    <mergeCell ref="A8:C8"/>
    <mergeCell ref="H61:I61"/>
    <mergeCell ref="H88:I88"/>
    <mergeCell ref="J81:M81"/>
    <mergeCell ref="G187:H187"/>
    <mergeCell ref="A10:C10"/>
    <mergeCell ref="H17:O17"/>
    <mergeCell ref="F90:G90"/>
    <mergeCell ref="H90:I90"/>
    <mergeCell ref="H109:O109"/>
    <mergeCell ref="G180:H180"/>
    <mergeCell ref="E45:F45"/>
    <mergeCell ref="H22:O22"/>
    <mergeCell ref="B129:D129"/>
    <mergeCell ref="H19:O19"/>
    <mergeCell ref="G188:H188"/>
    <mergeCell ref="B192:C192"/>
    <mergeCell ref="A20:B20"/>
    <mergeCell ref="H111:O111"/>
    <mergeCell ref="B121:D121"/>
    <mergeCell ref="G182:H182"/>
    <mergeCell ref="I162:O162"/>
    <mergeCell ref="A132:O132"/>
    <mergeCell ref="A13:B13"/>
    <mergeCell ref="C13:D13"/>
    <mergeCell ref="I155:O155"/>
    <mergeCell ref="A114:B114"/>
  </mergeCells>
  <conditionalFormatting sqref="I134:O193">
    <cfRule type="expression" priority="1" dxfId="0" stopIfTrue="1">
      <formula>$I134="Pago"</formula>
    </cfRule>
    <cfRule type="expression" priority="2" dxfId="3" stopIfTrue="1">
      <formula>$I134="Comprado (a pagar)"</formula>
    </cfRule>
    <cfRule type="expression" priority="3" dxfId="1" stopIfTrue="1">
      <formula>$I134="A comprar"</formula>
    </cfRule>
  </conditionalFormatting>
  <conditionalFormatting sqref="A134:O193">
    <cfRule type="expression" priority="4" dxfId="6">
      <formula>AND($E134&lt;&gt;"",$B134="")</formula>
    </cfRule>
  </conditionalFormatting>
  <conditionalFormatting sqref="E16:F22">
    <cfRule type="expression" priority="5" dxfId="4">
      <formula>AND($E16&lt;&gt;"",$E16&gt;0)</formula>
    </cfRule>
    <cfRule type="expression" priority="6" dxfId="5">
      <formula>AND($E16&lt;&gt;"",$E16&lt;0)</formula>
    </cfRule>
  </conditionalFormatting>
  <conditionalFormatting sqref="E96:F114">
    <cfRule type="expression" priority="7" dxfId="4">
      <formula>AND($E96&lt;&gt;"",$E96&gt;0)</formula>
    </cfRule>
    <cfRule type="expression" priority="8" dxfId="5">
      <formula>AND($E96&lt;&gt;"",$E96&lt;0)</formula>
    </cfRule>
  </conditionalFormatting>
  <conditionalFormatting sqref="J9">
    <cfRule type="expression" priority="9" dxfId="0" stopIfTrue="1">
      <formula>$J$9="No prazo"</formula>
    </cfRule>
    <cfRule type="expression" priority="10" dxfId="2">
      <formula>$J$9="Atrasado"</formula>
    </cfRule>
  </conditionalFormatting>
  <conditionalFormatting sqref="A13:J13">
    <cfRule type="expression" priority="11" dxfId="6">
      <formula>AND($G$13&lt;&gt;"",$G$13&lt;0.25)</formula>
    </cfRule>
  </conditionalFormatting>
  <dataValidations count="12">
    <dataValidation sqref="D10:E1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"Jan/2026,Fev/2026,Mar/2026,Abr/2026,Mai/2026,Jun/2026,Jul/2026,Ago/2026,Set/2026,Out/2026,Nov/2026,Dez/2026,Jan/2027,Fev/2027,Mar/2027,Abr/2027,Mai/2027,Jun/2027,Jul/2027,Ago/2027,Set/2027,Out/2027,Nov/2027,Dez/2027"</formula1>
    </dataValidation>
    <dataValidation sqref="D49:D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H49:H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L49:L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"Lorrane,Lucas,Externo / avulso"</formula1>
    </dataValidation>
    <dataValidation sqref="H66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A74:A91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B118:B12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"Erro de projeto,Erro de medição,Erro de produção,Erro de montagem,Falha de material,Dano no transporte,Mudança pedida pelo cliente,Falha de fornecedor,Outro"</formula1>
    </dataValidation>
    <dataValidation sqref="B134:B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"MDF e MDP,Fita de borda,Ferragens,Vidros e espelhos,Esquadrias,Lâmina natural,Consumíveis,Acabamento,Serralheria,Vidraceiro,Outro terceirizado,Uber e aplicativo,Carreto e entrega,Deslocamento da equipe,Frete de material,Estacionamento e pedágio"</formula1>
    </dataValidation>
    <dataValidation sqref="G134:G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"PIX,Boleto,Cartão de crédito,Cartão parcelado,Dinheiro,Transferência,Faturado 30 dias,A combinar"</formula1>
    </dataValidation>
    <dataValidation sqref="I134:I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"A comprar,Comprado (a pagar),Pago"</formula1>
    </dataValidation>
    <dataValidation sqref="D9:E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"Jonathan,Vitor,Indicação,Arquiteto parceiro,Outro"</formula1>
    </dataValidation>
    <dataValidation sqref="F9:G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</dataValidations>
  <pageMargins left="0.4" right="0.3" top="0.4" bottom="0.3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96"/>
  <sheetViews>
    <sheetView showGridLines="0"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14" customWidth="1" min="3" max="3"/>
    <col width="16" customWidth="1" min="4" max="4"/>
    <col width="7" customWidth="1" min="5" max="5"/>
    <col width="13" customWidth="1" min="6" max="6"/>
    <col width="13" customWidth="1" min="7" max="7"/>
    <col width="16" customWidth="1" min="8" max="8"/>
    <col width="7" customWidth="1" min="9" max="9"/>
    <col width="13" customWidth="1" min="10" max="10"/>
    <col width="13" customWidth="1" min="11" max="11"/>
    <col width="15" customWidth="1" min="12" max="12"/>
    <col width="7" customWidth="1" min="13" max="13"/>
    <col width="13" customWidth="1" min="14" max="14"/>
    <col width="14" customWidth="1" min="15" max="15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8" customHeight="1">
      <c r="A3" s="4" t="inlineStr">
        <is>
          <t>FICHA DE CUSTO DO PROJETO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 ht="17" customHeight="1">
      <c r="A4" s="6" t="inlineStr">
        <is>
          <t>Fundo creme = você preenche · fundo cinza = calculado · duplique esta aba a cada projeto e registre o nome dela no Painel Geral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 ht="6" customHeight="1"/>
    <row r="6" ht="13" customHeight="1">
      <c r="A6" s="44" t="inlineStr">
        <is>
          <t>CLIENTE</t>
        </is>
      </c>
      <c r="B6" s="13" t="n"/>
      <c r="C6" s="13" t="n"/>
      <c r="D6" s="44" t="inlineStr">
        <is>
          <t>Nº DO PROJETO</t>
        </is>
      </c>
      <c r="E6" s="13" t="n"/>
      <c r="F6" s="44" t="inlineStr">
        <is>
          <t>DATA DE ENTRADA</t>
        </is>
      </c>
      <c r="G6" s="13" t="n"/>
      <c r="H6" s="44" t="inlineStr">
        <is>
          <t>ENTREGA PREVISTA</t>
        </is>
      </c>
      <c r="I6" s="13" t="n"/>
      <c r="J6" s="44" t="inlineStr">
        <is>
          <t>ENTREGA REAL</t>
        </is>
      </c>
      <c r="K6" s="13" t="n"/>
      <c r="L6" s="13" t="n"/>
      <c r="M6" s="13" t="n"/>
      <c r="N6" s="13" t="n"/>
      <c r="O6" s="13" t="n"/>
    </row>
    <row r="7" ht="21" customHeight="1">
      <c r="A7" s="45" t="n"/>
      <c r="B7" s="46" t="n"/>
      <c r="C7" s="46" t="n"/>
      <c r="D7" s="45" t="n"/>
      <c r="E7" s="46" t="n"/>
      <c r="F7" s="47" t="n"/>
      <c r="G7" s="46" t="n"/>
      <c r="H7" s="47" t="n"/>
      <c r="I7" s="46" t="n"/>
      <c r="J7" s="47" t="n"/>
      <c r="K7" s="46" t="n"/>
      <c r="L7" s="46" t="n"/>
      <c r="M7" s="46" t="n"/>
      <c r="N7" s="46" t="n"/>
      <c r="O7" s="46" t="n"/>
    </row>
    <row r="8" ht="13" customHeight="1">
      <c r="A8" s="44" t="inlineStr">
        <is>
          <t>PROJETO</t>
        </is>
      </c>
      <c r="B8" s="13" t="n"/>
      <c r="C8" s="13" t="n"/>
      <c r="D8" s="44" t="inlineStr">
        <is>
          <t>VENDEDOR</t>
        </is>
      </c>
      <c r="E8" s="13" t="n"/>
      <c r="F8" s="44" t="inlineStr">
        <is>
          <t>COORDENADOR</t>
        </is>
      </c>
      <c r="G8" s="13" t="n"/>
      <c r="H8" s="44" t="inlineStr">
        <is>
          <t>DIAS DE ATRASO</t>
        </is>
      </c>
      <c r="I8" s="13" t="n"/>
      <c r="J8" s="44" t="inlineStr">
        <is>
          <t>SITUAÇÃO DA ENTREGA</t>
        </is>
      </c>
      <c r="K8" s="13" t="n"/>
      <c r="L8" s="13" t="n"/>
      <c r="M8" s="13" t="n"/>
      <c r="N8" s="13" t="n"/>
      <c r="O8" s="13" t="n"/>
    </row>
    <row r="9" ht="21" customHeight="1">
      <c r="A9" s="45" t="n"/>
      <c r="B9" s="46" t="n"/>
      <c r="C9" s="46" t="n"/>
      <c r="D9" s="45" t="n"/>
      <c r="E9" s="46" t="n"/>
      <c r="F9" s="48" t="n"/>
      <c r="G9" s="46" t="n"/>
      <c r="H9" s="49">
        <f>IF(OR($H$7="",$J$7=""),"",$J$7-$H$7)</f>
        <v/>
      </c>
      <c r="I9" s="38" t="n"/>
      <c r="J9" s="50">
        <f>IF($H$7="","",IF($J$7="",IF(TODAY()&gt;$H$7,"Atrasado","Em produção"),IF($H$9&lt;=0,"No prazo","Atrasado")))</f>
        <v/>
      </c>
      <c r="K9" s="38" t="n"/>
      <c r="L9" s="38" t="n"/>
      <c r="M9" s="38" t="n"/>
      <c r="N9" s="38" t="n"/>
      <c r="O9" s="38" t="n"/>
    </row>
    <row r="10" ht="18" customHeight="1">
      <c r="A10" s="51" t="inlineStr">
        <is>
          <t>MÊS DE COMPETÊNCIA</t>
        </is>
      </c>
      <c r="B10" s="37" t="n"/>
      <c r="C10" s="37" t="n"/>
      <c r="D10" s="52" t="n"/>
      <c r="E10" s="46" t="n"/>
      <c r="F10" s="53" t="inlineStr">
        <is>
          <t>o mês em que a receita e o custo deste projeto pesam no painel de competência</t>
        </is>
      </c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</row>
    <row r="11" ht="20" customHeight="1">
      <c r="A11" s="8" t="inlineStr">
        <is>
          <t xml:space="preserve">  RESULTADO DO PROJETO          tudo aqui se atualiza conforme você lança os custos mais abaixo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</row>
    <row r="12" ht="13" customHeight="1">
      <c r="A12" s="44" t="inlineStr">
        <is>
          <t>VALOR DE VENDA</t>
        </is>
      </c>
      <c r="B12" s="13" t="n"/>
      <c r="C12" s="44" t="inlineStr">
        <is>
          <t>CUSTO TOTAL</t>
        </is>
      </c>
      <c r="D12" s="13" t="n"/>
      <c r="E12" s="44" t="inlineStr">
        <is>
          <t>MARGEM DE CONTRIBUIÇÃO</t>
        </is>
      </c>
      <c r="F12" s="13" t="n"/>
      <c r="G12" s="44" t="inlineStr">
        <is>
          <t>MC %</t>
        </is>
      </c>
      <c r="H12" s="44" t="inlineStr">
        <is>
          <t>MC % ORÇADA</t>
        </is>
      </c>
      <c r="I12" s="44" t="inlineStr">
        <is>
          <t>DESVIO DE CUSTO</t>
        </is>
      </c>
      <c r="J12" s="13" t="n"/>
      <c r="K12" s="13" t="n"/>
      <c r="L12" s="13" t="n"/>
      <c r="M12" s="13" t="n"/>
      <c r="N12" s="13" t="n"/>
      <c r="O12" s="13" t="n"/>
    </row>
    <row r="13" ht="30" customHeight="1">
      <c r="A13" s="54">
        <f>IF($D$28="",$C$28,$D$28)</f>
        <v/>
      </c>
      <c r="B13" s="15" t="n"/>
      <c r="C13" s="54">
        <f>IF($D$22=0,"",$D$22)</f>
        <v/>
      </c>
      <c r="D13" s="15" t="n"/>
      <c r="E13" s="54">
        <f>IF($A$13="","",$D$23)</f>
        <v/>
      </c>
      <c r="F13" s="15" t="n"/>
      <c r="G13" s="55">
        <f>IF(OR($A$13="",$A$13=0),"",$D$23/$A$13)</f>
        <v/>
      </c>
      <c r="H13" s="55">
        <f>IF(OR($C$28="",$C$28=0),"",$C$23/$C$28)</f>
        <v/>
      </c>
      <c r="I13" s="54">
        <f>IF(OR($C$22=0,$D$22=0),"",ROUND($D$22-$C$22,2))</f>
        <v/>
      </c>
      <c r="J13" s="15" t="n"/>
      <c r="K13" s="15" t="n"/>
      <c r="L13" s="15" t="n"/>
      <c r="M13" s="15" t="n"/>
      <c r="N13" s="15" t="n"/>
      <c r="O13" s="15" t="n"/>
    </row>
    <row r="14" ht="8" customHeight="1"/>
    <row r="15" ht="26" customHeight="1">
      <c r="A15" s="19" t="inlineStr">
        <is>
          <t>Resumo por categoria</t>
        </is>
      </c>
      <c r="B15" s="35" t="n"/>
      <c r="C15" s="19" t="inlineStr">
        <is>
          <t>Orçado (R$)</t>
        </is>
      </c>
      <c r="D15" s="19" t="inlineStr">
        <is>
          <t>Realizado (R$)</t>
        </is>
      </c>
      <c r="E15" s="19" t="inlineStr">
        <is>
          <t>Desvio (R$)</t>
        </is>
      </c>
      <c r="F15" s="35" t="n"/>
      <c r="G15" s="19" t="inlineStr">
        <is>
          <t>Desvio (%)</t>
        </is>
      </c>
      <c r="H15" s="19" t="inlineStr">
        <is>
          <t>% da venda realizada</t>
        </is>
      </c>
      <c r="I15" s="35" t="n"/>
      <c r="J15" s="35" t="n"/>
      <c r="K15" s="35" t="n"/>
      <c r="L15" s="35" t="n"/>
      <c r="M15" s="35" t="n"/>
      <c r="N15" s="35" t="n"/>
      <c r="O15" s="35" t="n"/>
    </row>
    <row r="16" ht="18" customHeight="1">
      <c r="A16" s="36" t="inlineStr">
        <is>
          <t>Custos de venda</t>
        </is>
      </c>
      <c r="B16" s="37" t="n"/>
      <c r="C16" s="56">
        <f>IF(C44="","",C44)</f>
        <v/>
      </c>
      <c r="D16" s="56">
        <f>IF(D44="","",D44)</f>
        <v/>
      </c>
      <c r="E16" s="56">
        <f>IF(OR($C16="",$D16=""),"",ROUND($D16-$C16,2))</f>
        <v/>
      </c>
      <c r="F16" s="38" t="n"/>
      <c r="G16" s="57">
        <f>IF(OR($C16="",$C16=0,$D16=""),"",$D16/$C16-1)</f>
        <v/>
      </c>
      <c r="H16" s="58">
        <f>IF(OR($D16="",$A$13="",$A$13=0),"",$D16/$A$13)</f>
        <v/>
      </c>
      <c r="I16" s="38" t="n"/>
      <c r="J16" s="38" t="n"/>
      <c r="K16" s="38" t="n"/>
      <c r="L16" s="38" t="n"/>
      <c r="M16" s="38" t="n"/>
      <c r="N16" s="38" t="n"/>
      <c r="O16" s="38" t="n"/>
    </row>
    <row r="17" ht="18" customHeight="1">
      <c r="A17" s="36" t="inlineStr">
        <is>
          <t>Comissões operacionais</t>
        </is>
      </c>
      <c r="B17" s="37" t="n"/>
      <c r="C17" s="56">
        <f>IF(C70="","",C70)</f>
        <v/>
      </c>
      <c r="D17" s="56">
        <f>IF(D70="","",D70)</f>
        <v/>
      </c>
      <c r="E17" s="56">
        <f>IF(OR($C17="",$D17=""),"",ROUND($D17-$C17,2))</f>
        <v/>
      </c>
      <c r="F17" s="38" t="n"/>
      <c r="G17" s="57">
        <f>IF(OR($C17="",$C17=0,$D17=""),"",$D17/$C17-1)</f>
        <v/>
      </c>
      <c r="H17" s="58">
        <f>IF(OR($D17="",$A$13="",$A$13=0),"",$D17/$A$13)</f>
        <v/>
      </c>
      <c r="I17" s="38" t="n"/>
      <c r="J17" s="38" t="n"/>
      <c r="K17" s="38" t="n"/>
      <c r="L17" s="38" t="n"/>
      <c r="M17" s="38" t="n"/>
      <c r="N17" s="38" t="n"/>
      <c r="O17" s="38" t="n"/>
    </row>
    <row r="18" ht="18" customHeight="1">
      <c r="A18" s="36" t="inlineStr">
        <is>
          <t>Material</t>
        </is>
      </c>
      <c r="B18" s="37" t="n"/>
      <c r="C18" s="56">
        <f>IF(C103="","",C103)</f>
        <v/>
      </c>
      <c r="D18" s="56">
        <f>IF(D103="","",D103)</f>
        <v/>
      </c>
      <c r="E18" s="56">
        <f>IF(OR($C18="",$D18=""),"",ROUND($D18-$C18,2))</f>
        <v/>
      </c>
      <c r="F18" s="38" t="n"/>
      <c r="G18" s="57">
        <f>IF(OR($C18="",$C18=0,$D18=""),"",$D18/$C18-1)</f>
        <v/>
      </c>
      <c r="H18" s="58">
        <f>IF(OR($D18="",$A$13="",$A$13=0),"",$D18/$A$13)</f>
        <v/>
      </c>
      <c r="I18" s="38" t="n"/>
      <c r="J18" s="38" t="n"/>
      <c r="K18" s="38" t="n"/>
      <c r="L18" s="38" t="n"/>
      <c r="M18" s="38" t="n"/>
      <c r="N18" s="38" t="n"/>
      <c r="O18" s="38" t="n"/>
    </row>
    <row r="19" ht="18" customHeight="1">
      <c r="A19" s="36" t="inlineStr">
        <is>
          <t>Serviços terceirizados</t>
        </is>
      </c>
      <c r="B19" s="37" t="n"/>
      <c r="C19" s="56">
        <f>IF(C108="","",C108)</f>
        <v/>
      </c>
      <c r="D19" s="56">
        <f>IF(D108="","",D108)</f>
        <v/>
      </c>
      <c r="E19" s="56">
        <f>IF(OR($C19="",$D19=""),"",ROUND($D19-$C19,2))</f>
        <v/>
      </c>
      <c r="F19" s="38" t="n"/>
      <c r="G19" s="57">
        <f>IF(OR($C19="",$C19=0,$D19=""),"",$D19/$C19-1)</f>
        <v/>
      </c>
      <c r="H19" s="58">
        <f>IF(OR($D19="",$A$13="",$A$13=0),"",$D19/$A$13)</f>
        <v/>
      </c>
      <c r="I19" s="38" t="n"/>
      <c r="J19" s="38" t="n"/>
      <c r="K19" s="38" t="n"/>
      <c r="L19" s="38" t="n"/>
      <c r="M19" s="38" t="n"/>
      <c r="N19" s="38" t="n"/>
      <c r="O19" s="38" t="n"/>
    </row>
    <row r="20" ht="18" customHeight="1">
      <c r="A20" s="36" t="inlineStr">
        <is>
          <t>Logística</t>
        </is>
      </c>
      <c r="B20" s="37" t="n"/>
      <c r="C20" s="56">
        <f>IF(C114="","",C114)</f>
        <v/>
      </c>
      <c r="D20" s="56">
        <f>IF(D114="","",D114)</f>
        <v/>
      </c>
      <c r="E20" s="56">
        <f>IF(OR($C20="",$D20=""),"",ROUND($D20-$C20,2))</f>
        <v/>
      </c>
      <c r="F20" s="38" t="n"/>
      <c r="G20" s="57">
        <f>IF(OR($C20="",$C20=0,$D20=""),"",$D20/$C20-1)</f>
        <v/>
      </c>
      <c r="H20" s="58">
        <f>IF(OR($D20="",$A$13="",$A$13=0),"",$D20/$A$13)</f>
        <v/>
      </c>
      <c r="I20" s="38" t="n"/>
      <c r="J20" s="38" t="n"/>
      <c r="K20" s="38" t="n"/>
      <c r="L20" s="38" t="n"/>
      <c r="M20" s="38" t="n"/>
      <c r="N20" s="38" t="n"/>
      <c r="O20" s="38" t="n"/>
    </row>
    <row r="21" ht="18" customHeight="1">
      <c r="A21" s="36" t="inlineStr">
        <is>
          <t>Retrabalho</t>
        </is>
      </c>
      <c r="B21" s="37" t="n"/>
      <c r="C21" s="56">
        <f>IF(C130="","",C130)</f>
        <v/>
      </c>
      <c r="D21" s="56">
        <f>IF(D130="","",D130)</f>
        <v/>
      </c>
      <c r="E21" s="56">
        <f>IF(OR($C21="",$D21=""),"",ROUND($D21-$C21,2))</f>
        <v/>
      </c>
      <c r="F21" s="38" t="n"/>
      <c r="G21" s="57">
        <f>IF(OR($C21="",$C21=0,$D21=""),"",$D21/$C21-1)</f>
        <v/>
      </c>
      <c r="H21" s="58">
        <f>IF(OR($D21="",$A$13="",$A$13=0),"",$D21/$A$13)</f>
        <v/>
      </c>
      <c r="I21" s="38" t="n"/>
      <c r="J21" s="38" t="n"/>
      <c r="K21" s="38" t="n"/>
      <c r="L21" s="38" t="n"/>
      <c r="M21" s="38" t="n"/>
      <c r="N21" s="38" t="n"/>
      <c r="O21" s="38" t="n"/>
    </row>
    <row r="22" ht="22" customHeight="1">
      <c r="A22" s="31" t="inlineStr">
        <is>
          <t>(=) CUSTO TOTAL DO PROJETO</t>
        </is>
      </c>
      <c r="B22" s="32" t="n"/>
      <c r="C22" s="59">
        <f>ROUND(SUM(C16:C21),2)</f>
        <v/>
      </c>
      <c r="D22" s="59">
        <f>ROUND(SUM(D16:D21),2)</f>
        <v/>
      </c>
      <c r="E22" s="60">
        <f>ROUND($D$22-$C$22,2)</f>
        <v/>
      </c>
      <c r="F22" s="32" t="n"/>
      <c r="G22" s="61">
        <f>IF(OR($C$22="",$C$22=0),"",$D$22/$C$22-1)</f>
        <v/>
      </c>
      <c r="H22" s="62">
        <f>IF(OR($A$13="",$A$13=0),"",$D$22/$A$13)</f>
        <v/>
      </c>
      <c r="I22" s="32" t="n"/>
      <c r="J22" s="32" t="n"/>
      <c r="K22" s="32" t="n"/>
      <c r="L22" s="32" t="n"/>
      <c r="M22" s="32" t="n"/>
      <c r="N22" s="32" t="n"/>
      <c r="O22" s="32" t="n"/>
    </row>
    <row r="23" ht="28" customHeight="1">
      <c r="A23" s="63" t="inlineStr">
        <is>
          <t>(=) MARGEM DE CONTRIBUIÇÃO</t>
        </is>
      </c>
      <c r="B23" s="64" t="n"/>
      <c r="C23" s="65">
        <f>ROUND($C$28-$C$22,2)</f>
        <v/>
      </c>
      <c r="D23" s="65">
        <f>ROUND($A$13-$D$22,2)</f>
        <v/>
      </c>
      <c r="E23" s="66">
        <f>ROUND($D$23-$C$23,2)</f>
        <v/>
      </c>
      <c r="F23" s="64" t="n"/>
      <c r="G23" s="67">
        <f>IF(OR($C$28="",$C$28=0),"",$C$23/$C$28)</f>
        <v/>
      </c>
      <c r="H23" s="68">
        <f>IF(OR($A$13="",$A$13=0),"",$D$23/$A$13)</f>
        <v/>
      </c>
      <c r="I23" s="64" t="n"/>
      <c r="J23" s="64" t="n"/>
      <c r="K23" s="64" t="n"/>
      <c r="L23" s="64" t="n"/>
      <c r="M23" s="64" t="n"/>
      <c r="N23" s="64" t="n"/>
      <c r="O23" s="64" t="n"/>
    </row>
    <row r="24" ht="22" customHeight="1">
      <c r="A24" s="69">
        <f>IF($A$13="","",IF(ROUND(SUMIF($I$134:$I$193,"A comprar",$E$134:$E$193),2)+ROUND(SUMIF($I$134:$I$193,"Comprado (a pagar)",$E$134:$E$193),2)=0,"   Nenhuma compra pendente lançada — o custo realizado já é o custo final.","   Já comprado e ainda a pagar: "&amp;TEXT(ROUND(SUMIF($I$134:$I$193,"Comprado (a pagar)",$E$134:$E$193),2),"R$ #,##0")&amp;"   ·   custo projetado: "&amp;TEXT($D$22+ROUND(SUMIF($I$134:$I$193,"A comprar",$E$134:$E$193),2),"R$ #,##0")&amp;"   ·   MC projetada: "&amp;TEXT(($A$13-$D$22-ROUND(SUMIF($I$134:$I$193,"A comprar",$E$134:$E$193),2))/$A$13,"0.0%")))</f>
        <v/>
      </c>
      <c r="B24" s="15" t="n"/>
      <c r="C24" s="15" t="n"/>
      <c r="D24" s="15" t="n"/>
      <c r="E24" s="15" t="n"/>
      <c r="F24" s="15" t="n"/>
      <c r="G24" s="15" t="n"/>
      <c r="H24" s="15" t="n"/>
      <c r="I24" s="70">
        <f>IF($A$13="","",ROUND(SUMIF($I$134:$I$193,"A comprar",$E$134:$E$193),2))</f>
        <v/>
      </c>
      <c r="J24" s="15" t="n"/>
      <c r="K24" s="15" t="n"/>
      <c r="L24" s="15" t="n"/>
      <c r="M24" s="15" t="n"/>
      <c r="N24" s="15" t="n"/>
      <c r="O24" s="15" t="n"/>
    </row>
    <row r="25" ht="8" customHeight="1"/>
    <row r="26" ht="20" customHeight="1">
      <c r="A26" s="8" t="inlineStr">
        <is>
          <t xml:space="preserve">  1 · VALOR DE VENDA E NOTAS EMITIDAS          o que foi vendido e o que já virou nota — a diferença é o que falta faturar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 ht="26" customHeight="1">
      <c r="A27" s="19" t="inlineStr">
        <is>
          <t>Item</t>
        </is>
      </c>
      <c r="B27" s="19" t="inlineStr">
        <is>
          <t>%</t>
        </is>
      </c>
      <c r="C27" s="19" t="inlineStr">
        <is>
          <t>Orçado (R$)</t>
        </is>
      </c>
      <c r="D27" s="19" t="inlineStr">
        <is>
          <t>Realizado (R$)</t>
        </is>
      </c>
      <c r="E27" s="19" t="inlineStr">
        <is>
          <t>Desvio (R$)</t>
        </is>
      </c>
      <c r="F27" s="35" t="n"/>
      <c r="G27" s="19" t="inlineStr">
        <is>
          <t>% da venda</t>
        </is>
      </c>
      <c r="H27" s="19" t="inlineStr">
        <is>
          <t>Observação</t>
        </is>
      </c>
      <c r="I27" s="35" t="n"/>
      <c r="J27" s="35" t="n"/>
      <c r="K27" s="35" t="n"/>
      <c r="L27" s="35" t="n"/>
      <c r="M27" s="35" t="n"/>
      <c r="N27" s="35" t="n"/>
      <c r="O27" s="35" t="n"/>
    </row>
    <row r="28" ht="17" customHeight="1">
      <c r="A28" s="36" t="inlineStr">
        <is>
          <t>Valor de venda do projeto</t>
        </is>
      </c>
      <c r="B28" s="37" t="n"/>
      <c r="C28" s="71" t="n"/>
      <c r="D28" s="71" t="n"/>
      <c r="E28" s="56">
        <f>IF(OR($C28="",$D28=""),"",ROUND($D28-$C28,2))</f>
        <v/>
      </c>
      <c r="F28" s="38" t="n"/>
      <c r="G28" s="72" t="n"/>
      <c r="H28" s="73" t="inlineStr">
        <is>
          <t>Orçado = valor da proposta · Realizado = valor fechado</t>
        </is>
      </c>
      <c r="I28" s="46" t="n"/>
      <c r="J28" s="46" t="n"/>
      <c r="K28" s="46" t="n"/>
      <c r="L28" s="46" t="n"/>
      <c r="M28" s="46" t="n"/>
      <c r="N28" s="46" t="n"/>
      <c r="O28" s="46" t="n"/>
    </row>
    <row r="29" ht="22" customHeight="1">
      <c r="A29" s="19" t="inlineStr">
        <is>
          <t>Nota fiscal</t>
        </is>
      </c>
      <c r="B29" s="19" t="inlineStr">
        <is>
          <t>Número</t>
        </is>
      </c>
      <c r="C29" s="19" t="inlineStr">
        <is>
          <t>Data</t>
        </is>
      </c>
      <c r="D29" s="19" t="inlineStr">
        <is>
          <t>Valor (R$)</t>
        </is>
      </c>
      <c r="E29" s="19" t="inlineStr"/>
      <c r="F29" s="35" t="n"/>
      <c r="G29" s="19" t="inlineStr">
        <is>
          <t>% da venda</t>
        </is>
      </c>
      <c r="H29" s="19" t="inlineStr">
        <is>
          <t>Observação</t>
        </is>
      </c>
      <c r="I29" s="35" t="n"/>
      <c r="J29" s="35" t="n"/>
      <c r="K29" s="35" t="n"/>
      <c r="L29" s="35" t="n"/>
      <c r="M29" s="35" t="n"/>
      <c r="N29" s="35" t="n"/>
      <c r="O29" s="35" t="n"/>
    </row>
    <row r="30" ht="17" customHeight="1">
      <c r="A30" s="36" t="inlineStr">
        <is>
          <t>Nota 1</t>
        </is>
      </c>
      <c r="B30" s="74" t="n"/>
      <c r="C30" s="75" t="n"/>
      <c r="D30" s="76" t="n"/>
      <c r="E30" s="37" t="n"/>
      <c r="F30" s="37" t="n"/>
      <c r="G30" s="72">
        <f>IF(OR($D30="",$A$13="",$A$13=0),"",$D30/$A$13)</f>
        <v/>
      </c>
      <c r="H30" s="73" t="n"/>
      <c r="I30" s="46" t="n"/>
      <c r="J30" s="46" t="n"/>
      <c r="K30" s="46" t="n"/>
      <c r="L30" s="46" t="n"/>
      <c r="M30" s="46" t="n"/>
      <c r="N30" s="46" t="n"/>
      <c r="O30" s="46" t="n"/>
    </row>
    <row r="31" ht="17" customHeight="1">
      <c r="A31" s="36" t="inlineStr">
        <is>
          <t>Nota 2</t>
        </is>
      </c>
      <c r="B31" s="74" t="n"/>
      <c r="C31" s="75" t="n"/>
      <c r="D31" s="76" t="n"/>
      <c r="E31" s="37" t="n"/>
      <c r="F31" s="37" t="n"/>
      <c r="G31" s="72">
        <f>IF(OR($D31="",$A$13="",$A$13=0),"",$D31/$A$13)</f>
        <v/>
      </c>
      <c r="H31" s="73" t="n"/>
      <c r="I31" s="46" t="n"/>
      <c r="J31" s="46" t="n"/>
      <c r="K31" s="46" t="n"/>
      <c r="L31" s="46" t="n"/>
      <c r="M31" s="46" t="n"/>
      <c r="N31" s="46" t="n"/>
      <c r="O31" s="46" t="n"/>
    </row>
    <row r="32" ht="17" customHeight="1">
      <c r="A32" s="36" t="inlineStr">
        <is>
          <t>Nota 3</t>
        </is>
      </c>
      <c r="B32" s="74" t="n"/>
      <c r="C32" s="75" t="n"/>
      <c r="D32" s="76" t="n"/>
      <c r="E32" s="37" t="n"/>
      <c r="F32" s="37" t="n"/>
      <c r="G32" s="72">
        <f>IF(OR($D32="",$A$13="",$A$13=0),"",$D32/$A$13)</f>
        <v/>
      </c>
      <c r="H32" s="73" t="n"/>
      <c r="I32" s="46" t="n"/>
      <c r="J32" s="46" t="n"/>
      <c r="K32" s="46" t="n"/>
      <c r="L32" s="46" t="n"/>
      <c r="M32" s="46" t="n"/>
      <c r="N32" s="46" t="n"/>
      <c r="O32" s="46" t="n"/>
    </row>
    <row r="33" ht="17" customHeight="1">
      <c r="A33" s="36" t="inlineStr">
        <is>
          <t>Nota 4</t>
        </is>
      </c>
      <c r="B33" s="74" t="n"/>
      <c r="C33" s="75" t="n"/>
      <c r="D33" s="76" t="n"/>
      <c r="E33" s="37" t="n"/>
      <c r="F33" s="37" t="n"/>
      <c r="G33" s="72">
        <f>IF(OR($D33="",$A$13="",$A$13=0),"",$D33/$A$13)</f>
        <v/>
      </c>
      <c r="H33" s="73" t="n"/>
      <c r="I33" s="46" t="n"/>
      <c r="J33" s="46" t="n"/>
      <c r="K33" s="46" t="n"/>
      <c r="L33" s="46" t="n"/>
      <c r="M33" s="46" t="n"/>
      <c r="N33" s="46" t="n"/>
      <c r="O33" s="46" t="n"/>
    </row>
    <row r="34" ht="20" customHeight="1">
      <c r="A34" s="31" t="inlineStr">
        <is>
          <t>(=) TOTAL FATURADO  →</t>
        </is>
      </c>
      <c r="B34" s="32" t="n"/>
      <c r="C34" s="32" t="n"/>
      <c r="D34" s="60">
        <f>ROUND(SUM($D$30:$D$33),2)</f>
        <v/>
      </c>
      <c r="E34" s="32" t="n"/>
      <c r="F34" s="32" t="n"/>
      <c r="G34" s="62">
        <f>IF(OR($A$13="",$A$13=0),"",$D$34/$A$13)</f>
        <v/>
      </c>
      <c r="H34" s="77">
        <f>IF(OR($A$13="",$A$13=0),"",IF(ROUND($A$13-$D$34,2)&lt;=0,"   Projeto totalmente faturado.","   Ainda a faturar: "&amp;TEXT($A$13-$D$34,"R$ #,##0.00")))</f>
        <v/>
      </c>
      <c r="I34" s="32" t="n"/>
      <c r="J34" s="32" t="n"/>
      <c r="K34" s="32" t="n"/>
      <c r="L34" s="32" t="n"/>
      <c r="M34" s="32" t="n"/>
      <c r="N34" s="32" t="n"/>
      <c r="O34" s="32" t="n"/>
    </row>
    <row r="35" ht="8" customHeight="1"/>
    <row r="36" ht="20" customHeight="1">
      <c r="A36" s="8" t="inlineStr">
        <is>
          <t xml:space="preserve">  2 · CUSTOS DE VENDA          tudo que sai por causa da venda · define a RECEITA LÍQUIDA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</row>
    <row r="37" ht="26" customHeight="1">
      <c r="A37" s="19" t="inlineStr">
        <is>
          <t>Item</t>
        </is>
      </c>
      <c r="B37" s="19" t="inlineStr">
        <is>
          <t>%</t>
        </is>
      </c>
      <c r="C37" s="19" t="inlineStr">
        <is>
          <t>Orçado (R$)</t>
        </is>
      </c>
      <c r="D37" s="19" t="inlineStr">
        <is>
          <t>Realizado (R$)</t>
        </is>
      </c>
      <c r="E37" s="19" t="inlineStr">
        <is>
          <t>Desvio (R$)</t>
        </is>
      </c>
      <c r="F37" s="35" t="n"/>
      <c r="G37" s="19" t="inlineStr">
        <is>
          <t>% da venda</t>
        </is>
      </c>
      <c r="H37" s="19" t="inlineStr">
        <is>
          <t>Observação</t>
        </is>
      </c>
      <c r="I37" s="35" t="n"/>
      <c r="J37" s="35" t="n"/>
      <c r="K37" s="35" t="n"/>
      <c r="L37" s="35" t="n"/>
      <c r="M37" s="35" t="n"/>
      <c r="N37" s="35" t="n"/>
      <c r="O37" s="35" t="n"/>
    </row>
    <row r="38" ht="17" customHeight="1">
      <c r="A38" s="36" t="inlineStr">
        <is>
          <t>Impostos sobre a nota (Simples)</t>
        </is>
      </c>
      <c r="B38" s="78" t="n"/>
      <c r="C38" s="56">
        <f>IF($B38="","",ROUND($B38*$C$28,2))</f>
        <v/>
      </c>
      <c r="D38" s="56">
        <f>IF($B38="","",ROUND($B38*$A$13,2))</f>
        <v/>
      </c>
      <c r="E38" s="56">
        <f>IF(OR($C38="",$D38=""),"",ROUND($D38-$C38,2))</f>
        <v/>
      </c>
      <c r="F38" s="38" t="n"/>
      <c r="G38" s="72">
        <f>IF(OR($D38="",$A$13="",$A$13=0),"",$D38/$A$13)</f>
        <v/>
      </c>
      <c r="H38" s="73" t="inlineStr">
        <is>
          <t>% sobre o valor de venda</t>
        </is>
      </c>
      <c r="I38" s="46" t="n"/>
      <c r="J38" s="46" t="n"/>
      <c r="K38" s="46" t="n"/>
      <c r="L38" s="46" t="n"/>
      <c r="M38" s="46" t="n"/>
      <c r="N38" s="46" t="n"/>
      <c r="O38" s="46" t="n"/>
    </row>
    <row r="39" ht="17" customHeight="1">
      <c r="A39" s="36" t="inlineStr">
        <is>
          <t>Taxa de máquina de cartão</t>
        </is>
      </c>
      <c r="B39" s="78" t="n"/>
      <c r="C39" s="56">
        <f>IF($B39="","",ROUND($B39*$C$28,2))</f>
        <v/>
      </c>
      <c r="D39" s="56">
        <f>IF($B39="","",ROUND($B39*$A$13,2))</f>
        <v/>
      </c>
      <c r="E39" s="56">
        <f>IF(OR($C39="",$D39=""),"",ROUND($D39-$C39,2))</f>
        <v/>
      </c>
      <c r="F39" s="38" t="n"/>
      <c r="G39" s="72">
        <f>IF(OR($D39="",$A$13="",$A$13=0),"",$D39/$A$13)</f>
        <v/>
      </c>
      <c r="H39" s="73" t="inlineStr">
        <is>
          <t>% sobre o valor de venda</t>
        </is>
      </c>
      <c r="I39" s="46" t="n"/>
      <c r="J39" s="46" t="n"/>
      <c r="K39" s="46" t="n"/>
      <c r="L39" s="46" t="n"/>
      <c r="M39" s="46" t="n"/>
      <c r="N39" s="46" t="n"/>
      <c r="O39" s="46" t="n"/>
    </row>
    <row r="40" ht="17" customHeight="1">
      <c r="A40" s="36" t="inlineStr">
        <is>
          <t>Taxas de transação (PIX, boleto, TED)</t>
        </is>
      </c>
      <c r="B40" s="37" t="n"/>
      <c r="C40" s="71" t="n"/>
      <c r="D40" s="71" t="n"/>
      <c r="E40" s="56">
        <f>IF(OR($C40="",$D40=""),"",ROUND($D40-$C40,2))</f>
        <v/>
      </c>
      <c r="F40" s="38" t="n"/>
      <c r="G40" s="72">
        <f>IF(OR($D40="",$A$13="",$A$13=0),"",$D40/$A$13)</f>
        <v/>
      </c>
      <c r="H40" s="73" t="inlineStr">
        <is>
          <t>valor em reais</t>
        </is>
      </c>
      <c r="I40" s="46" t="n"/>
      <c r="J40" s="46" t="n"/>
      <c r="K40" s="46" t="n"/>
      <c r="L40" s="46" t="n"/>
      <c r="M40" s="46" t="n"/>
      <c r="N40" s="46" t="n"/>
      <c r="O40" s="46" t="n"/>
    </row>
    <row r="41" ht="17" customHeight="1">
      <c r="A41" s="36" t="inlineStr">
        <is>
          <t>Comissão de venda (vendedor)</t>
        </is>
      </c>
      <c r="B41" s="78" t="n"/>
      <c r="C41" s="56">
        <f>IF($B41="","",ROUND($B41*$C$28,2))</f>
        <v/>
      </c>
      <c r="D41" s="56">
        <f>IF($B41="","",ROUND($B41*$A$13,2))</f>
        <v/>
      </c>
      <c r="E41" s="56">
        <f>IF(OR($C41="",$D41=""),"",ROUND($D41-$C41,2))</f>
        <v/>
      </c>
      <c r="F41" s="38" t="n"/>
      <c r="G41" s="72">
        <f>IF(OR($D41="",$A$13="",$A$13=0),"",$D41/$A$13)</f>
        <v/>
      </c>
      <c r="H41" s="73" t="inlineStr">
        <is>
          <t>% sobre o valor de venda</t>
        </is>
      </c>
      <c r="I41" s="46" t="n"/>
      <c r="J41" s="46" t="n"/>
      <c r="K41" s="46" t="n"/>
      <c r="L41" s="46" t="n"/>
      <c r="M41" s="46" t="n"/>
      <c r="N41" s="46" t="n"/>
      <c r="O41" s="46" t="n"/>
    </row>
    <row r="42" ht="17" customHeight="1">
      <c r="A42" s="36" t="inlineStr">
        <is>
          <t>Projeto / anteprojeto (externo)</t>
        </is>
      </c>
      <c r="B42" s="37" t="n"/>
      <c r="C42" s="71" t="n"/>
      <c r="D42" s="71" t="n"/>
      <c r="E42" s="56">
        <f>IF(OR($C42="",$D42=""),"",ROUND($D42-$C42,2))</f>
        <v/>
      </c>
      <c r="F42" s="38" t="n"/>
      <c r="G42" s="72">
        <f>IF(OR($D42="",$A$13="",$A$13=0),"",$D42/$A$13)</f>
        <v/>
      </c>
      <c r="H42" s="73" t="inlineStr">
        <is>
          <t>projetista ou arquiteto contratado para o projeto</t>
        </is>
      </c>
      <c r="I42" s="46" t="n"/>
      <c r="J42" s="46" t="n"/>
      <c r="K42" s="46" t="n"/>
      <c r="L42" s="46" t="n"/>
      <c r="M42" s="46" t="n"/>
      <c r="N42" s="46" t="n"/>
      <c r="O42" s="46" t="n"/>
    </row>
    <row r="43" ht="17" customHeight="1">
      <c r="A43" s="36" t="inlineStr">
        <is>
          <t>RT do parceiro</t>
        </is>
      </c>
      <c r="B43" s="78" t="n"/>
      <c r="C43" s="56">
        <f>IF($B43="","",ROUND($B43*($C$28-SUM($C$38:$C$40)),2))</f>
        <v/>
      </c>
      <c r="D43" s="56">
        <f>IF($B43="","",ROUND($B43*($A$13-SUM($D$38:$D$40)),2))</f>
        <v/>
      </c>
      <c r="E43" s="56">
        <f>IF(OR($C43="",$D43=""),"",ROUND($D43-$C43,2))</f>
        <v/>
      </c>
      <c r="F43" s="38" t="n"/>
      <c r="G43" s="72">
        <f>IF(OR($D43="",$A$13="",$A$13=0),"",$D43/$A$13)</f>
        <v/>
      </c>
      <c r="H43" s="73" t="inlineStr">
        <is>
          <t>% sobre o líquido: venda menos impostos, máquina e taxas</t>
        </is>
      </c>
      <c r="I43" s="46" t="n"/>
      <c r="J43" s="46" t="n"/>
      <c r="K43" s="46" t="n"/>
      <c r="L43" s="46" t="n"/>
      <c r="M43" s="46" t="n"/>
      <c r="N43" s="46" t="n"/>
      <c r="O43" s="46" t="n"/>
    </row>
    <row r="44" ht="20" customHeight="1">
      <c r="A44" s="31" t="inlineStr">
        <is>
          <t>(=) SUBTOTAL DOS CUSTOS DE VENDA</t>
        </is>
      </c>
      <c r="B44" s="32" t="n"/>
      <c r="C44" s="60">
        <f>ROUND(SUM(C38:C43),2)</f>
        <v/>
      </c>
      <c r="D44" s="60">
        <f>ROUND(SUM(D38:D43),2)</f>
        <v/>
      </c>
      <c r="E44" s="60">
        <f>ROUND($D44-$C44,2)</f>
        <v/>
      </c>
      <c r="F44" s="32" t="n"/>
      <c r="G44" s="62">
        <f>IF(OR($A$13="",$A$13=0),"",$D44/$A$13)</f>
        <v/>
      </c>
      <c r="H44" s="32" t="n"/>
      <c r="I44" s="32" t="n"/>
      <c r="J44" s="32" t="n"/>
      <c r="K44" s="32" t="n"/>
      <c r="L44" s="32" t="n"/>
      <c r="M44" s="32" t="n"/>
      <c r="N44" s="32" t="n"/>
      <c r="O44" s="32" t="n"/>
    </row>
    <row r="45" ht="24" customHeight="1">
      <c r="A45" s="79" t="inlineStr">
        <is>
          <t>(=) RECEITA LÍQUIDA</t>
        </is>
      </c>
      <c r="B45" s="64" t="n"/>
      <c r="C45" s="80">
        <f>ROUND($C$28-$C$44,2)</f>
        <v/>
      </c>
      <c r="D45" s="80">
        <f>ROUND($A$13-$D$44,2)</f>
        <v/>
      </c>
      <c r="E45" s="66">
        <f>ROUND($D$45-$C$45,2)</f>
        <v/>
      </c>
      <c r="F45" s="64" t="n"/>
      <c r="G45" s="81">
        <f>IF(OR($A$13="",$A$13=0),"",$D$45/$A$13)</f>
        <v/>
      </c>
      <c r="H45" s="82" t="inlineStr">
        <is>
          <t>É esta a base das comissões: coordenação, produção, montagem e projetista</t>
        </is>
      </c>
      <c r="I45" s="64" t="n"/>
      <c r="J45" s="64" t="n"/>
      <c r="K45" s="64" t="n"/>
      <c r="L45" s="64" t="n"/>
      <c r="M45" s="64" t="n"/>
      <c r="N45" s="64" t="n"/>
      <c r="O45" s="64" t="n"/>
    </row>
    <row r="46" ht="8" customHeight="1"/>
    <row r="47" ht="20" customHeight="1">
      <c r="A47" s="8" t="inlineStr">
        <is>
          <t xml:space="preserve">  3 · AMBIENTES, PRODUÇÃO, MONTAGEM E PROJETO          cada ambiente com quem produziu, quem montou e quem projetou · a comissão incide sobre a receita líquida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</row>
    <row r="48" ht="32" customHeight="1">
      <c r="A48" s="19" t="inlineStr">
        <is>
          <t>Ambiente</t>
        </is>
      </c>
      <c r="B48" s="19" t="inlineStr">
        <is>
          <t>% do total</t>
        </is>
      </c>
      <c r="C48" s="19" t="inlineStr">
        <is>
          <t>Valor do ambiente (R$)</t>
        </is>
      </c>
      <c r="D48" s="19" t="inlineStr">
        <is>
          <t>Produção — quem</t>
        </is>
      </c>
      <c r="E48" s="19" t="inlineStr">
        <is>
          <t>%</t>
        </is>
      </c>
      <c r="F48" s="19" t="inlineStr">
        <is>
          <t>Comissão produção (R$)</t>
        </is>
      </c>
      <c r="G48" s="19" t="inlineStr">
        <is>
          <t>Fabricado em</t>
        </is>
      </c>
      <c r="H48" s="19" t="inlineStr">
        <is>
          <t>Montagem — quem</t>
        </is>
      </c>
      <c r="I48" s="19" t="inlineStr">
        <is>
          <t>%</t>
        </is>
      </c>
      <c r="J48" s="19" t="inlineStr">
        <is>
          <t>Comissão montagem (R$)</t>
        </is>
      </c>
      <c r="K48" s="19" t="inlineStr">
        <is>
          <t>Montado em</t>
        </is>
      </c>
      <c r="L48" s="19" t="inlineStr">
        <is>
          <t>Projetista — quem</t>
        </is>
      </c>
      <c r="M48" s="19" t="inlineStr">
        <is>
          <t>%</t>
        </is>
      </c>
      <c r="N48" s="19" t="inlineStr">
        <is>
          <t>Comissão projetista (R$)</t>
        </is>
      </c>
      <c r="O48" s="19" t="inlineStr">
        <is>
          <t>Total do ambiente</t>
        </is>
      </c>
    </row>
    <row r="49" ht="18" customHeight="1">
      <c r="A49" s="83" t="n"/>
      <c r="B49" s="72">
        <f>IF(OR($C49="",$A$13="",$A$13=0),"",$C49/$A$13)</f>
        <v/>
      </c>
      <c r="C49" s="76" t="n"/>
      <c r="D49" s="83" t="n"/>
      <c r="E49" s="78" t="n"/>
      <c r="F49" s="56">
        <f>IF(OR($B49="",$E49="",$D$45=""),"",ROUND($B49*$D$45*$E49,2))</f>
        <v/>
      </c>
      <c r="G49" s="84" t="n"/>
      <c r="H49" s="83" t="n"/>
      <c r="I49" s="78" t="n"/>
      <c r="J49" s="56">
        <f>IF(OR($B49="",$I49="",$D$45=""),"",ROUND($B49*$D$45*$I49,2))</f>
        <v/>
      </c>
      <c r="K49" s="84" t="n"/>
      <c r="L49" s="83" t="n"/>
      <c r="M49" s="78" t="n"/>
      <c r="N49" s="56">
        <f>IF(OR($B49="",$M49="",$D$45=""),"",ROUND($B49*$D$45*$M49,2))</f>
        <v/>
      </c>
      <c r="O49" s="85">
        <f>IF(AND($F49="",$J49="",$N49=""),"",ROUND(IF($F49="",0,$F49)+IF($J49="",0,$J49)+IF($N49="",0,$N49),2))</f>
        <v/>
      </c>
    </row>
    <row r="50" ht="18" customHeight="1">
      <c r="A50" s="83" t="n"/>
      <c r="B50" s="72">
        <f>IF(OR($C50="",$A$13="",$A$13=0),"",$C50/$A$13)</f>
        <v/>
      </c>
      <c r="C50" s="76" t="n"/>
      <c r="D50" s="83" t="n"/>
      <c r="E50" s="78" t="n"/>
      <c r="F50" s="56">
        <f>IF(OR($B50="",$E50="",$D$45=""),"",ROUND($B50*$D$45*$E50,2))</f>
        <v/>
      </c>
      <c r="G50" s="84" t="n"/>
      <c r="H50" s="83" t="n"/>
      <c r="I50" s="78" t="n"/>
      <c r="J50" s="56">
        <f>IF(OR($B50="",$I50="",$D$45=""),"",ROUND($B50*$D$45*$I50,2))</f>
        <v/>
      </c>
      <c r="K50" s="84" t="n"/>
      <c r="L50" s="83" t="n"/>
      <c r="M50" s="78" t="n"/>
      <c r="N50" s="56">
        <f>IF(OR($B50="",$M50="",$D$45=""),"",ROUND($B50*$D$45*$M50,2))</f>
        <v/>
      </c>
      <c r="O50" s="85">
        <f>IF(AND($F50="",$J50="",$N50=""),"",ROUND(IF($F50="",0,$F50)+IF($J50="",0,$J50)+IF($N50="",0,$N50),2))</f>
        <v/>
      </c>
    </row>
    <row r="51" ht="18" customHeight="1">
      <c r="A51" s="83" t="n"/>
      <c r="B51" s="72">
        <f>IF(OR($C51="",$A$13="",$A$13=0),"",$C51/$A$13)</f>
        <v/>
      </c>
      <c r="C51" s="76" t="n"/>
      <c r="D51" s="83" t="n"/>
      <c r="E51" s="78" t="n"/>
      <c r="F51" s="56">
        <f>IF(OR($B51="",$E51="",$D$45=""),"",ROUND($B51*$D$45*$E51,2))</f>
        <v/>
      </c>
      <c r="G51" s="84" t="n"/>
      <c r="H51" s="83" t="n"/>
      <c r="I51" s="78" t="n"/>
      <c r="J51" s="56">
        <f>IF(OR($B51="",$I51="",$D$45=""),"",ROUND($B51*$D$45*$I51,2))</f>
        <v/>
      </c>
      <c r="K51" s="84" t="n"/>
      <c r="L51" s="83" t="n"/>
      <c r="M51" s="78" t="n"/>
      <c r="N51" s="56">
        <f>IF(OR($B51="",$M51="",$D$45=""),"",ROUND($B51*$D$45*$M51,2))</f>
        <v/>
      </c>
      <c r="O51" s="85">
        <f>IF(AND($F51="",$J51="",$N51=""),"",ROUND(IF($F51="",0,$F51)+IF($J51="",0,$J51)+IF($N51="",0,$N51),2))</f>
        <v/>
      </c>
    </row>
    <row r="52" ht="18" customHeight="1">
      <c r="A52" s="83" t="n"/>
      <c r="B52" s="72">
        <f>IF(OR($C52="",$A$13="",$A$13=0),"",$C52/$A$13)</f>
        <v/>
      </c>
      <c r="C52" s="76" t="n"/>
      <c r="D52" s="83" t="n"/>
      <c r="E52" s="78" t="n"/>
      <c r="F52" s="56">
        <f>IF(OR($B52="",$E52="",$D$45=""),"",ROUND($B52*$D$45*$E52,2))</f>
        <v/>
      </c>
      <c r="G52" s="84" t="n"/>
      <c r="H52" s="83" t="n"/>
      <c r="I52" s="78" t="n"/>
      <c r="J52" s="56">
        <f>IF(OR($B52="",$I52="",$D$45=""),"",ROUND($B52*$D$45*$I52,2))</f>
        <v/>
      </c>
      <c r="K52" s="84" t="n"/>
      <c r="L52" s="83" t="n"/>
      <c r="M52" s="78" t="n"/>
      <c r="N52" s="56">
        <f>IF(OR($B52="",$M52="",$D$45=""),"",ROUND($B52*$D$45*$M52,2))</f>
        <v/>
      </c>
      <c r="O52" s="85">
        <f>IF(AND($F52="",$J52="",$N52=""),"",ROUND(IF($F52="",0,$F52)+IF($J52="",0,$J52)+IF($N52="",0,$N52),2))</f>
        <v/>
      </c>
    </row>
    <row r="53" ht="18" customHeight="1">
      <c r="A53" s="83" t="n"/>
      <c r="B53" s="72">
        <f>IF(OR($C53="",$A$13="",$A$13=0),"",$C53/$A$13)</f>
        <v/>
      </c>
      <c r="C53" s="76" t="n"/>
      <c r="D53" s="83" t="n"/>
      <c r="E53" s="78" t="n"/>
      <c r="F53" s="56">
        <f>IF(OR($B53="",$E53="",$D$45=""),"",ROUND($B53*$D$45*$E53,2))</f>
        <v/>
      </c>
      <c r="G53" s="84" t="n"/>
      <c r="H53" s="83" t="n"/>
      <c r="I53" s="78" t="n"/>
      <c r="J53" s="56">
        <f>IF(OR($B53="",$I53="",$D$45=""),"",ROUND($B53*$D$45*$I53,2))</f>
        <v/>
      </c>
      <c r="K53" s="84" t="n"/>
      <c r="L53" s="83" t="n"/>
      <c r="M53" s="78" t="n"/>
      <c r="N53" s="56">
        <f>IF(OR($B53="",$M53="",$D$45=""),"",ROUND($B53*$D$45*$M53,2))</f>
        <v/>
      </c>
      <c r="O53" s="85">
        <f>IF(AND($F53="",$J53="",$N53=""),"",ROUND(IF($F53="",0,$F53)+IF($J53="",0,$J53)+IF($N53="",0,$N53),2))</f>
        <v/>
      </c>
    </row>
    <row r="54" ht="18" customHeight="1">
      <c r="A54" s="83" t="n"/>
      <c r="B54" s="72">
        <f>IF(OR($C54="",$A$13="",$A$13=0),"",$C54/$A$13)</f>
        <v/>
      </c>
      <c r="C54" s="76" t="n"/>
      <c r="D54" s="83" t="n"/>
      <c r="E54" s="78" t="n"/>
      <c r="F54" s="56">
        <f>IF(OR($B54="",$E54="",$D$45=""),"",ROUND($B54*$D$45*$E54,2))</f>
        <v/>
      </c>
      <c r="G54" s="84" t="n"/>
      <c r="H54" s="83" t="n"/>
      <c r="I54" s="78" t="n"/>
      <c r="J54" s="56">
        <f>IF(OR($B54="",$I54="",$D$45=""),"",ROUND($B54*$D$45*$I54,2))</f>
        <v/>
      </c>
      <c r="K54" s="84" t="n"/>
      <c r="L54" s="83" t="n"/>
      <c r="M54" s="78" t="n"/>
      <c r="N54" s="56">
        <f>IF(OR($B54="",$M54="",$D$45=""),"",ROUND($B54*$D$45*$M54,2))</f>
        <v/>
      </c>
      <c r="O54" s="85">
        <f>IF(AND($F54="",$J54="",$N54=""),"",ROUND(IF($F54="",0,$F54)+IF($J54="",0,$J54)+IF($N54="",0,$N54),2))</f>
        <v/>
      </c>
    </row>
    <row r="55" ht="18" customHeight="1">
      <c r="A55" s="83" t="n"/>
      <c r="B55" s="72">
        <f>IF(OR($C55="",$A$13="",$A$13=0),"",$C55/$A$13)</f>
        <v/>
      </c>
      <c r="C55" s="76" t="n"/>
      <c r="D55" s="83" t="n"/>
      <c r="E55" s="78" t="n"/>
      <c r="F55" s="56">
        <f>IF(OR($B55="",$E55="",$D$45=""),"",ROUND($B55*$D$45*$E55,2))</f>
        <v/>
      </c>
      <c r="G55" s="84" t="n"/>
      <c r="H55" s="83" t="n"/>
      <c r="I55" s="78" t="n"/>
      <c r="J55" s="56">
        <f>IF(OR($B55="",$I55="",$D$45=""),"",ROUND($B55*$D$45*$I55,2))</f>
        <v/>
      </c>
      <c r="K55" s="84" t="n"/>
      <c r="L55" s="83" t="n"/>
      <c r="M55" s="78" t="n"/>
      <c r="N55" s="56">
        <f>IF(OR($B55="",$M55="",$D$45=""),"",ROUND($B55*$D$45*$M55,2))</f>
        <v/>
      </c>
      <c r="O55" s="85">
        <f>IF(AND($F55="",$J55="",$N55=""),"",ROUND(IF($F55="",0,$F55)+IF($J55="",0,$J55)+IF($N55="",0,$N55),2))</f>
        <v/>
      </c>
    </row>
    <row r="56" ht="18" customHeight="1">
      <c r="A56" s="83" t="n"/>
      <c r="B56" s="72">
        <f>IF(OR($C56="",$A$13="",$A$13=0),"",$C56/$A$13)</f>
        <v/>
      </c>
      <c r="C56" s="76" t="n"/>
      <c r="D56" s="83" t="n"/>
      <c r="E56" s="78" t="n"/>
      <c r="F56" s="56">
        <f>IF(OR($B56="",$E56="",$D$45=""),"",ROUND($B56*$D$45*$E56,2))</f>
        <v/>
      </c>
      <c r="G56" s="84" t="n"/>
      <c r="H56" s="83" t="n"/>
      <c r="I56" s="78" t="n"/>
      <c r="J56" s="56">
        <f>IF(OR($B56="",$I56="",$D$45=""),"",ROUND($B56*$D$45*$I56,2))</f>
        <v/>
      </c>
      <c r="K56" s="84" t="n"/>
      <c r="L56" s="83" t="n"/>
      <c r="M56" s="78" t="n"/>
      <c r="N56" s="56">
        <f>IF(OR($B56="",$M56="",$D$45=""),"",ROUND($B56*$D$45*$M56,2))</f>
        <v/>
      </c>
      <c r="O56" s="85">
        <f>IF(AND($F56="",$J56="",$N56=""),"",ROUND(IF($F56="",0,$F56)+IF($J56="",0,$J56)+IF($N56="",0,$N56),2))</f>
        <v/>
      </c>
    </row>
    <row r="57" ht="18" customHeight="1">
      <c r="A57" s="83" t="n"/>
      <c r="B57" s="72">
        <f>IF(OR($C57="",$A$13="",$A$13=0),"",$C57/$A$13)</f>
        <v/>
      </c>
      <c r="C57" s="76" t="n"/>
      <c r="D57" s="83" t="n"/>
      <c r="E57" s="78" t="n"/>
      <c r="F57" s="56">
        <f>IF(OR($B57="",$E57="",$D$45=""),"",ROUND($B57*$D$45*$E57,2))</f>
        <v/>
      </c>
      <c r="G57" s="84" t="n"/>
      <c r="H57" s="83" t="n"/>
      <c r="I57" s="78" t="n"/>
      <c r="J57" s="56">
        <f>IF(OR($B57="",$I57="",$D$45=""),"",ROUND($B57*$D$45*$I57,2))</f>
        <v/>
      </c>
      <c r="K57" s="84" t="n"/>
      <c r="L57" s="83" t="n"/>
      <c r="M57" s="78" t="n"/>
      <c r="N57" s="56">
        <f>IF(OR($B57="",$M57="",$D$45=""),"",ROUND($B57*$D$45*$M57,2))</f>
        <v/>
      </c>
      <c r="O57" s="85">
        <f>IF(AND($F57="",$J57="",$N57=""),"",ROUND(IF($F57="",0,$F57)+IF($J57="",0,$J57)+IF($N57="",0,$N57),2))</f>
        <v/>
      </c>
    </row>
    <row r="58" ht="18" customHeight="1">
      <c r="A58" s="83" t="n"/>
      <c r="B58" s="72">
        <f>IF(OR($C58="",$A$13="",$A$13=0),"",$C58/$A$13)</f>
        <v/>
      </c>
      <c r="C58" s="76" t="n"/>
      <c r="D58" s="83" t="n"/>
      <c r="E58" s="78" t="n"/>
      <c r="F58" s="56">
        <f>IF(OR($B58="",$E58="",$D$45=""),"",ROUND($B58*$D$45*$E58,2))</f>
        <v/>
      </c>
      <c r="G58" s="84" t="n"/>
      <c r="H58" s="83" t="n"/>
      <c r="I58" s="78" t="n"/>
      <c r="J58" s="56">
        <f>IF(OR($B58="",$I58="",$D$45=""),"",ROUND($B58*$D$45*$I58,2))</f>
        <v/>
      </c>
      <c r="K58" s="84" t="n"/>
      <c r="L58" s="83" t="n"/>
      <c r="M58" s="78" t="n"/>
      <c r="N58" s="56">
        <f>IF(OR($B58="",$M58="",$D$45=""),"",ROUND($B58*$D$45*$M58,2))</f>
        <v/>
      </c>
      <c r="O58" s="85">
        <f>IF(AND($F58="",$J58="",$N58=""),"",ROUND(IF($F58="",0,$F58)+IF($J58="",0,$J58)+IF($N58="",0,$N58),2))</f>
        <v/>
      </c>
    </row>
    <row r="59" ht="18" customHeight="1">
      <c r="A59" s="83" t="n"/>
      <c r="B59" s="72">
        <f>IF(OR($C59="",$A$13="",$A$13=0),"",$C59/$A$13)</f>
        <v/>
      </c>
      <c r="C59" s="76" t="n"/>
      <c r="D59" s="83" t="n"/>
      <c r="E59" s="78" t="n"/>
      <c r="F59" s="56">
        <f>IF(OR($B59="",$E59="",$D$45=""),"",ROUND($B59*$D$45*$E59,2))</f>
        <v/>
      </c>
      <c r="G59" s="84" t="n"/>
      <c r="H59" s="83" t="n"/>
      <c r="I59" s="78" t="n"/>
      <c r="J59" s="56">
        <f>IF(OR($B59="",$I59="",$D$45=""),"",ROUND($B59*$D$45*$I59,2))</f>
        <v/>
      </c>
      <c r="K59" s="84" t="n"/>
      <c r="L59" s="83" t="n"/>
      <c r="M59" s="78" t="n"/>
      <c r="N59" s="56">
        <f>IF(OR($B59="",$M59="",$D$45=""),"",ROUND($B59*$D$45*$M59,2))</f>
        <v/>
      </c>
      <c r="O59" s="85">
        <f>IF(AND($F59="",$J59="",$N59=""),"",ROUND(IF($F59="",0,$F59)+IF($J59="",0,$J59)+IF($N59="",0,$N59),2))</f>
        <v/>
      </c>
    </row>
    <row r="60" ht="18" customHeight="1">
      <c r="A60" s="83" t="n"/>
      <c r="B60" s="72">
        <f>IF(OR($C60="",$A$13="",$A$13=0),"",$C60/$A$13)</f>
        <v/>
      </c>
      <c r="C60" s="76" t="n"/>
      <c r="D60" s="83" t="n"/>
      <c r="E60" s="78" t="n"/>
      <c r="F60" s="56">
        <f>IF(OR($B60="",$E60="",$D$45=""),"",ROUND($B60*$D$45*$E60,2))</f>
        <v/>
      </c>
      <c r="G60" s="84" t="n"/>
      <c r="H60" s="83" t="n"/>
      <c r="I60" s="78" t="n"/>
      <c r="J60" s="56">
        <f>IF(OR($B60="",$I60="",$D$45=""),"",ROUND($B60*$D$45*$I60,2))</f>
        <v/>
      </c>
      <c r="K60" s="84" t="n"/>
      <c r="L60" s="83" t="n"/>
      <c r="M60" s="78" t="n"/>
      <c r="N60" s="56">
        <f>IF(OR($B60="",$M60="",$D$45=""),"",ROUND($B60*$D$45*$M60,2))</f>
        <v/>
      </c>
      <c r="O60" s="85">
        <f>IF(AND($F60="",$J60="",$N60=""),"",ROUND(IF($F60="",0,$F60)+IF($J60="",0,$J60)+IF($N60="",0,$N60),2))</f>
        <v/>
      </c>
    </row>
    <row r="61" ht="20" customHeight="1">
      <c r="A61" s="31" t="inlineStr">
        <is>
          <t>SOMA DOS AMBIENTES</t>
        </is>
      </c>
      <c r="B61" s="62">
        <f>IF($A$13=0,"",$C$61/$A$13)</f>
        <v/>
      </c>
      <c r="C61" s="60">
        <f>ROUND(SUM(C49:C60),2)</f>
        <v/>
      </c>
      <c r="D61" s="86">
        <f>IF($C$61=0,"—",IF(ROUND($C$61-$A$13,2)=0,"OK · os ambientes somam o valor de venda","ATENÇÃO: diferença de "&amp;TEXT($C$61-$A$13,"R$ #,##0.00")))</f>
        <v/>
      </c>
      <c r="E61" s="32" t="n"/>
      <c r="F61" s="60">
        <f>ROUND(SUM(F49:F60),2)</f>
        <v/>
      </c>
      <c r="G61" s="32" t="n"/>
      <c r="H61" s="32" t="n"/>
      <c r="I61" s="32" t="n"/>
      <c r="J61" s="60">
        <f>ROUND(SUM(J49:J60),2)</f>
        <v/>
      </c>
      <c r="K61" s="32" t="n"/>
      <c r="L61" s="32" t="n"/>
      <c r="M61" s="32" t="n"/>
      <c r="N61" s="60">
        <f>ROUND(SUM(N49:N60),2)</f>
        <v/>
      </c>
      <c r="O61" s="60">
        <f>ROUND(SUM(O49:O60),2)</f>
        <v/>
      </c>
    </row>
    <row r="62" ht="8" customHeight="1"/>
    <row r="63" ht="20" customHeight="1">
      <c r="A63" s="8" t="inlineStr">
        <is>
          <t xml:space="preserve">  4 · COMISSÕES OPERACIONAIS          calculadas sobre a RECEITA LÍQUIDA · o realizado vem dos ambientes acima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</row>
    <row r="64" ht="26" customHeight="1">
      <c r="A64" s="19" t="inlineStr">
        <is>
          <t>Item</t>
        </is>
      </c>
      <c r="B64" s="19" t="inlineStr">
        <is>
          <t>%</t>
        </is>
      </c>
      <c r="C64" s="19" t="inlineStr">
        <is>
          <t>Orçado (R$)</t>
        </is>
      </c>
      <c r="D64" s="19" t="inlineStr">
        <is>
          <t>Realizado (R$)</t>
        </is>
      </c>
      <c r="E64" s="19" t="inlineStr">
        <is>
          <t>Desvio (R$)</t>
        </is>
      </c>
      <c r="F64" s="35" t="n"/>
      <c r="G64" s="19" t="inlineStr">
        <is>
          <t>% da venda</t>
        </is>
      </c>
      <c r="H64" s="19" t="inlineStr">
        <is>
          <t>Observação</t>
        </is>
      </c>
      <c r="I64" s="35" t="n"/>
      <c r="J64" s="35" t="n"/>
      <c r="K64" s="35" t="n"/>
      <c r="L64" s="35" t="n"/>
      <c r="M64" s="35" t="n"/>
      <c r="N64" s="35" t="n"/>
      <c r="O64" s="35" t="n"/>
    </row>
    <row r="65" ht="17" customHeight="1">
      <c r="A65" s="36" t="inlineStr">
        <is>
          <t>Coordenação de produção</t>
        </is>
      </c>
      <c r="B65" s="78" t="n"/>
      <c r="C65" s="56">
        <f>IF($B65="","",ROUND($B65*$C$45,2))</f>
        <v/>
      </c>
      <c r="D65" s="56">
        <f>IF($B65="","",ROUND($B65*$D$45,2))</f>
        <v/>
      </c>
      <c r="E65" s="56">
        <f>IF(OR($C65="",$D65=""),"",ROUND($D65-$C65,2))</f>
        <v/>
      </c>
      <c r="F65" s="38" t="n"/>
      <c r="G65" s="72">
        <f>IF(OR($D65="",$A$13="",$A$13=0),"",$D65/$A$13)</f>
        <v/>
      </c>
      <c r="H65" s="73" t="inlineStr">
        <is>
          <t>quem coordena está na identificação, no topo da ficha</t>
        </is>
      </c>
      <c r="I65" s="46" t="n"/>
      <c r="J65" s="46" t="n"/>
      <c r="K65" s="46" t="n"/>
      <c r="L65" s="46" t="n"/>
      <c r="M65" s="46" t="n"/>
      <c r="N65" s="46" t="n"/>
      <c r="O65" s="46" t="n"/>
    </row>
    <row r="66" ht="17" customHeight="1">
      <c r="A66" s="36" t="inlineStr">
        <is>
          <t>Gestão técnica</t>
        </is>
      </c>
      <c r="B66" s="78" t="n">
        <v>0.005</v>
      </c>
      <c r="C66" s="56">
        <f>IF($B66="","",ROUND($B66*$C$45,2))</f>
        <v/>
      </c>
      <c r="D66" s="56">
        <f>IF($B66="","",ROUND($B66*$D$45,2))</f>
        <v/>
      </c>
      <c r="E66" s="56">
        <f>IF(OR($C66="",$D66=""),"",ROUND($D66-$C66,2))</f>
        <v/>
      </c>
      <c r="F66" s="38" t="n"/>
      <c r="G66" s="72">
        <f>IF(OR($D66="",$A$13="",$A$13=0),"",$D66/$A$13)</f>
        <v/>
      </c>
      <c r="H66" s="73" t="n"/>
      <c r="I66" s="46" t="n"/>
      <c r="J66" s="46" t="n"/>
      <c r="K66" s="46" t="n"/>
      <c r="L66" s="46" t="n"/>
      <c r="M66" s="46" t="n"/>
      <c r="N66" s="46" t="n"/>
      <c r="O66" s="46" t="n"/>
    </row>
    <row r="67" ht="17" customHeight="1">
      <c r="A67" s="36" t="inlineStr">
        <is>
          <t>Comissão de produção</t>
        </is>
      </c>
      <c r="B67" s="78" t="n"/>
      <c r="C67" s="56">
        <f>IF($B67="","",ROUND($B67*$C$45,2))</f>
        <v/>
      </c>
      <c r="D67" s="56">
        <f>IF($F$61=0,"",$F$61)</f>
        <v/>
      </c>
      <c r="E67" s="56">
        <f>IF(OR($C67="",$D67=""),"",ROUND($D67-$C67,2))</f>
        <v/>
      </c>
      <c r="F67" s="38" t="n"/>
      <c r="G67" s="72">
        <f>IF(OR($D67="",$A$13="",$A$13=0),"",$D67/$A$13)</f>
        <v/>
      </c>
      <c r="H67" s="73" t="inlineStr">
        <is>
          <t>orçado = % único estimado · realizado = soma dos ambientes</t>
        </is>
      </c>
      <c r="I67" s="46" t="n"/>
      <c r="J67" s="46" t="n"/>
      <c r="K67" s="46" t="n"/>
      <c r="L67" s="46" t="n"/>
      <c r="M67" s="46" t="n"/>
      <c r="N67" s="46" t="n"/>
      <c r="O67" s="46" t="n"/>
    </row>
    <row r="68" ht="17" customHeight="1">
      <c r="A68" s="36" t="inlineStr">
        <is>
          <t>Comissão de montagem</t>
        </is>
      </c>
      <c r="B68" s="78" t="n"/>
      <c r="C68" s="56">
        <f>IF($B68="","",ROUND($B68*$C$45,2))</f>
        <v/>
      </c>
      <c r="D68" s="56">
        <f>IF($J$61=0,"",$J$61)</f>
        <v/>
      </c>
      <c r="E68" s="56">
        <f>IF(OR($C68="",$D68=""),"",ROUND($D68-$C68,2))</f>
        <v/>
      </c>
      <c r="F68" s="38" t="n"/>
      <c r="G68" s="72">
        <f>IF(OR($D68="",$A$13="",$A$13=0),"",$D68/$A$13)</f>
        <v/>
      </c>
      <c r="H68" s="73" t="inlineStr">
        <is>
          <t>orçado = % único estimado · realizado = soma dos ambientes</t>
        </is>
      </c>
      <c r="I68" s="46" t="n"/>
      <c r="J68" s="46" t="n"/>
      <c r="K68" s="46" t="n"/>
      <c r="L68" s="46" t="n"/>
      <c r="M68" s="46" t="n"/>
      <c r="N68" s="46" t="n"/>
      <c r="O68" s="46" t="n"/>
    </row>
    <row r="69" ht="17" customHeight="1">
      <c r="A69" s="36" t="inlineStr">
        <is>
          <t>Comissão de projetista</t>
        </is>
      </c>
      <c r="B69" s="78" t="n"/>
      <c r="C69" s="56">
        <f>IF($B69="","",ROUND($B69*$C$45,2))</f>
        <v/>
      </c>
      <c r="D69" s="56">
        <f>IF($N$61=0,"",$N$61)</f>
        <v/>
      </c>
      <c r="E69" s="56">
        <f>IF(OR($C69="",$D69=""),"",ROUND($D69-$C69,2))</f>
        <v/>
      </c>
      <c r="F69" s="38" t="n"/>
      <c r="G69" s="72">
        <f>IF(OR($D69="",$A$13="",$A$13=0),"",$D69/$A$13)</f>
        <v/>
      </c>
      <c r="H69" s="73" t="inlineStr">
        <is>
          <t>quem projetou cada ambiente está na coluna L do bloco 3</t>
        </is>
      </c>
      <c r="I69" s="46" t="n"/>
      <c r="J69" s="46" t="n"/>
      <c r="K69" s="46" t="n"/>
      <c r="L69" s="46" t="n"/>
      <c r="M69" s="46" t="n"/>
      <c r="N69" s="46" t="n"/>
      <c r="O69" s="46" t="n"/>
    </row>
    <row r="70" ht="20" customHeight="1">
      <c r="A70" s="31" t="inlineStr">
        <is>
          <t>(=) SUBTOTAL DAS COMISSÕES</t>
        </is>
      </c>
      <c r="B70" s="32" t="n"/>
      <c r="C70" s="60">
        <f>ROUND(SUM(C65:C69),2)</f>
        <v/>
      </c>
      <c r="D70" s="60">
        <f>ROUND(SUM(D65:D69),2)</f>
        <v/>
      </c>
      <c r="E70" s="60">
        <f>ROUND($D70-$C70,2)</f>
        <v/>
      </c>
      <c r="F70" s="32" t="n"/>
      <c r="G70" s="62">
        <f>IF(OR($A$13="",$A$13=0),"",$D70/$A$13)</f>
        <v/>
      </c>
      <c r="H70" s="32" t="n"/>
      <c r="I70" s="32" t="n"/>
      <c r="J70" s="32" t="n"/>
      <c r="K70" s="32" t="n"/>
      <c r="L70" s="32" t="n"/>
      <c r="M70" s="32" t="n"/>
      <c r="N70" s="32" t="n"/>
      <c r="O70" s="32" t="n"/>
    </row>
    <row r="71" ht="8" customHeight="1"/>
    <row r="72" ht="20" customHeight="1">
      <c r="A72" s="8" t="inlineStr">
        <is>
          <t xml:space="preserve">  5 · COMISSÕES POR COLABORADOR          consolidado automático — quem produziu, quem montou, quem projetou e o coordenador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</row>
    <row r="73" ht="26" customHeight="1">
      <c r="A73" s="19" t="inlineStr">
        <is>
          <t>Colaborador</t>
        </is>
      </c>
      <c r="B73" s="19" t="inlineStr">
        <is>
          <t>Produção (R$)</t>
        </is>
      </c>
      <c r="C73" s="35" t="n"/>
      <c r="D73" s="19" t="inlineStr">
        <is>
          <t>Montagem (R$)</t>
        </is>
      </c>
      <c r="E73" s="35" t="n"/>
      <c r="F73" s="19" t="inlineStr">
        <is>
          <t>Projeto (R$)</t>
        </is>
      </c>
      <c r="G73" s="35" t="n"/>
      <c r="H73" s="19" t="inlineStr">
        <is>
          <t>Coordenação / Gestão técnica (R$)</t>
        </is>
      </c>
      <c r="I73" s="35" t="n"/>
      <c r="J73" s="19" t="inlineStr">
        <is>
          <t>Total no projeto (R$)</t>
        </is>
      </c>
      <c r="K73" s="35" t="n"/>
      <c r="L73" s="35" t="n"/>
      <c r="M73" s="35" t="n"/>
    </row>
    <row r="74" ht="17" customHeight="1">
      <c r="A74" s="87" t="inlineStr">
        <is>
          <t>Deivison</t>
        </is>
      </c>
      <c r="B74" s="56">
        <f>IF($A74="","",ROUND(SUMIF($D$49:$D$60,$A74,$F$49:$F$60),2))</f>
        <v/>
      </c>
      <c r="C74" s="38" t="n"/>
      <c r="D74" s="56">
        <f>IF($A74="","",ROUND(SUMIF($H$49:$H$60,$A74,$J$49:$J$60),2))</f>
        <v/>
      </c>
      <c r="E74" s="38" t="n"/>
      <c r="F74" s="56">
        <f>IF($A74="","",ROUND(SUMIF($L$49:$L$60,$A74,$N$49:$N$60),2))</f>
        <v/>
      </c>
      <c r="G74" s="38" t="n"/>
      <c r="H74" s="56">
        <f>IF($A74="","",IF($A74=$F$9,IF($D$65="",0,$D$65),0)+IF($A74=$H$66,IF($D$66="",0,$D$66),0))</f>
        <v/>
      </c>
      <c r="I74" s="38" t="n"/>
      <c r="J74" s="88">
        <f>IF($A74="","",ROUND($B74+$D74+$F74+$H74,2))</f>
        <v/>
      </c>
      <c r="K74" s="38" t="n"/>
      <c r="L74" s="38" t="n"/>
      <c r="M74" s="38" t="n"/>
    </row>
    <row r="75" ht="17" customHeight="1">
      <c r="A75" s="87" t="inlineStr">
        <is>
          <t>Ronald</t>
        </is>
      </c>
      <c r="B75" s="56">
        <f>IF($A75="","",ROUND(SUMIF($D$49:$D$60,$A75,$F$49:$F$60),2))</f>
        <v/>
      </c>
      <c r="C75" s="38" t="n"/>
      <c r="D75" s="56">
        <f>IF($A75="","",ROUND(SUMIF($H$49:$H$60,$A75,$J$49:$J$60),2))</f>
        <v/>
      </c>
      <c r="E75" s="38" t="n"/>
      <c r="F75" s="56">
        <f>IF($A75="","",ROUND(SUMIF($L$49:$L$60,$A75,$N$49:$N$60),2))</f>
        <v/>
      </c>
      <c r="G75" s="38" t="n"/>
      <c r="H75" s="56">
        <f>IF($A75="","",IF($A75=$F$9,IF($D$65="",0,$D$65),0)+IF($A75=$H$66,IF($D$66="",0,$D$66),0))</f>
        <v/>
      </c>
      <c r="I75" s="38" t="n"/>
      <c r="J75" s="88">
        <f>IF($A75="","",ROUND($B75+$D75+$F75+$H75,2))</f>
        <v/>
      </c>
      <c r="K75" s="38" t="n"/>
      <c r="L75" s="38" t="n"/>
      <c r="M75" s="38" t="n"/>
    </row>
    <row r="76" ht="17" customHeight="1">
      <c r="A76" s="87" t="inlineStr">
        <is>
          <t>Samuel</t>
        </is>
      </c>
      <c r="B76" s="56">
        <f>IF($A76="","",ROUND(SUMIF($D$49:$D$60,$A76,$F$49:$F$60),2))</f>
        <v/>
      </c>
      <c r="C76" s="38" t="n"/>
      <c r="D76" s="56">
        <f>IF($A76="","",ROUND(SUMIF($H$49:$H$60,$A76,$J$49:$J$60),2))</f>
        <v/>
      </c>
      <c r="E76" s="38" t="n"/>
      <c r="F76" s="56">
        <f>IF($A76="","",ROUND(SUMIF($L$49:$L$60,$A76,$N$49:$N$60),2))</f>
        <v/>
      </c>
      <c r="G76" s="38" t="n"/>
      <c r="H76" s="56">
        <f>IF($A76="","",IF($A76=$F$9,IF($D$65="",0,$D$65),0)+IF($A76=$H$66,IF($D$66="",0,$D$66),0))</f>
        <v/>
      </c>
      <c r="I76" s="38" t="n"/>
      <c r="J76" s="88">
        <f>IF($A76="","",ROUND($B76+$D76+$F76+$H76,2))</f>
        <v/>
      </c>
      <c r="K76" s="38" t="n"/>
      <c r="L76" s="38" t="n"/>
      <c r="M76" s="38" t="n"/>
    </row>
    <row r="77" ht="17" customHeight="1">
      <c r="A77" s="87" t="inlineStr">
        <is>
          <t>Cesar</t>
        </is>
      </c>
      <c r="B77" s="56">
        <f>IF($A77="","",ROUND(SUMIF($D$49:$D$60,$A77,$F$49:$F$60),2))</f>
        <v/>
      </c>
      <c r="C77" s="38" t="n"/>
      <c r="D77" s="56">
        <f>IF($A77="","",ROUND(SUMIF($H$49:$H$60,$A77,$J$49:$J$60),2))</f>
        <v/>
      </c>
      <c r="E77" s="38" t="n"/>
      <c r="F77" s="56">
        <f>IF($A77="","",ROUND(SUMIF($L$49:$L$60,$A77,$N$49:$N$60),2))</f>
        <v/>
      </c>
      <c r="G77" s="38" t="n"/>
      <c r="H77" s="56">
        <f>IF($A77="","",IF($A77=$F$9,IF($D$65="",0,$D$65),0)+IF($A77=$H$66,IF($D$66="",0,$D$66),0))</f>
        <v/>
      </c>
      <c r="I77" s="38" t="n"/>
      <c r="J77" s="88">
        <f>IF($A77="","",ROUND($B77+$D77+$F77+$H77,2))</f>
        <v/>
      </c>
      <c r="K77" s="38" t="n"/>
      <c r="L77" s="38" t="n"/>
      <c r="M77" s="38" t="n"/>
    </row>
    <row r="78" ht="17" customHeight="1">
      <c r="A78" s="87" t="inlineStr">
        <is>
          <t>Jhon</t>
        </is>
      </c>
      <c r="B78" s="56">
        <f>IF($A78="","",ROUND(SUMIF($D$49:$D$60,$A78,$F$49:$F$60),2))</f>
        <v/>
      </c>
      <c r="C78" s="38" t="n"/>
      <c r="D78" s="56">
        <f>IF($A78="","",ROUND(SUMIF($H$49:$H$60,$A78,$J$49:$J$60),2))</f>
        <v/>
      </c>
      <c r="E78" s="38" t="n"/>
      <c r="F78" s="56">
        <f>IF($A78="","",ROUND(SUMIF($L$49:$L$60,$A78,$N$49:$N$60),2))</f>
        <v/>
      </c>
      <c r="G78" s="38" t="n"/>
      <c r="H78" s="56">
        <f>IF($A78="","",IF($A78=$F$9,IF($D$65="",0,$D$65),0)+IF($A78=$H$66,IF($D$66="",0,$D$66),0))</f>
        <v/>
      </c>
      <c r="I78" s="38" t="n"/>
      <c r="J78" s="88">
        <f>IF($A78="","",ROUND($B78+$D78+$F78+$H78,2))</f>
        <v/>
      </c>
      <c r="K78" s="38" t="n"/>
      <c r="L78" s="38" t="n"/>
      <c r="M78" s="38" t="n"/>
    </row>
    <row r="79" ht="17" customHeight="1">
      <c r="A79" s="87" t="inlineStr">
        <is>
          <t>Joelson</t>
        </is>
      </c>
      <c r="B79" s="56">
        <f>IF($A79="","",ROUND(SUMIF($D$49:$D$60,$A79,$F$49:$F$60),2))</f>
        <v/>
      </c>
      <c r="C79" s="38" t="n"/>
      <c r="D79" s="56">
        <f>IF($A79="","",ROUND(SUMIF($H$49:$H$60,$A79,$J$49:$J$60),2))</f>
        <v/>
      </c>
      <c r="E79" s="38" t="n"/>
      <c r="F79" s="56">
        <f>IF($A79="","",ROUND(SUMIF($L$49:$L$60,$A79,$N$49:$N$60),2))</f>
        <v/>
      </c>
      <c r="G79" s="38" t="n"/>
      <c r="H79" s="56">
        <f>IF($A79="","",IF($A79=$F$9,IF($D$65="",0,$D$65),0)+IF($A79=$H$66,IF($D$66="",0,$D$66),0))</f>
        <v/>
      </c>
      <c r="I79" s="38" t="n"/>
      <c r="J79" s="88">
        <f>IF($A79="","",ROUND($B79+$D79+$F79+$H79,2))</f>
        <v/>
      </c>
      <c r="K79" s="38" t="n"/>
      <c r="L79" s="38" t="n"/>
      <c r="M79" s="38" t="n"/>
    </row>
    <row r="80" ht="17" customHeight="1">
      <c r="A80" s="87" t="inlineStr">
        <is>
          <t>Davi</t>
        </is>
      </c>
      <c r="B80" s="56">
        <f>IF($A80="","",ROUND(SUMIF($D$49:$D$60,$A80,$F$49:$F$60),2))</f>
        <v/>
      </c>
      <c r="C80" s="38" t="n"/>
      <c r="D80" s="56">
        <f>IF($A80="","",ROUND(SUMIF($H$49:$H$60,$A80,$J$49:$J$60),2))</f>
        <v/>
      </c>
      <c r="E80" s="38" t="n"/>
      <c r="F80" s="56">
        <f>IF($A80="","",ROUND(SUMIF($L$49:$L$60,$A80,$N$49:$N$60),2))</f>
        <v/>
      </c>
      <c r="G80" s="38" t="n"/>
      <c r="H80" s="56">
        <f>IF($A80="","",IF($A80=$F$9,IF($D$65="",0,$D$65),0)+IF($A80=$H$66,IF($D$66="",0,$D$66),0))</f>
        <v/>
      </c>
      <c r="I80" s="38" t="n"/>
      <c r="J80" s="88">
        <f>IF($A80="","",ROUND($B80+$D80+$F80+$H80,2))</f>
        <v/>
      </c>
      <c r="K80" s="38" t="n"/>
      <c r="L80" s="38" t="n"/>
      <c r="M80" s="38" t="n"/>
    </row>
    <row r="81" ht="17" customHeight="1">
      <c r="A81" s="87" t="inlineStr">
        <is>
          <t>Jomar</t>
        </is>
      </c>
      <c r="B81" s="56">
        <f>IF($A81="","",ROUND(SUMIF($D$49:$D$60,$A81,$F$49:$F$60),2))</f>
        <v/>
      </c>
      <c r="C81" s="38" t="n"/>
      <c r="D81" s="56">
        <f>IF($A81="","",ROUND(SUMIF($H$49:$H$60,$A81,$J$49:$J$60),2))</f>
        <v/>
      </c>
      <c r="E81" s="38" t="n"/>
      <c r="F81" s="56">
        <f>IF($A81="","",ROUND(SUMIF($L$49:$L$60,$A81,$N$49:$N$60),2))</f>
        <v/>
      </c>
      <c r="G81" s="38" t="n"/>
      <c r="H81" s="56">
        <f>IF($A81="","",IF($A81=$F$9,IF($D$65="",0,$D$65),0)+IF($A81=$H$66,IF($D$66="",0,$D$66),0))</f>
        <v/>
      </c>
      <c r="I81" s="38" t="n"/>
      <c r="J81" s="88">
        <f>IF($A81="","",ROUND($B81+$D81+$F81+$H81,2))</f>
        <v/>
      </c>
      <c r="K81" s="38" t="n"/>
      <c r="L81" s="38" t="n"/>
      <c r="M81" s="38" t="n"/>
    </row>
    <row r="82" ht="17" customHeight="1">
      <c r="A82" s="87" t="inlineStr">
        <is>
          <t>Bruno</t>
        </is>
      </c>
      <c r="B82" s="56">
        <f>IF($A82="","",ROUND(SUMIF($D$49:$D$60,$A82,$F$49:$F$60),2))</f>
        <v/>
      </c>
      <c r="C82" s="38" t="n"/>
      <c r="D82" s="56">
        <f>IF($A82="","",ROUND(SUMIF($H$49:$H$60,$A82,$J$49:$J$60),2))</f>
        <v/>
      </c>
      <c r="E82" s="38" t="n"/>
      <c r="F82" s="56">
        <f>IF($A82="","",ROUND(SUMIF($L$49:$L$60,$A82,$N$49:$N$60),2))</f>
        <v/>
      </c>
      <c r="G82" s="38" t="n"/>
      <c r="H82" s="56">
        <f>IF($A82="","",IF($A82=$F$9,IF($D$65="",0,$D$65),0)+IF($A82=$H$66,IF($D$66="",0,$D$66),0))</f>
        <v/>
      </c>
      <c r="I82" s="38" t="n"/>
      <c r="J82" s="88">
        <f>IF($A82="","",ROUND($B82+$D82+$F82+$H82,2))</f>
        <v/>
      </c>
      <c r="K82" s="38" t="n"/>
      <c r="L82" s="38" t="n"/>
      <c r="M82" s="38" t="n"/>
    </row>
    <row r="83" ht="17" customHeight="1">
      <c r="A83" s="87" t="inlineStr">
        <is>
          <t>Wallace</t>
        </is>
      </c>
      <c r="B83" s="56">
        <f>IF($A83="","",ROUND(SUMIF($D$49:$D$60,$A83,$F$49:$F$60),2))</f>
        <v/>
      </c>
      <c r="C83" s="38" t="n"/>
      <c r="D83" s="56">
        <f>IF($A83="","",ROUND(SUMIF($H$49:$H$60,$A83,$J$49:$J$60),2))</f>
        <v/>
      </c>
      <c r="E83" s="38" t="n"/>
      <c r="F83" s="56">
        <f>IF($A83="","",ROUND(SUMIF($L$49:$L$60,$A83,$N$49:$N$60),2))</f>
        <v/>
      </c>
      <c r="G83" s="38" t="n"/>
      <c r="H83" s="56">
        <f>IF($A83="","",IF($A83=$F$9,IF($D$65="",0,$D$65),0)+IF($A83=$H$66,IF($D$66="",0,$D$66),0))</f>
        <v/>
      </c>
      <c r="I83" s="38" t="n"/>
      <c r="J83" s="88">
        <f>IF($A83="","",ROUND($B83+$D83+$F83+$H83,2))</f>
        <v/>
      </c>
      <c r="K83" s="38" t="n"/>
      <c r="L83" s="38" t="n"/>
      <c r="M83" s="38" t="n"/>
    </row>
    <row r="84" ht="17" customHeight="1">
      <c r="A84" s="87" t="inlineStr">
        <is>
          <t>Douglas</t>
        </is>
      </c>
      <c r="B84" s="56">
        <f>IF($A84="","",ROUND(SUMIF($D$49:$D$60,$A84,$F$49:$F$60),2))</f>
        <v/>
      </c>
      <c r="C84" s="38" t="n"/>
      <c r="D84" s="56">
        <f>IF($A84="","",ROUND(SUMIF($H$49:$H$60,$A84,$J$49:$J$60),2))</f>
        <v/>
      </c>
      <c r="E84" s="38" t="n"/>
      <c r="F84" s="56">
        <f>IF($A84="","",ROUND(SUMIF($L$49:$L$60,$A84,$N$49:$N$60),2))</f>
        <v/>
      </c>
      <c r="G84" s="38" t="n"/>
      <c r="H84" s="56">
        <f>IF($A84="","",IF($A84=$F$9,IF($D$65="",0,$D$65),0)+IF($A84=$H$66,IF($D$66="",0,$D$66),0))</f>
        <v/>
      </c>
      <c r="I84" s="38" t="n"/>
      <c r="J84" s="88">
        <f>IF($A84="","",ROUND($B84+$D84+$F84+$H84,2))</f>
        <v/>
      </c>
      <c r="K84" s="38" t="n"/>
      <c r="L84" s="38" t="n"/>
      <c r="M84" s="38" t="n"/>
    </row>
    <row r="85" ht="17" customHeight="1">
      <c r="A85" s="87" t="inlineStr">
        <is>
          <t>Terceiro / avulso</t>
        </is>
      </c>
      <c r="B85" s="56">
        <f>IF($A85="","",ROUND(SUMIF($D$49:$D$60,$A85,$F$49:$F$60),2))</f>
        <v/>
      </c>
      <c r="C85" s="38" t="n"/>
      <c r="D85" s="56">
        <f>IF($A85="","",ROUND(SUMIF($H$49:$H$60,$A85,$J$49:$J$60),2))</f>
        <v/>
      </c>
      <c r="E85" s="38" t="n"/>
      <c r="F85" s="56">
        <f>IF($A85="","",ROUND(SUMIF($L$49:$L$60,$A85,$N$49:$N$60),2))</f>
        <v/>
      </c>
      <c r="G85" s="38" t="n"/>
      <c r="H85" s="56">
        <f>IF($A85="","",IF($A85=$F$9,IF($D$65="",0,$D$65),0)+IF($A85=$H$66,IF($D$66="",0,$D$66),0))</f>
        <v/>
      </c>
      <c r="I85" s="38" t="n"/>
      <c r="J85" s="88">
        <f>IF($A85="","",ROUND($B85+$D85+$F85+$H85,2))</f>
        <v/>
      </c>
      <c r="K85" s="38" t="n"/>
      <c r="L85" s="38" t="n"/>
      <c r="M85" s="38" t="n"/>
    </row>
    <row r="86" ht="17" customHeight="1">
      <c r="A86" s="87" t="inlineStr">
        <is>
          <t>Lorrane</t>
        </is>
      </c>
      <c r="B86" s="56">
        <f>IF($A86="","",ROUND(SUMIF($D$49:$D$60,$A86,$F$49:$F$60),2))</f>
        <v/>
      </c>
      <c r="C86" s="38" t="n"/>
      <c r="D86" s="56">
        <f>IF($A86="","",ROUND(SUMIF($H$49:$H$60,$A86,$J$49:$J$60),2))</f>
        <v/>
      </c>
      <c r="E86" s="38" t="n"/>
      <c r="F86" s="56">
        <f>IF($A86="","",ROUND(SUMIF($L$49:$L$60,$A86,$N$49:$N$60),2))</f>
        <v/>
      </c>
      <c r="G86" s="38" t="n"/>
      <c r="H86" s="56">
        <f>IF($A86="","",IF($A86=$F$9,IF($D$65="",0,$D$65),0)+IF($A86=$H$66,IF($D$66="",0,$D$66),0))</f>
        <v/>
      </c>
      <c r="I86" s="38" t="n"/>
      <c r="J86" s="88">
        <f>IF($A86="","",ROUND($B86+$D86+$F86+$H86,2))</f>
        <v/>
      </c>
      <c r="K86" s="38" t="n"/>
      <c r="L86" s="38" t="n"/>
      <c r="M86" s="38" t="n"/>
    </row>
    <row r="87" ht="17" customHeight="1">
      <c r="A87" s="87" t="inlineStr">
        <is>
          <t>Lucas</t>
        </is>
      </c>
      <c r="B87" s="56">
        <f>IF($A87="","",ROUND(SUMIF($D$49:$D$60,$A87,$F$49:$F$60),2))</f>
        <v/>
      </c>
      <c r="C87" s="38" t="n"/>
      <c r="D87" s="56">
        <f>IF($A87="","",ROUND(SUMIF($H$49:$H$60,$A87,$J$49:$J$60),2))</f>
        <v/>
      </c>
      <c r="E87" s="38" t="n"/>
      <c r="F87" s="56">
        <f>IF($A87="","",ROUND(SUMIF($L$49:$L$60,$A87,$N$49:$N$60),2))</f>
        <v/>
      </c>
      <c r="G87" s="38" t="n"/>
      <c r="H87" s="56">
        <f>IF($A87="","",IF($A87=$F$9,IF($D$65="",0,$D$65),0)+IF($A87=$H$66,IF($D$66="",0,$D$66),0))</f>
        <v/>
      </c>
      <c r="I87" s="38" t="n"/>
      <c r="J87" s="88">
        <f>IF($A87="","",ROUND($B87+$D87+$F87+$H87,2))</f>
        <v/>
      </c>
      <c r="K87" s="38" t="n"/>
      <c r="L87" s="38" t="n"/>
      <c r="M87" s="38" t="n"/>
    </row>
    <row r="88" ht="17" customHeight="1">
      <c r="A88" s="87" t="inlineStr">
        <is>
          <t>Externo / avulso</t>
        </is>
      </c>
      <c r="B88" s="56">
        <f>IF($A88="","",ROUND(SUMIF($D$49:$D$60,$A88,$F$49:$F$60),2))</f>
        <v/>
      </c>
      <c r="C88" s="38" t="n"/>
      <c r="D88" s="56">
        <f>IF($A88="","",ROUND(SUMIF($H$49:$H$60,$A88,$J$49:$J$60),2))</f>
        <v/>
      </c>
      <c r="E88" s="38" t="n"/>
      <c r="F88" s="56">
        <f>IF($A88="","",ROUND(SUMIF($L$49:$L$60,$A88,$N$49:$N$60),2))</f>
        <v/>
      </c>
      <c r="G88" s="38" t="n"/>
      <c r="H88" s="56">
        <f>IF($A88="","",IF($A88=$F$9,IF($D$65="",0,$D$65),0)+IF($A88=$H$66,IF($D$66="",0,$D$66),0))</f>
        <v/>
      </c>
      <c r="I88" s="38" t="n"/>
      <c r="J88" s="88">
        <f>IF($A88="","",ROUND($B88+$D88+$F88+$H88,2))</f>
        <v/>
      </c>
      <c r="K88" s="38" t="n"/>
      <c r="L88" s="38" t="n"/>
      <c r="M88" s="38" t="n"/>
    </row>
    <row r="89" ht="17" customHeight="1">
      <c r="A89" s="87" t="inlineStr">
        <is>
          <t>Bruna</t>
        </is>
      </c>
      <c r="B89" s="56">
        <f>IF($A89="","",ROUND(SUMIF($D$49:$D$60,$A89,$F$49:$F$60),2))</f>
        <v/>
      </c>
      <c r="C89" s="38" t="n"/>
      <c r="D89" s="56">
        <f>IF($A89="","",ROUND(SUMIF($H$49:$H$60,$A89,$J$49:$J$60),2))</f>
        <v/>
      </c>
      <c r="E89" s="38" t="n"/>
      <c r="F89" s="56">
        <f>IF($A89="","",ROUND(SUMIF($L$49:$L$60,$A89,$N$49:$N$60),2))</f>
        <v/>
      </c>
      <c r="G89" s="38" t="n"/>
      <c r="H89" s="56">
        <f>IF($A89="","",IF($A89=$F$9,IF($D$65="",0,$D$65),0)+IF($A89=$H$66,IF($D$66="",0,$D$66),0))</f>
        <v/>
      </c>
      <c r="I89" s="38" t="n"/>
      <c r="J89" s="88">
        <f>IF($A89="","",ROUND($B89+$D89+$F89+$H89,2))</f>
        <v/>
      </c>
      <c r="K89" s="38" t="n"/>
      <c r="L89" s="38" t="n"/>
      <c r="M89" s="38" t="n"/>
    </row>
    <row r="90" ht="17" customHeight="1">
      <c r="A90" s="87" t="n"/>
      <c r="B90" s="56">
        <f>IF($A90="","",ROUND(SUMIF($D$49:$D$60,$A90,$F$49:$F$60),2))</f>
        <v/>
      </c>
      <c r="C90" s="38" t="n"/>
      <c r="D90" s="56">
        <f>IF($A90="","",ROUND(SUMIF($H$49:$H$60,$A90,$J$49:$J$60),2))</f>
        <v/>
      </c>
      <c r="E90" s="38" t="n"/>
      <c r="F90" s="56">
        <f>IF($A90="","",ROUND(SUMIF($L$49:$L$60,$A90,$N$49:$N$60),2))</f>
        <v/>
      </c>
      <c r="G90" s="38" t="n"/>
      <c r="H90" s="56">
        <f>IF($A90="","",IF($A90=$F$9,IF($D$65="",0,$D$65),0)+IF($A90=$H$66,IF($D$66="",0,$D$66),0))</f>
        <v/>
      </c>
      <c r="I90" s="38" t="n"/>
      <c r="J90" s="88">
        <f>IF($A90="","",ROUND($B90+$D90+$F90+$H90,2))</f>
        <v/>
      </c>
      <c r="K90" s="38" t="n"/>
      <c r="L90" s="38" t="n"/>
      <c r="M90" s="38" t="n"/>
    </row>
    <row r="91" ht="17" customHeight="1">
      <c r="A91" s="87" t="n"/>
      <c r="B91" s="56">
        <f>IF($A91="","",ROUND(SUMIF($D$49:$D$60,$A91,$F$49:$F$60),2))</f>
        <v/>
      </c>
      <c r="C91" s="38" t="n"/>
      <c r="D91" s="56">
        <f>IF($A91="","",ROUND(SUMIF($H$49:$H$60,$A91,$J$49:$J$60),2))</f>
        <v/>
      </c>
      <c r="E91" s="38" t="n"/>
      <c r="F91" s="56">
        <f>IF($A91="","",ROUND(SUMIF($L$49:$L$60,$A91,$N$49:$N$60),2))</f>
        <v/>
      </c>
      <c r="G91" s="38" t="n"/>
      <c r="H91" s="56">
        <f>IF($A91="","",IF($A91=$F$9,IF($D$65="",0,$D$65),0)+IF($A91=$H$66,IF($D$66="",0,$D$66),0))</f>
        <v/>
      </c>
      <c r="I91" s="38" t="n"/>
      <c r="J91" s="88">
        <f>IF($A91="","",ROUND($B91+$D91+$F91+$H91,2))</f>
        <v/>
      </c>
      <c r="K91" s="38" t="n"/>
      <c r="L91" s="38" t="n"/>
      <c r="M91" s="38" t="n"/>
    </row>
    <row r="92" ht="20" customHeight="1">
      <c r="A92" s="31" t="inlineStr">
        <is>
          <t>TOTAL</t>
        </is>
      </c>
      <c r="B92" s="60">
        <f>ROUND(SUM(B74:B91),2)</f>
        <v/>
      </c>
      <c r="C92" s="32" t="n"/>
      <c r="D92" s="60">
        <f>ROUND(SUM(D74:D91),2)</f>
        <v/>
      </c>
      <c r="E92" s="32" t="n"/>
      <c r="F92" s="60">
        <f>ROUND(SUM(F74:F91),2)</f>
        <v/>
      </c>
      <c r="G92" s="32" t="n"/>
      <c r="H92" s="60">
        <f>ROUND(SUM(H74:H91),2)</f>
        <v/>
      </c>
      <c r="I92" s="32" t="n"/>
      <c r="J92" s="60">
        <f>ROUND(SUM(J74:J91),2)</f>
        <v/>
      </c>
      <c r="K92" s="32" t="n"/>
      <c r="L92" s="32" t="n"/>
      <c r="M92" s="32" t="n"/>
    </row>
    <row r="93" ht="8" customHeight="1"/>
    <row r="94" ht="20" customHeight="1">
      <c r="A94" s="8" t="inlineStr">
        <is>
          <t xml:space="preserve">  6 · MATERIAL, TERCEIRIZADOS E LOGÍSTICA          o orçado você digita · o realizado vem sozinho do livro de lançamentos, lá no fim da ficha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</row>
    <row r="95" ht="30" customHeight="1">
      <c r="A95" s="19" t="inlineStr">
        <is>
          <t>Categoria</t>
        </is>
      </c>
      <c r="B95" s="19" t="inlineStr"/>
      <c r="C95" s="19" t="inlineStr">
        <is>
          <t>Orçado (R$)</t>
        </is>
      </c>
      <c r="D95" s="19" t="inlineStr">
        <is>
          <t>Realizado (R$)</t>
        </is>
      </c>
      <c r="E95" s="19" t="inlineStr">
        <is>
          <t>Desvio (R$)</t>
        </is>
      </c>
      <c r="F95" s="35" t="n"/>
      <c r="G95" s="19" t="inlineStr">
        <is>
          <t>Ainda a comprar</t>
        </is>
      </c>
      <c r="H95" s="19" t="inlineStr">
        <is>
          <t>Comprado, ainda a pagar</t>
        </is>
      </c>
      <c r="I95" s="35" t="n"/>
      <c r="J95" s="35" t="n"/>
      <c r="K95" s="35" t="n"/>
      <c r="L95" s="35" t="n"/>
      <c r="M95" s="35" t="n"/>
      <c r="N95" s="35" t="n"/>
      <c r="O95" s="35" t="n"/>
    </row>
    <row r="96" ht="17" customHeight="1">
      <c r="A96" s="36" t="inlineStr">
        <is>
          <t>MDF e MDP</t>
        </is>
      </c>
      <c r="B96" s="37" t="n"/>
      <c r="C96" s="71" t="n"/>
      <c r="D96" s="56">
        <f>ROUND(SUMIFS($E$134:$E$193,$B$134:$B$193,$A96,$I$134:$I$193,"Comprado (a pagar)")+SUMIFS($E$134:$E$193,$B$134:$B$193,$A96,$I$134:$I$193,"Pago"),2)</f>
        <v/>
      </c>
      <c r="E96" s="56">
        <f>IF($C96="","",ROUND($D96-$C96,2))</f>
        <v/>
      </c>
      <c r="F96" s="38" t="n"/>
      <c r="G96" s="89">
        <f>ROUND(SUMIFS($E$134:$E$193,$B$134:$B$193,$A96,$I$134:$I$193,"A comprar"),2)</f>
        <v/>
      </c>
      <c r="H96" s="90">
        <f>ROUND(SUMIFS($E$134:$E$193,$B$134:$B$193,$A96,$I$134:$I$193,"Comprado (a pagar)"),2)</f>
        <v/>
      </c>
      <c r="I96" s="38" t="n"/>
      <c r="J96" s="38" t="n"/>
      <c r="K96" s="38" t="n"/>
      <c r="L96" s="38" t="n"/>
      <c r="M96" s="38" t="n"/>
      <c r="N96" s="38" t="n"/>
      <c r="O96" s="38" t="n"/>
    </row>
    <row r="97" ht="17" customHeight="1">
      <c r="A97" s="36" t="inlineStr">
        <is>
          <t>Fita de borda</t>
        </is>
      </c>
      <c r="B97" s="37" t="n"/>
      <c r="C97" s="71" t="n"/>
      <c r="D97" s="56">
        <f>ROUND(SUMIFS($E$134:$E$193,$B$134:$B$193,$A97,$I$134:$I$193,"Comprado (a pagar)")+SUMIFS($E$134:$E$193,$B$134:$B$193,$A97,$I$134:$I$193,"Pago"),2)</f>
        <v/>
      </c>
      <c r="E97" s="56">
        <f>IF($C97="","",ROUND($D97-$C97,2))</f>
        <v/>
      </c>
      <c r="F97" s="38" t="n"/>
      <c r="G97" s="89">
        <f>ROUND(SUMIFS($E$134:$E$193,$B$134:$B$193,$A97,$I$134:$I$193,"A comprar"),2)</f>
        <v/>
      </c>
      <c r="H97" s="90">
        <f>ROUND(SUMIFS($E$134:$E$193,$B$134:$B$193,$A97,$I$134:$I$193,"Comprado (a pagar)"),2)</f>
        <v/>
      </c>
      <c r="I97" s="38" t="n"/>
      <c r="J97" s="38" t="n"/>
      <c r="K97" s="38" t="n"/>
      <c r="L97" s="38" t="n"/>
      <c r="M97" s="38" t="n"/>
      <c r="N97" s="38" t="n"/>
      <c r="O97" s="38" t="n"/>
    </row>
    <row r="98" ht="17" customHeight="1">
      <c r="A98" s="36" t="inlineStr">
        <is>
          <t>Ferragens</t>
        </is>
      </c>
      <c r="B98" s="37" t="n"/>
      <c r="C98" s="71" t="n"/>
      <c r="D98" s="56">
        <f>ROUND(SUMIFS($E$134:$E$193,$B$134:$B$193,$A98,$I$134:$I$193,"Comprado (a pagar)")+SUMIFS($E$134:$E$193,$B$134:$B$193,$A98,$I$134:$I$193,"Pago"),2)</f>
        <v/>
      </c>
      <c r="E98" s="56">
        <f>IF($C98="","",ROUND($D98-$C98,2))</f>
        <v/>
      </c>
      <c r="F98" s="38" t="n"/>
      <c r="G98" s="89">
        <f>ROUND(SUMIFS($E$134:$E$193,$B$134:$B$193,$A98,$I$134:$I$193,"A comprar"),2)</f>
        <v/>
      </c>
      <c r="H98" s="90">
        <f>ROUND(SUMIFS($E$134:$E$193,$B$134:$B$193,$A98,$I$134:$I$193,"Comprado (a pagar)"),2)</f>
        <v/>
      </c>
      <c r="I98" s="38" t="n"/>
      <c r="J98" s="38" t="n"/>
      <c r="K98" s="38" t="n"/>
      <c r="L98" s="38" t="n"/>
      <c r="M98" s="38" t="n"/>
      <c r="N98" s="38" t="n"/>
      <c r="O98" s="38" t="n"/>
    </row>
    <row r="99" ht="17" customHeight="1">
      <c r="A99" s="36" t="inlineStr">
        <is>
          <t>Vidros e espelhos</t>
        </is>
      </c>
      <c r="B99" s="37" t="n"/>
      <c r="C99" s="71" t="n"/>
      <c r="D99" s="56">
        <f>ROUND(SUMIFS($E$134:$E$193,$B$134:$B$193,$A99,$I$134:$I$193,"Comprado (a pagar)")+SUMIFS($E$134:$E$193,$B$134:$B$193,$A99,$I$134:$I$193,"Pago"),2)</f>
        <v/>
      </c>
      <c r="E99" s="56">
        <f>IF($C99="","",ROUND($D99-$C99,2))</f>
        <v/>
      </c>
      <c r="F99" s="38" t="n"/>
      <c r="G99" s="89">
        <f>ROUND(SUMIFS($E$134:$E$193,$B$134:$B$193,$A99,$I$134:$I$193,"A comprar"),2)</f>
        <v/>
      </c>
      <c r="H99" s="90">
        <f>ROUND(SUMIFS($E$134:$E$193,$B$134:$B$193,$A99,$I$134:$I$193,"Comprado (a pagar)"),2)</f>
        <v/>
      </c>
      <c r="I99" s="38" t="n"/>
      <c r="J99" s="38" t="n"/>
      <c r="K99" s="38" t="n"/>
      <c r="L99" s="38" t="n"/>
      <c r="M99" s="38" t="n"/>
      <c r="N99" s="38" t="n"/>
      <c r="O99" s="38" t="n"/>
    </row>
    <row r="100" ht="17" customHeight="1">
      <c r="A100" s="36" t="inlineStr">
        <is>
          <t>Esquadrias</t>
        </is>
      </c>
      <c r="B100" s="37" t="n"/>
      <c r="C100" s="71" t="n"/>
      <c r="D100" s="56">
        <f>ROUND(SUMIFS($E$134:$E$193,$B$134:$B$193,$A100,$I$134:$I$193,"Comprado (a pagar)")+SUMIFS($E$134:$E$193,$B$134:$B$193,$A100,$I$134:$I$193,"Pago"),2)</f>
        <v/>
      </c>
      <c r="E100" s="56">
        <f>IF($C100="","",ROUND($D100-$C100,2))</f>
        <v/>
      </c>
      <c r="F100" s="38" t="n"/>
      <c r="G100" s="89">
        <f>ROUND(SUMIFS($E$134:$E$193,$B$134:$B$193,$A100,$I$134:$I$193,"A comprar"),2)</f>
        <v/>
      </c>
      <c r="H100" s="90">
        <f>ROUND(SUMIFS($E$134:$E$193,$B$134:$B$193,$A100,$I$134:$I$193,"Comprado (a pagar)"),2)</f>
        <v/>
      </c>
      <c r="I100" s="38" t="n"/>
      <c r="J100" s="38" t="n"/>
      <c r="K100" s="38" t="n"/>
      <c r="L100" s="38" t="n"/>
      <c r="M100" s="38" t="n"/>
      <c r="N100" s="38" t="n"/>
      <c r="O100" s="38" t="n"/>
    </row>
    <row r="101" ht="17" customHeight="1">
      <c r="A101" s="36" t="inlineStr">
        <is>
          <t>Lâmina natural</t>
        </is>
      </c>
      <c r="B101" s="37" t="n"/>
      <c r="C101" s="71" t="n"/>
      <c r="D101" s="56">
        <f>ROUND(SUMIFS($E$134:$E$193,$B$134:$B$193,$A101,$I$134:$I$193,"Comprado (a pagar)")+SUMIFS($E$134:$E$193,$B$134:$B$193,$A101,$I$134:$I$193,"Pago"),2)</f>
        <v/>
      </c>
      <c r="E101" s="56">
        <f>IF($C101="","",ROUND($D101-$C101,2))</f>
        <v/>
      </c>
      <c r="F101" s="38" t="n"/>
      <c r="G101" s="89">
        <f>ROUND(SUMIFS($E$134:$E$193,$B$134:$B$193,$A101,$I$134:$I$193,"A comprar"),2)</f>
        <v/>
      </c>
      <c r="H101" s="90">
        <f>ROUND(SUMIFS($E$134:$E$193,$B$134:$B$193,$A101,$I$134:$I$193,"Comprado (a pagar)"),2)</f>
        <v/>
      </c>
      <c r="I101" s="38" t="n"/>
      <c r="J101" s="38" t="n"/>
      <c r="K101" s="38" t="n"/>
      <c r="L101" s="38" t="n"/>
      <c r="M101" s="38" t="n"/>
      <c r="N101" s="38" t="n"/>
      <c r="O101" s="38" t="n"/>
    </row>
    <row r="102" ht="17" customHeight="1">
      <c r="A102" s="36" t="inlineStr">
        <is>
          <t>Consumíveis</t>
        </is>
      </c>
      <c r="B102" s="37" t="n"/>
      <c r="C102" s="71" t="n"/>
      <c r="D102" s="56">
        <f>ROUND(SUMIFS($E$134:$E$193,$B$134:$B$193,$A102,$I$134:$I$193,"Comprado (a pagar)")+SUMIFS($E$134:$E$193,$B$134:$B$193,$A102,$I$134:$I$193,"Pago"),2)</f>
        <v/>
      </c>
      <c r="E102" s="56">
        <f>IF($C102="","",ROUND($D102-$C102,2))</f>
        <v/>
      </c>
      <c r="F102" s="38" t="n"/>
      <c r="G102" s="89">
        <f>ROUND(SUMIFS($E$134:$E$193,$B$134:$B$193,$A102,$I$134:$I$193,"A comprar"),2)</f>
        <v/>
      </c>
      <c r="H102" s="90">
        <f>ROUND(SUMIFS($E$134:$E$193,$B$134:$B$193,$A102,$I$134:$I$193,"Comprado (a pagar)"),2)</f>
        <v/>
      </c>
      <c r="I102" s="38" t="n"/>
      <c r="J102" s="38" t="n"/>
      <c r="K102" s="38" t="n"/>
      <c r="L102" s="38" t="n"/>
      <c r="M102" s="38" t="n"/>
      <c r="N102" s="38" t="n"/>
      <c r="O102" s="38" t="n"/>
    </row>
    <row r="103" ht="20" customHeight="1">
      <c r="A103" s="31" t="inlineStr">
        <is>
          <t>(=) SUBTOTAL · MATERIAL</t>
        </is>
      </c>
      <c r="B103" s="32" t="n"/>
      <c r="C103" s="60">
        <f>ROUND(SUM(C96:C102),2)</f>
        <v/>
      </c>
      <c r="D103" s="60">
        <f>ROUND(SUM(D96:D102),2)</f>
        <v/>
      </c>
      <c r="E103" s="60">
        <f>ROUND(SUM(E96:E102),2)</f>
        <v/>
      </c>
      <c r="F103" s="32" t="n"/>
      <c r="G103" s="60">
        <f>ROUND(SUM(G96:G102),2)</f>
        <v/>
      </c>
      <c r="H103" s="60">
        <f>ROUND(SUM(H96:H102),2)</f>
        <v/>
      </c>
      <c r="I103" s="32" t="n"/>
      <c r="J103" s="32" t="n"/>
      <c r="K103" s="32" t="n"/>
      <c r="L103" s="32" t="n"/>
      <c r="M103" s="32" t="n"/>
      <c r="N103" s="32" t="n"/>
      <c r="O103" s="32" t="n"/>
    </row>
    <row r="104" ht="17" customHeight="1">
      <c r="A104" s="36" t="inlineStr">
        <is>
          <t>Acabamento</t>
        </is>
      </c>
      <c r="B104" s="37" t="n"/>
      <c r="C104" s="71" t="n"/>
      <c r="D104" s="56">
        <f>ROUND(SUMIFS($E$134:$E$193,$B$134:$B$193,$A104,$I$134:$I$193,"Comprado (a pagar)")+SUMIFS($E$134:$E$193,$B$134:$B$193,$A104,$I$134:$I$193,"Pago"),2)</f>
        <v/>
      </c>
      <c r="E104" s="56">
        <f>IF($C104="","",ROUND($D104-$C104,2))</f>
        <v/>
      </c>
      <c r="F104" s="38" t="n"/>
      <c r="G104" s="89">
        <f>ROUND(SUMIFS($E$134:$E$193,$B$134:$B$193,$A104,$I$134:$I$193,"A comprar"),2)</f>
        <v/>
      </c>
      <c r="H104" s="90">
        <f>ROUND(SUMIFS($E$134:$E$193,$B$134:$B$193,$A104,$I$134:$I$193,"Comprado (a pagar)"),2)</f>
        <v/>
      </c>
      <c r="I104" s="38" t="n"/>
      <c r="J104" s="38" t="n"/>
      <c r="K104" s="38" t="n"/>
      <c r="L104" s="38" t="n"/>
      <c r="M104" s="38" t="n"/>
      <c r="N104" s="38" t="n"/>
      <c r="O104" s="38" t="n"/>
    </row>
    <row r="105" ht="17" customHeight="1">
      <c r="A105" s="36" t="inlineStr">
        <is>
          <t>Serralheria</t>
        </is>
      </c>
      <c r="B105" s="37" t="n"/>
      <c r="C105" s="71" t="n"/>
      <c r="D105" s="56">
        <f>ROUND(SUMIFS($E$134:$E$193,$B$134:$B$193,$A105,$I$134:$I$193,"Comprado (a pagar)")+SUMIFS($E$134:$E$193,$B$134:$B$193,$A105,$I$134:$I$193,"Pago"),2)</f>
        <v/>
      </c>
      <c r="E105" s="56">
        <f>IF($C105="","",ROUND($D105-$C105,2))</f>
        <v/>
      </c>
      <c r="F105" s="38" t="n"/>
      <c r="G105" s="89">
        <f>ROUND(SUMIFS($E$134:$E$193,$B$134:$B$193,$A105,$I$134:$I$193,"A comprar"),2)</f>
        <v/>
      </c>
      <c r="H105" s="90">
        <f>ROUND(SUMIFS($E$134:$E$193,$B$134:$B$193,$A105,$I$134:$I$193,"Comprado (a pagar)"),2)</f>
        <v/>
      </c>
      <c r="I105" s="38" t="n"/>
      <c r="J105" s="38" t="n"/>
      <c r="K105" s="38" t="n"/>
      <c r="L105" s="38" t="n"/>
      <c r="M105" s="38" t="n"/>
      <c r="N105" s="38" t="n"/>
      <c r="O105" s="38" t="n"/>
    </row>
    <row r="106" ht="17" customHeight="1">
      <c r="A106" s="36" t="inlineStr">
        <is>
          <t>Vidraceiro</t>
        </is>
      </c>
      <c r="B106" s="37" t="n"/>
      <c r="C106" s="71" t="n"/>
      <c r="D106" s="56">
        <f>ROUND(SUMIFS($E$134:$E$193,$B$134:$B$193,$A106,$I$134:$I$193,"Comprado (a pagar)")+SUMIFS($E$134:$E$193,$B$134:$B$193,$A106,$I$134:$I$193,"Pago"),2)</f>
        <v/>
      </c>
      <c r="E106" s="56">
        <f>IF($C106="","",ROUND($D106-$C106,2))</f>
        <v/>
      </c>
      <c r="F106" s="38" t="n"/>
      <c r="G106" s="89">
        <f>ROUND(SUMIFS($E$134:$E$193,$B$134:$B$193,$A106,$I$134:$I$193,"A comprar"),2)</f>
        <v/>
      </c>
      <c r="H106" s="90">
        <f>ROUND(SUMIFS($E$134:$E$193,$B$134:$B$193,$A106,$I$134:$I$193,"Comprado (a pagar)"),2)</f>
        <v/>
      </c>
      <c r="I106" s="38" t="n"/>
      <c r="J106" s="38" t="n"/>
      <c r="K106" s="38" t="n"/>
      <c r="L106" s="38" t="n"/>
      <c r="M106" s="38" t="n"/>
      <c r="N106" s="38" t="n"/>
      <c r="O106" s="38" t="n"/>
    </row>
    <row r="107" ht="17" customHeight="1">
      <c r="A107" s="36" t="inlineStr">
        <is>
          <t>Outro terceirizado</t>
        </is>
      </c>
      <c r="B107" s="37" t="n"/>
      <c r="C107" s="71" t="n"/>
      <c r="D107" s="56">
        <f>ROUND(SUMIFS($E$134:$E$193,$B$134:$B$193,$A107,$I$134:$I$193,"Comprado (a pagar)")+SUMIFS($E$134:$E$193,$B$134:$B$193,$A107,$I$134:$I$193,"Pago"),2)</f>
        <v/>
      </c>
      <c r="E107" s="56">
        <f>IF($C107="","",ROUND($D107-$C107,2))</f>
        <v/>
      </c>
      <c r="F107" s="38" t="n"/>
      <c r="G107" s="89">
        <f>ROUND(SUMIFS($E$134:$E$193,$B$134:$B$193,$A107,$I$134:$I$193,"A comprar"),2)</f>
        <v/>
      </c>
      <c r="H107" s="90">
        <f>ROUND(SUMIFS($E$134:$E$193,$B$134:$B$193,$A107,$I$134:$I$193,"Comprado (a pagar)"),2)</f>
        <v/>
      </c>
      <c r="I107" s="38" t="n"/>
      <c r="J107" s="38" t="n"/>
      <c r="K107" s="38" t="n"/>
      <c r="L107" s="38" t="n"/>
      <c r="M107" s="38" t="n"/>
      <c r="N107" s="38" t="n"/>
      <c r="O107" s="38" t="n"/>
    </row>
    <row r="108" ht="20" customHeight="1">
      <c r="A108" s="31" t="inlineStr">
        <is>
          <t>(=) SUBTOTAL · SERVIÇOS TERCEIRIZADOS</t>
        </is>
      </c>
      <c r="B108" s="32" t="n"/>
      <c r="C108" s="60">
        <f>ROUND(SUM(C104:C107),2)</f>
        <v/>
      </c>
      <c r="D108" s="60">
        <f>ROUND(SUM(D104:D107),2)</f>
        <v/>
      </c>
      <c r="E108" s="60">
        <f>ROUND(SUM(E104:E107),2)</f>
        <v/>
      </c>
      <c r="F108" s="32" t="n"/>
      <c r="G108" s="60">
        <f>ROUND(SUM(G104:G107),2)</f>
        <v/>
      </c>
      <c r="H108" s="60">
        <f>ROUND(SUM(H104:H107),2)</f>
        <v/>
      </c>
      <c r="I108" s="32" t="n"/>
      <c r="J108" s="32" t="n"/>
      <c r="K108" s="32" t="n"/>
      <c r="L108" s="32" t="n"/>
      <c r="M108" s="32" t="n"/>
      <c r="N108" s="32" t="n"/>
      <c r="O108" s="32" t="n"/>
    </row>
    <row r="109" ht="17" customHeight="1">
      <c r="A109" s="36" t="inlineStr">
        <is>
          <t>Uber e aplicativo</t>
        </is>
      </c>
      <c r="B109" s="37" t="n"/>
      <c r="C109" s="71" t="n"/>
      <c r="D109" s="56">
        <f>ROUND(SUMIFS($E$134:$E$193,$B$134:$B$193,$A109,$I$134:$I$193,"Comprado (a pagar)")+SUMIFS($E$134:$E$193,$B$134:$B$193,$A109,$I$134:$I$193,"Pago"),2)</f>
        <v/>
      </c>
      <c r="E109" s="56">
        <f>IF($C109="","",ROUND($D109-$C109,2))</f>
        <v/>
      </c>
      <c r="F109" s="38" t="n"/>
      <c r="G109" s="89">
        <f>ROUND(SUMIFS($E$134:$E$193,$B$134:$B$193,$A109,$I$134:$I$193,"A comprar"),2)</f>
        <v/>
      </c>
      <c r="H109" s="90">
        <f>ROUND(SUMIFS($E$134:$E$193,$B$134:$B$193,$A109,$I$134:$I$193,"Comprado (a pagar)"),2)</f>
        <v/>
      </c>
      <c r="I109" s="38" t="n"/>
      <c r="J109" s="38" t="n"/>
      <c r="K109" s="38" t="n"/>
      <c r="L109" s="38" t="n"/>
      <c r="M109" s="38" t="n"/>
      <c r="N109" s="38" t="n"/>
      <c r="O109" s="38" t="n"/>
    </row>
    <row r="110" ht="17" customHeight="1">
      <c r="A110" s="36" t="inlineStr">
        <is>
          <t>Carreto e entrega</t>
        </is>
      </c>
      <c r="B110" s="37" t="n"/>
      <c r="C110" s="71" t="n"/>
      <c r="D110" s="56">
        <f>ROUND(SUMIFS($E$134:$E$193,$B$134:$B$193,$A110,$I$134:$I$193,"Comprado (a pagar)")+SUMIFS($E$134:$E$193,$B$134:$B$193,$A110,$I$134:$I$193,"Pago"),2)</f>
        <v/>
      </c>
      <c r="E110" s="56">
        <f>IF($C110="","",ROUND($D110-$C110,2))</f>
        <v/>
      </c>
      <c r="F110" s="38" t="n"/>
      <c r="G110" s="89">
        <f>ROUND(SUMIFS($E$134:$E$193,$B$134:$B$193,$A110,$I$134:$I$193,"A comprar"),2)</f>
        <v/>
      </c>
      <c r="H110" s="90">
        <f>ROUND(SUMIFS($E$134:$E$193,$B$134:$B$193,$A110,$I$134:$I$193,"Comprado (a pagar)"),2)</f>
        <v/>
      </c>
      <c r="I110" s="38" t="n"/>
      <c r="J110" s="38" t="n"/>
      <c r="K110" s="38" t="n"/>
      <c r="L110" s="38" t="n"/>
      <c r="M110" s="38" t="n"/>
      <c r="N110" s="38" t="n"/>
      <c r="O110" s="38" t="n"/>
    </row>
    <row r="111" ht="17" customHeight="1">
      <c r="A111" s="36" t="inlineStr">
        <is>
          <t>Deslocamento da equipe</t>
        </is>
      </c>
      <c r="B111" s="37" t="n"/>
      <c r="C111" s="71" t="n"/>
      <c r="D111" s="56">
        <f>ROUND(SUMIFS($E$134:$E$193,$B$134:$B$193,$A111,$I$134:$I$193,"Comprado (a pagar)")+SUMIFS($E$134:$E$193,$B$134:$B$193,$A111,$I$134:$I$193,"Pago"),2)</f>
        <v/>
      </c>
      <c r="E111" s="56">
        <f>IF($C111="","",ROUND($D111-$C111,2))</f>
        <v/>
      </c>
      <c r="F111" s="38" t="n"/>
      <c r="G111" s="89">
        <f>ROUND(SUMIFS($E$134:$E$193,$B$134:$B$193,$A111,$I$134:$I$193,"A comprar"),2)</f>
        <v/>
      </c>
      <c r="H111" s="90">
        <f>ROUND(SUMIFS($E$134:$E$193,$B$134:$B$193,$A111,$I$134:$I$193,"Comprado (a pagar)"),2)</f>
        <v/>
      </c>
      <c r="I111" s="38" t="n"/>
      <c r="J111" s="38" t="n"/>
      <c r="K111" s="38" t="n"/>
      <c r="L111" s="38" t="n"/>
      <c r="M111" s="38" t="n"/>
      <c r="N111" s="38" t="n"/>
      <c r="O111" s="38" t="n"/>
    </row>
    <row r="112" ht="17" customHeight="1">
      <c r="A112" s="36" t="inlineStr">
        <is>
          <t>Frete de material</t>
        </is>
      </c>
      <c r="B112" s="37" t="n"/>
      <c r="C112" s="71" t="n"/>
      <c r="D112" s="56">
        <f>ROUND(SUMIFS($E$134:$E$193,$B$134:$B$193,$A112,$I$134:$I$193,"Comprado (a pagar)")+SUMIFS($E$134:$E$193,$B$134:$B$193,$A112,$I$134:$I$193,"Pago"),2)</f>
        <v/>
      </c>
      <c r="E112" s="56">
        <f>IF($C112="","",ROUND($D112-$C112,2))</f>
        <v/>
      </c>
      <c r="F112" s="38" t="n"/>
      <c r="G112" s="89">
        <f>ROUND(SUMIFS($E$134:$E$193,$B$134:$B$193,$A112,$I$134:$I$193,"A comprar"),2)</f>
        <v/>
      </c>
      <c r="H112" s="90">
        <f>ROUND(SUMIFS($E$134:$E$193,$B$134:$B$193,$A112,$I$134:$I$193,"Comprado (a pagar)"),2)</f>
        <v/>
      </c>
      <c r="I112" s="38" t="n"/>
      <c r="J112" s="38" t="n"/>
      <c r="K112" s="38" t="n"/>
      <c r="L112" s="38" t="n"/>
      <c r="M112" s="38" t="n"/>
      <c r="N112" s="38" t="n"/>
      <c r="O112" s="38" t="n"/>
    </row>
    <row r="113" ht="17" customHeight="1">
      <c r="A113" s="36" t="inlineStr">
        <is>
          <t>Estacionamento e pedágio</t>
        </is>
      </c>
      <c r="B113" s="37" t="n"/>
      <c r="C113" s="71" t="n"/>
      <c r="D113" s="56">
        <f>ROUND(SUMIFS($E$134:$E$193,$B$134:$B$193,$A113,$I$134:$I$193,"Comprado (a pagar)")+SUMIFS($E$134:$E$193,$B$134:$B$193,$A113,$I$134:$I$193,"Pago"),2)</f>
        <v/>
      </c>
      <c r="E113" s="56">
        <f>IF($C113="","",ROUND($D113-$C113,2))</f>
        <v/>
      </c>
      <c r="F113" s="38" t="n"/>
      <c r="G113" s="89">
        <f>ROUND(SUMIFS($E$134:$E$193,$B$134:$B$193,$A113,$I$134:$I$193,"A comprar"),2)</f>
        <v/>
      </c>
      <c r="H113" s="90">
        <f>ROUND(SUMIFS($E$134:$E$193,$B$134:$B$193,$A113,$I$134:$I$193,"Comprado (a pagar)"),2)</f>
        <v/>
      </c>
      <c r="I113" s="38" t="n"/>
      <c r="J113" s="38" t="n"/>
      <c r="K113" s="38" t="n"/>
      <c r="L113" s="38" t="n"/>
      <c r="M113" s="38" t="n"/>
      <c r="N113" s="38" t="n"/>
      <c r="O113" s="38" t="n"/>
    </row>
    <row r="114" ht="20" customHeight="1">
      <c r="A114" s="31" t="inlineStr">
        <is>
          <t>(=) SUBTOTAL · LOGÍSTICA</t>
        </is>
      </c>
      <c r="B114" s="32" t="n"/>
      <c r="C114" s="60">
        <f>ROUND(SUM(C109:C113),2)</f>
        <v/>
      </c>
      <c r="D114" s="60">
        <f>ROUND(SUM(D109:D113),2)</f>
        <v/>
      </c>
      <c r="E114" s="60">
        <f>ROUND(SUM(E109:E113),2)</f>
        <v/>
      </c>
      <c r="F114" s="32" t="n"/>
      <c r="G114" s="60">
        <f>ROUND(SUM(G109:G113),2)</f>
        <v/>
      </c>
      <c r="H114" s="60">
        <f>ROUND(SUM(H109:H113),2)</f>
        <v/>
      </c>
      <c r="I114" s="32" t="n"/>
      <c r="J114" s="32" t="n"/>
      <c r="K114" s="32" t="n"/>
      <c r="L114" s="32" t="n"/>
      <c r="M114" s="32" t="n"/>
      <c r="N114" s="32" t="n"/>
      <c r="O114" s="32" t="n"/>
    </row>
    <row r="115" ht="8" customHeight="1"/>
    <row r="116" ht="20" customHeight="1">
      <c r="A116" s="8" t="inlineStr">
        <is>
          <t xml:space="preserve">  7 · RETRABALHO          o que aconteceu, por que aconteceu e quanto custou — é aqui que o orçamento aprende</t>
        </is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</row>
    <row r="117" ht="26" customHeight="1">
      <c r="A117" s="19" t="inlineStr">
        <is>
          <t>O que aconteceu</t>
        </is>
      </c>
      <c r="B117" s="19" t="inlineStr">
        <is>
          <t>Causa</t>
        </is>
      </c>
      <c r="C117" s="35" t="n"/>
      <c r="D117" s="35" t="n"/>
      <c r="E117" s="19" t="inlineStr">
        <is>
          <t>Custo estimado (R$)</t>
        </is>
      </c>
      <c r="F117" s="35" t="n"/>
      <c r="G117" s="19" t="inlineStr">
        <is>
          <t>Providência / responsável</t>
        </is>
      </c>
      <c r="H117" s="35" t="n"/>
      <c r="I117" s="35" t="n"/>
      <c r="J117" s="35" t="n"/>
      <c r="K117" s="35" t="n"/>
      <c r="L117" s="35" t="n"/>
      <c r="M117" s="35" t="n"/>
      <c r="N117" s="35" t="n"/>
      <c r="O117" s="35" t="n"/>
    </row>
    <row r="118" ht="18" customHeight="1">
      <c r="A118" s="83" t="n"/>
      <c r="B118" s="83" t="n"/>
      <c r="C118" s="46" t="n"/>
      <c r="D118" s="46" t="n"/>
      <c r="E118" s="91" t="n"/>
      <c r="F118" s="46" t="n"/>
      <c r="G118" s="73" t="n"/>
      <c r="H118" s="46" t="n"/>
      <c r="I118" s="46" t="n"/>
      <c r="J118" s="46" t="n"/>
      <c r="K118" s="46" t="n"/>
      <c r="L118" s="46" t="n"/>
      <c r="M118" s="46" t="n"/>
      <c r="N118" s="46" t="n"/>
      <c r="O118" s="46" t="n"/>
    </row>
    <row r="119" ht="18" customHeight="1">
      <c r="A119" s="83" t="n"/>
      <c r="B119" s="83" t="n"/>
      <c r="C119" s="46" t="n"/>
      <c r="D119" s="46" t="n"/>
      <c r="E119" s="91" t="n"/>
      <c r="F119" s="46" t="n"/>
      <c r="G119" s="73" t="n"/>
      <c r="H119" s="46" t="n"/>
      <c r="I119" s="46" t="n"/>
      <c r="J119" s="46" t="n"/>
      <c r="K119" s="46" t="n"/>
      <c r="L119" s="46" t="n"/>
      <c r="M119" s="46" t="n"/>
      <c r="N119" s="46" t="n"/>
      <c r="O119" s="46" t="n"/>
    </row>
    <row r="120" ht="18" customHeight="1">
      <c r="A120" s="83" t="n"/>
      <c r="B120" s="83" t="n"/>
      <c r="C120" s="46" t="n"/>
      <c r="D120" s="46" t="n"/>
      <c r="E120" s="91" t="n"/>
      <c r="F120" s="46" t="n"/>
      <c r="G120" s="73" t="n"/>
      <c r="H120" s="46" t="n"/>
      <c r="I120" s="46" t="n"/>
      <c r="J120" s="46" t="n"/>
      <c r="K120" s="46" t="n"/>
      <c r="L120" s="46" t="n"/>
      <c r="M120" s="46" t="n"/>
      <c r="N120" s="46" t="n"/>
      <c r="O120" s="46" t="n"/>
    </row>
    <row r="121" ht="18" customHeight="1">
      <c r="A121" s="83" t="n"/>
      <c r="B121" s="83" t="n"/>
      <c r="C121" s="46" t="n"/>
      <c r="D121" s="46" t="n"/>
      <c r="E121" s="91" t="n"/>
      <c r="F121" s="46" t="n"/>
      <c r="G121" s="73" t="n"/>
      <c r="H121" s="46" t="n"/>
      <c r="I121" s="46" t="n"/>
      <c r="J121" s="46" t="n"/>
      <c r="K121" s="46" t="n"/>
      <c r="L121" s="46" t="n"/>
      <c r="M121" s="46" t="n"/>
      <c r="N121" s="46" t="n"/>
      <c r="O121" s="46" t="n"/>
    </row>
    <row r="122" ht="18" customHeight="1">
      <c r="A122" s="83" t="n"/>
      <c r="B122" s="83" t="n"/>
      <c r="C122" s="46" t="n"/>
      <c r="D122" s="46" t="n"/>
      <c r="E122" s="91" t="n"/>
      <c r="F122" s="46" t="n"/>
      <c r="G122" s="73" t="n"/>
      <c r="H122" s="46" t="n"/>
      <c r="I122" s="46" t="n"/>
      <c r="J122" s="46" t="n"/>
      <c r="K122" s="46" t="n"/>
      <c r="L122" s="46" t="n"/>
      <c r="M122" s="46" t="n"/>
      <c r="N122" s="46" t="n"/>
      <c r="O122" s="46" t="n"/>
    </row>
    <row r="123" ht="18" customHeight="1">
      <c r="A123" s="83" t="n"/>
      <c r="B123" s="83" t="n"/>
      <c r="C123" s="46" t="n"/>
      <c r="D123" s="46" t="n"/>
      <c r="E123" s="91" t="n"/>
      <c r="F123" s="46" t="n"/>
      <c r="G123" s="73" t="n"/>
      <c r="H123" s="46" t="n"/>
      <c r="I123" s="46" t="n"/>
      <c r="J123" s="46" t="n"/>
      <c r="K123" s="46" t="n"/>
      <c r="L123" s="46" t="n"/>
      <c r="M123" s="46" t="n"/>
      <c r="N123" s="46" t="n"/>
      <c r="O123" s="46" t="n"/>
    </row>
    <row r="124" ht="18" customHeight="1">
      <c r="A124" s="83" t="n"/>
      <c r="B124" s="83" t="n"/>
      <c r="C124" s="46" t="n"/>
      <c r="D124" s="46" t="n"/>
      <c r="E124" s="91" t="n"/>
      <c r="F124" s="46" t="n"/>
      <c r="G124" s="73" t="n"/>
      <c r="H124" s="46" t="n"/>
      <c r="I124" s="46" t="n"/>
      <c r="J124" s="46" t="n"/>
      <c r="K124" s="46" t="n"/>
      <c r="L124" s="46" t="n"/>
      <c r="M124" s="46" t="n"/>
      <c r="N124" s="46" t="n"/>
      <c r="O124" s="46" t="n"/>
    </row>
    <row r="125" ht="18" customHeight="1">
      <c r="A125" s="83" t="n"/>
      <c r="B125" s="83" t="n"/>
      <c r="C125" s="46" t="n"/>
      <c r="D125" s="46" t="n"/>
      <c r="E125" s="91" t="n"/>
      <c r="F125" s="46" t="n"/>
      <c r="G125" s="73" t="n"/>
      <c r="H125" s="46" t="n"/>
      <c r="I125" s="46" t="n"/>
      <c r="J125" s="46" t="n"/>
      <c r="K125" s="46" t="n"/>
      <c r="L125" s="46" t="n"/>
      <c r="M125" s="46" t="n"/>
      <c r="N125" s="46" t="n"/>
      <c r="O125" s="46" t="n"/>
    </row>
    <row r="126" ht="18" customHeight="1">
      <c r="A126" s="83" t="n"/>
      <c r="B126" s="83" t="n"/>
      <c r="C126" s="46" t="n"/>
      <c r="D126" s="46" t="n"/>
      <c r="E126" s="91" t="n"/>
      <c r="F126" s="46" t="n"/>
      <c r="G126" s="73" t="n"/>
      <c r="H126" s="46" t="n"/>
      <c r="I126" s="46" t="n"/>
      <c r="J126" s="46" t="n"/>
      <c r="K126" s="46" t="n"/>
      <c r="L126" s="46" t="n"/>
      <c r="M126" s="46" t="n"/>
      <c r="N126" s="46" t="n"/>
      <c r="O126" s="46" t="n"/>
    </row>
    <row r="127" ht="18" customHeight="1">
      <c r="A127" s="83" t="n"/>
      <c r="B127" s="83" t="n"/>
      <c r="C127" s="46" t="n"/>
      <c r="D127" s="46" t="n"/>
      <c r="E127" s="91" t="n"/>
      <c r="F127" s="46" t="n"/>
      <c r="G127" s="73" t="n"/>
      <c r="H127" s="46" t="n"/>
      <c r="I127" s="46" t="n"/>
      <c r="J127" s="46" t="n"/>
      <c r="K127" s="46" t="n"/>
      <c r="L127" s="46" t="n"/>
      <c r="M127" s="46" t="n"/>
      <c r="N127" s="46" t="n"/>
      <c r="O127" s="46" t="n"/>
    </row>
    <row r="128" ht="18" customHeight="1">
      <c r="A128" s="83" t="n"/>
      <c r="B128" s="83" t="n"/>
      <c r="C128" s="46" t="n"/>
      <c r="D128" s="46" t="n"/>
      <c r="E128" s="91" t="n"/>
      <c r="F128" s="46" t="n"/>
      <c r="G128" s="73" t="n"/>
      <c r="H128" s="46" t="n"/>
      <c r="I128" s="46" t="n"/>
      <c r="J128" s="46" t="n"/>
      <c r="K128" s="46" t="n"/>
      <c r="L128" s="46" t="n"/>
      <c r="M128" s="46" t="n"/>
      <c r="N128" s="46" t="n"/>
      <c r="O128" s="46" t="n"/>
    </row>
    <row r="129" ht="18" customHeight="1">
      <c r="A129" s="83" t="n"/>
      <c r="B129" s="83" t="n"/>
      <c r="C129" s="46" t="n"/>
      <c r="D129" s="46" t="n"/>
      <c r="E129" s="91" t="n"/>
      <c r="F129" s="46" t="n"/>
      <c r="G129" s="73" t="n"/>
      <c r="H129" s="46" t="n"/>
      <c r="I129" s="46" t="n"/>
      <c r="J129" s="46" t="n"/>
      <c r="K129" s="46" t="n"/>
      <c r="L129" s="46" t="n"/>
      <c r="M129" s="46" t="n"/>
      <c r="N129" s="46" t="n"/>
      <c r="O129" s="46" t="n"/>
    </row>
    <row r="130" ht="20" customHeight="1">
      <c r="A130" s="31" t="inlineStr">
        <is>
          <t>CONTINGÊNCIA PREVISTA NO ORÇAMENTO  →</t>
        </is>
      </c>
      <c r="B130" s="32" t="n"/>
      <c r="C130" s="92" t="n"/>
      <c r="D130" s="60">
        <f>ROUND(SUM($E$118:$E$129),2)</f>
        <v/>
      </c>
      <c r="E130" s="60">
        <f>ROUND($D$130-IF($C$130="",0,$C$130),2)</f>
        <v/>
      </c>
      <c r="F130" s="32" t="n"/>
      <c r="G130" s="62">
        <f>IF(OR($A$13="",$A$13=0),"",$D$130/$A$13)</f>
        <v/>
      </c>
      <c r="H130" s="93" t="inlineStr">
        <is>
          <t>orçado = a contingência prevista · realizado = a soma acima</t>
        </is>
      </c>
      <c r="I130" s="32" t="n"/>
      <c r="J130" s="32" t="n"/>
      <c r="K130" s="32" t="n"/>
      <c r="L130" s="32" t="n"/>
      <c r="M130" s="32" t="n"/>
      <c r="N130" s="32" t="n"/>
      <c r="O130" s="32" t="n"/>
    </row>
    <row r="131" ht="8" customHeight="1"/>
    <row r="132" ht="20" customHeight="1">
      <c r="A132" s="8" t="inlineStr">
        <is>
          <t xml:space="preserve">  8 · LIVRO DE COMPRAS E DESPESAS DO PROJETO          uma linha por compra, na ordem em que acontecer · pode inserir linhas à vontade aqui</t>
        </is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</row>
    <row r="133" ht="28" customHeight="1">
      <c r="A133" s="19" t="inlineStr">
        <is>
          <t>Descrição / fornecedor</t>
        </is>
      </c>
      <c r="B133" s="19" t="inlineStr">
        <is>
          <t>Categoria</t>
        </is>
      </c>
      <c r="C133" s="35" t="n"/>
      <c r="D133" s="19" t="inlineStr">
        <is>
          <t>Data</t>
        </is>
      </c>
      <c r="E133" s="19" t="inlineStr">
        <is>
          <t>Valor (R$)</t>
        </is>
      </c>
      <c r="F133" s="35" t="n"/>
      <c r="G133" s="19" t="inlineStr">
        <is>
          <t>Forma de pagamento</t>
        </is>
      </c>
      <c r="H133" s="35" t="n"/>
      <c r="I133" s="19" t="inlineStr">
        <is>
          <t>Status</t>
        </is>
      </c>
      <c r="J133" s="35" t="n"/>
      <c r="K133" s="35" t="n"/>
      <c r="L133" s="35" t="n"/>
      <c r="M133" s="35" t="n"/>
      <c r="N133" s="35" t="n"/>
      <c r="O133" s="35" t="n"/>
    </row>
    <row r="134" ht="17" customHeight="1">
      <c r="A134" s="83" t="n"/>
      <c r="B134" s="94" t="n"/>
      <c r="C134" s="46" t="n"/>
      <c r="D134" s="75" t="n"/>
      <c r="E134" s="95" t="n"/>
      <c r="F134" s="46" t="n"/>
      <c r="G134" s="96" t="n"/>
      <c r="H134" s="46" t="n"/>
      <c r="I134" s="97" t="n"/>
      <c r="J134" s="46" t="n"/>
      <c r="K134" s="46" t="n"/>
      <c r="L134" s="46" t="n"/>
      <c r="M134" s="46" t="n"/>
      <c r="N134" s="46" t="n"/>
      <c r="O134" s="46" t="n"/>
    </row>
    <row r="135" ht="17" customHeight="1">
      <c r="A135" s="83" t="n"/>
      <c r="B135" s="94" t="n"/>
      <c r="C135" s="46" t="n"/>
      <c r="D135" s="75" t="n"/>
      <c r="E135" s="95" t="n"/>
      <c r="F135" s="46" t="n"/>
      <c r="G135" s="96" t="n"/>
      <c r="H135" s="46" t="n"/>
      <c r="I135" s="97" t="n"/>
      <c r="J135" s="46" t="n"/>
      <c r="K135" s="46" t="n"/>
      <c r="L135" s="46" t="n"/>
      <c r="M135" s="46" t="n"/>
      <c r="N135" s="46" t="n"/>
      <c r="O135" s="46" t="n"/>
    </row>
    <row r="136" ht="17" customHeight="1">
      <c r="A136" s="83" t="n"/>
      <c r="B136" s="94" t="n"/>
      <c r="C136" s="46" t="n"/>
      <c r="D136" s="75" t="n"/>
      <c r="E136" s="95" t="n"/>
      <c r="F136" s="46" t="n"/>
      <c r="G136" s="96" t="n"/>
      <c r="H136" s="46" t="n"/>
      <c r="I136" s="97" t="n"/>
      <c r="J136" s="46" t="n"/>
      <c r="K136" s="46" t="n"/>
      <c r="L136" s="46" t="n"/>
      <c r="M136" s="46" t="n"/>
      <c r="N136" s="46" t="n"/>
      <c r="O136" s="46" t="n"/>
    </row>
    <row r="137" ht="17" customHeight="1">
      <c r="A137" s="83" t="n"/>
      <c r="B137" s="94" t="n"/>
      <c r="C137" s="46" t="n"/>
      <c r="D137" s="75" t="n"/>
      <c r="E137" s="95" t="n"/>
      <c r="F137" s="46" t="n"/>
      <c r="G137" s="96" t="n"/>
      <c r="H137" s="46" t="n"/>
      <c r="I137" s="97" t="n"/>
      <c r="J137" s="46" t="n"/>
      <c r="K137" s="46" t="n"/>
      <c r="L137" s="46" t="n"/>
      <c r="M137" s="46" t="n"/>
      <c r="N137" s="46" t="n"/>
      <c r="O137" s="46" t="n"/>
    </row>
    <row r="138" ht="17" customHeight="1">
      <c r="A138" s="83" t="n"/>
      <c r="B138" s="94" t="n"/>
      <c r="C138" s="46" t="n"/>
      <c r="D138" s="75" t="n"/>
      <c r="E138" s="95" t="n"/>
      <c r="F138" s="46" t="n"/>
      <c r="G138" s="96" t="n"/>
      <c r="H138" s="46" t="n"/>
      <c r="I138" s="97" t="n"/>
      <c r="J138" s="46" t="n"/>
      <c r="K138" s="46" t="n"/>
      <c r="L138" s="46" t="n"/>
      <c r="M138" s="46" t="n"/>
      <c r="N138" s="46" t="n"/>
      <c r="O138" s="46" t="n"/>
    </row>
    <row r="139" ht="17" customHeight="1">
      <c r="A139" s="83" t="n"/>
      <c r="B139" s="94" t="n"/>
      <c r="C139" s="46" t="n"/>
      <c r="D139" s="75" t="n"/>
      <c r="E139" s="95" t="n"/>
      <c r="F139" s="46" t="n"/>
      <c r="G139" s="96" t="n"/>
      <c r="H139" s="46" t="n"/>
      <c r="I139" s="97" t="n"/>
      <c r="J139" s="46" t="n"/>
      <c r="K139" s="46" t="n"/>
      <c r="L139" s="46" t="n"/>
      <c r="M139" s="46" t="n"/>
      <c r="N139" s="46" t="n"/>
      <c r="O139" s="46" t="n"/>
    </row>
    <row r="140" ht="17" customHeight="1">
      <c r="A140" s="83" t="n"/>
      <c r="B140" s="94" t="n"/>
      <c r="C140" s="46" t="n"/>
      <c r="D140" s="75" t="n"/>
      <c r="E140" s="95" t="n"/>
      <c r="F140" s="46" t="n"/>
      <c r="G140" s="96" t="n"/>
      <c r="H140" s="46" t="n"/>
      <c r="I140" s="97" t="n"/>
      <c r="J140" s="46" t="n"/>
      <c r="K140" s="46" t="n"/>
      <c r="L140" s="46" t="n"/>
      <c r="M140" s="46" t="n"/>
      <c r="N140" s="46" t="n"/>
      <c r="O140" s="46" t="n"/>
    </row>
    <row r="141" ht="17" customHeight="1">
      <c r="A141" s="83" t="n"/>
      <c r="B141" s="94" t="n"/>
      <c r="C141" s="46" t="n"/>
      <c r="D141" s="75" t="n"/>
      <c r="E141" s="95" t="n"/>
      <c r="F141" s="46" t="n"/>
      <c r="G141" s="96" t="n"/>
      <c r="H141" s="46" t="n"/>
      <c r="I141" s="97" t="n"/>
      <c r="J141" s="46" t="n"/>
      <c r="K141" s="46" t="n"/>
      <c r="L141" s="46" t="n"/>
      <c r="M141" s="46" t="n"/>
      <c r="N141" s="46" t="n"/>
      <c r="O141" s="46" t="n"/>
    </row>
    <row r="142" ht="17" customHeight="1">
      <c r="A142" s="83" t="n"/>
      <c r="B142" s="94" t="n"/>
      <c r="C142" s="46" t="n"/>
      <c r="D142" s="75" t="n"/>
      <c r="E142" s="95" t="n"/>
      <c r="F142" s="46" t="n"/>
      <c r="G142" s="96" t="n"/>
      <c r="H142" s="46" t="n"/>
      <c r="I142" s="97" t="n"/>
      <c r="J142" s="46" t="n"/>
      <c r="K142" s="46" t="n"/>
      <c r="L142" s="46" t="n"/>
      <c r="M142" s="46" t="n"/>
      <c r="N142" s="46" t="n"/>
      <c r="O142" s="46" t="n"/>
    </row>
    <row r="143" ht="17" customHeight="1">
      <c r="A143" s="83" t="n"/>
      <c r="B143" s="94" t="n"/>
      <c r="C143" s="46" t="n"/>
      <c r="D143" s="75" t="n"/>
      <c r="E143" s="95" t="n"/>
      <c r="F143" s="46" t="n"/>
      <c r="G143" s="96" t="n"/>
      <c r="H143" s="46" t="n"/>
      <c r="I143" s="97" t="n"/>
      <c r="J143" s="46" t="n"/>
      <c r="K143" s="46" t="n"/>
      <c r="L143" s="46" t="n"/>
      <c r="M143" s="46" t="n"/>
      <c r="N143" s="46" t="n"/>
      <c r="O143" s="46" t="n"/>
    </row>
    <row r="144" ht="17" customHeight="1">
      <c r="A144" s="83" t="n"/>
      <c r="B144" s="94" t="n"/>
      <c r="C144" s="46" t="n"/>
      <c r="D144" s="75" t="n"/>
      <c r="E144" s="95" t="n"/>
      <c r="F144" s="46" t="n"/>
      <c r="G144" s="96" t="n"/>
      <c r="H144" s="46" t="n"/>
      <c r="I144" s="97" t="n"/>
      <c r="J144" s="46" t="n"/>
      <c r="K144" s="46" t="n"/>
      <c r="L144" s="46" t="n"/>
      <c r="M144" s="46" t="n"/>
      <c r="N144" s="46" t="n"/>
      <c r="O144" s="46" t="n"/>
    </row>
    <row r="145" ht="17" customHeight="1">
      <c r="A145" s="83" t="n"/>
      <c r="B145" s="94" t="n"/>
      <c r="C145" s="46" t="n"/>
      <c r="D145" s="75" t="n"/>
      <c r="E145" s="95" t="n"/>
      <c r="F145" s="46" t="n"/>
      <c r="G145" s="96" t="n"/>
      <c r="H145" s="46" t="n"/>
      <c r="I145" s="97" t="n"/>
      <c r="J145" s="46" t="n"/>
      <c r="K145" s="46" t="n"/>
      <c r="L145" s="46" t="n"/>
      <c r="M145" s="46" t="n"/>
      <c r="N145" s="46" t="n"/>
      <c r="O145" s="46" t="n"/>
    </row>
    <row r="146" ht="17" customHeight="1">
      <c r="A146" s="83" t="n"/>
      <c r="B146" s="94" t="n"/>
      <c r="C146" s="46" t="n"/>
      <c r="D146" s="75" t="n"/>
      <c r="E146" s="95" t="n"/>
      <c r="F146" s="46" t="n"/>
      <c r="G146" s="96" t="n"/>
      <c r="H146" s="46" t="n"/>
      <c r="I146" s="97" t="n"/>
      <c r="J146" s="46" t="n"/>
      <c r="K146" s="46" t="n"/>
      <c r="L146" s="46" t="n"/>
      <c r="M146" s="46" t="n"/>
      <c r="N146" s="46" t="n"/>
      <c r="O146" s="46" t="n"/>
    </row>
    <row r="147" ht="17" customHeight="1">
      <c r="A147" s="83" t="n"/>
      <c r="B147" s="94" t="n"/>
      <c r="C147" s="46" t="n"/>
      <c r="D147" s="75" t="n"/>
      <c r="E147" s="95" t="n"/>
      <c r="F147" s="46" t="n"/>
      <c r="G147" s="96" t="n"/>
      <c r="H147" s="46" t="n"/>
      <c r="I147" s="97" t="n"/>
      <c r="J147" s="46" t="n"/>
      <c r="K147" s="46" t="n"/>
      <c r="L147" s="46" t="n"/>
      <c r="M147" s="46" t="n"/>
      <c r="N147" s="46" t="n"/>
      <c r="O147" s="46" t="n"/>
    </row>
    <row r="148" ht="17" customHeight="1">
      <c r="A148" s="83" t="n"/>
      <c r="B148" s="94" t="n"/>
      <c r="C148" s="46" t="n"/>
      <c r="D148" s="75" t="n"/>
      <c r="E148" s="95" t="n"/>
      <c r="F148" s="46" t="n"/>
      <c r="G148" s="96" t="n"/>
      <c r="H148" s="46" t="n"/>
      <c r="I148" s="97" t="n"/>
      <c r="J148" s="46" t="n"/>
      <c r="K148" s="46" t="n"/>
      <c r="L148" s="46" t="n"/>
      <c r="M148" s="46" t="n"/>
      <c r="N148" s="46" t="n"/>
      <c r="O148" s="46" t="n"/>
    </row>
    <row r="149" ht="17" customHeight="1">
      <c r="A149" s="83" t="n"/>
      <c r="B149" s="94" t="n"/>
      <c r="C149" s="46" t="n"/>
      <c r="D149" s="75" t="n"/>
      <c r="E149" s="95" t="n"/>
      <c r="F149" s="46" t="n"/>
      <c r="G149" s="96" t="n"/>
      <c r="H149" s="46" t="n"/>
      <c r="I149" s="97" t="n"/>
      <c r="J149" s="46" t="n"/>
      <c r="K149" s="46" t="n"/>
      <c r="L149" s="46" t="n"/>
      <c r="M149" s="46" t="n"/>
      <c r="N149" s="46" t="n"/>
      <c r="O149" s="46" t="n"/>
    </row>
    <row r="150" ht="17" customHeight="1">
      <c r="A150" s="83" t="n"/>
      <c r="B150" s="94" t="n"/>
      <c r="C150" s="46" t="n"/>
      <c r="D150" s="75" t="n"/>
      <c r="E150" s="95" t="n"/>
      <c r="F150" s="46" t="n"/>
      <c r="G150" s="96" t="n"/>
      <c r="H150" s="46" t="n"/>
      <c r="I150" s="97" t="n"/>
      <c r="J150" s="46" t="n"/>
      <c r="K150" s="46" t="n"/>
      <c r="L150" s="46" t="n"/>
      <c r="M150" s="46" t="n"/>
      <c r="N150" s="46" t="n"/>
      <c r="O150" s="46" t="n"/>
    </row>
    <row r="151" ht="17" customHeight="1">
      <c r="A151" s="83" t="n"/>
      <c r="B151" s="94" t="n"/>
      <c r="C151" s="46" t="n"/>
      <c r="D151" s="75" t="n"/>
      <c r="E151" s="95" t="n"/>
      <c r="F151" s="46" t="n"/>
      <c r="G151" s="96" t="n"/>
      <c r="H151" s="46" t="n"/>
      <c r="I151" s="97" t="n"/>
      <c r="J151" s="46" t="n"/>
      <c r="K151" s="46" t="n"/>
      <c r="L151" s="46" t="n"/>
      <c r="M151" s="46" t="n"/>
      <c r="N151" s="46" t="n"/>
      <c r="O151" s="46" t="n"/>
    </row>
    <row r="152" ht="17" customHeight="1">
      <c r="A152" s="83" t="n"/>
      <c r="B152" s="94" t="n"/>
      <c r="C152" s="46" t="n"/>
      <c r="D152" s="75" t="n"/>
      <c r="E152" s="95" t="n"/>
      <c r="F152" s="46" t="n"/>
      <c r="G152" s="96" t="n"/>
      <c r="H152" s="46" t="n"/>
      <c r="I152" s="97" t="n"/>
      <c r="J152" s="46" t="n"/>
      <c r="K152" s="46" t="n"/>
      <c r="L152" s="46" t="n"/>
      <c r="M152" s="46" t="n"/>
      <c r="N152" s="46" t="n"/>
      <c r="O152" s="46" t="n"/>
    </row>
    <row r="153" ht="17" customHeight="1">
      <c r="A153" s="83" t="n"/>
      <c r="B153" s="94" t="n"/>
      <c r="C153" s="46" t="n"/>
      <c r="D153" s="75" t="n"/>
      <c r="E153" s="95" t="n"/>
      <c r="F153" s="46" t="n"/>
      <c r="G153" s="96" t="n"/>
      <c r="H153" s="46" t="n"/>
      <c r="I153" s="97" t="n"/>
      <c r="J153" s="46" t="n"/>
      <c r="K153" s="46" t="n"/>
      <c r="L153" s="46" t="n"/>
      <c r="M153" s="46" t="n"/>
      <c r="N153" s="46" t="n"/>
      <c r="O153" s="46" t="n"/>
    </row>
    <row r="154" ht="17" customHeight="1">
      <c r="A154" s="83" t="n"/>
      <c r="B154" s="94" t="n"/>
      <c r="C154" s="46" t="n"/>
      <c r="D154" s="75" t="n"/>
      <c r="E154" s="95" t="n"/>
      <c r="F154" s="46" t="n"/>
      <c r="G154" s="96" t="n"/>
      <c r="H154" s="46" t="n"/>
      <c r="I154" s="97" t="n"/>
      <c r="J154" s="46" t="n"/>
      <c r="K154" s="46" t="n"/>
      <c r="L154" s="46" t="n"/>
      <c r="M154" s="46" t="n"/>
      <c r="N154" s="46" t="n"/>
      <c r="O154" s="46" t="n"/>
    </row>
    <row r="155" ht="17" customHeight="1">
      <c r="A155" s="83" t="n"/>
      <c r="B155" s="94" t="n"/>
      <c r="C155" s="46" t="n"/>
      <c r="D155" s="75" t="n"/>
      <c r="E155" s="95" t="n"/>
      <c r="F155" s="46" t="n"/>
      <c r="G155" s="96" t="n"/>
      <c r="H155" s="46" t="n"/>
      <c r="I155" s="97" t="n"/>
      <c r="J155" s="46" t="n"/>
      <c r="K155" s="46" t="n"/>
      <c r="L155" s="46" t="n"/>
      <c r="M155" s="46" t="n"/>
      <c r="N155" s="46" t="n"/>
      <c r="O155" s="46" t="n"/>
    </row>
    <row r="156" ht="17" customHeight="1">
      <c r="A156" s="83" t="n"/>
      <c r="B156" s="94" t="n"/>
      <c r="C156" s="46" t="n"/>
      <c r="D156" s="75" t="n"/>
      <c r="E156" s="95" t="n"/>
      <c r="F156" s="46" t="n"/>
      <c r="G156" s="96" t="n"/>
      <c r="H156" s="46" t="n"/>
      <c r="I156" s="97" t="n"/>
      <c r="J156" s="46" t="n"/>
      <c r="K156" s="46" t="n"/>
      <c r="L156" s="46" t="n"/>
      <c r="M156" s="46" t="n"/>
      <c r="N156" s="46" t="n"/>
      <c r="O156" s="46" t="n"/>
    </row>
    <row r="157" ht="17" customHeight="1">
      <c r="A157" s="83" t="n"/>
      <c r="B157" s="94" t="n"/>
      <c r="C157" s="46" t="n"/>
      <c r="D157" s="75" t="n"/>
      <c r="E157" s="95" t="n"/>
      <c r="F157" s="46" t="n"/>
      <c r="G157" s="96" t="n"/>
      <c r="H157" s="46" t="n"/>
      <c r="I157" s="97" t="n"/>
      <c r="J157" s="46" t="n"/>
      <c r="K157" s="46" t="n"/>
      <c r="L157" s="46" t="n"/>
      <c r="M157" s="46" t="n"/>
      <c r="N157" s="46" t="n"/>
      <c r="O157" s="46" t="n"/>
    </row>
    <row r="158" ht="17" customHeight="1">
      <c r="A158" s="83" t="n"/>
      <c r="B158" s="94" t="n"/>
      <c r="C158" s="46" t="n"/>
      <c r="D158" s="75" t="n"/>
      <c r="E158" s="95" t="n"/>
      <c r="F158" s="46" t="n"/>
      <c r="G158" s="96" t="n"/>
      <c r="H158" s="46" t="n"/>
      <c r="I158" s="97" t="n"/>
      <c r="J158" s="46" t="n"/>
      <c r="K158" s="46" t="n"/>
      <c r="L158" s="46" t="n"/>
      <c r="M158" s="46" t="n"/>
      <c r="N158" s="46" t="n"/>
      <c r="O158" s="46" t="n"/>
    </row>
    <row r="159" ht="17" customHeight="1">
      <c r="A159" s="83" t="n"/>
      <c r="B159" s="94" t="n"/>
      <c r="C159" s="46" t="n"/>
      <c r="D159" s="75" t="n"/>
      <c r="E159" s="95" t="n"/>
      <c r="F159" s="46" t="n"/>
      <c r="G159" s="96" t="n"/>
      <c r="H159" s="46" t="n"/>
      <c r="I159" s="97" t="n"/>
      <c r="J159" s="46" t="n"/>
      <c r="K159" s="46" t="n"/>
      <c r="L159" s="46" t="n"/>
      <c r="M159" s="46" t="n"/>
      <c r="N159" s="46" t="n"/>
      <c r="O159" s="46" t="n"/>
    </row>
    <row r="160" ht="17" customHeight="1">
      <c r="A160" s="83" t="n"/>
      <c r="B160" s="94" t="n"/>
      <c r="C160" s="46" t="n"/>
      <c r="D160" s="75" t="n"/>
      <c r="E160" s="95" t="n"/>
      <c r="F160" s="46" t="n"/>
      <c r="G160" s="96" t="n"/>
      <c r="H160" s="46" t="n"/>
      <c r="I160" s="97" t="n"/>
      <c r="J160" s="46" t="n"/>
      <c r="K160" s="46" t="n"/>
      <c r="L160" s="46" t="n"/>
      <c r="M160" s="46" t="n"/>
      <c r="N160" s="46" t="n"/>
      <c r="O160" s="46" t="n"/>
    </row>
    <row r="161" ht="17" customHeight="1">
      <c r="A161" s="83" t="n"/>
      <c r="B161" s="94" t="n"/>
      <c r="C161" s="46" t="n"/>
      <c r="D161" s="75" t="n"/>
      <c r="E161" s="95" t="n"/>
      <c r="F161" s="46" t="n"/>
      <c r="G161" s="96" t="n"/>
      <c r="H161" s="46" t="n"/>
      <c r="I161" s="97" t="n"/>
      <c r="J161" s="46" t="n"/>
      <c r="K161" s="46" t="n"/>
      <c r="L161" s="46" t="n"/>
      <c r="M161" s="46" t="n"/>
      <c r="N161" s="46" t="n"/>
      <c r="O161" s="46" t="n"/>
    </row>
    <row r="162" ht="17" customHeight="1">
      <c r="A162" s="83" t="n"/>
      <c r="B162" s="94" t="n"/>
      <c r="C162" s="46" t="n"/>
      <c r="D162" s="75" t="n"/>
      <c r="E162" s="95" t="n"/>
      <c r="F162" s="46" t="n"/>
      <c r="G162" s="96" t="n"/>
      <c r="H162" s="46" t="n"/>
      <c r="I162" s="97" t="n"/>
      <c r="J162" s="46" t="n"/>
      <c r="K162" s="46" t="n"/>
      <c r="L162" s="46" t="n"/>
      <c r="M162" s="46" t="n"/>
      <c r="N162" s="46" t="n"/>
      <c r="O162" s="46" t="n"/>
    </row>
    <row r="163" ht="17" customHeight="1">
      <c r="A163" s="83" t="n"/>
      <c r="B163" s="94" t="n"/>
      <c r="C163" s="46" t="n"/>
      <c r="D163" s="75" t="n"/>
      <c r="E163" s="95" t="n"/>
      <c r="F163" s="46" t="n"/>
      <c r="G163" s="96" t="n"/>
      <c r="H163" s="46" t="n"/>
      <c r="I163" s="97" t="n"/>
      <c r="J163" s="46" t="n"/>
      <c r="K163" s="46" t="n"/>
      <c r="L163" s="46" t="n"/>
      <c r="M163" s="46" t="n"/>
      <c r="N163" s="46" t="n"/>
      <c r="O163" s="46" t="n"/>
    </row>
    <row r="164" ht="17" customHeight="1">
      <c r="A164" s="83" t="n"/>
      <c r="B164" s="94" t="n"/>
      <c r="C164" s="46" t="n"/>
      <c r="D164" s="75" t="n"/>
      <c r="E164" s="95" t="n"/>
      <c r="F164" s="46" t="n"/>
      <c r="G164" s="96" t="n"/>
      <c r="H164" s="46" t="n"/>
      <c r="I164" s="97" t="n"/>
      <c r="J164" s="46" t="n"/>
      <c r="K164" s="46" t="n"/>
      <c r="L164" s="46" t="n"/>
      <c r="M164" s="46" t="n"/>
      <c r="N164" s="46" t="n"/>
      <c r="O164" s="46" t="n"/>
    </row>
    <row r="165" ht="17" customHeight="1">
      <c r="A165" s="83" t="n"/>
      <c r="B165" s="94" t="n"/>
      <c r="C165" s="46" t="n"/>
      <c r="D165" s="75" t="n"/>
      <c r="E165" s="95" t="n"/>
      <c r="F165" s="46" t="n"/>
      <c r="G165" s="96" t="n"/>
      <c r="H165" s="46" t="n"/>
      <c r="I165" s="97" t="n"/>
      <c r="J165" s="46" t="n"/>
      <c r="K165" s="46" t="n"/>
      <c r="L165" s="46" t="n"/>
      <c r="M165" s="46" t="n"/>
      <c r="N165" s="46" t="n"/>
      <c r="O165" s="46" t="n"/>
    </row>
    <row r="166" ht="17" customHeight="1">
      <c r="A166" s="83" t="n"/>
      <c r="B166" s="94" t="n"/>
      <c r="C166" s="46" t="n"/>
      <c r="D166" s="75" t="n"/>
      <c r="E166" s="95" t="n"/>
      <c r="F166" s="46" t="n"/>
      <c r="G166" s="96" t="n"/>
      <c r="H166" s="46" t="n"/>
      <c r="I166" s="97" t="n"/>
      <c r="J166" s="46" t="n"/>
      <c r="K166" s="46" t="n"/>
      <c r="L166" s="46" t="n"/>
      <c r="M166" s="46" t="n"/>
      <c r="N166" s="46" t="n"/>
      <c r="O166" s="46" t="n"/>
    </row>
    <row r="167" ht="17" customHeight="1">
      <c r="A167" s="83" t="n"/>
      <c r="B167" s="94" t="n"/>
      <c r="C167" s="46" t="n"/>
      <c r="D167" s="75" t="n"/>
      <c r="E167" s="95" t="n"/>
      <c r="F167" s="46" t="n"/>
      <c r="G167" s="96" t="n"/>
      <c r="H167" s="46" t="n"/>
      <c r="I167" s="97" t="n"/>
      <c r="J167" s="46" t="n"/>
      <c r="K167" s="46" t="n"/>
      <c r="L167" s="46" t="n"/>
      <c r="M167" s="46" t="n"/>
      <c r="N167" s="46" t="n"/>
      <c r="O167" s="46" t="n"/>
    </row>
    <row r="168" ht="17" customHeight="1">
      <c r="A168" s="83" t="n"/>
      <c r="B168" s="94" t="n"/>
      <c r="C168" s="46" t="n"/>
      <c r="D168" s="75" t="n"/>
      <c r="E168" s="95" t="n"/>
      <c r="F168" s="46" t="n"/>
      <c r="G168" s="96" t="n"/>
      <c r="H168" s="46" t="n"/>
      <c r="I168" s="97" t="n"/>
      <c r="J168" s="46" t="n"/>
      <c r="K168" s="46" t="n"/>
      <c r="L168" s="46" t="n"/>
      <c r="M168" s="46" t="n"/>
      <c r="N168" s="46" t="n"/>
      <c r="O168" s="46" t="n"/>
    </row>
    <row r="169" ht="17" customHeight="1">
      <c r="A169" s="83" t="n"/>
      <c r="B169" s="94" t="n"/>
      <c r="C169" s="46" t="n"/>
      <c r="D169" s="75" t="n"/>
      <c r="E169" s="95" t="n"/>
      <c r="F169" s="46" t="n"/>
      <c r="G169" s="96" t="n"/>
      <c r="H169" s="46" t="n"/>
      <c r="I169" s="97" t="n"/>
      <c r="J169" s="46" t="n"/>
      <c r="K169" s="46" t="n"/>
      <c r="L169" s="46" t="n"/>
      <c r="M169" s="46" t="n"/>
      <c r="N169" s="46" t="n"/>
      <c r="O169" s="46" t="n"/>
    </row>
    <row r="170" ht="17" customHeight="1">
      <c r="A170" s="83" t="n"/>
      <c r="B170" s="94" t="n"/>
      <c r="C170" s="46" t="n"/>
      <c r="D170" s="75" t="n"/>
      <c r="E170" s="95" t="n"/>
      <c r="F170" s="46" t="n"/>
      <c r="G170" s="96" t="n"/>
      <c r="H170" s="46" t="n"/>
      <c r="I170" s="97" t="n"/>
      <c r="J170" s="46" t="n"/>
      <c r="K170" s="46" t="n"/>
      <c r="L170" s="46" t="n"/>
      <c r="M170" s="46" t="n"/>
      <c r="N170" s="46" t="n"/>
      <c r="O170" s="46" t="n"/>
    </row>
    <row r="171" ht="17" customHeight="1">
      <c r="A171" s="83" t="n"/>
      <c r="B171" s="94" t="n"/>
      <c r="C171" s="46" t="n"/>
      <c r="D171" s="75" t="n"/>
      <c r="E171" s="95" t="n"/>
      <c r="F171" s="46" t="n"/>
      <c r="G171" s="96" t="n"/>
      <c r="H171" s="46" t="n"/>
      <c r="I171" s="97" t="n"/>
      <c r="J171" s="46" t="n"/>
      <c r="K171" s="46" t="n"/>
      <c r="L171" s="46" t="n"/>
      <c r="M171" s="46" t="n"/>
      <c r="N171" s="46" t="n"/>
      <c r="O171" s="46" t="n"/>
    </row>
    <row r="172" ht="17" customHeight="1">
      <c r="A172" s="83" t="n"/>
      <c r="B172" s="94" t="n"/>
      <c r="C172" s="46" t="n"/>
      <c r="D172" s="75" t="n"/>
      <c r="E172" s="95" t="n"/>
      <c r="F172" s="46" t="n"/>
      <c r="G172" s="96" t="n"/>
      <c r="H172" s="46" t="n"/>
      <c r="I172" s="97" t="n"/>
      <c r="J172" s="46" t="n"/>
      <c r="K172" s="46" t="n"/>
      <c r="L172" s="46" t="n"/>
      <c r="M172" s="46" t="n"/>
      <c r="N172" s="46" t="n"/>
      <c r="O172" s="46" t="n"/>
    </row>
    <row r="173" ht="17" customHeight="1">
      <c r="A173" s="83" t="n"/>
      <c r="B173" s="94" t="n"/>
      <c r="C173" s="46" t="n"/>
      <c r="D173" s="75" t="n"/>
      <c r="E173" s="95" t="n"/>
      <c r="F173" s="46" t="n"/>
      <c r="G173" s="96" t="n"/>
      <c r="H173" s="46" t="n"/>
      <c r="I173" s="97" t="n"/>
      <c r="J173" s="46" t="n"/>
      <c r="K173" s="46" t="n"/>
      <c r="L173" s="46" t="n"/>
      <c r="M173" s="46" t="n"/>
      <c r="N173" s="46" t="n"/>
      <c r="O173" s="46" t="n"/>
    </row>
    <row r="174" ht="17" customHeight="1">
      <c r="A174" s="83" t="n"/>
      <c r="B174" s="94" t="n"/>
      <c r="C174" s="46" t="n"/>
      <c r="D174" s="75" t="n"/>
      <c r="E174" s="95" t="n"/>
      <c r="F174" s="46" t="n"/>
      <c r="G174" s="96" t="n"/>
      <c r="H174" s="46" t="n"/>
      <c r="I174" s="97" t="n"/>
      <c r="J174" s="46" t="n"/>
      <c r="K174" s="46" t="n"/>
      <c r="L174" s="46" t="n"/>
      <c r="M174" s="46" t="n"/>
      <c r="N174" s="46" t="n"/>
      <c r="O174" s="46" t="n"/>
    </row>
    <row r="175" ht="17" customHeight="1">
      <c r="A175" s="83" t="n"/>
      <c r="B175" s="94" t="n"/>
      <c r="C175" s="46" t="n"/>
      <c r="D175" s="75" t="n"/>
      <c r="E175" s="95" t="n"/>
      <c r="F175" s="46" t="n"/>
      <c r="G175" s="96" t="n"/>
      <c r="H175" s="46" t="n"/>
      <c r="I175" s="97" t="n"/>
      <c r="J175" s="46" t="n"/>
      <c r="K175" s="46" t="n"/>
      <c r="L175" s="46" t="n"/>
      <c r="M175" s="46" t="n"/>
      <c r="N175" s="46" t="n"/>
      <c r="O175" s="46" t="n"/>
    </row>
    <row r="176" ht="17" customHeight="1">
      <c r="A176" s="83" t="n"/>
      <c r="B176" s="94" t="n"/>
      <c r="C176" s="46" t="n"/>
      <c r="D176" s="75" t="n"/>
      <c r="E176" s="95" t="n"/>
      <c r="F176" s="46" t="n"/>
      <c r="G176" s="96" t="n"/>
      <c r="H176" s="46" t="n"/>
      <c r="I176" s="97" t="n"/>
      <c r="J176" s="46" t="n"/>
      <c r="K176" s="46" t="n"/>
      <c r="L176" s="46" t="n"/>
      <c r="M176" s="46" t="n"/>
      <c r="N176" s="46" t="n"/>
      <c r="O176" s="46" t="n"/>
    </row>
    <row r="177" ht="17" customHeight="1">
      <c r="A177" s="83" t="n"/>
      <c r="B177" s="94" t="n"/>
      <c r="C177" s="46" t="n"/>
      <c r="D177" s="75" t="n"/>
      <c r="E177" s="95" t="n"/>
      <c r="F177" s="46" t="n"/>
      <c r="G177" s="96" t="n"/>
      <c r="H177" s="46" t="n"/>
      <c r="I177" s="97" t="n"/>
      <c r="J177" s="46" t="n"/>
      <c r="K177" s="46" t="n"/>
      <c r="L177" s="46" t="n"/>
      <c r="M177" s="46" t="n"/>
      <c r="N177" s="46" t="n"/>
      <c r="O177" s="46" t="n"/>
    </row>
    <row r="178" ht="17" customHeight="1">
      <c r="A178" s="83" t="n"/>
      <c r="B178" s="94" t="n"/>
      <c r="C178" s="46" t="n"/>
      <c r="D178" s="75" t="n"/>
      <c r="E178" s="95" t="n"/>
      <c r="F178" s="46" t="n"/>
      <c r="G178" s="96" t="n"/>
      <c r="H178" s="46" t="n"/>
      <c r="I178" s="97" t="n"/>
      <c r="J178" s="46" t="n"/>
      <c r="K178" s="46" t="n"/>
      <c r="L178" s="46" t="n"/>
      <c r="M178" s="46" t="n"/>
      <c r="N178" s="46" t="n"/>
      <c r="O178" s="46" t="n"/>
    </row>
    <row r="179" ht="17" customHeight="1">
      <c r="A179" s="83" t="n"/>
      <c r="B179" s="94" t="n"/>
      <c r="C179" s="46" t="n"/>
      <c r="D179" s="75" t="n"/>
      <c r="E179" s="95" t="n"/>
      <c r="F179" s="46" t="n"/>
      <c r="G179" s="96" t="n"/>
      <c r="H179" s="46" t="n"/>
      <c r="I179" s="97" t="n"/>
      <c r="J179" s="46" t="n"/>
      <c r="K179" s="46" t="n"/>
      <c r="L179" s="46" t="n"/>
      <c r="M179" s="46" t="n"/>
      <c r="N179" s="46" t="n"/>
      <c r="O179" s="46" t="n"/>
    </row>
    <row r="180" ht="17" customHeight="1">
      <c r="A180" s="83" t="n"/>
      <c r="B180" s="94" t="n"/>
      <c r="C180" s="46" t="n"/>
      <c r="D180" s="75" t="n"/>
      <c r="E180" s="95" t="n"/>
      <c r="F180" s="46" t="n"/>
      <c r="G180" s="96" t="n"/>
      <c r="H180" s="46" t="n"/>
      <c r="I180" s="97" t="n"/>
      <c r="J180" s="46" t="n"/>
      <c r="K180" s="46" t="n"/>
      <c r="L180" s="46" t="n"/>
      <c r="M180" s="46" t="n"/>
      <c r="N180" s="46" t="n"/>
      <c r="O180" s="46" t="n"/>
    </row>
    <row r="181" ht="17" customHeight="1">
      <c r="A181" s="83" t="n"/>
      <c r="B181" s="94" t="n"/>
      <c r="C181" s="46" t="n"/>
      <c r="D181" s="75" t="n"/>
      <c r="E181" s="95" t="n"/>
      <c r="F181" s="46" t="n"/>
      <c r="G181" s="96" t="n"/>
      <c r="H181" s="46" t="n"/>
      <c r="I181" s="97" t="n"/>
      <c r="J181" s="46" t="n"/>
      <c r="K181" s="46" t="n"/>
      <c r="L181" s="46" t="n"/>
      <c r="M181" s="46" t="n"/>
      <c r="N181" s="46" t="n"/>
      <c r="O181" s="46" t="n"/>
    </row>
    <row r="182" ht="17" customHeight="1">
      <c r="A182" s="83" t="n"/>
      <c r="B182" s="94" t="n"/>
      <c r="C182" s="46" t="n"/>
      <c r="D182" s="75" t="n"/>
      <c r="E182" s="95" t="n"/>
      <c r="F182" s="46" t="n"/>
      <c r="G182" s="96" t="n"/>
      <c r="H182" s="46" t="n"/>
      <c r="I182" s="97" t="n"/>
      <c r="J182" s="46" t="n"/>
      <c r="K182" s="46" t="n"/>
      <c r="L182" s="46" t="n"/>
      <c r="M182" s="46" t="n"/>
      <c r="N182" s="46" t="n"/>
      <c r="O182" s="46" t="n"/>
    </row>
    <row r="183" ht="17" customHeight="1">
      <c r="A183" s="83" t="n"/>
      <c r="B183" s="94" t="n"/>
      <c r="C183" s="46" t="n"/>
      <c r="D183" s="75" t="n"/>
      <c r="E183" s="95" t="n"/>
      <c r="F183" s="46" t="n"/>
      <c r="G183" s="96" t="n"/>
      <c r="H183" s="46" t="n"/>
      <c r="I183" s="97" t="n"/>
      <c r="J183" s="46" t="n"/>
      <c r="K183" s="46" t="n"/>
      <c r="L183" s="46" t="n"/>
      <c r="M183" s="46" t="n"/>
      <c r="N183" s="46" t="n"/>
      <c r="O183" s="46" t="n"/>
    </row>
    <row r="184" ht="17" customHeight="1">
      <c r="A184" s="83" t="n"/>
      <c r="B184" s="94" t="n"/>
      <c r="C184" s="46" t="n"/>
      <c r="D184" s="75" t="n"/>
      <c r="E184" s="95" t="n"/>
      <c r="F184" s="46" t="n"/>
      <c r="G184" s="96" t="n"/>
      <c r="H184" s="46" t="n"/>
      <c r="I184" s="97" t="n"/>
      <c r="J184" s="46" t="n"/>
      <c r="K184" s="46" t="n"/>
      <c r="L184" s="46" t="n"/>
      <c r="M184" s="46" t="n"/>
      <c r="N184" s="46" t="n"/>
      <c r="O184" s="46" t="n"/>
    </row>
    <row r="185" ht="17" customHeight="1">
      <c r="A185" s="83" t="n"/>
      <c r="B185" s="94" t="n"/>
      <c r="C185" s="46" t="n"/>
      <c r="D185" s="75" t="n"/>
      <c r="E185" s="95" t="n"/>
      <c r="F185" s="46" t="n"/>
      <c r="G185" s="96" t="n"/>
      <c r="H185" s="46" t="n"/>
      <c r="I185" s="97" t="n"/>
      <c r="J185" s="46" t="n"/>
      <c r="K185" s="46" t="n"/>
      <c r="L185" s="46" t="n"/>
      <c r="M185" s="46" t="n"/>
      <c r="N185" s="46" t="n"/>
      <c r="O185" s="46" t="n"/>
    </row>
    <row r="186" ht="17" customHeight="1">
      <c r="A186" s="83" t="n"/>
      <c r="B186" s="94" t="n"/>
      <c r="C186" s="46" t="n"/>
      <c r="D186" s="75" t="n"/>
      <c r="E186" s="95" t="n"/>
      <c r="F186" s="46" t="n"/>
      <c r="G186" s="96" t="n"/>
      <c r="H186" s="46" t="n"/>
      <c r="I186" s="97" t="n"/>
      <c r="J186" s="46" t="n"/>
      <c r="K186" s="46" t="n"/>
      <c r="L186" s="46" t="n"/>
      <c r="M186" s="46" t="n"/>
      <c r="N186" s="46" t="n"/>
      <c r="O186" s="46" t="n"/>
    </row>
    <row r="187" ht="17" customHeight="1">
      <c r="A187" s="83" t="n"/>
      <c r="B187" s="94" t="n"/>
      <c r="C187" s="46" t="n"/>
      <c r="D187" s="75" t="n"/>
      <c r="E187" s="95" t="n"/>
      <c r="F187" s="46" t="n"/>
      <c r="G187" s="96" t="n"/>
      <c r="H187" s="46" t="n"/>
      <c r="I187" s="97" t="n"/>
      <c r="J187" s="46" t="n"/>
      <c r="K187" s="46" t="n"/>
      <c r="L187" s="46" t="n"/>
      <c r="M187" s="46" t="n"/>
      <c r="N187" s="46" t="n"/>
      <c r="O187" s="46" t="n"/>
    </row>
    <row r="188" ht="17" customHeight="1">
      <c r="A188" s="83" t="n"/>
      <c r="B188" s="94" t="n"/>
      <c r="C188" s="46" t="n"/>
      <c r="D188" s="75" t="n"/>
      <c r="E188" s="95" t="n"/>
      <c r="F188" s="46" t="n"/>
      <c r="G188" s="96" t="n"/>
      <c r="H188" s="46" t="n"/>
      <c r="I188" s="97" t="n"/>
      <c r="J188" s="46" t="n"/>
      <c r="K188" s="46" t="n"/>
      <c r="L188" s="46" t="n"/>
      <c r="M188" s="46" t="n"/>
      <c r="N188" s="46" t="n"/>
      <c r="O188" s="46" t="n"/>
    </row>
    <row r="189" ht="17" customHeight="1">
      <c r="A189" s="83" t="n"/>
      <c r="B189" s="94" t="n"/>
      <c r="C189" s="46" t="n"/>
      <c r="D189" s="75" t="n"/>
      <c r="E189" s="95" t="n"/>
      <c r="F189" s="46" t="n"/>
      <c r="G189" s="96" t="n"/>
      <c r="H189" s="46" t="n"/>
      <c r="I189" s="97" t="n"/>
      <c r="J189" s="46" t="n"/>
      <c r="K189" s="46" t="n"/>
      <c r="L189" s="46" t="n"/>
      <c r="M189" s="46" t="n"/>
      <c r="N189" s="46" t="n"/>
      <c r="O189" s="46" t="n"/>
    </row>
    <row r="190" ht="17" customHeight="1">
      <c r="A190" s="83" t="n"/>
      <c r="B190" s="94" t="n"/>
      <c r="C190" s="46" t="n"/>
      <c r="D190" s="75" t="n"/>
      <c r="E190" s="95" t="n"/>
      <c r="F190" s="46" t="n"/>
      <c r="G190" s="96" t="n"/>
      <c r="H190" s="46" t="n"/>
      <c r="I190" s="97" t="n"/>
      <c r="J190" s="46" t="n"/>
      <c r="K190" s="46" t="n"/>
      <c r="L190" s="46" t="n"/>
      <c r="M190" s="46" t="n"/>
      <c r="N190" s="46" t="n"/>
      <c r="O190" s="46" t="n"/>
    </row>
    <row r="191" ht="17" customHeight="1">
      <c r="A191" s="83" t="n"/>
      <c r="B191" s="94" t="n"/>
      <c r="C191" s="46" t="n"/>
      <c r="D191" s="75" t="n"/>
      <c r="E191" s="95" t="n"/>
      <c r="F191" s="46" t="n"/>
      <c r="G191" s="96" t="n"/>
      <c r="H191" s="46" t="n"/>
      <c r="I191" s="97" t="n"/>
      <c r="J191" s="46" t="n"/>
      <c r="K191" s="46" t="n"/>
      <c r="L191" s="46" t="n"/>
      <c r="M191" s="46" t="n"/>
      <c r="N191" s="46" t="n"/>
      <c r="O191" s="46" t="n"/>
    </row>
    <row r="192" ht="17" customHeight="1">
      <c r="A192" s="83" t="n"/>
      <c r="B192" s="94" t="n"/>
      <c r="C192" s="46" t="n"/>
      <c r="D192" s="75" t="n"/>
      <c r="E192" s="95" t="n"/>
      <c r="F192" s="46" t="n"/>
      <c r="G192" s="96" t="n"/>
      <c r="H192" s="46" t="n"/>
      <c r="I192" s="97" t="n"/>
      <c r="J192" s="46" t="n"/>
      <c r="K192" s="46" t="n"/>
      <c r="L192" s="46" t="n"/>
      <c r="M192" s="46" t="n"/>
      <c r="N192" s="46" t="n"/>
      <c r="O192" s="46" t="n"/>
    </row>
    <row r="193" ht="17" customHeight="1">
      <c r="A193" s="83" t="n"/>
      <c r="B193" s="94" t="n"/>
      <c r="C193" s="46" t="n"/>
      <c r="D193" s="75" t="n"/>
      <c r="E193" s="95" t="n"/>
      <c r="F193" s="46" t="n"/>
      <c r="G193" s="96" t="n"/>
      <c r="H193" s="46" t="n"/>
      <c r="I193" s="97" t="n"/>
      <c r="J193" s="46" t="n"/>
      <c r="K193" s="46" t="n"/>
      <c r="L193" s="46" t="n"/>
      <c r="M193" s="46" t="n"/>
      <c r="N193" s="46" t="n"/>
      <c r="O193" s="46" t="n"/>
    </row>
    <row r="194" ht="22" customHeight="1">
      <c r="A194" s="31" t="inlineStr">
        <is>
          <t>TOTAL LANÇADO NO LIVRO</t>
        </is>
      </c>
      <c r="B194" s="32" t="n"/>
      <c r="C194" s="32" t="n"/>
      <c r="D194" s="32" t="n"/>
      <c r="E194" s="59">
        <f>ROUND(SUM($E$134:$E$193),2)</f>
        <v/>
      </c>
      <c r="F194" s="32" t="n"/>
      <c r="G194" s="98">
        <f>IF(COUNTA($B$134:$B$193)=COUNT($E$134:$E$193),"lançamentos: "&amp;COUNT($E$134:$E$193)&amp;" · todos classificados","ATENÇÃO: "&amp;(COUNT($E$134:$E$193)-COUNTA($B$134:$B$193))&amp;" lançamento(s) sem categoria")</f>
        <v/>
      </c>
      <c r="H194" s="32" t="n"/>
      <c r="I194" s="32" t="n"/>
      <c r="J194" s="32" t="n"/>
      <c r="K194" s="32" t="n"/>
      <c r="L194" s="32" t="n"/>
      <c r="M194" s="32" t="n"/>
      <c r="N194" s="32" t="n"/>
      <c r="O194" s="32" t="n"/>
    </row>
    <row r="196" ht="50" customHeight="1">
      <c r="A196" s="43" t="inlineStr">
        <is>
          <t xml:space="preserve">  Preencha primeiro a coluna ORÇADO com o que o orçamento previu e vá preenchendo o REALIZADO conforme o projeto anda — o desvio de cada linha é o que mostra onde o orçamento erra. Compras entram uma a uma no livro do bloco 8, com categoria, forma de pagamento e status; as categorias do bloco 6 se somam sozinhas. Você pode inserir linhas em qualquer bloco a partir da linha 26: tudo o que o Painel Geral lê está acima disso.</t>
        </is>
      </c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</row>
  </sheetData>
  <mergeCells count="561">
    <mergeCell ref="A196:O196"/>
    <mergeCell ref="I170:O170"/>
    <mergeCell ref="A15:B15"/>
    <mergeCell ref="I157:O157"/>
    <mergeCell ref="G128:O128"/>
    <mergeCell ref="B141:C141"/>
    <mergeCell ref="E142:F142"/>
    <mergeCell ref="I193:O193"/>
    <mergeCell ref="I172:O172"/>
    <mergeCell ref="H9:I9"/>
    <mergeCell ref="J76:M76"/>
    <mergeCell ref="G121:O121"/>
    <mergeCell ref="E171:F171"/>
    <mergeCell ref="G123:O123"/>
    <mergeCell ref="E137:F137"/>
    <mergeCell ref="G137:H137"/>
    <mergeCell ref="E173:F173"/>
    <mergeCell ref="H70:O70"/>
    <mergeCell ref="E148:F148"/>
    <mergeCell ref="G148:H148"/>
    <mergeCell ref="B78:C78"/>
    <mergeCell ref="D7:E7"/>
    <mergeCell ref="I183:O183"/>
    <mergeCell ref="D78:E78"/>
    <mergeCell ref="E166:F166"/>
    <mergeCell ref="G139:H139"/>
    <mergeCell ref="I175:O175"/>
    <mergeCell ref="H99:O99"/>
    <mergeCell ref="A34:C34"/>
    <mergeCell ref="I185:O185"/>
    <mergeCell ref="E168:F168"/>
    <mergeCell ref="G168:H168"/>
    <mergeCell ref="H87:I87"/>
    <mergeCell ref="H101:O101"/>
    <mergeCell ref="G143:H143"/>
    <mergeCell ref="D73:E73"/>
    <mergeCell ref="I176:O176"/>
    <mergeCell ref="J9:O9"/>
    <mergeCell ref="B154:C154"/>
    <mergeCell ref="H91:I91"/>
    <mergeCell ref="E117:F117"/>
    <mergeCell ref="A24:H24"/>
    <mergeCell ref="B156:C156"/>
    <mergeCell ref="E67:F67"/>
    <mergeCell ref="A103:B103"/>
    <mergeCell ref="H112:O112"/>
    <mergeCell ref="I138:O138"/>
    <mergeCell ref="I178:O178"/>
    <mergeCell ref="H114:O114"/>
    <mergeCell ref="E161:F161"/>
    <mergeCell ref="J73:M73"/>
    <mergeCell ref="G129:O129"/>
    <mergeCell ref="A72:O72"/>
    <mergeCell ref="J77:M77"/>
    <mergeCell ref="H75:I75"/>
    <mergeCell ref="B84:C84"/>
    <mergeCell ref="E110:F110"/>
    <mergeCell ref="H105:O105"/>
    <mergeCell ref="E16:F16"/>
    <mergeCell ref="E187:F187"/>
    <mergeCell ref="G138:H138"/>
    <mergeCell ref="B142:C142"/>
    <mergeCell ref="B80:C80"/>
    <mergeCell ref="E174:F174"/>
    <mergeCell ref="H15:O15"/>
    <mergeCell ref="H107:O107"/>
    <mergeCell ref="G126:O126"/>
    <mergeCell ref="B79:C79"/>
    <mergeCell ref="E18:F18"/>
    <mergeCell ref="D79:E79"/>
    <mergeCell ref="E189:F189"/>
    <mergeCell ref="G140:H140"/>
    <mergeCell ref="B144:C144"/>
    <mergeCell ref="F73:G73"/>
    <mergeCell ref="B81:C81"/>
    <mergeCell ref="D81:E81"/>
    <mergeCell ref="I191:O191"/>
    <mergeCell ref="H102:O102"/>
    <mergeCell ref="E29:F29"/>
    <mergeCell ref="H39:O39"/>
    <mergeCell ref="I192:O192"/>
    <mergeCell ref="E69:F69"/>
    <mergeCell ref="B170:C170"/>
    <mergeCell ref="E31:F31"/>
    <mergeCell ref="E158:F158"/>
    <mergeCell ref="E133:F133"/>
    <mergeCell ref="E108:F108"/>
    <mergeCell ref="G133:H133"/>
    <mergeCell ref="B172:C172"/>
    <mergeCell ref="E95:F95"/>
    <mergeCell ref="H28:O28"/>
    <mergeCell ref="E162:F162"/>
    <mergeCell ref="G135:H135"/>
    <mergeCell ref="B92:C92"/>
    <mergeCell ref="J74:M74"/>
    <mergeCell ref="D92:E92"/>
    <mergeCell ref="I146:O146"/>
    <mergeCell ref="F92:G92"/>
    <mergeCell ref="G153:H153"/>
    <mergeCell ref="A36:O36"/>
    <mergeCell ref="A11:O11"/>
    <mergeCell ref="B76:C76"/>
    <mergeCell ref="I181:O181"/>
    <mergeCell ref="A1:O1"/>
    <mergeCell ref="I12:O12"/>
    <mergeCell ref="E164:F164"/>
    <mergeCell ref="G164:H164"/>
    <mergeCell ref="H23:O23"/>
    <mergeCell ref="B150:C150"/>
    <mergeCell ref="E42:F42"/>
    <mergeCell ref="E17:F17"/>
    <mergeCell ref="E188:F188"/>
    <mergeCell ref="E126:F126"/>
    <mergeCell ref="B152:C152"/>
    <mergeCell ref="E180:F180"/>
    <mergeCell ref="J92:M92"/>
    <mergeCell ref="E19:F19"/>
    <mergeCell ref="E190:F190"/>
    <mergeCell ref="B145:C145"/>
    <mergeCell ref="G190:H190"/>
    <mergeCell ref="G146:H146"/>
    <mergeCell ref="B181:C181"/>
    <mergeCell ref="E182:F182"/>
    <mergeCell ref="A4:O4"/>
    <mergeCell ref="F10:O10"/>
    <mergeCell ref="H110:O110"/>
    <mergeCell ref="B87:C87"/>
    <mergeCell ref="I136:O136"/>
    <mergeCell ref="B147:C147"/>
    <mergeCell ref="D87:E87"/>
    <mergeCell ref="J87:M87"/>
    <mergeCell ref="E179:F179"/>
    <mergeCell ref="J89:M89"/>
    <mergeCell ref="D82:E82"/>
    <mergeCell ref="F82:G82"/>
    <mergeCell ref="G194:O194"/>
    <mergeCell ref="E37:F37"/>
    <mergeCell ref="E159:F159"/>
    <mergeCell ref="E97:F97"/>
    <mergeCell ref="G159:H159"/>
    <mergeCell ref="B163:C163"/>
    <mergeCell ref="H8:I8"/>
    <mergeCell ref="E109:F109"/>
    <mergeCell ref="H30:O30"/>
    <mergeCell ref="E145:F145"/>
    <mergeCell ref="E139:F139"/>
    <mergeCell ref="G161:H161"/>
    <mergeCell ref="B165:C165"/>
    <mergeCell ref="H29:O29"/>
    <mergeCell ref="E111:F111"/>
    <mergeCell ref="G136:H136"/>
    <mergeCell ref="A70:B70"/>
    <mergeCell ref="H44:O44"/>
    <mergeCell ref="H31:O31"/>
    <mergeCell ref="B77:C77"/>
    <mergeCell ref="D6:E6"/>
    <mergeCell ref="D77:E77"/>
    <mergeCell ref="I149:O149"/>
    <mergeCell ref="J82:M82"/>
    <mergeCell ref="H89:I89"/>
    <mergeCell ref="I151:O151"/>
    <mergeCell ref="B191:C191"/>
    <mergeCell ref="B178:C178"/>
    <mergeCell ref="E27:F27"/>
    <mergeCell ref="I144:O144"/>
    <mergeCell ref="E119:F119"/>
    <mergeCell ref="E183:F183"/>
    <mergeCell ref="G183:H183"/>
    <mergeCell ref="A6:C6"/>
    <mergeCell ref="E22:F22"/>
    <mergeCell ref="H42:O42"/>
    <mergeCell ref="E193:F193"/>
    <mergeCell ref="G193:H193"/>
    <mergeCell ref="D88:E88"/>
    <mergeCell ref="G149:H149"/>
    <mergeCell ref="F88:G88"/>
    <mergeCell ref="I177:O177"/>
    <mergeCell ref="G185:H185"/>
    <mergeCell ref="B90:C90"/>
    <mergeCell ref="D90:E90"/>
    <mergeCell ref="E122:F122"/>
    <mergeCell ref="G151:H151"/>
    <mergeCell ref="A45:B45"/>
    <mergeCell ref="G178:H178"/>
    <mergeCell ref="F6:G6"/>
    <mergeCell ref="J90:M90"/>
    <mergeCell ref="F83:G83"/>
    <mergeCell ref="H83:I83"/>
    <mergeCell ref="E38:F38"/>
    <mergeCell ref="A2:O2"/>
    <mergeCell ref="E147:F147"/>
    <mergeCell ref="F85:G85"/>
    <mergeCell ref="H85:I85"/>
    <mergeCell ref="G175:H175"/>
    <mergeCell ref="B179:C179"/>
    <mergeCell ref="E40:F40"/>
    <mergeCell ref="G162:H162"/>
    <mergeCell ref="H108:O108"/>
    <mergeCell ref="B166:C166"/>
    <mergeCell ref="B124:D124"/>
    <mergeCell ref="E186:F186"/>
    <mergeCell ref="G177:H177"/>
    <mergeCell ref="E104:F104"/>
    <mergeCell ref="H45:O45"/>
    <mergeCell ref="B174:C174"/>
    <mergeCell ref="B168:C168"/>
    <mergeCell ref="H32:O32"/>
    <mergeCell ref="B126:D126"/>
    <mergeCell ref="D9:E9"/>
    <mergeCell ref="H80:I80"/>
    <mergeCell ref="F9:G9"/>
    <mergeCell ref="I150:O150"/>
    <mergeCell ref="J83:M83"/>
    <mergeCell ref="I165:O165"/>
    <mergeCell ref="B169:C169"/>
    <mergeCell ref="I152:O152"/>
    <mergeCell ref="E66:F66"/>
    <mergeCell ref="J85:M85"/>
    <mergeCell ref="E130:F130"/>
    <mergeCell ref="E68:F68"/>
    <mergeCell ref="B134:C134"/>
    <mergeCell ref="G155:H155"/>
    <mergeCell ref="E160:F160"/>
    <mergeCell ref="E141:F141"/>
    <mergeCell ref="G118:O118"/>
    <mergeCell ref="E135:F135"/>
    <mergeCell ref="G157:H157"/>
    <mergeCell ref="E107:F107"/>
    <mergeCell ref="H73:I73"/>
    <mergeCell ref="E143:F143"/>
    <mergeCell ref="G172:H172"/>
    <mergeCell ref="G186:H186"/>
    <mergeCell ref="B162:C162"/>
    <mergeCell ref="D91:E91"/>
    <mergeCell ref="G152:H152"/>
    <mergeCell ref="F91:G91"/>
    <mergeCell ref="A21:B21"/>
    <mergeCell ref="I163:O163"/>
    <mergeCell ref="H84:I84"/>
    <mergeCell ref="A23:B23"/>
    <mergeCell ref="B187:C187"/>
    <mergeCell ref="E125:F125"/>
    <mergeCell ref="H86:I86"/>
    <mergeCell ref="E41:F41"/>
    <mergeCell ref="B189:C189"/>
    <mergeCell ref="E112:F112"/>
    <mergeCell ref="B188:C188"/>
    <mergeCell ref="B117:D117"/>
    <mergeCell ref="E43:F43"/>
    <mergeCell ref="J91:M91"/>
    <mergeCell ref="B190:C190"/>
    <mergeCell ref="B119:D119"/>
    <mergeCell ref="A16:B16"/>
    <mergeCell ref="G124:O124"/>
    <mergeCell ref="E138:F138"/>
    <mergeCell ref="A108:B108"/>
    <mergeCell ref="B127:D127"/>
    <mergeCell ref="I168:O168"/>
    <mergeCell ref="A18:B18"/>
    <mergeCell ref="B73:C73"/>
    <mergeCell ref="E167:F167"/>
    <mergeCell ref="H100:O100"/>
    <mergeCell ref="H7:I7"/>
    <mergeCell ref="G119:O119"/>
    <mergeCell ref="B137:C137"/>
    <mergeCell ref="E169:F169"/>
    <mergeCell ref="H66:O66"/>
    <mergeCell ref="B74:C74"/>
    <mergeCell ref="D74:E74"/>
    <mergeCell ref="B139:C139"/>
    <mergeCell ref="I184:O184"/>
    <mergeCell ref="B122:D122"/>
    <mergeCell ref="I171:O171"/>
    <mergeCell ref="H76:I76"/>
    <mergeCell ref="H95:O95"/>
    <mergeCell ref="A44:B44"/>
    <mergeCell ref="I173:O173"/>
    <mergeCell ref="H97:O97"/>
    <mergeCell ref="I166:O166"/>
    <mergeCell ref="G176:H176"/>
    <mergeCell ref="E64:F64"/>
    <mergeCell ref="J7:O7"/>
    <mergeCell ref="E156:F156"/>
    <mergeCell ref="E153:F153"/>
    <mergeCell ref="H21:O21"/>
    <mergeCell ref="E128:F128"/>
    <mergeCell ref="E155:F155"/>
    <mergeCell ref="D61:E61"/>
    <mergeCell ref="G184:H184"/>
    <mergeCell ref="G171:H171"/>
    <mergeCell ref="E65:F65"/>
    <mergeCell ref="E157:F157"/>
    <mergeCell ref="H16:O16"/>
    <mergeCell ref="A17:B17"/>
    <mergeCell ref="I134:O134"/>
    <mergeCell ref="H27:O27"/>
    <mergeCell ref="G117:O117"/>
    <mergeCell ref="A19:B19"/>
    <mergeCell ref="I161:O161"/>
    <mergeCell ref="E146:F146"/>
    <mergeCell ref="E12:F12"/>
    <mergeCell ref="G125:O125"/>
    <mergeCell ref="B138:C138"/>
    <mergeCell ref="E175:F175"/>
    <mergeCell ref="H67:O67"/>
    <mergeCell ref="H103:O103"/>
    <mergeCell ref="G127:O127"/>
    <mergeCell ref="E185:F185"/>
    <mergeCell ref="B140:C140"/>
    <mergeCell ref="I187:O187"/>
    <mergeCell ref="E170:F170"/>
    <mergeCell ref="I174:O174"/>
    <mergeCell ref="H98:O98"/>
    <mergeCell ref="D75:E75"/>
    <mergeCell ref="F75:G75"/>
    <mergeCell ref="I189:O189"/>
    <mergeCell ref="I188:O188"/>
    <mergeCell ref="G192:H192"/>
    <mergeCell ref="J8:O8"/>
    <mergeCell ref="E154:F154"/>
    <mergeCell ref="G154:H154"/>
    <mergeCell ref="B158:C158"/>
    <mergeCell ref="E172:F172"/>
    <mergeCell ref="B89:C89"/>
    <mergeCell ref="B160:C160"/>
    <mergeCell ref="D89:E89"/>
    <mergeCell ref="H18:O18"/>
    <mergeCell ref="L61:M61"/>
    <mergeCell ref="A194:D194"/>
    <mergeCell ref="I142:O142"/>
    <mergeCell ref="B153:C153"/>
    <mergeCell ref="J75:M75"/>
    <mergeCell ref="B184:C184"/>
    <mergeCell ref="H113:O113"/>
    <mergeCell ref="E20:F20"/>
    <mergeCell ref="I137:O137"/>
    <mergeCell ref="E177:F177"/>
    <mergeCell ref="E13:F13"/>
    <mergeCell ref="I164:O164"/>
    <mergeCell ref="I139:O139"/>
    <mergeCell ref="B88:C88"/>
    <mergeCell ref="B148:C148"/>
    <mergeCell ref="B82:C82"/>
    <mergeCell ref="E149:F149"/>
    <mergeCell ref="E176:F176"/>
    <mergeCell ref="E114:F114"/>
    <mergeCell ref="J88:M88"/>
    <mergeCell ref="A63:O63"/>
    <mergeCell ref="E15:F15"/>
    <mergeCell ref="E191:F191"/>
    <mergeCell ref="G142:H142"/>
    <mergeCell ref="B146:C146"/>
    <mergeCell ref="E178:F178"/>
    <mergeCell ref="H37:O37"/>
    <mergeCell ref="B83:C83"/>
    <mergeCell ref="B143:C143"/>
    <mergeCell ref="D83:E83"/>
    <mergeCell ref="E144:F144"/>
    <mergeCell ref="G144:H144"/>
    <mergeCell ref="H104:O104"/>
    <mergeCell ref="B85:C85"/>
    <mergeCell ref="A94:O94"/>
    <mergeCell ref="I190:O190"/>
    <mergeCell ref="D85:E85"/>
    <mergeCell ref="G173:H173"/>
    <mergeCell ref="H92:I92"/>
    <mergeCell ref="H106:O106"/>
    <mergeCell ref="F78:G78"/>
    <mergeCell ref="E106:F106"/>
    <mergeCell ref="H78:I78"/>
    <mergeCell ref="E33:F33"/>
    <mergeCell ref="H43:O43"/>
    <mergeCell ref="B159:C159"/>
    <mergeCell ref="D80:E80"/>
    <mergeCell ref="G170:H170"/>
    <mergeCell ref="B167:C167"/>
    <mergeCell ref="A26:O26"/>
    <mergeCell ref="B161:C161"/>
    <mergeCell ref="H6:I6"/>
    <mergeCell ref="H130:O130"/>
    <mergeCell ref="H68:O68"/>
    <mergeCell ref="B136:C136"/>
    <mergeCell ref="E28:F28"/>
    <mergeCell ref="B175:C175"/>
    <mergeCell ref="E30:F30"/>
    <mergeCell ref="J84:M84"/>
    <mergeCell ref="I145:O145"/>
    <mergeCell ref="J78:M78"/>
    <mergeCell ref="H69:O69"/>
    <mergeCell ref="A9:C9"/>
    <mergeCell ref="I147:O147"/>
    <mergeCell ref="J80:M80"/>
    <mergeCell ref="D8:E8"/>
    <mergeCell ref="J79:M79"/>
    <mergeCell ref="G150:H150"/>
    <mergeCell ref="I186:O186"/>
    <mergeCell ref="E21:F21"/>
    <mergeCell ref="J6:O6"/>
    <mergeCell ref="H82:I82"/>
    <mergeCell ref="B91:C91"/>
    <mergeCell ref="E192:F192"/>
    <mergeCell ref="H20:O20"/>
    <mergeCell ref="E129:F129"/>
    <mergeCell ref="H38:O38"/>
    <mergeCell ref="E23:F23"/>
    <mergeCell ref="D84:E84"/>
    <mergeCell ref="B155:C155"/>
    <mergeCell ref="G145:H145"/>
    <mergeCell ref="F84:G84"/>
    <mergeCell ref="B149:C149"/>
    <mergeCell ref="E181:F181"/>
    <mergeCell ref="B193:C193"/>
    <mergeCell ref="E194:F194"/>
    <mergeCell ref="G181:H181"/>
    <mergeCell ref="A3:O3"/>
    <mergeCell ref="H40:O40"/>
    <mergeCell ref="B86:C86"/>
    <mergeCell ref="G160:H160"/>
    <mergeCell ref="D86:E86"/>
    <mergeCell ref="I140:O140"/>
    <mergeCell ref="G147:H147"/>
    <mergeCell ref="F86:G86"/>
    <mergeCell ref="H64:O64"/>
    <mergeCell ref="B151:C151"/>
    <mergeCell ref="F80:G80"/>
    <mergeCell ref="G174:H174"/>
    <mergeCell ref="I158:O158"/>
    <mergeCell ref="I133:O133"/>
    <mergeCell ref="G189:H189"/>
    <mergeCell ref="F79:G79"/>
    <mergeCell ref="H79:I79"/>
    <mergeCell ref="E34:F34"/>
    <mergeCell ref="B182:C182"/>
    <mergeCell ref="E105:F105"/>
    <mergeCell ref="I160:O160"/>
    <mergeCell ref="E99:F99"/>
    <mergeCell ref="I135:O135"/>
    <mergeCell ref="F81:G81"/>
    <mergeCell ref="H81:I81"/>
    <mergeCell ref="E163:F163"/>
    <mergeCell ref="E101:F101"/>
    <mergeCell ref="G163:H163"/>
    <mergeCell ref="A22:B22"/>
    <mergeCell ref="B125:D125"/>
    <mergeCell ref="E113:F113"/>
    <mergeCell ref="B183:C183"/>
    <mergeCell ref="B177:C177"/>
    <mergeCell ref="E100:F100"/>
    <mergeCell ref="B164:C164"/>
    <mergeCell ref="J86:M86"/>
    <mergeCell ref="E136:F136"/>
    <mergeCell ref="G165:H165"/>
    <mergeCell ref="H33:O33"/>
    <mergeCell ref="I24:O24"/>
    <mergeCell ref="E102:F102"/>
    <mergeCell ref="G158:H158"/>
    <mergeCell ref="B120:D120"/>
    <mergeCell ref="D10:E10"/>
    <mergeCell ref="G169:H169"/>
    <mergeCell ref="I148:O148"/>
    <mergeCell ref="I153:O153"/>
    <mergeCell ref="E127:F127"/>
    <mergeCell ref="F74:G74"/>
    <mergeCell ref="B180:C180"/>
    <mergeCell ref="H74:I74"/>
    <mergeCell ref="G191:H191"/>
    <mergeCell ref="D76:E76"/>
    <mergeCell ref="F76:G76"/>
    <mergeCell ref="A47:O47"/>
    <mergeCell ref="B157:C157"/>
    <mergeCell ref="I179:O179"/>
    <mergeCell ref="B186:C186"/>
    <mergeCell ref="I141:O141"/>
    <mergeCell ref="E124:F124"/>
    <mergeCell ref="H65:O65"/>
    <mergeCell ref="E120:F120"/>
    <mergeCell ref="I159:O159"/>
    <mergeCell ref="I143:O143"/>
    <mergeCell ref="E184:F184"/>
    <mergeCell ref="A7:C7"/>
    <mergeCell ref="G122:O122"/>
    <mergeCell ref="E121:F121"/>
    <mergeCell ref="F87:G87"/>
    <mergeCell ref="B185:C185"/>
    <mergeCell ref="E151:F151"/>
    <mergeCell ref="H41:O41"/>
    <mergeCell ref="E123:F123"/>
    <mergeCell ref="F89:G89"/>
    <mergeCell ref="E150:F150"/>
    <mergeCell ref="E39:F39"/>
    <mergeCell ref="G179:H179"/>
    <mergeCell ref="F7:G7"/>
    <mergeCell ref="E44:F44"/>
    <mergeCell ref="B176:C176"/>
    <mergeCell ref="G166:H166"/>
    <mergeCell ref="H34:O34"/>
    <mergeCell ref="B128:D128"/>
    <mergeCell ref="G141:H141"/>
    <mergeCell ref="E103:F103"/>
    <mergeCell ref="E152:F152"/>
    <mergeCell ref="A116:O116"/>
    <mergeCell ref="E118:F118"/>
    <mergeCell ref="F8:G8"/>
    <mergeCell ref="A12:B12"/>
    <mergeCell ref="C12:D12"/>
    <mergeCell ref="G167:H167"/>
    <mergeCell ref="I154:O154"/>
    <mergeCell ref="B171:C171"/>
    <mergeCell ref="B123:D123"/>
    <mergeCell ref="I156:O156"/>
    <mergeCell ref="E70:F70"/>
    <mergeCell ref="F77:G77"/>
    <mergeCell ref="H77:I77"/>
    <mergeCell ref="H96:O96"/>
    <mergeCell ref="E32:F32"/>
    <mergeCell ref="G120:O120"/>
    <mergeCell ref="B133:C133"/>
    <mergeCell ref="E134:F134"/>
    <mergeCell ref="G134:H134"/>
    <mergeCell ref="B173:C173"/>
    <mergeCell ref="E96:F96"/>
    <mergeCell ref="B75:C75"/>
    <mergeCell ref="B135:C135"/>
    <mergeCell ref="I180:O180"/>
    <mergeCell ref="A130:B130"/>
    <mergeCell ref="I167:O167"/>
    <mergeCell ref="E98:F98"/>
    <mergeCell ref="I182:O182"/>
    <mergeCell ref="E165:F165"/>
    <mergeCell ref="I169:O169"/>
    <mergeCell ref="I13:O13"/>
    <mergeCell ref="E140:F140"/>
    <mergeCell ref="G156:H156"/>
    <mergeCell ref="B118:D118"/>
    <mergeCell ref="A8:C8"/>
    <mergeCell ref="H61:I61"/>
    <mergeCell ref="H88:I88"/>
    <mergeCell ref="J81:M81"/>
    <mergeCell ref="G187:H187"/>
    <mergeCell ref="A10:C10"/>
    <mergeCell ref="H17:O17"/>
    <mergeCell ref="F90:G90"/>
    <mergeCell ref="H90:I90"/>
    <mergeCell ref="H109:O109"/>
    <mergeCell ref="G180:H180"/>
    <mergeCell ref="E45:F45"/>
    <mergeCell ref="H22:O22"/>
    <mergeCell ref="B129:D129"/>
    <mergeCell ref="H19:O19"/>
    <mergeCell ref="G188:H188"/>
    <mergeCell ref="B192:C192"/>
    <mergeCell ref="A20:B20"/>
    <mergeCell ref="H111:O111"/>
    <mergeCell ref="B121:D121"/>
    <mergeCell ref="G182:H182"/>
    <mergeCell ref="I162:O162"/>
    <mergeCell ref="A132:O132"/>
    <mergeCell ref="A13:B13"/>
    <mergeCell ref="C13:D13"/>
    <mergeCell ref="I155:O155"/>
    <mergeCell ref="A114:B114"/>
  </mergeCells>
  <conditionalFormatting sqref="I134:O193">
    <cfRule type="expression" priority="1" dxfId="0" stopIfTrue="1">
      <formula>$I134="Pago"</formula>
    </cfRule>
    <cfRule type="expression" priority="2" dxfId="3" stopIfTrue="1">
      <formula>$I134="Comprado (a pagar)"</formula>
    </cfRule>
    <cfRule type="expression" priority="3" dxfId="1" stopIfTrue="1">
      <formula>$I134="A comprar"</formula>
    </cfRule>
  </conditionalFormatting>
  <conditionalFormatting sqref="A134:O193">
    <cfRule type="expression" priority="4" dxfId="6">
      <formula>AND($E134&lt;&gt;"",$B134="")</formula>
    </cfRule>
  </conditionalFormatting>
  <conditionalFormatting sqref="E16:F22">
    <cfRule type="expression" priority="5" dxfId="4">
      <formula>AND($E16&lt;&gt;"",$E16&gt;0)</formula>
    </cfRule>
    <cfRule type="expression" priority="6" dxfId="5">
      <formula>AND($E16&lt;&gt;"",$E16&lt;0)</formula>
    </cfRule>
  </conditionalFormatting>
  <conditionalFormatting sqref="E96:F114">
    <cfRule type="expression" priority="7" dxfId="4">
      <formula>AND($E96&lt;&gt;"",$E96&gt;0)</formula>
    </cfRule>
    <cfRule type="expression" priority="8" dxfId="5">
      <formula>AND($E96&lt;&gt;"",$E96&lt;0)</formula>
    </cfRule>
  </conditionalFormatting>
  <conditionalFormatting sqref="J9">
    <cfRule type="expression" priority="9" dxfId="0" stopIfTrue="1">
      <formula>$J$9="No prazo"</formula>
    </cfRule>
    <cfRule type="expression" priority="10" dxfId="2">
      <formula>$J$9="Atrasado"</formula>
    </cfRule>
  </conditionalFormatting>
  <conditionalFormatting sqref="A13:J13">
    <cfRule type="expression" priority="11" dxfId="6">
      <formula>AND($G$13&lt;&gt;"",$G$13&lt;0.25)</formula>
    </cfRule>
  </conditionalFormatting>
  <dataValidations count="12">
    <dataValidation sqref="D10:E1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"Jan/2026,Fev/2026,Mar/2026,Abr/2026,Mai/2026,Jun/2026,Jul/2026,Ago/2026,Set/2026,Out/2026,Nov/2026,Dez/2026,Jan/2027,Fev/2027,Mar/2027,Abr/2027,Mai/2027,Jun/2027,Jul/2027,Ago/2027,Set/2027,Out/2027,Nov/2027,Dez/2027"</formula1>
    </dataValidation>
    <dataValidation sqref="D49:D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H49:H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L49:L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"Lorrane,Lucas,Externo / avulso"</formula1>
    </dataValidation>
    <dataValidation sqref="H66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A74:A91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B118:B12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"Erro de projeto,Erro de medição,Erro de produção,Erro de montagem,Falha de material,Dano no transporte,Mudança pedida pelo cliente,Falha de fornecedor,Outro"</formula1>
    </dataValidation>
    <dataValidation sqref="B134:B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"MDF e MDP,Fita de borda,Ferragens,Vidros e espelhos,Esquadrias,Lâmina natural,Consumíveis,Acabamento,Serralheria,Vidraceiro,Outro terceirizado,Uber e aplicativo,Carreto e entrega,Deslocamento da equipe,Frete de material,Estacionamento e pedágio"</formula1>
    </dataValidation>
    <dataValidation sqref="G134:G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"PIX,Boleto,Cartão de crédito,Cartão parcelado,Dinheiro,Transferência,Faturado 30 dias,A combinar"</formula1>
    </dataValidation>
    <dataValidation sqref="I134:I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"A comprar,Comprado (a pagar),Pago"</formula1>
    </dataValidation>
    <dataValidation sqref="D9:E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"Jonathan,Vitor,Indicação,Arquiteto parceiro,Outro"</formula1>
    </dataValidation>
    <dataValidation sqref="F9:G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</dataValidations>
  <pageMargins left="0.4" right="0.3" top="0.4" bottom="0.3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96"/>
  <sheetViews>
    <sheetView showGridLines="0"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14" customWidth="1" min="3" max="3"/>
    <col width="16" customWidth="1" min="4" max="4"/>
    <col width="7" customWidth="1" min="5" max="5"/>
    <col width="13" customWidth="1" min="6" max="6"/>
    <col width="13" customWidth="1" min="7" max="7"/>
    <col width="16" customWidth="1" min="8" max="8"/>
    <col width="7" customWidth="1" min="9" max="9"/>
    <col width="13" customWidth="1" min="10" max="10"/>
    <col width="13" customWidth="1" min="11" max="11"/>
    <col width="15" customWidth="1" min="12" max="12"/>
    <col width="7" customWidth="1" min="13" max="13"/>
    <col width="13" customWidth="1" min="14" max="14"/>
    <col width="14" customWidth="1" min="15" max="15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8" customHeight="1">
      <c r="A3" s="4" t="inlineStr">
        <is>
          <t>FICHA DE CUSTO DO PROJETO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 ht="17" customHeight="1">
      <c r="A4" s="6" t="inlineStr">
        <is>
          <t>Fundo creme = você preenche · fundo cinza = calculado · duplique esta aba a cada projeto e registre o nome dela no Painel Geral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 ht="6" customHeight="1"/>
    <row r="6" ht="13" customHeight="1">
      <c r="A6" s="44" t="inlineStr">
        <is>
          <t>CLIENTE</t>
        </is>
      </c>
      <c r="B6" s="13" t="n"/>
      <c r="C6" s="13" t="n"/>
      <c r="D6" s="44" t="inlineStr">
        <is>
          <t>Nº DO PROJETO</t>
        </is>
      </c>
      <c r="E6" s="13" t="n"/>
      <c r="F6" s="44" t="inlineStr">
        <is>
          <t>DATA DE ENTRADA</t>
        </is>
      </c>
      <c r="G6" s="13" t="n"/>
      <c r="H6" s="44" t="inlineStr">
        <is>
          <t>ENTREGA PREVISTA</t>
        </is>
      </c>
      <c r="I6" s="13" t="n"/>
      <c r="J6" s="44" t="inlineStr">
        <is>
          <t>ENTREGA REAL</t>
        </is>
      </c>
      <c r="K6" s="13" t="n"/>
      <c r="L6" s="13" t="n"/>
      <c r="M6" s="13" t="n"/>
      <c r="N6" s="13" t="n"/>
      <c r="O6" s="13" t="n"/>
    </row>
    <row r="7" ht="21" customHeight="1">
      <c r="A7" s="45" t="n"/>
      <c r="B7" s="46" t="n"/>
      <c r="C7" s="46" t="n"/>
      <c r="D7" s="45" t="n"/>
      <c r="E7" s="46" t="n"/>
      <c r="F7" s="47" t="n"/>
      <c r="G7" s="46" t="n"/>
      <c r="H7" s="47" t="n"/>
      <c r="I7" s="46" t="n"/>
      <c r="J7" s="47" t="n"/>
      <c r="K7" s="46" t="n"/>
      <c r="L7" s="46" t="n"/>
      <c r="M7" s="46" t="n"/>
      <c r="N7" s="46" t="n"/>
      <c r="O7" s="46" t="n"/>
    </row>
    <row r="8" ht="13" customHeight="1">
      <c r="A8" s="44" t="inlineStr">
        <is>
          <t>PROJETO</t>
        </is>
      </c>
      <c r="B8" s="13" t="n"/>
      <c r="C8" s="13" t="n"/>
      <c r="D8" s="44" t="inlineStr">
        <is>
          <t>VENDEDOR</t>
        </is>
      </c>
      <c r="E8" s="13" t="n"/>
      <c r="F8" s="44" t="inlineStr">
        <is>
          <t>COORDENADOR</t>
        </is>
      </c>
      <c r="G8" s="13" t="n"/>
      <c r="H8" s="44" t="inlineStr">
        <is>
          <t>DIAS DE ATRASO</t>
        </is>
      </c>
      <c r="I8" s="13" t="n"/>
      <c r="J8" s="44" t="inlineStr">
        <is>
          <t>SITUAÇÃO DA ENTREGA</t>
        </is>
      </c>
      <c r="K8" s="13" t="n"/>
      <c r="L8" s="13" t="n"/>
      <c r="M8" s="13" t="n"/>
      <c r="N8" s="13" t="n"/>
      <c r="O8" s="13" t="n"/>
    </row>
    <row r="9" ht="21" customHeight="1">
      <c r="A9" s="45" t="n"/>
      <c r="B9" s="46" t="n"/>
      <c r="C9" s="46" t="n"/>
      <c r="D9" s="45" t="n"/>
      <c r="E9" s="46" t="n"/>
      <c r="F9" s="48" t="n"/>
      <c r="G9" s="46" t="n"/>
      <c r="H9" s="49">
        <f>IF(OR($H$7="",$J$7=""),"",$J$7-$H$7)</f>
        <v/>
      </c>
      <c r="I9" s="38" t="n"/>
      <c r="J9" s="50">
        <f>IF($H$7="","",IF($J$7="",IF(TODAY()&gt;$H$7,"Atrasado","Em produção"),IF($H$9&lt;=0,"No prazo","Atrasado")))</f>
        <v/>
      </c>
      <c r="K9" s="38" t="n"/>
      <c r="L9" s="38" t="n"/>
      <c r="M9" s="38" t="n"/>
      <c r="N9" s="38" t="n"/>
      <c r="O9" s="38" t="n"/>
    </row>
    <row r="10" ht="18" customHeight="1">
      <c r="A10" s="51" t="inlineStr">
        <is>
          <t>MÊS DE COMPETÊNCIA</t>
        </is>
      </c>
      <c r="B10" s="37" t="n"/>
      <c r="C10" s="37" t="n"/>
      <c r="D10" s="52" t="n"/>
      <c r="E10" s="46" t="n"/>
      <c r="F10" s="53" t="inlineStr">
        <is>
          <t>o mês em que a receita e o custo deste projeto pesam no painel de competência</t>
        </is>
      </c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</row>
    <row r="11" ht="20" customHeight="1">
      <c r="A11" s="8" t="inlineStr">
        <is>
          <t xml:space="preserve">  RESULTADO DO PROJETO          tudo aqui se atualiza conforme você lança os custos mais abaixo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</row>
    <row r="12" ht="13" customHeight="1">
      <c r="A12" s="44" t="inlineStr">
        <is>
          <t>VALOR DE VENDA</t>
        </is>
      </c>
      <c r="B12" s="13" t="n"/>
      <c r="C12" s="44" t="inlineStr">
        <is>
          <t>CUSTO TOTAL</t>
        </is>
      </c>
      <c r="D12" s="13" t="n"/>
      <c r="E12" s="44" t="inlineStr">
        <is>
          <t>MARGEM DE CONTRIBUIÇÃO</t>
        </is>
      </c>
      <c r="F12" s="13" t="n"/>
      <c r="G12" s="44" t="inlineStr">
        <is>
          <t>MC %</t>
        </is>
      </c>
      <c r="H12" s="44" t="inlineStr">
        <is>
          <t>MC % ORÇADA</t>
        </is>
      </c>
      <c r="I12" s="44" t="inlineStr">
        <is>
          <t>DESVIO DE CUSTO</t>
        </is>
      </c>
      <c r="J12" s="13" t="n"/>
      <c r="K12" s="13" t="n"/>
      <c r="L12" s="13" t="n"/>
      <c r="M12" s="13" t="n"/>
      <c r="N12" s="13" t="n"/>
      <c r="O12" s="13" t="n"/>
    </row>
    <row r="13" ht="30" customHeight="1">
      <c r="A13" s="54">
        <f>IF($D$28="",$C$28,$D$28)</f>
        <v/>
      </c>
      <c r="B13" s="15" t="n"/>
      <c r="C13" s="54">
        <f>IF($D$22=0,"",$D$22)</f>
        <v/>
      </c>
      <c r="D13" s="15" t="n"/>
      <c r="E13" s="54">
        <f>IF($A$13="","",$D$23)</f>
        <v/>
      </c>
      <c r="F13" s="15" t="n"/>
      <c r="G13" s="55">
        <f>IF(OR($A$13="",$A$13=0),"",$D$23/$A$13)</f>
        <v/>
      </c>
      <c r="H13" s="55">
        <f>IF(OR($C$28="",$C$28=0),"",$C$23/$C$28)</f>
        <v/>
      </c>
      <c r="I13" s="54">
        <f>IF(OR($C$22=0,$D$22=0),"",ROUND($D$22-$C$22,2))</f>
        <v/>
      </c>
      <c r="J13" s="15" t="n"/>
      <c r="K13" s="15" t="n"/>
      <c r="L13" s="15" t="n"/>
      <c r="M13" s="15" t="n"/>
      <c r="N13" s="15" t="n"/>
      <c r="O13" s="15" t="n"/>
    </row>
    <row r="14" ht="8" customHeight="1"/>
    <row r="15" ht="26" customHeight="1">
      <c r="A15" s="19" t="inlineStr">
        <is>
          <t>Resumo por categoria</t>
        </is>
      </c>
      <c r="B15" s="35" t="n"/>
      <c r="C15" s="19" t="inlineStr">
        <is>
          <t>Orçado (R$)</t>
        </is>
      </c>
      <c r="D15" s="19" t="inlineStr">
        <is>
          <t>Realizado (R$)</t>
        </is>
      </c>
      <c r="E15" s="19" t="inlineStr">
        <is>
          <t>Desvio (R$)</t>
        </is>
      </c>
      <c r="F15" s="35" t="n"/>
      <c r="G15" s="19" t="inlineStr">
        <is>
          <t>Desvio (%)</t>
        </is>
      </c>
      <c r="H15" s="19" t="inlineStr">
        <is>
          <t>% da venda realizada</t>
        </is>
      </c>
      <c r="I15" s="35" t="n"/>
      <c r="J15" s="35" t="n"/>
      <c r="K15" s="35" t="n"/>
      <c r="L15" s="35" t="n"/>
      <c r="M15" s="35" t="n"/>
      <c r="N15" s="35" t="n"/>
      <c r="O15" s="35" t="n"/>
    </row>
    <row r="16" ht="18" customHeight="1">
      <c r="A16" s="36" t="inlineStr">
        <is>
          <t>Custos de venda</t>
        </is>
      </c>
      <c r="B16" s="37" t="n"/>
      <c r="C16" s="56">
        <f>IF(C44="","",C44)</f>
        <v/>
      </c>
      <c r="D16" s="56">
        <f>IF(D44="","",D44)</f>
        <v/>
      </c>
      <c r="E16" s="56">
        <f>IF(OR($C16="",$D16=""),"",ROUND($D16-$C16,2))</f>
        <v/>
      </c>
      <c r="F16" s="38" t="n"/>
      <c r="G16" s="57">
        <f>IF(OR($C16="",$C16=0,$D16=""),"",$D16/$C16-1)</f>
        <v/>
      </c>
      <c r="H16" s="58">
        <f>IF(OR($D16="",$A$13="",$A$13=0),"",$D16/$A$13)</f>
        <v/>
      </c>
      <c r="I16" s="38" t="n"/>
      <c r="J16" s="38" t="n"/>
      <c r="K16" s="38" t="n"/>
      <c r="L16" s="38" t="n"/>
      <c r="M16" s="38" t="n"/>
      <c r="N16" s="38" t="n"/>
      <c r="O16" s="38" t="n"/>
    </row>
    <row r="17" ht="18" customHeight="1">
      <c r="A17" s="36" t="inlineStr">
        <is>
          <t>Comissões operacionais</t>
        </is>
      </c>
      <c r="B17" s="37" t="n"/>
      <c r="C17" s="56">
        <f>IF(C70="","",C70)</f>
        <v/>
      </c>
      <c r="D17" s="56">
        <f>IF(D70="","",D70)</f>
        <v/>
      </c>
      <c r="E17" s="56">
        <f>IF(OR($C17="",$D17=""),"",ROUND($D17-$C17,2))</f>
        <v/>
      </c>
      <c r="F17" s="38" t="n"/>
      <c r="G17" s="57">
        <f>IF(OR($C17="",$C17=0,$D17=""),"",$D17/$C17-1)</f>
        <v/>
      </c>
      <c r="H17" s="58">
        <f>IF(OR($D17="",$A$13="",$A$13=0),"",$D17/$A$13)</f>
        <v/>
      </c>
      <c r="I17" s="38" t="n"/>
      <c r="J17" s="38" t="n"/>
      <c r="K17" s="38" t="n"/>
      <c r="L17" s="38" t="n"/>
      <c r="M17" s="38" t="n"/>
      <c r="N17" s="38" t="n"/>
      <c r="O17" s="38" t="n"/>
    </row>
    <row r="18" ht="18" customHeight="1">
      <c r="A18" s="36" t="inlineStr">
        <is>
          <t>Material</t>
        </is>
      </c>
      <c r="B18" s="37" t="n"/>
      <c r="C18" s="56">
        <f>IF(C103="","",C103)</f>
        <v/>
      </c>
      <c r="D18" s="56">
        <f>IF(D103="","",D103)</f>
        <v/>
      </c>
      <c r="E18" s="56">
        <f>IF(OR($C18="",$D18=""),"",ROUND($D18-$C18,2))</f>
        <v/>
      </c>
      <c r="F18" s="38" t="n"/>
      <c r="G18" s="57">
        <f>IF(OR($C18="",$C18=0,$D18=""),"",$D18/$C18-1)</f>
        <v/>
      </c>
      <c r="H18" s="58">
        <f>IF(OR($D18="",$A$13="",$A$13=0),"",$D18/$A$13)</f>
        <v/>
      </c>
      <c r="I18" s="38" t="n"/>
      <c r="J18" s="38" t="n"/>
      <c r="K18" s="38" t="n"/>
      <c r="L18" s="38" t="n"/>
      <c r="M18" s="38" t="n"/>
      <c r="N18" s="38" t="n"/>
      <c r="O18" s="38" t="n"/>
    </row>
    <row r="19" ht="18" customHeight="1">
      <c r="A19" s="36" t="inlineStr">
        <is>
          <t>Serviços terceirizados</t>
        </is>
      </c>
      <c r="B19" s="37" t="n"/>
      <c r="C19" s="56">
        <f>IF(C108="","",C108)</f>
        <v/>
      </c>
      <c r="D19" s="56">
        <f>IF(D108="","",D108)</f>
        <v/>
      </c>
      <c r="E19" s="56">
        <f>IF(OR($C19="",$D19=""),"",ROUND($D19-$C19,2))</f>
        <v/>
      </c>
      <c r="F19" s="38" t="n"/>
      <c r="G19" s="57">
        <f>IF(OR($C19="",$C19=0,$D19=""),"",$D19/$C19-1)</f>
        <v/>
      </c>
      <c r="H19" s="58">
        <f>IF(OR($D19="",$A$13="",$A$13=0),"",$D19/$A$13)</f>
        <v/>
      </c>
      <c r="I19" s="38" t="n"/>
      <c r="J19" s="38" t="n"/>
      <c r="K19" s="38" t="n"/>
      <c r="L19" s="38" t="n"/>
      <c r="M19" s="38" t="n"/>
      <c r="N19" s="38" t="n"/>
      <c r="O19" s="38" t="n"/>
    </row>
    <row r="20" ht="18" customHeight="1">
      <c r="A20" s="36" t="inlineStr">
        <is>
          <t>Logística</t>
        </is>
      </c>
      <c r="B20" s="37" t="n"/>
      <c r="C20" s="56">
        <f>IF(C114="","",C114)</f>
        <v/>
      </c>
      <c r="D20" s="56">
        <f>IF(D114="","",D114)</f>
        <v/>
      </c>
      <c r="E20" s="56">
        <f>IF(OR($C20="",$D20=""),"",ROUND($D20-$C20,2))</f>
        <v/>
      </c>
      <c r="F20" s="38" t="n"/>
      <c r="G20" s="57">
        <f>IF(OR($C20="",$C20=0,$D20=""),"",$D20/$C20-1)</f>
        <v/>
      </c>
      <c r="H20" s="58">
        <f>IF(OR($D20="",$A$13="",$A$13=0),"",$D20/$A$13)</f>
        <v/>
      </c>
      <c r="I20" s="38" t="n"/>
      <c r="J20" s="38" t="n"/>
      <c r="K20" s="38" t="n"/>
      <c r="L20" s="38" t="n"/>
      <c r="M20" s="38" t="n"/>
      <c r="N20" s="38" t="n"/>
      <c r="O20" s="38" t="n"/>
    </row>
    <row r="21" ht="18" customHeight="1">
      <c r="A21" s="36" t="inlineStr">
        <is>
          <t>Retrabalho</t>
        </is>
      </c>
      <c r="B21" s="37" t="n"/>
      <c r="C21" s="56">
        <f>IF(C130="","",C130)</f>
        <v/>
      </c>
      <c r="D21" s="56">
        <f>IF(D130="","",D130)</f>
        <v/>
      </c>
      <c r="E21" s="56">
        <f>IF(OR($C21="",$D21=""),"",ROUND($D21-$C21,2))</f>
        <v/>
      </c>
      <c r="F21" s="38" t="n"/>
      <c r="G21" s="57">
        <f>IF(OR($C21="",$C21=0,$D21=""),"",$D21/$C21-1)</f>
        <v/>
      </c>
      <c r="H21" s="58">
        <f>IF(OR($D21="",$A$13="",$A$13=0),"",$D21/$A$13)</f>
        <v/>
      </c>
      <c r="I21" s="38" t="n"/>
      <c r="J21" s="38" t="n"/>
      <c r="K21" s="38" t="n"/>
      <c r="L21" s="38" t="n"/>
      <c r="M21" s="38" t="n"/>
      <c r="N21" s="38" t="n"/>
      <c r="O21" s="38" t="n"/>
    </row>
    <row r="22" ht="22" customHeight="1">
      <c r="A22" s="31" t="inlineStr">
        <is>
          <t>(=) CUSTO TOTAL DO PROJETO</t>
        </is>
      </c>
      <c r="B22" s="32" t="n"/>
      <c r="C22" s="59">
        <f>ROUND(SUM(C16:C21),2)</f>
        <v/>
      </c>
      <c r="D22" s="59">
        <f>ROUND(SUM(D16:D21),2)</f>
        <v/>
      </c>
      <c r="E22" s="60">
        <f>ROUND($D$22-$C$22,2)</f>
        <v/>
      </c>
      <c r="F22" s="32" t="n"/>
      <c r="G22" s="61">
        <f>IF(OR($C$22="",$C$22=0),"",$D$22/$C$22-1)</f>
        <v/>
      </c>
      <c r="H22" s="62">
        <f>IF(OR($A$13="",$A$13=0),"",$D$22/$A$13)</f>
        <v/>
      </c>
      <c r="I22" s="32" t="n"/>
      <c r="J22" s="32" t="n"/>
      <c r="K22" s="32" t="n"/>
      <c r="L22" s="32" t="n"/>
      <c r="M22" s="32" t="n"/>
      <c r="N22" s="32" t="n"/>
      <c r="O22" s="32" t="n"/>
    </row>
    <row r="23" ht="28" customHeight="1">
      <c r="A23" s="63" t="inlineStr">
        <is>
          <t>(=) MARGEM DE CONTRIBUIÇÃO</t>
        </is>
      </c>
      <c r="B23" s="64" t="n"/>
      <c r="C23" s="65">
        <f>ROUND($C$28-$C$22,2)</f>
        <v/>
      </c>
      <c r="D23" s="65">
        <f>ROUND($A$13-$D$22,2)</f>
        <v/>
      </c>
      <c r="E23" s="66">
        <f>ROUND($D$23-$C$23,2)</f>
        <v/>
      </c>
      <c r="F23" s="64" t="n"/>
      <c r="G23" s="67">
        <f>IF(OR($C$28="",$C$28=0),"",$C$23/$C$28)</f>
        <v/>
      </c>
      <c r="H23" s="68">
        <f>IF(OR($A$13="",$A$13=0),"",$D$23/$A$13)</f>
        <v/>
      </c>
      <c r="I23" s="64" t="n"/>
      <c r="J23" s="64" t="n"/>
      <c r="K23" s="64" t="n"/>
      <c r="L23" s="64" t="n"/>
      <c r="M23" s="64" t="n"/>
      <c r="N23" s="64" t="n"/>
      <c r="O23" s="64" t="n"/>
    </row>
    <row r="24" ht="22" customHeight="1">
      <c r="A24" s="69">
        <f>IF($A$13="","",IF(ROUND(SUMIF($I$134:$I$193,"A comprar",$E$134:$E$193),2)+ROUND(SUMIF($I$134:$I$193,"Comprado (a pagar)",$E$134:$E$193),2)=0,"   Nenhuma compra pendente lançada — o custo realizado já é o custo final.","   Já comprado e ainda a pagar: "&amp;TEXT(ROUND(SUMIF($I$134:$I$193,"Comprado (a pagar)",$E$134:$E$193),2),"R$ #,##0")&amp;"   ·   custo projetado: "&amp;TEXT($D$22+ROUND(SUMIF($I$134:$I$193,"A comprar",$E$134:$E$193),2),"R$ #,##0")&amp;"   ·   MC projetada: "&amp;TEXT(($A$13-$D$22-ROUND(SUMIF($I$134:$I$193,"A comprar",$E$134:$E$193),2))/$A$13,"0.0%")))</f>
        <v/>
      </c>
      <c r="B24" s="15" t="n"/>
      <c r="C24" s="15" t="n"/>
      <c r="D24" s="15" t="n"/>
      <c r="E24" s="15" t="n"/>
      <c r="F24" s="15" t="n"/>
      <c r="G24" s="15" t="n"/>
      <c r="H24" s="15" t="n"/>
      <c r="I24" s="70">
        <f>IF($A$13="","",ROUND(SUMIF($I$134:$I$193,"A comprar",$E$134:$E$193),2))</f>
        <v/>
      </c>
      <c r="J24" s="15" t="n"/>
      <c r="K24" s="15" t="n"/>
      <c r="L24" s="15" t="n"/>
      <c r="M24" s="15" t="n"/>
      <c r="N24" s="15" t="n"/>
      <c r="O24" s="15" t="n"/>
    </row>
    <row r="25" ht="8" customHeight="1"/>
    <row r="26" ht="20" customHeight="1">
      <c r="A26" s="8" t="inlineStr">
        <is>
          <t xml:space="preserve">  1 · VALOR DE VENDA E NOTAS EMITIDAS          o que foi vendido e o que já virou nota — a diferença é o que falta faturar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 ht="26" customHeight="1">
      <c r="A27" s="19" t="inlineStr">
        <is>
          <t>Item</t>
        </is>
      </c>
      <c r="B27" s="19" t="inlineStr">
        <is>
          <t>%</t>
        </is>
      </c>
      <c r="C27" s="19" t="inlineStr">
        <is>
          <t>Orçado (R$)</t>
        </is>
      </c>
      <c r="D27" s="19" t="inlineStr">
        <is>
          <t>Realizado (R$)</t>
        </is>
      </c>
      <c r="E27" s="19" t="inlineStr">
        <is>
          <t>Desvio (R$)</t>
        </is>
      </c>
      <c r="F27" s="35" t="n"/>
      <c r="G27" s="19" t="inlineStr">
        <is>
          <t>% da venda</t>
        </is>
      </c>
      <c r="H27" s="19" t="inlineStr">
        <is>
          <t>Observação</t>
        </is>
      </c>
      <c r="I27" s="35" t="n"/>
      <c r="J27" s="35" t="n"/>
      <c r="K27" s="35" t="n"/>
      <c r="L27" s="35" t="n"/>
      <c r="M27" s="35" t="n"/>
      <c r="N27" s="35" t="n"/>
      <c r="O27" s="35" t="n"/>
    </row>
    <row r="28" ht="17" customHeight="1">
      <c r="A28" s="36" t="inlineStr">
        <is>
          <t>Valor de venda do projeto</t>
        </is>
      </c>
      <c r="B28" s="37" t="n"/>
      <c r="C28" s="71" t="n"/>
      <c r="D28" s="71" t="n"/>
      <c r="E28" s="56">
        <f>IF(OR($C28="",$D28=""),"",ROUND($D28-$C28,2))</f>
        <v/>
      </c>
      <c r="F28" s="38" t="n"/>
      <c r="G28" s="72" t="n"/>
      <c r="H28" s="73" t="inlineStr">
        <is>
          <t>Orçado = valor da proposta · Realizado = valor fechado</t>
        </is>
      </c>
      <c r="I28" s="46" t="n"/>
      <c r="J28" s="46" t="n"/>
      <c r="K28" s="46" t="n"/>
      <c r="L28" s="46" t="n"/>
      <c r="M28" s="46" t="n"/>
      <c r="N28" s="46" t="n"/>
      <c r="O28" s="46" t="n"/>
    </row>
    <row r="29" ht="22" customHeight="1">
      <c r="A29" s="19" t="inlineStr">
        <is>
          <t>Nota fiscal</t>
        </is>
      </c>
      <c r="B29" s="19" t="inlineStr">
        <is>
          <t>Número</t>
        </is>
      </c>
      <c r="C29" s="19" t="inlineStr">
        <is>
          <t>Data</t>
        </is>
      </c>
      <c r="D29" s="19" t="inlineStr">
        <is>
          <t>Valor (R$)</t>
        </is>
      </c>
      <c r="E29" s="19" t="inlineStr"/>
      <c r="F29" s="35" t="n"/>
      <c r="G29" s="19" t="inlineStr">
        <is>
          <t>% da venda</t>
        </is>
      </c>
      <c r="H29" s="19" t="inlineStr">
        <is>
          <t>Observação</t>
        </is>
      </c>
      <c r="I29" s="35" t="n"/>
      <c r="J29" s="35" t="n"/>
      <c r="K29" s="35" t="n"/>
      <c r="L29" s="35" t="n"/>
      <c r="M29" s="35" t="n"/>
      <c r="N29" s="35" t="n"/>
      <c r="O29" s="35" t="n"/>
    </row>
    <row r="30" ht="17" customHeight="1">
      <c r="A30" s="36" t="inlineStr">
        <is>
          <t>Nota 1</t>
        </is>
      </c>
      <c r="B30" s="74" t="n"/>
      <c r="C30" s="75" t="n"/>
      <c r="D30" s="76" t="n"/>
      <c r="E30" s="37" t="n"/>
      <c r="F30" s="37" t="n"/>
      <c r="G30" s="72">
        <f>IF(OR($D30="",$A$13="",$A$13=0),"",$D30/$A$13)</f>
        <v/>
      </c>
      <c r="H30" s="73" t="n"/>
      <c r="I30" s="46" t="n"/>
      <c r="J30" s="46" t="n"/>
      <c r="K30" s="46" t="n"/>
      <c r="L30" s="46" t="n"/>
      <c r="M30" s="46" t="n"/>
      <c r="N30" s="46" t="n"/>
      <c r="O30" s="46" t="n"/>
    </row>
    <row r="31" ht="17" customHeight="1">
      <c r="A31" s="36" t="inlineStr">
        <is>
          <t>Nota 2</t>
        </is>
      </c>
      <c r="B31" s="74" t="n"/>
      <c r="C31" s="75" t="n"/>
      <c r="D31" s="76" t="n"/>
      <c r="E31" s="37" t="n"/>
      <c r="F31" s="37" t="n"/>
      <c r="G31" s="72">
        <f>IF(OR($D31="",$A$13="",$A$13=0),"",$D31/$A$13)</f>
        <v/>
      </c>
      <c r="H31" s="73" t="n"/>
      <c r="I31" s="46" t="n"/>
      <c r="J31" s="46" t="n"/>
      <c r="K31" s="46" t="n"/>
      <c r="L31" s="46" t="n"/>
      <c r="M31" s="46" t="n"/>
      <c r="N31" s="46" t="n"/>
      <c r="O31" s="46" t="n"/>
    </row>
    <row r="32" ht="17" customHeight="1">
      <c r="A32" s="36" t="inlineStr">
        <is>
          <t>Nota 3</t>
        </is>
      </c>
      <c r="B32" s="74" t="n"/>
      <c r="C32" s="75" t="n"/>
      <c r="D32" s="76" t="n"/>
      <c r="E32" s="37" t="n"/>
      <c r="F32" s="37" t="n"/>
      <c r="G32" s="72">
        <f>IF(OR($D32="",$A$13="",$A$13=0),"",$D32/$A$13)</f>
        <v/>
      </c>
      <c r="H32" s="73" t="n"/>
      <c r="I32" s="46" t="n"/>
      <c r="J32" s="46" t="n"/>
      <c r="K32" s="46" t="n"/>
      <c r="L32" s="46" t="n"/>
      <c r="M32" s="46" t="n"/>
      <c r="N32" s="46" t="n"/>
      <c r="O32" s="46" t="n"/>
    </row>
    <row r="33" ht="17" customHeight="1">
      <c r="A33" s="36" t="inlineStr">
        <is>
          <t>Nota 4</t>
        </is>
      </c>
      <c r="B33" s="74" t="n"/>
      <c r="C33" s="75" t="n"/>
      <c r="D33" s="76" t="n"/>
      <c r="E33" s="37" t="n"/>
      <c r="F33" s="37" t="n"/>
      <c r="G33" s="72">
        <f>IF(OR($D33="",$A$13="",$A$13=0),"",$D33/$A$13)</f>
        <v/>
      </c>
      <c r="H33" s="73" t="n"/>
      <c r="I33" s="46" t="n"/>
      <c r="J33" s="46" t="n"/>
      <c r="K33" s="46" t="n"/>
      <c r="L33" s="46" t="n"/>
      <c r="M33" s="46" t="n"/>
      <c r="N33" s="46" t="n"/>
      <c r="O33" s="46" t="n"/>
    </row>
    <row r="34" ht="20" customHeight="1">
      <c r="A34" s="31" t="inlineStr">
        <is>
          <t>(=) TOTAL FATURADO  →</t>
        </is>
      </c>
      <c r="B34" s="32" t="n"/>
      <c r="C34" s="32" t="n"/>
      <c r="D34" s="60">
        <f>ROUND(SUM($D$30:$D$33),2)</f>
        <v/>
      </c>
      <c r="E34" s="32" t="n"/>
      <c r="F34" s="32" t="n"/>
      <c r="G34" s="62">
        <f>IF(OR($A$13="",$A$13=0),"",$D$34/$A$13)</f>
        <v/>
      </c>
      <c r="H34" s="77">
        <f>IF(OR($A$13="",$A$13=0),"",IF(ROUND($A$13-$D$34,2)&lt;=0,"   Projeto totalmente faturado.","   Ainda a faturar: "&amp;TEXT($A$13-$D$34,"R$ #,##0.00")))</f>
        <v/>
      </c>
      <c r="I34" s="32" t="n"/>
      <c r="J34" s="32" t="n"/>
      <c r="K34" s="32" t="n"/>
      <c r="L34" s="32" t="n"/>
      <c r="M34" s="32" t="n"/>
      <c r="N34" s="32" t="n"/>
      <c r="O34" s="32" t="n"/>
    </row>
    <row r="35" ht="8" customHeight="1"/>
    <row r="36" ht="20" customHeight="1">
      <c r="A36" s="8" t="inlineStr">
        <is>
          <t xml:space="preserve">  2 · CUSTOS DE VENDA          tudo que sai por causa da venda · define a RECEITA LÍQUIDA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</row>
    <row r="37" ht="26" customHeight="1">
      <c r="A37" s="19" t="inlineStr">
        <is>
          <t>Item</t>
        </is>
      </c>
      <c r="B37" s="19" t="inlineStr">
        <is>
          <t>%</t>
        </is>
      </c>
      <c r="C37" s="19" t="inlineStr">
        <is>
          <t>Orçado (R$)</t>
        </is>
      </c>
      <c r="D37" s="19" t="inlineStr">
        <is>
          <t>Realizado (R$)</t>
        </is>
      </c>
      <c r="E37" s="19" t="inlineStr">
        <is>
          <t>Desvio (R$)</t>
        </is>
      </c>
      <c r="F37" s="35" t="n"/>
      <c r="G37" s="19" t="inlineStr">
        <is>
          <t>% da venda</t>
        </is>
      </c>
      <c r="H37" s="19" t="inlineStr">
        <is>
          <t>Observação</t>
        </is>
      </c>
      <c r="I37" s="35" t="n"/>
      <c r="J37" s="35" t="n"/>
      <c r="K37" s="35" t="n"/>
      <c r="L37" s="35" t="n"/>
      <c r="M37" s="35" t="n"/>
      <c r="N37" s="35" t="n"/>
      <c r="O37" s="35" t="n"/>
    </row>
    <row r="38" ht="17" customHeight="1">
      <c r="A38" s="36" t="inlineStr">
        <is>
          <t>Impostos sobre a nota (Simples)</t>
        </is>
      </c>
      <c r="B38" s="78" t="n"/>
      <c r="C38" s="56">
        <f>IF($B38="","",ROUND($B38*$C$28,2))</f>
        <v/>
      </c>
      <c r="D38" s="56">
        <f>IF($B38="","",ROUND($B38*$A$13,2))</f>
        <v/>
      </c>
      <c r="E38" s="56">
        <f>IF(OR($C38="",$D38=""),"",ROUND($D38-$C38,2))</f>
        <v/>
      </c>
      <c r="F38" s="38" t="n"/>
      <c r="G38" s="72">
        <f>IF(OR($D38="",$A$13="",$A$13=0),"",$D38/$A$13)</f>
        <v/>
      </c>
      <c r="H38" s="73" t="inlineStr">
        <is>
          <t>% sobre o valor de venda</t>
        </is>
      </c>
      <c r="I38" s="46" t="n"/>
      <c r="J38" s="46" t="n"/>
      <c r="K38" s="46" t="n"/>
      <c r="L38" s="46" t="n"/>
      <c r="M38" s="46" t="n"/>
      <c r="N38" s="46" t="n"/>
      <c r="O38" s="46" t="n"/>
    </row>
    <row r="39" ht="17" customHeight="1">
      <c r="A39" s="36" t="inlineStr">
        <is>
          <t>Taxa de máquina de cartão</t>
        </is>
      </c>
      <c r="B39" s="78" t="n"/>
      <c r="C39" s="56">
        <f>IF($B39="","",ROUND($B39*$C$28,2))</f>
        <v/>
      </c>
      <c r="D39" s="56">
        <f>IF($B39="","",ROUND($B39*$A$13,2))</f>
        <v/>
      </c>
      <c r="E39" s="56">
        <f>IF(OR($C39="",$D39=""),"",ROUND($D39-$C39,2))</f>
        <v/>
      </c>
      <c r="F39" s="38" t="n"/>
      <c r="G39" s="72">
        <f>IF(OR($D39="",$A$13="",$A$13=0),"",$D39/$A$13)</f>
        <v/>
      </c>
      <c r="H39" s="73" t="inlineStr">
        <is>
          <t>% sobre o valor de venda</t>
        </is>
      </c>
      <c r="I39" s="46" t="n"/>
      <c r="J39" s="46" t="n"/>
      <c r="K39" s="46" t="n"/>
      <c r="L39" s="46" t="n"/>
      <c r="M39" s="46" t="n"/>
      <c r="N39" s="46" t="n"/>
      <c r="O39" s="46" t="n"/>
    </row>
    <row r="40" ht="17" customHeight="1">
      <c r="A40" s="36" t="inlineStr">
        <is>
          <t>Taxas de transação (PIX, boleto, TED)</t>
        </is>
      </c>
      <c r="B40" s="37" t="n"/>
      <c r="C40" s="71" t="n"/>
      <c r="D40" s="71" t="n"/>
      <c r="E40" s="56">
        <f>IF(OR($C40="",$D40=""),"",ROUND($D40-$C40,2))</f>
        <v/>
      </c>
      <c r="F40" s="38" t="n"/>
      <c r="G40" s="72">
        <f>IF(OR($D40="",$A$13="",$A$13=0),"",$D40/$A$13)</f>
        <v/>
      </c>
      <c r="H40" s="73" t="inlineStr">
        <is>
          <t>valor em reais</t>
        </is>
      </c>
      <c r="I40" s="46" t="n"/>
      <c r="J40" s="46" t="n"/>
      <c r="K40" s="46" t="n"/>
      <c r="L40" s="46" t="n"/>
      <c r="M40" s="46" t="n"/>
      <c r="N40" s="46" t="n"/>
      <c r="O40" s="46" t="n"/>
    </row>
    <row r="41" ht="17" customHeight="1">
      <c r="A41" s="36" t="inlineStr">
        <is>
          <t>Comissão de venda (vendedor)</t>
        </is>
      </c>
      <c r="B41" s="78" t="n"/>
      <c r="C41" s="56">
        <f>IF($B41="","",ROUND($B41*$C$28,2))</f>
        <v/>
      </c>
      <c r="D41" s="56">
        <f>IF($B41="","",ROUND($B41*$A$13,2))</f>
        <v/>
      </c>
      <c r="E41" s="56">
        <f>IF(OR($C41="",$D41=""),"",ROUND($D41-$C41,2))</f>
        <v/>
      </c>
      <c r="F41" s="38" t="n"/>
      <c r="G41" s="72">
        <f>IF(OR($D41="",$A$13="",$A$13=0),"",$D41/$A$13)</f>
        <v/>
      </c>
      <c r="H41" s="73" t="inlineStr">
        <is>
          <t>% sobre o valor de venda</t>
        </is>
      </c>
      <c r="I41" s="46" t="n"/>
      <c r="J41" s="46" t="n"/>
      <c r="K41" s="46" t="n"/>
      <c r="L41" s="46" t="n"/>
      <c r="M41" s="46" t="n"/>
      <c r="N41" s="46" t="n"/>
      <c r="O41" s="46" t="n"/>
    </row>
    <row r="42" ht="17" customHeight="1">
      <c r="A42" s="36" t="inlineStr">
        <is>
          <t>Projeto / anteprojeto (externo)</t>
        </is>
      </c>
      <c r="B42" s="37" t="n"/>
      <c r="C42" s="71" t="n"/>
      <c r="D42" s="71" t="n"/>
      <c r="E42" s="56">
        <f>IF(OR($C42="",$D42=""),"",ROUND($D42-$C42,2))</f>
        <v/>
      </c>
      <c r="F42" s="38" t="n"/>
      <c r="G42" s="72">
        <f>IF(OR($D42="",$A$13="",$A$13=0),"",$D42/$A$13)</f>
        <v/>
      </c>
      <c r="H42" s="73" t="inlineStr">
        <is>
          <t>projetista ou arquiteto contratado para o projeto</t>
        </is>
      </c>
      <c r="I42" s="46" t="n"/>
      <c r="J42" s="46" t="n"/>
      <c r="K42" s="46" t="n"/>
      <c r="L42" s="46" t="n"/>
      <c r="M42" s="46" t="n"/>
      <c r="N42" s="46" t="n"/>
      <c r="O42" s="46" t="n"/>
    </row>
    <row r="43" ht="17" customHeight="1">
      <c r="A43" s="36" t="inlineStr">
        <is>
          <t>RT do parceiro</t>
        </is>
      </c>
      <c r="B43" s="78" t="n"/>
      <c r="C43" s="56">
        <f>IF($B43="","",ROUND($B43*($C$28-SUM($C$38:$C$40)),2))</f>
        <v/>
      </c>
      <c r="D43" s="56">
        <f>IF($B43="","",ROUND($B43*($A$13-SUM($D$38:$D$40)),2))</f>
        <v/>
      </c>
      <c r="E43" s="56">
        <f>IF(OR($C43="",$D43=""),"",ROUND($D43-$C43,2))</f>
        <v/>
      </c>
      <c r="F43" s="38" t="n"/>
      <c r="G43" s="72">
        <f>IF(OR($D43="",$A$13="",$A$13=0),"",$D43/$A$13)</f>
        <v/>
      </c>
      <c r="H43" s="73" t="inlineStr">
        <is>
          <t>% sobre o líquido: venda menos impostos, máquina e taxas</t>
        </is>
      </c>
      <c r="I43" s="46" t="n"/>
      <c r="J43" s="46" t="n"/>
      <c r="K43" s="46" t="n"/>
      <c r="L43" s="46" t="n"/>
      <c r="M43" s="46" t="n"/>
      <c r="N43" s="46" t="n"/>
      <c r="O43" s="46" t="n"/>
    </row>
    <row r="44" ht="20" customHeight="1">
      <c r="A44" s="31" t="inlineStr">
        <is>
          <t>(=) SUBTOTAL DOS CUSTOS DE VENDA</t>
        </is>
      </c>
      <c r="B44" s="32" t="n"/>
      <c r="C44" s="60">
        <f>ROUND(SUM(C38:C43),2)</f>
        <v/>
      </c>
      <c r="D44" s="60">
        <f>ROUND(SUM(D38:D43),2)</f>
        <v/>
      </c>
      <c r="E44" s="60">
        <f>ROUND($D44-$C44,2)</f>
        <v/>
      </c>
      <c r="F44" s="32" t="n"/>
      <c r="G44" s="62">
        <f>IF(OR($A$13="",$A$13=0),"",$D44/$A$13)</f>
        <v/>
      </c>
      <c r="H44" s="32" t="n"/>
      <c r="I44" s="32" t="n"/>
      <c r="J44" s="32" t="n"/>
      <c r="K44" s="32" t="n"/>
      <c r="L44" s="32" t="n"/>
      <c r="M44" s="32" t="n"/>
      <c r="N44" s="32" t="n"/>
      <c r="O44" s="32" t="n"/>
    </row>
    <row r="45" ht="24" customHeight="1">
      <c r="A45" s="79" t="inlineStr">
        <is>
          <t>(=) RECEITA LÍQUIDA</t>
        </is>
      </c>
      <c r="B45" s="64" t="n"/>
      <c r="C45" s="80">
        <f>ROUND($C$28-$C$44,2)</f>
        <v/>
      </c>
      <c r="D45" s="80">
        <f>ROUND($A$13-$D$44,2)</f>
        <v/>
      </c>
      <c r="E45" s="66">
        <f>ROUND($D$45-$C$45,2)</f>
        <v/>
      </c>
      <c r="F45" s="64" t="n"/>
      <c r="G45" s="81">
        <f>IF(OR($A$13="",$A$13=0),"",$D$45/$A$13)</f>
        <v/>
      </c>
      <c r="H45" s="82" t="inlineStr">
        <is>
          <t>É esta a base das comissões: coordenação, produção, montagem e projetista</t>
        </is>
      </c>
      <c r="I45" s="64" t="n"/>
      <c r="J45" s="64" t="n"/>
      <c r="K45" s="64" t="n"/>
      <c r="L45" s="64" t="n"/>
      <c r="M45" s="64" t="n"/>
      <c r="N45" s="64" t="n"/>
      <c r="O45" s="64" t="n"/>
    </row>
    <row r="46" ht="8" customHeight="1"/>
    <row r="47" ht="20" customHeight="1">
      <c r="A47" s="8" t="inlineStr">
        <is>
          <t xml:space="preserve">  3 · AMBIENTES, PRODUÇÃO, MONTAGEM E PROJETO          cada ambiente com quem produziu, quem montou e quem projetou · a comissão incide sobre a receita líquida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</row>
    <row r="48" ht="32" customHeight="1">
      <c r="A48" s="19" t="inlineStr">
        <is>
          <t>Ambiente</t>
        </is>
      </c>
      <c r="B48" s="19" t="inlineStr">
        <is>
          <t>% do total</t>
        </is>
      </c>
      <c r="C48" s="19" t="inlineStr">
        <is>
          <t>Valor do ambiente (R$)</t>
        </is>
      </c>
      <c r="D48" s="19" t="inlineStr">
        <is>
          <t>Produção — quem</t>
        </is>
      </c>
      <c r="E48" s="19" t="inlineStr">
        <is>
          <t>%</t>
        </is>
      </c>
      <c r="F48" s="19" t="inlineStr">
        <is>
          <t>Comissão produção (R$)</t>
        </is>
      </c>
      <c r="G48" s="19" t="inlineStr">
        <is>
          <t>Fabricado em</t>
        </is>
      </c>
      <c r="H48" s="19" t="inlineStr">
        <is>
          <t>Montagem — quem</t>
        </is>
      </c>
      <c r="I48" s="19" t="inlineStr">
        <is>
          <t>%</t>
        </is>
      </c>
      <c r="J48" s="19" t="inlineStr">
        <is>
          <t>Comissão montagem (R$)</t>
        </is>
      </c>
      <c r="K48" s="19" t="inlineStr">
        <is>
          <t>Montado em</t>
        </is>
      </c>
      <c r="L48" s="19" t="inlineStr">
        <is>
          <t>Projetista — quem</t>
        </is>
      </c>
      <c r="M48" s="19" t="inlineStr">
        <is>
          <t>%</t>
        </is>
      </c>
      <c r="N48" s="19" t="inlineStr">
        <is>
          <t>Comissão projetista (R$)</t>
        </is>
      </c>
      <c r="O48" s="19" t="inlineStr">
        <is>
          <t>Total do ambiente</t>
        </is>
      </c>
    </row>
    <row r="49" ht="18" customHeight="1">
      <c r="A49" s="83" t="n"/>
      <c r="B49" s="72">
        <f>IF(OR($C49="",$A$13="",$A$13=0),"",$C49/$A$13)</f>
        <v/>
      </c>
      <c r="C49" s="76" t="n"/>
      <c r="D49" s="83" t="n"/>
      <c r="E49" s="78" t="n"/>
      <c r="F49" s="56">
        <f>IF(OR($B49="",$E49="",$D$45=""),"",ROUND($B49*$D$45*$E49,2))</f>
        <v/>
      </c>
      <c r="G49" s="84" t="n"/>
      <c r="H49" s="83" t="n"/>
      <c r="I49" s="78" t="n"/>
      <c r="J49" s="56">
        <f>IF(OR($B49="",$I49="",$D$45=""),"",ROUND($B49*$D$45*$I49,2))</f>
        <v/>
      </c>
      <c r="K49" s="84" t="n"/>
      <c r="L49" s="83" t="n"/>
      <c r="M49" s="78" t="n"/>
      <c r="N49" s="56">
        <f>IF(OR($B49="",$M49="",$D$45=""),"",ROUND($B49*$D$45*$M49,2))</f>
        <v/>
      </c>
      <c r="O49" s="85">
        <f>IF(AND($F49="",$J49="",$N49=""),"",ROUND(IF($F49="",0,$F49)+IF($J49="",0,$J49)+IF($N49="",0,$N49),2))</f>
        <v/>
      </c>
    </row>
    <row r="50" ht="18" customHeight="1">
      <c r="A50" s="83" t="n"/>
      <c r="B50" s="72">
        <f>IF(OR($C50="",$A$13="",$A$13=0),"",$C50/$A$13)</f>
        <v/>
      </c>
      <c r="C50" s="76" t="n"/>
      <c r="D50" s="83" t="n"/>
      <c r="E50" s="78" t="n"/>
      <c r="F50" s="56">
        <f>IF(OR($B50="",$E50="",$D$45=""),"",ROUND($B50*$D$45*$E50,2))</f>
        <v/>
      </c>
      <c r="G50" s="84" t="n"/>
      <c r="H50" s="83" t="n"/>
      <c r="I50" s="78" t="n"/>
      <c r="J50" s="56">
        <f>IF(OR($B50="",$I50="",$D$45=""),"",ROUND($B50*$D$45*$I50,2))</f>
        <v/>
      </c>
      <c r="K50" s="84" t="n"/>
      <c r="L50" s="83" t="n"/>
      <c r="M50" s="78" t="n"/>
      <c r="N50" s="56">
        <f>IF(OR($B50="",$M50="",$D$45=""),"",ROUND($B50*$D$45*$M50,2))</f>
        <v/>
      </c>
      <c r="O50" s="85">
        <f>IF(AND($F50="",$J50="",$N50=""),"",ROUND(IF($F50="",0,$F50)+IF($J50="",0,$J50)+IF($N50="",0,$N50),2))</f>
        <v/>
      </c>
    </row>
    <row r="51" ht="18" customHeight="1">
      <c r="A51" s="83" t="n"/>
      <c r="B51" s="72">
        <f>IF(OR($C51="",$A$13="",$A$13=0),"",$C51/$A$13)</f>
        <v/>
      </c>
      <c r="C51" s="76" t="n"/>
      <c r="D51" s="83" t="n"/>
      <c r="E51" s="78" t="n"/>
      <c r="F51" s="56">
        <f>IF(OR($B51="",$E51="",$D$45=""),"",ROUND($B51*$D$45*$E51,2))</f>
        <v/>
      </c>
      <c r="G51" s="84" t="n"/>
      <c r="H51" s="83" t="n"/>
      <c r="I51" s="78" t="n"/>
      <c r="J51" s="56">
        <f>IF(OR($B51="",$I51="",$D$45=""),"",ROUND($B51*$D$45*$I51,2))</f>
        <v/>
      </c>
      <c r="K51" s="84" t="n"/>
      <c r="L51" s="83" t="n"/>
      <c r="M51" s="78" t="n"/>
      <c r="N51" s="56">
        <f>IF(OR($B51="",$M51="",$D$45=""),"",ROUND($B51*$D$45*$M51,2))</f>
        <v/>
      </c>
      <c r="O51" s="85">
        <f>IF(AND($F51="",$J51="",$N51=""),"",ROUND(IF($F51="",0,$F51)+IF($J51="",0,$J51)+IF($N51="",0,$N51),2))</f>
        <v/>
      </c>
    </row>
    <row r="52" ht="18" customHeight="1">
      <c r="A52" s="83" t="n"/>
      <c r="B52" s="72">
        <f>IF(OR($C52="",$A$13="",$A$13=0),"",$C52/$A$13)</f>
        <v/>
      </c>
      <c r="C52" s="76" t="n"/>
      <c r="D52" s="83" t="n"/>
      <c r="E52" s="78" t="n"/>
      <c r="F52" s="56">
        <f>IF(OR($B52="",$E52="",$D$45=""),"",ROUND($B52*$D$45*$E52,2))</f>
        <v/>
      </c>
      <c r="G52" s="84" t="n"/>
      <c r="H52" s="83" t="n"/>
      <c r="I52" s="78" t="n"/>
      <c r="J52" s="56">
        <f>IF(OR($B52="",$I52="",$D$45=""),"",ROUND($B52*$D$45*$I52,2))</f>
        <v/>
      </c>
      <c r="K52" s="84" t="n"/>
      <c r="L52" s="83" t="n"/>
      <c r="M52" s="78" t="n"/>
      <c r="N52" s="56">
        <f>IF(OR($B52="",$M52="",$D$45=""),"",ROUND($B52*$D$45*$M52,2))</f>
        <v/>
      </c>
      <c r="O52" s="85">
        <f>IF(AND($F52="",$J52="",$N52=""),"",ROUND(IF($F52="",0,$F52)+IF($J52="",0,$J52)+IF($N52="",0,$N52),2))</f>
        <v/>
      </c>
    </row>
    <row r="53" ht="18" customHeight="1">
      <c r="A53" s="83" t="n"/>
      <c r="B53" s="72">
        <f>IF(OR($C53="",$A$13="",$A$13=0),"",$C53/$A$13)</f>
        <v/>
      </c>
      <c r="C53" s="76" t="n"/>
      <c r="D53" s="83" t="n"/>
      <c r="E53" s="78" t="n"/>
      <c r="F53" s="56">
        <f>IF(OR($B53="",$E53="",$D$45=""),"",ROUND($B53*$D$45*$E53,2))</f>
        <v/>
      </c>
      <c r="G53" s="84" t="n"/>
      <c r="H53" s="83" t="n"/>
      <c r="I53" s="78" t="n"/>
      <c r="J53" s="56">
        <f>IF(OR($B53="",$I53="",$D$45=""),"",ROUND($B53*$D$45*$I53,2))</f>
        <v/>
      </c>
      <c r="K53" s="84" t="n"/>
      <c r="L53" s="83" t="n"/>
      <c r="M53" s="78" t="n"/>
      <c r="N53" s="56">
        <f>IF(OR($B53="",$M53="",$D$45=""),"",ROUND($B53*$D$45*$M53,2))</f>
        <v/>
      </c>
      <c r="O53" s="85">
        <f>IF(AND($F53="",$J53="",$N53=""),"",ROUND(IF($F53="",0,$F53)+IF($J53="",0,$J53)+IF($N53="",0,$N53),2))</f>
        <v/>
      </c>
    </row>
    <row r="54" ht="18" customHeight="1">
      <c r="A54" s="83" t="n"/>
      <c r="B54" s="72">
        <f>IF(OR($C54="",$A$13="",$A$13=0),"",$C54/$A$13)</f>
        <v/>
      </c>
      <c r="C54" s="76" t="n"/>
      <c r="D54" s="83" t="n"/>
      <c r="E54" s="78" t="n"/>
      <c r="F54" s="56">
        <f>IF(OR($B54="",$E54="",$D$45=""),"",ROUND($B54*$D$45*$E54,2))</f>
        <v/>
      </c>
      <c r="G54" s="84" t="n"/>
      <c r="H54" s="83" t="n"/>
      <c r="I54" s="78" t="n"/>
      <c r="J54" s="56">
        <f>IF(OR($B54="",$I54="",$D$45=""),"",ROUND($B54*$D$45*$I54,2))</f>
        <v/>
      </c>
      <c r="K54" s="84" t="n"/>
      <c r="L54" s="83" t="n"/>
      <c r="M54" s="78" t="n"/>
      <c r="N54" s="56">
        <f>IF(OR($B54="",$M54="",$D$45=""),"",ROUND($B54*$D$45*$M54,2))</f>
        <v/>
      </c>
      <c r="O54" s="85">
        <f>IF(AND($F54="",$J54="",$N54=""),"",ROUND(IF($F54="",0,$F54)+IF($J54="",0,$J54)+IF($N54="",0,$N54),2))</f>
        <v/>
      </c>
    </row>
    <row r="55" ht="18" customHeight="1">
      <c r="A55" s="83" t="n"/>
      <c r="B55" s="72">
        <f>IF(OR($C55="",$A$13="",$A$13=0),"",$C55/$A$13)</f>
        <v/>
      </c>
      <c r="C55" s="76" t="n"/>
      <c r="D55" s="83" t="n"/>
      <c r="E55" s="78" t="n"/>
      <c r="F55" s="56">
        <f>IF(OR($B55="",$E55="",$D$45=""),"",ROUND($B55*$D$45*$E55,2))</f>
        <v/>
      </c>
      <c r="G55" s="84" t="n"/>
      <c r="H55" s="83" t="n"/>
      <c r="I55" s="78" t="n"/>
      <c r="J55" s="56">
        <f>IF(OR($B55="",$I55="",$D$45=""),"",ROUND($B55*$D$45*$I55,2))</f>
        <v/>
      </c>
      <c r="K55" s="84" t="n"/>
      <c r="L55" s="83" t="n"/>
      <c r="M55" s="78" t="n"/>
      <c r="N55" s="56">
        <f>IF(OR($B55="",$M55="",$D$45=""),"",ROUND($B55*$D$45*$M55,2))</f>
        <v/>
      </c>
      <c r="O55" s="85">
        <f>IF(AND($F55="",$J55="",$N55=""),"",ROUND(IF($F55="",0,$F55)+IF($J55="",0,$J55)+IF($N55="",0,$N55),2))</f>
        <v/>
      </c>
    </row>
    <row r="56" ht="18" customHeight="1">
      <c r="A56" s="83" t="n"/>
      <c r="B56" s="72">
        <f>IF(OR($C56="",$A$13="",$A$13=0),"",$C56/$A$13)</f>
        <v/>
      </c>
      <c r="C56" s="76" t="n"/>
      <c r="D56" s="83" t="n"/>
      <c r="E56" s="78" t="n"/>
      <c r="F56" s="56">
        <f>IF(OR($B56="",$E56="",$D$45=""),"",ROUND($B56*$D$45*$E56,2))</f>
        <v/>
      </c>
      <c r="G56" s="84" t="n"/>
      <c r="H56" s="83" t="n"/>
      <c r="I56" s="78" t="n"/>
      <c r="J56" s="56">
        <f>IF(OR($B56="",$I56="",$D$45=""),"",ROUND($B56*$D$45*$I56,2))</f>
        <v/>
      </c>
      <c r="K56" s="84" t="n"/>
      <c r="L56" s="83" t="n"/>
      <c r="M56" s="78" t="n"/>
      <c r="N56" s="56">
        <f>IF(OR($B56="",$M56="",$D$45=""),"",ROUND($B56*$D$45*$M56,2))</f>
        <v/>
      </c>
      <c r="O56" s="85">
        <f>IF(AND($F56="",$J56="",$N56=""),"",ROUND(IF($F56="",0,$F56)+IF($J56="",0,$J56)+IF($N56="",0,$N56),2))</f>
        <v/>
      </c>
    </row>
    <row r="57" ht="18" customHeight="1">
      <c r="A57" s="83" t="n"/>
      <c r="B57" s="72">
        <f>IF(OR($C57="",$A$13="",$A$13=0),"",$C57/$A$13)</f>
        <v/>
      </c>
      <c r="C57" s="76" t="n"/>
      <c r="D57" s="83" t="n"/>
      <c r="E57" s="78" t="n"/>
      <c r="F57" s="56">
        <f>IF(OR($B57="",$E57="",$D$45=""),"",ROUND($B57*$D$45*$E57,2))</f>
        <v/>
      </c>
      <c r="G57" s="84" t="n"/>
      <c r="H57" s="83" t="n"/>
      <c r="I57" s="78" t="n"/>
      <c r="J57" s="56">
        <f>IF(OR($B57="",$I57="",$D$45=""),"",ROUND($B57*$D$45*$I57,2))</f>
        <v/>
      </c>
      <c r="K57" s="84" t="n"/>
      <c r="L57" s="83" t="n"/>
      <c r="M57" s="78" t="n"/>
      <c r="N57" s="56">
        <f>IF(OR($B57="",$M57="",$D$45=""),"",ROUND($B57*$D$45*$M57,2))</f>
        <v/>
      </c>
      <c r="O57" s="85">
        <f>IF(AND($F57="",$J57="",$N57=""),"",ROUND(IF($F57="",0,$F57)+IF($J57="",0,$J57)+IF($N57="",0,$N57),2))</f>
        <v/>
      </c>
    </row>
    <row r="58" ht="18" customHeight="1">
      <c r="A58" s="83" t="n"/>
      <c r="B58" s="72">
        <f>IF(OR($C58="",$A$13="",$A$13=0),"",$C58/$A$13)</f>
        <v/>
      </c>
      <c r="C58" s="76" t="n"/>
      <c r="D58" s="83" t="n"/>
      <c r="E58" s="78" t="n"/>
      <c r="F58" s="56">
        <f>IF(OR($B58="",$E58="",$D$45=""),"",ROUND($B58*$D$45*$E58,2))</f>
        <v/>
      </c>
      <c r="G58" s="84" t="n"/>
      <c r="H58" s="83" t="n"/>
      <c r="I58" s="78" t="n"/>
      <c r="J58" s="56">
        <f>IF(OR($B58="",$I58="",$D$45=""),"",ROUND($B58*$D$45*$I58,2))</f>
        <v/>
      </c>
      <c r="K58" s="84" t="n"/>
      <c r="L58" s="83" t="n"/>
      <c r="M58" s="78" t="n"/>
      <c r="N58" s="56">
        <f>IF(OR($B58="",$M58="",$D$45=""),"",ROUND($B58*$D$45*$M58,2))</f>
        <v/>
      </c>
      <c r="O58" s="85">
        <f>IF(AND($F58="",$J58="",$N58=""),"",ROUND(IF($F58="",0,$F58)+IF($J58="",0,$J58)+IF($N58="",0,$N58),2))</f>
        <v/>
      </c>
    </row>
    <row r="59" ht="18" customHeight="1">
      <c r="A59" s="83" t="n"/>
      <c r="B59" s="72">
        <f>IF(OR($C59="",$A$13="",$A$13=0),"",$C59/$A$13)</f>
        <v/>
      </c>
      <c r="C59" s="76" t="n"/>
      <c r="D59" s="83" t="n"/>
      <c r="E59" s="78" t="n"/>
      <c r="F59" s="56">
        <f>IF(OR($B59="",$E59="",$D$45=""),"",ROUND($B59*$D$45*$E59,2))</f>
        <v/>
      </c>
      <c r="G59" s="84" t="n"/>
      <c r="H59" s="83" t="n"/>
      <c r="I59" s="78" t="n"/>
      <c r="J59" s="56">
        <f>IF(OR($B59="",$I59="",$D$45=""),"",ROUND($B59*$D$45*$I59,2))</f>
        <v/>
      </c>
      <c r="K59" s="84" t="n"/>
      <c r="L59" s="83" t="n"/>
      <c r="M59" s="78" t="n"/>
      <c r="N59" s="56">
        <f>IF(OR($B59="",$M59="",$D$45=""),"",ROUND($B59*$D$45*$M59,2))</f>
        <v/>
      </c>
      <c r="O59" s="85">
        <f>IF(AND($F59="",$J59="",$N59=""),"",ROUND(IF($F59="",0,$F59)+IF($J59="",0,$J59)+IF($N59="",0,$N59),2))</f>
        <v/>
      </c>
    </row>
    <row r="60" ht="18" customHeight="1">
      <c r="A60" s="83" t="n"/>
      <c r="B60" s="72">
        <f>IF(OR($C60="",$A$13="",$A$13=0),"",$C60/$A$13)</f>
        <v/>
      </c>
      <c r="C60" s="76" t="n"/>
      <c r="D60" s="83" t="n"/>
      <c r="E60" s="78" t="n"/>
      <c r="F60" s="56">
        <f>IF(OR($B60="",$E60="",$D$45=""),"",ROUND($B60*$D$45*$E60,2))</f>
        <v/>
      </c>
      <c r="G60" s="84" t="n"/>
      <c r="H60" s="83" t="n"/>
      <c r="I60" s="78" t="n"/>
      <c r="J60" s="56">
        <f>IF(OR($B60="",$I60="",$D$45=""),"",ROUND($B60*$D$45*$I60,2))</f>
        <v/>
      </c>
      <c r="K60" s="84" t="n"/>
      <c r="L60" s="83" t="n"/>
      <c r="M60" s="78" t="n"/>
      <c r="N60" s="56">
        <f>IF(OR($B60="",$M60="",$D$45=""),"",ROUND($B60*$D$45*$M60,2))</f>
        <v/>
      </c>
      <c r="O60" s="85">
        <f>IF(AND($F60="",$J60="",$N60=""),"",ROUND(IF($F60="",0,$F60)+IF($J60="",0,$J60)+IF($N60="",0,$N60),2))</f>
        <v/>
      </c>
    </row>
    <row r="61" ht="20" customHeight="1">
      <c r="A61" s="31" t="inlineStr">
        <is>
          <t>SOMA DOS AMBIENTES</t>
        </is>
      </c>
      <c r="B61" s="62">
        <f>IF($A$13=0,"",$C$61/$A$13)</f>
        <v/>
      </c>
      <c r="C61" s="60">
        <f>ROUND(SUM(C49:C60),2)</f>
        <v/>
      </c>
      <c r="D61" s="86">
        <f>IF($C$61=0,"—",IF(ROUND($C$61-$A$13,2)=0,"OK · os ambientes somam o valor de venda","ATENÇÃO: diferença de "&amp;TEXT($C$61-$A$13,"R$ #,##0.00")))</f>
        <v/>
      </c>
      <c r="E61" s="32" t="n"/>
      <c r="F61" s="60">
        <f>ROUND(SUM(F49:F60),2)</f>
        <v/>
      </c>
      <c r="G61" s="32" t="n"/>
      <c r="H61" s="32" t="n"/>
      <c r="I61" s="32" t="n"/>
      <c r="J61" s="60">
        <f>ROUND(SUM(J49:J60),2)</f>
        <v/>
      </c>
      <c r="K61" s="32" t="n"/>
      <c r="L61" s="32" t="n"/>
      <c r="M61" s="32" t="n"/>
      <c r="N61" s="60">
        <f>ROUND(SUM(N49:N60),2)</f>
        <v/>
      </c>
      <c r="O61" s="60">
        <f>ROUND(SUM(O49:O60),2)</f>
        <v/>
      </c>
    </row>
    <row r="62" ht="8" customHeight="1"/>
    <row r="63" ht="20" customHeight="1">
      <c r="A63" s="8" t="inlineStr">
        <is>
          <t xml:space="preserve">  4 · COMISSÕES OPERACIONAIS          calculadas sobre a RECEITA LÍQUIDA · o realizado vem dos ambientes acima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</row>
    <row r="64" ht="26" customHeight="1">
      <c r="A64" s="19" t="inlineStr">
        <is>
          <t>Item</t>
        </is>
      </c>
      <c r="B64" s="19" t="inlineStr">
        <is>
          <t>%</t>
        </is>
      </c>
      <c r="C64" s="19" t="inlineStr">
        <is>
          <t>Orçado (R$)</t>
        </is>
      </c>
      <c r="D64" s="19" t="inlineStr">
        <is>
          <t>Realizado (R$)</t>
        </is>
      </c>
      <c r="E64" s="19" t="inlineStr">
        <is>
          <t>Desvio (R$)</t>
        </is>
      </c>
      <c r="F64" s="35" t="n"/>
      <c r="G64" s="19" t="inlineStr">
        <is>
          <t>% da venda</t>
        </is>
      </c>
      <c r="H64" s="19" t="inlineStr">
        <is>
          <t>Observação</t>
        </is>
      </c>
      <c r="I64" s="35" t="n"/>
      <c r="J64" s="35" t="n"/>
      <c r="K64" s="35" t="n"/>
      <c r="L64" s="35" t="n"/>
      <c r="M64" s="35" t="n"/>
      <c r="N64" s="35" t="n"/>
      <c r="O64" s="35" t="n"/>
    </row>
    <row r="65" ht="17" customHeight="1">
      <c r="A65" s="36" t="inlineStr">
        <is>
          <t>Coordenação de produção</t>
        </is>
      </c>
      <c r="B65" s="78" t="n"/>
      <c r="C65" s="56">
        <f>IF($B65="","",ROUND($B65*$C$45,2))</f>
        <v/>
      </c>
      <c r="D65" s="56">
        <f>IF($B65="","",ROUND($B65*$D$45,2))</f>
        <v/>
      </c>
      <c r="E65" s="56">
        <f>IF(OR($C65="",$D65=""),"",ROUND($D65-$C65,2))</f>
        <v/>
      </c>
      <c r="F65" s="38" t="n"/>
      <c r="G65" s="72">
        <f>IF(OR($D65="",$A$13="",$A$13=0),"",$D65/$A$13)</f>
        <v/>
      </c>
      <c r="H65" s="73" t="inlineStr">
        <is>
          <t>quem coordena está na identificação, no topo da ficha</t>
        </is>
      </c>
      <c r="I65" s="46" t="n"/>
      <c r="J65" s="46" t="n"/>
      <c r="K65" s="46" t="n"/>
      <c r="L65" s="46" t="n"/>
      <c r="M65" s="46" t="n"/>
      <c r="N65" s="46" t="n"/>
      <c r="O65" s="46" t="n"/>
    </row>
    <row r="66" ht="17" customHeight="1">
      <c r="A66" s="36" t="inlineStr">
        <is>
          <t>Gestão técnica</t>
        </is>
      </c>
      <c r="B66" s="78" t="n">
        <v>0.005</v>
      </c>
      <c r="C66" s="56">
        <f>IF($B66="","",ROUND($B66*$C$45,2))</f>
        <v/>
      </c>
      <c r="D66" s="56">
        <f>IF($B66="","",ROUND($B66*$D$45,2))</f>
        <v/>
      </c>
      <c r="E66" s="56">
        <f>IF(OR($C66="",$D66=""),"",ROUND($D66-$C66,2))</f>
        <v/>
      </c>
      <c r="F66" s="38" t="n"/>
      <c r="G66" s="72">
        <f>IF(OR($D66="",$A$13="",$A$13=0),"",$D66/$A$13)</f>
        <v/>
      </c>
      <c r="H66" s="73" t="n"/>
      <c r="I66" s="46" t="n"/>
      <c r="J66" s="46" t="n"/>
      <c r="K66" s="46" t="n"/>
      <c r="L66" s="46" t="n"/>
      <c r="M66" s="46" t="n"/>
      <c r="N66" s="46" t="n"/>
      <c r="O66" s="46" t="n"/>
    </row>
    <row r="67" ht="17" customHeight="1">
      <c r="A67" s="36" t="inlineStr">
        <is>
          <t>Comissão de produção</t>
        </is>
      </c>
      <c r="B67" s="78" t="n"/>
      <c r="C67" s="56">
        <f>IF($B67="","",ROUND($B67*$C$45,2))</f>
        <v/>
      </c>
      <c r="D67" s="56">
        <f>IF($F$61=0,"",$F$61)</f>
        <v/>
      </c>
      <c r="E67" s="56">
        <f>IF(OR($C67="",$D67=""),"",ROUND($D67-$C67,2))</f>
        <v/>
      </c>
      <c r="F67" s="38" t="n"/>
      <c r="G67" s="72">
        <f>IF(OR($D67="",$A$13="",$A$13=0),"",$D67/$A$13)</f>
        <v/>
      </c>
      <c r="H67" s="73" t="inlineStr">
        <is>
          <t>orçado = % único estimado · realizado = soma dos ambientes</t>
        </is>
      </c>
      <c r="I67" s="46" t="n"/>
      <c r="J67" s="46" t="n"/>
      <c r="K67" s="46" t="n"/>
      <c r="L67" s="46" t="n"/>
      <c r="M67" s="46" t="n"/>
      <c r="N67" s="46" t="n"/>
      <c r="O67" s="46" t="n"/>
    </row>
    <row r="68" ht="17" customHeight="1">
      <c r="A68" s="36" t="inlineStr">
        <is>
          <t>Comissão de montagem</t>
        </is>
      </c>
      <c r="B68" s="78" t="n"/>
      <c r="C68" s="56">
        <f>IF($B68="","",ROUND($B68*$C$45,2))</f>
        <v/>
      </c>
      <c r="D68" s="56">
        <f>IF($J$61=0,"",$J$61)</f>
        <v/>
      </c>
      <c r="E68" s="56">
        <f>IF(OR($C68="",$D68=""),"",ROUND($D68-$C68,2))</f>
        <v/>
      </c>
      <c r="F68" s="38" t="n"/>
      <c r="G68" s="72">
        <f>IF(OR($D68="",$A$13="",$A$13=0),"",$D68/$A$13)</f>
        <v/>
      </c>
      <c r="H68" s="73" t="inlineStr">
        <is>
          <t>orçado = % único estimado · realizado = soma dos ambientes</t>
        </is>
      </c>
      <c r="I68" s="46" t="n"/>
      <c r="J68" s="46" t="n"/>
      <c r="K68" s="46" t="n"/>
      <c r="L68" s="46" t="n"/>
      <c r="M68" s="46" t="n"/>
      <c r="N68" s="46" t="n"/>
      <c r="O68" s="46" t="n"/>
    </row>
    <row r="69" ht="17" customHeight="1">
      <c r="A69" s="36" t="inlineStr">
        <is>
          <t>Comissão de projetista</t>
        </is>
      </c>
      <c r="B69" s="78" t="n"/>
      <c r="C69" s="56">
        <f>IF($B69="","",ROUND($B69*$C$45,2))</f>
        <v/>
      </c>
      <c r="D69" s="56">
        <f>IF($N$61=0,"",$N$61)</f>
        <v/>
      </c>
      <c r="E69" s="56">
        <f>IF(OR($C69="",$D69=""),"",ROUND($D69-$C69,2))</f>
        <v/>
      </c>
      <c r="F69" s="38" t="n"/>
      <c r="G69" s="72">
        <f>IF(OR($D69="",$A$13="",$A$13=0),"",$D69/$A$13)</f>
        <v/>
      </c>
      <c r="H69" s="73" t="inlineStr">
        <is>
          <t>quem projetou cada ambiente está na coluna L do bloco 3</t>
        </is>
      </c>
      <c r="I69" s="46" t="n"/>
      <c r="J69" s="46" t="n"/>
      <c r="K69" s="46" t="n"/>
      <c r="L69" s="46" t="n"/>
      <c r="M69" s="46" t="n"/>
      <c r="N69" s="46" t="n"/>
      <c r="O69" s="46" t="n"/>
    </row>
    <row r="70" ht="20" customHeight="1">
      <c r="A70" s="31" t="inlineStr">
        <is>
          <t>(=) SUBTOTAL DAS COMISSÕES</t>
        </is>
      </c>
      <c r="B70" s="32" t="n"/>
      <c r="C70" s="60">
        <f>ROUND(SUM(C65:C69),2)</f>
        <v/>
      </c>
      <c r="D70" s="60">
        <f>ROUND(SUM(D65:D69),2)</f>
        <v/>
      </c>
      <c r="E70" s="60">
        <f>ROUND($D70-$C70,2)</f>
        <v/>
      </c>
      <c r="F70" s="32" t="n"/>
      <c r="G70" s="62">
        <f>IF(OR($A$13="",$A$13=0),"",$D70/$A$13)</f>
        <v/>
      </c>
      <c r="H70" s="32" t="n"/>
      <c r="I70" s="32" t="n"/>
      <c r="J70" s="32" t="n"/>
      <c r="K70" s="32" t="n"/>
      <c r="L70" s="32" t="n"/>
      <c r="M70" s="32" t="n"/>
      <c r="N70" s="32" t="n"/>
      <c r="O70" s="32" t="n"/>
    </row>
    <row r="71" ht="8" customHeight="1"/>
    <row r="72" ht="20" customHeight="1">
      <c r="A72" s="8" t="inlineStr">
        <is>
          <t xml:space="preserve">  5 · COMISSÕES POR COLABORADOR          consolidado automático — quem produziu, quem montou, quem projetou e o coordenador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</row>
    <row r="73" ht="26" customHeight="1">
      <c r="A73" s="19" t="inlineStr">
        <is>
          <t>Colaborador</t>
        </is>
      </c>
      <c r="B73" s="19" t="inlineStr">
        <is>
          <t>Produção (R$)</t>
        </is>
      </c>
      <c r="C73" s="35" t="n"/>
      <c r="D73" s="19" t="inlineStr">
        <is>
          <t>Montagem (R$)</t>
        </is>
      </c>
      <c r="E73" s="35" t="n"/>
      <c r="F73" s="19" t="inlineStr">
        <is>
          <t>Projeto (R$)</t>
        </is>
      </c>
      <c r="G73" s="35" t="n"/>
      <c r="H73" s="19" t="inlineStr">
        <is>
          <t>Coordenação / Gestão técnica (R$)</t>
        </is>
      </c>
      <c r="I73" s="35" t="n"/>
      <c r="J73" s="19" t="inlineStr">
        <is>
          <t>Total no projeto (R$)</t>
        </is>
      </c>
      <c r="K73" s="35" t="n"/>
      <c r="L73" s="35" t="n"/>
      <c r="M73" s="35" t="n"/>
    </row>
    <row r="74" ht="17" customHeight="1">
      <c r="A74" s="87" t="inlineStr">
        <is>
          <t>Deivison</t>
        </is>
      </c>
      <c r="B74" s="56">
        <f>IF($A74="","",ROUND(SUMIF($D$49:$D$60,$A74,$F$49:$F$60),2))</f>
        <v/>
      </c>
      <c r="C74" s="38" t="n"/>
      <c r="D74" s="56">
        <f>IF($A74="","",ROUND(SUMIF($H$49:$H$60,$A74,$J$49:$J$60),2))</f>
        <v/>
      </c>
      <c r="E74" s="38" t="n"/>
      <c r="F74" s="56">
        <f>IF($A74="","",ROUND(SUMIF($L$49:$L$60,$A74,$N$49:$N$60),2))</f>
        <v/>
      </c>
      <c r="G74" s="38" t="n"/>
      <c r="H74" s="56">
        <f>IF($A74="","",IF($A74=$F$9,IF($D$65="",0,$D$65),0)+IF($A74=$H$66,IF($D$66="",0,$D$66),0))</f>
        <v/>
      </c>
      <c r="I74" s="38" t="n"/>
      <c r="J74" s="88">
        <f>IF($A74="","",ROUND($B74+$D74+$F74+$H74,2))</f>
        <v/>
      </c>
      <c r="K74" s="38" t="n"/>
      <c r="L74" s="38" t="n"/>
      <c r="M74" s="38" t="n"/>
    </row>
    <row r="75" ht="17" customHeight="1">
      <c r="A75" s="87" t="inlineStr">
        <is>
          <t>Ronald</t>
        </is>
      </c>
      <c r="B75" s="56">
        <f>IF($A75="","",ROUND(SUMIF($D$49:$D$60,$A75,$F$49:$F$60),2))</f>
        <v/>
      </c>
      <c r="C75" s="38" t="n"/>
      <c r="D75" s="56">
        <f>IF($A75="","",ROUND(SUMIF($H$49:$H$60,$A75,$J$49:$J$60),2))</f>
        <v/>
      </c>
      <c r="E75" s="38" t="n"/>
      <c r="F75" s="56">
        <f>IF($A75="","",ROUND(SUMIF($L$49:$L$60,$A75,$N$49:$N$60),2))</f>
        <v/>
      </c>
      <c r="G75" s="38" t="n"/>
      <c r="H75" s="56">
        <f>IF($A75="","",IF($A75=$F$9,IF($D$65="",0,$D$65),0)+IF($A75=$H$66,IF($D$66="",0,$D$66),0))</f>
        <v/>
      </c>
      <c r="I75" s="38" t="n"/>
      <c r="J75" s="88">
        <f>IF($A75="","",ROUND($B75+$D75+$F75+$H75,2))</f>
        <v/>
      </c>
      <c r="K75" s="38" t="n"/>
      <c r="L75" s="38" t="n"/>
      <c r="M75" s="38" t="n"/>
    </row>
    <row r="76" ht="17" customHeight="1">
      <c r="A76" s="87" t="inlineStr">
        <is>
          <t>Samuel</t>
        </is>
      </c>
      <c r="B76" s="56">
        <f>IF($A76="","",ROUND(SUMIF($D$49:$D$60,$A76,$F$49:$F$60),2))</f>
        <v/>
      </c>
      <c r="C76" s="38" t="n"/>
      <c r="D76" s="56">
        <f>IF($A76="","",ROUND(SUMIF($H$49:$H$60,$A76,$J$49:$J$60),2))</f>
        <v/>
      </c>
      <c r="E76" s="38" t="n"/>
      <c r="F76" s="56">
        <f>IF($A76="","",ROUND(SUMIF($L$49:$L$60,$A76,$N$49:$N$60),2))</f>
        <v/>
      </c>
      <c r="G76" s="38" t="n"/>
      <c r="H76" s="56">
        <f>IF($A76="","",IF($A76=$F$9,IF($D$65="",0,$D$65),0)+IF($A76=$H$66,IF($D$66="",0,$D$66),0))</f>
        <v/>
      </c>
      <c r="I76" s="38" t="n"/>
      <c r="J76" s="88">
        <f>IF($A76="","",ROUND($B76+$D76+$F76+$H76,2))</f>
        <v/>
      </c>
      <c r="K76" s="38" t="n"/>
      <c r="L76" s="38" t="n"/>
      <c r="M76" s="38" t="n"/>
    </row>
    <row r="77" ht="17" customHeight="1">
      <c r="A77" s="87" t="inlineStr">
        <is>
          <t>Cesar</t>
        </is>
      </c>
      <c r="B77" s="56">
        <f>IF($A77="","",ROUND(SUMIF($D$49:$D$60,$A77,$F$49:$F$60),2))</f>
        <v/>
      </c>
      <c r="C77" s="38" t="n"/>
      <c r="D77" s="56">
        <f>IF($A77="","",ROUND(SUMIF($H$49:$H$60,$A77,$J$49:$J$60),2))</f>
        <v/>
      </c>
      <c r="E77" s="38" t="n"/>
      <c r="F77" s="56">
        <f>IF($A77="","",ROUND(SUMIF($L$49:$L$60,$A77,$N$49:$N$60),2))</f>
        <v/>
      </c>
      <c r="G77" s="38" t="n"/>
      <c r="H77" s="56">
        <f>IF($A77="","",IF($A77=$F$9,IF($D$65="",0,$D$65),0)+IF($A77=$H$66,IF($D$66="",0,$D$66),0))</f>
        <v/>
      </c>
      <c r="I77" s="38" t="n"/>
      <c r="J77" s="88">
        <f>IF($A77="","",ROUND($B77+$D77+$F77+$H77,2))</f>
        <v/>
      </c>
      <c r="K77" s="38" t="n"/>
      <c r="L77" s="38" t="n"/>
      <c r="M77" s="38" t="n"/>
    </row>
    <row r="78" ht="17" customHeight="1">
      <c r="A78" s="87" t="inlineStr">
        <is>
          <t>Jhon</t>
        </is>
      </c>
      <c r="B78" s="56">
        <f>IF($A78="","",ROUND(SUMIF($D$49:$D$60,$A78,$F$49:$F$60),2))</f>
        <v/>
      </c>
      <c r="C78" s="38" t="n"/>
      <c r="D78" s="56">
        <f>IF($A78="","",ROUND(SUMIF($H$49:$H$60,$A78,$J$49:$J$60),2))</f>
        <v/>
      </c>
      <c r="E78" s="38" t="n"/>
      <c r="F78" s="56">
        <f>IF($A78="","",ROUND(SUMIF($L$49:$L$60,$A78,$N$49:$N$60),2))</f>
        <v/>
      </c>
      <c r="G78" s="38" t="n"/>
      <c r="H78" s="56">
        <f>IF($A78="","",IF($A78=$F$9,IF($D$65="",0,$D$65),0)+IF($A78=$H$66,IF($D$66="",0,$D$66),0))</f>
        <v/>
      </c>
      <c r="I78" s="38" t="n"/>
      <c r="J78" s="88">
        <f>IF($A78="","",ROUND($B78+$D78+$F78+$H78,2))</f>
        <v/>
      </c>
      <c r="K78" s="38" t="n"/>
      <c r="L78" s="38" t="n"/>
      <c r="M78" s="38" t="n"/>
    </row>
    <row r="79" ht="17" customHeight="1">
      <c r="A79" s="87" t="inlineStr">
        <is>
          <t>Joelson</t>
        </is>
      </c>
      <c r="B79" s="56">
        <f>IF($A79="","",ROUND(SUMIF($D$49:$D$60,$A79,$F$49:$F$60),2))</f>
        <v/>
      </c>
      <c r="C79" s="38" t="n"/>
      <c r="D79" s="56">
        <f>IF($A79="","",ROUND(SUMIF($H$49:$H$60,$A79,$J$49:$J$60),2))</f>
        <v/>
      </c>
      <c r="E79" s="38" t="n"/>
      <c r="F79" s="56">
        <f>IF($A79="","",ROUND(SUMIF($L$49:$L$60,$A79,$N$49:$N$60),2))</f>
        <v/>
      </c>
      <c r="G79" s="38" t="n"/>
      <c r="H79" s="56">
        <f>IF($A79="","",IF($A79=$F$9,IF($D$65="",0,$D$65),0)+IF($A79=$H$66,IF($D$66="",0,$D$66),0))</f>
        <v/>
      </c>
      <c r="I79" s="38" t="n"/>
      <c r="J79" s="88">
        <f>IF($A79="","",ROUND($B79+$D79+$F79+$H79,2))</f>
        <v/>
      </c>
      <c r="K79" s="38" t="n"/>
      <c r="L79" s="38" t="n"/>
      <c r="M79" s="38" t="n"/>
    </row>
    <row r="80" ht="17" customHeight="1">
      <c r="A80" s="87" t="inlineStr">
        <is>
          <t>Davi</t>
        </is>
      </c>
      <c r="B80" s="56">
        <f>IF($A80="","",ROUND(SUMIF($D$49:$D$60,$A80,$F$49:$F$60),2))</f>
        <v/>
      </c>
      <c r="C80" s="38" t="n"/>
      <c r="D80" s="56">
        <f>IF($A80="","",ROUND(SUMIF($H$49:$H$60,$A80,$J$49:$J$60),2))</f>
        <v/>
      </c>
      <c r="E80" s="38" t="n"/>
      <c r="F80" s="56">
        <f>IF($A80="","",ROUND(SUMIF($L$49:$L$60,$A80,$N$49:$N$60),2))</f>
        <v/>
      </c>
      <c r="G80" s="38" t="n"/>
      <c r="H80" s="56">
        <f>IF($A80="","",IF($A80=$F$9,IF($D$65="",0,$D$65),0)+IF($A80=$H$66,IF($D$66="",0,$D$66),0))</f>
        <v/>
      </c>
      <c r="I80" s="38" t="n"/>
      <c r="J80" s="88">
        <f>IF($A80="","",ROUND($B80+$D80+$F80+$H80,2))</f>
        <v/>
      </c>
      <c r="K80" s="38" t="n"/>
      <c r="L80" s="38" t="n"/>
      <c r="M80" s="38" t="n"/>
    </row>
    <row r="81" ht="17" customHeight="1">
      <c r="A81" s="87" t="inlineStr">
        <is>
          <t>Jomar</t>
        </is>
      </c>
      <c r="B81" s="56">
        <f>IF($A81="","",ROUND(SUMIF($D$49:$D$60,$A81,$F$49:$F$60),2))</f>
        <v/>
      </c>
      <c r="C81" s="38" t="n"/>
      <c r="D81" s="56">
        <f>IF($A81="","",ROUND(SUMIF($H$49:$H$60,$A81,$J$49:$J$60),2))</f>
        <v/>
      </c>
      <c r="E81" s="38" t="n"/>
      <c r="F81" s="56">
        <f>IF($A81="","",ROUND(SUMIF($L$49:$L$60,$A81,$N$49:$N$60),2))</f>
        <v/>
      </c>
      <c r="G81" s="38" t="n"/>
      <c r="H81" s="56">
        <f>IF($A81="","",IF($A81=$F$9,IF($D$65="",0,$D$65),0)+IF($A81=$H$66,IF($D$66="",0,$D$66),0))</f>
        <v/>
      </c>
      <c r="I81" s="38" t="n"/>
      <c r="J81" s="88">
        <f>IF($A81="","",ROUND($B81+$D81+$F81+$H81,2))</f>
        <v/>
      </c>
      <c r="K81" s="38" t="n"/>
      <c r="L81" s="38" t="n"/>
      <c r="M81" s="38" t="n"/>
    </row>
    <row r="82" ht="17" customHeight="1">
      <c r="A82" s="87" t="inlineStr">
        <is>
          <t>Bruno</t>
        </is>
      </c>
      <c r="B82" s="56">
        <f>IF($A82="","",ROUND(SUMIF($D$49:$D$60,$A82,$F$49:$F$60),2))</f>
        <v/>
      </c>
      <c r="C82" s="38" t="n"/>
      <c r="D82" s="56">
        <f>IF($A82="","",ROUND(SUMIF($H$49:$H$60,$A82,$J$49:$J$60),2))</f>
        <v/>
      </c>
      <c r="E82" s="38" t="n"/>
      <c r="F82" s="56">
        <f>IF($A82="","",ROUND(SUMIF($L$49:$L$60,$A82,$N$49:$N$60),2))</f>
        <v/>
      </c>
      <c r="G82" s="38" t="n"/>
      <c r="H82" s="56">
        <f>IF($A82="","",IF($A82=$F$9,IF($D$65="",0,$D$65),0)+IF($A82=$H$66,IF($D$66="",0,$D$66),0))</f>
        <v/>
      </c>
      <c r="I82" s="38" t="n"/>
      <c r="J82" s="88">
        <f>IF($A82="","",ROUND($B82+$D82+$F82+$H82,2))</f>
        <v/>
      </c>
      <c r="K82" s="38" t="n"/>
      <c r="L82" s="38" t="n"/>
      <c r="M82" s="38" t="n"/>
    </row>
    <row r="83" ht="17" customHeight="1">
      <c r="A83" s="87" t="inlineStr">
        <is>
          <t>Wallace</t>
        </is>
      </c>
      <c r="B83" s="56">
        <f>IF($A83="","",ROUND(SUMIF($D$49:$D$60,$A83,$F$49:$F$60),2))</f>
        <v/>
      </c>
      <c r="C83" s="38" t="n"/>
      <c r="D83" s="56">
        <f>IF($A83="","",ROUND(SUMIF($H$49:$H$60,$A83,$J$49:$J$60),2))</f>
        <v/>
      </c>
      <c r="E83" s="38" t="n"/>
      <c r="F83" s="56">
        <f>IF($A83="","",ROUND(SUMIF($L$49:$L$60,$A83,$N$49:$N$60),2))</f>
        <v/>
      </c>
      <c r="G83" s="38" t="n"/>
      <c r="H83" s="56">
        <f>IF($A83="","",IF($A83=$F$9,IF($D$65="",0,$D$65),0)+IF($A83=$H$66,IF($D$66="",0,$D$66),0))</f>
        <v/>
      </c>
      <c r="I83" s="38" t="n"/>
      <c r="J83" s="88">
        <f>IF($A83="","",ROUND($B83+$D83+$F83+$H83,2))</f>
        <v/>
      </c>
      <c r="K83" s="38" t="n"/>
      <c r="L83" s="38" t="n"/>
      <c r="M83" s="38" t="n"/>
    </row>
    <row r="84" ht="17" customHeight="1">
      <c r="A84" s="87" t="inlineStr">
        <is>
          <t>Douglas</t>
        </is>
      </c>
      <c r="B84" s="56">
        <f>IF($A84="","",ROUND(SUMIF($D$49:$D$60,$A84,$F$49:$F$60),2))</f>
        <v/>
      </c>
      <c r="C84" s="38" t="n"/>
      <c r="D84" s="56">
        <f>IF($A84="","",ROUND(SUMIF($H$49:$H$60,$A84,$J$49:$J$60),2))</f>
        <v/>
      </c>
      <c r="E84" s="38" t="n"/>
      <c r="F84" s="56">
        <f>IF($A84="","",ROUND(SUMIF($L$49:$L$60,$A84,$N$49:$N$60),2))</f>
        <v/>
      </c>
      <c r="G84" s="38" t="n"/>
      <c r="H84" s="56">
        <f>IF($A84="","",IF($A84=$F$9,IF($D$65="",0,$D$65),0)+IF($A84=$H$66,IF($D$66="",0,$D$66),0))</f>
        <v/>
      </c>
      <c r="I84" s="38" t="n"/>
      <c r="J84" s="88">
        <f>IF($A84="","",ROUND($B84+$D84+$F84+$H84,2))</f>
        <v/>
      </c>
      <c r="K84" s="38" t="n"/>
      <c r="L84" s="38" t="n"/>
      <c r="M84" s="38" t="n"/>
    </row>
    <row r="85" ht="17" customHeight="1">
      <c r="A85" s="87" t="inlineStr">
        <is>
          <t>Terceiro / avulso</t>
        </is>
      </c>
      <c r="B85" s="56">
        <f>IF($A85="","",ROUND(SUMIF($D$49:$D$60,$A85,$F$49:$F$60),2))</f>
        <v/>
      </c>
      <c r="C85" s="38" t="n"/>
      <c r="D85" s="56">
        <f>IF($A85="","",ROUND(SUMIF($H$49:$H$60,$A85,$J$49:$J$60),2))</f>
        <v/>
      </c>
      <c r="E85" s="38" t="n"/>
      <c r="F85" s="56">
        <f>IF($A85="","",ROUND(SUMIF($L$49:$L$60,$A85,$N$49:$N$60),2))</f>
        <v/>
      </c>
      <c r="G85" s="38" t="n"/>
      <c r="H85" s="56">
        <f>IF($A85="","",IF($A85=$F$9,IF($D$65="",0,$D$65),0)+IF($A85=$H$66,IF($D$66="",0,$D$66),0))</f>
        <v/>
      </c>
      <c r="I85" s="38" t="n"/>
      <c r="J85" s="88">
        <f>IF($A85="","",ROUND($B85+$D85+$F85+$H85,2))</f>
        <v/>
      </c>
      <c r="K85" s="38" t="n"/>
      <c r="L85" s="38" t="n"/>
      <c r="M85" s="38" t="n"/>
    </row>
    <row r="86" ht="17" customHeight="1">
      <c r="A86" s="87" t="inlineStr">
        <is>
          <t>Lorrane</t>
        </is>
      </c>
      <c r="B86" s="56">
        <f>IF($A86="","",ROUND(SUMIF($D$49:$D$60,$A86,$F$49:$F$60),2))</f>
        <v/>
      </c>
      <c r="C86" s="38" t="n"/>
      <c r="D86" s="56">
        <f>IF($A86="","",ROUND(SUMIF($H$49:$H$60,$A86,$J$49:$J$60),2))</f>
        <v/>
      </c>
      <c r="E86" s="38" t="n"/>
      <c r="F86" s="56">
        <f>IF($A86="","",ROUND(SUMIF($L$49:$L$60,$A86,$N$49:$N$60),2))</f>
        <v/>
      </c>
      <c r="G86" s="38" t="n"/>
      <c r="H86" s="56">
        <f>IF($A86="","",IF($A86=$F$9,IF($D$65="",0,$D$65),0)+IF($A86=$H$66,IF($D$66="",0,$D$66),0))</f>
        <v/>
      </c>
      <c r="I86" s="38" t="n"/>
      <c r="J86" s="88">
        <f>IF($A86="","",ROUND($B86+$D86+$F86+$H86,2))</f>
        <v/>
      </c>
      <c r="K86" s="38" t="n"/>
      <c r="L86" s="38" t="n"/>
      <c r="M86" s="38" t="n"/>
    </row>
    <row r="87" ht="17" customHeight="1">
      <c r="A87" s="87" t="inlineStr">
        <is>
          <t>Lucas</t>
        </is>
      </c>
      <c r="B87" s="56">
        <f>IF($A87="","",ROUND(SUMIF($D$49:$D$60,$A87,$F$49:$F$60),2))</f>
        <v/>
      </c>
      <c r="C87" s="38" t="n"/>
      <c r="D87" s="56">
        <f>IF($A87="","",ROUND(SUMIF($H$49:$H$60,$A87,$J$49:$J$60),2))</f>
        <v/>
      </c>
      <c r="E87" s="38" t="n"/>
      <c r="F87" s="56">
        <f>IF($A87="","",ROUND(SUMIF($L$49:$L$60,$A87,$N$49:$N$60),2))</f>
        <v/>
      </c>
      <c r="G87" s="38" t="n"/>
      <c r="H87" s="56">
        <f>IF($A87="","",IF($A87=$F$9,IF($D$65="",0,$D$65),0)+IF($A87=$H$66,IF($D$66="",0,$D$66),0))</f>
        <v/>
      </c>
      <c r="I87" s="38" t="n"/>
      <c r="J87" s="88">
        <f>IF($A87="","",ROUND($B87+$D87+$F87+$H87,2))</f>
        <v/>
      </c>
      <c r="K87" s="38" t="n"/>
      <c r="L87" s="38" t="n"/>
      <c r="M87" s="38" t="n"/>
    </row>
    <row r="88" ht="17" customHeight="1">
      <c r="A88" s="87" t="inlineStr">
        <is>
          <t>Externo / avulso</t>
        </is>
      </c>
      <c r="B88" s="56">
        <f>IF($A88="","",ROUND(SUMIF($D$49:$D$60,$A88,$F$49:$F$60),2))</f>
        <v/>
      </c>
      <c r="C88" s="38" t="n"/>
      <c r="D88" s="56">
        <f>IF($A88="","",ROUND(SUMIF($H$49:$H$60,$A88,$J$49:$J$60),2))</f>
        <v/>
      </c>
      <c r="E88" s="38" t="n"/>
      <c r="F88" s="56">
        <f>IF($A88="","",ROUND(SUMIF($L$49:$L$60,$A88,$N$49:$N$60),2))</f>
        <v/>
      </c>
      <c r="G88" s="38" t="n"/>
      <c r="H88" s="56">
        <f>IF($A88="","",IF($A88=$F$9,IF($D$65="",0,$D$65),0)+IF($A88=$H$66,IF($D$66="",0,$D$66),0))</f>
        <v/>
      </c>
      <c r="I88" s="38" t="n"/>
      <c r="J88" s="88">
        <f>IF($A88="","",ROUND($B88+$D88+$F88+$H88,2))</f>
        <v/>
      </c>
      <c r="K88" s="38" t="n"/>
      <c r="L88" s="38" t="n"/>
      <c r="M88" s="38" t="n"/>
    </row>
    <row r="89" ht="17" customHeight="1">
      <c r="A89" s="87" t="inlineStr">
        <is>
          <t>Bruna</t>
        </is>
      </c>
      <c r="B89" s="56">
        <f>IF($A89="","",ROUND(SUMIF($D$49:$D$60,$A89,$F$49:$F$60),2))</f>
        <v/>
      </c>
      <c r="C89" s="38" t="n"/>
      <c r="D89" s="56">
        <f>IF($A89="","",ROUND(SUMIF($H$49:$H$60,$A89,$J$49:$J$60),2))</f>
        <v/>
      </c>
      <c r="E89" s="38" t="n"/>
      <c r="F89" s="56">
        <f>IF($A89="","",ROUND(SUMIF($L$49:$L$60,$A89,$N$49:$N$60),2))</f>
        <v/>
      </c>
      <c r="G89" s="38" t="n"/>
      <c r="H89" s="56">
        <f>IF($A89="","",IF($A89=$F$9,IF($D$65="",0,$D$65),0)+IF($A89=$H$66,IF($D$66="",0,$D$66),0))</f>
        <v/>
      </c>
      <c r="I89" s="38" t="n"/>
      <c r="J89" s="88">
        <f>IF($A89="","",ROUND($B89+$D89+$F89+$H89,2))</f>
        <v/>
      </c>
      <c r="K89" s="38" t="n"/>
      <c r="L89" s="38" t="n"/>
      <c r="M89" s="38" t="n"/>
    </row>
    <row r="90" ht="17" customHeight="1">
      <c r="A90" s="87" t="n"/>
      <c r="B90" s="56">
        <f>IF($A90="","",ROUND(SUMIF($D$49:$D$60,$A90,$F$49:$F$60),2))</f>
        <v/>
      </c>
      <c r="C90" s="38" t="n"/>
      <c r="D90" s="56">
        <f>IF($A90="","",ROUND(SUMIF($H$49:$H$60,$A90,$J$49:$J$60),2))</f>
        <v/>
      </c>
      <c r="E90" s="38" t="n"/>
      <c r="F90" s="56">
        <f>IF($A90="","",ROUND(SUMIF($L$49:$L$60,$A90,$N$49:$N$60),2))</f>
        <v/>
      </c>
      <c r="G90" s="38" t="n"/>
      <c r="H90" s="56">
        <f>IF($A90="","",IF($A90=$F$9,IF($D$65="",0,$D$65),0)+IF($A90=$H$66,IF($D$66="",0,$D$66),0))</f>
        <v/>
      </c>
      <c r="I90" s="38" t="n"/>
      <c r="J90" s="88">
        <f>IF($A90="","",ROUND($B90+$D90+$F90+$H90,2))</f>
        <v/>
      </c>
      <c r="K90" s="38" t="n"/>
      <c r="L90" s="38" t="n"/>
      <c r="M90" s="38" t="n"/>
    </row>
    <row r="91" ht="17" customHeight="1">
      <c r="A91" s="87" t="n"/>
      <c r="B91" s="56">
        <f>IF($A91="","",ROUND(SUMIF($D$49:$D$60,$A91,$F$49:$F$60),2))</f>
        <v/>
      </c>
      <c r="C91" s="38" t="n"/>
      <c r="D91" s="56">
        <f>IF($A91="","",ROUND(SUMIF($H$49:$H$60,$A91,$J$49:$J$60),2))</f>
        <v/>
      </c>
      <c r="E91" s="38" t="n"/>
      <c r="F91" s="56">
        <f>IF($A91="","",ROUND(SUMIF($L$49:$L$60,$A91,$N$49:$N$60),2))</f>
        <v/>
      </c>
      <c r="G91" s="38" t="n"/>
      <c r="H91" s="56">
        <f>IF($A91="","",IF($A91=$F$9,IF($D$65="",0,$D$65),0)+IF($A91=$H$66,IF($D$66="",0,$D$66),0))</f>
        <v/>
      </c>
      <c r="I91" s="38" t="n"/>
      <c r="J91" s="88">
        <f>IF($A91="","",ROUND($B91+$D91+$F91+$H91,2))</f>
        <v/>
      </c>
      <c r="K91" s="38" t="n"/>
      <c r="L91" s="38" t="n"/>
      <c r="M91" s="38" t="n"/>
    </row>
    <row r="92" ht="20" customHeight="1">
      <c r="A92" s="31" t="inlineStr">
        <is>
          <t>TOTAL</t>
        </is>
      </c>
      <c r="B92" s="60">
        <f>ROUND(SUM(B74:B91),2)</f>
        <v/>
      </c>
      <c r="C92" s="32" t="n"/>
      <c r="D92" s="60">
        <f>ROUND(SUM(D74:D91),2)</f>
        <v/>
      </c>
      <c r="E92" s="32" t="n"/>
      <c r="F92" s="60">
        <f>ROUND(SUM(F74:F91),2)</f>
        <v/>
      </c>
      <c r="G92" s="32" t="n"/>
      <c r="H92" s="60">
        <f>ROUND(SUM(H74:H91),2)</f>
        <v/>
      </c>
      <c r="I92" s="32" t="n"/>
      <c r="J92" s="60">
        <f>ROUND(SUM(J74:J91),2)</f>
        <v/>
      </c>
      <c r="K92" s="32" t="n"/>
      <c r="L92" s="32" t="n"/>
      <c r="M92" s="32" t="n"/>
    </row>
    <row r="93" ht="8" customHeight="1"/>
    <row r="94" ht="20" customHeight="1">
      <c r="A94" s="8" t="inlineStr">
        <is>
          <t xml:space="preserve">  6 · MATERIAL, TERCEIRIZADOS E LOGÍSTICA          o orçado você digita · o realizado vem sozinho do livro de lançamentos, lá no fim da ficha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</row>
    <row r="95" ht="30" customHeight="1">
      <c r="A95" s="19" t="inlineStr">
        <is>
          <t>Categoria</t>
        </is>
      </c>
      <c r="B95" s="19" t="inlineStr"/>
      <c r="C95" s="19" t="inlineStr">
        <is>
          <t>Orçado (R$)</t>
        </is>
      </c>
      <c r="D95" s="19" t="inlineStr">
        <is>
          <t>Realizado (R$)</t>
        </is>
      </c>
      <c r="E95" s="19" t="inlineStr">
        <is>
          <t>Desvio (R$)</t>
        </is>
      </c>
      <c r="F95" s="35" t="n"/>
      <c r="G95" s="19" t="inlineStr">
        <is>
          <t>Ainda a comprar</t>
        </is>
      </c>
      <c r="H95" s="19" t="inlineStr">
        <is>
          <t>Comprado, ainda a pagar</t>
        </is>
      </c>
      <c r="I95" s="35" t="n"/>
      <c r="J95" s="35" t="n"/>
      <c r="K95" s="35" t="n"/>
      <c r="L95" s="35" t="n"/>
      <c r="M95" s="35" t="n"/>
      <c r="N95" s="35" t="n"/>
      <c r="O95" s="35" t="n"/>
    </row>
    <row r="96" ht="17" customHeight="1">
      <c r="A96" s="36" t="inlineStr">
        <is>
          <t>MDF e MDP</t>
        </is>
      </c>
      <c r="B96" s="37" t="n"/>
      <c r="C96" s="71" t="n"/>
      <c r="D96" s="56">
        <f>ROUND(SUMIFS($E$134:$E$193,$B$134:$B$193,$A96,$I$134:$I$193,"Comprado (a pagar)")+SUMIFS($E$134:$E$193,$B$134:$B$193,$A96,$I$134:$I$193,"Pago"),2)</f>
        <v/>
      </c>
      <c r="E96" s="56">
        <f>IF($C96="","",ROUND($D96-$C96,2))</f>
        <v/>
      </c>
      <c r="F96" s="38" t="n"/>
      <c r="G96" s="89">
        <f>ROUND(SUMIFS($E$134:$E$193,$B$134:$B$193,$A96,$I$134:$I$193,"A comprar"),2)</f>
        <v/>
      </c>
      <c r="H96" s="90">
        <f>ROUND(SUMIFS($E$134:$E$193,$B$134:$B$193,$A96,$I$134:$I$193,"Comprado (a pagar)"),2)</f>
        <v/>
      </c>
      <c r="I96" s="38" t="n"/>
      <c r="J96" s="38" t="n"/>
      <c r="K96" s="38" t="n"/>
      <c r="L96" s="38" t="n"/>
      <c r="M96" s="38" t="n"/>
      <c r="N96" s="38" t="n"/>
      <c r="O96" s="38" t="n"/>
    </row>
    <row r="97" ht="17" customHeight="1">
      <c r="A97" s="36" t="inlineStr">
        <is>
          <t>Fita de borda</t>
        </is>
      </c>
      <c r="B97" s="37" t="n"/>
      <c r="C97" s="71" t="n"/>
      <c r="D97" s="56">
        <f>ROUND(SUMIFS($E$134:$E$193,$B$134:$B$193,$A97,$I$134:$I$193,"Comprado (a pagar)")+SUMIFS($E$134:$E$193,$B$134:$B$193,$A97,$I$134:$I$193,"Pago"),2)</f>
        <v/>
      </c>
      <c r="E97" s="56">
        <f>IF($C97="","",ROUND($D97-$C97,2))</f>
        <v/>
      </c>
      <c r="F97" s="38" t="n"/>
      <c r="G97" s="89">
        <f>ROUND(SUMIFS($E$134:$E$193,$B$134:$B$193,$A97,$I$134:$I$193,"A comprar"),2)</f>
        <v/>
      </c>
      <c r="H97" s="90">
        <f>ROUND(SUMIFS($E$134:$E$193,$B$134:$B$193,$A97,$I$134:$I$193,"Comprado (a pagar)"),2)</f>
        <v/>
      </c>
      <c r="I97" s="38" t="n"/>
      <c r="J97" s="38" t="n"/>
      <c r="K97" s="38" t="n"/>
      <c r="L97" s="38" t="n"/>
      <c r="M97" s="38" t="n"/>
      <c r="N97" s="38" t="n"/>
      <c r="O97" s="38" t="n"/>
    </row>
    <row r="98" ht="17" customHeight="1">
      <c r="A98" s="36" t="inlineStr">
        <is>
          <t>Ferragens</t>
        </is>
      </c>
      <c r="B98" s="37" t="n"/>
      <c r="C98" s="71" t="n"/>
      <c r="D98" s="56">
        <f>ROUND(SUMIFS($E$134:$E$193,$B$134:$B$193,$A98,$I$134:$I$193,"Comprado (a pagar)")+SUMIFS($E$134:$E$193,$B$134:$B$193,$A98,$I$134:$I$193,"Pago"),2)</f>
        <v/>
      </c>
      <c r="E98" s="56">
        <f>IF($C98="","",ROUND($D98-$C98,2))</f>
        <v/>
      </c>
      <c r="F98" s="38" t="n"/>
      <c r="G98" s="89">
        <f>ROUND(SUMIFS($E$134:$E$193,$B$134:$B$193,$A98,$I$134:$I$193,"A comprar"),2)</f>
        <v/>
      </c>
      <c r="H98" s="90">
        <f>ROUND(SUMIFS($E$134:$E$193,$B$134:$B$193,$A98,$I$134:$I$193,"Comprado (a pagar)"),2)</f>
        <v/>
      </c>
      <c r="I98" s="38" t="n"/>
      <c r="J98" s="38" t="n"/>
      <c r="K98" s="38" t="n"/>
      <c r="L98" s="38" t="n"/>
      <c r="M98" s="38" t="n"/>
      <c r="N98" s="38" t="n"/>
      <c r="O98" s="38" t="n"/>
    </row>
    <row r="99" ht="17" customHeight="1">
      <c r="A99" s="36" t="inlineStr">
        <is>
          <t>Vidros e espelhos</t>
        </is>
      </c>
      <c r="B99" s="37" t="n"/>
      <c r="C99" s="71" t="n"/>
      <c r="D99" s="56">
        <f>ROUND(SUMIFS($E$134:$E$193,$B$134:$B$193,$A99,$I$134:$I$193,"Comprado (a pagar)")+SUMIFS($E$134:$E$193,$B$134:$B$193,$A99,$I$134:$I$193,"Pago"),2)</f>
        <v/>
      </c>
      <c r="E99" s="56">
        <f>IF($C99="","",ROUND($D99-$C99,2))</f>
        <v/>
      </c>
      <c r="F99" s="38" t="n"/>
      <c r="G99" s="89">
        <f>ROUND(SUMIFS($E$134:$E$193,$B$134:$B$193,$A99,$I$134:$I$193,"A comprar"),2)</f>
        <v/>
      </c>
      <c r="H99" s="90">
        <f>ROUND(SUMIFS($E$134:$E$193,$B$134:$B$193,$A99,$I$134:$I$193,"Comprado (a pagar)"),2)</f>
        <v/>
      </c>
      <c r="I99" s="38" t="n"/>
      <c r="J99" s="38" t="n"/>
      <c r="K99" s="38" t="n"/>
      <c r="L99" s="38" t="n"/>
      <c r="M99" s="38" t="n"/>
      <c r="N99" s="38" t="n"/>
      <c r="O99" s="38" t="n"/>
    </row>
    <row r="100" ht="17" customHeight="1">
      <c r="A100" s="36" t="inlineStr">
        <is>
          <t>Esquadrias</t>
        </is>
      </c>
      <c r="B100" s="37" t="n"/>
      <c r="C100" s="71" t="n"/>
      <c r="D100" s="56">
        <f>ROUND(SUMIFS($E$134:$E$193,$B$134:$B$193,$A100,$I$134:$I$193,"Comprado (a pagar)")+SUMIFS($E$134:$E$193,$B$134:$B$193,$A100,$I$134:$I$193,"Pago"),2)</f>
        <v/>
      </c>
      <c r="E100" s="56">
        <f>IF($C100="","",ROUND($D100-$C100,2))</f>
        <v/>
      </c>
      <c r="F100" s="38" t="n"/>
      <c r="G100" s="89">
        <f>ROUND(SUMIFS($E$134:$E$193,$B$134:$B$193,$A100,$I$134:$I$193,"A comprar"),2)</f>
        <v/>
      </c>
      <c r="H100" s="90">
        <f>ROUND(SUMIFS($E$134:$E$193,$B$134:$B$193,$A100,$I$134:$I$193,"Comprado (a pagar)"),2)</f>
        <v/>
      </c>
      <c r="I100" s="38" t="n"/>
      <c r="J100" s="38" t="n"/>
      <c r="K100" s="38" t="n"/>
      <c r="L100" s="38" t="n"/>
      <c r="M100" s="38" t="n"/>
      <c r="N100" s="38" t="n"/>
      <c r="O100" s="38" t="n"/>
    </row>
    <row r="101" ht="17" customHeight="1">
      <c r="A101" s="36" t="inlineStr">
        <is>
          <t>Lâmina natural</t>
        </is>
      </c>
      <c r="B101" s="37" t="n"/>
      <c r="C101" s="71" t="n"/>
      <c r="D101" s="56">
        <f>ROUND(SUMIFS($E$134:$E$193,$B$134:$B$193,$A101,$I$134:$I$193,"Comprado (a pagar)")+SUMIFS($E$134:$E$193,$B$134:$B$193,$A101,$I$134:$I$193,"Pago"),2)</f>
        <v/>
      </c>
      <c r="E101" s="56">
        <f>IF($C101="","",ROUND($D101-$C101,2))</f>
        <v/>
      </c>
      <c r="F101" s="38" t="n"/>
      <c r="G101" s="89">
        <f>ROUND(SUMIFS($E$134:$E$193,$B$134:$B$193,$A101,$I$134:$I$193,"A comprar"),2)</f>
        <v/>
      </c>
      <c r="H101" s="90">
        <f>ROUND(SUMIFS($E$134:$E$193,$B$134:$B$193,$A101,$I$134:$I$193,"Comprado (a pagar)"),2)</f>
        <v/>
      </c>
      <c r="I101" s="38" t="n"/>
      <c r="J101" s="38" t="n"/>
      <c r="K101" s="38" t="n"/>
      <c r="L101" s="38" t="n"/>
      <c r="M101" s="38" t="n"/>
      <c r="N101" s="38" t="n"/>
      <c r="O101" s="38" t="n"/>
    </row>
    <row r="102" ht="17" customHeight="1">
      <c r="A102" s="36" t="inlineStr">
        <is>
          <t>Consumíveis</t>
        </is>
      </c>
      <c r="B102" s="37" t="n"/>
      <c r="C102" s="71" t="n"/>
      <c r="D102" s="56">
        <f>ROUND(SUMIFS($E$134:$E$193,$B$134:$B$193,$A102,$I$134:$I$193,"Comprado (a pagar)")+SUMIFS($E$134:$E$193,$B$134:$B$193,$A102,$I$134:$I$193,"Pago"),2)</f>
        <v/>
      </c>
      <c r="E102" s="56">
        <f>IF($C102="","",ROUND($D102-$C102,2))</f>
        <v/>
      </c>
      <c r="F102" s="38" t="n"/>
      <c r="G102" s="89">
        <f>ROUND(SUMIFS($E$134:$E$193,$B$134:$B$193,$A102,$I$134:$I$193,"A comprar"),2)</f>
        <v/>
      </c>
      <c r="H102" s="90">
        <f>ROUND(SUMIFS($E$134:$E$193,$B$134:$B$193,$A102,$I$134:$I$193,"Comprado (a pagar)"),2)</f>
        <v/>
      </c>
      <c r="I102" s="38" t="n"/>
      <c r="J102" s="38" t="n"/>
      <c r="K102" s="38" t="n"/>
      <c r="L102" s="38" t="n"/>
      <c r="M102" s="38" t="n"/>
      <c r="N102" s="38" t="n"/>
      <c r="O102" s="38" t="n"/>
    </row>
    <row r="103" ht="20" customHeight="1">
      <c r="A103" s="31" t="inlineStr">
        <is>
          <t>(=) SUBTOTAL · MATERIAL</t>
        </is>
      </c>
      <c r="B103" s="32" t="n"/>
      <c r="C103" s="60">
        <f>ROUND(SUM(C96:C102),2)</f>
        <v/>
      </c>
      <c r="D103" s="60">
        <f>ROUND(SUM(D96:D102),2)</f>
        <v/>
      </c>
      <c r="E103" s="60">
        <f>ROUND(SUM(E96:E102),2)</f>
        <v/>
      </c>
      <c r="F103" s="32" t="n"/>
      <c r="G103" s="60">
        <f>ROUND(SUM(G96:G102),2)</f>
        <v/>
      </c>
      <c r="H103" s="60">
        <f>ROUND(SUM(H96:H102),2)</f>
        <v/>
      </c>
      <c r="I103" s="32" t="n"/>
      <c r="J103" s="32" t="n"/>
      <c r="K103" s="32" t="n"/>
      <c r="L103" s="32" t="n"/>
      <c r="M103" s="32" t="n"/>
      <c r="N103" s="32" t="n"/>
      <c r="O103" s="32" t="n"/>
    </row>
    <row r="104" ht="17" customHeight="1">
      <c r="A104" s="36" t="inlineStr">
        <is>
          <t>Acabamento</t>
        </is>
      </c>
      <c r="B104" s="37" t="n"/>
      <c r="C104" s="71" t="n"/>
      <c r="D104" s="56">
        <f>ROUND(SUMIFS($E$134:$E$193,$B$134:$B$193,$A104,$I$134:$I$193,"Comprado (a pagar)")+SUMIFS($E$134:$E$193,$B$134:$B$193,$A104,$I$134:$I$193,"Pago"),2)</f>
        <v/>
      </c>
      <c r="E104" s="56">
        <f>IF($C104="","",ROUND($D104-$C104,2))</f>
        <v/>
      </c>
      <c r="F104" s="38" t="n"/>
      <c r="G104" s="89">
        <f>ROUND(SUMIFS($E$134:$E$193,$B$134:$B$193,$A104,$I$134:$I$193,"A comprar"),2)</f>
        <v/>
      </c>
      <c r="H104" s="90">
        <f>ROUND(SUMIFS($E$134:$E$193,$B$134:$B$193,$A104,$I$134:$I$193,"Comprado (a pagar)"),2)</f>
        <v/>
      </c>
      <c r="I104" s="38" t="n"/>
      <c r="J104" s="38" t="n"/>
      <c r="K104" s="38" t="n"/>
      <c r="L104" s="38" t="n"/>
      <c r="M104" s="38" t="n"/>
      <c r="N104" s="38" t="n"/>
      <c r="O104" s="38" t="n"/>
    </row>
    <row r="105" ht="17" customHeight="1">
      <c r="A105" s="36" t="inlineStr">
        <is>
          <t>Serralheria</t>
        </is>
      </c>
      <c r="B105" s="37" t="n"/>
      <c r="C105" s="71" t="n"/>
      <c r="D105" s="56">
        <f>ROUND(SUMIFS($E$134:$E$193,$B$134:$B$193,$A105,$I$134:$I$193,"Comprado (a pagar)")+SUMIFS($E$134:$E$193,$B$134:$B$193,$A105,$I$134:$I$193,"Pago"),2)</f>
        <v/>
      </c>
      <c r="E105" s="56">
        <f>IF($C105="","",ROUND($D105-$C105,2))</f>
        <v/>
      </c>
      <c r="F105" s="38" t="n"/>
      <c r="G105" s="89">
        <f>ROUND(SUMIFS($E$134:$E$193,$B$134:$B$193,$A105,$I$134:$I$193,"A comprar"),2)</f>
        <v/>
      </c>
      <c r="H105" s="90">
        <f>ROUND(SUMIFS($E$134:$E$193,$B$134:$B$193,$A105,$I$134:$I$193,"Comprado (a pagar)"),2)</f>
        <v/>
      </c>
      <c r="I105" s="38" t="n"/>
      <c r="J105" s="38" t="n"/>
      <c r="K105" s="38" t="n"/>
      <c r="L105" s="38" t="n"/>
      <c r="M105" s="38" t="n"/>
      <c r="N105" s="38" t="n"/>
      <c r="O105" s="38" t="n"/>
    </row>
    <row r="106" ht="17" customHeight="1">
      <c r="A106" s="36" t="inlineStr">
        <is>
          <t>Vidraceiro</t>
        </is>
      </c>
      <c r="B106" s="37" t="n"/>
      <c r="C106" s="71" t="n"/>
      <c r="D106" s="56">
        <f>ROUND(SUMIFS($E$134:$E$193,$B$134:$B$193,$A106,$I$134:$I$193,"Comprado (a pagar)")+SUMIFS($E$134:$E$193,$B$134:$B$193,$A106,$I$134:$I$193,"Pago"),2)</f>
        <v/>
      </c>
      <c r="E106" s="56">
        <f>IF($C106="","",ROUND($D106-$C106,2))</f>
        <v/>
      </c>
      <c r="F106" s="38" t="n"/>
      <c r="G106" s="89">
        <f>ROUND(SUMIFS($E$134:$E$193,$B$134:$B$193,$A106,$I$134:$I$193,"A comprar"),2)</f>
        <v/>
      </c>
      <c r="H106" s="90">
        <f>ROUND(SUMIFS($E$134:$E$193,$B$134:$B$193,$A106,$I$134:$I$193,"Comprado (a pagar)"),2)</f>
        <v/>
      </c>
      <c r="I106" s="38" t="n"/>
      <c r="J106" s="38" t="n"/>
      <c r="K106" s="38" t="n"/>
      <c r="L106" s="38" t="n"/>
      <c r="M106" s="38" t="n"/>
      <c r="N106" s="38" t="n"/>
      <c r="O106" s="38" t="n"/>
    </row>
    <row r="107" ht="17" customHeight="1">
      <c r="A107" s="36" t="inlineStr">
        <is>
          <t>Outro terceirizado</t>
        </is>
      </c>
      <c r="B107" s="37" t="n"/>
      <c r="C107" s="71" t="n"/>
      <c r="D107" s="56">
        <f>ROUND(SUMIFS($E$134:$E$193,$B$134:$B$193,$A107,$I$134:$I$193,"Comprado (a pagar)")+SUMIFS($E$134:$E$193,$B$134:$B$193,$A107,$I$134:$I$193,"Pago"),2)</f>
        <v/>
      </c>
      <c r="E107" s="56">
        <f>IF($C107="","",ROUND($D107-$C107,2))</f>
        <v/>
      </c>
      <c r="F107" s="38" t="n"/>
      <c r="G107" s="89">
        <f>ROUND(SUMIFS($E$134:$E$193,$B$134:$B$193,$A107,$I$134:$I$193,"A comprar"),2)</f>
        <v/>
      </c>
      <c r="H107" s="90">
        <f>ROUND(SUMIFS($E$134:$E$193,$B$134:$B$193,$A107,$I$134:$I$193,"Comprado (a pagar)"),2)</f>
        <v/>
      </c>
      <c r="I107" s="38" t="n"/>
      <c r="J107" s="38" t="n"/>
      <c r="K107" s="38" t="n"/>
      <c r="L107" s="38" t="n"/>
      <c r="M107" s="38" t="n"/>
      <c r="N107" s="38" t="n"/>
      <c r="O107" s="38" t="n"/>
    </row>
    <row r="108" ht="20" customHeight="1">
      <c r="A108" s="31" t="inlineStr">
        <is>
          <t>(=) SUBTOTAL · SERVIÇOS TERCEIRIZADOS</t>
        </is>
      </c>
      <c r="B108" s="32" t="n"/>
      <c r="C108" s="60">
        <f>ROUND(SUM(C104:C107),2)</f>
        <v/>
      </c>
      <c r="D108" s="60">
        <f>ROUND(SUM(D104:D107),2)</f>
        <v/>
      </c>
      <c r="E108" s="60">
        <f>ROUND(SUM(E104:E107),2)</f>
        <v/>
      </c>
      <c r="F108" s="32" t="n"/>
      <c r="G108" s="60">
        <f>ROUND(SUM(G104:G107),2)</f>
        <v/>
      </c>
      <c r="H108" s="60">
        <f>ROUND(SUM(H104:H107),2)</f>
        <v/>
      </c>
      <c r="I108" s="32" t="n"/>
      <c r="J108" s="32" t="n"/>
      <c r="K108" s="32" t="n"/>
      <c r="L108" s="32" t="n"/>
      <c r="M108" s="32" t="n"/>
      <c r="N108" s="32" t="n"/>
      <c r="O108" s="32" t="n"/>
    </row>
    <row r="109" ht="17" customHeight="1">
      <c r="A109" s="36" t="inlineStr">
        <is>
          <t>Uber e aplicativo</t>
        </is>
      </c>
      <c r="B109" s="37" t="n"/>
      <c r="C109" s="71" t="n"/>
      <c r="D109" s="56">
        <f>ROUND(SUMIFS($E$134:$E$193,$B$134:$B$193,$A109,$I$134:$I$193,"Comprado (a pagar)")+SUMIFS($E$134:$E$193,$B$134:$B$193,$A109,$I$134:$I$193,"Pago"),2)</f>
        <v/>
      </c>
      <c r="E109" s="56">
        <f>IF($C109="","",ROUND($D109-$C109,2))</f>
        <v/>
      </c>
      <c r="F109" s="38" t="n"/>
      <c r="G109" s="89">
        <f>ROUND(SUMIFS($E$134:$E$193,$B$134:$B$193,$A109,$I$134:$I$193,"A comprar"),2)</f>
        <v/>
      </c>
      <c r="H109" s="90">
        <f>ROUND(SUMIFS($E$134:$E$193,$B$134:$B$193,$A109,$I$134:$I$193,"Comprado (a pagar)"),2)</f>
        <v/>
      </c>
      <c r="I109" s="38" t="n"/>
      <c r="J109" s="38" t="n"/>
      <c r="K109" s="38" t="n"/>
      <c r="L109" s="38" t="n"/>
      <c r="M109" s="38" t="n"/>
      <c r="N109" s="38" t="n"/>
      <c r="O109" s="38" t="n"/>
    </row>
    <row r="110" ht="17" customHeight="1">
      <c r="A110" s="36" t="inlineStr">
        <is>
          <t>Carreto e entrega</t>
        </is>
      </c>
      <c r="B110" s="37" t="n"/>
      <c r="C110" s="71" t="n"/>
      <c r="D110" s="56">
        <f>ROUND(SUMIFS($E$134:$E$193,$B$134:$B$193,$A110,$I$134:$I$193,"Comprado (a pagar)")+SUMIFS($E$134:$E$193,$B$134:$B$193,$A110,$I$134:$I$193,"Pago"),2)</f>
        <v/>
      </c>
      <c r="E110" s="56">
        <f>IF($C110="","",ROUND($D110-$C110,2))</f>
        <v/>
      </c>
      <c r="F110" s="38" t="n"/>
      <c r="G110" s="89">
        <f>ROUND(SUMIFS($E$134:$E$193,$B$134:$B$193,$A110,$I$134:$I$193,"A comprar"),2)</f>
        <v/>
      </c>
      <c r="H110" s="90">
        <f>ROUND(SUMIFS($E$134:$E$193,$B$134:$B$193,$A110,$I$134:$I$193,"Comprado (a pagar)"),2)</f>
        <v/>
      </c>
      <c r="I110" s="38" t="n"/>
      <c r="J110" s="38" t="n"/>
      <c r="K110" s="38" t="n"/>
      <c r="L110" s="38" t="n"/>
      <c r="M110" s="38" t="n"/>
      <c r="N110" s="38" t="n"/>
      <c r="O110" s="38" t="n"/>
    </row>
    <row r="111" ht="17" customHeight="1">
      <c r="A111" s="36" t="inlineStr">
        <is>
          <t>Deslocamento da equipe</t>
        </is>
      </c>
      <c r="B111" s="37" t="n"/>
      <c r="C111" s="71" t="n"/>
      <c r="D111" s="56">
        <f>ROUND(SUMIFS($E$134:$E$193,$B$134:$B$193,$A111,$I$134:$I$193,"Comprado (a pagar)")+SUMIFS($E$134:$E$193,$B$134:$B$193,$A111,$I$134:$I$193,"Pago"),2)</f>
        <v/>
      </c>
      <c r="E111" s="56">
        <f>IF($C111="","",ROUND($D111-$C111,2))</f>
        <v/>
      </c>
      <c r="F111" s="38" t="n"/>
      <c r="G111" s="89">
        <f>ROUND(SUMIFS($E$134:$E$193,$B$134:$B$193,$A111,$I$134:$I$193,"A comprar"),2)</f>
        <v/>
      </c>
      <c r="H111" s="90">
        <f>ROUND(SUMIFS($E$134:$E$193,$B$134:$B$193,$A111,$I$134:$I$193,"Comprado (a pagar)"),2)</f>
        <v/>
      </c>
      <c r="I111" s="38" t="n"/>
      <c r="J111" s="38" t="n"/>
      <c r="K111" s="38" t="n"/>
      <c r="L111" s="38" t="n"/>
      <c r="M111" s="38" t="n"/>
      <c r="N111" s="38" t="n"/>
      <c r="O111" s="38" t="n"/>
    </row>
    <row r="112" ht="17" customHeight="1">
      <c r="A112" s="36" t="inlineStr">
        <is>
          <t>Frete de material</t>
        </is>
      </c>
      <c r="B112" s="37" t="n"/>
      <c r="C112" s="71" t="n"/>
      <c r="D112" s="56">
        <f>ROUND(SUMIFS($E$134:$E$193,$B$134:$B$193,$A112,$I$134:$I$193,"Comprado (a pagar)")+SUMIFS($E$134:$E$193,$B$134:$B$193,$A112,$I$134:$I$193,"Pago"),2)</f>
        <v/>
      </c>
      <c r="E112" s="56">
        <f>IF($C112="","",ROUND($D112-$C112,2))</f>
        <v/>
      </c>
      <c r="F112" s="38" t="n"/>
      <c r="G112" s="89">
        <f>ROUND(SUMIFS($E$134:$E$193,$B$134:$B$193,$A112,$I$134:$I$193,"A comprar"),2)</f>
        <v/>
      </c>
      <c r="H112" s="90">
        <f>ROUND(SUMIFS($E$134:$E$193,$B$134:$B$193,$A112,$I$134:$I$193,"Comprado (a pagar)"),2)</f>
        <v/>
      </c>
      <c r="I112" s="38" t="n"/>
      <c r="J112" s="38" t="n"/>
      <c r="K112" s="38" t="n"/>
      <c r="L112" s="38" t="n"/>
      <c r="M112" s="38" t="n"/>
      <c r="N112" s="38" t="n"/>
      <c r="O112" s="38" t="n"/>
    </row>
    <row r="113" ht="17" customHeight="1">
      <c r="A113" s="36" t="inlineStr">
        <is>
          <t>Estacionamento e pedágio</t>
        </is>
      </c>
      <c r="B113" s="37" t="n"/>
      <c r="C113" s="71" t="n"/>
      <c r="D113" s="56">
        <f>ROUND(SUMIFS($E$134:$E$193,$B$134:$B$193,$A113,$I$134:$I$193,"Comprado (a pagar)")+SUMIFS($E$134:$E$193,$B$134:$B$193,$A113,$I$134:$I$193,"Pago"),2)</f>
        <v/>
      </c>
      <c r="E113" s="56">
        <f>IF($C113="","",ROUND($D113-$C113,2))</f>
        <v/>
      </c>
      <c r="F113" s="38" t="n"/>
      <c r="G113" s="89">
        <f>ROUND(SUMIFS($E$134:$E$193,$B$134:$B$193,$A113,$I$134:$I$193,"A comprar"),2)</f>
        <v/>
      </c>
      <c r="H113" s="90">
        <f>ROUND(SUMIFS($E$134:$E$193,$B$134:$B$193,$A113,$I$134:$I$193,"Comprado (a pagar)"),2)</f>
        <v/>
      </c>
      <c r="I113" s="38" t="n"/>
      <c r="J113" s="38" t="n"/>
      <c r="K113" s="38" t="n"/>
      <c r="L113" s="38" t="n"/>
      <c r="M113" s="38" t="n"/>
      <c r="N113" s="38" t="n"/>
      <c r="O113" s="38" t="n"/>
    </row>
    <row r="114" ht="20" customHeight="1">
      <c r="A114" s="31" t="inlineStr">
        <is>
          <t>(=) SUBTOTAL · LOGÍSTICA</t>
        </is>
      </c>
      <c r="B114" s="32" t="n"/>
      <c r="C114" s="60">
        <f>ROUND(SUM(C109:C113),2)</f>
        <v/>
      </c>
      <c r="D114" s="60">
        <f>ROUND(SUM(D109:D113),2)</f>
        <v/>
      </c>
      <c r="E114" s="60">
        <f>ROUND(SUM(E109:E113),2)</f>
        <v/>
      </c>
      <c r="F114" s="32" t="n"/>
      <c r="G114" s="60">
        <f>ROUND(SUM(G109:G113),2)</f>
        <v/>
      </c>
      <c r="H114" s="60">
        <f>ROUND(SUM(H109:H113),2)</f>
        <v/>
      </c>
      <c r="I114" s="32" t="n"/>
      <c r="J114" s="32" t="n"/>
      <c r="K114" s="32" t="n"/>
      <c r="L114" s="32" t="n"/>
      <c r="M114" s="32" t="n"/>
      <c r="N114" s="32" t="n"/>
      <c r="O114" s="32" t="n"/>
    </row>
    <row r="115" ht="8" customHeight="1"/>
    <row r="116" ht="20" customHeight="1">
      <c r="A116" s="8" t="inlineStr">
        <is>
          <t xml:space="preserve">  7 · RETRABALHO          o que aconteceu, por que aconteceu e quanto custou — é aqui que o orçamento aprende</t>
        </is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</row>
    <row r="117" ht="26" customHeight="1">
      <c r="A117" s="19" t="inlineStr">
        <is>
          <t>O que aconteceu</t>
        </is>
      </c>
      <c r="B117" s="19" t="inlineStr">
        <is>
          <t>Causa</t>
        </is>
      </c>
      <c r="C117" s="35" t="n"/>
      <c r="D117" s="35" t="n"/>
      <c r="E117" s="19" t="inlineStr">
        <is>
          <t>Custo estimado (R$)</t>
        </is>
      </c>
      <c r="F117" s="35" t="n"/>
      <c r="G117" s="19" t="inlineStr">
        <is>
          <t>Providência / responsável</t>
        </is>
      </c>
      <c r="H117" s="35" t="n"/>
      <c r="I117" s="35" t="n"/>
      <c r="J117" s="35" t="n"/>
      <c r="K117" s="35" t="n"/>
      <c r="L117" s="35" t="n"/>
      <c r="M117" s="35" t="n"/>
      <c r="N117" s="35" t="n"/>
      <c r="O117" s="35" t="n"/>
    </row>
    <row r="118" ht="18" customHeight="1">
      <c r="A118" s="83" t="n"/>
      <c r="B118" s="83" t="n"/>
      <c r="C118" s="46" t="n"/>
      <c r="D118" s="46" t="n"/>
      <c r="E118" s="91" t="n"/>
      <c r="F118" s="46" t="n"/>
      <c r="G118" s="73" t="n"/>
      <c r="H118" s="46" t="n"/>
      <c r="I118" s="46" t="n"/>
      <c r="J118" s="46" t="n"/>
      <c r="K118" s="46" t="n"/>
      <c r="L118" s="46" t="n"/>
      <c r="M118" s="46" t="n"/>
      <c r="N118" s="46" t="n"/>
      <c r="O118" s="46" t="n"/>
    </row>
    <row r="119" ht="18" customHeight="1">
      <c r="A119" s="83" t="n"/>
      <c r="B119" s="83" t="n"/>
      <c r="C119" s="46" t="n"/>
      <c r="D119" s="46" t="n"/>
      <c r="E119" s="91" t="n"/>
      <c r="F119" s="46" t="n"/>
      <c r="G119" s="73" t="n"/>
      <c r="H119" s="46" t="n"/>
      <c r="I119" s="46" t="n"/>
      <c r="J119" s="46" t="n"/>
      <c r="K119" s="46" t="n"/>
      <c r="L119" s="46" t="n"/>
      <c r="M119" s="46" t="n"/>
      <c r="N119" s="46" t="n"/>
      <c r="O119" s="46" t="n"/>
    </row>
    <row r="120" ht="18" customHeight="1">
      <c r="A120" s="83" t="n"/>
      <c r="B120" s="83" t="n"/>
      <c r="C120" s="46" t="n"/>
      <c r="D120" s="46" t="n"/>
      <c r="E120" s="91" t="n"/>
      <c r="F120" s="46" t="n"/>
      <c r="G120" s="73" t="n"/>
      <c r="H120" s="46" t="n"/>
      <c r="I120" s="46" t="n"/>
      <c r="J120" s="46" t="n"/>
      <c r="K120" s="46" t="n"/>
      <c r="L120" s="46" t="n"/>
      <c r="M120" s="46" t="n"/>
      <c r="N120" s="46" t="n"/>
      <c r="O120" s="46" t="n"/>
    </row>
    <row r="121" ht="18" customHeight="1">
      <c r="A121" s="83" t="n"/>
      <c r="B121" s="83" t="n"/>
      <c r="C121" s="46" t="n"/>
      <c r="D121" s="46" t="n"/>
      <c r="E121" s="91" t="n"/>
      <c r="F121" s="46" t="n"/>
      <c r="G121" s="73" t="n"/>
      <c r="H121" s="46" t="n"/>
      <c r="I121" s="46" t="n"/>
      <c r="J121" s="46" t="n"/>
      <c r="K121" s="46" t="n"/>
      <c r="L121" s="46" t="n"/>
      <c r="M121" s="46" t="n"/>
      <c r="N121" s="46" t="n"/>
      <c r="O121" s="46" t="n"/>
    </row>
    <row r="122" ht="18" customHeight="1">
      <c r="A122" s="83" t="n"/>
      <c r="B122" s="83" t="n"/>
      <c r="C122" s="46" t="n"/>
      <c r="D122" s="46" t="n"/>
      <c r="E122" s="91" t="n"/>
      <c r="F122" s="46" t="n"/>
      <c r="G122" s="73" t="n"/>
      <c r="H122" s="46" t="n"/>
      <c r="I122" s="46" t="n"/>
      <c r="J122" s="46" t="n"/>
      <c r="K122" s="46" t="n"/>
      <c r="L122" s="46" t="n"/>
      <c r="M122" s="46" t="n"/>
      <c r="N122" s="46" t="n"/>
      <c r="O122" s="46" t="n"/>
    </row>
    <row r="123" ht="18" customHeight="1">
      <c r="A123" s="83" t="n"/>
      <c r="B123" s="83" t="n"/>
      <c r="C123" s="46" t="n"/>
      <c r="D123" s="46" t="n"/>
      <c r="E123" s="91" t="n"/>
      <c r="F123" s="46" t="n"/>
      <c r="G123" s="73" t="n"/>
      <c r="H123" s="46" t="n"/>
      <c r="I123" s="46" t="n"/>
      <c r="J123" s="46" t="n"/>
      <c r="K123" s="46" t="n"/>
      <c r="L123" s="46" t="n"/>
      <c r="M123" s="46" t="n"/>
      <c r="N123" s="46" t="n"/>
      <c r="O123" s="46" t="n"/>
    </row>
    <row r="124" ht="18" customHeight="1">
      <c r="A124" s="83" t="n"/>
      <c r="B124" s="83" t="n"/>
      <c r="C124" s="46" t="n"/>
      <c r="D124" s="46" t="n"/>
      <c r="E124" s="91" t="n"/>
      <c r="F124" s="46" t="n"/>
      <c r="G124" s="73" t="n"/>
      <c r="H124" s="46" t="n"/>
      <c r="I124" s="46" t="n"/>
      <c r="J124" s="46" t="n"/>
      <c r="K124" s="46" t="n"/>
      <c r="L124" s="46" t="n"/>
      <c r="M124" s="46" t="n"/>
      <c r="N124" s="46" t="n"/>
      <c r="O124" s="46" t="n"/>
    </row>
    <row r="125" ht="18" customHeight="1">
      <c r="A125" s="83" t="n"/>
      <c r="B125" s="83" t="n"/>
      <c r="C125" s="46" t="n"/>
      <c r="D125" s="46" t="n"/>
      <c r="E125" s="91" t="n"/>
      <c r="F125" s="46" t="n"/>
      <c r="G125" s="73" t="n"/>
      <c r="H125" s="46" t="n"/>
      <c r="I125" s="46" t="n"/>
      <c r="J125" s="46" t="n"/>
      <c r="K125" s="46" t="n"/>
      <c r="L125" s="46" t="n"/>
      <c r="M125" s="46" t="n"/>
      <c r="N125" s="46" t="n"/>
      <c r="O125" s="46" t="n"/>
    </row>
    <row r="126" ht="18" customHeight="1">
      <c r="A126" s="83" t="n"/>
      <c r="B126" s="83" t="n"/>
      <c r="C126" s="46" t="n"/>
      <c r="D126" s="46" t="n"/>
      <c r="E126" s="91" t="n"/>
      <c r="F126" s="46" t="n"/>
      <c r="G126" s="73" t="n"/>
      <c r="H126" s="46" t="n"/>
      <c r="I126" s="46" t="n"/>
      <c r="J126" s="46" t="n"/>
      <c r="K126" s="46" t="n"/>
      <c r="L126" s="46" t="n"/>
      <c r="M126" s="46" t="n"/>
      <c r="N126" s="46" t="n"/>
      <c r="O126" s="46" t="n"/>
    </row>
    <row r="127" ht="18" customHeight="1">
      <c r="A127" s="83" t="n"/>
      <c r="B127" s="83" t="n"/>
      <c r="C127" s="46" t="n"/>
      <c r="D127" s="46" t="n"/>
      <c r="E127" s="91" t="n"/>
      <c r="F127" s="46" t="n"/>
      <c r="G127" s="73" t="n"/>
      <c r="H127" s="46" t="n"/>
      <c r="I127" s="46" t="n"/>
      <c r="J127" s="46" t="n"/>
      <c r="K127" s="46" t="n"/>
      <c r="L127" s="46" t="n"/>
      <c r="M127" s="46" t="n"/>
      <c r="N127" s="46" t="n"/>
      <c r="O127" s="46" t="n"/>
    </row>
    <row r="128" ht="18" customHeight="1">
      <c r="A128" s="83" t="n"/>
      <c r="B128" s="83" t="n"/>
      <c r="C128" s="46" t="n"/>
      <c r="D128" s="46" t="n"/>
      <c r="E128" s="91" t="n"/>
      <c r="F128" s="46" t="n"/>
      <c r="G128" s="73" t="n"/>
      <c r="H128" s="46" t="n"/>
      <c r="I128" s="46" t="n"/>
      <c r="J128" s="46" t="n"/>
      <c r="K128" s="46" t="n"/>
      <c r="L128" s="46" t="n"/>
      <c r="M128" s="46" t="n"/>
      <c r="N128" s="46" t="n"/>
      <c r="O128" s="46" t="n"/>
    </row>
    <row r="129" ht="18" customHeight="1">
      <c r="A129" s="83" t="n"/>
      <c r="B129" s="83" t="n"/>
      <c r="C129" s="46" t="n"/>
      <c r="D129" s="46" t="n"/>
      <c r="E129" s="91" t="n"/>
      <c r="F129" s="46" t="n"/>
      <c r="G129" s="73" t="n"/>
      <c r="H129" s="46" t="n"/>
      <c r="I129" s="46" t="n"/>
      <c r="J129" s="46" t="n"/>
      <c r="K129" s="46" t="n"/>
      <c r="L129" s="46" t="n"/>
      <c r="M129" s="46" t="n"/>
      <c r="N129" s="46" t="n"/>
      <c r="O129" s="46" t="n"/>
    </row>
    <row r="130" ht="20" customHeight="1">
      <c r="A130" s="31" t="inlineStr">
        <is>
          <t>CONTINGÊNCIA PREVISTA NO ORÇAMENTO  →</t>
        </is>
      </c>
      <c r="B130" s="32" t="n"/>
      <c r="C130" s="92" t="n"/>
      <c r="D130" s="60">
        <f>ROUND(SUM($E$118:$E$129),2)</f>
        <v/>
      </c>
      <c r="E130" s="60">
        <f>ROUND($D$130-IF($C$130="",0,$C$130),2)</f>
        <v/>
      </c>
      <c r="F130" s="32" t="n"/>
      <c r="G130" s="62">
        <f>IF(OR($A$13="",$A$13=0),"",$D$130/$A$13)</f>
        <v/>
      </c>
      <c r="H130" s="93" t="inlineStr">
        <is>
          <t>orçado = a contingência prevista · realizado = a soma acima</t>
        </is>
      </c>
      <c r="I130" s="32" t="n"/>
      <c r="J130" s="32" t="n"/>
      <c r="K130" s="32" t="n"/>
      <c r="L130" s="32" t="n"/>
      <c r="M130" s="32" t="n"/>
      <c r="N130" s="32" t="n"/>
      <c r="O130" s="32" t="n"/>
    </row>
    <row r="131" ht="8" customHeight="1"/>
    <row r="132" ht="20" customHeight="1">
      <c r="A132" s="8" t="inlineStr">
        <is>
          <t xml:space="preserve">  8 · LIVRO DE COMPRAS E DESPESAS DO PROJETO          uma linha por compra, na ordem em que acontecer · pode inserir linhas à vontade aqui</t>
        </is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</row>
    <row r="133" ht="28" customHeight="1">
      <c r="A133" s="19" t="inlineStr">
        <is>
          <t>Descrição / fornecedor</t>
        </is>
      </c>
      <c r="B133" s="19" t="inlineStr">
        <is>
          <t>Categoria</t>
        </is>
      </c>
      <c r="C133" s="35" t="n"/>
      <c r="D133" s="19" t="inlineStr">
        <is>
          <t>Data</t>
        </is>
      </c>
      <c r="E133" s="19" t="inlineStr">
        <is>
          <t>Valor (R$)</t>
        </is>
      </c>
      <c r="F133" s="35" t="n"/>
      <c r="G133" s="19" t="inlineStr">
        <is>
          <t>Forma de pagamento</t>
        </is>
      </c>
      <c r="H133" s="35" t="n"/>
      <c r="I133" s="19" t="inlineStr">
        <is>
          <t>Status</t>
        </is>
      </c>
      <c r="J133" s="35" t="n"/>
      <c r="K133" s="35" t="n"/>
      <c r="L133" s="35" t="n"/>
      <c r="M133" s="35" t="n"/>
      <c r="N133" s="35" t="n"/>
      <c r="O133" s="35" t="n"/>
    </row>
    <row r="134" ht="17" customHeight="1">
      <c r="A134" s="83" t="n"/>
      <c r="B134" s="94" t="n"/>
      <c r="C134" s="46" t="n"/>
      <c r="D134" s="75" t="n"/>
      <c r="E134" s="95" t="n"/>
      <c r="F134" s="46" t="n"/>
      <c r="G134" s="96" t="n"/>
      <c r="H134" s="46" t="n"/>
      <c r="I134" s="97" t="n"/>
      <c r="J134" s="46" t="n"/>
      <c r="K134" s="46" t="n"/>
      <c r="L134" s="46" t="n"/>
      <c r="M134" s="46" t="n"/>
      <c r="N134" s="46" t="n"/>
      <c r="O134" s="46" t="n"/>
    </row>
    <row r="135" ht="17" customHeight="1">
      <c r="A135" s="83" t="n"/>
      <c r="B135" s="94" t="n"/>
      <c r="C135" s="46" t="n"/>
      <c r="D135" s="75" t="n"/>
      <c r="E135" s="95" t="n"/>
      <c r="F135" s="46" t="n"/>
      <c r="G135" s="96" t="n"/>
      <c r="H135" s="46" t="n"/>
      <c r="I135" s="97" t="n"/>
      <c r="J135" s="46" t="n"/>
      <c r="K135" s="46" t="n"/>
      <c r="L135" s="46" t="n"/>
      <c r="M135" s="46" t="n"/>
      <c r="N135" s="46" t="n"/>
      <c r="O135" s="46" t="n"/>
    </row>
    <row r="136" ht="17" customHeight="1">
      <c r="A136" s="83" t="n"/>
      <c r="B136" s="94" t="n"/>
      <c r="C136" s="46" t="n"/>
      <c r="D136" s="75" t="n"/>
      <c r="E136" s="95" t="n"/>
      <c r="F136" s="46" t="n"/>
      <c r="G136" s="96" t="n"/>
      <c r="H136" s="46" t="n"/>
      <c r="I136" s="97" t="n"/>
      <c r="J136" s="46" t="n"/>
      <c r="K136" s="46" t="n"/>
      <c r="L136" s="46" t="n"/>
      <c r="M136" s="46" t="n"/>
      <c r="N136" s="46" t="n"/>
      <c r="O136" s="46" t="n"/>
    </row>
    <row r="137" ht="17" customHeight="1">
      <c r="A137" s="83" t="n"/>
      <c r="B137" s="94" t="n"/>
      <c r="C137" s="46" t="n"/>
      <c r="D137" s="75" t="n"/>
      <c r="E137" s="95" t="n"/>
      <c r="F137" s="46" t="n"/>
      <c r="G137" s="96" t="n"/>
      <c r="H137" s="46" t="n"/>
      <c r="I137" s="97" t="n"/>
      <c r="J137" s="46" t="n"/>
      <c r="K137" s="46" t="n"/>
      <c r="L137" s="46" t="n"/>
      <c r="M137" s="46" t="n"/>
      <c r="N137" s="46" t="n"/>
      <c r="O137" s="46" t="n"/>
    </row>
    <row r="138" ht="17" customHeight="1">
      <c r="A138" s="83" t="n"/>
      <c r="B138" s="94" t="n"/>
      <c r="C138" s="46" t="n"/>
      <c r="D138" s="75" t="n"/>
      <c r="E138" s="95" t="n"/>
      <c r="F138" s="46" t="n"/>
      <c r="G138" s="96" t="n"/>
      <c r="H138" s="46" t="n"/>
      <c r="I138" s="97" t="n"/>
      <c r="J138" s="46" t="n"/>
      <c r="K138" s="46" t="n"/>
      <c r="L138" s="46" t="n"/>
      <c r="M138" s="46" t="n"/>
      <c r="N138" s="46" t="n"/>
      <c r="O138" s="46" t="n"/>
    </row>
    <row r="139" ht="17" customHeight="1">
      <c r="A139" s="83" t="n"/>
      <c r="B139" s="94" t="n"/>
      <c r="C139" s="46" t="n"/>
      <c r="D139" s="75" t="n"/>
      <c r="E139" s="95" t="n"/>
      <c r="F139" s="46" t="n"/>
      <c r="G139" s="96" t="n"/>
      <c r="H139" s="46" t="n"/>
      <c r="I139" s="97" t="n"/>
      <c r="J139" s="46" t="n"/>
      <c r="K139" s="46" t="n"/>
      <c r="L139" s="46" t="n"/>
      <c r="M139" s="46" t="n"/>
      <c r="N139" s="46" t="n"/>
      <c r="O139" s="46" t="n"/>
    </row>
    <row r="140" ht="17" customHeight="1">
      <c r="A140" s="83" t="n"/>
      <c r="B140" s="94" t="n"/>
      <c r="C140" s="46" t="n"/>
      <c r="D140" s="75" t="n"/>
      <c r="E140" s="95" t="n"/>
      <c r="F140" s="46" t="n"/>
      <c r="G140" s="96" t="n"/>
      <c r="H140" s="46" t="n"/>
      <c r="I140" s="97" t="n"/>
      <c r="J140" s="46" t="n"/>
      <c r="K140" s="46" t="n"/>
      <c r="L140" s="46" t="n"/>
      <c r="M140" s="46" t="n"/>
      <c r="N140" s="46" t="n"/>
      <c r="O140" s="46" t="n"/>
    </row>
    <row r="141" ht="17" customHeight="1">
      <c r="A141" s="83" t="n"/>
      <c r="B141" s="94" t="n"/>
      <c r="C141" s="46" t="n"/>
      <c r="D141" s="75" t="n"/>
      <c r="E141" s="95" t="n"/>
      <c r="F141" s="46" t="n"/>
      <c r="G141" s="96" t="n"/>
      <c r="H141" s="46" t="n"/>
      <c r="I141" s="97" t="n"/>
      <c r="J141" s="46" t="n"/>
      <c r="K141" s="46" t="n"/>
      <c r="L141" s="46" t="n"/>
      <c r="M141" s="46" t="n"/>
      <c r="N141" s="46" t="n"/>
      <c r="O141" s="46" t="n"/>
    </row>
    <row r="142" ht="17" customHeight="1">
      <c r="A142" s="83" t="n"/>
      <c r="B142" s="94" t="n"/>
      <c r="C142" s="46" t="n"/>
      <c r="D142" s="75" t="n"/>
      <c r="E142" s="95" t="n"/>
      <c r="F142" s="46" t="n"/>
      <c r="G142" s="96" t="n"/>
      <c r="H142" s="46" t="n"/>
      <c r="I142" s="97" t="n"/>
      <c r="J142" s="46" t="n"/>
      <c r="K142" s="46" t="n"/>
      <c r="L142" s="46" t="n"/>
      <c r="M142" s="46" t="n"/>
      <c r="N142" s="46" t="n"/>
      <c r="O142" s="46" t="n"/>
    </row>
    <row r="143" ht="17" customHeight="1">
      <c r="A143" s="83" t="n"/>
      <c r="B143" s="94" t="n"/>
      <c r="C143" s="46" t="n"/>
      <c r="D143" s="75" t="n"/>
      <c r="E143" s="95" t="n"/>
      <c r="F143" s="46" t="n"/>
      <c r="G143" s="96" t="n"/>
      <c r="H143" s="46" t="n"/>
      <c r="I143" s="97" t="n"/>
      <c r="J143" s="46" t="n"/>
      <c r="K143" s="46" t="n"/>
      <c r="L143" s="46" t="n"/>
      <c r="M143" s="46" t="n"/>
      <c r="N143" s="46" t="n"/>
      <c r="O143" s="46" t="n"/>
    </row>
    <row r="144" ht="17" customHeight="1">
      <c r="A144" s="83" t="n"/>
      <c r="B144" s="94" t="n"/>
      <c r="C144" s="46" t="n"/>
      <c r="D144" s="75" t="n"/>
      <c r="E144" s="95" t="n"/>
      <c r="F144" s="46" t="n"/>
      <c r="G144" s="96" t="n"/>
      <c r="H144" s="46" t="n"/>
      <c r="I144" s="97" t="n"/>
      <c r="J144" s="46" t="n"/>
      <c r="K144" s="46" t="n"/>
      <c r="L144" s="46" t="n"/>
      <c r="M144" s="46" t="n"/>
      <c r="N144" s="46" t="n"/>
      <c r="O144" s="46" t="n"/>
    </row>
    <row r="145" ht="17" customHeight="1">
      <c r="A145" s="83" t="n"/>
      <c r="B145" s="94" t="n"/>
      <c r="C145" s="46" t="n"/>
      <c r="D145" s="75" t="n"/>
      <c r="E145" s="95" t="n"/>
      <c r="F145" s="46" t="n"/>
      <c r="G145" s="96" t="n"/>
      <c r="H145" s="46" t="n"/>
      <c r="I145" s="97" t="n"/>
      <c r="J145" s="46" t="n"/>
      <c r="K145" s="46" t="n"/>
      <c r="L145" s="46" t="n"/>
      <c r="M145" s="46" t="n"/>
      <c r="N145" s="46" t="n"/>
      <c r="O145" s="46" t="n"/>
    </row>
    <row r="146" ht="17" customHeight="1">
      <c r="A146" s="83" t="n"/>
      <c r="B146" s="94" t="n"/>
      <c r="C146" s="46" t="n"/>
      <c r="D146" s="75" t="n"/>
      <c r="E146" s="95" t="n"/>
      <c r="F146" s="46" t="n"/>
      <c r="G146" s="96" t="n"/>
      <c r="H146" s="46" t="n"/>
      <c r="I146" s="97" t="n"/>
      <c r="J146" s="46" t="n"/>
      <c r="K146" s="46" t="n"/>
      <c r="L146" s="46" t="n"/>
      <c r="M146" s="46" t="n"/>
      <c r="N146" s="46" t="n"/>
      <c r="O146" s="46" t="n"/>
    </row>
    <row r="147" ht="17" customHeight="1">
      <c r="A147" s="83" t="n"/>
      <c r="B147" s="94" t="n"/>
      <c r="C147" s="46" t="n"/>
      <c r="D147" s="75" t="n"/>
      <c r="E147" s="95" t="n"/>
      <c r="F147" s="46" t="n"/>
      <c r="G147" s="96" t="n"/>
      <c r="H147" s="46" t="n"/>
      <c r="I147" s="97" t="n"/>
      <c r="J147" s="46" t="n"/>
      <c r="K147" s="46" t="n"/>
      <c r="L147" s="46" t="n"/>
      <c r="M147" s="46" t="n"/>
      <c r="N147" s="46" t="n"/>
      <c r="O147" s="46" t="n"/>
    </row>
    <row r="148" ht="17" customHeight="1">
      <c r="A148" s="83" t="n"/>
      <c r="B148" s="94" t="n"/>
      <c r="C148" s="46" t="n"/>
      <c r="D148" s="75" t="n"/>
      <c r="E148" s="95" t="n"/>
      <c r="F148" s="46" t="n"/>
      <c r="G148" s="96" t="n"/>
      <c r="H148" s="46" t="n"/>
      <c r="I148" s="97" t="n"/>
      <c r="J148" s="46" t="n"/>
      <c r="K148" s="46" t="n"/>
      <c r="L148" s="46" t="n"/>
      <c r="M148" s="46" t="n"/>
      <c r="N148" s="46" t="n"/>
      <c r="O148" s="46" t="n"/>
    </row>
    <row r="149" ht="17" customHeight="1">
      <c r="A149" s="83" t="n"/>
      <c r="B149" s="94" t="n"/>
      <c r="C149" s="46" t="n"/>
      <c r="D149" s="75" t="n"/>
      <c r="E149" s="95" t="n"/>
      <c r="F149" s="46" t="n"/>
      <c r="G149" s="96" t="n"/>
      <c r="H149" s="46" t="n"/>
      <c r="I149" s="97" t="n"/>
      <c r="J149" s="46" t="n"/>
      <c r="K149" s="46" t="n"/>
      <c r="L149" s="46" t="n"/>
      <c r="M149" s="46" t="n"/>
      <c r="N149" s="46" t="n"/>
      <c r="O149" s="46" t="n"/>
    </row>
    <row r="150" ht="17" customHeight="1">
      <c r="A150" s="83" t="n"/>
      <c r="B150" s="94" t="n"/>
      <c r="C150" s="46" t="n"/>
      <c r="D150" s="75" t="n"/>
      <c r="E150" s="95" t="n"/>
      <c r="F150" s="46" t="n"/>
      <c r="G150" s="96" t="n"/>
      <c r="H150" s="46" t="n"/>
      <c r="I150" s="97" t="n"/>
      <c r="J150" s="46" t="n"/>
      <c r="K150" s="46" t="n"/>
      <c r="L150" s="46" t="n"/>
      <c r="M150" s="46" t="n"/>
      <c r="N150" s="46" t="n"/>
      <c r="O150" s="46" t="n"/>
    </row>
    <row r="151" ht="17" customHeight="1">
      <c r="A151" s="83" t="n"/>
      <c r="B151" s="94" t="n"/>
      <c r="C151" s="46" t="n"/>
      <c r="D151" s="75" t="n"/>
      <c r="E151" s="95" t="n"/>
      <c r="F151" s="46" t="n"/>
      <c r="G151" s="96" t="n"/>
      <c r="H151" s="46" t="n"/>
      <c r="I151" s="97" t="n"/>
      <c r="J151" s="46" t="n"/>
      <c r="K151" s="46" t="n"/>
      <c r="L151" s="46" t="n"/>
      <c r="M151" s="46" t="n"/>
      <c r="N151" s="46" t="n"/>
      <c r="O151" s="46" t="n"/>
    </row>
    <row r="152" ht="17" customHeight="1">
      <c r="A152" s="83" t="n"/>
      <c r="B152" s="94" t="n"/>
      <c r="C152" s="46" t="n"/>
      <c r="D152" s="75" t="n"/>
      <c r="E152" s="95" t="n"/>
      <c r="F152" s="46" t="n"/>
      <c r="G152" s="96" t="n"/>
      <c r="H152" s="46" t="n"/>
      <c r="I152" s="97" t="n"/>
      <c r="J152" s="46" t="n"/>
      <c r="K152" s="46" t="n"/>
      <c r="L152" s="46" t="n"/>
      <c r="M152" s="46" t="n"/>
      <c r="N152" s="46" t="n"/>
      <c r="O152" s="46" t="n"/>
    </row>
    <row r="153" ht="17" customHeight="1">
      <c r="A153" s="83" t="n"/>
      <c r="B153" s="94" t="n"/>
      <c r="C153" s="46" t="n"/>
      <c r="D153" s="75" t="n"/>
      <c r="E153" s="95" t="n"/>
      <c r="F153" s="46" t="n"/>
      <c r="G153" s="96" t="n"/>
      <c r="H153" s="46" t="n"/>
      <c r="I153" s="97" t="n"/>
      <c r="J153" s="46" t="n"/>
      <c r="K153" s="46" t="n"/>
      <c r="L153" s="46" t="n"/>
      <c r="M153" s="46" t="n"/>
      <c r="N153" s="46" t="n"/>
      <c r="O153" s="46" t="n"/>
    </row>
    <row r="154" ht="17" customHeight="1">
      <c r="A154" s="83" t="n"/>
      <c r="B154" s="94" t="n"/>
      <c r="C154" s="46" t="n"/>
      <c r="D154" s="75" t="n"/>
      <c r="E154" s="95" t="n"/>
      <c r="F154" s="46" t="n"/>
      <c r="G154" s="96" t="n"/>
      <c r="H154" s="46" t="n"/>
      <c r="I154" s="97" t="n"/>
      <c r="J154" s="46" t="n"/>
      <c r="K154" s="46" t="n"/>
      <c r="L154" s="46" t="n"/>
      <c r="M154" s="46" t="n"/>
      <c r="N154" s="46" t="n"/>
      <c r="O154" s="46" t="n"/>
    </row>
    <row r="155" ht="17" customHeight="1">
      <c r="A155" s="83" t="n"/>
      <c r="B155" s="94" t="n"/>
      <c r="C155" s="46" t="n"/>
      <c r="D155" s="75" t="n"/>
      <c r="E155" s="95" t="n"/>
      <c r="F155" s="46" t="n"/>
      <c r="G155" s="96" t="n"/>
      <c r="H155" s="46" t="n"/>
      <c r="I155" s="97" t="n"/>
      <c r="J155" s="46" t="n"/>
      <c r="K155" s="46" t="n"/>
      <c r="L155" s="46" t="n"/>
      <c r="M155" s="46" t="n"/>
      <c r="N155" s="46" t="n"/>
      <c r="O155" s="46" t="n"/>
    </row>
    <row r="156" ht="17" customHeight="1">
      <c r="A156" s="83" t="n"/>
      <c r="B156" s="94" t="n"/>
      <c r="C156" s="46" t="n"/>
      <c r="D156" s="75" t="n"/>
      <c r="E156" s="95" t="n"/>
      <c r="F156" s="46" t="n"/>
      <c r="G156" s="96" t="n"/>
      <c r="H156" s="46" t="n"/>
      <c r="I156" s="97" t="n"/>
      <c r="J156" s="46" t="n"/>
      <c r="K156" s="46" t="n"/>
      <c r="L156" s="46" t="n"/>
      <c r="M156" s="46" t="n"/>
      <c r="N156" s="46" t="n"/>
      <c r="O156" s="46" t="n"/>
    </row>
    <row r="157" ht="17" customHeight="1">
      <c r="A157" s="83" t="n"/>
      <c r="B157" s="94" t="n"/>
      <c r="C157" s="46" t="n"/>
      <c r="D157" s="75" t="n"/>
      <c r="E157" s="95" t="n"/>
      <c r="F157" s="46" t="n"/>
      <c r="G157" s="96" t="n"/>
      <c r="H157" s="46" t="n"/>
      <c r="I157" s="97" t="n"/>
      <c r="J157" s="46" t="n"/>
      <c r="K157" s="46" t="n"/>
      <c r="L157" s="46" t="n"/>
      <c r="M157" s="46" t="n"/>
      <c r="N157" s="46" t="n"/>
      <c r="O157" s="46" t="n"/>
    </row>
    <row r="158" ht="17" customHeight="1">
      <c r="A158" s="83" t="n"/>
      <c r="B158" s="94" t="n"/>
      <c r="C158" s="46" t="n"/>
      <c r="D158" s="75" t="n"/>
      <c r="E158" s="95" t="n"/>
      <c r="F158" s="46" t="n"/>
      <c r="G158" s="96" t="n"/>
      <c r="H158" s="46" t="n"/>
      <c r="I158" s="97" t="n"/>
      <c r="J158" s="46" t="n"/>
      <c r="K158" s="46" t="n"/>
      <c r="L158" s="46" t="n"/>
      <c r="M158" s="46" t="n"/>
      <c r="N158" s="46" t="n"/>
      <c r="O158" s="46" t="n"/>
    </row>
    <row r="159" ht="17" customHeight="1">
      <c r="A159" s="83" t="n"/>
      <c r="B159" s="94" t="n"/>
      <c r="C159" s="46" t="n"/>
      <c r="D159" s="75" t="n"/>
      <c r="E159" s="95" t="n"/>
      <c r="F159" s="46" t="n"/>
      <c r="G159" s="96" t="n"/>
      <c r="H159" s="46" t="n"/>
      <c r="I159" s="97" t="n"/>
      <c r="J159" s="46" t="n"/>
      <c r="K159" s="46" t="n"/>
      <c r="L159" s="46" t="n"/>
      <c r="M159" s="46" t="n"/>
      <c r="N159" s="46" t="n"/>
      <c r="O159" s="46" t="n"/>
    </row>
    <row r="160" ht="17" customHeight="1">
      <c r="A160" s="83" t="n"/>
      <c r="B160" s="94" t="n"/>
      <c r="C160" s="46" t="n"/>
      <c r="D160" s="75" t="n"/>
      <c r="E160" s="95" t="n"/>
      <c r="F160" s="46" t="n"/>
      <c r="G160" s="96" t="n"/>
      <c r="H160" s="46" t="n"/>
      <c r="I160" s="97" t="n"/>
      <c r="J160" s="46" t="n"/>
      <c r="K160" s="46" t="n"/>
      <c r="L160" s="46" t="n"/>
      <c r="M160" s="46" t="n"/>
      <c r="N160" s="46" t="n"/>
      <c r="O160" s="46" t="n"/>
    </row>
    <row r="161" ht="17" customHeight="1">
      <c r="A161" s="83" t="n"/>
      <c r="B161" s="94" t="n"/>
      <c r="C161" s="46" t="n"/>
      <c r="D161" s="75" t="n"/>
      <c r="E161" s="95" t="n"/>
      <c r="F161" s="46" t="n"/>
      <c r="G161" s="96" t="n"/>
      <c r="H161" s="46" t="n"/>
      <c r="I161" s="97" t="n"/>
      <c r="J161" s="46" t="n"/>
      <c r="K161" s="46" t="n"/>
      <c r="L161" s="46" t="n"/>
      <c r="M161" s="46" t="n"/>
      <c r="N161" s="46" t="n"/>
      <c r="O161" s="46" t="n"/>
    </row>
    <row r="162" ht="17" customHeight="1">
      <c r="A162" s="83" t="n"/>
      <c r="B162" s="94" t="n"/>
      <c r="C162" s="46" t="n"/>
      <c r="D162" s="75" t="n"/>
      <c r="E162" s="95" t="n"/>
      <c r="F162" s="46" t="n"/>
      <c r="G162" s="96" t="n"/>
      <c r="H162" s="46" t="n"/>
      <c r="I162" s="97" t="n"/>
      <c r="J162" s="46" t="n"/>
      <c r="K162" s="46" t="n"/>
      <c r="L162" s="46" t="n"/>
      <c r="M162" s="46" t="n"/>
      <c r="N162" s="46" t="n"/>
      <c r="O162" s="46" t="n"/>
    </row>
    <row r="163" ht="17" customHeight="1">
      <c r="A163" s="83" t="n"/>
      <c r="B163" s="94" t="n"/>
      <c r="C163" s="46" t="n"/>
      <c r="D163" s="75" t="n"/>
      <c r="E163" s="95" t="n"/>
      <c r="F163" s="46" t="n"/>
      <c r="G163" s="96" t="n"/>
      <c r="H163" s="46" t="n"/>
      <c r="I163" s="97" t="n"/>
      <c r="J163" s="46" t="n"/>
      <c r="K163" s="46" t="n"/>
      <c r="L163" s="46" t="n"/>
      <c r="M163" s="46" t="n"/>
      <c r="N163" s="46" t="n"/>
      <c r="O163" s="46" t="n"/>
    </row>
    <row r="164" ht="17" customHeight="1">
      <c r="A164" s="83" t="n"/>
      <c r="B164" s="94" t="n"/>
      <c r="C164" s="46" t="n"/>
      <c r="D164" s="75" t="n"/>
      <c r="E164" s="95" t="n"/>
      <c r="F164" s="46" t="n"/>
      <c r="G164" s="96" t="n"/>
      <c r="H164" s="46" t="n"/>
      <c r="I164" s="97" t="n"/>
      <c r="J164" s="46" t="n"/>
      <c r="K164" s="46" t="n"/>
      <c r="L164" s="46" t="n"/>
      <c r="M164" s="46" t="n"/>
      <c r="N164" s="46" t="n"/>
      <c r="O164" s="46" t="n"/>
    </row>
    <row r="165" ht="17" customHeight="1">
      <c r="A165" s="83" t="n"/>
      <c r="B165" s="94" t="n"/>
      <c r="C165" s="46" t="n"/>
      <c r="D165" s="75" t="n"/>
      <c r="E165" s="95" t="n"/>
      <c r="F165" s="46" t="n"/>
      <c r="G165" s="96" t="n"/>
      <c r="H165" s="46" t="n"/>
      <c r="I165" s="97" t="n"/>
      <c r="J165" s="46" t="n"/>
      <c r="K165" s="46" t="n"/>
      <c r="L165" s="46" t="n"/>
      <c r="M165" s="46" t="n"/>
      <c r="N165" s="46" t="n"/>
      <c r="O165" s="46" t="n"/>
    </row>
    <row r="166" ht="17" customHeight="1">
      <c r="A166" s="83" t="n"/>
      <c r="B166" s="94" t="n"/>
      <c r="C166" s="46" t="n"/>
      <c r="D166" s="75" t="n"/>
      <c r="E166" s="95" t="n"/>
      <c r="F166" s="46" t="n"/>
      <c r="G166" s="96" t="n"/>
      <c r="H166" s="46" t="n"/>
      <c r="I166" s="97" t="n"/>
      <c r="J166" s="46" t="n"/>
      <c r="K166" s="46" t="n"/>
      <c r="L166" s="46" t="n"/>
      <c r="M166" s="46" t="n"/>
      <c r="N166" s="46" t="n"/>
      <c r="O166" s="46" t="n"/>
    </row>
    <row r="167" ht="17" customHeight="1">
      <c r="A167" s="83" t="n"/>
      <c r="B167" s="94" t="n"/>
      <c r="C167" s="46" t="n"/>
      <c r="D167" s="75" t="n"/>
      <c r="E167" s="95" t="n"/>
      <c r="F167" s="46" t="n"/>
      <c r="G167" s="96" t="n"/>
      <c r="H167" s="46" t="n"/>
      <c r="I167" s="97" t="n"/>
      <c r="J167" s="46" t="n"/>
      <c r="K167" s="46" t="n"/>
      <c r="L167" s="46" t="n"/>
      <c r="M167" s="46" t="n"/>
      <c r="N167" s="46" t="n"/>
      <c r="O167" s="46" t="n"/>
    </row>
    <row r="168" ht="17" customHeight="1">
      <c r="A168" s="83" t="n"/>
      <c r="B168" s="94" t="n"/>
      <c r="C168" s="46" t="n"/>
      <c r="D168" s="75" t="n"/>
      <c r="E168" s="95" t="n"/>
      <c r="F168" s="46" t="n"/>
      <c r="G168" s="96" t="n"/>
      <c r="H168" s="46" t="n"/>
      <c r="I168" s="97" t="n"/>
      <c r="J168" s="46" t="n"/>
      <c r="K168" s="46" t="n"/>
      <c r="L168" s="46" t="n"/>
      <c r="M168" s="46" t="n"/>
      <c r="N168" s="46" t="n"/>
      <c r="O168" s="46" t="n"/>
    </row>
    <row r="169" ht="17" customHeight="1">
      <c r="A169" s="83" t="n"/>
      <c r="B169" s="94" t="n"/>
      <c r="C169" s="46" t="n"/>
      <c r="D169" s="75" t="n"/>
      <c r="E169" s="95" t="n"/>
      <c r="F169" s="46" t="n"/>
      <c r="G169" s="96" t="n"/>
      <c r="H169" s="46" t="n"/>
      <c r="I169" s="97" t="n"/>
      <c r="J169" s="46" t="n"/>
      <c r="K169" s="46" t="n"/>
      <c r="L169" s="46" t="n"/>
      <c r="M169" s="46" t="n"/>
      <c r="N169" s="46" t="n"/>
      <c r="O169" s="46" t="n"/>
    </row>
    <row r="170" ht="17" customHeight="1">
      <c r="A170" s="83" t="n"/>
      <c r="B170" s="94" t="n"/>
      <c r="C170" s="46" t="n"/>
      <c r="D170" s="75" t="n"/>
      <c r="E170" s="95" t="n"/>
      <c r="F170" s="46" t="n"/>
      <c r="G170" s="96" t="n"/>
      <c r="H170" s="46" t="n"/>
      <c r="I170" s="97" t="n"/>
      <c r="J170" s="46" t="n"/>
      <c r="K170" s="46" t="n"/>
      <c r="L170" s="46" t="n"/>
      <c r="M170" s="46" t="n"/>
      <c r="N170" s="46" t="n"/>
      <c r="O170" s="46" t="n"/>
    </row>
    <row r="171" ht="17" customHeight="1">
      <c r="A171" s="83" t="n"/>
      <c r="B171" s="94" t="n"/>
      <c r="C171" s="46" t="n"/>
      <c r="D171" s="75" t="n"/>
      <c r="E171" s="95" t="n"/>
      <c r="F171" s="46" t="n"/>
      <c r="G171" s="96" t="n"/>
      <c r="H171" s="46" t="n"/>
      <c r="I171" s="97" t="n"/>
      <c r="J171" s="46" t="n"/>
      <c r="K171" s="46" t="n"/>
      <c r="L171" s="46" t="n"/>
      <c r="M171" s="46" t="n"/>
      <c r="N171" s="46" t="n"/>
      <c r="O171" s="46" t="n"/>
    </row>
    <row r="172" ht="17" customHeight="1">
      <c r="A172" s="83" t="n"/>
      <c r="B172" s="94" t="n"/>
      <c r="C172" s="46" t="n"/>
      <c r="D172" s="75" t="n"/>
      <c r="E172" s="95" t="n"/>
      <c r="F172" s="46" t="n"/>
      <c r="G172" s="96" t="n"/>
      <c r="H172" s="46" t="n"/>
      <c r="I172" s="97" t="n"/>
      <c r="J172" s="46" t="n"/>
      <c r="K172" s="46" t="n"/>
      <c r="L172" s="46" t="n"/>
      <c r="M172" s="46" t="n"/>
      <c r="N172" s="46" t="n"/>
      <c r="O172" s="46" t="n"/>
    </row>
    <row r="173" ht="17" customHeight="1">
      <c r="A173" s="83" t="n"/>
      <c r="B173" s="94" t="n"/>
      <c r="C173" s="46" t="n"/>
      <c r="D173" s="75" t="n"/>
      <c r="E173" s="95" t="n"/>
      <c r="F173" s="46" t="n"/>
      <c r="G173" s="96" t="n"/>
      <c r="H173" s="46" t="n"/>
      <c r="I173" s="97" t="n"/>
      <c r="J173" s="46" t="n"/>
      <c r="K173" s="46" t="n"/>
      <c r="L173" s="46" t="n"/>
      <c r="M173" s="46" t="n"/>
      <c r="N173" s="46" t="n"/>
      <c r="O173" s="46" t="n"/>
    </row>
    <row r="174" ht="17" customHeight="1">
      <c r="A174" s="83" t="n"/>
      <c r="B174" s="94" t="n"/>
      <c r="C174" s="46" t="n"/>
      <c r="D174" s="75" t="n"/>
      <c r="E174" s="95" t="n"/>
      <c r="F174" s="46" t="n"/>
      <c r="G174" s="96" t="n"/>
      <c r="H174" s="46" t="n"/>
      <c r="I174" s="97" t="n"/>
      <c r="J174" s="46" t="n"/>
      <c r="K174" s="46" t="n"/>
      <c r="L174" s="46" t="n"/>
      <c r="M174" s="46" t="n"/>
      <c r="N174" s="46" t="n"/>
      <c r="O174" s="46" t="n"/>
    </row>
    <row r="175" ht="17" customHeight="1">
      <c r="A175" s="83" t="n"/>
      <c r="B175" s="94" t="n"/>
      <c r="C175" s="46" t="n"/>
      <c r="D175" s="75" t="n"/>
      <c r="E175" s="95" t="n"/>
      <c r="F175" s="46" t="n"/>
      <c r="G175" s="96" t="n"/>
      <c r="H175" s="46" t="n"/>
      <c r="I175" s="97" t="n"/>
      <c r="J175" s="46" t="n"/>
      <c r="K175" s="46" t="n"/>
      <c r="L175" s="46" t="n"/>
      <c r="M175" s="46" t="n"/>
      <c r="N175" s="46" t="n"/>
      <c r="O175" s="46" t="n"/>
    </row>
    <row r="176" ht="17" customHeight="1">
      <c r="A176" s="83" t="n"/>
      <c r="B176" s="94" t="n"/>
      <c r="C176" s="46" t="n"/>
      <c r="D176" s="75" t="n"/>
      <c r="E176" s="95" t="n"/>
      <c r="F176" s="46" t="n"/>
      <c r="G176" s="96" t="n"/>
      <c r="H176" s="46" t="n"/>
      <c r="I176" s="97" t="n"/>
      <c r="J176" s="46" t="n"/>
      <c r="K176" s="46" t="n"/>
      <c r="L176" s="46" t="n"/>
      <c r="M176" s="46" t="n"/>
      <c r="N176" s="46" t="n"/>
      <c r="O176" s="46" t="n"/>
    </row>
    <row r="177" ht="17" customHeight="1">
      <c r="A177" s="83" t="n"/>
      <c r="B177" s="94" t="n"/>
      <c r="C177" s="46" t="n"/>
      <c r="D177" s="75" t="n"/>
      <c r="E177" s="95" t="n"/>
      <c r="F177" s="46" t="n"/>
      <c r="G177" s="96" t="n"/>
      <c r="H177" s="46" t="n"/>
      <c r="I177" s="97" t="n"/>
      <c r="J177" s="46" t="n"/>
      <c r="K177" s="46" t="n"/>
      <c r="L177" s="46" t="n"/>
      <c r="M177" s="46" t="n"/>
      <c r="N177" s="46" t="n"/>
      <c r="O177" s="46" t="n"/>
    </row>
    <row r="178" ht="17" customHeight="1">
      <c r="A178" s="83" t="n"/>
      <c r="B178" s="94" t="n"/>
      <c r="C178" s="46" t="n"/>
      <c r="D178" s="75" t="n"/>
      <c r="E178" s="95" t="n"/>
      <c r="F178" s="46" t="n"/>
      <c r="G178" s="96" t="n"/>
      <c r="H178" s="46" t="n"/>
      <c r="I178" s="97" t="n"/>
      <c r="J178" s="46" t="n"/>
      <c r="K178" s="46" t="n"/>
      <c r="L178" s="46" t="n"/>
      <c r="M178" s="46" t="n"/>
      <c r="N178" s="46" t="n"/>
      <c r="O178" s="46" t="n"/>
    </row>
    <row r="179" ht="17" customHeight="1">
      <c r="A179" s="83" t="n"/>
      <c r="B179" s="94" t="n"/>
      <c r="C179" s="46" t="n"/>
      <c r="D179" s="75" t="n"/>
      <c r="E179" s="95" t="n"/>
      <c r="F179" s="46" t="n"/>
      <c r="G179" s="96" t="n"/>
      <c r="H179" s="46" t="n"/>
      <c r="I179" s="97" t="n"/>
      <c r="J179" s="46" t="n"/>
      <c r="K179" s="46" t="n"/>
      <c r="L179" s="46" t="n"/>
      <c r="M179" s="46" t="n"/>
      <c r="N179" s="46" t="n"/>
      <c r="O179" s="46" t="n"/>
    </row>
    <row r="180" ht="17" customHeight="1">
      <c r="A180" s="83" t="n"/>
      <c r="B180" s="94" t="n"/>
      <c r="C180" s="46" t="n"/>
      <c r="D180" s="75" t="n"/>
      <c r="E180" s="95" t="n"/>
      <c r="F180" s="46" t="n"/>
      <c r="G180" s="96" t="n"/>
      <c r="H180" s="46" t="n"/>
      <c r="I180" s="97" t="n"/>
      <c r="J180" s="46" t="n"/>
      <c r="K180" s="46" t="n"/>
      <c r="L180" s="46" t="n"/>
      <c r="M180" s="46" t="n"/>
      <c r="N180" s="46" t="n"/>
      <c r="O180" s="46" t="n"/>
    </row>
    <row r="181" ht="17" customHeight="1">
      <c r="A181" s="83" t="n"/>
      <c r="B181" s="94" t="n"/>
      <c r="C181" s="46" t="n"/>
      <c r="D181" s="75" t="n"/>
      <c r="E181" s="95" t="n"/>
      <c r="F181" s="46" t="n"/>
      <c r="G181" s="96" t="n"/>
      <c r="H181" s="46" t="n"/>
      <c r="I181" s="97" t="n"/>
      <c r="J181" s="46" t="n"/>
      <c r="K181" s="46" t="n"/>
      <c r="L181" s="46" t="n"/>
      <c r="M181" s="46" t="n"/>
      <c r="N181" s="46" t="n"/>
      <c r="O181" s="46" t="n"/>
    </row>
    <row r="182" ht="17" customHeight="1">
      <c r="A182" s="83" t="n"/>
      <c r="B182" s="94" t="n"/>
      <c r="C182" s="46" t="n"/>
      <c r="D182" s="75" t="n"/>
      <c r="E182" s="95" t="n"/>
      <c r="F182" s="46" t="n"/>
      <c r="G182" s="96" t="n"/>
      <c r="H182" s="46" t="n"/>
      <c r="I182" s="97" t="n"/>
      <c r="J182" s="46" t="n"/>
      <c r="K182" s="46" t="n"/>
      <c r="L182" s="46" t="n"/>
      <c r="M182" s="46" t="n"/>
      <c r="N182" s="46" t="n"/>
      <c r="O182" s="46" t="n"/>
    </row>
    <row r="183" ht="17" customHeight="1">
      <c r="A183" s="83" t="n"/>
      <c r="B183" s="94" t="n"/>
      <c r="C183" s="46" t="n"/>
      <c r="D183" s="75" t="n"/>
      <c r="E183" s="95" t="n"/>
      <c r="F183" s="46" t="n"/>
      <c r="G183" s="96" t="n"/>
      <c r="H183" s="46" t="n"/>
      <c r="I183" s="97" t="n"/>
      <c r="J183" s="46" t="n"/>
      <c r="K183" s="46" t="n"/>
      <c r="L183" s="46" t="n"/>
      <c r="M183" s="46" t="n"/>
      <c r="N183" s="46" t="n"/>
      <c r="O183" s="46" t="n"/>
    </row>
    <row r="184" ht="17" customHeight="1">
      <c r="A184" s="83" t="n"/>
      <c r="B184" s="94" t="n"/>
      <c r="C184" s="46" t="n"/>
      <c r="D184" s="75" t="n"/>
      <c r="E184" s="95" t="n"/>
      <c r="F184" s="46" t="n"/>
      <c r="G184" s="96" t="n"/>
      <c r="H184" s="46" t="n"/>
      <c r="I184" s="97" t="n"/>
      <c r="J184" s="46" t="n"/>
      <c r="K184" s="46" t="n"/>
      <c r="L184" s="46" t="n"/>
      <c r="M184" s="46" t="n"/>
      <c r="N184" s="46" t="n"/>
      <c r="O184" s="46" t="n"/>
    </row>
    <row r="185" ht="17" customHeight="1">
      <c r="A185" s="83" t="n"/>
      <c r="B185" s="94" t="n"/>
      <c r="C185" s="46" t="n"/>
      <c r="D185" s="75" t="n"/>
      <c r="E185" s="95" t="n"/>
      <c r="F185" s="46" t="n"/>
      <c r="G185" s="96" t="n"/>
      <c r="H185" s="46" t="n"/>
      <c r="I185" s="97" t="n"/>
      <c r="J185" s="46" t="n"/>
      <c r="K185" s="46" t="n"/>
      <c r="L185" s="46" t="n"/>
      <c r="M185" s="46" t="n"/>
      <c r="N185" s="46" t="n"/>
      <c r="O185" s="46" t="n"/>
    </row>
    <row r="186" ht="17" customHeight="1">
      <c r="A186" s="83" t="n"/>
      <c r="B186" s="94" t="n"/>
      <c r="C186" s="46" t="n"/>
      <c r="D186" s="75" t="n"/>
      <c r="E186" s="95" t="n"/>
      <c r="F186" s="46" t="n"/>
      <c r="G186" s="96" t="n"/>
      <c r="H186" s="46" t="n"/>
      <c r="I186" s="97" t="n"/>
      <c r="J186" s="46" t="n"/>
      <c r="K186" s="46" t="n"/>
      <c r="L186" s="46" t="n"/>
      <c r="M186" s="46" t="n"/>
      <c r="N186" s="46" t="n"/>
      <c r="O186" s="46" t="n"/>
    </row>
    <row r="187" ht="17" customHeight="1">
      <c r="A187" s="83" t="n"/>
      <c r="B187" s="94" t="n"/>
      <c r="C187" s="46" t="n"/>
      <c r="D187" s="75" t="n"/>
      <c r="E187" s="95" t="n"/>
      <c r="F187" s="46" t="n"/>
      <c r="G187" s="96" t="n"/>
      <c r="H187" s="46" t="n"/>
      <c r="I187" s="97" t="n"/>
      <c r="J187" s="46" t="n"/>
      <c r="K187" s="46" t="n"/>
      <c r="L187" s="46" t="n"/>
      <c r="M187" s="46" t="n"/>
      <c r="N187" s="46" t="n"/>
      <c r="O187" s="46" t="n"/>
    </row>
    <row r="188" ht="17" customHeight="1">
      <c r="A188" s="83" t="n"/>
      <c r="B188" s="94" t="n"/>
      <c r="C188" s="46" t="n"/>
      <c r="D188" s="75" t="n"/>
      <c r="E188" s="95" t="n"/>
      <c r="F188" s="46" t="n"/>
      <c r="G188" s="96" t="n"/>
      <c r="H188" s="46" t="n"/>
      <c r="I188" s="97" t="n"/>
      <c r="J188" s="46" t="n"/>
      <c r="K188" s="46" t="n"/>
      <c r="L188" s="46" t="n"/>
      <c r="M188" s="46" t="n"/>
      <c r="N188" s="46" t="n"/>
      <c r="O188" s="46" t="n"/>
    </row>
    <row r="189" ht="17" customHeight="1">
      <c r="A189" s="83" t="n"/>
      <c r="B189" s="94" t="n"/>
      <c r="C189" s="46" t="n"/>
      <c r="D189" s="75" t="n"/>
      <c r="E189" s="95" t="n"/>
      <c r="F189" s="46" t="n"/>
      <c r="G189" s="96" t="n"/>
      <c r="H189" s="46" t="n"/>
      <c r="I189" s="97" t="n"/>
      <c r="J189" s="46" t="n"/>
      <c r="K189" s="46" t="n"/>
      <c r="L189" s="46" t="n"/>
      <c r="M189" s="46" t="n"/>
      <c r="N189" s="46" t="n"/>
      <c r="O189" s="46" t="n"/>
    </row>
    <row r="190" ht="17" customHeight="1">
      <c r="A190" s="83" t="n"/>
      <c r="B190" s="94" t="n"/>
      <c r="C190" s="46" t="n"/>
      <c r="D190" s="75" t="n"/>
      <c r="E190" s="95" t="n"/>
      <c r="F190" s="46" t="n"/>
      <c r="G190" s="96" t="n"/>
      <c r="H190" s="46" t="n"/>
      <c r="I190" s="97" t="n"/>
      <c r="J190" s="46" t="n"/>
      <c r="K190" s="46" t="n"/>
      <c r="L190" s="46" t="n"/>
      <c r="M190" s="46" t="n"/>
      <c r="N190" s="46" t="n"/>
      <c r="O190" s="46" t="n"/>
    </row>
    <row r="191" ht="17" customHeight="1">
      <c r="A191" s="83" t="n"/>
      <c r="B191" s="94" t="n"/>
      <c r="C191" s="46" t="n"/>
      <c r="D191" s="75" t="n"/>
      <c r="E191" s="95" t="n"/>
      <c r="F191" s="46" t="n"/>
      <c r="G191" s="96" t="n"/>
      <c r="H191" s="46" t="n"/>
      <c r="I191" s="97" t="n"/>
      <c r="J191" s="46" t="n"/>
      <c r="K191" s="46" t="n"/>
      <c r="L191" s="46" t="n"/>
      <c r="M191" s="46" t="n"/>
      <c r="N191" s="46" t="n"/>
      <c r="O191" s="46" t="n"/>
    </row>
    <row r="192" ht="17" customHeight="1">
      <c r="A192" s="83" t="n"/>
      <c r="B192" s="94" t="n"/>
      <c r="C192" s="46" t="n"/>
      <c r="D192" s="75" t="n"/>
      <c r="E192" s="95" t="n"/>
      <c r="F192" s="46" t="n"/>
      <c r="G192" s="96" t="n"/>
      <c r="H192" s="46" t="n"/>
      <c r="I192" s="97" t="n"/>
      <c r="J192" s="46" t="n"/>
      <c r="K192" s="46" t="n"/>
      <c r="L192" s="46" t="n"/>
      <c r="M192" s="46" t="n"/>
      <c r="N192" s="46" t="n"/>
      <c r="O192" s="46" t="n"/>
    </row>
    <row r="193" ht="17" customHeight="1">
      <c r="A193" s="83" t="n"/>
      <c r="B193" s="94" t="n"/>
      <c r="C193" s="46" t="n"/>
      <c r="D193" s="75" t="n"/>
      <c r="E193" s="95" t="n"/>
      <c r="F193" s="46" t="n"/>
      <c r="G193" s="96" t="n"/>
      <c r="H193" s="46" t="n"/>
      <c r="I193" s="97" t="n"/>
      <c r="J193" s="46" t="n"/>
      <c r="K193" s="46" t="n"/>
      <c r="L193" s="46" t="n"/>
      <c r="M193" s="46" t="n"/>
      <c r="N193" s="46" t="n"/>
      <c r="O193" s="46" t="n"/>
    </row>
    <row r="194" ht="22" customHeight="1">
      <c r="A194" s="31" t="inlineStr">
        <is>
          <t>TOTAL LANÇADO NO LIVRO</t>
        </is>
      </c>
      <c r="B194" s="32" t="n"/>
      <c r="C194" s="32" t="n"/>
      <c r="D194" s="32" t="n"/>
      <c r="E194" s="59">
        <f>ROUND(SUM($E$134:$E$193),2)</f>
        <v/>
      </c>
      <c r="F194" s="32" t="n"/>
      <c r="G194" s="98">
        <f>IF(COUNTA($B$134:$B$193)=COUNT($E$134:$E$193),"lançamentos: "&amp;COUNT($E$134:$E$193)&amp;" · todos classificados","ATENÇÃO: "&amp;(COUNT($E$134:$E$193)-COUNTA($B$134:$B$193))&amp;" lançamento(s) sem categoria")</f>
        <v/>
      </c>
      <c r="H194" s="32" t="n"/>
      <c r="I194" s="32" t="n"/>
      <c r="J194" s="32" t="n"/>
      <c r="K194" s="32" t="n"/>
      <c r="L194" s="32" t="n"/>
      <c r="M194" s="32" t="n"/>
      <c r="N194" s="32" t="n"/>
      <c r="O194" s="32" t="n"/>
    </row>
    <row r="196" ht="50" customHeight="1">
      <c r="A196" s="43" t="inlineStr">
        <is>
          <t xml:space="preserve">  Preencha primeiro a coluna ORÇADO com o que o orçamento previu e vá preenchendo o REALIZADO conforme o projeto anda — o desvio de cada linha é o que mostra onde o orçamento erra. Compras entram uma a uma no livro do bloco 8, com categoria, forma de pagamento e status; as categorias do bloco 6 se somam sozinhas. Você pode inserir linhas em qualquer bloco a partir da linha 26: tudo o que o Painel Geral lê está acima disso.</t>
        </is>
      </c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</row>
  </sheetData>
  <mergeCells count="561">
    <mergeCell ref="A196:O196"/>
    <mergeCell ref="I170:O170"/>
    <mergeCell ref="A15:B15"/>
    <mergeCell ref="I157:O157"/>
    <mergeCell ref="G128:O128"/>
    <mergeCell ref="B141:C141"/>
    <mergeCell ref="E142:F142"/>
    <mergeCell ref="I193:O193"/>
    <mergeCell ref="I172:O172"/>
    <mergeCell ref="H9:I9"/>
    <mergeCell ref="J76:M76"/>
    <mergeCell ref="G121:O121"/>
    <mergeCell ref="E171:F171"/>
    <mergeCell ref="G123:O123"/>
    <mergeCell ref="E137:F137"/>
    <mergeCell ref="G137:H137"/>
    <mergeCell ref="E173:F173"/>
    <mergeCell ref="H70:O70"/>
    <mergeCell ref="E148:F148"/>
    <mergeCell ref="G148:H148"/>
    <mergeCell ref="B78:C78"/>
    <mergeCell ref="D7:E7"/>
    <mergeCell ref="I183:O183"/>
    <mergeCell ref="D78:E78"/>
    <mergeCell ref="E166:F166"/>
    <mergeCell ref="G139:H139"/>
    <mergeCell ref="I175:O175"/>
    <mergeCell ref="H99:O99"/>
    <mergeCell ref="A34:C34"/>
    <mergeCell ref="I185:O185"/>
    <mergeCell ref="E168:F168"/>
    <mergeCell ref="G168:H168"/>
    <mergeCell ref="H87:I87"/>
    <mergeCell ref="H101:O101"/>
    <mergeCell ref="G143:H143"/>
    <mergeCell ref="D73:E73"/>
    <mergeCell ref="I176:O176"/>
    <mergeCell ref="J9:O9"/>
    <mergeCell ref="B154:C154"/>
    <mergeCell ref="H91:I91"/>
    <mergeCell ref="E117:F117"/>
    <mergeCell ref="A24:H24"/>
    <mergeCell ref="B156:C156"/>
    <mergeCell ref="E67:F67"/>
    <mergeCell ref="A103:B103"/>
    <mergeCell ref="H112:O112"/>
    <mergeCell ref="I138:O138"/>
    <mergeCell ref="I178:O178"/>
    <mergeCell ref="H114:O114"/>
    <mergeCell ref="E161:F161"/>
    <mergeCell ref="J73:M73"/>
    <mergeCell ref="G129:O129"/>
    <mergeCell ref="A72:O72"/>
    <mergeCell ref="J77:M77"/>
    <mergeCell ref="H75:I75"/>
    <mergeCell ref="B84:C84"/>
    <mergeCell ref="E110:F110"/>
    <mergeCell ref="H105:O105"/>
    <mergeCell ref="E16:F16"/>
    <mergeCell ref="E187:F187"/>
    <mergeCell ref="G138:H138"/>
    <mergeCell ref="B142:C142"/>
    <mergeCell ref="B80:C80"/>
    <mergeCell ref="E174:F174"/>
    <mergeCell ref="H15:O15"/>
    <mergeCell ref="H107:O107"/>
    <mergeCell ref="G126:O126"/>
    <mergeCell ref="B79:C79"/>
    <mergeCell ref="E18:F18"/>
    <mergeCell ref="D79:E79"/>
    <mergeCell ref="E189:F189"/>
    <mergeCell ref="G140:H140"/>
    <mergeCell ref="B144:C144"/>
    <mergeCell ref="F73:G73"/>
    <mergeCell ref="B81:C81"/>
    <mergeCell ref="D81:E81"/>
    <mergeCell ref="I191:O191"/>
    <mergeCell ref="H102:O102"/>
    <mergeCell ref="E29:F29"/>
    <mergeCell ref="H39:O39"/>
    <mergeCell ref="I192:O192"/>
    <mergeCell ref="E69:F69"/>
    <mergeCell ref="B170:C170"/>
    <mergeCell ref="E31:F31"/>
    <mergeCell ref="E158:F158"/>
    <mergeCell ref="E133:F133"/>
    <mergeCell ref="E108:F108"/>
    <mergeCell ref="G133:H133"/>
    <mergeCell ref="B172:C172"/>
    <mergeCell ref="E95:F95"/>
    <mergeCell ref="H28:O28"/>
    <mergeCell ref="E162:F162"/>
    <mergeCell ref="G135:H135"/>
    <mergeCell ref="B92:C92"/>
    <mergeCell ref="J74:M74"/>
    <mergeCell ref="D92:E92"/>
    <mergeCell ref="I146:O146"/>
    <mergeCell ref="F92:G92"/>
    <mergeCell ref="G153:H153"/>
    <mergeCell ref="A36:O36"/>
    <mergeCell ref="A11:O11"/>
    <mergeCell ref="B76:C76"/>
    <mergeCell ref="I181:O181"/>
    <mergeCell ref="A1:O1"/>
    <mergeCell ref="I12:O12"/>
    <mergeCell ref="E164:F164"/>
    <mergeCell ref="G164:H164"/>
    <mergeCell ref="H23:O23"/>
    <mergeCell ref="B150:C150"/>
    <mergeCell ref="E42:F42"/>
    <mergeCell ref="E17:F17"/>
    <mergeCell ref="E188:F188"/>
    <mergeCell ref="E126:F126"/>
    <mergeCell ref="B152:C152"/>
    <mergeCell ref="E180:F180"/>
    <mergeCell ref="J92:M92"/>
    <mergeCell ref="E19:F19"/>
    <mergeCell ref="E190:F190"/>
    <mergeCell ref="B145:C145"/>
    <mergeCell ref="G190:H190"/>
    <mergeCell ref="G146:H146"/>
    <mergeCell ref="B181:C181"/>
    <mergeCell ref="E182:F182"/>
    <mergeCell ref="A4:O4"/>
    <mergeCell ref="F10:O10"/>
    <mergeCell ref="H110:O110"/>
    <mergeCell ref="B87:C87"/>
    <mergeCell ref="I136:O136"/>
    <mergeCell ref="B147:C147"/>
    <mergeCell ref="D87:E87"/>
    <mergeCell ref="J87:M87"/>
    <mergeCell ref="E179:F179"/>
    <mergeCell ref="J89:M89"/>
    <mergeCell ref="D82:E82"/>
    <mergeCell ref="F82:G82"/>
    <mergeCell ref="G194:O194"/>
    <mergeCell ref="E37:F37"/>
    <mergeCell ref="E159:F159"/>
    <mergeCell ref="E97:F97"/>
    <mergeCell ref="G159:H159"/>
    <mergeCell ref="B163:C163"/>
    <mergeCell ref="H8:I8"/>
    <mergeCell ref="E109:F109"/>
    <mergeCell ref="H30:O30"/>
    <mergeCell ref="E145:F145"/>
    <mergeCell ref="E139:F139"/>
    <mergeCell ref="G161:H161"/>
    <mergeCell ref="B165:C165"/>
    <mergeCell ref="H29:O29"/>
    <mergeCell ref="E111:F111"/>
    <mergeCell ref="G136:H136"/>
    <mergeCell ref="A70:B70"/>
    <mergeCell ref="H44:O44"/>
    <mergeCell ref="H31:O31"/>
    <mergeCell ref="B77:C77"/>
    <mergeCell ref="D6:E6"/>
    <mergeCell ref="D77:E77"/>
    <mergeCell ref="I149:O149"/>
    <mergeCell ref="J82:M82"/>
    <mergeCell ref="H89:I89"/>
    <mergeCell ref="I151:O151"/>
    <mergeCell ref="B191:C191"/>
    <mergeCell ref="B178:C178"/>
    <mergeCell ref="E27:F27"/>
    <mergeCell ref="I144:O144"/>
    <mergeCell ref="E119:F119"/>
    <mergeCell ref="E183:F183"/>
    <mergeCell ref="G183:H183"/>
    <mergeCell ref="A6:C6"/>
    <mergeCell ref="E22:F22"/>
    <mergeCell ref="H42:O42"/>
    <mergeCell ref="E193:F193"/>
    <mergeCell ref="G193:H193"/>
    <mergeCell ref="D88:E88"/>
    <mergeCell ref="G149:H149"/>
    <mergeCell ref="F88:G88"/>
    <mergeCell ref="I177:O177"/>
    <mergeCell ref="G185:H185"/>
    <mergeCell ref="B90:C90"/>
    <mergeCell ref="D90:E90"/>
    <mergeCell ref="E122:F122"/>
    <mergeCell ref="G151:H151"/>
    <mergeCell ref="A45:B45"/>
    <mergeCell ref="G178:H178"/>
    <mergeCell ref="F6:G6"/>
    <mergeCell ref="J90:M90"/>
    <mergeCell ref="F83:G83"/>
    <mergeCell ref="H83:I83"/>
    <mergeCell ref="E38:F38"/>
    <mergeCell ref="A2:O2"/>
    <mergeCell ref="E147:F147"/>
    <mergeCell ref="F85:G85"/>
    <mergeCell ref="H85:I85"/>
    <mergeCell ref="G175:H175"/>
    <mergeCell ref="B179:C179"/>
    <mergeCell ref="E40:F40"/>
    <mergeCell ref="G162:H162"/>
    <mergeCell ref="H108:O108"/>
    <mergeCell ref="B166:C166"/>
    <mergeCell ref="B124:D124"/>
    <mergeCell ref="E186:F186"/>
    <mergeCell ref="G177:H177"/>
    <mergeCell ref="E104:F104"/>
    <mergeCell ref="H45:O45"/>
    <mergeCell ref="B174:C174"/>
    <mergeCell ref="B168:C168"/>
    <mergeCell ref="H32:O32"/>
    <mergeCell ref="B126:D126"/>
    <mergeCell ref="D9:E9"/>
    <mergeCell ref="H80:I80"/>
    <mergeCell ref="F9:G9"/>
    <mergeCell ref="I150:O150"/>
    <mergeCell ref="J83:M83"/>
    <mergeCell ref="I165:O165"/>
    <mergeCell ref="B169:C169"/>
    <mergeCell ref="I152:O152"/>
    <mergeCell ref="E66:F66"/>
    <mergeCell ref="J85:M85"/>
    <mergeCell ref="E130:F130"/>
    <mergeCell ref="E68:F68"/>
    <mergeCell ref="B134:C134"/>
    <mergeCell ref="G155:H155"/>
    <mergeCell ref="E160:F160"/>
    <mergeCell ref="E141:F141"/>
    <mergeCell ref="G118:O118"/>
    <mergeCell ref="E135:F135"/>
    <mergeCell ref="G157:H157"/>
    <mergeCell ref="E107:F107"/>
    <mergeCell ref="H73:I73"/>
    <mergeCell ref="E143:F143"/>
    <mergeCell ref="G172:H172"/>
    <mergeCell ref="G186:H186"/>
    <mergeCell ref="B162:C162"/>
    <mergeCell ref="D91:E91"/>
    <mergeCell ref="G152:H152"/>
    <mergeCell ref="F91:G91"/>
    <mergeCell ref="A21:B21"/>
    <mergeCell ref="I163:O163"/>
    <mergeCell ref="H84:I84"/>
    <mergeCell ref="A23:B23"/>
    <mergeCell ref="B187:C187"/>
    <mergeCell ref="E125:F125"/>
    <mergeCell ref="H86:I86"/>
    <mergeCell ref="E41:F41"/>
    <mergeCell ref="B189:C189"/>
    <mergeCell ref="E112:F112"/>
    <mergeCell ref="B188:C188"/>
    <mergeCell ref="B117:D117"/>
    <mergeCell ref="E43:F43"/>
    <mergeCell ref="J91:M91"/>
    <mergeCell ref="B190:C190"/>
    <mergeCell ref="B119:D119"/>
    <mergeCell ref="A16:B16"/>
    <mergeCell ref="G124:O124"/>
    <mergeCell ref="E138:F138"/>
    <mergeCell ref="A108:B108"/>
    <mergeCell ref="B127:D127"/>
    <mergeCell ref="I168:O168"/>
    <mergeCell ref="A18:B18"/>
    <mergeCell ref="B73:C73"/>
    <mergeCell ref="E167:F167"/>
    <mergeCell ref="H100:O100"/>
    <mergeCell ref="H7:I7"/>
    <mergeCell ref="G119:O119"/>
    <mergeCell ref="B137:C137"/>
    <mergeCell ref="E169:F169"/>
    <mergeCell ref="H66:O66"/>
    <mergeCell ref="B74:C74"/>
    <mergeCell ref="D74:E74"/>
    <mergeCell ref="B139:C139"/>
    <mergeCell ref="I184:O184"/>
    <mergeCell ref="B122:D122"/>
    <mergeCell ref="I171:O171"/>
    <mergeCell ref="H76:I76"/>
    <mergeCell ref="H95:O95"/>
    <mergeCell ref="A44:B44"/>
    <mergeCell ref="I173:O173"/>
    <mergeCell ref="H97:O97"/>
    <mergeCell ref="I166:O166"/>
    <mergeCell ref="G176:H176"/>
    <mergeCell ref="E64:F64"/>
    <mergeCell ref="J7:O7"/>
    <mergeCell ref="E156:F156"/>
    <mergeCell ref="E153:F153"/>
    <mergeCell ref="H21:O21"/>
    <mergeCell ref="E128:F128"/>
    <mergeCell ref="E155:F155"/>
    <mergeCell ref="D61:E61"/>
    <mergeCell ref="G184:H184"/>
    <mergeCell ref="G171:H171"/>
    <mergeCell ref="E65:F65"/>
    <mergeCell ref="E157:F157"/>
    <mergeCell ref="H16:O16"/>
    <mergeCell ref="A17:B17"/>
    <mergeCell ref="I134:O134"/>
    <mergeCell ref="H27:O27"/>
    <mergeCell ref="G117:O117"/>
    <mergeCell ref="A19:B19"/>
    <mergeCell ref="I161:O161"/>
    <mergeCell ref="E146:F146"/>
    <mergeCell ref="E12:F12"/>
    <mergeCell ref="G125:O125"/>
    <mergeCell ref="B138:C138"/>
    <mergeCell ref="E175:F175"/>
    <mergeCell ref="H67:O67"/>
    <mergeCell ref="H103:O103"/>
    <mergeCell ref="G127:O127"/>
    <mergeCell ref="E185:F185"/>
    <mergeCell ref="B140:C140"/>
    <mergeCell ref="I187:O187"/>
    <mergeCell ref="E170:F170"/>
    <mergeCell ref="I174:O174"/>
    <mergeCell ref="H98:O98"/>
    <mergeCell ref="D75:E75"/>
    <mergeCell ref="F75:G75"/>
    <mergeCell ref="I189:O189"/>
    <mergeCell ref="I188:O188"/>
    <mergeCell ref="G192:H192"/>
    <mergeCell ref="J8:O8"/>
    <mergeCell ref="E154:F154"/>
    <mergeCell ref="G154:H154"/>
    <mergeCell ref="B158:C158"/>
    <mergeCell ref="E172:F172"/>
    <mergeCell ref="B89:C89"/>
    <mergeCell ref="B160:C160"/>
    <mergeCell ref="D89:E89"/>
    <mergeCell ref="H18:O18"/>
    <mergeCell ref="L61:M61"/>
    <mergeCell ref="A194:D194"/>
    <mergeCell ref="I142:O142"/>
    <mergeCell ref="B153:C153"/>
    <mergeCell ref="J75:M75"/>
    <mergeCell ref="B184:C184"/>
    <mergeCell ref="H113:O113"/>
    <mergeCell ref="E20:F20"/>
    <mergeCell ref="I137:O137"/>
    <mergeCell ref="E177:F177"/>
    <mergeCell ref="E13:F13"/>
    <mergeCell ref="I164:O164"/>
    <mergeCell ref="I139:O139"/>
    <mergeCell ref="B88:C88"/>
    <mergeCell ref="B148:C148"/>
    <mergeCell ref="B82:C82"/>
    <mergeCell ref="E149:F149"/>
    <mergeCell ref="E176:F176"/>
    <mergeCell ref="E114:F114"/>
    <mergeCell ref="J88:M88"/>
    <mergeCell ref="A63:O63"/>
    <mergeCell ref="E15:F15"/>
    <mergeCell ref="E191:F191"/>
    <mergeCell ref="G142:H142"/>
    <mergeCell ref="B146:C146"/>
    <mergeCell ref="E178:F178"/>
    <mergeCell ref="H37:O37"/>
    <mergeCell ref="B83:C83"/>
    <mergeCell ref="B143:C143"/>
    <mergeCell ref="D83:E83"/>
    <mergeCell ref="E144:F144"/>
    <mergeCell ref="G144:H144"/>
    <mergeCell ref="H104:O104"/>
    <mergeCell ref="B85:C85"/>
    <mergeCell ref="A94:O94"/>
    <mergeCell ref="I190:O190"/>
    <mergeCell ref="D85:E85"/>
    <mergeCell ref="G173:H173"/>
    <mergeCell ref="H92:I92"/>
    <mergeCell ref="H106:O106"/>
    <mergeCell ref="F78:G78"/>
    <mergeCell ref="E106:F106"/>
    <mergeCell ref="H78:I78"/>
    <mergeCell ref="E33:F33"/>
    <mergeCell ref="H43:O43"/>
    <mergeCell ref="B159:C159"/>
    <mergeCell ref="D80:E80"/>
    <mergeCell ref="G170:H170"/>
    <mergeCell ref="B167:C167"/>
    <mergeCell ref="A26:O26"/>
    <mergeCell ref="B161:C161"/>
    <mergeCell ref="H6:I6"/>
    <mergeCell ref="H130:O130"/>
    <mergeCell ref="H68:O68"/>
    <mergeCell ref="B136:C136"/>
    <mergeCell ref="E28:F28"/>
    <mergeCell ref="B175:C175"/>
    <mergeCell ref="E30:F30"/>
    <mergeCell ref="J84:M84"/>
    <mergeCell ref="I145:O145"/>
    <mergeCell ref="J78:M78"/>
    <mergeCell ref="H69:O69"/>
    <mergeCell ref="A9:C9"/>
    <mergeCell ref="I147:O147"/>
    <mergeCell ref="J80:M80"/>
    <mergeCell ref="D8:E8"/>
    <mergeCell ref="J79:M79"/>
    <mergeCell ref="G150:H150"/>
    <mergeCell ref="I186:O186"/>
    <mergeCell ref="E21:F21"/>
    <mergeCell ref="J6:O6"/>
    <mergeCell ref="H82:I82"/>
    <mergeCell ref="B91:C91"/>
    <mergeCell ref="E192:F192"/>
    <mergeCell ref="H20:O20"/>
    <mergeCell ref="E129:F129"/>
    <mergeCell ref="H38:O38"/>
    <mergeCell ref="E23:F23"/>
    <mergeCell ref="D84:E84"/>
    <mergeCell ref="B155:C155"/>
    <mergeCell ref="G145:H145"/>
    <mergeCell ref="F84:G84"/>
    <mergeCell ref="B149:C149"/>
    <mergeCell ref="E181:F181"/>
    <mergeCell ref="B193:C193"/>
    <mergeCell ref="E194:F194"/>
    <mergeCell ref="G181:H181"/>
    <mergeCell ref="A3:O3"/>
    <mergeCell ref="H40:O40"/>
    <mergeCell ref="B86:C86"/>
    <mergeCell ref="G160:H160"/>
    <mergeCell ref="D86:E86"/>
    <mergeCell ref="I140:O140"/>
    <mergeCell ref="G147:H147"/>
    <mergeCell ref="F86:G86"/>
    <mergeCell ref="H64:O64"/>
    <mergeCell ref="B151:C151"/>
    <mergeCell ref="F80:G80"/>
    <mergeCell ref="G174:H174"/>
    <mergeCell ref="I158:O158"/>
    <mergeCell ref="I133:O133"/>
    <mergeCell ref="G189:H189"/>
    <mergeCell ref="F79:G79"/>
    <mergeCell ref="H79:I79"/>
    <mergeCell ref="E34:F34"/>
    <mergeCell ref="B182:C182"/>
    <mergeCell ref="E105:F105"/>
    <mergeCell ref="I160:O160"/>
    <mergeCell ref="E99:F99"/>
    <mergeCell ref="I135:O135"/>
    <mergeCell ref="F81:G81"/>
    <mergeCell ref="H81:I81"/>
    <mergeCell ref="E163:F163"/>
    <mergeCell ref="E101:F101"/>
    <mergeCell ref="G163:H163"/>
    <mergeCell ref="A22:B22"/>
    <mergeCell ref="B125:D125"/>
    <mergeCell ref="E113:F113"/>
    <mergeCell ref="B183:C183"/>
    <mergeCell ref="B177:C177"/>
    <mergeCell ref="E100:F100"/>
    <mergeCell ref="B164:C164"/>
    <mergeCell ref="J86:M86"/>
    <mergeCell ref="E136:F136"/>
    <mergeCell ref="G165:H165"/>
    <mergeCell ref="H33:O33"/>
    <mergeCell ref="I24:O24"/>
    <mergeCell ref="E102:F102"/>
    <mergeCell ref="G158:H158"/>
    <mergeCell ref="B120:D120"/>
    <mergeCell ref="D10:E10"/>
    <mergeCell ref="G169:H169"/>
    <mergeCell ref="I148:O148"/>
    <mergeCell ref="I153:O153"/>
    <mergeCell ref="E127:F127"/>
    <mergeCell ref="F74:G74"/>
    <mergeCell ref="B180:C180"/>
    <mergeCell ref="H74:I74"/>
    <mergeCell ref="G191:H191"/>
    <mergeCell ref="D76:E76"/>
    <mergeCell ref="F76:G76"/>
    <mergeCell ref="A47:O47"/>
    <mergeCell ref="B157:C157"/>
    <mergeCell ref="I179:O179"/>
    <mergeCell ref="B186:C186"/>
    <mergeCell ref="I141:O141"/>
    <mergeCell ref="E124:F124"/>
    <mergeCell ref="H65:O65"/>
    <mergeCell ref="E120:F120"/>
    <mergeCell ref="I159:O159"/>
    <mergeCell ref="I143:O143"/>
    <mergeCell ref="E184:F184"/>
    <mergeCell ref="A7:C7"/>
    <mergeCell ref="G122:O122"/>
    <mergeCell ref="E121:F121"/>
    <mergeCell ref="F87:G87"/>
    <mergeCell ref="B185:C185"/>
    <mergeCell ref="E151:F151"/>
    <mergeCell ref="H41:O41"/>
    <mergeCell ref="E123:F123"/>
    <mergeCell ref="F89:G89"/>
    <mergeCell ref="E150:F150"/>
    <mergeCell ref="E39:F39"/>
    <mergeCell ref="G179:H179"/>
    <mergeCell ref="F7:G7"/>
    <mergeCell ref="E44:F44"/>
    <mergeCell ref="B176:C176"/>
    <mergeCell ref="G166:H166"/>
    <mergeCell ref="H34:O34"/>
    <mergeCell ref="B128:D128"/>
    <mergeCell ref="G141:H141"/>
    <mergeCell ref="E103:F103"/>
    <mergeCell ref="E152:F152"/>
    <mergeCell ref="A116:O116"/>
    <mergeCell ref="E118:F118"/>
    <mergeCell ref="F8:G8"/>
    <mergeCell ref="A12:B12"/>
    <mergeCell ref="C12:D12"/>
    <mergeCell ref="G167:H167"/>
    <mergeCell ref="I154:O154"/>
    <mergeCell ref="B171:C171"/>
    <mergeCell ref="B123:D123"/>
    <mergeCell ref="I156:O156"/>
    <mergeCell ref="E70:F70"/>
    <mergeCell ref="F77:G77"/>
    <mergeCell ref="H77:I77"/>
    <mergeCell ref="H96:O96"/>
    <mergeCell ref="E32:F32"/>
    <mergeCell ref="G120:O120"/>
    <mergeCell ref="B133:C133"/>
    <mergeCell ref="E134:F134"/>
    <mergeCell ref="G134:H134"/>
    <mergeCell ref="B173:C173"/>
    <mergeCell ref="E96:F96"/>
    <mergeCell ref="B75:C75"/>
    <mergeCell ref="B135:C135"/>
    <mergeCell ref="I180:O180"/>
    <mergeCell ref="A130:B130"/>
    <mergeCell ref="I167:O167"/>
    <mergeCell ref="E98:F98"/>
    <mergeCell ref="I182:O182"/>
    <mergeCell ref="E165:F165"/>
    <mergeCell ref="I169:O169"/>
    <mergeCell ref="I13:O13"/>
    <mergeCell ref="E140:F140"/>
    <mergeCell ref="G156:H156"/>
    <mergeCell ref="B118:D118"/>
    <mergeCell ref="A8:C8"/>
    <mergeCell ref="H61:I61"/>
    <mergeCell ref="H88:I88"/>
    <mergeCell ref="J81:M81"/>
    <mergeCell ref="G187:H187"/>
    <mergeCell ref="A10:C10"/>
    <mergeCell ref="H17:O17"/>
    <mergeCell ref="F90:G90"/>
    <mergeCell ref="H90:I90"/>
    <mergeCell ref="H109:O109"/>
    <mergeCell ref="G180:H180"/>
    <mergeCell ref="E45:F45"/>
    <mergeCell ref="H22:O22"/>
    <mergeCell ref="B129:D129"/>
    <mergeCell ref="H19:O19"/>
    <mergeCell ref="G188:H188"/>
    <mergeCell ref="B192:C192"/>
    <mergeCell ref="A20:B20"/>
    <mergeCell ref="H111:O111"/>
    <mergeCell ref="B121:D121"/>
    <mergeCell ref="G182:H182"/>
    <mergeCell ref="I162:O162"/>
    <mergeCell ref="A132:O132"/>
    <mergeCell ref="A13:B13"/>
    <mergeCell ref="C13:D13"/>
    <mergeCell ref="I155:O155"/>
    <mergeCell ref="A114:B114"/>
  </mergeCells>
  <conditionalFormatting sqref="I134:O193">
    <cfRule type="expression" priority="1" dxfId="0" stopIfTrue="1">
      <formula>$I134="Pago"</formula>
    </cfRule>
    <cfRule type="expression" priority="2" dxfId="3" stopIfTrue="1">
      <formula>$I134="Comprado (a pagar)"</formula>
    </cfRule>
    <cfRule type="expression" priority="3" dxfId="1" stopIfTrue="1">
      <formula>$I134="A comprar"</formula>
    </cfRule>
  </conditionalFormatting>
  <conditionalFormatting sqref="A134:O193">
    <cfRule type="expression" priority="4" dxfId="6">
      <formula>AND($E134&lt;&gt;"",$B134="")</formula>
    </cfRule>
  </conditionalFormatting>
  <conditionalFormatting sqref="E16:F22">
    <cfRule type="expression" priority="5" dxfId="4">
      <formula>AND($E16&lt;&gt;"",$E16&gt;0)</formula>
    </cfRule>
    <cfRule type="expression" priority="6" dxfId="5">
      <formula>AND($E16&lt;&gt;"",$E16&lt;0)</formula>
    </cfRule>
  </conditionalFormatting>
  <conditionalFormatting sqref="E96:F114">
    <cfRule type="expression" priority="7" dxfId="4">
      <formula>AND($E96&lt;&gt;"",$E96&gt;0)</formula>
    </cfRule>
    <cfRule type="expression" priority="8" dxfId="5">
      <formula>AND($E96&lt;&gt;"",$E96&lt;0)</formula>
    </cfRule>
  </conditionalFormatting>
  <conditionalFormatting sqref="J9">
    <cfRule type="expression" priority="9" dxfId="0" stopIfTrue="1">
      <formula>$J$9="No prazo"</formula>
    </cfRule>
    <cfRule type="expression" priority="10" dxfId="2">
      <formula>$J$9="Atrasado"</formula>
    </cfRule>
  </conditionalFormatting>
  <conditionalFormatting sqref="A13:J13">
    <cfRule type="expression" priority="11" dxfId="6">
      <formula>AND($G$13&lt;&gt;"",$G$13&lt;0.25)</formula>
    </cfRule>
  </conditionalFormatting>
  <dataValidations count="12">
    <dataValidation sqref="D10:E1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"Jan/2026,Fev/2026,Mar/2026,Abr/2026,Mai/2026,Jun/2026,Jul/2026,Ago/2026,Set/2026,Out/2026,Nov/2026,Dez/2026,Jan/2027,Fev/2027,Mar/2027,Abr/2027,Mai/2027,Jun/2027,Jul/2027,Ago/2027,Set/2027,Out/2027,Nov/2027,Dez/2027"</formula1>
    </dataValidation>
    <dataValidation sqref="D49:D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H49:H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L49:L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"Lorrane,Lucas,Externo / avulso"</formula1>
    </dataValidation>
    <dataValidation sqref="H66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A74:A91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B118:B12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"Erro de projeto,Erro de medição,Erro de produção,Erro de montagem,Falha de material,Dano no transporte,Mudança pedida pelo cliente,Falha de fornecedor,Outro"</formula1>
    </dataValidation>
    <dataValidation sqref="B134:B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"MDF e MDP,Fita de borda,Ferragens,Vidros e espelhos,Esquadrias,Lâmina natural,Consumíveis,Acabamento,Serralheria,Vidraceiro,Outro terceirizado,Uber e aplicativo,Carreto e entrega,Deslocamento da equipe,Frete de material,Estacionamento e pedágio"</formula1>
    </dataValidation>
    <dataValidation sqref="G134:G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"PIX,Boleto,Cartão de crédito,Cartão parcelado,Dinheiro,Transferência,Faturado 30 dias,A combinar"</formula1>
    </dataValidation>
    <dataValidation sqref="I134:I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"A comprar,Comprado (a pagar),Pago"</formula1>
    </dataValidation>
    <dataValidation sqref="D9:E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"Jonathan,Vitor,Indicação,Arquiteto parceiro,Outro"</formula1>
    </dataValidation>
    <dataValidation sqref="F9:G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</dataValidations>
  <pageMargins left="0.4" right="0.3" top="0.4" bottom="0.3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196"/>
  <sheetViews>
    <sheetView showGridLines="0"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14" customWidth="1" min="3" max="3"/>
    <col width="16" customWidth="1" min="4" max="4"/>
    <col width="7" customWidth="1" min="5" max="5"/>
    <col width="13" customWidth="1" min="6" max="6"/>
    <col width="13" customWidth="1" min="7" max="7"/>
    <col width="16" customWidth="1" min="8" max="8"/>
    <col width="7" customWidth="1" min="9" max="9"/>
    <col width="13" customWidth="1" min="10" max="10"/>
    <col width="13" customWidth="1" min="11" max="11"/>
    <col width="15" customWidth="1" min="12" max="12"/>
    <col width="7" customWidth="1" min="13" max="13"/>
    <col width="13" customWidth="1" min="14" max="14"/>
    <col width="14" customWidth="1" min="15" max="15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8" customHeight="1">
      <c r="A3" s="4" t="inlineStr">
        <is>
          <t>FICHA DE CUSTO DO PROJETO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 ht="17" customHeight="1">
      <c r="A4" s="6" t="inlineStr">
        <is>
          <t>Fundo creme = você preenche · fundo cinza = calculado · duplique esta aba a cada projeto e registre o nome dela no Painel Geral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 ht="6" customHeight="1"/>
    <row r="6" ht="13" customHeight="1">
      <c r="A6" s="44" t="inlineStr">
        <is>
          <t>CLIENTE</t>
        </is>
      </c>
      <c r="B6" s="13" t="n"/>
      <c r="C6" s="13" t="n"/>
      <c r="D6" s="44" t="inlineStr">
        <is>
          <t>Nº DO PROJETO</t>
        </is>
      </c>
      <c r="E6" s="13" t="n"/>
      <c r="F6" s="44" t="inlineStr">
        <is>
          <t>DATA DE ENTRADA</t>
        </is>
      </c>
      <c r="G6" s="13" t="n"/>
      <c r="H6" s="44" t="inlineStr">
        <is>
          <t>ENTREGA PREVISTA</t>
        </is>
      </c>
      <c r="I6" s="13" t="n"/>
      <c r="J6" s="44" t="inlineStr">
        <is>
          <t>ENTREGA REAL</t>
        </is>
      </c>
      <c r="K6" s="13" t="n"/>
      <c r="L6" s="13" t="n"/>
      <c r="M6" s="13" t="n"/>
      <c r="N6" s="13" t="n"/>
      <c r="O6" s="13" t="n"/>
    </row>
    <row r="7" ht="21" customHeight="1">
      <c r="A7" s="45" t="n"/>
      <c r="B7" s="46" t="n"/>
      <c r="C7" s="46" t="n"/>
      <c r="D7" s="45" t="n"/>
      <c r="E7" s="46" t="n"/>
      <c r="F7" s="47" t="n"/>
      <c r="G7" s="46" t="n"/>
      <c r="H7" s="47" t="n"/>
      <c r="I7" s="46" t="n"/>
      <c r="J7" s="47" t="n"/>
      <c r="K7" s="46" t="n"/>
      <c r="L7" s="46" t="n"/>
      <c r="M7" s="46" t="n"/>
      <c r="N7" s="46" t="n"/>
      <c r="O7" s="46" t="n"/>
    </row>
    <row r="8" ht="13" customHeight="1">
      <c r="A8" s="44" t="inlineStr">
        <is>
          <t>PROJETO</t>
        </is>
      </c>
      <c r="B8" s="13" t="n"/>
      <c r="C8" s="13" t="n"/>
      <c r="D8" s="44" t="inlineStr">
        <is>
          <t>VENDEDOR</t>
        </is>
      </c>
      <c r="E8" s="13" t="n"/>
      <c r="F8" s="44" t="inlineStr">
        <is>
          <t>COORDENADOR</t>
        </is>
      </c>
      <c r="G8" s="13" t="n"/>
      <c r="H8" s="44" t="inlineStr">
        <is>
          <t>DIAS DE ATRASO</t>
        </is>
      </c>
      <c r="I8" s="13" t="n"/>
      <c r="J8" s="44" t="inlineStr">
        <is>
          <t>SITUAÇÃO DA ENTREGA</t>
        </is>
      </c>
      <c r="K8" s="13" t="n"/>
      <c r="L8" s="13" t="n"/>
      <c r="M8" s="13" t="n"/>
      <c r="N8" s="13" t="n"/>
      <c r="O8" s="13" t="n"/>
    </row>
    <row r="9" ht="21" customHeight="1">
      <c r="A9" s="45" t="n"/>
      <c r="B9" s="46" t="n"/>
      <c r="C9" s="46" t="n"/>
      <c r="D9" s="45" t="n"/>
      <c r="E9" s="46" t="n"/>
      <c r="F9" s="48" t="n"/>
      <c r="G9" s="46" t="n"/>
      <c r="H9" s="49">
        <f>IF(OR($H$7="",$J$7=""),"",$J$7-$H$7)</f>
        <v/>
      </c>
      <c r="I9" s="38" t="n"/>
      <c r="J9" s="50">
        <f>IF($H$7="","",IF($J$7="",IF(TODAY()&gt;$H$7,"Atrasado","Em produção"),IF($H$9&lt;=0,"No prazo","Atrasado")))</f>
        <v/>
      </c>
      <c r="K9" s="38" t="n"/>
      <c r="L9" s="38" t="n"/>
      <c r="M9" s="38" t="n"/>
      <c r="N9" s="38" t="n"/>
      <c r="O9" s="38" t="n"/>
    </row>
    <row r="10" ht="18" customHeight="1">
      <c r="A10" s="51" t="inlineStr">
        <is>
          <t>MÊS DE COMPETÊNCIA</t>
        </is>
      </c>
      <c r="B10" s="37" t="n"/>
      <c r="C10" s="37" t="n"/>
      <c r="D10" s="52" t="n"/>
      <c r="E10" s="46" t="n"/>
      <c r="F10" s="53" t="inlineStr">
        <is>
          <t>o mês em que a receita e o custo deste projeto pesam no painel de competência</t>
        </is>
      </c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</row>
    <row r="11" ht="20" customHeight="1">
      <c r="A11" s="8" t="inlineStr">
        <is>
          <t xml:space="preserve">  RESULTADO DO PROJETO          tudo aqui se atualiza conforme você lança os custos mais abaixo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</row>
    <row r="12" ht="13" customHeight="1">
      <c r="A12" s="44" t="inlineStr">
        <is>
          <t>VALOR DE VENDA</t>
        </is>
      </c>
      <c r="B12" s="13" t="n"/>
      <c r="C12" s="44" t="inlineStr">
        <is>
          <t>CUSTO TOTAL</t>
        </is>
      </c>
      <c r="D12" s="13" t="n"/>
      <c r="E12" s="44" t="inlineStr">
        <is>
          <t>MARGEM DE CONTRIBUIÇÃO</t>
        </is>
      </c>
      <c r="F12" s="13" t="n"/>
      <c r="G12" s="44" t="inlineStr">
        <is>
          <t>MC %</t>
        </is>
      </c>
      <c r="H12" s="44" t="inlineStr">
        <is>
          <t>MC % ORÇADA</t>
        </is>
      </c>
      <c r="I12" s="44" t="inlineStr">
        <is>
          <t>DESVIO DE CUSTO</t>
        </is>
      </c>
      <c r="J12" s="13" t="n"/>
      <c r="K12" s="13" t="n"/>
      <c r="L12" s="13" t="n"/>
      <c r="M12" s="13" t="n"/>
      <c r="N12" s="13" t="n"/>
      <c r="O12" s="13" t="n"/>
    </row>
    <row r="13" ht="30" customHeight="1">
      <c r="A13" s="54">
        <f>IF($D$28="",$C$28,$D$28)</f>
        <v/>
      </c>
      <c r="B13" s="15" t="n"/>
      <c r="C13" s="54">
        <f>IF($D$22=0,"",$D$22)</f>
        <v/>
      </c>
      <c r="D13" s="15" t="n"/>
      <c r="E13" s="54">
        <f>IF($A$13="","",$D$23)</f>
        <v/>
      </c>
      <c r="F13" s="15" t="n"/>
      <c r="G13" s="55">
        <f>IF(OR($A$13="",$A$13=0),"",$D$23/$A$13)</f>
        <v/>
      </c>
      <c r="H13" s="55">
        <f>IF(OR($C$28="",$C$28=0),"",$C$23/$C$28)</f>
        <v/>
      </c>
      <c r="I13" s="54">
        <f>IF(OR($C$22=0,$D$22=0),"",ROUND($D$22-$C$22,2))</f>
        <v/>
      </c>
      <c r="J13" s="15" t="n"/>
      <c r="K13" s="15" t="n"/>
      <c r="L13" s="15" t="n"/>
      <c r="M13" s="15" t="n"/>
      <c r="N13" s="15" t="n"/>
      <c r="O13" s="15" t="n"/>
    </row>
    <row r="14" ht="8" customHeight="1"/>
    <row r="15" ht="26" customHeight="1">
      <c r="A15" s="19" t="inlineStr">
        <is>
          <t>Resumo por categoria</t>
        </is>
      </c>
      <c r="B15" s="35" t="n"/>
      <c r="C15" s="19" t="inlineStr">
        <is>
          <t>Orçado (R$)</t>
        </is>
      </c>
      <c r="D15" s="19" t="inlineStr">
        <is>
          <t>Realizado (R$)</t>
        </is>
      </c>
      <c r="E15" s="19" t="inlineStr">
        <is>
          <t>Desvio (R$)</t>
        </is>
      </c>
      <c r="F15" s="35" t="n"/>
      <c r="G15" s="19" t="inlineStr">
        <is>
          <t>Desvio (%)</t>
        </is>
      </c>
      <c r="H15" s="19" t="inlineStr">
        <is>
          <t>% da venda realizada</t>
        </is>
      </c>
      <c r="I15" s="35" t="n"/>
      <c r="J15" s="35" t="n"/>
      <c r="K15" s="35" t="n"/>
      <c r="L15" s="35" t="n"/>
      <c r="M15" s="35" t="n"/>
      <c r="N15" s="35" t="n"/>
      <c r="O15" s="35" t="n"/>
    </row>
    <row r="16" ht="18" customHeight="1">
      <c r="A16" s="36" t="inlineStr">
        <is>
          <t>Custos de venda</t>
        </is>
      </c>
      <c r="B16" s="37" t="n"/>
      <c r="C16" s="56">
        <f>IF(C44="","",C44)</f>
        <v/>
      </c>
      <c r="D16" s="56">
        <f>IF(D44="","",D44)</f>
        <v/>
      </c>
      <c r="E16" s="56">
        <f>IF(OR($C16="",$D16=""),"",ROUND($D16-$C16,2))</f>
        <v/>
      </c>
      <c r="F16" s="38" t="n"/>
      <c r="G16" s="57">
        <f>IF(OR($C16="",$C16=0,$D16=""),"",$D16/$C16-1)</f>
        <v/>
      </c>
      <c r="H16" s="58">
        <f>IF(OR($D16="",$A$13="",$A$13=0),"",$D16/$A$13)</f>
        <v/>
      </c>
      <c r="I16" s="38" t="n"/>
      <c r="J16" s="38" t="n"/>
      <c r="K16" s="38" t="n"/>
      <c r="L16" s="38" t="n"/>
      <c r="M16" s="38" t="n"/>
      <c r="N16" s="38" t="n"/>
      <c r="O16" s="38" t="n"/>
    </row>
    <row r="17" ht="18" customHeight="1">
      <c r="A17" s="36" t="inlineStr">
        <is>
          <t>Comissões operacionais</t>
        </is>
      </c>
      <c r="B17" s="37" t="n"/>
      <c r="C17" s="56">
        <f>IF(C70="","",C70)</f>
        <v/>
      </c>
      <c r="D17" s="56">
        <f>IF(D70="","",D70)</f>
        <v/>
      </c>
      <c r="E17" s="56">
        <f>IF(OR($C17="",$D17=""),"",ROUND($D17-$C17,2))</f>
        <v/>
      </c>
      <c r="F17" s="38" t="n"/>
      <c r="G17" s="57">
        <f>IF(OR($C17="",$C17=0,$D17=""),"",$D17/$C17-1)</f>
        <v/>
      </c>
      <c r="H17" s="58">
        <f>IF(OR($D17="",$A$13="",$A$13=0),"",$D17/$A$13)</f>
        <v/>
      </c>
      <c r="I17" s="38" t="n"/>
      <c r="J17" s="38" t="n"/>
      <c r="K17" s="38" t="n"/>
      <c r="L17" s="38" t="n"/>
      <c r="M17" s="38" t="n"/>
      <c r="N17" s="38" t="n"/>
      <c r="O17" s="38" t="n"/>
    </row>
    <row r="18" ht="18" customHeight="1">
      <c r="A18" s="36" t="inlineStr">
        <is>
          <t>Material</t>
        </is>
      </c>
      <c r="B18" s="37" t="n"/>
      <c r="C18" s="56">
        <f>IF(C103="","",C103)</f>
        <v/>
      </c>
      <c r="D18" s="56">
        <f>IF(D103="","",D103)</f>
        <v/>
      </c>
      <c r="E18" s="56">
        <f>IF(OR($C18="",$D18=""),"",ROUND($D18-$C18,2))</f>
        <v/>
      </c>
      <c r="F18" s="38" t="n"/>
      <c r="G18" s="57">
        <f>IF(OR($C18="",$C18=0,$D18=""),"",$D18/$C18-1)</f>
        <v/>
      </c>
      <c r="H18" s="58">
        <f>IF(OR($D18="",$A$13="",$A$13=0),"",$D18/$A$13)</f>
        <v/>
      </c>
      <c r="I18" s="38" t="n"/>
      <c r="J18" s="38" t="n"/>
      <c r="K18" s="38" t="n"/>
      <c r="L18" s="38" t="n"/>
      <c r="M18" s="38" t="n"/>
      <c r="N18" s="38" t="n"/>
      <c r="O18" s="38" t="n"/>
    </row>
    <row r="19" ht="18" customHeight="1">
      <c r="A19" s="36" t="inlineStr">
        <is>
          <t>Serviços terceirizados</t>
        </is>
      </c>
      <c r="B19" s="37" t="n"/>
      <c r="C19" s="56">
        <f>IF(C108="","",C108)</f>
        <v/>
      </c>
      <c r="D19" s="56">
        <f>IF(D108="","",D108)</f>
        <v/>
      </c>
      <c r="E19" s="56">
        <f>IF(OR($C19="",$D19=""),"",ROUND($D19-$C19,2))</f>
        <v/>
      </c>
      <c r="F19" s="38" t="n"/>
      <c r="G19" s="57">
        <f>IF(OR($C19="",$C19=0,$D19=""),"",$D19/$C19-1)</f>
        <v/>
      </c>
      <c r="H19" s="58">
        <f>IF(OR($D19="",$A$13="",$A$13=0),"",$D19/$A$13)</f>
        <v/>
      </c>
      <c r="I19" s="38" t="n"/>
      <c r="J19" s="38" t="n"/>
      <c r="K19" s="38" t="n"/>
      <c r="L19" s="38" t="n"/>
      <c r="M19" s="38" t="n"/>
      <c r="N19" s="38" t="n"/>
      <c r="O19" s="38" t="n"/>
    </row>
    <row r="20" ht="18" customHeight="1">
      <c r="A20" s="36" t="inlineStr">
        <is>
          <t>Logística</t>
        </is>
      </c>
      <c r="B20" s="37" t="n"/>
      <c r="C20" s="56">
        <f>IF(C114="","",C114)</f>
        <v/>
      </c>
      <c r="D20" s="56">
        <f>IF(D114="","",D114)</f>
        <v/>
      </c>
      <c r="E20" s="56">
        <f>IF(OR($C20="",$D20=""),"",ROUND($D20-$C20,2))</f>
        <v/>
      </c>
      <c r="F20" s="38" t="n"/>
      <c r="G20" s="57">
        <f>IF(OR($C20="",$C20=0,$D20=""),"",$D20/$C20-1)</f>
        <v/>
      </c>
      <c r="H20" s="58">
        <f>IF(OR($D20="",$A$13="",$A$13=0),"",$D20/$A$13)</f>
        <v/>
      </c>
      <c r="I20" s="38" t="n"/>
      <c r="J20" s="38" t="n"/>
      <c r="K20" s="38" t="n"/>
      <c r="L20" s="38" t="n"/>
      <c r="M20" s="38" t="n"/>
      <c r="N20" s="38" t="n"/>
      <c r="O20" s="38" t="n"/>
    </row>
    <row r="21" ht="18" customHeight="1">
      <c r="A21" s="36" t="inlineStr">
        <is>
          <t>Retrabalho</t>
        </is>
      </c>
      <c r="B21" s="37" t="n"/>
      <c r="C21" s="56">
        <f>IF(C130="","",C130)</f>
        <v/>
      </c>
      <c r="D21" s="56">
        <f>IF(D130="","",D130)</f>
        <v/>
      </c>
      <c r="E21" s="56">
        <f>IF(OR($C21="",$D21=""),"",ROUND($D21-$C21,2))</f>
        <v/>
      </c>
      <c r="F21" s="38" t="n"/>
      <c r="G21" s="57">
        <f>IF(OR($C21="",$C21=0,$D21=""),"",$D21/$C21-1)</f>
        <v/>
      </c>
      <c r="H21" s="58">
        <f>IF(OR($D21="",$A$13="",$A$13=0),"",$D21/$A$13)</f>
        <v/>
      </c>
      <c r="I21" s="38" t="n"/>
      <c r="J21" s="38" t="n"/>
      <c r="K21" s="38" t="n"/>
      <c r="L21" s="38" t="n"/>
      <c r="M21" s="38" t="n"/>
      <c r="N21" s="38" t="n"/>
      <c r="O21" s="38" t="n"/>
    </row>
    <row r="22" ht="22" customHeight="1">
      <c r="A22" s="31" t="inlineStr">
        <is>
          <t>(=) CUSTO TOTAL DO PROJETO</t>
        </is>
      </c>
      <c r="B22" s="32" t="n"/>
      <c r="C22" s="59">
        <f>ROUND(SUM(C16:C21),2)</f>
        <v/>
      </c>
      <c r="D22" s="59">
        <f>ROUND(SUM(D16:D21),2)</f>
        <v/>
      </c>
      <c r="E22" s="60">
        <f>ROUND($D$22-$C$22,2)</f>
        <v/>
      </c>
      <c r="F22" s="32" t="n"/>
      <c r="G22" s="61">
        <f>IF(OR($C$22="",$C$22=0),"",$D$22/$C$22-1)</f>
        <v/>
      </c>
      <c r="H22" s="62">
        <f>IF(OR($A$13="",$A$13=0),"",$D$22/$A$13)</f>
        <v/>
      </c>
      <c r="I22" s="32" t="n"/>
      <c r="J22" s="32" t="n"/>
      <c r="K22" s="32" t="n"/>
      <c r="L22" s="32" t="n"/>
      <c r="M22" s="32" t="n"/>
      <c r="N22" s="32" t="n"/>
      <c r="O22" s="32" t="n"/>
    </row>
    <row r="23" ht="28" customHeight="1">
      <c r="A23" s="63" t="inlineStr">
        <is>
          <t>(=) MARGEM DE CONTRIBUIÇÃO</t>
        </is>
      </c>
      <c r="B23" s="64" t="n"/>
      <c r="C23" s="65">
        <f>ROUND($C$28-$C$22,2)</f>
        <v/>
      </c>
      <c r="D23" s="65">
        <f>ROUND($A$13-$D$22,2)</f>
        <v/>
      </c>
      <c r="E23" s="66">
        <f>ROUND($D$23-$C$23,2)</f>
        <v/>
      </c>
      <c r="F23" s="64" t="n"/>
      <c r="G23" s="67">
        <f>IF(OR($C$28="",$C$28=0),"",$C$23/$C$28)</f>
        <v/>
      </c>
      <c r="H23" s="68">
        <f>IF(OR($A$13="",$A$13=0),"",$D$23/$A$13)</f>
        <v/>
      </c>
      <c r="I23" s="64" t="n"/>
      <c r="J23" s="64" t="n"/>
      <c r="K23" s="64" t="n"/>
      <c r="L23" s="64" t="n"/>
      <c r="M23" s="64" t="n"/>
      <c r="N23" s="64" t="n"/>
      <c r="O23" s="64" t="n"/>
    </row>
    <row r="24" ht="22" customHeight="1">
      <c r="A24" s="69">
        <f>IF($A$13="","",IF(ROUND(SUMIF($I$134:$I$193,"A comprar",$E$134:$E$193),2)+ROUND(SUMIF($I$134:$I$193,"Comprado (a pagar)",$E$134:$E$193),2)=0,"   Nenhuma compra pendente lançada — o custo realizado já é o custo final.","   Já comprado e ainda a pagar: "&amp;TEXT(ROUND(SUMIF($I$134:$I$193,"Comprado (a pagar)",$E$134:$E$193),2),"R$ #,##0")&amp;"   ·   custo projetado: "&amp;TEXT($D$22+ROUND(SUMIF($I$134:$I$193,"A comprar",$E$134:$E$193),2),"R$ #,##0")&amp;"   ·   MC projetada: "&amp;TEXT(($A$13-$D$22-ROUND(SUMIF($I$134:$I$193,"A comprar",$E$134:$E$193),2))/$A$13,"0.0%")))</f>
        <v/>
      </c>
      <c r="B24" s="15" t="n"/>
      <c r="C24" s="15" t="n"/>
      <c r="D24" s="15" t="n"/>
      <c r="E24" s="15" t="n"/>
      <c r="F24" s="15" t="n"/>
      <c r="G24" s="15" t="n"/>
      <c r="H24" s="15" t="n"/>
      <c r="I24" s="70">
        <f>IF($A$13="","",ROUND(SUMIF($I$134:$I$193,"A comprar",$E$134:$E$193),2))</f>
        <v/>
      </c>
      <c r="J24" s="15" t="n"/>
      <c r="K24" s="15" t="n"/>
      <c r="L24" s="15" t="n"/>
      <c r="M24" s="15" t="n"/>
      <c r="N24" s="15" t="n"/>
      <c r="O24" s="15" t="n"/>
    </row>
    <row r="25" ht="8" customHeight="1"/>
    <row r="26" ht="20" customHeight="1">
      <c r="A26" s="8" t="inlineStr">
        <is>
          <t xml:space="preserve">  1 · VALOR DE VENDA E NOTAS EMITIDAS          o que foi vendido e o que já virou nota — a diferença é o que falta faturar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 ht="26" customHeight="1">
      <c r="A27" s="19" t="inlineStr">
        <is>
          <t>Item</t>
        </is>
      </c>
      <c r="B27" s="19" t="inlineStr">
        <is>
          <t>%</t>
        </is>
      </c>
      <c r="C27" s="19" t="inlineStr">
        <is>
          <t>Orçado (R$)</t>
        </is>
      </c>
      <c r="D27" s="19" t="inlineStr">
        <is>
          <t>Realizado (R$)</t>
        </is>
      </c>
      <c r="E27" s="19" t="inlineStr">
        <is>
          <t>Desvio (R$)</t>
        </is>
      </c>
      <c r="F27" s="35" t="n"/>
      <c r="G27" s="19" t="inlineStr">
        <is>
          <t>% da venda</t>
        </is>
      </c>
      <c r="H27" s="19" t="inlineStr">
        <is>
          <t>Observação</t>
        </is>
      </c>
      <c r="I27" s="35" t="n"/>
      <c r="J27" s="35" t="n"/>
      <c r="K27" s="35" t="n"/>
      <c r="L27" s="35" t="n"/>
      <c r="M27" s="35" t="n"/>
      <c r="N27" s="35" t="n"/>
      <c r="O27" s="35" t="n"/>
    </row>
    <row r="28" ht="17" customHeight="1">
      <c r="A28" s="36" t="inlineStr">
        <is>
          <t>Valor de venda do projeto</t>
        </is>
      </c>
      <c r="B28" s="37" t="n"/>
      <c r="C28" s="71" t="n"/>
      <c r="D28" s="71" t="n"/>
      <c r="E28" s="56">
        <f>IF(OR($C28="",$D28=""),"",ROUND($D28-$C28,2))</f>
        <v/>
      </c>
      <c r="F28" s="38" t="n"/>
      <c r="G28" s="72" t="n"/>
      <c r="H28" s="73" t="inlineStr">
        <is>
          <t>Orçado = valor da proposta · Realizado = valor fechado</t>
        </is>
      </c>
      <c r="I28" s="46" t="n"/>
      <c r="J28" s="46" t="n"/>
      <c r="K28" s="46" t="n"/>
      <c r="L28" s="46" t="n"/>
      <c r="M28" s="46" t="n"/>
      <c r="N28" s="46" t="n"/>
      <c r="O28" s="46" t="n"/>
    </row>
    <row r="29" ht="22" customHeight="1">
      <c r="A29" s="19" t="inlineStr">
        <is>
          <t>Nota fiscal</t>
        </is>
      </c>
      <c r="B29" s="19" t="inlineStr">
        <is>
          <t>Número</t>
        </is>
      </c>
      <c r="C29" s="19" t="inlineStr">
        <is>
          <t>Data</t>
        </is>
      </c>
      <c r="D29" s="19" t="inlineStr">
        <is>
          <t>Valor (R$)</t>
        </is>
      </c>
      <c r="E29" s="19" t="inlineStr"/>
      <c r="F29" s="35" t="n"/>
      <c r="G29" s="19" t="inlineStr">
        <is>
          <t>% da venda</t>
        </is>
      </c>
      <c r="H29" s="19" t="inlineStr">
        <is>
          <t>Observação</t>
        </is>
      </c>
      <c r="I29" s="35" t="n"/>
      <c r="J29" s="35" t="n"/>
      <c r="K29" s="35" t="n"/>
      <c r="L29" s="35" t="n"/>
      <c r="M29" s="35" t="n"/>
      <c r="N29" s="35" t="n"/>
      <c r="O29" s="35" t="n"/>
    </row>
    <row r="30" ht="17" customHeight="1">
      <c r="A30" s="36" t="inlineStr">
        <is>
          <t>Nota 1</t>
        </is>
      </c>
      <c r="B30" s="74" t="n"/>
      <c r="C30" s="75" t="n"/>
      <c r="D30" s="76" t="n"/>
      <c r="E30" s="37" t="n"/>
      <c r="F30" s="37" t="n"/>
      <c r="G30" s="72">
        <f>IF(OR($D30="",$A$13="",$A$13=0),"",$D30/$A$13)</f>
        <v/>
      </c>
      <c r="H30" s="73" t="n"/>
      <c r="I30" s="46" t="n"/>
      <c r="J30" s="46" t="n"/>
      <c r="K30" s="46" t="n"/>
      <c r="L30" s="46" t="n"/>
      <c r="M30" s="46" t="n"/>
      <c r="N30" s="46" t="n"/>
      <c r="O30" s="46" t="n"/>
    </row>
    <row r="31" ht="17" customHeight="1">
      <c r="A31" s="36" t="inlineStr">
        <is>
          <t>Nota 2</t>
        </is>
      </c>
      <c r="B31" s="74" t="n"/>
      <c r="C31" s="75" t="n"/>
      <c r="D31" s="76" t="n"/>
      <c r="E31" s="37" t="n"/>
      <c r="F31" s="37" t="n"/>
      <c r="G31" s="72">
        <f>IF(OR($D31="",$A$13="",$A$13=0),"",$D31/$A$13)</f>
        <v/>
      </c>
      <c r="H31" s="73" t="n"/>
      <c r="I31" s="46" t="n"/>
      <c r="J31" s="46" t="n"/>
      <c r="K31" s="46" t="n"/>
      <c r="L31" s="46" t="n"/>
      <c r="M31" s="46" t="n"/>
      <c r="N31" s="46" t="n"/>
      <c r="O31" s="46" t="n"/>
    </row>
    <row r="32" ht="17" customHeight="1">
      <c r="A32" s="36" t="inlineStr">
        <is>
          <t>Nota 3</t>
        </is>
      </c>
      <c r="B32" s="74" t="n"/>
      <c r="C32" s="75" t="n"/>
      <c r="D32" s="76" t="n"/>
      <c r="E32" s="37" t="n"/>
      <c r="F32" s="37" t="n"/>
      <c r="G32" s="72">
        <f>IF(OR($D32="",$A$13="",$A$13=0),"",$D32/$A$13)</f>
        <v/>
      </c>
      <c r="H32" s="73" t="n"/>
      <c r="I32" s="46" t="n"/>
      <c r="J32" s="46" t="n"/>
      <c r="K32" s="46" t="n"/>
      <c r="L32" s="46" t="n"/>
      <c r="M32" s="46" t="n"/>
      <c r="N32" s="46" t="n"/>
      <c r="O32" s="46" t="n"/>
    </row>
    <row r="33" ht="17" customHeight="1">
      <c r="A33" s="36" t="inlineStr">
        <is>
          <t>Nota 4</t>
        </is>
      </c>
      <c r="B33" s="74" t="n"/>
      <c r="C33" s="75" t="n"/>
      <c r="D33" s="76" t="n"/>
      <c r="E33" s="37" t="n"/>
      <c r="F33" s="37" t="n"/>
      <c r="G33" s="72">
        <f>IF(OR($D33="",$A$13="",$A$13=0),"",$D33/$A$13)</f>
        <v/>
      </c>
      <c r="H33" s="73" t="n"/>
      <c r="I33" s="46" t="n"/>
      <c r="J33" s="46" t="n"/>
      <c r="K33" s="46" t="n"/>
      <c r="L33" s="46" t="n"/>
      <c r="M33" s="46" t="n"/>
      <c r="N33" s="46" t="n"/>
      <c r="O33" s="46" t="n"/>
    </row>
    <row r="34" ht="20" customHeight="1">
      <c r="A34" s="31" t="inlineStr">
        <is>
          <t>(=) TOTAL FATURADO  →</t>
        </is>
      </c>
      <c r="B34" s="32" t="n"/>
      <c r="C34" s="32" t="n"/>
      <c r="D34" s="60">
        <f>ROUND(SUM($D$30:$D$33),2)</f>
        <v/>
      </c>
      <c r="E34" s="32" t="n"/>
      <c r="F34" s="32" t="n"/>
      <c r="G34" s="62">
        <f>IF(OR($A$13="",$A$13=0),"",$D$34/$A$13)</f>
        <v/>
      </c>
      <c r="H34" s="77">
        <f>IF(OR($A$13="",$A$13=0),"",IF(ROUND($A$13-$D$34,2)&lt;=0,"   Projeto totalmente faturado.","   Ainda a faturar: "&amp;TEXT($A$13-$D$34,"R$ #,##0.00")))</f>
        <v/>
      </c>
      <c r="I34" s="32" t="n"/>
      <c r="J34" s="32" t="n"/>
      <c r="K34" s="32" t="n"/>
      <c r="L34" s="32" t="n"/>
      <c r="M34" s="32" t="n"/>
      <c r="N34" s="32" t="n"/>
      <c r="O34" s="32" t="n"/>
    </row>
    <row r="35" ht="8" customHeight="1"/>
    <row r="36" ht="20" customHeight="1">
      <c r="A36" s="8" t="inlineStr">
        <is>
          <t xml:space="preserve">  2 · CUSTOS DE VENDA          tudo que sai por causa da venda · define a RECEITA LÍQUIDA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</row>
    <row r="37" ht="26" customHeight="1">
      <c r="A37" s="19" t="inlineStr">
        <is>
          <t>Item</t>
        </is>
      </c>
      <c r="B37" s="19" t="inlineStr">
        <is>
          <t>%</t>
        </is>
      </c>
      <c r="C37" s="19" t="inlineStr">
        <is>
          <t>Orçado (R$)</t>
        </is>
      </c>
      <c r="D37" s="19" t="inlineStr">
        <is>
          <t>Realizado (R$)</t>
        </is>
      </c>
      <c r="E37" s="19" t="inlineStr">
        <is>
          <t>Desvio (R$)</t>
        </is>
      </c>
      <c r="F37" s="35" t="n"/>
      <c r="G37" s="19" t="inlineStr">
        <is>
          <t>% da venda</t>
        </is>
      </c>
      <c r="H37" s="19" t="inlineStr">
        <is>
          <t>Observação</t>
        </is>
      </c>
      <c r="I37" s="35" t="n"/>
      <c r="J37" s="35" t="n"/>
      <c r="K37" s="35" t="n"/>
      <c r="L37" s="35" t="n"/>
      <c r="M37" s="35" t="n"/>
      <c r="N37" s="35" t="n"/>
      <c r="O37" s="35" t="n"/>
    </row>
    <row r="38" ht="17" customHeight="1">
      <c r="A38" s="36" t="inlineStr">
        <is>
          <t>Impostos sobre a nota (Simples)</t>
        </is>
      </c>
      <c r="B38" s="78" t="n"/>
      <c r="C38" s="56">
        <f>IF($B38="","",ROUND($B38*$C$28,2))</f>
        <v/>
      </c>
      <c r="D38" s="56">
        <f>IF($B38="","",ROUND($B38*$A$13,2))</f>
        <v/>
      </c>
      <c r="E38" s="56">
        <f>IF(OR($C38="",$D38=""),"",ROUND($D38-$C38,2))</f>
        <v/>
      </c>
      <c r="F38" s="38" t="n"/>
      <c r="G38" s="72">
        <f>IF(OR($D38="",$A$13="",$A$13=0),"",$D38/$A$13)</f>
        <v/>
      </c>
      <c r="H38" s="73" t="inlineStr">
        <is>
          <t>% sobre o valor de venda</t>
        </is>
      </c>
      <c r="I38" s="46" t="n"/>
      <c r="J38" s="46" t="n"/>
      <c r="K38" s="46" t="n"/>
      <c r="L38" s="46" t="n"/>
      <c r="M38" s="46" t="n"/>
      <c r="N38" s="46" t="n"/>
      <c r="O38" s="46" t="n"/>
    </row>
    <row r="39" ht="17" customHeight="1">
      <c r="A39" s="36" t="inlineStr">
        <is>
          <t>Taxa de máquina de cartão</t>
        </is>
      </c>
      <c r="B39" s="78" t="n"/>
      <c r="C39" s="56">
        <f>IF($B39="","",ROUND($B39*$C$28,2))</f>
        <v/>
      </c>
      <c r="D39" s="56">
        <f>IF($B39="","",ROUND($B39*$A$13,2))</f>
        <v/>
      </c>
      <c r="E39" s="56">
        <f>IF(OR($C39="",$D39=""),"",ROUND($D39-$C39,2))</f>
        <v/>
      </c>
      <c r="F39" s="38" t="n"/>
      <c r="G39" s="72">
        <f>IF(OR($D39="",$A$13="",$A$13=0),"",$D39/$A$13)</f>
        <v/>
      </c>
      <c r="H39" s="73" t="inlineStr">
        <is>
          <t>% sobre o valor de venda</t>
        </is>
      </c>
      <c r="I39" s="46" t="n"/>
      <c r="J39" s="46" t="n"/>
      <c r="K39" s="46" t="n"/>
      <c r="L39" s="46" t="n"/>
      <c r="M39" s="46" t="n"/>
      <c r="N39" s="46" t="n"/>
      <c r="O39" s="46" t="n"/>
    </row>
    <row r="40" ht="17" customHeight="1">
      <c r="A40" s="36" t="inlineStr">
        <is>
          <t>Taxas de transação (PIX, boleto, TED)</t>
        </is>
      </c>
      <c r="B40" s="37" t="n"/>
      <c r="C40" s="71" t="n"/>
      <c r="D40" s="71" t="n"/>
      <c r="E40" s="56">
        <f>IF(OR($C40="",$D40=""),"",ROUND($D40-$C40,2))</f>
        <v/>
      </c>
      <c r="F40" s="38" t="n"/>
      <c r="G40" s="72">
        <f>IF(OR($D40="",$A$13="",$A$13=0),"",$D40/$A$13)</f>
        <v/>
      </c>
      <c r="H40" s="73" t="inlineStr">
        <is>
          <t>valor em reais</t>
        </is>
      </c>
      <c r="I40" s="46" t="n"/>
      <c r="J40" s="46" t="n"/>
      <c r="K40" s="46" t="n"/>
      <c r="L40" s="46" t="n"/>
      <c r="M40" s="46" t="n"/>
      <c r="N40" s="46" t="n"/>
      <c r="O40" s="46" t="n"/>
    </row>
    <row r="41" ht="17" customHeight="1">
      <c r="A41" s="36" t="inlineStr">
        <is>
          <t>Comissão de venda (vendedor)</t>
        </is>
      </c>
      <c r="B41" s="78" t="n"/>
      <c r="C41" s="56">
        <f>IF($B41="","",ROUND($B41*$C$28,2))</f>
        <v/>
      </c>
      <c r="D41" s="56">
        <f>IF($B41="","",ROUND($B41*$A$13,2))</f>
        <v/>
      </c>
      <c r="E41" s="56">
        <f>IF(OR($C41="",$D41=""),"",ROUND($D41-$C41,2))</f>
        <v/>
      </c>
      <c r="F41" s="38" t="n"/>
      <c r="G41" s="72">
        <f>IF(OR($D41="",$A$13="",$A$13=0),"",$D41/$A$13)</f>
        <v/>
      </c>
      <c r="H41" s="73" t="inlineStr">
        <is>
          <t>% sobre o valor de venda</t>
        </is>
      </c>
      <c r="I41" s="46" t="n"/>
      <c r="J41" s="46" t="n"/>
      <c r="K41" s="46" t="n"/>
      <c r="L41" s="46" t="n"/>
      <c r="M41" s="46" t="n"/>
      <c r="N41" s="46" t="n"/>
      <c r="O41" s="46" t="n"/>
    </row>
    <row r="42" ht="17" customHeight="1">
      <c r="A42" s="36" t="inlineStr">
        <is>
          <t>Projeto / anteprojeto (externo)</t>
        </is>
      </c>
      <c r="B42" s="37" t="n"/>
      <c r="C42" s="71" t="n"/>
      <c r="D42" s="71" t="n"/>
      <c r="E42" s="56">
        <f>IF(OR($C42="",$D42=""),"",ROUND($D42-$C42,2))</f>
        <v/>
      </c>
      <c r="F42" s="38" t="n"/>
      <c r="G42" s="72">
        <f>IF(OR($D42="",$A$13="",$A$13=0),"",$D42/$A$13)</f>
        <v/>
      </c>
      <c r="H42" s="73" t="inlineStr">
        <is>
          <t>projetista ou arquiteto contratado para o projeto</t>
        </is>
      </c>
      <c r="I42" s="46" t="n"/>
      <c r="J42" s="46" t="n"/>
      <c r="K42" s="46" t="n"/>
      <c r="L42" s="46" t="n"/>
      <c r="M42" s="46" t="n"/>
      <c r="N42" s="46" t="n"/>
      <c r="O42" s="46" t="n"/>
    </row>
    <row r="43" ht="17" customHeight="1">
      <c r="A43" s="36" t="inlineStr">
        <is>
          <t>RT do parceiro</t>
        </is>
      </c>
      <c r="B43" s="78" t="n"/>
      <c r="C43" s="56">
        <f>IF($B43="","",ROUND($B43*($C$28-SUM($C$38:$C$40)),2))</f>
        <v/>
      </c>
      <c r="D43" s="56">
        <f>IF($B43="","",ROUND($B43*($A$13-SUM($D$38:$D$40)),2))</f>
        <v/>
      </c>
      <c r="E43" s="56">
        <f>IF(OR($C43="",$D43=""),"",ROUND($D43-$C43,2))</f>
        <v/>
      </c>
      <c r="F43" s="38" t="n"/>
      <c r="G43" s="72">
        <f>IF(OR($D43="",$A$13="",$A$13=0),"",$D43/$A$13)</f>
        <v/>
      </c>
      <c r="H43" s="73" t="inlineStr">
        <is>
          <t>% sobre o líquido: venda menos impostos, máquina e taxas</t>
        </is>
      </c>
      <c r="I43" s="46" t="n"/>
      <c r="J43" s="46" t="n"/>
      <c r="K43" s="46" t="n"/>
      <c r="L43" s="46" t="n"/>
      <c r="M43" s="46" t="n"/>
      <c r="N43" s="46" t="n"/>
      <c r="O43" s="46" t="n"/>
    </row>
    <row r="44" ht="20" customHeight="1">
      <c r="A44" s="31" t="inlineStr">
        <is>
          <t>(=) SUBTOTAL DOS CUSTOS DE VENDA</t>
        </is>
      </c>
      <c r="B44" s="32" t="n"/>
      <c r="C44" s="60">
        <f>ROUND(SUM(C38:C43),2)</f>
        <v/>
      </c>
      <c r="D44" s="60">
        <f>ROUND(SUM(D38:D43),2)</f>
        <v/>
      </c>
      <c r="E44" s="60">
        <f>ROUND($D44-$C44,2)</f>
        <v/>
      </c>
      <c r="F44" s="32" t="n"/>
      <c r="G44" s="62">
        <f>IF(OR($A$13="",$A$13=0),"",$D44/$A$13)</f>
        <v/>
      </c>
      <c r="H44" s="32" t="n"/>
      <c r="I44" s="32" t="n"/>
      <c r="J44" s="32" t="n"/>
      <c r="K44" s="32" t="n"/>
      <c r="L44" s="32" t="n"/>
      <c r="M44" s="32" t="n"/>
      <c r="N44" s="32" t="n"/>
      <c r="O44" s="32" t="n"/>
    </row>
    <row r="45" ht="24" customHeight="1">
      <c r="A45" s="79" t="inlineStr">
        <is>
          <t>(=) RECEITA LÍQUIDA</t>
        </is>
      </c>
      <c r="B45" s="64" t="n"/>
      <c r="C45" s="80">
        <f>ROUND($C$28-$C$44,2)</f>
        <v/>
      </c>
      <c r="D45" s="80">
        <f>ROUND($A$13-$D$44,2)</f>
        <v/>
      </c>
      <c r="E45" s="66">
        <f>ROUND($D$45-$C$45,2)</f>
        <v/>
      </c>
      <c r="F45" s="64" t="n"/>
      <c r="G45" s="81">
        <f>IF(OR($A$13="",$A$13=0),"",$D$45/$A$13)</f>
        <v/>
      </c>
      <c r="H45" s="82" t="inlineStr">
        <is>
          <t>É esta a base das comissões: coordenação, produção, montagem e projetista</t>
        </is>
      </c>
      <c r="I45" s="64" t="n"/>
      <c r="J45" s="64" t="n"/>
      <c r="K45" s="64" t="n"/>
      <c r="L45" s="64" t="n"/>
      <c r="M45" s="64" t="n"/>
      <c r="N45" s="64" t="n"/>
      <c r="O45" s="64" t="n"/>
    </row>
    <row r="46" ht="8" customHeight="1"/>
    <row r="47" ht="20" customHeight="1">
      <c r="A47" s="8" t="inlineStr">
        <is>
          <t xml:space="preserve">  3 · AMBIENTES, PRODUÇÃO, MONTAGEM E PROJETO          cada ambiente com quem produziu, quem montou e quem projetou · a comissão incide sobre a receita líquida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</row>
    <row r="48" ht="32" customHeight="1">
      <c r="A48" s="19" t="inlineStr">
        <is>
          <t>Ambiente</t>
        </is>
      </c>
      <c r="B48" s="19" t="inlineStr">
        <is>
          <t>% do total</t>
        </is>
      </c>
      <c r="C48" s="19" t="inlineStr">
        <is>
          <t>Valor do ambiente (R$)</t>
        </is>
      </c>
      <c r="D48" s="19" t="inlineStr">
        <is>
          <t>Produção — quem</t>
        </is>
      </c>
      <c r="E48" s="19" t="inlineStr">
        <is>
          <t>%</t>
        </is>
      </c>
      <c r="F48" s="19" t="inlineStr">
        <is>
          <t>Comissão produção (R$)</t>
        </is>
      </c>
      <c r="G48" s="19" t="inlineStr">
        <is>
          <t>Fabricado em</t>
        </is>
      </c>
      <c r="H48" s="19" t="inlineStr">
        <is>
          <t>Montagem — quem</t>
        </is>
      </c>
      <c r="I48" s="19" t="inlineStr">
        <is>
          <t>%</t>
        </is>
      </c>
      <c r="J48" s="19" t="inlineStr">
        <is>
          <t>Comissão montagem (R$)</t>
        </is>
      </c>
      <c r="K48" s="19" t="inlineStr">
        <is>
          <t>Montado em</t>
        </is>
      </c>
      <c r="L48" s="19" t="inlineStr">
        <is>
          <t>Projetista — quem</t>
        </is>
      </c>
      <c r="M48" s="19" t="inlineStr">
        <is>
          <t>%</t>
        </is>
      </c>
      <c r="N48" s="19" t="inlineStr">
        <is>
          <t>Comissão projetista (R$)</t>
        </is>
      </c>
      <c r="O48" s="19" t="inlineStr">
        <is>
          <t>Total do ambiente</t>
        </is>
      </c>
    </row>
    <row r="49" ht="18" customHeight="1">
      <c r="A49" s="83" t="n"/>
      <c r="B49" s="72">
        <f>IF(OR($C49="",$A$13="",$A$13=0),"",$C49/$A$13)</f>
        <v/>
      </c>
      <c r="C49" s="76" t="n"/>
      <c r="D49" s="83" t="n"/>
      <c r="E49" s="78" t="n"/>
      <c r="F49" s="56">
        <f>IF(OR($B49="",$E49="",$D$45=""),"",ROUND($B49*$D$45*$E49,2))</f>
        <v/>
      </c>
      <c r="G49" s="84" t="n"/>
      <c r="H49" s="83" t="n"/>
      <c r="I49" s="78" t="n"/>
      <c r="J49" s="56">
        <f>IF(OR($B49="",$I49="",$D$45=""),"",ROUND($B49*$D$45*$I49,2))</f>
        <v/>
      </c>
      <c r="K49" s="84" t="n"/>
      <c r="L49" s="83" t="n"/>
      <c r="M49" s="78" t="n"/>
      <c r="N49" s="56">
        <f>IF(OR($B49="",$M49="",$D$45=""),"",ROUND($B49*$D$45*$M49,2))</f>
        <v/>
      </c>
      <c r="O49" s="85">
        <f>IF(AND($F49="",$J49="",$N49=""),"",ROUND(IF($F49="",0,$F49)+IF($J49="",0,$J49)+IF($N49="",0,$N49),2))</f>
        <v/>
      </c>
    </row>
    <row r="50" ht="18" customHeight="1">
      <c r="A50" s="83" t="n"/>
      <c r="B50" s="72">
        <f>IF(OR($C50="",$A$13="",$A$13=0),"",$C50/$A$13)</f>
        <v/>
      </c>
      <c r="C50" s="76" t="n"/>
      <c r="D50" s="83" t="n"/>
      <c r="E50" s="78" t="n"/>
      <c r="F50" s="56">
        <f>IF(OR($B50="",$E50="",$D$45=""),"",ROUND($B50*$D$45*$E50,2))</f>
        <v/>
      </c>
      <c r="G50" s="84" t="n"/>
      <c r="H50" s="83" t="n"/>
      <c r="I50" s="78" t="n"/>
      <c r="J50" s="56">
        <f>IF(OR($B50="",$I50="",$D$45=""),"",ROUND($B50*$D$45*$I50,2))</f>
        <v/>
      </c>
      <c r="K50" s="84" t="n"/>
      <c r="L50" s="83" t="n"/>
      <c r="M50" s="78" t="n"/>
      <c r="N50" s="56">
        <f>IF(OR($B50="",$M50="",$D$45=""),"",ROUND($B50*$D$45*$M50,2))</f>
        <v/>
      </c>
      <c r="O50" s="85">
        <f>IF(AND($F50="",$J50="",$N50=""),"",ROUND(IF($F50="",0,$F50)+IF($J50="",0,$J50)+IF($N50="",0,$N50),2))</f>
        <v/>
      </c>
    </row>
    <row r="51" ht="18" customHeight="1">
      <c r="A51" s="83" t="n"/>
      <c r="B51" s="72">
        <f>IF(OR($C51="",$A$13="",$A$13=0),"",$C51/$A$13)</f>
        <v/>
      </c>
      <c r="C51" s="76" t="n"/>
      <c r="D51" s="83" t="n"/>
      <c r="E51" s="78" t="n"/>
      <c r="F51" s="56">
        <f>IF(OR($B51="",$E51="",$D$45=""),"",ROUND($B51*$D$45*$E51,2))</f>
        <v/>
      </c>
      <c r="G51" s="84" t="n"/>
      <c r="H51" s="83" t="n"/>
      <c r="I51" s="78" t="n"/>
      <c r="J51" s="56">
        <f>IF(OR($B51="",$I51="",$D$45=""),"",ROUND($B51*$D$45*$I51,2))</f>
        <v/>
      </c>
      <c r="K51" s="84" t="n"/>
      <c r="L51" s="83" t="n"/>
      <c r="M51" s="78" t="n"/>
      <c r="N51" s="56">
        <f>IF(OR($B51="",$M51="",$D$45=""),"",ROUND($B51*$D$45*$M51,2))</f>
        <v/>
      </c>
      <c r="O51" s="85">
        <f>IF(AND($F51="",$J51="",$N51=""),"",ROUND(IF($F51="",0,$F51)+IF($J51="",0,$J51)+IF($N51="",0,$N51),2))</f>
        <v/>
      </c>
    </row>
    <row r="52" ht="18" customHeight="1">
      <c r="A52" s="83" t="n"/>
      <c r="B52" s="72">
        <f>IF(OR($C52="",$A$13="",$A$13=0),"",$C52/$A$13)</f>
        <v/>
      </c>
      <c r="C52" s="76" t="n"/>
      <c r="D52" s="83" t="n"/>
      <c r="E52" s="78" t="n"/>
      <c r="F52" s="56">
        <f>IF(OR($B52="",$E52="",$D$45=""),"",ROUND($B52*$D$45*$E52,2))</f>
        <v/>
      </c>
      <c r="G52" s="84" t="n"/>
      <c r="H52" s="83" t="n"/>
      <c r="I52" s="78" t="n"/>
      <c r="J52" s="56">
        <f>IF(OR($B52="",$I52="",$D$45=""),"",ROUND($B52*$D$45*$I52,2))</f>
        <v/>
      </c>
      <c r="K52" s="84" t="n"/>
      <c r="L52" s="83" t="n"/>
      <c r="M52" s="78" t="n"/>
      <c r="N52" s="56">
        <f>IF(OR($B52="",$M52="",$D$45=""),"",ROUND($B52*$D$45*$M52,2))</f>
        <v/>
      </c>
      <c r="O52" s="85">
        <f>IF(AND($F52="",$J52="",$N52=""),"",ROUND(IF($F52="",0,$F52)+IF($J52="",0,$J52)+IF($N52="",0,$N52),2))</f>
        <v/>
      </c>
    </row>
    <row r="53" ht="18" customHeight="1">
      <c r="A53" s="83" t="n"/>
      <c r="B53" s="72">
        <f>IF(OR($C53="",$A$13="",$A$13=0),"",$C53/$A$13)</f>
        <v/>
      </c>
      <c r="C53" s="76" t="n"/>
      <c r="D53" s="83" t="n"/>
      <c r="E53" s="78" t="n"/>
      <c r="F53" s="56">
        <f>IF(OR($B53="",$E53="",$D$45=""),"",ROUND($B53*$D$45*$E53,2))</f>
        <v/>
      </c>
      <c r="G53" s="84" t="n"/>
      <c r="H53" s="83" t="n"/>
      <c r="I53" s="78" t="n"/>
      <c r="J53" s="56">
        <f>IF(OR($B53="",$I53="",$D$45=""),"",ROUND($B53*$D$45*$I53,2))</f>
        <v/>
      </c>
      <c r="K53" s="84" t="n"/>
      <c r="L53" s="83" t="n"/>
      <c r="M53" s="78" t="n"/>
      <c r="N53" s="56">
        <f>IF(OR($B53="",$M53="",$D$45=""),"",ROUND($B53*$D$45*$M53,2))</f>
        <v/>
      </c>
      <c r="O53" s="85">
        <f>IF(AND($F53="",$J53="",$N53=""),"",ROUND(IF($F53="",0,$F53)+IF($J53="",0,$J53)+IF($N53="",0,$N53),2))</f>
        <v/>
      </c>
    </row>
    <row r="54" ht="18" customHeight="1">
      <c r="A54" s="83" t="n"/>
      <c r="B54" s="72">
        <f>IF(OR($C54="",$A$13="",$A$13=0),"",$C54/$A$13)</f>
        <v/>
      </c>
      <c r="C54" s="76" t="n"/>
      <c r="D54" s="83" t="n"/>
      <c r="E54" s="78" t="n"/>
      <c r="F54" s="56">
        <f>IF(OR($B54="",$E54="",$D$45=""),"",ROUND($B54*$D$45*$E54,2))</f>
        <v/>
      </c>
      <c r="G54" s="84" t="n"/>
      <c r="H54" s="83" t="n"/>
      <c r="I54" s="78" t="n"/>
      <c r="J54" s="56">
        <f>IF(OR($B54="",$I54="",$D$45=""),"",ROUND($B54*$D$45*$I54,2))</f>
        <v/>
      </c>
      <c r="K54" s="84" t="n"/>
      <c r="L54" s="83" t="n"/>
      <c r="M54" s="78" t="n"/>
      <c r="N54" s="56">
        <f>IF(OR($B54="",$M54="",$D$45=""),"",ROUND($B54*$D$45*$M54,2))</f>
        <v/>
      </c>
      <c r="O54" s="85">
        <f>IF(AND($F54="",$J54="",$N54=""),"",ROUND(IF($F54="",0,$F54)+IF($J54="",0,$J54)+IF($N54="",0,$N54),2))</f>
        <v/>
      </c>
    </row>
    <row r="55" ht="18" customHeight="1">
      <c r="A55" s="83" t="n"/>
      <c r="B55" s="72">
        <f>IF(OR($C55="",$A$13="",$A$13=0),"",$C55/$A$13)</f>
        <v/>
      </c>
      <c r="C55" s="76" t="n"/>
      <c r="D55" s="83" t="n"/>
      <c r="E55" s="78" t="n"/>
      <c r="F55" s="56">
        <f>IF(OR($B55="",$E55="",$D$45=""),"",ROUND($B55*$D$45*$E55,2))</f>
        <v/>
      </c>
      <c r="G55" s="84" t="n"/>
      <c r="H55" s="83" t="n"/>
      <c r="I55" s="78" t="n"/>
      <c r="J55" s="56">
        <f>IF(OR($B55="",$I55="",$D$45=""),"",ROUND($B55*$D$45*$I55,2))</f>
        <v/>
      </c>
      <c r="K55" s="84" t="n"/>
      <c r="L55" s="83" t="n"/>
      <c r="M55" s="78" t="n"/>
      <c r="N55" s="56">
        <f>IF(OR($B55="",$M55="",$D$45=""),"",ROUND($B55*$D$45*$M55,2))</f>
        <v/>
      </c>
      <c r="O55" s="85">
        <f>IF(AND($F55="",$J55="",$N55=""),"",ROUND(IF($F55="",0,$F55)+IF($J55="",0,$J55)+IF($N55="",0,$N55),2))</f>
        <v/>
      </c>
    </row>
    <row r="56" ht="18" customHeight="1">
      <c r="A56" s="83" t="n"/>
      <c r="B56" s="72">
        <f>IF(OR($C56="",$A$13="",$A$13=0),"",$C56/$A$13)</f>
        <v/>
      </c>
      <c r="C56" s="76" t="n"/>
      <c r="D56" s="83" t="n"/>
      <c r="E56" s="78" t="n"/>
      <c r="F56" s="56">
        <f>IF(OR($B56="",$E56="",$D$45=""),"",ROUND($B56*$D$45*$E56,2))</f>
        <v/>
      </c>
      <c r="G56" s="84" t="n"/>
      <c r="H56" s="83" t="n"/>
      <c r="I56" s="78" t="n"/>
      <c r="J56" s="56">
        <f>IF(OR($B56="",$I56="",$D$45=""),"",ROUND($B56*$D$45*$I56,2))</f>
        <v/>
      </c>
      <c r="K56" s="84" t="n"/>
      <c r="L56" s="83" t="n"/>
      <c r="M56" s="78" t="n"/>
      <c r="N56" s="56">
        <f>IF(OR($B56="",$M56="",$D$45=""),"",ROUND($B56*$D$45*$M56,2))</f>
        <v/>
      </c>
      <c r="O56" s="85">
        <f>IF(AND($F56="",$J56="",$N56=""),"",ROUND(IF($F56="",0,$F56)+IF($J56="",0,$J56)+IF($N56="",0,$N56),2))</f>
        <v/>
      </c>
    </row>
    <row r="57" ht="18" customHeight="1">
      <c r="A57" s="83" t="n"/>
      <c r="B57" s="72">
        <f>IF(OR($C57="",$A$13="",$A$13=0),"",$C57/$A$13)</f>
        <v/>
      </c>
      <c r="C57" s="76" t="n"/>
      <c r="D57" s="83" t="n"/>
      <c r="E57" s="78" t="n"/>
      <c r="F57" s="56">
        <f>IF(OR($B57="",$E57="",$D$45=""),"",ROUND($B57*$D$45*$E57,2))</f>
        <v/>
      </c>
      <c r="G57" s="84" t="n"/>
      <c r="H57" s="83" t="n"/>
      <c r="I57" s="78" t="n"/>
      <c r="J57" s="56">
        <f>IF(OR($B57="",$I57="",$D$45=""),"",ROUND($B57*$D$45*$I57,2))</f>
        <v/>
      </c>
      <c r="K57" s="84" t="n"/>
      <c r="L57" s="83" t="n"/>
      <c r="M57" s="78" t="n"/>
      <c r="N57" s="56">
        <f>IF(OR($B57="",$M57="",$D$45=""),"",ROUND($B57*$D$45*$M57,2))</f>
        <v/>
      </c>
      <c r="O57" s="85">
        <f>IF(AND($F57="",$J57="",$N57=""),"",ROUND(IF($F57="",0,$F57)+IF($J57="",0,$J57)+IF($N57="",0,$N57),2))</f>
        <v/>
      </c>
    </row>
    <row r="58" ht="18" customHeight="1">
      <c r="A58" s="83" t="n"/>
      <c r="B58" s="72">
        <f>IF(OR($C58="",$A$13="",$A$13=0),"",$C58/$A$13)</f>
        <v/>
      </c>
      <c r="C58" s="76" t="n"/>
      <c r="D58" s="83" t="n"/>
      <c r="E58" s="78" t="n"/>
      <c r="F58" s="56">
        <f>IF(OR($B58="",$E58="",$D$45=""),"",ROUND($B58*$D$45*$E58,2))</f>
        <v/>
      </c>
      <c r="G58" s="84" t="n"/>
      <c r="H58" s="83" t="n"/>
      <c r="I58" s="78" t="n"/>
      <c r="J58" s="56">
        <f>IF(OR($B58="",$I58="",$D$45=""),"",ROUND($B58*$D$45*$I58,2))</f>
        <v/>
      </c>
      <c r="K58" s="84" t="n"/>
      <c r="L58" s="83" t="n"/>
      <c r="M58" s="78" t="n"/>
      <c r="N58" s="56">
        <f>IF(OR($B58="",$M58="",$D$45=""),"",ROUND($B58*$D$45*$M58,2))</f>
        <v/>
      </c>
      <c r="O58" s="85">
        <f>IF(AND($F58="",$J58="",$N58=""),"",ROUND(IF($F58="",0,$F58)+IF($J58="",0,$J58)+IF($N58="",0,$N58),2))</f>
        <v/>
      </c>
    </row>
    <row r="59" ht="18" customHeight="1">
      <c r="A59" s="83" t="n"/>
      <c r="B59" s="72">
        <f>IF(OR($C59="",$A$13="",$A$13=0),"",$C59/$A$13)</f>
        <v/>
      </c>
      <c r="C59" s="76" t="n"/>
      <c r="D59" s="83" t="n"/>
      <c r="E59" s="78" t="n"/>
      <c r="F59" s="56">
        <f>IF(OR($B59="",$E59="",$D$45=""),"",ROUND($B59*$D$45*$E59,2))</f>
        <v/>
      </c>
      <c r="G59" s="84" t="n"/>
      <c r="H59" s="83" t="n"/>
      <c r="I59" s="78" t="n"/>
      <c r="J59" s="56">
        <f>IF(OR($B59="",$I59="",$D$45=""),"",ROUND($B59*$D$45*$I59,2))</f>
        <v/>
      </c>
      <c r="K59" s="84" t="n"/>
      <c r="L59" s="83" t="n"/>
      <c r="M59" s="78" t="n"/>
      <c r="N59" s="56">
        <f>IF(OR($B59="",$M59="",$D$45=""),"",ROUND($B59*$D$45*$M59,2))</f>
        <v/>
      </c>
      <c r="O59" s="85">
        <f>IF(AND($F59="",$J59="",$N59=""),"",ROUND(IF($F59="",0,$F59)+IF($J59="",0,$J59)+IF($N59="",0,$N59),2))</f>
        <v/>
      </c>
    </row>
    <row r="60" ht="18" customHeight="1">
      <c r="A60" s="83" t="n"/>
      <c r="B60" s="72">
        <f>IF(OR($C60="",$A$13="",$A$13=0),"",$C60/$A$13)</f>
        <v/>
      </c>
      <c r="C60" s="76" t="n"/>
      <c r="D60" s="83" t="n"/>
      <c r="E60" s="78" t="n"/>
      <c r="F60" s="56">
        <f>IF(OR($B60="",$E60="",$D$45=""),"",ROUND($B60*$D$45*$E60,2))</f>
        <v/>
      </c>
      <c r="G60" s="84" t="n"/>
      <c r="H60" s="83" t="n"/>
      <c r="I60" s="78" t="n"/>
      <c r="J60" s="56">
        <f>IF(OR($B60="",$I60="",$D$45=""),"",ROUND($B60*$D$45*$I60,2))</f>
        <v/>
      </c>
      <c r="K60" s="84" t="n"/>
      <c r="L60" s="83" t="n"/>
      <c r="M60" s="78" t="n"/>
      <c r="N60" s="56">
        <f>IF(OR($B60="",$M60="",$D$45=""),"",ROUND($B60*$D$45*$M60,2))</f>
        <v/>
      </c>
      <c r="O60" s="85">
        <f>IF(AND($F60="",$J60="",$N60=""),"",ROUND(IF($F60="",0,$F60)+IF($J60="",0,$J60)+IF($N60="",0,$N60),2))</f>
        <v/>
      </c>
    </row>
    <row r="61" ht="20" customHeight="1">
      <c r="A61" s="31" t="inlineStr">
        <is>
          <t>SOMA DOS AMBIENTES</t>
        </is>
      </c>
      <c r="B61" s="62">
        <f>IF($A$13=0,"",$C$61/$A$13)</f>
        <v/>
      </c>
      <c r="C61" s="60">
        <f>ROUND(SUM(C49:C60),2)</f>
        <v/>
      </c>
      <c r="D61" s="86">
        <f>IF($C$61=0,"—",IF(ROUND($C$61-$A$13,2)=0,"OK · os ambientes somam o valor de venda","ATENÇÃO: diferença de "&amp;TEXT($C$61-$A$13,"R$ #,##0.00")))</f>
        <v/>
      </c>
      <c r="E61" s="32" t="n"/>
      <c r="F61" s="60">
        <f>ROUND(SUM(F49:F60),2)</f>
        <v/>
      </c>
      <c r="G61" s="32" t="n"/>
      <c r="H61" s="32" t="n"/>
      <c r="I61" s="32" t="n"/>
      <c r="J61" s="60">
        <f>ROUND(SUM(J49:J60),2)</f>
        <v/>
      </c>
      <c r="K61" s="32" t="n"/>
      <c r="L61" s="32" t="n"/>
      <c r="M61" s="32" t="n"/>
      <c r="N61" s="60">
        <f>ROUND(SUM(N49:N60),2)</f>
        <v/>
      </c>
      <c r="O61" s="60">
        <f>ROUND(SUM(O49:O60),2)</f>
        <v/>
      </c>
    </row>
    <row r="62" ht="8" customHeight="1"/>
    <row r="63" ht="20" customHeight="1">
      <c r="A63" s="8" t="inlineStr">
        <is>
          <t xml:space="preserve">  4 · COMISSÕES OPERACIONAIS          calculadas sobre a RECEITA LÍQUIDA · o realizado vem dos ambientes acima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</row>
    <row r="64" ht="26" customHeight="1">
      <c r="A64" s="19" t="inlineStr">
        <is>
          <t>Item</t>
        </is>
      </c>
      <c r="B64" s="19" t="inlineStr">
        <is>
          <t>%</t>
        </is>
      </c>
      <c r="C64" s="19" t="inlineStr">
        <is>
          <t>Orçado (R$)</t>
        </is>
      </c>
      <c r="D64" s="19" t="inlineStr">
        <is>
          <t>Realizado (R$)</t>
        </is>
      </c>
      <c r="E64" s="19" t="inlineStr">
        <is>
          <t>Desvio (R$)</t>
        </is>
      </c>
      <c r="F64" s="35" t="n"/>
      <c r="G64" s="19" t="inlineStr">
        <is>
          <t>% da venda</t>
        </is>
      </c>
      <c r="H64" s="19" t="inlineStr">
        <is>
          <t>Observação</t>
        </is>
      </c>
      <c r="I64" s="35" t="n"/>
      <c r="J64" s="35" t="n"/>
      <c r="K64" s="35" t="n"/>
      <c r="L64" s="35" t="n"/>
      <c r="M64" s="35" t="n"/>
      <c r="N64" s="35" t="n"/>
      <c r="O64" s="35" t="n"/>
    </row>
    <row r="65" ht="17" customHeight="1">
      <c r="A65" s="36" t="inlineStr">
        <is>
          <t>Coordenação de produção</t>
        </is>
      </c>
      <c r="B65" s="78" t="n"/>
      <c r="C65" s="56">
        <f>IF($B65="","",ROUND($B65*$C$45,2))</f>
        <v/>
      </c>
      <c r="D65" s="56">
        <f>IF($B65="","",ROUND($B65*$D$45,2))</f>
        <v/>
      </c>
      <c r="E65" s="56">
        <f>IF(OR($C65="",$D65=""),"",ROUND($D65-$C65,2))</f>
        <v/>
      </c>
      <c r="F65" s="38" t="n"/>
      <c r="G65" s="72">
        <f>IF(OR($D65="",$A$13="",$A$13=0),"",$D65/$A$13)</f>
        <v/>
      </c>
      <c r="H65" s="73" t="inlineStr">
        <is>
          <t>quem coordena está na identificação, no topo da ficha</t>
        </is>
      </c>
      <c r="I65" s="46" t="n"/>
      <c r="J65" s="46" t="n"/>
      <c r="K65" s="46" t="n"/>
      <c r="L65" s="46" t="n"/>
      <c r="M65" s="46" t="n"/>
      <c r="N65" s="46" t="n"/>
      <c r="O65" s="46" t="n"/>
    </row>
    <row r="66" ht="17" customHeight="1">
      <c r="A66" s="36" t="inlineStr">
        <is>
          <t>Gestão técnica</t>
        </is>
      </c>
      <c r="B66" s="78" t="n">
        <v>0.005</v>
      </c>
      <c r="C66" s="56">
        <f>IF($B66="","",ROUND($B66*$C$45,2))</f>
        <v/>
      </c>
      <c r="D66" s="56">
        <f>IF($B66="","",ROUND($B66*$D$45,2))</f>
        <v/>
      </c>
      <c r="E66" s="56">
        <f>IF(OR($C66="",$D66=""),"",ROUND($D66-$C66,2))</f>
        <v/>
      </c>
      <c r="F66" s="38" t="n"/>
      <c r="G66" s="72">
        <f>IF(OR($D66="",$A$13="",$A$13=0),"",$D66/$A$13)</f>
        <v/>
      </c>
      <c r="H66" s="73" t="n"/>
      <c r="I66" s="46" t="n"/>
      <c r="J66" s="46" t="n"/>
      <c r="K66" s="46" t="n"/>
      <c r="L66" s="46" t="n"/>
      <c r="M66" s="46" t="n"/>
      <c r="N66" s="46" t="n"/>
      <c r="O66" s="46" t="n"/>
    </row>
    <row r="67" ht="17" customHeight="1">
      <c r="A67" s="36" t="inlineStr">
        <is>
          <t>Comissão de produção</t>
        </is>
      </c>
      <c r="B67" s="78" t="n"/>
      <c r="C67" s="56">
        <f>IF($B67="","",ROUND($B67*$C$45,2))</f>
        <v/>
      </c>
      <c r="D67" s="56">
        <f>IF($F$61=0,"",$F$61)</f>
        <v/>
      </c>
      <c r="E67" s="56">
        <f>IF(OR($C67="",$D67=""),"",ROUND($D67-$C67,2))</f>
        <v/>
      </c>
      <c r="F67" s="38" t="n"/>
      <c r="G67" s="72">
        <f>IF(OR($D67="",$A$13="",$A$13=0),"",$D67/$A$13)</f>
        <v/>
      </c>
      <c r="H67" s="73" t="inlineStr">
        <is>
          <t>orçado = % único estimado · realizado = soma dos ambientes</t>
        </is>
      </c>
      <c r="I67" s="46" t="n"/>
      <c r="J67" s="46" t="n"/>
      <c r="K67" s="46" t="n"/>
      <c r="L67" s="46" t="n"/>
      <c r="M67" s="46" t="n"/>
      <c r="N67" s="46" t="n"/>
      <c r="O67" s="46" t="n"/>
    </row>
    <row r="68" ht="17" customHeight="1">
      <c r="A68" s="36" t="inlineStr">
        <is>
          <t>Comissão de montagem</t>
        </is>
      </c>
      <c r="B68" s="78" t="n"/>
      <c r="C68" s="56">
        <f>IF($B68="","",ROUND($B68*$C$45,2))</f>
        <v/>
      </c>
      <c r="D68" s="56">
        <f>IF($J$61=0,"",$J$61)</f>
        <v/>
      </c>
      <c r="E68" s="56">
        <f>IF(OR($C68="",$D68=""),"",ROUND($D68-$C68,2))</f>
        <v/>
      </c>
      <c r="F68" s="38" t="n"/>
      <c r="G68" s="72">
        <f>IF(OR($D68="",$A$13="",$A$13=0),"",$D68/$A$13)</f>
        <v/>
      </c>
      <c r="H68" s="73" t="inlineStr">
        <is>
          <t>orçado = % único estimado · realizado = soma dos ambientes</t>
        </is>
      </c>
      <c r="I68" s="46" t="n"/>
      <c r="J68" s="46" t="n"/>
      <c r="K68" s="46" t="n"/>
      <c r="L68" s="46" t="n"/>
      <c r="M68" s="46" t="n"/>
      <c r="N68" s="46" t="n"/>
      <c r="O68" s="46" t="n"/>
    </row>
    <row r="69" ht="17" customHeight="1">
      <c r="A69" s="36" t="inlineStr">
        <is>
          <t>Comissão de projetista</t>
        </is>
      </c>
      <c r="B69" s="78" t="n"/>
      <c r="C69" s="56">
        <f>IF($B69="","",ROUND($B69*$C$45,2))</f>
        <v/>
      </c>
      <c r="D69" s="56">
        <f>IF($N$61=0,"",$N$61)</f>
        <v/>
      </c>
      <c r="E69" s="56">
        <f>IF(OR($C69="",$D69=""),"",ROUND($D69-$C69,2))</f>
        <v/>
      </c>
      <c r="F69" s="38" t="n"/>
      <c r="G69" s="72">
        <f>IF(OR($D69="",$A$13="",$A$13=0),"",$D69/$A$13)</f>
        <v/>
      </c>
      <c r="H69" s="73" t="inlineStr">
        <is>
          <t>quem projetou cada ambiente está na coluna L do bloco 3</t>
        </is>
      </c>
      <c r="I69" s="46" t="n"/>
      <c r="J69" s="46" t="n"/>
      <c r="K69" s="46" t="n"/>
      <c r="L69" s="46" t="n"/>
      <c r="M69" s="46" t="n"/>
      <c r="N69" s="46" t="n"/>
      <c r="O69" s="46" t="n"/>
    </row>
    <row r="70" ht="20" customHeight="1">
      <c r="A70" s="31" t="inlineStr">
        <is>
          <t>(=) SUBTOTAL DAS COMISSÕES</t>
        </is>
      </c>
      <c r="B70" s="32" t="n"/>
      <c r="C70" s="60">
        <f>ROUND(SUM(C65:C69),2)</f>
        <v/>
      </c>
      <c r="D70" s="60">
        <f>ROUND(SUM(D65:D69),2)</f>
        <v/>
      </c>
      <c r="E70" s="60">
        <f>ROUND($D70-$C70,2)</f>
        <v/>
      </c>
      <c r="F70" s="32" t="n"/>
      <c r="G70" s="62">
        <f>IF(OR($A$13="",$A$13=0),"",$D70/$A$13)</f>
        <v/>
      </c>
      <c r="H70" s="32" t="n"/>
      <c r="I70" s="32" t="n"/>
      <c r="J70" s="32" t="n"/>
      <c r="K70" s="32" t="n"/>
      <c r="L70" s="32" t="n"/>
      <c r="M70" s="32" t="n"/>
      <c r="N70" s="32" t="n"/>
      <c r="O70" s="32" t="n"/>
    </row>
    <row r="71" ht="8" customHeight="1"/>
    <row r="72" ht="20" customHeight="1">
      <c r="A72" s="8" t="inlineStr">
        <is>
          <t xml:space="preserve">  5 · COMISSÕES POR COLABORADOR          consolidado automático — quem produziu, quem montou, quem projetou e o coordenador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</row>
    <row r="73" ht="26" customHeight="1">
      <c r="A73" s="19" t="inlineStr">
        <is>
          <t>Colaborador</t>
        </is>
      </c>
      <c r="B73" s="19" t="inlineStr">
        <is>
          <t>Produção (R$)</t>
        </is>
      </c>
      <c r="C73" s="35" t="n"/>
      <c r="D73" s="19" t="inlineStr">
        <is>
          <t>Montagem (R$)</t>
        </is>
      </c>
      <c r="E73" s="35" t="n"/>
      <c r="F73" s="19" t="inlineStr">
        <is>
          <t>Projeto (R$)</t>
        </is>
      </c>
      <c r="G73" s="35" t="n"/>
      <c r="H73" s="19" t="inlineStr">
        <is>
          <t>Coordenação / Gestão técnica (R$)</t>
        </is>
      </c>
      <c r="I73" s="35" t="n"/>
      <c r="J73" s="19" t="inlineStr">
        <is>
          <t>Total no projeto (R$)</t>
        </is>
      </c>
      <c r="K73" s="35" t="n"/>
      <c r="L73" s="35" t="n"/>
      <c r="M73" s="35" t="n"/>
    </row>
    <row r="74" ht="17" customHeight="1">
      <c r="A74" s="87" t="inlineStr">
        <is>
          <t>Deivison</t>
        </is>
      </c>
      <c r="B74" s="56">
        <f>IF($A74="","",ROUND(SUMIF($D$49:$D$60,$A74,$F$49:$F$60),2))</f>
        <v/>
      </c>
      <c r="C74" s="38" t="n"/>
      <c r="D74" s="56">
        <f>IF($A74="","",ROUND(SUMIF($H$49:$H$60,$A74,$J$49:$J$60),2))</f>
        <v/>
      </c>
      <c r="E74" s="38" t="n"/>
      <c r="F74" s="56">
        <f>IF($A74="","",ROUND(SUMIF($L$49:$L$60,$A74,$N$49:$N$60),2))</f>
        <v/>
      </c>
      <c r="G74" s="38" t="n"/>
      <c r="H74" s="56">
        <f>IF($A74="","",IF($A74=$F$9,IF($D$65="",0,$D$65),0)+IF($A74=$H$66,IF($D$66="",0,$D$66),0))</f>
        <v/>
      </c>
      <c r="I74" s="38" t="n"/>
      <c r="J74" s="88">
        <f>IF($A74="","",ROUND($B74+$D74+$F74+$H74,2))</f>
        <v/>
      </c>
      <c r="K74" s="38" t="n"/>
      <c r="L74" s="38" t="n"/>
      <c r="M74" s="38" t="n"/>
    </row>
    <row r="75" ht="17" customHeight="1">
      <c r="A75" s="87" t="inlineStr">
        <is>
          <t>Ronald</t>
        </is>
      </c>
      <c r="B75" s="56">
        <f>IF($A75="","",ROUND(SUMIF($D$49:$D$60,$A75,$F$49:$F$60),2))</f>
        <v/>
      </c>
      <c r="C75" s="38" t="n"/>
      <c r="D75" s="56">
        <f>IF($A75="","",ROUND(SUMIF($H$49:$H$60,$A75,$J$49:$J$60),2))</f>
        <v/>
      </c>
      <c r="E75" s="38" t="n"/>
      <c r="F75" s="56">
        <f>IF($A75="","",ROUND(SUMIF($L$49:$L$60,$A75,$N$49:$N$60),2))</f>
        <v/>
      </c>
      <c r="G75" s="38" t="n"/>
      <c r="H75" s="56">
        <f>IF($A75="","",IF($A75=$F$9,IF($D$65="",0,$D$65),0)+IF($A75=$H$66,IF($D$66="",0,$D$66),0))</f>
        <v/>
      </c>
      <c r="I75" s="38" t="n"/>
      <c r="J75" s="88">
        <f>IF($A75="","",ROUND($B75+$D75+$F75+$H75,2))</f>
        <v/>
      </c>
      <c r="K75" s="38" t="n"/>
      <c r="L75" s="38" t="n"/>
      <c r="M75" s="38" t="n"/>
    </row>
    <row r="76" ht="17" customHeight="1">
      <c r="A76" s="87" t="inlineStr">
        <is>
          <t>Samuel</t>
        </is>
      </c>
      <c r="B76" s="56">
        <f>IF($A76="","",ROUND(SUMIF($D$49:$D$60,$A76,$F$49:$F$60),2))</f>
        <v/>
      </c>
      <c r="C76" s="38" t="n"/>
      <c r="D76" s="56">
        <f>IF($A76="","",ROUND(SUMIF($H$49:$H$60,$A76,$J$49:$J$60),2))</f>
        <v/>
      </c>
      <c r="E76" s="38" t="n"/>
      <c r="F76" s="56">
        <f>IF($A76="","",ROUND(SUMIF($L$49:$L$60,$A76,$N$49:$N$60),2))</f>
        <v/>
      </c>
      <c r="G76" s="38" t="n"/>
      <c r="H76" s="56">
        <f>IF($A76="","",IF($A76=$F$9,IF($D$65="",0,$D$65),0)+IF($A76=$H$66,IF($D$66="",0,$D$66),0))</f>
        <v/>
      </c>
      <c r="I76" s="38" t="n"/>
      <c r="J76" s="88">
        <f>IF($A76="","",ROUND($B76+$D76+$F76+$H76,2))</f>
        <v/>
      </c>
      <c r="K76" s="38" t="n"/>
      <c r="L76" s="38" t="n"/>
      <c r="M76" s="38" t="n"/>
    </row>
    <row r="77" ht="17" customHeight="1">
      <c r="A77" s="87" t="inlineStr">
        <is>
          <t>Cesar</t>
        </is>
      </c>
      <c r="B77" s="56">
        <f>IF($A77="","",ROUND(SUMIF($D$49:$D$60,$A77,$F$49:$F$60),2))</f>
        <v/>
      </c>
      <c r="C77" s="38" t="n"/>
      <c r="D77" s="56">
        <f>IF($A77="","",ROUND(SUMIF($H$49:$H$60,$A77,$J$49:$J$60),2))</f>
        <v/>
      </c>
      <c r="E77" s="38" t="n"/>
      <c r="F77" s="56">
        <f>IF($A77="","",ROUND(SUMIF($L$49:$L$60,$A77,$N$49:$N$60),2))</f>
        <v/>
      </c>
      <c r="G77" s="38" t="n"/>
      <c r="H77" s="56">
        <f>IF($A77="","",IF($A77=$F$9,IF($D$65="",0,$D$65),0)+IF($A77=$H$66,IF($D$66="",0,$D$66),0))</f>
        <v/>
      </c>
      <c r="I77" s="38" t="n"/>
      <c r="J77" s="88">
        <f>IF($A77="","",ROUND($B77+$D77+$F77+$H77,2))</f>
        <v/>
      </c>
      <c r="K77" s="38" t="n"/>
      <c r="L77" s="38" t="n"/>
      <c r="M77" s="38" t="n"/>
    </row>
    <row r="78" ht="17" customHeight="1">
      <c r="A78" s="87" t="inlineStr">
        <is>
          <t>Jhon</t>
        </is>
      </c>
      <c r="B78" s="56">
        <f>IF($A78="","",ROUND(SUMIF($D$49:$D$60,$A78,$F$49:$F$60),2))</f>
        <v/>
      </c>
      <c r="C78" s="38" t="n"/>
      <c r="D78" s="56">
        <f>IF($A78="","",ROUND(SUMIF($H$49:$H$60,$A78,$J$49:$J$60),2))</f>
        <v/>
      </c>
      <c r="E78" s="38" t="n"/>
      <c r="F78" s="56">
        <f>IF($A78="","",ROUND(SUMIF($L$49:$L$60,$A78,$N$49:$N$60),2))</f>
        <v/>
      </c>
      <c r="G78" s="38" t="n"/>
      <c r="H78" s="56">
        <f>IF($A78="","",IF($A78=$F$9,IF($D$65="",0,$D$65),0)+IF($A78=$H$66,IF($D$66="",0,$D$66),0))</f>
        <v/>
      </c>
      <c r="I78" s="38" t="n"/>
      <c r="J78" s="88">
        <f>IF($A78="","",ROUND($B78+$D78+$F78+$H78,2))</f>
        <v/>
      </c>
      <c r="K78" s="38" t="n"/>
      <c r="L78" s="38" t="n"/>
      <c r="M78" s="38" t="n"/>
    </row>
    <row r="79" ht="17" customHeight="1">
      <c r="A79" s="87" t="inlineStr">
        <is>
          <t>Joelson</t>
        </is>
      </c>
      <c r="B79" s="56">
        <f>IF($A79="","",ROUND(SUMIF($D$49:$D$60,$A79,$F$49:$F$60),2))</f>
        <v/>
      </c>
      <c r="C79" s="38" t="n"/>
      <c r="D79" s="56">
        <f>IF($A79="","",ROUND(SUMIF($H$49:$H$60,$A79,$J$49:$J$60),2))</f>
        <v/>
      </c>
      <c r="E79" s="38" t="n"/>
      <c r="F79" s="56">
        <f>IF($A79="","",ROUND(SUMIF($L$49:$L$60,$A79,$N$49:$N$60),2))</f>
        <v/>
      </c>
      <c r="G79" s="38" t="n"/>
      <c r="H79" s="56">
        <f>IF($A79="","",IF($A79=$F$9,IF($D$65="",0,$D$65),0)+IF($A79=$H$66,IF($D$66="",0,$D$66),0))</f>
        <v/>
      </c>
      <c r="I79" s="38" t="n"/>
      <c r="J79" s="88">
        <f>IF($A79="","",ROUND($B79+$D79+$F79+$H79,2))</f>
        <v/>
      </c>
      <c r="K79" s="38" t="n"/>
      <c r="L79" s="38" t="n"/>
      <c r="M79" s="38" t="n"/>
    </row>
    <row r="80" ht="17" customHeight="1">
      <c r="A80" s="87" t="inlineStr">
        <is>
          <t>Davi</t>
        </is>
      </c>
      <c r="B80" s="56">
        <f>IF($A80="","",ROUND(SUMIF($D$49:$D$60,$A80,$F$49:$F$60),2))</f>
        <v/>
      </c>
      <c r="C80" s="38" t="n"/>
      <c r="D80" s="56">
        <f>IF($A80="","",ROUND(SUMIF($H$49:$H$60,$A80,$J$49:$J$60),2))</f>
        <v/>
      </c>
      <c r="E80" s="38" t="n"/>
      <c r="F80" s="56">
        <f>IF($A80="","",ROUND(SUMIF($L$49:$L$60,$A80,$N$49:$N$60),2))</f>
        <v/>
      </c>
      <c r="G80" s="38" t="n"/>
      <c r="H80" s="56">
        <f>IF($A80="","",IF($A80=$F$9,IF($D$65="",0,$D$65),0)+IF($A80=$H$66,IF($D$66="",0,$D$66),0))</f>
        <v/>
      </c>
      <c r="I80" s="38" t="n"/>
      <c r="J80" s="88">
        <f>IF($A80="","",ROUND($B80+$D80+$F80+$H80,2))</f>
        <v/>
      </c>
      <c r="K80" s="38" t="n"/>
      <c r="L80" s="38" t="n"/>
      <c r="M80" s="38" t="n"/>
    </row>
    <row r="81" ht="17" customHeight="1">
      <c r="A81" s="87" t="inlineStr">
        <is>
          <t>Jomar</t>
        </is>
      </c>
      <c r="B81" s="56">
        <f>IF($A81="","",ROUND(SUMIF($D$49:$D$60,$A81,$F$49:$F$60),2))</f>
        <v/>
      </c>
      <c r="C81" s="38" t="n"/>
      <c r="D81" s="56">
        <f>IF($A81="","",ROUND(SUMIF($H$49:$H$60,$A81,$J$49:$J$60),2))</f>
        <v/>
      </c>
      <c r="E81" s="38" t="n"/>
      <c r="F81" s="56">
        <f>IF($A81="","",ROUND(SUMIF($L$49:$L$60,$A81,$N$49:$N$60),2))</f>
        <v/>
      </c>
      <c r="G81" s="38" t="n"/>
      <c r="H81" s="56">
        <f>IF($A81="","",IF($A81=$F$9,IF($D$65="",0,$D$65),0)+IF($A81=$H$66,IF($D$66="",0,$D$66),0))</f>
        <v/>
      </c>
      <c r="I81" s="38" t="n"/>
      <c r="J81" s="88">
        <f>IF($A81="","",ROUND($B81+$D81+$F81+$H81,2))</f>
        <v/>
      </c>
      <c r="K81" s="38" t="n"/>
      <c r="L81" s="38" t="n"/>
      <c r="M81" s="38" t="n"/>
    </row>
    <row r="82" ht="17" customHeight="1">
      <c r="A82" s="87" t="inlineStr">
        <is>
          <t>Bruno</t>
        </is>
      </c>
      <c r="B82" s="56">
        <f>IF($A82="","",ROUND(SUMIF($D$49:$D$60,$A82,$F$49:$F$60),2))</f>
        <v/>
      </c>
      <c r="C82" s="38" t="n"/>
      <c r="D82" s="56">
        <f>IF($A82="","",ROUND(SUMIF($H$49:$H$60,$A82,$J$49:$J$60),2))</f>
        <v/>
      </c>
      <c r="E82" s="38" t="n"/>
      <c r="F82" s="56">
        <f>IF($A82="","",ROUND(SUMIF($L$49:$L$60,$A82,$N$49:$N$60),2))</f>
        <v/>
      </c>
      <c r="G82" s="38" t="n"/>
      <c r="H82" s="56">
        <f>IF($A82="","",IF($A82=$F$9,IF($D$65="",0,$D$65),0)+IF($A82=$H$66,IF($D$66="",0,$D$66),0))</f>
        <v/>
      </c>
      <c r="I82" s="38" t="n"/>
      <c r="J82" s="88">
        <f>IF($A82="","",ROUND($B82+$D82+$F82+$H82,2))</f>
        <v/>
      </c>
      <c r="K82" s="38" t="n"/>
      <c r="L82" s="38" t="n"/>
      <c r="M82" s="38" t="n"/>
    </row>
    <row r="83" ht="17" customHeight="1">
      <c r="A83" s="87" t="inlineStr">
        <is>
          <t>Wallace</t>
        </is>
      </c>
      <c r="B83" s="56">
        <f>IF($A83="","",ROUND(SUMIF($D$49:$D$60,$A83,$F$49:$F$60),2))</f>
        <v/>
      </c>
      <c r="C83" s="38" t="n"/>
      <c r="D83" s="56">
        <f>IF($A83="","",ROUND(SUMIF($H$49:$H$60,$A83,$J$49:$J$60),2))</f>
        <v/>
      </c>
      <c r="E83" s="38" t="n"/>
      <c r="F83" s="56">
        <f>IF($A83="","",ROUND(SUMIF($L$49:$L$60,$A83,$N$49:$N$60),2))</f>
        <v/>
      </c>
      <c r="G83" s="38" t="n"/>
      <c r="H83" s="56">
        <f>IF($A83="","",IF($A83=$F$9,IF($D$65="",0,$D$65),0)+IF($A83=$H$66,IF($D$66="",0,$D$66),0))</f>
        <v/>
      </c>
      <c r="I83" s="38" t="n"/>
      <c r="J83" s="88">
        <f>IF($A83="","",ROUND($B83+$D83+$F83+$H83,2))</f>
        <v/>
      </c>
      <c r="K83" s="38" t="n"/>
      <c r="L83" s="38" t="n"/>
      <c r="M83" s="38" t="n"/>
    </row>
    <row r="84" ht="17" customHeight="1">
      <c r="A84" s="87" t="inlineStr">
        <is>
          <t>Douglas</t>
        </is>
      </c>
      <c r="B84" s="56">
        <f>IF($A84="","",ROUND(SUMIF($D$49:$D$60,$A84,$F$49:$F$60),2))</f>
        <v/>
      </c>
      <c r="C84" s="38" t="n"/>
      <c r="D84" s="56">
        <f>IF($A84="","",ROUND(SUMIF($H$49:$H$60,$A84,$J$49:$J$60),2))</f>
        <v/>
      </c>
      <c r="E84" s="38" t="n"/>
      <c r="F84" s="56">
        <f>IF($A84="","",ROUND(SUMIF($L$49:$L$60,$A84,$N$49:$N$60),2))</f>
        <v/>
      </c>
      <c r="G84" s="38" t="n"/>
      <c r="H84" s="56">
        <f>IF($A84="","",IF($A84=$F$9,IF($D$65="",0,$D$65),0)+IF($A84=$H$66,IF($D$66="",0,$D$66),0))</f>
        <v/>
      </c>
      <c r="I84" s="38" t="n"/>
      <c r="J84" s="88">
        <f>IF($A84="","",ROUND($B84+$D84+$F84+$H84,2))</f>
        <v/>
      </c>
      <c r="K84" s="38" t="n"/>
      <c r="L84" s="38" t="n"/>
      <c r="M84" s="38" t="n"/>
    </row>
    <row r="85" ht="17" customHeight="1">
      <c r="A85" s="87" t="inlineStr">
        <is>
          <t>Terceiro / avulso</t>
        </is>
      </c>
      <c r="B85" s="56">
        <f>IF($A85="","",ROUND(SUMIF($D$49:$D$60,$A85,$F$49:$F$60),2))</f>
        <v/>
      </c>
      <c r="C85" s="38" t="n"/>
      <c r="D85" s="56">
        <f>IF($A85="","",ROUND(SUMIF($H$49:$H$60,$A85,$J$49:$J$60),2))</f>
        <v/>
      </c>
      <c r="E85" s="38" t="n"/>
      <c r="F85" s="56">
        <f>IF($A85="","",ROUND(SUMIF($L$49:$L$60,$A85,$N$49:$N$60),2))</f>
        <v/>
      </c>
      <c r="G85" s="38" t="n"/>
      <c r="H85" s="56">
        <f>IF($A85="","",IF($A85=$F$9,IF($D$65="",0,$D$65),0)+IF($A85=$H$66,IF($D$66="",0,$D$66),0))</f>
        <v/>
      </c>
      <c r="I85" s="38" t="n"/>
      <c r="J85" s="88">
        <f>IF($A85="","",ROUND($B85+$D85+$F85+$H85,2))</f>
        <v/>
      </c>
      <c r="K85" s="38" t="n"/>
      <c r="L85" s="38" t="n"/>
      <c r="M85" s="38" t="n"/>
    </row>
    <row r="86" ht="17" customHeight="1">
      <c r="A86" s="87" t="inlineStr">
        <is>
          <t>Lorrane</t>
        </is>
      </c>
      <c r="B86" s="56">
        <f>IF($A86="","",ROUND(SUMIF($D$49:$D$60,$A86,$F$49:$F$60),2))</f>
        <v/>
      </c>
      <c r="C86" s="38" t="n"/>
      <c r="D86" s="56">
        <f>IF($A86="","",ROUND(SUMIF($H$49:$H$60,$A86,$J$49:$J$60),2))</f>
        <v/>
      </c>
      <c r="E86" s="38" t="n"/>
      <c r="F86" s="56">
        <f>IF($A86="","",ROUND(SUMIF($L$49:$L$60,$A86,$N$49:$N$60),2))</f>
        <v/>
      </c>
      <c r="G86" s="38" t="n"/>
      <c r="H86" s="56">
        <f>IF($A86="","",IF($A86=$F$9,IF($D$65="",0,$D$65),0)+IF($A86=$H$66,IF($D$66="",0,$D$66),0))</f>
        <v/>
      </c>
      <c r="I86" s="38" t="n"/>
      <c r="J86" s="88">
        <f>IF($A86="","",ROUND($B86+$D86+$F86+$H86,2))</f>
        <v/>
      </c>
      <c r="K86" s="38" t="n"/>
      <c r="L86" s="38" t="n"/>
      <c r="M86" s="38" t="n"/>
    </row>
    <row r="87" ht="17" customHeight="1">
      <c r="A87" s="87" t="inlineStr">
        <is>
          <t>Lucas</t>
        </is>
      </c>
      <c r="B87" s="56">
        <f>IF($A87="","",ROUND(SUMIF($D$49:$D$60,$A87,$F$49:$F$60),2))</f>
        <v/>
      </c>
      <c r="C87" s="38" t="n"/>
      <c r="D87" s="56">
        <f>IF($A87="","",ROUND(SUMIF($H$49:$H$60,$A87,$J$49:$J$60),2))</f>
        <v/>
      </c>
      <c r="E87" s="38" t="n"/>
      <c r="F87" s="56">
        <f>IF($A87="","",ROUND(SUMIF($L$49:$L$60,$A87,$N$49:$N$60),2))</f>
        <v/>
      </c>
      <c r="G87" s="38" t="n"/>
      <c r="H87" s="56">
        <f>IF($A87="","",IF($A87=$F$9,IF($D$65="",0,$D$65),0)+IF($A87=$H$66,IF($D$66="",0,$D$66),0))</f>
        <v/>
      </c>
      <c r="I87" s="38" t="n"/>
      <c r="J87" s="88">
        <f>IF($A87="","",ROUND($B87+$D87+$F87+$H87,2))</f>
        <v/>
      </c>
      <c r="K87" s="38" t="n"/>
      <c r="L87" s="38" t="n"/>
      <c r="M87" s="38" t="n"/>
    </row>
    <row r="88" ht="17" customHeight="1">
      <c r="A88" s="87" t="inlineStr">
        <is>
          <t>Externo / avulso</t>
        </is>
      </c>
      <c r="B88" s="56">
        <f>IF($A88="","",ROUND(SUMIF($D$49:$D$60,$A88,$F$49:$F$60),2))</f>
        <v/>
      </c>
      <c r="C88" s="38" t="n"/>
      <c r="D88" s="56">
        <f>IF($A88="","",ROUND(SUMIF($H$49:$H$60,$A88,$J$49:$J$60),2))</f>
        <v/>
      </c>
      <c r="E88" s="38" t="n"/>
      <c r="F88" s="56">
        <f>IF($A88="","",ROUND(SUMIF($L$49:$L$60,$A88,$N$49:$N$60),2))</f>
        <v/>
      </c>
      <c r="G88" s="38" t="n"/>
      <c r="H88" s="56">
        <f>IF($A88="","",IF($A88=$F$9,IF($D$65="",0,$D$65),0)+IF($A88=$H$66,IF($D$66="",0,$D$66),0))</f>
        <v/>
      </c>
      <c r="I88" s="38" t="n"/>
      <c r="J88" s="88">
        <f>IF($A88="","",ROUND($B88+$D88+$F88+$H88,2))</f>
        <v/>
      </c>
      <c r="K88" s="38" t="n"/>
      <c r="L88" s="38" t="n"/>
      <c r="M88" s="38" t="n"/>
    </row>
    <row r="89" ht="17" customHeight="1">
      <c r="A89" s="87" t="inlineStr">
        <is>
          <t>Bruna</t>
        </is>
      </c>
      <c r="B89" s="56">
        <f>IF($A89="","",ROUND(SUMIF($D$49:$D$60,$A89,$F$49:$F$60),2))</f>
        <v/>
      </c>
      <c r="C89" s="38" t="n"/>
      <c r="D89" s="56">
        <f>IF($A89="","",ROUND(SUMIF($H$49:$H$60,$A89,$J$49:$J$60),2))</f>
        <v/>
      </c>
      <c r="E89" s="38" t="n"/>
      <c r="F89" s="56">
        <f>IF($A89="","",ROUND(SUMIF($L$49:$L$60,$A89,$N$49:$N$60),2))</f>
        <v/>
      </c>
      <c r="G89" s="38" t="n"/>
      <c r="H89" s="56">
        <f>IF($A89="","",IF($A89=$F$9,IF($D$65="",0,$D$65),0)+IF($A89=$H$66,IF($D$66="",0,$D$66),0))</f>
        <v/>
      </c>
      <c r="I89" s="38" t="n"/>
      <c r="J89" s="88">
        <f>IF($A89="","",ROUND($B89+$D89+$F89+$H89,2))</f>
        <v/>
      </c>
      <c r="K89" s="38" t="n"/>
      <c r="L89" s="38" t="n"/>
      <c r="M89" s="38" t="n"/>
    </row>
    <row r="90" ht="17" customHeight="1">
      <c r="A90" s="87" t="n"/>
      <c r="B90" s="56">
        <f>IF($A90="","",ROUND(SUMIF($D$49:$D$60,$A90,$F$49:$F$60),2))</f>
        <v/>
      </c>
      <c r="C90" s="38" t="n"/>
      <c r="D90" s="56">
        <f>IF($A90="","",ROUND(SUMIF($H$49:$H$60,$A90,$J$49:$J$60),2))</f>
        <v/>
      </c>
      <c r="E90" s="38" t="n"/>
      <c r="F90" s="56">
        <f>IF($A90="","",ROUND(SUMIF($L$49:$L$60,$A90,$N$49:$N$60),2))</f>
        <v/>
      </c>
      <c r="G90" s="38" t="n"/>
      <c r="H90" s="56">
        <f>IF($A90="","",IF($A90=$F$9,IF($D$65="",0,$D$65),0)+IF($A90=$H$66,IF($D$66="",0,$D$66),0))</f>
        <v/>
      </c>
      <c r="I90" s="38" t="n"/>
      <c r="J90" s="88">
        <f>IF($A90="","",ROUND($B90+$D90+$F90+$H90,2))</f>
        <v/>
      </c>
      <c r="K90" s="38" t="n"/>
      <c r="L90" s="38" t="n"/>
      <c r="M90" s="38" t="n"/>
    </row>
    <row r="91" ht="17" customHeight="1">
      <c r="A91" s="87" t="n"/>
      <c r="B91" s="56">
        <f>IF($A91="","",ROUND(SUMIF($D$49:$D$60,$A91,$F$49:$F$60),2))</f>
        <v/>
      </c>
      <c r="C91" s="38" t="n"/>
      <c r="D91" s="56">
        <f>IF($A91="","",ROUND(SUMIF($H$49:$H$60,$A91,$J$49:$J$60),2))</f>
        <v/>
      </c>
      <c r="E91" s="38" t="n"/>
      <c r="F91" s="56">
        <f>IF($A91="","",ROUND(SUMIF($L$49:$L$60,$A91,$N$49:$N$60),2))</f>
        <v/>
      </c>
      <c r="G91" s="38" t="n"/>
      <c r="H91" s="56">
        <f>IF($A91="","",IF($A91=$F$9,IF($D$65="",0,$D$65),0)+IF($A91=$H$66,IF($D$66="",0,$D$66),0))</f>
        <v/>
      </c>
      <c r="I91" s="38" t="n"/>
      <c r="J91" s="88">
        <f>IF($A91="","",ROUND($B91+$D91+$F91+$H91,2))</f>
        <v/>
      </c>
      <c r="K91" s="38" t="n"/>
      <c r="L91" s="38" t="n"/>
      <c r="M91" s="38" t="n"/>
    </row>
    <row r="92" ht="20" customHeight="1">
      <c r="A92" s="31" t="inlineStr">
        <is>
          <t>TOTAL</t>
        </is>
      </c>
      <c r="B92" s="60">
        <f>ROUND(SUM(B74:B91),2)</f>
        <v/>
      </c>
      <c r="C92" s="32" t="n"/>
      <c r="D92" s="60">
        <f>ROUND(SUM(D74:D91),2)</f>
        <v/>
      </c>
      <c r="E92" s="32" t="n"/>
      <c r="F92" s="60">
        <f>ROUND(SUM(F74:F91),2)</f>
        <v/>
      </c>
      <c r="G92" s="32" t="n"/>
      <c r="H92" s="60">
        <f>ROUND(SUM(H74:H91),2)</f>
        <v/>
      </c>
      <c r="I92" s="32" t="n"/>
      <c r="J92" s="60">
        <f>ROUND(SUM(J74:J91),2)</f>
        <v/>
      </c>
      <c r="K92" s="32" t="n"/>
      <c r="L92" s="32" t="n"/>
      <c r="M92" s="32" t="n"/>
    </row>
    <row r="93" ht="8" customHeight="1"/>
    <row r="94" ht="20" customHeight="1">
      <c r="A94" s="8" t="inlineStr">
        <is>
          <t xml:space="preserve">  6 · MATERIAL, TERCEIRIZADOS E LOGÍSTICA          o orçado você digita · o realizado vem sozinho do livro de lançamentos, lá no fim da ficha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</row>
    <row r="95" ht="30" customHeight="1">
      <c r="A95" s="19" t="inlineStr">
        <is>
          <t>Categoria</t>
        </is>
      </c>
      <c r="B95" s="19" t="inlineStr"/>
      <c r="C95" s="19" t="inlineStr">
        <is>
          <t>Orçado (R$)</t>
        </is>
      </c>
      <c r="D95" s="19" t="inlineStr">
        <is>
          <t>Realizado (R$)</t>
        </is>
      </c>
      <c r="E95" s="19" t="inlineStr">
        <is>
          <t>Desvio (R$)</t>
        </is>
      </c>
      <c r="F95" s="35" t="n"/>
      <c r="G95" s="19" t="inlineStr">
        <is>
          <t>Ainda a comprar</t>
        </is>
      </c>
      <c r="H95" s="19" t="inlineStr">
        <is>
          <t>Comprado, ainda a pagar</t>
        </is>
      </c>
      <c r="I95" s="35" t="n"/>
      <c r="J95" s="35" t="n"/>
      <c r="K95" s="35" t="n"/>
      <c r="L95" s="35" t="n"/>
      <c r="M95" s="35" t="n"/>
      <c r="N95" s="35" t="n"/>
      <c r="O95" s="35" t="n"/>
    </row>
    <row r="96" ht="17" customHeight="1">
      <c r="A96" s="36" t="inlineStr">
        <is>
          <t>MDF e MDP</t>
        </is>
      </c>
      <c r="B96" s="37" t="n"/>
      <c r="C96" s="71" t="n"/>
      <c r="D96" s="56">
        <f>ROUND(SUMIFS($E$134:$E$193,$B$134:$B$193,$A96,$I$134:$I$193,"Comprado (a pagar)")+SUMIFS($E$134:$E$193,$B$134:$B$193,$A96,$I$134:$I$193,"Pago"),2)</f>
        <v/>
      </c>
      <c r="E96" s="56">
        <f>IF($C96="","",ROUND($D96-$C96,2))</f>
        <v/>
      </c>
      <c r="F96" s="38" t="n"/>
      <c r="G96" s="89">
        <f>ROUND(SUMIFS($E$134:$E$193,$B$134:$B$193,$A96,$I$134:$I$193,"A comprar"),2)</f>
        <v/>
      </c>
      <c r="H96" s="90">
        <f>ROUND(SUMIFS($E$134:$E$193,$B$134:$B$193,$A96,$I$134:$I$193,"Comprado (a pagar)"),2)</f>
        <v/>
      </c>
      <c r="I96" s="38" t="n"/>
      <c r="J96" s="38" t="n"/>
      <c r="K96" s="38" t="n"/>
      <c r="L96" s="38" t="n"/>
      <c r="M96" s="38" t="n"/>
      <c r="N96" s="38" t="n"/>
      <c r="O96" s="38" t="n"/>
    </row>
    <row r="97" ht="17" customHeight="1">
      <c r="A97" s="36" t="inlineStr">
        <is>
          <t>Fita de borda</t>
        </is>
      </c>
      <c r="B97" s="37" t="n"/>
      <c r="C97" s="71" t="n"/>
      <c r="D97" s="56">
        <f>ROUND(SUMIFS($E$134:$E$193,$B$134:$B$193,$A97,$I$134:$I$193,"Comprado (a pagar)")+SUMIFS($E$134:$E$193,$B$134:$B$193,$A97,$I$134:$I$193,"Pago"),2)</f>
        <v/>
      </c>
      <c r="E97" s="56">
        <f>IF($C97="","",ROUND($D97-$C97,2))</f>
        <v/>
      </c>
      <c r="F97" s="38" t="n"/>
      <c r="G97" s="89">
        <f>ROUND(SUMIFS($E$134:$E$193,$B$134:$B$193,$A97,$I$134:$I$193,"A comprar"),2)</f>
        <v/>
      </c>
      <c r="H97" s="90">
        <f>ROUND(SUMIFS($E$134:$E$193,$B$134:$B$193,$A97,$I$134:$I$193,"Comprado (a pagar)"),2)</f>
        <v/>
      </c>
      <c r="I97" s="38" t="n"/>
      <c r="J97" s="38" t="n"/>
      <c r="K97" s="38" t="n"/>
      <c r="L97" s="38" t="n"/>
      <c r="M97" s="38" t="n"/>
      <c r="N97" s="38" t="n"/>
      <c r="O97" s="38" t="n"/>
    </row>
    <row r="98" ht="17" customHeight="1">
      <c r="A98" s="36" t="inlineStr">
        <is>
          <t>Ferragens</t>
        </is>
      </c>
      <c r="B98" s="37" t="n"/>
      <c r="C98" s="71" t="n"/>
      <c r="D98" s="56">
        <f>ROUND(SUMIFS($E$134:$E$193,$B$134:$B$193,$A98,$I$134:$I$193,"Comprado (a pagar)")+SUMIFS($E$134:$E$193,$B$134:$B$193,$A98,$I$134:$I$193,"Pago"),2)</f>
        <v/>
      </c>
      <c r="E98" s="56">
        <f>IF($C98="","",ROUND($D98-$C98,2))</f>
        <v/>
      </c>
      <c r="F98" s="38" t="n"/>
      <c r="G98" s="89">
        <f>ROUND(SUMIFS($E$134:$E$193,$B$134:$B$193,$A98,$I$134:$I$193,"A comprar"),2)</f>
        <v/>
      </c>
      <c r="H98" s="90">
        <f>ROUND(SUMIFS($E$134:$E$193,$B$134:$B$193,$A98,$I$134:$I$193,"Comprado (a pagar)"),2)</f>
        <v/>
      </c>
      <c r="I98" s="38" t="n"/>
      <c r="J98" s="38" t="n"/>
      <c r="K98" s="38" t="n"/>
      <c r="L98" s="38" t="n"/>
      <c r="M98" s="38" t="n"/>
      <c r="N98" s="38" t="n"/>
      <c r="O98" s="38" t="n"/>
    </row>
    <row r="99" ht="17" customHeight="1">
      <c r="A99" s="36" t="inlineStr">
        <is>
          <t>Vidros e espelhos</t>
        </is>
      </c>
      <c r="B99" s="37" t="n"/>
      <c r="C99" s="71" t="n"/>
      <c r="D99" s="56">
        <f>ROUND(SUMIFS($E$134:$E$193,$B$134:$B$193,$A99,$I$134:$I$193,"Comprado (a pagar)")+SUMIFS($E$134:$E$193,$B$134:$B$193,$A99,$I$134:$I$193,"Pago"),2)</f>
        <v/>
      </c>
      <c r="E99" s="56">
        <f>IF($C99="","",ROUND($D99-$C99,2))</f>
        <v/>
      </c>
      <c r="F99" s="38" t="n"/>
      <c r="G99" s="89">
        <f>ROUND(SUMIFS($E$134:$E$193,$B$134:$B$193,$A99,$I$134:$I$193,"A comprar"),2)</f>
        <v/>
      </c>
      <c r="H99" s="90">
        <f>ROUND(SUMIFS($E$134:$E$193,$B$134:$B$193,$A99,$I$134:$I$193,"Comprado (a pagar)"),2)</f>
        <v/>
      </c>
      <c r="I99" s="38" t="n"/>
      <c r="J99" s="38" t="n"/>
      <c r="K99" s="38" t="n"/>
      <c r="L99" s="38" t="n"/>
      <c r="M99" s="38" t="n"/>
      <c r="N99" s="38" t="n"/>
      <c r="O99" s="38" t="n"/>
    </row>
    <row r="100" ht="17" customHeight="1">
      <c r="A100" s="36" t="inlineStr">
        <is>
          <t>Esquadrias</t>
        </is>
      </c>
      <c r="B100" s="37" t="n"/>
      <c r="C100" s="71" t="n"/>
      <c r="D100" s="56">
        <f>ROUND(SUMIFS($E$134:$E$193,$B$134:$B$193,$A100,$I$134:$I$193,"Comprado (a pagar)")+SUMIFS($E$134:$E$193,$B$134:$B$193,$A100,$I$134:$I$193,"Pago"),2)</f>
        <v/>
      </c>
      <c r="E100" s="56">
        <f>IF($C100="","",ROUND($D100-$C100,2))</f>
        <v/>
      </c>
      <c r="F100" s="38" t="n"/>
      <c r="G100" s="89">
        <f>ROUND(SUMIFS($E$134:$E$193,$B$134:$B$193,$A100,$I$134:$I$193,"A comprar"),2)</f>
        <v/>
      </c>
      <c r="H100" s="90">
        <f>ROUND(SUMIFS($E$134:$E$193,$B$134:$B$193,$A100,$I$134:$I$193,"Comprado (a pagar)"),2)</f>
        <v/>
      </c>
      <c r="I100" s="38" t="n"/>
      <c r="J100" s="38" t="n"/>
      <c r="K100" s="38" t="n"/>
      <c r="L100" s="38" t="n"/>
      <c r="M100" s="38" t="n"/>
      <c r="N100" s="38" t="n"/>
      <c r="O100" s="38" t="n"/>
    </row>
    <row r="101" ht="17" customHeight="1">
      <c r="A101" s="36" t="inlineStr">
        <is>
          <t>Lâmina natural</t>
        </is>
      </c>
      <c r="B101" s="37" t="n"/>
      <c r="C101" s="71" t="n"/>
      <c r="D101" s="56">
        <f>ROUND(SUMIFS($E$134:$E$193,$B$134:$B$193,$A101,$I$134:$I$193,"Comprado (a pagar)")+SUMIFS($E$134:$E$193,$B$134:$B$193,$A101,$I$134:$I$193,"Pago"),2)</f>
        <v/>
      </c>
      <c r="E101" s="56">
        <f>IF($C101="","",ROUND($D101-$C101,2))</f>
        <v/>
      </c>
      <c r="F101" s="38" t="n"/>
      <c r="G101" s="89">
        <f>ROUND(SUMIFS($E$134:$E$193,$B$134:$B$193,$A101,$I$134:$I$193,"A comprar"),2)</f>
        <v/>
      </c>
      <c r="H101" s="90">
        <f>ROUND(SUMIFS($E$134:$E$193,$B$134:$B$193,$A101,$I$134:$I$193,"Comprado (a pagar)"),2)</f>
        <v/>
      </c>
      <c r="I101" s="38" t="n"/>
      <c r="J101" s="38" t="n"/>
      <c r="K101" s="38" t="n"/>
      <c r="L101" s="38" t="n"/>
      <c r="M101" s="38" t="n"/>
      <c r="N101" s="38" t="n"/>
      <c r="O101" s="38" t="n"/>
    </row>
    <row r="102" ht="17" customHeight="1">
      <c r="A102" s="36" t="inlineStr">
        <is>
          <t>Consumíveis</t>
        </is>
      </c>
      <c r="B102" s="37" t="n"/>
      <c r="C102" s="71" t="n"/>
      <c r="D102" s="56">
        <f>ROUND(SUMIFS($E$134:$E$193,$B$134:$B$193,$A102,$I$134:$I$193,"Comprado (a pagar)")+SUMIFS($E$134:$E$193,$B$134:$B$193,$A102,$I$134:$I$193,"Pago"),2)</f>
        <v/>
      </c>
      <c r="E102" s="56">
        <f>IF($C102="","",ROUND($D102-$C102,2))</f>
        <v/>
      </c>
      <c r="F102" s="38" t="n"/>
      <c r="G102" s="89">
        <f>ROUND(SUMIFS($E$134:$E$193,$B$134:$B$193,$A102,$I$134:$I$193,"A comprar"),2)</f>
        <v/>
      </c>
      <c r="H102" s="90">
        <f>ROUND(SUMIFS($E$134:$E$193,$B$134:$B$193,$A102,$I$134:$I$193,"Comprado (a pagar)"),2)</f>
        <v/>
      </c>
      <c r="I102" s="38" t="n"/>
      <c r="J102" s="38" t="n"/>
      <c r="K102" s="38" t="n"/>
      <c r="L102" s="38" t="n"/>
      <c r="M102" s="38" t="n"/>
      <c r="N102" s="38" t="n"/>
      <c r="O102" s="38" t="n"/>
    </row>
    <row r="103" ht="20" customHeight="1">
      <c r="A103" s="31" t="inlineStr">
        <is>
          <t>(=) SUBTOTAL · MATERIAL</t>
        </is>
      </c>
      <c r="B103" s="32" t="n"/>
      <c r="C103" s="60">
        <f>ROUND(SUM(C96:C102),2)</f>
        <v/>
      </c>
      <c r="D103" s="60">
        <f>ROUND(SUM(D96:D102),2)</f>
        <v/>
      </c>
      <c r="E103" s="60">
        <f>ROUND(SUM(E96:E102),2)</f>
        <v/>
      </c>
      <c r="F103" s="32" t="n"/>
      <c r="G103" s="60">
        <f>ROUND(SUM(G96:G102),2)</f>
        <v/>
      </c>
      <c r="H103" s="60">
        <f>ROUND(SUM(H96:H102),2)</f>
        <v/>
      </c>
      <c r="I103" s="32" t="n"/>
      <c r="J103" s="32" t="n"/>
      <c r="K103" s="32" t="n"/>
      <c r="L103" s="32" t="n"/>
      <c r="M103" s="32" t="n"/>
      <c r="N103" s="32" t="n"/>
      <c r="O103" s="32" t="n"/>
    </row>
    <row r="104" ht="17" customHeight="1">
      <c r="A104" s="36" t="inlineStr">
        <is>
          <t>Acabamento</t>
        </is>
      </c>
      <c r="B104" s="37" t="n"/>
      <c r="C104" s="71" t="n"/>
      <c r="D104" s="56">
        <f>ROUND(SUMIFS($E$134:$E$193,$B$134:$B$193,$A104,$I$134:$I$193,"Comprado (a pagar)")+SUMIFS($E$134:$E$193,$B$134:$B$193,$A104,$I$134:$I$193,"Pago"),2)</f>
        <v/>
      </c>
      <c r="E104" s="56">
        <f>IF($C104="","",ROUND($D104-$C104,2))</f>
        <v/>
      </c>
      <c r="F104" s="38" t="n"/>
      <c r="G104" s="89">
        <f>ROUND(SUMIFS($E$134:$E$193,$B$134:$B$193,$A104,$I$134:$I$193,"A comprar"),2)</f>
        <v/>
      </c>
      <c r="H104" s="90">
        <f>ROUND(SUMIFS($E$134:$E$193,$B$134:$B$193,$A104,$I$134:$I$193,"Comprado (a pagar)"),2)</f>
        <v/>
      </c>
      <c r="I104" s="38" t="n"/>
      <c r="J104" s="38" t="n"/>
      <c r="K104" s="38" t="n"/>
      <c r="L104" s="38" t="n"/>
      <c r="M104" s="38" t="n"/>
      <c r="N104" s="38" t="n"/>
      <c r="O104" s="38" t="n"/>
    </row>
    <row r="105" ht="17" customHeight="1">
      <c r="A105" s="36" t="inlineStr">
        <is>
          <t>Serralheria</t>
        </is>
      </c>
      <c r="B105" s="37" t="n"/>
      <c r="C105" s="71" t="n"/>
      <c r="D105" s="56">
        <f>ROUND(SUMIFS($E$134:$E$193,$B$134:$B$193,$A105,$I$134:$I$193,"Comprado (a pagar)")+SUMIFS($E$134:$E$193,$B$134:$B$193,$A105,$I$134:$I$193,"Pago"),2)</f>
        <v/>
      </c>
      <c r="E105" s="56">
        <f>IF($C105="","",ROUND($D105-$C105,2))</f>
        <v/>
      </c>
      <c r="F105" s="38" t="n"/>
      <c r="G105" s="89">
        <f>ROUND(SUMIFS($E$134:$E$193,$B$134:$B$193,$A105,$I$134:$I$193,"A comprar"),2)</f>
        <v/>
      </c>
      <c r="H105" s="90">
        <f>ROUND(SUMIFS($E$134:$E$193,$B$134:$B$193,$A105,$I$134:$I$193,"Comprado (a pagar)"),2)</f>
        <v/>
      </c>
      <c r="I105" s="38" t="n"/>
      <c r="J105" s="38" t="n"/>
      <c r="K105" s="38" t="n"/>
      <c r="L105" s="38" t="n"/>
      <c r="M105" s="38" t="n"/>
      <c r="N105" s="38" t="n"/>
      <c r="O105" s="38" t="n"/>
    </row>
    <row r="106" ht="17" customHeight="1">
      <c r="A106" s="36" t="inlineStr">
        <is>
          <t>Vidraceiro</t>
        </is>
      </c>
      <c r="B106" s="37" t="n"/>
      <c r="C106" s="71" t="n"/>
      <c r="D106" s="56">
        <f>ROUND(SUMIFS($E$134:$E$193,$B$134:$B$193,$A106,$I$134:$I$193,"Comprado (a pagar)")+SUMIFS($E$134:$E$193,$B$134:$B$193,$A106,$I$134:$I$193,"Pago"),2)</f>
        <v/>
      </c>
      <c r="E106" s="56">
        <f>IF($C106="","",ROUND($D106-$C106,2))</f>
        <v/>
      </c>
      <c r="F106" s="38" t="n"/>
      <c r="G106" s="89">
        <f>ROUND(SUMIFS($E$134:$E$193,$B$134:$B$193,$A106,$I$134:$I$193,"A comprar"),2)</f>
        <v/>
      </c>
      <c r="H106" s="90">
        <f>ROUND(SUMIFS($E$134:$E$193,$B$134:$B$193,$A106,$I$134:$I$193,"Comprado (a pagar)"),2)</f>
        <v/>
      </c>
      <c r="I106" s="38" t="n"/>
      <c r="J106" s="38" t="n"/>
      <c r="K106" s="38" t="n"/>
      <c r="L106" s="38" t="n"/>
      <c r="M106" s="38" t="n"/>
      <c r="N106" s="38" t="n"/>
      <c r="O106" s="38" t="n"/>
    </row>
    <row r="107" ht="17" customHeight="1">
      <c r="A107" s="36" t="inlineStr">
        <is>
          <t>Outro terceirizado</t>
        </is>
      </c>
      <c r="B107" s="37" t="n"/>
      <c r="C107" s="71" t="n"/>
      <c r="D107" s="56">
        <f>ROUND(SUMIFS($E$134:$E$193,$B$134:$B$193,$A107,$I$134:$I$193,"Comprado (a pagar)")+SUMIFS($E$134:$E$193,$B$134:$B$193,$A107,$I$134:$I$193,"Pago"),2)</f>
        <v/>
      </c>
      <c r="E107" s="56">
        <f>IF($C107="","",ROUND($D107-$C107,2))</f>
        <v/>
      </c>
      <c r="F107" s="38" t="n"/>
      <c r="G107" s="89">
        <f>ROUND(SUMIFS($E$134:$E$193,$B$134:$B$193,$A107,$I$134:$I$193,"A comprar"),2)</f>
        <v/>
      </c>
      <c r="H107" s="90">
        <f>ROUND(SUMIFS($E$134:$E$193,$B$134:$B$193,$A107,$I$134:$I$193,"Comprado (a pagar)"),2)</f>
        <v/>
      </c>
      <c r="I107" s="38" t="n"/>
      <c r="J107" s="38" t="n"/>
      <c r="K107" s="38" t="n"/>
      <c r="L107" s="38" t="n"/>
      <c r="M107" s="38" t="n"/>
      <c r="N107" s="38" t="n"/>
      <c r="O107" s="38" t="n"/>
    </row>
    <row r="108" ht="20" customHeight="1">
      <c r="A108" s="31" t="inlineStr">
        <is>
          <t>(=) SUBTOTAL · SERVIÇOS TERCEIRIZADOS</t>
        </is>
      </c>
      <c r="B108" s="32" t="n"/>
      <c r="C108" s="60">
        <f>ROUND(SUM(C104:C107),2)</f>
        <v/>
      </c>
      <c r="D108" s="60">
        <f>ROUND(SUM(D104:D107),2)</f>
        <v/>
      </c>
      <c r="E108" s="60">
        <f>ROUND(SUM(E104:E107),2)</f>
        <v/>
      </c>
      <c r="F108" s="32" t="n"/>
      <c r="G108" s="60">
        <f>ROUND(SUM(G104:G107),2)</f>
        <v/>
      </c>
      <c r="H108" s="60">
        <f>ROUND(SUM(H104:H107),2)</f>
        <v/>
      </c>
      <c r="I108" s="32" t="n"/>
      <c r="J108" s="32" t="n"/>
      <c r="K108" s="32" t="n"/>
      <c r="L108" s="32" t="n"/>
      <c r="M108" s="32" t="n"/>
      <c r="N108" s="32" t="n"/>
      <c r="O108" s="32" t="n"/>
    </row>
    <row r="109" ht="17" customHeight="1">
      <c r="A109" s="36" t="inlineStr">
        <is>
          <t>Uber e aplicativo</t>
        </is>
      </c>
      <c r="B109" s="37" t="n"/>
      <c r="C109" s="71" t="n"/>
      <c r="D109" s="56">
        <f>ROUND(SUMIFS($E$134:$E$193,$B$134:$B$193,$A109,$I$134:$I$193,"Comprado (a pagar)")+SUMIFS($E$134:$E$193,$B$134:$B$193,$A109,$I$134:$I$193,"Pago"),2)</f>
        <v/>
      </c>
      <c r="E109" s="56">
        <f>IF($C109="","",ROUND($D109-$C109,2))</f>
        <v/>
      </c>
      <c r="F109" s="38" t="n"/>
      <c r="G109" s="89">
        <f>ROUND(SUMIFS($E$134:$E$193,$B$134:$B$193,$A109,$I$134:$I$193,"A comprar"),2)</f>
        <v/>
      </c>
      <c r="H109" s="90">
        <f>ROUND(SUMIFS($E$134:$E$193,$B$134:$B$193,$A109,$I$134:$I$193,"Comprado (a pagar)"),2)</f>
        <v/>
      </c>
      <c r="I109" s="38" t="n"/>
      <c r="J109" s="38" t="n"/>
      <c r="K109" s="38" t="n"/>
      <c r="L109" s="38" t="n"/>
      <c r="M109" s="38" t="n"/>
      <c r="N109" s="38" t="n"/>
      <c r="O109" s="38" t="n"/>
    </row>
    <row r="110" ht="17" customHeight="1">
      <c r="A110" s="36" t="inlineStr">
        <is>
          <t>Carreto e entrega</t>
        </is>
      </c>
      <c r="B110" s="37" t="n"/>
      <c r="C110" s="71" t="n"/>
      <c r="D110" s="56">
        <f>ROUND(SUMIFS($E$134:$E$193,$B$134:$B$193,$A110,$I$134:$I$193,"Comprado (a pagar)")+SUMIFS($E$134:$E$193,$B$134:$B$193,$A110,$I$134:$I$193,"Pago"),2)</f>
        <v/>
      </c>
      <c r="E110" s="56">
        <f>IF($C110="","",ROUND($D110-$C110,2))</f>
        <v/>
      </c>
      <c r="F110" s="38" t="n"/>
      <c r="G110" s="89">
        <f>ROUND(SUMIFS($E$134:$E$193,$B$134:$B$193,$A110,$I$134:$I$193,"A comprar"),2)</f>
        <v/>
      </c>
      <c r="H110" s="90">
        <f>ROUND(SUMIFS($E$134:$E$193,$B$134:$B$193,$A110,$I$134:$I$193,"Comprado (a pagar)"),2)</f>
        <v/>
      </c>
      <c r="I110" s="38" t="n"/>
      <c r="J110" s="38" t="n"/>
      <c r="K110" s="38" t="n"/>
      <c r="L110" s="38" t="n"/>
      <c r="M110" s="38" t="n"/>
      <c r="N110" s="38" t="n"/>
      <c r="O110" s="38" t="n"/>
    </row>
    <row r="111" ht="17" customHeight="1">
      <c r="A111" s="36" t="inlineStr">
        <is>
          <t>Deslocamento da equipe</t>
        </is>
      </c>
      <c r="B111" s="37" t="n"/>
      <c r="C111" s="71" t="n"/>
      <c r="D111" s="56">
        <f>ROUND(SUMIFS($E$134:$E$193,$B$134:$B$193,$A111,$I$134:$I$193,"Comprado (a pagar)")+SUMIFS($E$134:$E$193,$B$134:$B$193,$A111,$I$134:$I$193,"Pago"),2)</f>
        <v/>
      </c>
      <c r="E111" s="56">
        <f>IF($C111="","",ROUND($D111-$C111,2))</f>
        <v/>
      </c>
      <c r="F111" s="38" t="n"/>
      <c r="G111" s="89">
        <f>ROUND(SUMIFS($E$134:$E$193,$B$134:$B$193,$A111,$I$134:$I$193,"A comprar"),2)</f>
        <v/>
      </c>
      <c r="H111" s="90">
        <f>ROUND(SUMIFS($E$134:$E$193,$B$134:$B$193,$A111,$I$134:$I$193,"Comprado (a pagar)"),2)</f>
        <v/>
      </c>
      <c r="I111" s="38" t="n"/>
      <c r="J111" s="38" t="n"/>
      <c r="K111" s="38" t="n"/>
      <c r="L111" s="38" t="n"/>
      <c r="M111" s="38" t="n"/>
      <c r="N111" s="38" t="n"/>
      <c r="O111" s="38" t="n"/>
    </row>
    <row r="112" ht="17" customHeight="1">
      <c r="A112" s="36" t="inlineStr">
        <is>
          <t>Frete de material</t>
        </is>
      </c>
      <c r="B112" s="37" t="n"/>
      <c r="C112" s="71" t="n"/>
      <c r="D112" s="56">
        <f>ROUND(SUMIFS($E$134:$E$193,$B$134:$B$193,$A112,$I$134:$I$193,"Comprado (a pagar)")+SUMIFS($E$134:$E$193,$B$134:$B$193,$A112,$I$134:$I$193,"Pago"),2)</f>
        <v/>
      </c>
      <c r="E112" s="56">
        <f>IF($C112="","",ROUND($D112-$C112,2))</f>
        <v/>
      </c>
      <c r="F112" s="38" t="n"/>
      <c r="G112" s="89">
        <f>ROUND(SUMIFS($E$134:$E$193,$B$134:$B$193,$A112,$I$134:$I$193,"A comprar"),2)</f>
        <v/>
      </c>
      <c r="H112" s="90">
        <f>ROUND(SUMIFS($E$134:$E$193,$B$134:$B$193,$A112,$I$134:$I$193,"Comprado (a pagar)"),2)</f>
        <v/>
      </c>
      <c r="I112" s="38" t="n"/>
      <c r="J112" s="38" t="n"/>
      <c r="K112" s="38" t="n"/>
      <c r="L112" s="38" t="n"/>
      <c r="M112" s="38" t="n"/>
      <c r="N112" s="38" t="n"/>
      <c r="O112" s="38" t="n"/>
    </row>
    <row r="113" ht="17" customHeight="1">
      <c r="A113" s="36" t="inlineStr">
        <is>
          <t>Estacionamento e pedágio</t>
        </is>
      </c>
      <c r="B113" s="37" t="n"/>
      <c r="C113" s="71" t="n"/>
      <c r="D113" s="56">
        <f>ROUND(SUMIFS($E$134:$E$193,$B$134:$B$193,$A113,$I$134:$I$193,"Comprado (a pagar)")+SUMIFS($E$134:$E$193,$B$134:$B$193,$A113,$I$134:$I$193,"Pago"),2)</f>
        <v/>
      </c>
      <c r="E113" s="56">
        <f>IF($C113="","",ROUND($D113-$C113,2))</f>
        <v/>
      </c>
      <c r="F113" s="38" t="n"/>
      <c r="G113" s="89">
        <f>ROUND(SUMIFS($E$134:$E$193,$B$134:$B$193,$A113,$I$134:$I$193,"A comprar"),2)</f>
        <v/>
      </c>
      <c r="H113" s="90">
        <f>ROUND(SUMIFS($E$134:$E$193,$B$134:$B$193,$A113,$I$134:$I$193,"Comprado (a pagar)"),2)</f>
        <v/>
      </c>
      <c r="I113" s="38" t="n"/>
      <c r="J113" s="38" t="n"/>
      <c r="K113" s="38" t="n"/>
      <c r="L113" s="38" t="n"/>
      <c r="M113" s="38" t="n"/>
      <c r="N113" s="38" t="n"/>
      <c r="O113" s="38" t="n"/>
    </row>
    <row r="114" ht="20" customHeight="1">
      <c r="A114" s="31" t="inlineStr">
        <is>
          <t>(=) SUBTOTAL · LOGÍSTICA</t>
        </is>
      </c>
      <c r="B114" s="32" t="n"/>
      <c r="C114" s="60">
        <f>ROUND(SUM(C109:C113),2)</f>
        <v/>
      </c>
      <c r="D114" s="60">
        <f>ROUND(SUM(D109:D113),2)</f>
        <v/>
      </c>
      <c r="E114" s="60">
        <f>ROUND(SUM(E109:E113),2)</f>
        <v/>
      </c>
      <c r="F114" s="32" t="n"/>
      <c r="G114" s="60">
        <f>ROUND(SUM(G109:G113),2)</f>
        <v/>
      </c>
      <c r="H114" s="60">
        <f>ROUND(SUM(H109:H113),2)</f>
        <v/>
      </c>
      <c r="I114" s="32" t="n"/>
      <c r="J114" s="32" t="n"/>
      <c r="K114" s="32" t="n"/>
      <c r="L114" s="32" t="n"/>
      <c r="M114" s="32" t="n"/>
      <c r="N114" s="32" t="n"/>
      <c r="O114" s="32" t="n"/>
    </row>
    <row r="115" ht="8" customHeight="1"/>
    <row r="116" ht="20" customHeight="1">
      <c r="A116" s="8" t="inlineStr">
        <is>
          <t xml:space="preserve">  7 · RETRABALHO          o que aconteceu, por que aconteceu e quanto custou — é aqui que o orçamento aprende</t>
        </is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</row>
    <row r="117" ht="26" customHeight="1">
      <c r="A117" s="19" t="inlineStr">
        <is>
          <t>O que aconteceu</t>
        </is>
      </c>
      <c r="B117" s="19" t="inlineStr">
        <is>
          <t>Causa</t>
        </is>
      </c>
      <c r="C117" s="35" t="n"/>
      <c r="D117" s="35" t="n"/>
      <c r="E117" s="19" t="inlineStr">
        <is>
          <t>Custo estimado (R$)</t>
        </is>
      </c>
      <c r="F117" s="35" t="n"/>
      <c r="G117" s="19" t="inlineStr">
        <is>
          <t>Providência / responsável</t>
        </is>
      </c>
      <c r="H117" s="35" t="n"/>
      <c r="I117" s="35" t="n"/>
      <c r="J117" s="35" t="n"/>
      <c r="K117" s="35" t="n"/>
      <c r="L117" s="35" t="n"/>
      <c r="M117" s="35" t="n"/>
      <c r="N117" s="35" t="n"/>
      <c r="O117" s="35" t="n"/>
    </row>
    <row r="118" ht="18" customHeight="1">
      <c r="A118" s="83" t="n"/>
      <c r="B118" s="83" t="n"/>
      <c r="C118" s="46" t="n"/>
      <c r="D118" s="46" t="n"/>
      <c r="E118" s="91" t="n"/>
      <c r="F118" s="46" t="n"/>
      <c r="G118" s="73" t="n"/>
      <c r="H118" s="46" t="n"/>
      <c r="I118" s="46" t="n"/>
      <c r="J118" s="46" t="n"/>
      <c r="K118" s="46" t="n"/>
      <c r="L118" s="46" t="n"/>
      <c r="M118" s="46" t="n"/>
      <c r="N118" s="46" t="n"/>
      <c r="O118" s="46" t="n"/>
    </row>
    <row r="119" ht="18" customHeight="1">
      <c r="A119" s="83" t="n"/>
      <c r="B119" s="83" t="n"/>
      <c r="C119" s="46" t="n"/>
      <c r="D119" s="46" t="n"/>
      <c r="E119" s="91" t="n"/>
      <c r="F119" s="46" t="n"/>
      <c r="G119" s="73" t="n"/>
      <c r="H119" s="46" t="n"/>
      <c r="I119" s="46" t="n"/>
      <c r="J119" s="46" t="n"/>
      <c r="K119" s="46" t="n"/>
      <c r="L119" s="46" t="n"/>
      <c r="M119" s="46" t="n"/>
      <c r="N119" s="46" t="n"/>
      <c r="O119" s="46" t="n"/>
    </row>
    <row r="120" ht="18" customHeight="1">
      <c r="A120" s="83" t="n"/>
      <c r="B120" s="83" t="n"/>
      <c r="C120" s="46" t="n"/>
      <c r="D120" s="46" t="n"/>
      <c r="E120" s="91" t="n"/>
      <c r="F120" s="46" t="n"/>
      <c r="G120" s="73" t="n"/>
      <c r="H120" s="46" t="n"/>
      <c r="I120" s="46" t="n"/>
      <c r="J120" s="46" t="n"/>
      <c r="K120" s="46" t="n"/>
      <c r="L120" s="46" t="n"/>
      <c r="M120" s="46" t="n"/>
      <c r="N120" s="46" t="n"/>
      <c r="O120" s="46" t="n"/>
    </row>
    <row r="121" ht="18" customHeight="1">
      <c r="A121" s="83" t="n"/>
      <c r="B121" s="83" t="n"/>
      <c r="C121" s="46" t="n"/>
      <c r="D121" s="46" t="n"/>
      <c r="E121" s="91" t="n"/>
      <c r="F121" s="46" t="n"/>
      <c r="G121" s="73" t="n"/>
      <c r="H121" s="46" t="n"/>
      <c r="I121" s="46" t="n"/>
      <c r="J121" s="46" t="n"/>
      <c r="K121" s="46" t="n"/>
      <c r="L121" s="46" t="n"/>
      <c r="M121" s="46" t="n"/>
      <c r="N121" s="46" t="n"/>
      <c r="O121" s="46" t="n"/>
    </row>
    <row r="122" ht="18" customHeight="1">
      <c r="A122" s="83" t="n"/>
      <c r="B122" s="83" t="n"/>
      <c r="C122" s="46" t="n"/>
      <c r="D122" s="46" t="n"/>
      <c r="E122" s="91" t="n"/>
      <c r="F122" s="46" t="n"/>
      <c r="G122" s="73" t="n"/>
      <c r="H122" s="46" t="n"/>
      <c r="I122" s="46" t="n"/>
      <c r="J122" s="46" t="n"/>
      <c r="K122" s="46" t="n"/>
      <c r="L122" s="46" t="n"/>
      <c r="M122" s="46" t="n"/>
      <c r="N122" s="46" t="n"/>
      <c r="O122" s="46" t="n"/>
    </row>
    <row r="123" ht="18" customHeight="1">
      <c r="A123" s="83" t="n"/>
      <c r="B123" s="83" t="n"/>
      <c r="C123" s="46" t="n"/>
      <c r="D123" s="46" t="n"/>
      <c r="E123" s="91" t="n"/>
      <c r="F123" s="46" t="n"/>
      <c r="G123" s="73" t="n"/>
      <c r="H123" s="46" t="n"/>
      <c r="I123" s="46" t="n"/>
      <c r="J123" s="46" t="n"/>
      <c r="K123" s="46" t="n"/>
      <c r="L123" s="46" t="n"/>
      <c r="M123" s="46" t="n"/>
      <c r="N123" s="46" t="n"/>
      <c r="O123" s="46" t="n"/>
    </row>
    <row r="124" ht="18" customHeight="1">
      <c r="A124" s="83" t="n"/>
      <c r="B124" s="83" t="n"/>
      <c r="C124" s="46" t="n"/>
      <c r="D124" s="46" t="n"/>
      <c r="E124" s="91" t="n"/>
      <c r="F124" s="46" t="n"/>
      <c r="G124" s="73" t="n"/>
      <c r="H124" s="46" t="n"/>
      <c r="I124" s="46" t="n"/>
      <c r="J124" s="46" t="n"/>
      <c r="K124" s="46" t="n"/>
      <c r="L124" s="46" t="n"/>
      <c r="M124" s="46" t="n"/>
      <c r="N124" s="46" t="n"/>
      <c r="O124" s="46" t="n"/>
    </row>
    <row r="125" ht="18" customHeight="1">
      <c r="A125" s="83" t="n"/>
      <c r="B125" s="83" t="n"/>
      <c r="C125" s="46" t="n"/>
      <c r="D125" s="46" t="n"/>
      <c r="E125" s="91" t="n"/>
      <c r="F125" s="46" t="n"/>
      <c r="G125" s="73" t="n"/>
      <c r="H125" s="46" t="n"/>
      <c r="I125" s="46" t="n"/>
      <c r="J125" s="46" t="n"/>
      <c r="K125" s="46" t="n"/>
      <c r="L125" s="46" t="n"/>
      <c r="M125" s="46" t="n"/>
      <c r="N125" s="46" t="n"/>
      <c r="O125" s="46" t="n"/>
    </row>
    <row r="126" ht="18" customHeight="1">
      <c r="A126" s="83" t="n"/>
      <c r="B126" s="83" t="n"/>
      <c r="C126" s="46" t="n"/>
      <c r="D126" s="46" t="n"/>
      <c r="E126" s="91" t="n"/>
      <c r="F126" s="46" t="n"/>
      <c r="G126" s="73" t="n"/>
      <c r="H126" s="46" t="n"/>
      <c r="I126" s="46" t="n"/>
      <c r="J126" s="46" t="n"/>
      <c r="K126" s="46" t="n"/>
      <c r="L126" s="46" t="n"/>
      <c r="M126" s="46" t="n"/>
      <c r="N126" s="46" t="n"/>
      <c r="O126" s="46" t="n"/>
    </row>
    <row r="127" ht="18" customHeight="1">
      <c r="A127" s="83" t="n"/>
      <c r="B127" s="83" t="n"/>
      <c r="C127" s="46" t="n"/>
      <c r="D127" s="46" t="n"/>
      <c r="E127" s="91" t="n"/>
      <c r="F127" s="46" t="n"/>
      <c r="G127" s="73" t="n"/>
      <c r="H127" s="46" t="n"/>
      <c r="I127" s="46" t="n"/>
      <c r="J127" s="46" t="n"/>
      <c r="K127" s="46" t="n"/>
      <c r="L127" s="46" t="n"/>
      <c r="M127" s="46" t="n"/>
      <c r="N127" s="46" t="n"/>
      <c r="O127" s="46" t="n"/>
    </row>
    <row r="128" ht="18" customHeight="1">
      <c r="A128" s="83" t="n"/>
      <c r="B128" s="83" t="n"/>
      <c r="C128" s="46" t="n"/>
      <c r="D128" s="46" t="n"/>
      <c r="E128" s="91" t="n"/>
      <c r="F128" s="46" t="n"/>
      <c r="G128" s="73" t="n"/>
      <c r="H128" s="46" t="n"/>
      <c r="I128" s="46" t="n"/>
      <c r="J128" s="46" t="n"/>
      <c r="K128" s="46" t="n"/>
      <c r="L128" s="46" t="n"/>
      <c r="M128" s="46" t="n"/>
      <c r="N128" s="46" t="n"/>
      <c r="O128" s="46" t="n"/>
    </row>
    <row r="129" ht="18" customHeight="1">
      <c r="A129" s="83" t="n"/>
      <c r="B129" s="83" t="n"/>
      <c r="C129" s="46" t="n"/>
      <c r="D129" s="46" t="n"/>
      <c r="E129" s="91" t="n"/>
      <c r="F129" s="46" t="n"/>
      <c r="G129" s="73" t="n"/>
      <c r="H129" s="46" t="n"/>
      <c r="I129" s="46" t="n"/>
      <c r="J129" s="46" t="n"/>
      <c r="K129" s="46" t="n"/>
      <c r="L129" s="46" t="n"/>
      <c r="M129" s="46" t="n"/>
      <c r="N129" s="46" t="n"/>
      <c r="O129" s="46" t="n"/>
    </row>
    <row r="130" ht="20" customHeight="1">
      <c r="A130" s="31" t="inlineStr">
        <is>
          <t>CONTINGÊNCIA PREVISTA NO ORÇAMENTO  →</t>
        </is>
      </c>
      <c r="B130" s="32" t="n"/>
      <c r="C130" s="92" t="n"/>
      <c r="D130" s="60">
        <f>ROUND(SUM($E$118:$E$129),2)</f>
        <v/>
      </c>
      <c r="E130" s="60">
        <f>ROUND($D$130-IF($C$130="",0,$C$130),2)</f>
        <v/>
      </c>
      <c r="F130" s="32" t="n"/>
      <c r="G130" s="62">
        <f>IF(OR($A$13="",$A$13=0),"",$D$130/$A$13)</f>
        <v/>
      </c>
      <c r="H130" s="93" t="inlineStr">
        <is>
          <t>orçado = a contingência prevista · realizado = a soma acima</t>
        </is>
      </c>
      <c r="I130" s="32" t="n"/>
      <c r="J130" s="32" t="n"/>
      <c r="K130" s="32" t="n"/>
      <c r="L130" s="32" t="n"/>
      <c r="M130" s="32" t="n"/>
      <c r="N130" s="32" t="n"/>
      <c r="O130" s="32" t="n"/>
    </row>
    <row r="131" ht="8" customHeight="1"/>
    <row r="132" ht="20" customHeight="1">
      <c r="A132" s="8" t="inlineStr">
        <is>
          <t xml:space="preserve">  8 · LIVRO DE COMPRAS E DESPESAS DO PROJETO          uma linha por compra, na ordem em que acontecer · pode inserir linhas à vontade aqui</t>
        </is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</row>
    <row r="133" ht="28" customHeight="1">
      <c r="A133" s="19" t="inlineStr">
        <is>
          <t>Descrição / fornecedor</t>
        </is>
      </c>
      <c r="B133" s="19" t="inlineStr">
        <is>
          <t>Categoria</t>
        </is>
      </c>
      <c r="C133" s="35" t="n"/>
      <c r="D133" s="19" t="inlineStr">
        <is>
          <t>Data</t>
        </is>
      </c>
      <c r="E133" s="19" t="inlineStr">
        <is>
          <t>Valor (R$)</t>
        </is>
      </c>
      <c r="F133" s="35" t="n"/>
      <c r="G133" s="19" t="inlineStr">
        <is>
          <t>Forma de pagamento</t>
        </is>
      </c>
      <c r="H133" s="35" t="n"/>
      <c r="I133" s="19" t="inlineStr">
        <is>
          <t>Status</t>
        </is>
      </c>
      <c r="J133" s="35" t="n"/>
      <c r="K133" s="35" t="n"/>
      <c r="L133" s="35" t="n"/>
      <c r="M133" s="35" t="n"/>
      <c r="N133" s="35" t="n"/>
      <c r="O133" s="35" t="n"/>
    </row>
    <row r="134" ht="17" customHeight="1">
      <c r="A134" s="83" t="n"/>
      <c r="B134" s="94" t="n"/>
      <c r="C134" s="46" t="n"/>
      <c r="D134" s="75" t="n"/>
      <c r="E134" s="95" t="n"/>
      <c r="F134" s="46" t="n"/>
      <c r="G134" s="96" t="n"/>
      <c r="H134" s="46" t="n"/>
      <c r="I134" s="97" t="n"/>
      <c r="J134" s="46" t="n"/>
      <c r="K134" s="46" t="n"/>
      <c r="L134" s="46" t="n"/>
      <c r="M134" s="46" t="n"/>
      <c r="N134" s="46" t="n"/>
      <c r="O134" s="46" t="n"/>
    </row>
    <row r="135" ht="17" customHeight="1">
      <c r="A135" s="83" t="n"/>
      <c r="B135" s="94" t="n"/>
      <c r="C135" s="46" t="n"/>
      <c r="D135" s="75" t="n"/>
      <c r="E135" s="95" t="n"/>
      <c r="F135" s="46" t="n"/>
      <c r="G135" s="96" t="n"/>
      <c r="H135" s="46" t="n"/>
      <c r="I135" s="97" t="n"/>
      <c r="J135" s="46" t="n"/>
      <c r="K135" s="46" t="n"/>
      <c r="L135" s="46" t="n"/>
      <c r="M135" s="46" t="n"/>
      <c r="N135" s="46" t="n"/>
      <c r="O135" s="46" t="n"/>
    </row>
    <row r="136" ht="17" customHeight="1">
      <c r="A136" s="83" t="n"/>
      <c r="B136" s="94" t="n"/>
      <c r="C136" s="46" t="n"/>
      <c r="D136" s="75" t="n"/>
      <c r="E136" s="95" t="n"/>
      <c r="F136" s="46" t="n"/>
      <c r="G136" s="96" t="n"/>
      <c r="H136" s="46" t="n"/>
      <c r="I136" s="97" t="n"/>
      <c r="J136" s="46" t="n"/>
      <c r="K136" s="46" t="n"/>
      <c r="L136" s="46" t="n"/>
      <c r="M136" s="46" t="n"/>
      <c r="N136" s="46" t="n"/>
      <c r="O136" s="46" t="n"/>
    </row>
    <row r="137" ht="17" customHeight="1">
      <c r="A137" s="83" t="n"/>
      <c r="B137" s="94" t="n"/>
      <c r="C137" s="46" t="n"/>
      <c r="D137" s="75" t="n"/>
      <c r="E137" s="95" t="n"/>
      <c r="F137" s="46" t="n"/>
      <c r="G137" s="96" t="n"/>
      <c r="H137" s="46" t="n"/>
      <c r="I137" s="97" t="n"/>
      <c r="J137" s="46" t="n"/>
      <c r="K137" s="46" t="n"/>
      <c r="L137" s="46" t="n"/>
      <c r="M137" s="46" t="n"/>
      <c r="N137" s="46" t="n"/>
      <c r="O137" s="46" t="n"/>
    </row>
    <row r="138" ht="17" customHeight="1">
      <c r="A138" s="83" t="n"/>
      <c r="B138" s="94" t="n"/>
      <c r="C138" s="46" t="n"/>
      <c r="D138" s="75" t="n"/>
      <c r="E138" s="95" t="n"/>
      <c r="F138" s="46" t="n"/>
      <c r="G138" s="96" t="n"/>
      <c r="H138" s="46" t="n"/>
      <c r="I138" s="97" t="n"/>
      <c r="J138" s="46" t="n"/>
      <c r="K138" s="46" t="n"/>
      <c r="L138" s="46" t="n"/>
      <c r="M138" s="46" t="n"/>
      <c r="N138" s="46" t="n"/>
      <c r="O138" s="46" t="n"/>
    </row>
    <row r="139" ht="17" customHeight="1">
      <c r="A139" s="83" t="n"/>
      <c r="B139" s="94" t="n"/>
      <c r="C139" s="46" t="n"/>
      <c r="D139" s="75" t="n"/>
      <c r="E139" s="95" t="n"/>
      <c r="F139" s="46" t="n"/>
      <c r="G139" s="96" t="n"/>
      <c r="H139" s="46" t="n"/>
      <c r="I139" s="97" t="n"/>
      <c r="J139" s="46" t="n"/>
      <c r="K139" s="46" t="n"/>
      <c r="L139" s="46" t="n"/>
      <c r="M139" s="46" t="n"/>
      <c r="N139" s="46" t="n"/>
      <c r="O139" s="46" t="n"/>
    </row>
    <row r="140" ht="17" customHeight="1">
      <c r="A140" s="83" t="n"/>
      <c r="B140" s="94" t="n"/>
      <c r="C140" s="46" t="n"/>
      <c r="D140" s="75" t="n"/>
      <c r="E140" s="95" t="n"/>
      <c r="F140" s="46" t="n"/>
      <c r="G140" s="96" t="n"/>
      <c r="H140" s="46" t="n"/>
      <c r="I140" s="97" t="n"/>
      <c r="J140" s="46" t="n"/>
      <c r="K140" s="46" t="n"/>
      <c r="L140" s="46" t="n"/>
      <c r="M140" s="46" t="n"/>
      <c r="N140" s="46" t="n"/>
      <c r="O140" s="46" t="n"/>
    </row>
    <row r="141" ht="17" customHeight="1">
      <c r="A141" s="83" t="n"/>
      <c r="B141" s="94" t="n"/>
      <c r="C141" s="46" t="n"/>
      <c r="D141" s="75" t="n"/>
      <c r="E141" s="95" t="n"/>
      <c r="F141" s="46" t="n"/>
      <c r="G141" s="96" t="n"/>
      <c r="H141" s="46" t="n"/>
      <c r="I141" s="97" t="n"/>
      <c r="J141" s="46" t="n"/>
      <c r="K141" s="46" t="n"/>
      <c r="L141" s="46" t="n"/>
      <c r="M141" s="46" t="n"/>
      <c r="N141" s="46" t="n"/>
      <c r="O141" s="46" t="n"/>
    </row>
    <row r="142" ht="17" customHeight="1">
      <c r="A142" s="83" t="n"/>
      <c r="B142" s="94" t="n"/>
      <c r="C142" s="46" t="n"/>
      <c r="D142" s="75" t="n"/>
      <c r="E142" s="95" t="n"/>
      <c r="F142" s="46" t="n"/>
      <c r="G142" s="96" t="n"/>
      <c r="H142" s="46" t="n"/>
      <c r="I142" s="97" t="n"/>
      <c r="J142" s="46" t="n"/>
      <c r="K142" s="46" t="n"/>
      <c r="L142" s="46" t="n"/>
      <c r="M142" s="46" t="n"/>
      <c r="N142" s="46" t="n"/>
      <c r="O142" s="46" t="n"/>
    </row>
    <row r="143" ht="17" customHeight="1">
      <c r="A143" s="83" t="n"/>
      <c r="B143" s="94" t="n"/>
      <c r="C143" s="46" t="n"/>
      <c r="D143" s="75" t="n"/>
      <c r="E143" s="95" t="n"/>
      <c r="F143" s="46" t="n"/>
      <c r="G143" s="96" t="n"/>
      <c r="H143" s="46" t="n"/>
      <c r="I143" s="97" t="n"/>
      <c r="J143" s="46" t="n"/>
      <c r="K143" s="46" t="n"/>
      <c r="L143" s="46" t="n"/>
      <c r="M143" s="46" t="n"/>
      <c r="N143" s="46" t="n"/>
      <c r="O143" s="46" t="n"/>
    </row>
    <row r="144" ht="17" customHeight="1">
      <c r="A144" s="83" t="n"/>
      <c r="B144" s="94" t="n"/>
      <c r="C144" s="46" t="n"/>
      <c r="D144" s="75" t="n"/>
      <c r="E144" s="95" t="n"/>
      <c r="F144" s="46" t="n"/>
      <c r="G144" s="96" t="n"/>
      <c r="H144" s="46" t="n"/>
      <c r="I144" s="97" t="n"/>
      <c r="J144" s="46" t="n"/>
      <c r="K144" s="46" t="n"/>
      <c r="L144" s="46" t="n"/>
      <c r="M144" s="46" t="n"/>
      <c r="N144" s="46" t="n"/>
      <c r="O144" s="46" t="n"/>
    </row>
    <row r="145" ht="17" customHeight="1">
      <c r="A145" s="83" t="n"/>
      <c r="B145" s="94" t="n"/>
      <c r="C145" s="46" t="n"/>
      <c r="D145" s="75" t="n"/>
      <c r="E145" s="95" t="n"/>
      <c r="F145" s="46" t="n"/>
      <c r="G145" s="96" t="n"/>
      <c r="H145" s="46" t="n"/>
      <c r="I145" s="97" t="n"/>
      <c r="J145" s="46" t="n"/>
      <c r="K145" s="46" t="n"/>
      <c r="L145" s="46" t="n"/>
      <c r="M145" s="46" t="n"/>
      <c r="N145" s="46" t="n"/>
      <c r="O145" s="46" t="n"/>
    </row>
    <row r="146" ht="17" customHeight="1">
      <c r="A146" s="83" t="n"/>
      <c r="B146" s="94" t="n"/>
      <c r="C146" s="46" t="n"/>
      <c r="D146" s="75" t="n"/>
      <c r="E146" s="95" t="n"/>
      <c r="F146" s="46" t="n"/>
      <c r="G146" s="96" t="n"/>
      <c r="H146" s="46" t="n"/>
      <c r="I146" s="97" t="n"/>
      <c r="J146" s="46" t="n"/>
      <c r="K146" s="46" t="n"/>
      <c r="L146" s="46" t="n"/>
      <c r="M146" s="46" t="n"/>
      <c r="N146" s="46" t="n"/>
      <c r="O146" s="46" t="n"/>
    </row>
    <row r="147" ht="17" customHeight="1">
      <c r="A147" s="83" t="n"/>
      <c r="B147" s="94" t="n"/>
      <c r="C147" s="46" t="n"/>
      <c r="D147" s="75" t="n"/>
      <c r="E147" s="95" t="n"/>
      <c r="F147" s="46" t="n"/>
      <c r="G147" s="96" t="n"/>
      <c r="H147" s="46" t="n"/>
      <c r="I147" s="97" t="n"/>
      <c r="J147" s="46" t="n"/>
      <c r="K147" s="46" t="n"/>
      <c r="L147" s="46" t="n"/>
      <c r="M147" s="46" t="n"/>
      <c r="N147" s="46" t="n"/>
      <c r="O147" s="46" t="n"/>
    </row>
    <row r="148" ht="17" customHeight="1">
      <c r="A148" s="83" t="n"/>
      <c r="B148" s="94" t="n"/>
      <c r="C148" s="46" t="n"/>
      <c r="D148" s="75" t="n"/>
      <c r="E148" s="95" t="n"/>
      <c r="F148" s="46" t="n"/>
      <c r="G148" s="96" t="n"/>
      <c r="H148" s="46" t="n"/>
      <c r="I148" s="97" t="n"/>
      <c r="J148" s="46" t="n"/>
      <c r="K148" s="46" t="n"/>
      <c r="L148" s="46" t="n"/>
      <c r="M148" s="46" t="n"/>
      <c r="N148" s="46" t="n"/>
      <c r="O148" s="46" t="n"/>
    </row>
    <row r="149" ht="17" customHeight="1">
      <c r="A149" s="83" t="n"/>
      <c r="B149" s="94" t="n"/>
      <c r="C149" s="46" t="n"/>
      <c r="D149" s="75" t="n"/>
      <c r="E149" s="95" t="n"/>
      <c r="F149" s="46" t="n"/>
      <c r="G149" s="96" t="n"/>
      <c r="H149" s="46" t="n"/>
      <c r="I149" s="97" t="n"/>
      <c r="J149" s="46" t="n"/>
      <c r="K149" s="46" t="n"/>
      <c r="L149" s="46" t="n"/>
      <c r="M149" s="46" t="n"/>
      <c r="N149" s="46" t="n"/>
      <c r="O149" s="46" t="n"/>
    </row>
    <row r="150" ht="17" customHeight="1">
      <c r="A150" s="83" t="n"/>
      <c r="B150" s="94" t="n"/>
      <c r="C150" s="46" t="n"/>
      <c r="D150" s="75" t="n"/>
      <c r="E150" s="95" t="n"/>
      <c r="F150" s="46" t="n"/>
      <c r="G150" s="96" t="n"/>
      <c r="H150" s="46" t="n"/>
      <c r="I150" s="97" t="n"/>
      <c r="J150" s="46" t="n"/>
      <c r="K150" s="46" t="n"/>
      <c r="L150" s="46" t="n"/>
      <c r="M150" s="46" t="n"/>
      <c r="N150" s="46" t="n"/>
      <c r="O150" s="46" t="n"/>
    </row>
    <row r="151" ht="17" customHeight="1">
      <c r="A151" s="83" t="n"/>
      <c r="B151" s="94" t="n"/>
      <c r="C151" s="46" t="n"/>
      <c r="D151" s="75" t="n"/>
      <c r="E151" s="95" t="n"/>
      <c r="F151" s="46" t="n"/>
      <c r="G151" s="96" t="n"/>
      <c r="H151" s="46" t="n"/>
      <c r="I151" s="97" t="n"/>
      <c r="J151" s="46" t="n"/>
      <c r="K151" s="46" t="n"/>
      <c r="L151" s="46" t="n"/>
      <c r="M151" s="46" t="n"/>
      <c r="N151" s="46" t="n"/>
      <c r="O151" s="46" t="n"/>
    </row>
    <row r="152" ht="17" customHeight="1">
      <c r="A152" s="83" t="n"/>
      <c r="B152" s="94" t="n"/>
      <c r="C152" s="46" t="n"/>
      <c r="D152" s="75" t="n"/>
      <c r="E152" s="95" t="n"/>
      <c r="F152" s="46" t="n"/>
      <c r="G152" s="96" t="n"/>
      <c r="H152" s="46" t="n"/>
      <c r="I152" s="97" t="n"/>
      <c r="J152" s="46" t="n"/>
      <c r="K152" s="46" t="n"/>
      <c r="L152" s="46" t="n"/>
      <c r="M152" s="46" t="n"/>
      <c r="N152" s="46" t="n"/>
      <c r="O152" s="46" t="n"/>
    </row>
    <row r="153" ht="17" customHeight="1">
      <c r="A153" s="83" t="n"/>
      <c r="B153" s="94" t="n"/>
      <c r="C153" s="46" t="n"/>
      <c r="D153" s="75" t="n"/>
      <c r="E153" s="95" t="n"/>
      <c r="F153" s="46" t="n"/>
      <c r="G153" s="96" t="n"/>
      <c r="H153" s="46" t="n"/>
      <c r="I153" s="97" t="n"/>
      <c r="J153" s="46" t="n"/>
      <c r="K153" s="46" t="n"/>
      <c r="L153" s="46" t="n"/>
      <c r="M153" s="46" t="n"/>
      <c r="N153" s="46" t="n"/>
      <c r="O153" s="46" t="n"/>
    </row>
    <row r="154" ht="17" customHeight="1">
      <c r="A154" s="83" t="n"/>
      <c r="B154" s="94" t="n"/>
      <c r="C154" s="46" t="n"/>
      <c r="D154" s="75" t="n"/>
      <c r="E154" s="95" t="n"/>
      <c r="F154" s="46" t="n"/>
      <c r="G154" s="96" t="n"/>
      <c r="H154" s="46" t="n"/>
      <c r="I154" s="97" t="n"/>
      <c r="J154" s="46" t="n"/>
      <c r="K154" s="46" t="n"/>
      <c r="L154" s="46" t="n"/>
      <c r="M154" s="46" t="n"/>
      <c r="N154" s="46" t="n"/>
      <c r="O154" s="46" t="n"/>
    </row>
    <row r="155" ht="17" customHeight="1">
      <c r="A155" s="83" t="n"/>
      <c r="B155" s="94" t="n"/>
      <c r="C155" s="46" t="n"/>
      <c r="D155" s="75" t="n"/>
      <c r="E155" s="95" t="n"/>
      <c r="F155" s="46" t="n"/>
      <c r="G155" s="96" t="n"/>
      <c r="H155" s="46" t="n"/>
      <c r="I155" s="97" t="n"/>
      <c r="J155" s="46" t="n"/>
      <c r="K155" s="46" t="n"/>
      <c r="L155" s="46" t="n"/>
      <c r="M155" s="46" t="n"/>
      <c r="N155" s="46" t="n"/>
      <c r="O155" s="46" t="n"/>
    </row>
    <row r="156" ht="17" customHeight="1">
      <c r="A156" s="83" t="n"/>
      <c r="B156" s="94" t="n"/>
      <c r="C156" s="46" t="n"/>
      <c r="D156" s="75" t="n"/>
      <c r="E156" s="95" t="n"/>
      <c r="F156" s="46" t="n"/>
      <c r="G156" s="96" t="n"/>
      <c r="H156" s="46" t="n"/>
      <c r="I156" s="97" t="n"/>
      <c r="J156" s="46" t="n"/>
      <c r="K156" s="46" t="n"/>
      <c r="L156" s="46" t="n"/>
      <c r="M156" s="46" t="n"/>
      <c r="N156" s="46" t="n"/>
      <c r="O156" s="46" t="n"/>
    </row>
    <row r="157" ht="17" customHeight="1">
      <c r="A157" s="83" t="n"/>
      <c r="B157" s="94" t="n"/>
      <c r="C157" s="46" t="n"/>
      <c r="D157" s="75" t="n"/>
      <c r="E157" s="95" t="n"/>
      <c r="F157" s="46" t="n"/>
      <c r="G157" s="96" t="n"/>
      <c r="H157" s="46" t="n"/>
      <c r="I157" s="97" t="n"/>
      <c r="J157" s="46" t="n"/>
      <c r="K157" s="46" t="n"/>
      <c r="L157" s="46" t="n"/>
      <c r="M157" s="46" t="n"/>
      <c r="N157" s="46" t="n"/>
      <c r="O157" s="46" t="n"/>
    </row>
    <row r="158" ht="17" customHeight="1">
      <c r="A158" s="83" t="n"/>
      <c r="B158" s="94" t="n"/>
      <c r="C158" s="46" t="n"/>
      <c r="D158" s="75" t="n"/>
      <c r="E158" s="95" t="n"/>
      <c r="F158" s="46" t="n"/>
      <c r="G158" s="96" t="n"/>
      <c r="H158" s="46" t="n"/>
      <c r="I158" s="97" t="n"/>
      <c r="J158" s="46" t="n"/>
      <c r="K158" s="46" t="n"/>
      <c r="L158" s="46" t="n"/>
      <c r="M158" s="46" t="n"/>
      <c r="N158" s="46" t="n"/>
      <c r="O158" s="46" t="n"/>
    </row>
    <row r="159" ht="17" customHeight="1">
      <c r="A159" s="83" t="n"/>
      <c r="B159" s="94" t="n"/>
      <c r="C159" s="46" t="n"/>
      <c r="D159" s="75" t="n"/>
      <c r="E159" s="95" t="n"/>
      <c r="F159" s="46" t="n"/>
      <c r="G159" s="96" t="n"/>
      <c r="H159" s="46" t="n"/>
      <c r="I159" s="97" t="n"/>
      <c r="J159" s="46" t="n"/>
      <c r="K159" s="46" t="n"/>
      <c r="L159" s="46" t="n"/>
      <c r="M159" s="46" t="n"/>
      <c r="N159" s="46" t="n"/>
      <c r="O159" s="46" t="n"/>
    </row>
    <row r="160" ht="17" customHeight="1">
      <c r="A160" s="83" t="n"/>
      <c r="B160" s="94" t="n"/>
      <c r="C160" s="46" t="n"/>
      <c r="D160" s="75" t="n"/>
      <c r="E160" s="95" t="n"/>
      <c r="F160" s="46" t="n"/>
      <c r="G160" s="96" t="n"/>
      <c r="H160" s="46" t="n"/>
      <c r="I160" s="97" t="n"/>
      <c r="J160" s="46" t="n"/>
      <c r="K160" s="46" t="n"/>
      <c r="L160" s="46" t="n"/>
      <c r="M160" s="46" t="n"/>
      <c r="N160" s="46" t="n"/>
      <c r="O160" s="46" t="n"/>
    </row>
    <row r="161" ht="17" customHeight="1">
      <c r="A161" s="83" t="n"/>
      <c r="B161" s="94" t="n"/>
      <c r="C161" s="46" t="n"/>
      <c r="D161" s="75" t="n"/>
      <c r="E161" s="95" t="n"/>
      <c r="F161" s="46" t="n"/>
      <c r="G161" s="96" t="n"/>
      <c r="H161" s="46" t="n"/>
      <c r="I161" s="97" t="n"/>
      <c r="J161" s="46" t="n"/>
      <c r="K161" s="46" t="n"/>
      <c r="L161" s="46" t="n"/>
      <c r="M161" s="46" t="n"/>
      <c r="N161" s="46" t="n"/>
      <c r="O161" s="46" t="n"/>
    </row>
    <row r="162" ht="17" customHeight="1">
      <c r="A162" s="83" t="n"/>
      <c r="B162" s="94" t="n"/>
      <c r="C162" s="46" t="n"/>
      <c r="D162" s="75" t="n"/>
      <c r="E162" s="95" t="n"/>
      <c r="F162" s="46" t="n"/>
      <c r="G162" s="96" t="n"/>
      <c r="H162" s="46" t="n"/>
      <c r="I162" s="97" t="n"/>
      <c r="J162" s="46" t="n"/>
      <c r="K162" s="46" t="n"/>
      <c r="L162" s="46" t="n"/>
      <c r="M162" s="46" t="n"/>
      <c r="N162" s="46" t="n"/>
      <c r="O162" s="46" t="n"/>
    </row>
    <row r="163" ht="17" customHeight="1">
      <c r="A163" s="83" t="n"/>
      <c r="B163" s="94" t="n"/>
      <c r="C163" s="46" t="n"/>
      <c r="D163" s="75" t="n"/>
      <c r="E163" s="95" t="n"/>
      <c r="F163" s="46" t="n"/>
      <c r="G163" s="96" t="n"/>
      <c r="H163" s="46" t="n"/>
      <c r="I163" s="97" t="n"/>
      <c r="J163" s="46" t="n"/>
      <c r="K163" s="46" t="n"/>
      <c r="L163" s="46" t="n"/>
      <c r="M163" s="46" t="n"/>
      <c r="N163" s="46" t="n"/>
      <c r="O163" s="46" t="n"/>
    </row>
    <row r="164" ht="17" customHeight="1">
      <c r="A164" s="83" t="n"/>
      <c r="B164" s="94" t="n"/>
      <c r="C164" s="46" t="n"/>
      <c r="D164" s="75" t="n"/>
      <c r="E164" s="95" t="n"/>
      <c r="F164" s="46" t="n"/>
      <c r="G164" s="96" t="n"/>
      <c r="H164" s="46" t="n"/>
      <c r="I164" s="97" t="n"/>
      <c r="J164" s="46" t="n"/>
      <c r="K164" s="46" t="n"/>
      <c r="L164" s="46" t="n"/>
      <c r="M164" s="46" t="n"/>
      <c r="N164" s="46" t="n"/>
      <c r="O164" s="46" t="n"/>
    </row>
    <row r="165" ht="17" customHeight="1">
      <c r="A165" s="83" t="n"/>
      <c r="B165" s="94" t="n"/>
      <c r="C165" s="46" t="n"/>
      <c r="D165" s="75" t="n"/>
      <c r="E165" s="95" t="n"/>
      <c r="F165" s="46" t="n"/>
      <c r="G165" s="96" t="n"/>
      <c r="H165" s="46" t="n"/>
      <c r="I165" s="97" t="n"/>
      <c r="J165" s="46" t="n"/>
      <c r="K165" s="46" t="n"/>
      <c r="L165" s="46" t="n"/>
      <c r="M165" s="46" t="n"/>
      <c r="N165" s="46" t="n"/>
      <c r="O165" s="46" t="n"/>
    </row>
    <row r="166" ht="17" customHeight="1">
      <c r="A166" s="83" t="n"/>
      <c r="B166" s="94" t="n"/>
      <c r="C166" s="46" t="n"/>
      <c r="D166" s="75" t="n"/>
      <c r="E166" s="95" t="n"/>
      <c r="F166" s="46" t="n"/>
      <c r="G166" s="96" t="n"/>
      <c r="H166" s="46" t="n"/>
      <c r="I166" s="97" t="n"/>
      <c r="J166" s="46" t="n"/>
      <c r="K166" s="46" t="n"/>
      <c r="L166" s="46" t="n"/>
      <c r="M166" s="46" t="n"/>
      <c r="N166" s="46" t="n"/>
      <c r="O166" s="46" t="n"/>
    </row>
    <row r="167" ht="17" customHeight="1">
      <c r="A167" s="83" t="n"/>
      <c r="B167" s="94" t="n"/>
      <c r="C167" s="46" t="n"/>
      <c r="D167" s="75" t="n"/>
      <c r="E167" s="95" t="n"/>
      <c r="F167" s="46" t="n"/>
      <c r="G167" s="96" t="n"/>
      <c r="H167" s="46" t="n"/>
      <c r="I167" s="97" t="n"/>
      <c r="J167" s="46" t="n"/>
      <c r="K167" s="46" t="n"/>
      <c r="L167" s="46" t="n"/>
      <c r="M167" s="46" t="n"/>
      <c r="N167" s="46" t="n"/>
      <c r="O167" s="46" t="n"/>
    </row>
    <row r="168" ht="17" customHeight="1">
      <c r="A168" s="83" t="n"/>
      <c r="B168" s="94" t="n"/>
      <c r="C168" s="46" t="n"/>
      <c r="D168" s="75" t="n"/>
      <c r="E168" s="95" t="n"/>
      <c r="F168" s="46" t="n"/>
      <c r="G168" s="96" t="n"/>
      <c r="H168" s="46" t="n"/>
      <c r="I168" s="97" t="n"/>
      <c r="J168" s="46" t="n"/>
      <c r="K168" s="46" t="n"/>
      <c r="L168" s="46" t="n"/>
      <c r="M168" s="46" t="n"/>
      <c r="N168" s="46" t="n"/>
      <c r="O168" s="46" t="n"/>
    </row>
    <row r="169" ht="17" customHeight="1">
      <c r="A169" s="83" t="n"/>
      <c r="B169" s="94" t="n"/>
      <c r="C169" s="46" t="n"/>
      <c r="D169" s="75" t="n"/>
      <c r="E169" s="95" t="n"/>
      <c r="F169" s="46" t="n"/>
      <c r="G169" s="96" t="n"/>
      <c r="H169" s="46" t="n"/>
      <c r="I169" s="97" t="n"/>
      <c r="J169" s="46" t="n"/>
      <c r="K169" s="46" t="n"/>
      <c r="L169" s="46" t="n"/>
      <c r="M169" s="46" t="n"/>
      <c r="N169" s="46" t="n"/>
      <c r="O169" s="46" t="n"/>
    </row>
    <row r="170" ht="17" customHeight="1">
      <c r="A170" s="83" t="n"/>
      <c r="B170" s="94" t="n"/>
      <c r="C170" s="46" t="n"/>
      <c r="D170" s="75" t="n"/>
      <c r="E170" s="95" t="n"/>
      <c r="F170" s="46" t="n"/>
      <c r="G170" s="96" t="n"/>
      <c r="H170" s="46" t="n"/>
      <c r="I170" s="97" t="n"/>
      <c r="J170" s="46" t="n"/>
      <c r="K170" s="46" t="n"/>
      <c r="L170" s="46" t="n"/>
      <c r="M170" s="46" t="n"/>
      <c r="N170" s="46" t="n"/>
      <c r="O170" s="46" t="n"/>
    </row>
    <row r="171" ht="17" customHeight="1">
      <c r="A171" s="83" t="n"/>
      <c r="B171" s="94" t="n"/>
      <c r="C171" s="46" t="n"/>
      <c r="D171" s="75" t="n"/>
      <c r="E171" s="95" t="n"/>
      <c r="F171" s="46" t="n"/>
      <c r="G171" s="96" t="n"/>
      <c r="H171" s="46" t="n"/>
      <c r="I171" s="97" t="n"/>
      <c r="J171" s="46" t="n"/>
      <c r="K171" s="46" t="n"/>
      <c r="L171" s="46" t="n"/>
      <c r="M171" s="46" t="n"/>
      <c r="N171" s="46" t="n"/>
      <c r="O171" s="46" t="n"/>
    </row>
    <row r="172" ht="17" customHeight="1">
      <c r="A172" s="83" t="n"/>
      <c r="B172" s="94" t="n"/>
      <c r="C172" s="46" t="n"/>
      <c r="D172" s="75" t="n"/>
      <c r="E172" s="95" t="n"/>
      <c r="F172" s="46" t="n"/>
      <c r="G172" s="96" t="n"/>
      <c r="H172" s="46" t="n"/>
      <c r="I172" s="97" t="n"/>
      <c r="J172" s="46" t="n"/>
      <c r="K172" s="46" t="n"/>
      <c r="L172" s="46" t="n"/>
      <c r="M172" s="46" t="n"/>
      <c r="N172" s="46" t="n"/>
      <c r="O172" s="46" t="n"/>
    </row>
    <row r="173" ht="17" customHeight="1">
      <c r="A173" s="83" t="n"/>
      <c r="B173" s="94" t="n"/>
      <c r="C173" s="46" t="n"/>
      <c r="D173" s="75" t="n"/>
      <c r="E173" s="95" t="n"/>
      <c r="F173" s="46" t="n"/>
      <c r="G173" s="96" t="n"/>
      <c r="H173" s="46" t="n"/>
      <c r="I173" s="97" t="n"/>
      <c r="J173" s="46" t="n"/>
      <c r="K173" s="46" t="n"/>
      <c r="L173" s="46" t="n"/>
      <c r="M173" s="46" t="n"/>
      <c r="N173" s="46" t="n"/>
      <c r="O173" s="46" t="n"/>
    </row>
    <row r="174" ht="17" customHeight="1">
      <c r="A174" s="83" t="n"/>
      <c r="B174" s="94" t="n"/>
      <c r="C174" s="46" t="n"/>
      <c r="D174" s="75" t="n"/>
      <c r="E174" s="95" t="n"/>
      <c r="F174" s="46" t="n"/>
      <c r="G174" s="96" t="n"/>
      <c r="H174" s="46" t="n"/>
      <c r="I174" s="97" t="n"/>
      <c r="J174" s="46" t="n"/>
      <c r="K174" s="46" t="n"/>
      <c r="L174" s="46" t="n"/>
      <c r="M174" s="46" t="n"/>
      <c r="N174" s="46" t="n"/>
      <c r="O174" s="46" t="n"/>
    </row>
    <row r="175" ht="17" customHeight="1">
      <c r="A175" s="83" t="n"/>
      <c r="B175" s="94" t="n"/>
      <c r="C175" s="46" t="n"/>
      <c r="D175" s="75" t="n"/>
      <c r="E175" s="95" t="n"/>
      <c r="F175" s="46" t="n"/>
      <c r="G175" s="96" t="n"/>
      <c r="H175" s="46" t="n"/>
      <c r="I175" s="97" t="n"/>
      <c r="J175" s="46" t="n"/>
      <c r="K175" s="46" t="n"/>
      <c r="L175" s="46" t="n"/>
      <c r="M175" s="46" t="n"/>
      <c r="N175" s="46" t="n"/>
      <c r="O175" s="46" t="n"/>
    </row>
    <row r="176" ht="17" customHeight="1">
      <c r="A176" s="83" t="n"/>
      <c r="B176" s="94" t="n"/>
      <c r="C176" s="46" t="n"/>
      <c r="D176" s="75" t="n"/>
      <c r="E176" s="95" t="n"/>
      <c r="F176" s="46" t="n"/>
      <c r="G176" s="96" t="n"/>
      <c r="H176" s="46" t="n"/>
      <c r="I176" s="97" t="n"/>
      <c r="J176" s="46" t="n"/>
      <c r="K176" s="46" t="n"/>
      <c r="L176" s="46" t="n"/>
      <c r="M176" s="46" t="n"/>
      <c r="N176" s="46" t="n"/>
      <c r="O176" s="46" t="n"/>
    </row>
    <row r="177" ht="17" customHeight="1">
      <c r="A177" s="83" t="n"/>
      <c r="B177" s="94" t="n"/>
      <c r="C177" s="46" t="n"/>
      <c r="D177" s="75" t="n"/>
      <c r="E177" s="95" t="n"/>
      <c r="F177" s="46" t="n"/>
      <c r="G177" s="96" t="n"/>
      <c r="H177" s="46" t="n"/>
      <c r="I177" s="97" t="n"/>
      <c r="J177" s="46" t="n"/>
      <c r="K177" s="46" t="n"/>
      <c r="L177" s="46" t="n"/>
      <c r="M177" s="46" t="n"/>
      <c r="N177" s="46" t="n"/>
      <c r="O177" s="46" t="n"/>
    </row>
    <row r="178" ht="17" customHeight="1">
      <c r="A178" s="83" t="n"/>
      <c r="B178" s="94" t="n"/>
      <c r="C178" s="46" t="n"/>
      <c r="D178" s="75" t="n"/>
      <c r="E178" s="95" t="n"/>
      <c r="F178" s="46" t="n"/>
      <c r="G178" s="96" t="n"/>
      <c r="H178" s="46" t="n"/>
      <c r="I178" s="97" t="n"/>
      <c r="J178" s="46" t="n"/>
      <c r="K178" s="46" t="n"/>
      <c r="L178" s="46" t="n"/>
      <c r="M178" s="46" t="n"/>
      <c r="N178" s="46" t="n"/>
      <c r="O178" s="46" t="n"/>
    </row>
    <row r="179" ht="17" customHeight="1">
      <c r="A179" s="83" t="n"/>
      <c r="B179" s="94" t="n"/>
      <c r="C179" s="46" t="n"/>
      <c r="D179" s="75" t="n"/>
      <c r="E179" s="95" t="n"/>
      <c r="F179" s="46" t="n"/>
      <c r="G179" s="96" t="n"/>
      <c r="H179" s="46" t="n"/>
      <c r="I179" s="97" t="n"/>
      <c r="J179" s="46" t="n"/>
      <c r="K179" s="46" t="n"/>
      <c r="L179" s="46" t="n"/>
      <c r="M179" s="46" t="n"/>
      <c r="N179" s="46" t="n"/>
      <c r="O179" s="46" t="n"/>
    </row>
    <row r="180" ht="17" customHeight="1">
      <c r="A180" s="83" t="n"/>
      <c r="B180" s="94" t="n"/>
      <c r="C180" s="46" t="n"/>
      <c r="D180" s="75" t="n"/>
      <c r="E180" s="95" t="n"/>
      <c r="F180" s="46" t="n"/>
      <c r="G180" s="96" t="n"/>
      <c r="H180" s="46" t="n"/>
      <c r="I180" s="97" t="n"/>
      <c r="J180" s="46" t="n"/>
      <c r="K180" s="46" t="n"/>
      <c r="L180" s="46" t="n"/>
      <c r="M180" s="46" t="n"/>
      <c r="N180" s="46" t="n"/>
      <c r="O180" s="46" t="n"/>
    </row>
    <row r="181" ht="17" customHeight="1">
      <c r="A181" s="83" t="n"/>
      <c r="B181" s="94" t="n"/>
      <c r="C181" s="46" t="n"/>
      <c r="D181" s="75" t="n"/>
      <c r="E181" s="95" t="n"/>
      <c r="F181" s="46" t="n"/>
      <c r="G181" s="96" t="n"/>
      <c r="H181" s="46" t="n"/>
      <c r="I181" s="97" t="n"/>
      <c r="J181" s="46" t="n"/>
      <c r="K181" s="46" t="n"/>
      <c r="L181" s="46" t="n"/>
      <c r="M181" s="46" t="n"/>
      <c r="N181" s="46" t="n"/>
      <c r="O181" s="46" t="n"/>
    </row>
    <row r="182" ht="17" customHeight="1">
      <c r="A182" s="83" t="n"/>
      <c r="B182" s="94" t="n"/>
      <c r="C182" s="46" t="n"/>
      <c r="D182" s="75" t="n"/>
      <c r="E182" s="95" t="n"/>
      <c r="F182" s="46" t="n"/>
      <c r="G182" s="96" t="n"/>
      <c r="H182" s="46" t="n"/>
      <c r="I182" s="97" t="n"/>
      <c r="J182" s="46" t="n"/>
      <c r="K182" s="46" t="n"/>
      <c r="L182" s="46" t="n"/>
      <c r="M182" s="46" t="n"/>
      <c r="N182" s="46" t="n"/>
      <c r="O182" s="46" t="n"/>
    </row>
    <row r="183" ht="17" customHeight="1">
      <c r="A183" s="83" t="n"/>
      <c r="B183" s="94" t="n"/>
      <c r="C183" s="46" t="n"/>
      <c r="D183" s="75" t="n"/>
      <c r="E183" s="95" t="n"/>
      <c r="F183" s="46" t="n"/>
      <c r="G183" s="96" t="n"/>
      <c r="H183" s="46" t="n"/>
      <c r="I183" s="97" t="n"/>
      <c r="J183" s="46" t="n"/>
      <c r="K183" s="46" t="n"/>
      <c r="L183" s="46" t="n"/>
      <c r="M183" s="46" t="n"/>
      <c r="N183" s="46" t="n"/>
      <c r="O183" s="46" t="n"/>
    </row>
    <row r="184" ht="17" customHeight="1">
      <c r="A184" s="83" t="n"/>
      <c r="B184" s="94" t="n"/>
      <c r="C184" s="46" t="n"/>
      <c r="D184" s="75" t="n"/>
      <c r="E184" s="95" t="n"/>
      <c r="F184" s="46" t="n"/>
      <c r="G184" s="96" t="n"/>
      <c r="H184" s="46" t="n"/>
      <c r="I184" s="97" t="n"/>
      <c r="J184" s="46" t="n"/>
      <c r="K184" s="46" t="n"/>
      <c r="L184" s="46" t="n"/>
      <c r="M184" s="46" t="n"/>
      <c r="N184" s="46" t="n"/>
      <c r="O184" s="46" t="n"/>
    </row>
    <row r="185" ht="17" customHeight="1">
      <c r="A185" s="83" t="n"/>
      <c r="B185" s="94" t="n"/>
      <c r="C185" s="46" t="n"/>
      <c r="D185" s="75" t="n"/>
      <c r="E185" s="95" t="n"/>
      <c r="F185" s="46" t="n"/>
      <c r="G185" s="96" t="n"/>
      <c r="H185" s="46" t="n"/>
      <c r="I185" s="97" t="n"/>
      <c r="J185" s="46" t="n"/>
      <c r="K185" s="46" t="n"/>
      <c r="L185" s="46" t="n"/>
      <c r="M185" s="46" t="n"/>
      <c r="N185" s="46" t="n"/>
      <c r="O185" s="46" t="n"/>
    </row>
    <row r="186" ht="17" customHeight="1">
      <c r="A186" s="83" t="n"/>
      <c r="B186" s="94" t="n"/>
      <c r="C186" s="46" t="n"/>
      <c r="D186" s="75" t="n"/>
      <c r="E186" s="95" t="n"/>
      <c r="F186" s="46" t="n"/>
      <c r="G186" s="96" t="n"/>
      <c r="H186" s="46" t="n"/>
      <c r="I186" s="97" t="n"/>
      <c r="J186" s="46" t="n"/>
      <c r="K186" s="46" t="n"/>
      <c r="L186" s="46" t="n"/>
      <c r="M186" s="46" t="n"/>
      <c r="N186" s="46" t="n"/>
      <c r="O186" s="46" t="n"/>
    </row>
    <row r="187" ht="17" customHeight="1">
      <c r="A187" s="83" t="n"/>
      <c r="B187" s="94" t="n"/>
      <c r="C187" s="46" t="n"/>
      <c r="D187" s="75" t="n"/>
      <c r="E187" s="95" t="n"/>
      <c r="F187" s="46" t="n"/>
      <c r="G187" s="96" t="n"/>
      <c r="H187" s="46" t="n"/>
      <c r="I187" s="97" t="n"/>
      <c r="J187" s="46" t="n"/>
      <c r="K187" s="46" t="n"/>
      <c r="L187" s="46" t="n"/>
      <c r="M187" s="46" t="n"/>
      <c r="N187" s="46" t="n"/>
      <c r="O187" s="46" t="n"/>
    </row>
    <row r="188" ht="17" customHeight="1">
      <c r="A188" s="83" t="n"/>
      <c r="B188" s="94" t="n"/>
      <c r="C188" s="46" t="n"/>
      <c r="D188" s="75" t="n"/>
      <c r="E188" s="95" t="n"/>
      <c r="F188" s="46" t="n"/>
      <c r="G188" s="96" t="n"/>
      <c r="H188" s="46" t="n"/>
      <c r="I188" s="97" t="n"/>
      <c r="J188" s="46" t="n"/>
      <c r="K188" s="46" t="n"/>
      <c r="L188" s="46" t="n"/>
      <c r="M188" s="46" t="n"/>
      <c r="N188" s="46" t="n"/>
      <c r="O188" s="46" t="n"/>
    </row>
    <row r="189" ht="17" customHeight="1">
      <c r="A189" s="83" t="n"/>
      <c r="B189" s="94" t="n"/>
      <c r="C189" s="46" t="n"/>
      <c r="D189" s="75" t="n"/>
      <c r="E189" s="95" t="n"/>
      <c r="F189" s="46" t="n"/>
      <c r="G189" s="96" t="n"/>
      <c r="H189" s="46" t="n"/>
      <c r="I189" s="97" t="n"/>
      <c r="J189" s="46" t="n"/>
      <c r="K189" s="46" t="n"/>
      <c r="L189" s="46" t="n"/>
      <c r="M189" s="46" t="n"/>
      <c r="N189" s="46" t="n"/>
      <c r="O189" s="46" t="n"/>
    </row>
    <row r="190" ht="17" customHeight="1">
      <c r="A190" s="83" t="n"/>
      <c r="B190" s="94" t="n"/>
      <c r="C190" s="46" t="n"/>
      <c r="D190" s="75" t="n"/>
      <c r="E190" s="95" t="n"/>
      <c r="F190" s="46" t="n"/>
      <c r="G190" s="96" t="n"/>
      <c r="H190" s="46" t="n"/>
      <c r="I190" s="97" t="n"/>
      <c r="J190" s="46" t="n"/>
      <c r="K190" s="46" t="n"/>
      <c r="L190" s="46" t="n"/>
      <c r="M190" s="46" t="n"/>
      <c r="N190" s="46" t="n"/>
      <c r="O190" s="46" t="n"/>
    </row>
    <row r="191" ht="17" customHeight="1">
      <c r="A191" s="83" t="n"/>
      <c r="B191" s="94" t="n"/>
      <c r="C191" s="46" t="n"/>
      <c r="D191" s="75" t="n"/>
      <c r="E191" s="95" t="n"/>
      <c r="F191" s="46" t="n"/>
      <c r="G191" s="96" t="n"/>
      <c r="H191" s="46" t="n"/>
      <c r="I191" s="97" t="n"/>
      <c r="J191" s="46" t="n"/>
      <c r="K191" s="46" t="n"/>
      <c r="L191" s="46" t="n"/>
      <c r="M191" s="46" t="n"/>
      <c r="N191" s="46" t="n"/>
      <c r="O191" s="46" t="n"/>
    </row>
    <row r="192" ht="17" customHeight="1">
      <c r="A192" s="83" t="n"/>
      <c r="B192" s="94" t="n"/>
      <c r="C192" s="46" t="n"/>
      <c r="D192" s="75" t="n"/>
      <c r="E192" s="95" t="n"/>
      <c r="F192" s="46" t="n"/>
      <c r="G192" s="96" t="n"/>
      <c r="H192" s="46" t="n"/>
      <c r="I192" s="97" t="n"/>
      <c r="J192" s="46" t="n"/>
      <c r="K192" s="46" t="n"/>
      <c r="L192" s="46" t="n"/>
      <c r="M192" s="46" t="n"/>
      <c r="N192" s="46" t="n"/>
      <c r="O192" s="46" t="n"/>
    </row>
    <row r="193" ht="17" customHeight="1">
      <c r="A193" s="83" t="n"/>
      <c r="B193" s="94" t="n"/>
      <c r="C193" s="46" t="n"/>
      <c r="D193" s="75" t="n"/>
      <c r="E193" s="95" t="n"/>
      <c r="F193" s="46" t="n"/>
      <c r="G193" s="96" t="n"/>
      <c r="H193" s="46" t="n"/>
      <c r="I193" s="97" t="n"/>
      <c r="J193" s="46" t="n"/>
      <c r="K193" s="46" t="n"/>
      <c r="L193" s="46" t="n"/>
      <c r="M193" s="46" t="n"/>
      <c r="N193" s="46" t="n"/>
      <c r="O193" s="46" t="n"/>
    </row>
    <row r="194" ht="22" customHeight="1">
      <c r="A194" s="31" t="inlineStr">
        <is>
          <t>TOTAL LANÇADO NO LIVRO</t>
        </is>
      </c>
      <c r="B194" s="32" t="n"/>
      <c r="C194" s="32" t="n"/>
      <c r="D194" s="32" t="n"/>
      <c r="E194" s="59">
        <f>ROUND(SUM($E$134:$E$193),2)</f>
        <v/>
      </c>
      <c r="F194" s="32" t="n"/>
      <c r="G194" s="98">
        <f>IF(COUNTA($B$134:$B$193)=COUNT($E$134:$E$193),"lançamentos: "&amp;COUNT($E$134:$E$193)&amp;" · todos classificados","ATENÇÃO: "&amp;(COUNT($E$134:$E$193)-COUNTA($B$134:$B$193))&amp;" lançamento(s) sem categoria")</f>
        <v/>
      </c>
      <c r="H194" s="32" t="n"/>
      <c r="I194" s="32" t="n"/>
      <c r="J194" s="32" t="n"/>
      <c r="K194" s="32" t="n"/>
      <c r="L194" s="32" t="n"/>
      <c r="M194" s="32" t="n"/>
      <c r="N194" s="32" t="n"/>
      <c r="O194" s="32" t="n"/>
    </row>
    <row r="196" ht="50" customHeight="1">
      <c r="A196" s="43" t="inlineStr">
        <is>
          <t xml:space="preserve">  Preencha primeiro a coluna ORÇADO com o que o orçamento previu e vá preenchendo o REALIZADO conforme o projeto anda — o desvio de cada linha é o que mostra onde o orçamento erra. Compras entram uma a uma no livro do bloco 8, com categoria, forma de pagamento e status; as categorias do bloco 6 se somam sozinhas. Você pode inserir linhas em qualquer bloco a partir da linha 26: tudo o que o Painel Geral lê está acima disso.</t>
        </is>
      </c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</row>
  </sheetData>
  <mergeCells count="561">
    <mergeCell ref="A196:O196"/>
    <mergeCell ref="I170:O170"/>
    <mergeCell ref="A15:B15"/>
    <mergeCell ref="I157:O157"/>
    <mergeCell ref="G128:O128"/>
    <mergeCell ref="B141:C141"/>
    <mergeCell ref="E142:F142"/>
    <mergeCell ref="I193:O193"/>
    <mergeCell ref="I172:O172"/>
    <mergeCell ref="H9:I9"/>
    <mergeCell ref="J76:M76"/>
    <mergeCell ref="G121:O121"/>
    <mergeCell ref="E171:F171"/>
    <mergeCell ref="G123:O123"/>
    <mergeCell ref="E137:F137"/>
    <mergeCell ref="G137:H137"/>
    <mergeCell ref="E173:F173"/>
    <mergeCell ref="H70:O70"/>
    <mergeCell ref="E148:F148"/>
    <mergeCell ref="G148:H148"/>
    <mergeCell ref="B78:C78"/>
    <mergeCell ref="D7:E7"/>
    <mergeCell ref="I183:O183"/>
    <mergeCell ref="D78:E78"/>
    <mergeCell ref="E166:F166"/>
    <mergeCell ref="G139:H139"/>
    <mergeCell ref="I175:O175"/>
    <mergeCell ref="H99:O99"/>
    <mergeCell ref="A34:C34"/>
    <mergeCell ref="I185:O185"/>
    <mergeCell ref="E168:F168"/>
    <mergeCell ref="G168:H168"/>
    <mergeCell ref="H87:I87"/>
    <mergeCell ref="H101:O101"/>
    <mergeCell ref="G143:H143"/>
    <mergeCell ref="D73:E73"/>
    <mergeCell ref="I176:O176"/>
    <mergeCell ref="J9:O9"/>
    <mergeCell ref="B154:C154"/>
    <mergeCell ref="H91:I91"/>
    <mergeCell ref="E117:F117"/>
    <mergeCell ref="A24:H24"/>
    <mergeCell ref="B156:C156"/>
    <mergeCell ref="E67:F67"/>
    <mergeCell ref="A103:B103"/>
    <mergeCell ref="H112:O112"/>
    <mergeCell ref="I138:O138"/>
    <mergeCell ref="I178:O178"/>
    <mergeCell ref="H114:O114"/>
    <mergeCell ref="E161:F161"/>
    <mergeCell ref="J73:M73"/>
    <mergeCell ref="G129:O129"/>
    <mergeCell ref="A72:O72"/>
    <mergeCell ref="J77:M77"/>
    <mergeCell ref="H75:I75"/>
    <mergeCell ref="B84:C84"/>
    <mergeCell ref="E110:F110"/>
    <mergeCell ref="H105:O105"/>
    <mergeCell ref="E16:F16"/>
    <mergeCell ref="E187:F187"/>
    <mergeCell ref="G138:H138"/>
    <mergeCell ref="B142:C142"/>
    <mergeCell ref="B80:C80"/>
    <mergeCell ref="E174:F174"/>
    <mergeCell ref="H15:O15"/>
    <mergeCell ref="H107:O107"/>
    <mergeCell ref="G126:O126"/>
    <mergeCell ref="B79:C79"/>
    <mergeCell ref="E18:F18"/>
    <mergeCell ref="D79:E79"/>
    <mergeCell ref="E189:F189"/>
    <mergeCell ref="G140:H140"/>
    <mergeCell ref="B144:C144"/>
    <mergeCell ref="F73:G73"/>
    <mergeCell ref="B81:C81"/>
    <mergeCell ref="D81:E81"/>
    <mergeCell ref="I191:O191"/>
    <mergeCell ref="H102:O102"/>
    <mergeCell ref="E29:F29"/>
    <mergeCell ref="H39:O39"/>
    <mergeCell ref="I192:O192"/>
    <mergeCell ref="E69:F69"/>
    <mergeCell ref="B170:C170"/>
    <mergeCell ref="E31:F31"/>
    <mergeCell ref="E158:F158"/>
    <mergeCell ref="E133:F133"/>
    <mergeCell ref="E108:F108"/>
    <mergeCell ref="G133:H133"/>
    <mergeCell ref="B172:C172"/>
    <mergeCell ref="E95:F95"/>
    <mergeCell ref="H28:O28"/>
    <mergeCell ref="E162:F162"/>
    <mergeCell ref="G135:H135"/>
    <mergeCell ref="B92:C92"/>
    <mergeCell ref="J74:M74"/>
    <mergeCell ref="D92:E92"/>
    <mergeCell ref="I146:O146"/>
    <mergeCell ref="F92:G92"/>
    <mergeCell ref="G153:H153"/>
    <mergeCell ref="A36:O36"/>
    <mergeCell ref="A11:O11"/>
    <mergeCell ref="B76:C76"/>
    <mergeCell ref="I181:O181"/>
    <mergeCell ref="A1:O1"/>
    <mergeCell ref="I12:O12"/>
    <mergeCell ref="E164:F164"/>
    <mergeCell ref="G164:H164"/>
    <mergeCell ref="H23:O23"/>
    <mergeCell ref="B150:C150"/>
    <mergeCell ref="E42:F42"/>
    <mergeCell ref="E17:F17"/>
    <mergeCell ref="E188:F188"/>
    <mergeCell ref="E126:F126"/>
    <mergeCell ref="B152:C152"/>
    <mergeCell ref="E180:F180"/>
    <mergeCell ref="J92:M92"/>
    <mergeCell ref="E19:F19"/>
    <mergeCell ref="E190:F190"/>
    <mergeCell ref="B145:C145"/>
    <mergeCell ref="G190:H190"/>
    <mergeCell ref="G146:H146"/>
    <mergeCell ref="B181:C181"/>
    <mergeCell ref="E182:F182"/>
    <mergeCell ref="A4:O4"/>
    <mergeCell ref="F10:O10"/>
    <mergeCell ref="H110:O110"/>
    <mergeCell ref="B87:C87"/>
    <mergeCell ref="I136:O136"/>
    <mergeCell ref="B147:C147"/>
    <mergeCell ref="D87:E87"/>
    <mergeCell ref="J87:M87"/>
    <mergeCell ref="E179:F179"/>
    <mergeCell ref="J89:M89"/>
    <mergeCell ref="D82:E82"/>
    <mergeCell ref="F82:G82"/>
    <mergeCell ref="G194:O194"/>
    <mergeCell ref="E37:F37"/>
    <mergeCell ref="E159:F159"/>
    <mergeCell ref="E97:F97"/>
    <mergeCell ref="G159:H159"/>
    <mergeCell ref="B163:C163"/>
    <mergeCell ref="H8:I8"/>
    <mergeCell ref="E109:F109"/>
    <mergeCell ref="H30:O30"/>
    <mergeCell ref="E145:F145"/>
    <mergeCell ref="E139:F139"/>
    <mergeCell ref="G161:H161"/>
    <mergeCell ref="B165:C165"/>
    <mergeCell ref="H29:O29"/>
    <mergeCell ref="E111:F111"/>
    <mergeCell ref="G136:H136"/>
    <mergeCell ref="A70:B70"/>
    <mergeCell ref="H44:O44"/>
    <mergeCell ref="H31:O31"/>
    <mergeCell ref="B77:C77"/>
    <mergeCell ref="D6:E6"/>
    <mergeCell ref="D77:E77"/>
    <mergeCell ref="I149:O149"/>
    <mergeCell ref="J82:M82"/>
    <mergeCell ref="H89:I89"/>
    <mergeCell ref="I151:O151"/>
    <mergeCell ref="B191:C191"/>
    <mergeCell ref="B178:C178"/>
    <mergeCell ref="E27:F27"/>
    <mergeCell ref="I144:O144"/>
    <mergeCell ref="E119:F119"/>
    <mergeCell ref="E183:F183"/>
    <mergeCell ref="G183:H183"/>
    <mergeCell ref="A6:C6"/>
    <mergeCell ref="E22:F22"/>
    <mergeCell ref="H42:O42"/>
    <mergeCell ref="E193:F193"/>
    <mergeCell ref="G193:H193"/>
    <mergeCell ref="D88:E88"/>
    <mergeCell ref="G149:H149"/>
    <mergeCell ref="F88:G88"/>
    <mergeCell ref="I177:O177"/>
    <mergeCell ref="G185:H185"/>
    <mergeCell ref="B90:C90"/>
    <mergeCell ref="D90:E90"/>
    <mergeCell ref="E122:F122"/>
    <mergeCell ref="G151:H151"/>
    <mergeCell ref="A45:B45"/>
    <mergeCell ref="G178:H178"/>
    <mergeCell ref="F6:G6"/>
    <mergeCell ref="J90:M90"/>
    <mergeCell ref="F83:G83"/>
    <mergeCell ref="H83:I83"/>
    <mergeCell ref="E38:F38"/>
    <mergeCell ref="A2:O2"/>
    <mergeCell ref="E147:F147"/>
    <mergeCell ref="F85:G85"/>
    <mergeCell ref="H85:I85"/>
    <mergeCell ref="G175:H175"/>
    <mergeCell ref="B179:C179"/>
    <mergeCell ref="E40:F40"/>
    <mergeCell ref="G162:H162"/>
    <mergeCell ref="H108:O108"/>
    <mergeCell ref="B166:C166"/>
    <mergeCell ref="B124:D124"/>
    <mergeCell ref="E186:F186"/>
    <mergeCell ref="G177:H177"/>
    <mergeCell ref="E104:F104"/>
    <mergeCell ref="H45:O45"/>
    <mergeCell ref="B174:C174"/>
    <mergeCell ref="B168:C168"/>
    <mergeCell ref="H32:O32"/>
    <mergeCell ref="B126:D126"/>
    <mergeCell ref="D9:E9"/>
    <mergeCell ref="H80:I80"/>
    <mergeCell ref="F9:G9"/>
    <mergeCell ref="I150:O150"/>
    <mergeCell ref="J83:M83"/>
    <mergeCell ref="I165:O165"/>
    <mergeCell ref="B169:C169"/>
    <mergeCell ref="I152:O152"/>
    <mergeCell ref="E66:F66"/>
    <mergeCell ref="J85:M85"/>
    <mergeCell ref="E130:F130"/>
    <mergeCell ref="E68:F68"/>
    <mergeCell ref="B134:C134"/>
    <mergeCell ref="G155:H155"/>
    <mergeCell ref="E160:F160"/>
    <mergeCell ref="E141:F141"/>
    <mergeCell ref="G118:O118"/>
    <mergeCell ref="E135:F135"/>
    <mergeCell ref="G157:H157"/>
    <mergeCell ref="E107:F107"/>
    <mergeCell ref="H73:I73"/>
    <mergeCell ref="E143:F143"/>
    <mergeCell ref="G172:H172"/>
    <mergeCell ref="G186:H186"/>
    <mergeCell ref="B162:C162"/>
    <mergeCell ref="D91:E91"/>
    <mergeCell ref="G152:H152"/>
    <mergeCell ref="F91:G91"/>
    <mergeCell ref="A21:B21"/>
    <mergeCell ref="I163:O163"/>
    <mergeCell ref="H84:I84"/>
    <mergeCell ref="A23:B23"/>
    <mergeCell ref="B187:C187"/>
    <mergeCell ref="E125:F125"/>
    <mergeCell ref="H86:I86"/>
    <mergeCell ref="E41:F41"/>
    <mergeCell ref="B189:C189"/>
    <mergeCell ref="E112:F112"/>
    <mergeCell ref="B188:C188"/>
    <mergeCell ref="B117:D117"/>
    <mergeCell ref="E43:F43"/>
    <mergeCell ref="J91:M91"/>
    <mergeCell ref="B190:C190"/>
    <mergeCell ref="B119:D119"/>
    <mergeCell ref="A16:B16"/>
    <mergeCell ref="G124:O124"/>
    <mergeCell ref="E138:F138"/>
    <mergeCell ref="A108:B108"/>
    <mergeCell ref="B127:D127"/>
    <mergeCell ref="I168:O168"/>
    <mergeCell ref="A18:B18"/>
    <mergeCell ref="B73:C73"/>
    <mergeCell ref="E167:F167"/>
    <mergeCell ref="H100:O100"/>
    <mergeCell ref="H7:I7"/>
    <mergeCell ref="G119:O119"/>
    <mergeCell ref="B137:C137"/>
    <mergeCell ref="E169:F169"/>
    <mergeCell ref="H66:O66"/>
    <mergeCell ref="B74:C74"/>
    <mergeCell ref="D74:E74"/>
    <mergeCell ref="B139:C139"/>
    <mergeCell ref="I184:O184"/>
    <mergeCell ref="B122:D122"/>
    <mergeCell ref="I171:O171"/>
    <mergeCell ref="H76:I76"/>
    <mergeCell ref="H95:O95"/>
    <mergeCell ref="A44:B44"/>
    <mergeCell ref="I173:O173"/>
    <mergeCell ref="H97:O97"/>
    <mergeCell ref="I166:O166"/>
    <mergeCell ref="G176:H176"/>
    <mergeCell ref="E64:F64"/>
    <mergeCell ref="J7:O7"/>
    <mergeCell ref="E156:F156"/>
    <mergeCell ref="E153:F153"/>
    <mergeCell ref="H21:O21"/>
    <mergeCell ref="E128:F128"/>
    <mergeCell ref="E155:F155"/>
    <mergeCell ref="D61:E61"/>
    <mergeCell ref="G184:H184"/>
    <mergeCell ref="G171:H171"/>
    <mergeCell ref="E65:F65"/>
    <mergeCell ref="E157:F157"/>
    <mergeCell ref="H16:O16"/>
    <mergeCell ref="A17:B17"/>
    <mergeCell ref="I134:O134"/>
    <mergeCell ref="H27:O27"/>
    <mergeCell ref="G117:O117"/>
    <mergeCell ref="A19:B19"/>
    <mergeCell ref="I161:O161"/>
    <mergeCell ref="E146:F146"/>
    <mergeCell ref="E12:F12"/>
    <mergeCell ref="G125:O125"/>
    <mergeCell ref="B138:C138"/>
    <mergeCell ref="E175:F175"/>
    <mergeCell ref="H67:O67"/>
    <mergeCell ref="H103:O103"/>
    <mergeCell ref="G127:O127"/>
    <mergeCell ref="E185:F185"/>
    <mergeCell ref="B140:C140"/>
    <mergeCell ref="I187:O187"/>
    <mergeCell ref="E170:F170"/>
    <mergeCell ref="I174:O174"/>
    <mergeCell ref="H98:O98"/>
    <mergeCell ref="D75:E75"/>
    <mergeCell ref="F75:G75"/>
    <mergeCell ref="I189:O189"/>
    <mergeCell ref="I188:O188"/>
    <mergeCell ref="G192:H192"/>
    <mergeCell ref="J8:O8"/>
    <mergeCell ref="E154:F154"/>
    <mergeCell ref="G154:H154"/>
    <mergeCell ref="B158:C158"/>
    <mergeCell ref="E172:F172"/>
    <mergeCell ref="B89:C89"/>
    <mergeCell ref="B160:C160"/>
    <mergeCell ref="D89:E89"/>
    <mergeCell ref="H18:O18"/>
    <mergeCell ref="L61:M61"/>
    <mergeCell ref="A194:D194"/>
    <mergeCell ref="I142:O142"/>
    <mergeCell ref="B153:C153"/>
    <mergeCell ref="J75:M75"/>
    <mergeCell ref="B184:C184"/>
    <mergeCell ref="H113:O113"/>
    <mergeCell ref="E20:F20"/>
    <mergeCell ref="I137:O137"/>
    <mergeCell ref="E177:F177"/>
    <mergeCell ref="E13:F13"/>
    <mergeCell ref="I164:O164"/>
    <mergeCell ref="I139:O139"/>
    <mergeCell ref="B88:C88"/>
    <mergeCell ref="B148:C148"/>
    <mergeCell ref="B82:C82"/>
    <mergeCell ref="E149:F149"/>
    <mergeCell ref="E176:F176"/>
    <mergeCell ref="E114:F114"/>
    <mergeCell ref="J88:M88"/>
    <mergeCell ref="A63:O63"/>
    <mergeCell ref="E15:F15"/>
    <mergeCell ref="E191:F191"/>
    <mergeCell ref="G142:H142"/>
    <mergeCell ref="B146:C146"/>
    <mergeCell ref="E178:F178"/>
    <mergeCell ref="H37:O37"/>
    <mergeCell ref="B83:C83"/>
    <mergeCell ref="B143:C143"/>
    <mergeCell ref="D83:E83"/>
    <mergeCell ref="E144:F144"/>
    <mergeCell ref="G144:H144"/>
    <mergeCell ref="H104:O104"/>
    <mergeCell ref="B85:C85"/>
    <mergeCell ref="A94:O94"/>
    <mergeCell ref="I190:O190"/>
    <mergeCell ref="D85:E85"/>
    <mergeCell ref="G173:H173"/>
    <mergeCell ref="H92:I92"/>
    <mergeCell ref="H106:O106"/>
    <mergeCell ref="F78:G78"/>
    <mergeCell ref="E106:F106"/>
    <mergeCell ref="H78:I78"/>
    <mergeCell ref="E33:F33"/>
    <mergeCell ref="H43:O43"/>
    <mergeCell ref="B159:C159"/>
    <mergeCell ref="D80:E80"/>
    <mergeCell ref="G170:H170"/>
    <mergeCell ref="B167:C167"/>
    <mergeCell ref="A26:O26"/>
    <mergeCell ref="B161:C161"/>
    <mergeCell ref="H6:I6"/>
    <mergeCell ref="H130:O130"/>
    <mergeCell ref="H68:O68"/>
    <mergeCell ref="B136:C136"/>
    <mergeCell ref="E28:F28"/>
    <mergeCell ref="B175:C175"/>
    <mergeCell ref="E30:F30"/>
    <mergeCell ref="J84:M84"/>
    <mergeCell ref="I145:O145"/>
    <mergeCell ref="J78:M78"/>
    <mergeCell ref="H69:O69"/>
    <mergeCell ref="A9:C9"/>
    <mergeCell ref="I147:O147"/>
    <mergeCell ref="J80:M80"/>
    <mergeCell ref="D8:E8"/>
    <mergeCell ref="J79:M79"/>
    <mergeCell ref="G150:H150"/>
    <mergeCell ref="I186:O186"/>
    <mergeCell ref="E21:F21"/>
    <mergeCell ref="J6:O6"/>
    <mergeCell ref="H82:I82"/>
    <mergeCell ref="B91:C91"/>
    <mergeCell ref="E192:F192"/>
    <mergeCell ref="H20:O20"/>
    <mergeCell ref="E129:F129"/>
    <mergeCell ref="H38:O38"/>
    <mergeCell ref="E23:F23"/>
    <mergeCell ref="D84:E84"/>
    <mergeCell ref="B155:C155"/>
    <mergeCell ref="G145:H145"/>
    <mergeCell ref="F84:G84"/>
    <mergeCell ref="B149:C149"/>
    <mergeCell ref="E181:F181"/>
    <mergeCell ref="B193:C193"/>
    <mergeCell ref="E194:F194"/>
    <mergeCell ref="G181:H181"/>
    <mergeCell ref="A3:O3"/>
    <mergeCell ref="H40:O40"/>
    <mergeCell ref="B86:C86"/>
    <mergeCell ref="G160:H160"/>
    <mergeCell ref="D86:E86"/>
    <mergeCell ref="I140:O140"/>
    <mergeCell ref="G147:H147"/>
    <mergeCell ref="F86:G86"/>
    <mergeCell ref="H64:O64"/>
    <mergeCell ref="B151:C151"/>
    <mergeCell ref="F80:G80"/>
    <mergeCell ref="G174:H174"/>
    <mergeCell ref="I158:O158"/>
    <mergeCell ref="I133:O133"/>
    <mergeCell ref="G189:H189"/>
    <mergeCell ref="F79:G79"/>
    <mergeCell ref="H79:I79"/>
    <mergeCell ref="E34:F34"/>
    <mergeCell ref="B182:C182"/>
    <mergeCell ref="E105:F105"/>
    <mergeCell ref="I160:O160"/>
    <mergeCell ref="E99:F99"/>
    <mergeCell ref="I135:O135"/>
    <mergeCell ref="F81:G81"/>
    <mergeCell ref="H81:I81"/>
    <mergeCell ref="E163:F163"/>
    <mergeCell ref="E101:F101"/>
    <mergeCell ref="G163:H163"/>
    <mergeCell ref="A22:B22"/>
    <mergeCell ref="B125:D125"/>
    <mergeCell ref="E113:F113"/>
    <mergeCell ref="B183:C183"/>
    <mergeCell ref="B177:C177"/>
    <mergeCell ref="E100:F100"/>
    <mergeCell ref="B164:C164"/>
    <mergeCell ref="J86:M86"/>
    <mergeCell ref="E136:F136"/>
    <mergeCell ref="G165:H165"/>
    <mergeCell ref="H33:O33"/>
    <mergeCell ref="I24:O24"/>
    <mergeCell ref="E102:F102"/>
    <mergeCell ref="G158:H158"/>
    <mergeCell ref="B120:D120"/>
    <mergeCell ref="D10:E10"/>
    <mergeCell ref="G169:H169"/>
    <mergeCell ref="I148:O148"/>
    <mergeCell ref="I153:O153"/>
    <mergeCell ref="E127:F127"/>
    <mergeCell ref="F74:G74"/>
    <mergeCell ref="B180:C180"/>
    <mergeCell ref="H74:I74"/>
    <mergeCell ref="G191:H191"/>
    <mergeCell ref="D76:E76"/>
    <mergeCell ref="F76:G76"/>
    <mergeCell ref="A47:O47"/>
    <mergeCell ref="B157:C157"/>
    <mergeCell ref="I179:O179"/>
    <mergeCell ref="B186:C186"/>
    <mergeCell ref="I141:O141"/>
    <mergeCell ref="E124:F124"/>
    <mergeCell ref="H65:O65"/>
    <mergeCell ref="E120:F120"/>
    <mergeCell ref="I159:O159"/>
    <mergeCell ref="I143:O143"/>
    <mergeCell ref="E184:F184"/>
    <mergeCell ref="A7:C7"/>
    <mergeCell ref="G122:O122"/>
    <mergeCell ref="E121:F121"/>
    <mergeCell ref="F87:G87"/>
    <mergeCell ref="B185:C185"/>
    <mergeCell ref="E151:F151"/>
    <mergeCell ref="H41:O41"/>
    <mergeCell ref="E123:F123"/>
    <mergeCell ref="F89:G89"/>
    <mergeCell ref="E150:F150"/>
    <mergeCell ref="E39:F39"/>
    <mergeCell ref="G179:H179"/>
    <mergeCell ref="F7:G7"/>
    <mergeCell ref="E44:F44"/>
    <mergeCell ref="B176:C176"/>
    <mergeCell ref="G166:H166"/>
    <mergeCell ref="H34:O34"/>
    <mergeCell ref="B128:D128"/>
    <mergeCell ref="G141:H141"/>
    <mergeCell ref="E103:F103"/>
    <mergeCell ref="E152:F152"/>
    <mergeCell ref="A116:O116"/>
    <mergeCell ref="E118:F118"/>
    <mergeCell ref="F8:G8"/>
    <mergeCell ref="A12:B12"/>
    <mergeCell ref="C12:D12"/>
    <mergeCell ref="G167:H167"/>
    <mergeCell ref="I154:O154"/>
    <mergeCell ref="B171:C171"/>
    <mergeCell ref="B123:D123"/>
    <mergeCell ref="I156:O156"/>
    <mergeCell ref="E70:F70"/>
    <mergeCell ref="F77:G77"/>
    <mergeCell ref="H77:I77"/>
    <mergeCell ref="H96:O96"/>
    <mergeCell ref="E32:F32"/>
    <mergeCell ref="G120:O120"/>
    <mergeCell ref="B133:C133"/>
    <mergeCell ref="E134:F134"/>
    <mergeCell ref="G134:H134"/>
    <mergeCell ref="B173:C173"/>
    <mergeCell ref="E96:F96"/>
    <mergeCell ref="B75:C75"/>
    <mergeCell ref="B135:C135"/>
    <mergeCell ref="I180:O180"/>
    <mergeCell ref="A130:B130"/>
    <mergeCell ref="I167:O167"/>
    <mergeCell ref="E98:F98"/>
    <mergeCell ref="I182:O182"/>
    <mergeCell ref="E165:F165"/>
    <mergeCell ref="I169:O169"/>
    <mergeCell ref="I13:O13"/>
    <mergeCell ref="E140:F140"/>
    <mergeCell ref="G156:H156"/>
    <mergeCell ref="B118:D118"/>
    <mergeCell ref="A8:C8"/>
    <mergeCell ref="H61:I61"/>
    <mergeCell ref="H88:I88"/>
    <mergeCell ref="J81:M81"/>
    <mergeCell ref="G187:H187"/>
    <mergeCell ref="A10:C10"/>
    <mergeCell ref="H17:O17"/>
    <mergeCell ref="F90:G90"/>
    <mergeCell ref="H90:I90"/>
    <mergeCell ref="H109:O109"/>
    <mergeCell ref="G180:H180"/>
    <mergeCell ref="E45:F45"/>
    <mergeCell ref="H22:O22"/>
    <mergeCell ref="B129:D129"/>
    <mergeCell ref="H19:O19"/>
    <mergeCell ref="G188:H188"/>
    <mergeCell ref="B192:C192"/>
    <mergeCell ref="A20:B20"/>
    <mergeCell ref="H111:O111"/>
    <mergeCell ref="B121:D121"/>
    <mergeCell ref="G182:H182"/>
    <mergeCell ref="I162:O162"/>
    <mergeCell ref="A132:O132"/>
    <mergeCell ref="A13:B13"/>
    <mergeCell ref="C13:D13"/>
    <mergeCell ref="I155:O155"/>
    <mergeCell ref="A114:B114"/>
  </mergeCells>
  <conditionalFormatting sqref="I134:O193">
    <cfRule type="expression" priority="1" dxfId="0" stopIfTrue="1">
      <formula>$I134="Pago"</formula>
    </cfRule>
    <cfRule type="expression" priority="2" dxfId="3" stopIfTrue="1">
      <formula>$I134="Comprado (a pagar)"</formula>
    </cfRule>
    <cfRule type="expression" priority="3" dxfId="1" stopIfTrue="1">
      <formula>$I134="A comprar"</formula>
    </cfRule>
  </conditionalFormatting>
  <conditionalFormatting sqref="A134:O193">
    <cfRule type="expression" priority="4" dxfId="6">
      <formula>AND($E134&lt;&gt;"",$B134="")</formula>
    </cfRule>
  </conditionalFormatting>
  <conditionalFormatting sqref="E16:F22">
    <cfRule type="expression" priority="5" dxfId="4">
      <formula>AND($E16&lt;&gt;"",$E16&gt;0)</formula>
    </cfRule>
    <cfRule type="expression" priority="6" dxfId="5">
      <formula>AND($E16&lt;&gt;"",$E16&lt;0)</formula>
    </cfRule>
  </conditionalFormatting>
  <conditionalFormatting sqref="E96:F114">
    <cfRule type="expression" priority="7" dxfId="4">
      <formula>AND($E96&lt;&gt;"",$E96&gt;0)</formula>
    </cfRule>
    <cfRule type="expression" priority="8" dxfId="5">
      <formula>AND($E96&lt;&gt;"",$E96&lt;0)</formula>
    </cfRule>
  </conditionalFormatting>
  <conditionalFormatting sqref="J9">
    <cfRule type="expression" priority="9" dxfId="0" stopIfTrue="1">
      <formula>$J$9="No prazo"</formula>
    </cfRule>
    <cfRule type="expression" priority="10" dxfId="2">
      <formula>$J$9="Atrasado"</formula>
    </cfRule>
  </conditionalFormatting>
  <conditionalFormatting sqref="A13:J13">
    <cfRule type="expression" priority="11" dxfId="6">
      <formula>AND($G$13&lt;&gt;"",$G$13&lt;0.25)</formula>
    </cfRule>
  </conditionalFormatting>
  <dataValidations count="12">
    <dataValidation sqref="D10:E1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"Jan/2026,Fev/2026,Mar/2026,Abr/2026,Mai/2026,Jun/2026,Jul/2026,Ago/2026,Set/2026,Out/2026,Nov/2026,Dez/2026,Jan/2027,Fev/2027,Mar/2027,Abr/2027,Mai/2027,Jun/2027,Jul/2027,Ago/2027,Set/2027,Out/2027,Nov/2027,Dez/2027"</formula1>
    </dataValidation>
    <dataValidation sqref="D49:D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H49:H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L49:L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"Lorrane,Lucas,Externo / avulso"</formula1>
    </dataValidation>
    <dataValidation sqref="H66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A74:A91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B118:B12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"Erro de projeto,Erro de medição,Erro de produção,Erro de montagem,Falha de material,Dano no transporte,Mudança pedida pelo cliente,Falha de fornecedor,Outro"</formula1>
    </dataValidation>
    <dataValidation sqref="B134:B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"MDF e MDP,Fita de borda,Ferragens,Vidros e espelhos,Esquadrias,Lâmina natural,Consumíveis,Acabamento,Serralheria,Vidraceiro,Outro terceirizado,Uber e aplicativo,Carreto e entrega,Deslocamento da equipe,Frete de material,Estacionamento e pedágio"</formula1>
    </dataValidation>
    <dataValidation sqref="G134:G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"PIX,Boleto,Cartão de crédito,Cartão parcelado,Dinheiro,Transferência,Faturado 30 dias,A combinar"</formula1>
    </dataValidation>
    <dataValidation sqref="I134:I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"A comprar,Comprado (a pagar),Pago"</formula1>
    </dataValidation>
    <dataValidation sqref="D9:E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"Jonathan,Vitor,Indicação,Arquiteto parceiro,Outro"</formula1>
    </dataValidation>
    <dataValidation sqref="F9:G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</dataValidations>
  <pageMargins left="0.4" right="0.3" top="0.4" bottom="0.3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196"/>
  <sheetViews>
    <sheetView showGridLines="0"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14" customWidth="1" min="3" max="3"/>
    <col width="16" customWidth="1" min="4" max="4"/>
    <col width="7" customWidth="1" min="5" max="5"/>
    <col width="13" customWidth="1" min="6" max="6"/>
    <col width="13" customWidth="1" min="7" max="7"/>
    <col width="16" customWidth="1" min="8" max="8"/>
    <col width="7" customWidth="1" min="9" max="9"/>
    <col width="13" customWidth="1" min="10" max="10"/>
    <col width="13" customWidth="1" min="11" max="11"/>
    <col width="15" customWidth="1" min="12" max="12"/>
    <col width="7" customWidth="1" min="13" max="13"/>
    <col width="13" customWidth="1" min="14" max="14"/>
    <col width="14" customWidth="1" min="15" max="15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8" customHeight="1">
      <c r="A3" s="4" t="inlineStr">
        <is>
          <t>FICHA DE CUSTO DO PROJETO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 ht="17" customHeight="1">
      <c r="A4" s="6" t="inlineStr">
        <is>
          <t>Fundo creme = você preenche · fundo cinza = calculado · duplique esta aba a cada projeto e registre o nome dela no Painel Geral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 ht="6" customHeight="1"/>
    <row r="6" ht="13" customHeight="1">
      <c r="A6" s="44" t="inlineStr">
        <is>
          <t>CLIENTE</t>
        </is>
      </c>
      <c r="B6" s="13" t="n"/>
      <c r="C6" s="13" t="n"/>
      <c r="D6" s="44" t="inlineStr">
        <is>
          <t>Nº DO PROJETO</t>
        </is>
      </c>
      <c r="E6" s="13" t="n"/>
      <c r="F6" s="44" t="inlineStr">
        <is>
          <t>DATA DE ENTRADA</t>
        </is>
      </c>
      <c r="G6" s="13" t="n"/>
      <c r="H6" s="44" t="inlineStr">
        <is>
          <t>ENTREGA PREVISTA</t>
        </is>
      </c>
      <c r="I6" s="13" t="n"/>
      <c r="J6" s="44" t="inlineStr">
        <is>
          <t>ENTREGA REAL</t>
        </is>
      </c>
      <c r="K6" s="13" t="n"/>
      <c r="L6" s="13" t="n"/>
      <c r="M6" s="13" t="n"/>
      <c r="N6" s="13" t="n"/>
      <c r="O6" s="13" t="n"/>
    </row>
    <row r="7" ht="21" customHeight="1">
      <c r="A7" s="45" t="n"/>
      <c r="B7" s="46" t="n"/>
      <c r="C7" s="46" t="n"/>
      <c r="D7" s="45" t="n"/>
      <c r="E7" s="46" t="n"/>
      <c r="F7" s="47" t="n"/>
      <c r="G7" s="46" t="n"/>
      <c r="H7" s="47" t="n"/>
      <c r="I7" s="46" t="n"/>
      <c r="J7" s="47" t="n"/>
      <c r="K7" s="46" t="n"/>
      <c r="L7" s="46" t="n"/>
      <c r="M7" s="46" t="n"/>
      <c r="N7" s="46" t="n"/>
      <c r="O7" s="46" t="n"/>
    </row>
    <row r="8" ht="13" customHeight="1">
      <c r="A8" s="44" t="inlineStr">
        <is>
          <t>PROJETO</t>
        </is>
      </c>
      <c r="B8" s="13" t="n"/>
      <c r="C8" s="13" t="n"/>
      <c r="D8" s="44" t="inlineStr">
        <is>
          <t>VENDEDOR</t>
        </is>
      </c>
      <c r="E8" s="13" t="n"/>
      <c r="F8" s="44" t="inlineStr">
        <is>
          <t>COORDENADOR</t>
        </is>
      </c>
      <c r="G8" s="13" t="n"/>
      <c r="H8" s="44" t="inlineStr">
        <is>
          <t>DIAS DE ATRASO</t>
        </is>
      </c>
      <c r="I8" s="13" t="n"/>
      <c r="J8" s="44" t="inlineStr">
        <is>
          <t>SITUAÇÃO DA ENTREGA</t>
        </is>
      </c>
      <c r="K8" s="13" t="n"/>
      <c r="L8" s="13" t="n"/>
      <c r="M8" s="13" t="n"/>
      <c r="N8" s="13" t="n"/>
      <c r="O8" s="13" t="n"/>
    </row>
    <row r="9" ht="21" customHeight="1">
      <c r="A9" s="45" t="n"/>
      <c r="B9" s="46" t="n"/>
      <c r="C9" s="46" t="n"/>
      <c r="D9" s="45" t="n"/>
      <c r="E9" s="46" t="n"/>
      <c r="F9" s="48" t="n"/>
      <c r="G9" s="46" t="n"/>
      <c r="H9" s="49">
        <f>IF(OR($H$7="",$J$7=""),"",$J$7-$H$7)</f>
        <v/>
      </c>
      <c r="I9" s="38" t="n"/>
      <c r="J9" s="50">
        <f>IF($H$7="","",IF($J$7="",IF(TODAY()&gt;$H$7,"Atrasado","Em produção"),IF($H$9&lt;=0,"No prazo","Atrasado")))</f>
        <v/>
      </c>
      <c r="K9" s="38" t="n"/>
      <c r="L9" s="38" t="n"/>
      <c r="M9" s="38" t="n"/>
      <c r="N9" s="38" t="n"/>
      <c r="O9" s="38" t="n"/>
    </row>
    <row r="10" ht="18" customHeight="1">
      <c r="A10" s="51" t="inlineStr">
        <is>
          <t>MÊS DE COMPETÊNCIA</t>
        </is>
      </c>
      <c r="B10" s="37" t="n"/>
      <c r="C10" s="37" t="n"/>
      <c r="D10" s="52" t="n"/>
      <c r="E10" s="46" t="n"/>
      <c r="F10" s="53" t="inlineStr">
        <is>
          <t>o mês em que a receita e o custo deste projeto pesam no painel de competência</t>
        </is>
      </c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</row>
    <row r="11" ht="20" customHeight="1">
      <c r="A11" s="8" t="inlineStr">
        <is>
          <t xml:space="preserve">  RESULTADO DO PROJETO          tudo aqui se atualiza conforme você lança os custos mais abaixo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</row>
    <row r="12" ht="13" customHeight="1">
      <c r="A12" s="44" t="inlineStr">
        <is>
          <t>VALOR DE VENDA</t>
        </is>
      </c>
      <c r="B12" s="13" t="n"/>
      <c r="C12" s="44" t="inlineStr">
        <is>
          <t>CUSTO TOTAL</t>
        </is>
      </c>
      <c r="D12" s="13" t="n"/>
      <c r="E12" s="44" t="inlineStr">
        <is>
          <t>MARGEM DE CONTRIBUIÇÃO</t>
        </is>
      </c>
      <c r="F12" s="13" t="n"/>
      <c r="G12" s="44" t="inlineStr">
        <is>
          <t>MC %</t>
        </is>
      </c>
      <c r="H12" s="44" t="inlineStr">
        <is>
          <t>MC % ORÇADA</t>
        </is>
      </c>
      <c r="I12" s="44" t="inlineStr">
        <is>
          <t>DESVIO DE CUSTO</t>
        </is>
      </c>
      <c r="J12" s="13" t="n"/>
      <c r="K12" s="13" t="n"/>
      <c r="L12" s="13" t="n"/>
      <c r="M12" s="13" t="n"/>
      <c r="N12" s="13" t="n"/>
      <c r="O12" s="13" t="n"/>
    </row>
    <row r="13" ht="30" customHeight="1">
      <c r="A13" s="54">
        <f>IF($D$28="",$C$28,$D$28)</f>
        <v/>
      </c>
      <c r="B13" s="15" t="n"/>
      <c r="C13" s="54">
        <f>IF($D$22=0,"",$D$22)</f>
        <v/>
      </c>
      <c r="D13" s="15" t="n"/>
      <c r="E13" s="54">
        <f>IF($A$13="","",$D$23)</f>
        <v/>
      </c>
      <c r="F13" s="15" t="n"/>
      <c r="G13" s="55">
        <f>IF(OR($A$13="",$A$13=0),"",$D$23/$A$13)</f>
        <v/>
      </c>
      <c r="H13" s="55">
        <f>IF(OR($C$28="",$C$28=0),"",$C$23/$C$28)</f>
        <v/>
      </c>
      <c r="I13" s="54">
        <f>IF(OR($C$22=0,$D$22=0),"",ROUND($D$22-$C$22,2))</f>
        <v/>
      </c>
      <c r="J13" s="15" t="n"/>
      <c r="K13" s="15" t="n"/>
      <c r="L13" s="15" t="n"/>
      <c r="M13" s="15" t="n"/>
      <c r="N13" s="15" t="n"/>
      <c r="O13" s="15" t="n"/>
    </row>
    <row r="14" ht="8" customHeight="1"/>
    <row r="15" ht="26" customHeight="1">
      <c r="A15" s="19" t="inlineStr">
        <is>
          <t>Resumo por categoria</t>
        </is>
      </c>
      <c r="B15" s="35" t="n"/>
      <c r="C15" s="19" t="inlineStr">
        <is>
          <t>Orçado (R$)</t>
        </is>
      </c>
      <c r="D15" s="19" t="inlineStr">
        <is>
          <t>Realizado (R$)</t>
        </is>
      </c>
      <c r="E15" s="19" t="inlineStr">
        <is>
          <t>Desvio (R$)</t>
        </is>
      </c>
      <c r="F15" s="35" t="n"/>
      <c r="G15" s="19" t="inlineStr">
        <is>
          <t>Desvio (%)</t>
        </is>
      </c>
      <c r="H15" s="19" t="inlineStr">
        <is>
          <t>% da venda realizada</t>
        </is>
      </c>
      <c r="I15" s="35" t="n"/>
      <c r="J15" s="35" t="n"/>
      <c r="K15" s="35" t="n"/>
      <c r="L15" s="35" t="n"/>
      <c r="M15" s="35" t="n"/>
      <c r="N15" s="35" t="n"/>
      <c r="O15" s="35" t="n"/>
    </row>
    <row r="16" ht="18" customHeight="1">
      <c r="A16" s="36" t="inlineStr">
        <is>
          <t>Custos de venda</t>
        </is>
      </c>
      <c r="B16" s="37" t="n"/>
      <c r="C16" s="56">
        <f>IF(C44="","",C44)</f>
        <v/>
      </c>
      <c r="D16" s="56">
        <f>IF(D44="","",D44)</f>
        <v/>
      </c>
      <c r="E16" s="56">
        <f>IF(OR($C16="",$D16=""),"",ROUND($D16-$C16,2))</f>
        <v/>
      </c>
      <c r="F16" s="38" t="n"/>
      <c r="G16" s="57">
        <f>IF(OR($C16="",$C16=0,$D16=""),"",$D16/$C16-1)</f>
        <v/>
      </c>
      <c r="H16" s="58">
        <f>IF(OR($D16="",$A$13="",$A$13=0),"",$D16/$A$13)</f>
        <v/>
      </c>
      <c r="I16" s="38" t="n"/>
      <c r="J16" s="38" t="n"/>
      <c r="K16" s="38" t="n"/>
      <c r="L16" s="38" t="n"/>
      <c r="M16" s="38" t="n"/>
      <c r="N16" s="38" t="n"/>
      <c r="O16" s="38" t="n"/>
    </row>
    <row r="17" ht="18" customHeight="1">
      <c r="A17" s="36" t="inlineStr">
        <is>
          <t>Comissões operacionais</t>
        </is>
      </c>
      <c r="B17" s="37" t="n"/>
      <c r="C17" s="56">
        <f>IF(C70="","",C70)</f>
        <v/>
      </c>
      <c r="D17" s="56">
        <f>IF(D70="","",D70)</f>
        <v/>
      </c>
      <c r="E17" s="56">
        <f>IF(OR($C17="",$D17=""),"",ROUND($D17-$C17,2))</f>
        <v/>
      </c>
      <c r="F17" s="38" t="n"/>
      <c r="G17" s="57">
        <f>IF(OR($C17="",$C17=0,$D17=""),"",$D17/$C17-1)</f>
        <v/>
      </c>
      <c r="H17" s="58">
        <f>IF(OR($D17="",$A$13="",$A$13=0),"",$D17/$A$13)</f>
        <v/>
      </c>
      <c r="I17" s="38" t="n"/>
      <c r="J17" s="38" t="n"/>
      <c r="K17" s="38" t="n"/>
      <c r="L17" s="38" t="n"/>
      <c r="M17" s="38" t="n"/>
      <c r="N17" s="38" t="n"/>
      <c r="O17" s="38" t="n"/>
    </row>
    <row r="18" ht="18" customHeight="1">
      <c r="A18" s="36" t="inlineStr">
        <is>
          <t>Material</t>
        </is>
      </c>
      <c r="B18" s="37" t="n"/>
      <c r="C18" s="56">
        <f>IF(C103="","",C103)</f>
        <v/>
      </c>
      <c r="D18" s="56">
        <f>IF(D103="","",D103)</f>
        <v/>
      </c>
      <c r="E18" s="56">
        <f>IF(OR($C18="",$D18=""),"",ROUND($D18-$C18,2))</f>
        <v/>
      </c>
      <c r="F18" s="38" t="n"/>
      <c r="G18" s="57">
        <f>IF(OR($C18="",$C18=0,$D18=""),"",$D18/$C18-1)</f>
        <v/>
      </c>
      <c r="H18" s="58">
        <f>IF(OR($D18="",$A$13="",$A$13=0),"",$D18/$A$13)</f>
        <v/>
      </c>
      <c r="I18" s="38" t="n"/>
      <c r="J18" s="38" t="n"/>
      <c r="K18" s="38" t="n"/>
      <c r="L18" s="38" t="n"/>
      <c r="M18" s="38" t="n"/>
      <c r="N18" s="38" t="n"/>
      <c r="O18" s="38" t="n"/>
    </row>
    <row r="19" ht="18" customHeight="1">
      <c r="A19" s="36" t="inlineStr">
        <is>
          <t>Serviços terceirizados</t>
        </is>
      </c>
      <c r="B19" s="37" t="n"/>
      <c r="C19" s="56">
        <f>IF(C108="","",C108)</f>
        <v/>
      </c>
      <c r="D19" s="56">
        <f>IF(D108="","",D108)</f>
        <v/>
      </c>
      <c r="E19" s="56">
        <f>IF(OR($C19="",$D19=""),"",ROUND($D19-$C19,2))</f>
        <v/>
      </c>
      <c r="F19" s="38" t="n"/>
      <c r="G19" s="57">
        <f>IF(OR($C19="",$C19=0,$D19=""),"",$D19/$C19-1)</f>
        <v/>
      </c>
      <c r="H19" s="58">
        <f>IF(OR($D19="",$A$13="",$A$13=0),"",$D19/$A$13)</f>
        <v/>
      </c>
      <c r="I19" s="38" t="n"/>
      <c r="J19" s="38" t="n"/>
      <c r="K19" s="38" t="n"/>
      <c r="L19" s="38" t="n"/>
      <c r="M19" s="38" t="n"/>
      <c r="N19" s="38" t="n"/>
      <c r="O19" s="38" t="n"/>
    </row>
    <row r="20" ht="18" customHeight="1">
      <c r="A20" s="36" t="inlineStr">
        <is>
          <t>Logística</t>
        </is>
      </c>
      <c r="B20" s="37" t="n"/>
      <c r="C20" s="56">
        <f>IF(C114="","",C114)</f>
        <v/>
      </c>
      <c r="D20" s="56">
        <f>IF(D114="","",D114)</f>
        <v/>
      </c>
      <c r="E20" s="56">
        <f>IF(OR($C20="",$D20=""),"",ROUND($D20-$C20,2))</f>
        <v/>
      </c>
      <c r="F20" s="38" t="n"/>
      <c r="G20" s="57">
        <f>IF(OR($C20="",$C20=0,$D20=""),"",$D20/$C20-1)</f>
        <v/>
      </c>
      <c r="H20" s="58">
        <f>IF(OR($D20="",$A$13="",$A$13=0),"",$D20/$A$13)</f>
        <v/>
      </c>
      <c r="I20" s="38" t="n"/>
      <c r="J20" s="38" t="n"/>
      <c r="K20" s="38" t="n"/>
      <c r="L20" s="38" t="n"/>
      <c r="M20" s="38" t="n"/>
      <c r="N20" s="38" t="n"/>
      <c r="O20" s="38" t="n"/>
    </row>
    <row r="21" ht="18" customHeight="1">
      <c r="A21" s="36" t="inlineStr">
        <is>
          <t>Retrabalho</t>
        </is>
      </c>
      <c r="B21" s="37" t="n"/>
      <c r="C21" s="56">
        <f>IF(C130="","",C130)</f>
        <v/>
      </c>
      <c r="D21" s="56">
        <f>IF(D130="","",D130)</f>
        <v/>
      </c>
      <c r="E21" s="56">
        <f>IF(OR($C21="",$D21=""),"",ROUND($D21-$C21,2))</f>
        <v/>
      </c>
      <c r="F21" s="38" t="n"/>
      <c r="G21" s="57">
        <f>IF(OR($C21="",$C21=0,$D21=""),"",$D21/$C21-1)</f>
        <v/>
      </c>
      <c r="H21" s="58">
        <f>IF(OR($D21="",$A$13="",$A$13=0),"",$D21/$A$13)</f>
        <v/>
      </c>
      <c r="I21" s="38" t="n"/>
      <c r="J21" s="38" t="n"/>
      <c r="K21" s="38" t="n"/>
      <c r="L21" s="38" t="n"/>
      <c r="M21" s="38" t="n"/>
      <c r="N21" s="38" t="n"/>
      <c r="O21" s="38" t="n"/>
    </row>
    <row r="22" ht="22" customHeight="1">
      <c r="A22" s="31" t="inlineStr">
        <is>
          <t>(=) CUSTO TOTAL DO PROJETO</t>
        </is>
      </c>
      <c r="B22" s="32" t="n"/>
      <c r="C22" s="59">
        <f>ROUND(SUM(C16:C21),2)</f>
        <v/>
      </c>
      <c r="D22" s="59">
        <f>ROUND(SUM(D16:D21),2)</f>
        <v/>
      </c>
      <c r="E22" s="60">
        <f>ROUND($D$22-$C$22,2)</f>
        <v/>
      </c>
      <c r="F22" s="32" t="n"/>
      <c r="G22" s="61">
        <f>IF(OR($C$22="",$C$22=0),"",$D$22/$C$22-1)</f>
        <v/>
      </c>
      <c r="H22" s="62">
        <f>IF(OR($A$13="",$A$13=0),"",$D$22/$A$13)</f>
        <v/>
      </c>
      <c r="I22" s="32" t="n"/>
      <c r="J22" s="32" t="n"/>
      <c r="K22" s="32" t="n"/>
      <c r="L22" s="32" t="n"/>
      <c r="M22" s="32" t="n"/>
      <c r="N22" s="32" t="n"/>
      <c r="O22" s="32" t="n"/>
    </row>
    <row r="23" ht="28" customHeight="1">
      <c r="A23" s="63" t="inlineStr">
        <is>
          <t>(=) MARGEM DE CONTRIBUIÇÃO</t>
        </is>
      </c>
      <c r="B23" s="64" t="n"/>
      <c r="C23" s="65">
        <f>ROUND($C$28-$C$22,2)</f>
        <v/>
      </c>
      <c r="D23" s="65">
        <f>ROUND($A$13-$D$22,2)</f>
        <v/>
      </c>
      <c r="E23" s="66">
        <f>ROUND($D$23-$C$23,2)</f>
        <v/>
      </c>
      <c r="F23" s="64" t="n"/>
      <c r="G23" s="67">
        <f>IF(OR($C$28="",$C$28=0),"",$C$23/$C$28)</f>
        <v/>
      </c>
      <c r="H23" s="68">
        <f>IF(OR($A$13="",$A$13=0),"",$D$23/$A$13)</f>
        <v/>
      </c>
      <c r="I23" s="64" t="n"/>
      <c r="J23" s="64" t="n"/>
      <c r="K23" s="64" t="n"/>
      <c r="L23" s="64" t="n"/>
      <c r="M23" s="64" t="n"/>
      <c r="N23" s="64" t="n"/>
      <c r="O23" s="64" t="n"/>
    </row>
    <row r="24" ht="22" customHeight="1">
      <c r="A24" s="69">
        <f>IF($A$13="","",IF(ROUND(SUMIF($I$134:$I$193,"A comprar",$E$134:$E$193),2)+ROUND(SUMIF($I$134:$I$193,"Comprado (a pagar)",$E$134:$E$193),2)=0,"   Nenhuma compra pendente lançada — o custo realizado já é o custo final.","   Já comprado e ainda a pagar: "&amp;TEXT(ROUND(SUMIF($I$134:$I$193,"Comprado (a pagar)",$E$134:$E$193),2),"R$ #,##0")&amp;"   ·   custo projetado: "&amp;TEXT($D$22+ROUND(SUMIF($I$134:$I$193,"A comprar",$E$134:$E$193),2),"R$ #,##0")&amp;"   ·   MC projetada: "&amp;TEXT(($A$13-$D$22-ROUND(SUMIF($I$134:$I$193,"A comprar",$E$134:$E$193),2))/$A$13,"0.0%")))</f>
        <v/>
      </c>
      <c r="B24" s="15" t="n"/>
      <c r="C24" s="15" t="n"/>
      <c r="D24" s="15" t="n"/>
      <c r="E24" s="15" t="n"/>
      <c r="F24" s="15" t="n"/>
      <c r="G24" s="15" t="n"/>
      <c r="H24" s="15" t="n"/>
      <c r="I24" s="70">
        <f>IF($A$13="","",ROUND(SUMIF($I$134:$I$193,"A comprar",$E$134:$E$193),2))</f>
        <v/>
      </c>
      <c r="J24" s="15" t="n"/>
      <c r="K24" s="15" t="n"/>
      <c r="L24" s="15" t="n"/>
      <c r="M24" s="15" t="n"/>
      <c r="N24" s="15" t="n"/>
      <c r="O24" s="15" t="n"/>
    </row>
    <row r="25" ht="8" customHeight="1"/>
    <row r="26" ht="20" customHeight="1">
      <c r="A26" s="8" t="inlineStr">
        <is>
          <t xml:space="preserve">  1 · VALOR DE VENDA E NOTAS EMITIDAS          o que foi vendido e o que já virou nota — a diferença é o que falta faturar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 ht="26" customHeight="1">
      <c r="A27" s="19" t="inlineStr">
        <is>
          <t>Item</t>
        </is>
      </c>
      <c r="B27" s="19" t="inlineStr">
        <is>
          <t>%</t>
        </is>
      </c>
      <c r="C27" s="19" t="inlineStr">
        <is>
          <t>Orçado (R$)</t>
        </is>
      </c>
      <c r="D27" s="19" t="inlineStr">
        <is>
          <t>Realizado (R$)</t>
        </is>
      </c>
      <c r="E27" s="19" t="inlineStr">
        <is>
          <t>Desvio (R$)</t>
        </is>
      </c>
      <c r="F27" s="35" t="n"/>
      <c r="G27" s="19" t="inlineStr">
        <is>
          <t>% da venda</t>
        </is>
      </c>
      <c r="H27" s="19" t="inlineStr">
        <is>
          <t>Observação</t>
        </is>
      </c>
      <c r="I27" s="35" t="n"/>
      <c r="J27" s="35" t="n"/>
      <c r="K27" s="35" t="n"/>
      <c r="L27" s="35" t="n"/>
      <c r="M27" s="35" t="n"/>
      <c r="N27" s="35" t="n"/>
      <c r="O27" s="35" t="n"/>
    </row>
    <row r="28" ht="17" customHeight="1">
      <c r="A28" s="36" t="inlineStr">
        <is>
          <t>Valor de venda do projeto</t>
        </is>
      </c>
      <c r="B28" s="37" t="n"/>
      <c r="C28" s="71" t="n"/>
      <c r="D28" s="71" t="n"/>
      <c r="E28" s="56">
        <f>IF(OR($C28="",$D28=""),"",ROUND($D28-$C28,2))</f>
        <v/>
      </c>
      <c r="F28" s="38" t="n"/>
      <c r="G28" s="72" t="n"/>
      <c r="H28" s="73" t="inlineStr">
        <is>
          <t>Orçado = valor da proposta · Realizado = valor fechado</t>
        </is>
      </c>
      <c r="I28" s="46" t="n"/>
      <c r="J28" s="46" t="n"/>
      <c r="K28" s="46" t="n"/>
      <c r="L28" s="46" t="n"/>
      <c r="M28" s="46" t="n"/>
      <c r="N28" s="46" t="n"/>
      <c r="O28" s="46" t="n"/>
    </row>
    <row r="29" ht="22" customHeight="1">
      <c r="A29" s="19" t="inlineStr">
        <is>
          <t>Nota fiscal</t>
        </is>
      </c>
      <c r="B29" s="19" t="inlineStr">
        <is>
          <t>Número</t>
        </is>
      </c>
      <c r="C29" s="19" t="inlineStr">
        <is>
          <t>Data</t>
        </is>
      </c>
      <c r="D29" s="19" t="inlineStr">
        <is>
          <t>Valor (R$)</t>
        </is>
      </c>
      <c r="E29" s="19" t="inlineStr"/>
      <c r="F29" s="35" t="n"/>
      <c r="G29" s="19" t="inlineStr">
        <is>
          <t>% da venda</t>
        </is>
      </c>
      <c r="H29" s="19" t="inlineStr">
        <is>
          <t>Observação</t>
        </is>
      </c>
      <c r="I29" s="35" t="n"/>
      <c r="J29" s="35" t="n"/>
      <c r="K29" s="35" t="n"/>
      <c r="L29" s="35" t="n"/>
      <c r="M29" s="35" t="n"/>
      <c r="N29" s="35" t="n"/>
      <c r="O29" s="35" t="n"/>
    </row>
    <row r="30" ht="17" customHeight="1">
      <c r="A30" s="36" t="inlineStr">
        <is>
          <t>Nota 1</t>
        </is>
      </c>
      <c r="B30" s="74" t="n"/>
      <c r="C30" s="75" t="n"/>
      <c r="D30" s="76" t="n"/>
      <c r="E30" s="37" t="n"/>
      <c r="F30" s="37" t="n"/>
      <c r="G30" s="72">
        <f>IF(OR($D30="",$A$13="",$A$13=0),"",$D30/$A$13)</f>
        <v/>
      </c>
      <c r="H30" s="73" t="n"/>
      <c r="I30" s="46" t="n"/>
      <c r="J30" s="46" t="n"/>
      <c r="K30" s="46" t="n"/>
      <c r="L30" s="46" t="n"/>
      <c r="M30" s="46" t="n"/>
      <c r="N30" s="46" t="n"/>
      <c r="O30" s="46" t="n"/>
    </row>
    <row r="31" ht="17" customHeight="1">
      <c r="A31" s="36" t="inlineStr">
        <is>
          <t>Nota 2</t>
        </is>
      </c>
      <c r="B31" s="74" t="n"/>
      <c r="C31" s="75" t="n"/>
      <c r="D31" s="76" t="n"/>
      <c r="E31" s="37" t="n"/>
      <c r="F31" s="37" t="n"/>
      <c r="G31" s="72">
        <f>IF(OR($D31="",$A$13="",$A$13=0),"",$D31/$A$13)</f>
        <v/>
      </c>
      <c r="H31" s="73" t="n"/>
      <c r="I31" s="46" t="n"/>
      <c r="J31" s="46" t="n"/>
      <c r="K31" s="46" t="n"/>
      <c r="L31" s="46" t="n"/>
      <c r="M31" s="46" t="n"/>
      <c r="N31" s="46" t="n"/>
      <c r="O31" s="46" t="n"/>
    </row>
    <row r="32" ht="17" customHeight="1">
      <c r="A32" s="36" t="inlineStr">
        <is>
          <t>Nota 3</t>
        </is>
      </c>
      <c r="B32" s="74" t="n"/>
      <c r="C32" s="75" t="n"/>
      <c r="D32" s="76" t="n"/>
      <c r="E32" s="37" t="n"/>
      <c r="F32" s="37" t="n"/>
      <c r="G32" s="72">
        <f>IF(OR($D32="",$A$13="",$A$13=0),"",$D32/$A$13)</f>
        <v/>
      </c>
      <c r="H32" s="73" t="n"/>
      <c r="I32" s="46" t="n"/>
      <c r="J32" s="46" t="n"/>
      <c r="K32" s="46" t="n"/>
      <c r="L32" s="46" t="n"/>
      <c r="M32" s="46" t="n"/>
      <c r="N32" s="46" t="n"/>
      <c r="O32" s="46" t="n"/>
    </row>
    <row r="33" ht="17" customHeight="1">
      <c r="A33" s="36" t="inlineStr">
        <is>
          <t>Nota 4</t>
        </is>
      </c>
      <c r="B33" s="74" t="n"/>
      <c r="C33" s="75" t="n"/>
      <c r="D33" s="76" t="n"/>
      <c r="E33" s="37" t="n"/>
      <c r="F33" s="37" t="n"/>
      <c r="G33" s="72">
        <f>IF(OR($D33="",$A$13="",$A$13=0),"",$D33/$A$13)</f>
        <v/>
      </c>
      <c r="H33" s="73" t="n"/>
      <c r="I33" s="46" t="n"/>
      <c r="J33" s="46" t="n"/>
      <c r="K33" s="46" t="n"/>
      <c r="L33" s="46" t="n"/>
      <c r="M33" s="46" t="n"/>
      <c r="N33" s="46" t="n"/>
      <c r="O33" s="46" t="n"/>
    </row>
    <row r="34" ht="20" customHeight="1">
      <c r="A34" s="31" t="inlineStr">
        <is>
          <t>(=) TOTAL FATURADO  →</t>
        </is>
      </c>
      <c r="B34" s="32" t="n"/>
      <c r="C34" s="32" t="n"/>
      <c r="D34" s="60">
        <f>ROUND(SUM($D$30:$D$33),2)</f>
        <v/>
      </c>
      <c r="E34" s="32" t="n"/>
      <c r="F34" s="32" t="n"/>
      <c r="G34" s="62">
        <f>IF(OR($A$13="",$A$13=0),"",$D$34/$A$13)</f>
        <v/>
      </c>
      <c r="H34" s="77">
        <f>IF(OR($A$13="",$A$13=0),"",IF(ROUND($A$13-$D$34,2)&lt;=0,"   Projeto totalmente faturado.","   Ainda a faturar: "&amp;TEXT($A$13-$D$34,"R$ #,##0.00")))</f>
        <v/>
      </c>
      <c r="I34" s="32" t="n"/>
      <c r="J34" s="32" t="n"/>
      <c r="K34" s="32" t="n"/>
      <c r="L34" s="32" t="n"/>
      <c r="M34" s="32" t="n"/>
      <c r="N34" s="32" t="n"/>
      <c r="O34" s="32" t="n"/>
    </row>
    <row r="35" ht="8" customHeight="1"/>
    <row r="36" ht="20" customHeight="1">
      <c r="A36" s="8" t="inlineStr">
        <is>
          <t xml:space="preserve">  2 · CUSTOS DE VENDA          tudo que sai por causa da venda · define a RECEITA LÍQUIDA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</row>
    <row r="37" ht="26" customHeight="1">
      <c r="A37" s="19" t="inlineStr">
        <is>
          <t>Item</t>
        </is>
      </c>
      <c r="B37" s="19" t="inlineStr">
        <is>
          <t>%</t>
        </is>
      </c>
      <c r="C37" s="19" t="inlineStr">
        <is>
          <t>Orçado (R$)</t>
        </is>
      </c>
      <c r="D37" s="19" t="inlineStr">
        <is>
          <t>Realizado (R$)</t>
        </is>
      </c>
      <c r="E37" s="19" t="inlineStr">
        <is>
          <t>Desvio (R$)</t>
        </is>
      </c>
      <c r="F37" s="35" t="n"/>
      <c r="G37" s="19" t="inlineStr">
        <is>
          <t>% da venda</t>
        </is>
      </c>
      <c r="H37" s="19" t="inlineStr">
        <is>
          <t>Observação</t>
        </is>
      </c>
      <c r="I37" s="35" t="n"/>
      <c r="J37" s="35" t="n"/>
      <c r="K37" s="35" t="n"/>
      <c r="L37" s="35" t="n"/>
      <c r="M37" s="35" t="n"/>
      <c r="N37" s="35" t="n"/>
      <c r="O37" s="35" t="n"/>
    </row>
    <row r="38" ht="17" customHeight="1">
      <c r="A38" s="36" t="inlineStr">
        <is>
          <t>Impostos sobre a nota (Simples)</t>
        </is>
      </c>
      <c r="B38" s="78" t="n"/>
      <c r="C38" s="56">
        <f>IF($B38="","",ROUND($B38*$C$28,2))</f>
        <v/>
      </c>
      <c r="D38" s="56">
        <f>IF($B38="","",ROUND($B38*$A$13,2))</f>
        <v/>
      </c>
      <c r="E38" s="56">
        <f>IF(OR($C38="",$D38=""),"",ROUND($D38-$C38,2))</f>
        <v/>
      </c>
      <c r="F38" s="38" t="n"/>
      <c r="G38" s="72">
        <f>IF(OR($D38="",$A$13="",$A$13=0),"",$D38/$A$13)</f>
        <v/>
      </c>
      <c r="H38" s="73" t="inlineStr">
        <is>
          <t>% sobre o valor de venda</t>
        </is>
      </c>
      <c r="I38" s="46" t="n"/>
      <c r="J38" s="46" t="n"/>
      <c r="K38" s="46" t="n"/>
      <c r="L38" s="46" t="n"/>
      <c r="M38" s="46" t="n"/>
      <c r="N38" s="46" t="n"/>
      <c r="O38" s="46" t="n"/>
    </row>
    <row r="39" ht="17" customHeight="1">
      <c r="A39" s="36" t="inlineStr">
        <is>
          <t>Taxa de máquina de cartão</t>
        </is>
      </c>
      <c r="B39" s="78" t="n"/>
      <c r="C39" s="56">
        <f>IF($B39="","",ROUND($B39*$C$28,2))</f>
        <v/>
      </c>
      <c r="D39" s="56">
        <f>IF($B39="","",ROUND($B39*$A$13,2))</f>
        <v/>
      </c>
      <c r="E39" s="56">
        <f>IF(OR($C39="",$D39=""),"",ROUND($D39-$C39,2))</f>
        <v/>
      </c>
      <c r="F39" s="38" t="n"/>
      <c r="G39" s="72">
        <f>IF(OR($D39="",$A$13="",$A$13=0),"",$D39/$A$13)</f>
        <v/>
      </c>
      <c r="H39" s="73" t="inlineStr">
        <is>
          <t>% sobre o valor de venda</t>
        </is>
      </c>
      <c r="I39" s="46" t="n"/>
      <c r="J39" s="46" t="n"/>
      <c r="K39" s="46" t="n"/>
      <c r="L39" s="46" t="n"/>
      <c r="M39" s="46" t="n"/>
      <c r="N39" s="46" t="n"/>
      <c r="O39" s="46" t="n"/>
    </row>
    <row r="40" ht="17" customHeight="1">
      <c r="A40" s="36" t="inlineStr">
        <is>
          <t>Taxas de transação (PIX, boleto, TED)</t>
        </is>
      </c>
      <c r="B40" s="37" t="n"/>
      <c r="C40" s="71" t="n"/>
      <c r="D40" s="71" t="n"/>
      <c r="E40" s="56">
        <f>IF(OR($C40="",$D40=""),"",ROUND($D40-$C40,2))</f>
        <v/>
      </c>
      <c r="F40" s="38" t="n"/>
      <c r="G40" s="72">
        <f>IF(OR($D40="",$A$13="",$A$13=0),"",$D40/$A$13)</f>
        <v/>
      </c>
      <c r="H40" s="73" t="inlineStr">
        <is>
          <t>valor em reais</t>
        </is>
      </c>
      <c r="I40" s="46" t="n"/>
      <c r="J40" s="46" t="n"/>
      <c r="K40" s="46" t="n"/>
      <c r="L40" s="46" t="n"/>
      <c r="M40" s="46" t="n"/>
      <c r="N40" s="46" t="n"/>
      <c r="O40" s="46" t="n"/>
    </row>
    <row r="41" ht="17" customHeight="1">
      <c r="A41" s="36" t="inlineStr">
        <is>
          <t>Comissão de venda (vendedor)</t>
        </is>
      </c>
      <c r="B41" s="78" t="n"/>
      <c r="C41" s="56">
        <f>IF($B41="","",ROUND($B41*$C$28,2))</f>
        <v/>
      </c>
      <c r="D41" s="56">
        <f>IF($B41="","",ROUND($B41*$A$13,2))</f>
        <v/>
      </c>
      <c r="E41" s="56">
        <f>IF(OR($C41="",$D41=""),"",ROUND($D41-$C41,2))</f>
        <v/>
      </c>
      <c r="F41" s="38" t="n"/>
      <c r="G41" s="72">
        <f>IF(OR($D41="",$A$13="",$A$13=0),"",$D41/$A$13)</f>
        <v/>
      </c>
      <c r="H41" s="73" t="inlineStr">
        <is>
          <t>% sobre o valor de venda</t>
        </is>
      </c>
      <c r="I41" s="46" t="n"/>
      <c r="J41" s="46" t="n"/>
      <c r="K41" s="46" t="n"/>
      <c r="L41" s="46" t="n"/>
      <c r="M41" s="46" t="n"/>
      <c r="N41" s="46" t="n"/>
      <c r="O41" s="46" t="n"/>
    </row>
    <row r="42" ht="17" customHeight="1">
      <c r="A42" s="36" t="inlineStr">
        <is>
          <t>Projeto / anteprojeto (externo)</t>
        </is>
      </c>
      <c r="B42" s="37" t="n"/>
      <c r="C42" s="71" t="n"/>
      <c r="D42" s="71" t="n"/>
      <c r="E42" s="56">
        <f>IF(OR($C42="",$D42=""),"",ROUND($D42-$C42,2))</f>
        <v/>
      </c>
      <c r="F42" s="38" t="n"/>
      <c r="G42" s="72">
        <f>IF(OR($D42="",$A$13="",$A$13=0),"",$D42/$A$13)</f>
        <v/>
      </c>
      <c r="H42" s="73" t="inlineStr">
        <is>
          <t>projetista ou arquiteto contratado para o projeto</t>
        </is>
      </c>
      <c r="I42" s="46" t="n"/>
      <c r="J42" s="46" t="n"/>
      <c r="K42" s="46" t="n"/>
      <c r="L42" s="46" t="n"/>
      <c r="M42" s="46" t="n"/>
      <c r="N42" s="46" t="n"/>
      <c r="O42" s="46" t="n"/>
    </row>
    <row r="43" ht="17" customHeight="1">
      <c r="A43" s="36" t="inlineStr">
        <is>
          <t>RT do parceiro</t>
        </is>
      </c>
      <c r="B43" s="78" t="n"/>
      <c r="C43" s="56">
        <f>IF($B43="","",ROUND($B43*($C$28-SUM($C$38:$C$40)),2))</f>
        <v/>
      </c>
      <c r="D43" s="56">
        <f>IF($B43="","",ROUND($B43*($A$13-SUM($D$38:$D$40)),2))</f>
        <v/>
      </c>
      <c r="E43" s="56">
        <f>IF(OR($C43="",$D43=""),"",ROUND($D43-$C43,2))</f>
        <v/>
      </c>
      <c r="F43" s="38" t="n"/>
      <c r="G43" s="72">
        <f>IF(OR($D43="",$A$13="",$A$13=0),"",$D43/$A$13)</f>
        <v/>
      </c>
      <c r="H43" s="73" t="inlineStr">
        <is>
          <t>% sobre o líquido: venda menos impostos, máquina e taxas</t>
        </is>
      </c>
      <c r="I43" s="46" t="n"/>
      <c r="J43" s="46" t="n"/>
      <c r="K43" s="46" t="n"/>
      <c r="L43" s="46" t="n"/>
      <c r="M43" s="46" t="n"/>
      <c r="N43" s="46" t="n"/>
      <c r="O43" s="46" t="n"/>
    </row>
    <row r="44" ht="20" customHeight="1">
      <c r="A44" s="31" t="inlineStr">
        <is>
          <t>(=) SUBTOTAL DOS CUSTOS DE VENDA</t>
        </is>
      </c>
      <c r="B44" s="32" t="n"/>
      <c r="C44" s="60">
        <f>ROUND(SUM(C38:C43),2)</f>
        <v/>
      </c>
      <c r="D44" s="60">
        <f>ROUND(SUM(D38:D43),2)</f>
        <v/>
      </c>
      <c r="E44" s="60">
        <f>ROUND($D44-$C44,2)</f>
        <v/>
      </c>
      <c r="F44" s="32" t="n"/>
      <c r="G44" s="62">
        <f>IF(OR($A$13="",$A$13=0),"",$D44/$A$13)</f>
        <v/>
      </c>
      <c r="H44" s="32" t="n"/>
      <c r="I44" s="32" t="n"/>
      <c r="J44" s="32" t="n"/>
      <c r="K44" s="32" t="n"/>
      <c r="L44" s="32" t="n"/>
      <c r="M44" s="32" t="n"/>
      <c r="N44" s="32" t="n"/>
      <c r="O44" s="32" t="n"/>
    </row>
    <row r="45" ht="24" customHeight="1">
      <c r="A45" s="79" t="inlineStr">
        <is>
          <t>(=) RECEITA LÍQUIDA</t>
        </is>
      </c>
      <c r="B45" s="64" t="n"/>
      <c r="C45" s="80">
        <f>ROUND($C$28-$C$44,2)</f>
        <v/>
      </c>
      <c r="D45" s="80">
        <f>ROUND($A$13-$D$44,2)</f>
        <v/>
      </c>
      <c r="E45" s="66">
        <f>ROUND($D$45-$C$45,2)</f>
        <v/>
      </c>
      <c r="F45" s="64" t="n"/>
      <c r="G45" s="81">
        <f>IF(OR($A$13="",$A$13=0),"",$D$45/$A$13)</f>
        <v/>
      </c>
      <c r="H45" s="82" t="inlineStr">
        <is>
          <t>É esta a base das comissões: coordenação, produção, montagem e projetista</t>
        </is>
      </c>
      <c r="I45" s="64" t="n"/>
      <c r="J45" s="64" t="n"/>
      <c r="K45" s="64" t="n"/>
      <c r="L45" s="64" t="n"/>
      <c r="M45" s="64" t="n"/>
      <c r="N45" s="64" t="n"/>
      <c r="O45" s="64" t="n"/>
    </row>
    <row r="46" ht="8" customHeight="1"/>
    <row r="47" ht="20" customHeight="1">
      <c r="A47" s="8" t="inlineStr">
        <is>
          <t xml:space="preserve">  3 · AMBIENTES, PRODUÇÃO, MONTAGEM E PROJETO          cada ambiente com quem produziu, quem montou e quem projetou · a comissão incide sobre a receita líquida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</row>
    <row r="48" ht="32" customHeight="1">
      <c r="A48" s="19" t="inlineStr">
        <is>
          <t>Ambiente</t>
        </is>
      </c>
      <c r="B48" s="19" t="inlineStr">
        <is>
          <t>% do total</t>
        </is>
      </c>
      <c r="C48" s="19" t="inlineStr">
        <is>
          <t>Valor do ambiente (R$)</t>
        </is>
      </c>
      <c r="D48" s="19" t="inlineStr">
        <is>
          <t>Produção — quem</t>
        </is>
      </c>
      <c r="E48" s="19" t="inlineStr">
        <is>
          <t>%</t>
        </is>
      </c>
      <c r="F48" s="19" t="inlineStr">
        <is>
          <t>Comissão produção (R$)</t>
        </is>
      </c>
      <c r="G48" s="19" t="inlineStr">
        <is>
          <t>Fabricado em</t>
        </is>
      </c>
      <c r="H48" s="19" t="inlineStr">
        <is>
          <t>Montagem — quem</t>
        </is>
      </c>
      <c r="I48" s="19" t="inlineStr">
        <is>
          <t>%</t>
        </is>
      </c>
      <c r="J48" s="19" t="inlineStr">
        <is>
          <t>Comissão montagem (R$)</t>
        </is>
      </c>
      <c r="K48" s="19" t="inlineStr">
        <is>
          <t>Montado em</t>
        </is>
      </c>
      <c r="L48" s="19" t="inlineStr">
        <is>
          <t>Projetista — quem</t>
        </is>
      </c>
      <c r="M48" s="19" t="inlineStr">
        <is>
          <t>%</t>
        </is>
      </c>
      <c r="N48" s="19" t="inlineStr">
        <is>
          <t>Comissão projetista (R$)</t>
        </is>
      </c>
      <c r="O48" s="19" t="inlineStr">
        <is>
          <t>Total do ambiente</t>
        </is>
      </c>
    </row>
    <row r="49" ht="18" customHeight="1">
      <c r="A49" s="83" t="n"/>
      <c r="B49" s="72">
        <f>IF(OR($C49="",$A$13="",$A$13=0),"",$C49/$A$13)</f>
        <v/>
      </c>
      <c r="C49" s="76" t="n"/>
      <c r="D49" s="83" t="n"/>
      <c r="E49" s="78" t="n"/>
      <c r="F49" s="56">
        <f>IF(OR($B49="",$E49="",$D$45=""),"",ROUND($B49*$D$45*$E49,2))</f>
        <v/>
      </c>
      <c r="G49" s="84" t="n"/>
      <c r="H49" s="83" t="n"/>
      <c r="I49" s="78" t="n"/>
      <c r="J49" s="56">
        <f>IF(OR($B49="",$I49="",$D$45=""),"",ROUND($B49*$D$45*$I49,2))</f>
        <v/>
      </c>
      <c r="K49" s="84" t="n"/>
      <c r="L49" s="83" t="n"/>
      <c r="M49" s="78" t="n"/>
      <c r="N49" s="56">
        <f>IF(OR($B49="",$M49="",$D$45=""),"",ROUND($B49*$D$45*$M49,2))</f>
        <v/>
      </c>
      <c r="O49" s="85">
        <f>IF(AND($F49="",$J49="",$N49=""),"",ROUND(IF($F49="",0,$F49)+IF($J49="",0,$J49)+IF($N49="",0,$N49),2))</f>
        <v/>
      </c>
    </row>
    <row r="50" ht="18" customHeight="1">
      <c r="A50" s="83" t="n"/>
      <c r="B50" s="72">
        <f>IF(OR($C50="",$A$13="",$A$13=0),"",$C50/$A$13)</f>
        <v/>
      </c>
      <c r="C50" s="76" t="n"/>
      <c r="D50" s="83" t="n"/>
      <c r="E50" s="78" t="n"/>
      <c r="F50" s="56">
        <f>IF(OR($B50="",$E50="",$D$45=""),"",ROUND($B50*$D$45*$E50,2))</f>
        <v/>
      </c>
      <c r="G50" s="84" t="n"/>
      <c r="H50" s="83" t="n"/>
      <c r="I50" s="78" t="n"/>
      <c r="J50" s="56">
        <f>IF(OR($B50="",$I50="",$D$45=""),"",ROUND($B50*$D$45*$I50,2))</f>
        <v/>
      </c>
      <c r="K50" s="84" t="n"/>
      <c r="L50" s="83" t="n"/>
      <c r="M50" s="78" t="n"/>
      <c r="N50" s="56">
        <f>IF(OR($B50="",$M50="",$D$45=""),"",ROUND($B50*$D$45*$M50,2))</f>
        <v/>
      </c>
      <c r="O50" s="85">
        <f>IF(AND($F50="",$J50="",$N50=""),"",ROUND(IF($F50="",0,$F50)+IF($J50="",0,$J50)+IF($N50="",0,$N50),2))</f>
        <v/>
      </c>
    </row>
    <row r="51" ht="18" customHeight="1">
      <c r="A51" s="83" t="n"/>
      <c r="B51" s="72">
        <f>IF(OR($C51="",$A$13="",$A$13=0),"",$C51/$A$13)</f>
        <v/>
      </c>
      <c r="C51" s="76" t="n"/>
      <c r="D51" s="83" t="n"/>
      <c r="E51" s="78" t="n"/>
      <c r="F51" s="56">
        <f>IF(OR($B51="",$E51="",$D$45=""),"",ROUND($B51*$D$45*$E51,2))</f>
        <v/>
      </c>
      <c r="G51" s="84" t="n"/>
      <c r="H51" s="83" t="n"/>
      <c r="I51" s="78" t="n"/>
      <c r="J51" s="56">
        <f>IF(OR($B51="",$I51="",$D$45=""),"",ROUND($B51*$D$45*$I51,2))</f>
        <v/>
      </c>
      <c r="K51" s="84" t="n"/>
      <c r="L51" s="83" t="n"/>
      <c r="M51" s="78" t="n"/>
      <c r="N51" s="56">
        <f>IF(OR($B51="",$M51="",$D$45=""),"",ROUND($B51*$D$45*$M51,2))</f>
        <v/>
      </c>
      <c r="O51" s="85">
        <f>IF(AND($F51="",$J51="",$N51=""),"",ROUND(IF($F51="",0,$F51)+IF($J51="",0,$J51)+IF($N51="",0,$N51),2))</f>
        <v/>
      </c>
    </row>
    <row r="52" ht="18" customHeight="1">
      <c r="A52" s="83" t="n"/>
      <c r="B52" s="72">
        <f>IF(OR($C52="",$A$13="",$A$13=0),"",$C52/$A$13)</f>
        <v/>
      </c>
      <c r="C52" s="76" t="n"/>
      <c r="D52" s="83" t="n"/>
      <c r="E52" s="78" t="n"/>
      <c r="F52" s="56">
        <f>IF(OR($B52="",$E52="",$D$45=""),"",ROUND($B52*$D$45*$E52,2))</f>
        <v/>
      </c>
      <c r="G52" s="84" t="n"/>
      <c r="H52" s="83" t="n"/>
      <c r="I52" s="78" t="n"/>
      <c r="J52" s="56">
        <f>IF(OR($B52="",$I52="",$D$45=""),"",ROUND($B52*$D$45*$I52,2))</f>
        <v/>
      </c>
      <c r="K52" s="84" t="n"/>
      <c r="L52" s="83" t="n"/>
      <c r="M52" s="78" t="n"/>
      <c r="N52" s="56">
        <f>IF(OR($B52="",$M52="",$D$45=""),"",ROUND($B52*$D$45*$M52,2))</f>
        <v/>
      </c>
      <c r="O52" s="85">
        <f>IF(AND($F52="",$J52="",$N52=""),"",ROUND(IF($F52="",0,$F52)+IF($J52="",0,$J52)+IF($N52="",0,$N52),2))</f>
        <v/>
      </c>
    </row>
    <row r="53" ht="18" customHeight="1">
      <c r="A53" s="83" t="n"/>
      <c r="B53" s="72">
        <f>IF(OR($C53="",$A$13="",$A$13=0),"",$C53/$A$13)</f>
        <v/>
      </c>
      <c r="C53" s="76" t="n"/>
      <c r="D53" s="83" t="n"/>
      <c r="E53" s="78" t="n"/>
      <c r="F53" s="56">
        <f>IF(OR($B53="",$E53="",$D$45=""),"",ROUND($B53*$D$45*$E53,2))</f>
        <v/>
      </c>
      <c r="G53" s="84" t="n"/>
      <c r="H53" s="83" t="n"/>
      <c r="I53" s="78" t="n"/>
      <c r="J53" s="56">
        <f>IF(OR($B53="",$I53="",$D$45=""),"",ROUND($B53*$D$45*$I53,2))</f>
        <v/>
      </c>
      <c r="K53" s="84" t="n"/>
      <c r="L53" s="83" t="n"/>
      <c r="M53" s="78" t="n"/>
      <c r="N53" s="56">
        <f>IF(OR($B53="",$M53="",$D$45=""),"",ROUND($B53*$D$45*$M53,2))</f>
        <v/>
      </c>
      <c r="O53" s="85">
        <f>IF(AND($F53="",$J53="",$N53=""),"",ROUND(IF($F53="",0,$F53)+IF($J53="",0,$J53)+IF($N53="",0,$N53),2))</f>
        <v/>
      </c>
    </row>
    <row r="54" ht="18" customHeight="1">
      <c r="A54" s="83" t="n"/>
      <c r="B54" s="72">
        <f>IF(OR($C54="",$A$13="",$A$13=0),"",$C54/$A$13)</f>
        <v/>
      </c>
      <c r="C54" s="76" t="n"/>
      <c r="D54" s="83" t="n"/>
      <c r="E54" s="78" t="n"/>
      <c r="F54" s="56">
        <f>IF(OR($B54="",$E54="",$D$45=""),"",ROUND($B54*$D$45*$E54,2))</f>
        <v/>
      </c>
      <c r="G54" s="84" t="n"/>
      <c r="H54" s="83" t="n"/>
      <c r="I54" s="78" t="n"/>
      <c r="J54" s="56">
        <f>IF(OR($B54="",$I54="",$D$45=""),"",ROUND($B54*$D$45*$I54,2))</f>
        <v/>
      </c>
      <c r="K54" s="84" t="n"/>
      <c r="L54" s="83" t="n"/>
      <c r="M54" s="78" t="n"/>
      <c r="N54" s="56">
        <f>IF(OR($B54="",$M54="",$D$45=""),"",ROUND($B54*$D$45*$M54,2))</f>
        <v/>
      </c>
      <c r="O54" s="85">
        <f>IF(AND($F54="",$J54="",$N54=""),"",ROUND(IF($F54="",0,$F54)+IF($J54="",0,$J54)+IF($N54="",0,$N54),2))</f>
        <v/>
      </c>
    </row>
    <row r="55" ht="18" customHeight="1">
      <c r="A55" s="83" t="n"/>
      <c r="B55" s="72">
        <f>IF(OR($C55="",$A$13="",$A$13=0),"",$C55/$A$13)</f>
        <v/>
      </c>
      <c r="C55" s="76" t="n"/>
      <c r="D55" s="83" t="n"/>
      <c r="E55" s="78" t="n"/>
      <c r="F55" s="56">
        <f>IF(OR($B55="",$E55="",$D$45=""),"",ROUND($B55*$D$45*$E55,2))</f>
        <v/>
      </c>
      <c r="G55" s="84" t="n"/>
      <c r="H55" s="83" t="n"/>
      <c r="I55" s="78" t="n"/>
      <c r="J55" s="56">
        <f>IF(OR($B55="",$I55="",$D$45=""),"",ROUND($B55*$D$45*$I55,2))</f>
        <v/>
      </c>
      <c r="K55" s="84" t="n"/>
      <c r="L55" s="83" t="n"/>
      <c r="M55" s="78" t="n"/>
      <c r="N55" s="56">
        <f>IF(OR($B55="",$M55="",$D$45=""),"",ROUND($B55*$D$45*$M55,2))</f>
        <v/>
      </c>
      <c r="O55" s="85">
        <f>IF(AND($F55="",$J55="",$N55=""),"",ROUND(IF($F55="",0,$F55)+IF($J55="",0,$J55)+IF($N55="",0,$N55),2))</f>
        <v/>
      </c>
    </row>
    <row r="56" ht="18" customHeight="1">
      <c r="A56" s="83" t="n"/>
      <c r="B56" s="72">
        <f>IF(OR($C56="",$A$13="",$A$13=0),"",$C56/$A$13)</f>
        <v/>
      </c>
      <c r="C56" s="76" t="n"/>
      <c r="D56" s="83" t="n"/>
      <c r="E56" s="78" t="n"/>
      <c r="F56" s="56">
        <f>IF(OR($B56="",$E56="",$D$45=""),"",ROUND($B56*$D$45*$E56,2))</f>
        <v/>
      </c>
      <c r="G56" s="84" t="n"/>
      <c r="H56" s="83" t="n"/>
      <c r="I56" s="78" t="n"/>
      <c r="J56" s="56">
        <f>IF(OR($B56="",$I56="",$D$45=""),"",ROUND($B56*$D$45*$I56,2))</f>
        <v/>
      </c>
      <c r="K56" s="84" t="n"/>
      <c r="L56" s="83" t="n"/>
      <c r="M56" s="78" t="n"/>
      <c r="N56" s="56">
        <f>IF(OR($B56="",$M56="",$D$45=""),"",ROUND($B56*$D$45*$M56,2))</f>
        <v/>
      </c>
      <c r="O56" s="85">
        <f>IF(AND($F56="",$J56="",$N56=""),"",ROUND(IF($F56="",0,$F56)+IF($J56="",0,$J56)+IF($N56="",0,$N56),2))</f>
        <v/>
      </c>
    </row>
    <row r="57" ht="18" customHeight="1">
      <c r="A57" s="83" t="n"/>
      <c r="B57" s="72">
        <f>IF(OR($C57="",$A$13="",$A$13=0),"",$C57/$A$13)</f>
        <v/>
      </c>
      <c r="C57" s="76" t="n"/>
      <c r="D57" s="83" t="n"/>
      <c r="E57" s="78" t="n"/>
      <c r="F57" s="56">
        <f>IF(OR($B57="",$E57="",$D$45=""),"",ROUND($B57*$D$45*$E57,2))</f>
        <v/>
      </c>
      <c r="G57" s="84" t="n"/>
      <c r="H57" s="83" t="n"/>
      <c r="I57" s="78" t="n"/>
      <c r="J57" s="56">
        <f>IF(OR($B57="",$I57="",$D$45=""),"",ROUND($B57*$D$45*$I57,2))</f>
        <v/>
      </c>
      <c r="K57" s="84" t="n"/>
      <c r="L57" s="83" t="n"/>
      <c r="M57" s="78" t="n"/>
      <c r="N57" s="56">
        <f>IF(OR($B57="",$M57="",$D$45=""),"",ROUND($B57*$D$45*$M57,2))</f>
        <v/>
      </c>
      <c r="O57" s="85">
        <f>IF(AND($F57="",$J57="",$N57=""),"",ROUND(IF($F57="",0,$F57)+IF($J57="",0,$J57)+IF($N57="",0,$N57),2))</f>
        <v/>
      </c>
    </row>
    <row r="58" ht="18" customHeight="1">
      <c r="A58" s="83" t="n"/>
      <c r="B58" s="72">
        <f>IF(OR($C58="",$A$13="",$A$13=0),"",$C58/$A$13)</f>
        <v/>
      </c>
      <c r="C58" s="76" t="n"/>
      <c r="D58" s="83" t="n"/>
      <c r="E58" s="78" t="n"/>
      <c r="F58" s="56">
        <f>IF(OR($B58="",$E58="",$D$45=""),"",ROUND($B58*$D$45*$E58,2))</f>
        <v/>
      </c>
      <c r="G58" s="84" t="n"/>
      <c r="H58" s="83" t="n"/>
      <c r="I58" s="78" t="n"/>
      <c r="J58" s="56">
        <f>IF(OR($B58="",$I58="",$D$45=""),"",ROUND($B58*$D$45*$I58,2))</f>
        <v/>
      </c>
      <c r="K58" s="84" t="n"/>
      <c r="L58" s="83" t="n"/>
      <c r="M58" s="78" t="n"/>
      <c r="N58" s="56">
        <f>IF(OR($B58="",$M58="",$D$45=""),"",ROUND($B58*$D$45*$M58,2))</f>
        <v/>
      </c>
      <c r="O58" s="85">
        <f>IF(AND($F58="",$J58="",$N58=""),"",ROUND(IF($F58="",0,$F58)+IF($J58="",0,$J58)+IF($N58="",0,$N58),2))</f>
        <v/>
      </c>
    </row>
    <row r="59" ht="18" customHeight="1">
      <c r="A59" s="83" t="n"/>
      <c r="B59" s="72">
        <f>IF(OR($C59="",$A$13="",$A$13=0),"",$C59/$A$13)</f>
        <v/>
      </c>
      <c r="C59" s="76" t="n"/>
      <c r="D59" s="83" t="n"/>
      <c r="E59" s="78" t="n"/>
      <c r="F59" s="56">
        <f>IF(OR($B59="",$E59="",$D$45=""),"",ROUND($B59*$D$45*$E59,2))</f>
        <v/>
      </c>
      <c r="G59" s="84" t="n"/>
      <c r="H59" s="83" t="n"/>
      <c r="I59" s="78" t="n"/>
      <c r="J59" s="56">
        <f>IF(OR($B59="",$I59="",$D$45=""),"",ROUND($B59*$D$45*$I59,2))</f>
        <v/>
      </c>
      <c r="K59" s="84" t="n"/>
      <c r="L59" s="83" t="n"/>
      <c r="M59" s="78" t="n"/>
      <c r="N59" s="56">
        <f>IF(OR($B59="",$M59="",$D$45=""),"",ROUND($B59*$D$45*$M59,2))</f>
        <v/>
      </c>
      <c r="O59" s="85">
        <f>IF(AND($F59="",$J59="",$N59=""),"",ROUND(IF($F59="",0,$F59)+IF($J59="",0,$J59)+IF($N59="",0,$N59),2))</f>
        <v/>
      </c>
    </row>
    <row r="60" ht="18" customHeight="1">
      <c r="A60" s="83" t="n"/>
      <c r="B60" s="72">
        <f>IF(OR($C60="",$A$13="",$A$13=0),"",$C60/$A$13)</f>
        <v/>
      </c>
      <c r="C60" s="76" t="n"/>
      <c r="D60" s="83" t="n"/>
      <c r="E60" s="78" t="n"/>
      <c r="F60" s="56">
        <f>IF(OR($B60="",$E60="",$D$45=""),"",ROUND($B60*$D$45*$E60,2))</f>
        <v/>
      </c>
      <c r="G60" s="84" t="n"/>
      <c r="H60" s="83" t="n"/>
      <c r="I60" s="78" t="n"/>
      <c r="J60" s="56">
        <f>IF(OR($B60="",$I60="",$D$45=""),"",ROUND($B60*$D$45*$I60,2))</f>
        <v/>
      </c>
      <c r="K60" s="84" t="n"/>
      <c r="L60" s="83" t="n"/>
      <c r="M60" s="78" t="n"/>
      <c r="N60" s="56">
        <f>IF(OR($B60="",$M60="",$D$45=""),"",ROUND($B60*$D$45*$M60,2))</f>
        <v/>
      </c>
      <c r="O60" s="85">
        <f>IF(AND($F60="",$J60="",$N60=""),"",ROUND(IF($F60="",0,$F60)+IF($J60="",0,$J60)+IF($N60="",0,$N60),2))</f>
        <v/>
      </c>
    </row>
    <row r="61" ht="20" customHeight="1">
      <c r="A61" s="31" t="inlineStr">
        <is>
          <t>SOMA DOS AMBIENTES</t>
        </is>
      </c>
      <c r="B61" s="62">
        <f>IF($A$13=0,"",$C$61/$A$13)</f>
        <v/>
      </c>
      <c r="C61" s="60">
        <f>ROUND(SUM(C49:C60),2)</f>
        <v/>
      </c>
      <c r="D61" s="86">
        <f>IF($C$61=0,"—",IF(ROUND($C$61-$A$13,2)=0,"OK · os ambientes somam o valor de venda","ATENÇÃO: diferença de "&amp;TEXT($C$61-$A$13,"R$ #,##0.00")))</f>
        <v/>
      </c>
      <c r="E61" s="32" t="n"/>
      <c r="F61" s="60">
        <f>ROUND(SUM(F49:F60),2)</f>
        <v/>
      </c>
      <c r="G61" s="32" t="n"/>
      <c r="H61" s="32" t="n"/>
      <c r="I61" s="32" t="n"/>
      <c r="J61" s="60">
        <f>ROUND(SUM(J49:J60),2)</f>
        <v/>
      </c>
      <c r="K61" s="32" t="n"/>
      <c r="L61" s="32" t="n"/>
      <c r="M61" s="32" t="n"/>
      <c r="N61" s="60">
        <f>ROUND(SUM(N49:N60),2)</f>
        <v/>
      </c>
      <c r="O61" s="60">
        <f>ROUND(SUM(O49:O60),2)</f>
        <v/>
      </c>
    </row>
    <row r="62" ht="8" customHeight="1"/>
    <row r="63" ht="20" customHeight="1">
      <c r="A63" s="8" t="inlineStr">
        <is>
          <t xml:space="preserve">  4 · COMISSÕES OPERACIONAIS          calculadas sobre a RECEITA LÍQUIDA · o realizado vem dos ambientes acima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</row>
    <row r="64" ht="26" customHeight="1">
      <c r="A64" s="19" t="inlineStr">
        <is>
          <t>Item</t>
        </is>
      </c>
      <c r="B64" s="19" t="inlineStr">
        <is>
          <t>%</t>
        </is>
      </c>
      <c r="C64" s="19" t="inlineStr">
        <is>
          <t>Orçado (R$)</t>
        </is>
      </c>
      <c r="D64" s="19" t="inlineStr">
        <is>
          <t>Realizado (R$)</t>
        </is>
      </c>
      <c r="E64" s="19" t="inlineStr">
        <is>
          <t>Desvio (R$)</t>
        </is>
      </c>
      <c r="F64" s="35" t="n"/>
      <c r="G64" s="19" t="inlineStr">
        <is>
          <t>% da venda</t>
        </is>
      </c>
      <c r="H64" s="19" t="inlineStr">
        <is>
          <t>Observação</t>
        </is>
      </c>
      <c r="I64" s="35" t="n"/>
      <c r="J64" s="35" t="n"/>
      <c r="K64" s="35" t="n"/>
      <c r="L64" s="35" t="n"/>
      <c r="M64" s="35" t="n"/>
      <c r="N64" s="35" t="n"/>
      <c r="O64" s="35" t="n"/>
    </row>
    <row r="65" ht="17" customHeight="1">
      <c r="A65" s="36" t="inlineStr">
        <is>
          <t>Coordenação de produção</t>
        </is>
      </c>
      <c r="B65" s="78" t="n"/>
      <c r="C65" s="56">
        <f>IF($B65="","",ROUND($B65*$C$45,2))</f>
        <v/>
      </c>
      <c r="D65" s="56">
        <f>IF($B65="","",ROUND($B65*$D$45,2))</f>
        <v/>
      </c>
      <c r="E65" s="56">
        <f>IF(OR($C65="",$D65=""),"",ROUND($D65-$C65,2))</f>
        <v/>
      </c>
      <c r="F65" s="38" t="n"/>
      <c r="G65" s="72">
        <f>IF(OR($D65="",$A$13="",$A$13=0),"",$D65/$A$13)</f>
        <v/>
      </c>
      <c r="H65" s="73" t="inlineStr">
        <is>
          <t>quem coordena está na identificação, no topo da ficha</t>
        </is>
      </c>
      <c r="I65" s="46" t="n"/>
      <c r="J65" s="46" t="n"/>
      <c r="K65" s="46" t="n"/>
      <c r="L65" s="46" t="n"/>
      <c r="M65" s="46" t="n"/>
      <c r="N65" s="46" t="n"/>
      <c r="O65" s="46" t="n"/>
    </row>
    <row r="66" ht="17" customHeight="1">
      <c r="A66" s="36" t="inlineStr">
        <is>
          <t>Gestão técnica</t>
        </is>
      </c>
      <c r="B66" s="78" t="n">
        <v>0.005</v>
      </c>
      <c r="C66" s="56">
        <f>IF($B66="","",ROUND($B66*$C$45,2))</f>
        <v/>
      </c>
      <c r="D66" s="56">
        <f>IF($B66="","",ROUND($B66*$D$45,2))</f>
        <v/>
      </c>
      <c r="E66" s="56">
        <f>IF(OR($C66="",$D66=""),"",ROUND($D66-$C66,2))</f>
        <v/>
      </c>
      <c r="F66" s="38" t="n"/>
      <c r="G66" s="72">
        <f>IF(OR($D66="",$A$13="",$A$13=0),"",$D66/$A$13)</f>
        <v/>
      </c>
      <c r="H66" s="73" t="n"/>
      <c r="I66" s="46" t="n"/>
      <c r="J66" s="46" t="n"/>
      <c r="K66" s="46" t="n"/>
      <c r="L66" s="46" t="n"/>
      <c r="M66" s="46" t="n"/>
      <c r="N66" s="46" t="n"/>
      <c r="O66" s="46" t="n"/>
    </row>
    <row r="67" ht="17" customHeight="1">
      <c r="A67" s="36" t="inlineStr">
        <is>
          <t>Comissão de produção</t>
        </is>
      </c>
      <c r="B67" s="78" t="n"/>
      <c r="C67" s="56">
        <f>IF($B67="","",ROUND($B67*$C$45,2))</f>
        <v/>
      </c>
      <c r="D67" s="56">
        <f>IF($F$61=0,"",$F$61)</f>
        <v/>
      </c>
      <c r="E67" s="56">
        <f>IF(OR($C67="",$D67=""),"",ROUND($D67-$C67,2))</f>
        <v/>
      </c>
      <c r="F67" s="38" t="n"/>
      <c r="G67" s="72">
        <f>IF(OR($D67="",$A$13="",$A$13=0),"",$D67/$A$13)</f>
        <v/>
      </c>
      <c r="H67" s="73" t="inlineStr">
        <is>
          <t>orçado = % único estimado · realizado = soma dos ambientes</t>
        </is>
      </c>
      <c r="I67" s="46" t="n"/>
      <c r="J67" s="46" t="n"/>
      <c r="K67" s="46" t="n"/>
      <c r="L67" s="46" t="n"/>
      <c r="M67" s="46" t="n"/>
      <c r="N67" s="46" t="n"/>
      <c r="O67" s="46" t="n"/>
    </row>
    <row r="68" ht="17" customHeight="1">
      <c r="A68" s="36" t="inlineStr">
        <is>
          <t>Comissão de montagem</t>
        </is>
      </c>
      <c r="B68" s="78" t="n"/>
      <c r="C68" s="56">
        <f>IF($B68="","",ROUND($B68*$C$45,2))</f>
        <v/>
      </c>
      <c r="D68" s="56">
        <f>IF($J$61=0,"",$J$61)</f>
        <v/>
      </c>
      <c r="E68" s="56">
        <f>IF(OR($C68="",$D68=""),"",ROUND($D68-$C68,2))</f>
        <v/>
      </c>
      <c r="F68" s="38" t="n"/>
      <c r="G68" s="72">
        <f>IF(OR($D68="",$A$13="",$A$13=0),"",$D68/$A$13)</f>
        <v/>
      </c>
      <c r="H68" s="73" t="inlineStr">
        <is>
          <t>orçado = % único estimado · realizado = soma dos ambientes</t>
        </is>
      </c>
      <c r="I68" s="46" t="n"/>
      <c r="J68" s="46" t="n"/>
      <c r="K68" s="46" t="n"/>
      <c r="L68" s="46" t="n"/>
      <c r="M68" s="46" t="n"/>
      <c r="N68" s="46" t="n"/>
      <c r="O68" s="46" t="n"/>
    </row>
    <row r="69" ht="17" customHeight="1">
      <c r="A69" s="36" t="inlineStr">
        <is>
          <t>Comissão de projetista</t>
        </is>
      </c>
      <c r="B69" s="78" t="n"/>
      <c r="C69" s="56">
        <f>IF($B69="","",ROUND($B69*$C$45,2))</f>
        <v/>
      </c>
      <c r="D69" s="56">
        <f>IF($N$61=0,"",$N$61)</f>
        <v/>
      </c>
      <c r="E69" s="56">
        <f>IF(OR($C69="",$D69=""),"",ROUND($D69-$C69,2))</f>
        <v/>
      </c>
      <c r="F69" s="38" t="n"/>
      <c r="G69" s="72">
        <f>IF(OR($D69="",$A$13="",$A$13=0),"",$D69/$A$13)</f>
        <v/>
      </c>
      <c r="H69" s="73" t="inlineStr">
        <is>
          <t>quem projetou cada ambiente está na coluna L do bloco 3</t>
        </is>
      </c>
      <c r="I69" s="46" t="n"/>
      <c r="J69" s="46" t="n"/>
      <c r="K69" s="46" t="n"/>
      <c r="L69" s="46" t="n"/>
      <c r="M69" s="46" t="n"/>
      <c r="N69" s="46" t="n"/>
      <c r="O69" s="46" t="n"/>
    </row>
    <row r="70" ht="20" customHeight="1">
      <c r="A70" s="31" t="inlineStr">
        <is>
          <t>(=) SUBTOTAL DAS COMISSÕES</t>
        </is>
      </c>
      <c r="B70" s="32" t="n"/>
      <c r="C70" s="60">
        <f>ROUND(SUM(C65:C69),2)</f>
        <v/>
      </c>
      <c r="D70" s="60">
        <f>ROUND(SUM(D65:D69),2)</f>
        <v/>
      </c>
      <c r="E70" s="60">
        <f>ROUND($D70-$C70,2)</f>
        <v/>
      </c>
      <c r="F70" s="32" t="n"/>
      <c r="G70" s="62">
        <f>IF(OR($A$13="",$A$13=0),"",$D70/$A$13)</f>
        <v/>
      </c>
      <c r="H70" s="32" t="n"/>
      <c r="I70" s="32" t="n"/>
      <c r="J70" s="32" t="n"/>
      <c r="K70" s="32" t="n"/>
      <c r="L70" s="32" t="n"/>
      <c r="M70" s="32" t="n"/>
      <c r="N70" s="32" t="n"/>
      <c r="O70" s="32" t="n"/>
    </row>
    <row r="71" ht="8" customHeight="1"/>
    <row r="72" ht="20" customHeight="1">
      <c r="A72" s="8" t="inlineStr">
        <is>
          <t xml:space="preserve">  5 · COMISSÕES POR COLABORADOR          consolidado automático — quem produziu, quem montou, quem projetou e o coordenador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</row>
    <row r="73" ht="26" customHeight="1">
      <c r="A73" s="19" t="inlineStr">
        <is>
          <t>Colaborador</t>
        </is>
      </c>
      <c r="B73" s="19" t="inlineStr">
        <is>
          <t>Produção (R$)</t>
        </is>
      </c>
      <c r="C73" s="35" t="n"/>
      <c r="D73" s="19" t="inlineStr">
        <is>
          <t>Montagem (R$)</t>
        </is>
      </c>
      <c r="E73" s="35" t="n"/>
      <c r="F73" s="19" t="inlineStr">
        <is>
          <t>Projeto (R$)</t>
        </is>
      </c>
      <c r="G73" s="35" t="n"/>
      <c r="H73" s="19" t="inlineStr">
        <is>
          <t>Coordenação / Gestão técnica (R$)</t>
        </is>
      </c>
      <c r="I73" s="35" t="n"/>
      <c r="J73" s="19" t="inlineStr">
        <is>
          <t>Total no projeto (R$)</t>
        </is>
      </c>
      <c r="K73" s="35" t="n"/>
      <c r="L73" s="35" t="n"/>
      <c r="M73" s="35" t="n"/>
    </row>
    <row r="74" ht="17" customHeight="1">
      <c r="A74" s="87" t="inlineStr">
        <is>
          <t>Deivison</t>
        </is>
      </c>
      <c r="B74" s="56">
        <f>IF($A74="","",ROUND(SUMIF($D$49:$D$60,$A74,$F$49:$F$60),2))</f>
        <v/>
      </c>
      <c r="C74" s="38" t="n"/>
      <c r="D74" s="56">
        <f>IF($A74="","",ROUND(SUMIF($H$49:$H$60,$A74,$J$49:$J$60),2))</f>
        <v/>
      </c>
      <c r="E74" s="38" t="n"/>
      <c r="F74" s="56">
        <f>IF($A74="","",ROUND(SUMIF($L$49:$L$60,$A74,$N$49:$N$60),2))</f>
        <v/>
      </c>
      <c r="G74" s="38" t="n"/>
      <c r="H74" s="56">
        <f>IF($A74="","",IF($A74=$F$9,IF($D$65="",0,$D$65),0)+IF($A74=$H$66,IF($D$66="",0,$D$66),0))</f>
        <v/>
      </c>
      <c r="I74" s="38" t="n"/>
      <c r="J74" s="88">
        <f>IF($A74="","",ROUND($B74+$D74+$F74+$H74,2))</f>
        <v/>
      </c>
      <c r="K74" s="38" t="n"/>
      <c r="L74" s="38" t="n"/>
      <c r="M74" s="38" t="n"/>
    </row>
    <row r="75" ht="17" customHeight="1">
      <c r="A75" s="87" t="inlineStr">
        <is>
          <t>Ronald</t>
        </is>
      </c>
      <c r="B75" s="56">
        <f>IF($A75="","",ROUND(SUMIF($D$49:$D$60,$A75,$F$49:$F$60),2))</f>
        <v/>
      </c>
      <c r="C75" s="38" t="n"/>
      <c r="D75" s="56">
        <f>IF($A75="","",ROUND(SUMIF($H$49:$H$60,$A75,$J$49:$J$60),2))</f>
        <v/>
      </c>
      <c r="E75" s="38" t="n"/>
      <c r="F75" s="56">
        <f>IF($A75="","",ROUND(SUMIF($L$49:$L$60,$A75,$N$49:$N$60),2))</f>
        <v/>
      </c>
      <c r="G75" s="38" t="n"/>
      <c r="H75" s="56">
        <f>IF($A75="","",IF($A75=$F$9,IF($D$65="",0,$D$65),0)+IF($A75=$H$66,IF($D$66="",0,$D$66),0))</f>
        <v/>
      </c>
      <c r="I75" s="38" t="n"/>
      <c r="J75" s="88">
        <f>IF($A75="","",ROUND($B75+$D75+$F75+$H75,2))</f>
        <v/>
      </c>
      <c r="K75" s="38" t="n"/>
      <c r="L75" s="38" t="n"/>
      <c r="M75" s="38" t="n"/>
    </row>
    <row r="76" ht="17" customHeight="1">
      <c r="A76" s="87" t="inlineStr">
        <is>
          <t>Samuel</t>
        </is>
      </c>
      <c r="B76" s="56">
        <f>IF($A76="","",ROUND(SUMIF($D$49:$D$60,$A76,$F$49:$F$60),2))</f>
        <v/>
      </c>
      <c r="C76" s="38" t="n"/>
      <c r="D76" s="56">
        <f>IF($A76="","",ROUND(SUMIF($H$49:$H$60,$A76,$J$49:$J$60),2))</f>
        <v/>
      </c>
      <c r="E76" s="38" t="n"/>
      <c r="F76" s="56">
        <f>IF($A76="","",ROUND(SUMIF($L$49:$L$60,$A76,$N$49:$N$60),2))</f>
        <v/>
      </c>
      <c r="G76" s="38" t="n"/>
      <c r="H76" s="56">
        <f>IF($A76="","",IF($A76=$F$9,IF($D$65="",0,$D$65),0)+IF($A76=$H$66,IF($D$66="",0,$D$66),0))</f>
        <v/>
      </c>
      <c r="I76" s="38" t="n"/>
      <c r="J76" s="88">
        <f>IF($A76="","",ROUND($B76+$D76+$F76+$H76,2))</f>
        <v/>
      </c>
      <c r="K76" s="38" t="n"/>
      <c r="L76" s="38" t="n"/>
      <c r="M76" s="38" t="n"/>
    </row>
    <row r="77" ht="17" customHeight="1">
      <c r="A77" s="87" t="inlineStr">
        <is>
          <t>Cesar</t>
        </is>
      </c>
      <c r="B77" s="56">
        <f>IF($A77="","",ROUND(SUMIF($D$49:$D$60,$A77,$F$49:$F$60),2))</f>
        <v/>
      </c>
      <c r="C77" s="38" t="n"/>
      <c r="D77" s="56">
        <f>IF($A77="","",ROUND(SUMIF($H$49:$H$60,$A77,$J$49:$J$60),2))</f>
        <v/>
      </c>
      <c r="E77" s="38" t="n"/>
      <c r="F77" s="56">
        <f>IF($A77="","",ROUND(SUMIF($L$49:$L$60,$A77,$N$49:$N$60),2))</f>
        <v/>
      </c>
      <c r="G77" s="38" t="n"/>
      <c r="H77" s="56">
        <f>IF($A77="","",IF($A77=$F$9,IF($D$65="",0,$D$65),0)+IF($A77=$H$66,IF($D$66="",0,$D$66),0))</f>
        <v/>
      </c>
      <c r="I77" s="38" t="n"/>
      <c r="J77" s="88">
        <f>IF($A77="","",ROUND($B77+$D77+$F77+$H77,2))</f>
        <v/>
      </c>
      <c r="K77" s="38" t="n"/>
      <c r="L77" s="38" t="n"/>
      <c r="M77" s="38" t="n"/>
    </row>
    <row r="78" ht="17" customHeight="1">
      <c r="A78" s="87" t="inlineStr">
        <is>
          <t>Jhon</t>
        </is>
      </c>
      <c r="B78" s="56">
        <f>IF($A78="","",ROUND(SUMIF($D$49:$D$60,$A78,$F$49:$F$60),2))</f>
        <v/>
      </c>
      <c r="C78" s="38" t="n"/>
      <c r="D78" s="56">
        <f>IF($A78="","",ROUND(SUMIF($H$49:$H$60,$A78,$J$49:$J$60),2))</f>
        <v/>
      </c>
      <c r="E78" s="38" t="n"/>
      <c r="F78" s="56">
        <f>IF($A78="","",ROUND(SUMIF($L$49:$L$60,$A78,$N$49:$N$60),2))</f>
        <v/>
      </c>
      <c r="G78" s="38" t="n"/>
      <c r="H78" s="56">
        <f>IF($A78="","",IF($A78=$F$9,IF($D$65="",0,$D$65),0)+IF($A78=$H$66,IF($D$66="",0,$D$66),0))</f>
        <v/>
      </c>
      <c r="I78" s="38" t="n"/>
      <c r="J78" s="88">
        <f>IF($A78="","",ROUND($B78+$D78+$F78+$H78,2))</f>
        <v/>
      </c>
      <c r="K78" s="38" t="n"/>
      <c r="L78" s="38" t="n"/>
      <c r="M78" s="38" t="n"/>
    </row>
    <row r="79" ht="17" customHeight="1">
      <c r="A79" s="87" t="inlineStr">
        <is>
          <t>Joelson</t>
        </is>
      </c>
      <c r="B79" s="56">
        <f>IF($A79="","",ROUND(SUMIF($D$49:$D$60,$A79,$F$49:$F$60),2))</f>
        <v/>
      </c>
      <c r="C79" s="38" t="n"/>
      <c r="D79" s="56">
        <f>IF($A79="","",ROUND(SUMIF($H$49:$H$60,$A79,$J$49:$J$60),2))</f>
        <v/>
      </c>
      <c r="E79" s="38" t="n"/>
      <c r="F79" s="56">
        <f>IF($A79="","",ROUND(SUMIF($L$49:$L$60,$A79,$N$49:$N$60),2))</f>
        <v/>
      </c>
      <c r="G79" s="38" t="n"/>
      <c r="H79" s="56">
        <f>IF($A79="","",IF($A79=$F$9,IF($D$65="",0,$D$65),0)+IF($A79=$H$66,IF($D$66="",0,$D$66),0))</f>
        <v/>
      </c>
      <c r="I79" s="38" t="n"/>
      <c r="J79" s="88">
        <f>IF($A79="","",ROUND($B79+$D79+$F79+$H79,2))</f>
        <v/>
      </c>
      <c r="K79" s="38" t="n"/>
      <c r="L79" s="38" t="n"/>
      <c r="M79" s="38" t="n"/>
    </row>
    <row r="80" ht="17" customHeight="1">
      <c r="A80" s="87" t="inlineStr">
        <is>
          <t>Davi</t>
        </is>
      </c>
      <c r="B80" s="56">
        <f>IF($A80="","",ROUND(SUMIF($D$49:$D$60,$A80,$F$49:$F$60),2))</f>
        <v/>
      </c>
      <c r="C80" s="38" t="n"/>
      <c r="D80" s="56">
        <f>IF($A80="","",ROUND(SUMIF($H$49:$H$60,$A80,$J$49:$J$60),2))</f>
        <v/>
      </c>
      <c r="E80" s="38" t="n"/>
      <c r="F80" s="56">
        <f>IF($A80="","",ROUND(SUMIF($L$49:$L$60,$A80,$N$49:$N$60),2))</f>
        <v/>
      </c>
      <c r="G80" s="38" t="n"/>
      <c r="H80" s="56">
        <f>IF($A80="","",IF($A80=$F$9,IF($D$65="",0,$D$65),0)+IF($A80=$H$66,IF($D$66="",0,$D$66),0))</f>
        <v/>
      </c>
      <c r="I80" s="38" t="n"/>
      <c r="J80" s="88">
        <f>IF($A80="","",ROUND($B80+$D80+$F80+$H80,2))</f>
        <v/>
      </c>
      <c r="K80" s="38" t="n"/>
      <c r="L80" s="38" t="n"/>
      <c r="M80" s="38" t="n"/>
    </row>
    <row r="81" ht="17" customHeight="1">
      <c r="A81" s="87" t="inlineStr">
        <is>
          <t>Jomar</t>
        </is>
      </c>
      <c r="B81" s="56">
        <f>IF($A81="","",ROUND(SUMIF($D$49:$D$60,$A81,$F$49:$F$60),2))</f>
        <v/>
      </c>
      <c r="C81" s="38" t="n"/>
      <c r="D81" s="56">
        <f>IF($A81="","",ROUND(SUMIF($H$49:$H$60,$A81,$J$49:$J$60),2))</f>
        <v/>
      </c>
      <c r="E81" s="38" t="n"/>
      <c r="F81" s="56">
        <f>IF($A81="","",ROUND(SUMIF($L$49:$L$60,$A81,$N$49:$N$60),2))</f>
        <v/>
      </c>
      <c r="G81" s="38" t="n"/>
      <c r="H81" s="56">
        <f>IF($A81="","",IF($A81=$F$9,IF($D$65="",0,$D$65),0)+IF($A81=$H$66,IF($D$66="",0,$D$66),0))</f>
        <v/>
      </c>
      <c r="I81" s="38" t="n"/>
      <c r="J81" s="88">
        <f>IF($A81="","",ROUND($B81+$D81+$F81+$H81,2))</f>
        <v/>
      </c>
      <c r="K81" s="38" t="n"/>
      <c r="L81" s="38" t="n"/>
      <c r="M81" s="38" t="n"/>
    </row>
    <row r="82" ht="17" customHeight="1">
      <c r="A82" s="87" t="inlineStr">
        <is>
          <t>Bruno</t>
        </is>
      </c>
      <c r="B82" s="56">
        <f>IF($A82="","",ROUND(SUMIF($D$49:$D$60,$A82,$F$49:$F$60),2))</f>
        <v/>
      </c>
      <c r="C82" s="38" t="n"/>
      <c r="D82" s="56">
        <f>IF($A82="","",ROUND(SUMIF($H$49:$H$60,$A82,$J$49:$J$60),2))</f>
        <v/>
      </c>
      <c r="E82" s="38" t="n"/>
      <c r="F82" s="56">
        <f>IF($A82="","",ROUND(SUMIF($L$49:$L$60,$A82,$N$49:$N$60),2))</f>
        <v/>
      </c>
      <c r="G82" s="38" t="n"/>
      <c r="H82" s="56">
        <f>IF($A82="","",IF($A82=$F$9,IF($D$65="",0,$D$65),0)+IF($A82=$H$66,IF($D$66="",0,$D$66),0))</f>
        <v/>
      </c>
      <c r="I82" s="38" t="n"/>
      <c r="J82" s="88">
        <f>IF($A82="","",ROUND($B82+$D82+$F82+$H82,2))</f>
        <v/>
      </c>
      <c r="K82" s="38" t="n"/>
      <c r="L82" s="38" t="n"/>
      <c r="M82" s="38" t="n"/>
    </row>
    <row r="83" ht="17" customHeight="1">
      <c r="A83" s="87" t="inlineStr">
        <is>
          <t>Wallace</t>
        </is>
      </c>
      <c r="B83" s="56">
        <f>IF($A83="","",ROUND(SUMIF($D$49:$D$60,$A83,$F$49:$F$60),2))</f>
        <v/>
      </c>
      <c r="C83" s="38" t="n"/>
      <c r="D83" s="56">
        <f>IF($A83="","",ROUND(SUMIF($H$49:$H$60,$A83,$J$49:$J$60),2))</f>
        <v/>
      </c>
      <c r="E83" s="38" t="n"/>
      <c r="F83" s="56">
        <f>IF($A83="","",ROUND(SUMIF($L$49:$L$60,$A83,$N$49:$N$60),2))</f>
        <v/>
      </c>
      <c r="G83" s="38" t="n"/>
      <c r="H83" s="56">
        <f>IF($A83="","",IF($A83=$F$9,IF($D$65="",0,$D$65),0)+IF($A83=$H$66,IF($D$66="",0,$D$66),0))</f>
        <v/>
      </c>
      <c r="I83" s="38" t="n"/>
      <c r="J83" s="88">
        <f>IF($A83="","",ROUND($B83+$D83+$F83+$H83,2))</f>
        <v/>
      </c>
      <c r="K83" s="38" t="n"/>
      <c r="L83" s="38" t="n"/>
      <c r="M83" s="38" t="n"/>
    </row>
    <row r="84" ht="17" customHeight="1">
      <c r="A84" s="87" t="inlineStr">
        <is>
          <t>Douglas</t>
        </is>
      </c>
      <c r="B84" s="56">
        <f>IF($A84="","",ROUND(SUMIF($D$49:$D$60,$A84,$F$49:$F$60),2))</f>
        <v/>
      </c>
      <c r="C84" s="38" t="n"/>
      <c r="D84" s="56">
        <f>IF($A84="","",ROUND(SUMIF($H$49:$H$60,$A84,$J$49:$J$60),2))</f>
        <v/>
      </c>
      <c r="E84" s="38" t="n"/>
      <c r="F84" s="56">
        <f>IF($A84="","",ROUND(SUMIF($L$49:$L$60,$A84,$N$49:$N$60),2))</f>
        <v/>
      </c>
      <c r="G84" s="38" t="n"/>
      <c r="H84" s="56">
        <f>IF($A84="","",IF($A84=$F$9,IF($D$65="",0,$D$65),0)+IF($A84=$H$66,IF($D$66="",0,$D$66),0))</f>
        <v/>
      </c>
      <c r="I84" s="38" t="n"/>
      <c r="J84" s="88">
        <f>IF($A84="","",ROUND($B84+$D84+$F84+$H84,2))</f>
        <v/>
      </c>
      <c r="K84" s="38" t="n"/>
      <c r="L84" s="38" t="n"/>
      <c r="M84" s="38" t="n"/>
    </row>
    <row r="85" ht="17" customHeight="1">
      <c r="A85" s="87" t="inlineStr">
        <is>
          <t>Terceiro / avulso</t>
        </is>
      </c>
      <c r="B85" s="56">
        <f>IF($A85="","",ROUND(SUMIF($D$49:$D$60,$A85,$F$49:$F$60),2))</f>
        <v/>
      </c>
      <c r="C85" s="38" t="n"/>
      <c r="D85" s="56">
        <f>IF($A85="","",ROUND(SUMIF($H$49:$H$60,$A85,$J$49:$J$60),2))</f>
        <v/>
      </c>
      <c r="E85" s="38" t="n"/>
      <c r="F85" s="56">
        <f>IF($A85="","",ROUND(SUMIF($L$49:$L$60,$A85,$N$49:$N$60),2))</f>
        <v/>
      </c>
      <c r="G85" s="38" t="n"/>
      <c r="H85" s="56">
        <f>IF($A85="","",IF($A85=$F$9,IF($D$65="",0,$D$65),0)+IF($A85=$H$66,IF($D$66="",0,$D$66),0))</f>
        <v/>
      </c>
      <c r="I85" s="38" t="n"/>
      <c r="J85" s="88">
        <f>IF($A85="","",ROUND($B85+$D85+$F85+$H85,2))</f>
        <v/>
      </c>
      <c r="K85" s="38" t="n"/>
      <c r="L85" s="38" t="n"/>
      <c r="M85" s="38" t="n"/>
    </row>
    <row r="86" ht="17" customHeight="1">
      <c r="A86" s="87" t="inlineStr">
        <is>
          <t>Lorrane</t>
        </is>
      </c>
      <c r="B86" s="56">
        <f>IF($A86="","",ROUND(SUMIF($D$49:$D$60,$A86,$F$49:$F$60),2))</f>
        <v/>
      </c>
      <c r="C86" s="38" t="n"/>
      <c r="D86" s="56">
        <f>IF($A86="","",ROUND(SUMIF($H$49:$H$60,$A86,$J$49:$J$60),2))</f>
        <v/>
      </c>
      <c r="E86" s="38" t="n"/>
      <c r="F86" s="56">
        <f>IF($A86="","",ROUND(SUMIF($L$49:$L$60,$A86,$N$49:$N$60),2))</f>
        <v/>
      </c>
      <c r="G86" s="38" t="n"/>
      <c r="H86" s="56">
        <f>IF($A86="","",IF($A86=$F$9,IF($D$65="",0,$D$65),0)+IF($A86=$H$66,IF($D$66="",0,$D$66),0))</f>
        <v/>
      </c>
      <c r="I86" s="38" t="n"/>
      <c r="J86" s="88">
        <f>IF($A86="","",ROUND($B86+$D86+$F86+$H86,2))</f>
        <v/>
      </c>
      <c r="K86" s="38" t="n"/>
      <c r="L86" s="38" t="n"/>
      <c r="M86" s="38" t="n"/>
    </row>
    <row r="87" ht="17" customHeight="1">
      <c r="A87" s="87" t="inlineStr">
        <is>
          <t>Lucas</t>
        </is>
      </c>
      <c r="B87" s="56">
        <f>IF($A87="","",ROUND(SUMIF($D$49:$D$60,$A87,$F$49:$F$60),2))</f>
        <v/>
      </c>
      <c r="C87" s="38" t="n"/>
      <c r="D87" s="56">
        <f>IF($A87="","",ROUND(SUMIF($H$49:$H$60,$A87,$J$49:$J$60),2))</f>
        <v/>
      </c>
      <c r="E87" s="38" t="n"/>
      <c r="F87" s="56">
        <f>IF($A87="","",ROUND(SUMIF($L$49:$L$60,$A87,$N$49:$N$60),2))</f>
        <v/>
      </c>
      <c r="G87" s="38" t="n"/>
      <c r="H87" s="56">
        <f>IF($A87="","",IF($A87=$F$9,IF($D$65="",0,$D$65),0)+IF($A87=$H$66,IF($D$66="",0,$D$66),0))</f>
        <v/>
      </c>
      <c r="I87" s="38" t="n"/>
      <c r="J87" s="88">
        <f>IF($A87="","",ROUND($B87+$D87+$F87+$H87,2))</f>
        <v/>
      </c>
      <c r="K87" s="38" t="n"/>
      <c r="L87" s="38" t="n"/>
      <c r="M87" s="38" t="n"/>
    </row>
    <row r="88" ht="17" customHeight="1">
      <c r="A88" s="87" t="inlineStr">
        <is>
          <t>Externo / avulso</t>
        </is>
      </c>
      <c r="B88" s="56">
        <f>IF($A88="","",ROUND(SUMIF($D$49:$D$60,$A88,$F$49:$F$60),2))</f>
        <v/>
      </c>
      <c r="C88" s="38" t="n"/>
      <c r="D88" s="56">
        <f>IF($A88="","",ROUND(SUMIF($H$49:$H$60,$A88,$J$49:$J$60),2))</f>
        <v/>
      </c>
      <c r="E88" s="38" t="n"/>
      <c r="F88" s="56">
        <f>IF($A88="","",ROUND(SUMIF($L$49:$L$60,$A88,$N$49:$N$60),2))</f>
        <v/>
      </c>
      <c r="G88" s="38" t="n"/>
      <c r="H88" s="56">
        <f>IF($A88="","",IF($A88=$F$9,IF($D$65="",0,$D$65),0)+IF($A88=$H$66,IF($D$66="",0,$D$66),0))</f>
        <v/>
      </c>
      <c r="I88" s="38" t="n"/>
      <c r="J88" s="88">
        <f>IF($A88="","",ROUND($B88+$D88+$F88+$H88,2))</f>
        <v/>
      </c>
      <c r="K88" s="38" t="n"/>
      <c r="L88" s="38" t="n"/>
      <c r="M88" s="38" t="n"/>
    </row>
    <row r="89" ht="17" customHeight="1">
      <c r="A89" s="87" t="inlineStr">
        <is>
          <t>Bruna</t>
        </is>
      </c>
      <c r="B89" s="56">
        <f>IF($A89="","",ROUND(SUMIF($D$49:$D$60,$A89,$F$49:$F$60),2))</f>
        <v/>
      </c>
      <c r="C89" s="38" t="n"/>
      <c r="D89" s="56">
        <f>IF($A89="","",ROUND(SUMIF($H$49:$H$60,$A89,$J$49:$J$60),2))</f>
        <v/>
      </c>
      <c r="E89" s="38" t="n"/>
      <c r="F89" s="56">
        <f>IF($A89="","",ROUND(SUMIF($L$49:$L$60,$A89,$N$49:$N$60),2))</f>
        <v/>
      </c>
      <c r="G89" s="38" t="n"/>
      <c r="H89" s="56">
        <f>IF($A89="","",IF($A89=$F$9,IF($D$65="",0,$D$65),0)+IF($A89=$H$66,IF($D$66="",0,$D$66),0))</f>
        <v/>
      </c>
      <c r="I89" s="38" t="n"/>
      <c r="J89" s="88">
        <f>IF($A89="","",ROUND($B89+$D89+$F89+$H89,2))</f>
        <v/>
      </c>
      <c r="K89" s="38" t="n"/>
      <c r="L89" s="38" t="n"/>
      <c r="M89" s="38" t="n"/>
    </row>
    <row r="90" ht="17" customHeight="1">
      <c r="A90" s="87" t="n"/>
      <c r="B90" s="56">
        <f>IF($A90="","",ROUND(SUMIF($D$49:$D$60,$A90,$F$49:$F$60),2))</f>
        <v/>
      </c>
      <c r="C90" s="38" t="n"/>
      <c r="D90" s="56">
        <f>IF($A90="","",ROUND(SUMIF($H$49:$H$60,$A90,$J$49:$J$60),2))</f>
        <v/>
      </c>
      <c r="E90" s="38" t="n"/>
      <c r="F90" s="56">
        <f>IF($A90="","",ROUND(SUMIF($L$49:$L$60,$A90,$N$49:$N$60),2))</f>
        <v/>
      </c>
      <c r="G90" s="38" t="n"/>
      <c r="H90" s="56">
        <f>IF($A90="","",IF($A90=$F$9,IF($D$65="",0,$D$65),0)+IF($A90=$H$66,IF($D$66="",0,$D$66),0))</f>
        <v/>
      </c>
      <c r="I90" s="38" t="n"/>
      <c r="J90" s="88">
        <f>IF($A90="","",ROUND($B90+$D90+$F90+$H90,2))</f>
        <v/>
      </c>
      <c r="K90" s="38" t="n"/>
      <c r="L90" s="38" t="n"/>
      <c r="M90" s="38" t="n"/>
    </row>
    <row r="91" ht="17" customHeight="1">
      <c r="A91" s="87" t="n"/>
      <c r="B91" s="56">
        <f>IF($A91="","",ROUND(SUMIF($D$49:$D$60,$A91,$F$49:$F$60),2))</f>
        <v/>
      </c>
      <c r="C91" s="38" t="n"/>
      <c r="D91" s="56">
        <f>IF($A91="","",ROUND(SUMIF($H$49:$H$60,$A91,$J$49:$J$60),2))</f>
        <v/>
      </c>
      <c r="E91" s="38" t="n"/>
      <c r="F91" s="56">
        <f>IF($A91="","",ROUND(SUMIF($L$49:$L$60,$A91,$N$49:$N$60),2))</f>
        <v/>
      </c>
      <c r="G91" s="38" t="n"/>
      <c r="H91" s="56">
        <f>IF($A91="","",IF($A91=$F$9,IF($D$65="",0,$D$65),0)+IF($A91=$H$66,IF($D$66="",0,$D$66),0))</f>
        <v/>
      </c>
      <c r="I91" s="38" t="n"/>
      <c r="J91" s="88">
        <f>IF($A91="","",ROUND($B91+$D91+$F91+$H91,2))</f>
        <v/>
      </c>
      <c r="K91" s="38" t="n"/>
      <c r="L91" s="38" t="n"/>
      <c r="M91" s="38" t="n"/>
    </row>
    <row r="92" ht="20" customHeight="1">
      <c r="A92" s="31" t="inlineStr">
        <is>
          <t>TOTAL</t>
        </is>
      </c>
      <c r="B92" s="60">
        <f>ROUND(SUM(B74:B91),2)</f>
        <v/>
      </c>
      <c r="C92" s="32" t="n"/>
      <c r="D92" s="60">
        <f>ROUND(SUM(D74:D91),2)</f>
        <v/>
      </c>
      <c r="E92" s="32" t="n"/>
      <c r="F92" s="60">
        <f>ROUND(SUM(F74:F91),2)</f>
        <v/>
      </c>
      <c r="G92" s="32" t="n"/>
      <c r="H92" s="60">
        <f>ROUND(SUM(H74:H91),2)</f>
        <v/>
      </c>
      <c r="I92" s="32" t="n"/>
      <c r="J92" s="60">
        <f>ROUND(SUM(J74:J91),2)</f>
        <v/>
      </c>
      <c r="K92" s="32" t="n"/>
      <c r="L92" s="32" t="n"/>
      <c r="M92" s="32" t="n"/>
    </row>
    <row r="93" ht="8" customHeight="1"/>
    <row r="94" ht="20" customHeight="1">
      <c r="A94" s="8" t="inlineStr">
        <is>
          <t xml:space="preserve">  6 · MATERIAL, TERCEIRIZADOS E LOGÍSTICA          o orçado você digita · o realizado vem sozinho do livro de lançamentos, lá no fim da ficha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</row>
    <row r="95" ht="30" customHeight="1">
      <c r="A95" s="19" t="inlineStr">
        <is>
          <t>Categoria</t>
        </is>
      </c>
      <c r="B95" s="19" t="inlineStr"/>
      <c r="C95" s="19" t="inlineStr">
        <is>
          <t>Orçado (R$)</t>
        </is>
      </c>
      <c r="D95" s="19" t="inlineStr">
        <is>
          <t>Realizado (R$)</t>
        </is>
      </c>
      <c r="E95" s="19" t="inlineStr">
        <is>
          <t>Desvio (R$)</t>
        </is>
      </c>
      <c r="F95" s="35" t="n"/>
      <c r="G95" s="19" t="inlineStr">
        <is>
          <t>Ainda a comprar</t>
        </is>
      </c>
      <c r="H95" s="19" t="inlineStr">
        <is>
          <t>Comprado, ainda a pagar</t>
        </is>
      </c>
      <c r="I95" s="35" t="n"/>
      <c r="J95" s="35" t="n"/>
      <c r="K95" s="35" t="n"/>
      <c r="L95" s="35" t="n"/>
      <c r="M95" s="35" t="n"/>
      <c r="N95" s="35" t="n"/>
      <c r="O95" s="35" t="n"/>
    </row>
    <row r="96" ht="17" customHeight="1">
      <c r="A96" s="36" t="inlineStr">
        <is>
          <t>MDF e MDP</t>
        </is>
      </c>
      <c r="B96" s="37" t="n"/>
      <c r="C96" s="71" t="n"/>
      <c r="D96" s="56">
        <f>ROUND(SUMIFS($E$134:$E$193,$B$134:$B$193,$A96,$I$134:$I$193,"Comprado (a pagar)")+SUMIFS($E$134:$E$193,$B$134:$B$193,$A96,$I$134:$I$193,"Pago"),2)</f>
        <v/>
      </c>
      <c r="E96" s="56">
        <f>IF($C96="","",ROUND($D96-$C96,2))</f>
        <v/>
      </c>
      <c r="F96" s="38" t="n"/>
      <c r="G96" s="89">
        <f>ROUND(SUMIFS($E$134:$E$193,$B$134:$B$193,$A96,$I$134:$I$193,"A comprar"),2)</f>
        <v/>
      </c>
      <c r="H96" s="90">
        <f>ROUND(SUMIFS($E$134:$E$193,$B$134:$B$193,$A96,$I$134:$I$193,"Comprado (a pagar)"),2)</f>
        <v/>
      </c>
      <c r="I96" s="38" t="n"/>
      <c r="J96" s="38" t="n"/>
      <c r="K96" s="38" t="n"/>
      <c r="L96" s="38" t="n"/>
      <c r="M96" s="38" t="n"/>
      <c r="N96" s="38" t="n"/>
      <c r="O96" s="38" t="n"/>
    </row>
    <row r="97" ht="17" customHeight="1">
      <c r="A97" s="36" t="inlineStr">
        <is>
          <t>Fita de borda</t>
        </is>
      </c>
      <c r="B97" s="37" t="n"/>
      <c r="C97" s="71" t="n"/>
      <c r="D97" s="56">
        <f>ROUND(SUMIFS($E$134:$E$193,$B$134:$B$193,$A97,$I$134:$I$193,"Comprado (a pagar)")+SUMIFS($E$134:$E$193,$B$134:$B$193,$A97,$I$134:$I$193,"Pago"),2)</f>
        <v/>
      </c>
      <c r="E97" s="56">
        <f>IF($C97="","",ROUND($D97-$C97,2))</f>
        <v/>
      </c>
      <c r="F97" s="38" t="n"/>
      <c r="G97" s="89">
        <f>ROUND(SUMIFS($E$134:$E$193,$B$134:$B$193,$A97,$I$134:$I$193,"A comprar"),2)</f>
        <v/>
      </c>
      <c r="H97" s="90">
        <f>ROUND(SUMIFS($E$134:$E$193,$B$134:$B$193,$A97,$I$134:$I$193,"Comprado (a pagar)"),2)</f>
        <v/>
      </c>
      <c r="I97" s="38" t="n"/>
      <c r="J97" s="38" t="n"/>
      <c r="K97" s="38" t="n"/>
      <c r="L97" s="38" t="n"/>
      <c r="M97" s="38" t="n"/>
      <c r="N97" s="38" t="n"/>
      <c r="O97" s="38" t="n"/>
    </row>
    <row r="98" ht="17" customHeight="1">
      <c r="A98" s="36" t="inlineStr">
        <is>
          <t>Ferragens</t>
        </is>
      </c>
      <c r="B98" s="37" t="n"/>
      <c r="C98" s="71" t="n"/>
      <c r="D98" s="56">
        <f>ROUND(SUMIFS($E$134:$E$193,$B$134:$B$193,$A98,$I$134:$I$193,"Comprado (a pagar)")+SUMIFS($E$134:$E$193,$B$134:$B$193,$A98,$I$134:$I$193,"Pago"),2)</f>
        <v/>
      </c>
      <c r="E98" s="56">
        <f>IF($C98="","",ROUND($D98-$C98,2))</f>
        <v/>
      </c>
      <c r="F98" s="38" t="n"/>
      <c r="G98" s="89">
        <f>ROUND(SUMIFS($E$134:$E$193,$B$134:$B$193,$A98,$I$134:$I$193,"A comprar"),2)</f>
        <v/>
      </c>
      <c r="H98" s="90">
        <f>ROUND(SUMIFS($E$134:$E$193,$B$134:$B$193,$A98,$I$134:$I$193,"Comprado (a pagar)"),2)</f>
        <v/>
      </c>
      <c r="I98" s="38" t="n"/>
      <c r="J98" s="38" t="n"/>
      <c r="K98" s="38" t="n"/>
      <c r="L98" s="38" t="n"/>
      <c r="M98" s="38" t="n"/>
      <c r="N98" s="38" t="n"/>
      <c r="O98" s="38" t="n"/>
    </row>
    <row r="99" ht="17" customHeight="1">
      <c r="A99" s="36" t="inlineStr">
        <is>
          <t>Vidros e espelhos</t>
        </is>
      </c>
      <c r="B99" s="37" t="n"/>
      <c r="C99" s="71" t="n"/>
      <c r="D99" s="56">
        <f>ROUND(SUMIFS($E$134:$E$193,$B$134:$B$193,$A99,$I$134:$I$193,"Comprado (a pagar)")+SUMIFS($E$134:$E$193,$B$134:$B$193,$A99,$I$134:$I$193,"Pago"),2)</f>
        <v/>
      </c>
      <c r="E99" s="56">
        <f>IF($C99="","",ROUND($D99-$C99,2))</f>
        <v/>
      </c>
      <c r="F99" s="38" t="n"/>
      <c r="G99" s="89">
        <f>ROUND(SUMIFS($E$134:$E$193,$B$134:$B$193,$A99,$I$134:$I$193,"A comprar"),2)</f>
        <v/>
      </c>
      <c r="H99" s="90">
        <f>ROUND(SUMIFS($E$134:$E$193,$B$134:$B$193,$A99,$I$134:$I$193,"Comprado (a pagar)"),2)</f>
        <v/>
      </c>
      <c r="I99" s="38" t="n"/>
      <c r="J99" s="38" t="n"/>
      <c r="K99" s="38" t="n"/>
      <c r="L99" s="38" t="n"/>
      <c r="M99" s="38" t="n"/>
      <c r="N99" s="38" t="n"/>
      <c r="O99" s="38" t="n"/>
    </row>
    <row r="100" ht="17" customHeight="1">
      <c r="A100" s="36" t="inlineStr">
        <is>
          <t>Esquadrias</t>
        </is>
      </c>
      <c r="B100" s="37" t="n"/>
      <c r="C100" s="71" t="n"/>
      <c r="D100" s="56">
        <f>ROUND(SUMIFS($E$134:$E$193,$B$134:$B$193,$A100,$I$134:$I$193,"Comprado (a pagar)")+SUMIFS($E$134:$E$193,$B$134:$B$193,$A100,$I$134:$I$193,"Pago"),2)</f>
        <v/>
      </c>
      <c r="E100" s="56">
        <f>IF($C100="","",ROUND($D100-$C100,2))</f>
        <v/>
      </c>
      <c r="F100" s="38" t="n"/>
      <c r="G100" s="89">
        <f>ROUND(SUMIFS($E$134:$E$193,$B$134:$B$193,$A100,$I$134:$I$193,"A comprar"),2)</f>
        <v/>
      </c>
      <c r="H100" s="90">
        <f>ROUND(SUMIFS($E$134:$E$193,$B$134:$B$193,$A100,$I$134:$I$193,"Comprado (a pagar)"),2)</f>
        <v/>
      </c>
      <c r="I100" s="38" t="n"/>
      <c r="J100" s="38" t="n"/>
      <c r="K100" s="38" t="n"/>
      <c r="L100" s="38" t="n"/>
      <c r="M100" s="38" t="n"/>
      <c r="N100" s="38" t="n"/>
      <c r="O100" s="38" t="n"/>
    </row>
    <row r="101" ht="17" customHeight="1">
      <c r="A101" s="36" t="inlineStr">
        <is>
          <t>Lâmina natural</t>
        </is>
      </c>
      <c r="B101" s="37" t="n"/>
      <c r="C101" s="71" t="n"/>
      <c r="D101" s="56">
        <f>ROUND(SUMIFS($E$134:$E$193,$B$134:$B$193,$A101,$I$134:$I$193,"Comprado (a pagar)")+SUMIFS($E$134:$E$193,$B$134:$B$193,$A101,$I$134:$I$193,"Pago"),2)</f>
        <v/>
      </c>
      <c r="E101" s="56">
        <f>IF($C101="","",ROUND($D101-$C101,2))</f>
        <v/>
      </c>
      <c r="F101" s="38" t="n"/>
      <c r="G101" s="89">
        <f>ROUND(SUMIFS($E$134:$E$193,$B$134:$B$193,$A101,$I$134:$I$193,"A comprar"),2)</f>
        <v/>
      </c>
      <c r="H101" s="90">
        <f>ROUND(SUMIFS($E$134:$E$193,$B$134:$B$193,$A101,$I$134:$I$193,"Comprado (a pagar)"),2)</f>
        <v/>
      </c>
      <c r="I101" s="38" t="n"/>
      <c r="J101" s="38" t="n"/>
      <c r="K101" s="38" t="n"/>
      <c r="L101" s="38" t="n"/>
      <c r="M101" s="38" t="n"/>
      <c r="N101" s="38" t="n"/>
      <c r="O101" s="38" t="n"/>
    </row>
    <row r="102" ht="17" customHeight="1">
      <c r="A102" s="36" t="inlineStr">
        <is>
          <t>Consumíveis</t>
        </is>
      </c>
      <c r="B102" s="37" t="n"/>
      <c r="C102" s="71" t="n"/>
      <c r="D102" s="56">
        <f>ROUND(SUMIFS($E$134:$E$193,$B$134:$B$193,$A102,$I$134:$I$193,"Comprado (a pagar)")+SUMIFS($E$134:$E$193,$B$134:$B$193,$A102,$I$134:$I$193,"Pago"),2)</f>
        <v/>
      </c>
      <c r="E102" s="56">
        <f>IF($C102="","",ROUND($D102-$C102,2))</f>
        <v/>
      </c>
      <c r="F102" s="38" t="n"/>
      <c r="G102" s="89">
        <f>ROUND(SUMIFS($E$134:$E$193,$B$134:$B$193,$A102,$I$134:$I$193,"A comprar"),2)</f>
        <v/>
      </c>
      <c r="H102" s="90">
        <f>ROUND(SUMIFS($E$134:$E$193,$B$134:$B$193,$A102,$I$134:$I$193,"Comprado (a pagar)"),2)</f>
        <v/>
      </c>
      <c r="I102" s="38" t="n"/>
      <c r="J102" s="38" t="n"/>
      <c r="K102" s="38" t="n"/>
      <c r="L102" s="38" t="n"/>
      <c r="M102" s="38" t="n"/>
      <c r="N102" s="38" t="n"/>
      <c r="O102" s="38" t="n"/>
    </row>
    <row r="103" ht="20" customHeight="1">
      <c r="A103" s="31" t="inlineStr">
        <is>
          <t>(=) SUBTOTAL · MATERIAL</t>
        </is>
      </c>
      <c r="B103" s="32" t="n"/>
      <c r="C103" s="60">
        <f>ROUND(SUM(C96:C102),2)</f>
        <v/>
      </c>
      <c r="D103" s="60">
        <f>ROUND(SUM(D96:D102),2)</f>
        <v/>
      </c>
      <c r="E103" s="60">
        <f>ROUND(SUM(E96:E102),2)</f>
        <v/>
      </c>
      <c r="F103" s="32" t="n"/>
      <c r="G103" s="60">
        <f>ROUND(SUM(G96:G102),2)</f>
        <v/>
      </c>
      <c r="H103" s="60">
        <f>ROUND(SUM(H96:H102),2)</f>
        <v/>
      </c>
      <c r="I103" s="32" t="n"/>
      <c r="J103" s="32" t="n"/>
      <c r="K103" s="32" t="n"/>
      <c r="L103" s="32" t="n"/>
      <c r="M103" s="32" t="n"/>
      <c r="N103" s="32" t="n"/>
      <c r="O103" s="32" t="n"/>
    </row>
    <row r="104" ht="17" customHeight="1">
      <c r="A104" s="36" t="inlineStr">
        <is>
          <t>Acabamento</t>
        </is>
      </c>
      <c r="B104" s="37" t="n"/>
      <c r="C104" s="71" t="n"/>
      <c r="D104" s="56">
        <f>ROUND(SUMIFS($E$134:$E$193,$B$134:$B$193,$A104,$I$134:$I$193,"Comprado (a pagar)")+SUMIFS($E$134:$E$193,$B$134:$B$193,$A104,$I$134:$I$193,"Pago"),2)</f>
        <v/>
      </c>
      <c r="E104" s="56">
        <f>IF($C104="","",ROUND($D104-$C104,2))</f>
        <v/>
      </c>
      <c r="F104" s="38" t="n"/>
      <c r="G104" s="89">
        <f>ROUND(SUMIFS($E$134:$E$193,$B$134:$B$193,$A104,$I$134:$I$193,"A comprar"),2)</f>
        <v/>
      </c>
      <c r="H104" s="90">
        <f>ROUND(SUMIFS($E$134:$E$193,$B$134:$B$193,$A104,$I$134:$I$193,"Comprado (a pagar)"),2)</f>
        <v/>
      </c>
      <c r="I104" s="38" t="n"/>
      <c r="J104" s="38" t="n"/>
      <c r="K104" s="38" t="n"/>
      <c r="L104" s="38" t="n"/>
      <c r="M104" s="38" t="n"/>
      <c r="N104" s="38" t="n"/>
      <c r="O104" s="38" t="n"/>
    </row>
    <row r="105" ht="17" customHeight="1">
      <c r="A105" s="36" t="inlineStr">
        <is>
          <t>Serralheria</t>
        </is>
      </c>
      <c r="B105" s="37" t="n"/>
      <c r="C105" s="71" t="n"/>
      <c r="D105" s="56">
        <f>ROUND(SUMIFS($E$134:$E$193,$B$134:$B$193,$A105,$I$134:$I$193,"Comprado (a pagar)")+SUMIFS($E$134:$E$193,$B$134:$B$193,$A105,$I$134:$I$193,"Pago"),2)</f>
        <v/>
      </c>
      <c r="E105" s="56">
        <f>IF($C105="","",ROUND($D105-$C105,2))</f>
        <v/>
      </c>
      <c r="F105" s="38" t="n"/>
      <c r="G105" s="89">
        <f>ROUND(SUMIFS($E$134:$E$193,$B$134:$B$193,$A105,$I$134:$I$193,"A comprar"),2)</f>
        <v/>
      </c>
      <c r="H105" s="90">
        <f>ROUND(SUMIFS($E$134:$E$193,$B$134:$B$193,$A105,$I$134:$I$193,"Comprado (a pagar)"),2)</f>
        <v/>
      </c>
      <c r="I105" s="38" t="n"/>
      <c r="J105" s="38" t="n"/>
      <c r="K105" s="38" t="n"/>
      <c r="L105" s="38" t="n"/>
      <c r="M105" s="38" t="n"/>
      <c r="N105" s="38" t="n"/>
      <c r="O105" s="38" t="n"/>
    </row>
    <row r="106" ht="17" customHeight="1">
      <c r="A106" s="36" t="inlineStr">
        <is>
          <t>Vidraceiro</t>
        </is>
      </c>
      <c r="B106" s="37" t="n"/>
      <c r="C106" s="71" t="n"/>
      <c r="D106" s="56">
        <f>ROUND(SUMIFS($E$134:$E$193,$B$134:$B$193,$A106,$I$134:$I$193,"Comprado (a pagar)")+SUMIFS($E$134:$E$193,$B$134:$B$193,$A106,$I$134:$I$193,"Pago"),2)</f>
        <v/>
      </c>
      <c r="E106" s="56">
        <f>IF($C106="","",ROUND($D106-$C106,2))</f>
        <v/>
      </c>
      <c r="F106" s="38" t="n"/>
      <c r="G106" s="89">
        <f>ROUND(SUMIFS($E$134:$E$193,$B$134:$B$193,$A106,$I$134:$I$193,"A comprar"),2)</f>
        <v/>
      </c>
      <c r="H106" s="90">
        <f>ROUND(SUMIFS($E$134:$E$193,$B$134:$B$193,$A106,$I$134:$I$193,"Comprado (a pagar)"),2)</f>
        <v/>
      </c>
      <c r="I106" s="38" t="n"/>
      <c r="J106" s="38" t="n"/>
      <c r="K106" s="38" t="n"/>
      <c r="L106" s="38" t="n"/>
      <c r="M106" s="38" t="n"/>
      <c r="N106" s="38" t="n"/>
      <c r="O106" s="38" t="n"/>
    </row>
    <row r="107" ht="17" customHeight="1">
      <c r="A107" s="36" t="inlineStr">
        <is>
          <t>Outro terceirizado</t>
        </is>
      </c>
      <c r="B107" s="37" t="n"/>
      <c r="C107" s="71" t="n"/>
      <c r="D107" s="56">
        <f>ROUND(SUMIFS($E$134:$E$193,$B$134:$B$193,$A107,$I$134:$I$193,"Comprado (a pagar)")+SUMIFS($E$134:$E$193,$B$134:$B$193,$A107,$I$134:$I$193,"Pago"),2)</f>
        <v/>
      </c>
      <c r="E107" s="56">
        <f>IF($C107="","",ROUND($D107-$C107,2))</f>
        <v/>
      </c>
      <c r="F107" s="38" t="n"/>
      <c r="G107" s="89">
        <f>ROUND(SUMIFS($E$134:$E$193,$B$134:$B$193,$A107,$I$134:$I$193,"A comprar"),2)</f>
        <v/>
      </c>
      <c r="H107" s="90">
        <f>ROUND(SUMIFS($E$134:$E$193,$B$134:$B$193,$A107,$I$134:$I$193,"Comprado (a pagar)"),2)</f>
        <v/>
      </c>
      <c r="I107" s="38" t="n"/>
      <c r="J107" s="38" t="n"/>
      <c r="K107" s="38" t="n"/>
      <c r="L107" s="38" t="n"/>
      <c r="M107" s="38" t="n"/>
      <c r="N107" s="38" t="n"/>
      <c r="O107" s="38" t="n"/>
    </row>
    <row r="108" ht="20" customHeight="1">
      <c r="A108" s="31" t="inlineStr">
        <is>
          <t>(=) SUBTOTAL · SERVIÇOS TERCEIRIZADOS</t>
        </is>
      </c>
      <c r="B108" s="32" t="n"/>
      <c r="C108" s="60">
        <f>ROUND(SUM(C104:C107),2)</f>
        <v/>
      </c>
      <c r="D108" s="60">
        <f>ROUND(SUM(D104:D107),2)</f>
        <v/>
      </c>
      <c r="E108" s="60">
        <f>ROUND(SUM(E104:E107),2)</f>
        <v/>
      </c>
      <c r="F108" s="32" t="n"/>
      <c r="G108" s="60">
        <f>ROUND(SUM(G104:G107),2)</f>
        <v/>
      </c>
      <c r="H108" s="60">
        <f>ROUND(SUM(H104:H107),2)</f>
        <v/>
      </c>
      <c r="I108" s="32" t="n"/>
      <c r="J108" s="32" t="n"/>
      <c r="K108" s="32" t="n"/>
      <c r="L108" s="32" t="n"/>
      <c r="M108" s="32" t="n"/>
      <c r="N108" s="32" t="n"/>
      <c r="O108" s="32" t="n"/>
    </row>
    <row r="109" ht="17" customHeight="1">
      <c r="A109" s="36" t="inlineStr">
        <is>
          <t>Uber e aplicativo</t>
        </is>
      </c>
      <c r="B109" s="37" t="n"/>
      <c r="C109" s="71" t="n"/>
      <c r="D109" s="56">
        <f>ROUND(SUMIFS($E$134:$E$193,$B$134:$B$193,$A109,$I$134:$I$193,"Comprado (a pagar)")+SUMIFS($E$134:$E$193,$B$134:$B$193,$A109,$I$134:$I$193,"Pago"),2)</f>
        <v/>
      </c>
      <c r="E109" s="56">
        <f>IF($C109="","",ROUND($D109-$C109,2))</f>
        <v/>
      </c>
      <c r="F109" s="38" t="n"/>
      <c r="G109" s="89">
        <f>ROUND(SUMIFS($E$134:$E$193,$B$134:$B$193,$A109,$I$134:$I$193,"A comprar"),2)</f>
        <v/>
      </c>
      <c r="H109" s="90">
        <f>ROUND(SUMIFS($E$134:$E$193,$B$134:$B$193,$A109,$I$134:$I$193,"Comprado (a pagar)"),2)</f>
        <v/>
      </c>
      <c r="I109" s="38" t="n"/>
      <c r="J109" s="38" t="n"/>
      <c r="K109" s="38" t="n"/>
      <c r="L109" s="38" t="n"/>
      <c r="M109" s="38" t="n"/>
      <c r="N109" s="38" t="n"/>
      <c r="O109" s="38" t="n"/>
    </row>
    <row r="110" ht="17" customHeight="1">
      <c r="A110" s="36" t="inlineStr">
        <is>
          <t>Carreto e entrega</t>
        </is>
      </c>
      <c r="B110" s="37" t="n"/>
      <c r="C110" s="71" t="n"/>
      <c r="D110" s="56">
        <f>ROUND(SUMIFS($E$134:$E$193,$B$134:$B$193,$A110,$I$134:$I$193,"Comprado (a pagar)")+SUMIFS($E$134:$E$193,$B$134:$B$193,$A110,$I$134:$I$193,"Pago"),2)</f>
        <v/>
      </c>
      <c r="E110" s="56">
        <f>IF($C110="","",ROUND($D110-$C110,2))</f>
        <v/>
      </c>
      <c r="F110" s="38" t="n"/>
      <c r="G110" s="89">
        <f>ROUND(SUMIFS($E$134:$E$193,$B$134:$B$193,$A110,$I$134:$I$193,"A comprar"),2)</f>
        <v/>
      </c>
      <c r="H110" s="90">
        <f>ROUND(SUMIFS($E$134:$E$193,$B$134:$B$193,$A110,$I$134:$I$193,"Comprado (a pagar)"),2)</f>
        <v/>
      </c>
      <c r="I110" s="38" t="n"/>
      <c r="J110" s="38" t="n"/>
      <c r="K110" s="38" t="n"/>
      <c r="L110" s="38" t="n"/>
      <c r="M110" s="38" t="n"/>
      <c r="N110" s="38" t="n"/>
      <c r="O110" s="38" t="n"/>
    </row>
    <row r="111" ht="17" customHeight="1">
      <c r="A111" s="36" t="inlineStr">
        <is>
          <t>Deslocamento da equipe</t>
        </is>
      </c>
      <c r="B111" s="37" t="n"/>
      <c r="C111" s="71" t="n"/>
      <c r="D111" s="56">
        <f>ROUND(SUMIFS($E$134:$E$193,$B$134:$B$193,$A111,$I$134:$I$193,"Comprado (a pagar)")+SUMIFS($E$134:$E$193,$B$134:$B$193,$A111,$I$134:$I$193,"Pago"),2)</f>
        <v/>
      </c>
      <c r="E111" s="56">
        <f>IF($C111="","",ROUND($D111-$C111,2))</f>
        <v/>
      </c>
      <c r="F111" s="38" t="n"/>
      <c r="G111" s="89">
        <f>ROUND(SUMIFS($E$134:$E$193,$B$134:$B$193,$A111,$I$134:$I$193,"A comprar"),2)</f>
        <v/>
      </c>
      <c r="H111" s="90">
        <f>ROUND(SUMIFS($E$134:$E$193,$B$134:$B$193,$A111,$I$134:$I$193,"Comprado (a pagar)"),2)</f>
        <v/>
      </c>
      <c r="I111" s="38" t="n"/>
      <c r="J111" s="38" t="n"/>
      <c r="K111" s="38" t="n"/>
      <c r="L111" s="38" t="n"/>
      <c r="M111" s="38" t="n"/>
      <c r="N111" s="38" t="n"/>
      <c r="O111" s="38" t="n"/>
    </row>
    <row r="112" ht="17" customHeight="1">
      <c r="A112" s="36" t="inlineStr">
        <is>
          <t>Frete de material</t>
        </is>
      </c>
      <c r="B112" s="37" t="n"/>
      <c r="C112" s="71" t="n"/>
      <c r="D112" s="56">
        <f>ROUND(SUMIFS($E$134:$E$193,$B$134:$B$193,$A112,$I$134:$I$193,"Comprado (a pagar)")+SUMIFS($E$134:$E$193,$B$134:$B$193,$A112,$I$134:$I$193,"Pago"),2)</f>
        <v/>
      </c>
      <c r="E112" s="56">
        <f>IF($C112="","",ROUND($D112-$C112,2))</f>
        <v/>
      </c>
      <c r="F112" s="38" t="n"/>
      <c r="G112" s="89">
        <f>ROUND(SUMIFS($E$134:$E$193,$B$134:$B$193,$A112,$I$134:$I$193,"A comprar"),2)</f>
        <v/>
      </c>
      <c r="H112" s="90">
        <f>ROUND(SUMIFS($E$134:$E$193,$B$134:$B$193,$A112,$I$134:$I$193,"Comprado (a pagar)"),2)</f>
        <v/>
      </c>
      <c r="I112" s="38" t="n"/>
      <c r="J112" s="38" t="n"/>
      <c r="K112" s="38" t="n"/>
      <c r="L112" s="38" t="n"/>
      <c r="M112" s="38" t="n"/>
      <c r="N112" s="38" t="n"/>
      <c r="O112" s="38" t="n"/>
    </row>
    <row r="113" ht="17" customHeight="1">
      <c r="A113" s="36" t="inlineStr">
        <is>
          <t>Estacionamento e pedágio</t>
        </is>
      </c>
      <c r="B113" s="37" t="n"/>
      <c r="C113" s="71" t="n"/>
      <c r="D113" s="56">
        <f>ROUND(SUMIFS($E$134:$E$193,$B$134:$B$193,$A113,$I$134:$I$193,"Comprado (a pagar)")+SUMIFS($E$134:$E$193,$B$134:$B$193,$A113,$I$134:$I$193,"Pago"),2)</f>
        <v/>
      </c>
      <c r="E113" s="56">
        <f>IF($C113="","",ROUND($D113-$C113,2))</f>
        <v/>
      </c>
      <c r="F113" s="38" t="n"/>
      <c r="G113" s="89">
        <f>ROUND(SUMIFS($E$134:$E$193,$B$134:$B$193,$A113,$I$134:$I$193,"A comprar"),2)</f>
        <v/>
      </c>
      <c r="H113" s="90">
        <f>ROUND(SUMIFS($E$134:$E$193,$B$134:$B$193,$A113,$I$134:$I$193,"Comprado (a pagar)"),2)</f>
        <v/>
      </c>
      <c r="I113" s="38" t="n"/>
      <c r="J113" s="38" t="n"/>
      <c r="K113" s="38" t="n"/>
      <c r="L113" s="38" t="n"/>
      <c r="M113" s="38" t="n"/>
      <c r="N113" s="38" t="n"/>
      <c r="O113" s="38" t="n"/>
    </row>
    <row r="114" ht="20" customHeight="1">
      <c r="A114" s="31" t="inlineStr">
        <is>
          <t>(=) SUBTOTAL · LOGÍSTICA</t>
        </is>
      </c>
      <c r="B114" s="32" t="n"/>
      <c r="C114" s="60">
        <f>ROUND(SUM(C109:C113),2)</f>
        <v/>
      </c>
      <c r="D114" s="60">
        <f>ROUND(SUM(D109:D113),2)</f>
        <v/>
      </c>
      <c r="E114" s="60">
        <f>ROUND(SUM(E109:E113),2)</f>
        <v/>
      </c>
      <c r="F114" s="32" t="n"/>
      <c r="G114" s="60">
        <f>ROUND(SUM(G109:G113),2)</f>
        <v/>
      </c>
      <c r="H114" s="60">
        <f>ROUND(SUM(H109:H113),2)</f>
        <v/>
      </c>
      <c r="I114" s="32" t="n"/>
      <c r="J114" s="32" t="n"/>
      <c r="K114" s="32" t="n"/>
      <c r="L114" s="32" t="n"/>
      <c r="M114" s="32" t="n"/>
      <c r="N114" s="32" t="n"/>
      <c r="O114" s="32" t="n"/>
    </row>
    <row r="115" ht="8" customHeight="1"/>
    <row r="116" ht="20" customHeight="1">
      <c r="A116" s="8" t="inlineStr">
        <is>
          <t xml:space="preserve">  7 · RETRABALHO          o que aconteceu, por que aconteceu e quanto custou — é aqui que o orçamento aprende</t>
        </is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</row>
    <row r="117" ht="26" customHeight="1">
      <c r="A117" s="19" t="inlineStr">
        <is>
          <t>O que aconteceu</t>
        </is>
      </c>
      <c r="B117" s="19" t="inlineStr">
        <is>
          <t>Causa</t>
        </is>
      </c>
      <c r="C117" s="35" t="n"/>
      <c r="D117" s="35" t="n"/>
      <c r="E117" s="19" t="inlineStr">
        <is>
          <t>Custo estimado (R$)</t>
        </is>
      </c>
      <c r="F117" s="35" t="n"/>
      <c r="G117" s="19" t="inlineStr">
        <is>
          <t>Providência / responsável</t>
        </is>
      </c>
      <c r="H117" s="35" t="n"/>
      <c r="I117" s="35" t="n"/>
      <c r="J117" s="35" t="n"/>
      <c r="K117" s="35" t="n"/>
      <c r="L117" s="35" t="n"/>
      <c r="M117" s="35" t="n"/>
      <c r="N117" s="35" t="n"/>
      <c r="O117" s="35" t="n"/>
    </row>
    <row r="118" ht="18" customHeight="1">
      <c r="A118" s="83" t="n"/>
      <c r="B118" s="83" t="n"/>
      <c r="C118" s="46" t="n"/>
      <c r="D118" s="46" t="n"/>
      <c r="E118" s="91" t="n"/>
      <c r="F118" s="46" t="n"/>
      <c r="G118" s="73" t="n"/>
      <c r="H118" s="46" t="n"/>
      <c r="I118" s="46" t="n"/>
      <c r="J118" s="46" t="n"/>
      <c r="K118" s="46" t="n"/>
      <c r="L118" s="46" t="n"/>
      <c r="M118" s="46" t="n"/>
      <c r="N118" s="46" t="n"/>
      <c r="O118" s="46" t="n"/>
    </row>
    <row r="119" ht="18" customHeight="1">
      <c r="A119" s="83" t="n"/>
      <c r="B119" s="83" t="n"/>
      <c r="C119" s="46" t="n"/>
      <c r="D119" s="46" t="n"/>
      <c r="E119" s="91" t="n"/>
      <c r="F119" s="46" t="n"/>
      <c r="G119" s="73" t="n"/>
      <c r="H119" s="46" t="n"/>
      <c r="I119" s="46" t="n"/>
      <c r="J119" s="46" t="n"/>
      <c r="K119" s="46" t="n"/>
      <c r="L119" s="46" t="n"/>
      <c r="M119" s="46" t="n"/>
      <c r="N119" s="46" t="n"/>
      <c r="O119" s="46" t="n"/>
    </row>
    <row r="120" ht="18" customHeight="1">
      <c r="A120" s="83" t="n"/>
      <c r="B120" s="83" t="n"/>
      <c r="C120" s="46" t="n"/>
      <c r="D120" s="46" t="n"/>
      <c r="E120" s="91" t="n"/>
      <c r="F120" s="46" t="n"/>
      <c r="G120" s="73" t="n"/>
      <c r="H120" s="46" t="n"/>
      <c r="I120" s="46" t="n"/>
      <c r="J120" s="46" t="n"/>
      <c r="K120" s="46" t="n"/>
      <c r="L120" s="46" t="n"/>
      <c r="M120" s="46" t="n"/>
      <c r="N120" s="46" t="n"/>
      <c r="O120" s="46" t="n"/>
    </row>
    <row r="121" ht="18" customHeight="1">
      <c r="A121" s="83" t="n"/>
      <c r="B121" s="83" t="n"/>
      <c r="C121" s="46" t="n"/>
      <c r="D121" s="46" t="n"/>
      <c r="E121" s="91" t="n"/>
      <c r="F121" s="46" t="n"/>
      <c r="G121" s="73" t="n"/>
      <c r="H121" s="46" t="n"/>
      <c r="I121" s="46" t="n"/>
      <c r="J121" s="46" t="n"/>
      <c r="K121" s="46" t="n"/>
      <c r="L121" s="46" t="n"/>
      <c r="M121" s="46" t="n"/>
      <c r="N121" s="46" t="n"/>
      <c r="O121" s="46" t="n"/>
    </row>
    <row r="122" ht="18" customHeight="1">
      <c r="A122" s="83" t="n"/>
      <c r="B122" s="83" t="n"/>
      <c r="C122" s="46" t="n"/>
      <c r="D122" s="46" t="n"/>
      <c r="E122" s="91" t="n"/>
      <c r="F122" s="46" t="n"/>
      <c r="G122" s="73" t="n"/>
      <c r="H122" s="46" t="n"/>
      <c r="I122" s="46" t="n"/>
      <c r="J122" s="46" t="n"/>
      <c r="K122" s="46" t="n"/>
      <c r="L122" s="46" t="n"/>
      <c r="M122" s="46" t="n"/>
      <c r="N122" s="46" t="n"/>
      <c r="O122" s="46" t="n"/>
    </row>
    <row r="123" ht="18" customHeight="1">
      <c r="A123" s="83" t="n"/>
      <c r="B123" s="83" t="n"/>
      <c r="C123" s="46" t="n"/>
      <c r="D123" s="46" t="n"/>
      <c r="E123" s="91" t="n"/>
      <c r="F123" s="46" t="n"/>
      <c r="G123" s="73" t="n"/>
      <c r="H123" s="46" t="n"/>
      <c r="I123" s="46" t="n"/>
      <c r="J123" s="46" t="n"/>
      <c r="K123" s="46" t="n"/>
      <c r="L123" s="46" t="n"/>
      <c r="M123" s="46" t="n"/>
      <c r="N123" s="46" t="n"/>
      <c r="O123" s="46" t="n"/>
    </row>
    <row r="124" ht="18" customHeight="1">
      <c r="A124" s="83" t="n"/>
      <c r="B124" s="83" t="n"/>
      <c r="C124" s="46" t="n"/>
      <c r="D124" s="46" t="n"/>
      <c r="E124" s="91" t="n"/>
      <c r="F124" s="46" t="n"/>
      <c r="G124" s="73" t="n"/>
      <c r="H124" s="46" t="n"/>
      <c r="I124" s="46" t="n"/>
      <c r="J124" s="46" t="n"/>
      <c r="K124" s="46" t="n"/>
      <c r="L124" s="46" t="n"/>
      <c r="M124" s="46" t="n"/>
      <c r="N124" s="46" t="n"/>
      <c r="O124" s="46" t="n"/>
    </row>
    <row r="125" ht="18" customHeight="1">
      <c r="A125" s="83" t="n"/>
      <c r="B125" s="83" t="n"/>
      <c r="C125" s="46" t="n"/>
      <c r="D125" s="46" t="n"/>
      <c r="E125" s="91" t="n"/>
      <c r="F125" s="46" t="n"/>
      <c r="G125" s="73" t="n"/>
      <c r="H125" s="46" t="n"/>
      <c r="I125" s="46" t="n"/>
      <c r="J125" s="46" t="n"/>
      <c r="K125" s="46" t="n"/>
      <c r="L125" s="46" t="n"/>
      <c r="M125" s="46" t="n"/>
      <c r="N125" s="46" t="n"/>
      <c r="O125" s="46" t="n"/>
    </row>
    <row r="126" ht="18" customHeight="1">
      <c r="A126" s="83" t="n"/>
      <c r="B126" s="83" t="n"/>
      <c r="C126" s="46" t="n"/>
      <c r="D126" s="46" t="n"/>
      <c r="E126" s="91" t="n"/>
      <c r="F126" s="46" t="n"/>
      <c r="G126" s="73" t="n"/>
      <c r="H126" s="46" t="n"/>
      <c r="I126" s="46" t="n"/>
      <c r="J126" s="46" t="n"/>
      <c r="K126" s="46" t="n"/>
      <c r="L126" s="46" t="n"/>
      <c r="M126" s="46" t="n"/>
      <c r="N126" s="46" t="n"/>
      <c r="O126" s="46" t="n"/>
    </row>
    <row r="127" ht="18" customHeight="1">
      <c r="A127" s="83" t="n"/>
      <c r="B127" s="83" t="n"/>
      <c r="C127" s="46" t="n"/>
      <c r="D127" s="46" t="n"/>
      <c r="E127" s="91" t="n"/>
      <c r="F127" s="46" t="n"/>
      <c r="G127" s="73" t="n"/>
      <c r="H127" s="46" t="n"/>
      <c r="I127" s="46" t="n"/>
      <c r="J127" s="46" t="n"/>
      <c r="K127" s="46" t="n"/>
      <c r="L127" s="46" t="n"/>
      <c r="M127" s="46" t="n"/>
      <c r="N127" s="46" t="n"/>
      <c r="O127" s="46" t="n"/>
    </row>
    <row r="128" ht="18" customHeight="1">
      <c r="A128" s="83" t="n"/>
      <c r="B128" s="83" t="n"/>
      <c r="C128" s="46" t="n"/>
      <c r="D128" s="46" t="n"/>
      <c r="E128" s="91" t="n"/>
      <c r="F128" s="46" t="n"/>
      <c r="G128" s="73" t="n"/>
      <c r="H128" s="46" t="n"/>
      <c r="I128" s="46" t="n"/>
      <c r="J128" s="46" t="n"/>
      <c r="K128" s="46" t="n"/>
      <c r="L128" s="46" t="n"/>
      <c r="M128" s="46" t="n"/>
      <c r="N128" s="46" t="n"/>
      <c r="O128" s="46" t="n"/>
    </row>
    <row r="129" ht="18" customHeight="1">
      <c r="A129" s="83" t="n"/>
      <c r="B129" s="83" t="n"/>
      <c r="C129" s="46" t="n"/>
      <c r="D129" s="46" t="n"/>
      <c r="E129" s="91" t="n"/>
      <c r="F129" s="46" t="n"/>
      <c r="G129" s="73" t="n"/>
      <c r="H129" s="46" t="n"/>
      <c r="I129" s="46" t="n"/>
      <c r="J129" s="46" t="n"/>
      <c r="K129" s="46" t="n"/>
      <c r="L129" s="46" t="n"/>
      <c r="M129" s="46" t="n"/>
      <c r="N129" s="46" t="n"/>
      <c r="O129" s="46" t="n"/>
    </row>
    <row r="130" ht="20" customHeight="1">
      <c r="A130" s="31" t="inlineStr">
        <is>
          <t>CONTINGÊNCIA PREVISTA NO ORÇAMENTO  →</t>
        </is>
      </c>
      <c r="B130" s="32" t="n"/>
      <c r="C130" s="92" t="n"/>
      <c r="D130" s="60">
        <f>ROUND(SUM($E$118:$E$129),2)</f>
        <v/>
      </c>
      <c r="E130" s="60">
        <f>ROUND($D$130-IF($C$130="",0,$C$130),2)</f>
        <v/>
      </c>
      <c r="F130" s="32" t="n"/>
      <c r="G130" s="62">
        <f>IF(OR($A$13="",$A$13=0),"",$D$130/$A$13)</f>
        <v/>
      </c>
      <c r="H130" s="93" t="inlineStr">
        <is>
          <t>orçado = a contingência prevista · realizado = a soma acima</t>
        </is>
      </c>
      <c r="I130" s="32" t="n"/>
      <c r="J130" s="32" t="n"/>
      <c r="K130" s="32" t="n"/>
      <c r="L130" s="32" t="n"/>
      <c r="M130" s="32" t="n"/>
      <c r="N130" s="32" t="n"/>
      <c r="O130" s="32" t="n"/>
    </row>
    <row r="131" ht="8" customHeight="1"/>
    <row r="132" ht="20" customHeight="1">
      <c r="A132" s="8" t="inlineStr">
        <is>
          <t xml:space="preserve">  8 · LIVRO DE COMPRAS E DESPESAS DO PROJETO          uma linha por compra, na ordem em que acontecer · pode inserir linhas à vontade aqui</t>
        </is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</row>
    <row r="133" ht="28" customHeight="1">
      <c r="A133" s="19" t="inlineStr">
        <is>
          <t>Descrição / fornecedor</t>
        </is>
      </c>
      <c r="B133" s="19" t="inlineStr">
        <is>
          <t>Categoria</t>
        </is>
      </c>
      <c r="C133" s="35" t="n"/>
      <c r="D133" s="19" t="inlineStr">
        <is>
          <t>Data</t>
        </is>
      </c>
      <c r="E133" s="19" t="inlineStr">
        <is>
          <t>Valor (R$)</t>
        </is>
      </c>
      <c r="F133" s="35" t="n"/>
      <c r="G133" s="19" t="inlineStr">
        <is>
          <t>Forma de pagamento</t>
        </is>
      </c>
      <c r="H133" s="35" t="n"/>
      <c r="I133" s="19" t="inlineStr">
        <is>
          <t>Status</t>
        </is>
      </c>
      <c r="J133" s="35" t="n"/>
      <c r="K133" s="35" t="n"/>
      <c r="L133" s="35" t="n"/>
      <c r="M133" s="35" t="n"/>
      <c r="N133" s="35" t="n"/>
      <c r="O133" s="35" t="n"/>
    </row>
    <row r="134" ht="17" customHeight="1">
      <c r="A134" s="83" t="n"/>
      <c r="B134" s="94" t="n"/>
      <c r="C134" s="46" t="n"/>
      <c r="D134" s="75" t="n"/>
      <c r="E134" s="95" t="n"/>
      <c r="F134" s="46" t="n"/>
      <c r="G134" s="96" t="n"/>
      <c r="H134" s="46" t="n"/>
      <c r="I134" s="97" t="n"/>
      <c r="J134" s="46" t="n"/>
      <c r="K134" s="46" t="n"/>
      <c r="L134" s="46" t="n"/>
      <c r="M134" s="46" t="n"/>
      <c r="N134" s="46" t="n"/>
      <c r="O134" s="46" t="n"/>
    </row>
    <row r="135" ht="17" customHeight="1">
      <c r="A135" s="83" t="n"/>
      <c r="B135" s="94" t="n"/>
      <c r="C135" s="46" t="n"/>
      <c r="D135" s="75" t="n"/>
      <c r="E135" s="95" t="n"/>
      <c r="F135" s="46" t="n"/>
      <c r="G135" s="96" t="n"/>
      <c r="H135" s="46" t="n"/>
      <c r="I135" s="97" t="n"/>
      <c r="J135" s="46" t="n"/>
      <c r="K135" s="46" t="n"/>
      <c r="L135" s="46" t="n"/>
      <c r="M135" s="46" t="n"/>
      <c r="N135" s="46" t="n"/>
      <c r="O135" s="46" t="n"/>
    </row>
    <row r="136" ht="17" customHeight="1">
      <c r="A136" s="83" t="n"/>
      <c r="B136" s="94" t="n"/>
      <c r="C136" s="46" t="n"/>
      <c r="D136" s="75" t="n"/>
      <c r="E136" s="95" t="n"/>
      <c r="F136" s="46" t="n"/>
      <c r="G136" s="96" t="n"/>
      <c r="H136" s="46" t="n"/>
      <c r="I136" s="97" t="n"/>
      <c r="J136" s="46" t="n"/>
      <c r="K136" s="46" t="n"/>
      <c r="L136" s="46" t="n"/>
      <c r="M136" s="46" t="n"/>
      <c r="N136" s="46" t="n"/>
      <c r="O136" s="46" t="n"/>
    </row>
    <row r="137" ht="17" customHeight="1">
      <c r="A137" s="83" t="n"/>
      <c r="B137" s="94" t="n"/>
      <c r="C137" s="46" t="n"/>
      <c r="D137" s="75" t="n"/>
      <c r="E137" s="95" t="n"/>
      <c r="F137" s="46" t="n"/>
      <c r="G137" s="96" t="n"/>
      <c r="H137" s="46" t="n"/>
      <c r="I137" s="97" t="n"/>
      <c r="J137" s="46" t="n"/>
      <c r="K137" s="46" t="n"/>
      <c r="L137" s="46" t="n"/>
      <c r="M137" s="46" t="n"/>
      <c r="N137" s="46" t="n"/>
      <c r="O137" s="46" t="n"/>
    </row>
    <row r="138" ht="17" customHeight="1">
      <c r="A138" s="83" t="n"/>
      <c r="B138" s="94" t="n"/>
      <c r="C138" s="46" t="n"/>
      <c r="D138" s="75" t="n"/>
      <c r="E138" s="95" t="n"/>
      <c r="F138" s="46" t="n"/>
      <c r="G138" s="96" t="n"/>
      <c r="H138" s="46" t="n"/>
      <c r="I138" s="97" t="n"/>
      <c r="J138" s="46" t="n"/>
      <c r="K138" s="46" t="n"/>
      <c r="L138" s="46" t="n"/>
      <c r="M138" s="46" t="n"/>
      <c r="N138" s="46" t="n"/>
      <c r="O138" s="46" t="n"/>
    </row>
    <row r="139" ht="17" customHeight="1">
      <c r="A139" s="83" t="n"/>
      <c r="B139" s="94" t="n"/>
      <c r="C139" s="46" t="n"/>
      <c r="D139" s="75" t="n"/>
      <c r="E139" s="95" t="n"/>
      <c r="F139" s="46" t="n"/>
      <c r="G139" s="96" t="n"/>
      <c r="H139" s="46" t="n"/>
      <c r="I139" s="97" t="n"/>
      <c r="J139" s="46" t="n"/>
      <c r="K139" s="46" t="n"/>
      <c r="L139" s="46" t="n"/>
      <c r="M139" s="46" t="n"/>
      <c r="N139" s="46" t="n"/>
      <c r="O139" s="46" t="n"/>
    </row>
    <row r="140" ht="17" customHeight="1">
      <c r="A140" s="83" t="n"/>
      <c r="B140" s="94" t="n"/>
      <c r="C140" s="46" t="n"/>
      <c r="D140" s="75" t="n"/>
      <c r="E140" s="95" t="n"/>
      <c r="F140" s="46" t="n"/>
      <c r="G140" s="96" t="n"/>
      <c r="H140" s="46" t="n"/>
      <c r="I140" s="97" t="n"/>
      <c r="J140" s="46" t="n"/>
      <c r="K140" s="46" t="n"/>
      <c r="L140" s="46" t="n"/>
      <c r="M140" s="46" t="n"/>
      <c r="N140" s="46" t="n"/>
      <c r="O140" s="46" t="n"/>
    </row>
    <row r="141" ht="17" customHeight="1">
      <c r="A141" s="83" t="n"/>
      <c r="B141" s="94" t="n"/>
      <c r="C141" s="46" t="n"/>
      <c r="D141" s="75" t="n"/>
      <c r="E141" s="95" t="n"/>
      <c r="F141" s="46" t="n"/>
      <c r="G141" s="96" t="n"/>
      <c r="H141" s="46" t="n"/>
      <c r="I141" s="97" t="n"/>
      <c r="J141" s="46" t="n"/>
      <c r="K141" s="46" t="n"/>
      <c r="L141" s="46" t="n"/>
      <c r="M141" s="46" t="n"/>
      <c r="N141" s="46" t="n"/>
      <c r="O141" s="46" t="n"/>
    </row>
    <row r="142" ht="17" customHeight="1">
      <c r="A142" s="83" t="n"/>
      <c r="B142" s="94" t="n"/>
      <c r="C142" s="46" t="n"/>
      <c r="D142" s="75" t="n"/>
      <c r="E142" s="95" t="n"/>
      <c r="F142" s="46" t="n"/>
      <c r="G142" s="96" t="n"/>
      <c r="H142" s="46" t="n"/>
      <c r="I142" s="97" t="n"/>
      <c r="J142" s="46" t="n"/>
      <c r="K142" s="46" t="n"/>
      <c r="L142" s="46" t="n"/>
      <c r="M142" s="46" t="n"/>
      <c r="N142" s="46" t="n"/>
      <c r="O142" s="46" t="n"/>
    </row>
    <row r="143" ht="17" customHeight="1">
      <c r="A143" s="83" t="n"/>
      <c r="B143" s="94" t="n"/>
      <c r="C143" s="46" t="n"/>
      <c r="D143" s="75" t="n"/>
      <c r="E143" s="95" t="n"/>
      <c r="F143" s="46" t="n"/>
      <c r="G143" s="96" t="n"/>
      <c r="H143" s="46" t="n"/>
      <c r="I143" s="97" t="n"/>
      <c r="J143" s="46" t="n"/>
      <c r="K143" s="46" t="n"/>
      <c r="L143" s="46" t="n"/>
      <c r="M143" s="46" t="n"/>
      <c r="N143" s="46" t="n"/>
      <c r="O143" s="46" t="n"/>
    </row>
    <row r="144" ht="17" customHeight="1">
      <c r="A144" s="83" t="n"/>
      <c r="B144" s="94" t="n"/>
      <c r="C144" s="46" t="n"/>
      <c r="D144" s="75" t="n"/>
      <c r="E144" s="95" t="n"/>
      <c r="F144" s="46" t="n"/>
      <c r="G144" s="96" t="n"/>
      <c r="H144" s="46" t="n"/>
      <c r="I144" s="97" t="n"/>
      <c r="J144" s="46" t="n"/>
      <c r="K144" s="46" t="n"/>
      <c r="L144" s="46" t="n"/>
      <c r="M144" s="46" t="n"/>
      <c r="N144" s="46" t="n"/>
      <c r="O144" s="46" t="n"/>
    </row>
    <row r="145" ht="17" customHeight="1">
      <c r="A145" s="83" t="n"/>
      <c r="B145" s="94" t="n"/>
      <c r="C145" s="46" t="n"/>
      <c r="D145" s="75" t="n"/>
      <c r="E145" s="95" t="n"/>
      <c r="F145" s="46" t="n"/>
      <c r="G145" s="96" t="n"/>
      <c r="H145" s="46" t="n"/>
      <c r="I145" s="97" t="n"/>
      <c r="J145" s="46" t="n"/>
      <c r="K145" s="46" t="n"/>
      <c r="L145" s="46" t="n"/>
      <c r="M145" s="46" t="n"/>
      <c r="N145" s="46" t="n"/>
      <c r="O145" s="46" t="n"/>
    </row>
    <row r="146" ht="17" customHeight="1">
      <c r="A146" s="83" t="n"/>
      <c r="B146" s="94" t="n"/>
      <c r="C146" s="46" t="n"/>
      <c r="D146" s="75" t="n"/>
      <c r="E146" s="95" t="n"/>
      <c r="F146" s="46" t="n"/>
      <c r="G146" s="96" t="n"/>
      <c r="H146" s="46" t="n"/>
      <c r="I146" s="97" t="n"/>
      <c r="J146" s="46" t="n"/>
      <c r="K146" s="46" t="n"/>
      <c r="L146" s="46" t="n"/>
      <c r="M146" s="46" t="n"/>
      <c r="N146" s="46" t="n"/>
      <c r="O146" s="46" t="n"/>
    </row>
    <row r="147" ht="17" customHeight="1">
      <c r="A147" s="83" t="n"/>
      <c r="B147" s="94" t="n"/>
      <c r="C147" s="46" t="n"/>
      <c r="D147" s="75" t="n"/>
      <c r="E147" s="95" t="n"/>
      <c r="F147" s="46" t="n"/>
      <c r="G147" s="96" t="n"/>
      <c r="H147" s="46" t="n"/>
      <c r="I147" s="97" t="n"/>
      <c r="J147" s="46" t="n"/>
      <c r="K147" s="46" t="n"/>
      <c r="L147" s="46" t="n"/>
      <c r="M147" s="46" t="n"/>
      <c r="N147" s="46" t="n"/>
      <c r="O147" s="46" t="n"/>
    </row>
    <row r="148" ht="17" customHeight="1">
      <c r="A148" s="83" t="n"/>
      <c r="B148" s="94" t="n"/>
      <c r="C148" s="46" t="n"/>
      <c r="D148" s="75" t="n"/>
      <c r="E148" s="95" t="n"/>
      <c r="F148" s="46" t="n"/>
      <c r="G148" s="96" t="n"/>
      <c r="H148" s="46" t="n"/>
      <c r="I148" s="97" t="n"/>
      <c r="J148" s="46" t="n"/>
      <c r="K148" s="46" t="n"/>
      <c r="L148" s="46" t="n"/>
      <c r="M148" s="46" t="n"/>
      <c r="N148" s="46" t="n"/>
      <c r="O148" s="46" t="n"/>
    </row>
    <row r="149" ht="17" customHeight="1">
      <c r="A149" s="83" t="n"/>
      <c r="B149" s="94" t="n"/>
      <c r="C149" s="46" t="n"/>
      <c r="D149" s="75" t="n"/>
      <c r="E149" s="95" t="n"/>
      <c r="F149" s="46" t="n"/>
      <c r="G149" s="96" t="n"/>
      <c r="H149" s="46" t="n"/>
      <c r="I149" s="97" t="n"/>
      <c r="J149" s="46" t="n"/>
      <c r="K149" s="46" t="n"/>
      <c r="L149" s="46" t="n"/>
      <c r="M149" s="46" t="n"/>
      <c r="N149" s="46" t="n"/>
      <c r="O149" s="46" t="n"/>
    </row>
    <row r="150" ht="17" customHeight="1">
      <c r="A150" s="83" t="n"/>
      <c r="B150" s="94" t="n"/>
      <c r="C150" s="46" t="n"/>
      <c r="D150" s="75" t="n"/>
      <c r="E150" s="95" t="n"/>
      <c r="F150" s="46" t="n"/>
      <c r="G150" s="96" t="n"/>
      <c r="H150" s="46" t="n"/>
      <c r="I150" s="97" t="n"/>
      <c r="J150" s="46" t="n"/>
      <c r="K150" s="46" t="n"/>
      <c r="L150" s="46" t="n"/>
      <c r="M150" s="46" t="n"/>
      <c r="N150" s="46" t="n"/>
      <c r="O150" s="46" t="n"/>
    </row>
    <row r="151" ht="17" customHeight="1">
      <c r="A151" s="83" t="n"/>
      <c r="B151" s="94" t="n"/>
      <c r="C151" s="46" t="n"/>
      <c r="D151" s="75" t="n"/>
      <c r="E151" s="95" t="n"/>
      <c r="F151" s="46" t="n"/>
      <c r="G151" s="96" t="n"/>
      <c r="H151" s="46" t="n"/>
      <c r="I151" s="97" t="n"/>
      <c r="J151" s="46" t="n"/>
      <c r="K151" s="46" t="n"/>
      <c r="L151" s="46" t="n"/>
      <c r="M151" s="46" t="n"/>
      <c r="N151" s="46" t="n"/>
      <c r="O151" s="46" t="n"/>
    </row>
    <row r="152" ht="17" customHeight="1">
      <c r="A152" s="83" t="n"/>
      <c r="B152" s="94" t="n"/>
      <c r="C152" s="46" t="n"/>
      <c r="D152" s="75" t="n"/>
      <c r="E152" s="95" t="n"/>
      <c r="F152" s="46" t="n"/>
      <c r="G152" s="96" t="n"/>
      <c r="H152" s="46" t="n"/>
      <c r="I152" s="97" t="n"/>
      <c r="J152" s="46" t="n"/>
      <c r="K152" s="46" t="n"/>
      <c r="L152" s="46" t="n"/>
      <c r="M152" s="46" t="n"/>
      <c r="N152" s="46" t="n"/>
      <c r="O152" s="46" t="n"/>
    </row>
    <row r="153" ht="17" customHeight="1">
      <c r="A153" s="83" t="n"/>
      <c r="B153" s="94" t="n"/>
      <c r="C153" s="46" t="n"/>
      <c r="D153" s="75" t="n"/>
      <c r="E153" s="95" t="n"/>
      <c r="F153" s="46" t="n"/>
      <c r="G153" s="96" t="n"/>
      <c r="H153" s="46" t="n"/>
      <c r="I153" s="97" t="n"/>
      <c r="J153" s="46" t="n"/>
      <c r="K153" s="46" t="n"/>
      <c r="L153" s="46" t="n"/>
      <c r="M153" s="46" t="n"/>
      <c r="N153" s="46" t="n"/>
      <c r="O153" s="46" t="n"/>
    </row>
    <row r="154" ht="17" customHeight="1">
      <c r="A154" s="83" t="n"/>
      <c r="B154" s="94" t="n"/>
      <c r="C154" s="46" t="n"/>
      <c r="D154" s="75" t="n"/>
      <c r="E154" s="95" t="n"/>
      <c r="F154" s="46" t="n"/>
      <c r="G154" s="96" t="n"/>
      <c r="H154" s="46" t="n"/>
      <c r="I154" s="97" t="n"/>
      <c r="J154" s="46" t="n"/>
      <c r="K154" s="46" t="n"/>
      <c r="L154" s="46" t="n"/>
      <c r="M154" s="46" t="n"/>
      <c r="N154" s="46" t="n"/>
      <c r="O154" s="46" t="n"/>
    </row>
    <row r="155" ht="17" customHeight="1">
      <c r="A155" s="83" t="n"/>
      <c r="B155" s="94" t="n"/>
      <c r="C155" s="46" t="n"/>
      <c r="D155" s="75" t="n"/>
      <c r="E155" s="95" t="n"/>
      <c r="F155" s="46" t="n"/>
      <c r="G155" s="96" t="n"/>
      <c r="H155" s="46" t="n"/>
      <c r="I155" s="97" t="n"/>
      <c r="J155" s="46" t="n"/>
      <c r="K155" s="46" t="n"/>
      <c r="L155" s="46" t="n"/>
      <c r="M155" s="46" t="n"/>
      <c r="N155" s="46" t="n"/>
      <c r="O155" s="46" t="n"/>
    </row>
    <row r="156" ht="17" customHeight="1">
      <c r="A156" s="83" t="n"/>
      <c r="B156" s="94" t="n"/>
      <c r="C156" s="46" t="n"/>
      <c r="D156" s="75" t="n"/>
      <c r="E156" s="95" t="n"/>
      <c r="F156" s="46" t="n"/>
      <c r="G156" s="96" t="n"/>
      <c r="H156" s="46" t="n"/>
      <c r="I156" s="97" t="n"/>
      <c r="J156" s="46" t="n"/>
      <c r="K156" s="46" t="n"/>
      <c r="L156" s="46" t="n"/>
      <c r="M156" s="46" t="n"/>
      <c r="N156" s="46" t="n"/>
      <c r="O156" s="46" t="n"/>
    </row>
    <row r="157" ht="17" customHeight="1">
      <c r="A157" s="83" t="n"/>
      <c r="B157" s="94" t="n"/>
      <c r="C157" s="46" t="n"/>
      <c r="D157" s="75" t="n"/>
      <c r="E157" s="95" t="n"/>
      <c r="F157" s="46" t="n"/>
      <c r="G157" s="96" t="n"/>
      <c r="H157" s="46" t="n"/>
      <c r="I157" s="97" t="n"/>
      <c r="J157" s="46" t="n"/>
      <c r="K157" s="46" t="n"/>
      <c r="L157" s="46" t="n"/>
      <c r="M157" s="46" t="n"/>
      <c r="N157" s="46" t="n"/>
      <c r="O157" s="46" t="n"/>
    </row>
    <row r="158" ht="17" customHeight="1">
      <c r="A158" s="83" t="n"/>
      <c r="B158" s="94" t="n"/>
      <c r="C158" s="46" t="n"/>
      <c r="D158" s="75" t="n"/>
      <c r="E158" s="95" t="n"/>
      <c r="F158" s="46" t="n"/>
      <c r="G158" s="96" t="n"/>
      <c r="H158" s="46" t="n"/>
      <c r="I158" s="97" t="n"/>
      <c r="J158" s="46" t="n"/>
      <c r="K158" s="46" t="n"/>
      <c r="L158" s="46" t="n"/>
      <c r="M158" s="46" t="n"/>
      <c r="N158" s="46" t="n"/>
      <c r="O158" s="46" t="n"/>
    </row>
    <row r="159" ht="17" customHeight="1">
      <c r="A159" s="83" t="n"/>
      <c r="B159" s="94" t="n"/>
      <c r="C159" s="46" t="n"/>
      <c r="D159" s="75" t="n"/>
      <c r="E159" s="95" t="n"/>
      <c r="F159" s="46" t="n"/>
      <c r="G159" s="96" t="n"/>
      <c r="H159" s="46" t="n"/>
      <c r="I159" s="97" t="n"/>
      <c r="J159" s="46" t="n"/>
      <c r="K159" s="46" t="n"/>
      <c r="L159" s="46" t="n"/>
      <c r="M159" s="46" t="n"/>
      <c r="N159" s="46" t="n"/>
      <c r="O159" s="46" t="n"/>
    </row>
    <row r="160" ht="17" customHeight="1">
      <c r="A160" s="83" t="n"/>
      <c r="B160" s="94" t="n"/>
      <c r="C160" s="46" t="n"/>
      <c r="D160" s="75" t="n"/>
      <c r="E160" s="95" t="n"/>
      <c r="F160" s="46" t="n"/>
      <c r="G160" s="96" t="n"/>
      <c r="H160" s="46" t="n"/>
      <c r="I160" s="97" t="n"/>
      <c r="J160" s="46" t="n"/>
      <c r="K160" s="46" t="n"/>
      <c r="L160" s="46" t="n"/>
      <c r="M160" s="46" t="n"/>
      <c r="N160" s="46" t="n"/>
      <c r="O160" s="46" t="n"/>
    </row>
    <row r="161" ht="17" customHeight="1">
      <c r="A161" s="83" t="n"/>
      <c r="B161" s="94" t="n"/>
      <c r="C161" s="46" t="n"/>
      <c r="D161" s="75" t="n"/>
      <c r="E161" s="95" t="n"/>
      <c r="F161" s="46" t="n"/>
      <c r="G161" s="96" t="n"/>
      <c r="H161" s="46" t="n"/>
      <c r="I161" s="97" t="n"/>
      <c r="J161" s="46" t="n"/>
      <c r="K161" s="46" t="n"/>
      <c r="L161" s="46" t="n"/>
      <c r="M161" s="46" t="n"/>
      <c r="N161" s="46" t="n"/>
      <c r="O161" s="46" t="n"/>
    </row>
    <row r="162" ht="17" customHeight="1">
      <c r="A162" s="83" t="n"/>
      <c r="B162" s="94" t="n"/>
      <c r="C162" s="46" t="n"/>
      <c r="D162" s="75" t="n"/>
      <c r="E162" s="95" t="n"/>
      <c r="F162" s="46" t="n"/>
      <c r="G162" s="96" t="n"/>
      <c r="H162" s="46" t="n"/>
      <c r="I162" s="97" t="n"/>
      <c r="J162" s="46" t="n"/>
      <c r="K162" s="46" t="n"/>
      <c r="L162" s="46" t="n"/>
      <c r="M162" s="46" t="n"/>
      <c r="N162" s="46" t="n"/>
      <c r="O162" s="46" t="n"/>
    </row>
    <row r="163" ht="17" customHeight="1">
      <c r="A163" s="83" t="n"/>
      <c r="B163" s="94" t="n"/>
      <c r="C163" s="46" t="n"/>
      <c r="D163" s="75" t="n"/>
      <c r="E163" s="95" t="n"/>
      <c r="F163" s="46" t="n"/>
      <c r="G163" s="96" t="n"/>
      <c r="H163" s="46" t="n"/>
      <c r="I163" s="97" t="n"/>
      <c r="J163" s="46" t="n"/>
      <c r="K163" s="46" t="n"/>
      <c r="L163" s="46" t="n"/>
      <c r="M163" s="46" t="n"/>
      <c r="N163" s="46" t="n"/>
      <c r="O163" s="46" t="n"/>
    </row>
    <row r="164" ht="17" customHeight="1">
      <c r="A164" s="83" t="n"/>
      <c r="B164" s="94" t="n"/>
      <c r="C164" s="46" t="n"/>
      <c r="D164" s="75" t="n"/>
      <c r="E164" s="95" t="n"/>
      <c r="F164" s="46" t="n"/>
      <c r="G164" s="96" t="n"/>
      <c r="H164" s="46" t="n"/>
      <c r="I164" s="97" t="n"/>
      <c r="J164" s="46" t="n"/>
      <c r="K164" s="46" t="n"/>
      <c r="L164" s="46" t="n"/>
      <c r="M164" s="46" t="n"/>
      <c r="N164" s="46" t="n"/>
      <c r="O164" s="46" t="n"/>
    </row>
    <row r="165" ht="17" customHeight="1">
      <c r="A165" s="83" t="n"/>
      <c r="B165" s="94" t="n"/>
      <c r="C165" s="46" t="n"/>
      <c r="D165" s="75" t="n"/>
      <c r="E165" s="95" t="n"/>
      <c r="F165" s="46" t="n"/>
      <c r="G165" s="96" t="n"/>
      <c r="H165" s="46" t="n"/>
      <c r="I165" s="97" t="n"/>
      <c r="J165" s="46" t="n"/>
      <c r="K165" s="46" t="n"/>
      <c r="L165" s="46" t="n"/>
      <c r="M165" s="46" t="n"/>
      <c r="N165" s="46" t="n"/>
      <c r="O165" s="46" t="n"/>
    </row>
    <row r="166" ht="17" customHeight="1">
      <c r="A166" s="83" t="n"/>
      <c r="B166" s="94" t="n"/>
      <c r="C166" s="46" t="n"/>
      <c r="D166" s="75" t="n"/>
      <c r="E166" s="95" t="n"/>
      <c r="F166" s="46" t="n"/>
      <c r="G166" s="96" t="n"/>
      <c r="H166" s="46" t="n"/>
      <c r="I166" s="97" t="n"/>
      <c r="J166" s="46" t="n"/>
      <c r="K166" s="46" t="n"/>
      <c r="L166" s="46" t="n"/>
      <c r="M166" s="46" t="n"/>
      <c r="N166" s="46" t="n"/>
      <c r="O166" s="46" t="n"/>
    </row>
    <row r="167" ht="17" customHeight="1">
      <c r="A167" s="83" t="n"/>
      <c r="B167" s="94" t="n"/>
      <c r="C167" s="46" t="n"/>
      <c r="D167" s="75" t="n"/>
      <c r="E167" s="95" t="n"/>
      <c r="F167" s="46" t="n"/>
      <c r="G167" s="96" t="n"/>
      <c r="H167" s="46" t="n"/>
      <c r="I167" s="97" t="n"/>
      <c r="J167" s="46" t="n"/>
      <c r="K167" s="46" t="n"/>
      <c r="L167" s="46" t="n"/>
      <c r="M167" s="46" t="n"/>
      <c r="N167" s="46" t="n"/>
      <c r="O167" s="46" t="n"/>
    </row>
    <row r="168" ht="17" customHeight="1">
      <c r="A168" s="83" t="n"/>
      <c r="B168" s="94" t="n"/>
      <c r="C168" s="46" t="n"/>
      <c r="D168" s="75" t="n"/>
      <c r="E168" s="95" t="n"/>
      <c r="F168" s="46" t="n"/>
      <c r="G168" s="96" t="n"/>
      <c r="H168" s="46" t="n"/>
      <c r="I168" s="97" t="n"/>
      <c r="J168" s="46" t="n"/>
      <c r="K168" s="46" t="n"/>
      <c r="L168" s="46" t="n"/>
      <c r="M168" s="46" t="n"/>
      <c r="N168" s="46" t="n"/>
      <c r="O168" s="46" t="n"/>
    </row>
    <row r="169" ht="17" customHeight="1">
      <c r="A169" s="83" t="n"/>
      <c r="B169" s="94" t="n"/>
      <c r="C169" s="46" t="n"/>
      <c r="D169" s="75" t="n"/>
      <c r="E169" s="95" t="n"/>
      <c r="F169" s="46" t="n"/>
      <c r="G169" s="96" t="n"/>
      <c r="H169" s="46" t="n"/>
      <c r="I169" s="97" t="n"/>
      <c r="J169" s="46" t="n"/>
      <c r="K169" s="46" t="n"/>
      <c r="L169" s="46" t="n"/>
      <c r="M169" s="46" t="n"/>
      <c r="N169" s="46" t="n"/>
      <c r="O169" s="46" t="n"/>
    </row>
    <row r="170" ht="17" customHeight="1">
      <c r="A170" s="83" t="n"/>
      <c r="B170" s="94" t="n"/>
      <c r="C170" s="46" t="n"/>
      <c r="D170" s="75" t="n"/>
      <c r="E170" s="95" t="n"/>
      <c r="F170" s="46" t="n"/>
      <c r="G170" s="96" t="n"/>
      <c r="H170" s="46" t="n"/>
      <c r="I170" s="97" t="n"/>
      <c r="J170" s="46" t="n"/>
      <c r="K170" s="46" t="n"/>
      <c r="L170" s="46" t="n"/>
      <c r="M170" s="46" t="n"/>
      <c r="N170" s="46" t="n"/>
      <c r="O170" s="46" t="n"/>
    </row>
    <row r="171" ht="17" customHeight="1">
      <c r="A171" s="83" t="n"/>
      <c r="B171" s="94" t="n"/>
      <c r="C171" s="46" t="n"/>
      <c r="D171" s="75" t="n"/>
      <c r="E171" s="95" t="n"/>
      <c r="F171" s="46" t="n"/>
      <c r="G171" s="96" t="n"/>
      <c r="H171" s="46" t="n"/>
      <c r="I171" s="97" t="n"/>
      <c r="J171" s="46" t="n"/>
      <c r="K171" s="46" t="n"/>
      <c r="L171" s="46" t="n"/>
      <c r="M171" s="46" t="n"/>
      <c r="N171" s="46" t="n"/>
      <c r="O171" s="46" t="n"/>
    </row>
    <row r="172" ht="17" customHeight="1">
      <c r="A172" s="83" t="n"/>
      <c r="B172" s="94" t="n"/>
      <c r="C172" s="46" t="n"/>
      <c r="D172" s="75" t="n"/>
      <c r="E172" s="95" t="n"/>
      <c r="F172" s="46" t="n"/>
      <c r="G172" s="96" t="n"/>
      <c r="H172" s="46" t="n"/>
      <c r="I172" s="97" t="n"/>
      <c r="J172" s="46" t="n"/>
      <c r="K172" s="46" t="n"/>
      <c r="L172" s="46" t="n"/>
      <c r="M172" s="46" t="n"/>
      <c r="N172" s="46" t="n"/>
      <c r="O172" s="46" t="n"/>
    </row>
    <row r="173" ht="17" customHeight="1">
      <c r="A173" s="83" t="n"/>
      <c r="B173" s="94" t="n"/>
      <c r="C173" s="46" t="n"/>
      <c r="D173" s="75" t="n"/>
      <c r="E173" s="95" t="n"/>
      <c r="F173" s="46" t="n"/>
      <c r="G173" s="96" t="n"/>
      <c r="H173" s="46" t="n"/>
      <c r="I173" s="97" t="n"/>
      <c r="J173" s="46" t="n"/>
      <c r="K173" s="46" t="n"/>
      <c r="L173" s="46" t="n"/>
      <c r="M173" s="46" t="n"/>
      <c r="N173" s="46" t="n"/>
      <c r="O173" s="46" t="n"/>
    </row>
    <row r="174" ht="17" customHeight="1">
      <c r="A174" s="83" t="n"/>
      <c r="B174" s="94" t="n"/>
      <c r="C174" s="46" t="n"/>
      <c r="D174" s="75" t="n"/>
      <c r="E174" s="95" t="n"/>
      <c r="F174" s="46" t="n"/>
      <c r="G174" s="96" t="n"/>
      <c r="H174" s="46" t="n"/>
      <c r="I174" s="97" t="n"/>
      <c r="J174" s="46" t="n"/>
      <c r="K174" s="46" t="n"/>
      <c r="L174" s="46" t="n"/>
      <c r="M174" s="46" t="n"/>
      <c r="N174" s="46" t="n"/>
      <c r="O174" s="46" t="n"/>
    </row>
    <row r="175" ht="17" customHeight="1">
      <c r="A175" s="83" t="n"/>
      <c r="B175" s="94" t="n"/>
      <c r="C175" s="46" t="n"/>
      <c r="D175" s="75" t="n"/>
      <c r="E175" s="95" t="n"/>
      <c r="F175" s="46" t="n"/>
      <c r="G175" s="96" t="n"/>
      <c r="H175" s="46" t="n"/>
      <c r="I175" s="97" t="n"/>
      <c r="J175" s="46" t="n"/>
      <c r="K175" s="46" t="n"/>
      <c r="L175" s="46" t="n"/>
      <c r="M175" s="46" t="n"/>
      <c r="N175" s="46" t="n"/>
      <c r="O175" s="46" t="n"/>
    </row>
    <row r="176" ht="17" customHeight="1">
      <c r="A176" s="83" t="n"/>
      <c r="B176" s="94" t="n"/>
      <c r="C176" s="46" t="n"/>
      <c r="D176" s="75" t="n"/>
      <c r="E176" s="95" t="n"/>
      <c r="F176" s="46" t="n"/>
      <c r="G176" s="96" t="n"/>
      <c r="H176" s="46" t="n"/>
      <c r="I176" s="97" t="n"/>
      <c r="J176" s="46" t="n"/>
      <c r="K176" s="46" t="n"/>
      <c r="L176" s="46" t="n"/>
      <c r="M176" s="46" t="n"/>
      <c r="N176" s="46" t="n"/>
      <c r="O176" s="46" t="n"/>
    </row>
    <row r="177" ht="17" customHeight="1">
      <c r="A177" s="83" t="n"/>
      <c r="B177" s="94" t="n"/>
      <c r="C177" s="46" t="n"/>
      <c r="D177" s="75" t="n"/>
      <c r="E177" s="95" t="n"/>
      <c r="F177" s="46" t="n"/>
      <c r="G177" s="96" t="n"/>
      <c r="H177" s="46" t="n"/>
      <c r="I177" s="97" t="n"/>
      <c r="J177" s="46" t="n"/>
      <c r="K177" s="46" t="n"/>
      <c r="L177" s="46" t="n"/>
      <c r="M177" s="46" t="n"/>
      <c r="N177" s="46" t="n"/>
      <c r="O177" s="46" t="n"/>
    </row>
    <row r="178" ht="17" customHeight="1">
      <c r="A178" s="83" t="n"/>
      <c r="B178" s="94" t="n"/>
      <c r="C178" s="46" t="n"/>
      <c r="D178" s="75" t="n"/>
      <c r="E178" s="95" t="n"/>
      <c r="F178" s="46" t="n"/>
      <c r="G178" s="96" t="n"/>
      <c r="H178" s="46" t="n"/>
      <c r="I178" s="97" t="n"/>
      <c r="J178" s="46" t="n"/>
      <c r="K178" s="46" t="n"/>
      <c r="L178" s="46" t="n"/>
      <c r="M178" s="46" t="n"/>
      <c r="N178" s="46" t="n"/>
      <c r="O178" s="46" t="n"/>
    </row>
    <row r="179" ht="17" customHeight="1">
      <c r="A179" s="83" t="n"/>
      <c r="B179" s="94" t="n"/>
      <c r="C179" s="46" t="n"/>
      <c r="D179" s="75" t="n"/>
      <c r="E179" s="95" t="n"/>
      <c r="F179" s="46" t="n"/>
      <c r="G179" s="96" t="n"/>
      <c r="H179" s="46" t="n"/>
      <c r="I179" s="97" t="n"/>
      <c r="J179" s="46" t="n"/>
      <c r="K179" s="46" t="n"/>
      <c r="L179" s="46" t="n"/>
      <c r="M179" s="46" t="n"/>
      <c r="N179" s="46" t="n"/>
      <c r="O179" s="46" t="n"/>
    </row>
    <row r="180" ht="17" customHeight="1">
      <c r="A180" s="83" t="n"/>
      <c r="B180" s="94" t="n"/>
      <c r="C180" s="46" t="n"/>
      <c r="D180" s="75" t="n"/>
      <c r="E180" s="95" t="n"/>
      <c r="F180" s="46" t="n"/>
      <c r="G180" s="96" t="n"/>
      <c r="H180" s="46" t="n"/>
      <c r="I180" s="97" t="n"/>
      <c r="J180" s="46" t="n"/>
      <c r="K180" s="46" t="n"/>
      <c r="L180" s="46" t="n"/>
      <c r="M180" s="46" t="n"/>
      <c r="N180" s="46" t="n"/>
      <c r="O180" s="46" t="n"/>
    </row>
    <row r="181" ht="17" customHeight="1">
      <c r="A181" s="83" t="n"/>
      <c r="B181" s="94" t="n"/>
      <c r="C181" s="46" t="n"/>
      <c r="D181" s="75" t="n"/>
      <c r="E181" s="95" t="n"/>
      <c r="F181" s="46" t="n"/>
      <c r="G181" s="96" t="n"/>
      <c r="H181" s="46" t="n"/>
      <c r="I181" s="97" t="n"/>
      <c r="J181" s="46" t="n"/>
      <c r="K181" s="46" t="n"/>
      <c r="L181" s="46" t="n"/>
      <c r="M181" s="46" t="n"/>
      <c r="N181" s="46" t="n"/>
      <c r="O181" s="46" t="n"/>
    </row>
    <row r="182" ht="17" customHeight="1">
      <c r="A182" s="83" t="n"/>
      <c r="B182" s="94" t="n"/>
      <c r="C182" s="46" t="n"/>
      <c r="D182" s="75" t="n"/>
      <c r="E182" s="95" t="n"/>
      <c r="F182" s="46" t="n"/>
      <c r="G182" s="96" t="n"/>
      <c r="H182" s="46" t="n"/>
      <c r="I182" s="97" t="n"/>
      <c r="J182" s="46" t="n"/>
      <c r="K182" s="46" t="n"/>
      <c r="L182" s="46" t="n"/>
      <c r="M182" s="46" t="n"/>
      <c r="N182" s="46" t="n"/>
      <c r="O182" s="46" t="n"/>
    </row>
    <row r="183" ht="17" customHeight="1">
      <c r="A183" s="83" t="n"/>
      <c r="B183" s="94" t="n"/>
      <c r="C183" s="46" t="n"/>
      <c r="D183" s="75" t="n"/>
      <c r="E183" s="95" t="n"/>
      <c r="F183" s="46" t="n"/>
      <c r="G183" s="96" t="n"/>
      <c r="H183" s="46" t="n"/>
      <c r="I183" s="97" t="n"/>
      <c r="J183" s="46" t="n"/>
      <c r="K183" s="46" t="n"/>
      <c r="L183" s="46" t="n"/>
      <c r="M183" s="46" t="n"/>
      <c r="N183" s="46" t="n"/>
      <c r="O183" s="46" t="n"/>
    </row>
    <row r="184" ht="17" customHeight="1">
      <c r="A184" s="83" t="n"/>
      <c r="B184" s="94" t="n"/>
      <c r="C184" s="46" t="n"/>
      <c r="D184" s="75" t="n"/>
      <c r="E184" s="95" t="n"/>
      <c r="F184" s="46" t="n"/>
      <c r="G184" s="96" t="n"/>
      <c r="H184" s="46" t="n"/>
      <c r="I184" s="97" t="n"/>
      <c r="J184" s="46" t="n"/>
      <c r="K184" s="46" t="n"/>
      <c r="L184" s="46" t="n"/>
      <c r="M184" s="46" t="n"/>
      <c r="N184" s="46" t="n"/>
      <c r="O184" s="46" t="n"/>
    </row>
    <row r="185" ht="17" customHeight="1">
      <c r="A185" s="83" t="n"/>
      <c r="B185" s="94" t="n"/>
      <c r="C185" s="46" t="n"/>
      <c r="D185" s="75" t="n"/>
      <c r="E185" s="95" t="n"/>
      <c r="F185" s="46" t="n"/>
      <c r="G185" s="96" t="n"/>
      <c r="H185" s="46" t="n"/>
      <c r="I185" s="97" t="n"/>
      <c r="J185" s="46" t="n"/>
      <c r="K185" s="46" t="n"/>
      <c r="L185" s="46" t="n"/>
      <c r="M185" s="46" t="n"/>
      <c r="N185" s="46" t="n"/>
      <c r="O185" s="46" t="n"/>
    </row>
    <row r="186" ht="17" customHeight="1">
      <c r="A186" s="83" t="n"/>
      <c r="B186" s="94" t="n"/>
      <c r="C186" s="46" t="n"/>
      <c r="D186" s="75" t="n"/>
      <c r="E186" s="95" t="n"/>
      <c r="F186" s="46" t="n"/>
      <c r="G186" s="96" t="n"/>
      <c r="H186" s="46" t="n"/>
      <c r="I186" s="97" t="n"/>
      <c r="J186" s="46" t="n"/>
      <c r="K186" s="46" t="n"/>
      <c r="L186" s="46" t="n"/>
      <c r="M186" s="46" t="n"/>
      <c r="N186" s="46" t="n"/>
      <c r="O186" s="46" t="n"/>
    </row>
    <row r="187" ht="17" customHeight="1">
      <c r="A187" s="83" t="n"/>
      <c r="B187" s="94" t="n"/>
      <c r="C187" s="46" t="n"/>
      <c r="D187" s="75" t="n"/>
      <c r="E187" s="95" t="n"/>
      <c r="F187" s="46" t="n"/>
      <c r="G187" s="96" t="n"/>
      <c r="H187" s="46" t="n"/>
      <c r="I187" s="97" t="n"/>
      <c r="J187" s="46" t="n"/>
      <c r="K187" s="46" t="n"/>
      <c r="L187" s="46" t="n"/>
      <c r="M187" s="46" t="n"/>
      <c r="N187" s="46" t="n"/>
      <c r="O187" s="46" t="n"/>
    </row>
    <row r="188" ht="17" customHeight="1">
      <c r="A188" s="83" t="n"/>
      <c r="B188" s="94" t="n"/>
      <c r="C188" s="46" t="n"/>
      <c r="D188" s="75" t="n"/>
      <c r="E188" s="95" t="n"/>
      <c r="F188" s="46" t="n"/>
      <c r="G188" s="96" t="n"/>
      <c r="H188" s="46" t="n"/>
      <c r="I188" s="97" t="n"/>
      <c r="J188" s="46" t="n"/>
      <c r="K188" s="46" t="n"/>
      <c r="L188" s="46" t="n"/>
      <c r="M188" s="46" t="n"/>
      <c r="N188" s="46" t="n"/>
      <c r="O188" s="46" t="n"/>
    </row>
    <row r="189" ht="17" customHeight="1">
      <c r="A189" s="83" t="n"/>
      <c r="B189" s="94" t="n"/>
      <c r="C189" s="46" t="n"/>
      <c r="D189" s="75" t="n"/>
      <c r="E189" s="95" t="n"/>
      <c r="F189" s="46" t="n"/>
      <c r="G189" s="96" t="n"/>
      <c r="H189" s="46" t="n"/>
      <c r="I189" s="97" t="n"/>
      <c r="J189" s="46" t="n"/>
      <c r="K189" s="46" t="n"/>
      <c r="L189" s="46" t="n"/>
      <c r="M189" s="46" t="n"/>
      <c r="N189" s="46" t="n"/>
      <c r="O189" s="46" t="n"/>
    </row>
    <row r="190" ht="17" customHeight="1">
      <c r="A190" s="83" t="n"/>
      <c r="B190" s="94" t="n"/>
      <c r="C190" s="46" t="n"/>
      <c r="D190" s="75" t="n"/>
      <c r="E190" s="95" t="n"/>
      <c r="F190" s="46" t="n"/>
      <c r="G190" s="96" t="n"/>
      <c r="H190" s="46" t="n"/>
      <c r="I190" s="97" t="n"/>
      <c r="J190" s="46" t="n"/>
      <c r="K190" s="46" t="n"/>
      <c r="L190" s="46" t="n"/>
      <c r="M190" s="46" t="n"/>
      <c r="N190" s="46" t="n"/>
      <c r="O190" s="46" t="n"/>
    </row>
    <row r="191" ht="17" customHeight="1">
      <c r="A191" s="83" t="n"/>
      <c r="B191" s="94" t="n"/>
      <c r="C191" s="46" t="n"/>
      <c r="D191" s="75" t="n"/>
      <c r="E191" s="95" t="n"/>
      <c r="F191" s="46" t="n"/>
      <c r="G191" s="96" t="n"/>
      <c r="H191" s="46" t="n"/>
      <c r="I191" s="97" t="n"/>
      <c r="J191" s="46" t="n"/>
      <c r="K191" s="46" t="n"/>
      <c r="L191" s="46" t="n"/>
      <c r="M191" s="46" t="n"/>
      <c r="N191" s="46" t="n"/>
      <c r="O191" s="46" t="n"/>
    </row>
    <row r="192" ht="17" customHeight="1">
      <c r="A192" s="83" t="n"/>
      <c r="B192" s="94" t="n"/>
      <c r="C192" s="46" t="n"/>
      <c r="D192" s="75" t="n"/>
      <c r="E192" s="95" t="n"/>
      <c r="F192" s="46" t="n"/>
      <c r="G192" s="96" t="n"/>
      <c r="H192" s="46" t="n"/>
      <c r="I192" s="97" t="n"/>
      <c r="J192" s="46" t="n"/>
      <c r="K192" s="46" t="n"/>
      <c r="L192" s="46" t="n"/>
      <c r="M192" s="46" t="n"/>
      <c r="N192" s="46" t="n"/>
      <c r="O192" s="46" t="n"/>
    </row>
    <row r="193" ht="17" customHeight="1">
      <c r="A193" s="83" t="n"/>
      <c r="B193" s="94" t="n"/>
      <c r="C193" s="46" t="n"/>
      <c r="D193" s="75" t="n"/>
      <c r="E193" s="95" t="n"/>
      <c r="F193" s="46" t="n"/>
      <c r="G193" s="96" t="n"/>
      <c r="H193" s="46" t="n"/>
      <c r="I193" s="97" t="n"/>
      <c r="J193" s="46" t="n"/>
      <c r="K193" s="46" t="n"/>
      <c r="L193" s="46" t="n"/>
      <c r="M193" s="46" t="n"/>
      <c r="N193" s="46" t="n"/>
      <c r="O193" s="46" t="n"/>
    </row>
    <row r="194" ht="22" customHeight="1">
      <c r="A194" s="31" t="inlineStr">
        <is>
          <t>TOTAL LANÇADO NO LIVRO</t>
        </is>
      </c>
      <c r="B194" s="32" t="n"/>
      <c r="C194" s="32" t="n"/>
      <c r="D194" s="32" t="n"/>
      <c r="E194" s="59">
        <f>ROUND(SUM($E$134:$E$193),2)</f>
        <v/>
      </c>
      <c r="F194" s="32" t="n"/>
      <c r="G194" s="98">
        <f>IF(COUNTA($B$134:$B$193)=COUNT($E$134:$E$193),"lançamentos: "&amp;COUNT($E$134:$E$193)&amp;" · todos classificados","ATENÇÃO: "&amp;(COUNT($E$134:$E$193)-COUNTA($B$134:$B$193))&amp;" lançamento(s) sem categoria")</f>
        <v/>
      </c>
      <c r="H194" s="32" t="n"/>
      <c r="I194" s="32" t="n"/>
      <c r="J194" s="32" t="n"/>
      <c r="K194" s="32" t="n"/>
      <c r="L194" s="32" t="n"/>
      <c r="M194" s="32" t="n"/>
      <c r="N194" s="32" t="n"/>
      <c r="O194" s="32" t="n"/>
    </row>
    <row r="196" ht="50" customHeight="1">
      <c r="A196" s="43" t="inlineStr">
        <is>
          <t xml:space="preserve">  Preencha primeiro a coluna ORÇADO com o que o orçamento previu e vá preenchendo o REALIZADO conforme o projeto anda — o desvio de cada linha é o que mostra onde o orçamento erra. Compras entram uma a uma no livro do bloco 8, com categoria, forma de pagamento e status; as categorias do bloco 6 se somam sozinhas. Você pode inserir linhas em qualquer bloco a partir da linha 26: tudo o que o Painel Geral lê está acima disso.</t>
        </is>
      </c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</row>
  </sheetData>
  <mergeCells count="561">
    <mergeCell ref="A196:O196"/>
    <mergeCell ref="I170:O170"/>
    <mergeCell ref="A15:B15"/>
    <mergeCell ref="I157:O157"/>
    <mergeCell ref="G128:O128"/>
    <mergeCell ref="B141:C141"/>
    <mergeCell ref="E142:F142"/>
    <mergeCell ref="I193:O193"/>
    <mergeCell ref="I172:O172"/>
    <mergeCell ref="H9:I9"/>
    <mergeCell ref="J76:M76"/>
    <mergeCell ref="G121:O121"/>
    <mergeCell ref="E171:F171"/>
    <mergeCell ref="G123:O123"/>
    <mergeCell ref="E137:F137"/>
    <mergeCell ref="G137:H137"/>
    <mergeCell ref="E173:F173"/>
    <mergeCell ref="H70:O70"/>
    <mergeCell ref="E148:F148"/>
    <mergeCell ref="G148:H148"/>
    <mergeCell ref="B78:C78"/>
    <mergeCell ref="D7:E7"/>
    <mergeCell ref="I183:O183"/>
    <mergeCell ref="D78:E78"/>
    <mergeCell ref="E166:F166"/>
    <mergeCell ref="G139:H139"/>
    <mergeCell ref="I175:O175"/>
    <mergeCell ref="H99:O99"/>
    <mergeCell ref="A34:C34"/>
    <mergeCell ref="I185:O185"/>
    <mergeCell ref="E168:F168"/>
    <mergeCell ref="G168:H168"/>
    <mergeCell ref="H87:I87"/>
    <mergeCell ref="H101:O101"/>
    <mergeCell ref="G143:H143"/>
    <mergeCell ref="D73:E73"/>
    <mergeCell ref="I176:O176"/>
    <mergeCell ref="J9:O9"/>
    <mergeCell ref="B154:C154"/>
    <mergeCell ref="H91:I91"/>
    <mergeCell ref="E117:F117"/>
    <mergeCell ref="A24:H24"/>
    <mergeCell ref="B156:C156"/>
    <mergeCell ref="E67:F67"/>
    <mergeCell ref="A103:B103"/>
    <mergeCell ref="H112:O112"/>
    <mergeCell ref="I138:O138"/>
    <mergeCell ref="I178:O178"/>
    <mergeCell ref="H114:O114"/>
    <mergeCell ref="E161:F161"/>
    <mergeCell ref="J73:M73"/>
    <mergeCell ref="G129:O129"/>
    <mergeCell ref="A72:O72"/>
    <mergeCell ref="J77:M77"/>
    <mergeCell ref="H75:I75"/>
    <mergeCell ref="B84:C84"/>
    <mergeCell ref="E110:F110"/>
    <mergeCell ref="H105:O105"/>
    <mergeCell ref="E16:F16"/>
    <mergeCell ref="E187:F187"/>
    <mergeCell ref="G138:H138"/>
    <mergeCell ref="B142:C142"/>
    <mergeCell ref="B80:C80"/>
    <mergeCell ref="E174:F174"/>
    <mergeCell ref="H15:O15"/>
    <mergeCell ref="H107:O107"/>
    <mergeCell ref="G126:O126"/>
    <mergeCell ref="B79:C79"/>
    <mergeCell ref="E18:F18"/>
    <mergeCell ref="D79:E79"/>
    <mergeCell ref="E189:F189"/>
    <mergeCell ref="G140:H140"/>
    <mergeCell ref="B144:C144"/>
    <mergeCell ref="F73:G73"/>
    <mergeCell ref="B81:C81"/>
    <mergeCell ref="D81:E81"/>
    <mergeCell ref="I191:O191"/>
    <mergeCell ref="H102:O102"/>
    <mergeCell ref="E29:F29"/>
    <mergeCell ref="H39:O39"/>
    <mergeCell ref="I192:O192"/>
    <mergeCell ref="E69:F69"/>
    <mergeCell ref="B170:C170"/>
    <mergeCell ref="E31:F31"/>
    <mergeCell ref="E158:F158"/>
    <mergeCell ref="E133:F133"/>
    <mergeCell ref="E108:F108"/>
    <mergeCell ref="G133:H133"/>
    <mergeCell ref="B172:C172"/>
    <mergeCell ref="E95:F95"/>
    <mergeCell ref="H28:O28"/>
    <mergeCell ref="E162:F162"/>
    <mergeCell ref="G135:H135"/>
    <mergeCell ref="B92:C92"/>
    <mergeCell ref="J74:M74"/>
    <mergeCell ref="D92:E92"/>
    <mergeCell ref="I146:O146"/>
    <mergeCell ref="F92:G92"/>
    <mergeCell ref="G153:H153"/>
    <mergeCell ref="A36:O36"/>
    <mergeCell ref="A11:O11"/>
    <mergeCell ref="B76:C76"/>
    <mergeCell ref="I181:O181"/>
    <mergeCell ref="A1:O1"/>
    <mergeCell ref="I12:O12"/>
    <mergeCell ref="E164:F164"/>
    <mergeCell ref="G164:H164"/>
    <mergeCell ref="H23:O23"/>
    <mergeCell ref="B150:C150"/>
    <mergeCell ref="E42:F42"/>
    <mergeCell ref="E17:F17"/>
    <mergeCell ref="E188:F188"/>
    <mergeCell ref="E126:F126"/>
    <mergeCell ref="B152:C152"/>
    <mergeCell ref="E180:F180"/>
    <mergeCell ref="J92:M92"/>
    <mergeCell ref="E19:F19"/>
    <mergeCell ref="E190:F190"/>
    <mergeCell ref="B145:C145"/>
    <mergeCell ref="G190:H190"/>
    <mergeCell ref="G146:H146"/>
    <mergeCell ref="B181:C181"/>
    <mergeCell ref="E182:F182"/>
    <mergeCell ref="A4:O4"/>
    <mergeCell ref="F10:O10"/>
    <mergeCell ref="H110:O110"/>
    <mergeCell ref="B87:C87"/>
    <mergeCell ref="I136:O136"/>
    <mergeCell ref="B147:C147"/>
    <mergeCell ref="D87:E87"/>
    <mergeCell ref="J87:M87"/>
    <mergeCell ref="E179:F179"/>
    <mergeCell ref="J89:M89"/>
    <mergeCell ref="D82:E82"/>
    <mergeCell ref="F82:G82"/>
    <mergeCell ref="G194:O194"/>
    <mergeCell ref="E37:F37"/>
    <mergeCell ref="E159:F159"/>
    <mergeCell ref="E97:F97"/>
    <mergeCell ref="G159:H159"/>
    <mergeCell ref="B163:C163"/>
    <mergeCell ref="H8:I8"/>
    <mergeCell ref="E109:F109"/>
    <mergeCell ref="H30:O30"/>
    <mergeCell ref="E145:F145"/>
    <mergeCell ref="E139:F139"/>
    <mergeCell ref="G161:H161"/>
    <mergeCell ref="B165:C165"/>
    <mergeCell ref="H29:O29"/>
    <mergeCell ref="E111:F111"/>
    <mergeCell ref="G136:H136"/>
    <mergeCell ref="A70:B70"/>
    <mergeCell ref="H44:O44"/>
    <mergeCell ref="H31:O31"/>
    <mergeCell ref="B77:C77"/>
    <mergeCell ref="D6:E6"/>
    <mergeCell ref="D77:E77"/>
    <mergeCell ref="I149:O149"/>
    <mergeCell ref="J82:M82"/>
    <mergeCell ref="H89:I89"/>
    <mergeCell ref="I151:O151"/>
    <mergeCell ref="B191:C191"/>
    <mergeCell ref="B178:C178"/>
    <mergeCell ref="E27:F27"/>
    <mergeCell ref="I144:O144"/>
    <mergeCell ref="E119:F119"/>
    <mergeCell ref="E183:F183"/>
    <mergeCell ref="G183:H183"/>
    <mergeCell ref="A6:C6"/>
    <mergeCell ref="E22:F22"/>
    <mergeCell ref="H42:O42"/>
    <mergeCell ref="E193:F193"/>
    <mergeCell ref="G193:H193"/>
    <mergeCell ref="D88:E88"/>
    <mergeCell ref="G149:H149"/>
    <mergeCell ref="F88:G88"/>
    <mergeCell ref="I177:O177"/>
    <mergeCell ref="G185:H185"/>
    <mergeCell ref="B90:C90"/>
    <mergeCell ref="D90:E90"/>
    <mergeCell ref="E122:F122"/>
    <mergeCell ref="G151:H151"/>
    <mergeCell ref="A45:B45"/>
    <mergeCell ref="G178:H178"/>
    <mergeCell ref="F6:G6"/>
    <mergeCell ref="J90:M90"/>
    <mergeCell ref="F83:G83"/>
    <mergeCell ref="H83:I83"/>
    <mergeCell ref="E38:F38"/>
    <mergeCell ref="A2:O2"/>
    <mergeCell ref="E147:F147"/>
    <mergeCell ref="F85:G85"/>
    <mergeCell ref="H85:I85"/>
    <mergeCell ref="G175:H175"/>
    <mergeCell ref="B179:C179"/>
    <mergeCell ref="E40:F40"/>
    <mergeCell ref="G162:H162"/>
    <mergeCell ref="H108:O108"/>
    <mergeCell ref="B166:C166"/>
    <mergeCell ref="B124:D124"/>
    <mergeCell ref="E186:F186"/>
    <mergeCell ref="G177:H177"/>
    <mergeCell ref="E104:F104"/>
    <mergeCell ref="H45:O45"/>
    <mergeCell ref="B174:C174"/>
    <mergeCell ref="B168:C168"/>
    <mergeCell ref="H32:O32"/>
    <mergeCell ref="B126:D126"/>
    <mergeCell ref="D9:E9"/>
    <mergeCell ref="H80:I80"/>
    <mergeCell ref="F9:G9"/>
    <mergeCell ref="I150:O150"/>
    <mergeCell ref="J83:M83"/>
    <mergeCell ref="I165:O165"/>
    <mergeCell ref="B169:C169"/>
    <mergeCell ref="I152:O152"/>
    <mergeCell ref="E66:F66"/>
    <mergeCell ref="J85:M85"/>
    <mergeCell ref="E130:F130"/>
    <mergeCell ref="E68:F68"/>
    <mergeCell ref="B134:C134"/>
    <mergeCell ref="G155:H155"/>
    <mergeCell ref="E160:F160"/>
    <mergeCell ref="E141:F141"/>
    <mergeCell ref="G118:O118"/>
    <mergeCell ref="E135:F135"/>
    <mergeCell ref="G157:H157"/>
    <mergeCell ref="E107:F107"/>
    <mergeCell ref="H73:I73"/>
    <mergeCell ref="E143:F143"/>
    <mergeCell ref="G172:H172"/>
    <mergeCell ref="G186:H186"/>
    <mergeCell ref="B162:C162"/>
    <mergeCell ref="D91:E91"/>
    <mergeCell ref="G152:H152"/>
    <mergeCell ref="F91:G91"/>
    <mergeCell ref="A21:B21"/>
    <mergeCell ref="I163:O163"/>
    <mergeCell ref="H84:I84"/>
    <mergeCell ref="A23:B23"/>
    <mergeCell ref="B187:C187"/>
    <mergeCell ref="E125:F125"/>
    <mergeCell ref="H86:I86"/>
    <mergeCell ref="E41:F41"/>
    <mergeCell ref="B189:C189"/>
    <mergeCell ref="E112:F112"/>
    <mergeCell ref="B188:C188"/>
    <mergeCell ref="B117:D117"/>
    <mergeCell ref="E43:F43"/>
    <mergeCell ref="J91:M91"/>
    <mergeCell ref="B190:C190"/>
    <mergeCell ref="B119:D119"/>
    <mergeCell ref="A16:B16"/>
    <mergeCell ref="G124:O124"/>
    <mergeCell ref="E138:F138"/>
    <mergeCell ref="A108:B108"/>
    <mergeCell ref="B127:D127"/>
    <mergeCell ref="I168:O168"/>
    <mergeCell ref="A18:B18"/>
    <mergeCell ref="B73:C73"/>
    <mergeCell ref="E167:F167"/>
    <mergeCell ref="H100:O100"/>
    <mergeCell ref="H7:I7"/>
    <mergeCell ref="G119:O119"/>
    <mergeCell ref="B137:C137"/>
    <mergeCell ref="E169:F169"/>
    <mergeCell ref="H66:O66"/>
    <mergeCell ref="B74:C74"/>
    <mergeCell ref="D74:E74"/>
    <mergeCell ref="B139:C139"/>
    <mergeCell ref="I184:O184"/>
    <mergeCell ref="B122:D122"/>
    <mergeCell ref="I171:O171"/>
    <mergeCell ref="H76:I76"/>
    <mergeCell ref="H95:O95"/>
    <mergeCell ref="A44:B44"/>
    <mergeCell ref="I173:O173"/>
    <mergeCell ref="H97:O97"/>
    <mergeCell ref="I166:O166"/>
    <mergeCell ref="G176:H176"/>
    <mergeCell ref="E64:F64"/>
    <mergeCell ref="J7:O7"/>
    <mergeCell ref="E156:F156"/>
    <mergeCell ref="E153:F153"/>
    <mergeCell ref="H21:O21"/>
    <mergeCell ref="E128:F128"/>
    <mergeCell ref="E155:F155"/>
    <mergeCell ref="D61:E61"/>
    <mergeCell ref="G184:H184"/>
    <mergeCell ref="G171:H171"/>
    <mergeCell ref="E65:F65"/>
    <mergeCell ref="E157:F157"/>
    <mergeCell ref="H16:O16"/>
    <mergeCell ref="A17:B17"/>
    <mergeCell ref="I134:O134"/>
    <mergeCell ref="H27:O27"/>
    <mergeCell ref="G117:O117"/>
    <mergeCell ref="A19:B19"/>
    <mergeCell ref="I161:O161"/>
    <mergeCell ref="E146:F146"/>
    <mergeCell ref="E12:F12"/>
    <mergeCell ref="G125:O125"/>
    <mergeCell ref="B138:C138"/>
    <mergeCell ref="E175:F175"/>
    <mergeCell ref="H67:O67"/>
    <mergeCell ref="H103:O103"/>
    <mergeCell ref="G127:O127"/>
    <mergeCell ref="E185:F185"/>
    <mergeCell ref="B140:C140"/>
    <mergeCell ref="I187:O187"/>
    <mergeCell ref="E170:F170"/>
    <mergeCell ref="I174:O174"/>
    <mergeCell ref="H98:O98"/>
    <mergeCell ref="D75:E75"/>
    <mergeCell ref="F75:G75"/>
    <mergeCell ref="I189:O189"/>
    <mergeCell ref="I188:O188"/>
    <mergeCell ref="G192:H192"/>
    <mergeCell ref="J8:O8"/>
    <mergeCell ref="E154:F154"/>
    <mergeCell ref="G154:H154"/>
    <mergeCell ref="B158:C158"/>
    <mergeCell ref="E172:F172"/>
    <mergeCell ref="B89:C89"/>
    <mergeCell ref="B160:C160"/>
    <mergeCell ref="D89:E89"/>
    <mergeCell ref="H18:O18"/>
    <mergeCell ref="L61:M61"/>
    <mergeCell ref="A194:D194"/>
    <mergeCell ref="I142:O142"/>
    <mergeCell ref="B153:C153"/>
    <mergeCell ref="J75:M75"/>
    <mergeCell ref="B184:C184"/>
    <mergeCell ref="H113:O113"/>
    <mergeCell ref="E20:F20"/>
    <mergeCell ref="I137:O137"/>
    <mergeCell ref="E177:F177"/>
    <mergeCell ref="E13:F13"/>
    <mergeCell ref="I164:O164"/>
    <mergeCell ref="I139:O139"/>
    <mergeCell ref="B88:C88"/>
    <mergeCell ref="B148:C148"/>
    <mergeCell ref="B82:C82"/>
    <mergeCell ref="E149:F149"/>
    <mergeCell ref="E176:F176"/>
    <mergeCell ref="E114:F114"/>
    <mergeCell ref="J88:M88"/>
    <mergeCell ref="A63:O63"/>
    <mergeCell ref="E15:F15"/>
    <mergeCell ref="E191:F191"/>
    <mergeCell ref="G142:H142"/>
    <mergeCell ref="B146:C146"/>
    <mergeCell ref="E178:F178"/>
    <mergeCell ref="H37:O37"/>
    <mergeCell ref="B83:C83"/>
    <mergeCell ref="B143:C143"/>
    <mergeCell ref="D83:E83"/>
    <mergeCell ref="E144:F144"/>
    <mergeCell ref="G144:H144"/>
    <mergeCell ref="H104:O104"/>
    <mergeCell ref="B85:C85"/>
    <mergeCell ref="A94:O94"/>
    <mergeCell ref="I190:O190"/>
    <mergeCell ref="D85:E85"/>
    <mergeCell ref="G173:H173"/>
    <mergeCell ref="H92:I92"/>
    <mergeCell ref="H106:O106"/>
    <mergeCell ref="F78:G78"/>
    <mergeCell ref="E106:F106"/>
    <mergeCell ref="H78:I78"/>
    <mergeCell ref="E33:F33"/>
    <mergeCell ref="H43:O43"/>
    <mergeCell ref="B159:C159"/>
    <mergeCell ref="D80:E80"/>
    <mergeCell ref="G170:H170"/>
    <mergeCell ref="B167:C167"/>
    <mergeCell ref="A26:O26"/>
    <mergeCell ref="B161:C161"/>
    <mergeCell ref="H6:I6"/>
    <mergeCell ref="H130:O130"/>
    <mergeCell ref="H68:O68"/>
    <mergeCell ref="B136:C136"/>
    <mergeCell ref="E28:F28"/>
    <mergeCell ref="B175:C175"/>
    <mergeCell ref="E30:F30"/>
    <mergeCell ref="J84:M84"/>
    <mergeCell ref="I145:O145"/>
    <mergeCell ref="J78:M78"/>
    <mergeCell ref="H69:O69"/>
    <mergeCell ref="A9:C9"/>
    <mergeCell ref="I147:O147"/>
    <mergeCell ref="J80:M80"/>
    <mergeCell ref="D8:E8"/>
    <mergeCell ref="J79:M79"/>
    <mergeCell ref="G150:H150"/>
    <mergeCell ref="I186:O186"/>
    <mergeCell ref="E21:F21"/>
    <mergeCell ref="J6:O6"/>
    <mergeCell ref="H82:I82"/>
    <mergeCell ref="B91:C91"/>
    <mergeCell ref="E192:F192"/>
    <mergeCell ref="H20:O20"/>
    <mergeCell ref="E129:F129"/>
    <mergeCell ref="H38:O38"/>
    <mergeCell ref="E23:F23"/>
    <mergeCell ref="D84:E84"/>
    <mergeCell ref="B155:C155"/>
    <mergeCell ref="G145:H145"/>
    <mergeCell ref="F84:G84"/>
    <mergeCell ref="B149:C149"/>
    <mergeCell ref="E181:F181"/>
    <mergeCell ref="B193:C193"/>
    <mergeCell ref="E194:F194"/>
    <mergeCell ref="G181:H181"/>
    <mergeCell ref="A3:O3"/>
    <mergeCell ref="H40:O40"/>
    <mergeCell ref="B86:C86"/>
    <mergeCell ref="G160:H160"/>
    <mergeCell ref="D86:E86"/>
    <mergeCell ref="I140:O140"/>
    <mergeCell ref="G147:H147"/>
    <mergeCell ref="F86:G86"/>
    <mergeCell ref="H64:O64"/>
    <mergeCell ref="B151:C151"/>
    <mergeCell ref="F80:G80"/>
    <mergeCell ref="G174:H174"/>
    <mergeCell ref="I158:O158"/>
    <mergeCell ref="I133:O133"/>
    <mergeCell ref="G189:H189"/>
    <mergeCell ref="F79:G79"/>
    <mergeCell ref="H79:I79"/>
    <mergeCell ref="E34:F34"/>
    <mergeCell ref="B182:C182"/>
    <mergeCell ref="E105:F105"/>
    <mergeCell ref="I160:O160"/>
    <mergeCell ref="E99:F99"/>
    <mergeCell ref="I135:O135"/>
    <mergeCell ref="F81:G81"/>
    <mergeCell ref="H81:I81"/>
    <mergeCell ref="E163:F163"/>
    <mergeCell ref="E101:F101"/>
    <mergeCell ref="G163:H163"/>
    <mergeCell ref="A22:B22"/>
    <mergeCell ref="B125:D125"/>
    <mergeCell ref="E113:F113"/>
    <mergeCell ref="B183:C183"/>
    <mergeCell ref="B177:C177"/>
    <mergeCell ref="E100:F100"/>
    <mergeCell ref="B164:C164"/>
    <mergeCell ref="J86:M86"/>
    <mergeCell ref="E136:F136"/>
    <mergeCell ref="G165:H165"/>
    <mergeCell ref="H33:O33"/>
    <mergeCell ref="I24:O24"/>
    <mergeCell ref="E102:F102"/>
    <mergeCell ref="G158:H158"/>
    <mergeCell ref="B120:D120"/>
    <mergeCell ref="D10:E10"/>
    <mergeCell ref="G169:H169"/>
    <mergeCell ref="I148:O148"/>
    <mergeCell ref="I153:O153"/>
    <mergeCell ref="E127:F127"/>
    <mergeCell ref="F74:G74"/>
    <mergeCell ref="B180:C180"/>
    <mergeCell ref="H74:I74"/>
    <mergeCell ref="G191:H191"/>
    <mergeCell ref="D76:E76"/>
    <mergeCell ref="F76:G76"/>
    <mergeCell ref="A47:O47"/>
    <mergeCell ref="B157:C157"/>
    <mergeCell ref="I179:O179"/>
    <mergeCell ref="B186:C186"/>
    <mergeCell ref="I141:O141"/>
    <mergeCell ref="E124:F124"/>
    <mergeCell ref="H65:O65"/>
    <mergeCell ref="E120:F120"/>
    <mergeCell ref="I159:O159"/>
    <mergeCell ref="I143:O143"/>
    <mergeCell ref="E184:F184"/>
    <mergeCell ref="A7:C7"/>
    <mergeCell ref="G122:O122"/>
    <mergeCell ref="E121:F121"/>
    <mergeCell ref="F87:G87"/>
    <mergeCell ref="B185:C185"/>
    <mergeCell ref="E151:F151"/>
    <mergeCell ref="H41:O41"/>
    <mergeCell ref="E123:F123"/>
    <mergeCell ref="F89:G89"/>
    <mergeCell ref="E150:F150"/>
    <mergeCell ref="E39:F39"/>
    <mergeCell ref="G179:H179"/>
    <mergeCell ref="F7:G7"/>
    <mergeCell ref="E44:F44"/>
    <mergeCell ref="B176:C176"/>
    <mergeCell ref="G166:H166"/>
    <mergeCell ref="H34:O34"/>
    <mergeCell ref="B128:D128"/>
    <mergeCell ref="G141:H141"/>
    <mergeCell ref="E103:F103"/>
    <mergeCell ref="E152:F152"/>
    <mergeCell ref="A116:O116"/>
    <mergeCell ref="E118:F118"/>
    <mergeCell ref="F8:G8"/>
    <mergeCell ref="A12:B12"/>
    <mergeCell ref="C12:D12"/>
    <mergeCell ref="G167:H167"/>
    <mergeCell ref="I154:O154"/>
    <mergeCell ref="B171:C171"/>
    <mergeCell ref="B123:D123"/>
    <mergeCell ref="I156:O156"/>
    <mergeCell ref="E70:F70"/>
    <mergeCell ref="F77:G77"/>
    <mergeCell ref="H77:I77"/>
    <mergeCell ref="H96:O96"/>
    <mergeCell ref="E32:F32"/>
    <mergeCell ref="G120:O120"/>
    <mergeCell ref="B133:C133"/>
    <mergeCell ref="E134:F134"/>
    <mergeCell ref="G134:H134"/>
    <mergeCell ref="B173:C173"/>
    <mergeCell ref="E96:F96"/>
    <mergeCell ref="B75:C75"/>
    <mergeCell ref="B135:C135"/>
    <mergeCell ref="I180:O180"/>
    <mergeCell ref="A130:B130"/>
    <mergeCell ref="I167:O167"/>
    <mergeCell ref="E98:F98"/>
    <mergeCell ref="I182:O182"/>
    <mergeCell ref="E165:F165"/>
    <mergeCell ref="I169:O169"/>
    <mergeCell ref="I13:O13"/>
    <mergeCell ref="E140:F140"/>
    <mergeCell ref="G156:H156"/>
    <mergeCell ref="B118:D118"/>
    <mergeCell ref="A8:C8"/>
    <mergeCell ref="H61:I61"/>
    <mergeCell ref="H88:I88"/>
    <mergeCell ref="J81:M81"/>
    <mergeCell ref="G187:H187"/>
    <mergeCell ref="A10:C10"/>
    <mergeCell ref="H17:O17"/>
    <mergeCell ref="F90:G90"/>
    <mergeCell ref="H90:I90"/>
    <mergeCell ref="H109:O109"/>
    <mergeCell ref="G180:H180"/>
    <mergeCell ref="E45:F45"/>
    <mergeCell ref="H22:O22"/>
    <mergeCell ref="B129:D129"/>
    <mergeCell ref="H19:O19"/>
    <mergeCell ref="G188:H188"/>
    <mergeCell ref="B192:C192"/>
    <mergeCell ref="A20:B20"/>
    <mergeCell ref="H111:O111"/>
    <mergeCell ref="B121:D121"/>
    <mergeCell ref="G182:H182"/>
    <mergeCell ref="I162:O162"/>
    <mergeCell ref="A132:O132"/>
    <mergeCell ref="A13:B13"/>
    <mergeCell ref="C13:D13"/>
    <mergeCell ref="I155:O155"/>
    <mergeCell ref="A114:B114"/>
  </mergeCells>
  <conditionalFormatting sqref="I134:O193">
    <cfRule type="expression" priority="1" dxfId="0" stopIfTrue="1">
      <formula>$I134="Pago"</formula>
    </cfRule>
    <cfRule type="expression" priority="2" dxfId="3" stopIfTrue="1">
      <formula>$I134="Comprado (a pagar)"</formula>
    </cfRule>
    <cfRule type="expression" priority="3" dxfId="1" stopIfTrue="1">
      <formula>$I134="A comprar"</formula>
    </cfRule>
  </conditionalFormatting>
  <conditionalFormatting sqref="A134:O193">
    <cfRule type="expression" priority="4" dxfId="6">
      <formula>AND($E134&lt;&gt;"",$B134="")</formula>
    </cfRule>
  </conditionalFormatting>
  <conditionalFormatting sqref="E16:F22">
    <cfRule type="expression" priority="5" dxfId="4">
      <formula>AND($E16&lt;&gt;"",$E16&gt;0)</formula>
    </cfRule>
    <cfRule type="expression" priority="6" dxfId="5">
      <formula>AND($E16&lt;&gt;"",$E16&lt;0)</formula>
    </cfRule>
  </conditionalFormatting>
  <conditionalFormatting sqref="E96:F114">
    <cfRule type="expression" priority="7" dxfId="4">
      <formula>AND($E96&lt;&gt;"",$E96&gt;0)</formula>
    </cfRule>
    <cfRule type="expression" priority="8" dxfId="5">
      <formula>AND($E96&lt;&gt;"",$E96&lt;0)</formula>
    </cfRule>
  </conditionalFormatting>
  <conditionalFormatting sqref="J9">
    <cfRule type="expression" priority="9" dxfId="0" stopIfTrue="1">
      <formula>$J$9="No prazo"</formula>
    </cfRule>
    <cfRule type="expression" priority="10" dxfId="2">
      <formula>$J$9="Atrasado"</formula>
    </cfRule>
  </conditionalFormatting>
  <conditionalFormatting sqref="A13:J13">
    <cfRule type="expression" priority="11" dxfId="6">
      <formula>AND($G$13&lt;&gt;"",$G$13&lt;0.25)</formula>
    </cfRule>
  </conditionalFormatting>
  <dataValidations count="12">
    <dataValidation sqref="D10:E1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"Jan/2026,Fev/2026,Mar/2026,Abr/2026,Mai/2026,Jun/2026,Jul/2026,Ago/2026,Set/2026,Out/2026,Nov/2026,Dez/2026,Jan/2027,Fev/2027,Mar/2027,Abr/2027,Mai/2027,Jun/2027,Jul/2027,Ago/2027,Set/2027,Out/2027,Nov/2027,Dez/2027"</formula1>
    </dataValidation>
    <dataValidation sqref="D49:D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H49:H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L49:L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"Lorrane,Lucas,Externo / avulso"</formula1>
    </dataValidation>
    <dataValidation sqref="H66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A74:A91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B118:B12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"Erro de projeto,Erro de medição,Erro de produção,Erro de montagem,Falha de material,Dano no transporte,Mudança pedida pelo cliente,Falha de fornecedor,Outro"</formula1>
    </dataValidation>
    <dataValidation sqref="B134:B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"MDF e MDP,Fita de borda,Ferragens,Vidros e espelhos,Esquadrias,Lâmina natural,Consumíveis,Acabamento,Serralheria,Vidraceiro,Outro terceirizado,Uber e aplicativo,Carreto e entrega,Deslocamento da equipe,Frete de material,Estacionamento e pedágio"</formula1>
    </dataValidation>
    <dataValidation sqref="G134:G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"PIX,Boleto,Cartão de crédito,Cartão parcelado,Dinheiro,Transferência,Faturado 30 dias,A combinar"</formula1>
    </dataValidation>
    <dataValidation sqref="I134:I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"A comprar,Comprado (a pagar),Pago"</formula1>
    </dataValidation>
    <dataValidation sqref="D9:E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"Jonathan,Vitor,Indicação,Arquiteto parceiro,Outro"</formula1>
    </dataValidation>
    <dataValidation sqref="F9:G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</dataValidations>
  <pageMargins left="0.4" right="0.3" top="0.4" bottom="0.3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196"/>
  <sheetViews>
    <sheetView showGridLines="0"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14" customWidth="1" min="3" max="3"/>
    <col width="16" customWidth="1" min="4" max="4"/>
    <col width="7" customWidth="1" min="5" max="5"/>
    <col width="13" customWidth="1" min="6" max="6"/>
    <col width="13" customWidth="1" min="7" max="7"/>
    <col width="16" customWidth="1" min="8" max="8"/>
    <col width="7" customWidth="1" min="9" max="9"/>
    <col width="13" customWidth="1" min="10" max="10"/>
    <col width="13" customWidth="1" min="11" max="11"/>
    <col width="15" customWidth="1" min="12" max="12"/>
    <col width="7" customWidth="1" min="13" max="13"/>
    <col width="13" customWidth="1" min="14" max="14"/>
    <col width="14" customWidth="1" min="15" max="15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8" customHeight="1">
      <c r="A3" s="4" t="inlineStr">
        <is>
          <t>FICHA DE CUSTO DO PROJETO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 ht="17" customHeight="1">
      <c r="A4" s="6" t="inlineStr">
        <is>
          <t>Fundo creme = você preenche · fundo cinza = calculado · duplique esta aba a cada projeto e registre o nome dela no Painel Geral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 ht="6" customHeight="1"/>
    <row r="6" ht="13" customHeight="1">
      <c r="A6" s="44" t="inlineStr">
        <is>
          <t>CLIENTE</t>
        </is>
      </c>
      <c r="B6" s="13" t="n"/>
      <c r="C6" s="13" t="n"/>
      <c r="D6" s="44" t="inlineStr">
        <is>
          <t>Nº DO PROJETO</t>
        </is>
      </c>
      <c r="E6" s="13" t="n"/>
      <c r="F6" s="44" t="inlineStr">
        <is>
          <t>DATA DE ENTRADA</t>
        </is>
      </c>
      <c r="G6" s="13" t="n"/>
      <c r="H6" s="44" t="inlineStr">
        <is>
          <t>ENTREGA PREVISTA</t>
        </is>
      </c>
      <c r="I6" s="13" t="n"/>
      <c r="J6" s="44" t="inlineStr">
        <is>
          <t>ENTREGA REAL</t>
        </is>
      </c>
      <c r="K6" s="13" t="n"/>
      <c r="L6" s="13" t="n"/>
      <c r="M6" s="13" t="n"/>
      <c r="N6" s="13" t="n"/>
      <c r="O6" s="13" t="n"/>
    </row>
    <row r="7" ht="21" customHeight="1">
      <c r="A7" s="45" t="n"/>
      <c r="B7" s="46" t="n"/>
      <c r="C7" s="46" t="n"/>
      <c r="D7" s="45" t="n"/>
      <c r="E7" s="46" t="n"/>
      <c r="F7" s="47" t="n"/>
      <c r="G7" s="46" t="n"/>
      <c r="H7" s="47" t="n"/>
      <c r="I7" s="46" t="n"/>
      <c r="J7" s="47" t="n"/>
      <c r="K7" s="46" t="n"/>
      <c r="L7" s="46" t="n"/>
      <c r="M7" s="46" t="n"/>
      <c r="N7" s="46" t="n"/>
      <c r="O7" s="46" t="n"/>
    </row>
    <row r="8" ht="13" customHeight="1">
      <c r="A8" s="44" t="inlineStr">
        <is>
          <t>PROJETO</t>
        </is>
      </c>
      <c r="B8" s="13" t="n"/>
      <c r="C8" s="13" t="n"/>
      <c r="D8" s="44" t="inlineStr">
        <is>
          <t>VENDEDOR</t>
        </is>
      </c>
      <c r="E8" s="13" t="n"/>
      <c r="F8" s="44" t="inlineStr">
        <is>
          <t>COORDENADOR</t>
        </is>
      </c>
      <c r="G8" s="13" t="n"/>
      <c r="H8" s="44" t="inlineStr">
        <is>
          <t>DIAS DE ATRASO</t>
        </is>
      </c>
      <c r="I8" s="13" t="n"/>
      <c r="J8" s="44" t="inlineStr">
        <is>
          <t>SITUAÇÃO DA ENTREGA</t>
        </is>
      </c>
      <c r="K8" s="13" t="n"/>
      <c r="L8" s="13" t="n"/>
      <c r="M8" s="13" t="n"/>
      <c r="N8" s="13" t="n"/>
      <c r="O8" s="13" t="n"/>
    </row>
    <row r="9" ht="21" customHeight="1">
      <c r="A9" s="45" t="n"/>
      <c r="B9" s="46" t="n"/>
      <c r="C9" s="46" t="n"/>
      <c r="D9" s="45" t="n"/>
      <c r="E9" s="46" t="n"/>
      <c r="F9" s="48" t="n"/>
      <c r="G9" s="46" t="n"/>
      <c r="H9" s="49">
        <f>IF(OR($H$7="",$J$7=""),"",$J$7-$H$7)</f>
        <v/>
      </c>
      <c r="I9" s="38" t="n"/>
      <c r="J9" s="50">
        <f>IF($H$7="","",IF($J$7="",IF(TODAY()&gt;$H$7,"Atrasado","Em produção"),IF($H$9&lt;=0,"No prazo","Atrasado")))</f>
        <v/>
      </c>
      <c r="K9" s="38" t="n"/>
      <c r="L9" s="38" t="n"/>
      <c r="M9" s="38" t="n"/>
      <c r="N9" s="38" t="n"/>
      <c r="O9" s="38" t="n"/>
    </row>
    <row r="10" ht="18" customHeight="1">
      <c r="A10" s="51" t="inlineStr">
        <is>
          <t>MÊS DE COMPETÊNCIA</t>
        </is>
      </c>
      <c r="B10" s="37" t="n"/>
      <c r="C10" s="37" t="n"/>
      <c r="D10" s="52" t="n"/>
      <c r="E10" s="46" t="n"/>
      <c r="F10" s="53" t="inlineStr">
        <is>
          <t>o mês em que a receita e o custo deste projeto pesam no painel de competência</t>
        </is>
      </c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</row>
    <row r="11" ht="20" customHeight="1">
      <c r="A11" s="8" t="inlineStr">
        <is>
          <t xml:space="preserve">  RESULTADO DO PROJETO          tudo aqui se atualiza conforme você lança os custos mais abaixo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</row>
    <row r="12" ht="13" customHeight="1">
      <c r="A12" s="44" t="inlineStr">
        <is>
          <t>VALOR DE VENDA</t>
        </is>
      </c>
      <c r="B12" s="13" t="n"/>
      <c r="C12" s="44" t="inlineStr">
        <is>
          <t>CUSTO TOTAL</t>
        </is>
      </c>
      <c r="D12" s="13" t="n"/>
      <c r="E12" s="44" t="inlineStr">
        <is>
          <t>MARGEM DE CONTRIBUIÇÃO</t>
        </is>
      </c>
      <c r="F12" s="13" t="n"/>
      <c r="G12" s="44" t="inlineStr">
        <is>
          <t>MC %</t>
        </is>
      </c>
      <c r="H12" s="44" t="inlineStr">
        <is>
          <t>MC % ORÇADA</t>
        </is>
      </c>
      <c r="I12" s="44" t="inlineStr">
        <is>
          <t>DESVIO DE CUSTO</t>
        </is>
      </c>
      <c r="J12" s="13" t="n"/>
      <c r="K12" s="13" t="n"/>
      <c r="L12" s="13" t="n"/>
      <c r="M12" s="13" t="n"/>
      <c r="N12" s="13" t="n"/>
      <c r="O12" s="13" t="n"/>
    </row>
    <row r="13" ht="30" customHeight="1">
      <c r="A13" s="54">
        <f>IF($D$28="",$C$28,$D$28)</f>
        <v/>
      </c>
      <c r="B13" s="15" t="n"/>
      <c r="C13" s="54">
        <f>IF($D$22=0,"",$D$22)</f>
        <v/>
      </c>
      <c r="D13" s="15" t="n"/>
      <c r="E13" s="54">
        <f>IF($A$13="","",$D$23)</f>
        <v/>
      </c>
      <c r="F13" s="15" t="n"/>
      <c r="G13" s="55">
        <f>IF(OR($A$13="",$A$13=0),"",$D$23/$A$13)</f>
        <v/>
      </c>
      <c r="H13" s="55">
        <f>IF(OR($C$28="",$C$28=0),"",$C$23/$C$28)</f>
        <v/>
      </c>
      <c r="I13" s="54">
        <f>IF(OR($C$22=0,$D$22=0),"",ROUND($D$22-$C$22,2))</f>
        <v/>
      </c>
      <c r="J13" s="15" t="n"/>
      <c r="K13" s="15" t="n"/>
      <c r="L13" s="15" t="n"/>
      <c r="M13" s="15" t="n"/>
      <c r="N13" s="15" t="n"/>
      <c r="O13" s="15" t="n"/>
    </row>
    <row r="14" ht="8" customHeight="1"/>
    <row r="15" ht="26" customHeight="1">
      <c r="A15" s="19" t="inlineStr">
        <is>
          <t>Resumo por categoria</t>
        </is>
      </c>
      <c r="B15" s="35" t="n"/>
      <c r="C15" s="19" t="inlineStr">
        <is>
          <t>Orçado (R$)</t>
        </is>
      </c>
      <c r="D15" s="19" t="inlineStr">
        <is>
          <t>Realizado (R$)</t>
        </is>
      </c>
      <c r="E15" s="19" t="inlineStr">
        <is>
          <t>Desvio (R$)</t>
        </is>
      </c>
      <c r="F15" s="35" t="n"/>
      <c r="G15" s="19" t="inlineStr">
        <is>
          <t>Desvio (%)</t>
        </is>
      </c>
      <c r="H15" s="19" t="inlineStr">
        <is>
          <t>% da venda realizada</t>
        </is>
      </c>
      <c r="I15" s="35" t="n"/>
      <c r="J15" s="35" t="n"/>
      <c r="K15" s="35" t="n"/>
      <c r="L15" s="35" t="n"/>
      <c r="M15" s="35" t="n"/>
      <c r="N15" s="35" t="n"/>
      <c r="O15" s="35" t="n"/>
    </row>
    <row r="16" ht="18" customHeight="1">
      <c r="A16" s="36" t="inlineStr">
        <is>
          <t>Custos de venda</t>
        </is>
      </c>
      <c r="B16" s="37" t="n"/>
      <c r="C16" s="56">
        <f>IF(C44="","",C44)</f>
        <v/>
      </c>
      <c r="D16" s="56">
        <f>IF(D44="","",D44)</f>
        <v/>
      </c>
      <c r="E16" s="56">
        <f>IF(OR($C16="",$D16=""),"",ROUND($D16-$C16,2))</f>
        <v/>
      </c>
      <c r="F16" s="38" t="n"/>
      <c r="G16" s="57">
        <f>IF(OR($C16="",$C16=0,$D16=""),"",$D16/$C16-1)</f>
        <v/>
      </c>
      <c r="H16" s="58">
        <f>IF(OR($D16="",$A$13="",$A$13=0),"",$D16/$A$13)</f>
        <v/>
      </c>
      <c r="I16" s="38" t="n"/>
      <c r="J16" s="38" t="n"/>
      <c r="K16" s="38" t="n"/>
      <c r="L16" s="38" t="n"/>
      <c r="M16" s="38" t="n"/>
      <c r="N16" s="38" t="n"/>
      <c r="O16" s="38" t="n"/>
    </row>
    <row r="17" ht="18" customHeight="1">
      <c r="A17" s="36" t="inlineStr">
        <is>
          <t>Comissões operacionais</t>
        </is>
      </c>
      <c r="B17" s="37" t="n"/>
      <c r="C17" s="56">
        <f>IF(C70="","",C70)</f>
        <v/>
      </c>
      <c r="D17" s="56">
        <f>IF(D70="","",D70)</f>
        <v/>
      </c>
      <c r="E17" s="56">
        <f>IF(OR($C17="",$D17=""),"",ROUND($D17-$C17,2))</f>
        <v/>
      </c>
      <c r="F17" s="38" t="n"/>
      <c r="G17" s="57">
        <f>IF(OR($C17="",$C17=0,$D17=""),"",$D17/$C17-1)</f>
        <v/>
      </c>
      <c r="H17" s="58">
        <f>IF(OR($D17="",$A$13="",$A$13=0),"",$D17/$A$13)</f>
        <v/>
      </c>
      <c r="I17" s="38" t="n"/>
      <c r="J17" s="38" t="n"/>
      <c r="K17" s="38" t="n"/>
      <c r="L17" s="38" t="n"/>
      <c r="M17" s="38" t="n"/>
      <c r="N17" s="38" t="n"/>
      <c r="O17" s="38" t="n"/>
    </row>
    <row r="18" ht="18" customHeight="1">
      <c r="A18" s="36" t="inlineStr">
        <is>
          <t>Material</t>
        </is>
      </c>
      <c r="B18" s="37" t="n"/>
      <c r="C18" s="56">
        <f>IF(C103="","",C103)</f>
        <v/>
      </c>
      <c r="D18" s="56">
        <f>IF(D103="","",D103)</f>
        <v/>
      </c>
      <c r="E18" s="56">
        <f>IF(OR($C18="",$D18=""),"",ROUND($D18-$C18,2))</f>
        <v/>
      </c>
      <c r="F18" s="38" t="n"/>
      <c r="G18" s="57">
        <f>IF(OR($C18="",$C18=0,$D18=""),"",$D18/$C18-1)</f>
        <v/>
      </c>
      <c r="H18" s="58">
        <f>IF(OR($D18="",$A$13="",$A$13=0),"",$D18/$A$13)</f>
        <v/>
      </c>
      <c r="I18" s="38" t="n"/>
      <c r="J18" s="38" t="n"/>
      <c r="K18" s="38" t="n"/>
      <c r="L18" s="38" t="n"/>
      <c r="M18" s="38" t="n"/>
      <c r="N18" s="38" t="n"/>
      <c r="O18" s="38" t="n"/>
    </row>
    <row r="19" ht="18" customHeight="1">
      <c r="A19" s="36" t="inlineStr">
        <is>
          <t>Serviços terceirizados</t>
        </is>
      </c>
      <c r="B19" s="37" t="n"/>
      <c r="C19" s="56">
        <f>IF(C108="","",C108)</f>
        <v/>
      </c>
      <c r="D19" s="56">
        <f>IF(D108="","",D108)</f>
        <v/>
      </c>
      <c r="E19" s="56">
        <f>IF(OR($C19="",$D19=""),"",ROUND($D19-$C19,2))</f>
        <v/>
      </c>
      <c r="F19" s="38" t="n"/>
      <c r="G19" s="57">
        <f>IF(OR($C19="",$C19=0,$D19=""),"",$D19/$C19-1)</f>
        <v/>
      </c>
      <c r="H19" s="58">
        <f>IF(OR($D19="",$A$13="",$A$13=0),"",$D19/$A$13)</f>
        <v/>
      </c>
      <c r="I19" s="38" t="n"/>
      <c r="J19" s="38" t="n"/>
      <c r="K19" s="38" t="n"/>
      <c r="L19" s="38" t="n"/>
      <c r="M19" s="38" t="n"/>
      <c r="N19" s="38" t="n"/>
      <c r="O19" s="38" t="n"/>
    </row>
    <row r="20" ht="18" customHeight="1">
      <c r="A20" s="36" t="inlineStr">
        <is>
          <t>Logística</t>
        </is>
      </c>
      <c r="B20" s="37" t="n"/>
      <c r="C20" s="56">
        <f>IF(C114="","",C114)</f>
        <v/>
      </c>
      <c r="D20" s="56">
        <f>IF(D114="","",D114)</f>
        <v/>
      </c>
      <c r="E20" s="56">
        <f>IF(OR($C20="",$D20=""),"",ROUND($D20-$C20,2))</f>
        <v/>
      </c>
      <c r="F20" s="38" t="n"/>
      <c r="G20" s="57">
        <f>IF(OR($C20="",$C20=0,$D20=""),"",$D20/$C20-1)</f>
        <v/>
      </c>
      <c r="H20" s="58">
        <f>IF(OR($D20="",$A$13="",$A$13=0),"",$D20/$A$13)</f>
        <v/>
      </c>
      <c r="I20" s="38" t="n"/>
      <c r="J20" s="38" t="n"/>
      <c r="K20" s="38" t="n"/>
      <c r="L20" s="38" t="n"/>
      <c r="M20" s="38" t="n"/>
      <c r="N20" s="38" t="n"/>
      <c r="O20" s="38" t="n"/>
    </row>
    <row r="21" ht="18" customHeight="1">
      <c r="A21" s="36" t="inlineStr">
        <is>
          <t>Retrabalho</t>
        </is>
      </c>
      <c r="B21" s="37" t="n"/>
      <c r="C21" s="56">
        <f>IF(C130="","",C130)</f>
        <v/>
      </c>
      <c r="D21" s="56">
        <f>IF(D130="","",D130)</f>
        <v/>
      </c>
      <c r="E21" s="56">
        <f>IF(OR($C21="",$D21=""),"",ROUND($D21-$C21,2))</f>
        <v/>
      </c>
      <c r="F21" s="38" t="n"/>
      <c r="G21" s="57">
        <f>IF(OR($C21="",$C21=0,$D21=""),"",$D21/$C21-1)</f>
        <v/>
      </c>
      <c r="H21" s="58">
        <f>IF(OR($D21="",$A$13="",$A$13=0),"",$D21/$A$13)</f>
        <v/>
      </c>
      <c r="I21" s="38" t="n"/>
      <c r="J21" s="38" t="n"/>
      <c r="K21" s="38" t="n"/>
      <c r="L21" s="38" t="n"/>
      <c r="M21" s="38" t="n"/>
      <c r="N21" s="38" t="n"/>
      <c r="O21" s="38" t="n"/>
    </row>
    <row r="22" ht="22" customHeight="1">
      <c r="A22" s="31" t="inlineStr">
        <is>
          <t>(=) CUSTO TOTAL DO PROJETO</t>
        </is>
      </c>
      <c r="B22" s="32" t="n"/>
      <c r="C22" s="59">
        <f>ROUND(SUM(C16:C21),2)</f>
        <v/>
      </c>
      <c r="D22" s="59">
        <f>ROUND(SUM(D16:D21),2)</f>
        <v/>
      </c>
      <c r="E22" s="60">
        <f>ROUND($D$22-$C$22,2)</f>
        <v/>
      </c>
      <c r="F22" s="32" t="n"/>
      <c r="G22" s="61">
        <f>IF(OR($C$22="",$C$22=0),"",$D$22/$C$22-1)</f>
        <v/>
      </c>
      <c r="H22" s="62">
        <f>IF(OR($A$13="",$A$13=0),"",$D$22/$A$13)</f>
        <v/>
      </c>
      <c r="I22" s="32" t="n"/>
      <c r="J22" s="32" t="n"/>
      <c r="K22" s="32" t="n"/>
      <c r="L22" s="32" t="n"/>
      <c r="M22" s="32" t="n"/>
      <c r="N22" s="32" t="n"/>
      <c r="O22" s="32" t="n"/>
    </row>
    <row r="23" ht="28" customHeight="1">
      <c r="A23" s="63" t="inlineStr">
        <is>
          <t>(=) MARGEM DE CONTRIBUIÇÃO</t>
        </is>
      </c>
      <c r="B23" s="64" t="n"/>
      <c r="C23" s="65">
        <f>ROUND($C$28-$C$22,2)</f>
        <v/>
      </c>
      <c r="D23" s="65">
        <f>ROUND($A$13-$D$22,2)</f>
        <v/>
      </c>
      <c r="E23" s="66">
        <f>ROUND($D$23-$C$23,2)</f>
        <v/>
      </c>
      <c r="F23" s="64" t="n"/>
      <c r="G23" s="67">
        <f>IF(OR($C$28="",$C$28=0),"",$C$23/$C$28)</f>
        <v/>
      </c>
      <c r="H23" s="68">
        <f>IF(OR($A$13="",$A$13=0),"",$D$23/$A$13)</f>
        <v/>
      </c>
      <c r="I23" s="64" t="n"/>
      <c r="J23" s="64" t="n"/>
      <c r="K23" s="64" t="n"/>
      <c r="L23" s="64" t="n"/>
      <c r="M23" s="64" t="n"/>
      <c r="N23" s="64" t="n"/>
      <c r="O23" s="64" t="n"/>
    </row>
    <row r="24" ht="22" customHeight="1">
      <c r="A24" s="69">
        <f>IF($A$13="","",IF(ROUND(SUMIF($I$134:$I$193,"A comprar",$E$134:$E$193),2)+ROUND(SUMIF($I$134:$I$193,"Comprado (a pagar)",$E$134:$E$193),2)=0,"   Nenhuma compra pendente lançada — o custo realizado já é o custo final.","   Já comprado e ainda a pagar: "&amp;TEXT(ROUND(SUMIF($I$134:$I$193,"Comprado (a pagar)",$E$134:$E$193),2),"R$ #,##0")&amp;"   ·   custo projetado: "&amp;TEXT($D$22+ROUND(SUMIF($I$134:$I$193,"A comprar",$E$134:$E$193),2),"R$ #,##0")&amp;"   ·   MC projetada: "&amp;TEXT(($A$13-$D$22-ROUND(SUMIF($I$134:$I$193,"A comprar",$E$134:$E$193),2))/$A$13,"0.0%")))</f>
        <v/>
      </c>
      <c r="B24" s="15" t="n"/>
      <c r="C24" s="15" t="n"/>
      <c r="D24" s="15" t="n"/>
      <c r="E24" s="15" t="n"/>
      <c r="F24" s="15" t="n"/>
      <c r="G24" s="15" t="n"/>
      <c r="H24" s="15" t="n"/>
      <c r="I24" s="70">
        <f>IF($A$13="","",ROUND(SUMIF($I$134:$I$193,"A comprar",$E$134:$E$193),2))</f>
        <v/>
      </c>
      <c r="J24" s="15" t="n"/>
      <c r="K24" s="15" t="n"/>
      <c r="L24" s="15" t="n"/>
      <c r="M24" s="15" t="n"/>
      <c r="N24" s="15" t="n"/>
      <c r="O24" s="15" t="n"/>
    </row>
    <row r="25" ht="8" customHeight="1"/>
    <row r="26" ht="20" customHeight="1">
      <c r="A26" s="8" t="inlineStr">
        <is>
          <t xml:space="preserve">  1 · VALOR DE VENDA E NOTAS EMITIDAS          o que foi vendido e o que já virou nota — a diferença é o que falta faturar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 ht="26" customHeight="1">
      <c r="A27" s="19" t="inlineStr">
        <is>
          <t>Item</t>
        </is>
      </c>
      <c r="B27" s="19" t="inlineStr">
        <is>
          <t>%</t>
        </is>
      </c>
      <c r="C27" s="19" t="inlineStr">
        <is>
          <t>Orçado (R$)</t>
        </is>
      </c>
      <c r="D27" s="19" t="inlineStr">
        <is>
          <t>Realizado (R$)</t>
        </is>
      </c>
      <c r="E27" s="19" t="inlineStr">
        <is>
          <t>Desvio (R$)</t>
        </is>
      </c>
      <c r="F27" s="35" t="n"/>
      <c r="G27" s="19" t="inlineStr">
        <is>
          <t>% da venda</t>
        </is>
      </c>
      <c r="H27" s="19" t="inlineStr">
        <is>
          <t>Observação</t>
        </is>
      </c>
      <c r="I27" s="35" t="n"/>
      <c r="J27" s="35" t="n"/>
      <c r="K27" s="35" t="n"/>
      <c r="L27" s="35" t="n"/>
      <c r="M27" s="35" t="n"/>
      <c r="N27" s="35" t="n"/>
      <c r="O27" s="35" t="n"/>
    </row>
    <row r="28" ht="17" customHeight="1">
      <c r="A28" s="36" t="inlineStr">
        <is>
          <t>Valor de venda do projeto</t>
        </is>
      </c>
      <c r="B28" s="37" t="n"/>
      <c r="C28" s="71" t="n"/>
      <c r="D28" s="71" t="n"/>
      <c r="E28" s="56">
        <f>IF(OR($C28="",$D28=""),"",ROUND($D28-$C28,2))</f>
        <v/>
      </c>
      <c r="F28" s="38" t="n"/>
      <c r="G28" s="72" t="n"/>
      <c r="H28" s="73" t="inlineStr">
        <is>
          <t>Orçado = valor da proposta · Realizado = valor fechado</t>
        </is>
      </c>
      <c r="I28" s="46" t="n"/>
      <c r="J28" s="46" t="n"/>
      <c r="K28" s="46" t="n"/>
      <c r="L28" s="46" t="n"/>
      <c r="M28" s="46" t="n"/>
      <c r="N28" s="46" t="n"/>
      <c r="O28" s="46" t="n"/>
    </row>
    <row r="29" ht="22" customHeight="1">
      <c r="A29" s="19" t="inlineStr">
        <is>
          <t>Nota fiscal</t>
        </is>
      </c>
      <c r="B29" s="19" t="inlineStr">
        <is>
          <t>Número</t>
        </is>
      </c>
      <c r="C29" s="19" t="inlineStr">
        <is>
          <t>Data</t>
        </is>
      </c>
      <c r="D29" s="19" t="inlineStr">
        <is>
          <t>Valor (R$)</t>
        </is>
      </c>
      <c r="E29" s="19" t="inlineStr"/>
      <c r="F29" s="35" t="n"/>
      <c r="G29" s="19" t="inlineStr">
        <is>
          <t>% da venda</t>
        </is>
      </c>
      <c r="H29" s="19" t="inlineStr">
        <is>
          <t>Observação</t>
        </is>
      </c>
      <c r="I29" s="35" t="n"/>
      <c r="J29" s="35" t="n"/>
      <c r="K29" s="35" t="n"/>
      <c r="L29" s="35" t="n"/>
      <c r="M29" s="35" t="n"/>
      <c r="N29" s="35" t="n"/>
      <c r="O29" s="35" t="n"/>
    </row>
    <row r="30" ht="17" customHeight="1">
      <c r="A30" s="36" t="inlineStr">
        <is>
          <t>Nota 1</t>
        </is>
      </c>
      <c r="B30" s="74" t="n"/>
      <c r="C30" s="75" t="n"/>
      <c r="D30" s="76" t="n"/>
      <c r="E30" s="37" t="n"/>
      <c r="F30" s="37" t="n"/>
      <c r="G30" s="72">
        <f>IF(OR($D30="",$A$13="",$A$13=0),"",$D30/$A$13)</f>
        <v/>
      </c>
      <c r="H30" s="73" t="n"/>
      <c r="I30" s="46" t="n"/>
      <c r="J30" s="46" t="n"/>
      <c r="K30" s="46" t="n"/>
      <c r="L30" s="46" t="n"/>
      <c r="M30" s="46" t="n"/>
      <c r="N30" s="46" t="n"/>
      <c r="O30" s="46" t="n"/>
    </row>
    <row r="31" ht="17" customHeight="1">
      <c r="A31" s="36" t="inlineStr">
        <is>
          <t>Nota 2</t>
        </is>
      </c>
      <c r="B31" s="74" t="n"/>
      <c r="C31" s="75" t="n"/>
      <c r="D31" s="76" t="n"/>
      <c r="E31" s="37" t="n"/>
      <c r="F31" s="37" t="n"/>
      <c r="G31" s="72">
        <f>IF(OR($D31="",$A$13="",$A$13=0),"",$D31/$A$13)</f>
        <v/>
      </c>
      <c r="H31" s="73" t="n"/>
      <c r="I31" s="46" t="n"/>
      <c r="J31" s="46" t="n"/>
      <c r="K31" s="46" t="n"/>
      <c r="L31" s="46" t="n"/>
      <c r="M31" s="46" t="n"/>
      <c r="N31" s="46" t="n"/>
      <c r="O31" s="46" t="n"/>
    </row>
    <row r="32" ht="17" customHeight="1">
      <c r="A32" s="36" t="inlineStr">
        <is>
          <t>Nota 3</t>
        </is>
      </c>
      <c r="B32" s="74" t="n"/>
      <c r="C32" s="75" t="n"/>
      <c r="D32" s="76" t="n"/>
      <c r="E32" s="37" t="n"/>
      <c r="F32" s="37" t="n"/>
      <c r="G32" s="72">
        <f>IF(OR($D32="",$A$13="",$A$13=0),"",$D32/$A$13)</f>
        <v/>
      </c>
      <c r="H32" s="73" t="n"/>
      <c r="I32" s="46" t="n"/>
      <c r="J32" s="46" t="n"/>
      <c r="K32" s="46" t="n"/>
      <c r="L32" s="46" t="n"/>
      <c r="M32" s="46" t="n"/>
      <c r="N32" s="46" t="n"/>
      <c r="O32" s="46" t="n"/>
    </row>
    <row r="33" ht="17" customHeight="1">
      <c r="A33" s="36" t="inlineStr">
        <is>
          <t>Nota 4</t>
        </is>
      </c>
      <c r="B33" s="74" t="n"/>
      <c r="C33" s="75" t="n"/>
      <c r="D33" s="76" t="n"/>
      <c r="E33" s="37" t="n"/>
      <c r="F33" s="37" t="n"/>
      <c r="G33" s="72">
        <f>IF(OR($D33="",$A$13="",$A$13=0),"",$D33/$A$13)</f>
        <v/>
      </c>
      <c r="H33" s="73" t="n"/>
      <c r="I33" s="46" t="n"/>
      <c r="J33" s="46" t="n"/>
      <c r="K33" s="46" t="n"/>
      <c r="L33" s="46" t="n"/>
      <c r="M33" s="46" t="n"/>
      <c r="N33" s="46" t="n"/>
      <c r="O33" s="46" t="n"/>
    </row>
    <row r="34" ht="20" customHeight="1">
      <c r="A34" s="31" t="inlineStr">
        <is>
          <t>(=) TOTAL FATURADO  →</t>
        </is>
      </c>
      <c r="B34" s="32" t="n"/>
      <c r="C34" s="32" t="n"/>
      <c r="D34" s="60">
        <f>ROUND(SUM($D$30:$D$33),2)</f>
        <v/>
      </c>
      <c r="E34" s="32" t="n"/>
      <c r="F34" s="32" t="n"/>
      <c r="G34" s="62">
        <f>IF(OR($A$13="",$A$13=0),"",$D$34/$A$13)</f>
        <v/>
      </c>
      <c r="H34" s="77">
        <f>IF(OR($A$13="",$A$13=0),"",IF(ROUND($A$13-$D$34,2)&lt;=0,"   Projeto totalmente faturado.","   Ainda a faturar: "&amp;TEXT($A$13-$D$34,"R$ #,##0.00")))</f>
        <v/>
      </c>
      <c r="I34" s="32" t="n"/>
      <c r="J34" s="32" t="n"/>
      <c r="K34" s="32" t="n"/>
      <c r="L34" s="32" t="n"/>
      <c r="M34" s="32" t="n"/>
      <c r="N34" s="32" t="n"/>
      <c r="O34" s="32" t="n"/>
    </row>
    <row r="35" ht="8" customHeight="1"/>
    <row r="36" ht="20" customHeight="1">
      <c r="A36" s="8" t="inlineStr">
        <is>
          <t xml:space="preserve">  2 · CUSTOS DE VENDA          tudo que sai por causa da venda · define a RECEITA LÍQUIDA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</row>
    <row r="37" ht="26" customHeight="1">
      <c r="A37" s="19" t="inlineStr">
        <is>
          <t>Item</t>
        </is>
      </c>
      <c r="B37" s="19" t="inlineStr">
        <is>
          <t>%</t>
        </is>
      </c>
      <c r="C37" s="19" t="inlineStr">
        <is>
          <t>Orçado (R$)</t>
        </is>
      </c>
      <c r="D37" s="19" t="inlineStr">
        <is>
          <t>Realizado (R$)</t>
        </is>
      </c>
      <c r="E37" s="19" t="inlineStr">
        <is>
          <t>Desvio (R$)</t>
        </is>
      </c>
      <c r="F37" s="35" t="n"/>
      <c r="G37" s="19" t="inlineStr">
        <is>
          <t>% da venda</t>
        </is>
      </c>
      <c r="H37" s="19" t="inlineStr">
        <is>
          <t>Observação</t>
        </is>
      </c>
      <c r="I37" s="35" t="n"/>
      <c r="J37" s="35" t="n"/>
      <c r="K37" s="35" t="n"/>
      <c r="L37" s="35" t="n"/>
      <c r="M37" s="35" t="n"/>
      <c r="N37" s="35" t="n"/>
      <c r="O37" s="35" t="n"/>
    </row>
    <row r="38" ht="17" customHeight="1">
      <c r="A38" s="36" t="inlineStr">
        <is>
          <t>Impostos sobre a nota (Simples)</t>
        </is>
      </c>
      <c r="B38" s="78" t="n"/>
      <c r="C38" s="56">
        <f>IF($B38="","",ROUND($B38*$C$28,2))</f>
        <v/>
      </c>
      <c r="D38" s="56">
        <f>IF($B38="","",ROUND($B38*$A$13,2))</f>
        <v/>
      </c>
      <c r="E38" s="56">
        <f>IF(OR($C38="",$D38=""),"",ROUND($D38-$C38,2))</f>
        <v/>
      </c>
      <c r="F38" s="38" t="n"/>
      <c r="G38" s="72">
        <f>IF(OR($D38="",$A$13="",$A$13=0),"",$D38/$A$13)</f>
        <v/>
      </c>
      <c r="H38" s="73" t="inlineStr">
        <is>
          <t>% sobre o valor de venda</t>
        </is>
      </c>
      <c r="I38" s="46" t="n"/>
      <c r="J38" s="46" t="n"/>
      <c r="K38" s="46" t="n"/>
      <c r="L38" s="46" t="n"/>
      <c r="M38" s="46" t="n"/>
      <c r="N38" s="46" t="n"/>
      <c r="O38" s="46" t="n"/>
    </row>
    <row r="39" ht="17" customHeight="1">
      <c r="A39" s="36" t="inlineStr">
        <is>
          <t>Taxa de máquina de cartão</t>
        </is>
      </c>
      <c r="B39" s="78" t="n"/>
      <c r="C39" s="56">
        <f>IF($B39="","",ROUND($B39*$C$28,2))</f>
        <v/>
      </c>
      <c r="D39" s="56">
        <f>IF($B39="","",ROUND($B39*$A$13,2))</f>
        <v/>
      </c>
      <c r="E39" s="56">
        <f>IF(OR($C39="",$D39=""),"",ROUND($D39-$C39,2))</f>
        <v/>
      </c>
      <c r="F39" s="38" t="n"/>
      <c r="G39" s="72">
        <f>IF(OR($D39="",$A$13="",$A$13=0),"",$D39/$A$13)</f>
        <v/>
      </c>
      <c r="H39" s="73" t="inlineStr">
        <is>
          <t>% sobre o valor de venda</t>
        </is>
      </c>
      <c r="I39" s="46" t="n"/>
      <c r="J39" s="46" t="n"/>
      <c r="K39" s="46" t="n"/>
      <c r="L39" s="46" t="n"/>
      <c r="M39" s="46" t="n"/>
      <c r="N39" s="46" t="n"/>
      <c r="O39" s="46" t="n"/>
    </row>
    <row r="40" ht="17" customHeight="1">
      <c r="A40" s="36" t="inlineStr">
        <is>
          <t>Taxas de transação (PIX, boleto, TED)</t>
        </is>
      </c>
      <c r="B40" s="37" t="n"/>
      <c r="C40" s="71" t="n"/>
      <c r="D40" s="71" t="n"/>
      <c r="E40" s="56">
        <f>IF(OR($C40="",$D40=""),"",ROUND($D40-$C40,2))</f>
        <v/>
      </c>
      <c r="F40" s="38" t="n"/>
      <c r="G40" s="72">
        <f>IF(OR($D40="",$A$13="",$A$13=0),"",$D40/$A$13)</f>
        <v/>
      </c>
      <c r="H40" s="73" t="inlineStr">
        <is>
          <t>valor em reais</t>
        </is>
      </c>
      <c r="I40" s="46" t="n"/>
      <c r="J40" s="46" t="n"/>
      <c r="K40" s="46" t="n"/>
      <c r="L40" s="46" t="n"/>
      <c r="M40" s="46" t="n"/>
      <c r="N40" s="46" t="n"/>
      <c r="O40" s="46" t="n"/>
    </row>
    <row r="41" ht="17" customHeight="1">
      <c r="A41" s="36" t="inlineStr">
        <is>
          <t>Comissão de venda (vendedor)</t>
        </is>
      </c>
      <c r="B41" s="78" t="n"/>
      <c r="C41" s="56">
        <f>IF($B41="","",ROUND($B41*$C$28,2))</f>
        <v/>
      </c>
      <c r="D41" s="56">
        <f>IF($B41="","",ROUND($B41*$A$13,2))</f>
        <v/>
      </c>
      <c r="E41" s="56">
        <f>IF(OR($C41="",$D41=""),"",ROUND($D41-$C41,2))</f>
        <v/>
      </c>
      <c r="F41" s="38" t="n"/>
      <c r="G41" s="72">
        <f>IF(OR($D41="",$A$13="",$A$13=0),"",$D41/$A$13)</f>
        <v/>
      </c>
      <c r="H41" s="73" t="inlineStr">
        <is>
          <t>% sobre o valor de venda</t>
        </is>
      </c>
      <c r="I41" s="46" t="n"/>
      <c r="J41" s="46" t="n"/>
      <c r="K41" s="46" t="n"/>
      <c r="L41" s="46" t="n"/>
      <c r="M41" s="46" t="n"/>
      <c r="N41" s="46" t="n"/>
      <c r="O41" s="46" t="n"/>
    </row>
    <row r="42" ht="17" customHeight="1">
      <c r="A42" s="36" t="inlineStr">
        <is>
          <t>Projeto / anteprojeto (externo)</t>
        </is>
      </c>
      <c r="B42" s="37" t="n"/>
      <c r="C42" s="71" t="n"/>
      <c r="D42" s="71" t="n"/>
      <c r="E42" s="56">
        <f>IF(OR($C42="",$D42=""),"",ROUND($D42-$C42,2))</f>
        <v/>
      </c>
      <c r="F42" s="38" t="n"/>
      <c r="G42" s="72">
        <f>IF(OR($D42="",$A$13="",$A$13=0),"",$D42/$A$13)</f>
        <v/>
      </c>
      <c r="H42" s="73" t="inlineStr">
        <is>
          <t>projetista ou arquiteto contratado para o projeto</t>
        </is>
      </c>
      <c r="I42" s="46" t="n"/>
      <c r="J42" s="46" t="n"/>
      <c r="K42" s="46" t="n"/>
      <c r="L42" s="46" t="n"/>
      <c r="M42" s="46" t="n"/>
      <c r="N42" s="46" t="n"/>
      <c r="O42" s="46" t="n"/>
    </row>
    <row r="43" ht="17" customHeight="1">
      <c r="A43" s="36" t="inlineStr">
        <is>
          <t>RT do parceiro</t>
        </is>
      </c>
      <c r="B43" s="78" t="n"/>
      <c r="C43" s="56">
        <f>IF($B43="","",ROUND($B43*($C$28-SUM($C$38:$C$40)),2))</f>
        <v/>
      </c>
      <c r="D43" s="56">
        <f>IF($B43="","",ROUND($B43*($A$13-SUM($D$38:$D$40)),2))</f>
        <v/>
      </c>
      <c r="E43" s="56">
        <f>IF(OR($C43="",$D43=""),"",ROUND($D43-$C43,2))</f>
        <v/>
      </c>
      <c r="F43" s="38" t="n"/>
      <c r="G43" s="72">
        <f>IF(OR($D43="",$A$13="",$A$13=0),"",$D43/$A$13)</f>
        <v/>
      </c>
      <c r="H43" s="73" t="inlineStr">
        <is>
          <t>% sobre o líquido: venda menos impostos, máquina e taxas</t>
        </is>
      </c>
      <c r="I43" s="46" t="n"/>
      <c r="J43" s="46" t="n"/>
      <c r="K43" s="46" t="n"/>
      <c r="L43" s="46" t="n"/>
      <c r="M43" s="46" t="n"/>
      <c r="N43" s="46" t="n"/>
      <c r="O43" s="46" t="n"/>
    </row>
    <row r="44" ht="20" customHeight="1">
      <c r="A44" s="31" t="inlineStr">
        <is>
          <t>(=) SUBTOTAL DOS CUSTOS DE VENDA</t>
        </is>
      </c>
      <c r="B44" s="32" t="n"/>
      <c r="C44" s="60">
        <f>ROUND(SUM(C38:C43),2)</f>
        <v/>
      </c>
      <c r="D44" s="60">
        <f>ROUND(SUM(D38:D43),2)</f>
        <v/>
      </c>
      <c r="E44" s="60">
        <f>ROUND($D44-$C44,2)</f>
        <v/>
      </c>
      <c r="F44" s="32" t="n"/>
      <c r="G44" s="62">
        <f>IF(OR($A$13="",$A$13=0),"",$D44/$A$13)</f>
        <v/>
      </c>
      <c r="H44" s="32" t="n"/>
      <c r="I44" s="32" t="n"/>
      <c r="J44" s="32" t="n"/>
      <c r="K44" s="32" t="n"/>
      <c r="L44" s="32" t="n"/>
      <c r="M44" s="32" t="n"/>
      <c r="N44" s="32" t="n"/>
      <c r="O44" s="32" t="n"/>
    </row>
    <row r="45" ht="24" customHeight="1">
      <c r="A45" s="79" t="inlineStr">
        <is>
          <t>(=) RECEITA LÍQUIDA</t>
        </is>
      </c>
      <c r="B45" s="64" t="n"/>
      <c r="C45" s="80">
        <f>ROUND($C$28-$C$44,2)</f>
        <v/>
      </c>
      <c r="D45" s="80">
        <f>ROUND($A$13-$D$44,2)</f>
        <v/>
      </c>
      <c r="E45" s="66">
        <f>ROUND($D$45-$C$45,2)</f>
        <v/>
      </c>
      <c r="F45" s="64" t="n"/>
      <c r="G45" s="81">
        <f>IF(OR($A$13="",$A$13=0),"",$D$45/$A$13)</f>
        <v/>
      </c>
      <c r="H45" s="82" t="inlineStr">
        <is>
          <t>É esta a base das comissões: coordenação, produção, montagem e projetista</t>
        </is>
      </c>
      <c r="I45" s="64" t="n"/>
      <c r="J45" s="64" t="n"/>
      <c r="K45" s="64" t="n"/>
      <c r="L45" s="64" t="n"/>
      <c r="M45" s="64" t="n"/>
      <c r="N45" s="64" t="n"/>
      <c r="O45" s="64" t="n"/>
    </row>
    <row r="46" ht="8" customHeight="1"/>
    <row r="47" ht="20" customHeight="1">
      <c r="A47" s="8" t="inlineStr">
        <is>
          <t xml:space="preserve">  3 · AMBIENTES, PRODUÇÃO, MONTAGEM E PROJETO          cada ambiente com quem produziu, quem montou e quem projetou · a comissão incide sobre a receita líquida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</row>
    <row r="48" ht="32" customHeight="1">
      <c r="A48" s="19" t="inlineStr">
        <is>
          <t>Ambiente</t>
        </is>
      </c>
      <c r="B48" s="19" t="inlineStr">
        <is>
          <t>% do total</t>
        </is>
      </c>
      <c r="C48" s="19" t="inlineStr">
        <is>
          <t>Valor do ambiente (R$)</t>
        </is>
      </c>
      <c r="D48" s="19" t="inlineStr">
        <is>
          <t>Produção — quem</t>
        </is>
      </c>
      <c r="E48" s="19" t="inlineStr">
        <is>
          <t>%</t>
        </is>
      </c>
      <c r="F48" s="19" t="inlineStr">
        <is>
          <t>Comissão produção (R$)</t>
        </is>
      </c>
      <c r="G48" s="19" t="inlineStr">
        <is>
          <t>Fabricado em</t>
        </is>
      </c>
      <c r="H48" s="19" t="inlineStr">
        <is>
          <t>Montagem — quem</t>
        </is>
      </c>
      <c r="I48" s="19" t="inlineStr">
        <is>
          <t>%</t>
        </is>
      </c>
      <c r="J48" s="19" t="inlineStr">
        <is>
          <t>Comissão montagem (R$)</t>
        </is>
      </c>
      <c r="K48" s="19" t="inlineStr">
        <is>
          <t>Montado em</t>
        </is>
      </c>
      <c r="L48" s="19" t="inlineStr">
        <is>
          <t>Projetista — quem</t>
        </is>
      </c>
      <c r="M48" s="19" t="inlineStr">
        <is>
          <t>%</t>
        </is>
      </c>
      <c r="N48" s="19" t="inlineStr">
        <is>
          <t>Comissão projetista (R$)</t>
        </is>
      </c>
      <c r="O48" s="19" t="inlineStr">
        <is>
          <t>Total do ambiente</t>
        </is>
      </c>
    </row>
    <row r="49" ht="18" customHeight="1">
      <c r="A49" s="83" t="n"/>
      <c r="B49" s="72">
        <f>IF(OR($C49="",$A$13="",$A$13=0),"",$C49/$A$13)</f>
        <v/>
      </c>
      <c r="C49" s="76" t="n"/>
      <c r="D49" s="83" t="n"/>
      <c r="E49" s="78" t="n"/>
      <c r="F49" s="56">
        <f>IF(OR($B49="",$E49="",$D$45=""),"",ROUND($B49*$D$45*$E49,2))</f>
        <v/>
      </c>
      <c r="G49" s="84" t="n"/>
      <c r="H49" s="83" t="n"/>
      <c r="I49" s="78" t="n"/>
      <c r="J49" s="56">
        <f>IF(OR($B49="",$I49="",$D$45=""),"",ROUND($B49*$D$45*$I49,2))</f>
        <v/>
      </c>
      <c r="K49" s="84" t="n"/>
      <c r="L49" s="83" t="n"/>
      <c r="M49" s="78" t="n"/>
      <c r="N49" s="56">
        <f>IF(OR($B49="",$M49="",$D$45=""),"",ROUND($B49*$D$45*$M49,2))</f>
        <v/>
      </c>
      <c r="O49" s="85">
        <f>IF(AND($F49="",$J49="",$N49=""),"",ROUND(IF($F49="",0,$F49)+IF($J49="",0,$J49)+IF($N49="",0,$N49),2))</f>
        <v/>
      </c>
    </row>
    <row r="50" ht="18" customHeight="1">
      <c r="A50" s="83" t="n"/>
      <c r="B50" s="72">
        <f>IF(OR($C50="",$A$13="",$A$13=0),"",$C50/$A$13)</f>
        <v/>
      </c>
      <c r="C50" s="76" t="n"/>
      <c r="D50" s="83" t="n"/>
      <c r="E50" s="78" t="n"/>
      <c r="F50" s="56">
        <f>IF(OR($B50="",$E50="",$D$45=""),"",ROUND($B50*$D$45*$E50,2))</f>
        <v/>
      </c>
      <c r="G50" s="84" t="n"/>
      <c r="H50" s="83" t="n"/>
      <c r="I50" s="78" t="n"/>
      <c r="J50" s="56">
        <f>IF(OR($B50="",$I50="",$D$45=""),"",ROUND($B50*$D$45*$I50,2))</f>
        <v/>
      </c>
      <c r="K50" s="84" t="n"/>
      <c r="L50" s="83" t="n"/>
      <c r="M50" s="78" t="n"/>
      <c r="N50" s="56">
        <f>IF(OR($B50="",$M50="",$D$45=""),"",ROUND($B50*$D$45*$M50,2))</f>
        <v/>
      </c>
      <c r="O50" s="85">
        <f>IF(AND($F50="",$J50="",$N50=""),"",ROUND(IF($F50="",0,$F50)+IF($J50="",0,$J50)+IF($N50="",0,$N50),2))</f>
        <v/>
      </c>
    </row>
    <row r="51" ht="18" customHeight="1">
      <c r="A51" s="83" t="n"/>
      <c r="B51" s="72">
        <f>IF(OR($C51="",$A$13="",$A$13=0),"",$C51/$A$13)</f>
        <v/>
      </c>
      <c r="C51" s="76" t="n"/>
      <c r="D51" s="83" t="n"/>
      <c r="E51" s="78" t="n"/>
      <c r="F51" s="56">
        <f>IF(OR($B51="",$E51="",$D$45=""),"",ROUND($B51*$D$45*$E51,2))</f>
        <v/>
      </c>
      <c r="G51" s="84" t="n"/>
      <c r="H51" s="83" t="n"/>
      <c r="I51" s="78" t="n"/>
      <c r="J51" s="56">
        <f>IF(OR($B51="",$I51="",$D$45=""),"",ROUND($B51*$D$45*$I51,2))</f>
        <v/>
      </c>
      <c r="K51" s="84" t="n"/>
      <c r="L51" s="83" t="n"/>
      <c r="M51" s="78" t="n"/>
      <c r="N51" s="56">
        <f>IF(OR($B51="",$M51="",$D$45=""),"",ROUND($B51*$D$45*$M51,2))</f>
        <v/>
      </c>
      <c r="O51" s="85">
        <f>IF(AND($F51="",$J51="",$N51=""),"",ROUND(IF($F51="",0,$F51)+IF($J51="",0,$J51)+IF($N51="",0,$N51),2))</f>
        <v/>
      </c>
    </row>
    <row r="52" ht="18" customHeight="1">
      <c r="A52" s="83" t="n"/>
      <c r="B52" s="72">
        <f>IF(OR($C52="",$A$13="",$A$13=0),"",$C52/$A$13)</f>
        <v/>
      </c>
      <c r="C52" s="76" t="n"/>
      <c r="D52" s="83" t="n"/>
      <c r="E52" s="78" t="n"/>
      <c r="F52" s="56">
        <f>IF(OR($B52="",$E52="",$D$45=""),"",ROUND($B52*$D$45*$E52,2))</f>
        <v/>
      </c>
      <c r="G52" s="84" t="n"/>
      <c r="H52" s="83" t="n"/>
      <c r="I52" s="78" t="n"/>
      <c r="J52" s="56">
        <f>IF(OR($B52="",$I52="",$D$45=""),"",ROUND($B52*$D$45*$I52,2))</f>
        <v/>
      </c>
      <c r="K52" s="84" t="n"/>
      <c r="L52" s="83" t="n"/>
      <c r="M52" s="78" t="n"/>
      <c r="N52" s="56">
        <f>IF(OR($B52="",$M52="",$D$45=""),"",ROUND($B52*$D$45*$M52,2))</f>
        <v/>
      </c>
      <c r="O52" s="85">
        <f>IF(AND($F52="",$J52="",$N52=""),"",ROUND(IF($F52="",0,$F52)+IF($J52="",0,$J52)+IF($N52="",0,$N52),2))</f>
        <v/>
      </c>
    </row>
    <row r="53" ht="18" customHeight="1">
      <c r="A53" s="83" t="n"/>
      <c r="B53" s="72">
        <f>IF(OR($C53="",$A$13="",$A$13=0),"",$C53/$A$13)</f>
        <v/>
      </c>
      <c r="C53" s="76" t="n"/>
      <c r="D53" s="83" t="n"/>
      <c r="E53" s="78" t="n"/>
      <c r="F53" s="56">
        <f>IF(OR($B53="",$E53="",$D$45=""),"",ROUND($B53*$D$45*$E53,2))</f>
        <v/>
      </c>
      <c r="G53" s="84" t="n"/>
      <c r="H53" s="83" t="n"/>
      <c r="I53" s="78" t="n"/>
      <c r="J53" s="56">
        <f>IF(OR($B53="",$I53="",$D$45=""),"",ROUND($B53*$D$45*$I53,2))</f>
        <v/>
      </c>
      <c r="K53" s="84" t="n"/>
      <c r="L53" s="83" t="n"/>
      <c r="M53" s="78" t="n"/>
      <c r="N53" s="56">
        <f>IF(OR($B53="",$M53="",$D$45=""),"",ROUND($B53*$D$45*$M53,2))</f>
        <v/>
      </c>
      <c r="O53" s="85">
        <f>IF(AND($F53="",$J53="",$N53=""),"",ROUND(IF($F53="",0,$F53)+IF($J53="",0,$J53)+IF($N53="",0,$N53),2))</f>
        <v/>
      </c>
    </row>
    <row r="54" ht="18" customHeight="1">
      <c r="A54" s="83" t="n"/>
      <c r="B54" s="72">
        <f>IF(OR($C54="",$A$13="",$A$13=0),"",$C54/$A$13)</f>
        <v/>
      </c>
      <c r="C54" s="76" t="n"/>
      <c r="D54" s="83" t="n"/>
      <c r="E54" s="78" t="n"/>
      <c r="F54" s="56">
        <f>IF(OR($B54="",$E54="",$D$45=""),"",ROUND($B54*$D$45*$E54,2))</f>
        <v/>
      </c>
      <c r="G54" s="84" t="n"/>
      <c r="H54" s="83" t="n"/>
      <c r="I54" s="78" t="n"/>
      <c r="J54" s="56">
        <f>IF(OR($B54="",$I54="",$D$45=""),"",ROUND($B54*$D$45*$I54,2))</f>
        <v/>
      </c>
      <c r="K54" s="84" t="n"/>
      <c r="L54" s="83" t="n"/>
      <c r="M54" s="78" t="n"/>
      <c r="N54" s="56">
        <f>IF(OR($B54="",$M54="",$D$45=""),"",ROUND($B54*$D$45*$M54,2))</f>
        <v/>
      </c>
      <c r="O54" s="85">
        <f>IF(AND($F54="",$J54="",$N54=""),"",ROUND(IF($F54="",0,$F54)+IF($J54="",0,$J54)+IF($N54="",0,$N54),2))</f>
        <v/>
      </c>
    </row>
    <row r="55" ht="18" customHeight="1">
      <c r="A55" s="83" t="n"/>
      <c r="B55" s="72">
        <f>IF(OR($C55="",$A$13="",$A$13=0),"",$C55/$A$13)</f>
        <v/>
      </c>
      <c r="C55" s="76" t="n"/>
      <c r="D55" s="83" t="n"/>
      <c r="E55" s="78" t="n"/>
      <c r="F55" s="56">
        <f>IF(OR($B55="",$E55="",$D$45=""),"",ROUND($B55*$D$45*$E55,2))</f>
        <v/>
      </c>
      <c r="G55" s="84" t="n"/>
      <c r="H55" s="83" t="n"/>
      <c r="I55" s="78" t="n"/>
      <c r="J55" s="56">
        <f>IF(OR($B55="",$I55="",$D$45=""),"",ROUND($B55*$D$45*$I55,2))</f>
        <v/>
      </c>
      <c r="K55" s="84" t="n"/>
      <c r="L55" s="83" t="n"/>
      <c r="M55" s="78" t="n"/>
      <c r="N55" s="56">
        <f>IF(OR($B55="",$M55="",$D$45=""),"",ROUND($B55*$D$45*$M55,2))</f>
        <v/>
      </c>
      <c r="O55" s="85">
        <f>IF(AND($F55="",$J55="",$N55=""),"",ROUND(IF($F55="",0,$F55)+IF($J55="",0,$J55)+IF($N55="",0,$N55),2))</f>
        <v/>
      </c>
    </row>
    <row r="56" ht="18" customHeight="1">
      <c r="A56" s="83" t="n"/>
      <c r="B56" s="72">
        <f>IF(OR($C56="",$A$13="",$A$13=0),"",$C56/$A$13)</f>
        <v/>
      </c>
      <c r="C56" s="76" t="n"/>
      <c r="D56" s="83" t="n"/>
      <c r="E56" s="78" t="n"/>
      <c r="F56" s="56">
        <f>IF(OR($B56="",$E56="",$D$45=""),"",ROUND($B56*$D$45*$E56,2))</f>
        <v/>
      </c>
      <c r="G56" s="84" t="n"/>
      <c r="H56" s="83" t="n"/>
      <c r="I56" s="78" t="n"/>
      <c r="J56" s="56">
        <f>IF(OR($B56="",$I56="",$D$45=""),"",ROUND($B56*$D$45*$I56,2))</f>
        <v/>
      </c>
      <c r="K56" s="84" t="n"/>
      <c r="L56" s="83" t="n"/>
      <c r="M56" s="78" t="n"/>
      <c r="N56" s="56">
        <f>IF(OR($B56="",$M56="",$D$45=""),"",ROUND($B56*$D$45*$M56,2))</f>
        <v/>
      </c>
      <c r="O56" s="85">
        <f>IF(AND($F56="",$J56="",$N56=""),"",ROUND(IF($F56="",0,$F56)+IF($J56="",0,$J56)+IF($N56="",0,$N56),2))</f>
        <v/>
      </c>
    </row>
    <row r="57" ht="18" customHeight="1">
      <c r="A57" s="83" t="n"/>
      <c r="B57" s="72">
        <f>IF(OR($C57="",$A$13="",$A$13=0),"",$C57/$A$13)</f>
        <v/>
      </c>
      <c r="C57" s="76" t="n"/>
      <c r="D57" s="83" t="n"/>
      <c r="E57" s="78" t="n"/>
      <c r="F57" s="56">
        <f>IF(OR($B57="",$E57="",$D$45=""),"",ROUND($B57*$D$45*$E57,2))</f>
        <v/>
      </c>
      <c r="G57" s="84" t="n"/>
      <c r="H57" s="83" t="n"/>
      <c r="I57" s="78" t="n"/>
      <c r="J57" s="56">
        <f>IF(OR($B57="",$I57="",$D$45=""),"",ROUND($B57*$D$45*$I57,2))</f>
        <v/>
      </c>
      <c r="K57" s="84" t="n"/>
      <c r="L57" s="83" t="n"/>
      <c r="M57" s="78" t="n"/>
      <c r="N57" s="56">
        <f>IF(OR($B57="",$M57="",$D$45=""),"",ROUND($B57*$D$45*$M57,2))</f>
        <v/>
      </c>
      <c r="O57" s="85">
        <f>IF(AND($F57="",$J57="",$N57=""),"",ROUND(IF($F57="",0,$F57)+IF($J57="",0,$J57)+IF($N57="",0,$N57),2))</f>
        <v/>
      </c>
    </row>
    <row r="58" ht="18" customHeight="1">
      <c r="A58" s="83" t="n"/>
      <c r="B58" s="72">
        <f>IF(OR($C58="",$A$13="",$A$13=0),"",$C58/$A$13)</f>
        <v/>
      </c>
      <c r="C58" s="76" t="n"/>
      <c r="D58" s="83" t="n"/>
      <c r="E58" s="78" t="n"/>
      <c r="F58" s="56">
        <f>IF(OR($B58="",$E58="",$D$45=""),"",ROUND($B58*$D$45*$E58,2))</f>
        <v/>
      </c>
      <c r="G58" s="84" t="n"/>
      <c r="H58" s="83" t="n"/>
      <c r="I58" s="78" t="n"/>
      <c r="J58" s="56">
        <f>IF(OR($B58="",$I58="",$D$45=""),"",ROUND($B58*$D$45*$I58,2))</f>
        <v/>
      </c>
      <c r="K58" s="84" t="n"/>
      <c r="L58" s="83" t="n"/>
      <c r="M58" s="78" t="n"/>
      <c r="N58" s="56">
        <f>IF(OR($B58="",$M58="",$D$45=""),"",ROUND($B58*$D$45*$M58,2))</f>
        <v/>
      </c>
      <c r="O58" s="85">
        <f>IF(AND($F58="",$J58="",$N58=""),"",ROUND(IF($F58="",0,$F58)+IF($J58="",0,$J58)+IF($N58="",0,$N58),2))</f>
        <v/>
      </c>
    </row>
    <row r="59" ht="18" customHeight="1">
      <c r="A59" s="83" t="n"/>
      <c r="B59" s="72">
        <f>IF(OR($C59="",$A$13="",$A$13=0),"",$C59/$A$13)</f>
        <v/>
      </c>
      <c r="C59" s="76" t="n"/>
      <c r="D59" s="83" t="n"/>
      <c r="E59" s="78" t="n"/>
      <c r="F59" s="56">
        <f>IF(OR($B59="",$E59="",$D$45=""),"",ROUND($B59*$D$45*$E59,2))</f>
        <v/>
      </c>
      <c r="G59" s="84" t="n"/>
      <c r="H59" s="83" t="n"/>
      <c r="I59" s="78" t="n"/>
      <c r="J59" s="56">
        <f>IF(OR($B59="",$I59="",$D$45=""),"",ROUND($B59*$D$45*$I59,2))</f>
        <v/>
      </c>
      <c r="K59" s="84" t="n"/>
      <c r="L59" s="83" t="n"/>
      <c r="M59" s="78" t="n"/>
      <c r="N59" s="56">
        <f>IF(OR($B59="",$M59="",$D$45=""),"",ROUND($B59*$D$45*$M59,2))</f>
        <v/>
      </c>
      <c r="O59" s="85">
        <f>IF(AND($F59="",$J59="",$N59=""),"",ROUND(IF($F59="",0,$F59)+IF($J59="",0,$J59)+IF($N59="",0,$N59),2))</f>
        <v/>
      </c>
    </row>
    <row r="60" ht="18" customHeight="1">
      <c r="A60" s="83" t="n"/>
      <c r="B60" s="72">
        <f>IF(OR($C60="",$A$13="",$A$13=0),"",$C60/$A$13)</f>
        <v/>
      </c>
      <c r="C60" s="76" t="n"/>
      <c r="D60" s="83" t="n"/>
      <c r="E60" s="78" t="n"/>
      <c r="F60" s="56">
        <f>IF(OR($B60="",$E60="",$D$45=""),"",ROUND($B60*$D$45*$E60,2))</f>
        <v/>
      </c>
      <c r="G60" s="84" t="n"/>
      <c r="H60" s="83" t="n"/>
      <c r="I60" s="78" t="n"/>
      <c r="J60" s="56">
        <f>IF(OR($B60="",$I60="",$D$45=""),"",ROUND($B60*$D$45*$I60,2))</f>
        <v/>
      </c>
      <c r="K60" s="84" t="n"/>
      <c r="L60" s="83" t="n"/>
      <c r="M60" s="78" t="n"/>
      <c r="N60" s="56">
        <f>IF(OR($B60="",$M60="",$D$45=""),"",ROUND($B60*$D$45*$M60,2))</f>
        <v/>
      </c>
      <c r="O60" s="85">
        <f>IF(AND($F60="",$J60="",$N60=""),"",ROUND(IF($F60="",0,$F60)+IF($J60="",0,$J60)+IF($N60="",0,$N60),2))</f>
        <v/>
      </c>
    </row>
    <row r="61" ht="20" customHeight="1">
      <c r="A61" s="31" t="inlineStr">
        <is>
          <t>SOMA DOS AMBIENTES</t>
        </is>
      </c>
      <c r="B61" s="62">
        <f>IF($A$13=0,"",$C$61/$A$13)</f>
        <v/>
      </c>
      <c r="C61" s="60">
        <f>ROUND(SUM(C49:C60),2)</f>
        <v/>
      </c>
      <c r="D61" s="86">
        <f>IF($C$61=0,"—",IF(ROUND($C$61-$A$13,2)=0,"OK · os ambientes somam o valor de venda","ATENÇÃO: diferença de "&amp;TEXT($C$61-$A$13,"R$ #,##0.00")))</f>
        <v/>
      </c>
      <c r="E61" s="32" t="n"/>
      <c r="F61" s="60">
        <f>ROUND(SUM(F49:F60),2)</f>
        <v/>
      </c>
      <c r="G61" s="32" t="n"/>
      <c r="H61" s="32" t="n"/>
      <c r="I61" s="32" t="n"/>
      <c r="J61" s="60">
        <f>ROUND(SUM(J49:J60),2)</f>
        <v/>
      </c>
      <c r="K61" s="32" t="n"/>
      <c r="L61" s="32" t="n"/>
      <c r="M61" s="32" t="n"/>
      <c r="N61" s="60">
        <f>ROUND(SUM(N49:N60),2)</f>
        <v/>
      </c>
      <c r="O61" s="60">
        <f>ROUND(SUM(O49:O60),2)</f>
        <v/>
      </c>
    </row>
    <row r="62" ht="8" customHeight="1"/>
    <row r="63" ht="20" customHeight="1">
      <c r="A63" s="8" t="inlineStr">
        <is>
          <t xml:space="preserve">  4 · COMISSÕES OPERACIONAIS          calculadas sobre a RECEITA LÍQUIDA · o realizado vem dos ambientes acima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</row>
    <row r="64" ht="26" customHeight="1">
      <c r="A64" s="19" t="inlineStr">
        <is>
          <t>Item</t>
        </is>
      </c>
      <c r="B64" s="19" t="inlineStr">
        <is>
          <t>%</t>
        </is>
      </c>
      <c r="C64" s="19" t="inlineStr">
        <is>
          <t>Orçado (R$)</t>
        </is>
      </c>
      <c r="D64" s="19" t="inlineStr">
        <is>
          <t>Realizado (R$)</t>
        </is>
      </c>
      <c r="E64" s="19" t="inlineStr">
        <is>
          <t>Desvio (R$)</t>
        </is>
      </c>
      <c r="F64" s="35" t="n"/>
      <c r="G64" s="19" t="inlineStr">
        <is>
          <t>% da venda</t>
        </is>
      </c>
      <c r="H64" s="19" t="inlineStr">
        <is>
          <t>Observação</t>
        </is>
      </c>
      <c r="I64" s="35" t="n"/>
      <c r="J64" s="35" t="n"/>
      <c r="K64" s="35" t="n"/>
      <c r="L64" s="35" t="n"/>
      <c r="M64" s="35" t="n"/>
      <c r="N64" s="35" t="n"/>
      <c r="O64" s="35" t="n"/>
    </row>
    <row r="65" ht="17" customHeight="1">
      <c r="A65" s="36" t="inlineStr">
        <is>
          <t>Coordenação de produção</t>
        </is>
      </c>
      <c r="B65" s="78" t="n"/>
      <c r="C65" s="56">
        <f>IF($B65="","",ROUND($B65*$C$45,2))</f>
        <v/>
      </c>
      <c r="D65" s="56">
        <f>IF($B65="","",ROUND($B65*$D$45,2))</f>
        <v/>
      </c>
      <c r="E65" s="56">
        <f>IF(OR($C65="",$D65=""),"",ROUND($D65-$C65,2))</f>
        <v/>
      </c>
      <c r="F65" s="38" t="n"/>
      <c r="G65" s="72">
        <f>IF(OR($D65="",$A$13="",$A$13=0),"",$D65/$A$13)</f>
        <v/>
      </c>
      <c r="H65" s="73" t="inlineStr">
        <is>
          <t>quem coordena está na identificação, no topo da ficha</t>
        </is>
      </c>
      <c r="I65" s="46" t="n"/>
      <c r="J65" s="46" t="n"/>
      <c r="K65" s="46" t="n"/>
      <c r="L65" s="46" t="n"/>
      <c r="M65" s="46" t="n"/>
      <c r="N65" s="46" t="n"/>
      <c r="O65" s="46" t="n"/>
    </row>
    <row r="66" ht="17" customHeight="1">
      <c r="A66" s="36" t="inlineStr">
        <is>
          <t>Gestão técnica</t>
        </is>
      </c>
      <c r="B66" s="78" t="n">
        <v>0.005</v>
      </c>
      <c r="C66" s="56">
        <f>IF($B66="","",ROUND($B66*$C$45,2))</f>
        <v/>
      </c>
      <c r="D66" s="56">
        <f>IF($B66="","",ROUND($B66*$D$45,2))</f>
        <v/>
      </c>
      <c r="E66" s="56">
        <f>IF(OR($C66="",$D66=""),"",ROUND($D66-$C66,2))</f>
        <v/>
      </c>
      <c r="F66" s="38" t="n"/>
      <c r="G66" s="72">
        <f>IF(OR($D66="",$A$13="",$A$13=0),"",$D66/$A$13)</f>
        <v/>
      </c>
      <c r="H66" s="73" t="n"/>
      <c r="I66" s="46" t="n"/>
      <c r="J66" s="46" t="n"/>
      <c r="K66" s="46" t="n"/>
      <c r="L66" s="46" t="n"/>
      <c r="M66" s="46" t="n"/>
      <c r="N66" s="46" t="n"/>
      <c r="O66" s="46" t="n"/>
    </row>
    <row r="67" ht="17" customHeight="1">
      <c r="A67" s="36" t="inlineStr">
        <is>
          <t>Comissão de produção</t>
        </is>
      </c>
      <c r="B67" s="78" t="n"/>
      <c r="C67" s="56">
        <f>IF($B67="","",ROUND($B67*$C$45,2))</f>
        <v/>
      </c>
      <c r="D67" s="56">
        <f>IF($F$61=0,"",$F$61)</f>
        <v/>
      </c>
      <c r="E67" s="56">
        <f>IF(OR($C67="",$D67=""),"",ROUND($D67-$C67,2))</f>
        <v/>
      </c>
      <c r="F67" s="38" t="n"/>
      <c r="G67" s="72">
        <f>IF(OR($D67="",$A$13="",$A$13=0),"",$D67/$A$13)</f>
        <v/>
      </c>
      <c r="H67" s="73" t="inlineStr">
        <is>
          <t>orçado = % único estimado · realizado = soma dos ambientes</t>
        </is>
      </c>
      <c r="I67" s="46" t="n"/>
      <c r="J67" s="46" t="n"/>
      <c r="K67" s="46" t="n"/>
      <c r="L67" s="46" t="n"/>
      <c r="M67" s="46" t="n"/>
      <c r="N67" s="46" t="n"/>
      <c r="O67" s="46" t="n"/>
    </row>
    <row r="68" ht="17" customHeight="1">
      <c r="A68" s="36" t="inlineStr">
        <is>
          <t>Comissão de montagem</t>
        </is>
      </c>
      <c r="B68" s="78" t="n"/>
      <c r="C68" s="56">
        <f>IF($B68="","",ROUND($B68*$C$45,2))</f>
        <v/>
      </c>
      <c r="D68" s="56">
        <f>IF($J$61=0,"",$J$61)</f>
        <v/>
      </c>
      <c r="E68" s="56">
        <f>IF(OR($C68="",$D68=""),"",ROUND($D68-$C68,2))</f>
        <v/>
      </c>
      <c r="F68" s="38" t="n"/>
      <c r="G68" s="72">
        <f>IF(OR($D68="",$A$13="",$A$13=0),"",$D68/$A$13)</f>
        <v/>
      </c>
      <c r="H68" s="73" t="inlineStr">
        <is>
          <t>orçado = % único estimado · realizado = soma dos ambientes</t>
        </is>
      </c>
      <c r="I68" s="46" t="n"/>
      <c r="J68" s="46" t="n"/>
      <c r="K68" s="46" t="n"/>
      <c r="L68" s="46" t="n"/>
      <c r="M68" s="46" t="n"/>
      <c r="N68" s="46" t="n"/>
      <c r="O68" s="46" t="n"/>
    </row>
    <row r="69" ht="17" customHeight="1">
      <c r="A69" s="36" t="inlineStr">
        <is>
          <t>Comissão de projetista</t>
        </is>
      </c>
      <c r="B69" s="78" t="n"/>
      <c r="C69" s="56">
        <f>IF($B69="","",ROUND($B69*$C$45,2))</f>
        <v/>
      </c>
      <c r="D69" s="56">
        <f>IF($N$61=0,"",$N$61)</f>
        <v/>
      </c>
      <c r="E69" s="56">
        <f>IF(OR($C69="",$D69=""),"",ROUND($D69-$C69,2))</f>
        <v/>
      </c>
      <c r="F69" s="38" t="n"/>
      <c r="G69" s="72">
        <f>IF(OR($D69="",$A$13="",$A$13=0),"",$D69/$A$13)</f>
        <v/>
      </c>
      <c r="H69" s="73" t="inlineStr">
        <is>
          <t>quem projetou cada ambiente está na coluna L do bloco 3</t>
        </is>
      </c>
      <c r="I69" s="46" t="n"/>
      <c r="J69" s="46" t="n"/>
      <c r="K69" s="46" t="n"/>
      <c r="L69" s="46" t="n"/>
      <c r="M69" s="46" t="n"/>
      <c r="N69" s="46" t="n"/>
      <c r="O69" s="46" t="n"/>
    </row>
    <row r="70" ht="20" customHeight="1">
      <c r="A70" s="31" t="inlineStr">
        <is>
          <t>(=) SUBTOTAL DAS COMISSÕES</t>
        </is>
      </c>
      <c r="B70" s="32" t="n"/>
      <c r="C70" s="60">
        <f>ROUND(SUM(C65:C69),2)</f>
        <v/>
      </c>
      <c r="D70" s="60">
        <f>ROUND(SUM(D65:D69),2)</f>
        <v/>
      </c>
      <c r="E70" s="60">
        <f>ROUND($D70-$C70,2)</f>
        <v/>
      </c>
      <c r="F70" s="32" t="n"/>
      <c r="G70" s="62">
        <f>IF(OR($A$13="",$A$13=0),"",$D70/$A$13)</f>
        <v/>
      </c>
      <c r="H70" s="32" t="n"/>
      <c r="I70" s="32" t="n"/>
      <c r="J70" s="32" t="n"/>
      <c r="K70" s="32" t="n"/>
      <c r="L70" s="32" t="n"/>
      <c r="M70" s="32" t="n"/>
      <c r="N70" s="32" t="n"/>
      <c r="O70" s="32" t="n"/>
    </row>
    <row r="71" ht="8" customHeight="1"/>
    <row r="72" ht="20" customHeight="1">
      <c r="A72" s="8" t="inlineStr">
        <is>
          <t xml:space="preserve">  5 · COMISSÕES POR COLABORADOR          consolidado automático — quem produziu, quem montou, quem projetou e o coordenador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</row>
    <row r="73" ht="26" customHeight="1">
      <c r="A73" s="19" t="inlineStr">
        <is>
          <t>Colaborador</t>
        </is>
      </c>
      <c r="B73" s="19" t="inlineStr">
        <is>
          <t>Produção (R$)</t>
        </is>
      </c>
      <c r="C73" s="35" t="n"/>
      <c r="D73" s="19" t="inlineStr">
        <is>
          <t>Montagem (R$)</t>
        </is>
      </c>
      <c r="E73" s="35" t="n"/>
      <c r="F73" s="19" t="inlineStr">
        <is>
          <t>Projeto (R$)</t>
        </is>
      </c>
      <c r="G73" s="35" t="n"/>
      <c r="H73" s="19" t="inlineStr">
        <is>
          <t>Coordenação / Gestão técnica (R$)</t>
        </is>
      </c>
      <c r="I73" s="35" t="n"/>
      <c r="J73" s="19" t="inlineStr">
        <is>
          <t>Total no projeto (R$)</t>
        </is>
      </c>
      <c r="K73" s="35" t="n"/>
      <c r="L73" s="35" t="n"/>
      <c r="M73" s="35" t="n"/>
    </row>
    <row r="74" ht="17" customHeight="1">
      <c r="A74" s="87" t="inlineStr">
        <is>
          <t>Deivison</t>
        </is>
      </c>
      <c r="B74" s="56">
        <f>IF($A74="","",ROUND(SUMIF($D$49:$D$60,$A74,$F$49:$F$60),2))</f>
        <v/>
      </c>
      <c r="C74" s="38" t="n"/>
      <c r="D74" s="56">
        <f>IF($A74="","",ROUND(SUMIF($H$49:$H$60,$A74,$J$49:$J$60),2))</f>
        <v/>
      </c>
      <c r="E74" s="38" t="n"/>
      <c r="F74" s="56">
        <f>IF($A74="","",ROUND(SUMIF($L$49:$L$60,$A74,$N$49:$N$60),2))</f>
        <v/>
      </c>
      <c r="G74" s="38" t="n"/>
      <c r="H74" s="56">
        <f>IF($A74="","",IF($A74=$F$9,IF($D$65="",0,$D$65),0)+IF($A74=$H$66,IF($D$66="",0,$D$66),0))</f>
        <v/>
      </c>
      <c r="I74" s="38" t="n"/>
      <c r="J74" s="88">
        <f>IF($A74="","",ROUND($B74+$D74+$F74+$H74,2))</f>
        <v/>
      </c>
      <c r="K74" s="38" t="n"/>
      <c r="L74" s="38" t="n"/>
      <c r="M74" s="38" t="n"/>
    </row>
    <row r="75" ht="17" customHeight="1">
      <c r="A75" s="87" t="inlineStr">
        <is>
          <t>Ronald</t>
        </is>
      </c>
      <c r="B75" s="56">
        <f>IF($A75="","",ROUND(SUMIF($D$49:$D$60,$A75,$F$49:$F$60),2))</f>
        <v/>
      </c>
      <c r="C75" s="38" t="n"/>
      <c r="D75" s="56">
        <f>IF($A75="","",ROUND(SUMIF($H$49:$H$60,$A75,$J$49:$J$60),2))</f>
        <v/>
      </c>
      <c r="E75" s="38" t="n"/>
      <c r="F75" s="56">
        <f>IF($A75="","",ROUND(SUMIF($L$49:$L$60,$A75,$N$49:$N$60),2))</f>
        <v/>
      </c>
      <c r="G75" s="38" t="n"/>
      <c r="H75" s="56">
        <f>IF($A75="","",IF($A75=$F$9,IF($D$65="",0,$D$65),0)+IF($A75=$H$66,IF($D$66="",0,$D$66),0))</f>
        <v/>
      </c>
      <c r="I75" s="38" t="n"/>
      <c r="J75" s="88">
        <f>IF($A75="","",ROUND($B75+$D75+$F75+$H75,2))</f>
        <v/>
      </c>
      <c r="K75" s="38" t="n"/>
      <c r="L75" s="38" t="n"/>
      <c r="M75" s="38" t="n"/>
    </row>
    <row r="76" ht="17" customHeight="1">
      <c r="A76" s="87" t="inlineStr">
        <is>
          <t>Samuel</t>
        </is>
      </c>
      <c r="B76" s="56">
        <f>IF($A76="","",ROUND(SUMIF($D$49:$D$60,$A76,$F$49:$F$60),2))</f>
        <v/>
      </c>
      <c r="C76" s="38" t="n"/>
      <c r="D76" s="56">
        <f>IF($A76="","",ROUND(SUMIF($H$49:$H$60,$A76,$J$49:$J$60),2))</f>
        <v/>
      </c>
      <c r="E76" s="38" t="n"/>
      <c r="F76" s="56">
        <f>IF($A76="","",ROUND(SUMIF($L$49:$L$60,$A76,$N$49:$N$60),2))</f>
        <v/>
      </c>
      <c r="G76" s="38" t="n"/>
      <c r="H76" s="56">
        <f>IF($A76="","",IF($A76=$F$9,IF($D$65="",0,$D$65),0)+IF($A76=$H$66,IF($D$66="",0,$D$66),0))</f>
        <v/>
      </c>
      <c r="I76" s="38" t="n"/>
      <c r="J76" s="88">
        <f>IF($A76="","",ROUND($B76+$D76+$F76+$H76,2))</f>
        <v/>
      </c>
      <c r="K76" s="38" t="n"/>
      <c r="L76" s="38" t="n"/>
      <c r="M76" s="38" t="n"/>
    </row>
    <row r="77" ht="17" customHeight="1">
      <c r="A77" s="87" t="inlineStr">
        <is>
          <t>Cesar</t>
        </is>
      </c>
      <c r="B77" s="56">
        <f>IF($A77="","",ROUND(SUMIF($D$49:$D$60,$A77,$F$49:$F$60),2))</f>
        <v/>
      </c>
      <c r="C77" s="38" t="n"/>
      <c r="D77" s="56">
        <f>IF($A77="","",ROUND(SUMIF($H$49:$H$60,$A77,$J$49:$J$60),2))</f>
        <v/>
      </c>
      <c r="E77" s="38" t="n"/>
      <c r="F77" s="56">
        <f>IF($A77="","",ROUND(SUMIF($L$49:$L$60,$A77,$N$49:$N$60),2))</f>
        <v/>
      </c>
      <c r="G77" s="38" t="n"/>
      <c r="H77" s="56">
        <f>IF($A77="","",IF($A77=$F$9,IF($D$65="",0,$D$65),0)+IF($A77=$H$66,IF($D$66="",0,$D$66),0))</f>
        <v/>
      </c>
      <c r="I77" s="38" t="n"/>
      <c r="J77" s="88">
        <f>IF($A77="","",ROUND($B77+$D77+$F77+$H77,2))</f>
        <v/>
      </c>
      <c r="K77" s="38" t="n"/>
      <c r="L77" s="38" t="n"/>
      <c r="M77" s="38" t="n"/>
    </row>
    <row r="78" ht="17" customHeight="1">
      <c r="A78" s="87" t="inlineStr">
        <is>
          <t>Jhon</t>
        </is>
      </c>
      <c r="B78" s="56">
        <f>IF($A78="","",ROUND(SUMIF($D$49:$D$60,$A78,$F$49:$F$60),2))</f>
        <v/>
      </c>
      <c r="C78" s="38" t="n"/>
      <c r="D78" s="56">
        <f>IF($A78="","",ROUND(SUMIF($H$49:$H$60,$A78,$J$49:$J$60),2))</f>
        <v/>
      </c>
      <c r="E78" s="38" t="n"/>
      <c r="F78" s="56">
        <f>IF($A78="","",ROUND(SUMIF($L$49:$L$60,$A78,$N$49:$N$60),2))</f>
        <v/>
      </c>
      <c r="G78" s="38" t="n"/>
      <c r="H78" s="56">
        <f>IF($A78="","",IF($A78=$F$9,IF($D$65="",0,$D$65),0)+IF($A78=$H$66,IF($D$66="",0,$D$66),0))</f>
        <v/>
      </c>
      <c r="I78" s="38" t="n"/>
      <c r="J78" s="88">
        <f>IF($A78="","",ROUND($B78+$D78+$F78+$H78,2))</f>
        <v/>
      </c>
      <c r="K78" s="38" t="n"/>
      <c r="L78" s="38" t="n"/>
      <c r="M78" s="38" t="n"/>
    </row>
    <row r="79" ht="17" customHeight="1">
      <c r="A79" s="87" t="inlineStr">
        <is>
          <t>Joelson</t>
        </is>
      </c>
      <c r="B79" s="56">
        <f>IF($A79="","",ROUND(SUMIF($D$49:$D$60,$A79,$F$49:$F$60),2))</f>
        <v/>
      </c>
      <c r="C79" s="38" t="n"/>
      <c r="D79" s="56">
        <f>IF($A79="","",ROUND(SUMIF($H$49:$H$60,$A79,$J$49:$J$60),2))</f>
        <v/>
      </c>
      <c r="E79" s="38" t="n"/>
      <c r="F79" s="56">
        <f>IF($A79="","",ROUND(SUMIF($L$49:$L$60,$A79,$N$49:$N$60),2))</f>
        <v/>
      </c>
      <c r="G79" s="38" t="n"/>
      <c r="H79" s="56">
        <f>IF($A79="","",IF($A79=$F$9,IF($D$65="",0,$D$65),0)+IF($A79=$H$66,IF($D$66="",0,$D$66),0))</f>
        <v/>
      </c>
      <c r="I79" s="38" t="n"/>
      <c r="J79" s="88">
        <f>IF($A79="","",ROUND($B79+$D79+$F79+$H79,2))</f>
        <v/>
      </c>
      <c r="K79" s="38" t="n"/>
      <c r="L79" s="38" t="n"/>
      <c r="M79" s="38" t="n"/>
    </row>
    <row r="80" ht="17" customHeight="1">
      <c r="A80" s="87" t="inlineStr">
        <is>
          <t>Davi</t>
        </is>
      </c>
      <c r="B80" s="56">
        <f>IF($A80="","",ROUND(SUMIF($D$49:$D$60,$A80,$F$49:$F$60),2))</f>
        <v/>
      </c>
      <c r="C80" s="38" t="n"/>
      <c r="D80" s="56">
        <f>IF($A80="","",ROUND(SUMIF($H$49:$H$60,$A80,$J$49:$J$60),2))</f>
        <v/>
      </c>
      <c r="E80" s="38" t="n"/>
      <c r="F80" s="56">
        <f>IF($A80="","",ROUND(SUMIF($L$49:$L$60,$A80,$N$49:$N$60),2))</f>
        <v/>
      </c>
      <c r="G80" s="38" t="n"/>
      <c r="H80" s="56">
        <f>IF($A80="","",IF($A80=$F$9,IF($D$65="",0,$D$65),0)+IF($A80=$H$66,IF($D$66="",0,$D$66),0))</f>
        <v/>
      </c>
      <c r="I80" s="38" t="n"/>
      <c r="J80" s="88">
        <f>IF($A80="","",ROUND($B80+$D80+$F80+$H80,2))</f>
        <v/>
      </c>
      <c r="K80" s="38" t="n"/>
      <c r="L80" s="38" t="n"/>
      <c r="M80" s="38" t="n"/>
    </row>
    <row r="81" ht="17" customHeight="1">
      <c r="A81" s="87" t="inlineStr">
        <is>
          <t>Jomar</t>
        </is>
      </c>
      <c r="B81" s="56">
        <f>IF($A81="","",ROUND(SUMIF($D$49:$D$60,$A81,$F$49:$F$60),2))</f>
        <v/>
      </c>
      <c r="C81" s="38" t="n"/>
      <c r="D81" s="56">
        <f>IF($A81="","",ROUND(SUMIF($H$49:$H$60,$A81,$J$49:$J$60),2))</f>
        <v/>
      </c>
      <c r="E81" s="38" t="n"/>
      <c r="F81" s="56">
        <f>IF($A81="","",ROUND(SUMIF($L$49:$L$60,$A81,$N$49:$N$60),2))</f>
        <v/>
      </c>
      <c r="G81" s="38" t="n"/>
      <c r="H81" s="56">
        <f>IF($A81="","",IF($A81=$F$9,IF($D$65="",0,$D$65),0)+IF($A81=$H$66,IF($D$66="",0,$D$66),0))</f>
        <v/>
      </c>
      <c r="I81" s="38" t="n"/>
      <c r="J81" s="88">
        <f>IF($A81="","",ROUND($B81+$D81+$F81+$H81,2))</f>
        <v/>
      </c>
      <c r="K81" s="38" t="n"/>
      <c r="L81" s="38" t="n"/>
      <c r="M81" s="38" t="n"/>
    </row>
    <row r="82" ht="17" customHeight="1">
      <c r="A82" s="87" t="inlineStr">
        <is>
          <t>Bruno</t>
        </is>
      </c>
      <c r="B82" s="56">
        <f>IF($A82="","",ROUND(SUMIF($D$49:$D$60,$A82,$F$49:$F$60),2))</f>
        <v/>
      </c>
      <c r="C82" s="38" t="n"/>
      <c r="D82" s="56">
        <f>IF($A82="","",ROUND(SUMIF($H$49:$H$60,$A82,$J$49:$J$60),2))</f>
        <v/>
      </c>
      <c r="E82" s="38" t="n"/>
      <c r="F82" s="56">
        <f>IF($A82="","",ROUND(SUMIF($L$49:$L$60,$A82,$N$49:$N$60),2))</f>
        <v/>
      </c>
      <c r="G82" s="38" t="n"/>
      <c r="H82" s="56">
        <f>IF($A82="","",IF($A82=$F$9,IF($D$65="",0,$D$65),0)+IF($A82=$H$66,IF($D$66="",0,$D$66),0))</f>
        <v/>
      </c>
      <c r="I82" s="38" t="n"/>
      <c r="J82" s="88">
        <f>IF($A82="","",ROUND($B82+$D82+$F82+$H82,2))</f>
        <v/>
      </c>
      <c r="K82" s="38" t="n"/>
      <c r="L82" s="38" t="n"/>
      <c r="M82" s="38" t="n"/>
    </row>
    <row r="83" ht="17" customHeight="1">
      <c r="A83" s="87" t="inlineStr">
        <is>
          <t>Wallace</t>
        </is>
      </c>
      <c r="B83" s="56">
        <f>IF($A83="","",ROUND(SUMIF($D$49:$D$60,$A83,$F$49:$F$60),2))</f>
        <v/>
      </c>
      <c r="C83" s="38" t="n"/>
      <c r="D83" s="56">
        <f>IF($A83="","",ROUND(SUMIF($H$49:$H$60,$A83,$J$49:$J$60),2))</f>
        <v/>
      </c>
      <c r="E83" s="38" t="n"/>
      <c r="F83" s="56">
        <f>IF($A83="","",ROUND(SUMIF($L$49:$L$60,$A83,$N$49:$N$60),2))</f>
        <v/>
      </c>
      <c r="G83" s="38" t="n"/>
      <c r="H83" s="56">
        <f>IF($A83="","",IF($A83=$F$9,IF($D$65="",0,$D$65),0)+IF($A83=$H$66,IF($D$66="",0,$D$66),0))</f>
        <v/>
      </c>
      <c r="I83" s="38" t="n"/>
      <c r="J83" s="88">
        <f>IF($A83="","",ROUND($B83+$D83+$F83+$H83,2))</f>
        <v/>
      </c>
      <c r="K83" s="38" t="n"/>
      <c r="L83" s="38" t="n"/>
      <c r="M83" s="38" t="n"/>
    </row>
    <row r="84" ht="17" customHeight="1">
      <c r="A84" s="87" t="inlineStr">
        <is>
          <t>Douglas</t>
        </is>
      </c>
      <c r="B84" s="56">
        <f>IF($A84="","",ROUND(SUMIF($D$49:$D$60,$A84,$F$49:$F$60),2))</f>
        <v/>
      </c>
      <c r="C84" s="38" t="n"/>
      <c r="D84" s="56">
        <f>IF($A84="","",ROUND(SUMIF($H$49:$H$60,$A84,$J$49:$J$60),2))</f>
        <v/>
      </c>
      <c r="E84" s="38" t="n"/>
      <c r="F84" s="56">
        <f>IF($A84="","",ROUND(SUMIF($L$49:$L$60,$A84,$N$49:$N$60),2))</f>
        <v/>
      </c>
      <c r="G84" s="38" t="n"/>
      <c r="H84" s="56">
        <f>IF($A84="","",IF($A84=$F$9,IF($D$65="",0,$D$65),0)+IF($A84=$H$66,IF($D$66="",0,$D$66),0))</f>
        <v/>
      </c>
      <c r="I84" s="38" t="n"/>
      <c r="J84" s="88">
        <f>IF($A84="","",ROUND($B84+$D84+$F84+$H84,2))</f>
        <v/>
      </c>
      <c r="K84" s="38" t="n"/>
      <c r="L84" s="38" t="n"/>
      <c r="M84" s="38" t="n"/>
    </row>
    <row r="85" ht="17" customHeight="1">
      <c r="A85" s="87" t="inlineStr">
        <is>
          <t>Terceiro / avulso</t>
        </is>
      </c>
      <c r="B85" s="56">
        <f>IF($A85="","",ROUND(SUMIF($D$49:$D$60,$A85,$F$49:$F$60),2))</f>
        <v/>
      </c>
      <c r="C85" s="38" t="n"/>
      <c r="D85" s="56">
        <f>IF($A85="","",ROUND(SUMIF($H$49:$H$60,$A85,$J$49:$J$60),2))</f>
        <v/>
      </c>
      <c r="E85" s="38" t="n"/>
      <c r="F85" s="56">
        <f>IF($A85="","",ROUND(SUMIF($L$49:$L$60,$A85,$N$49:$N$60),2))</f>
        <v/>
      </c>
      <c r="G85" s="38" t="n"/>
      <c r="H85" s="56">
        <f>IF($A85="","",IF($A85=$F$9,IF($D$65="",0,$D$65),0)+IF($A85=$H$66,IF($D$66="",0,$D$66),0))</f>
        <v/>
      </c>
      <c r="I85" s="38" t="n"/>
      <c r="J85" s="88">
        <f>IF($A85="","",ROUND($B85+$D85+$F85+$H85,2))</f>
        <v/>
      </c>
      <c r="K85" s="38" t="n"/>
      <c r="L85" s="38" t="n"/>
      <c r="M85" s="38" t="n"/>
    </row>
    <row r="86" ht="17" customHeight="1">
      <c r="A86" s="87" t="inlineStr">
        <is>
          <t>Lorrane</t>
        </is>
      </c>
      <c r="B86" s="56">
        <f>IF($A86="","",ROUND(SUMIF($D$49:$D$60,$A86,$F$49:$F$60),2))</f>
        <v/>
      </c>
      <c r="C86" s="38" t="n"/>
      <c r="D86" s="56">
        <f>IF($A86="","",ROUND(SUMIF($H$49:$H$60,$A86,$J$49:$J$60),2))</f>
        <v/>
      </c>
      <c r="E86" s="38" t="n"/>
      <c r="F86" s="56">
        <f>IF($A86="","",ROUND(SUMIF($L$49:$L$60,$A86,$N$49:$N$60),2))</f>
        <v/>
      </c>
      <c r="G86" s="38" t="n"/>
      <c r="H86" s="56">
        <f>IF($A86="","",IF($A86=$F$9,IF($D$65="",0,$D$65),0)+IF($A86=$H$66,IF($D$66="",0,$D$66),0))</f>
        <v/>
      </c>
      <c r="I86" s="38" t="n"/>
      <c r="J86" s="88">
        <f>IF($A86="","",ROUND($B86+$D86+$F86+$H86,2))</f>
        <v/>
      </c>
      <c r="K86" s="38" t="n"/>
      <c r="L86" s="38" t="n"/>
      <c r="M86" s="38" t="n"/>
    </row>
    <row r="87" ht="17" customHeight="1">
      <c r="A87" s="87" t="inlineStr">
        <is>
          <t>Lucas</t>
        </is>
      </c>
      <c r="B87" s="56">
        <f>IF($A87="","",ROUND(SUMIF($D$49:$D$60,$A87,$F$49:$F$60),2))</f>
        <v/>
      </c>
      <c r="C87" s="38" t="n"/>
      <c r="D87" s="56">
        <f>IF($A87="","",ROUND(SUMIF($H$49:$H$60,$A87,$J$49:$J$60),2))</f>
        <v/>
      </c>
      <c r="E87" s="38" t="n"/>
      <c r="F87" s="56">
        <f>IF($A87="","",ROUND(SUMIF($L$49:$L$60,$A87,$N$49:$N$60),2))</f>
        <v/>
      </c>
      <c r="G87" s="38" t="n"/>
      <c r="H87" s="56">
        <f>IF($A87="","",IF($A87=$F$9,IF($D$65="",0,$D$65),0)+IF($A87=$H$66,IF($D$66="",0,$D$66),0))</f>
        <v/>
      </c>
      <c r="I87" s="38" t="n"/>
      <c r="J87" s="88">
        <f>IF($A87="","",ROUND($B87+$D87+$F87+$H87,2))</f>
        <v/>
      </c>
      <c r="K87" s="38" t="n"/>
      <c r="L87" s="38" t="n"/>
      <c r="M87" s="38" t="n"/>
    </row>
    <row r="88" ht="17" customHeight="1">
      <c r="A88" s="87" t="inlineStr">
        <is>
          <t>Externo / avulso</t>
        </is>
      </c>
      <c r="B88" s="56">
        <f>IF($A88="","",ROUND(SUMIF($D$49:$D$60,$A88,$F$49:$F$60),2))</f>
        <v/>
      </c>
      <c r="C88" s="38" t="n"/>
      <c r="D88" s="56">
        <f>IF($A88="","",ROUND(SUMIF($H$49:$H$60,$A88,$J$49:$J$60),2))</f>
        <v/>
      </c>
      <c r="E88" s="38" t="n"/>
      <c r="F88" s="56">
        <f>IF($A88="","",ROUND(SUMIF($L$49:$L$60,$A88,$N$49:$N$60),2))</f>
        <v/>
      </c>
      <c r="G88" s="38" t="n"/>
      <c r="H88" s="56">
        <f>IF($A88="","",IF($A88=$F$9,IF($D$65="",0,$D$65),0)+IF($A88=$H$66,IF($D$66="",0,$D$66),0))</f>
        <v/>
      </c>
      <c r="I88" s="38" t="n"/>
      <c r="J88" s="88">
        <f>IF($A88="","",ROUND($B88+$D88+$F88+$H88,2))</f>
        <v/>
      </c>
      <c r="K88" s="38" t="n"/>
      <c r="L88" s="38" t="n"/>
      <c r="M88" s="38" t="n"/>
    </row>
    <row r="89" ht="17" customHeight="1">
      <c r="A89" s="87" t="inlineStr">
        <is>
          <t>Bruna</t>
        </is>
      </c>
      <c r="B89" s="56">
        <f>IF($A89="","",ROUND(SUMIF($D$49:$D$60,$A89,$F$49:$F$60),2))</f>
        <v/>
      </c>
      <c r="C89" s="38" t="n"/>
      <c r="D89" s="56">
        <f>IF($A89="","",ROUND(SUMIF($H$49:$H$60,$A89,$J$49:$J$60),2))</f>
        <v/>
      </c>
      <c r="E89" s="38" t="n"/>
      <c r="F89" s="56">
        <f>IF($A89="","",ROUND(SUMIF($L$49:$L$60,$A89,$N$49:$N$60),2))</f>
        <v/>
      </c>
      <c r="G89" s="38" t="n"/>
      <c r="H89" s="56">
        <f>IF($A89="","",IF($A89=$F$9,IF($D$65="",0,$D$65),0)+IF($A89=$H$66,IF($D$66="",0,$D$66),0))</f>
        <v/>
      </c>
      <c r="I89" s="38" t="n"/>
      <c r="J89" s="88">
        <f>IF($A89="","",ROUND($B89+$D89+$F89+$H89,2))</f>
        <v/>
      </c>
      <c r="K89" s="38" t="n"/>
      <c r="L89" s="38" t="n"/>
      <c r="M89" s="38" t="n"/>
    </row>
    <row r="90" ht="17" customHeight="1">
      <c r="A90" s="87" t="n"/>
      <c r="B90" s="56">
        <f>IF($A90="","",ROUND(SUMIF($D$49:$D$60,$A90,$F$49:$F$60),2))</f>
        <v/>
      </c>
      <c r="C90" s="38" t="n"/>
      <c r="D90" s="56">
        <f>IF($A90="","",ROUND(SUMIF($H$49:$H$60,$A90,$J$49:$J$60),2))</f>
        <v/>
      </c>
      <c r="E90" s="38" t="n"/>
      <c r="F90" s="56">
        <f>IF($A90="","",ROUND(SUMIF($L$49:$L$60,$A90,$N$49:$N$60),2))</f>
        <v/>
      </c>
      <c r="G90" s="38" t="n"/>
      <c r="H90" s="56">
        <f>IF($A90="","",IF($A90=$F$9,IF($D$65="",0,$D$65),0)+IF($A90=$H$66,IF($D$66="",0,$D$66),0))</f>
        <v/>
      </c>
      <c r="I90" s="38" t="n"/>
      <c r="J90" s="88">
        <f>IF($A90="","",ROUND($B90+$D90+$F90+$H90,2))</f>
        <v/>
      </c>
      <c r="K90" s="38" t="n"/>
      <c r="L90" s="38" t="n"/>
      <c r="M90" s="38" t="n"/>
    </row>
    <row r="91" ht="17" customHeight="1">
      <c r="A91" s="87" t="n"/>
      <c r="B91" s="56">
        <f>IF($A91="","",ROUND(SUMIF($D$49:$D$60,$A91,$F$49:$F$60),2))</f>
        <v/>
      </c>
      <c r="C91" s="38" t="n"/>
      <c r="D91" s="56">
        <f>IF($A91="","",ROUND(SUMIF($H$49:$H$60,$A91,$J$49:$J$60),2))</f>
        <v/>
      </c>
      <c r="E91" s="38" t="n"/>
      <c r="F91" s="56">
        <f>IF($A91="","",ROUND(SUMIF($L$49:$L$60,$A91,$N$49:$N$60),2))</f>
        <v/>
      </c>
      <c r="G91" s="38" t="n"/>
      <c r="H91" s="56">
        <f>IF($A91="","",IF($A91=$F$9,IF($D$65="",0,$D$65),0)+IF($A91=$H$66,IF($D$66="",0,$D$66),0))</f>
        <v/>
      </c>
      <c r="I91" s="38" t="n"/>
      <c r="J91" s="88">
        <f>IF($A91="","",ROUND($B91+$D91+$F91+$H91,2))</f>
        <v/>
      </c>
      <c r="K91" s="38" t="n"/>
      <c r="L91" s="38" t="n"/>
      <c r="M91" s="38" t="n"/>
    </row>
    <row r="92" ht="20" customHeight="1">
      <c r="A92" s="31" t="inlineStr">
        <is>
          <t>TOTAL</t>
        </is>
      </c>
      <c r="B92" s="60">
        <f>ROUND(SUM(B74:B91),2)</f>
        <v/>
      </c>
      <c r="C92" s="32" t="n"/>
      <c r="D92" s="60">
        <f>ROUND(SUM(D74:D91),2)</f>
        <v/>
      </c>
      <c r="E92" s="32" t="n"/>
      <c r="F92" s="60">
        <f>ROUND(SUM(F74:F91),2)</f>
        <v/>
      </c>
      <c r="G92" s="32" t="n"/>
      <c r="H92" s="60">
        <f>ROUND(SUM(H74:H91),2)</f>
        <v/>
      </c>
      <c r="I92" s="32" t="n"/>
      <c r="J92" s="60">
        <f>ROUND(SUM(J74:J91),2)</f>
        <v/>
      </c>
      <c r="K92" s="32" t="n"/>
      <c r="L92" s="32" t="n"/>
      <c r="M92" s="32" t="n"/>
    </row>
    <row r="93" ht="8" customHeight="1"/>
    <row r="94" ht="20" customHeight="1">
      <c r="A94" s="8" t="inlineStr">
        <is>
          <t xml:space="preserve">  6 · MATERIAL, TERCEIRIZADOS E LOGÍSTICA          o orçado você digita · o realizado vem sozinho do livro de lançamentos, lá no fim da ficha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</row>
    <row r="95" ht="30" customHeight="1">
      <c r="A95" s="19" t="inlineStr">
        <is>
          <t>Categoria</t>
        </is>
      </c>
      <c r="B95" s="19" t="inlineStr"/>
      <c r="C95" s="19" t="inlineStr">
        <is>
          <t>Orçado (R$)</t>
        </is>
      </c>
      <c r="D95" s="19" t="inlineStr">
        <is>
          <t>Realizado (R$)</t>
        </is>
      </c>
      <c r="E95" s="19" t="inlineStr">
        <is>
          <t>Desvio (R$)</t>
        </is>
      </c>
      <c r="F95" s="35" t="n"/>
      <c r="G95" s="19" t="inlineStr">
        <is>
          <t>Ainda a comprar</t>
        </is>
      </c>
      <c r="H95" s="19" t="inlineStr">
        <is>
          <t>Comprado, ainda a pagar</t>
        </is>
      </c>
      <c r="I95" s="35" t="n"/>
      <c r="J95" s="35" t="n"/>
      <c r="K95" s="35" t="n"/>
      <c r="L95" s="35" t="n"/>
      <c r="M95" s="35" t="n"/>
      <c r="N95" s="35" t="n"/>
      <c r="O95" s="35" t="n"/>
    </row>
    <row r="96" ht="17" customHeight="1">
      <c r="A96" s="36" t="inlineStr">
        <is>
          <t>MDF e MDP</t>
        </is>
      </c>
      <c r="B96" s="37" t="n"/>
      <c r="C96" s="71" t="n"/>
      <c r="D96" s="56">
        <f>ROUND(SUMIFS($E$134:$E$193,$B$134:$B$193,$A96,$I$134:$I$193,"Comprado (a pagar)")+SUMIFS($E$134:$E$193,$B$134:$B$193,$A96,$I$134:$I$193,"Pago"),2)</f>
        <v/>
      </c>
      <c r="E96" s="56">
        <f>IF($C96="","",ROUND($D96-$C96,2))</f>
        <v/>
      </c>
      <c r="F96" s="38" t="n"/>
      <c r="G96" s="89">
        <f>ROUND(SUMIFS($E$134:$E$193,$B$134:$B$193,$A96,$I$134:$I$193,"A comprar"),2)</f>
        <v/>
      </c>
      <c r="H96" s="90">
        <f>ROUND(SUMIFS($E$134:$E$193,$B$134:$B$193,$A96,$I$134:$I$193,"Comprado (a pagar)"),2)</f>
        <v/>
      </c>
      <c r="I96" s="38" t="n"/>
      <c r="J96" s="38" t="n"/>
      <c r="K96" s="38" t="n"/>
      <c r="L96" s="38" t="n"/>
      <c r="M96" s="38" t="n"/>
      <c r="N96" s="38" t="n"/>
      <c r="O96" s="38" t="n"/>
    </row>
    <row r="97" ht="17" customHeight="1">
      <c r="A97" s="36" t="inlineStr">
        <is>
          <t>Fita de borda</t>
        </is>
      </c>
      <c r="B97" s="37" t="n"/>
      <c r="C97" s="71" t="n"/>
      <c r="D97" s="56">
        <f>ROUND(SUMIFS($E$134:$E$193,$B$134:$B$193,$A97,$I$134:$I$193,"Comprado (a pagar)")+SUMIFS($E$134:$E$193,$B$134:$B$193,$A97,$I$134:$I$193,"Pago"),2)</f>
        <v/>
      </c>
      <c r="E97" s="56">
        <f>IF($C97="","",ROUND($D97-$C97,2))</f>
        <v/>
      </c>
      <c r="F97" s="38" t="n"/>
      <c r="G97" s="89">
        <f>ROUND(SUMIFS($E$134:$E$193,$B$134:$B$193,$A97,$I$134:$I$193,"A comprar"),2)</f>
        <v/>
      </c>
      <c r="H97" s="90">
        <f>ROUND(SUMIFS($E$134:$E$193,$B$134:$B$193,$A97,$I$134:$I$193,"Comprado (a pagar)"),2)</f>
        <v/>
      </c>
      <c r="I97" s="38" t="n"/>
      <c r="J97" s="38" t="n"/>
      <c r="K97" s="38" t="n"/>
      <c r="L97" s="38" t="n"/>
      <c r="M97" s="38" t="n"/>
      <c r="N97" s="38" t="n"/>
      <c r="O97" s="38" t="n"/>
    </row>
    <row r="98" ht="17" customHeight="1">
      <c r="A98" s="36" t="inlineStr">
        <is>
          <t>Ferragens</t>
        </is>
      </c>
      <c r="B98" s="37" t="n"/>
      <c r="C98" s="71" t="n"/>
      <c r="D98" s="56">
        <f>ROUND(SUMIFS($E$134:$E$193,$B$134:$B$193,$A98,$I$134:$I$193,"Comprado (a pagar)")+SUMIFS($E$134:$E$193,$B$134:$B$193,$A98,$I$134:$I$193,"Pago"),2)</f>
        <v/>
      </c>
      <c r="E98" s="56">
        <f>IF($C98="","",ROUND($D98-$C98,2))</f>
        <v/>
      </c>
      <c r="F98" s="38" t="n"/>
      <c r="G98" s="89">
        <f>ROUND(SUMIFS($E$134:$E$193,$B$134:$B$193,$A98,$I$134:$I$193,"A comprar"),2)</f>
        <v/>
      </c>
      <c r="H98" s="90">
        <f>ROUND(SUMIFS($E$134:$E$193,$B$134:$B$193,$A98,$I$134:$I$193,"Comprado (a pagar)"),2)</f>
        <v/>
      </c>
      <c r="I98" s="38" t="n"/>
      <c r="J98" s="38" t="n"/>
      <c r="K98" s="38" t="n"/>
      <c r="L98" s="38" t="n"/>
      <c r="M98" s="38" t="n"/>
      <c r="N98" s="38" t="n"/>
      <c r="O98" s="38" t="n"/>
    </row>
    <row r="99" ht="17" customHeight="1">
      <c r="A99" s="36" t="inlineStr">
        <is>
          <t>Vidros e espelhos</t>
        </is>
      </c>
      <c r="B99" s="37" t="n"/>
      <c r="C99" s="71" t="n"/>
      <c r="D99" s="56">
        <f>ROUND(SUMIFS($E$134:$E$193,$B$134:$B$193,$A99,$I$134:$I$193,"Comprado (a pagar)")+SUMIFS($E$134:$E$193,$B$134:$B$193,$A99,$I$134:$I$193,"Pago"),2)</f>
        <v/>
      </c>
      <c r="E99" s="56">
        <f>IF($C99="","",ROUND($D99-$C99,2))</f>
        <v/>
      </c>
      <c r="F99" s="38" t="n"/>
      <c r="G99" s="89">
        <f>ROUND(SUMIFS($E$134:$E$193,$B$134:$B$193,$A99,$I$134:$I$193,"A comprar"),2)</f>
        <v/>
      </c>
      <c r="H99" s="90">
        <f>ROUND(SUMIFS($E$134:$E$193,$B$134:$B$193,$A99,$I$134:$I$193,"Comprado (a pagar)"),2)</f>
        <v/>
      </c>
      <c r="I99" s="38" t="n"/>
      <c r="J99" s="38" t="n"/>
      <c r="K99" s="38" t="n"/>
      <c r="L99" s="38" t="n"/>
      <c r="M99" s="38" t="n"/>
      <c r="N99" s="38" t="n"/>
      <c r="O99" s="38" t="n"/>
    </row>
    <row r="100" ht="17" customHeight="1">
      <c r="A100" s="36" t="inlineStr">
        <is>
          <t>Esquadrias</t>
        </is>
      </c>
      <c r="B100" s="37" t="n"/>
      <c r="C100" s="71" t="n"/>
      <c r="D100" s="56">
        <f>ROUND(SUMIFS($E$134:$E$193,$B$134:$B$193,$A100,$I$134:$I$193,"Comprado (a pagar)")+SUMIFS($E$134:$E$193,$B$134:$B$193,$A100,$I$134:$I$193,"Pago"),2)</f>
        <v/>
      </c>
      <c r="E100" s="56">
        <f>IF($C100="","",ROUND($D100-$C100,2))</f>
        <v/>
      </c>
      <c r="F100" s="38" t="n"/>
      <c r="G100" s="89">
        <f>ROUND(SUMIFS($E$134:$E$193,$B$134:$B$193,$A100,$I$134:$I$193,"A comprar"),2)</f>
        <v/>
      </c>
      <c r="H100" s="90">
        <f>ROUND(SUMIFS($E$134:$E$193,$B$134:$B$193,$A100,$I$134:$I$193,"Comprado (a pagar)"),2)</f>
        <v/>
      </c>
      <c r="I100" s="38" t="n"/>
      <c r="J100" s="38" t="n"/>
      <c r="K100" s="38" t="n"/>
      <c r="L100" s="38" t="n"/>
      <c r="M100" s="38" t="n"/>
      <c r="N100" s="38" t="n"/>
      <c r="O100" s="38" t="n"/>
    </row>
    <row r="101" ht="17" customHeight="1">
      <c r="A101" s="36" t="inlineStr">
        <is>
          <t>Lâmina natural</t>
        </is>
      </c>
      <c r="B101" s="37" t="n"/>
      <c r="C101" s="71" t="n"/>
      <c r="D101" s="56">
        <f>ROUND(SUMIFS($E$134:$E$193,$B$134:$B$193,$A101,$I$134:$I$193,"Comprado (a pagar)")+SUMIFS($E$134:$E$193,$B$134:$B$193,$A101,$I$134:$I$193,"Pago"),2)</f>
        <v/>
      </c>
      <c r="E101" s="56">
        <f>IF($C101="","",ROUND($D101-$C101,2))</f>
        <v/>
      </c>
      <c r="F101" s="38" t="n"/>
      <c r="G101" s="89">
        <f>ROUND(SUMIFS($E$134:$E$193,$B$134:$B$193,$A101,$I$134:$I$193,"A comprar"),2)</f>
        <v/>
      </c>
      <c r="H101" s="90">
        <f>ROUND(SUMIFS($E$134:$E$193,$B$134:$B$193,$A101,$I$134:$I$193,"Comprado (a pagar)"),2)</f>
        <v/>
      </c>
      <c r="I101" s="38" t="n"/>
      <c r="J101" s="38" t="n"/>
      <c r="K101" s="38" t="n"/>
      <c r="L101" s="38" t="n"/>
      <c r="M101" s="38" t="n"/>
      <c r="N101" s="38" t="n"/>
      <c r="O101" s="38" t="n"/>
    </row>
    <row r="102" ht="17" customHeight="1">
      <c r="A102" s="36" t="inlineStr">
        <is>
          <t>Consumíveis</t>
        </is>
      </c>
      <c r="B102" s="37" t="n"/>
      <c r="C102" s="71" t="n"/>
      <c r="D102" s="56">
        <f>ROUND(SUMIFS($E$134:$E$193,$B$134:$B$193,$A102,$I$134:$I$193,"Comprado (a pagar)")+SUMIFS($E$134:$E$193,$B$134:$B$193,$A102,$I$134:$I$193,"Pago"),2)</f>
        <v/>
      </c>
      <c r="E102" s="56">
        <f>IF($C102="","",ROUND($D102-$C102,2))</f>
        <v/>
      </c>
      <c r="F102" s="38" t="n"/>
      <c r="G102" s="89">
        <f>ROUND(SUMIFS($E$134:$E$193,$B$134:$B$193,$A102,$I$134:$I$193,"A comprar"),2)</f>
        <v/>
      </c>
      <c r="H102" s="90">
        <f>ROUND(SUMIFS($E$134:$E$193,$B$134:$B$193,$A102,$I$134:$I$193,"Comprado (a pagar)"),2)</f>
        <v/>
      </c>
      <c r="I102" s="38" t="n"/>
      <c r="J102" s="38" t="n"/>
      <c r="K102" s="38" t="n"/>
      <c r="L102" s="38" t="n"/>
      <c r="M102" s="38" t="n"/>
      <c r="N102" s="38" t="n"/>
      <c r="O102" s="38" t="n"/>
    </row>
    <row r="103" ht="20" customHeight="1">
      <c r="A103" s="31" t="inlineStr">
        <is>
          <t>(=) SUBTOTAL · MATERIAL</t>
        </is>
      </c>
      <c r="B103" s="32" t="n"/>
      <c r="C103" s="60">
        <f>ROUND(SUM(C96:C102),2)</f>
        <v/>
      </c>
      <c r="D103" s="60">
        <f>ROUND(SUM(D96:D102),2)</f>
        <v/>
      </c>
      <c r="E103" s="60">
        <f>ROUND(SUM(E96:E102),2)</f>
        <v/>
      </c>
      <c r="F103" s="32" t="n"/>
      <c r="G103" s="60">
        <f>ROUND(SUM(G96:G102),2)</f>
        <v/>
      </c>
      <c r="H103" s="60">
        <f>ROUND(SUM(H96:H102),2)</f>
        <v/>
      </c>
      <c r="I103" s="32" t="n"/>
      <c r="J103" s="32" t="n"/>
      <c r="K103" s="32" t="n"/>
      <c r="L103" s="32" t="n"/>
      <c r="M103" s="32" t="n"/>
      <c r="N103" s="32" t="n"/>
      <c r="O103" s="32" t="n"/>
    </row>
    <row r="104" ht="17" customHeight="1">
      <c r="A104" s="36" t="inlineStr">
        <is>
          <t>Acabamento</t>
        </is>
      </c>
      <c r="B104" s="37" t="n"/>
      <c r="C104" s="71" t="n"/>
      <c r="D104" s="56">
        <f>ROUND(SUMIFS($E$134:$E$193,$B$134:$B$193,$A104,$I$134:$I$193,"Comprado (a pagar)")+SUMIFS($E$134:$E$193,$B$134:$B$193,$A104,$I$134:$I$193,"Pago"),2)</f>
        <v/>
      </c>
      <c r="E104" s="56">
        <f>IF($C104="","",ROUND($D104-$C104,2))</f>
        <v/>
      </c>
      <c r="F104" s="38" t="n"/>
      <c r="G104" s="89">
        <f>ROUND(SUMIFS($E$134:$E$193,$B$134:$B$193,$A104,$I$134:$I$193,"A comprar"),2)</f>
        <v/>
      </c>
      <c r="H104" s="90">
        <f>ROUND(SUMIFS($E$134:$E$193,$B$134:$B$193,$A104,$I$134:$I$193,"Comprado (a pagar)"),2)</f>
        <v/>
      </c>
      <c r="I104" s="38" t="n"/>
      <c r="J104" s="38" t="n"/>
      <c r="K104" s="38" t="n"/>
      <c r="L104" s="38" t="n"/>
      <c r="M104" s="38" t="n"/>
      <c r="N104" s="38" t="n"/>
      <c r="O104" s="38" t="n"/>
    </row>
    <row r="105" ht="17" customHeight="1">
      <c r="A105" s="36" t="inlineStr">
        <is>
          <t>Serralheria</t>
        </is>
      </c>
      <c r="B105" s="37" t="n"/>
      <c r="C105" s="71" t="n"/>
      <c r="D105" s="56">
        <f>ROUND(SUMIFS($E$134:$E$193,$B$134:$B$193,$A105,$I$134:$I$193,"Comprado (a pagar)")+SUMIFS($E$134:$E$193,$B$134:$B$193,$A105,$I$134:$I$193,"Pago"),2)</f>
        <v/>
      </c>
      <c r="E105" s="56">
        <f>IF($C105="","",ROUND($D105-$C105,2))</f>
        <v/>
      </c>
      <c r="F105" s="38" t="n"/>
      <c r="G105" s="89">
        <f>ROUND(SUMIFS($E$134:$E$193,$B$134:$B$193,$A105,$I$134:$I$193,"A comprar"),2)</f>
        <v/>
      </c>
      <c r="H105" s="90">
        <f>ROUND(SUMIFS($E$134:$E$193,$B$134:$B$193,$A105,$I$134:$I$193,"Comprado (a pagar)"),2)</f>
        <v/>
      </c>
      <c r="I105" s="38" t="n"/>
      <c r="J105" s="38" t="n"/>
      <c r="K105" s="38" t="n"/>
      <c r="L105" s="38" t="n"/>
      <c r="M105" s="38" t="n"/>
      <c r="N105" s="38" t="n"/>
      <c r="O105" s="38" t="n"/>
    </row>
    <row r="106" ht="17" customHeight="1">
      <c r="A106" s="36" t="inlineStr">
        <is>
          <t>Vidraceiro</t>
        </is>
      </c>
      <c r="B106" s="37" t="n"/>
      <c r="C106" s="71" t="n"/>
      <c r="D106" s="56">
        <f>ROUND(SUMIFS($E$134:$E$193,$B$134:$B$193,$A106,$I$134:$I$193,"Comprado (a pagar)")+SUMIFS($E$134:$E$193,$B$134:$B$193,$A106,$I$134:$I$193,"Pago"),2)</f>
        <v/>
      </c>
      <c r="E106" s="56">
        <f>IF($C106="","",ROUND($D106-$C106,2))</f>
        <v/>
      </c>
      <c r="F106" s="38" t="n"/>
      <c r="G106" s="89">
        <f>ROUND(SUMIFS($E$134:$E$193,$B$134:$B$193,$A106,$I$134:$I$193,"A comprar"),2)</f>
        <v/>
      </c>
      <c r="H106" s="90">
        <f>ROUND(SUMIFS($E$134:$E$193,$B$134:$B$193,$A106,$I$134:$I$193,"Comprado (a pagar)"),2)</f>
        <v/>
      </c>
      <c r="I106" s="38" t="n"/>
      <c r="J106" s="38" t="n"/>
      <c r="K106" s="38" t="n"/>
      <c r="L106" s="38" t="n"/>
      <c r="M106" s="38" t="n"/>
      <c r="N106" s="38" t="n"/>
      <c r="O106" s="38" t="n"/>
    </row>
    <row r="107" ht="17" customHeight="1">
      <c r="A107" s="36" t="inlineStr">
        <is>
          <t>Outro terceirizado</t>
        </is>
      </c>
      <c r="B107" s="37" t="n"/>
      <c r="C107" s="71" t="n"/>
      <c r="D107" s="56">
        <f>ROUND(SUMIFS($E$134:$E$193,$B$134:$B$193,$A107,$I$134:$I$193,"Comprado (a pagar)")+SUMIFS($E$134:$E$193,$B$134:$B$193,$A107,$I$134:$I$193,"Pago"),2)</f>
        <v/>
      </c>
      <c r="E107" s="56">
        <f>IF($C107="","",ROUND($D107-$C107,2))</f>
        <v/>
      </c>
      <c r="F107" s="38" t="n"/>
      <c r="G107" s="89">
        <f>ROUND(SUMIFS($E$134:$E$193,$B$134:$B$193,$A107,$I$134:$I$193,"A comprar"),2)</f>
        <v/>
      </c>
      <c r="H107" s="90">
        <f>ROUND(SUMIFS($E$134:$E$193,$B$134:$B$193,$A107,$I$134:$I$193,"Comprado (a pagar)"),2)</f>
        <v/>
      </c>
      <c r="I107" s="38" t="n"/>
      <c r="J107" s="38" t="n"/>
      <c r="K107" s="38" t="n"/>
      <c r="L107" s="38" t="n"/>
      <c r="M107" s="38" t="n"/>
      <c r="N107" s="38" t="n"/>
      <c r="O107" s="38" t="n"/>
    </row>
    <row r="108" ht="20" customHeight="1">
      <c r="A108" s="31" t="inlineStr">
        <is>
          <t>(=) SUBTOTAL · SERVIÇOS TERCEIRIZADOS</t>
        </is>
      </c>
      <c r="B108" s="32" t="n"/>
      <c r="C108" s="60">
        <f>ROUND(SUM(C104:C107),2)</f>
        <v/>
      </c>
      <c r="D108" s="60">
        <f>ROUND(SUM(D104:D107),2)</f>
        <v/>
      </c>
      <c r="E108" s="60">
        <f>ROUND(SUM(E104:E107),2)</f>
        <v/>
      </c>
      <c r="F108" s="32" t="n"/>
      <c r="G108" s="60">
        <f>ROUND(SUM(G104:G107),2)</f>
        <v/>
      </c>
      <c r="H108" s="60">
        <f>ROUND(SUM(H104:H107),2)</f>
        <v/>
      </c>
      <c r="I108" s="32" t="n"/>
      <c r="J108" s="32" t="n"/>
      <c r="K108" s="32" t="n"/>
      <c r="L108" s="32" t="n"/>
      <c r="M108" s="32" t="n"/>
      <c r="N108" s="32" t="n"/>
      <c r="O108" s="32" t="n"/>
    </row>
    <row r="109" ht="17" customHeight="1">
      <c r="A109" s="36" t="inlineStr">
        <is>
          <t>Uber e aplicativo</t>
        </is>
      </c>
      <c r="B109" s="37" t="n"/>
      <c r="C109" s="71" t="n"/>
      <c r="D109" s="56">
        <f>ROUND(SUMIFS($E$134:$E$193,$B$134:$B$193,$A109,$I$134:$I$193,"Comprado (a pagar)")+SUMIFS($E$134:$E$193,$B$134:$B$193,$A109,$I$134:$I$193,"Pago"),2)</f>
        <v/>
      </c>
      <c r="E109" s="56">
        <f>IF($C109="","",ROUND($D109-$C109,2))</f>
        <v/>
      </c>
      <c r="F109" s="38" t="n"/>
      <c r="G109" s="89">
        <f>ROUND(SUMIFS($E$134:$E$193,$B$134:$B$193,$A109,$I$134:$I$193,"A comprar"),2)</f>
        <v/>
      </c>
      <c r="H109" s="90">
        <f>ROUND(SUMIFS($E$134:$E$193,$B$134:$B$193,$A109,$I$134:$I$193,"Comprado (a pagar)"),2)</f>
        <v/>
      </c>
      <c r="I109" s="38" t="n"/>
      <c r="J109" s="38" t="n"/>
      <c r="K109" s="38" t="n"/>
      <c r="L109" s="38" t="n"/>
      <c r="M109" s="38" t="n"/>
      <c r="N109" s="38" t="n"/>
      <c r="O109" s="38" t="n"/>
    </row>
    <row r="110" ht="17" customHeight="1">
      <c r="A110" s="36" t="inlineStr">
        <is>
          <t>Carreto e entrega</t>
        </is>
      </c>
      <c r="B110" s="37" t="n"/>
      <c r="C110" s="71" t="n"/>
      <c r="D110" s="56">
        <f>ROUND(SUMIFS($E$134:$E$193,$B$134:$B$193,$A110,$I$134:$I$193,"Comprado (a pagar)")+SUMIFS($E$134:$E$193,$B$134:$B$193,$A110,$I$134:$I$193,"Pago"),2)</f>
        <v/>
      </c>
      <c r="E110" s="56">
        <f>IF($C110="","",ROUND($D110-$C110,2))</f>
        <v/>
      </c>
      <c r="F110" s="38" t="n"/>
      <c r="G110" s="89">
        <f>ROUND(SUMIFS($E$134:$E$193,$B$134:$B$193,$A110,$I$134:$I$193,"A comprar"),2)</f>
        <v/>
      </c>
      <c r="H110" s="90">
        <f>ROUND(SUMIFS($E$134:$E$193,$B$134:$B$193,$A110,$I$134:$I$193,"Comprado (a pagar)"),2)</f>
        <v/>
      </c>
      <c r="I110" s="38" t="n"/>
      <c r="J110" s="38" t="n"/>
      <c r="K110" s="38" t="n"/>
      <c r="L110" s="38" t="n"/>
      <c r="M110" s="38" t="n"/>
      <c r="N110" s="38" t="n"/>
      <c r="O110" s="38" t="n"/>
    </row>
    <row r="111" ht="17" customHeight="1">
      <c r="A111" s="36" t="inlineStr">
        <is>
          <t>Deslocamento da equipe</t>
        </is>
      </c>
      <c r="B111" s="37" t="n"/>
      <c r="C111" s="71" t="n"/>
      <c r="D111" s="56">
        <f>ROUND(SUMIFS($E$134:$E$193,$B$134:$B$193,$A111,$I$134:$I$193,"Comprado (a pagar)")+SUMIFS($E$134:$E$193,$B$134:$B$193,$A111,$I$134:$I$193,"Pago"),2)</f>
        <v/>
      </c>
      <c r="E111" s="56">
        <f>IF($C111="","",ROUND($D111-$C111,2))</f>
        <v/>
      </c>
      <c r="F111" s="38" t="n"/>
      <c r="G111" s="89">
        <f>ROUND(SUMIFS($E$134:$E$193,$B$134:$B$193,$A111,$I$134:$I$193,"A comprar"),2)</f>
        <v/>
      </c>
      <c r="H111" s="90">
        <f>ROUND(SUMIFS($E$134:$E$193,$B$134:$B$193,$A111,$I$134:$I$193,"Comprado (a pagar)"),2)</f>
        <v/>
      </c>
      <c r="I111" s="38" t="n"/>
      <c r="J111" s="38" t="n"/>
      <c r="K111" s="38" t="n"/>
      <c r="L111" s="38" t="n"/>
      <c r="M111" s="38" t="n"/>
      <c r="N111" s="38" t="n"/>
      <c r="O111" s="38" t="n"/>
    </row>
    <row r="112" ht="17" customHeight="1">
      <c r="A112" s="36" t="inlineStr">
        <is>
          <t>Frete de material</t>
        </is>
      </c>
      <c r="B112" s="37" t="n"/>
      <c r="C112" s="71" t="n"/>
      <c r="D112" s="56">
        <f>ROUND(SUMIFS($E$134:$E$193,$B$134:$B$193,$A112,$I$134:$I$193,"Comprado (a pagar)")+SUMIFS($E$134:$E$193,$B$134:$B$193,$A112,$I$134:$I$193,"Pago"),2)</f>
        <v/>
      </c>
      <c r="E112" s="56">
        <f>IF($C112="","",ROUND($D112-$C112,2))</f>
        <v/>
      </c>
      <c r="F112" s="38" t="n"/>
      <c r="G112" s="89">
        <f>ROUND(SUMIFS($E$134:$E$193,$B$134:$B$193,$A112,$I$134:$I$193,"A comprar"),2)</f>
        <v/>
      </c>
      <c r="H112" s="90">
        <f>ROUND(SUMIFS($E$134:$E$193,$B$134:$B$193,$A112,$I$134:$I$193,"Comprado (a pagar)"),2)</f>
        <v/>
      </c>
      <c r="I112" s="38" t="n"/>
      <c r="J112" s="38" t="n"/>
      <c r="K112" s="38" t="n"/>
      <c r="L112" s="38" t="n"/>
      <c r="M112" s="38" t="n"/>
      <c r="N112" s="38" t="n"/>
      <c r="O112" s="38" t="n"/>
    </row>
    <row r="113" ht="17" customHeight="1">
      <c r="A113" s="36" t="inlineStr">
        <is>
          <t>Estacionamento e pedágio</t>
        </is>
      </c>
      <c r="B113" s="37" t="n"/>
      <c r="C113" s="71" t="n"/>
      <c r="D113" s="56">
        <f>ROUND(SUMIFS($E$134:$E$193,$B$134:$B$193,$A113,$I$134:$I$193,"Comprado (a pagar)")+SUMIFS($E$134:$E$193,$B$134:$B$193,$A113,$I$134:$I$193,"Pago"),2)</f>
        <v/>
      </c>
      <c r="E113" s="56">
        <f>IF($C113="","",ROUND($D113-$C113,2))</f>
        <v/>
      </c>
      <c r="F113" s="38" t="n"/>
      <c r="G113" s="89">
        <f>ROUND(SUMIFS($E$134:$E$193,$B$134:$B$193,$A113,$I$134:$I$193,"A comprar"),2)</f>
        <v/>
      </c>
      <c r="H113" s="90">
        <f>ROUND(SUMIFS($E$134:$E$193,$B$134:$B$193,$A113,$I$134:$I$193,"Comprado (a pagar)"),2)</f>
        <v/>
      </c>
      <c r="I113" s="38" t="n"/>
      <c r="J113" s="38" t="n"/>
      <c r="K113" s="38" t="n"/>
      <c r="L113" s="38" t="n"/>
      <c r="M113" s="38" t="n"/>
      <c r="N113" s="38" t="n"/>
      <c r="O113" s="38" t="n"/>
    </row>
    <row r="114" ht="20" customHeight="1">
      <c r="A114" s="31" t="inlineStr">
        <is>
          <t>(=) SUBTOTAL · LOGÍSTICA</t>
        </is>
      </c>
      <c r="B114" s="32" t="n"/>
      <c r="C114" s="60">
        <f>ROUND(SUM(C109:C113),2)</f>
        <v/>
      </c>
      <c r="D114" s="60">
        <f>ROUND(SUM(D109:D113),2)</f>
        <v/>
      </c>
      <c r="E114" s="60">
        <f>ROUND(SUM(E109:E113),2)</f>
        <v/>
      </c>
      <c r="F114" s="32" t="n"/>
      <c r="G114" s="60">
        <f>ROUND(SUM(G109:G113),2)</f>
        <v/>
      </c>
      <c r="H114" s="60">
        <f>ROUND(SUM(H109:H113),2)</f>
        <v/>
      </c>
      <c r="I114" s="32" t="n"/>
      <c r="J114" s="32" t="n"/>
      <c r="K114" s="32" t="n"/>
      <c r="L114" s="32" t="n"/>
      <c r="M114" s="32" t="n"/>
      <c r="N114" s="32" t="n"/>
      <c r="O114" s="32" t="n"/>
    </row>
    <row r="115" ht="8" customHeight="1"/>
    <row r="116" ht="20" customHeight="1">
      <c r="A116" s="8" t="inlineStr">
        <is>
          <t xml:space="preserve">  7 · RETRABALHO          o que aconteceu, por que aconteceu e quanto custou — é aqui que o orçamento aprende</t>
        </is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</row>
    <row r="117" ht="26" customHeight="1">
      <c r="A117" s="19" t="inlineStr">
        <is>
          <t>O que aconteceu</t>
        </is>
      </c>
      <c r="B117" s="19" t="inlineStr">
        <is>
          <t>Causa</t>
        </is>
      </c>
      <c r="C117" s="35" t="n"/>
      <c r="D117" s="35" t="n"/>
      <c r="E117" s="19" t="inlineStr">
        <is>
          <t>Custo estimado (R$)</t>
        </is>
      </c>
      <c r="F117" s="35" t="n"/>
      <c r="G117" s="19" t="inlineStr">
        <is>
          <t>Providência / responsável</t>
        </is>
      </c>
      <c r="H117" s="35" t="n"/>
      <c r="I117" s="35" t="n"/>
      <c r="J117" s="35" t="n"/>
      <c r="K117" s="35" t="n"/>
      <c r="L117" s="35" t="n"/>
      <c r="M117" s="35" t="n"/>
      <c r="N117" s="35" t="n"/>
      <c r="O117" s="35" t="n"/>
    </row>
    <row r="118" ht="18" customHeight="1">
      <c r="A118" s="83" t="n"/>
      <c r="B118" s="83" t="n"/>
      <c r="C118" s="46" t="n"/>
      <c r="D118" s="46" t="n"/>
      <c r="E118" s="91" t="n"/>
      <c r="F118" s="46" t="n"/>
      <c r="G118" s="73" t="n"/>
      <c r="H118" s="46" t="n"/>
      <c r="I118" s="46" t="n"/>
      <c r="J118" s="46" t="n"/>
      <c r="K118" s="46" t="n"/>
      <c r="L118" s="46" t="n"/>
      <c r="M118" s="46" t="n"/>
      <c r="N118" s="46" t="n"/>
      <c r="O118" s="46" t="n"/>
    </row>
    <row r="119" ht="18" customHeight="1">
      <c r="A119" s="83" t="n"/>
      <c r="B119" s="83" t="n"/>
      <c r="C119" s="46" t="n"/>
      <c r="D119" s="46" t="n"/>
      <c r="E119" s="91" t="n"/>
      <c r="F119" s="46" t="n"/>
      <c r="G119" s="73" t="n"/>
      <c r="H119" s="46" t="n"/>
      <c r="I119" s="46" t="n"/>
      <c r="J119" s="46" t="n"/>
      <c r="K119" s="46" t="n"/>
      <c r="L119" s="46" t="n"/>
      <c r="M119" s="46" t="n"/>
      <c r="N119" s="46" t="n"/>
      <c r="O119" s="46" t="n"/>
    </row>
    <row r="120" ht="18" customHeight="1">
      <c r="A120" s="83" t="n"/>
      <c r="B120" s="83" t="n"/>
      <c r="C120" s="46" t="n"/>
      <c r="D120" s="46" t="n"/>
      <c r="E120" s="91" t="n"/>
      <c r="F120" s="46" t="n"/>
      <c r="G120" s="73" t="n"/>
      <c r="H120" s="46" t="n"/>
      <c r="I120" s="46" t="n"/>
      <c r="J120" s="46" t="n"/>
      <c r="K120" s="46" t="n"/>
      <c r="L120" s="46" t="n"/>
      <c r="M120" s="46" t="n"/>
      <c r="N120" s="46" t="n"/>
      <c r="O120" s="46" t="n"/>
    </row>
    <row r="121" ht="18" customHeight="1">
      <c r="A121" s="83" t="n"/>
      <c r="B121" s="83" t="n"/>
      <c r="C121" s="46" t="n"/>
      <c r="D121" s="46" t="n"/>
      <c r="E121" s="91" t="n"/>
      <c r="F121" s="46" t="n"/>
      <c r="G121" s="73" t="n"/>
      <c r="H121" s="46" t="n"/>
      <c r="I121" s="46" t="n"/>
      <c r="J121" s="46" t="n"/>
      <c r="K121" s="46" t="n"/>
      <c r="L121" s="46" t="n"/>
      <c r="M121" s="46" t="n"/>
      <c r="N121" s="46" t="n"/>
      <c r="O121" s="46" t="n"/>
    </row>
    <row r="122" ht="18" customHeight="1">
      <c r="A122" s="83" t="n"/>
      <c r="B122" s="83" t="n"/>
      <c r="C122" s="46" t="n"/>
      <c r="D122" s="46" t="n"/>
      <c r="E122" s="91" t="n"/>
      <c r="F122" s="46" t="n"/>
      <c r="G122" s="73" t="n"/>
      <c r="H122" s="46" t="n"/>
      <c r="I122" s="46" t="n"/>
      <c r="J122" s="46" t="n"/>
      <c r="K122" s="46" t="n"/>
      <c r="L122" s="46" t="n"/>
      <c r="M122" s="46" t="n"/>
      <c r="N122" s="46" t="n"/>
      <c r="O122" s="46" t="n"/>
    </row>
    <row r="123" ht="18" customHeight="1">
      <c r="A123" s="83" t="n"/>
      <c r="B123" s="83" t="n"/>
      <c r="C123" s="46" t="n"/>
      <c r="D123" s="46" t="n"/>
      <c r="E123" s="91" t="n"/>
      <c r="F123" s="46" t="n"/>
      <c r="G123" s="73" t="n"/>
      <c r="H123" s="46" t="n"/>
      <c r="I123" s="46" t="n"/>
      <c r="J123" s="46" t="n"/>
      <c r="K123" s="46" t="n"/>
      <c r="L123" s="46" t="n"/>
      <c r="M123" s="46" t="n"/>
      <c r="N123" s="46" t="n"/>
      <c r="O123" s="46" t="n"/>
    </row>
    <row r="124" ht="18" customHeight="1">
      <c r="A124" s="83" t="n"/>
      <c r="B124" s="83" t="n"/>
      <c r="C124" s="46" t="n"/>
      <c r="D124" s="46" t="n"/>
      <c r="E124" s="91" t="n"/>
      <c r="F124" s="46" t="n"/>
      <c r="G124" s="73" t="n"/>
      <c r="H124" s="46" t="n"/>
      <c r="I124" s="46" t="n"/>
      <c r="J124" s="46" t="n"/>
      <c r="K124" s="46" t="n"/>
      <c r="L124" s="46" t="n"/>
      <c r="M124" s="46" t="n"/>
      <c r="N124" s="46" t="n"/>
      <c r="O124" s="46" t="n"/>
    </row>
    <row r="125" ht="18" customHeight="1">
      <c r="A125" s="83" t="n"/>
      <c r="B125" s="83" t="n"/>
      <c r="C125" s="46" t="n"/>
      <c r="D125" s="46" t="n"/>
      <c r="E125" s="91" t="n"/>
      <c r="F125" s="46" t="n"/>
      <c r="G125" s="73" t="n"/>
      <c r="H125" s="46" t="n"/>
      <c r="I125" s="46" t="n"/>
      <c r="J125" s="46" t="n"/>
      <c r="K125" s="46" t="n"/>
      <c r="L125" s="46" t="n"/>
      <c r="M125" s="46" t="n"/>
      <c r="N125" s="46" t="n"/>
      <c r="O125" s="46" t="n"/>
    </row>
    <row r="126" ht="18" customHeight="1">
      <c r="A126" s="83" t="n"/>
      <c r="B126" s="83" t="n"/>
      <c r="C126" s="46" t="n"/>
      <c r="D126" s="46" t="n"/>
      <c r="E126" s="91" t="n"/>
      <c r="F126" s="46" t="n"/>
      <c r="G126" s="73" t="n"/>
      <c r="H126" s="46" t="n"/>
      <c r="I126" s="46" t="n"/>
      <c r="J126" s="46" t="n"/>
      <c r="K126" s="46" t="n"/>
      <c r="L126" s="46" t="n"/>
      <c r="M126" s="46" t="n"/>
      <c r="N126" s="46" t="n"/>
      <c r="O126" s="46" t="n"/>
    </row>
    <row r="127" ht="18" customHeight="1">
      <c r="A127" s="83" t="n"/>
      <c r="B127" s="83" t="n"/>
      <c r="C127" s="46" t="n"/>
      <c r="D127" s="46" t="n"/>
      <c r="E127" s="91" t="n"/>
      <c r="F127" s="46" t="n"/>
      <c r="G127" s="73" t="n"/>
      <c r="H127" s="46" t="n"/>
      <c r="I127" s="46" t="n"/>
      <c r="J127" s="46" t="n"/>
      <c r="K127" s="46" t="n"/>
      <c r="L127" s="46" t="n"/>
      <c r="M127" s="46" t="n"/>
      <c r="N127" s="46" t="n"/>
      <c r="O127" s="46" t="n"/>
    </row>
    <row r="128" ht="18" customHeight="1">
      <c r="A128" s="83" t="n"/>
      <c r="B128" s="83" t="n"/>
      <c r="C128" s="46" t="n"/>
      <c r="D128" s="46" t="n"/>
      <c r="E128" s="91" t="n"/>
      <c r="F128" s="46" t="n"/>
      <c r="G128" s="73" t="n"/>
      <c r="H128" s="46" t="n"/>
      <c r="I128" s="46" t="n"/>
      <c r="J128" s="46" t="n"/>
      <c r="K128" s="46" t="n"/>
      <c r="L128" s="46" t="n"/>
      <c r="M128" s="46" t="n"/>
      <c r="N128" s="46" t="n"/>
      <c r="O128" s="46" t="n"/>
    </row>
    <row r="129" ht="18" customHeight="1">
      <c r="A129" s="83" t="n"/>
      <c r="B129" s="83" t="n"/>
      <c r="C129" s="46" t="n"/>
      <c r="D129" s="46" t="n"/>
      <c r="E129" s="91" t="n"/>
      <c r="F129" s="46" t="n"/>
      <c r="G129" s="73" t="n"/>
      <c r="H129" s="46" t="n"/>
      <c r="I129" s="46" t="n"/>
      <c r="J129" s="46" t="n"/>
      <c r="K129" s="46" t="n"/>
      <c r="L129" s="46" t="n"/>
      <c r="M129" s="46" t="n"/>
      <c r="N129" s="46" t="n"/>
      <c r="O129" s="46" t="n"/>
    </row>
    <row r="130" ht="20" customHeight="1">
      <c r="A130" s="31" t="inlineStr">
        <is>
          <t>CONTINGÊNCIA PREVISTA NO ORÇAMENTO  →</t>
        </is>
      </c>
      <c r="B130" s="32" t="n"/>
      <c r="C130" s="92" t="n"/>
      <c r="D130" s="60">
        <f>ROUND(SUM($E$118:$E$129),2)</f>
        <v/>
      </c>
      <c r="E130" s="60">
        <f>ROUND($D$130-IF($C$130="",0,$C$130),2)</f>
        <v/>
      </c>
      <c r="F130" s="32" t="n"/>
      <c r="G130" s="62">
        <f>IF(OR($A$13="",$A$13=0),"",$D$130/$A$13)</f>
        <v/>
      </c>
      <c r="H130" s="93" t="inlineStr">
        <is>
          <t>orçado = a contingência prevista · realizado = a soma acima</t>
        </is>
      </c>
      <c r="I130" s="32" t="n"/>
      <c r="J130" s="32" t="n"/>
      <c r="K130" s="32" t="n"/>
      <c r="L130" s="32" t="n"/>
      <c r="M130" s="32" t="n"/>
      <c r="N130" s="32" t="n"/>
      <c r="O130" s="32" t="n"/>
    </row>
    <row r="131" ht="8" customHeight="1"/>
    <row r="132" ht="20" customHeight="1">
      <c r="A132" s="8" t="inlineStr">
        <is>
          <t xml:space="preserve">  8 · LIVRO DE COMPRAS E DESPESAS DO PROJETO          uma linha por compra, na ordem em que acontecer · pode inserir linhas à vontade aqui</t>
        </is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</row>
    <row r="133" ht="28" customHeight="1">
      <c r="A133" s="19" t="inlineStr">
        <is>
          <t>Descrição / fornecedor</t>
        </is>
      </c>
      <c r="B133" s="19" t="inlineStr">
        <is>
          <t>Categoria</t>
        </is>
      </c>
      <c r="C133" s="35" t="n"/>
      <c r="D133" s="19" t="inlineStr">
        <is>
          <t>Data</t>
        </is>
      </c>
      <c r="E133" s="19" t="inlineStr">
        <is>
          <t>Valor (R$)</t>
        </is>
      </c>
      <c r="F133" s="35" t="n"/>
      <c r="G133" s="19" t="inlineStr">
        <is>
          <t>Forma de pagamento</t>
        </is>
      </c>
      <c r="H133" s="35" t="n"/>
      <c r="I133" s="19" t="inlineStr">
        <is>
          <t>Status</t>
        </is>
      </c>
      <c r="J133" s="35" t="n"/>
      <c r="K133" s="35" t="n"/>
      <c r="L133" s="35" t="n"/>
      <c r="M133" s="35" t="n"/>
      <c r="N133" s="35" t="n"/>
      <c r="O133" s="35" t="n"/>
    </row>
    <row r="134" ht="17" customHeight="1">
      <c r="A134" s="83" t="n"/>
      <c r="B134" s="94" t="n"/>
      <c r="C134" s="46" t="n"/>
      <c r="D134" s="75" t="n"/>
      <c r="E134" s="95" t="n"/>
      <c r="F134" s="46" t="n"/>
      <c r="G134" s="96" t="n"/>
      <c r="H134" s="46" t="n"/>
      <c r="I134" s="97" t="n"/>
      <c r="J134" s="46" t="n"/>
      <c r="K134" s="46" t="n"/>
      <c r="L134" s="46" t="n"/>
      <c r="M134" s="46" t="n"/>
      <c r="N134" s="46" t="n"/>
      <c r="O134" s="46" t="n"/>
    </row>
    <row r="135" ht="17" customHeight="1">
      <c r="A135" s="83" t="n"/>
      <c r="B135" s="94" t="n"/>
      <c r="C135" s="46" t="n"/>
      <c r="D135" s="75" t="n"/>
      <c r="E135" s="95" t="n"/>
      <c r="F135" s="46" t="n"/>
      <c r="G135" s="96" t="n"/>
      <c r="H135" s="46" t="n"/>
      <c r="I135" s="97" t="n"/>
      <c r="J135" s="46" t="n"/>
      <c r="K135" s="46" t="n"/>
      <c r="L135" s="46" t="n"/>
      <c r="M135" s="46" t="n"/>
      <c r="N135" s="46" t="n"/>
      <c r="O135" s="46" t="n"/>
    </row>
    <row r="136" ht="17" customHeight="1">
      <c r="A136" s="83" t="n"/>
      <c r="B136" s="94" t="n"/>
      <c r="C136" s="46" t="n"/>
      <c r="D136" s="75" t="n"/>
      <c r="E136" s="95" t="n"/>
      <c r="F136" s="46" t="n"/>
      <c r="G136" s="96" t="n"/>
      <c r="H136" s="46" t="n"/>
      <c r="I136" s="97" t="n"/>
      <c r="J136" s="46" t="n"/>
      <c r="K136" s="46" t="n"/>
      <c r="L136" s="46" t="n"/>
      <c r="M136" s="46" t="n"/>
      <c r="N136" s="46" t="n"/>
      <c r="O136" s="46" t="n"/>
    </row>
    <row r="137" ht="17" customHeight="1">
      <c r="A137" s="83" t="n"/>
      <c r="B137" s="94" t="n"/>
      <c r="C137" s="46" t="n"/>
      <c r="D137" s="75" t="n"/>
      <c r="E137" s="95" t="n"/>
      <c r="F137" s="46" t="n"/>
      <c r="G137" s="96" t="n"/>
      <c r="H137" s="46" t="n"/>
      <c r="I137" s="97" t="n"/>
      <c r="J137" s="46" t="n"/>
      <c r="K137" s="46" t="n"/>
      <c r="L137" s="46" t="n"/>
      <c r="M137" s="46" t="n"/>
      <c r="N137" s="46" t="n"/>
      <c r="O137" s="46" t="n"/>
    </row>
    <row r="138" ht="17" customHeight="1">
      <c r="A138" s="83" t="n"/>
      <c r="B138" s="94" t="n"/>
      <c r="C138" s="46" t="n"/>
      <c r="D138" s="75" t="n"/>
      <c r="E138" s="95" t="n"/>
      <c r="F138" s="46" t="n"/>
      <c r="G138" s="96" t="n"/>
      <c r="H138" s="46" t="n"/>
      <c r="I138" s="97" t="n"/>
      <c r="J138" s="46" t="n"/>
      <c r="K138" s="46" t="n"/>
      <c r="L138" s="46" t="n"/>
      <c r="M138" s="46" t="n"/>
      <c r="N138" s="46" t="n"/>
      <c r="O138" s="46" t="n"/>
    </row>
    <row r="139" ht="17" customHeight="1">
      <c r="A139" s="83" t="n"/>
      <c r="B139" s="94" t="n"/>
      <c r="C139" s="46" t="n"/>
      <c r="D139" s="75" t="n"/>
      <c r="E139" s="95" t="n"/>
      <c r="F139" s="46" t="n"/>
      <c r="G139" s="96" t="n"/>
      <c r="H139" s="46" t="n"/>
      <c r="I139" s="97" t="n"/>
      <c r="J139" s="46" t="n"/>
      <c r="K139" s="46" t="n"/>
      <c r="L139" s="46" t="n"/>
      <c r="M139" s="46" t="n"/>
      <c r="N139" s="46" t="n"/>
      <c r="O139" s="46" t="n"/>
    </row>
    <row r="140" ht="17" customHeight="1">
      <c r="A140" s="83" t="n"/>
      <c r="B140" s="94" t="n"/>
      <c r="C140" s="46" t="n"/>
      <c r="D140" s="75" t="n"/>
      <c r="E140" s="95" t="n"/>
      <c r="F140" s="46" t="n"/>
      <c r="G140" s="96" t="n"/>
      <c r="H140" s="46" t="n"/>
      <c r="I140" s="97" t="n"/>
      <c r="J140" s="46" t="n"/>
      <c r="K140" s="46" t="n"/>
      <c r="L140" s="46" t="n"/>
      <c r="M140" s="46" t="n"/>
      <c r="N140" s="46" t="n"/>
      <c r="O140" s="46" t="n"/>
    </row>
    <row r="141" ht="17" customHeight="1">
      <c r="A141" s="83" t="n"/>
      <c r="B141" s="94" t="n"/>
      <c r="C141" s="46" t="n"/>
      <c r="D141" s="75" t="n"/>
      <c r="E141" s="95" t="n"/>
      <c r="F141" s="46" t="n"/>
      <c r="G141" s="96" t="n"/>
      <c r="H141" s="46" t="n"/>
      <c r="I141" s="97" t="n"/>
      <c r="J141" s="46" t="n"/>
      <c r="K141" s="46" t="n"/>
      <c r="L141" s="46" t="n"/>
      <c r="M141" s="46" t="n"/>
      <c r="N141" s="46" t="n"/>
      <c r="O141" s="46" t="n"/>
    </row>
    <row r="142" ht="17" customHeight="1">
      <c r="A142" s="83" t="n"/>
      <c r="B142" s="94" t="n"/>
      <c r="C142" s="46" t="n"/>
      <c r="D142" s="75" t="n"/>
      <c r="E142" s="95" t="n"/>
      <c r="F142" s="46" t="n"/>
      <c r="G142" s="96" t="n"/>
      <c r="H142" s="46" t="n"/>
      <c r="I142" s="97" t="n"/>
      <c r="J142" s="46" t="n"/>
      <c r="K142" s="46" t="n"/>
      <c r="L142" s="46" t="n"/>
      <c r="M142" s="46" t="n"/>
      <c r="N142" s="46" t="n"/>
      <c r="O142" s="46" t="n"/>
    </row>
    <row r="143" ht="17" customHeight="1">
      <c r="A143" s="83" t="n"/>
      <c r="B143" s="94" t="n"/>
      <c r="C143" s="46" t="n"/>
      <c r="D143" s="75" t="n"/>
      <c r="E143" s="95" t="n"/>
      <c r="F143" s="46" t="n"/>
      <c r="G143" s="96" t="n"/>
      <c r="H143" s="46" t="n"/>
      <c r="I143" s="97" t="n"/>
      <c r="J143" s="46" t="n"/>
      <c r="K143" s="46" t="n"/>
      <c r="L143" s="46" t="n"/>
      <c r="M143" s="46" t="n"/>
      <c r="N143" s="46" t="n"/>
      <c r="O143" s="46" t="n"/>
    </row>
    <row r="144" ht="17" customHeight="1">
      <c r="A144" s="83" t="n"/>
      <c r="B144" s="94" t="n"/>
      <c r="C144" s="46" t="n"/>
      <c r="D144" s="75" t="n"/>
      <c r="E144" s="95" t="n"/>
      <c r="F144" s="46" t="n"/>
      <c r="G144" s="96" t="n"/>
      <c r="H144" s="46" t="n"/>
      <c r="I144" s="97" t="n"/>
      <c r="J144" s="46" t="n"/>
      <c r="K144" s="46" t="n"/>
      <c r="L144" s="46" t="n"/>
      <c r="M144" s="46" t="n"/>
      <c r="N144" s="46" t="n"/>
      <c r="O144" s="46" t="n"/>
    </row>
    <row r="145" ht="17" customHeight="1">
      <c r="A145" s="83" t="n"/>
      <c r="B145" s="94" t="n"/>
      <c r="C145" s="46" t="n"/>
      <c r="D145" s="75" t="n"/>
      <c r="E145" s="95" t="n"/>
      <c r="F145" s="46" t="n"/>
      <c r="G145" s="96" t="n"/>
      <c r="H145" s="46" t="n"/>
      <c r="I145" s="97" t="n"/>
      <c r="J145" s="46" t="n"/>
      <c r="K145" s="46" t="n"/>
      <c r="L145" s="46" t="n"/>
      <c r="M145" s="46" t="n"/>
      <c r="N145" s="46" t="n"/>
      <c r="O145" s="46" t="n"/>
    </row>
    <row r="146" ht="17" customHeight="1">
      <c r="A146" s="83" t="n"/>
      <c r="B146" s="94" t="n"/>
      <c r="C146" s="46" t="n"/>
      <c r="D146" s="75" t="n"/>
      <c r="E146" s="95" t="n"/>
      <c r="F146" s="46" t="n"/>
      <c r="G146" s="96" t="n"/>
      <c r="H146" s="46" t="n"/>
      <c r="I146" s="97" t="n"/>
      <c r="J146" s="46" t="n"/>
      <c r="K146" s="46" t="n"/>
      <c r="L146" s="46" t="n"/>
      <c r="M146" s="46" t="n"/>
      <c r="N146" s="46" t="n"/>
      <c r="O146" s="46" t="n"/>
    </row>
    <row r="147" ht="17" customHeight="1">
      <c r="A147" s="83" t="n"/>
      <c r="B147" s="94" t="n"/>
      <c r="C147" s="46" t="n"/>
      <c r="D147" s="75" t="n"/>
      <c r="E147" s="95" t="n"/>
      <c r="F147" s="46" t="n"/>
      <c r="G147" s="96" t="n"/>
      <c r="H147" s="46" t="n"/>
      <c r="I147" s="97" t="n"/>
      <c r="J147" s="46" t="n"/>
      <c r="K147" s="46" t="n"/>
      <c r="L147" s="46" t="n"/>
      <c r="M147" s="46" t="n"/>
      <c r="N147" s="46" t="n"/>
      <c r="O147" s="46" t="n"/>
    </row>
    <row r="148" ht="17" customHeight="1">
      <c r="A148" s="83" t="n"/>
      <c r="B148" s="94" t="n"/>
      <c r="C148" s="46" t="n"/>
      <c r="D148" s="75" t="n"/>
      <c r="E148" s="95" t="n"/>
      <c r="F148" s="46" t="n"/>
      <c r="G148" s="96" t="n"/>
      <c r="H148" s="46" t="n"/>
      <c r="I148" s="97" t="n"/>
      <c r="J148" s="46" t="n"/>
      <c r="K148" s="46" t="n"/>
      <c r="L148" s="46" t="n"/>
      <c r="M148" s="46" t="n"/>
      <c r="N148" s="46" t="n"/>
      <c r="O148" s="46" t="n"/>
    </row>
    <row r="149" ht="17" customHeight="1">
      <c r="A149" s="83" t="n"/>
      <c r="B149" s="94" t="n"/>
      <c r="C149" s="46" t="n"/>
      <c r="D149" s="75" t="n"/>
      <c r="E149" s="95" t="n"/>
      <c r="F149" s="46" t="n"/>
      <c r="G149" s="96" t="n"/>
      <c r="H149" s="46" t="n"/>
      <c r="I149" s="97" t="n"/>
      <c r="J149" s="46" t="n"/>
      <c r="K149" s="46" t="n"/>
      <c r="L149" s="46" t="n"/>
      <c r="M149" s="46" t="n"/>
      <c r="N149" s="46" t="n"/>
      <c r="O149" s="46" t="n"/>
    </row>
    <row r="150" ht="17" customHeight="1">
      <c r="A150" s="83" t="n"/>
      <c r="B150" s="94" t="n"/>
      <c r="C150" s="46" t="n"/>
      <c r="D150" s="75" t="n"/>
      <c r="E150" s="95" t="n"/>
      <c r="F150" s="46" t="n"/>
      <c r="G150" s="96" t="n"/>
      <c r="H150" s="46" t="n"/>
      <c r="I150" s="97" t="n"/>
      <c r="J150" s="46" t="n"/>
      <c r="K150" s="46" t="n"/>
      <c r="L150" s="46" t="n"/>
      <c r="M150" s="46" t="n"/>
      <c r="N150" s="46" t="n"/>
      <c r="O150" s="46" t="n"/>
    </row>
    <row r="151" ht="17" customHeight="1">
      <c r="A151" s="83" t="n"/>
      <c r="B151" s="94" t="n"/>
      <c r="C151" s="46" t="n"/>
      <c r="D151" s="75" t="n"/>
      <c r="E151" s="95" t="n"/>
      <c r="F151" s="46" t="n"/>
      <c r="G151" s="96" t="n"/>
      <c r="H151" s="46" t="n"/>
      <c r="I151" s="97" t="n"/>
      <c r="J151" s="46" t="n"/>
      <c r="K151" s="46" t="n"/>
      <c r="L151" s="46" t="n"/>
      <c r="M151" s="46" t="n"/>
      <c r="N151" s="46" t="n"/>
      <c r="O151" s="46" t="n"/>
    </row>
    <row r="152" ht="17" customHeight="1">
      <c r="A152" s="83" t="n"/>
      <c r="B152" s="94" t="n"/>
      <c r="C152" s="46" t="n"/>
      <c r="D152" s="75" t="n"/>
      <c r="E152" s="95" t="n"/>
      <c r="F152" s="46" t="n"/>
      <c r="G152" s="96" t="n"/>
      <c r="H152" s="46" t="n"/>
      <c r="I152" s="97" t="n"/>
      <c r="J152" s="46" t="n"/>
      <c r="K152" s="46" t="n"/>
      <c r="L152" s="46" t="n"/>
      <c r="M152" s="46" t="n"/>
      <c r="N152" s="46" t="n"/>
      <c r="O152" s="46" t="n"/>
    </row>
    <row r="153" ht="17" customHeight="1">
      <c r="A153" s="83" t="n"/>
      <c r="B153" s="94" t="n"/>
      <c r="C153" s="46" t="n"/>
      <c r="D153" s="75" t="n"/>
      <c r="E153" s="95" t="n"/>
      <c r="F153" s="46" t="n"/>
      <c r="G153" s="96" t="n"/>
      <c r="H153" s="46" t="n"/>
      <c r="I153" s="97" t="n"/>
      <c r="J153" s="46" t="n"/>
      <c r="K153" s="46" t="n"/>
      <c r="L153" s="46" t="n"/>
      <c r="M153" s="46" t="n"/>
      <c r="N153" s="46" t="n"/>
      <c r="O153" s="46" t="n"/>
    </row>
    <row r="154" ht="17" customHeight="1">
      <c r="A154" s="83" t="n"/>
      <c r="B154" s="94" t="n"/>
      <c r="C154" s="46" t="n"/>
      <c r="D154" s="75" t="n"/>
      <c r="E154" s="95" t="n"/>
      <c r="F154" s="46" t="n"/>
      <c r="G154" s="96" t="n"/>
      <c r="H154" s="46" t="n"/>
      <c r="I154" s="97" t="n"/>
      <c r="J154" s="46" t="n"/>
      <c r="K154" s="46" t="n"/>
      <c r="L154" s="46" t="n"/>
      <c r="M154" s="46" t="n"/>
      <c r="N154" s="46" t="n"/>
      <c r="O154" s="46" t="n"/>
    </row>
    <row r="155" ht="17" customHeight="1">
      <c r="A155" s="83" t="n"/>
      <c r="B155" s="94" t="n"/>
      <c r="C155" s="46" t="n"/>
      <c r="D155" s="75" t="n"/>
      <c r="E155" s="95" t="n"/>
      <c r="F155" s="46" t="n"/>
      <c r="G155" s="96" t="n"/>
      <c r="H155" s="46" t="n"/>
      <c r="I155" s="97" t="n"/>
      <c r="J155" s="46" t="n"/>
      <c r="K155" s="46" t="n"/>
      <c r="L155" s="46" t="n"/>
      <c r="M155" s="46" t="n"/>
      <c r="N155" s="46" t="n"/>
      <c r="O155" s="46" t="n"/>
    </row>
    <row r="156" ht="17" customHeight="1">
      <c r="A156" s="83" t="n"/>
      <c r="B156" s="94" t="n"/>
      <c r="C156" s="46" t="n"/>
      <c r="D156" s="75" t="n"/>
      <c r="E156" s="95" t="n"/>
      <c r="F156" s="46" t="n"/>
      <c r="G156" s="96" t="n"/>
      <c r="H156" s="46" t="n"/>
      <c r="I156" s="97" t="n"/>
      <c r="J156" s="46" t="n"/>
      <c r="K156" s="46" t="n"/>
      <c r="L156" s="46" t="n"/>
      <c r="M156" s="46" t="n"/>
      <c r="N156" s="46" t="n"/>
      <c r="O156" s="46" t="n"/>
    </row>
    <row r="157" ht="17" customHeight="1">
      <c r="A157" s="83" t="n"/>
      <c r="B157" s="94" t="n"/>
      <c r="C157" s="46" t="n"/>
      <c r="D157" s="75" t="n"/>
      <c r="E157" s="95" t="n"/>
      <c r="F157" s="46" t="n"/>
      <c r="G157" s="96" t="n"/>
      <c r="H157" s="46" t="n"/>
      <c r="I157" s="97" t="n"/>
      <c r="J157" s="46" t="n"/>
      <c r="K157" s="46" t="n"/>
      <c r="L157" s="46" t="n"/>
      <c r="M157" s="46" t="n"/>
      <c r="N157" s="46" t="n"/>
      <c r="O157" s="46" t="n"/>
    </row>
    <row r="158" ht="17" customHeight="1">
      <c r="A158" s="83" t="n"/>
      <c r="B158" s="94" t="n"/>
      <c r="C158" s="46" t="n"/>
      <c r="D158" s="75" t="n"/>
      <c r="E158" s="95" t="n"/>
      <c r="F158" s="46" t="n"/>
      <c r="G158" s="96" t="n"/>
      <c r="H158" s="46" t="n"/>
      <c r="I158" s="97" t="n"/>
      <c r="J158" s="46" t="n"/>
      <c r="K158" s="46" t="n"/>
      <c r="L158" s="46" t="n"/>
      <c r="M158" s="46" t="n"/>
      <c r="N158" s="46" t="n"/>
      <c r="O158" s="46" t="n"/>
    </row>
    <row r="159" ht="17" customHeight="1">
      <c r="A159" s="83" t="n"/>
      <c r="B159" s="94" t="n"/>
      <c r="C159" s="46" t="n"/>
      <c r="D159" s="75" t="n"/>
      <c r="E159" s="95" t="n"/>
      <c r="F159" s="46" t="n"/>
      <c r="G159" s="96" t="n"/>
      <c r="H159" s="46" t="n"/>
      <c r="I159" s="97" t="n"/>
      <c r="J159" s="46" t="n"/>
      <c r="K159" s="46" t="n"/>
      <c r="L159" s="46" t="n"/>
      <c r="M159" s="46" t="n"/>
      <c r="N159" s="46" t="n"/>
      <c r="O159" s="46" t="n"/>
    </row>
    <row r="160" ht="17" customHeight="1">
      <c r="A160" s="83" t="n"/>
      <c r="B160" s="94" t="n"/>
      <c r="C160" s="46" t="n"/>
      <c r="D160" s="75" t="n"/>
      <c r="E160" s="95" t="n"/>
      <c r="F160" s="46" t="n"/>
      <c r="G160" s="96" t="n"/>
      <c r="H160" s="46" t="n"/>
      <c r="I160" s="97" t="n"/>
      <c r="J160" s="46" t="n"/>
      <c r="K160" s="46" t="n"/>
      <c r="L160" s="46" t="n"/>
      <c r="M160" s="46" t="n"/>
      <c r="N160" s="46" t="n"/>
      <c r="O160" s="46" t="n"/>
    </row>
    <row r="161" ht="17" customHeight="1">
      <c r="A161" s="83" t="n"/>
      <c r="B161" s="94" t="n"/>
      <c r="C161" s="46" t="n"/>
      <c r="D161" s="75" t="n"/>
      <c r="E161" s="95" t="n"/>
      <c r="F161" s="46" t="n"/>
      <c r="G161" s="96" t="n"/>
      <c r="H161" s="46" t="n"/>
      <c r="I161" s="97" t="n"/>
      <c r="J161" s="46" t="n"/>
      <c r="K161" s="46" t="n"/>
      <c r="L161" s="46" t="n"/>
      <c r="M161" s="46" t="n"/>
      <c r="N161" s="46" t="n"/>
      <c r="O161" s="46" t="n"/>
    </row>
    <row r="162" ht="17" customHeight="1">
      <c r="A162" s="83" t="n"/>
      <c r="B162" s="94" t="n"/>
      <c r="C162" s="46" t="n"/>
      <c r="D162" s="75" t="n"/>
      <c r="E162" s="95" t="n"/>
      <c r="F162" s="46" t="n"/>
      <c r="G162" s="96" t="n"/>
      <c r="H162" s="46" t="n"/>
      <c r="I162" s="97" t="n"/>
      <c r="J162" s="46" t="n"/>
      <c r="K162" s="46" t="n"/>
      <c r="L162" s="46" t="n"/>
      <c r="M162" s="46" t="n"/>
      <c r="N162" s="46" t="n"/>
      <c r="O162" s="46" t="n"/>
    </row>
    <row r="163" ht="17" customHeight="1">
      <c r="A163" s="83" t="n"/>
      <c r="B163" s="94" t="n"/>
      <c r="C163" s="46" t="n"/>
      <c r="D163" s="75" t="n"/>
      <c r="E163" s="95" t="n"/>
      <c r="F163" s="46" t="n"/>
      <c r="G163" s="96" t="n"/>
      <c r="H163" s="46" t="n"/>
      <c r="I163" s="97" t="n"/>
      <c r="J163" s="46" t="n"/>
      <c r="K163" s="46" t="n"/>
      <c r="L163" s="46" t="n"/>
      <c r="M163" s="46" t="n"/>
      <c r="N163" s="46" t="n"/>
      <c r="O163" s="46" t="n"/>
    </row>
    <row r="164" ht="17" customHeight="1">
      <c r="A164" s="83" t="n"/>
      <c r="B164" s="94" t="n"/>
      <c r="C164" s="46" t="n"/>
      <c r="D164" s="75" t="n"/>
      <c r="E164" s="95" t="n"/>
      <c r="F164" s="46" t="n"/>
      <c r="G164" s="96" t="n"/>
      <c r="H164" s="46" t="n"/>
      <c r="I164" s="97" t="n"/>
      <c r="J164" s="46" t="n"/>
      <c r="K164" s="46" t="n"/>
      <c r="L164" s="46" t="n"/>
      <c r="M164" s="46" t="n"/>
      <c r="N164" s="46" t="n"/>
      <c r="O164" s="46" t="n"/>
    </row>
    <row r="165" ht="17" customHeight="1">
      <c r="A165" s="83" t="n"/>
      <c r="B165" s="94" t="n"/>
      <c r="C165" s="46" t="n"/>
      <c r="D165" s="75" t="n"/>
      <c r="E165" s="95" t="n"/>
      <c r="F165" s="46" t="n"/>
      <c r="G165" s="96" t="n"/>
      <c r="H165" s="46" t="n"/>
      <c r="I165" s="97" t="n"/>
      <c r="J165" s="46" t="n"/>
      <c r="K165" s="46" t="n"/>
      <c r="L165" s="46" t="n"/>
      <c r="M165" s="46" t="n"/>
      <c r="N165" s="46" t="n"/>
      <c r="O165" s="46" t="n"/>
    </row>
    <row r="166" ht="17" customHeight="1">
      <c r="A166" s="83" t="n"/>
      <c r="B166" s="94" t="n"/>
      <c r="C166" s="46" t="n"/>
      <c r="D166" s="75" t="n"/>
      <c r="E166" s="95" t="n"/>
      <c r="F166" s="46" t="n"/>
      <c r="G166" s="96" t="n"/>
      <c r="H166" s="46" t="n"/>
      <c r="I166" s="97" t="n"/>
      <c r="J166" s="46" t="n"/>
      <c r="K166" s="46" t="n"/>
      <c r="L166" s="46" t="n"/>
      <c r="M166" s="46" t="n"/>
      <c r="N166" s="46" t="n"/>
      <c r="O166" s="46" t="n"/>
    </row>
    <row r="167" ht="17" customHeight="1">
      <c r="A167" s="83" t="n"/>
      <c r="B167" s="94" t="n"/>
      <c r="C167" s="46" t="n"/>
      <c r="D167" s="75" t="n"/>
      <c r="E167" s="95" t="n"/>
      <c r="F167" s="46" t="n"/>
      <c r="G167" s="96" t="n"/>
      <c r="H167" s="46" t="n"/>
      <c r="I167" s="97" t="n"/>
      <c r="J167" s="46" t="n"/>
      <c r="K167" s="46" t="n"/>
      <c r="L167" s="46" t="n"/>
      <c r="M167" s="46" t="n"/>
      <c r="N167" s="46" t="n"/>
      <c r="O167" s="46" t="n"/>
    </row>
    <row r="168" ht="17" customHeight="1">
      <c r="A168" s="83" t="n"/>
      <c r="B168" s="94" t="n"/>
      <c r="C168" s="46" t="n"/>
      <c r="D168" s="75" t="n"/>
      <c r="E168" s="95" t="n"/>
      <c r="F168" s="46" t="n"/>
      <c r="G168" s="96" t="n"/>
      <c r="H168" s="46" t="n"/>
      <c r="I168" s="97" t="n"/>
      <c r="J168" s="46" t="n"/>
      <c r="K168" s="46" t="n"/>
      <c r="L168" s="46" t="n"/>
      <c r="M168" s="46" t="n"/>
      <c r="N168" s="46" t="n"/>
      <c r="O168" s="46" t="n"/>
    </row>
    <row r="169" ht="17" customHeight="1">
      <c r="A169" s="83" t="n"/>
      <c r="B169" s="94" t="n"/>
      <c r="C169" s="46" t="n"/>
      <c r="D169" s="75" t="n"/>
      <c r="E169" s="95" t="n"/>
      <c r="F169" s="46" t="n"/>
      <c r="G169" s="96" t="n"/>
      <c r="H169" s="46" t="n"/>
      <c r="I169" s="97" t="n"/>
      <c r="J169" s="46" t="n"/>
      <c r="K169" s="46" t="n"/>
      <c r="L169" s="46" t="n"/>
      <c r="M169" s="46" t="n"/>
      <c r="N169" s="46" t="n"/>
      <c r="O169" s="46" t="n"/>
    </row>
    <row r="170" ht="17" customHeight="1">
      <c r="A170" s="83" t="n"/>
      <c r="B170" s="94" t="n"/>
      <c r="C170" s="46" t="n"/>
      <c r="D170" s="75" t="n"/>
      <c r="E170" s="95" t="n"/>
      <c r="F170" s="46" t="n"/>
      <c r="G170" s="96" t="n"/>
      <c r="H170" s="46" t="n"/>
      <c r="I170" s="97" t="n"/>
      <c r="J170" s="46" t="n"/>
      <c r="K170" s="46" t="n"/>
      <c r="L170" s="46" t="n"/>
      <c r="M170" s="46" t="n"/>
      <c r="N170" s="46" t="n"/>
      <c r="O170" s="46" t="n"/>
    </row>
    <row r="171" ht="17" customHeight="1">
      <c r="A171" s="83" t="n"/>
      <c r="B171" s="94" t="n"/>
      <c r="C171" s="46" t="n"/>
      <c r="D171" s="75" t="n"/>
      <c r="E171" s="95" t="n"/>
      <c r="F171" s="46" t="n"/>
      <c r="G171" s="96" t="n"/>
      <c r="H171" s="46" t="n"/>
      <c r="I171" s="97" t="n"/>
      <c r="J171" s="46" t="n"/>
      <c r="K171" s="46" t="n"/>
      <c r="L171" s="46" t="n"/>
      <c r="M171" s="46" t="n"/>
      <c r="N171" s="46" t="n"/>
      <c r="O171" s="46" t="n"/>
    </row>
    <row r="172" ht="17" customHeight="1">
      <c r="A172" s="83" t="n"/>
      <c r="B172" s="94" t="n"/>
      <c r="C172" s="46" t="n"/>
      <c r="D172" s="75" t="n"/>
      <c r="E172" s="95" t="n"/>
      <c r="F172" s="46" t="n"/>
      <c r="G172" s="96" t="n"/>
      <c r="H172" s="46" t="n"/>
      <c r="I172" s="97" t="n"/>
      <c r="J172" s="46" t="n"/>
      <c r="K172" s="46" t="n"/>
      <c r="L172" s="46" t="n"/>
      <c r="M172" s="46" t="n"/>
      <c r="N172" s="46" t="n"/>
      <c r="O172" s="46" t="n"/>
    </row>
    <row r="173" ht="17" customHeight="1">
      <c r="A173" s="83" t="n"/>
      <c r="B173" s="94" t="n"/>
      <c r="C173" s="46" t="n"/>
      <c r="D173" s="75" t="n"/>
      <c r="E173" s="95" t="n"/>
      <c r="F173" s="46" t="n"/>
      <c r="G173" s="96" t="n"/>
      <c r="H173" s="46" t="n"/>
      <c r="I173" s="97" t="n"/>
      <c r="J173" s="46" t="n"/>
      <c r="K173" s="46" t="n"/>
      <c r="L173" s="46" t="n"/>
      <c r="M173" s="46" t="n"/>
      <c r="N173" s="46" t="n"/>
      <c r="O173" s="46" t="n"/>
    </row>
    <row r="174" ht="17" customHeight="1">
      <c r="A174" s="83" t="n"/>
      <c r="B174" s="94" t="n"/>
      <c r="C174" s="46" t="n"/>
      <c r="D174" s="75" t="n"/>
      <c r="E174" s="95" t="n"/>
      <c r="F174" s="46" t="n"/>
      <c r="G174" s="96" t="n"/>
      <c r="H174" s="46" t="n"/>
      <c r="I174" s="97" t="n"/>
      <c r="J174" s="46" t="n"/>
      <c r="K174" s="46" t="n"/>
      <c r="L174" s="46" t="n"/>
      <c r="M174" s="46" t="n"/>
      <c r="N174" s="46" t="n"/>
      <c r="O174" s="46" t="n"/>
    </row>
    <row r="175" ht="17" customHeight="1">
      <c r="A175" s="83" t="n"/>
      <c r="B175" s="94" t="n"/>
      <c r="C175" s="46" t="n"/>
      <c r="D175" s="75" t="n"/>
      <c r="E175" s="95" t="n"/>
      <c r="F175" s="46" t="n"/>
      <c r="G175" s="96" t="n"/>
      <c r="H175" s="46" t="n"/>
      <c r="I175" s="97" t="n"/>
      <c r="J175" s="46" t="n"/>
      <c r="K175" s="46" t="n"/>
      <c r="L175" s="46" t="n"/>
      <c r="M175" s="46" t="n"/>
      <c r="N175" s="46" t="n"/>
      <c r="O175" s="46" t="n"/>
    </row>
    <row r="176" ht="17" customHeight="1">
      <c r="A176" s="83" t="n"/>
      <c r="B176" s="94" t="n"/>
      <c r="C176" s="46" t="n"/>
      <c r="D176" s="75" t="n"/>
      <c r="E176" s="95" t="n"/>
      <c r="F176" s="46" t="n"/>
      <c r="G176" s="96" t="n"/>
      <c r="H176" s="46" t="n"/>
      <c r="I176" s="97" t="n"/>
      <c r="J176" s="46" t="n"/>
      <c r="K176" s="46" t="n"/>
      <c r="L176" s="46" t="n"/>
      <c r="M176" s="46" t="n"/>
      <c r="N176" s="46" t="n"/>
      <c r="O176" s="46" t="n"/>
    </row>
    <row r="177" ht="17" customHeight="1">
      <c r="A177" s="83" t="n"/>
      <c r="B177" s="94" t="n"/>
      <c r="C177" s="46" t="n"/>
      <c r="D177" s="75" t="n"/>
      <c r="E177" s="95" t="n"/>
      <c r="F177" s="46" t="n"/>
      <c r="G177" s="96" t="n"/>
      <c r="H177" s="46" t="n"/>
      <c r="I177" s="97" t="n"/>
      <c r="J177" s="46" t="n"/>
      <c r="K177" s="46" t="n"/>
      <c r="L177" s="46" t="n"/>
      <c r="M177" s="46" t="n"/>
      <c r="N177" s="46" t="n"/>
      <c r="O177" s="46" t="n"/>
    </row>
    <row r="178" ht="17" customHeight="1">
      <c r="A178" s="83" t="n"/>
      <c r="B178" s="94" t="n"/>
      <c r="C178" s="46" t="n"/>
      <c r="D178" s="75" t="n"/>
      <c r="E178" s="95" t="n"/>
      <c r="F178" s="46" t="n"/>
      <c r="G178" s="96" t="n"/>
      <c r="H178" s="46" t="n"/>
      <c r="I178" s="97" t="n"/>
      <c r="J178" s="46" t="n"/>
      <c r="K178" s="46" t="n"/>
      <c r="L178" s="46" t="n"/>
      <c r="M178" s="46" t="n"/>
      <c r="N178" s="46" t="n"/>
      <c r="O178" s="46" t="n"/>
    </row>
    <row r="179" ht="17" customHeight="1">
      <c r="A179" s="83" t="n"/>
      <c r="B179" s="94" t="n"/>
      <c r="C179" s="46" t="n"/>
      <c r="D179" s="75" t="n"/>
      <c r="E179" s="95" t="n"/>
      <c r="F179" s="46" t="n"/>
      <c r="G179" s="96" t="n"/>
      <c r="H179" s="46" t="n"/>
      <c r="I179" s="97" t="n"/>
      <c r="J179" s="46" t="n"/>
      <c r="K179" s="46" t="n"/>
      <c r="L179" s="46" t="n"/>
      <c r="M179" s="46" t="n"/>
      <c r="N179" s="46" t="n"/>
      <c r="O179" s="46" t="n"/>
    </row>
    <row r="180" ht="17" customHeight="1">
      <c r="A180" s="83" t="n"/>
      <c r="B180" s="94" t="n"/>
      <c r="C180" s="46" t="n"/>
      <c r="D180" s="75" t="n"/>
      <c r="E180" s="95" t="n"/>
      <c r="F180" s="46" t="n"/>
      <c r="G180" s="96" t="n"/>
      <c r="H180" s="46" t="n"/>
      <c r="I180" s="97" t="n"/>
      <c r="J180" s="46" t="n"/>
      <c r="K180" s="46" t="n"/>
      <c r="L180" s="46" t="n"/>
      <c r="M180" s="46" t="n"/>
      <c r="N180" s="46" t="n"/>
      <c r="O180" s="46" t="n"/>
    </row>
    <row r="181" ht="17" customHeight="1">
      <c r="A181" s="83" t="n"/>
      <c r="B181" s="94" t="n"/>
      <c r="C181" s="46" t="n"/>
      <c r="D181" s="75" t="n"/>
      <c r="E181" s="95" t="n"/>
      <c r="F181" s="46" t="n"/>
      <c r="G181" s="96" t="n"/>
      <c r="H181" s="46" t="n"/>
      <c r="I181" s="97" t="n"/>
      <c r="J181" s="46" t="n"/>
      <c r="K181" s="46" t="n"/>
      <c r="L181" s="46" t="n"/>
      <c r="M181" s="46" t="n"/>
      <c r="N181" s="46" t="n"/>
      <c r="O181" s="46" t="n"/>
    </row>
    <row r="182" ht="17" customHeight="1">
      <c r="A182" s="83" t="n"/>
      <c r="B182" s="94" t="n"/>
      <c r="C182" s="46" t="n"/>
      <c r="D182" s="75" t="n"/>
      <c r="E182" s="95" t="n"/>
      <c r="F182" s="46" t="n"/>
      <c r="G182" s="96" t="n"/>
      <c r="H182" s="46" t="n"/>
      <c r="I182" s="97" t="n"/>
      <c r="J182" s="46" t="n"/>
      <c r="K182" s="46" t="n"/>
      <c r="L182" s="46" t="n"/>
      <c r="M182" s="46" t="n"/>
      <c r="N182" s="46" t="n"/>
      <c r="O182" s="46" t="n"/>
    </row>
    <row r="183" ht="17" customHeight="1">
      <c r="A183" s="83" t="n"/>
      <c r="B183" s="94" t="n"/>
      <c r="C183" s="46" t="n"/>
      <c r="D183" s="75" t="n"/>
      <c r="E183" s="95" t="n"/>
      <c r="F183" s="46" t="n"/>
      <c r="G183" s="96" t="n"/>
      <c r="H183" s="46" t="n"/>
      <c r="I183" s="97" t="n"/>
      <c r="J183" s="46" t="n"/>
      <c r="K183" s="46" t="n"/>
      <c r="L183" s="46" t="n"/>
      <c r="M183" s="46" t="n"/>
      <c r="N183" s="46" t="n"/>
      <c r="O183" s="46" t="n"/>
    </row>
    <row r="184" ht="17" customHeight="1">
      <c r="A184" s="83" t="n"/>
      <c r="B184" s="94" t="n"/>
      <c r="C184" s="46" t="n"/>
      <c r="D184" s="75" t="n"/>
      <c r="E184" s="95" t="n"/>
      <c r="F184" s="46" t="n"/>
      <c r="G184" s="96" t="n"/>
      <c r="H184" s="46" t="n"/>
      <c r="I184" s="97" t="n"/>
      <c r="J184" s="46" t="n"/>
      <c r="K184" s="46" t="n"/>
      <c r="L184" s="46" t="n"/>
      <c r="M184" s="46" t="n"/>
      <c r="N184" s="46" t="n"/>
      <c r="O184" s="46" t="n"/>
    </row>
    <row r="185" ht="17" customHeight="1">
      <c r="A185" s="83" t="n"/>
      <c r="B185" s="94" t="n"/>
      <c r="C185" s="46" t="n"/>
      <c r="D185" s="75" t="n"/>
      <c r="E185" s="95" t="n"/>
      <c r="F185" s="46" t="n"/>
      <c r="G185" s="96" t="n"/>
      <c r="H185" s="46" t="n"/>
      <c r="I185" s="97" t="n"/>
      <c r="J185" s="46" t="n"/>
      <c r="K185" s="46" t="n"/>
      <c r="L185" s="46" t="n"/>
      <c r="M185" s="46" t="n"/>
      <c r="N185" s="46" t="n"/>
      <c r="O185" s="46" t="n"/>
    </row>
    <row r="186" ht="17" customHeight="1">
      <c r="A186" s="83" t="n"/>
      <c r="B186" s="94" t="n"/>
      <c r="C186" s="46" t="n"/>
      <c r="D186" s="75" t="n"/>
      <c r="E186" s="95" t="n"/>
      <c r="F186" s="46" t="n"/>
      <c r="G186" s="96" t="n"/>
      <c r="H186" s="46" t="n"/>
      <c r="I186" s="97" t="n"/>
      <c r="J186" s="46" t="n"/>
      <c r="K186" s="46" t="n"/>
      <c r="L186" s="46" t="n"/>
      <c r="M186" s="46" t="n"/>
      <c r="N186" s="46" t="n"/>
      <c r="O186" s="46" t="n"/>
    </row>
    <row r="187" ht="17" customHeight="1">
      <c r="A187" s="83" t="n"/>
      <c r="B187" s="94" t="n"/>
      <c r="C187" s="46" t="n"/>
      <c r="D187" s="75" t="n"/>
      <c r="E187" s="95" t="n"/>
      <c r="F187" s="46" t="n"/>
      <c r="G187" s="96" t="n"/>
      <c r="H187" s="46" t="n"/>
      <c r="I187" s="97" t="n"/>
      <c r="J187" s="46" t="n"/>
      <c r="K187" s="46" t="n"/>
      <c r="L187" s="46" t="n"/>
      <c r="M187" s="46" t="n"/>
      <c r="N187" s="46" t="n"/>
      <c r="O187" s="46" t="n"/>
    </row>
    <row r="188" ht="17" customHeight="1">
      <c r="A188" s="83" t="n"/>
      <c r="B188" s="94" t="n"/>
      <c r="C188" s="46" t="n"/>
      <c r="D188" s="75" t="n"/>
      <c r="E188" s="95" t="n"/>
      <c r="F188" s="46" t="n"/>
      <c r="G188" s="96" t="n"/>
      <c r="H188" s="46" t="n"/>
      <c r="I188" s="97" t="n"/>
      <c r="J188" s="46" t="n"/>
      <c r="K188" s="46" t="n"/>
      <c r="L188" s="46" t="n"/>
      <c r="M188" s="46" t="n"/>
      <c r="N188" s="46" t="n"/>
      <c r="O188" s="46" t="n"/>
    </row>
    <row r="189" ht="17" customHeight="1">
      <c r="A189" s="83" t="n"/>
      <c r="B189" s="94" t="n"/>
      <c r="C189" s="46" t="n"/>
      <c r="D189" s="75" t="n"/>
      <c r="E189" s="95" t="n"/>
      <c r="F189" s="46" t="n"/>
      <c r="G189" s="96" t="n"/>
      <c r="H189" s="46" t="n"/>
      <c r="I189" s="97" t="n"/>
      <c r="J189" s="46" t="n"/>
      <c r="K189" s="46" t="n"/>
      <c r="L189" s="46" t="n"/>
      <c r="M189" s="46" t="n"/>
      <c r="N189" s="46" t="n"/>
      <c r="O189" s="46" t="n"/>
    </row>
    <row r="190" ht="17" customHeight="1">
      <c r="A190" s="83" t="n"/>
      <c r="B190" s="94" t="n"/>
      <c r="C190" s="46" t="n"/>
      <c r="D190" s="75" t="n"/>
      <c r="E190" s="95" t="n"/>
      <c r="F190" s="46" t="n"/>
      <c r="G190" s="96" t="n"/>
      <c r="H190" s="46" t="n"/>
      <c r="I190" s="97" t="n"/>
      <c r="J190" s="46" t="n"/>
      <c r="K190" s="46" t="n"/>
      <c r="L190" s="46" t="n"/>
      <c r="M190" s="46" t="n"/>
      <c r="N190" s="46" t="n"/>
      <c r="O190" s="46" t="n"/>
    </row>
    <row r="191" ht="17" customHeight="1">
      <c r="A191" s="83" t="n"/>
      <c r="B191" s="94" t="n"/>
      <c r="C191" s="46" t="n"/>
      <c r="D191" s="75" t="n"/>
      <c r="E191" s="95" t="n"/>
      <c r="F191" s="46" t="n"/>
      <c r="G191" s="96" t="n"/>
      <c r="H191" s="46" t="n"/>
      <c r="I191" s="97" t="n"/>
      <c r="J191" s="46" t="n"/>
      <c r="K191" s="46" t="n"/>
      <c r="L191" s="46" t="n"/>
      <c r="M191" s="46" t="n"/>
      <c r="N191" s="46" t="n"/>
      <c r="O191" s="46" t="n"/>
    </row>
    <row r="192" ht="17" customHeight="1">
      <c r="A192" s="83" t="n"/>
      <c r="B192" s="94" t="n"/>
      <c r="C192" s="46" t="n"/>
      <c r="D192" s="75" t="n"/>
      <c r="E192" s="95" t="n"/>
      <c r="F192" s="46" t="n"/>
      <c r="G192" s="96" t="n"/>
      <c r="H192" s="46" t="n"/>
      <c r="I192" s="97" t="n"/>
      <c r="J192" s="46" t="n"/>
      <c r="K192" s="46" t="n"/>
      <c r="L192" s="46" t="n"/>
      <c r="M192" s="46" t="n"/>
      <c r="N192" s="46" t="n"/>
      <c r="O192" s="46" t="n"/>
    </row>
    <row r="193" ht="17" customHeight="1">
      <c r="A193" s="83" t="n"/>
      <c r="B193" s="94" t="n"/>
      <c r="C193" s="46" t="n"/>
      <c r="D193" s="75" t="n"/>
      <c r="E193" s="95" t="n"/>
      <c r="F193" s="46" t="n"/>
      <c r="G193" s="96" t="n"/>
      <c r="H193" s="46" t="n"/>
      <c r="I193" s="97" t="n"/>
      <c r="J193" s="46" t="n"/>
      <c r="K193" s="46" t="n"/>
      <c r="L193" s="46" t="n"/>
      <c r="M193" s="46" t="n"/>
      <c r="N193" s="46" t="n"/>
      <c r="O193" s="46" t="n"/>
    </row>
    <row r="194" ht="22" customHeight="1">
      <c r="A194" s="31" t="inlineStr">
        <is>
          <t>TOTAL LANÇADO NO LIVRO</t>
        </is>
      </c>
      <c r="B194" s="32" t="n"/>
      <c r="C194" s="32" t="n"/>
      <c r="D194" s="32" t="n"/>
      <c r="E194" s="59">
        <f>ROUND(SUM($E$134:$E$193),2)</f>
        <v/>
      </c>
      <c r="F194" s="32" t="n"/>
      <c r="G194" s="98">
        <f>IF(COUNTA($B$134:$B$193)=COUNT($E$134:$E$193),"lançamentos: "&amp;COUNT($E$134:$E$193)&amp;" · todos classificados","ATENÇÃO: "&amp;(COUNT($E$134:$E$193)-COUNTA($B$134:$B$193))&amp;" lançamento(s) sem categoria")</f>
        <v/>
      </c>
      <c r="H194" s="32" t="n"/>
      <c r="I194" s="32" t="n"/>
      <c r="J194" s="32" t="n"/>
      <c r="K194" s="32" t="n"/>
      <c r="L194" s="32" t="n"/>
      <c r="M194" s="32" t="n"/>
      <c r="N194" s="32" t="n"/>
      <c r="O194" s="32" t="n"/>
    </row>
    <row r="196" ht="50" customHeight="1">
      <c r="A196" s="43" t="inlineStr">
        <is>
          <t xml:space="preserve">  Preencha primeiro a coluna ORÇADO com o que o orçamento previu e vá preenchendo o REALIZADO conforme o projeto anda — o desvio de cada linha é o que mostra onde o orçamento erra. Compras entram uma a uma no livro do bloco 8, com categoria, forma de pagamento e status; as categorias do bloco 6 se somam sozinhas. Você pode inserir linhas em qualquer bloco a partir da linha 26: tudo o que o Painel Geral lê está acima disso.</t>
        </is>
      </c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</row>
  </sheetData>
  <mergeCells count="561">
    <mergeCell ref="A196:O196"/>
    <mergeCell ref="I170:O170"/>
    <mergeCell ref="A15:B15"/>
    <mergeCell ref="I157:O157"/>
    <mergeCell ref="G128:O128"/>
    <mergeCell ref="B141:C141"/>
    <mergeCell ref="E142:F142"/>
    <mergeCell ref="I193:O193"/>
    <mergeCell ref="I172:O172"/>
    <mergeCell ref="H9:I9"/>
    <mergeCell ref="J76:M76"/>
    <mergeCell ref="G121:O121"/>
    <mergeCell ref="E171:F171"/>
    <mergeCell ref="G123:O123"/>
    <mergeCell ref="E137:F137"/>
    <mergeCell ref="G137:H137"/>
    <mergeCell ref="E173:F173"/>
    <mergeCell ref="H70:O70"/>
    <mergeCell ref="E148:F148"/>
    <mergeCell ref="G148:H148"/>
    <mergeCell ref="B78:C78"/>
    <mergeCell ref="D7:E7"/>
    <mergeCell ref="I183:O183"/>
    <mergeCell ref="D78:E78"/>
    <mergeCell ref="E166:F166"/>
    <mergeCell ref="G139:H139"/>
    <mergeCell ref="I175:O175"/>
    <mergeCell ref="H99:O99"/>
    <mergeCell ref="A34:C34"/>
    <mergeCell ref="I185:O185"/>
    <mergeCell ref="E168:F168"/>
    <mergeCell ref="G168:H168"/>
    <mergeCell ref="H87:I87"/>
    <mergeCell ref="H101:O101"/>
    <mergeCell ref="G143:H143"/>
    <mergeCell ref="D73:E73"/>
    <mergeCell ref="I176:O176"/>
    <mergeCell ref="J9:O9"/>
    <mergeCell ref="B154:C154"/>
    <mergeCell ref="H91:I91"/>
    <mergeCell ref="E117:F117"/>
    <mergeCell ref="A24:H24"/>
    <mergeCell ref="B156:C156"/>
    <mergeCell ref="E67:F67"/>
    <mergeCell ref="A103:B103"/>
    <mergeCell ref="H112:O112"/>
    <mergeCell ref="I138:O138"/>
    <mergeCell ref="I178:O178"/>
    <mergeCell ref="H114:O114"/>
    <mergeCell ref="E161:F161"/>
    <mergeCell ref="J73:M73"/>
    <mergeCell ref="G129:O129"/>
    <mergeCell ref="A72:O72"/>
    <mergeCell ref="J77:M77"/>
    <mergeCell ref="H75:I75"/>
    <mergeCell ref="B84:C84"/>
    <mergeCell ref="E110:F110"/>
    <mergeCell ref="H105:O105"/>
    <mergeCell ref="E16:F16"/>
    <mergeCell ref="E187:F187"/>
    <mergeCell ref="G138:H138"/>
    <mergeCell ref="B142:C142"/>
    <mergeCell ref="B80:C80"/>
    <mergeCell ref="E174:F174"/>
    <mergeCell ref="H15:O15"/>
    <mergeCell ref="H107:O107"/>
    <mergeCell ref="G126:O126"/>
    <mergeCell ref="B79:C79"/>
    <mergeCell ref="E18:F18"/>
    <mergeCell ref="D79:E79"/>
    <mergeCell ref="E189:F189"/>
    <mergeCell ref="G140:H140"/>
    <mergeCell ref="B144:C144"/>
    <mergeCell ref="F73:G73"/>
    <mergeCell ref="B81:C81"/>
    <mergeCell ref="D81:E81"/>
    <mergeCell ref="I191:O191"/>
    <mergeCell ref="H102:O102"/>
    <mergeCell ref="E29:F29"/>
    <mergeCell ref="H39:O39"/>
    <mergeCell ref="I192:O192"/>
    <mergeCell ref="E69:F69"/>
    <mergeCell ref="B170:C170"/>
    <mergeCell ref="E31:F31"/>
    <mergeCell ref="E158:F158"/>
    <mergeCell ref="E133:F133"/>
    <mergeCell ref="E108:F108"/>
    <mergeCell ref="G133:H133"/>
    <mergeCell ref="B172:C172"/>
    <mergeCell ref="E95:F95"/>
    <mergeCell ref="H28:O28"/>
    <mergeCell ref="E162:F162"/>
    <mergeCell ref="G135:H135"/>
    <mergeCell ref="B92:C92"/>
    <mergeCell ref="J74:M74"/>
    <mergeCell ref="D92:E92"/>
    <mergeCell ref="I146:O146"/>
    <mergeCell ref="F92:G92"/>
    <mergeCell ref="G153:H153"/>
    <mergeCell ref="A36:O36"/>
    <mergeCell ref="A11:O11"/>
    <mergeCell ref="B76:C76"/>
    <mergeCell ref="I181:O181"/>
    <mergeCell ref="A1:O1"/>
    <mergeCell ref="I12:O12"/>
    <mergeCell ref="E164:F164"/>
    <mergeCell ref="G164:H164"/>
    <mergeCell ref="H23:O23"/>
    <mergeCell ref="B150:C150"/>
    <mergeCell ref="E42:F42"/>
    <mergeCell ref="E17:F17"/>
    <mergeCell ref="E188:F188"/>
    <mergeCell ref="E126:F126"/>
    <mergeCell ref="B152:C152"/>
    <mergeCell ref="E180:F180"/>
    <mergeCell ref="J92:M92"/>
    <mergeCell ref="E19:F19"/>
    <mergeCell ref="E190:F190"/>
    <mergeCell ref="B145:C145"/>
    <mergeCell ref="G190:H190"/>
    <mergeCell ref="G146:H146"/>
    <mergeCell ref="B181:C181"/>
    <mergeCell ref="E182:F182"/>
    <mergeCell ref="A4:O4"/>
    <mergeCell ref="F10:O10"/>
    <mergeCell ref="H110:O110"/>
    <mergeCell ref="B87:C87"/>
    <mergeCell ref="I136:O136"/>
    <mergeCell ref="B147:C147"/>
    <mergeCell ref="D87:E87"/>
    <mergeCell ref="J87:M87"/>
    <mergeCell ref="E179:F179"/>
    <mergeCell ref="J89:M89"/>
    <mergeCell ref="D82:E82"/>
    <mergeCell ref="F82:G82"/>
    <mergeCell ref="G194:O194"/>
    <mergeCell ref="E37:F37"/>
    <mergeCell ref="E159:F159"/>
    <mergeCell ref="E97:F97"/>
    <mergeCell ref="G159:H159"/>
    <mergeCell ref="B163:C163"/>
    <mergeCell ref="H8:I8"/>
    <mergeCell ref="E109:F109"/>
    <mergeCell ref="H30:O30"/>
    <mergeCell ref="E145:F145"/>
    <mergeCell ref="E139:F139"/>
    <mergeCell ref="G161:H161"/>
    <mergeCell ref="B165:C165"/>
    <mergeCell ref="H29:O29"/>
    <mergeCell ref="E111:F111"/>
    <mergeCell ref="G136:H136"/>
    <mergeCell ref="A70:B70"/>
    <mergeCell ref="H44:O44"/>
    <mergeCell ref="H31:O31"/>
    <mergeCell ref="B77:C77"/>
    <mergeCell ref="D6:E6"/>
    <mergeCell ref="D77:E77"/>
    <mergeCell ref="I149:O149"/>
    <mergeCell ref="J82:M82"/>
    <mergeCell ref="H89:I89"/>
    <mergeCell ref="I151:O151"/>
    <mergeCell ref="B191:C191"/>
    <mergeCell ref="B178:C178"/>
    <mergeCell ref="E27:F27"/>
    <mergeCell ref="I144:O144"/>
    <mergeCell ref="E119:F119"/>
    <mergeCell ref="E183:F183"/>
    <mergeCell ref="G183:H183"/>
    <mergeCell ref="A6:C6"/>
    <mergeCell ref="E22:F22"/>
    <mergeCell ref="H42:O42"/>
    <mergeCell ref="E193:F193"/>
    <mergeCell ref="G193:H193"/>
    <mergeCell ref="D88:E88"/>
    <mergeCell ref="G149:H149"/>
    <mergeCell ref="F88:G88"/>
    <mergeCell ref="I177:O177"/>
    <mergeCell ref="G185:H185"/>
    <mergeCell ref="B90:C90"/>
    <mergeCell ref="D90:E90"/>
    <mergeCell ref="E122:F122"/>
    <mergeCell ref="G151:H151"/>
    <mergeCell ref="A45:B45"/>
    <mergeCell ref="G178:H178"/>
    <mergeCell ref="F6:G6"/>
    <mergeCell ref="J90:M90"/>
    <mergeCell ref="F83:G83"/>
    <mergeCell ref="H83:I83"/>
    <mergeCell ref="E38:F38"/>
    <mergeCell ref="A2:O2"/>
    <mergeCell ref="E147:F147"/>
    <mergeCell ref="F85:G85"/>
    <mergeCell ref="H85:I85"/>
    <mergeCell ref="G175:H175"/>
    <mergeCell ref="B179:C179"/>
    <mergeCell ref="E40:F40"/>
    <mergeCell ref="G162:H162"/>
    <mergeCell ref="H108:O108"/>
    <mergeCell ref="B166:C166"/>
    <mergeCell ref="B124:D124"/>
    <mergeCell ref="E186:F186"/>
    <mergeCell ref="G177:H177"/>
    <mergeCell ref="E104:F104"/>
    <mergeCell ref="H45:O45"/>
    <mergeCell ref="B174:C174"/>
    <mergeCell ref="B168:C168"/>
    <mergeCell ref="H32:O32"/>
    <mergeCell ref="B126:D126"/>
    <mergeCell ref="D9:E9"/>
    <mergeCell ref="H80:I80"/>
    <mergeCell ref="F9:G9"/>
    <mergeCell ref="I150:O150"/>
    <mergeCell ref="J83:M83"/>
    <mergeCell ref="I165:O165"/>
    <mergeCell ref="B169:C169"/>
    <mergeCell ref="I152:O152"/>
    <mergeCell ref="E66:F66"/>
    <mergeCell ref="J85:M85"/>
    <mergeCell ref="E130:F130"/>
    <mergeCell ref="E68:F68"/>
    <mergeCell ref="B134:C134"/>
    <mergeCell ref="G155:H155"/>
    <mergeCell ref="E160:F160"/>
    <mergeCell ref="E141:F141"/>
    <mergeCell ref="G118:O118"/>
    <mergeCell ref="E135:F135"/>
    <mergeCell ref="G157:H157"/>
    <mergeCell ref="E107:F107"/>
    <mergeCell ref="H73:I73"/>
    <mergeCell ref="E143:F143"/>
    <mergeCell ref="G172:H172"/>
    <mergeCell ref="G186:H186"/>
    <mergeCell ref="B162:C162"/>
    <mergeCell ref="D91:E91"/>
    <mergeCell ref="G152:H152"/>
    <mergeCell ref="F91:G91"/>
    <mergeCell ref="A21:B21"/>
    <mergeCell ref="I163:O163"/>
    <mergeCell ref="H84:I84"/>
    <mergeCell ref="A23:B23"/>
    <mergeCell ref="B187:C187"/>
    <mergeCell ref="E125:F125"/>
    <mergeCell ref="H86:I86"/>
    <mergeCell ref="E41:F41"/>
    <mergeCell ref="B189:C189"/>
    <mergeCell ref="E112:F112"/>
    <mergeCell ref="B188:C188"/>
    <mergeCell ref="B117:D117"/>
    <mergeCell ref="E43:F43"/>
    <mergeCell ref="J91:M91"/>
    <mergeCell ref="B190:C190"/>
    <mergeCell ref="B119:D119"/>
    <mergeCell ref="A16:B16"/>
    <mergeCell ref="G124:O124"/>
    <mergeCell ref="E138:F138"/>
    <mergeCell ref="A108:B108"/>
    <mergeCell ref="B127:D127"/>
    <mergeCell ref="I168:O168"/>
    <mergeCell ref="A18:B18"/>
    <mergeCell ref="B73:C73"/>
    <mergeCell ref="E167:F167"/>
    <mergeCell ref="H100:O100"/>
    <mergeCell ref="H7:I7"/>
    <mergeCell ref="G119:O119"/>
    <mergeCell ref="B137:C137"/>
    <mergeCell ref="E169:F169"/>
    <mergeCell ref="H66:O66"/>
    <mergeCell ref="B74:C74"/>
    <mergeCell ref="D74:E74"/>
    <mergeCell ref="B139:C139"/>
    <mergeCell ref="I184:O184"/>
    <mergeCell ref="B122:D122"/>
    <mergeCell ref="I171:O171"/>
    <mergeCell ref="H76:I76"/>
    <mergeCell ref="H95:O95"/>
    <mergeCell ref="A44:B44"/>
    <mergeCell ref="I173:O173"/>
    <mergeCell ref="H97:O97"/>
    <mergeCell ref="I166:O166"/>
    <mergeCell ref="G176:H176"/>
    <mergeCell ref="E64:F64"/>
    <mergeCell ref="J7:O7"/>
    <mergeCell ref="E156:F156"/>
    <mergeCell ref="E153:F153"/>
    <mergeCell ref="H21:O21"/>
    <mergeCell ref="E128:F128"/>
    <mergeCell ref="E155:F155"/>
    <mergeCell ref="D61:E61"/>
    <mergeCell ref="G184:H184"/>
    <mergeCell ref="G171:H171"/>
    <mergeCell ref="E65:F65"/>
    <mergeCell ref="E157:F157"/>
    <mergeCell ref="H16:O16"/>
    <mergeCell ref="A17:B17"/>
    <mergeCell ref="I134:O134"/>
    <mergeCell ref="H27:O27"/>
    <mergeCell ref="G117:O117"/>
    <mergeCell ref="A19:B19"/>
    <mergeCell ref="I161:O161"/>
    <mergeCell ref="E146:F146"/>
    <mergeCell ref="E12:F12"/>
    <mergeCell ref="G125:O125"/>
    <mergeCell ref="B138:C138"/>
    <mergeCell ref="E175:F175"/>
    <mergeCell ref="H67:O67"/>
    <mergeCell ref="H103:O103"/>
    <mergeCell ref="G127:O127"/>
    <mergeCell ref="E185:F185"/>
    <mergeCell ref="B140:C140"/>
    <mergeCell ref="I187:O187"/>
    <mergeCell ref="E170:F170"/>
    <mergeCell ref="I174:O174"/>
    <mergeCell ref="H98:O98"/>
    <mergeCell ref="D75:E75"/>
    <mergeCell ref="F75:G75"/>
    <mergeCell ref="I189:O189"/>
    <mergeCell ref="I188:O188"/>
    <mergeCell ref="G192:H192"/>
    <mergeCell ref="J8:O8"/>
    <mergeCell ref="E154:F154"/>
    <mergeCell ref="G154:H154"/>
    <mergeCell ref="B158:C158"/>
    <mergeCell ref="E172:F172"/>
    <mergeCell ref="B89:C89"/>
    <mergeCell ref="B160:C160"/>
    <mergeCell ref="D89:E89"/>
    <mergeCell ref="H18:O18"/>
    <mergeCell ref="L61:M61"/>
    <mergeCell ref="A194:D194"/>
    <mergeCell ref="I142:O142"/>
    <mergeCell ref="B153:C153"/>
    <mergeCell ref="J75:M75"/>
    <mergeCell ref="B184:C184"/>
    <mergeCell ref="H113:O113"/>
    <mergeCell ref="E20:F20"/>
    <mergeCell ref="I137:O137"/>
    <mergeCell ref="E177:F177"/>
    <mergeCell ref="E13:F13"/>
    <mergeCell ref="I164:O164"/>
    <mergeCell ref="I139:O139"/>
    <mergeCell ref="B88:C88"/>
    <mergeCell ref="B148:C148"/>
    <mergeCell ref="B82:C82"/>
    <mergeCell ref="E149:F149"/>
    <mergeCell ref="E176:F176"/>
    <mergeCell ref="E114:F114"/>
    <mergeCell ref="J88:M88"/>
    <mergeCell ref="A63:O63"/>
    <mergeCell ref="E15:F15"/>
    <mergeCell ref="E191:F191"/>
    <mergeCell ref="G142:H142"/>
    <mergeCell ref="B146:C146"/>
    <mergeCell ref="E178:F178"/>
    <mergeCell ref="H37:O37"/>
    <mergeCell ref="B83:C83"/>
    <mergeCell ref="B143:C143"/>
    <mergeCell ref="D83:E83"/>
    <mergeCell ref="E144:F144"/>
    <mergeCell ref="G144:H144"/>
    <mergeCell ref="H104:O104"/>
    <mergeCell ref="B85:C85"/>
    <mergeCell ref="A94:O94"/>
    <mergeCell ref="I190:O190"/>
    <mergeCell ref="D85:E85"/>
    <mergeCell ref="G173:H173"/>
    <mergeCell ref="H92:I92"/>
    <mergeCell ref="H106:O106"/>
    <mergeCell ref="F78:G78"/>
    <mergeCell ref="E106:F106"/>
    <mergeCell ref="H78:I78"/>
    <mergeCell ref="E33:F33"/>
    <mergeCell ref="H43:O43"/>
    <mergeCell ref="B159:C159"/>
    <mergeCell ref="D80:E80"/>
    <mergeCell ref="G170:H170"/>
    <mergeCell ref="B167:C167"/>
    <mergeCell ref="A26:O26"/>
    <mergeCell ref="B161:C161"/>
    <mergeCell ref="H6:I6"/>
    <mergeCell ref="H130:O130"/>
    <mergeCell ref="H68:O68"/>
    <mergeCell ref="B136:C136"/>
    <mergeCell ref="E28:F28"/>
    <mergeCell ref="B175:C175"/>
    <mergeCell ref="E30:F30"/>
    <mergeCell ref="J84:M84"/>
    <mergeCell ref="I145:O145"/>
    <mergeCell ref="J78:M78"/>
    <mergeCell ref="H69:O69"/>
    <mergeCell ref="A9:C9"/>
    <mergeCell ref="I147:O147"/>
    <mergeCell ref="J80:M80"/>
    <mergeCell ref="D8:E8"/>
    <mergeCell ref="J79:M79"/>
    <mergeCell ref="G150:H150"/>
    <mergeCell ref="I186:O186"/>
    <mergeCell ref="E21:F21"/>
    <mergeCell ref="J6:O6"/>
    <mergeCell ref="H82:I82"/>
    <mergeCell ref="B91:C91"/>
    <mergeCell ref="E192:F192"/>
    <mergeCell ref="H20:O20"/>
    <mergeCell ref="E129:F129"/>
    <mergeCell ref="H38:O38"/>
    <mergeCell ref="E23:F23"/>
    <mergeCell ref="D84:E84"/>
    <mergeCell ref="B155:C155"/>
    <mergeCell ref="G145:H145"/>
    <mergeCell ref="F84:G84"/>
    <mergeCell ref="B149:C149"/>
    <mergeCell ref="E181:F181"/>
    <mergeCell ref="B193:C193"/>
    <mergeCell ref="E194:F194"/>
    <mergeCell ref="G181:H181"/>
    <mergeCell ref="A3:O3"/>
    <mergeCell ref="H40:O40"/>
    <mergeCell ref="B86:C86"/>
    <mergeCell ref="G160:H160"/>
    <mergeCell ref="D86:E86"/>
    <mergeCell ref="I140:O140"/>
    <mergeCell ref="G147:H147"/>
    <mergeCell ref="F86:G86"/>
    <mergeCell ref="H64:O64"/>
    <mergeCell ref="B151:C151"/>
    <mergeCell ref="F80:G80"/>
    <mergeCell ref="G174:H174"/>
    <mergeCell ref="I158:O158"/>
    <mergeCell ref="I133:O133"/>
    <mergeCell ref="G189:H189"/>
    <mergeCell ref="F79:G79"/>
    <mergeCell ref="H79:I79"/>
    <mergeCell ref="E34:F34"/>
    <mergeCell ref="B182:C182"/>
    <mergeCell ref="E105:F105"/>
    <mergeCell ref="I160:O160"/>
    <mergeCell ref="E99:F99"/>
    <mergeCell ref="I135:O135"/>
    <mergeCell ref="F81:G81"/>
    <mergeCell ref="H81:I81"/>
    <mergeCell ref="E163:F163"/>
    <mergeCell ref="E101:F101"/>
    <mergeCell ref="G163:H163"/>
    <mergeCell ref="A22:B22"/>
    <mergeCell ref="B125:D125"/>
    <mergeCell ref="E113:F113"/>
    <mergeCell ref="B183:C183"/>
    <mergeCell ref="B177:C177"/>
    <mergeCell ref="E100:F100"/>
    <mergeCell ref="B164:C164"/>
    <mergeCell ref="J86:M86"/>
    <mergeCell ref="E136:F136"/>
    <mergeCell ref="G165:H165"/>
    <mergeCell ref="H33:O33"/>
    <mergeCell ref="I24:O24"/>
    <mergeCell ref="E102:F102"/>
    <mergeCell ref="G158:H158"/>
    <mergeCell ref="B120:D120"/>
    <mergeCell ref="D10:E10"/>
    <mergeCell ref="G169:H169"/>
    <mergeCell ref="I148:O148"/>
    <mergeCell ref="I153:O153"/>
    <mergeCell ref="E127:F127"/>
    <mergeCell ref="F74:G74"/>
    <mergeCell ref="B180:C180"/>
    <mergeCell ref="H74:I74"/>
    <mergeCell ref="G191:H191"/>
    <mergeCell ref="D76:E76"/>
    <mergeCell ref="F76:G76"/>
    <mergeCell ref="A47:O47"/>
    <mergeCell ref="B157:C157"/>
    <mergeCell ref="I179:O179"/>
    <mergeCell ref="B186:C186"/>
    <mergeCell ref="I141:O141"/>
    <mergeCell ref="E124:F124"/>
    <mergeCell ref="H65:O65"/>
    <mergeCell ref="E120:F120"/>
    <mergeCell ref="I159:O159"/>
    <mergeCell ref="I143:O143"/>
    <mergeCell ref="E184:F184"/>
    <mergeCell ref="A7:C7"/>
    <mergeCell ref="G122:O122"/>
    <mergeCell ref="E121:F121"/>
    <mergeCell ref="F87:G87"/>
    <mergeCell ref="B185:C185"/>
    <mergeCell ref="E151:F151"/>
    <mergeCell ref="H41:O41"/>
    <mergeCell ref="E123:F123"/>
    <mergeCell ref="F89:G89"/>
    <mergeCell ref="E150:F150"/>
    <mergeCell ref="E39:F39"/>
    <mergeCell ref="G179:H179"/>
    <mergeCell ref="F7:G7"/>
    <mergeCell ref="E44:F44"/>
    <mergeCell ref="B176:C176"/>
    <mergeCell ref="G166:H166"/>
    <mergeCell ref="H34:O34"/>
    <mergeCell ref="B128:D128"/>
    <mergeCell ref="G141:H141"/>
    <mergeCell ref="E103:F103"/>
    <mergeCell ref="E152:F152"/>
    <mergeCell ref="A116:O116"/>
    <mergeCell ref="E118:F118"/>
    <mergeCell ref="F8:G8"/>
    <mergeCell ref="A12:B12"/>
    <mergeCell ref="C12:D12"/>
    <mergeCell ref="G167:H167"/>
    <mergeCell ref="I154:O154"/>
    <mergeCell ref="B171:C171"/>
    <mergeCell ref="B123:D123"/>
    <mergeCell ref="I156:O156"/>
    <mergeCell ref="E70:F70"/>
    <mergeCell ref="F77:G77"/>
    <mergeCell ref="H77:I77"/>
    <mergeCell ref="H96:O96"/>
    <mergeCell ref="E32:F32"/>
    <mergeCell ref="G120:O120"/>
    <mergeCell ref="B133:C133"/>
    <mergeCell ref="E134:F134"/>
    <mergeCell ref="G134:H134"/>
    <mergeCell ref="B173:C173"/>
    <mergeCell ref="E96:F96"/>
    <mergeCell ref="B75:C75"/>
    <mergeCell ref="B135:C135"/>
    <mergeCell ref="I180:O180"/>
    <mergeCell ref="A130:B130"/>
    <mergeCell ref="I167:O167"/>
    <mergeCell ref="E98:F98"/>
    <mergeCell ref="I182:O182"/>
    <mergeCell ref="E165:F165"/>
    <mergeCell ref="I169:O169"/>
    <mergeCell ref="I13:O13"/>
    <mergeCell ref="E140:F140"/>
    <mergeCell ref="G156:H156"/>
    <mergeCell ref="B118:D118"/>
    <mergeCell ref="A8:C8"/>
    <mergeCell ref="H61:I61"/>
    <mergeCell ref="H88:I88"/>
    <mergeCell ref="J81:M81"/>
    <mergeCell ref="G187:H187"/>
    <mergeCell ref="A10:C10"/>
    <mergeCell ref="H17:O17"/>
    <mergeCell ref="F90:G90"/>
    <mergeCell ref="H90:I90"/>
    <mergeCell ref="H109:O109"/>
    <mergeCell ref="G180:H180"/>
    <mergeCell ref="E45:F45"/>
    <mergeCell ref="H22:O22"/>
    <mergeCell ref="B129:D129"/>
    <mergeCell ref="H19:O19"/>
    <mergeCell ref="G188:H188"/>
    <mergeCell ref="B192:C192"/>
    <mergeCell ref="A20:B20"/>
    <mergeCell ref="H111:O111"/>
    <mergeCell ref="B121:D121"/>
    <mergeCell ref="G182:H182"/>
    <mergeCell ref="I162:O162"/>
    <mergeCell ref="A132:O132"/>
    <mergeCell ref="A13:B13"/>
    <mergeCell ref="C13:D13"/>
    <mergeCell ref="I155:O155"/>
    <mergeCell ref="A114:B114"/>
  </mergeCells>
  <conditionalFormatting sqref="I134:O193">
    <cfRule type="expression" priority="1" dxfId="0" stopIfTrue="1">
      <formula>$I134="Pago"</formula>
    </cfRule>
    <cfRule type="expression" priority="2" dxfId="3" stopIfTrue="1">
      <formula>$I134="Comprado (a pagar)"</formula>
    </cfRule>
    <cfRule type="expression" priority="3" dxfId="1" stopIfTrue="1">
      <formula>$I134="A comprar"</formula>
    </cfRule>
  </conditionalFormatting>
  <conditionalFormatting sqref="A134:O193">
    <cfRule type="expression" priority="4" dxfId="6">
      <formula>AND($E134&lt;&gt;"",$B134="")</formula>
    </cfRule>
  </conditionalFormatting>
  <conditionalFormatting sqref="E16:F22">
    <cfRule type="expression" priority="5" dxfId="4">
      <formula>AND($E16&lt;&gt;"",$E16&gt;0)</formula>
    </cfRule>
    <cfRule type="expression" priority="6" dxfId="5">
      <formula>AND($E16&lt;&gt;"",$E16&lt;0)</formula>
    </cfRule>
  </conditionalFormatting>
  <conditionalFormatting sqref="E96:F114">
    <cfRule type="expression" priority="7" dxfId="4">
      <formula>AND($E96&lt;&gt;"",$E96&gt;0)</formula>
    </cfRule>
    <cfRule type="expression" priority="8" dxfId="5">
      <formula>AND($E96&lt;&gt;"",$E96&lt;0)</formula>
    </cfRule>
  </conditionalFormatting>
  <conditionalFormatting sqref="J9">
    <cfRule type="expression" priority="9" dxfId="0" stopIfTrue="1">
      <formula>$J$9="No prazo"</formula>
    </cfRule>
    <cfRule type="expression" priority="10" dxfId="2">
      <formula>$J$9="Atrasado"</formula>
    </cfRule>
  </conditionalFormatting>
  <conditionalFormatting sqref="A13:J13">
    <cfRule type="expression" priority="11" dxfId="6">
      <formula>AND($G$13&lt;&gt;"",$G$13&lt;0.25)</formula>
    </cfRule>
  </conditionalFormatting>
  <dataValidations count="12">
    <dataValidation sqref="D10:E1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"Jan/2026,Fev/2026,Mar/2026,Abr/2026,Mai/2026,Jun/2026,Jul/2026,Ago/2026,Set/2026,Out/2026,Nov/2026,Dez/2026,Jan/2027,Fev/2027,Mar/2027,Abr/2027,Mai/2027,Jun/2027,Jul/2027,Ago/2027,Set/2027,Out/2027,Nov/2027,Dez/2027"</formula1>
    </dataValidation>
    <dataValidation sqref="D49:D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H49:H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L49:L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"Lorrane,Lucas,Externo / avulso"</formula1>
    </dataValidation>
    <dataValidation sqref="H66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A74:A91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B118:B12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"Erro de projeto,Erro de medição,Erro de produção,Erro de montagem,Falha de material,Dano no transporte,Mudança pedida pelo cliente,Falha de fornecedor,Outro"</formula1>
    </dataValidation>
    <dataValidation sqref="B134:B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"MDF e MDP,Fita de borda,Ferragens,Vidros e espelhos,Esquadrias,Lâmina natural,Consumíveis,Acabamento,Serralheria,Vidraceiro,Outro terceirizado,Uber e aplicativo,Carreto e entrega,Deslocamento da equipe,Frete de material,Estacionamento e pedágio"</formula1>
    </dataValidation>
    <dataValidation sqref="G134:G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"PIX,Boleto,Cartão de crédito,Cartão parcelado,Dinheiro,Transferência,Faturado 30 dias,A combinar"</formula1>
    </dataValidation>
    <dataValidation sqref="I134:I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"A comprar,Comprado (a pagar),Pago"</formula1>
    </dataValidation>
    <dataValidation sqref="D9:E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"Jonathan,Vitor,Indicação,Arquiteto parceiro,Outro"</formula1>
    </dataValidation>
    <dataValidation sqref="F9:G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</dataValidations>
  <pageMargins left="0.4" right="0.3" top="0.4" bottom="0.3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196"/>
  <sheetViews>
    <sheetView showGridLines="0"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14" customWidth="1" min="3" max="3"/>
    <col width="16" customWidth="1" min="4" max="4"/>
    <col width="7" customWidth="1" min="5" max="5"/>
    <col width="13" customWidth="1" min="6" max="6"/>
    <col width="13" customWidth="1" min="7" max="7"/>
    <col width="16" customWidth="1" min="8" max="8"/>
    <col width="7" customWidth="1" min="9" max="9"/>
    <col width="13" customWidth="1" min="10" max="10"/>
    <col width="13" customWidth="1" min="11" max="11"/>
    <col width="15" customWidth="1" min="12" max="12"/>
    <col width="7" customWidth="1" min="13" max="13"/>
    <col width="13" customWidth="1" min="14" max="14"/>
    <col width="14" customWidth="1" min="15" max="15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8" customHeight="1">
      <c r="A3" s="4" t="inlineStr">
        <is>
          <t>FICHA DE CUSTO DO PROJETO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 ht="17" customHeight="1">
      <c r="A4" s="6" t="inlineStr">
        <is>
          <t>Fundo creme = você preenche · fundo cinza = calculado · duplique esta aba a cada projeto e registre o nome dela no Painel Geral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 ht="6" customHeight="1"/>
    <row r="6" ht="13" customHeight="1">
      <c r="A6" s="44" t="inlineStr">
        <is>
          <t>CLIENTE</t>
        </is>
      </c>
      <c r="B6" s="13" t="n"/>
      <c r="C6" s="13" t="n"/>
      <c r="D6" s="44" t="inlineStr">
        <is>
          <t>Nº DO PROJETO</t>
        </is>
      </c>
      <c r="E6" s="13" t="n"/>
      <c r="F6" s="44" t="inlineStr">
        <is>
          <t>DATA DE ENTRADA</t>
        </is>
      </c>
      <c r="G6" s="13" t="n"/>
      <c r="H6" s="44" t="inlineStr">
        <is>
          <t>ENTREGA PREVISTA</t>
        </is>
      </c>
      <c r="I6" s="13" t="n"/>
      <c r="J6" s="44" t="inlineStr">
        <is>
          <t>ENTREGA REAL</t>
        </is>
      </c>
      <c r="K6" s="13" t="n"/>
      <c r="L6" s="13" t="n"/>
      <c r="M6" s="13" t="n"/>
      <c r="N6" s="13" t="n"/>
      <c r="O6" s="13" t="n"/>
    </row>
    <row r="7" ht="21" customHeight="1">
      <c r="A7" s="45" t="inlineStr">
        <is>
          <t>Jonathan Vargas</t>
        </is>
      </c>
      <c r="B7" s="46" t="n"/>
      <c r="C7" s="46" t="n"/>
      <c r="D7" s="45" t="inlineStr">
        <is>
          <t>P-2026-041</t>
        </is>
      </c>
      <c r="E7" s="46" t="n"/>
      <c r="F7" s="47" t="n">
        <v>46154</v>
      </c>
      <c r="G7" s="46" t="n"/>
      <c r="H7" s="47" t="n">
        <v>46233</v>
      </c>
      <c r="I7" s="46" t="n"/>
      <c r="J7" s="47" t="n">
        <v>46240</v>
      </c>
      <c r="K7" s="46" t="n"/>
      <c r="L7" s="46" t="n"/>
      <c r="M7" s="46" t="n"/>
      <c r="N7" s="46" t="n"/>
      <c r="O7" s="46" t="n"/>
    </row>
    <row r="8" ht="13" customHeight="1">
      <c r="A8" s="44" t="inlineStr">
        <is>
          <t>PROJETO</t>
        </is>
      </c>
      <c r="B8" s="13" t="n"/>
      <c r="C8" s="13" t="n"/>
      <c r="D8" s="44" t="inlineStr">
        <is>
          <t>VENDEDOR</t>
        </is>
      </c>
      <c r="E8" s="13" t="n"/>
      <c r="F8" s="44" t="inlineStr">
        <is>
          <t>COORDENADOR</t>
        </is>
      </c>
      <c r="G8" s="13" t="n"/>
      <c r="H8" s="44" t="inlineStr">
        <is>
          <t>DIAS DE ATRASO</t>
        </is>
      </c>
      <c r="I8" s="13" t="n"/>
      <c r="J8" s="44" t="inlineStr">
        <is>
          <t>SITUAÇÃO DA ENTREGA</t>
        </is>
      </c>
      <c r="K8" s="13" t="n"/>
      <c r="L8" s="13" t="n"/>
      <c r="M8" s="13" t="n"/>
      <c r="N8" s="13" t="n"/>
      <c r="O8" s="13" t="n"/>
    </row>
    <row r="9" ht="21" customHeight="1">
      <c r="A9" s="45" t="inlineStr">
        <is>
          <t>Apartamento completo — 4 ambientes</t>
        </is>
      </c>
      <c r="B9" s="46" t="n"/>
      <c r="C9" s="46" t="n"/>
      <c r="D9" s="45" t="inlineStr">
        <is>
          <t>Jonathan</t>
        </is>
      </c>
      <c r="E9" s="46" t="n"/>
      <c r="F9" s="48" t="inlineStr">
        <is>
          <t>Deivison</t>
        </is>
      </c>
      <c r="G9" s="46" t="n"/>
      <c r="H9" s="49">
        <f>IF(OR($H$7="",$J$7=""),"",$J$7-$H$7)</f>
        <v/>
      </c>
      <c r="I9" s="38" t="n"/>
      <c r="J9" s="50">
        <f>IF($H$7="","",IF($J$7="",IF(TODAY()&gt;$H$7,"Atrasado","Em produção"),IF($H$9&lt;=0,"No prazo","Atrasado")))</f>
        <v/>
      </c>
      <c r="K9" s="38" t="n"/>
      <c r="L9" s="38" t="n"/>
      <c r="M9" s="38" t="n"/>
      <c r="N9" s="38" t="n"/>
      <c r="O9" s="38" t="n"/>
    </row>
    <row r="10" ht="18" customHeight="1">
      <c r="A10" s="51" t="inlineStr">
        <is>
          <t>MÊS DE COMPETÊNCIA</t>
        </is>
      </c>
      <c r="B10" s="37" t="n"/>
      <c r="C10" s="37" t="n"/>
      <c r="D10" s="52" t="n"/>
      <c r="E10" s="46" t="n"/>
      <c r="F10" s="53" t="inlineStr">
        <is>
          <t>o mês em que a receita e o custo deste projeto pesam no painel de competência</t>
        </is>
      </c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</row>
    <row r="11" ht="20" customHeight="1">
      <c r="A11" s="8" t="inlineStr">
        <is>
          <t xml:space="preserve">  RESULTADO DO PROJETO          tudo aqui se atualiza conforme você lança os custos mais abaixo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</row>
    <row r="12" ht="13" customHeight="1">
      <c r="A12" s="44" t="inlineStr">
        <is>
          <t>VALOR DE VENDA</t>
        </is>
      </c>
      <c r="B12" s="13" t="n"/>
      <c r="C12" s="44" t="inlineStr">
        <is>
          <t>CUSTO TOTAL</t>
        </is>
      </c>
      <c r="D12" s="13" t="n"/>
      <c r="E12" s="44" t="inlineStr">
        <is>
          <t>MARGEM DE CONTRIBUIÇÃO</t>
        </is>
      </c>
      <c r="F12" s="13" t="n"/>
      <c r="G12" s="44" t="inlineStr">
        <is>
          <t>MC %</t>
        </is>
      </c>
      <c r="H12" s="44" t="inlineStr">
        <is>
          <t>MC % ORÇADA</t>
        </is>
      </c>
      <c r="I12" s="44" t="inlineStr">
        <is>
          <t>DESVIO DE CUSTO</t>
        </is>
      </c>
      <c r="J12" s="13" t="n"/>
      <c r="K12" s="13" t="n"/>
      <c r="L12" s="13" t="n"/>
      <c r="M12" s="13" t="n"/>
      <c r="N12" s="13" t="n"/>
      <c r="O12" s="13" t="n"/>
    </row>
    <row r="13" ht="30" customHeight="1">
      <c r="A13" s="54">
        <f>IF($D$28="",$C$28,$D$28)</f>
        <v/>
      </c>
      <c r="B13" s="15" t="n"/>
      <c r="C13" s="54">
        <f>IF($D$22=0,"",$D$22)</f>
        <v/>
      </c>
      <c r="D13" s="15" t="n"/>
      <c r="E13" s="54">
        <f>IF($A$13="","",$D$23)</f>
        <v/>
      </c>
      <c r="F13" s="15" t="n"/>
      <c r="G13" s="55">
        <f>IF(OR($A$13="",$A$13=0),"",$D$23/$A$13)</f>
        <v/>
      </c>
      <c r="H13" s="55">
        <f>IF(OR($C$28="",$C$28=0),"",$C$23/$C$28)</f>
        <v/>
      </c>
      <c r="I13" s="54">
        <f>IF(OR($C$22=0,$D$22=0),"",ROUND($D$22-$C$22,2))</f>
        <v/>
      </c>
      <c r="J13" s="15" t="n"/>
      <c r="K13" s="15" t="n"/>
      <c r="L13" s="15" t="n"/>
      <c r="M13" s="15" t="n"/>
      <c r="N13" s="15" t="n"/>
      <c r="O13" s="15" t="n"/>
    </row>
    <row r="14" ht="8" customHeight="1"/>
    <row r="15" ht="26" customHeight="1">
      <c r="A15" s="19" t="inlineStr">
        <is>
          <t>Resumo por categoria</t>
        </is>
      </c>
      <c r="B15" s="35" t="n"/>
      <c r="C15" s="19" t="inlineStr">
        <is>
          <t>Orçado (R$)</t>
        </is>
      </c>
      <c r="D15" s="19" t="inlineStr">
        <is>
          <t>Realizado (R$)</t>
        </is>
      </c>
      <c r="E15" s="19" t="inlineStr">
        <is>
          <t>Desvio (R$)</t>
        </is>
      </c>
      <c r="F15" s="35" t="n"/>
      <c r="G15" s="19" t="inlineStr">
        <is>
          <t>Desvio (%)</t>
        </is>
      </c>
      <c r="H15" s="19" t="inlineStr">
        <is>
          <t>% da venda realizada</t>
        </is>
      </c>
      <c r="I15" s="35" t="n"/>
      <c r="J15" s="35" t="n"/>
      <c r="K15" s="35" t="n"/>
      <c r="L15" s="35" t="n"/>
      <c r="M15" s="35" t="n"/>
      <c r="N15" s="35" t="n"/>
      <c r="O15" s="35" t="n"/>
    </row>
    <row r="16" ht="18" customHeight="1">
      <c r="A16" s="36" t="inlineStr">
        <is>
          <t>Custos de venda</t>
        </is>
      </c>
      <c r="B16" s="37" t="n"/>
      <c r="C16" s="56">
        <f>IF(C44="","",C44)</f>
        <v/>
      </c>
      <c r="D16" s="56">
        <f>IF(D44="","",D44)</f>
        <v/>
      </c>
      <c r="E16" s="56">
        <f>IF(OR($C16="",$D16=""),"",ROUND($D16-$C16,2))</f>
        <v/>
      </c>
      <c r="F16" s="38" t="n"/>
      <c r="G16" s="57">
        <f>IF(OR($C16="",$C16=0,$D16=""),"",$D16/$C16-1)</f>
        <v/>
      </c>
      <c r="H16" s="58">
        <f>IF(OR($D16="",$A$13="",$A$13=0),"",$D16/$A$13)</f>
        <v/>
      </c>
      <c r="I16" s="38" t="n"/>
      <c r="J16" s="38" t="n"/>
      <c r="K16" s="38" t="n"/>
      <c r="L16" s="38" t="n"/>
      <c r="M16" s="38" t="n"/>
      <c r="N16" s="38" t="n"/>
      <c r="O16" s="38" t="n"/>
    </row>
    <row r="17" ht="18" customHeight="1">
      <c r="A17" s="36" t="inlineStr">
        <is>
          <t>Comissões operacionais</t>
        </is>
      </c>
      <c r="B17" s="37" t="n"/>
      <c r="C17" s="56">
        <f>IF(C70="","",C70)</f>
        <v/>
      </c>
      <c r="D17" s="56">
        <f>IF(D70="","",D70)</f>
        <v/>
      </c>
      <c r="E17" s="56">
        <f>IF(OR($C17="",$D17=""),"",ROUND($D17-$C17,2))</f>
        <v/>
      </c>
      <c r="F17" s="38" t="n"/>
      <c r="G17" s="57">
        <f>IF(OR($C17="",$C17=0,$D17=""),"",$D17/$C17-1)</f>
        <v/>
      </c>
      <c r="H17" s="58">
        <f>IF(OR($D17="",$A$13="",$A$13=0),"",$D17/$A$13)</f>
        <v/>
      </c>
      <c r="I17" s="38" t="n"/>
      <c r="J17" s="38" t="n"/>
      <c r="K17" s="38" t="n"/>
      <c r="L17" s="38" t="n"/>
      <c r="M17" s="38" t="n"/>
      <c r="N17" s="38" t="n"/>
      <c r="O17" s="38" t="n"/>
    </row>
    <row r="18" ht="18" customHeight="1">
      <c r="A18" s="36" t="inlineStr">
        <is>
          <t>Material</t>
        </is>
      </c>
      <c r="B18" s="37" t="n"/>
      <c r="C18" s="56">
        <f>IF(C103="","",C103)</f>
        <v/>
      </c>
      <c r="D18" s="56">
        <f>IF(D103="","",D103)</f>
        <v/>
      </c>
      <c r="E18" s="56">
        <f>IF(OR($C18="",$D18=""),"",ROUND($D18-$C18,2))</f>
        <v/>
      </c>
      <c r="F18" s="38" t="n"/>
      <c r="G18" s="57">
        <f>IF(OR($C18="",$C18=0,$D18=""),"",$D18/$C18-1)</f>
        <v/>
      </c>
      <c r="H18" s="58">
        <f>IF(OR($D18="",$A$13="",$A$13=0),"",$D18/$A$13)</f>
        <v/>
      </c>
      <c r="I18" s="38" t="n"/>
      <c r="J18" s="38" t="n"/>
      <c r="K18" s="38" t="n"/>
      <c r="L18" s="38" t="n"/>
      <c r="M18" s="38" t="n"/>
      <c r="N18" s="38" t="n"/>
      <c r="O18" s="38" t="n"/>
    </row>
    <row r="19" ht="18" customHeight="1">
      <c r="A19" s="36" t="inlineStr">
        <is>
          <t>Serviços terceirizados</t>
        </is>
      </c>
      <c r="B19" s="37" t="n"/>
      <c r="C19" s="56">
        <f>IF(C108="","",C108)</f>
        <v/>
      </c>
      <c r="D19" s="56">
        <f>IF(D108="","",D108)</f>
        <v/>
      </c>
      <c r="E19" s="56">
        <f>IF(OR($C19="",$D19=""),"",ROUND($D19-$C19,2))</f>
        <v/>
      </c>
      <c r="F19" s="38" t="n"/>
      <c r="G19" s="57">
        <f>IF(OR($C19="",$C19=0,$D19=""),"",$D19/$C19-1)</f>
        <v/>
      </c>
      <c r="H19" s="58">
        <f>IF(OR($D19="",$A$13="",$A$13=0),"",$D19/$A$13)</f>
        <v/>
      </c>
      <c r="I19" s="38" t="n"/>
      <c r="J19" s="38" t="n"/>
      <c r="K19" s="38" t="n"/>
      <c r="L19" s="38" t="n"/>
      <c r="M19" s="38" t="n"/>
      <c r="N19" s="38" t="n"/>
      <c r="O19" s="38" t="n"/>
    </row>
    <row r="20" ht="18" customHeight="1">
      <c r="A20" s="36" t="inlineStr">
        <is>
          <t>Logística</t>
        </is>
      </c>
      <c r="B20" s="37" t="n"/>
      <c r="C20" s="56">
        <f>IF(C114="","",C114)</f>
        <v/>
      </c>
      <c r="D20" s="56">
        <f>IF(D114="","",D114)</f>
        <v/>
      </c>
      <c r="E20" s="56">
        <f>IF(OR($C20="",$D20=""),"",ROUND($D20-$C20,2))</f>
        <v/>
      </c>
      <c r="F20" s="38" t="n"/>
      <c r="G20" s="57">
        <f>IF(OR($C20="",$C20=0,$D20=""),"",$D20/$C20-1)</f>
        <v/>
      </c>
      <c r="H20" s="58">
        <f>IF(OR($D20="",$A$13="",$A$13=0),"",$D20/$A$13)</f>
        <v/>
      </c>
      <c r="I20" s="38" t="n"/>
      <c r="J20" s="38" t="n"/>
      <c r="K20" s="38" t="n"/>
      <c r="L20" s="38" t="n"/>
      <c r="M20" s="38" t="n"/>
      <c r="N20" s="38" t="n"/>
      <c r="O20" s="38" t="n"/>
    </row>
    <row r="21" ht="18" customHeight="1">
      <c r="A21" s="36" t="inlineStr">
        <is>
          <t>Retrabalho</t>
        </is>
      </c>
      <c r="B21" s="37" t="n"/>
      <c r="C21" s="56">
        <f>IF(C130="","",C130)</f>
        <v/>
      </c>
      <c r="D21" s="56">
        <f>IF(D130="","",D130)</f>
        <v/>
      </c>
      <c r="E21" s="56">
        <f>IF(OR($C21="",$D21=""),"",ROUND($D21-$C21,2))</f>
        <v/>
      </c>
      <c r="F21" s="38" t="n"/>
      <c r="G21" s="57">
        <f>IF(OR($C21="",$C21=0,$D21=""),"",$D21/$C21-1)</f>
        <v/>
      </c>
      <c r="H21" s="58">
        <f>IF(OR($D21="",$A$13="",$A$13=0),"",$D21/$A$13)</f>
        <v/>
      </c>
      <c r="I21" s="38" t="n"/>
      <c r="J21" s="38" t="n"/>
      <c r="K21" s="38" t="n"/>
      <c r="L21" s="38" t="n"/>
      <c r="M21" s="38" t="n"/>
      <c r="N21" s="38" t="n"/>
      <c r="O21" s="38" t="n"/>
    </row>
    <row r="22" ht="22" customHeight="1">
      <c r="A22" s="31" t="inlineStr">
        <is>
          <t>(=) CUSTO TOTAL DO PROJETO</t>
        </is>
      </c>
      <c r="B22" s="32" t="n"/>
      <c r="C22" s="59">
        <f>ROUND(SUM(C16:C21),2)</f>
        <v/>
      </c>
      <c r="D22" s="59">
        <f>ROUND(SUM(D16:D21),2)</f>
        <v/>
      </c>
      <c r="E22" s="60">
        <f>ROUND($D$22-$C$22,2)</f>
        <v/>
      </c>
      <c r="F22" s="32" t="n"/>
      <c r="G22" s="61">
        <f>IF(OR($C$22="",$C$22=0),"",$D$22/$C$22-1)</f>
        <v/>
      </c>
      <c r="H22" s="62">
        <f>IF(OR($A$13="",$A$13=0),"",$D$22/$A$13)</f>
        <v/>
      </c>
      <c r="I22" s="32" t="n"/>
      <c r="J22" s="32" t="n"/>
      <c r="K22" s="32" t="n"/>
      <c r="L22" s="32" t="n"/>
      <c r="M22" s="32" t="n"/>
      <c r="N22" s="32" t="n"/>
      <c r="O22" s="32" t="n"/>
    </row>
    <row r="23" ht="28" customHeight="1">
      <c r="A23" s="63" t="inlineStr">
        <is>
          <t>(=) MARGEM DE CONTRIBUIÇÃO</t>
        </is>
      </c>
      <c r="B23" s="64" t="n"/>
      <c r="C23" s="65">
        <f>ROUND($C$28-$C$22,2)</f>
        <v/>
      </c>
      <c r="D23" s="65">
        <f>ROUND($A$13-$D$22,2)</f>
        <v/>
      </c>
      <c r="E23" s="66">
        <f>ROUND($D$23-$C$23,2)</f>
        <v/>
      </c>
      <c r="F23" s="64" t="n"/>
      <c r="G23" s="67">
        <f>IF(OR($C$28="",$C$28=0),"",$C$23/$C$28)</f>
        <v/>
      </c>
      <c r="H23" s="68">
        <f>IF(OR($A$13="",$A$13=0),"",$D$23/$A$13)</f>
        <v/>
      </c>
      <c r="I23" s="64" t="n"/>
      <c r="J23" s="64" t="n"/>
      <c r="K23" s="64" t="n"/>
      <c r="L23" s="64" t="n"/>
      <c r="M23" s="64" t="n"/>
      <c r="N23" s="64" t="n"/>
      <c r="O23" s="64" t="n"/>
    </row>
    <row r="24" ht="22" customHeight="1">
      <c r="A24" s="69">
        <f>IF($A$13="","",IF(ROUND(SUMIF($I$134:$I$193,"A comprar",$E$134:$E$193),2)+ROUND(SUMIF($I$134:$I$193,"Comprado (a pagar)",$E$134:$E$193),2)=0,"   Nenhuma compra pendente lançada — o custo realizado já é o custo final.","   Já comprado e ainda a pagar: "&amp;TEXT(ROUND(SUMIF($I$134:$I$193,"Comprado (a pagar)",$E$134:$E$193),2),"R$ #,##0")&amp;"   ·   custo projetado: "&amp;TEXT($D$22+ROUND(SUMIF($I$134:$I$193,"A comprar",$E$134:$E$193),2),"R$ #,##0")&amp;"   ·   MC projetada: "&amp;TEXT(($A$13-$D$22-ROUND(SUMIF($I$134:$I$193,"A comprar",$E$134:$E$193),2))/$A$13,"0.0%")))</f>
        <v/>
      </c>
      <c r="B24" s="15" t="n"/>
      <c r="C24" s="15" t="n"/>
      <c r="D24" s="15" t="n"/>
      <c r="E24" s="15" t="n"/>
      <c r="F24" s="15" t="n"/>
      <c r="G24" s="15" t="n"/>
      <c r="H24" s="15" t="n"/>
      <c r="I24" s="70">
        <f>IF($A$13="","",ROUND(SUMIF($I$134:$I$193,"A comprar",$E$134:$E$193),2))</f>
        <v/>
      </c>
      <c r="J24" s="15" t="n"/>
      <c r="K24" s="15" t="n"/>
      <c r="L24" s="15" t="n"/>
      <c r="M24" s="15" t="n"/>
      <c r="N24" s="15" t="n"/>
      <c r="O24" s="15" t="n"/>
    </row>
    <row r="25" ht="8" customHeight="1"/>
    <row r="26" ht="20" customHeight="1">
      <c r="A26" s="8" t="inlineStr">
        <is>
          <t xml:space="preserve">  1 · VALOR DE VENDA E NOTAS EMITIDAS          o que foi vendido e o que já virou nota — a diferença é o que falta faturar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 ht="26" customHeight="1">
      <c r="A27" s="19" t="inlineStr">
        <is>
          <t>Item</t>
        </is>
      </c>
      <c r="B27" s="19" t="inlineStr">
        <is>
          <t>%</t>
        </is>
      </c>
      <c r="C27" s="19" t="inlineStr">
        <is>
          <t>Orçado (R$)</t>
        </is>
      </c>
      <c r="D27" s="19" t="inlineStr">
        <is>
          <t>Realizado (R$)</t>
        </is>
      </c>
      <c r="E27" s="19" t="inlineStr">
        <is>
          <t>Desvio (R$)</t>
        </is>
      </c>
      <c r="F27" s="35" t="n"/>
      <c r="G27" s="19" t="inlineStr">
        <is>
          <t>% da venda</t>
        </is>
      </c>
      <c r="H27" s="19" t="inlineStr">
        <is>
          <t>Observação</t>
        </is>
      </c>
      <c r="I27" s="35" t="n"/>
      <c r="J27" s="35" t="n"/>
      <c r="K27" s="35" t="n"/>
      <c r="L27" s="35" t="n"/>
      <c r="M27" s="35" t="n"/>
      <c r="N27" s="35" t="n"/>
      <c r="O27" s="35" t="n"/>
    </row>
    <row r="28" ht="17" customHeight="1">
      <c r="A28" s="36" t="inlineStr">
        <is>
          <t>Valor de venda do projeto</t>
        </is>
      </c>
      <c r="B28" s="37" t="n"/>
      <c r="C28" s="71" t="n">
        <v>90000</v>
      </c>
      <c r="D28" s="71" t="n">
        <v>90000</v>
      </c>
      <c r="E28" s="56">
        <f>IF(OR($C28="",$D28=""),"",ROUND($D28-$C28,2))</f>
        <v/>
      </c>
      <c r="F28" s="38" t="n"/>
      <c r="G28" s="72" t="n"/>
      <c r="H28" s="73" t="inlineStr">
        <is>
          <t>Orçado = valor da proposta · Realizado = valor fechado</t>
        </is>
      </c>
      <c r="I28" s="46" t="n"/>
      <c r="J28" s="46" t="n"/>
      <c r="K28" s="46" t="n"/>
      <c r="L28" s="46" t="n"/>
      <c r="M28" s="46" t="n"/>
      <c r="N28" s="46" t="n"/>
      <c r="O28" s="46" t="n"/>
    </row>
    <row r="29" ht="22" customHeight="1">
      <c r="A29" s="19" t="inlineStr">
        <is>
          <t>Nota fiscal</t>
        </is>
      </c>
      <c r="B29" s="19" t="inlineStr">
        <is>
          <t>Número</t>
        </is>
      </c>
      <c r="C29" s="19" t="inlineStr">
        <is>
          <t>Data</t>
        </is>
      </c>
      <c r="D29" s="19" t="inlineStr">
        <is>
          <t>Valor (R$)</t>
        </is>
      </c>
      <c r="E29" s="19" t="inlineStr"/>
      <c r="F29" s="35" t="n"/>
      <c r="G29" s="19" t="inlineStr">
        <is>
          <t>% da venda</t>
        </is>
      </c>
      <c r="H29" s="19" t="inlineStr">
        <is>
          <t>Observação</t>
        </is>
      </c>
      <c r="I29" s="35" t="n"/>
      <c r="J29" s="35" t="n"/>
      <c r="K29" s="35" t="n"/>
      <c r="L29" s="35" t="n"/>
      <c r="M29" s="35" t="n"/>
      <c r="N29" s="35" t="n"/>
      <c r="O29" s="35" t="n"/>
    </row>
    <row r="30" ht="17" customHeight="1">
      <c r="A30" s="36" t="inlineStr">
        <is>
          <t>Nota 1</t>
        </is>
      </c>
      <c r="B30" s="74" t="n"/>
      <c r="C30" s="75" t="n"/>
      <c r="D30" s="76" t="n"/>
      <c r="E30" s="37" t="n"/>
      <c r="F30" s="37" t="n"/>
      <c r="G30" s="72">
        <f>IF(OR($D30="",$A$13="",$A$13=0),"",$D30/$A$13)</f>
        <v/>
      </c>
      <c r="H30" s="73" t="n"/>
      <c r="I30" s="46" t="n"/>
      <c r="J30" s="46" t="n"/>
      <c r="K30" s="46" t="n"/>
      <c r="L30" s="46" t="n"/>
      <c r="M30" s="46" t="n"/>
      <c r="N30" s="46" t="n"/>
      <c r="O30" s="46" t="n"/>
    </row>
    <row r="31" ht="17" customHeight="1">
      <c r="A31" s="36" t="inlineStr">
        <is>
          <t>Nota 2</t>
        </is>
      </c>
      <c r="B31" s="74" t="n"/>
      <c r="C31" s="75" t="n"/>
      <c r="D31" s="76" t="n"/>
      <c r="E31" s="37" t="n"/>
      <c r="F31" s="37" t="n"/>
      <c r="G31" s="72">
        <f>IF(OR($D31="",$A$13="",$A$13=0),"",$D31/$A$13)</f>
        <v/>
      </c>
      <c r="H31" s="73" t="n"/>
      <c r="I31" s="46" t="n"/>
      <c r="J31" s="46" t="n"/>
      <c r="K31" s="46" t="n"/>
      <c r="L31" s="46" t="n"/>
      <c r="M31" s="46" t="n"/>
      <c r="N31" s="46" t="n"/>
      <c r="O31" s="46" t="n"/>
    </row>
    <row r="32" ht="17" customHeight="1">
      <c r="A32" s="36" t="inlineStr">
        <is>
          <t>Nota 3</t>
        </is>
      </c>
      <c r="B32" s="74" t="n"/>
      <c r="C32" s="75" t="n"/>
      <c r="D32" s="76" t="n"/>
      <c r="E32" s="37" t="n"/>
      <c r="F32" s="37" t="n"/>
      <c r="G32" s="72">
        <f>IF(OR($D32="",$A$13="",$A$13=0),"",$D32/$A$13)</f>
        <v/>
      </c>
      <c r="H32" s="73" t="n"/>
      <c r="I32" s="46" t="n"/>
      <c r="J32" s="46" t="n"/>
      <c r="K32" s="46" t="n"/>
      <c r="L32" s="46" t="n"/>
      <c r="M32" s="46" t="n"/>
      <c r="N32" s="46" t="n"/>
      <c r="O32" s="46" t="n"/>
    </row>
    <row r="33" ht="17" customHeight="1">
      <c r="A33" s="36" t="inlineStr">
        <is>
          <t>Nota 4</t>
        </is>
      </c>
      <c r="B33" s="74" t="n"/>
      <c r="C33" s="75" t="n"/>
      <c r="D33" s="76" t="n"/>
      <c r="E33" s="37" t="n"/>
      <c r="F33" s="37" t="n"/>
      <c r="G33" s="72">
        <f>IF(OR($D33="",$A$13="",$A$13=0),"",$D33/$A$13)</f>
        <v/>
      </c>
      <c r="H33" s="73" t="n"/>
      <c r="I33" s="46" t="n"/>
      <c r="J33" s="46" t="n"/>
      <c r="K33" s="46" t="n"/>
      <c r="L33" s="46" t="n"/>
      <c r="M33" s="46" t="n"/>
      <c r="N33" s="46" t="n"/>
      <c r="O33" s="46" t="n"/>
    </row>
    <row r="34" ht="20" customHeight="1">
      <c r="A34" s="31" t="inlineStr">
        <is>
          <t>(=) TOTAL FATURADO  →</t>
        </is>
      </c>
      <c r="B34" s="32" t="n"/>
      <c r="C34" s="32" t="n"/>
      <c r="D34" s="60">
        <f>ROUND(SUM($D$30:$D$33),2)</f>
        <v/>
      </c>
      <c r="E34" s="32" t="n"/>
      <c r="F34" s="32" t="n"/>
      <c r="G34" s="62">
        <f>IF(OR($A$13="",$A$13=0),"",$D$34/$A$13)</f>
        <v/>
      </c>
      <c r="H34" s="77">
        <f>IF(OR($A$13="",$A$13=0),"",IF(ROUND($A$13-$D$34,2)&lt;=0,"   Projeto totalmente faturado.","   Ainda a faturar: "&amp;TEXT($A$13-$D$34,"R$ #,##0.00")))</f>
        <v/>
      </c>
      <c r="I34" s="32" t="n"/>
      <c r="J34" s="32" t="n"/>
      <c r="K34" s="32" t="n"/>
      <c r="L34" s="32" t="n"/>
      <c r="M34" s="32" t="n"/>
      <c r="N34" s="32" t="n"/>
      <c r="O34" s="32" t="n"/>
    </row>
    <row r="35" ht="8" customHeight="1"/>
    <row r="36" ht="20" customHeight="1">
      <c r="A36" s="8" t="inlineStr">
        <is>
          <t xml:space="preserve">  2 · CUSTOS DE VENDA          tudo que sai por causa da venda · define a RECEITA LÍQUIDA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</row>
    <row r="37" ht="26" customHeight="1">
      <c r="A37" s="19" t="inlineStr">
        <is>
          <t>Item</t>
        </is>
      </c>
      <c r="B37" s="19" t="inlineStr">
        <is>
          <t>%</t>
        </is>
      </c>
      <c r="C37" s="19" t="inlineStr">
        <is>
          <t>Orçado (R$)</t>
        </is>
      </c>
      <c r="D37" s="19" t="inlineStr">
        <is>
          <t>Realizado (R$)</t>
        </is>
      </c>
      <c r="E37" s="19" t="inlineStr">
        <is>
          <t>Desvio (R$)</t>
        </is>
      </c>
      <c r="F37" s="35" t="n"/>
      <c r="G37" s="19" t="inlineStr">
        <is>
          <t>% da venda</t>
        </is>
      </c>
      <c r="H37" s="19" t="inlineStr">
        <is>
          <t>Observação</t>
        </is>
      </c>
      <c r="I37" s="35" t="n"/>
      <c r="J37" s="35" t="n"/>
      <c r="K37" s="35" t="n"/>
      <c r="L37" s="35" t="n"/>
      <c r="M37" s="35" t="n"/>
      <c r="N37" s="35" t="n"/>
      <c r="O37" s="35" t="n"/>
    </row>
    <row r="38" ht="17" customHeight="1">
      <c r="A38" s="36" t="inlineStr">
        <is>
          <t>Impostos sobre a nota (Simples)</t>
        </is>
      </c>
      <c r="B38" s="78" t="n">
        <v>0.075</v>
      </c>
      <c r="C38" s="56">
        <f>IF($B38="","",ROUND($B38*$C$28,2))</f>
        <v/>
      </c>
      <c r="D38" s="56">
        <f>IF($B38="","",ROUND($B38*$A$13,2))</f>
        <v/>
      </c>
      <c r="E38" s="56">
        <f>IF(OR($C38="",$D38=""),"",ROUND($D38-$C38,2))</f>
        <v/>
      </c>
      <c r="F38" s="38" t="n"/>
      <c r="G38" s="72">
        <f>IF(OR($D38="",$A$13="",$A$13=0),"",$D38/$A$13)</f>
        <v/>
      </c>
      <c r="H38" s="73" t="inlineStr">
        <is>
          <t>% sobre o valor de venda</t>
        </is>
      </c>
      <c r="I38" s="46" t="n"/>
      <c r="J38" s="46" t="n"/>
      <c r="K38" s="46" t="n"/>
      <c r="L38" s="46" t="n"/>
      <c r="M38" s="46" t="n"/>
      <c r="N38" s="46" t="n"/>
      <c r="O38" s="46" t="n"/>
    </row>
    <row r="39" ht="17" customHeight="1">
      <c r="A39" s="36" t="inlineStr">
        <is>
          <t>Taxa de máquina de cartão</t>
        </is>
      </c>
      <c r="B39" s="78" t="n">
        <v>0.02</v>
      </c>
      <c r="C39" s="56">
        <f>IF($B39="","",ROUND($B39*$C$28,2))</f>
        <v/>
      </c>
      <c r="D39" s="56">
        <f>IF($B39="","",ROUND($B39*$A$13,2))</f>
        <v/>
      </c>
      <c r="E39" s="56">
        <f>IF(OR($C39="",$D39=""),"",ROUND($D39-$C39,2))</f>
        <v/>
      </c>
      <c r="F39" s="38" t="n"/>
      <c r="G39" s="72">
        <f>IF(OR($D39="",$A$13="",$A$13=0),"",$D39/$A$13)</f>
        <v/>
      </c>
      <c r="H39" s="73" t="inlineStr">
        <is>
          <t>% sobre o valor de venda</t>
        </is>
      </c>
      <c r="I39" s="46" t="n"/>
      <c r="J39" s="46" t="n"/>
      <c r="K39" s="46" t="n"/>
      <c r="L39" s="46" t="n"/>
      <c r="M39" s="46" t="n"/>
      <c r="N39" s="46" t="n"/>
      <c r="O39" s="46" t="n"/>
    </row>
    <row r="40" ht="17" customHeight="1">
      <c r="A40" s="36" t="inlineStr">
        <is>
          <t>Taxas de transação (PIX, boleto, TED)</t>
        </is>
      </c>
      <c r="B40" s="37" t="n"/>
      <c r="C40" s="71" t="n">
        <v>120</v>
      </c>
      <c r="D40" s="71" t="n">
        <v>148</v>
      </c>
      <c r="E40" s="56">
        <f>IF(OR($C40="",$D40=""),"",ROUND($D40-$C40,2))</f>
        <v/>
      </c>
      <c r="F40" s="38" t="n"/>
      <c r="G40" s="72">
        <f>IF(OR($D40="",$A$13="",$A$13=0),"",$D40/$A$13)</f>
        <v/>
      </c>
      <c r="H40" s="73" t="inlineStr">
        <is>
          <t>valor em reais</t>
        </is>
      </c>
      <c r="I40" s="46" t="n"/>
      <c r="J40" s="46" t="n"/>
      <c r="K40" s="46" t="n"/>
      <c r="L40" s="46" t="n"/>
      <c r="M40" s="46" t="n"/>
      <c r="N40" s="46" t="n"/>
      <c r="O40" s="46" t="n"/>
    </row>
    <row r="41" ht="17" customHeight="1">
      <c r="A41" s="36" t="inlineStr">
        <is>
          <t>Comissão de venda (vendedor)</t>
        </is>
      </c>
      <c r="B41" s="78" t="n">
        <v>0.03</v>
      </c>
      <c r="C41" s="56">
        <f>IF($B41="","",ROUND($B41*$C$28,2))</f>
        <v/>
      </c>
      <c r="D41" s="56">
        <f>IF($B41="","",ROUND($B41*$A$13,2))</f>
        <v/>
      </c>
      <c r="E41" s="56">
        <f>IF(OR($C41="",$D41=""),"",ROUND($D41-$C41,2))</f>
        <v/>
      </c>
      <c r="F41" s="38" t="n"/>
      <c r="G41" s="72">
        <f>IF(OR($D41="",$A$13="",$A$13=0),"",$D41/$A$13)</f>
        <v/>
      </c>
      <c r="H41" s="73" t="inlineStr">
        <is>
          <t>% sobre o valor de venda</t>
        </is>
      </c>
      <c r="I41" s="46" t="n"/>
      <c r="J41" s="46" t="n"/>
      <c r="K41" s="46" t="n"/>
      <c r="L41" s="46" t="n"/>
      <c r="M41" s="46" t="n"/>
      <c r="N41" s="46" t="n"/>
      <c r="O41" s="46" t="n"/>
    </row>
    <row r="42" ht="17" customHeight="1">
      <c r="A42" s="36" t="inlineStr">
        <is>
          <t>Projeto / anteprojeto (externo)</t>
        </is>
      </c>
      <c r="B42" s="37" t="n"/>
      <c r="C42" s="71" t="n">
        <v>1500</v>
      </c>
      <c r="D42" s="71" t="n">
        <v>1500</v>
      </c>
      <c r="E42" s="56">
        <f>IF(OR($C42="",$D42=""),"",ROUND($D42-$C42,2))</f>
        <v/>
      </c>
      <c r="F42" s="38" t="n"/>
      <c r="G42" s="72">
        <f>IF(OR($D42="",$A$13="",$A$13=0),"",$D42/$A$13)</f>
        <v/>
      </c>
      <c r="H42" s="73" t="inlineStr">
        <is>
          <t>projetista ou arquiteto contratado para o projeto</t>
        </is>
      </c>
      <c r="I42" s="46" t="n"/>
      <c r="J42" s="46" t="n"/>
      <c r="K42" s="46" t="n"/>
      <c r="L42" s="46" t="n"/>
      <c r="M42" s="46" t="n"/>
      <c r="N42" s="46" t="n"/>
      <c r="O42" s="46" t="n"/>
    </row>
    <row r="43" ht="17" customHeight="1">
      <c r="A43" s="36" t="inlineStr">
        <is>
          <t>RT do parceiro</t>
        </is>
      </c>
      <c r="B43" s="78" t="n">
        <v>0.05</v>
      </c>
      <c r="C43" s="56">
        <f>IF($B43="","",ROUND($B43*($C$28-SUM($C$38:$C$40)),2))</f>
        <v/>
      </c>
      <c r="D43" s="56">
        <f>IF($B43="","",ROUND($B43*($A$13-SUM($D$38:$D$40)),2))</f>
        <v/>
      </c>
      <c r="E43" s="56">
        <f>IF(OR($C43="",$D43=""),"",ROUND($D43-$C43,2))</f>
        <v/>
      </c>
      <c r="F43" s="38" t="n"/>
      <c r="G43" s="72">
        <f>IF(OR($D43="",$A$13="",$A$13=0),"",$D43/$A$13)</f>
        <v/>
      </c>
      <c r="H43" s="73" t="inlineStr">
        <is>
          <t>% sobre o líquido: venda menos impostos, máquina e taxas</t>
        </is>
      </c>
      <c r="I43" s="46" t="n"/>
      <c r="J43" s="46" t="n"/>
      <c r="K43" s="46" t="n"/>
      <c r="L43" s="46" t="n"/>
      <c r="M43" s="46" t="n"/>
      <c r="N43" s="46" t="n"/>
      <c r="O43" s="46" t="n"/>
    </row>
    <row r="44" ht="20" customHeight="1">
      <c r="A44" s="31" t="inlineStr">
        <is>
          <t>(=) SUBTOTAL DOS CUSTOS DE VENDA</t>
        </is>
      </c>
      <c r="B44" s="32" t="n"/>
      <c r="C44" s="60">
        <f>ROUND(SUM(C38:C43),2)</f>
        <v/>
      </c>
      <c r="D44" s="60">
        <f>ROUND(SUM(D38:D43),2)</f>
        <v/>
      </c>
      <c r="E44" s="60">
        <f>ROUND($D44-$C44,2)</f>
        <v/>
      </c>
      <c r="F44" s="32" t="n"/>
      <c r="G44" s="62">
        <f>IF(OR($A$13="",$A$13=0),"",$D44/$A$13)</f>
        <v/>
      </c>
      <c r="H44" s="32" t="n"/>
      <c r="I44" s="32" t="n"/>
      <c r="J44" s="32" t="n"/>
      <c r="K44" s="32" t="n"/>
      <c r="L44" s="32" t="n"/>
      <c r="M44" s="32" t="n"/>
      <c r="N44" s="32" t="n"/>
      <c r="O44" s="32" t="n"/>
    </row>
    <row r="45" ht="24" customHeight="1">
      <c r="A45" s="79" t="inlineStr">
        <is>
          <t>(=) RECEITA LÍQUIDA</t>
        </is>
      </c>
      <c r="B45" s="64" t="n"/>
      <c r="C45" s="80">
        <f>ROUND($C$28-$C$44,2)</f>
        <v/>
      </c>
      <c r="D45" s="80">
        <f>ROUND($A$13-$D$44,2)</f>
        <v/>
      </c>
      <c r="E45" s="66">
        <f>ROUND($D$45-$C$45,2)</f>
        <v/>
      </c>
      <c r="F45" s="64" t="n"/>
      <c r="G45" s="81">
        <f>IF(OR($A$13="",$A$13=0),"",$D$45/$A$13)</f>
        <v/>
      </c>
      <c r="H45" s="82" t="inlineStr">
        <is>
          <t>É esta a base das comissões: coordenação, produção, montagem e projetista</t>
        </is>
      </c>
      <c r="I45" s="64" t="n"/>
      <c r="J45" s="64" t="n"/>
      <c r="K45" s="64" t="n"/>
      <c r="L45" s="64" t="n"/>
      <c r="M45" s="64" t="n"/>
      <c r="N45" s="64" t="n"/>
      <c r="O45" s="64" t="n"/>
    </row>
    <row r="46" ht="8" customHeight="1"/>
    <row r="47" ht="20" customHeight="1">
      <c r="A47" s="8" t="inlineStr">
        <is>
          <t xml:space="preserve">  3 · AMBIENTES, PRODUÇÃO, MONTAGEM E PROJETO          cada ambiente com quem produziu, quem montou e quem projetou · a comissão incide sobre a receita líquida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</row>
    <row r="48" ht="32" customHeight="1">
      <c r="A48" s="19" t="inlineStr">
        <is>
          <t>Ambiente</t>
        </is>
      </c>
      <c r="B48" s="19" t="inlineStr">
        <is>
          <t>% do total</t>
        </is>
      </c>
      <c r="C48" s="19" t="inlineStr">
        <is>
          <t>Valor do ambiente (R$)</t>
        </is>
      </c>
      <c r="D48" s="19" t="inlineStr">
        <is>
          <t>Produção — quem</t>
        </is>
      </c>
      <c r="E48" s="19" t="inlineStr">
        <is>
          <t>%</t>
        </is>
      </c>
      <c r="F48" s="19" t="inlineStr">
        <is>
          <t>Comissão produção (R$)</t>
        </is>
      </c>
      <c r="G48" s="19" t="inlineStr">
        <is>
          <t>Fabricado em</t>
        </is>
      </c>
      <c r="H48" s="19" t="inlineStr">
        <is>
          <t>Montagem — quem</t>
        </is>
      </c>
      <c r="I48" s="19" t="inlineStr">
        <is>
          <t>%</t>
        </is>
      </c>
      <c r="J48" s="19" t="inlineStr">
        <is>
          <t>Comissão montagem (R$)</t>
        </is>
      </c>
      <c r="K48" s="19" t="inlineStr">
        <is>
          <t>Montado em</t>
        </is>
      </c>
      <c r="L48" s="19" t="inlineStr">
        <is>
          <t>Projetista — quem</t>
        </is>
      </c>
      <c r="M48" s="19" t="inlineStr">
        <is>
          <t>%</t>
        </is>
      </c>
      <c r="N48" s="19" t="inlineStr">
        <is>
          <t>Comissão projetista (R$)</t>
        </is>
      </c>
      <c r="O48" s="19" t="inlineStr">
        <is>
          <t>Total do ambiente</t>
        </is>
      </c>
    </row>
    <row r="49" ht="18" customHeight="1">
      <c r="A49" s="83" t="inlineStr">
        <is>
          <t>Cozinha</t>
        </is>
      </c>
      <c r="B49" s="72">
        <f>IF(OR($C49="",$A$13="",$A$13=0),"",$C49/$A$13)</f>
        <v/>
      </c>
      <c r="C49" s="76" t="n">
        <v>30000</v>
      </c>
      <c r="D49" s="83" t="inlineStr">
        <is>
          <t>Jackson</t>
        </is>
      </c>
      <c r="E49" s="78" t="n">
        <v>0.03</v>
      </c>
      <c r="F49" s="56">
        <f>IF(OR($B49="",$E49="",$D$45=""),"",ROUND($B49*$D$45*$E49,2))</f>
        <v/>
      </c>
      <c r="G49" s="84" t="n"/>
      <c r="H49" s="83" t="inlineStr">
        <is>
          <t>Samuel</t>
        </is>
      </c>
      <c r="I49" s="78" t="n">
        <v>0.02</v>
      </c>
      <c r="J49" s="56">
        <f>IF(OR($B49="",$I49="",$D$45=""),"",ROUND($B49*$D$45*$I49,2))</f>
        <v/>
      </c>
      <c r="K49" s="84" t="n"/>
      <c r="L49" s="83" t="inlineStr">
        <is>
          <t>Lorrane</t>
        </is>
      </c>
      <c r="M49" s="78" t="n">
        <v>0.01</v>
      </c>
      <c r="N49" s="56">
        <f>IF(OR($B49="",$M49="",$D$45=""),"",ROUND($B49*$D$45*$M49,2))</f>
        <v/>
      </c>
      <c r="O49" s="85">
        <f>IF(AND($F49="",$J49="",$N49=""),"",ROUND(IF($F49="",0,$F49)+IF($J49="",0,$J49)+IF($N49="",0,$N49),2))</f>
        <v/>
      </c>
    </row>
    <row r="50" ht="18" customHeight="1">
      <c r="A50" s="83" t="inlineStr">
        <is>
          <t>Suíte</t>
        </is>
      </c>
      <c r="B50" s="72">
        <f>IF(OR($C50="",$A$13="",$A$13=0),"",$C50/$A$13)</f>
        <v/>
      </c>
      <c r="C50" s="76" t="n">
        <v>20000</v>
      </c>
      <c r="D50" s="83" t="inlineStr">
        <is>
          <t>Samuel</t>
        </is>
      </c>
      <c r="E50" s="78" t="n">
        <v>0.03</v>
      </c>
      <c r="F50" s="56">
        <f>IF(OR($B50="",$E50="",$D$45=""),"",ROUND($B50*$D$45*$E50,2))</f>
        <v/>
      </c>
      <c r="G50" s="84" t="n"/>
      <c r="H50" s="83" t="inlineStr">
        <is>
          <t>Cesar</t>
        </is>
      </c>
      <c r="I50" s="78" t="n">
        <v>0.02</v>
      </c>
      <c r="J50" s="56">
        <f>IF(OR($B50="",$I50="",$D$45=""),"",ROUND($B50*$D$45*$I50,2))</f>
        <v/>
      </c>
      <c r="K50" s="84" t="n"/>
      <c r="L50" s="83" t="inlineStr">
        <is>
          <t>Lorrane</t>
        </is>
      </c>
      <c r="M50" s="78" t="n">
        <v>0.01</v>
      </c>
      <c r="N50" s="56">
        <f>IF(OR($B50="",$M50="",$D$45=""),"",ROUND($B50*$D$45*$M50,2))</f>
        <v/>
      </c>
      <c r="O50" s="85">
        <f>IF(AND($F50="",$J50="",$N50=""),"",ROUND(IF($F50="",0,$F50)+IF($J50="",0,$J50)+IF($N50="",0,$N50),2))</f>
        <v/>
      </c>
    </row>
    <row r="51" ht="18" customHeight="1">
      <c r="A51" s="83" t="inlineStr">
        <is>
          <t>Lavanderia</t>
        </is>
      </c>
      <c r="B51" s="72">
        <f>IF(OR($C51="",$A$13="",$A$13=0),"",$C51/$A$13)</f>
        <v/>
      </c>
      <c r="C51" s="76" t="n">
        <v>10000</v>
      </c>
      <c r="D51" s="83" t="inlineStr">
        <is>
          <t>Joelson</t>
        </is>
      </c>
      <c r="E51" s="78" t="n">
        <v>0.03</v>
      </c>
      <c r="F51" s="56">
        <f>IF(OR($B51="",$E51="",$D$45=""),"",ROUND($B51*$D$45*$E51,2))</f>
        <v/>
      </c>
      <c r="G51" s="84" t="n"/>
      <c r="H51" s="83" t="inlineStr">
        <is>
          <t>Samuel</t>
        </is>
      </c>
      <c r="I51" s="78" t="n">
        <v>0.02</v>
      </c>
      <c r="J51" s="56">
        <f>IF(OR($B51="",$I51="",$D$45=""),"",ROUND($B51*$D$45*$I51,2))</f>
        <v/>
      </c>
      <c r="K51" s="84" t="n"/>
      <c r="L51" s="83" t="inlineStr">
        <is>
          <t>Lucas</t>
        </is>
      </c>
      <c r="M51" s="78" t="n">
        <v>0.01</v>
      </c>
      <c r="N51" s="56">
        <f>IF(OR($B51="",$M51="",$D$45=""),"",ROUND($B51*$D$45*$M51,2))</f>
        <v/>
      </c>
      <c r="O51" s="85">
        <f>IF(AND($F51="",$J51="",$N51=""),"",ROUND(IF($F51="",0,$F51)+IF($J51="",0,$J51)+IF($N51="",0,$N51),2))</f>
        <v/>
      </c>
    </row>
    <row r="52" ht="18" customHeight="1">
      <c r="A52" s="83" t="inlineStr">
        <is>
          <t>Sala</t>
        </is>
      </c>
      <c r="B52" s="72">
        <f>IF(OR($C52="",$A$13="",$A$13=0),"",$C52/$A$13)</f>
        <v/>
      </c>
      <c r="C52" s="76" t="n">
        <v>30000</v>
      </c>
      <c r="D52" s="83" t="inlineStr">
        <is>
          <t>Deivison</t>
        </is>
      </c>
      <c r="E52" s="78" t="n">
        <v>0.03</v>
      </c>
      <c r="F52" s="56">
        <f>IF(OR($B52="",$E52="",$D$45=""),"",ROUND($B52*$D$45*$E52,2))</f>
        <v/>
      </c>
      <c r="G52" s="84" t="n"/>
      <c r="H52" s="83" t="inlineStr">
        <is>
          <t>Jackson</t>
        </is>
      </c>
      <c r="I52" s="78" t="n">
        <v>0.02</v>
      </c>
      <c r="J52" s="56">
        <f>IF(OR($B52="",$I52="",$D$45=""),"",ROUND($B52*$D$45*$I52,2))</f>
        <v/>
      </c>
      <c r="K52" s="84" t="n"/>
      <c r="L52" s="83" t="inlineStr">
        <is>
          <t>Lucas</t>
        </is>
      </c>
      <c r="M52" s="78" t="n">
        <v>0.01</v>
      </c>
      <c r="N52" s="56">
        <f>IF(OR($B52="",$M52="",$D$45=""),"",ROUND($B52*$D$45*$M52,2))</f>
        <v/>
      </c>
      <c r="O52" s="85">
        <f>IF(AND($F52="",$J52="",$N52=""),"",ROUND(IF($F52="",0,$F52)+IF($J52="",0,$J52)+IF($N52="",0,$N52),2))</f>
        <v/>
      </c>
    </row>
    <row r="53" ht="18" customHeight="1">
      <c r="A53" s="83" t="n"/>
      <c r="B53" s="72">
        <f>IF(OR($C53="",$A$13="",$A$13=0),"",$C53/$A$13)</f>
        <v/>
      </c>
      <c r="C53" s="76" t="n"/>
      <c r="D53" s="83" t="n"/>
      <c r="E53" s="78" t="n"/>
      <c r="F53" s="56">
        <f>IF(OR($B53="",$E53="",$D$45=""),"",ROUND($B53*$D$45*$E53,2))</f>
        <v/>
      </c>
      <c r="G53" s="84" t="n"/>
      <c r="H53" s="83" t="n"/>
      <c r="I53" s="78" t="n"/>
      <c r="J53" s="56">
        <f>IF(OR($B53="",$I53="",$D$45=""),"",ROUND($B53*$D$45*$I53,2))</f>
        <v/>
      </c>
      <c r="K53" s="84" t="n"/>
      <c r="L53" s="83" t="n"/>
      <c r="M53" s="78" t="n"/>
      <c r="N53" s="56">
        <f>IF(OR($B53="",$M53="",$D$45=""),"",ROUND($B53*$D$45*$M53,2))</f>
        <v/>
      </c>
      <c r="O53" s="85">
        <f>IF(AND($F53="",$J53="",$N53=""),"",ROUND(IF($F53="",0,$F53)+IF($J53="",0,$J53)+IF($N53="",0,$N53),2))</f>
        <v/>
      </c>
    </row>
    <row r="54" ht="18" customHeight="1">
      <c r="A54" s="83" t="n"/>
      <c r="B54" s="72">
        <f>IF(OR($C54="",$A$13="",$A$13=0),"",$C54/$A$13)</f>
        <v/>
      </c>
      <c r="C54" s="76" t="n"/>
      <c r="D54" s="83" t="n"/>
      <c r="E54" s="78" t="n"/>
      <c r="F54" s="56">
        <f>IF(OR($B54="",$E54="",$D$45=""),"",ROUND($B54*$D$45*$E54,2))</f>
        <v/>
      </c>
      <c r="G54" s="84" t="n"/>
      <c r="H54" s="83" t="n"/>
      <c r="I54" s="78" t="n"/>
      <c r="J54" s="56">
        <f>IF(OR($B54="",$I54="",$D$45=""),"",ROUND($B54*$D$45*$I54,2))</f>
        <v/>
      </c>
      <c r="K54" s="84" t="n"/>
      <c r="L54" s="83" t="n"/>
      <c r="M54" s="78" t="n"/>
      <c r="N54" s="56">
        <f>IF(OR($B54="",$M54="",$D$45=""),"",ROUND($B54*$D$45*$M54,2))</f>
        <v/>
      </c>
      <c r="O54" s="85">
        <f>IF(AND($F54="",$J54="",$N54=""),"",ROUND(IF($F54="",0,$F54)+IF($J54="",0,$J54)+IF($N54="",0,$N54),2))</f>
        <v/>
      </c>
    </row>
    <row r="55" ht="18" customHeight="1">
      <c r="A55" s="83" t="n"/>
      <c r="B55" s="72">
        <f>IF(OR($C55="",$A$13="",$A$13=0),"",$C55/$A$13)</f>
        <v/>
      </c>
      <c r="C55" s="76" t="n"/>
      <c r="D55" s="83" t="n"/>
      <c r="E55" s="78" t="n"/>
      <c r="F55" s="56">
        <f>IF(OR($B55="",$E55="",$D$45=""),"",ROUND($B55*$D$45*$E55,2))</f>
        <v/>
      </c>
      <c r="G55" s="84" t="n"/>
      <c r="H55" s="83" t="n"/>
      <c r="I55" s="78" t="n"/>
      <c r="J55" s="56">
        <f>IF(OR($B55="",$I55="",$D$45=""),"",ROUND($B55*$D$45*$I55,2))</f>
        <v/>
      </c>
      <c r="K55" s="84" t="n"/>
      <c r="L55" s="83" t="n"/>
      <c r="M55" s="78" t="n"/>
      <c r="N55" s="56">
        <f>IF(OR($B55="",$M55="",$D$45=""),"",ROUND($B55*$D$45*$M55,2))</f>
        <v/>
      </c>
      <c r="O55" s="85">
        <f>IF(AND($F55="",$J55="",$N55=""),"",ROUND(IF($F55="",0,$F55)+IF($J55="",0,$J55)+IF($N55="",0,$N55),2))</f>
        <v/>
      </c>
    </row>
    <row r="56" ht="18" customHeight="1">
      <c r="A56" s="83" t="n"/>
      <c r="B56" s="72">
        <f>IF(OR($C56="",$A$13="",$A$13=0),"",$C56/$A$13)</f>
        <v/>
      </c>
      <c r="C56" s="76" t="n"/>
      <c r="D56" s="83" t="n"/>
      <c r="E56" s="78" t="n"/>
      <c r="F56" s="56">
        <f>IF(OR($B56="",$E56="",$D$45=""),"",ROUND($B56*$D$45*$E56,2))</f>
        <v/>
      </c>
      <c r="G56" s="84" t="n"/>
      <c r="H56" s="83" t="n"/>
      <c r="I56" s="78" t="n"/>
      <c r="J56" s="56">
        <f>IF(OR($B56="",$I56="",$D$45=""),"",ROUND($B56*$D$45*$I56,2))</f>
        <v/>
      </c>
      <c r="K56" s="84" t="n"/>
      <c r="L56" s="83" t="n"/>
      <c r="M56" s="78" t="n"/>
      <c r="N56" s="56">
        <f>IF(OR($B56="",$M56="",$D$45=""),"",ROUND($B56*$D$45*$M56,2))</f>
        <v/>
      </c>
      <c r="O56" s="85">
        <f>IF(AND($F56="",$J56="",$N56=""),"",ROUND(IF($F56="",0,$F56)+IF($J56="",0,$J56)+IF($N56="",0,$N56),2))</f>
        <v/>
      </c>
    </row>
    <row r="57" ht="18" customHeight="1">
      <c r="A57" s="83" t="n"/>
      <c r="B57" s="72">
        <f>IF(OR($C57="",$A$13="",$A$13=0),"",$C57/$A$13)</f>
        <v/>
      </c>
      <c r="C57" s="76" t="n"/>
      <c r="D57" s="83" t="n"/>
      <c r="E57" s="78" t="n"/>
      <c r="F57" s="56">
        <f>IF(OR($B57="",$E57="",$D$45=""),"",ROUND($B57*$D$45*$E57,2))</f>
        <v/>
      </c>
      <c r="G57" s="84" t="n"/>
      <c r="H57" s="83" t="n"/>
      <c r="I57" s="78" t="n"/>
      <c r="J57" s="56">
        <f>IF(OR($B57="",$I57="",$D$45=""),"",ROUND($B57*$D$45*$I57,2))</f>
        <v/>
      </c>
      <c r="K57" s="84" t="n"/>
      <c r="L57" s="83" t="n"/>
      <c r="M57" s="78" t="n"/>
      <c r="N57" s="56">
        <f>IF(OR($B57="",$M57="",$D$45=""),"",ROUND($B57*$D$45*$M57,2))</f>
        <v/>
      </c>
      <c r="O57" s="85">
        <f>IF(AND($F57="",$J57="",$N57=""),"",ROUND(IF($F57="",0,$F57)+IF($J57="",0,$J57)+IF($N57="",0,$N57),2))</f>
        <v/>
      </c>
    </row>
    <row r="58" ht="18" customHeight="1">
      <c r="A58" s="83" t="n"/>
      <c r="B58" s="72">
        <f>IF(OR($C58="",$A$13="",$A$13=0),"",$C58/$A$13)</f>
        <v/>
      </c>
      <c r="C58" s="76" t="n"/>
      <c r="D58" s="83" t="n"/>
      <c r="E58" s="78" t="n"/>
      <c r="F58" s="56">
        <f>IF(OR($B58="",$E58="",$D$45=""),"",ROUND($B58*$D$45*$E58,2))</f>
        <v/>
      </c>
      <c r="G58" s="84" t="n"/>
      <c r="H58" s="83" t="n"/>
      <c r="I58" s="78" t="n"/>
      <c r="J58" s="56">
        <f>IF(OR($B58="",$I58="",$D$45=""),"",ROUND($B58*$D$45*$I58,2))</f>
        <v/>
      </c>
      <c r="K58" s="84" t="n"/>
      <c r="L58" s="83" t="n"/>
      <c r="M58" s="78" t="n"/>
      <c r="N58" s="56">
        <f>IF(OR($B58="",$M58="",$D$45=""),"",ROUND($B58*$D$45*$M58,2))</f>
        <v/>
      </c>
      <c r="O58" s="85">
        <f>IF(AND($F58="",$J58="",$N58=""),"",ROUND(IF($F58="",0,$F58)+IF($J58="",0,$J58)+IF($N58="",0,$N58),2))</f>
        <v/>
      </c>
    </row>
    <row r="59" ht="18" customHeight="1">
      <c r="A59" s="83" t="n"/>
      <c r="B59" s="72">
        <f>IF(OR($C59="",$A$13="",$A$13=0),"",$C59/$A$13)</f>
        <v/>
      </c>
      <c r="C59" s="76" t="n"/>
      <c r="D59" s="83" t="n"/>
      <c r="E59" s="78" t="n"/>
      <c r="F59" s="56">
        <f>IF(OR($B59="",$E59="",$D$45=""),"",ROUND($B59*$D$45*$E59,2))</f>
        <v/>
      </c>
      <c r="G59" s="84" t="n"/>
      <c r="H59" s="83" t="n"/>
      <c r="I59" s="78" t="n"/>
      <c r="J59" s="56">
        <f>IF(OR($B59="",$I59="",$D$45=""),"",ROUND($B59*$D$45*$I59,2))</f>
        <v/>
      </c>
      <c r="K59" s="84" t="n"/>
      <c r="L59" s="83" t="n"/>
      <c r="M59" s="78" t="n"/>
      <c r="N59" s="56">
        <f>IF(OR($B59="",$M59="",$D$45=""),"",ROUND($B59*$D$45*$M59,2))</f>
        <v/>
      </c>
      <c r="O59" s="85">
        <f>IF(AND($F59="",$J59="",$N59=""),"",ROUND(IF($F59="",0,$F59)+IF($J59="",0,$J59)+IF($N59="",0,$N59),2))</f>
        <v/>
      </c>
    </row>
    <row r="60" ht="18" customHeight="1">
      <c r="A60" s="83" t="n"/>
      <c r="B60" s="72">
        <f>IF(OR($C60="",$A$13="",$A$13=0),"",$C60/$A$13)</f>
        <v/>
      </c>
      <c r="C60" s="76" t="n"/>
      <c r="D60" s="83" t="n"/>
      <c r="E60" s="78" t="n"/>
      <c r="F60" s="56">
        <f>IF(OR($B60="",$E60="",$D$45=""),"",ROUND($B60*$D$45*$E60,2))</f>
        <v/>
      </c>
      <c r="G60" s="84" t="n"/>
      <c r="H60" s="83" t="n"/>
      <c r="I60" s="78" t="n"/>
      <c r="J60" s="56">
        <f>IF(OR($B60="",$I60="",$D$45=""),"",ROUND($B60*$D$45*$I60,2))</f>
        <v/>
      </c>
      <c r="K60" s="84" t="n"/>
      <c r="L60" s="83" t="n"/>
      <c r="M60" s="78" t="n"/>
      <c r="N60" s="56">
        <f>IF(OR($B60="",$M60="",$D$45=""),"",ROUND($B60*$D$45*$M60,2))</f>
        <v/>
      </c>
      <c r="O60" s="85">
        <f>IF(AND($F60="",$J60="",$N60=""),"",ROUND(IF($F60="",0,$F60)+IF($J60="",0,$J60)+IF($N60="",0,$N60),2))</f>
        <v/>
      </c>
    </row>
    <row r="61" ht="20" customHeight="1">
      <c r="A61" s="31" t="inlineStr">
        <is>
          <t>SOMA DOS AMBIENTES</t>
        </is>
      </c>
      <c r="B61" s="62">
        <f>IF($A$13=0,"",$C$61/$A$13)</f>
        <v/>
      </c>
      <c r="C61" s="60">
        <f>ROUND(SUM(C49:C60),2)</f>
        <v/>
      </c>
      <c r="D61" s="86">
        <f>IF($C$61=0,"—",IF(ROUND($C$61-$A$13,2)=0,"OK · os ambientes somam o valor de venda","ATENÇÃO: diferença de "&amp;TEXT($C$61-$A$13,"R$ #,##0.00")))</f>
        <v/>
      </c>
      <c r="E61" s="32" t="n"/>
      <c r="F61" s="60">
        <f>ROUND(SUM(F49:F60),2)</f>
        <v/>
      </c>
      <c r="G61" s="32" t="n"/>
      <c r="H61" s="32" t="n"/>
      <c r="I61" s="32" t="n"/>
      <c r="J61" s="60">
        <f>ROUND(SUM(J49:J60),2)</f>
        <v/>
      </c>
      <c r="K61" s="32" t="n"/>
      <c r="L61" s="32" t="n"/>
      <c r="M61" s="32" t="n"/>
      <c r="N61" s="60">
        <f>ROUND(SUM(N49:N60),2)</f>
        <v/>
      </c>
      <c r="O61" s="60">
        <f>ROUND(SUM(O49:O60),2)</f>
        <v/>
      </c>
    </row>
    <row r="62" ht="8" customHeight="1"/>
    <row r="63" ht="20" customHeight="1">
      <c r="A63" s="8" t="inlineStr">
        <is>
          <t xml:space="preserve">  4 · COMISSÕES OPERACIONAIS          calculadas sobre a RECEITA LÍQUIDA · o realizado vem dos ambientes acima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</row>
    <row r="64" ht="26" customHeight="1">
      <c r="A64" s="19" t="inlineStr">
        <is>
          <t>Item</t>
        </is>
      </c>
      <c r="B64" s="19" t="inlineStr">
        <is>
          <t>%</t>
        </is>
      </c>
      <c r="C64" s="19" t="inlineStr">
        <is>
          <t>Orçado (R$)</t>
        </is>
      </c>
      <c r="D64" s="19" t="inlineStr">
        <is>
          <t>Realizado (R$)</t>
        </is>
      </c>
      <c r="E64" s="19" t="inlineStr">
        <is>
          <t>Desvio (R$)</t>
        </is>
      </c>
      <c r="F64" s="35" t="n"/>
      <c r="G64" s="19" t="inlineStr">
        <is>
          <t>% da venda</t>
        </is>
      </c>
      <c r="H64" s="19" t="inlineStr">
        <is>
          <t>Observação</t>
        </is>
      </c>
      <c r="I64" s="35" t="n"/>
      <c r="J64" s="35" t="n"/>
      <c r="K64" s="35" t="n"/>
      <c r="L64" s="35" t="n"/>
      <c r="M64" s="35" t="n"/>
      <c r="N64" s="35" t="n"/>
      <c r="O64" s="35" t="n"/>
    </row>
    <row r="65" ht="17" customHeight="1">
      <c r="A65" s="36" t="inlineStr">
        <is>
          <t>Coordenação de produção</t>
        </is>
      </c>
      <c r="B65" s="78" t="n">
        <v>0.01</v>
      </c>
      <c r="C65" s="56">
        <f>IF($B65="","",ROUND($B65*$C$45,2))</f>
        <v/>
      </c>
      <c r="D65" s="56">
        <f>IF($B65="","",ROUND($B65*$D$45,2))</f>
        <v/>
      </c>
      <c r="E65" s="56">
        <f>IF(OR($C65="",$D65=""),"",ROUND($D65-$C65,2))</f>
        <v/>
      </c>
      <c r="F65" s="38" t="n"/>
      <c r="G65" s="72">
        <f>IF(OR($D65="",$A$13="",$A$13=0),"",$D65/$A$13)</f>
        <v/>
      </c>
      <c r="H65" s="73" t="inlineStr">
        <is>
          <t>quem coordena está na identificação, no topo da ficha</t>
        </is>
      </c>
      <c r="I65" s="46" t="n"/>
      <c r="J65" s="46" t="n"/>
      <c r="K65" s="46" t="n"/>
      <c r="L65" s="46" t="n"/>
      <c r="M65" s="46" t="n"/>
      <c r="N65" s="46" t="n"/>
      <c r="O65" s="46" t="n"/>
    </row>
    <row r="66" ht="17" customHeight="1">
      <c r="A66" s="36" t="inlineStr">
        <is>
          <t>Gestão técnica</t>
        </is>
      </c>
      <c r="B66" s="78" t="n">
        <v>0.005</v>
      </c>
      <c r="C66" s="56">
        <f>IF($B66="","",ROUND($B66*$C$45,2))</f>
        <v/>
      </c>
      <c r="D66" s="56">
        <f>IF($B66="","",ROUND($B66*$D$45,2))</f>
        <v/>
      </c>
      <c r="E66" s="56">
        <f>IF(OR($C66="",$D66=""),"",ROUND($D66-$C66,2))</f>
        <v/>
      </c>
      <c r="F66" s="38" t="n"/>
      <c r="G66" s="72">
        <f>IF(OR($D66="",$A$13="",$A$13=0),"",$D66/$A$13)</f>
        <v/>
      </c>
      <c r="H66" s="73" t="inlineStr">
        <is>
          <t>Bruna</t>
        </is>
      </c>
      <c r="I66" s="46" t="n"/>
      <c r="J66" s="46" t="n"/>
      <c r="K66" s="46" t="n"/>
      <c r="L66" s="46" t="n"/>
      <c r="M66" s="46" t="n"/>
      <c r="N66" s="46" t="n"/>
      <c r="O66" s="46" t="n"/>
    </row>
    <row r="67" ht="17" customHeight="1">
      <c r="A67" s="36" t="inlineStr">
        <is>
          <t>Comissão de produção</t>
        </is>
      </c>
      <c r="B67" s="78" t="n">
        <v>0.03</v>
      </c>
      <c r="C67" s="56">
        <f>IF($B67="","",ROUND($B67*$C$45,2))</f>
        <v/>
      </c>
      <c r="D67" s="56">
        <f>IF($F$61=0,"",$F$61)</f>
        <v/>
      </c>
      <c r="E67" s="56">
        <f>IF(OR($C67="",$D67=""),"",ROUND($D67-$C67,2))</f>
        <v/>
      </c>
      <c r="F67" s="38" t="n"/>
      <c r="G67" s="72">
        <f>IF(OR($D67="",$A$13="",$A$13=0),"",$D67/$A$13)</f>
        <v/>
      </c>
      <c r="H67" s="73" t="inlineStr">
        <is>
          <t>orçado = % único estimado · realizado = soma dos ambientes</t>
        </is>
      </c>
      <c r="I67" s="46" t="n"/>
      <c r="J67" s="46" t="n"/>
      <c r="K67" s="46" t="n"/>
      <c r="L67" s="46" t="n"/>
      <c r="M67" s="46" t="n"/>
      <c r="N67" s="46" t="n"/>
      <c r="O67" s="46" t="n"/>
    </row>
    <row r="68" ht="17" customHeight="1">
      <c r="A68" s="36" t="inlineStr">
        <is>
          <t>Comissão de montagem</t>
        </is>
      </c>
      <c r="B68" s="78" t="n">
        <v>0.02</v>
      </c>
      <c r="C68" s="56">
        <f>IF($B68="","",ROUND($B68*$C$45,2))</f>
        <v/>
      </c>
      <c r="D68" s="56">
        <f>IF($J$61=0,"",$J$61)</f>
        <v/>
      </c>
      <c r="E68" s="56">
        <f>IF(OR($C68="",$D68=""),"",ROUND($D68-$C68,2))</f>
        <v/>
      </c>
      <c r="F68" s="38" t="n"/>
      <c r="G68" s="72">
        <f>IF(OR($D68="",$A$13="",$A$13=0),"",$D68/$A$13)</f>
        <v/>
      </c>
      <c r="H68" s="73" t="inlineStr">
        <is>
          <t>orçado = % único estimado · realizado = soma dos ambientes</t>
        </is>
      </c>
      <c r="I68" s="46" t="n"/>
      <c r="J68" s="46" t="n"/>
      <c r="K68" s="46" t="n"/>
      <c r="L68" s="46" t="n"/>
      <c r="M68" s="46" t="n"/>
      <c r="N68" s="46" t="n"/>
      <c r="O68" s="46" t="n"/>
    </row>
    <row r="69" ht="17" customHeight="1">
      <c r="A69" s="36" t="inlineStr">
        <is>
          <t>Comissão de projetista</t>
        </is>
      </c>
      <c r="B69" s="78" t="n">
        <v>0.01</v>
      </c>
      <c r="C69" s="56">
        <f>IF($B69="","",ROUND($B69*$C$45,2))</f>
        <v/>
      </c>
      <c r="D69" s="56">
        <f>IF($N$61=0,"",$N$61)</f>
        <v/>
      </c>
      <c r="E69" s="56">
        <f>IF(OR($C69="",$D69=""),"",ROUND($D69-$C69,2))</f>
        <v/>
      </c>
      <c r="F69" s="38" t="n"/>
      <c r="G69" s="72">
        <f>IF(OR($D69="",$A$13="",$A$13=0),"",$D69/$A$13)</f>
        <v/>
      </c>
      <c r="H69" s="73" t="inlineStr">
        <is>
          <t>quem projetou cada ambiente está na coluna L do bloco 3</t>
        </is>
      </c>
      <c r="I69" s="46" t="n"/>
      <c r="J69" s="46" t="n"/>
      <c r="K69" s="46" t="n"/>
      <c r="L69" s="46" t="n"/>
      <c r="M69" s="46" t="n"/>
      <c r="N69" s="46" t="n"/>
      <c r="O69" s="46" t="n"/>
    </row>
    <row r="70" ht="20" customHeight="1">
      <c r="A70" s="31" t="inlineStr">
        <is>
          <t>(=) SUBTOTAL DAS COMISSÕES</t>
        </is>
      </c>
      <c r="B70" s="32" t="n"/>
      <c r="C70" s="60">
        <f>ROUND(SUM(C65:C69),2)</f>
        <v/>
      </c>
      <c r="D70" s="60">
        <f>ROUND(SUM(D65:D69),2)</f>
        <v/>
      </c>
      <c r="E70" s="60">
        <f>ROUND($D70-$C70,2)</f>
        <v/>
      </c>
      <c r="F70" s="32" t="n"/>
      <c r="G70" s="62">
        <f>IF(OR($A$13="",$A$13=0),"",$D70/$A$13)</f>
        <v/>
      </c>
      <c r="H70" s="32" t="n"/>
      <c r="I70" s="32" t="n"/>
      <c r="J70" s="32" t="n"/>
      <c r="K70" s="32" t="n"/>
      <c r="L70" s="32" t="n"/>
      <c r="M70" s="32" t="n"/>
      <c r="N70" s="32" t="n"/>
      <c r="O70" s="32" t="n"/>
    </row>
    <row r="71" ht="8" customHeight="1"/>
    <row r="72" ht="20" customHeight="1">
      <c r="A72" s="8" t="inlineStr">
        <is>
          <t xml:space="preserve">  5 · COMISSÕES POR COLABORADOR          consolidado automático — quem produziu, quem montou, quem projetou e o coordenador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</row>
    <row r="73" ht="26" customHeight="1">
      <c r="A73" s="19" t="inlineStr">
        <is>
          <t>Colaborador</t>
        </is>
      </c>
      <c r="B73" s="19" t="inlineStr">
        <is>
          <t>Produção (R$)</t>
        </is>
      </c>
      <c r="C73" s="35" t="n"/>
      <c r="D73" s="19" t="inlineStr">
        <is>
          <t>Montagem (R$)</t>
        </is>
      </c>
      <c r="E73" s="35" t="n"/>
      <c r="F73" s="19" t="inlineStr">
        <is>
          <t>Projeto (R$)</t>
        </is>
      </c>
      <c r="G73" s="35" t="n"/>
      <c r="H73" s="19" t="inlineStr">
        <is>
          <t>Coordenação / Gestão técnica (R$)</t>
        </is>
      </c>
      <c r="I73" s="35" t="n"/>
      <c r="J73" s="19" t="inlineStr">
        <is>
          <t>Total no projeto (R$)</t>
        </is>
      </c>
      <c r="K73" s="35" t="n"/>
      <c r="L73" s="35" t="n"/>
      <c r="M73" s="35" t="n"/>
    </row>
    <row r="74" ht="17" customHeight="1">
      <c r="A74" s="87" t="inlineStr">
        <is>
          <t>Deivison</t>
        </is>
      </c>
      <c r="B74" s="56">
        <f>IF($A74="","",ROUND(SUMIF($D$49:$D$60,$A74,$F$49:$F$60),2))</f>
        <v/>
      </c>
      <c r="C74" s="38" t="n"/>
      <c r="D74" s="56">
        <f>IF($A74="","",ROUND(SUMIF($H$49:$H$60,$A74,$J$49:$J$60),2))</f>
        <v/>
      </c>
      <c r="E74" s="38" t="n"/>
      <c r="F74" s="56">
        <f>IF($A74="","",ROUND(SUMIF($L$49:$L$60,$A74,$N$49:$N$60),2))</f>
        <v/>
      </c>
      <c r="G74" s="38" t="n"/>
      <c r="H74" s="56">
        <f>IF($A74="","",IF($A74=$F$9,IF($D$65="",0,$D$65),0)+IF($A74=$H$66,IF($D$66="",0,$D$66),0))</f>
        <v/>
      </c>
      <c r="I74" s="38" t="n"/>
      <c r="J74" s="88">
        <f>IF($A74="","",ROUND($B74+$D74+$F74+$H74,2))</f>
        <v/>
      </c>
      <c r="K74" s="38" t="n"/>
      <c r="L74" s="38" t="n"/>
      <c r="M74" s="38" t="n"/>
    </row>
    <row r="75" ht="17" customHeight="1">
      <c r="A75" s="87" t="inlineStr">
        <is>
          <t>Ronald</t>
        </is>
      </c>
      <c r="B75" s="56">
        <f>IF($A75="","",ROUND(SUMIF($D$49:$D$60,$A75,$F$49:$F$60),2))</f>
        <v/>
      </c>
      <c r="C75" s="38" t="n"/>
      <c r="D75" s="56">
        <f>IF($A75="","",ROUND(SUMIF($H$49:$H$60,$A75,$J$49:$J$60),2))</f>
        <v/>
      </c>
      <c r="E75" s="38" t="n"/>
      <c r="F75" s="56">
        <f>IF($A75="","",ROUND(SUMIF($L$49:$L$60,$A75,$N$49:$N$60),2))</f>
        <v/>
      </c>
      <c r="G75" s="38" t="n"/>
      <c r="H75" s="56">
        <f>IF($A75="","",IF($A75=$F$9,IF($D$65="",0,$D$65),0)+IF($A75=$H$66,IF($D$66="",0,$D$66),0))</f>
        <v/>
      </c>
      <c r="I75" s="38" t="n"/>
      <c r="J75" s="88">
        <f>IF($A75="","",ROUND($B75+$D75+$F75+$H75,2))</f>
        <v/>
      </c>
      <c r="K75" s="38" t="n"/>
      <c r="L75" s="38" t="n"/>
      <c r="M75" s="38" t="n"/>
    </row>
    <row r="76" ht="17" customHeight="1">
      <c r="A76" s="87" t="inlineStr">
        <is>
          <t>Samuel</t>
        </is>
      </c>
      <c r="B76" s="56">
        <f>IF($A76="","",ROUND(SUMIF($D$49:$D$60,$A76,$F$49:$F$60),2))</f>
        <v/>
      </c>
      <c r="C76" s="38" t="n"/>
      <c r="D76" s="56">
        <f>IF($A76="","",ROUND(SUMIF($H$49:$H$60,$A76,$J$49:$J$60),2))</f>
        <v/>
      </c>
      <c r="E76" s="38" t="n"/>
      <c r="F76" s="56">
        <f>IF($A76="","",ROUND(SUMIF($L$49:$L$60,$A76,$N$49:$N$60),2))</f>
        <v/>
      </c>
      <c r="G76" s="38" t="n"/>
      <c r="H76" s="56">
        <f>IF($A76="","",IF($A76=$F$9,IF($D$65="",0,$D$65),0)+IF($A76=$H$66,IF($D$66="",0,$D$66),0))</f>
        <v/>
      </c>
      <c r="I76" s="38" t="n"/>
      <c r="J76" s="88">
        <f>IF($A76="","",ROUND($B76+$D76+$F76+$H76,2))</f>
        <v/>
      </c>
      <c r="K76" s="38" t="n"/>
      <c r="L76" s="38" t="n"/>
      <c r="M76" s="38" t="n"/>
    </row>
    <row r="77" ht="17" customHeight="1">
      <c r="A77" s="87" t="inlineStr">
        <is>
          <t>Cesar</t>
        </is>
      </c>
      <c r="B77" s="56">
        <f>IF($A77="","",ROUND(SUMIF($D$49:$D$60,$A77,$F$49:$F$60),2))</f>
        <v/>
      </c>
      <c r="C77" s="38" t="n"/>
      <c r="D77" s="56">
        <f>IF($A77="","",ROUND(SUMIF($H$49:$H$60,$A77,$J$49:$J$60),2))</f>
        <v/>
      </c>
      <c r="E77" s="38" t="n"/>
      <c r="F77" s="56">
        <f>IF($A77="","",ROUND(SUMIF($L$49:$L$60,$A77,$N$49:$N$60),2))</f>
        <v/>
      </c>
      <c r="G77" s="38" t="n"/>
      <c r="H77" s="56">
        <f>IF($A77="","",IF($A77=$F$9,IF($D$65="",0,$D$65),0)+IF($A77=$H$66,IF($D$66="",0,$D$66),0))</f>
        <v/>
      </c>
      <c r="I77" s="38" t="n"/>
      <c r="J77" s="88">
        <f>IF($A77="","",ROUND($B77+$D77+$F77+$H77,2))</f>
        <v/>
      </c>
      <c r="K77" s="38" t="n"/>
      <c r="L77" s="38" t="n"/>
      <c r="M77" s="38" t="n"/>
    </row>
    <row r="78" ht="17" customHeight="1">
      <c r="A78" s="87" t="inlineStr">
        <is>
          <t>Jhon</t>
        </is>
      </c>
      <c r="B78" s="56">
        <f>IF($A78="","",ROUND(SUMIF($D$49:$D$60,$A78,$F$49:$F$60),2))</f>
        <v/>
      </c>
      <c r="C78" s="38" t="n"/>
      <c r="D78" s="56">
        <f>IF($A78="","",ROUND(SUMIF($H$49:$H$60,$A78,$J$49:$J$60),2))</f>
        <v/>
      </c>
      <c r="E78" s="38" t="n"/>
      <c r="F78" s="56">
        <f>IF($A78="","",ROUND(SUMIF($L$49:$L$60,$A78,$N$49:$N$60),2))</f>
        <v/>
      </c>
      <c r="G78" s="38" t="n"/>
      <c r="H78" s="56">
        <f>IF($A78="","",IF($A78=$F$9,IF($D$65="",0,$D$65),0)+IF($A78=$H$66,IF($D$66="",0,$D$66),0))</f>
        <v/>
      </c>
      <c r="I78" s="38" t="n"/>
      <c r="J78" s="88">
        <f>IF($A78="","",ROUND($B78+$D78+$F78+$H78,2))</f>
        <v/>
      </c>
      <c r="K78" s="38" t="n"/>
      <c r="L78" s="38" t="n"/>
      <c r="M78" s="38" t="n"/>
    </row>
    <row r="79" ht="17" customHeight="1">
      <c r="A79" s="87" t="inlineStr">
        <is>
          <t>Joelson</t>
        </is>
      </c>
      <c r="B79" s="56">
        <f>IF($A79="","",ROUND(SUMIF($D$49:$D$60,$A79,$F$49:$F$60),2))</f>
        <v/>
      </c>
      <c r="C79" s="38" t="n"/>
      <c r="D79" s="56">
        <f>IF($A79="","",ROUND(SUMIF($H$49:$H$60,$A79,$J$49:$J$60),2))</f>
        <v/>
      </c>
      <c r="E79" s="38" t="n"/>
      <c r="F79" s="56">
        <f>IF($A79="","",ROUND(SUMIF($L$49:$L$60,$A79,$N$49:$N$60),2))</f>
        <v/>
      </c>
      <c r="G79" s="38" t="n"/>
      <c r="H79" s="56">
        <f>IF($A79="","",IF($A79=$F$9,IF($D$65="",0,$D$65),0)+IF($A79=$H$66,IF($D$66="",0,$D$66),0))</f>
        <v/>
      </c>
      <c r="I79" s="38" t="n"/>
      <c r="J79" s="88">
        <f>IF($A79="","",ROUND($B79+$D79+$F79+$H79,2))</f>
        <v/>
      </c>
      <c r="K79" s="38" t="n"/>
      <c r="L79" s="38" t="n"/>
      <c r="M79" s="38" t="n"/>
    </row>
    <row r="80" ht="17" customHeight="1">
      <c r="A80" s="87" t="inlineStr">
        <is>
          <t>Davi</t>
        </is>
      </c>
      <c r="B80" s="56">
        <f>IF($A80="","",ROUND(SUMIF($D$49:$D$60,$A80,$F$49:$F$60),2))</f>
        <v/>
      </c>
      <c r="C80" s="38" t="n"/>
      <c r="D80" s="56">
        <f>IF($A80="","",ROUND(SUMIF($H$49:$H$60,$A80,$J$49:$J$60),2))</f>
        <v/>
      </c>
      <c r="E80" s="38" t="n"/>
      <c r="F80" s="56">
        <f>IF($A80="","",ROUND(SUMIF($L$49:$L$60,$A80,$N$49:$N$60),2))</f>
        <v/>
      </c>
      <c r="G80" s="38" t="n"/>
      <c r="H80" s="56">
        <f>IF($A80="","",IF($A80=$F$9,IF($D$65="",0,$D$65),0)+IF($A80=$H$66,IF($D$66="",0,$D$66),0))</f>
        <v/>
      </c>
      <c r="I80" s="38" t="n"/>
      <c r="J80" s="88">
        <f>IF($A80="","",ROUND($B80+$D80+$F80+$H80,2))</f>
        <v/>
      </c>
      <c r="K80" s="38" t="n"/>
      <c r="L80" s="38" t="n"/>
      <c r="M80" s="38" t="n"/>
    </row>
    <row r="81" ht="17" customHeight="1">
      <c r="A81" s="87" t="inlineStr">
        <is>
          <t>Jomar</t>
        </is>
      </c>
      <c r="B81" s="56">
        <f>IF($A81="","",ROUND(SUMIF($D$49:$D$60,$A81,$F$49:$F$60),2))</f>
        <v/>
      </c>
      <c r="C81" s="38" t="n"/>
      <c r="D81" s="56">
        <f>IF($A81="","",ROUND(SUMIF($H$49:$H$60,$A81,$J$49:$J$60),2))</f>
        <v/>
      </c>
      <c r="E81" s="38" t="n"/>
      <c r="F81" s="56">
        <f>IF($A81="","",ROUND(SUMIF($L$49:$L$60,$A81,$N$49:$N$60),2))</f>
        <v/>
      </c>
      <c r="G81" s="38" t="n"/>
      <c r="H81" s="56">
        <f>IF($A81="","",IF($A81=$F$9,IF($D$65="",0,$D$65),0)+IF($A81=$H$66,IF($D$66="",0,$D$66),0))</f>
        <v/>
      </c>
      <c r="I81" s="38" t="n"/>
      <c r="J81" s="88">
        <f>IF($A81="","",ROUND($B81+$D81+$F81+$H81,2))</f>
        <v/>
      </c>
      <c r="K81" s="38" t="n"/>
      <c r="L81" s="38" t="n"/>
      <c r="M81" s="38" t="n"/>
    </row>
    <row r="82" ht="17" customHeight="1">
      <c r="A82" s="87" t="inlineStr">
        <is>
          <t>Bruno</t>
        </is>
      </c>
      <c r="B82" s="56">
        <f>IF($A82="","",ROUND(SUMIF($D$49:$D$60,$A82,$F$49:$F$60),2))</f>
        <v/>
      </c>
      <c r="C82" s="38" t="n"/>
      <c r="D82" s="56">
        <f>IF($A82="","",ROUND(SUMIF($H$49:$H$60,$A82,$J$49:$J$60),2))</f>
        <v/>
      </c>
      <c r="E82" s="38" t="n"/>
      <c r="F82" s="56">
        <f>IF($A82="","",ROUND(SUMIF($L$49:$L$60,$A82,$N$49:$N$60),2))</f>
        <v/>
      </c>
      <c r="G82" s="38" t="n"/>
      <c r="H82" s="56">
        <f>IF($A82="","",IF($A82=$F$9,IF($D$65="",0,$D$65),0)+IF($A82=$H$66,IF($D$66="",0,$D$66),0))</f>
        <v/>
      </c>
      <c r="I82" s="38" t="n"/>
      <c r="J82" s="88">
        <f>IF($A82="","",ROUND($B82+$D82+$F82+$H82,2))</f>
        <v/>
      </c>
      <c r="K82" s="38" t="n"/>
      <c r="L82" s="38" t="n"/>
      <c r="M82" s="38" t="n"/>
    </row>
    <row r="83" ht="17" customHeight="1">
      <c r="A83" s="87" t="inlineStr">
        <is>
          <t>Wallace</t>
        </is>
      </c>
      <c r="B83" s="56">
        <f>IF($A83="","",ROUND(SUMIF($D$49:$D$60,$A83,$F$49:$F$60),2))</f>
        <v/>
      </c>
      <c r="C83" s="38" t="n"/>
      <c r="D83" s="56">
        <f>IF($A83="","",ROUND(SUMIF($H$49:$H$60,$A83,$J$49:$J$60),2))</f>
        <v/>
      </c>
      <c r="E83" s="38" t="n"/>
      <c r="F83" s="56">
        <f>IF($A83="","",ROUND(SUMIF($L$49:$L$60,$A83,$N$49:$N$60),2))</f>
        <v/>
      </c>
      <c r="G83" s="38" t="n"/>
      <c r="H83" s="56">
        <f>IF($A83="","",IF($A83=$F$9,IF($D$65="",0,$D$65),0)+IF($A83=$H$66,IF($D$66="",0,$D$66),0))</f>
        <v/>
      </c>
      <c r="I83" s="38" t="n"/>
      <c r="J83" s="88">
        <f>IF($A83="","",ROUND($B83+$D83+$F83+$H83,2))</f>
        <v/>
      </c>
      <c r="K83" s="38" t="n"/>
      <c r="L83" s="38" t="n"/>
      <c r="M83" s="38" t="n"/>
    </row>
    <row r="84" ht="17" customHeight="1">
      <c r="A84" s="87" t="inlineStr">
        <is>
          <t>Douglas</t>
        </is>
      </c>
      <c r="B84" s="56">
        <f>IF($A84="","",ROUND(SUMIF($D$49:$D$60,$A84,$F$49:$F$60),2))</f>
        <v/>
      </c>
      <c r="C84" s="38" t="n"/>
      <c r="D84" s="56">
        <f>IF($A84="","",ROUND(SUMIF($H$49:$H$60,$A84,$J$49:$J$60),2))</f>
        <v/>
      </c>
      <c r="E84" s="38" t="n"/>
      <c r="F84" s="56">
        <f>IF($A84="","",ROUND(SUMIF($L$49:$L$60,$A84,$N$49:$N$60),2))</f>
        <v/>
      </c>
      <c r="G84" s="38" t="n"/>
      <c r="H84" s="56">
        <f>IF($A84="","",IF($A84=$F$9,IF($D$65="",0,$D$65),0)+IF($A84=$H$66,IF($D$66="",0,$D$66),0))</f>
        <v/>
      </c>
      <c r="I84" s="38" t="n"/>
      <c r="J84" s="88">
        <f>IF($A84="","",ROUND($B84+$D84+$F84+$H84,2))</f>
        <v/>
      </c>
      <c r="K84" s="38" t="n"/>
      <c r="L84" s="38" t="n"/>
      <c r="M84" s="38" t="n"/>
    </row>
    <row r="85" ht="17" customHeight="1">
      <c r="A85" s="87" t="inlineStr">
        <is>
          <t>Terceiro / avulso</t>
        </is>
      </c>
      <c r="B85" s="56">
        <f>IF($A85="","",ROUND(SUMIF($D$49:$D$60,$A85,$F$49:$F$60),2))</f>
        <v/>
      </c>
      <c r="C85" s="38" t="n"/>
      <c r="D85" s="56">
        <f>IF($A85="","",ROUND(SUMIF($H$49:$H$60,$A85,$J$49:$J$60),2))</f>
        <v/>
      </c>
      <c r="E85" s="38" t="n"/>
      <c r="F85" s="56">
        <f>IF($A85="","",ROUND(SUMIF($L$49:$L$60,$A85,$N$49:$N$60),2))</f>
        <v/>
      </c>
      <c r="G85" s="38" t="n"/>
      <c r="H85" s="56">
        <f>IF($A85="","",IF($A85=$F$9,IF($D$65="",0,$D$65),0)+IF($A85=$H$66,IF($D$66="",0,$D$66),0))</f>
        <v/>
      </c>
      <c r="I85" s="38" t="n"/>
      <c r="J85" s="88">
        <f>IF($A85="","",ROUND($B85+$D85+$F85+$H85,2))</f>
        <v/>
      </c>
      <c r="K85" s="38" t="n"/>
      <c r="L85" s="38" t="n"/>
      <c r="M85" s="38" t="n"/>
    </row>
    <row r="86" ht="17" customHeight="1">
      <c r="A86" s="87" t="inlineStr">
        <is>
          <t>Lorrane</t>
        </is>
      </c>
      <c r="B86" s="56">
        <f>IF($A86="","",ROUND(SUMIF($D$49:$D$60,$A86,$F$49:$F$60),2))</f>
        <v/>
      </c>
      <c r="C86" s="38" t="n"/>
      <c r="D86" s="56">
        <f>IF($A86="","",ROUND(SUMIF($H$49:$H$60,$A86,$J$49:$J$60),2))</f>
        <v/>
      </c>
      <c r="E86" s="38" t="n"/>
      <c r="F86" s="56">
        <f>IF($A86="","",ROUND(SUMIF($L$49:$L$60,$A86,$N$49:$N$60),2))</f>
        <v/>
      </c>
      <c r="G86" s="38" t="n"/>
      <c r="H86" s="56">
        <f>IF($A86="","",IF($A86=$F$9,IF($D$65="",0,$D$65),0)+IF($A86=$H$66,IF($D$66="",0,$D$66),0))</f>
        <v/>
      </c>
      <c r="I86" s="38" t="n"/>
      <c r="J86" s="88">
        <f>IF($A86="","",ROUND($B86+$D86+$F86+$H86,2))</f>
        <v/>
      </c>
      <c r="K86" s="38" t="n"/>
      <c r="L86" s="38" t="n"/>
      <c r="M86" s="38" t="n"/>
    </row>
    <row r="87" ht="17" customHeight="1">
      <c r="A87" s="87" t="inlineStr">
        <is>
          <t>Lucas</t>
        </is>
      </c>
      <c r="B87" s="56">
        <f>IF($A87="","",ROUND(SUMIF($D$49:$D$60,$A87,$F$49:$F$60),2))</f>
        <v/>
      </c>
      <c r="C87" s="38" t="n"/>
      <c r="D87" s="56">
        <f>IF($A87="","",ROUND(SUMIF($H$49:$H$60,$A87,$J$49:$J$60),2))</f>
        <v/>
      </c>
      <c r="E87" s="38" t="n"/>
      <c r="F87" s="56">
        <f>IF($A87="","",ROUND(SUMIF($L$49:$L$60,$A87,$N$49:$N$60),2))</f>
        <v/>
      </c>
      <c r="G87" s="38" t="n"/>
      <c r="H87" s="56">
        <f>IF($A87="","",IF($A87=$F$9,IF($D$65="",0,$D$65),0)+IF($A87=$H$66,IF($D$66="",0,$D$66),0))</f>
        <v/>
      </c>
      <c r="I87" s="38" t="n"/>
      <c r="J87" s="88">
        <f>IF($A87="","",ROUND($B87+$D87+$F87+$H87,2))</f>
        <v/>
      </c>
      <c r="K87" s="38" t="n"/>
      <c r="L87" s="38" t="n"/>
      <c r="M87" s="38" t="n"/>
    </row>
    <row r="88" ht="17" customHeight="1">
      <c r="A88" s="87" t="inlineStr">
        <is>
          <t>Externo / avulso</t>
        </is>
      </c>
      <c r="B88" s="56">
        <f>IF($A88="","",ROUND(SUMIF($D$49:$D$60,$A88,$F$49:$F$60),2))</f>
        <v/>
      </c>
      <c r="C88" s="38" t="n"/>
      <c r="D88" s="56">
        <f>IF($A88="","",ROUND(SUMIF($H$49:$H$60,$A88,$J$49:$J$60),2))</f>
        <v/>
      </c>
      <c r="E88" s="38" t="n"/>
      <c r="F88" s="56">
        <f>IF($A88="","",ROUND(SUMIF($L$49:$L$60,$A88,$N$49:$N$60),2))</f>
        <v/>
      </c>
      <c r="G88" s="38" t="n"/>
      <c r="H88" s="56">
        <f>IF($A88="","",IF($A88=$F$9,IF($D$65="",0,$D$65),0)+IF($A88=$H$66,IF($D$66="",0,$D$66),0))</f>
        <v/>
      </c>
      <c r="I88" s="38" t="n"/>
      <c r="J88" s="88">
        <f>IF($A88="","",ROUND($B88+$D88+$F88+$H88,2))</f>
        <v/>
      </c>
      <c r="K88" s="38" t="n"/>
      <c r="L88" s="38" t="n"/>
      <c r="M88" s="38" t="n"/>
    </row>
    <row r="89" ht="17" customHeight="1">
      <c r="A89" s="87" t="inlineStr">
        <is>
          <t>Bruna</t>
        </is>
      </c>
      <c r="B89" s="56">
        <f>IF($A89="","",ROUND(SUMIF($D$49:$D$60,$A89,$F$49:$F$60),2))</f>
        <v/>
      </c>
      <c r="C89" s="38" t="n"/>
      <c r="D89" s="56">
        <f>IF($A89="","",ROUND(SUMIF($H$49:$H$60,$A89,$J$49:$J$60),2))</f>
        <v/>
      </c>
      <c r="E89" s="38" t="n"/>
      <c r="F89" s="56">
        <f>IF($A89="","",ROUND(SUMIF($L$49:$L$60,$A89,$N$49:$N$60),2))</f>
        <v/>
      </c>
      <c r="G89" s="38" t="n"/>
      <c r="H89" s="56">
        <f>IF($A89="","",IF($A89=$F$9,IF($D$65="",0,$D$65),0)+IF($A89=$H$66,IF($D$66="",0,$D$66),0))</f>
        <v/>
      </c>
      <c r="I89" s="38" t="n"/>
      <c r="J89" s="88">
        <f>IF($A89="","",ROUND($B89+$D89+$F89+$H89,2))</f>
        <v/>
      </c>
      <c r="K89" s="38" t="n"/>
      <c r="L89" s="38" t="n"/>
      <c r="M89" s="38" t="n"/>
    </row>
    <row r="90" ht="17" customHeight="1">
      <c r="A90" s="87" t="n"/>
      <c r="B90" s="56">
        <f>IF($A90="","",ROUND(SUMIF($D$49:$D$60,$A90,$F$49:$F$60),2))</f>
        <v/>
      </c>
      <c r="C90" s="38" t="n"/>
      <c r="D90" s="56">
        <f>IF($A90="","",ROUND(SUMIF($H$49:$H$60,$A90,$J$49:$J$60),2))</f>
        <v/>
      </c>
      <c r="E90" s="38" t="n"/>
      <c r="F90" s="56">
        <f>IF($A90="","",ROUND(SUMIF($L$49:$L$60,$A90,$N$49:$N$60),2))</f>
        <v/>
      </c>
      <c r="G90" s="38" t="n"/>
      <c r="H90" s="56">
        <f>IF($A90="","",IF($A90=$F$9,IF($D$65="",0,$D$65),0)+IF($A90=$H$66,IF($D$66="",0,$D$66),0))</f>
        <v/>
      </c>
      <c r="I90" s="38" t="n"/>
      <c r="J90" s="88">
        <f>IF($A90="","",ROUND($B90+$D90+$F90+$H90,2))</f>
        <v/>
      </c>
      <c r="K90" s="38" t="n"/>
      <c r="L90" s="38" t="n"/>
      <c r="M90" s="38" t="n"/>
    </row>
    <row r="91" ht="17" customHeight="1">
      <c r="A91" s="87" t="n"/>
      <c r="B91" s="56">
        <f>IF($A91="","",ROUND(SUMIF($D$49:$D$60,$A91,$F$49:$F$60),2))</f>
        <v/>
      </c>
      <c r="C91" s="38" t="n"/>
      <c r="D91" s="56">
        <f>IF($A91="","",ROUND(SUMIF($H$49:$H$60,$A91,$J$49:$J$60),2))</f>
        <v/>
      </c>
      <c r="E91" s="38" t="n"/>
      <c r="F91" s="56">
        <f>IF($A91="","",ROUND(SUMIF($L$49:$L$60,$A91,$N$49:$N$60),2))</f>
        <v/>
      </c>
      <c r="G91" s="38" t="n"/>
      <c r="H91" s="56">
        <f>IF($A91="","",IF($A91=$F$9,IF($D$65="",0,$D$65),0)+IF($A91=$H$66,IF($D$66="",0,$D$66),0))</f>
        <v/>
      </c>
      <c r="I91" s="38" t="n"/>
      <c r="J91" s="88">
        <f>IF($A91="","",ROUND($B91+$D91+$F91+$H91,2))</f>
        <v/>
      </c>
      <c r="K91" s="38" t="n"/>
      <c r="L91" s="38" t="n"/>
      <c r="M91" s="38" t="n"/>
    </row>
    <row r="92" ht="20" customHeight="1">
      <c r="A92" s="31" t="inlineStr">
        <is>
          <t>TOTAL</t>
        </is>
      </c>
      <c r="B92" s="60">
        <f>ROUND(SUM(B74:B91),2)</f>
        <v/>
      </c>
      <c r="C92" s="32" t="n"/>
      <c r="D92" s="60">
        <f>ROUND(SUM(D74:D91),2)</f>
        <v/>
      </c>
      <c r="E92" s="32" t="n"/>
      <c r="F92" s="60">
        <f>ROUND(SUM(F74:F91),2)</f>
        <v/>
      </c>
      <c r="G92" s="32" t="n"/>
      <c r="H92" s="60">
        <f>ROUND(SUM(H74:H91),2)</f>
        <v/>
      </c>
      <c r="I92" s="32" t="n"/>
      <c r="J92" s="60">
        <f>ROUND(SUM(J74:J91),2)</f>
        <v/>
      </c>
      <c r="K92" s="32" t="n"/>
      <c r="L92" s="32" t="n"/>
      <c r="M92" s="32" t="n"/>
    </row>
    <row r="93" ht="8" customHeight="1"/>
    <row r="94" ht="20" customHeight="1">
      <c r="A94" s="8" t="inlineStr">
        <is>
          <t xml:space="preserve">  6 · MATERIAL, TERCEIRIZADOS E LOGÍSTICA          o orçado você digita · o realizado vem sozinho do livro de lançamentos, lá no fim da ficha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</row>
    <row r="95" ht="30" customHeight="1">
      <c r="A95" s="19" t="inlineStr">
        <is>
          <t>Categoria</t>
        </is>
      </c>
      <c r="B95" s="19" t="inlineStr"/>
      <c r="C95" s="19" t="inlineStr">
        <is>
          <t>Orçado (R$)</t>
        </is>
      </c>
      <c r="D95" s="19" t="inlineStr">
        <is>
          <t>Realizado (R$)</t>
        </is>
      </c>
      <c r="E95" s="19" t="inlineStr">
        <is>
          <t>Desvio (R$)</t>
        </is>
      </c>
      <c r="F95" s="35" t="n"/>
      <c r="G95" s="19" t="inlineStr">
        <is>
          <t>Ainda a comprar</t>
        </is>
      </c>
      <c r="H95" s="19" t="inlineStr">
        <is>
          <t>Comprado, ainda a pagar</t>
        </is>
      </c>
      <c r="I95" s="35" t="n"/>
      <c r="J95" s="35" t="n"/>
      <c r="K95" s="35" t="n"/>
      <c r="L95" s="35" t="n"/>
      <c r="M95" s="35" t="n"/>
      <c r="N95" s="35" t="n"/>
      <c r="O95" s="35" t="n"/>
    </row>
    <row r="96" ht="17" customHeight="1">
      <c r="A96" s="36" t="inlineStr">
        <is>
          <t>MDF e MDP</t>
        </is>
      </c>
      <c r="B96" s="37" t="n"/>
      <c r="C96" s="71" t="n">
        <v>14500</v>
      </c>
      <c r="D96" s="56">
        <f>ROUND(SUMIFS($E$134:$E$193,$B$134:$B$193,$A96,$I$134:$I$193,"Comprado (a pagar)")+SUMIFS($E$134:$E$193,$B$134:$B$193,$A96,$I$134:$I$193,"Pago"),2)</f>
        <v/>
      </c>
      <c r="E96" s="56">
        <f>IF($C96="","",ROUND($D96-$C96,2))</f>
        <v/>
      </c>
      <c r="F96" s="38" t="n"/>
      <c r="G96" s="89">
        <f>ROUND(SUMIFS($E$134:$E$193,$B$134:$B$193,$A96,$I$134:$I$193,"A comprar"),2)</f>
        <v/>
      </c>
      <c r="H96" s="90">
        <f>ROUND(SUMIFS($E$134:$E$193,$B$134:$B$193,$A96,$I$134:$I$193,"Comprado (a pagar)"),2)</f>
        <v/>
      </c>
      <c r="I96" s="38" t="n"/>
      <c r="J96" s="38" t="n"/>
      <c r="K96" s="38" t="n"/>
      <c r="L96" s="38" t="n"/>
      <c r="M96" s="38" t="n"/>
      <c r="N96" s="38" t="n"/>
      <c r="O96" s="38" t="n"/>
    </row>
    <row r="97" ht="17" customHeight="1">
      <c r="A97" s="36" t="inlineStr">
        <is>
          <t>Fita de borda</t>
        </is>
      </c>
      <c r="B97" s="37" t="n"/>
      <c r="C97" s="71" t="n">
        <v>900</v>
      </c>
      <c r="D97" s="56">
        <f>ROUND(SUMIFS($E$134:$E$193,$B$134:$B$193,$A97,$I$134:$I$193,"Comprado (a pagar)")+SUMIFS($E$134:$E$193,$B$134:$B$193,$A97,$I$134:$I$193,"Pago"),2)</f>
        <v/>
      </c>
      <c r="E97" s="56">
        <f>IF($C97="","",ROUND($D97-$C97,2))</f>
        <v/>
      </c>
      <c r="F97" s="38" t="n"/>
      <c r="G97" s="89">
        <f>ROUND(SUMIFS($E$134:$E$193,$B$134:$B$193,$A97,$I$134:$I$193,"A comprar"),2)</f>
        <v/>
      </c>
      <c r="H97" s="90">
        <f>ROUND(SUMIFS($E$134:$E$193,$B$134:$B$193,$A97,$I$134:$I$193,"Comprado (a pagar)"),2)</f>
        <v/>
      </c>
      <c r="I97" s="38" t="n"/>
      <c r="J97" s="38" t="n"/>
      <c r="K97" s="38" t="n"/>
      <c r="L97" s="38" t="n"/>
      <c r="M97" s="38" t="n"/>
      <c r="N97" s="38" t="n"/>
      <c r="O97" s="38" t="n"/>
    </row>
    <row r="98" ht="17" customHeight="1">
      <c r="A98" s="36" t="inlineStr">
        <is>
          <t>Ferragens</t>
        </is>
      </c>
      <c r="B98" s="37" t="n"/>
      <c r="C98" s="71" t="n">
        <v>6800</v>
      </c>
      <c r="D98" s="56">
        <f>ROUND(SUMIFS($E$134:$E$193,$B$134:$B$193,$A98,$I$134:$I$193,"Comprado (a pagar)")+SUMIFS($E$134:$E$193,$B$134:$B$193,$A98,$I$134:$I$193,"Pago"),2)</f>
        <v/>
      </c>
      <c r="E98" s="56">
        <f>IF($C98="","",ROUND($D98-$C98,2))</f>
        <v/>
      </c>
      <c r="F98" s="38" t="n"/>
      <c r="G98" s="89">
        <f>ROUND(SUMIFS($E$134:$E$193,$B$134:$B$193,$A98,$I$134:$I$193,"A comprar"),2)</f>
        <v/>
      </c>
      <c r="H98" s="90">
        <f>ROUND(SUMIFS($E$134:$E$193,$B$134:$B$193,$A98,$I$134:$I$193,"Comprado (a pagar)"),2)</f>
        <v/>
      </c>
      <c r="I98" s="38" t="n"/>
      <c r="J98" s="38" t="n"/>
      <c r="K98" s="38" t="n"/>
      <c r="L98" s="38" t="n"/>
      <c r="M98" s="38" t="n"/>
      <c r="N98" s="38" t="n"/>
      <c r="O98" s="38" t="n"/>
    </row>
    <row r="99" ht="17" customHeight="1">
      <c r="A99" s="36" t="inlineStr">
        <is>
          <t>Vidros e espelhos</t>
        </is>
      </c>
      <c r="B99" s="37" t="n"/>
      <c r="C99" s="71" t="n">
        <v>2200</v>
      </c>
      <c r="D99" s="56">
        <f>ROUND(SUMIFS($E$134:$E$193,$B$134:$B$193,$A99,$I$134:$I$193,"Comprado (a pagar)")+SUMIFS($E$134:$E$193,$B$134:$B$193,$A99,$I$134:$I$193,"Pago"),2)</f>
        <v/>
      </c>
      <c r="E99" s="56">
        <f>IF($C99="","",ROUND($D99-$C99,2))</f>
        <v/>
      </c>
      <c r="F99" s="38" t="n"/>
      <c r="G99" s="89">
        <f>ROUND(SUMIFS($E$134:$E$193,$B$134:$B$193,$A99,$I$134:$I$193,"A comprar"),2)</f>
        <v/>
      </c>
      <c r="H99" s="90">
        <f>ROUND(SUMIFS($E$134:$E$193,$B$134:$B$193,$A99,$I$134:$I$193,"Comprado (a pagar)"),2)</f>
        <v/>
      </c>
      <c r="I99" s="38" t="n"/>
      <c r="J99" s="38" t="n"/>
      <c r="K99" s="38" t="n"/>
      <c r="L99" s="38" t="n"/>
      <c r="M99" s="38" t="n"/>
      <c r="N99" s="38" t="n"/>
      <c r="O99" s="38" t="n"/>
    </row>
    <row r="100" ht="17" customHeight="1">
      <c r="A100" s="36" t="inlineStr">
        <is>
          <t>Esquadrias</t>
        </is>
      </c>
      <c r="B100" s="37" t="n"/>
      <c r="C100" s="71" t="n"/>
      <c r="D100" s="56">
        <f>ROUND(SUMIFS($E$134:$E$193,$B$134:$B$193,$A100,$I$134:$I$193,"Comprado (a pagar)")+SUMIFS($E$134:$E$193,$B$134:$B$193,$A100,$I$134:$I$193,"Pago"),2)</f>
        <v/>
      </c>
      <c r="E100" s="56">
        <f>IF($C100="","",ROUND($D100-$C100,2))</f>
        <v/>
      </c>
      <c r="F100" s="38" t="n"/>
      <c r="G100" s="89">
        <f>ROUND(SUMIFS($E$134:$E$193,$B$134:$B$193,$A100,$I$134:$I$193,"A comprar"),2)</f>
        <v/>
      </c>
      <c r="H100" s="90">
        <f>ROUND(SUMIFS($E$134:$E$193,$B$134:$B$193,$A100,$I$134:$I$193,"Comprado (a pagar)"),2)</f>
        <v/>
      </c>
      <c r="I100" s="38" t="n"/>
      <c r="J100" s="38" t="n"/>
      <c r="K100" s="38" t="n"/>
      <c r="L100" s="38" t="n"/>
      <c r="M100" s="38" t="n"/>
      <c r="N100" s="38" t="n"/>
      <c r="O100" s="38" t="n"/>
    </row>
    <row r="101" ht="17" customHeight="1">
      <c r="A101" s="36" t="inlineStr">
        <is>
          <t>Lâmina natural</t>
        </is>
      </c>
      <c r="B101" s="37" t="n"/>
      <c r="C101" s="71" t="n">
        <v>3200</v>
      </c>
      <c r="D101" s="56">
        <f>ROUND(SUMIFS($E$134:$E$193,$B$134:$B$193,$A101,$I$134:$I$193,"Comprado (a pagar)")+SUMIFS($E$134:$E$193,$B$134:$B$193,$A101,$I$134:$I$193,"Pago"),2)</f>
        <v/>
      </c>
      <c r="E101" s="56">
        <f>IF($C101="","",ROUND($D101-$C101,2))</f>
        <v/>
      </c>
      <c r="F101" s="38" t="n"/>
      <c r="G101" s="89">
        <f>ROUND(SUMIFS($E$134:$E$193,$B$134:$B$193,$A101,$I$134:$I$193,"A comprar"),2)</f>
        <v/>
      </c>
      <c r="H101" s="90">
        <f>ROUND(SUMIFS($E$134:$E$193,$B$134:$B$193,$A101,$I$134:$I$193,"Comprado (a pagar)"),2)</f>
        <v/>
      </c>
      <c r="I101" s="38" t="n"/>
      <c r="J101" s="38" t="n"/>
      <c r="K101" s="38" t="n"/>
      <c r="L101" s="38" t="n"/>
      <c r="M101" s="38" t="n"/>
      <c r="N101" s="38" t="n"/>
      <c r="O101" s="38" t="n"/>
    </row>
    <row r="102" ht="17" customHeight="1">
      <c r="A102" s="36" t="inlineStr">
        <is>
          <t>Consumíveis</t>
        </is>
      </c>
      <c r="B102" s="37" t="n"/>
      <c r="C102" s="71" t="n">
        <v>1100</v>
      </c>
      <c r="D102" s="56">
        <f>ROUND(SUMIFS($E$134:$E$193,$B$134:$B$193,$A102,$I$134:$I$193,"Comprado (a pagar)")+SUMIFS($E$134:$E$193,$B$134:$B$193,$A102,$I$134:$I$193,"Pago"),2)</f>
        <v/>
      </c>
      <c r="E102" s="56">
        <f>IF($C102="","",ROUND($D102-$C102,2))</f>
        <v/>
      </c>
      <c r="F102" s="38" t="n"/>
      <c r="G102" s="89">
        <f>ROUND(SUMIFS($E$134:$E$193,$B$134:$B$193,$A102,$I$134:$I$193,"A comprar"),2)</f>
        <v/>
      </c>
      <c r="H102" s="90">
        <f>ROUND(SUMIFS($E$134:$E$193,$B$134:$B$193,$A102,$I$134:$I$193,"Comprado (a pagar)"),2)</f>
        <v/>
      </c>
      <c r="I102" s="38" t="n"/>
      <c r="J102" s="38" t="n"/>
      <c r="K102" s="38" t="n"/>
      <c r="L102" s="38" t="n"/>
      <c r="M102" s="38" t="n"/>
      <c r="N102" s="38" t="n"/>
      <c r="O102" s="38" t="n"/>
    </row>
    <row r="103" ht="20" customHeight="1">
      <c r="A103" s="31" t="inlineStr">
        <is>
          <t>(=) SUBTOTAL · MATERIAL</t>
        </is>
      </c>
      <c r="B103" s="32" t="n"/>
      <c r="C103" s="60">
        <f>ROUND(SUM(C96:C102),2)</f>
        <v/>
      </c>
      <c r="D103" s="60">
        <f>ROUND(SUM(D96:D102),2)</f>
        <v/>
      </c>
      <c r="E103" s="60">
        <f>ROUND(SUM(E96:E102),2)</f>
        <v/>
      </c>
      <c r="F103" s="32" t="n"/>
      <c r="G103" s="60">
        <f>ROUND(SUM(G96:G102),2)</f>
        <v/>
      </c>
      <c r="H103" s="60">
        <f>ROUND(SUM(H96:H102),2)</f>
        <v/>
      </c>
      <c r="I103" s="32" t="n"/>
      <c r="J103" s="32" t="n"/>
      <c r="K103" s="32" t="n"/>
      <c r="L103" s="32" t="n"/>
      <c r="M103" s="32" t="n"/>
      <c r="N103" s="32" t="n"/>
      <c r="O103" s="32" t="n"/>
    </row>
    <row r="104" ht="17" customHeight="1">
      <c r="A104" s="36" t="inlineStr">
        <is>
          <t>Acabamento</t>
        </is>
      </c>
      <c r="B104" s="37" t="n"/>
      <c r="C104" s="71" t="n">
        <v>4800</v>
      </c>
      <c r="D104" s="56">
        <f>ROUND(SUMIFS($E$134:$E$193,$B$134:$B$193,$A104,$I$134:$I$193,"Comprado (a pagar)")+SUMIFS($E$134:$E$193,$B$134:$B$193,$A104,$I$134:$I$193,"Pago"),2)</f>
        <v/>
      </c>
      <c r="E104" s="56">
        <f>IF($C104="","",ROUND($D104-$C104,2))</f>
        <v/>
      </c>
      <c r="F104" s="38" t="n"/>
      <c r="G104" s="89">
        <f>ROUND(SUMIFS($E$134:$E$193,$B$134:$B$193,$A104,$I$134:$I$193,"A comprar"),2)</f>
        <v/>
      </c>
      <c r="H104" s="90">
        <f>ROUND(SUMIFS($E$134:$E$193,$B$134:$B$193,$A104,$I$134:$I$193,"Comprado (a pagar)"),2)</f>
        <v/>
      </c>
      <c r="I104" s="38" t="n"/>
      <c r="J104" s="38" t="n"/>
      <c r="K104" s="38" t="n"/>
      <c r="L104" s="38" t="n"/>
      <c r="M104" s="38" t="n"/>
      <c r="N104" s="38" t="n"/>
      <c r="O104" s="38" t="n"/>
    </row>
    <row r="105" ht="17" customHeight="1">
      <c r="A105" s="36" t="inlineStr">
        <is>
          <t>Serralheria</t>
        </is>
      </c>
      <c r="B105" s="37" t="n"/>
      <c r="C105" s="71" t="n">
        <v>1500</v>
      </c>
      <c r="D105" s="56">
        <f>ROUND(SUMIFS($E$134:$E$193,$B$134:$B$193,$A105,$I$134:$I$193,"Comprado (a pagar)")+SUMIFS($E$134:$E$193,$B$134:$B$193,$A105,$I$134:$I$193,"Pago"),2)</f>
        <v/>
      </c>
      <c r="E105" s="56">
        <f>IF($C105="","",ROUND($D105-$C105,2))</f>
        <v/>
      </c>
      <c r="F105" s="38" t="n"/>
      <c r="G105" s="89">
        <f>ROUND(SUMIFS($E$134:$E$193,$B$134:$B$193,$A105,$I$134:$I$193,"A comprar"),2)</f>
        <v/>
      </c>
      <c r="H105" s="90">
        <f>ROUND(SUMIFS($E$134:$E$193,$B$134:$B$193,$A105,$I$134:$I$193,"Comprado (a pagar)"),2)</f>
        <v/>
      </c>
      <c r="I105" s="38" t="n"/>
      <c r="J105" s="38" t="n"/>
      <c r="K105" s="38" t="n"/>
      <c r="L105" s="38" t="n"/>
      <c r="M105" s="38" t="n"/>
      <c r="N105" s="38" t="n"/>
      <c r="O105" s="38" t="n"/>
    </row>
    <row r="106" ht="17" customHeight="1">
      <c r="A106" s="36" t="inlineStr">
        <is>
          <t>Vidraceiro</t>
        </is>
      </c>
      <c r="B106" s="37" t="n"/>
      <c r="C106" s="71" t="n">
        <v>900</v>
      </c>
      <c r="D106" s="56">
        <f>ROUND(SUMIFS($E$134:$E$193,$B$134:$B$193,$A106,$I$134:$I$193,"Comprado (a pagar)")+SUMIFS($E$134:$E$193,$B$134:$B$193,$A106,$I$134:$I$193,"Pago"),2)</f>
        <v/>
      </c>
      <c r="E106" s="56">
        <f>IF($C106="","",ROUND($D106-$C106,2))</f>
        <v/>
      </c>
      <c r="F106" s="38" t="n"/>
      <c r="G106" s="89">
        <f>ROUND(SUMIFS($E$134:$E$193,$B$134:$B$193,$A106,$I$134:$I$193,"A comprar"),2)</f>
        <v/>
      </c>
      <c r="H106" s="90">
        <f>ROUND(SUMIFS($E$134:$E$193,$B$134:$B$193,$A106,$I$134:$I$193,"Comprado (a pagar)"),2)</f>
        <v/>
      </c>
      <c r="I106" s="38" t="n"/>
      <c r="J106" s="38" t="n"/>
      <c r="K106" s="38" t="n"/>
      <c r="L106" s="38" t="n"/>
      <c r="M106" s="38" t="n"/>
      <c r="N106" s="38" t="n"/>
      <c r="O106" s="38" t="n"/>
    </row>
    <row r="107" ht="17" customHeight="1">
      <c r="A107" s="36" t="inlineStr">
        <is>
          <t>Outro terceirizado</t>
        </is>
      </c>
      <c r="B107" s="37" t="n"/>
      <c r="C107" s="71" t="n"/>
      <c r="D107" s="56">
        <f>ROUND(SUMIFS($E$134:$E$193,$B$134:$B$193,$A107,$I$134:$I$193,"Comprado (a pagar)")+SUMIFS($E$134:$E$193,$B$134:$B$193,$A107,$I$134:$I$193,"Pago"),2)</f>
        <v/>
      </c>
      <c r="E107" s="56">
        <f>IF($C107="","",ROUND($D107-$C107,2))</f>
        <v/>
      </c>
      <c r="F107" s="38" t="n"/>
      <c r="G107" s="89">
        <f>ROUND(SUMIFS($E$134:$E$193,$B$134:$B$193,$A107,$I$134:$I$193,"A comprar"),2)</f>
        <v/>
      </c>
      <c r="H107" s="90">
        <f>ROUND(SUMIFS($E$134:$E$193,$B$134:$B$193,$A107,$I$134:$I$193,"Comprado (a pagar)"),2)</f>
        <v/>
      </c>
      <c r="I107" s="38" t="n"/>
      <c r="J107" s="38" t="n"/>
      <c r="K107" s="38" t="n"/>
      <c r="L107" s="38" t="n"/>
      <c r="M107" s="38" t="n"/>
      <c r="N107" s="38" t="n"/>
      <c r="O107" s="38" t="n"/>
    </row>
    <row r="108" ht="20" customHeight="1">
      <c r="A108" s="31" t="inlineStr">
        <is>
          <t>(=) SUBTOTAL · SERVIÇOS TERCEIRIZADOS</t>
        </is>
      </c>
      <c r="B108" s="32" t="n"/>
      <c r="C108" s="60">
        <f>ROUND(SUM(C104:C107),2)</f>
        <v/>
      </c>
      <c r="D108" s="60">
        <f>ROUND(SUM(D104:D107),2)</f>
        <v/>
      </c>
      <c r="E108" s="60">
        <f>ROUND(SUM(E104:E107),2)</f>
        <v/>
      </c>
      <c r="F108" s="32" t="n"/>
      <c r="G108" s="60">
        <f>ROUND(SUM(G104:G107),2)</f>
        <v/>
      </c>
      <c r="H108" s="60">
        <f>ROUND(SUM(H104:H107),2)</f>
        <v/>
      </c>
      <c r="I108" s="32" t="n"/>
      <c r="J108" s="32" t="n"/>
      <c r="K108" s="32" t="n"/>
      <c r="L108" s="32" t="n"/>
      <c r="M108" s="32" t="n"/>
      <c r="N108" s="32" t="n"/>
      <c r="O108" s="32" t="n"/>
    </row>
    <row r="109" ht="17" customHeight="1">
      <c r="A109" s="36" t="inlineStr">
        <is>
          <t>Uber e aplicativo</t>
        </is>
      </c>
      <c r="B109" s="37" t="n"/>
      <c r="C109" s="71" t="n">
        <v>250</v>
      </c>
      <c r="D109" s="56">
        <f>ROUND(SUMIFS($E$134:$E$193,$B$134:$B$193,$A109,$I$134:$I$193,"Comprado (a pagar)")+SUMIFS($E$134:$E$193,$B$134:$B$193,$A109,$I$134:$I$193,"Pago"),2)</f>
        <v/>
      </c>
      <c r="E109" s="56">
        <f>IF($C109="","",ROUND($D109-$C109,2))</f>
        <v/>
      </c>
      <c r="F109" s="38" t="n"/>
      <c r="G109" s="89">
        <f>ROUND(SUMIFS($E$134:$E$193,$B$134:$B$193,$A109,$I$134:$I$193,"A comprar"),2)</f>
        <v/>
      </c>
      <c r="H109" s="90">
        <f>ROUND(SUMIFS($E$134:$E$193,$B$134:$B$193,$A109,$I$134:$I$193,"Comprado (a pagar)"),2)</f>
        <v/>
      </c>
      <c r="I109" s="38" t="n"/>
      <c r="J109" s="38" t="n"/>
      <c r="K109" s="38" t="n"/>
      <c r="L109" s="38" t="n"/>
      <c r="M109" s="38" t="n"/>
      <c r="N109" s="38" t="n"/>
      <c r="O109" s="38" t="n"/>
    </row>
    <row r="110" ht="17" customHeight="1">
      <c r="A110" s="36" t="inlineStr">
        <is>
          <t>Carreto e entrega</t>
        </is>
      </c>
      <c r="B110" s="37" t="n"/>
      <c r="C110" s="71" t="n">
        <v>900</v>
      </c>
      <c r="D110" s="56">
        <f>ROUND(SUMIFS($E$134:$E$193,$B$134:$B$193,$A110,$I$134:$I$193,"Comprado (a pagar)")+SUMIFS($E$134:$E$193,$B$134:$B$193,$A110,$I$134:$I$193,"Pago"),2)</f>
        <v/>
      </c>
      <c r="E110" s="56">
        <f>IF($C110="","",ROUND($D110-$C110,2))</f>
        <v/>
      </c>
      <c r="F110" s="38" t="n"/>
      <c r="G110" s="89">
        <f>ROUND(SUMIFS($E$134:$E$193,$B$134:$B$193,$A110,$I$134:$I$193,"A comprar"),2)</f>
        <v/>
      </c>
      <c r="H110" s="90">
        <f>ROUND(SUMIFS($E$134:$E$193,$B$134:$B$193,$A110,$I$134:$I$193,"Comprado (a pagar)"),2)</f>
        <v/>
      </c>
      <c r="I110" s="38" t="n"/>
      <c r="J110" s="38" t="n"/>
      <c r="K110" s="38" t="n"/>
      <c r="L110" s="38" t="n"/>
      <c r="M110" s="38" t="n"/>
      <c r="N110" s="38" t="n"/>
      <c r="O110" s="38" t="n"/>
    </row>
    <row r="111" ht="17" customHeight="1">
      <c r="A111" s="36" t="inlineStr">
        <is>
          <t>Deslocamento da equipe</t>
        </is>
      </c>
      <c r="B111" s="37" t="n"/>
      <c r="C111" s="71" t="n">
        <v>400</v>
      </c>
      <c r="D111" s="56">
        <f>ROUND(SUMIFS($E$134:$E$193,$B$134:$B$193,$A111,$I$134:$I$193,"Comprado (a pagar)")+SUMIFS($E$134:$E$193,$B$134:$B$193,$A111,$I$134:$I$193,"Pago"),2)</f>
        <v/>
      </c>
      <c r="E111" s="56">
        <f>IF($C111="","",ROUND($D111-$C111,2))</f>
        <v/>
      </c>
      <c r="F111" s="38" t="n"/>
      <c r="G111" s="89">
        <f>ROUND(SUMIFS($E$134:$E$193,$B$134:$B$193,$A111,$I$134:$I$193,"A comprar"),2)</f>
        <v/>
      </c>
      <c r="H111" s="90">
        <f>ROUND(SUMIFS($E$134:$E$193,$B$134:$B$193,$A111,$I$134:$I$193,"Comprado (a pagar)"),2)</f>
        <v/>
      </c>
      <c r="I111" s="38" t="n"/>
      <c r="J111" s="38" t="n"/>
      <c r="K111" s="38" t="n"/>
      <c r="L111" s="38" t="n"/>
      <c r="M111" s="38" t="n"/>
      <c r="N111" s="38" t="n"/>
      <c r="O111" s="38" t="n"/>
    </row>
    <row r="112" ht="17" customHeight="1">
      <c r="A112" s="36" t="inlineStr">
        <is>
          <t>Frete de material</t>
        </is>
      </c>
      <c r="B112" s="37" t="n"/>
      <c r="C112" s="71" t="n">
        <v>350</v>
      </c>
      <c r="D112" s="56">
        <f>ROUND(SUMIFS($E$134:$E$193,$B$134:$B$193,$A112,$I$134:$I$193,"Comprado (a pagar)")+SUMIFS($E$134:$E$193,$B$134:$B$193,$A112,$I$134:$I$193,"Pago"),2)</f>
        <v/>
      </c>
      <c r="E112" s="56">
        <f>IF($C112="","",ROUND($D112-$C112,2))</f>
        <v/>
      </c>
      <c r="F112" s="38" t="n"/>
      <c r="G112" s="89">
        <f>ROUND(SUMIFS($E$134:$E$193,$B$134:$B$193,$A112,$I$134:$I$193,"A comprar"),2)</f>
        <v/>
      </c>
      <c r="H112" s="90">
        <f>ROUND(SUMIFS($E$134:$E$193,$B$134:$B$193,$A112,$I$134:$I$193,"Comprado (a pagar)"),2)</f>
        <v/>
      </c>
      <c r="I112" s="38" t="n"/>
      <c r="J112" s="38" t="n"/>
      <c r="K112" s="38" t="n"/>
      <c r="L112" s="38" t="n"/>
      <c r="M112" s="38" t="n"/>
      <c r="N112" s="38" t="n"/>
      <c r="O112" s="38" t="n"/>
    </row>
    <row r="113" ht="17" customHeight="1">
      <c r="A113" s="36" t="inlineStr">
        <is>
          <t>Estacionamento e pedágio</t>
        </is>
      </c>
      <c r="B113" s="37" t="n"/>
      <c r="C113" s="71" t="n">
        <v>100</v>
      </c>
      <c r="D113" s="56">
        <f>ROUND(SUMIFS($E$134:$E$193,$B$134:$B$193,$A113,$I$134:$I$193,"Comprado (a pagar)")+SUMIFS($E$134:$E$193,$B$134:$B$193,$A113,$I$134:$I$193,"Pago"),2)</f>
        <v/>
      </c>
      <c r="E113" s="56">
        <f>IF($C113="","",ROUND($D113-$C113,2))</f>
        <v/>
      </c>
      <c r="F113" s="38" t="n"/>
      <c r="G113" s="89">
        <f>ROUND(SUMIFS($E$134:$E$193,$B$134:$B$193,$A113,$I$134:$I$193,"A comprar"),2)</f>
        <v/>
      </c>
      <c r="H113" s="90">
        <f>ROUND(SUMIFS($E$134:$E$193,$B$134:$B$193,$A113,$I$134:$I$193,"Comprado (a pagar)"),2)</f>
        <v/>
      </c>
      <c r="I113" s="38" t="n"/>
      <c r="J113" s="38" t="n"/>
      <c r="K113" s="38" t="n"/>
      <c r="L113" s="38" t="n"/>
      <c r="M113" s="38" t="n"/>
      <c r="N113" s="38" t="n"/>
      <c r="O113" s="38" t="n"/>
    </row>
    <row r="114" ht="20" customHeight="1">
      <c r="A114" s="31" t="inlineStr">
        <is>
          <t>(=) SUBTOTAL · LOGÍSTICA</t>
        </is>
      </c>
      <c r="B114" s="32" t="n"/>
      <c r="C114" s="60">
        <f>ROUND(SUM(C109:C113),2)</f>
        <v/>
      </c>
      <c r="D114" s="60">
        <f>ROUND(SUM(D109:D113),2)</f>
        <v/>
      </c>
      <c r="E114" s="60">
        <f>ROUND(SUM(E109:E113),2)</f>
        <v/>
      </c>
      <c r="F114" s="32" t="n"/>
      <c r="G114" s="60">
        <f>ROUND(SUM(G109:G113),2)</f>
        <v/>
      </c>
      <c r="H114" s="60">
        <f>ROUND(SUM(H109:H113),2)</f>
        <v/>
      </c>
      <c r="I114" s="32" t="n"/>
      <c r="J114" s="32" t="n"/>
      <c r="K114" s="32" t="n"/>
      <c r="L114" s="32" t="n"/>
      <c r="M114" s="32" t="n"/>
      <c r="N114" s="32" t="n"/>
      <c r="O114" s="32" t="n"/>
    </row>
    <row r="115" ht="8" customHeight="1"/>
    <row r="116" ht="20" customHeight="1">
      <c r="A116" s="8" t="inlineStr">
        <is>
          <t xml:space="preserve">  7 · RETRABALHO          o que aconteceu, por que aconteceu e quanto custou — é aqui que o orçamento aprende</t>
        </is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</row>
    <row r="117" ht="26" customHeight="1">
      <c r="A117" s="19" t="inlineStr">
        <is>
          <t>O que aconteceu</t>
        </is>
      </c>
      <c r="B117" s="19" t="inlineStr">
        <is>
          <t>Causa</t>
        </is>
      </c>
      <c r="C117" s="35" t="n"/>
      <c r="D117" s="35" t="n"/>
      <c r="E117" s="19" t="inlineStr">
        <is>
          <t>Custo estimado (R$)</t>
        </is>
      </c>
      <c r="F117" s="35" t="n"/>
      <c r="G117" s="19" t="inlineStr">
        <is>
          <t>Providência / responsável</t>
        </is>
      </c>
      <c r="H117" s="35" t="n"/>
      <c r="I117" s="35" t="n"/>
      <c r="J117" s="35" t="n"/>
      <c r="K117" s="35" t="n"/>
      <c r="L117" s="35" t="n"/>
      <c r="M117" s="35" t="n"/>
      <c r="N117" s="35" t="n"/>
      <c r="O117" s="35" t="n"/>
    </row>
    <row r="118" ht="18" customHeight="1">
      <c r="A118" s="83" t="inlineStr">
        <is>
          <t>Porta da cozinha empenou depois de instalada</t>
        </is>
      </c>
      <c r="B118" s="83" t="inlineStr">
        <is>
          <t>Falha de material</t>
        </is>
      </c>
      <c r="C118" s="46" t="n"/>
      <c r="D118" s="46" t="n"/>
      <c r="E118" s="91" t="n">
        <v>850</v>
      </c>
      <c r="F118" s="46" t="n"/>
      <c r="G118" s="73" t="inlineStr">
        <is>
          <t>Refeita em MDF de outro lote · fornecedor notificado</t>
        </is>
      </c>
      <c r="H118" s="46" t="n"/>
      <c r="I118" s="46" t="n"/>
      <c r="J118" s="46" t="n"/>
      <c r="K118" s="46" t="n"/>
      <c r="L118" s="46" t="n"/>
      <c r="M118" s="46" t="n"/>
      <c r="N118" s="46" t="n"/>
      <c r="O118" s="46" t="n"/>
    </row>
    <row r="119" ht="18" customHeight="1">
      <c r="A119" s="83" t="inlineStr">
        <is>
          <t>Nicho da suíte 4 cm fora da medida</t>
        </is>
      </c>
      <c r="B119" s="83" t="inlineStr">
        <is>
          <t>Erro de medição</t>
        </is>
      </c>
      <c r="C119" s="46" t="n"/>
      <c r="D119" s="46" t="n"/>
      <c r="E119" s="91" t="n">
        <v>1200</v>
      </c>
      <c r="F119" s="46" t="n"/>
      <c r="G119" s="73" t="inlineStr">
        <is>
          <t>Refeito · medição passa a ser conferida por 2 pessoas</t>
        </is>
      </c>
      <c r="H119" s="46" t="n"/>
      <c r="I119" s="46" t="n"/>
      <c r="J119" s="46" t="n"/>
      <c r="K119" s="46" t="n"/>
      <c r="L119" s="46" t="n"/>
      <c r="M119" s="46" t="n"/>
      <c r="N119" s="46" t="n"/>
      <c r="O119" s="46" t="n"/>
    </row>
    <row r="120" ht="18" customHeight="1">
      <c r="A120" s="83" t="inlineStr">
        <is>
          <t>Risco no tampo da lavanderia no transporte</t>
        </is>
      </c>
      <c r="B120" s="83" t="inlineStr">
        <is>
          <t>Dano no transporte</t>
        </is>
      </c>
      <c r="C120" s="46" t="n"/>
      <c r="D120" s="46" t="n"/>
      <c r="E120" s="91" t="n">
        <v>320</v>
      </c>
      <c r="F120" s="46" t="n"/>
      <c r="G120" s="73" t="inlineStr">
        <is>
          <t>Polido no local · exigir manta no carreto</t>
        </is>
      </c>
      <c r="H120" s="46" t="n"/>
      <c r="I120" s="46" t="n"/>
      <c r="J120" s="46" t="n"/>
      <c r="K120" s="46" t="n"/>
      <c r="L120" s="46" t="n"/>
      <c r="M120" s="46" t="n"/>
      <c r="N120" s="46" t="n"/>
      <c r="O120" s="46" t="n"/>
    </row>
    <row r="121" ht="18" customHeight="1">
      <c r="A121" s="83" t="n"/>
      <c r="B121" s="83" t="n"/>
      <c r="C121" s="46" t="n"/>
      <c r="D121" s="46" t="n"/>
      <c r="E121" s="91" t="n"/>
      <c r="F121" s="46" t="n"/>
      <c r="G121" s="73" t="n"/>
      <c r="H121" s="46" t="n"/>
      <c r="I121" s="46" t="n"/>
      <c r="J121" s="46" t="n"/>
      <c r="K121" s="46" t="n"/>
      <c r="L121" s="46" t="n"/>
      <c r="M121" s="46" t="n"/>
      <c r="N121" s="46" t="n"/>
      <c r="O121" s="46" t="n"/>
    </row>
    <row r="122" ht="18" customHeight="1">
      <c r="A122" s="83" t="n"/>
      <c r="B122" s="83" t="n"/>
      <c r="C122" s="46" t="n"/>
      <c r="D122" s="46" t="n"/>
      <c r="E122" s="91" t="n"/>
      <c r="F122" s="46" t="n"/>
      <c r="G122" s="73" t="n"/>
      <c r="H122" s="46" t="n"/>
      <c r="I122" s="46" t="n"/>
      <c r="J122" s="46" t="n"/>
      <c r="K122" s="46" t="n"/>
      <c r="L122" s="46" t="n"/>
      <c r="M122" s="46" t="n"/>
      <c r="N122" s="46" t="n"/>
      <c r="O122" s="46" t="n"/>
    </row>
    <row r="123" ht="18" customHeight="1">
      <c r="A123" s="83" t="n"/>
      <c r="B123" s="83" t="n"/>
      <c r="C123" s="46" t="n"/>
      <c r="D123" s="46" t="n"/>
      <c r="E123" s="91" t="n"/>
      <c r="F123" s="46" t="n"/>
      <c r="G123" s="73" t="n"/>
      <c r="H123" s="46" t="n"/>
      <c r="I123" s="46" t="n"/>
      <c r="J123" s="46" t="n"/>
      <c r="K123" s="46" t="n"/>
      <c r="L123" s="46" t="n"/>
      <c r="M123" s="46" t="n"/>
      <c r="N123" s="46" t="n"/>
      <c r="O123" s="46" t="n"/>
    </row>
    <row r="124" ht="18" customHeight="1">
      <c r="A124" s="83" t="n"/>
      <c r="B124" s="83" t="n"/>
      <c r="C124" s="46" t="n"/>
      <c r="D124" s="46" t="n"/>
      <c r="E124" s="91" t="n"/>
      <c r="F124" s="46" t="n"/>
      <c r="G124" s="73" t="n"/>
      <c r="H124" s="46" t="n"/>
      <c r="I124" s="46" t="n"/>
      <c r="J124" s="46" t="n"/>
      <c r="K124" s="46" t="n"/>
      <c r="L124" s="46" t="n"/>
      <c r="M124" s="46" t="n"/>
      <c r="N124" s="46" t="n"/>
      <c r="O124" s="46" t="n"/>
    </row>
    <row r="125" ht="18" customHeight="1">
      <c r="A125" s="83" t="n"/>
      <c r="B125" s="83" t="n"/>
      <c r="C125" s="46" t="n"/>
      <c r="D125" s="46" t="n"/>
      <c r="E125" s="91" t="n"/>
      <c r="F125" s="46" t="n"/>
      <c r="G125" s="73" t="n"/>
      <c r="H125" s="46" t="n"/>
      <c r="I125" s="46" t="n"/>
      <c r="J125" s="46" t="n"/>
      <c r="K125" s="46" t="n"/>
      <c r="L125" s="46" t="n"/>
      <c r="M125" s="46" t="n"/>
      <c r="N125" s="46" t="n"/>
      <c r="O125" s="46" t="n"/>
    </row>
    <row r="126" ht="18" customHeight="1">
      <c r="A126" s="83" t="n"/>
      <c r="B126" s="83" t="n"/>
      <c r="C126" s="46" t="n"/>
      <c r="D126" s="46" t="n"/>
      <c r="E126" s="91" t="n"/>
      <c r="F126" s="46" t="n"/>
      <c r="G126" s="73" t="n"/>
      <c r="H126" s="46" t="n"/>
      <c r="I126" s="46" t="n"/>
      <c r="J126" s="46" t="n"/>
      <c r="K126" s="46" t="n"/>
      <c r="L126" s="46" t="n"/>
      <c r="M126" s="46" t="n"/>
      <c r="N126" s="46" t="n"/>
      <c r="O126" s="46" t="n"/>
    </row>
    <row r="127" ht="18" customHeight="1">
      <c r="A127" s="83" t="n"/>
      <c r="B127" s="83" t="n"/>
      <c r="C127" s="46" t="n"/>
      <c r="D127" s="46" t="n"/>
      <c r="E127" s="91" t="n"/>
      <c r="F127" s="46" t="n"/>
      <c r="G127" s="73" t="n"/>
      <c r="H127" s="46" t="n"/>
      <c r="I127" s="46" t="n"/>
      <c r="J127" s="46" t="n"/>
      <c r="K127" s="46" t="n"/>
      <c r="L127" s="46" t="n"/>
      <c r="M127" s="46" t="n"/>
      <c r="N127" s="46" t="n"/>
      <c r="O127" s="46" t="n"/>
    </row>
    <row r="128" ht="18" customHeight="1">
      <c r="A128" s="83" t="n"/>
      <c r="B128" s="83" t="n"/>
      <c r="C128" s="46" t="n"/>
      <c r="D128" s="46" t="n"/>
      <c r="E128" s="91" t="n"/>
      <c r="F128" s="46" t="n"/>
      <c r="G128" s="73" t="n"/>
      <c r="H128" s="46" t="n"/>
      <c r="I128" s="46" t="n"/>
      <c r="J128" s="46" t="n"/>
      <c r="K128" s="46" t="n"/>
      <c r="L128" s="46" t="n"/>
      <c r="M128" s="46" t="n"/>
      <c r="N128" s="46" t="n"/>
      <c r="O128" s="46" t="n"/>
    </row>
    <row r="129" ht="18" customHeight="1">
      <c r="A129" s="83" t="n"/>
      <c r="B129" s="83" t="n"/>
      <c r="C129" s="46" t="n"/>
      <c r="D129" s="46" t="n"/>
      <c r="E129" s="91" t="n"/>
      <c r="F129" s="46" t="n"/>
      <c r="G129" s="73" t="n"/>
      <c r="H129" s="46" t="n"/>
      <c r="I129" s="46" t="n"/>
      <c r="J129" s="46" t="n"/>
      <c r="K129" s="46" t="n"/>
      <c r="L129" s="46" t="n"/>
      <c r="M129" s="46" t="n"/>
      <c r="N129" s="46" t="n"/>
      <c r="O129" s="46" t="n"/>
    </row>
    <row r="130" ht="20" customHeight="1">
      <c r="A130" s="31" t="inlineStr">
        <is>
          <t>CONTINGÊNCIA PREVISTA NO ORÇAMENTO  →</t>
        </is>
      </c>
      <c r="B130" s="32" t="n"/>
      <c r="C130" s="92" t="n">
        <v>1500</v>
      </c>
      <c r="D130" s="60">
        <f>ROUND(SUM($E$118:$E$129),2)</f>
        <v/>
      </c>
      <c r="E130" s="60">
        <f>ROUND($D$130-IF($C$130="",0,$C$130),2)</f>
        <v/>
      </c>
      <c r="F130" s="32" t="n"/>
      <c r="G130" s="62">
        <f>IF(OR($A$13="",$A$13=0),"",$D$130/$A$13)</f>
        <v/>
      </c>
      <c r="H130" s="93" t="inlineStr">
        <is>
          <t>orçado = a contingência prevista · realizado = a soma acima</t>
        </is>
      </c>
      <c r="I130" s="32" t="n"/>
      <c r="J130" s="32" t="n"/>
      <c r="K130" s="32" t="n"/>
      <c r="L130" s="32" t="n"/>
      <c r="M130" s="32" t="n"/>
      <c r="N130" s="32" t="n"/>
      <c r="O130" s="32" t="n"/>
    </row>
    <row r="131" ht="8" customHeight="1"/>
    <row r="132" ht="20" customHeight="1">
      <c r="A132" s="8" t="inlineStr">
        <is>
          <t xml:space="preserve">  8 · LIVRO DE COMPRAS E DESPESAS DO PROJETO          uma linha por compra, na ordem em que acontecer · pode inserir linhas à vontade aqui</t>
        </is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</row>
    <row r="133" ht="28" customHeight="1">
      <c r="A133" s="19" t="inlineStr">
        <is>
          <t>Descrição / fornecedor</t>
        </is>
      </c>
      <c r="B133" s="19" t="inlineStr">
        <is>
          <t>Categoria</t>
        </is>
      </c>
      <c r="C133" s="35" t="n"/>
      <c r="D133" s="19" t="inlineStr">
        <is>
          <t>Data</t>
        </is>
      </c>
      <c r="E133" s="19" t="inlineStr">
        <is>
          <t>Valor (R$)</t>
        </is>
      </c>
      <c r="F133" s="35" t="n"/>
      <c r="G133" s="19" t="inlineStr">
        <is>
          <t>Forma de pagamento</t>
        </is>
      </c>
      <c r="H133" s="35" t="n"/>
      <c r="I133" s="19" t="inlineStr">
        <is>
          <t>Status</t>
        </is>
      </c>
      <c r="J133" s="35" t="n"/>
      <c r="K133" s="35" t="n"/>
      <c r="L133" s="35" t="n"/>
      <c r="M133" s="35" t="n"/>
      <c r="N133" s="35" t="n"/>
      <c r="O133" s="35" t="n"/>
    </row>
    <row r="134" ht="17" customHeight="1">
      <c r="A134" s="83" t="inlineStr">
        <is>
          <t>MADEGEM — chapas brancas TX</t>
        </is>
      </c>
      <c r="B134" s="94" t="inlineStr">
        <is>
          <t>MDF e MDP</t>
        </is>
      </c>
      <c r="C134" s="46" t="n"/>
      <c r="D134" s="75" t="n">
        <v>46154</v>
      </c>
      <c r="E134" s="95" t="n">
        <v>8200</v>
      </c>
      <c r="F134" s="46" t="n"/>
      <c r="G134" s="96" t="inlineStr">
        <is>
          <t>PIX</t>
        </is>
      </c>
      <c r="H134" s="46" t="n"/>
      <c r="I134" s="97" t="inlineStr">
        <is>
          <t>Pago</t>
        </is>
      </c>
      <c r="J134" s="46" t="n"/>
      <c r="K134" s="46" t="n"/>
      <c r="L134" s="46" t="n"/>
      <c r="M134" s="46" t="n"/>
      <c r="N134" s="46" t="n"/>
      <c r="O134" s="46" t="n"/>
    </row>
    <row r="135" ht="17" customHeight="1">
      <c r="A135" s="83" t="inlineStr">
        <is>
          <t>Frete das chapas</t>
        </is>
      </c>
      <c r="B135" s="94" t="inlineStr">
        <is>
          <t>Frete de material</t>
        </is>
      </c>
      <c r="C135" s="46" t="n"/>
      <c r="D135" s="75" t="n">
        <v>46154</v>
      </c>
      <c r="E135" s="95" t="n">
        <v>350</v>
      </c>
      <c r="F135" s="46" t="n"/>
      <c r="G135" s="96" t="inlineStr">
        <is>
          <t>Dinheiro</t>
        </is>
      </c>
      <c r="H135" s="46" t="n"/>
      <c r="I135" s="97" t="inlineStr">
        <is>
          <t>Pago</t>
        </is>
      </c>
      <c r="J135" s="46" t="n"/>
      <c r="K135" s="46" t="n"/>
      <c r="L135" s="46" t="n"/>
      <c r="M135" s="46" t="n"/>
      <c r="N135" s="46" t="n"/>
      <c r="O135" s="46" t="n"/>
    </row>
    <row r="136" ht="17" customHeight="1">
      <c r="A136" s="83" t="inlineStr">
        <is>
          <t>Consumíveis — parafuso e cola</t>
        </is>
      </c>
      <c r="B136" s="94" t="inlineStr">
        <is>
          <t>Consumíveis</t>
        </is>
      </c>
      <c r="C136" s="46" t="n"/>
      <c r="D136" s="75" t="n">
        <v>46157</v>
      </c>
      <c r="E136" s="95" t="n">
        <v>640</v>
      </c>
      <c r="F136" s="46" t="n"/>
      <c r="G136" s="96" t="inlineStr">
        <is>
          <t>Dinheiro</t>
        </is>
      </c>
      <c r="H136" s="46" t="n"/>
      <c r="I136" s="97" t="inlineStr">
        <is>
          <t>Pago</t>
        </is>
      </c>
      <c r="J136" s="46" t="n"/>
      <c r="K136" s="46" t="n"/>
      <c r="L136" s="46" t="n"/>
      <c r="M136" s="46" t="n"/>
      <c r="N136" s="46" t="n"/>
      <c r="O136" s="46" t="n"/>
    </row>
    <row r="137" ht="17" customHeight="1">
      <c r="A137" s="83" t="inlineStr">
        <is>
          <t>Lâmina natural freijó</t>
        </is>
      </c>
      <c r="B137" s="94" t="inlineStr">
        <is>
          <t>Lâmina natural</t>
        </is>
      </c>
      <c r="C137" s="46" t="n"/>
      <c r="D137" s="75" t="n">
        <v>46161</v>
      </c>
      <c r="E137" s="95" t="n">
        <v>3200</v>
      </c>
      <c r="F137" s="46" t="n"/>
      <c r="G137" s="96" t="inlineStr">
        <is>
          <t>PIX</t>
        </is>
      </c>
      <c r="H137" s="46" t="n"/>
      <c r="I137" s="97" t="inlineStr">
        <is>
          <t>Pago</t>
        </is>
      </c>
      <c r="J137" s="46" t="n"/>
      <c r="K137" s="46" t="n"/>
      <c r="L137" s="46" t="n"/>
      <c r="M137" s="46" t="n"/>
      <c r="N137" s="46" t="n"/>
      <c r="O137" s="46" t="n"/>
    </row>
    <row r="138" ht="17" customHeight="1">
      <c r="A138" s="83" t="inlineStr">
        <is>
          <t>Bigfer — corrediças e dobradiças</t>
        </is>
      </c>
      <c r="B138" s="94" t="inlineStr">
        <is>
          <t>Ferragens</t>
        </is>
      </c>
      <c r="C138" s="46" t="n"/>
      <c r="D138" s="75" t="n">
        <v>46162</v>
      </c>
      <c r="E138" s="95" t="n">
        <v>4300</v>
      </c>
      <c r="F138" s="46" t="n"/>
      <c r="G138" s="96" t="inlineStr">
        <is>
          <t>Cartão parcelado</t>
        </is>
      </c>
      <c r="H138" s="46" t="n"/>
      <c r="I138" s="97" t="inlineStr">
        <is>
          <t>Pago</t>
        </is>
      </c>
      <c r="J138" s="46" t="n"/>
      <c r="K138" s="46" t="n"/>
      <c r="L138" s="46" t="n"/>
      <c r="M138" s="46" t="n"/>
      <c r="N138" s="46" t="n"/>
      <c r="O138" s="46" t="n"/>
    </row>
    <row r="139" ht="17" customHeight="1">
      <c r="A139" s="83" t="inlineStr">
        <is>
          <t>Uber — medição e conferência</t>
        </is>
      </c>
      <c r="B139" s="94" t="inlineStr">
        <is>
          <t>Uber e aplicativo</t>
        </is>
      </c>
      <c r="C139" s="46" t="n"/>
      <c r="D139" s="75" t="n">
        <v>46164</v>
      </c>
      <c r="E139" s="95" t="n">
        <v>230</v>
      </c>
      <c r="F139" s="46" t="n"/>
      <c r="G139" s="96" t="inlineStr">
        <is>
          <t>PIX</t>
        </is>
      </c>
      <c r="H139" s="46" t="n"/>
      <c r="I139" s="97" t="inlineStr">
        <is>
          <t>Pago</t>
        </is>
      </c>
      <c r="J139" s="46" t="n"/>
      <c r="K139" s="46" t="n"/>
      <c r="L139" s="46" t="n"/>
      <c r="M139" s="46" t="n"/>
      <c r="N139" s="46" t="n"/>
      <c r="O139" s="46" t="n"/>
    </row>
    <row r="140" ht="17" customHeight="1">
      <c r="A140" s="83" t="inlineStr">
        <is>
          <t>MADEGEM — complemento de chapas</t>
        </is>
      </c>
      <c r="B140" s="94" t="inlineStr">
        <is>
          <t>MDF e MDP</t>
        </is>
      </c>
      <c r="C140" s="46" t="n"/>
      <c r="D140" s="75" t="n">
        <v>46170</v>
      </c>
      <c r="E140" s="95" t="n">
        <v>5180</v>
      </c>
      <c r="F140" s="46" t="n"/>
      <c r="G140" s="96" t="inlineStr">
        <is>
          <t>Boleto</t>
        </is>
      </c>
      <c r="H140" s="46" t="n"/>
      <c r="I140" s="97" t="inlineStr">
        <is>
          <t>Pago</t>
        </is>
      </c>
      <c r="J140" s="46" t="n"/>
      <c r="K140" s="46" t="n"/>
      <c r="L140" s="46" t="n"/>
      <c r="M140" s="46" t="n"/>
      <c r="N140" s="46" t="n"/>
      <c r="O140" s="46" t="n"/>
    </row>
    <row r="141" ht="17" customHeight="1">
      <c r="A141" s="83" t="inlineStr">
        <is>
          <t>Fita de borda 6 cores</t>
        </is>
      </c>
      <c r="B141" s="94" t="inlineStr">
        <is>
          <t>Fita de borda</t>
        </is>
      </c>
      <c r="C141" s="46" t="n"/>
      <c r="D141" s="75" t="n">
        <v>46170</v>
      </c>
      <c r="E141" s="95" t="n">
        <v>1120</v>
      </c>
      <c r="F141" s="46" t="n"/>
      <c r="G141" s="96" t="inlineStr">
        <is>
          <t>PIX</t>
        </is>
      </c>
      <c r="H141" s="46" t="n"/>
      <c r="I141" s="97" t="inlineStr">
        <is>
          <t>Pago</t>
        </is>
      </c>
      <c r="J141" s="46" t="n"/>
      <c r="K141" s="46" t="n"/>
      <c r="L141" s="46" t="n"/>
      <c r="M141" s="46" t="n"/>
      <c r="N141" s="46" t="n"/>
      <c r="O141" s="46" t="n"/>
    </row>
    <row r="142" ht="17" customHeight="1">
      <c r="A142" s="83" t="inlineStr">
        <is>
          <t>Consumíveis — lixa e tíner</t>
        </is>
      </c>
      <c r="B142" s="94" t="inlineStr">
        <is>
          <t>Consumíveis</t>
        </is>
      </c>
      <c r="C142" s="46" t="n"/>
      <c r="D142" s="75" t="n">
        <v>46176</v>
      </c>
      <c r="E142" s="95" t="n">
        <v>465</v>
      </c>
      <c r="F142" s="46" t="n"/>
      <c r="G142" s="96" t="inlineStr">
        <is>
          <t>PIX</t>
        </is>
      </c>
      <c r="H142" s="46" t="n"/>
      <c r="I142" s="97" t="inlineStr">
        <is>
          <t>Pago</t>
        </is>
      </c>
      <c r="J142" s="46" t="n"/>
      <c r="K142" s="46" t="n"/>
      <c r="L142" s="46" t="n"/>
      <c r="M142" s="46" t="n"/>
      <c r="N142" s="46" t="n"/>
      <c r="O142" s="46" t="n"/>
    </row>
    <row r="143" ht="17" customHeight="1">
      <c r="A143" s="83" t="inlineStr">
        <is>
          <t>JR Ferragens — puxadores</t>
        </is>
      </c>
      <c r="B143" s="94" t="inlineStr">
        <is>
          <t>Ferragens</t>
        </is>
      </c>
      <c r="C143" s="46" t="n"/>
      <c r="D143" s="75" t="n">
        <v>46184</v>
      </c>
      <c r="E143" s="95" t="n">
        <v>3150</v>
      </c>
      <c r="F143" s="46" t="n"/>
      <c r="G143" s="96" t="inlineStr">
        <is>
          <t>PIX</t>
        </is>
      </c>
      <c r="H143" s="46" t="n"/>
      <c r="I143" s="97" t="inlineStr">
        <is>
          <t>Pago</t>
        </is>
      </c>
      <c r="J143" s="46" t="n"/>
      <c r="K143" s="46" t="n"/>
      <c r="L143" s="46" t="n"/>
      <c r="M143" s="46" t="n"/>
      <c r="N143" s="46" t="n"/>
      <c r="O143" s="46" t="n"/>
    </row>
    <row r="144" ht="17" customHeight="1">
      <c r="A144" s="83" t="inlineStr">
        <is>
          <t>MADEGEM — reposição pós-retrabalho</t>
        </is>
      </c>
      <c r="B144" s="94" t="inlineStr">
        <is>
          <t>MDF e MDP</t>
        </is>
      </c>
      <c r="C144" s="46" t="n"/>
      <c r="D144" s="75" t="n">
        <v>46187</v>
      </c>
      <c r="E144" s="95" t="n">
        <v>2600</v>
      </c>
      <c r="F144" s="46" t="n"/>
      <c r="G144" s="96" t="inlineStr">
        <is>
          <t>Boleto</t>
        </is>
      </c>
      <c r="H144" s="46" t="n"/>
      <c r="I144" s="97" t="inlineStr">
        <is>
          <t>Comprado (a pagar)</t>
        </is>
      </c>
      <c r="J144" s="46" t="n"/>
      <c r="K144" s="46" t="n"/>
      <c r="L144" s="46" t="n"/>
      <c r="M144" s="46" t="n"/>
      <c r="N144" s="46" t="n"/>
      <c r="O144" s="46" t="n"/>
    </row>
    <row r="145" ht="17" customHeight="1">
      <c r="A145" s="83" t="inlineStr">
        <is>
          <t>Consumíveis — estopa e adesivo</t>
        </is>
      </c>
      <c r="B145" s="94" t="inlineStr">
        <is>
          <t>Consumíveis</t>
        </is>
      </c>
      <c r="C145" s="46" t="n"/>
      <c r="D145" s="75" t="n">
        <v>46198</v>
      </c>
      <c r="E145" s="95" t="n">
        <v>360</v>
      </c>
      <c r="F145" s="46" t="n"/>
      <c r="G145" s="96" t="inlineStr">
        <is>
          <t>Dinheiro</t>
        </is>
      </c>
      <c r="H145" s="46" t="n"/>
      <c r="I145" s="97" t="inlineStr">
        <is>
          <t>Pago</t>
        </is>
      </c>
      <c r="J145" s="46" t="n"/>
      <c r="K145" s="46" t="n"/>
      <c r="L145" s="46" t="n"/>
      <c r="M145" s="46" t="n"/>
      <c r="N145" s="46" t="n"/>
      <c r="O145" s="46" t="n"/>
    </row>
    <row r="146" ht="17" customHeight="1">
      <c r="A146" s="83" t="inlineStr">
        <is>
          <t>Serralheria — estrutura da bancada</t>
        </is>
      </c>
      <c r="B146" s="94" t="inlineStr">
        <is>
          <t>Serralheria</t>
        </is>
      </c>
      <c r="C146" s="46" t="n"/>
      <c r="D146" s="75" t="n">
        <v>46199</v>
      </c>
      <c r="E146" s="95" t="n">
        <v>1500</v>
      </c>
      <c r="F146" s="46" t="n"/>
      <c r="G146" s="96" t="inlineStr">
        <is>
          <t>PIX</t>
        </is>
      </c>
      <c r="H146" s="46" t="n"/>
      <c r="I146" s="97" t="inlineStr">
        <is>
          <t>Pago</t>
        </is>
      </c>
      <c r="J146" s="46" t="n"/>
      <c r="K146" s="46" t="n"/>
      <c r="L146" s="46" t="n"/>
      <c r="M146" s="46" t="n"/>
      <c r="N146" s="46" t="n"/>
      <c r="O146" s="46" t="n"/>
    </row>
    <row r="147" ht="17" customHeight="1">
      <c r="A147" s="83" t="inlineStr">
        <is>
          <t>Espelho da suíte</t>
        </is>
      </c>
      <c r="B147" s="94" t="inlineStr">
        <is>
          <t>Vidros e espelhos</t>
        </is>
      </c>
      <c r="C147" s="46" t="n"/>
      <c r="D147" s="75" t="n">
        <v>46205</v>
      </c>
      <c r="E147" s="95" t="n">
        <v>2200</v>
      </c>
      <c r="F147" s="46" t="n"/>
      <c r="G147" s="96" t="inlineStr">
        <is>
          <t>Boleto</t>
        </is>
      </c>
      <c r="H147" s="46" t="n"/>
      <c r="I147" s="97" t="inlineStr">
        <is>
          <t>Comprado (a pagar)</t>
        </is>
      </c>
      <c r="J147" s="46" t="n"/>
      <c r="K147" s="46" t="n"/>
      <c r="L147" s="46" t="n"/>
      <c r="M147" s="46" t="n"/>
      <c r="N147" s="46" t="n"/>
      <c r="O147" s="46" t="n"/>
    </row>
    <row r="148" ht="17" customHeight="1">
      <c r="A148" s="83" t="inlineStr">
        <is>
          <t>Vidraceiro — instalação</t>
        </is>
      </c>
      <c r="B148" s="94" t="inlineStr">
        <is>
          <t>Vidraceiro</t>
        </is>
      </c>
      <c r="C148" s="46" t="n"/>
      <c r="D148" s="75" t="n">
        <v>46207</v>
      </c>
      <c r="E148" s="95" t="n">
        <v>1250</v>
      </c>
      <c r="F148" s="46" t="n"/>
      <c r="G148" s="96" t="inlineStr">
        <is>
          <t>PIX</t>
        </is>
      </c>
      <c r="H148" s="46" t="n"/>
      <c r="I148" s="97" t="inlineStr">
        <is>
          <t>Pago</t>
        </is>
      </c>
      <c r="J148" s="46" t="n"/>
      <c r="K148" s="46" t="n"/>
      <c r="L148" s="46" t="n"/>
      <c r="M148" s="46" t="n"/>
      <c r="N148" s="46" t="n"/>
      <c r="O148" s="46" t="n"/>
    </row>
    <row r="149" ht="17" customHeight="1">
      <c r="A149" s="83" t="inlineStr">
        <is>
          <t>Laqueação das portas</t>
        </is>
      </c>
      <c r="B149" s="94" t="inlineStr">
        <is>
          <t>Acabamento</t>
        </is>
      </c>
      <c r="C149" s="46" t="n"/>
      <c r="D149" s="75" t="n">
        <v>46213</v>
      </c>
      <c r="E149" s="95" t="n">
        <v>5400</v>
      </c>
      <c r="F149" s="46" t="n"/>
      <c r="G149" s="96" t="inlineStr">
        <is>
          <t>Faturado 30 dias</t>
        </is>
      </c>
      <c r="H149" s="46" t="n"/>
      <c r="I149" s="97" t="inlineStr">
        <is>
          <t>Comprado (a pagar)</t>
        </is>
      </c>
      <c r="J149" s="46" t="n"/>
      <c r="K149" s="46" t="n"/>
      <c r="L149" s="46" t="n"/>
      <c r="M149" s="46" t="n"/>
      <c r="N149" s="46" t="n"/>
      <c r="O149" s="46" t="n"/>
    </row>
    <row r="150" ht="17" customHeight="1">
      <c r="A150" s="83" t="inlineStr">
        <is>
          <t>Carreto — 1ª entrega</t>
        </is>
      </c>
      <c r="B150" s="94" t="inlineStr">
        <is>
          <t>Carreto e entrega</t>
        </is>
      </c>
      <c r="C150" s="46" t="n"/>
      <c r="D150" s="75" t="n">
        <v>46231</v>
      </c>
      <c r="E150" s="95" t="n">
        <v>650</v>
      </c>
      <c r="F150" s="46" t="n"/>
      <c r="G150" s="96" t="inlineStr">
        <is>
          <t>PIX</t>
        </is>
      </c>
      <c r="H150" s="46" t="n"/>
      <c r="I150" s="97" t="inlineStr">
        <is>
          <t>Pago</t>
        </is>
      </c>
      <c r="J150" s="46" t="n"/>
      <c r="K150" s="46" t="n"/>
      <c r="L150" s="46" t="n"/>
      <c r="M150" s="46" t="n"/>
      <c r="N150" s="46" t="n"/>
      <c r="O150" s="46" t="n"/>
    </row>
    <row r="151" ht="17" customHeight="1">
      <c r="A151" s="83" t="inlineStr">
        <is>
          <t>Uber — acerto final com o cliente</t>
        </is>
      </c>
      <c r="B151" s="94" t="inlineStr">
        <is>
          <t>Uber e aplicativo</t>
        </is>
      </c>
      <c r="C151" s="46" t="n"/>
      <c r="D151" s="75" t="n">
        <v>46233</v>
      </c>
      <c r="E151" s="95" t="n">
        <v>180</v>
      </c>
      <c r="F151" s="46" t="n"/>
      <c r="G151" s="96" t="inlineStr">
        <is>
          <t>PIX</t>
        </is>
      </c>
      <c r="H151" s="46" t="n"/>
      <c r="I151" s="97" t="inlineStr">
        <is>
          <t>Pago</t>
        </is>
      </c>
      <c r="J151" s="46" t="n"/>
      <c r="K151" s="46" t="n"/>
      <c r="L151" s="46" t="n"/>
      <c r="M151" s="46" t="n"/>
      <c r="N151" s="46" t="n"/>
      <c r="O151" s="46" t="n"/>
    </row>
    <row r="152" ht="17" customHeight="1">
      <c r="A152" s="83" t="inlineStr">
        <is>
          <t>Carreto — 2ª entrega e retorno</t>
        </is>
      </c>
      <c r="B152" s="94" t="inlineStr">
        <is>
          <t>Carreto e entrega</t>
        </is>
      </c>
      <c r="C152" s="46" t="n"/>
      <c r="D152" s="75" t="n">
        <v>46239</v>
      </c>
      <c r="E152" s="95" t="n">
        <v>500</v>
      </c>
      <c r="F152" s="46" t="n"/>
      <c r="G152" s="96" t="inlineStr">
        <is>
          <t>PIX</t>
        </is>
      </c>
      <c r="H152" s="46" t="n"/>
      <c r="I152" s="97" t="inlineStr">
        <is>
          <t>Pago</t>
        </is>
      </c>
      <c r="J152" s="46" t="n"/>
      <c r="K152" s="46" t="n"/>
      <c r="L152" s="46" t="n"/>
      <c r="M152" s="46" t="n"/>
      <c r="N152" s="46" t="n"/>
      <c r="O152" s="46" t="n"/>
    </row>
    <row r="153" ht="17" customHeight="1">
      <c r="A153" s="83" t="inlineStr">
        <is>
          <t>Deslocamento da equipe de montagem</t>
        </is>
      </c>
      <c r="B153" s="94" t="inlineStr">
        <is>
          <t>Deslocamento da equipe</t>
        </is>
      </c>
      <c r="C153" s="46" t="n"/>
      <c r="D153" s="75" t="n">
        <v>46239</v>
      </c>
      <c r="E153" s="95" t="n">
        <v>620</v>
      </c>
      <c r="F153" s="46" t="n"/>
      <c r="G153" s="96" t="inlineStr">
        <is>
          <t>Dinheiro</t>
        </is>
      </c>
      <c r="H153" s="46" t="n"/>
      <c r="I153" s="97" t="inlineStr">
        <is>
          <t>Pago</t>
        </is>
      </c>
      <c r="J153" s="46" t="n"/>
      <c r="K153" s="46" t="n"/>
      <c r="L153" s="46" t="n"/>
      <c r="M153" s="46" t="n"/>
      <c r="N153" s="46" t="n"/>
      <c r="O153" s="46" t="n"/>
    </row>
    <row r="154" ht="17" customHeight="1">
      <c r="A154" s="83" t="inlineStr">
        <is>
          <t>Estacionamento e pedágio</t>
        </is>
      </c>
      <c r="B154" s="94" t="inlineStr">
        <is>
          <t>Estacionamento e pedágio</t>
        </is>
      </c>
      <c r="C154" s="46" t="n"/>
      <c r="D154" s="75" t="n">
        <v>46240</v>
      </c>
      <c r="E154" s="95" t="n">
        <v>185</v>
      </c>
      <c r="F154" s="46" t="n"/>
      <c r="G154" s="96" t="inlineStr">
        <is>
          <t>Dinheiro</t>
        </is>
      </c>
      <c r="H154" s="46" t="n"/>
      <c r="I154" s="97" t="inlineStr">
        <is>
          <t>Pago</t>
        </is>
      </c>
      <c r="J154" s="46" t="n"/>
      <c r="K154" s="46" t="n"/>
      <c r="L154" s="46" t="n"/>
      <c r="M154" s="46" t="n"/>
      <c r="N154" s="46" t="n"/>
      <c r="O154" s="46" t="n"/>
    </row>
    <row r="155" ht="17" customHeight="1">
      <c r="A155" s="83" t="n"/>
      <c r="B155" s="94" t="n"/>
      <c r="C155" s="46" t="n"/>
      <c r="D155" s="75" t="n"/>
      <c r="E155" s="95" t="n"/>
      <c r="F155" s="46" t="n"/>
      <c r="G155" s="96" t="n"/>
      <c r="H155" s="46" t="n"/>
      <c r="I155" s="97" t="n"/>
      <c r="J155" s="46" t="n"/>
      <c r="K155" s="46" t="n"/>
      <c r="L155" s="46" t="n"/>
      <c r="M155" s="46" t="n"/>
      <c r="N155" s="46" t="n"/>
      <c r="O155" s="46" t="n"/>
    </row>
    <row r="156" ht="17" customHeight="1">
      <c r="A156" s="83" t="n"/>
      <c r="B156" s="94" t="n"/>
      <c r="C156" s="46" t="n"/>
      <c r="D156" s="75" t="n"/>
      <c r="E156" s="95" t="n"/>
      <c r="F156" s="46" t="n"/>
      <c r="G156" s="96" t="n"/>
      <c r="H156" s="46" t="n"/>
      <c r="I156" s="97" t="n"/>
      <c r="J156" s="46" t="n"/>
      <c r="K156" s="46" t="n"/>
      <c r="L156" s="46" t="n"/>
      <c r="M156" s="46" t="n"/>
      <c r="N156" s="46" t="n"/>
      <c r="O156" s="46" t="n"/>
    </row>
    <row r="157" ht="17" customHeight="1">
      <c r="A157" s="83" t="n"/>
      <c r="B157" s="94" t="n"/>
      <c r="C157" s="46" t="n"/>
      <c r="D157" s="75" t="n"/>
      <c r="E157" s="95" t="n"/>
      <c r="F157" s="46" t="n"/>
      <c r="G157" s="96" t="n"/>
      <c r="H157" s="46" t="n"/>
      <c r="I157" s="97" t="n"/>
      <c r="J157" s="46" t="n"/>
      <c r="K157" s="46" t="n"/>
      <c r="L157" s="46" t="n"/>
      <c r="M157" s="46" t="n"/>
      <c r="N157" s="46" t="n"/>
      <c r="O157" s="46" t="n"/>
    </row>
    <row r="158" ht="17" customHeight="1">
      <c r="A158" s="83" t="n"/>
      <c r="B158" s="94" t="n"/>
      <c r="C158" s="46" t="n"/>
      <c r="D158" s="75" t="n"/>
      <c r="E158" s="95" t="n"/>
      <c r="F158" s="46" t="n"/>
      <c r="G158" s="96" t="n"/>
      <c r="H158" s="46" t="n"/>
      <c r="I158" s="97" t="n"/>
      <c r="J158" s="46" t="n"/>
      <c r="K158" s="46" t="n"/>
      <c r="L158" s="46" t="n"/>
      <c r="M158" s="46" t="n"/>
      <c r="N158" s="46" t="n"/>
      <c r="O158" s="46" t="n"/>
    </row>
    <row r="159" ht="17" customHeight="1">
      <c r="A159" s="83" t="n"/>
      <c r="B159" s="94" t="n"/>
      <c r="C159" s="46" t="n"/>
      <c r="D159" s="75" t="n"/>
      <c r="E159" s="95" t="n"/>
      <c r="F159" s="46" t="n"/>
      <c r="G159" s="96" t="n"/>
      <c r="H159" s="46" t="n"/>
      <c r="I159" s="97" t="n"/>
      <c r="J159" s="46" t="n"/>
      <c r="K159" s="46" t="n"/>
      <c r="L159" s="46" t="n"/>
      <c r="M159" s="46" t="n"/>
      <c r="N159" s="46" t="n"/>
      <c r="O159" s="46" t="n"/>
    </row>
    <row r="160" ht="17" customHeight="1">
      <c r="A160" s="83" t="n"/>
      <c r="B160" s="94" t="n"/>
      <c r="C160" s="46" t="n"/>
      <c r="D160" s="75" t="n"/>
      <c r="E160" s="95" t="n"/>
      <c r="F160" s="46" t="n"/>
      <c r="G160" s="96" t="n"/>
      <c r="H160" s="46" t="n"/>
      <c r="I160" s="97" t="n"/>
      <c r="J160" s="46" t="n"/>
      <c r="K160" s="46" t="n"/>
      <c r="L160" s="46" t="n"/>
      <c r="M160" s="46" t="n"/>
      <c r="N160" s="46" t="n"/>
      <c r="O160" s="46" t="n"/>
    </row>
    <row r="161" ht="17" customHeight="1">
      <c r="A161" s="83" t="n"/>
      <c r="B161" s="94" t="n"/>
      <c r="C161" s="46" t="n"/>
      <c r="D161" s="75" t="n"/>
      <c r="E161" s="95" t="n"/>
      <c r="F161" s="46" t="n"/>
      <c r="G161" s="96" t="n"/>
      <c r="H161" s="46" t="n"/>
      <c r="I161" s="97" t="n"/>
      <c r="J161" s="46" t="n"/>
      <c r="K161" s="46" t="n"/>
      <c r="L161" s="46" t="n"/>
      <c r="M161" s="46" t="n"/>
      <c r="N161" s="46" t="n"/>
      <c r="O161" s="46" t="n"/>
    </row>
    <row r="162" ht="17" customHeight="1">
      <c r="A162" s="83" t="n"/>
      <c r="B162" s="94" t="n"/>
      <c r="C162" s="46" t="n"/>
      <c r="D162" s="75" t="n"/>
      <c r="E162" s="95" t="n"/>
      <c r="F162" s="46" t="n"/>
      <c r="G162" s="96" t="n"/>
      <c r="H162" s="46" t="n"/>
      <c r="I162" s="97" t="n"/>
      <c r="J162" s="46" t="n"/>
      <c r="K162" s="46" t="n"/>
      <c r="L162" s="46" t="n"/>
      <c r="M162" s="46" t="n"/>
      <c r="N162" s="46" t="n"/>
      <c r="O162" s="46" t="n"/>
    </row>
    <row r="163" ht="17" customHeight="1">
      <c r="A163" s="83" t="n"/>
      <c r="B163" s="94" t="n"/>
      <c r="C163" s="46" t="n"/>
      <c r="D163" s="75" t="n"/>
      <c r="E163" s="95" t="n"/>
      <c r="F163" s="46" t="n"/>
      <c r="G163" s="96" t="n"/>
      <c r="H163" s="46" t="n"/>
      <c r="I163" s="97" t="n"/>
      <c r="J163" s="46" t="n"/>
      <c r="K163" s="46" t="n"/>
      <c r="L163" s="46" t="n"/>
      <c r="M163" s="46" t="n"/>
      <c r="N163" s="46" t="n"/>
      <c r="O163" s="46" t="n"/>
    </row>
    <row r="164" ht="17" customHeight="1">
      <c r="A164" s="83" t="n"/>
      <c r="B164" s="94" t="n"/>
      <c r="C164" s="46" t="n"/>
      <c r="D164" s="75" t="n"/>
      <c r="E164" s="95" t="n"/>
      <c r="F164" s="46" t="n"/>
      <c r="G164" s="96" t="n"/>
      <c r="H164" s="46" t="n"/>
      <c r="I164" s="97" t="n"/>
      <c r="J164" s="46" t="n"/>
      <c r="K164" s="46" t="n"/>
      <c r="L164" s="46" t="n"/>
      <c r="M164" s="46" t="n"/>
      <c r="N164" s="46" t="n"/>
      <c r="O164" s="46" t="n"/>
    </row>
    <row r="165" ht="17" customHeight="1">
      <c r="A165" s="83" t="n"/>
      <c r="B165" s="94" t="n"/>
      <c r="C165" s="46" t="n"/>
      <c r="D165" s="75" t="n"/>
      <c r="E165" s="95" t="n"/>
      <c r="F165" s="46" t="n"/>
      <c r="G165" s="96" t="n"/>
      <c r="H165" s="46" t="n"/>
      <c r="I165" s="97" t="n"/>
      <c r="J165" s="46" t="n"/>
      <c r="K165" s="46" t="n"/>
      <c r="L165" s="46" t="n"/>
      <c r="M165" s="46" t="n"/>
      <c r="N165" s="46" t="n"/>
      <c r="O165" s="46" t="n"/>
    </row>
    <row r="166" ht="17" customHeight="1">
      <c r="A166" s="83" t="n"/>
      <c r="B166" s="94" t="n"/>
      <c r="C166" s="46" t="n"/>
      <c r="D166" s="75" t="n"/>
      <c r="E166" s="95" t="n"/>
      <c r="F166" s="46" t="n"/>
      <c r="G166" s="96" t="n"/>
      <c r="H166" s="46" t="n"/>
      <c r="I166" s="97" t="n"/>
      <c r="J166" s="46" t="n"/>
      <c r="K166" s="46" t="n"/>
      <c r="L166" s="46" t="n"/>
      <c r="M166" s="46" t="n"/>
      <c r="N166" s="46" t="n"/>
      <c r="O166" s="46" t="n"/>
    </row>
    <row r="167" ht="17" customHeight="1">
      <c r="A167" s="83" t="n"/>
      <c r="B167" s="94" t="n"/>
      <c r="C167" s="46" t="n"/>
      <c r="D167" s="75" t="n"/>
      <c r="E167" s="95" t="n"/>
      <c r="F167" s="46" t="n"/>
      <c r="G167" s="96" t="n"/>
      <c r="H167" s="46" t="n"/>
      <c r="I167" s="97" t="n"/>
      <c r="J167" s="46" t="n"/>
      <c r="K167" s="46" t="n"/>
      <c r="L167" s="46" t="n"/>
      <c r="M167" s="46" t="n"/>
      <c r="N167" s="46" t="n"/>
      <c r="O167" s="46" t="n"/>
    </row>
    <row r="168" ht="17" customHeight="1">
      <c r="A168" s="83" t="n"/>
      <c r="B168" s="94" t="n"/>
      <c r="C168" s="46" t="n"/>
      <c r="D168" s="75" t="n"/>
      <c r="E168" s="95" t="n"/>
      <c r="F168" s="46" t="n"/>
      <c r="G168" s="96" t="n"/>
      <c r="H168" s="46" t="n"/>
      <c r="I168" s="97" t="n"/>
      <c r="J168" s="46" t="n"/>
      <c r="K168" s="46" t="n"/>
      <c r="L168" s="46" t="n"/>
      <c r="M168" s="46" t="n"/>
      <c r="N168" s="46" t="n"/>
      <c r="O168" s="46" t="n"/>
    </row>
    <row r="169" ht="17" customHeight="1">
      <c r="A169" s="83" t="n"/>
      <c r="B169" s="94" t="n"/>
      <c r="C169" s="46" t="n"/>
      <c r="D169" s="75" t="n"/>
      <c r="E169" s="95" t="n"/>
      <c r="F169" s="46" t="n"/>
      <c r="G169" s="96" t="n"/>
      <c r="H169" s="46" t="n"/>
      <c r="I169" s="97" t="n"/>
      <c r="J169" s="46" t="n"/>
      <c r="K169" s="46" t="n"/>
      <c r="L169" s="46" t="n"/>
      <c r="M169" s="46" t="n"/>
      <c r="N169" s="46" t="n"/>
      <c r="O169" s="46" t="n"/>
    </row>
    <row r="170" ht="17" customHeight="1">
      <c r="A170" s="83" t="n"/>
      <c r="B170" s="94" t="n"/>
      <c r="C170" s="46" t="n"/>
      <c r="D170" s="75" t="n"/>
      <c r="E170" s="95" t="n"/>
      <c r="F170" s="46" t="n"/>
      <c r="G170" s="96" t="n"/>
      <c r="H170" s="46" t="n"/>
      <c r="I170" s="97" t="n"/>
      <c r="J170" s="46" t="n"/>
      <c r="K170" s="46" t="n"/>
      <c r="L170" s="46" t="n"/>
      <c r="M170" s="46" t="n"/>
      <c r="N170" s="46" t="n"/>
      <c r="O170" s="46" t="n"/>
    </row>
    <row r="171" ht="17" customHeight="1">
      <c r="A171" s="83" t="n"/>
      <c r="B171" s="94" t="n"/>
      <c r="C171" s="46" t="n"/>
      <c r="D171" s="75" t="n"/>
      <c r="E171" s="95" t="n"/>
      <c r="F171" s="46" t="n"/>
      <c r="G171" s="96" t="n"/>
      <c r="H171" s="46" t="n"/>
      <c r="I171" s="97" t="n"/>
      <c r="J171" s="46" t="n"/>
      <c r="K171" s="46" t="n"/>
      <c r="L171" s="46" t="n"/>
      <c r="M171" s="46" t="n"/>
      <c r="N171" s="46" t="n"/>
      <c r="O171" s="46" t="n"/>
    </row>
    <row r="172" ht="17" customHeight="1">
      <c r="A172" s="83" t="n"/>
      <c r="B172" s="94" t="n"/>
      <c r="C172" s="46" t="n"/>
      <c r="D172" s="75" t="n"/>
      <c r="E172" s="95" t="n"/>
      <c r="F172" s="46" t="n"/>
      <c r="G172" s="96" t="n"/>
      <c r="H172" s="46" t="n"/>
      <c r="I172" s="97" t="n"/>
      <c r="J172" s="46" t="n"/>
      <c r="K172" s="46" t="n"/>
      <c r="L172" s="46" t="n"/>
      <c r="M172" s="46" t="n"/>
      <c r="N172" s="46" t="n"/>
      <c r="O172" s="46" t="n"/>
    </row>
    <row r="173" ht="17" customHeight="1">
      <c r="A173" s="83" t="n"/>
      <c r="B173" s="94" t="n"/>
      <c r="C173" s="46" t="n"/>
      <c r="D173" s="75" t="n"/>
      <c r="E173" s="95" t="n"/>
      <c r="F173" s="46" t="n"/>
      <c r="G173" s="96" t="n"/>
      <c r="H173" s="46" t="n"/>
      <c r="I173" s="97" t="n"/>
      <c r="J173" s="46" t="n"/>
      <c r="K173" s="46" t="n"/>
      <c r="L173" s="46" t="n"/>
      <c r="M173" s="46" t="n"/>
      <c r="N173" s="46" t="n"/>
      <c r="O173" s="46" t="n"/>
    </row>
    <row r="174" ht="17" customHeight="1">
      <c r="A174" s="83" t="n"/>
      <c r="B174" s="94" t="n"/>
      <c r="C174" s="46" t="n"/>
      <c r="D174" s="75" t="n"/>
      <c r="E174" s="95" t="n"/>
      <c r="F174" s="46" t="n"/>
      <c r="G174" s="96" t="n"/>
      <c r="H174" s="46" t="n"/>
      <c r="I174" s="97" t="n"/>
      <c r="J174" s="46" t="n"/>
      <c r="K174" s="46" t="n"/>
      <c r="L174" s="46" t="n"/>
      <c r="M174" s="46" t="n"/>
      <c r="N174" s="46" t="n"/>
      <c r="O174" s="46" t="n"/>
    </row>
    <row r="175" ht="17" customHeight="1">
      <c r="A175" s="83" t="n"/>
      <c r="B175" s="94" t="n"/>
      <c r="C175" s="46" t="n"/>
      <c r="D175" s="75" t="n"/>
      <c r="E175" s="95" t="n"/>
      <c r="F175" s="46" t="n"/>
      <c r="G175" s="96" t="n"/>
      <c r="H175" s="46" t="n"/>
      <c r="I175" s="97" t="n"/>
      <c r="J175" s="46" t="n"/>
      <c r="K175" s="46" t="n"/>
      <c r="L175" s="46" t="n"/>
      <c r="M175" s="46" t="n"/>
      <c r="N175" s="46" t="n"/>
      <c r="O175" s="46" t="n"/>
    </row>
    <row r="176" ht="17" customHeight="1">
      <c r="A176" s="83" t="n"/>
      <c r="B176" s="94" t="n"/>
      <c r="C176" s="46" t="n"/>
      <c r="D176" s="75" t="n"/>
      <c r="E176" s="95" t="n"/>
      <c r="F176" s="46" t="n"/>
      <c r="G176" s="96" t="n"/>
      <c r="H176" s="46" t="n"/>
      <c r="I176" s="97" t="n"/>
      <c r="J176" s="46" t="n"/>
      <c r="K176" s="46" t="n"/>
      <c r="L176" s="46" t="n"/>
      <c r="M176" s="46" t="n"/>
      <c r="N176" s="46" t="n"/>
      <c r="O176" s="46" t="n"/>
    </row>
    <row r="177" ht="17" customHeight="1">
      <c r="A177" s="83" t="n"/>
      <c r="B177" s="94" t="n"/>
      <c r="C177" s="46" t="n"/>
      <c r="D177" s="75" t="n"/>
      <c r="E177" s="95" t="n"/>
      <c r="F177" s="46" t="n"/>
      <c r="G177" s="96" t="n"/>
      <c r="H177" s="46" t="n"/>
      <c r="I177" s="97" t="n"/>
      <c r="J177" s="46" t="n"/>
      <c r="K177" s="46" t="n"/>
      <c r="L177" s="46" t="n"/>
      <c r="M177" s="46" t="n"/>
      <c r="N177" s="46" t="n"/>
      <c r="O177" s="46" t="n"/>
    </row>
    <row r="178" ht="17" customHeight="1">
      <c r="A178" s="83" t="n"/>
      <c r="B178" s="94" t="n"/>
      <c r="C178" s="46" t="n"/>
      <c r="D178" s="75" t="n"/>
      <c r="E178" s="95" t="n"/>
      <c r="F178" s="46" t="n"/>
      <c r="G178" s="96" t="n"/>
      <c r="H178" s="46" t="n"/>
      <c r="I178" s="97" t="n"/>
      <c r="J178" s="46" t="n"/>
      <c r="K178" s="46" t="n"/>
      <c r="L178" s="46" t="n"/>
      <c r="M178" s="46" t="n"/>
      <c r="N178" s="46" t="n"/>
      <c r="O178" s="46" t="n"/>
    </row>
    <row r="179" ht="17" customHeight="1">
      <c r="A179" s="83" t="n"/>
      <c r="B179" s="94" t="n"/>
      <c r="C179" s="46" t="n"/>
      <c r="D179" s="75" t="n"/>
      <c r="E179" s="95" t="n"/>
      <c r="F179" s="46" t="n"/>
      <c r="G179" s="96" t="n"/>
      <c r="H179" s="46" t="n"/>
      <c r="I179" s="97" t="n"/>
      <c r="J179" s="46" t="n"/>
      <c r="K179" s="46" t="n"/>
      <c r="L179" s="46" t="n"/>
      <c r="M179" s="46" t="n"/>
      <c r="N179" s="46" t="n"/>
      <c r="O179" s="46" t="n"/>
    </row>
    <row r="180" ht="17" customHeight="1">
      <c r="A180" s="83" t="n"/>
      <c r="B180" s="94" t="n"/>
      <c r="C180" s="46" t="n"/>
      <c r="D180" s="75" t="n"/>
      <c r="E180" s="95" t="n"/>
      <c r="F180" s="46" t="n"/>
      <c r="G180" s="96" t="n"/>
      <c r="H180" s="46" t="n"/>
      <c r="I180" s="97" t="n"/>
      <c r="J180" s="46" t="n"/>
      <c r="K180" s="46" t="n"/>
      <c r="L180" s="46" t="n"/>
      <c r="M180" s="46" t="n"/>
      <c r="N180" s="46" t="n"/>
      <c r="O180" s="46" t="n"/>
    </row>
    <row r="181" ht="17" customHeight="1">
      <c r="A181" s="83" t="n"/>
      <c r="B181" s="94" t="n"/>
      <c r="C181" s="46" t="n"/>
      <c r="D181" s="75" t="n"/>
      <c r="E181" s="95" t="n"/>
      <c r="F181" s="46" t="n"/>
      <c r="G181" s="96" t="n"/>
      <c r="H181" s="46" t="n"/>
      <c r="I181" s="97" t="n"/>
      <c r="J181" s="46" t="n"/>
      <c r="K181" s="46" t="n"/>
      <c r="L181" s="46" t="n"/>
      <c r="M181" s="46" t="n"/>
      <c r="N181" s="46" t="n"/>
      <c r="O181" s="46" t="n"/>
    </row>
    <row r="182" ht="17" customHeight="1">
      <c r="A182" s="83" t="n"/>
      <c r="B182" s="94" t="n"/>
      <c r="C182" s="46" t="n"/>
      <c r="D182" s="75" t="n"/>
      <c r="E182" s="95" t="n"/>
      <c r="F182" s="46" t="n"/>
      <c r="G182" s="96" t="n"/>
      <c r="H182" s="46" t="n"/>
      <c r="I182" s="97" t="n"/>
      <c r="J182" s="46" t="n"/>
      <c r="K182" s="46" t="n"/>
      <c r="L182" s="46" t="n"/>
      <c r="M182" s="46" t="n"/>
      <c r="N182" s="46" t="n"/>
      <c r="O182" s="46" t="n"/>
    </row>
    <row r="183" ht="17" customHeight="1">
      <c r="A183" s="83" t="n"/>
      <c r="B183" s="94" t="n"/>
      <c r="C183" s="46" t="n"/>
      <c r="D183" s="75" t="n"/>
      <c r="E183" s="95" t="n"/>
      <c r="F183" s="46" t="n"/>
      <c r="G183" s="96" t="n"/>
      <c r="H183" s="46" t="n"/>
      <c r="I183" s="97" t="n"/>
      <c r="J183" s="46" t="n"/>
      <c r="K183" s="46" t="n"/>
      <c r="L183" s="46" t="n"/>
      <c r="M183" s="46" t="n"/>
      <c r="N183" s="46" t="n"/>
      <c r="O183" s="46" t="n"/>
    </row>
    <row r="184" ht="17" customHeight="1">
      <c r="A184" s="83" t="n"/>
      <c r="B184" s="94" t="n"/>
      <c r="C184" s="46" t="n"/>
      <c r="D184" s="75" t="n"/>
      <c r="E184" s="95" t="n"/>
      <c r="F184" s="46" t="n"/>
      <c r="G184" s="96" t="n"/>
      <c r="H184" s="46" t="n"/>
      <c r="I184" s="97" t="n"/>
      <c r="J184" s="46" t="n"/>
      <c r="K184" s="46" t="n"/>
      <c r="L184" s="46" t="n"/>
      <c r="M184" s="46" t="n"/>
      <c r="N184" s="46" t="n"/>
      <c r="O184" s="46" t="n"/>
    </row>
    <row r="185" ht="17" customHeight="1">
      <c r="A185" s="83" t="n"/>
      <c r="B185" s="94" t="n"/>
      <c r="C185" s="46" t="n"/>
      <c r="D185" s="75" t="n"/>
      <c r="E185" s="95" t="n"/>
      <c r="F185" s="46" t="n"/>
      <c r="G185" s="96" t="n"/>
      <c r="H185" s="46" t="n"/>
      <c r="I185" s="97" t="n"/>
      <c r="J185" s="46" t="n"/>
      <c r="K185" s="46" t="n"/>
      <c r="L185" s="46" t="n"/>
      <c r="M185" s="46" t="n"/>
      <c r="N185" s="46" t="n"/>
      <c r="O185" s="46" t="n"/>
    </row>
    <row r="186" ht="17" customHeight="1">
      <c r="A186" s="83" t="n"/>
      <c r="B186" s="94" t="n"/>
      <c r="C186" s="46" t="n"/>
      <c r="D186" s="75" t="n"/>
      <c r="E186" s="95" t="n"/>
      <c r="F186" s="46" t="n"/>
      <c r="G186" s="96" t="n"/>
      <c r="H186" s="46" t="n"/>
      <c r="I186" s="97" t="n"/>
      <c r="J186" s="46" t="n"/>
      <c r="K186" s="46" t="n"/>
      <c r="L186" s="46" t="n"/>
      <c r="M186" s="46" t="n"/>
      <c r="N186" s="46" t="n"/>
      <c r="O186" s="46" t="n"/>
    </row>
    <row r="187" ht="17" customHeight="1">
      <c r="A187" s="83" t="n"/>
      <c r="B187" s="94" t="n"/>
      <c r="C187" s="46" t="n"/>
      <c r="D187" s="75" t="n"/>
      <c r="E187" s="95" t="n"/>
      <c r="F187" s="46" t="n"/>
      <c r="G187" s="96" t="n"/>
      <c r="H187" s="46" t="n"/>
      <c r="I187" s="97" t="n"/>
      <c r="J187" s="46" t="n"/>
      <c r="K187" s="46" t="n"/>
      <c r="L187" s="46" t="n"/>
      <c r="M187" s="46" t="n"/>
      <c r="N187" s="46" t="n"/>
      <c r="O187" s="46" t="n"/>
    </row>
    <row r="188" ht="17" customHeight="1">
      <c r="A188" s="83" t="n"/>
      <c r="B188" s="94" t="n"/>
      <c r="C188" s="46" t="n"/>
      <c r="D188" s="75" t="n"/>
      <c r="E188" s="95" t="n"/>
      <c r="F188" s="46" t="n"/>
      <c r="G188" s="96" t="n"/>
      <c r="H188" s="46" t="n"/>
      <c r="I188" s="97" t="n"/>
      <c r="J188" s="46" t="n"/>
      <c r="K188" s="46" t="n"/>
      <c r="L188" s="46" t="n"/>
      <c r="M188" s="46" t="n"/>
      <c r="N188" s="46" t="n"/>
      <c r="O188" s="46" t="n"/>
    </row>
    <row r="189" ht="17" customHeight="1">
      <c r="A189" s="83" t="n"/>
      <c r="B189" s="94" t="n"/>
      <c r="C189" s="46" t="n"/>
      <c r="D189" s="75" t="n"/>
      <c r="E189" s="95" t="n"/>
      <c r="F189" s="46" t="n"/>
      <c r="G189" s="96" t="n"/>
      <c r="H189" s="46" t="n"/>
      <c r="I189" s="97" t="n"/>
      <c r="J189" s="46" t="n"/>
      <c r="K189" s="46" t="n"/>
      <c r="L189" s="46" t="n"/>
      <c r="M189" s="46" t="n"/>
      <c r="N189" s="46" t="n"/>
      <c r="O189" s="46" t="n"/>
    </row>
    <row r="190" ht="17" customHeight="1">
      <c r="A190" s="83" t="n"/>
      <c r="B190" s="94" t="n"/>
      <c r="C190" s="46" t="n"/>
      <c r="D190" s="75" t="n"/>
      <c r="E190" s="95" t="n"/>
      <c r="F190" s="46" t="n"/>
      <c r="G190" s="96" t="n"/>
      <c r="H190" s="46" t="n"/>
      <c r="I190" s="97" t="n"/>
      <c r="J190" s="46" t="n"/>
      <c r="K190" s="46" t="n"/>
      <c r="L190" s="46" t="n"/>
      <c r="M190" s="46" t="n"/>
      <c r="N190" s="46" t="n"/>
      <c r="O190" s="46" t="n"/>
    </row>
    <row r="191" ht="17" customHeight="1">
      <c r="A191" s="83" t="n"/>
      <c r="B191" s="94" t="n"/>
      <c r="C191" s="46" t="n"/>
      <c r="D191" s="75" t="n"/>
      <c r="E191" s="95" t="n"/>
      <c r="F191" s="46" t="n"/>
      <c r="G191" s="96" t="n"/>
      <c r="H191" s="46" t="n"/>
      <c r="I191" s="97" t="n"/>
      <c r="J191" s="46" t="n"/>
      <c r="K191" s="46" t="n"/>
      <c r="L191" s="46" t="n"/>
      <c r="M191" s="46" t="n"/>
      <c r="N191" s="46" t="n"/>
      <c r="O191" s="46" t="n"/>
    </row>
    <row r="192" ht="17" customHeight="1">
      <c r="A192" s="83" t="n"/>
      <c r="B192" s="94" t="n"/>
      <c r="C192" s="46" t="n"/>
      <c r="D192" s="75" t="n"/>
      <c r="E192" s="95" t="n"/>
      <c r="F192" s="46" t="n"/>
      <c r="G192" s="96" t="n"/>
      <c r="H192" s="46" t="n"/>
      <c r="I192" s="97" t="n"/>
      <c r="J192" s="46" t="n"/>
      <c r="K192" s="46" t="n"/>
      <c r="L192" s="46" t="n"/>
      <c r="M192" s="46" t="n"/>
      <c r="N192" s="46" t="n"/>
      <c r="O192" s="46" t="n"/>
    </row>
    <row r="193" ht="17" customHeight="1">
      <c r="A193" s="83" t="n"/>
      <c r="B193" s="94" t="n"/>
      <c r="C193" s="46" t="n"/>
      <c r="D193" s="75" t="n"/>
      <c r="E193" s="95" t="n"/>
      <c r="F193" s="46" t="n"/>
      <c r="G193" s="96" t="n"/>
      <c r="H193" s="46" t="n"/>
      <c r="I193" s="97" t="n"/>
      <c r="J193" s="46" t="n"/>
      <c r="K193" s="46" t="n"/>
      <c r="L193" s="46" t="n"/>
      <c r="M193" s="46" t="n"/>
      <c r="N193" s="46" t="n"/>
      <c r="O193" s="46" t="n"/>
    </row>
    <row r="194" ht="22" customHeight="1">
      <c r="A194" s="31" t="inlineStr">
        <is>
          <t>TOTAL LANÇADO NO LIVRO</t>
        </is>
      </c>
      <c r="B194" s="32" t="n"/>
      <c r="C194" s="32" t="n"/>
      <c r="D194" s="32" t="n"/>
      <c r="E194" s="59">
        <f>ROUND(SUM($E$134:$E$193),2)</f>
        <v/>
      </c>
      <c r="F194" s="32" t="n"/>
      <c r="G194" s="98">
        <f>IF(COUNTA($B$134:$B$193)=COUNT($E$134:$E$193),"lançamentos: "&amp;COUNT($E$134:$E$193)&amp;" · todos classificados","ATENÇÃO: "&amp;(COUNT($E$134:$E$193)-COUNTA($B$134:$B$193))&amp;" lançamento(s) sem categoria")</f>
        <v/>
      </c>
      <c r="H194" s="32" t="n"/>
      <c r="I194" s="32" t="n"/>
      <c r="J194" s="32" t="n"/>
      <c r="K194" s="32" t="n"/>
      <c r="L194" s="32" t="n"/>
      <c r="M194" s="32" t="n"/>
      <c r="N194" s="32" t="n"/>
      <c r="O194" s="32" t="n"/>
    </row>
    <row r="196" ht="50" customHeight="1">
      <c r="A196" s="43" t="inlineStr">
        <is>
          <t xml:space="preserve">  Preencha primeiro a coluna ORÇADO com o que o orçamento previu e vá preenchendo o REALIZADO conforme o projeto anda — o desvio de cada linha é o que mostra onde o orçamento erra. Compras entram uma a uma no livro do bloco 8, com categoria, forma de pagamento e status; as categorias do bloco 6 se somam sozinhas. Você pode inserir linhas em qualquer bloco a partir da linha 26: tudo o que o Painel Geral lê está acima disso.</t>
        </is>
      </c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</row>
  </sheetData>
  <mergeCells count="561">
    <mergeCell ref="A196:O196"/>
    <mergeCell ref="I170:O170"/>
    <mergeCell ref="A15:B15"/>
    <mergeCell ref="I157:O157"/>
    <mergeCell ref="G128:O128"/>
    <mergeCell ref="B141:C141"/>
    <mergeCell ref="E142:F142"/>
    <mergeCell ref="I193:O193"/>
    <mergeCell ref="I172:O172"/>
    <mergeCell ref="H9:I9"/>
    <mergeCell ref="J76:M76"/>
    <mergeCell ref="G121:O121"/>
    <mergeCell ref="E171:F171"/>
    <mergeCell ref="G123:O123"/>
    <mergeCell ref="E137:F137"/>
    <mergeCell ref="G137:H137"/>
    <mergeCell ref="E173:F173"/>
    <mergeCell ref="H70:O70"/>
    <mergeCell ref="E148:F148"/>
    <mergeCell ref="G148:H148"/>
    <mergeCell ref="B78:C78"/>
    <mergeCell ref="D7:E7"/>
    <mergeCell ref="I183:O183"/>
    <mergeCell ref="D78:E78"/>
    <mergeCell ref="E166:F166"/>
    <mergeCell ref="G139:H139"/>
    <mergeCell ref="I175:O175"/>
    <mergeCell ref="H99:O99"/>
    <mergeCell ref="A34:C34"/>
    <mergeCell ref="I185:O185"/>
    <mergeCell ref="E168:F168"/>
    <mergeCell ref="G168:H168"/>
    <mergeCell ref="H87:I87"/>
    <mergeCell ref="H101:O101"/>
    <mergeCell ref="G143:H143"/>
    <mergeCell ref="D73:E73"/>
    <mergeCell ref="I176:O176"/>
    <mergeCell ref="J9:O9"/>
    <mergeCell ref="B154:C154"/>
    <mergeCell ref="H91:I91"/>
    <mergeCell ref="E117:F117"/>
    <mergeCell ref="A24:H24"/>
    <mergeCell ref="B156:C156"/>
    <mergeCell ref="E67:F67"/>
    <mergeCell ref="A103:B103"/>
    <mergeCell ref="H112:O112"/>
    <mergeCell ref="I138:O138"/>
    <mergeCell ref="I178:O178"/>
    <mergeCell ref="H114:O114"/>
    <mergeCell ref="E161:F161"/>
    <mergeCell ref="J73:M73"/>
    <mergeCell ref="G129:O129"/>
    <mergeCell ref="A72:O72"/>
    <mergeCell ref="J77:M77"/>
    <mergeCell ref="H75:I75"/>
    <mergeCell ref="B84:C84"/>
    <mergeCell ref="E110:F110"/>
    <mergeCell ref="H105:O105"/>
    <mergeCell ref="E16:F16"/>
    <mergeCell ref="E187:F187"/>
    <mergeCell ref="G138:H138"/>
    <mergeCell ref="B142:C142"/>
    <mergeCell ref="B80:C80"/>
    <mergeCell ref="E174:F174"/>
    <mergeCell ref="H15:O15"/>
    <mergeCell ref="H107:O107"/>
    <mergeCell ref="G126:O126"/>
    <mergeCell ref="B79:C79"/>
    <mergeCell ref="E18:F18"/>
    <mergeCell ref="D79:E79"/>
    <mergeCell ref="E189:F189"/>
    <mergeCell ref="G140:H140"/>
    <mergeCell ref="B144:C144"/>
    <mergeCell ref="F73:G73"/>
    <mergeCell ref="B81:C81"/>
    <mergeCell ref="D81:E81"/>
    <mergeCell ref="I191:O191"/>
    <mergeCell ref="H102:O102"/>
    <mergeCell ref="E29:F29"/>
    <mergeCell ref="H39:O39"/>
    <mergeCell ref="I192:O192"/>
    <mergeCell ref="E69:F69"/>
    <mergeCell ref="B170:C170"/>
    <mergeCell ref="E31:F31"/>
    <mergeCell ref="E158:F158"/>
    <mergeCell ref="E133:F133"/>
    <mergeCell ref="E108:F108"/>
    <mergeCell ref="G133:H133"/>
    <mergeCell ref="B172:C172"/>
    <mergeCell ref="E95:F95"/>
    <mergeCell ref="H28:O28"/>
    <mergeCell ref="E162:F162"/>
    <mergeCell ref="G135:H135"/>
    <mergeCell ref="B92:C92"/>
    <mergeCell ref="J74:M74"/>
    <mergeCell ref="D92:E92"/>
    <mergeCell ref="I146:O146"/>
    <mergeCell ref="F92:G92"/>
    <mergeCell ref="G153:H153"/>
    <mergeCell ref="A36:O36"/>
    <mergeCell ref="A11:O11"/>
    <mergeCell ref="B76:C76"/>
    <mergeCell ref="I181:O181"/>
    <mergeCell ref="A1:O1"/>
    <mergeCell ref="I12:O12"/>
    <mergeCell ref="E164:F164"/>
    <mergeCell ref="G164:H164"/>
    <mergeCell ref="H23:O23"/>
    <mergeCell ref="B150:C150"/>
    <mergeCell ref="E42:F42"/>
    <mergeCell ref="E17:F17"/>
    <mergeCell ref="E188:F188"/>
    <mergeCell ref="E126:F126"/>
    <mergeCell ref="B152:C152"/>
    <mergeCell ref="E180:F180"/>
    <mergeCell ref="J92:M92"/>
    <mergeCell ref="E19:F19"/>
    <mergeCell ref="E190:F190"/>
    <mergeCell ref="B145:C145"/>
    <mergeCell ref="G190:H190"/>
    <mergeCell ref="G146:H146"/>
    <mergeCell ref="B181:C181"/>
    <mergeCell ref="E182:F182"/>
    <mergeCell ref="A4:O4"/>
    <mergeCell ref="F10:O10"/>
    <mergeCell ref="H110:O110"/>
    <mergeCell ref="B87:C87"/>
    <mergeCell ref="I136:O136"/>
    <mergeCell ref="B147:C147"/>
    <mergeCell ref="D87:E87"/>
    <mergeCell ref="J87:M87"/>
    <mergeCell ref="E179:F179"/>
    <mergeCell ref="J89:M89"/>
    <mergeCell ref="D82:E82"/>
    <mergeCell ref="F82:G82"/>
    <mergeCell ref="G194:O194"/>
    <mergeCell ref="E37:F37"/>
    <mergeCell ref="E159:F159"/>
    <mergeCell ref="E97:F97"/>
    <mergeCell ref="G159:H159"/>
    <mergeCell ref="B163:C163"/>
    <mergeCell ref="H8:I8"/>
    <mergeCell ref="E109:F109"/>
    <mergeCell ref="H30:O30"/>
    <mergeCell ref="E145:F145"/>
    <mergeCell ref="E139:F139"/>
    <mergeCell ref="G161:H161"/>
    <mergeCell ref="B165:C165"/>
    <mergeCell ref="H29:O29"/>
    <mergeCell ref="E111:F111"/>
    <mergeCell ref="G136:H136"/>
    <mergeCell ref="A70:B70"/>
    <mergeCell ref="H44:O44"/>
    <mergeCell ref="H31:O31"/>
    <mergeCell ref="B77:C77"/>
    <mergeCell ref="D6:E6"/>
    <mergeCell ref="D77:E77"/>
    <mergeCell ref="I149:O149"/>
    <mergeCell ref="J82:M82"/>
    <mergeCell ref="H89:I89"/>
    <mergeCell ref="I151:O151"/>
    <mergeCell ref="B191:C191"/>
    <mergeCell ref="B178:C178"/>
    <mergeCell ref="E27:F27"/>
    <mergeCell ref="I144:O144"/>
    <mergeCell ref="E119:F119"/>
    <mergeCell ref="E183:F183"/>
    <mergeCell ref="G183:H183"/>
    <mergeCell ref="A6:C6"/>
    <mergeCell ref="E22:F22"/>
    <mergeCell ref="H42:O42"/>
    <mergeCell ref="E193:F193"/>
    <mergeCell ref="G193:H193"/>
    <mergeCell ref="D88:E88"/>
    <mergeCell ref="G149:H149"/>
    <mergeCell ref="F88:G88"/>
    <mergeCell ref="I177:O177"/>
    <mergeCell ref="G185:H185"/>
    <mergeCell ref="B90:C90"/>
    <mergeCell ref="D90:E90"/>
    <mergeCell ref="E122:F122"/>
    <mergeCell ref="G151:H151"/>
    <mergeCell ref="A45:B45"/>
    <mergeCell ref="G178:H178"/>
    <mergeCell ref="F6:G6"/>
    <mergeCell ref="J90:M90"/>
    <mergeCell ref="F83:G83"/>
    <mergeCell ref="H83:I83"/>
    <mergeCell ref="E38:F38"/>
    <mergeCell ref="A2:O2"/>
    <mergeCell ref="E147:F147"/>
    <mergeCell ref="F85:G85"/>
    <mergeCell ref="H85:I85"/>
    <mergeCell ref="G175:H175"/>
    <mergeCell ref="B179:C179"/>
    <mergeCell ref="E40:F40"/>
    <mergeCell ref="G162:H162"/>
    <mergeCell ref="H108:O108"/>
    <mergeCell ref="B166:C166"/>
    <mergeCell ref="B124:D124"/>
    <mergeCell ref="E186:F186"/>
    <mergeCell ref="G177:H177"/>
    <mergeCell ref="E104:F104"/>
    <mergeCell ref="H45:O45"/>
    <mergeCell ref="B174:C174"/>
    <mergeCell ref="B168:C168"/>
    <mergeCell ref="H32:O32"/>
    <mergeCell ref="B126:D126"/>
    <mergeCell ref="D9:E9"/>
    <mergeCell ref="H80:I80"/>
    <mergeCell ref="F9:G9"/>
    <mergeCell ref="I150:O150"/>
    <mergeCell ref="J83:M83"/>
    <mergeCell ref="I165:O165"/>
    <mergeCell ref="B169:C169"/>
    <mergeCell ref="I152:O152"/>
    <mergeCell ref="E66:F66"/>
    <mergeCell ref="J85:M85"/>
    <mergeCell ref="E130:F130"/>
    <mergeCell ref="E68:F68"/>
    <mergeCell ref="B134:C134"/>
    <mergeCell ref="G155:H155"/>
    <mergeCell ref="E160:F160"/>
    <mergeCell ref="E141:F141"/>
    <mergeCell ref="G118:O118"/>
    <mergeCell ref="E135:F135"/>
    <mergeCell ref="G157:H157"/>
    <mergeCell ref="E107:F107"/>
    <mergeCell ref="H73:I73"/>
    <mergeCell ref="E143:F143"/>
    <mergeCell ref="G172:H172"/>
    <mergeCell ref="G186:H186"/>
    <mergeCell ref="B162:C162"/>
    <mergeCell ref="D91:E91"/>
    <mergeCell ref="G152:H152"/>
    <mergeCell ref="F91:G91"/>
    <mergeCell ref="A21:B21"/>
    <mergeCell ref="I163:O163"/>
    <mergeCell ref="H84:I84"/>
    <mergeCell ref="A23:B23"/>
    <mergeCell ref="B187:C187"/>
    <mergeCell ref="E125:F125"/>
    <mergeCell ref="H86:I86"/>
    <mergeCell ref="E41:F41"/>
    <mergeCell ref="B189:C189"/>
    <mergeCell ref="E112:F112"/>
    <mergeCell ref="B188:C188"/>
    <mergeCell ref="B117:D117"/>
    <mergeCell ref="E43:F43"/>
    <mergeCell ref="J91:M91"/>
    <mergeCell ref="B190:C190"/>
    <mergeCell ref="B119:D119"/>
    <mergeCell ref="A16:B16"/>
    <mergeCell ref="G124:O124"/>
    <mergeCell ref="E138:F138"/>
    <mergeCell ref="A108:B108"/>
    <mergeCell ref="B127:D127"/>
    <mergeCell ref="I168:O168"/>
    <mergeCell ref="A18:B18"/>
    <mergeCell ref="B73:C73"/>
    <mergeCell ref="E167:F167"/>
    <mergeCell ref="H100:O100"/>
    <mergeCell ref="H7:I7"/>
    <mergeCell ref="G119:O119"/>
    <mergeCell ref="B137:C137"/>
    <mergeCell ref="E169:F169"/>
    <mergeCell ref="H66:O66"/>
    <mergeCell ref="B74:C74"/>
    <mergeCell ref="D74:E74"/>
    <mergeCell ref="B139:C139"/>
    <mergeCell ref="I184:O184"/>
    <mergeCell ref="B122:D122"/>
    <mergeCell ref="I171:O171"/>
    <mergeCell ref="H76:I76"/>
    <mergeCell ref="H95:O95"/>
    <mergeCell ref="A44:B44"/>
    <mergeCell ref="I173:O173"/>
    <mergeCell ref="H97:O97"/>
    <mergeCell ref="I166:O166"/>
    <mergeCell ref="G176:H176"/>
    <mergeCell ref="E64:F64"/>
    <mergeCell ref="J7:O7"/>
    <mergeCell ref="E156:F156"/>
    <mergeCell ref="E153:F153"/>
    <mergeCell ref="H21:O21"/>
    <mergeCell ref="E128:F128"/>
    <mergeCell ref="E155:F155"/>
    <mergeCell ref="D61:E61"/>
    <mergeCell ref="G184:H184"/>
    <mergeCell ref="G171:H171"/>
    <mergeCell ref="E65:F65"/>
    <mergeCell ref="E157:F157"/>
    <mergeCell ref="H16:O16"/>
    <mergeCell ref="A17:B17"/>
    <mergeCell ref="I134:O134"/>
    <mergeCell ref="H27:O27"/>
    <mergeCell ref="G117:O117"/>
    <mergeCell ref="A19:B19"/>
    <mergeCell ref="I161:O161"/>
    <mergeCell ref="E146:F146"/>
    <mergeCell ref="E12:F12"/>
    <mergeCell ref="G125:O125"/>
    <mergeCell ref="B138:C138"/>
    <mergeCell ref="E175:F175"/>
    <mergeCell ref="H67:O67"/>
    <mergeCell ref="H103:O103"/>
    <mergeCell ref="G127:O127"/>
    <mergeCell ref="E185:F185"/>
    <mergeCell ref="B140:C140"/>
    <mergeCell ref="I187:O187"/>
    <mergeCell ref="E170:F170"/>
    <mergeCell ref="I174:O174"/>
    <mergeCell ref="H98:O98"/>
    <mergeCell ref="D75:E75"/>
    <mergeCell ref="F75:G75"/>
    <mergeCell ref="I189:O189"/>
    <mergeCell ref="I188:O188"/>
    <mergeCell ref="G192:H192"/>
    <mergeCell ref="J8:O8"/>
    <mergeCell ref="E154:F154"/>
    <mergeCell ref="G154:H154"/>
    <mergeCell ref="B158:C158"/>
    <mergeCell ref="E172:F172"/>
    <mergeCell ref="B89:C89"/>
    <mergeCell ref="B160:C160"/>
    <mergeCell ref="D89:E89"/>
    <mergeCell ref="H18:O18"/>
    <mergeCell ref="L61:M61"/>
    <mergeCell ref="A194:D194"/>
    <mergeCell ref="I142:O142"/>
    <mergeCell ref="B153:C153"/>
    <mergeCell ref="J75:M75"/>
    <mergeCell ref="B184:C184"/>
    <mergeCell ref="H113:O113"/>
    <mergeCell ref="E20:F20"/>
    <mergeCell ref="I137:O137"/>
    <mergeCell ref="E177:F177"/>
    <mergeCell ref="E13:F13"/>
    <mergeCell ref="I164:O164"/>
    <mergeCell ref="I139:O139"/>
    <mergeCell ref="B88:C88"/>
    <mergeCell ref="B148:C148"/>
    <mergeCell ref="B82:C82"/>
    <mergeCell ref="E149:F149"/>
    <mergeCell ref="E176:F176"/>
    <mergeCell ref="E114:F114"/>
    <mergeCell ref="J88:M88"/>
    <mergeCell ref="A63:O63"/>
    <mergeCell ref="E15:F15"/>
    <mergeCell ref="E191:F191"/>
    <mergeCell ref="G142:H142"/>
    <mergeCell ref="B146:C146"/>
    <mergeCell ref="E178:F178"/>
    <mergeCell ref="H37:O37"/>
    <mergeCell ref="B83:C83"/>
    <mergeCell ref="B143:C143"/>
    <mergeCell ref="D83:E83"/>
    <mergeCell ref="E144:F144"/>
    <mergeCell ref="G144:H144"/>
    <mergeCell ref="H104:O104"/>
    <mergeCell ref="B85:C85"/>
    <mergeCell ref="A94:O94"/>
    <mergeCell ref="I190:O190"/>
    <mergeCell ref="D85:E85"/>
    <mergeCell ref="G173:H173"/>
    <mergeCell ref="H92:I92"/>
    <mergeCell ref="H106:O106"/>
    <mergeCell ref="F78:G78"/>
    <mergeCell ref="E106:F106"/>
    <mergeCell ref="H78:I78"/>
    <mergeCell ref="E33:F33"/>
    <mergeCell ref="H43:O43"/>
    <mergeCell ref="B159:C159"/>
    <mergeCell ref="D80:E80"/>
    <mergeCell ref="G170:H170"/>
    <mergeCell ref="B167:C167"/>
    <mergeCell ref="A26:O26"/>
    <mergeCell ref="B161:C161"/>
    <mergeCell ref="H6:I6"/>
    <mergeCell ref="H130:O130"/>
    <mergeCell ref="H68:O68"/>
    <mergeCell ref="B136:C136"/>
    <mergeCell ref="E28:F28"/>
    <mergeCell ref="B175:C175"/>
    <mergeCell ref="E30:F30"/>
    <mergeCell ref="J84:M84"/>
    <mergeCell ref="I145:O145"/>
    <mergeCell ref="J78:M78"/>
    <mergeCell ref="H69:O69"/>
    <mergeCell ref="A9:C9"/>
    <mergeCell ref="I147:O147"/>
    <mergeCell ref="J80:M80"/>
    <mergeCell ref="D8:E8"/>
    <mergeCell ref="J79:M79"/>
    <mergeCell ref="G150:H150"/>
    <mergeCell ref="I186:O186"/>
    <mergeCell ref="E21:F21"/>
    <mergeCell ref="J6:O6"/>
    <mergeCell ref="H82:I82"/>
    <mergeCell ref="B91:C91"/>
    <mergeCell ref="E192:F192"/>
    <mergeCell ref="H20:O20"/>
    <mergeCell ref="E129:F129"/>
    <mergeCell ref="H38:O38"/>
    <mergeCell ref="E23:F23"/>
    <mergeCell ref="D84:E84"/>
    <mergeCell ref="B155:C155"/>
    <mergeCell ref="G145:H145"/>
    <mergeCell ref="F84:G84"/>
    <mergeCell ref="B149:C149"/>
    <mergeCell ref="E181:F181"/>
    <mergeCell ref="B193:C193"/>
    <mergeCell ref="E194:F194"/>
    <mergeCell ref="G181:H181"/>
    <mergeCell ref="A3:O3"/>
    <mergeCell ref="H40:O40"/>
    <mergeCell ref="B86:C86"/>
    <mergeCell ref="G160:H160"/>
    <mergeCell ref="D86:E86"/>
    <mergeCell ref="I140:O140"/>
    <mergeCell ref="G147:H147"/>
    <mergeCell ref="F86:G86"/>
    <mergeCell ref="H64:O64"/>
    <mergeCell ref="B151:C151"/>
    <mergeCell ref="F80:G80"/>
    <mergeCell ref="G174:H174"/>
    <mergeCell ref="I158:O158"/>
    <mergeCell ref="I133:O133"/>
    <mergeCell ref="G189:H189"/>
    <mergeCell ref="F79:G79"/>
    <mergeCell ref="H79:I79"/>
    <mergeCell ref="E34:F34"/>
    <mergeCell ref="B182:C182"/>
    <mergeCell ref="E105:F105"/>
    <mergeCell ref="I160:O160"/>
    <mergeCell ref="E99:F99"/>
    <mergeCell ref="I135:O135"/>
    <mergeCell ref="F81:G81"/>
    <mergeCell ref="H81:I81"/>
    <mergeCell ref="E163:F163"/>
    <mergeCell ref="E101:F101"/>
    <mergeCell ref="G163:H163"/>
    <mergeCell ref="A22:B22"/>
    <mergeCell ref="B125:D125"/>
    <mergeCell ref="E113:F113"/>
    <mergeCell ref="B183:C183"/>
    <mergeCell ref="B177:C177"/>
    <mergeCell ref="E100:F100"/>
    <mergeCell ref="B164:C164"/>
    <mergeCell ref="J86:M86"/>
    <mergeCell ref="E136:F136"/>
    <mergeCell ref="G165:H165"/>
    <mergeCell ref="H33:O33"/>
    <mergeCell ref="I24:O24"/>
    <mergeCell ref="E102:F102"/>
    <mergeCell ref="G158:H158"/>
    <mergeCell ref="B120:D120"/>
    <mergeCell ref="D10:E10"/>
    <mergeCell ref="G169:H169"/>
    <mergeCell ref="I148:O148"/>
    <mergeCell ref="I153:O153"/>
    <mergeCell ref="E127:F127"/>
    <mergeCell ref="F74:G74"/>
    <mergeCell ref="B180:C180"/>
    <mergeCell ref="H74:I74"/>
    <mergeCell ref="G191:H191"/>
    <mergeCell ref="D76:E76"/>
    <mergeCell ref="F76:G76"/>
    <mergeCell ref="A47:O47"/>
    <mergeCell ref="B157:C157"/>
    <mergeCell ref="I179:O179"/>
    <mergeCell ref="B186:C186"/>
    <mergeCell ref="I141:O141"/>
    <mergeCell ref="E124:F124"/>
    <mergeCell ref="H65:O65"/>
    <mergeCell ref="E120:F120"/>
    <mergeCell ref="I159:O159"/>
    <mergeCell ref="I143:O143"/>
    <mergeCell ref="E184:F184"/>
    <mergeCell ref="A7:C7"/>
    <mergeCell ref="G122:O122"/>
    <mergeCell ref="E121:F121"/>
    <mergeCell ref="F87:G87"/>
    <mergeCell ref="B185:C185"/>
    <mergeCell ref="E151:F151"/>
    <mergeCell ref="H41:O41"/>
    <mergeCell ref="E123:F123"/>
    <mergeCell ref="F89:G89"/>
    <mergeCell ref="E150:F150"/>
    <mergeCell ref="E39:F39"/>
    <mergeCell ref="G179:H179"/>
    <mergeCell ref="F7:G7"/>
    <mergeCell ref="E44:F44"/>
    <mergeCell ref="B176:C176"/>
    <mergeCell ref="G166:H166"/>
    <mergeCell ref="H34:O34"/>
    <mergeCell ref="B128:D128"/>
    <mergeCell ref="G141:H141"/>
    <mergeCell ref="E103:F103"/>
    <mergeCell ref="E152:F152"/>
    <mergeCell ref="A116:O116"/>
    <mergeCell ref="E118:F118"/>
    <mergeCell ref="F8:G8"/>
    <mergeCell ref="A12:B12"/>
    <mergeCell ref="C12:D12"/>
    <mergeCell ref="G167:H167"/>
    <mergeCell ref="I154:O154"/>
    <mergeCell ref="B171:C171"/>
    <mergeCell ref="B123:D123"/>
    <mergeCell ref="I156:O156"/>
    <mergeCell ref="E70:F70"/>
    <mergeCell ref="F77:G77"/>
    <mergeCell ref="H77:I77"/>
    <mergeCell ref="H96:O96"/>
    <mergeCell ref="E32:F32"/>
    <mergeCell ref="G120:O120"/>
    <mergeCell ref="B133:C133"/>
    <mergeCell ref="E134:F134"/>
    <mergeCell ref="G134:H134"/>
    <mergeCell ref="B173:C173"/>
    <mergeCell ref="E96:F96"/>
    <mergeCell ref="B75:C75"/>
    <mergeCell ref="B135:C135"/>
    <mergeCell ref="I180:O180"/>
    <mergeCell ref="A130:B130"/>
    <mergeCell ref="I167:O167"/>
    <mergeCell ref="E98:F98"/>
    <mergeCell ref="I182:O182"/>
    <mergeCell ref="E165:F165"/>
    <mergeCell ref="I169:O169"/>
    <mergeCell ref="I13:O13"/>
    <mergeCell ref="E140:F140"/>
    <mergeCell ref="G156:H156"/>
    <mergeCell ref="B118:D118"/>
    <mergeCell ref="A8:C8"/>
    <mergeCell ref="H61:I61"/>
    <mergeCell ref="H88:I88"/>
    <mergeCell ref="J81:M81"/>
    <mergeCell ref="G187:H187"/>
    <mergeCell ref="A10:C10"/>
    <mergeCell ref="H17:O17"/>
    <mergeCell ref="F90:G90"/>
    <mergeCell ref="H90:I90"/>
    <mergeCell ref="H109:O109"/>
    <mergeCell ref="G180:H180"/>
    <mergeCell ref="E45:F45"/>
    <mergeCell ref="H22:O22"/>
    <mergeCell ref="B129:D129"/>
    <mergeCell ref="H19:O19"/>
    <mergeCell ref="G188:H188"/>
    <mergeCell ref="B192:C192"/>
    <mergeCell ref="A20:B20"/>
    <mergeCell ref="H111:O111"/>
    <mergeCell ref="B121:D121"/>
    <mergeCell ref="G182:H182"/>
    <mergeCell ref="I162:O162"/>
    <mergeCell ref="A132:O132"/>
    <mergeCell ref="A13:B13"/>
    <mergeCell ref="C13:D13"/>
    <mergeCell ref="I155:O155"/>
    <mergeCell ref="A114:B114"/>
  </mergeCells>
  <conditionalFormatting sqref="I134:O193">
    <cfRule type="expression" priority="1" dxfId="0" stopIfTrue="1">
      <formula>$I134="Pago"</formula>
    </cfRule>
    <cfRule type="expression" priority="2" dxfId="3" stopIfTrue="1">
      <formula>$I134="Comprado (a pagar)"</formula>
    </cfRule>
    <cfRule type="expression" priority="3" dxfId="1" stopIfTrue="1">
      <formula>$I134="A comprar"</formula>
    </cfRule>
  </conditionalFormatting>
  <conditionalFormatting sqref="A134:O193">
    <cfRule type="expression" priority="4" dxfId="6">
      <formula>AND($E134&lt;&gt;"",$B134="")</formula>
    </cfRule>
  </conditionalFormatting>
  <conditionalFormatting sqref="E16:F22">
    <cfRule type="expression" priority="5" dxfId="4">
      <formula>AND($E16&lt;&gt;"",$E16&gt;0)</formula>
    </cfRule>
    <cfRule type="expression" priority="6" dxfId="5">
      <formula>AND($E16&lt;&gt;"",$E16&lt;0)</formula>
    </cfRule>
  </conditionalFormatting>
  <conditionalFormatting sqref="E96:F114">
    <cfRule type="expression" priority="7" dxfId="4">
      <formula>AND($E96&lt;&gt;"",$E96&gt;0)</formula>
    </cfRule>
    <cfRule type="expression" priority="8" dxfId="5">
      <formula>AND($E96&lt;&gt;"",$E96&lt;0)</formula>
    </cfRule>
  </conditionalFormatting>
  <conditionalFormatting sqref="J9">
    <cfRule type="expression" priority="9" dxfId="0" stopIfTrue="1">
      <formula>$J$9="No prazo"</formula>
    </cfRule>
    <cfRule type="expression" priority="10" dxfId="2">
      <formula>$J$9="Atrasado"</formula>
    </cfRule>
  </conditionalFormatting>
  <conditionalFormatting sqref="A13:J13">
    <cfRule type="expression" priority="11" dxfId="6">
      <formula>AND($G$13&lt;&gt;"",$G$13&lt;0.25)</formula>
    </cfRule>
  </conditionalFormatting>
  <dataValidations count="12">
    <dataValidation sqref="D10:E1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"Jan/2026,Fev/2026,Mar/2026,Abr/2026,Mai/2026,Jun/2026,Jul/2026,Ago/2026,Set/2026,Out/2026,Nov/2026,Dez/2026,Jan/2027,Fev/2027,Mar/2027,Abr/2027,Mai/2027,Jun/2027,Jul/2027,Ago/2027,Set/2027,Out/2027,Nov/2027,Dez/2027"</formula1>
    </dataValidation>
    <dataValidation sqref="D49:D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H49:H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  <dataValidation sqref="L49:L60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"Lorrane,Lucas,Externo / avulso"</formula1>
    </dataValidation>
    <dataValidation sqref="H66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A74:A91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avulso,Lorrane,Lucas,Externo / avulso,Bruna"</formula1>
    </dataValidation>
    <dataValidation sqref="B118:B12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"Erro de projeto,Erro de medição,Erro de produção,Erro de montagem,Falha de material,Dano no transporte,Mudança pedida pelo cliente,Falha de fornecedor,Outro"</formula1>
    </dataValidation>
    <dataValidation sqref="B134:B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"MDF e MDP,Fita de borda,Ferragens,Vidros e espelhos,Esquadrias,Lâmina natural,Consumíveis,Acabamento,Serralheria,Vidraceiro,Outro terceirizado,Uber e aplicativo,Carreto e entrega,Deslocamento da equipe,Frete de material,Estacionamento e pedágio"</formula1>
    </dataValidation>
    <dataValidation sqref="G134:G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"PIX,Boleto,Cartão de crédito,Cartão parcelado,Dinheiro,Transferência,Faturado 30 dias,A combinar"</formula1>
    </dataValidation>
    <dataValidation sqref="I134:I193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"A comprar,Comprado (a pagar),Pago"</formula1>
    </dataValidation>
    <dataValidation sqref="D9:E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"Jonathan,Vitor,Indicação,Arquiteto parceiro,Outro"</formula1>
    </dataValidation>
    <dataValidation sqref="F9:G9" showDropDown="0" showInputMessage="0" showErrorMessage="1" allowBlank="1" errorTitle="Fora da lista" error="Este valor não está na lista. Você pode manter, mas os totais só somam o que estiver escrito exatamente como na aba Listas." type="list" errorStyle="warning">
      <formula1>"Deivison,Ronald,Samuel,Cesar,Jhon,Joelson,Davi,Jomar,Bruno,Wallace,Douglas,Terceiro / avulso"</formula1>
    </dataValidation>
  </dataValidations>
  <pageMargins left="0.4" right="0.3" top="0.4" bottom="0.3" header="0.5" footer="0.5"/>
  <pageSetup orientation="landscape" paperSize="9" fitToHeight="0" fitToWidth="1"/>
</worksheet>
</file>

<file path=xl/worksheets/sheet21.xml><?xml version="1.0" encoding="utf-8"?>
<worksheet xmlns="http://schemas.openxmlformats.org/spreadsheetml/2006/main">
  <sheetPr>
    <tabColor rgb="00C2A05A"/>
    <outlinePr summaryBelow="1" summaryRight="1"/>
    <pageSetUpPr/>
  </sheetPr>
  <dimension ref="A1:V20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9" customWidth="1" min="4" max="4"/>
    <col width="15" customWidth="1" min="5" max="5"/>
    <col width="16" customWidth="1" min="6" max="6"/>
    <col width="9" customWidth="1" min="7" max="7"/>
    <col width="15" customWidth="1" min="8" max="8"/>
    <col width="12" customWidth="1" min="9" max="9"/>
    <col width="16" customWidth="1" min="10" max="10"/>
    <col width="9" customWidth="1" min="11" max="11"/>
    <col width="15" customWidth="1" min="12" max="12"/>
    <col width="12" customWidth="1" min="13" max="13"/>
    <col width="16" customWidth="1" min="14" max="14"/>
    <col width="9" customWidth="1" min="15" max="15"/>
    <col width="15" customWidth="1" min="16" max="16"/>
    <col width="15" customWidth="1" min="17" max="17"/>
    <col width="12" customWidth="1" min="18" max="18"/>
    <col width="16" customWidth="1" min="19" max="19"/>
    <col width="15" customWidth="1" min="20" max="20"/>
    <col width="16" customWidth="1" min="21" max="21"/>
    <col width="15" customWidth="1" min="22" max="22"/>
  </cols>
  <sheetData>
    <row r="1" ht="30" customHeight="1">
      <c r="A1" s="99" t="inlineStr">
        <is>
          <t>Projeto</t>
        </is>
      </c>
      <c r="B1" s="99" t="inlineStr">
        <is>
          <t>Cliente</t>
        </is>
      </c>
      <c r="C1" s="99" t="inlineStr">
        <is>
          <t>Ambiente</t>
        </is>
      </c>
      <c r="D1" s="99" t="inlineStr">
        <is>
          <t>% do total</t>
        </is>
      </c>
      <c r="E1" s="99" t="inlineStr">
        <is>
          <t>Valor do ambiente</t>
        </is>
      </c>
      <c r="F1" s="99" t="inlineStr">
        <is>
          <t>Produção — quem</t>
        </is>
      </c>
      <c r="G1" s="99" t="inlineStr">
        <is>
          <t>% produção</t>
        </is>
      </c>
      <c r="H1" s="99" t="inlineStr">
        <is>
          <t>Comissão produção</t>
        </is>
      </c>
      <c r="I1" s="99" t="inlineStr">
        <is>
          <t>Fabricado em</t>
        </is>
      </c>
      <c r="J1" s="99" t="inlineStr">
        <is>
          <t>Montagem — quem</t>
        </is>
      </c>
      <c r="K1" s="99" t="inlineStr">
        <is>
          <t>% montagem</t>
        </is>
      </c>
      <c r="L1" s="99" t="inlineStr">
        <is>
          <t>Comissão montagem</t>
        </is>
      </c>
      <c r="M1" s="99" t="inlineStr">
        <is>
          <t>Montado em</t>
        </is>
      </c>
      <c r="N1" s="99" t="inlineStr">
        <is>
          <t>Projetista — quem</t>
        </is>
      </c>
      <c r="O1" s="99" t="inlineStr">
        <is>
          <t>% projeto</t>
        </is>
      </c>
      <c r="P1" s="99" t="inlineStr">
        <is>
          <t>Comissão projetista</t>
        </is>
      </c>
      <c r="Q1" s="99" t="inlineStr">
        <is>
          <t>Total do ambiente</t>
        </is>
      </c>
      <c r="R1" s="99" t="inlineStr">
        <is>
          <t>Data de entrada</t>
        </is>
      </c>
      <c r="S1" s="99" t="inlineStr">
        <is>
          <t>Coordenador</t>
        </is>
      </c>
      <c r="T1" s="99" t="inlineStr">
        <is>
          <t>Comissão coordenação</t>
        </is>
      </c>
      <c r="U1" s="99" t="inlineStr">
        <is>
          <t>Receita líquida do projeto</t>
        </is>
      </c>
      <c r="V1" s="99" t="inlineStr">
        <is>
          <t>Valor de venda</t>
        </is>
      </c>
    </row>
    <row r="2">
      <c r="A2" s="100">
        <f>IF($C2="","",'Painel Geral'!$B$11)</f>
        <v/>
      </c>
      <c r="B2" s="100">
        <f>IF($C2="","",'Painel Geral'!$C$11)</f>
        <v/>
      </c>
      <c r="C2" s="100">
        <f>IF('Ana Carolina '!$A$49="","",'Ana Carolina '!$A$49)</f>
        <v/>
      </c>
      <c r="D2" s="101">
        <f>IF('Ana Carolina '!$B$49="","",'Ana Carolina '!$B$49)</f>
        <v/>
      </c>
      <c r="E2" s="102">
        <f>IF('Ana Carolina '!$C$49="","",'Ana Carolina '!$C$49)</f>
        <v/>
      </c>
      <c r="F2" s="100">
        <f>IF('Ana Carolina '!$D$49="","",'Ana Carolina '!$D$49)</f>
        <v/>
      </c>
      <c r="G2" s="101">
        <f>IF('Ana Carolina '!$E$49="","",'Ana Carolina '!$E$49)</f>
        <v/>
      </c>
      <c r="H2" s="102">
        <f>IF('Ana Carolina '!$F$49="","",'Ana Carolina '!$F$49)</f>
        <v/>
      </c>
      <c r="I2" s="103">
        <f>IF('Ana Carolina '!$G$49="","",'Ana Carolina '!$G$49)</f>
        <v/>
      </c>
      <c r="J2" s="100">
        <f>IF('Ana Carolina '!$H$49="","",'Ana Carolina '!$H$49)</f>
        <v/>
      </c>
      <c r="K2" s="101">
        <f>IF('Ana Carolina '!$I$49="","",'Ana Carolina '!$I$49)</f>
        <v/>
      </c>
      <c r="L2" s="102">
        <f>IF('Ana Carolina '!$J$49="","",'Ana Carolina '!$J$49)</f>
        <v/>
      </c>
      <c r="M2" s="103">
        <f>IF('Ana Carolina '!$K$49="","",'Ana Carolina '!$K$49)</f>
        <v/>
      </c>
      <c r="N2" s="100">
        <f>IF('Ana Carolina '!$L$49="","",'Ana Carolina '!$L$49)</f>
        <v/>
      </c>
      <c r="O2" s="101">
        <f>IF('Ana Carolina '!$M$49="","",'Ana Carolina '!$M$49)</f>
        <v/>
      </c>
      <c r="P2" s="102">
        <f>IF('Ana Carolina '!$N$49="","",'Ana Carolina '!$N$49)</f>
        <v/>
      </c>
      <c r="Q2" s="102">
        <f>IF('Ana Carolina '!$O$49="","",'Ana Carolina '!$O$49)</f>
        <v/>
      </c>
      <c r="R2" s="103">
        <f>IF($C2="","",IF('Ana Carolina '!$F$7="","",'Ana Carolina '!$F$7))</f>
        <v/>
      </c>
      <c r="S2" s="100">
        <f>IF($C2="","",IF('Ana Carolina '!$F$9="","",'Ana Carolina '!$F$9))</f>
        <v/>
      </c>
      <c r="T2" s="102">
        <f>IF($C2="","",IF('Ana Carolina '!$D$65="",0,'Ana Carolina '!$D$65))</f>
        <v/>
      </c>
      <c r="U2" s="102">
        <f>IF($C2="","",IF('Ana Carolina '!$D$45="",0,'Ana Carolina '!$D$45))</f>
        <v/>
      </c>
      <c r="V2" s="102">
        <f>IF($C2="","",IF('Ana Carolina '!$A$13="",0,'Ana Carolina '!$A$13))</f>
        <v/>
      </c>
    </row>
    <row r="3">
      <c r="A3" s="100">
        <f>IF($C3="","",'Painel Geral'!$B$11)</f>
        <v/>
      </c>
      <c r="B3" s="100">
        <f>IF($C3="","",'Painel Geral'!$C$11)</f>
        <v/>
      </c>
      <c r="C3" s="100">
        <f>IF('Ana Carolina '!$A$50="","",'Ana Carolina '!$A$50)</f>
        <v/>
      </c>
      <c r="D3" s="101">
        <f>IF('Ana Carolina '!$B$50="","",'Ana Carolina '!$B$50)</f>
        <v/>
      </c>
      <c r="E3" s="102">
        <f>IF('Ana Carolina '!$C$50="","",'Ana Carolina '!$C$50)</f>
        <v/>
      </c>
      <c r="F3" s="100">
        <f>IF('Ana Carolina '!$D$50="","",'Ana Carolina '!$D$50)</f>
        <v/>
      </c>
      <c r="G3" s="101">
        <f>IF('Ana Carolina '!$E$50="","",'Ana Carolina '!$E$50)</f>
        <v/>
      </c>
      <c r="H3" s="102">
        <f>IF('Ana Carolina '!$F$50="","",'Ana Carolina '!$F$50)</f>
        <v/>
      </c>
      <c r="I3" s="103">
        <f>IF('Ana Carolina '!$G$50="","",'Ana Carolina '!$G$50)</f>
        <v/>
      </c>
      <c r="J3" s="100">
        <f>IF('Ana Carolina '!$H$50="","",'Ana Carolina '!$H$50)</f>
        <v/>
      </c>
      <c r="K3" s="101">
        <f>IF('Ana Carolina '!$I$50="","",'Ana Carolina '!$I$50)</f>
        <v/>
      </c>
      <c r="L3" s="102">
        <f>IF('Ana Carolina '!$J$50="","",'Ana Carolina '!$J$50)</f>
        <v/>
      </c>
      <c r="M3" s="103">
        <f>IF('Ana Carolina '!$K$50="","",'Ana Carolina '!$K$50)</f>
        <v/>
      </c>
      <c r="N3" s="100">
        <f>IF('Ana Carolina '!$L$50="","",'Ana Carolina '!$L$50)</f>
        <v/>
      </c>
      <c r="O3" s="101">
        <f>IF('Ana Carolina '!$M$50="","",'Ana Carolina '!$M$50)</f>
        <v/>
      </c>
      <c r="P3" s="102">
        <f>IF('Ana Carolina '!$N$50="","",'Ana Carolina '!$N$50)</f>
        <v/>
      </c>
      <c r="Q3" s="102">
        <f>IF('Ana Carolina '!$O$50="","",'Ana Carolina '!$O$50)</f>
        <v/>
      </c>
      <c r="R3" s="103">
        <f>IF($C3="","",IF('Ana Carolina '!$F$7="","",'Ana Carolina '!$F$7))</f>
        <v/>
      </c>
      <c r="S3" s="100" t="n"/>
      <c r="T3" s="102" t="n"/>
      <c r="U3" s="102" t="n"/>
      <c r="V3" s="102" t="n"/>
    </row>
    <row r="4">
      <c r="A4" s="100">
        <f>IF($C4="","",'Painel Geral'!$B$11)</f>
        <v/>
      </c>
      <c r="B4" s="100">
        <f>IF($C4="","",'Painel Geral'!$C$11)</f>
        <v/>
      </c>
      <c r="C4" s="100">
        <f>IF('Ana Carolina '!$A$51="","",'Ana Carolina '!$A$51)</f>
        <v/>
      </c>
      <c r="D4" s="101">
        <f>IF('Ana Carolina '!$B$51="","",'Ana Carolina '!$B$51)</f>
        <v/>
      </c>
      <c r="E4" s="102">
        <f>IF('Ana Carolina '!$C$51="","",'Ana Carolina '!$C$51)</f>
        <v/>
      </c>
      <c r="F4" s="100">
        <f>IF('Ana Carolina '!$D$51="","",'Ana Carolina '!$D$51)</f>
        <v/>
      </c>
      <c r="G4" s="101">
        <f>IF('Ana Carolina '!$E$51="","",'Ana Carolina '!$E$51)</f>
        <v/>
      </c>
      <c r="H4" s="102">
        <f>IF('Ana Carolina '!$F$51="","",'Ana Carolina '!$F$51)</f>
        <v/>
      </c>
      <c r="I4" s="103">
        <f>IF('Ana Carolina '!$G$51="","",'Ana Carolina '!$G$51)</f>
        <v/>
      </c>
      <c r="J4" s="100">
        <f>IF('Ana Carolina '!$H$51="","",'Ana Carolina '!$H$51)</f>
        <v/>
      </c>
      <c r="K4" s="101">
        <f>IF('Ana Carolina '!$I$51="","",'Ana Carolina '!$I$51)</f>
        <v/>
      </c>
      <c r="L4" s="102">
        <f>IF('Ana Carolina '!$J$51="","",'Ana Carolina '!$J$51)</f>
        <v/>
      </c>
      <c r="M4" s="103">
        <f>IF('Ana Carolina '!$K$51="","",'Ana Carolina '!$K$51)</f>
        <v/>
      </c>
      <c r="N4" s="100">
        <f>IF('Ana Carolina '!$L$51="","",'Ana Carolina '!$L$51)</f>
        <v/>
      </c>
      <c r="O4" s="101">
        <f>IF('Ana Carolina '!$M$51="","",'Ana Carolina '!$M$51)</f>
        <v/>
      </c>
      <c r="P4" s="102">
        <f>IF('Ana Carolina '!$N$51="","",'Ana Carolina '!$N$51)</f>
        <v/>
      </c>
      <c r="Q4" s="102">
        <f>IF('Ana Carolina '!$O$51="","",'Ana Carolina '!$O$51)</f>
        <v/>
      </c>
      <c r="R4" s="103">
        <f>IF($C4="","",IF('Ana Carolina '!$F$7="","",'Ana Carolina '!$F$7))</f>
        <v/>
      </c>
      <c r="S4" s="100" t="n"/>
      <c r="T4" s="102" t="n"/>
      <c r="U4" s="102" t="n"/>
      <c r="V4" s="102" t="n"/>
    </row>
    <row r="5">
      <c r="A5" s="100">
        <f>IF($C5="","",'Painel Geral'!$B$11)</f>
        <v/>
      </c>
      <c r="B5" s="100">
        <f>IF($C5="","",'Painel Geral'!$C$11)</f>
        <v/>
      </c>
      <c r="C5" s="100">
        <f>IF('Ana Carolina '!$A$52="","",'Ana Carolina '!$A$52)</f>
        <v/>
      </c>
      <c r="D5" s="101">
        <f>IF('Ana Carolina '!$B$52="","",'Ana Carolina '!$B$52)</f>
        <v/>
      </c>
      <c r="E5" s="102">
        <f>IF('Ana Carolina '!$C$52="","",'Ana Carolina '!$C$52)</f>
        <v/>
      </c>
      <c r="F5" s="100">
        <f>IF('Ana Carolina '!$D$52="","",'Ana Carolina '!$D$52)</f>
        <v/>
      </c>
      <c r="G5" s="101">
        <f>IF('Ana Carolina '!$E$52="","",'Ana Carolina '!$E$52)</f>
        <v/>
      </c>
      <c r="H5" s="102">
        <f>IF('Ana Carolina '!$F$52="","",'Ana Carolina '!$F$52)</f>
        <v/>
      </c>
      <c r="I5" s="103">
        <f>IF('Ana Carolina '!$G$52="","",'Ana Carolina '!$G$52)</f>
        <v/>
      </c>
      <c r="J5" s="100">
        <f>IF('Ana Carolina '!$H$52="","",'Ana Carolina '!$H$52)</f>
        <v/>
      </c>
      <c r="K5" s="101">
        <f>IF('Ana Carolina '!$I$52="","",'Ana Carolina '!$I$52)</f>
        <v/>
      </c>
      <c r="L5" s="102">
        <f>IF('Ana Carolina '!$J$52="","",'Ana Carolina '!$J$52)</f>
        <v/>
      </c>
      <c r="M5" s="103">
        <f>IF('Ana Carolina '!$K$52="","",'Ana Carolina '!$K$52)</f>
        <v/>
      </c>
      <c r="N5" s="100">
        <f>IF('Ana Carolina '!$L$52="","",'Ana Carolina '!$L$52)</f>
        <v/>
      </c>
      <c r="O5" s="101">
        <f>IF('Ana Carolina '!$M$52="","",'Ana Carolina '!$M$52)</f>
        <v/>
      </c>
      <c r="P5" s="102">
        <f>IF('Ana Carolina '!$N$52="","",'Ana Carolina '!$N$52)</f>
        <v/>
      </c>
      <c r="Q5" s="102">
        <f>IF('Ana Carolina '!$O$52="","",'Ana Carolina '!$O$52)</f>
        <v/>
      </c>
      <c r="R5" s="103">
        <f>IF($C5="","",IF('Ana Carolina '!$F$7="","",'Ana Carolina '!$F$7))</f>
        <v/>
      </c>
      <c r="S5" s="100" t="n"/>
      <c r="T5" s="102" t="n"/>
      <c r="U5" s="102" t="n"/>
      <c r="V5" s="102" t="n"/>
    </row>
    <row r="6">
      <c r="A6" s="100">
        <f>IF($C6="","",'Painel Geral'!$B$11)</f>
        <v/>
      </c>
      <c r="B6" s="100">
        <f>IF($C6="","",'Painel Geral'!$C$11)</f>
        <v/>
      </c>
      <c r="C6" s="100">
        <f>IF('Ana Carolina '!$A$53="","",'Ana Carolina '!$A$53)</f>
        <v/>
      </c>
      <c r="D6" s="101">
        <f>IF('Ana Carolina '!$B$53="","",'Ana Carolina '!$B$53)</f>
        <v/>
      </c>
      <c r="E6" s="102">
        <f>IF('Ana Carolina '!$C$53="","",'Ana Carolina '!$C$53)</f>
        <v/>
      </c>
      <c r="F6" s="100">
        <f>IF('Ana Carolina '!$D$53="","",'Ana Carolina '!$D$53)</f>
        <v/>
      </c>
      <c r="G6" s="101">
        <f>IF('Ana Carolina '!$E$53="","",'Ana Carolina '!$E$53)</f>
        <v/>
      </c>
      <c r="H6" s="102">
        <f>IF('Ana Carolina '!$F$53="","",'Ana Carolina '!$F$53)</f>
        <v/>
      </c>
      <c r="I6" s="103">
        <f>IF('Ana Carolina '!$G$53="","",'Ana Carolina '!$G$53)</f>
        <v/>
      </c>
      <c r="J6" s="100">
        <f>IF('Ana Carolina '!$H$53="","",'Ana Carolina '!$H$53)</f>
        <v/>
      </c>
      <c r="K6" s="101">
        <f>IF('Ana Carolina '!$I$53="","",'Ana Carolina '!$I$53)</f>
        <v/>
      </c>
      <c r="L6" s="102">
        <f>IF('Ana Carolina '!$J$53="","",'Ana Carolina '!$J$53)</f>
        <v/>
      </c>
      <c r="M6" s="103">
        <f>IF('Ana Carolina '!$K$53="","",'Ana Carolina '!$K$53)</f>
        <v/>
      </c>
      <c r="N6" s="100">
        <f>IF('Ana Carolina '!$L$53="","",'Ana Carolina '!$L$53)</f>
        <v/>
      </c>
      <c r="O6" s="101">
        <f>IF('Ana Carolina '!$M$53="","",'Ana Carolina '!$M$53)</f>
        <v/>
      </c>
      <c r="P6" s="102">
        <f>IF('Ana Carolina '!$N$53="","",'Ana Carolina '!$N$53)</f>
        <v/>
      </c>
      <c r="Q6" s="102">
        <f>IF('Ana Carolina '!$O$53="","",'Ana Carolina '!$O$53)</f>
        <v/>
      </c>
      <c r="R6" s="103">
        <f>IF($C6="","",IF('Ana Carolina '!$F$7="","",'Ana Carolina '!$F$7))</f>
        <v/>
      </c>
      <c r="S6" s="100" t="n"/>
      <c r="T6" s="102" t="n"/>
      <c r="U6" s="102" t="n"/>
      <c r="V6" s="102" t="n"/>
    </row>
    <row r="7">
      <c r="A7" s="100">
        <f>IF($C7="","",'Painel Geral'!$B$11)</f>
        <v/>
      </c>
      <c r="B7" s="100">
        <f>IF($C7="","",'Painel Geral'!$C$11)</f>
        <v/>
      </c>
      <c r="C7" s="100">
        <f>IF('Ana Carolina '!$A$54="","",'Ana Carolina '!$A$54)</f>
        <v/>
      </c>
      <c r="D7" s="101">
        <f>IF('Ana Carolina '!$B$54="","",'Ana Carolina '!$B$54)</f>
        <v/>
      </c>
      <c r="E7" s="102">
        <f>IF('Ana Carolina '!$C$54="","",'Ana Carolina '!$C$54)</f>
        <v/>
      </c>
      <c r="F7" s="100">
        <f>IF('Ana Carolina '!$D$54="","",'Ana Carolina '!$D$54)</f>
        <v/>
      </c>
      <c r="G7" s="101">
        <f>IF('Ana Carolina '!$E$54="","",'Ana Carolina '!$E$54)</f>
        <v/>
      </c>
      <c r="H7" s="102">
        <f>IF('Ana Carolina '!$F$54="","",'Ana Carolina '!$F$54)</f>
        <v/>
      </c>
      <c r="I7" s="103">
        <f>IF('Ana Carolina '!$G$54="","",'Ana Carolina '!$G$54)</f>
        <v/>
      </c>
      <c r="J7" s="100">
        <f>IF('Ana Carolina '!$H$54="","",'Ana Carolina '!$H$54)</f>
        <v/>
      </c>
      <c r="K7" s="101">
        <f>IF('Ana Carolina '!$I$54="","",'Ana Carolina '!$I$54)</f>
        <v/>
      </c>
      <c r="L7" s="102">
        <f>IF('Ana Carolina '!$J$54="","",'Ana Carolina '!$J$54)</f>
        <v/>
      </c>
      <c r="M7" s="103">
        <f>IF('Ana Carolina '!$K$54="","",'Ana Carolina '!$K$54)</f>
        <v/>
      </c>
      <c r="N7" s="100">
        <f>IF('Ana Carolina '!$L$54="","",'Ana Carolina '!$L$54)</f>
        <v/>
      </c>
      <c r="O7" s="101">
        <f>IF('Ana Carolina '!$M$54="","",'Ana Carolina '!$M$54)</f>
        <v/>
      </c>
      <c r="P7" s="102">
        <f>IF('Ana Carolina '!$N$54="","",'Ana Carolina '!$N$54)</f>
        <v/>
      </c>
      <c r="Q7" s="102">
        <f>IF('Ana Carolina '!$O$54="","",'Ana Carolina '!$O$54)</f>
        <v/>
      </c>
      <c r="R7" s="103">
        <f>IF($C7="","",IF('Ana Carolina '!$F$7="","",'Ana Carolina '!$F$7))</f>
        <v/>
      </c>
      <c r="S7" s="100" t="n"/>
      <c r="T7" s="102" t="n"/>
      <c r="U7" s="102" t="n"/>
      <c r="V7" s="102" t="n"/>
    </row>
    <row r="8">
      <c r="A8" s="100">
        <f>IF($C8="","",'Painel Geral'!$B$11)</f>
        <v/>
      </c>
      <c r="B8" s="100">
        <f>IF($C8="","",'Painel Geral'!$C$11)</f>
        <v/>
      </c>
      <c r="C8" s="100">
        <f>IF('Ana Carolina '!$A$55="","",'Ana Carolina '!$A$55)</f>
        <v/>
      </c>
      <c r="D8" s="101">
        <f>IF('Ana Carolina '!$B$55="","",'Ana Carolina '!$B$55)</f>
        <v/>
      </c>
      <c r="E8" s="102">
        <f>IF('Ana Carolina '!$C$55="","",'Ana Carolina '!$C$55)</f>
        <v/>
      </c>
      <c r="F8" s="100">
        <f>IF('Ana Carolina '!$D$55="","",'Ana Carolina '!$D$55)</f>
        <v/>
      </c>
      <c r="G8" s="101">
        <f>IF('Ana Carolina '!$E$55="","",'Ana Carolina '!$E$55)</f>
        <v/>
      </c>
      <c r="H8" s="102">
        <f>IF('Ana Carolina '!$F$55="","",'Ana Carolina '!$F$55)</f>
        <v/>
      </c>
      <c r="I8" s="103">
        <f>IF('Ana Carolina '!$G$55="","",'Ana Carolina '!$G$55)</f>
        <v/>
      </c>
      <c r="J8" s="100">
        <f>IF('Ana Carolina '!$H$55="","",'Ana Carolina '!$H$55)</f>
        <v/>
      </c>
      <c r="K8" s="101">
        <f>IF('Ana Carolina '!$I$55="","",'Ana Carolina '!$I$55)</f>
        <v/>
      </c>
      <c r="L8" s="102">
        <f>IF('Ana Carolina '!$J$55="","",'Ana Carolina '!$J$55)</f>
        <v/>
      </c>
      <c r="M8" s="103">
        <f>IF('Ana Carolina '!$K$55="","",'Ana Carolina '!$K$55)</f>
        <v/>
      </c>
      <c r="N8" s="100">
        <f>IF('Ana Carolina '!$L$55="","",'Ana Carolina '!$L$55)</f>
        <v/>
      </c>
      <c r="O8" s="101">
        <f>IF('Ana Carolina '!$M$55="","",'Ana Carolina '!$M$55)</f>
        <v/>
      </c>
      <c r="P8" s="102">
        <f>IF('Ana Carolina '!$N$55="","",'Ana Carolina '!$N$55)</f>
        <v/>
      </c>
      <c r="Q8" s="102">
        <f>IF('Ana Carolina '!$O$55="","",'Ana Carolina '!$O$55)</f>
        <v/>
      </c>
      <c r="R8" s="103">
        <f>IF($C8="","",IF('Ana Carolina '!$F$7="","",'Ana Carolina '!$F$7))</f>
        <v/>
      </c>
      <c r="S8" s="100" t="n"/>
      <c r="T8" s="102" t="n"/>
      <c r="U8" s="102" t="n"/>
      <c r="V8" s="102" t="n"/>
    </row>
    <row r="9">
      <c r="A9" s="100">
        <f>IF($C9="","",'Painel Geral'!$B$11)</f>
        <v/>
      </c>
      <c r="B9" s="100">
        <f>IF($C9="","",'Painel Geral'!$C$11)</f>
        <v/>
      </c>
      <c r="C9" s="100">
        <f>IF('Ana Carolina '!$A$56="","",'Ana Carolina '!$A$56)</f>
        <v/>
      </c>
      <c r="D9" s="101">
        <f>IF('Ana Carolina '!$B$56="","",'Ana Carolina '!$B$56)</f>
        <v/>
      </c>
      <c r="E9" s="102">
        <f>IF('Ana Carolina '!$C$56="","",'Ana Carolina '!$C$56)</f>
        <v/>
      </c>
      <c r="F9" s="100">
        <f>IF('Ana Carolina '!$D$56="","",'Ana Carolina '!$D$56)</f>
        <v/>
      </c>
      <c r="G9" s="101">
        <f>IF('Ana Carolina '!$E$56="","",'Ana Carolina '!$E$56)</f>
        <v/>
      </c>
      <c r="H9" s="102">
        <f>IF('Ana Carolina '!$F$56="","",'Ana Carolina '!$F$56)</f>
        <v/>
      </c>
      <c r="I9" s="103">
        <f>IF('Ana Carolina '!$G$56="","",'Ana Carolina '!$G$56)</f>
        <v/>
      </c>
      <c r="J9" s="100">
        <f>IF('Ana Carolina '!$H$56="","",'Ana Carolina '!$H$56)</f>
        <v/>
      </c>
      <c r="K9" s="101">
        <f>IF('Ana Carolina '!$I$56="","",'Ana Carolina '!$I$56)</f>
        <v/>
      </c>
      <c r="L9" s="102">
        <f>IF('Ana Carolina '!$J$56="","",'Ana Carolina '!$J$56)</f>
        <v/>
      </c>
      <c r="M9" s="103">
        <f>IF('Ana Carolina '!$K$56="","",'Ana Carolina '!$K$56)</f>
        <v/>
      </c>
      <c r="N9" s="100">
        <f>IF('Ana Carolina '!$L$56="","",'Ana Carolina '!$L$56)</f>
        <v/>
      </c>
      <c r="O9" s="101">
        <f>IF('Ana Carolina '!$M$56="","",'Ana Carolina '!$M$56)</f>
        <v/>
      </c>
      <c r="P9" s="102">
        <f>IF('Ana Carolina '!$N$56="","",'Ana Carolina '!$N$56)</f>
        <v/>
      </c>
      <c r="Q9" s="102">
        <f>IF('Ana Carolina '!$O$56="","",'Ana Carolina '!$O$56)</f>
        <v/>
      </c>
      <c r="R9" s="103">
        <f>IF($C9="","",IF('Ana Carolina '!$F$7="","",'Ana Carolina '!$F$7))</f>
        <v/>
      </c>
      <c r="S9" s="100" t="n"/>
      <c r="T9" s="102" t="n"/>
      <c r="U9" s="102" t="n"/>
      <c r="V9" s="102" t="n"/>
    </row>
    <row r="10">
      <c r="A10" s="100">
        <f>IF($C10="","",'Painel Geral'!$B$11)</f>
        <v/>
      </c>
      <c r="B10" s="100">
        <f>IF($C10="","",'Painel Geral'!$C$11)</f>
        <v/>
      </c>
      <c r="C10" s="100">
        <f>IF('Ana Carolina '!$A$57="","",'Ana Carolina '!$A$57)</f>
        <v/>
      </c>
      <c r="D10" s="101">
        <f>IF('Ana Carolina '!$B$57="","",'Ana Carolina '!$B$57)</f>
        <v/>
      </c>
      <c r="E10" s="102">
        <f>IF('Ana Carolina '!$C$57="","",'Ana Carolina '!$C$57)</f>
        <v/>
      </c>
      <c r="F10" s="100">
        <f>IF('Ana Carolina '!$D$57="","",'Ana Carolina '!$D$57)</f>
        <v/>
      </c>
      <c r="G10" s="101">
        <f>IF('Ana Carolina '!$E$57="","",'Ana Carolina '!$E$57)</f>
        <v/>
      </c>
      <c r="H10" s="102">
        <f>IF('Ana Carolina '!$F$57="","",'Ana Carolina '!$F$57)</f>
        <v/>
      </c>
      <c r="I10" s="103">
        <f>IF('Ana Carolina '!$G$57="","",'Ana Carolina '!$G$57)</f>
        <v/>
      </c>
      <c r="J10" s="100">
        <f>IF('Ana Carolina '!$H$57="","",'Ana Carolina '!$H$57)</f>
        <v/>
      </c>
      <c r="K10" s="101">
        <f>IF('Ana Carolina '!$I$57="","",'Ana Carolina '!$I$57)</f>
        <v/>
      </c>
      <c r="L10" s="102">
        <f>IF('Ana Carolina '!$J$57="","",'Ana Carolina '!$J$57)</f>
        <v/>
      </c>
      <c r="M10" s="103">
        <f>IF('Ana Carolina '!$K$57="","",'Ana Carolina '!$K$57)</f>
        <v/>
      </c>
      <c r="N10" s="100">
        <f>IF('Ana Carolina '!$L$57="","",'Ana Carolina '!$L$57)</f>
        <v/>
      </c>
      <c r="O10" s="101">
        <f>IF('Ana Carolina '!$M$57="","",'Ana Carolina '!$M$57)</f>
        <v/>
      </c>
      <c r="P10" s="102">
        <f>IF('Ana Carolina '!$N$57="","",'Ana Carolina '!$N$57)</f>
        <v/>
      </c>
      <c r="Q10" s="102">
        <f>IF('Ana Carolina '!$O$57="","",'Ana Carolina '!$O$57)</f>
        <v/>
      </c>
      <c r="R10" s="103">
        <f>IF($C10="","",IF('Ana Carolina '!$F$7="","",'Ana Carolina '!$F$7))</f>
        <v/>
      </c>
      <c r="S10" s="100" t="n"/>
      <c r="T10" s="102" t="n"/>
      <c r="U10" s="102" t="n"/>
      <c r="V10" s="102" t="n"/>
    </row>
    <row r="11">
      <c r="A11" s="100">
        <f>IF($C11="","",'Painel Geral'!$B$11)</f>
        <v/>
      </c>
      <c r="B11" s="100">
        <f>IF($C11="","",'Painel Geral'!$C$11)</f>
        <v/>
      </c>
      <c r="C11" s="100">
        <f>IF('Ana Carolina '!$A$58="","",'Ana Carolina '!$A$58)</f>
        <v/>
      </c>
      <c r="D11" s="101">
        <f>IF('Ana Carolina '!$B$58="","",'Ana Carolina '!$B$58)</f>
        <v/>
      </c>
      <c r="E11" s="102">
        <f>IF('Ana Carolina '!$C$58="","",'Ana Carolina '!$C$58)</f>
        <v/>
      </c>
      <c r="F11" s="100">
        <f>IF('Ana Carolina '!$D$58="","",'Ana Carolina '!$D$58)</f>
        <v/>
      </c>
      <c r="G11" s="101">
        <f>IF('Ana Carolina '!$E$58="","",'Ana Carolina '!$E$58)</f>
        <v/>
      </c>
      <c r="H11" s="102">
        <f>IF('Ana Carolina '!$F$58="","",'Ana Carolina '!$F$58)</f>
        <v/>
      </c>
      <c r="I11" s="103">
        <f>IF('Ana Carolina '!$G$58="","",'Ana Carolina '!$G$58)</f>
        <v/>
      </c>
      <c r="J11" s="100">
        <f>IF('Ana Carolina '!$H$58="","",'Ana Carolina '!$H$58)</f>
        <v/>
      </c>
      <c r="K11" s="101">
        <f>IF('Ana Carolina '!$I$58="","",'Ana Carolina '!$I$58)</f>
        <v/>
      </c>
      <c r="L11" s="102">
        <f>IF('Ana Carolina '!$J$58="","",'Ana Carolina '!$J$58)</f>
        <v/>
      </c>
      <c r="M11" s="103">
        <f>IF('Ana Carolina '!$K$58="","",'Ana Carolina '!$K$58)</f>
        <v/>
      </c>
      <c r="N11" s="100">
        <f>IF('Ana Carolina '!$L$58="","",'Ana Carolina '!$L$58)</f>
        <v/>
      </c>
      <c r="O11" s="101">
        <f>IF('Ana Carolina '!$M$58="","",'Ana Carolina '!$M$58)</f>
        <v/>
      </c>
      <c r="P11" s="102">
        <f>IF('Ana Carolina '!$N$58="","",'Ana Carolina '!$N$58)</f>
        <v/>
      </c>
      <c r="Q11" s="102">
        <f>IF('Ana Carolina '!$O$58="","",'Ana Carolina '!$O$58)</f>
        <v/>
      </c>
      <c r="R11" s="103">
        <f>IF($C11="","",IF('Ana Carolina '!$F$7="","",'Ana Carolina '!$F$7))</f>
        <v/>
      </c>
      <c r="S11" s="100" t="n"/>
      <c r="T11" s="102" t="n"/>
      <c r="U11" s="102" t="n"/>
      <c r="V11" s="102" t="n"/>
    </row>
    <row r="12">
      <c r="A12" s="100">
        <f>IF($C12="","",'Painel Geral'!$B$11)</f>
        <v/>
      </c>
      <c r="B12" s="100">
        <f>IF($C12="","",'Painel Geral'!$C$11)</f>
        <v/>
      </c>
      <c r="C12" s="100">
        <f>IF('Ana Carolina '!$A$59="","",'Ana Carolina '!$A$59)</f>
        <v/>
      </c>
      <c r="D12" s="101">
        <f>IF('Ana Carolina '!$B$59="","",'Ana Carolina '!$B$59)</f>
        <v/>
      </c>
      <c r="E12" s="102">
        <f>IF('Ana Carolina '!$C$59="","",'Ana Carolina '!$C$59)</f>
        <v/>
      </c>
      <c r="F12" s="100">
        <f>IF('Ana Carolina '!$D$59="","",'Ana Carolina '!$D$59)</f>
        <v/>
      </c>
      <c r="G12" s="101">
        <f>IF('Ana Carolina '!$E$59="","",'Ana Carolina '!$E$59)</f>
        <v/>
      </c>
      <c r="H12" s="102">
        <f>IF('Ana Carolina '!$F$59="","",'Ana Carolina '!$F$59)</f>
        <v/>
      </c>
      <c r="I12" s="103">
        <f>IF('Ana Carolina '!$G$59="","",'Ana Carolina '!$G$59)</f>
        <v/>
      </c>
      <c r="J12" s="100">
        <f>IF('Ana Carolina '!$H$59="","",'Ana Carolina '!$H$59)</f>
        <v/>
      </c>
      <c r="K12" s="101">
        <f>IF('Ana Carolina '!$I$59="","",'Ana Carolina '!$I$59)</f>
        <v/>
      </c>
      <c r="L12" s="102">
        <f>IF('Ana Carolina '!$J$59="","",'Ana Carolina '!$J$59)</f>
        <v/>
      </c>
      <c r="M12" s="103">
        <f>IF('Ana Carolina '!$K$59="","",'Ana Carolina '!$K$59)</f>
        <v/>
      </c>
      <c r="N12" s="100">
        <f>IF('Ana Carolina '!$L$59="","",'Ana Carolina '!$L$59)</f>
        <v/>
      </c>
      <c r="O12" s="101">
        <f>IF('Ana Carolina '!$M$59="","",'Ana Carolina '!$M$59)</f>
        <v/>
      </c>
      <c r="P12" s="102">
        <f>IF('Ana Carolina '!$N$59="","",'Ana Carolina '!$N$59)</f>
        <v/>
      </c>
      <c r="Q12" s="102">
        <f>IF('Ana Carolina '!$O$59="","",'Ana Carolina '!$O$59)</f>
        <v/>
      </c>
      <c r="R12" s="103">
        <f>IF($C12="","",IF('Ana Carolina '!$F$7="","",'Ana Carolina '!$F$7))</f>
        <v/>
      </c>
      <c r="S12" s="100" t="n"/>
      <c r="T12" s="102" t="n"/>
      <c r="U12" s="102" t="n"/>
      <c r="V12" s="102" t="n"/>
    </row>
    <row r="13">
      <c r="A13" s="100">
        <f>IF($C13="","",'Painel Geral'!$B$11)</f>
        <v/>
      </c>
      <c r="B13" s="100">
        <f>IF($C13="","",'Painel Geral'!$C$11)</f>
        <v/>
      </c>
      <c r="C13" s="100">
        <f>IF('Ana Carolina '!$A$60="","",'Ana Carolina '!$A$60)</f>
        <v/>
      </c>
      <c r="D13" s="101">
        <f>IF('Ana Carolina '!$B$60="","",'Ana Carolina '!$B$60)</f>
        <v/>
      </c>
      <c r="E13" s="102">
        <f>IF('Ana Carolina '!$C$60="","",'Ana Carolina '!$C$60)</f>
        <v/>
      </c>
      <c r="F13" s="100">
        <f>IF('Ana Carolina '!$D$60="","",'Ana Carolina '!$D$60)</f>
        <v/>
      </c>
      <c r="G13" s="101">
        <f>IF('Ana Carolina '!$E$60="","",'Ana Carolina '!$E$60)</f>
        <v/>
      </c>
      <c r="H13" s="102">
        <f>IF('Ana Carolina '!$F$60="","",'Ana Carolina '!$F$60)</f>
        <v/>
      </c>
      <c r="I13" s="103">
        <f>IF('Ana Carolina '!$G$60="","",'Ana Carolina '!$G$60)</f>
        <v/>
      </c>
      <c r="J13" s="100">
        <f>IF('Ana Carolina '!$H$60="","",'Ana Carolina '!$H$60)</f>
        <v/>
      </c>
      <c r="K13" s="101">
        <f>IF('Ana Carolina '!$I$60="","",'Ana Carolina '!$I$60)</f>
        <v/>
      </c>
      <c r="L13" s="102">
        <f>IF('Ana Carolina '!$J$60="","",'Ana Carolina '!$J$60)</f>
        <v/>
      </c>
      <c r="M13" s="103">
        <f>IF('Ana Carolina '!$K$60="","",'Ana Carolina '!$K$60)</f>
        <v/>
      </c>
      <c r="N13" s="100">
        <f>IF('Ana Carolina '!$L$60="","",'Ana Carolina '!$L$60)</f>
        <v/>
      </c>
      <c r="O13" s="101">
        <f>IF('Ana Carolina '!$M$60="","",'Ana Carolina '!$M$60)</f>
        <v/>
      </c>
      <c r="P13" s="102">
        <f>IF('Ana Carolina '!$N$60="","",'Ana Carolina '!$N$60)</f>
        <v/>
      </c>
      <c r="Q13" s="102">
        <f>IF('Ana Carolina '!$O$60="","",'Ana Carolina '!$O$60)</f>
        <v/>
      </c>
      <c r="R13" s="103">
        <f>IF($C13="","",IF('Ana Carolina '!$F$7="","",'Ana Carolina '!$F$7))</f>
        <v/>
      </c>
      <c r="S13" s="100" t="n"/>
      <c r="T13" s="102" t="n"/>
      <c r="U13" s="102" t="n"/>
      <c r="V13" s="102" t="n"/>
    </row>
    <row r="14">
      <c r="A14" s="100">
        <f>IF($C14="","",'Painel Geral'!$B$12)</f>
        <v/>
      </c>
      <c r="B14" s="100">
        <f>IF($C14="","",'Painel Geral'!$C$12)</f>
        <v/>
      </c>
      <c r="C14" s="100">
        <f>IF('Andrea '!$A$49="","",'Andrea '!$A$49)</f>
        <v/>
      </c>
      <c r="D14" s="101">
        <f>IF('Andrea '!$B$49="","",'Andrea '!$B$49)</f>
        <v/>
      </c>
      <c r="E14" s="102">
        <f>IF('Andrea '!$C$49="","",'Andrea '!$C$49)</f>
        <v/>
      </c>
      <c r="F14" s="100">
        <f>IF('Andrea '!$D$49="","",'Andrea '!$D$49)</f>
        <v/>
      </c>
      <c r="G14" s="101">
        <f>IF('Andrea '!$E$49="","",'Andrea '!$E$49)</f>
        <v/>
      </c>
      <c r="H14" s="102">
        <f>IF('Andrea '!$F$49="","",'Andrea '!$F$49)</f>
        <v/>
      </c>
      <c r="I14" s="103">
        <f>IF('Andrea '!$G$49="","",'Andrea '!$G$49)</f>
        <v/>
      </c>
      <c r="J14" s="100">
        <f>IF('Andrea '!$H$49="","",'Andrea '!$H$49)</f>
        <v/>
      </c>
      <c r="K14" s="101">
        <f>IF('Andrea '!$I$49="","",'Andrea '!$I$49)</f>
        <v/>
      </c>
      <c r="L14" s="102">
        <f>IF('Andrea '!$J$49="","",'Andrea '!$J$49)</f>
        <v/>
      </c>
      <c r="M14" s="103">
        <f>IF('Andrea '!$K$49="","",'Andrea '!$K$49)</f>
        <v/>
      </c>
      <c r="N14" s="100">
        <f>IF('Andrea '!$L$49="","",'Andrea '!$L$49)</f>
        <v/>
      </c>
      <c r="O14" s="101">
        <f>IF('Andrea '!$M$49="","",'Andrea '!$M$49)</f>
        <v/>
      </c>
      <c r="P14" s="102">
        <f>IF('Andrea '!$N$49="","",'Andrea '!$N$49)</f>
        <v/>
      </c>
      <c r="Q14" s="102">
        <f>IF('Andrea '!$O$49="","",'Andrea '!$O$49)</f>
        <v/>
      </c>
      <c r="R14" s="103">
        <f>IF($C14="","",IF('Andrea '!$F$7="","",'Andrea '!$F$7))</f>
        <v/>
      </c>
      <c r="S14" s="100">
        <f>IF($C14="","",IF('Andrea '!$F$9="","",'Andrea '!$F$9))</f>
        <v/>
      </c>
      <c r="T14" s="102">
        <f>IF($C14="","",IF('Andrea '!$D$65="",0,'Andrea '!$D$65))</f>
        <v/>
      </c>
      <c r="U14" s="102">
        <f>IF($C14="","",IF('Andrea '!$D$45="",0,'Andrea '!$D$45))</f>
        <v/>
      </c>
      <c r="V14" s="102">
        <f>IF($C14="","",IF('Andrea '!$A$13="",0,'Andrea '!$A$13))</f>
        <v/>
      </c>
    </row>
    <row r="15">
      <c r="A15" s="100">
        <f>IF($C15="","",'Painel Geral'!$B$12)</f>
        <v/>
      </c>
      <c r="B15" s="100">
        <f>IF($C15="","",'Painel Geral'!$C$12)</f>
        <v/>
      </c>
      <c r="C15" s="100">
        <f>IF('Andrea '!$A$50="","",'Andrea '!$A$50)</f>
        <v/>
      </c>
      <c r="D15" s="101">
        <f>IF('Andrea '!$B$50="","",'Andrea '!$B$50)</f>
        <v/>
      </c>
      <c r="E15" s="102">
        <f>IF('Andrea '!$C$50="","",'Andrea '!$C$50)</f>
        <v/>
      </c>
      <c r="F15" s="100">
        <f>IF('Andrea '!$D$50="","",'Andrea '!$D$50)</f>
        <v/>
      </c>
      <c r="G15" s="101">
        <f>IF('Andrea '!$E$50="","",'Andrea '!$E$50)</f>
        <v/>
      </c>
      <c r="H15" s="102">
        <f>IF('Andrea '!$F$50="","",'Andrea '!$F$50)</f>
        <v/>
      </c>
      <c r="I15" s="103">
        <f>IF('Andrea '!$G$50="","",'Andrea '!$G$50)</f>
        <v/>
      </c>
      <c r="J15" s="100">
        <f>IF('Andrea '!$H$50="","",'Andrea '!$H$50)</f>
        <v/>
      </c>
      <c r="K15" s="101">
        <f>IF('Andrea '!$I$50="","",'Andrea '!$I$50)</f>
        <v/>
      </c>
      <c r="L15" s="102">
        <f>IF('Andrea '!$J$50="","",'Andrea '!$J$50)</f>
        <v/>
      </c>
      <c r="M15" s="103">
        <f>IF('Andrea '!$K$50="","",'Andrea '!$K$50)</f>
        <v/>
      </c>
      <c r="N15" s="100">
        <f>IF('Andrea '!$L$50="","",'Andrea '!$L$50)</f>
        <v/>
      </c>
      <c r="O15" s="101">
        <f>IF('Andrea '!$M$50="","",'Andrea '!$M$50)</f>
        <v/>
      </c>
      <c r="P15" s="102">
        <f>IF('Andrea '!$N$50="","",'Andrea '!$N$50)</f>
        <v/>
      </c>
      <c r="Q15" s="102">
        <f>IF('Andrea '!$O$50="","",'Andrea '!$O$50)</f>
        <v/>
      </c>
      <c r="R15" s="103">
        <f>IF($C15="","",IF('Andrea '!$F$7="","",'Andrea '!$F$7))</f>
        <v/>
      </c>
      <c r="S15" s="100" t="n"/>
      <c r="T15" s="102" t="n"/>
      <c r="U15" s="102" t="n"/>
      <c r="V15" s="102" t="n"/>
    </row>
    <row r="16">
      <c r="A16" s="100">
        <f>IF($C16="","",'Painel Geral'!$B$12)</f>
        <v/>
      </c>
      <c r="B16" s="100">
        <f>IF($C16="","",'Painel Geral'!$C$12)</f>
        <v/>
      </c>
      <c r="C16" s="100">
        <f>IF('Andrea '!$A$51="","",'Andrea '!$A$51)</f>
        <v/>
      </c>
      <c r="D16" s="101">
        <f>IF('Andrea '!$B$51="","",'Andrea '!$B$51)</f>
        <v/>
      </c>
      <c r="E16" s="102">
        <f>IF('Andrea '!$C$51="","",'Andrea '!$C$51)</f>
        <v/>
      </c>
      <c r="F16" s="100">
        <f>IF('Andrea '!$D$51="","",'Andrea '!$D$51)</f>
        <v/>
      </c>
      <c r="G16" s="101">
        <f>IF('Andrea '!$E$51="","",'Andrea '!$E$51)</f>
        <v/>
      </c>
      <c r="H16" s="102">
        <f>IF('Andrea '!$F$51="","",'Andrea '!$F$51)</f>
        <v/>
      </c>
      <c r="I16" s="103">
        <f>IF('Andrea '!$G$51="","",'Andrea '!$G$51)</f>
        <v/>
      </c>
      <c r="J16" s="100">
        <f>IF('Andrea '!$H$51="","",'Andrea '!$H$51)</f>
        <v/>
      </c>
      <c r="K16" s="101">
        <f>IF('Andrea '!$I$51="","",'Andrea '!$I$51)</f>
        <v/>
      </c>
      <c r="L16" s="102">
        <f>IF('Andrea '!$J$51="","",'Andrea '!$J$51)</f>
        <v/>
      </c>
      <c r="M16" s="103">
        <f>IF('Andrea '!$K$51="","",'Andrea '!$K$51)</f>
        <v/>
      </c>
      <c r="N16" s="100">
        <f>IF('Andrea '!$L$51="","",'Andrea '!$L$51)</f>
        <v/>
      </c>
      <c r="O16" s="101">
        <f>IF('Andrea '!$M$51="","",'Andrea '!$M$51)</f>
        <v/>
      </c>
      <c r="P16" s="102">
        <f>IF('Andrea '!$N$51="","",'Andrea '!$N$51)</f>
        <v/>
      </c>
      <c r="Q16" s="102">
        <f>IF('Andrea '!$O$51="","",'Andrea '!$O$51)</f>
        <v/>
      </c>
      <c r="R16" s="103">
        <f>IF($C16="","",IF('Andrea '!$F$7="","",'Andrea '!$F$7))</f>
        <v/>
      </c>
      <c r="S16" s="100" t="n"/>
      <c r="T16" s="102" t="n"/>
      <c r="U16" s="102" t="n"/>
      <c r="V16" s="102" t="n"/>
    </row>
    <row r="17">
      <c r="A17" s="100">
        <f>IF($C17="","",'Painel Geral'!$B$12)</f>
        <v/>
      </c>
      <c r="B17" s="100">
        <f>IF($C17="","",'Painel Geral'!$C$12)</f>
        <v/>
      </c>
      <c r="C17" s="100">
        <f>IF('Andrea '!$A$52="","",'Andrea '!$A$52)</f>
        <v/>
      </c>
      <c r="D17" s="101">
        <f>IF('Andrea '!$B$52="","",'Andrea '!$B$52)</f>
        <v/>
      </c>
      <c r="E17" s="102">
        <f>IF('Andrea '!$C$52="","",'Andrea '!$C$52)</f>
        <v/>
      </c>
      <c r="F17" s="100">
        <f>IF('Andrea '!$D$52="","",'Andrea '!$D$52)</f>
        <v/>
      </c>
      <c r="G17" s="101">
        <f>IF('Andrea '!$E$52="","",'Andrea '!$E$52)</f>
        <v/>
      </c>
      <c r="H17" s="102">
        <f>IF('Andrea '!$F$52="","",'Andrea '!$F$52)</f>
        <v/>
      </c>
      <c r="I17" s="103">
        <f>IF('Andrea '!$G$52="","",'Andrea '!$G$52)</f>
        <v/>
      </c>
      <c r="J17" s="100">
        <f>IF('Andrea '!$H$52="","",'Andrea '!$H$52)</f>
        <v/>
      </c>
      <c r="K17" s="101">
        <f>IF('Andrea '!$I$52="","",'Andrea '!$I$52)</f>
        <v/>
      </c>
      <c r="L17" s="102">
        <f>IF('Andrea '!$J$52="","",'Andrea '!$J$52)</f>
        <v/>
      </c>
      <c r="M17" s="103">
        <f>IF('Andrea '!$K$52="","",'Andrea '!$K$52)</f>
        <v/>
      </c>
      <c r="N17" s="100">
        <f>IF('Andrea '!$L$52="","",'Andrea '!$L$52)</f>
        <v/>
      </c>
      <c r="O17" s="101">
        <f>IF('Andrea '!$M$52="","",'Andrea '!$M$52)</f>
        <v/>
      </c>
      <c r="P17" s="102">
        <f>IF('Andrea '!$N$52="","",'Andrea '!$N$52)</f>
        <v/>
      </c>
      <c r="Q17" s="102">
        <f>IF('Andrea '!$O$52="","",'Andrea '!$O$52)</f>
        <v/>
      </c>
      <c r="R17" s="103">
        <f>IF($C17="","",IF('Andrea '!$F$7="","",'Andrea '!$F$7))</f>
        <v/>
      </c>
      <c r="S17" s="100" t="n"/>
      <c r="T17" s="102" t="n"/>
      <c r="U17" s="102" t="n"/>
      <c r="V17" s="102" t="n"/>
    </row>
    <row r="18">
      <c r="A18" s="100">
        <f>IF($C18="","",'Painel Geral'!$B$12)</f>
        <v/>
      </c>
      <c r="B18" s="100">
        <f>IF($C18="","",'Painel Geral'!$C$12)</f>
        <v/>
      </c>
      <c r="C18" s="100">
        <f>IF('Andrea '!$A$53="","",'Andrea '!$A$53)</f>
        <v/>
      </c>
      <c r="D18" s="101">
        <f>IF('Andrea '!$B$53="","",'Andrea '!$B$53)</f>
        <v/>
      </c>
      <c r="E18" s="102">
        <f>IF('Andrea '!$C$53="","",'Andrea '!$C$53)</f>
        <v/>
      </c>
      <c r="F18" s="100">
        <f>IF('Andrea '!$D$53="","",'Andrea '!$D$53)</f>
        <v/>
      </c>
      <c r="G18" s="101">
        <f>IF('Andrea '!$E$53="","",'Andrea '!$E$53)</f>
        <v/>
      </c>
      <c r="H18" s="102">
        <f>IF('Andrea '!$F$53="","",'Andrea '!$F$53)</f>
        <v/>
      </c>
      <c r="I18" s="103">
        <f>IF('Andrea '!$G$53="","",'Andrea '!$G$53)</f>
        <v/>
      </c>
      <c r="J18" s="100">
        <f>IF('Andrea '!$H$53="","",'Andrea '!$H$53)</f>
        <v/>
      </c>
      <c r="K18" s="101">
        <f>IF('Andrea '!$I$53="","",'Andrea '!$I$53)</f>
        <v/>
      </c>
      <c r="L18" s="102">
        <f>IF('Andrea '!$J$53="","",'Andrea '!$J$53)</f>
        <v/>
      </c>
      <c r="M18" s="103">
        <f>IF('Andrea '!$K$53="","",'Andrea '!$K$53)</f>
        <v/>
      </c>
      <c r="N18" s="100">
        <f>IF('Andrea '!$L$53="","",'Andrea '!$L$53)</f>
        <v/>
      </c>
      <c r="O18" s="101">
        <f>IF('Andrea '!$M$53="","",'Andrea '!$M$53)</f>
        <v/>
      </c>
      <c r="P18" s="102">
        <f>IF('Andrea '!$N$53="","",'Andrea '!$N$53)</f>
        <v/>
      </c>
      <c r="Q18" s="102">
        <f>IF('Andrea '!$O$53="","",'Andrea '!$O$53)</f>
        <v/>
      </c>
      <c r="R18" s="103">
        <f>IF($C18="","",IF('Andrea '!$F$7="","",'Andrea '!$F$7))</f>
        <v/>
      </c>
      <c r="S18" s="100" t="n"/>
      <c r="T18" s="102" t="n"/>
      <c r="U18" s="102" t="n"/>
      <c r="V18" s="102" t="n"/>
    </row>
    <row r="19">
      <c r="A19" s="100">
        <f>IF($C19="","",'Painel Geral'!$B$12)</f>
        <v/>
      </c>
      <c r="B19" s="100">
        <f>IF($C19="","",'Painel Geral'!$C$12)</f>
        <v/>
      </c>
      <c r="C19" s="100">
        <f>IF('Andrea '!$A$54="","",'Andrea '!$A$54)</f>
        <v/>
      </c>
      <c r="D19" s="101">
        <f>IF('Andrea '!$B$54="","",'Andrea '!$B$54)</f>
        <v/>
      </c>
      <c r="E19" s="102">
        <f>IF('Andrea '!$C$54="","",'Andrea '!$C$54)</f>
        <v/>
      </c>
      <c r="F19" s="100">
        <f>IF('Andrea '!$D$54="","",'Andrea '!$D$54)</f>
        <v/>
      </c>
      <c r="G19" s="101">
        <f>IF('Andrea '!$E$54="","",'Andrea '!$E$54)</f>
        <v/>
      </c>
      <c r="H19" s="102">
        <f>IF('Andrea '!$F$54="","",'Andrea '!$F$54)</f>
        <v/>
      </c>
      <c r="I19" s="103">
        <f>IF('Andrea '!$G$54="","",'Andrea '!$G$54)</f>
        <v/>
      </c>
      <c r="J19" s="100">
        <f>IF('Andrea '!$H$54="","",'Andrea '!$H$54)</f>
        <v/>
      </c>
      <c r="K19" s="101">
        <f>IF('Andrea '!$I$54="","",'Andrea '!$I$54)</f>
        <v/>
      </c>
      <c r="L19" s="102">
        <f>IF('Andrea '!$J$54="","",'Andrea '!$J$54)</f>
        <v/>
      </c>
      <c r="M19" s="103">
        <f>IF('Andrea '!$K$54="","",'Andrea '!$K$54)</f>
        <v/>
      </c>
      <c r="N19" s="100">
        <f>IF('Andrea '!$L$54="","",'Andrea '!$L$54)</f>
        <v/>
      </c>
      <c r="O19" s="101">
        <f>IF('Andrea '!$M$54="","",'Andrea '!$M$54)</f>
        <v/>
      </c>
      <c r="P19" s="102">
        <f>IF('Andrea '!$N$54="","",'Andrea '!$N$54)</f>
        <v/>
      </c>
      <c r="Q19" s="102">
        <f>IF('Andrea '!$O$54="","",'Andrea '!$O$54)</f>
        <v/>
      </c>
      <c r="R19" s="103">
        <f>IF($C19="","",IF('Andrea '!$F$7="","",'Andrea '!$F$7))</f>
        <v/>
      </c>
      <c r="S19" s="100" t="n"/>
      <c r="T19" s="102" t="n"/>
      <c r="U19" s="102" t="n"/>
      <c r="V19" s="102" t="n"/>
    </row>
    <row r="20">
      <c r="A20" s="100">
        <f>IF($C20="","",'Painel Geral'!$B$12)</f>
        <v/>
      </c>
      <c r="B20" s="100">
        <f>IF($C20="","",'Painel Geral'!$C$12)</f>
        <v/>
      </c>
      <c r="C20" s="100">
        <f>IF('Andrea '!$A$55="","",'Andrea '!$A$55)</f>
        <v/>
      </c>
      <c r="D20" s="101">
        <f>IF('Andrea '!$B$55="","",'Andrea '!$B$55)</f>
        <v/>
      </c>
      <c r="E20" s="102">
        <f>IF('Andrea '!$C$55="","",'Andrea '!$C$55)</f>
        <v/>
      </c>
      <c r="F20" s="100">
        <f>IF('Andrea '!$D$55="","",'Andrea '!$D$55)</f>
        <v/>
      </c>
      <c r="G20" s="101">
        <f>IF('Andrea '!$E$55="","",'Andrea '!$E$55)</f>
        <v/>
      </c>
      <c r="H20" s="102">
        <f>IF('Andrea '!$F$55="","",'Andrea '!$F$55)</f>
        <v/>
      </c>
      <c r="I20" s="103">
        <f>IF('Andrea '!$G$55="","",'Andrea '!$G$55)</f>
        <v/>
      </c>
      <c r="J20" s="100">
        <f>IF('Andrea '!$H$55="","",'Andrea '!$H$55)</f>
        <v/>
      </c>
      <c r="K20" s="101">
        <f>IF('Andrea '!$I$55="","",'Andrea '!$I$55)</f>
        <v/>
      </c>
      <c r="L20" s="102">
        <f>IF('Andrea '!$J$55="","",'Andrea '!$J$55)</f>
        <v/>
      </c>
      <c r="M20" s="103">
        <f>IF('Andrea '!$K$55="","",'Andrea '!$K$55)</f>
        <v/>
      </c>
      <c r="N20" s="100">
        <f>IF('Andrea '!$L$55="","",'Andrea '!$L$55)</f>
        <v/>
      </c>
      <c r="O20" s="101">
        <f>IF('Andrea '!$M$55="","",'Andrea '!$M$55)</f>
        <v/>
      </c>
      <c r="P20" s="102">
        <f>IF('Andrea '!$N$55="","",'Andrea '!$N$55)</f>
        <v/>
      </c>
      <c r="Q20" s="102">
        <f>IF('Andrea '!$O$55="","",'Andrea '!$O$55)</f>
        <v/>
      </c>
      <c r="R20" s="103">
        <f>IF($C20="","",IF('Andrea '!$F$7="","",'Andrea '!$F$7))</f>
        <v/>
      </c>
      <c r="S20" s="100" t="n"/>
      <c r="T20" s="102" t="n"/>
      <c r="U20" s="102" t="n"/>
      <c r="V20" s="102" t="n"/>
    </row>
    <row r="21">
      <c r="A21" s="100">
        <f>IF($C21="","",'Painel Geral'!$B$12)</f>
        <v/>
      </c>
      <c r="B21" s="100">
        <f>IF($C21="","",'Painel Geral'!$C$12)</f>
        <v/>
      </c>
      <c r="C21" s="100">
        <f>IF('Andrea '!$A$56="","",'Andrea '!$A$56)</f>
        <v/>
      </c>
      <c r="D21" s="101">
        <f>IF('Andrea '!$B$56="","",'Andrea '!$B$56)</f>
        <v/>
      </c>
      <c r="E21" s="102">
        <f>IF('Andrea '!$C$56="","",'Andrea '!$C$56)</f>
        <v/>
      </c>
      <c r="F21" s="100">
        <f>IF('Andrea '!$D$56="","",'Andrea '!$D$56)</f>
        <v/>
      </c>
      <c r="G21" s="101">
        <f>IF('Andrea '!$E$56="","",'Andrea '!$E$56)</f>
        <v/>
      </c>
      <c r="H21" s="102">
        <f>IF('Andrea '!$F$56="","",'Andrea '!$F$56)</f>
        <v/>
      </c>
      <c r="I21" s="103">
        <f>IF('Andrea '!$G$56="","",'Andrea '!$G$56)</f>
        <v/>
      </c>
      <c r="J21" s="100">
        <f>IF('Andrea '!$H$56="","",'Andrea '!$H$56)</f>
        <v/>
      </c>
      <c r="K21" s="101">
        <f>IF('Andrea '!$I$56="","",'Andrea '!$I$56)</f>
        <v/>
      </c>
      <c r="L21" s="102">
        <f>IF('Andrea '!$J$56="","",'Andrea '!$J$56)</f>
        <v/>
      </c>
      <c r="M21" s="103">
        <f>IF('Andrea '!$K$56="","",'Andrea '!$K$56)</f>
        <v/>
      </c>
      <c r="N21" s="100">
        <f>IF('Andrea '!$L$56="","",'Andrea '!$L$56)</f>
        <v/>
      </c>
      <c r="O21" s="101">
        <f>IF('Andrea '!$M$56="","",'Andrea '!$M$56)</f>
        <v/>
      </c>
      <c r="P21" s="102">
        <f>IF('Andrea '!$N$56="","",'Andrea '!$N$56)</f>
        <v/>
      </c>
      <c r="Q21" s="102">
        <f>IF('Andrea '!$O$56="","",'Andrea '!$O$56)</f>
        <v/>
      </c>
      <c r="R21" s="103">
        <f>IF($C21="","",IF('Andrea '!$F$7="","",'Andrea '!$F$7))</f>
        <v/>
      </c>
      <c r="S21" s="100" t="n"/>
      <c r="T21" s="102" t="n"/>
      <c r="U21" s="102" t="n"/>
      <c r="V21" s="102" t="n"/>
    </row>
    <row r="22">
      <c r="A22" s="100">
        <f>IF($C22="","",'Painel Geral'!$B$12)</f>
        <v/>
      </c>
      <c r="B22" s="100">
        <f>IF($C22="","",'Painel Geral'!$C$12)</f>
        <v/>
      </c>
      <c r="C22" s="100">
        <f>IF('Andrea '!$A$57="","",'Andrea '!$A$57)</f>
        <v/>
      </c>
      <c r="D22" s="101">
        <f>IF('Andrea '!$B$57="","",'Andrea '!$B$57)</f>
        <v/>
      </c>
      <c r="E22" s="102">
        <f>IF('Andrea '!$C$57="","",'Andrea '!$C$57)</f>
        <v/>
      </c>
      <c r="F22" s="100">
        <f>IF('Andrea '!$D$57="","",'Andrea '!$D$57)</f>
        <v/>
      </c>
      <c r="G22" s="101">
        <f>IF('Andrea '!$E$57="","",'Andrea '!$E$57)</f>
        <v/>
      </c>
      <c r="H22" s="102">
        <f>IF('Andrea '!$F$57="","",'Andrea '!$F$57)</f>
        <v/>
      </c>
      <c r="I22" s="103">
        <f>IF('Andrea '!$G$57="","",'Andrea '!$G$57)</f>
        <v/>
      </c>
      <c r="J22" s="100">
        <f>IF('Andrea '!$H$57="","",'Andrea '!$H$57)</f>
        <v/>
      </c>
      <c r="K22" s="101">
        <f>IF('Andrea '!$I$57="","",'Andrea '!$I$57)</f>
        <v/>
      </c>
      <c r="L22" s="102">
        <f>IF('Andrea '!$J$57="","",'Andrea '!$J$57)</f>
        <v/>
      </c>
      <c r="M22" s="103">
        <f>IF('Andrea '!$K$57="","",'Andrea '!$K$57)</f>
        <v/>
      </c>
      <c r="N22" s="100">
        <f>IF('Andrea '!$L$57="","",'Andrea '!$L$57)</f>
        <v/>
      </c>
      <c r="O22" s="101">
        <f>IF('Andrea '!$M$57="","",'Andrea '!$M$57)</f>
        <v/>
      </c>
      <c r="P22" s="102">
        <f>IF('Andrea '!$N$57="","",'Andrea '!$N$57)</f>
        <v/>
      </c>
      <c r="Q22" s="102">
        <f>IF('Andrea '!$O$57="","",'Andrea '!$O$57)</f>
        <v/>
      </c>
      <c r="R22" s="103">
        <f>IF($C22="","",IF('Andrea '!$F$7="","",'Andrea '!$F$7))</f>
        <v/>
      </c>
      <c r="S22" s="100" t="n"/>
      <c r="T22" s="102" t="n"/>
      <c r="U22" s="102" t="n"/>
      <c r="V22" s="102" t="n"/>
    </row>
    <row r="23">
      <c r="A23" s="100">
        <f>IF($C23="","",'Painel Geral'!$B$12)</f>
        <v/>
      </c>
      <c r="B23" s="100">
        <f>IF($C23="","",'Painel Geral'!$C$12)</f>
        <v/>
      </c>
      <c r="C23" s="100">
        <f>IF('Andrea '!$A$58="","",'Andrea '!$A$58)</f>
        <v/>
      </c>
      <c r="D23" s="101">
        <f>IF('Andrea '!$B$58="","",'Andrea '!$B$58)</f>
        <v/>
      </c>
      <c r="E23" s="102">
        <f>IF('Andrea '!$C$58="","",'Andrea '!$C$58)</f>
        <v/>
      </c>
      <c r="F23" s="100">
        <f>IF('Andrea '!$D$58="","",'Andrea '!$D$58)</f>
        <v/>
      </c>
      <c r="G23" s="101">
        <f>IF('Andrea '!$E$58="","",'Andrea '!$E$58)</f>
        <v/>
      </c>
      <c r="H23" s="102">
        <f>IF('Andrea '!$F$58="","",'Andrea '!$F$58)</f>
        <v/>
      </c>
      <c r="I23" s="103">
        <f>IF('Andrea '!$G$58="","",'Andrea '!$G$58)</f>
        <v/>
      </c>
      <c r="J23" s="100">
        <f>IF('Andrea '!$H$58="","",'Andrea '!$H$58)</f>
        <v/>
      </c>
      <c r="K23" s="101">
        <f>IF('Andrea '!$I$58="","",'Andrea '!$I$58)</f>
        <v/>
      </c>
      <c r="L23" s="102">
        <f>IF('Andrea '!$J$58="","",'Andrea '!$J$58)</f>
        <v/>
      </c>
      <c r="M23" s="103">
        <f>IF('Andrea '!$K$58="","",'Andrea '!$K$58)</f>
        <v/>
      </c>
      <c r="N23" s="100">
        <f>IF('Andrea '!$L$58="","",'Andrea '!$L$58)</f>
        <v/>
      </c>
      <c r="O23" s="101">
        <f>IF('Andrea '!$M$58="","",'Andrea '!$M$58)</f>
        <v/>
      </c>
      <c r="P23" s="102">
        <f>IF('Andrea '!$N$58="","",'Andrea '!$N$58)</f>
        <v/>
      </c>
      <c r="Q23" s="102">
        <f>IF('Andrea '!$O$58="","",'Andrea '!$O$58)</f>
        <v/>
      </c>
      <c r="R23" s="103">
        <f>IF($C23="","",IF('Andrea '!$F$7="","",'Andrea '!$F$7))</f>
        <v/>
      </c>
      <c r="S23" s="100" t="n"/>
      <c r="T23" s="102" t="n"/>
      <c r="U23" s="102" t="n"/>
      <c r="V23" s="102" t="n"/>
    </row>
    <row r="24">
      <c r="A24" s="100">
        <f>IF($C24="","",'Painel Geral'!$B$12)</f>
        <v/>
      </c>
      <c r="B24" s="100">
        <f>IF($C24="","",'Painel Geral'!$C$12)</f>
        <v/>
      </c>
      <c r="C24" s="100">
        <f>IF('Andrea '!$A$59="","",'Andrea '!$A$59)</f>
        <v/>
      </c>
      <c r="D24" s="101">
        <f>IF('Andrea '!$B$59="","",'Andrea '!$B$59)</f>
        <v/>
      </c>
      <c r="E24" s="102">
        <f>IF('Andrea '!$C$59="","",'Andrea '!$C$59)</f>
        <v/>
      </c>
      <c r="F24" s="100">
        <f>IF('Andrea '!$D$59="","",'Andrea '!$D$59)</f>
        <v/>
      </c>
      <c r="G24" s="101">
        <f>IF('Andrea '!$E$59="","",'Andrea '!$E$59)</f>
        <v/>
      </c>
      <c r="H24" s="102">
        <f>IF('Andrea '!$F$59="","",'Andrea '!$F$59)</f>
        <v/>
      </c>
      <c r="I24" s="103">
        <f>IF('Andrea '!$G$59="","",'Andrea '!$G$59)</f>
        <v/>
      </c>
      <c r="J24" s="100">
        <f>IF('Andrea '!$H$59="","",'Andrea '!$H$59)</f>
        <v/>
      </c>
      <c r="K24" s="101">
        <f>IF('Andrea '!$I$59="","",'Andrea '!$I$59)</f>
        <v/>
      </c>
      <c r="L24" s="102">
        <f>IF('Andrea '!$J$59="","",'Andrea '!$J$59)</f>
        <v/>
      </c>
      <c r="M24" s="103">
        <f>IF('Andrea '!$K$59="","",'Andrea '!$K$59)</f>
        <v/>
      </c>
      <c r="N24" s="100">
        <f>IF('Andrea '!$L$59="","",'Andrea '!$L$59)</f>
        <v/>
      </c>
      <c r="O24" s="101">
        <f>IF('Andrea '!$M$59="","",'Andrea '!$M$59)</f>
        <v/>
      </c>
      <c r="P24" s="102">
        <f>IF('Andrea '!$N$59="","",'Andrea '!$N$59)</f>
        <v/>
      </c>
      <c r="Q24" s="102">
        <f>IF('Andrea '!$O$59="","",'Andrea '!$O$59)</f>
        <v/>
      </c>
      <c r="R24" s="103">
        <f>IF($C24="","",IF('Andrea '!$F$7="","",'Andrea '!$F$7))</f>
        <v/>
      </c>
      <c r="S24" s="100" t="n"/>
      <c r="T24" s="102" t="n"/>
      <c r="U24" s="102" t="n"/>
      <c r="V24" s="102" t="n"/>
    </row>
    <row r="25">
      <c r="A25" s="100">
        <f>IF($C25="","",'Painel Geral'!$B$12)</f>
        <v/>
      </c>
      <c r="B25" s="100">
        <f>IF($C25="","",'Painel Geral'!$C$12)</f>
        <v/>
      </c>
      <c r="C25" s="100">
        <f>IF('Andrea '!$A$60="","",'Andrea '!$A$60)</f>
        <v/>
      </c>
      <c r="D25" s="101">
        <f>IF('Andrea '!$B$60="","",'Andrea '!$B$60)</f>
        <v/>
      </c>
      <c r="E25" s="102">
        <f>IF('Andrea '!$C$60="","",'Andrea '!$C$60)</f>
        <v/>
      </c>
      <c r="F25" s="100">
        <f>IF('Andrea '!$D$60="","",'Andrea '!$D$60)</f>
        <v/>
      </c>
      <c r="G25" s="101">
        <f>IF('Andrea '!$E$60="","",'Andrea '!$E$60)</f>
        <v/>
      </c>
      <c r="H25" s="102">
        <f>IF('Andrea '!$F$60="","",'Andrea '!$F$60)</f>
        <v/>
      </c>
      <c r="I25" s="103">
        <f>IF('Andrea '!$G$60="","",'Andrea '!$G$60)</f>
        <v/>
      </c>
      <c r="J25" s="100">
        <f>IF('Andrea '!$H$60="","",'Andrea '!$H$60)</f>
        <v/>
      </c>
      <c r="K25" s="101">
        <f>IF('Andrea '!$I$60="","",'Andrea '!$I$60)</f>
        <v/>
      </c>
      <c r="L25" s="102">
        <f>IF('Andrea '!$J$60="","",'Andrea '!$J$60)</f>
        <v/>
      </c>
      <c r="M25" s="103">
        <f>IF('Andrea '!$K$60="","",'Andrea '!$K$60)</f>
        <v/>
      </c>
      <c r="N25" s="100">
        <f>IF('Andrea '!$L$60="","",'Andrea '!$L$60)</f>
        <v/>
      </c>
      <c r="O25" s="101">
        <f>IF('Andrea '!$M$60="","",'Andrea '!$M$60)</f>
        <v/>
      </c>
      <c r="P25" s="102">
        <f>IF('Andrea '!$N$60="","",'Andrea '!$N$60)</f>
        <v/>
      </c>
      <c r="Q25" s="102">
        <f>IF('Andrea '!$O$60="","",'Andrea '!$O$60)</f>
        <v/>
      </c>
      <c r="R25" s="103">
        <f>IF($C25="","",IF('Andrea '!$F$7="","",'Andrea '!$F$7))</f>
        <v/>
      </c>
      <c r="S25" s="100" t="n"/>
      <c r="T25" s="102" t="n"/>
      <c r="U25" s="102" t="n"/>
      <c r="V25" s="102" t="n"/>
    </row>
    <row r="26">
      <c r="A26" s="100">
        <f>IF($C26="","",'Painel Geral'!$B$13)</f>
        <v/>
      </c>
      <c r="B26" s="100">
        <f>IF($C26="","",'Painel Geral'!$C$13)</f>
        <v/>
      </c>
      <c r="C26" s="100">
        <f>IF('Cristiane Chrys Andrade'!$A$49="","",'Cristiane Chrys Andrade'!$A$49)</f>
        <v/>
      </c>
      <c r="D26" s="101">
        <f>IF('Cristiane Chrys Andrade'!$B$49="","",'Cristiane Chrys Andrade'!$B$49)</f>
        <v/>
      </c>
      <c r="E26" s="102">
        <f>IF('Cristiane Chrys Andrade'!$C$49="","",'Cristiane Chrys Andrade'!$C$49)</f>
        <v/>
      </c>
      <c r="F26" s="100">
        <f>IF('Cristiane Chrys Andrade'!$D$49="","",'Cristiane Chrys Andrade'!$D$49)</f>
        <v/>
      </c>
      <c r="G26" s="101">
        <f>IF('Cristiane Chrys Andrade'!$E$49="","",'Cristiane Chrys Andrade'!$E$49)</f>
        <v/>
      </c>
      <c r="H26" s="102">
        <f>IF('Cristiane Chrys Andrade'!$F$49="","",'Cristiane Chrys Andrade'!$F$49)</f>
        <v/>
      </c>
      <c r="I26" s="103">
        <f>IF('Cristiane Chrys Andrade'!$G$49="","",'Cristiane Chrys Andrade'!$G$49)</f>
        <v/>
      </c>
      <c r="J26" s="100">
        <f>IF('Cristiane Chrys Andrade'!$H$49="","",'Cristiane Chrys Andrade'!$H$49)</f>
        <v/>
      </c>
      <c r="K26" s="101">
        <f>IF('Cristiane Chrys Andrade'!$I$49="","",'Cristiane Chrys Andrade'!$I$49)</f>
        <v/>
      </c>
      <c r="L26" s="102">
        <f>IF('Cristiane Chrys Andrade'!$J$49="","",'Cristiane Chrys Andrade'!$J$49)</f>
        <v/>
      </c>
      <c r="M26" s="103">
        <f>IF('Cristiane Chrys Andrade'!$K$49="","",'Cristiane Chrys Andrade'!$K$49)</f>
        <v/>
      </c>
      <c r="N26" s="100">
        <f>IF('Cristiane Chrys Andrade'!$L$49="","",'Cristiane Chrys Andrade'!$L$49)</f>
        <v/>
      </c>
      <c r="O26" s="101">
        <f>IF('Cristiane Chrys Andrade'!$M$49="","",'Cristiane Chrys Andrade'!$M$49)</f>
        <v/>
      </c>
      <c r="P26" s="102">
        <f>IF('Cristiane Chrys Andrade'!$N$49="","",'Cristiane Chrys Andrade'!$N$49)</f>
        <v/>
      </c>
      <c r="Q26" s="102">
        <f>IF('Cristiane Chrys Andrade'!$O$49="","",'Cristiane Chrys Andrade'!$O$49)</f>
        <v/>
      </c>
      <c r="R26" s="103">
        <f>IF($C26="","",IF('Cristiane Chrys Andrade'!$F$7="","",'Cristiane Chrys Andrade'!$F$7))</f>
        <v/>
      </c>
      <c r="S26" s="100">
        <f>IF($C26="","",IF('Cristiane Chrys Andrade'!$F$9="","",'Cristiane Chrys Andrade'!$F$9))</f>
        <v/>
      </c>
      <c r="T26" s="102">
        <f>IF($C26="","",IF('Cristiane Chrys Andrade'!$D$65="",0,'Cristiane Chrys Andrade'!$D$65))</f>
        <v/>
      </c>
      <c r="U26" s="102">
        <f>IF($C26="","",IF('Cristiane Chrys Andrade'!$D$45="",0,'Cristiane Chrys Andrade'!$D$45))</f>
        <v/>
      </c>
      <c r="V26" s="102">
        <f>IF($C26="","",IF('Cristiane Chrys Andrade'!$A$13="",0,'Cristiane Chrys Andrade'!$A$13))</f>
        <v/>
      </c>
    </row>
    <row r="27">
      <c r="A27" s="100">
        <f>IF($C27="","",'Painel Geral'!$B$13)</f>
        <v/>
      </c>
      <c r="B27" s="100">
        <f>IF($C27="","",'Painel Geral'!$C$13)</f>
        <v/>
      </c>
      <c r="C27" s="100">
        <f>IF('Cristiane Chrys Andrade'!$A$50="","",'Cristiane Chrys Andrade'!$A$50)</f>
        <v/>
      </c>
      <c r="D27" s="101">
        <f>IF('Cristiane Chrys Andrade'!$B$50="","",'Cristiane Chrys Andrade'!$B$50)</f>
        <v/>
      </c>
      <c r="E27" s="102">
        <f>IF('Cristiane Chrys Andrade'!$C$50="","",'Cristiane Chrys Andrade'!$C$50)</f>
        <v/>
      </c>
      <c r="F27" s="100">
        <f>IF('Cristiane Chrys Andrade'!$D$50="","",'Cristiane Chrys Andrade'!$D$50)</f>
        <v/>
      </c>
      <c r="G27" s="101">
        <f>IF('Cristiane Chrys Andrade'!$E$50="","",'Cristiane Chrys Andrade'!$E$50)</f>
        <v/>
      </c>
      <c r="H27" s="102">
        <f>IF('Cristiane Chrys Andrade'!$F$50="","",'Cristiane Chrys Andrade'!$F$50)</f>
        <v/>
      </c>
      <c r="I27" s="103">
        <f>IF('Cristiane Chrys Andrade'!$G$50="","",'Cristiane Chrys Andrade'!$G$50)</f>
        <v/>
      </c>
      <c r="J27" s="100">
        <f>IF('Cristiane Chrys Andrade'!$H$50="","",'Cristiane Chrys Andrade'!$H$50)</f>
        <v/>
      </c>
      <c r="K27" s="101">
        <f>IF('Cristiane Chrys Andrade'!$I$50="","",'Cristiane Chrys Andrade'!$I$50)</f>
        <v/>
      </c>
      <c r="L27" s="102">
        <f>IF('Cristiane Chrys Andrade'!$J$50="","",'Cristiane Chrys Andrade'!$J$50)</f>
        <v/>
      </c>
      <c r="M27" s="103">
        <f>IF('Cristiane Chrys Andrade'!$K$50="","",'Cristiane Chrys Andrade'!$K$50)</f>
        <v/>
      </c>
      <c r="N27" s="100">
        <f>IF('Cristiane Chrys Andrade'!$L$50="","",'Cristiane Chrys Andrade'!$L$50)</f>
        <v/>
      </c>
      <c r="O27" s="101">
        <f>IF('Cristiane Chrys Andrade'!$M$50="","",'Cristiane Chrys Andrade'!$M$50)</f>
        <v/>
      </c>
      <c r="P27" s="102">
        <f>IF('Cristiane Chrys Andrade'!$N$50="","",'Cristiane Chrys Andrade'!$N$50)</f>
        <v/>
      </c>
      <c r="Q27" s="102">
        <f>IF('Cristiane Chrys Andrade'!$O$50="","",'Cristiane Chrys Andrade'!$O$50)</f>
        <v/>
      </c>
      <c r="R27" s="103">
        <f>IF($C27="","",IF('Cristiane Chrys Andrade'!$F$7="","",'Cristiane Chrys Andrade'!$F$7))</f>
        <v/>
      </c>
      <c r="S27" s="100" t="n"/>
      <c r="T27" s="102" t="n"/>
      <c r="U27" s="102" t="n"/>
      <c r="V27" s="102" t="n"/>
    </row>
    <row r="28">
      <c r="A28" s="100">
        <f>IF($C28="","",'Painel Geral'!$B$13)</f>
        <v/>
      </c>
      <c r="B28" s="100">
        <f>IF($C28="","",'Painel Geral'!$C$13)</f>
        <v/>
      </c>
      <c r="C28" s="100">
        <f>IF('Cristiane Chrys Andrade'!$A$51="","",'Cristiane Chrys Andrade'!$A$51)</f>
        <v/>
      </c>
      <c r="D28" s="101">
        <f>IF('Cristiane Chrys Andrade'!$B$51="","",'Cristiane Chrys Andrade'!$B$51)</f>
        <v/>
      </c>
      <c r="E28" s="102">
        <f>IF('Cristiane Chrys Andrade'!$C$51="","",'Cristiane Chrys Andrade'!$C$51)</f>
        <v/>
      </c>
      <c r="F28" s="100">
        <f>IF('Cristiane Chrys Andrade'!$D$51="","",'Cristiane Chrys Andrade'!$D$51)</f>
        <v/>
      </c>
      <c r="G28" s="101">
        <f>IF('Cristiane Chrys Andrade'!$E$51="","",'Cristiane Chrys Andrade'!$E$51)</f>
        <v/>
      </c>
      <c r="H28" s="102">
        <f>IF('Cristiane Chrys Andrade'!$F$51="","",'Cristiane Chrys Andrade'!$F$51)</f>
        <v/>
      </c>
      <c r="I28" s="103">
        <f>IF('Cristiane Chrys Andrade'!$G$51="","",'Cristiane Chrys Andrade'!$G$51)</f>
        <v/>
      </c>
      <c r="J28" s="100">
        <f>IF('Cristiane Chrys Andrade'!$H$51="","",'Cristiane Chrys Andrade'!$H$51)</f>
        <v/>
      </c>
      <c r="K28" s="101">
        <f>IF('Cristiane Chrys Andrade'!$I$51="","",'Cristiane Chrys Andrade'!$I$51)</f>
        <v/>
      </c>
      <c r="L28" s="102">
        <f>IF('Cristiane Chrys Andrade'!$J$51="","",'Cristiane Chrys Andrade'!$J$51)</f>
        <v/>
      </c>
      <c r="M28" s="103">
        <f>IF('Cristiane Chrys Andrade'!$K$51="","",'Cristiane Chrys Andrade'!$K$51)</f>
        <v/>
      </c>
      <c r="N28" s="100">
        <f>IF('Cristiane Chrys Andrade'!$L$51="","",'Cristiane Chrys Andrade'!$L$51)</f>
        <v/>
      </c>
      <c r="O28" s="101">
        <f>IF('Cristiane Chrys Andrade'!$M$51="","",'Cristiane Chrys Andrade'!$M$51)</f>
        <v/>
      </c>
      <c r="P28" s="102">
        <f>IF('Cristiane Chrys Andrade'!$N$51="","",'Cristiane Chrys Andrade'!$N$51)</f>
        <v/>
      </c>
      <c r="Q28" s="102">
        <f>IF('Cristiane Chrys Andrade'!$O$51="","",'Cristiane Chrys Andrade'!$O$51)</f>
        <v/>
      </c>
      <c r="R28" s="103">
        <f>IF($C28="","",IF('Cristiane Chrys Andrade'!$F$7="","",'Cristiane Chrys Andrade'!$F$7))</f>
        <v/>
      </c>
      <c r="S28" s="100" t="n"/>
      <c r="T28" s="102" t="n"/>
      <c r="U28" s="102" t="n"/>
      <c r="V28" s="102" t="n"/>
    </row>
    <row r="29">
      <c r="A29" s="100">
        <f>IF($C29="","",'Painel Geral'!$B$13)</f>
        <v/>
      </c>
      <c r="B29" s="100">
        <f>IF($C29="","",'Painel Geral'!$C$13)</f>
        <v/>
      </c>
      <c r="C29" s="100">
        <f>IF('Cristiane Chrys Andrade'!$A$52="","",'Cristiane Chrys Andrade'!$A$52)</f>
        <v/>
      </c>
      <c r="D29" s="101">
        <f>IF('Cristiane Chrys Andrade'!$B$52="","",'Cristiane Chrys Andrade'!$B$52)</f>
        <v/>
      </c>
      <c r="E29" s="102">
        <f>IF('Cristiane Chrys Andrade'!$C$52="","",'Cristiane Chrys Andrade'!$C$52)</f>
        <v/>
      </c>
      <c r="F29" s="100">
        <f>IF('Cristiane Chrys Andrade'!$D$52="","",'Cristiane Chrys Andrade'!$D$52)</f>
        <v/>
      </c>
      <c r="G29" s="101">
        <f>IF('Cristiane Chrys Andrade'!$E$52="","",'Cristiane Chrys Andrade'!$E$52)</f>
        <v/>
      </c>
      <c r="H29" s="102">
        <f>IF('Cristiane Chrys Andrade'!$F$52="","",'Cristiane Chrys Andrade'!$F$52)</f>
        <v/>
      </c>
      <c r="I29" s="103">
        <f>IF('Cristiane Chrys Andrade'!$G$52="","",'Cristiane Chrys Andrade'!$G$52)</f>
        <v/>
      </c>
      <c r="J29" s="100">
        <f>IF('Cristiane Chrys Andrade'!$H$52="","",'Cristiane Chrys Andrade'!$H$52)</f>
        <v/>
      </c>
      <c r="K29" s="101">
        <f>IF('Cristiane Chrys Andrade'!$I$52="","",'Cristiane Chrys Andrade'!$I$52)</f>
        <v/>
      </c>
      <c r="L29" s="102">
        <f>IF('Cristiane Chrys Andrade'!$J$52="","",'Cristiane Chrys Andrade'!$J$52)</f>
        <v/>
      </c>
      <c r="M29" s="103">
        <f>IF('Cristiane Chrys Andrade'!$K$52="","",'Cristiane Chrys Andrade'!$K$52)</f>
        <v/>
      </c>
      <c r="N29" s="100">
        <f>IF('Cristiane Chrys Andrade'!$L$52="","",'Cristiane Chrys Andrade'!$L$52)</f>
        <v/>
      </c>
      <c r="O29" s="101">
        <f>IF('Cristiane Chrys Andrade'!$M$52="","",'Cristiane Chrys Andrade'!$M$52)</f>
        <v/>
      </c>
      <c r="P29" s="102">
        <f>IF('Cristiane Chrys Andrade'!$N$52="","",'Cristiane Chrys Andrade'!$N$52)</f>
        <v/>
      </c>
      <c r="Q29" s="102">
        <f>IF('Cristiane Chrys Andrade'!$O$52="","",'Cristiane Chrys Andrade'!$O$52)</f>
        <v/>
      </c>
      <c r="R29" s="103">
        <f>IF($C29="","",IF('Cristiane Chrys Andrade'!$F$7="","",'Cristiane Chrys Andrade'!$F$7))</f>
        <v/>
      </c>
      <c r="S29" s="100" t="n"/>
      <c r="T29" s="102" t="n"/>
      <c r="U29" s="102" t="n"/>
      <c r="V29" s="102" t="n"/>
    </row>
    <row r="30">
      <c r="A30" s="100">
        <f>IF($C30="","",'Painel Geral'!$B$13)</f>
        <v/>
      </c>
      <c r="B30" s="100">
        <f>IF($C30="","",'Painel Geral'!$C$13)</f>
        <v/>
      </c>
      <c r="C30" s="100">
        <f>IF('Cristiane Chrys Andrade'!$A$53="","",'Cristiane Chrys Andrade'!$A$53)</f>
        <v/>
      </c>
      <c r="D30" s="101">
        <f>IF('Cristiane Chrys Andrade'!$B$53="","",'Cristiane Chrys Andrade'!$B$53)</f>
        <v/>
      </c>
      <c r="E30" s="102">
        <f>IF('Cristiane Chrys Andrade'!$C$53="","",'Cristiane Chrys Andrade'!$C$53)</f>
        <v/>
      </c>
      <c r="F30" s="100">
        <f>IF('Cristiane Chrys Andrade'!$D$53="","",'Cristiane Chrys Andrade'!$D$53)</f>
        <v/>
      </c>
      <c r="G30" s="101">
        <f>IF('Cristiane Chrys Andrade'!$E$53="","",'Cristiane Chrys Andrade'!$E$53)</f>
        <v/>
      </c>
      <c r="H30" s="102">
        <f>IF('Cristiane Chrys Andrade'!$F$53="","",'Cristiane Chrys Andrade'!$F$53)</f>
        <v/>
      </c>
      <c r="I30" s="103">
        <f>IF('Cristiane Chrys Andrade'!$G$53="","",'Cristiane Chrys Andrade'!$G$53)</f>
        <v/>
      </c>
      <c r="J30" s="100">
        <f>IF('Cristiane Chrys Andrade'!$H$53="","",'Cristiane Chrys Andrade'!$H$53)</f>
        <v/>
      </c>
      <c r="K30" s="101">
        <f>IF('Cristiane Chrys Andrade'!$I$53="","",'Cristiane Chrys Andrade'!$I$53)</f>
        <v/>
      </c>
      <c r="L30" s="102">
        <f>IF('Cristiane Chrys Andrade'!$J$53="","",'Cristiane Chrys Andrade'!$J$53)</f>
        <v/>
      </c>
      <c r="M30" s="103">
        <f>IF('Cristiane Chrys Andrade'!$K$53="","",'Cristiane Chrys Andrade'!$K$53)</f>
        <v/>
      </c>
      <c r="N30" s="100">
        <f>IF('Cristiane Chrys Andrade'!$L$53="","",'Cristiane Chrys Andrade'!$L$53)</f>
        <v/>
      </c>
      <c r="O30" s="101">
        <f>IF('Cristiane Chrys Andrade'!$M$53="","",'Cristiane Chrys Andrade'!$M$53)</f>
        <v/>
      </c>
      <c r="P30" s="102">
        <f>IF('Cristiane Chrys Andrade'!$N$53="","",'Cristiane Chrys Andrade'!$N$53)</f>
        <v/>
      </c>
      <c r="Q30" s="102">
        <f>IF('Cristiane Chrys Andrade'!$O$53="","",'Cristiane Chrys Andrade'!$O$53)</f>
        <v/>
      </c>
      <c r="R30" s="103">
        <f>IF($C30="","",IF('Cristiane Chrys Andrade'!$F$7="","",'Cristiane Chrys Andrade'!$F$7))</f>
        <v/>
      </c>
      <c r="S30" s="100" t="n"/>
      <c r="T30" s="102" t="n"/>
      <c r="U30" s="102" t="n"/>
      <c r="V30" s="102" t="n"/>
    </row>
    <row r="31">
      <c r="A31" s="100">
        <f>IF($C31="","",'Painel Geral'!$B$13)</f>
        <v/>
      </c>
      <c r="B31" s="100">
        <f>IF($C31="","",'Painel Geral'!$C$13)</f>
        <v/>
      </c>
      <c r="C31" s="100">
        <f>IF('Cristiane Chrys Andrade'!$A$54="","",'Cristiane Chrys Andrade'!$A$54)</f>
        <v/>
      </c>
      <c r="D31" s="101">
        <f>IF('Cristiane Chrys Andrade'!$B$54="","",'Cristiane Chrys Andrade'!$B$54)</f>
        <v/>
      </c>
      <c r="E31" s="102">
        <f>IF('Cristiane Chrys Andrade'!$C$54="","",'Cristiane Chrys Andrade'!$C$54)</f>
        <v/>
      </c>
      <c r="F31" s="100">
        <f>IF('Cristiane Chrys Andrade'!$D$54="","",'Cristiane Chrys Andrade'!$D$54)</f>
        <v/>
      </c>
      <c r="G31" s="101">
        <f>IF('Cristiane Chrys Andrade'!$E$54="","",'Cristiane Chrys Andrade'!$E$54)</f>
        <v/>
      </c>
      <c r="H31" s="102">
        <f>IF('Cristiane Chrys Andrade'!$F$54="","",'Cristiane Chrys Andrade'!$F$54)</f>
        <v/>
      </c>
      <c r="I31" s="103">
        <f>IF('Cristiane Chrys Andrade'!$G$54="","",'Cristiane Chrys Andrade'!$G$54)</f>
        <v/>
      </c>
      <c r="J31" s="100">
        <f>IF('Cristiane Chrys Andrade'!$H$54="","",'Cristiane Chrys Andrade'!$H$54)</f>
        <v/>
      </c>
      <c r="K31" s="101">
        <f>IF('Cristiane Chrys Andrade'!$I$54="","",'Cristiane Chrys Andrade'!$I$54)</f>
        <v/>
      </c>
      <c r="L31" s="102">
        <f>IF('Cristiane Chrys Andrade'!$J$54="","",'Cristiane Chrys Andrade'!$J$54)</f>
        <v/>
      </c>
      <c r="M31" s="103">
        <f>IF('Cristiane Chrys Andrade'!$K$54="","",'Cristiane Chrys Andrade'!$K$54)</f>
        <v/>
      </c>
      <c r="N31" s="100">
        <f>IF('Cristiane Chrys Andrade'!$L$54="","",'Cristiane Chrys Andrade'!$L$54)</f>
        <v/>
      </c>
      <c r="O31" s="101">
        <f>IF('Cristiane Chrys Andrade'!$M$54="","",'Cristiane Chrys Andrade'!$M$54)</f>
        <v/>
      </c>
      <c r="P31" s="102">
        <f>IF('Cristiane Chrys Andrade'!$N$54="","",'Cristiane Chrys Andrade'!$N$54)</f>
        <v/>
      </c>
      <c r="Q31" s="102">
        <f>IF('Cristiane Chrys Andrade'!$O$54="","",'Cristiane Chrys Andrade'!$O$54)</f>
        <v/>
      </c>
      <c r="R31" s="103">
        <f>IF($C31="","",IF('Cristiane Chrys Andrade'!$F$7="","",'Cristiane Chrys Andrade'!$F$7))</f>
        <v/>
      </c>
      <c r="S31" s="100" t="n"/>
      <c r="T31" s="102" t="n"/>
      <c r="U31" s="102" t="n"/>
      <c r="V31" s="102" t="n"/>
    </row>
    <row r="32">
      <c r="A32" s="100">
        <f>IF($C32="","",'Painel Geral'!$B$13)</f>
        <v/>
      </c>
      <c r="B32" s="100">
        <f>IF($C32="","",'Painel Geral'!$C$13)</f>
        <v/>
      </c>
      <c r="C32" s="100">
        <f>IF('Cristiane Chrys Andrade'!$A$55="","",'Cristiane Chrys Andrade'!$A$55)</f>
        <v/>
      </c>
      <c r="D32" s="101">
        <f>IF('Cristiane Chrys Andrade'!$B$55="","",'Cristiane Chrys Andrade'!$B$55)</f>
        <v/>
      </c>
      <c r="E32" s="102">
        <f>IF('Cristiane Chrys Andrade'!$C$55="","",'Cristiane Chrys Andrade'!$C$55)</f>
        <v/>
      </c>
      <c r="F32" s="100">
        <f>IF('Cristiane Chrys Andrade'!$D$55="","",'Cristiane Chrys Andrade'!$D$55)</f>
        <v/>
      </c>
      <c r="G32" s="101">
        <f>IF('Cristiane Chrys Andrade'!$E$55="","",'Cristiane Chrys Andrade'!$E$55)</f>
        <v/>
      </c>
      <c r="H32" s="102">
        <f>IF('Cristiane Chrys Andrade'!$F$55="","",'Cristiane Chrys Andrade'!$F$55)</f>
        <v/>
      </c>
      <c r="I32" s="103">
        <f>IF('Cristiane Chrys Andrade'!$G$55="","",'Cristiane Chrys Andrade'!$G$55)</f>
        <v/>
      </c>
      <c r="J32" s="100">
        <f>IF('Cristiane Chrys Andrade'!$H$55="","",'Cristiane Chrys Andrade'!$H$55)</f>
        <v/>
      </c>
      <c r="K32" s="101">
        <f>IF('Cristiane Chrys Andrade'!$I$55="","",'Cristiane Chrys Andrade'!$I$55)</f>
        <v/>
      </c>
      <c r="L32" s="102">
        <f>IF('Cristiane Chrys Andrade'!$J$55="","",'Cristiane Chrys Andrade'!$J$55)</f>
        <v/>
      </c>
      <c r="M32" s="103">
        <f>IF('Cristiane Chrys Andrade'!$K$55="","",'Cristiane Chrys Andrade'!$K$55)</f>
        <v/>
      </c>
      <c r="N32" s="100">
        <f>IF('Cristiane Chrys Andrade'!$L$55="","",'Cristiane Chrys Andrade'!$L$55)</f>
        <v/>
      </c>
      <c r="O32" s="101">
        <f>IF('Cristiane Chrys Andrade'!$M$55="","",'Cristiane Chrys Andrade'!$M$55)</f>
        <v/>
      </c>
      <c r="P32" s="102">
        <f>IF('Cristiane Chrys Andrade'!$N$55="","",'Cristiane Chrys Andrade'!$N$55)</f>
        <v/>
      </c>
      <c r="Q32" s="102">
        <f>IF('Cristiane Chrys Andrade'!$O$55="","",'Cristiane Chrys Andrade'!$O$55)</f>
        <v/>
      </c>
      <c r="R32" s="103">
        <f>IF($C32="","",IF('Cristiane Chrys Andrade'!$F$7="","",'Cristiane Chrys Andrade'!$F$7))</f>
        <v/>
      </c>
      <c r="S32" s="100" t="n"/>
      <c r="T32" s="102" t="n"/>
      <c r="U32" s="102" t="n"/>
      <c r="V32" s="102" t="n"/>
    </row>
    <row r="33">
      <c r="A33" s="100">
        <f>IF($C33="","",'Painel Geral'!$B$13)</f>
        <v/>
      </c>
      <c r="B33" s="100">
        <f>IF($C33="","",'Painel Geral'!$C$13)</f>
        <v/>
      </c>
      <c r="C33" s="100">
        <f>IF('Cristiane Chrys Andrade'!$A$56="","",'Cristiane Chrys Andrade'!$A$56)</f>
        <v/>
      </c>
      <c r="D33" s="101">
        <f>IF('Cristiane Chrys Andrade'!$B$56="","",'Cristiane Chrys Andrade'!$B$56)</f>
        <v/>
      </c>
      <c r="E33" s="102">
        <f>IF('Cristiane Chrys Andrade'!$C$56="","",'Cristiane Chrys Andrade'!$C$56)</f>
        <v/>
      </c>
      <c r="F33" s="100">
        <f>IF('Cristiane Chrys Andrade'!$D$56="","",'Cristiane Chrys Andrade'!$D$56)</f>
        <v/>
      </c>
      <c r="G33" s="101">
        <f>IF('Cristiane Chrys Andrade'!$E$56="","",'Cristiane Chrys Andrade'!$E$56)</f>
        <v/>
      </c>
      <c r="H33" s="102">
        <f>IF('Cristiane Chrys Andrade'!$F$56="","",'Cristiane Chrys Andrade'!$F$56)</f>
        <v/>
      </c>
      <c r="I33" s="103">
        <f>IF('Cristiane Chrys Andrade'!$G$56="","",'Cristiane Chrys Andrade'!$G$56)</f>
        <v/>
      </c>
      <c r="J33" s="100">
        <f>IF('Cristiane Chrys Andrade'!$H$56="","",'Cristiane Chrys Andrade'!$H$56)</f>
        <v/>
      </c>
      <c r="K33" s="101">
        <f>IF('Cristiane Chrys Andrade'!$I$56="","",'Cristiane Chrys Andrade'!$I$56)</f>
        <v/>
      </c>
      <c r="L33" s="102">
        <f>IF('Cristiane Chrys Andrade'!$J$56="","",'Cristiane Chrys Andrade'!$J$56)</f>
        <v/>
      </c>
      <c r="M33" s="103">
        <f>IF('Cristiane Chrys Andrade'!$K$56="","",'Cristiane Chrys Andrade'!$K$56)</f>
        <v/>
      </c>
      <c r="N33" s="100">
        <f>IF('Cristiane Chrys Andrade'!$L$56="","",'Cristiane Chrys Andrade'!$L$56)</f>
        <v/>
      </c>
      <c r="O33" s="101">
        <f>IF('Cristiane Chrys Andrade'!$M$56="","",'Cristiane Chrys Andrade'!$M$56)</f>
        <v/>
      </c>
      <c r="P33" s="102">
        <f>IF('Cristiane Chrys Andrade'!$N$56="","",'Cristiane Chrys Andrade'!$N$56)</f>
        <v/>
      </c>
      <c r="Q33" s="102">
        <f>IF('Cristiane Chrys Andrade'!$O$56="","",'Cristiane Chrys Andrade'!$O$56)</f>
        <v/>
      </c>
      <c r="R33" s="103">
        <f>IF($C33="","",IF('Cristiane Chrys Andrade'!$F$7="","",'Cristiane Chrys Andrade'!$F$7))</f>
        <v/>
      </c>
      <c r="S33" s="100" t="n"/>
      <c r="T33" s="102" t="n"/>
      <c r="U33" s="102" t="n"/>
      <c r="V33" s="102" t="n"/>
    </row>
    <row r="34">
      <c r="A34" s="100">
        <f>IF($C34="","",'Painel Geral'!$B$13)</f>
        <v/>
      </c>
      <c r="B34" s="100">
        <f>IF($C34="","",'Painel Geral'!$C$13)</f>
        <v/>
      </c>
      <c r="C34" s="100">
        <f>IF('Cristiane Chrys Andrade'!$A$57="","",'Cristiane Chrys Andrade'!$A$57)</f>
        <v/>
      </c>
      <c r="D34" s="101">
        <f>IF('Cristiane Chrys Andrade'!$B$57="","",'Cristiane Chrys Andrade'!$B$57)</f>
        <v/>
      </c>
      <c r="E34" s="102">
        <f>IF('Cristiane Chrys Andrade'!$C$57="","",'Cristiane Chrys Andrade'!$C$57)</f>
        <v/>
      </c>
      <c r="F34" s="100">
        <f>IF('Cristiane Chrys Andrade'!$D$57="","",'Cristiane Chrys Andrade'!$D$57)</f>
        <v/>
      </c>
      <c r="G34" s="101">
        <f>IF('Cristiane Chrys Andrade'!$E$57="","",'Cristiane Chrys Andrade'!$E$57)</f>
        <v/>
      </c>
      <c r="H34" s="102">
        <f>IF('Cristiane Chrys Andrade'!$F$57="","",'Cristiane Chrys Andrade'!$F$57)</f>
        <v/>
      </c>
      <c r="I34" s="103">
        <f>IF('Cristiane Chrys Andrade'!$G$57="","",'Cristiane Chrys Andrade'!$G$57)</f>
        <v/>
      </c>
      <c r="J34" s="100">
        <f>IF('Cristiane Chrys Andrade'!$H$57="","",'Cristiane Chrys Andrade'!$H$57)</f>
        <v/>
      </c>
      <c r="K34" s="101">
        <f>IF('Cristiane Chrys Andrade'!$I$57="","",'Cristiane Chrys Andrade'!$I$57)</f>
        <v/>
      </c>
      <c r="L34" s="102">
        <f>IF('Cristiane Chrys Andrade'!$J$57="","",'Cristiane Chrys Andrade'!$J$57)</f>
        <v/>
      </c>
      <c r="M34" s="103">
        <f>IF('Cristiane Chrys Andrade'!$K$57="","",'Cristiane Chrys Andrade'!$K$57)</f>
        <v/>
      </c>
      <c r="N34" s="100">
        <f>IF('Cristiane Chrys Andrade'!$L$57="","",'Cristiane Chrys Andrade'!$L$57)</f>
        <v/>
      </c>
      <c r="O34" s="101">
        <f>IF('Cristiane Chrys Andrade'!$M$57="","",'Cristiane Chrys Andrade'!$M$57)</f>
        <v/>
      </c>
      <c r="P34" s="102">
        <f>IF('Cristiane Chrys Andrade'!$N$57="","",'Cristiane Chrys Andrade'!$N$57)</f>
        <v/>
      </c>
      <c r="Q34" s="102">
        <f>IF('Cristiane Chrys Andrade'!$O$57="","",'Cristiane Chrys Andrade'!$O$57)</f>
        <v/>
      </c>
      <c r="R34" s="103">
        <f>IF($C34="","",IF('Cristiane Chrys Andrade'!$F$7="","",'Cristiane Chrys Andrade'!$F$7))</f>
        <v/>
      </c>
      <c r="S34" s="100" t="n"/>
      <c r="T34" s="102" t="n"/>
      <c r="U34" s="102" t="n"/>
      <c r="V34" s="102" t="n"/>
    </row>
    <row r="35">
      <c r="A35" s="100">
        <f>IF($C35="","",'Painel Geral'!$B$13)</f>
        <v/>
      </c>
      <c r="B35" s="100">
        <f>IF($C35="","",'Painel Geral'!$C$13)</f>
        <v/>
      </c>
      <c r="C35" s="100">
        <f>IF('Cristiane Chrys Andrade'!$A$58="","",'Cristiane Chrys Andrade'!$A$58)</f>
        <v/>
      </c>
      <c r="D35" s="101">
        <f>IF('Cristiane Chrys Andrade'!$B$58="","",'Cristiane Chrys Andrade'!$B$58)</f>
        <v/>
      </c>
      <c r="E35" s="102">
        <f>IF('Cristiane Chrys Andrade'!$C$58="","",'Cristiane Chrys Andrade'!$C$58)</f>
        <v/>
      </c>
      <c r="F35" s="100">
        <f>IF('Cristiane Chrys Andrade'!$D$58="","",'Cristiane Chrys Andrade'!$D$58)</f>
        <v/>
      </c>
      <c r="G35" s="101">
        <f>IF('Cristiane Chrys Andrade'!$E$58="","",'Cristiane Chrys Andrade'!$E$58)</f>
        <v/>
      </c>
      <c r="H35" s="102">
        <f>IF('Cristiane Chrys Andrade'!$F$58="","",'Cristiane Chrys Andrade'!$F$58)</f>
        <v/>
      </c>
      <c r="I35" s="103">
        <f>IF('Cristiane Chrys Andrade'!$G$58="","",'Cristiane Chrys Andrade'!$G$58)</f>
        <v/>
      </c>
      <c r="J35" s="100">
        <f>IF('Cristiane Chrys Andrade'!$H$58="","",'Cristiane Chrys Andrade'!$H$58)</f>
        <v/>
      </c>
      <c r="K35" s="101">
        <f>IF('Cristiane Chrys Andrade'!$I$58="","",'Cristiane Chrys Andrade'!$I$58)</f>
        <v/>
      </c>
      <c r="L35" s="102">
        <f>IF('Cristiane Chrys Andrade'!$J$58="","",'Cristiane Chrys Andrade'!$J$58)</f>
        <v/>
      </c>
      <c r="M35" s="103">
        <f>IF('Cristiane Chrys Andrade'!$K$58="","",'Cristiane Chrys Andrade'!$K$58)</f>
        <v/>
      </c>
      <c r="N35" s="100">
        <f>IF('Cristiane Chrys Andrade'!$L$58="","",'Cristiane Chrys Andrade'!$L$58)</f>
        <v/>
      </c>
      <c r="O35" s="101">
        <f>IF('Cristiane Chrys Andrade'!$M$58="","",'Cristiane Chrys Andrade'!$M$58)</f>
        <v/>
      </c>
      <c r="P35" s="102">
        <f>IF('Cristiane Chrys Andrade'!$N$58="","",'Cristiane Chrys Andrade'!$N$58)</f>
        <v/>
      </c>
      <c r="Q35" s="102">
        <f>IF('Cristiane Chrys Andrade'!$O$58="","",'Cristiane Chrys Andrade'!$O$58)</f>
        <v/>
      </c>
      <c r="R35" s="103">
        <f>IF($C35="","",IF('Cristiane Chrys Andrade'!$F$7="","",'Cristiane Chrys Andrade'!$F$7))</f>
        <v/>
      </c>
      <c r="S35" s="100" t="n"/>
      <c r="T35" s="102" t="n"/>
      <c r="U35" s="102" t="n"/>
      <c r="V35" s="102" t="n"/>
    </row>
    <row r="36">
      <c r="A36" s="100">
        <f>IF($C36="","",'Painel Geral'!$B$13)</f>
        <v/>
      </c>
      <c r="B36" s="100">
        <f>IF($C36="","",'Painel Geral'!$C$13)</f>
        <v/>
      </c>
      <c r="C36" s="100">
        <f>IF('Cristiane Chrys Andrade'!$A$59="","",'Cristiane Chrys Andrade'!$A$59)</f>
        <v/>
      </c>
      <c r="D36" s="101">
        <f>IF('Cristiane Chrys Andrade'!$B$59="","",'Cristiane Chrys Andrade'!$B$59)</f>
        <v/>
      </c>
      <c r="E36" s="102">
        <f>IF('Cristiane Chrys Andrade'!$C$59="","",'Cristiane Chrys Andrade'!$C$59)</f>
        <v/>
      </c>
      <c r="F36" s="100">
        <f>IF('Cristiane Chrys Andrade'!$D$59="","",'Cristiane Chrys Andrade'!$D$59)</f>
        <v/>
      </c>
      <c r="G36" s="101">
        <f>IF('Cristiane Chrys Andrade'!$E$59="","",'Cristiane Chrys Andrade'!$E$59)</f>
        <v/>
      </c>
      <c r="H36" s="102">
        <f>IF('Cristiane Chrys Andrade'!$F$59="","",'Cristiane Chrys Andrade'!$F$59)</f>
        <v/>
      </c>
      <c r="I36" s="103">
        <f>IF('Cristiane Chrys Andrade'!$G$59="","",'Cristiane Chrys Andrade'!$G$59)</f>
        <v/>
      </c>
      <c r="J36" s="100">
        <f>IF('Cristiane Chrys Andrade'!$H$59="","",'Cristiane Chrys Andrade'!$H$59)</f>
        <v/>
      </c>
      <c r="K36" s="101">
        <f>IF('Cristiane Chrys Andrade'!$I$59="","",'Cristiane Chrys Andrade'!$I$59)</f>
        <v/>
      </c>
      <c r="L36" s="102">
        <f>IF('Cristiane Chrys Andrade'!$J$59="","",'Cristiane Chrys Andrade'!$J$59)</f>
        <v/>
      </c>
      <c r="M36" s="103">
        <f>IF('Cristiane Chrys Andrade'!$K$59="","",'Cristiane Chrys Andrade'!$K$59)</f>
        <v/>
      </c>
      <c r="N36" s="100">
        <f>IF('Cristiane Chrys Andrade'!$L$59="","",'Cristiane Chrys Andrade'!$L$59)</f>
        <v/>
      </c>
      <c r="O36" s="101">
        <f>IF('Cristiane Chrys Andrade'!$M$59="","",'Cristiane Chrys Andrade'!$M$59)</f>
        <v/>
      </c>
      <c r="P36" s="102">
        <f>IF('Cristiane Chrys Andrade'!$N$59="","",'Cristiane Chrys Andrade'!$N$59)</f>
        <v/>
      </c>
      <c r="Q36" s="102">
        <f>IF('Cristiane Chrys Andrade'!$O$59="","",'Cristiane Chrys Andrade'!$O$59)</f>
        <v/>
      </c>
      <c r="R36" s="103">
        <f>IF($C36="","",IF('Cristiane Chrys Andrade'!$F$7="","",'Cristiane Chrys Andrade'!$F$7))</f>
        <v/>
      </c>
      <c r="S36" s="100" t="n"/>
      <c r="T36" s="102" t="n"/>
      <c r="U36" s="102" t="n"/>
      <c r="V36" s="102" t="n"/>
    </row>
    <row r="37">
      <c r="A37" s="100">
        <f>IF($C37="","",'Painel Geral'!$B$13)</f>
        <v/>
      </c>
      <c r="B37" s="100">
        <f>IF($C37="","",'Painel Geral'!$C$13)</f>
        <v/>
      </c>
      <c r="C37" s="100">
        <f>IF('Cristiane Chrys Andrade'!$A$60="","",'Cristiane Chrys Andrade'!$A$60)</f>
        <v/>
      </c>
      <c r="D37" s="101">
        <f>IF('Cristiane Chrys Andrade'!$B$60="","",'Cristiane Chrys Andrade'!$B$60)</f>
        <v/>
      </c>
      <c r="E37" s="102">
        <f>IF('Cristiane Chrys Andrade'!$C$60="","",'Cristiane Chrys Andrade'!$C$60)</f>
        <v/>
      </c>
      <c r="F37" s="100">
        <f>IF('Cristiane Chrys Andrade'!$D$60="","",'Cristiane Chrys Andrade'!$D$60)</f>
        <v/>
      </c>
      <c r="G37" s="101">
        <f>IF('Cristiane Chrys Andrade'!$E$60="","",'Cristiane Chrys Andrade'!$E$60)</f>
        <v/>
      </c>
      <c r="H37" s="102">
        <f>IF('Cristiane Chrys Andrade'!$F$60="","",'Cristiane Chrys Andrade'!$F$60)</f>
        <v/>
      </c>
      <c r="I37" s="103">
        <f>IF('Cristiane Chrys Andrade'!$G$60="","",'Cristiane Chrys Andrade'!$G$60)</f>
        <v/>
      </c>
      <c r="J37" s="100">
        <f>IF('Cristiane Chrys Andrade'!$H$60="","",'Cristiane Chrys Andrade'!$H$60)</f>
        <v/>
      </c>
      <c r="K37" s="101">
        <f>IF('Cristiane Chrys Andrade'!$I$60="","",'Cristiane Chrys Andrade'!$I$60)</f>
        <v/>
      </c>
      <c r="L37" s="102">
        <f>IF('Cristiane Chrys Andrade'!$J$60="","",'Cristiane Chrys Andrade'!$J$60)</f>
        <v/>
      </c>
      <c r="M37" s="103">
        <f>IF('Cristiane Chrys Andrade'!$K$60="","",'Cristiane Chrys Andrade'!$K$60)</f>
        <v/>
      </c>
      <c r="N37" s="100">
        <f>IF('Cristiane Chrys Andrade'!$L$60="","",'Cristiane Chrys Andrade'!$L$60)</f>
        <v/>
      </c>
      <c r="O37" s="101">
        <f>IF('Cristiane Chrys Andrade'!$M$60="","",'Cristiane Chrys Andrade'!$M$60)</f>
        <v/>
      </c>
      <c r="P37" s="102">
        <f>IF('Cristiane Chrys Andrade'!$N$60="","",'Cristiane Chrys Andrade'!$N$60)</f>
        <v/>
      </c>
      <c r="Q37" s="102">
        <f>IF('Cristiane Chrys Andrade'!$O$60="","",'Cristiane Chrys Andrade'!$O$60)</f>
        <v/>
      </c>
      <c r="R37" s="103">
        <f>IF($C37="","",IF('Cristiane Chrys Andrade'!$F$7="","",'Cristiane Chrys Andrade'!$F$7))</f>
        <v/>
      </c>
      <c r="S37" s="100" t="n"/>
      <c r="T37" s="102" t="n"/>
      <c r="U37" s="102" t="n"/>
      <c r="V37" s="102" t="n"/>
    </row>
    <row r="38">
      <c r="A38" s="100">
        <f>IF($C38="","",'Painel Geral'!$B$14)</f>
        <v/>
      </c>
      <c r="B38" s="100">
        <f>IF($C38="","",'Painel Geral'!$C$14)</f>
        <v/>
      </c>
      <c r="C38" s="100">
        <f>IF('EPE Formas '!$A$49="","",'EPE Formas '!$A$49)</f>
        <v/>
      </c>
      <c r="D38" s="101">
        <f>IF('EPE Formas '!$B$49="","",'EPE Formas '!$B$49)</f>
        <v/>
      </c>
      <c r="E38" s="102">
        <f>IF('EPE Formas '!$C$49="","",'EPE Formas '!$C$49)</f>
        <v/>
      </c>
      <c r="F38" s="100">
        <f>IF('EPE Formas '!$D$49="","",'EPE Formas '!$D$49)</f>
        <v/>
      </c>
      <c r="G38" s="101">
        <f>IF('EPE Formas '!$E$49="","",'EPE Formas '!$E$49)</f>
        <v/>
      </c>
      <c r="H38" s="102">
        <f>IF('EPE Formas '!$F$49="","",'EPE Formas '!$F$49)</f>
        <v/>
      </c>
      <c r="I38" s="103">
        <f>IF('EPE Formas '!$G$49="","",'EPE Formas '!$G$49)</f>
        <v/>
      </c>
      <c r="J38" s="100">
        <f>IF('EPE Formas '!$H$49="","",'EPE Formas '!$H$49)</f>
        <v/>
      </c>
      <c r="K38" s="101">
        <f>IF('EPE Formas '!$I$49="","",'EPE Formas '!$I$49)</f>
        <v/>
      </c>
      <c r="L38" s="102">
        <f>IF('EPE Formas '!$J$49="","",'EPE Formas '!$J$49)</f>
        <v/>
      </c>
      <c r="M38" s="103">
        <f>IF('EPE Formas '!$K$49="","",'EPE Formas '!$K$49)</f>
        <v/>
      </c>
      <c r="N38" s="100">
        <f>IF('EPE Formas '!$L$49="","",'EPE Formas '!$L$49)</f>
        <v/>
      </c>
      <c r="O38" s="101">
        <f>IF('EPE Formas '!$M$49="","",'EPE Formas '!$M$49)</f>
        <v/>
      </c>
      <c r="P38" s="102">
        <f>IF('EPE Formas '!$N$49="","",'EPE Formas '!$N$49)</f>
        <v/>
      </c>
      <c r="Q38" s="102">
        <f>IF('EPE Formas '!$O$49="","",'EPE Formas '!$O$49)</f>
        <v/>
      </c>
      <c r="R38" s="103">
        <f>IF($C38="","",IF('EPE Formas '!$F$7="","",'EPE Formas '!$F$7))</f>
        <v/>
      </c>
      <c r="S38" s="100">
        <f>IF($C38="","",IF('EPE Formas '!$F$9="","",'EPE Formas '!$F$9))</f>
        <v/>
      </c>
      <c r="T38" s="102">
        <f>IF($C38="","",IF('EPE Formas '!$D$65="",0,'EPE Formas '!$D$65))</f>
        <v/>
      </c>
      <c r="U38" s="102">
        <f>IF($C38="","",IF('EPE Formas '!$D$45="",0,'EPE Formas '!$D$45))</f>
        <v/>
      </c>
      <c r="V38" s="102">
        <f>IF($C38="","",IF('EPE Formas '!$A$13="",0,'EPE Formas '!$A$13))</f>
        <v/>
      </c>
    </row>
    <row r="39">
      <c r="A39" s="100">
        <f>IF($C39="","",'Painel Geral'!$B$14)</f>
        <v/>
      </c>
      <c r="B39" s="100">
        <f>IF($C39="","",'Painel Geral'!$C$14)</f>
        <v/>
      </c>
      <c r="C39" s="100">
        <f>IF('EPE Formas '!$A$50="","",'EPE Formas '!$A$50)</f>
        <v/>
      </c>
      <c r="D39" s="101">
        <f>IF('EPE Formas '!$B$50="","",'EPE Formas '!$B$50)</f>
        <v/>
      </c>
      <c r="E39" s="102">
        <f>IF('EPE Formas '!$C$50="","",'EPE Formas '!$C$50)</f>
        <v/>
      </c>
      <c r="F39" s="100">
        <f>IF('EPE Formas '!$D$50="","",'EPE Formas '!$D$50)</f>
        <v/>
      </c>
      <c r="G39" s="101">
        <f>IF('EPE Formas '!$E$50="","",'EPE Formas '!$E$50)</f>
        <v/>
      </c>
      <c r="H39" s="102">
        <f>IF('EPE Formas '!$F$50="","",'EPE Formas '!$F$50)</f>
        <v/>
      </c>
      <c r="I39" s="103">
        <f>IF('EPE Formas '!$G$50="","",'EPE Formas '!$G$50)</f>
        <v/>
      </c>
      <c r="J39" s="100">
        <f>IF('EPE Formas '!$H$50="","",'EPE Formas '!$H$50)</f>
        <v/>
      </c>
      <c r="K39" s="101">
        <f>IF('EPE Formas '!$I$50="","",'EPE Formas '!$I$50)</f>
        <v/>
      </c>
      <c r="L39" s="102">
        <f>IF('EPE Formas '!$J$50="","",'EPE Formas '!$J$50)</f>
        <v/>
      </c>
      <c r="M39" s="103">
        <f>IF('EPE Formas '!$K$50="","",'EPE Formas '!$K$50)</f>
        <v/>
      </c>
      <c r="N39" s="100">
        <f>IF('EPE Formas '!$L$50="","",'EPE Formas '!$L$50)</f>
        <v/>
      </c>
      <c r="O39" s="101">
        <f>IF('EPE Formas '!$M$50="","",'EPE Formas '!$M$50)</f>
        <v/>
      </c>
      <c r="P39" s="102">
        <f>IF('EPE Formas '!$N$50="","",'EPE Formas '!$N$50)</f>
        <v/>
      </c>
      <c r="Q39" s="102">
        <f>IF('EPE Formas '!$O$50="","",'EPE Formas '!$O$50)</f>
        <v/>
      </c>
      <c r="R39" s="103">
        <f>IF($C39="","",IF('EPE Formas '!$F$7="","",'EPE Formas '!$F$7))</f>
        <v/>
      </c>
      <c r="S39" s="100" t="n"/>
      <c r="T39" s="102" t="n"/>
      <c r="U39" s="102" t="n"/>
      <c r="V39" s="102" t="n"/>
    </row>
    <row r="40">
      <c r="A40" s="100">
        <f>IF($C40="","",'Painel Geral'!$B$14)</f>
        <v/>
      </c>
      <c r="B40" s="100">
        <f>IF($C40="","",'Painel Geral'!$C$14)</f>
        <v/>
      </c>
      <c r="C40" s="100">
        <f>IF('EPE Formas '!$A$51="","",'EPE Formas '!$A$51)</f>
        <v/>
      </c>
      <c r="D40" s="101">
        <f>IF('EPE Formas '!$B$51="","",'EPE Formas '!$B$51)</f>
        <v/>
      </c>
      <c r="E40" s="102">
        <f>IF('EPE Formas '!$C$51="","",'EPE Formas '!$C$51)</f>
        <v/>
      </c>
      <c r="F40" s="100">
        <f>IF('EPE Formas '!$D$51="","",'EPE Formas '!$D$51)</f>
        <v/>
      </c>
      <c r="G40" s="101">
        <f>IF('EPE Formas '!$E$51="","",'EPE Formas '!$E$51)</f>
        <v/>
      </c>
      <c r="H40" s="102">
        <f>IF('EPE Formas '!$F$51="","",'EPE Formas '!$F$51)</f>
        <v/>
      </c>
      <c r="I40" s="103">
        <f>IF('EPE Formas '!$G$51="","",'EPE Formas '!$G$51)</f>
        <v/>
      </c>
      <c r="J40" s="100">
        <f>IF('EPE Formas '!$H$51="","",'EPE Formas '!$H$51)</f>
        <v/>
      </c>
      <c r="K40" s="101">
        <f>IF('EPE Formas '!$I$51="","",'EPE Formas '!$I$51)</f>
        <v/>
      </c>
      <c r="L40" s="102">
        <f>IF('EPE Formas '!$J$51="","",'EPE Formas '!$J$51)</f>
        <v/>
      </c>
      <c r="M40" s="103">
        <f>IF('EPE Formas '!$K$51="","",'EPE Formas '!$K$51)</f>
        <v/>
      </c>
      <c r="N40" s="100">
        <f>IF('EPE Formas '!$L$51="","",'EPE Formas '!$L$51)</f>
        <v/>
      </c>
      <c r="O40" s="101">
        <f>IF('EPE Formas '!$M$51="","",'EPE Formas '!$M$51)</f>
        <v/>
      </c>
      <c r="P40" s="102">
        <f>IF('EPE Formas '!$N$51="","",'EPE Formas '!$N$51)</f>
        <v/>
      </c>
      <c r="Q40" s="102">
        <f>IF('EPE Formas '!$O$51="","",'EPE Formas '!$O$51)</f>
        <v/>
      </c>
      <c r="R40" s="103">
        <f>IF($C40="","",IF('EPE Formas '!$F$7="","",'EPE Formas '!$F$7))</f>
        <v/>
      </c>
      <c r="S40" s="100" t="n"/>
      <c r="T40" s="102" t="n"/>
      <c r="U40" s="102" t="n"/>
      <c r="V40" s="102" t="n"/>
    </row>
    <row r="41">
      <c r="A41" s="100">
        <f>IF($C41="","",'Painel Geral'!$B$14)</f>
        <v/>
      </c>
      <c r="B41" s="100">
        <f>IF($C41="","",'Painel Geral'!$C$14)</f>
        <v/>
      </c>
      <c r="C41" s="100">
        <f>IF('EPE Formas '!$A$52="","",'EPE Formas '!$A$52)</f>
        <v/>
      </c>
      <c r="D41" s="101">
        <f>IF('EPE Formas '!$B$52="","",'EPE Formas '!$B$52)</f>
        <v/>
      </c>
      <c r="E41" s="102">
        <f>IF('EPE Formas '!$C$52="","",'EPE Formas '!$C$52)</f>
        <v/>
      </c>
      <c r="F41" s="100">
        <f>IF('EPE Formas '!$D$52="","",'EPE Formas '!$D$52)</f>
        <v/>
      </c>
      <c r="G41" s="101">
        <f>IF('EPE Formas '!$E$52="","",'EPE Formas '!$E$52)</f>
        <v/>
      </c>
      <c r="H41" s="102">
        <f>IF('EPE Formas '!$F$52="","",'EPE Formas '!$F$52)</f>
        <v/>
      </c>
      <c r="I41" s="103">
        <f>IF('EPE Formas '!$G$52="","",'EPE Formas '!$G$52)</f>
        <v/>
      </c>
      <c r="J41" s="100">
        <f>IF('EPE Formas '!$H$52="","",'EPE Formas '!$H$52)</f>
        <v/>
      </c>
      <c r="K41" s="101">
        <f>IF('EPE Formas '!$I$52="","",'EPE Formas '!$I$52)</f>
        <v/>
      </c>
      <c r="L41" s="102">
        <f>IF('EPE Formas '!$J$52="","",'EPE Formas '!$J$52)</f>
        <v/>
      </c>
      <c r="M41" s="103">
        <f>IF('EPE Formas '!$K$52="","",'EPE Formas '!$K$52)</f>
        <v/>
      </c>
      <c r="N41" s="100">
        <f>IF('EPE Formas '!$L$52="","",'EPE Formas '!$L$52)</f>
        <v/>
      </c>
      <c r="O41" s="101">
        <f>IF('EPE Formas '!$M$52="","",'EPE Formas '!$M$52)</f>
        <v/>
      </c>
      <c r="P41" s="102">
        <f>IF('EPE Formas '!$N$52="","",'EPE Formas '!$N$52)</f>
        <v/>
      </c>
      <c r="Q41" s="102">
        <f>IF('EPE Formas '!$O$52="","",'EPE Formas '!$O$52)</f>
        <v/>
      </c>
      <c r="R41" s="103">
        <f>IF($C41="","",IF('EPE Formas '!$F$7="","",'EPE Formas '!$F$7))</f>
        <v/>
      </c>
      <c r="S41" s="100" t="n"/>
      <c r="T41" s="102" t="n"/>
      <c r="U41" s="102" t="n"/>
      <c r="V41" s="102" t="n"/>
    </row>
    <row r="42">
      <c r="A42" s="100">
        <f>IF($C42="","",'Painel Geral'!$B$14)</f>
        <v/>
      </c>
      <c r="B42" s="100">
        <f>IF($C42="","",'Painel Geral'!$C$14)</f>
        <v/>
      </c>
      <c r="C42" s="100">
        <f>IF('EPE Formas '!$A$53="","",'EPE Formas '!$A$53)</f>
        <v/>
      </c>
      <c r="D42" s="101">
        <f>IF('EPE Formas '!$B$53="","",'EPE Formas '!$B$53)</f>
        <v/>
      </c>
      <c r="E42" s="102">
        <f>IF('EPE Formas '!$C$53="","",'EPE Formas '!$C$53)</f>
        <v/>
      </c>
      <c r="F42" s="100">
        <f>IF('EPE Formas '!$D$53="","",'EPE Formas '!$D$53)</f>
        <v/>
      </c>
      <c r="G42" s="101">
        <f>IF('EPE Formas '!$E$53="","",'EPE Formas '!$E$53)</f>
        <v/>
      </c>
      <c r="H42" s="102">
        <f>IF('EPE Formas '!$F$53="","",'EPE Formas '!$F$53)</f>
        <v/>
      </c>
      <c r="I42" s="103">
        <f>IF('EPE Formas '!$G$53="","",'EPE Formas '!$G$53)</f>
        <v/>
      </c>
      <c r="J42" s="100">
        <f>IF('EPE Formas '!$H$53="","",'EPE Formas '!$H$53)</f>
        <v/>
      </c>
      <c r="K42" s="101">
        <f>IF('EPE Formas '!$I$53="","",'EPE Formas '!$I$53)</f>
        <v/>
      </c>
      <c r="L42" s="102">
        <f>IF('EPE Formas '!$J$53="","",'EPE Formas '!$J$53)</f>
        <v/>
      </c>
      <c r="M42" s="103">
        <f>IF('EPE Formas '!$K$53="","",'EPE Formas '!$K$53)</f>
        <v/>
      </c>
      <c r="N42" s="100">
        <f>IF('EPE Formas '!$L$53="","",'EPE Formas '!$L$53)</f>
        <v/>
      </c>
      <c r="O42" s="101">
        <f>IF('EPE Formas '!$M$53="","",'EPE Formas '!$M$53)</f>
        <v/>
      </c>
      <c r="P42" s="102">
        <f>IF('EPE Formas '!$N$53="","",'EPE Formas '!$N$53)</f>
        <v/>
      </c>
      <c r="Q42" s="102">
        <f>IF('EPE Formas '!$O$53="","",'EPE Formas '!$O$53)</f>
        <v/>
      </c>
      <c r="R42" s="103">
        <f>IF($C42="","",IF('EPE Formas '!$F$7="","",'EPE Formas '!$F$7))</f>
        <v/>
      </c>
      <c r="S42" s="100" t="n"/>
      <c r="T42" s="102" t="n"/>
      <c r="U42" s="102" t="n"/>
      <c r="V42" s="102" t="n"/>
    </row>
    <row r="43">
      <c r="A43" s="100">
        <f>IF($C43="","",'Painel Geral'!$B$14)</f>
        <v/>
      </c>
      <c r="B43" s="100">
        <f>IF($C43="","",'Painel Geral'!$C$14)</f>
        <v/>
      </c>
      <c r="C43" s="100">
        <f>IF('EPE Formas '!$A$54="","",'EPE Formas '!$A$54)</f>
        <v/>
      </c>
      <c r="D43" s="101">
        <f>IF('EPE Formas '!$B$54="","",'EPE Formas '!$B$54)</f>
        <v/>
      </c>
      <c r="E43" s="102">
        <f>IF('EPE Formas '!$C$54="","",'EPE Formas '!$C$54)</f>
        <v/>
      </c>
      <c r="F43" s="100">
        <f>IF('EPE Formas '!$D$54="","",'EPE Formas '!$D$54)</f>
        <v/>
      </c>
      <c r="G43" s="101">
        <f>IF('EPE Formas '!$E$54="","",'EPE Formas '!$E$54)</f>
        <v/>
      </c>
      <c r="H43" s="102">
        <f>IF('EPE Formas '!$F$54="","",'EPE Formas '!$F$54)</f>
        <v/>
      </c>
      <c r="I43" s="103">
        <f>IF('EPE Formas '!$G$54="","",'EPE Formas '!$G$54)</f>
        <v/>
      </c>
      <c r="J43" s="100">
        <f>IF('EPE Formas '!$H$54="","",'EPE Formas '!$H$54)</f>
        <v/>
      </c>
      <c r="K43" s="101">
        <f>IF('EPE Formas '!$I$54="","",'EPE Formas '!$I$54)</f>
        <v/>
      </c>
      <c r="L43" s="102">
        <f>IF('EPE Formas '!$J$54="","",'EPE Formas '!$J$54)</f>
        <v/>
      </c>
      <c r="M43" s="103">
        <f>IF('EPE Formas '!$K$54="","",'EPE Formas '!$K$54)</f>
        <v/>
      </c>
      <c r="N43" s="100">
        <f>IF('EPE Formas '!$L$54="","",'EPE Formas '!$L$54)</f>
        <v/>
      </c>
      <c r="O43" s="101">
        <f>IF('EPE Formas '!$M$54="","",'EPE Formas '!$M$54)</f>
        <v/>
      </c>
      <c r="P43" s="102">
        <f>IF('EPE Formas '!$N$54="","",'EPE Formas '!$N$54)</f>
        <v/>
      </c>
      <c r="Q43" s="102">
        <f>IF('EPE Formas '!$O$54="","",'EPE Formas '!$O$54)</f>
        <v/>
      </c>
      <c r="R43" s="103">
        <f>IF($C43="","",IF('EPE Formas '!$F$7="","",'EPE Formas '!$F$7))</f>
        <v/>
      </c>
      <c r="S43" s="100" t="n"/>
      <c r="T43" s="102" t="n"/>
      <c r="U43" s="102" t="n"/>
      <c r="V43" s="102" t="n"/>
    </row>
    <row r="44">
      <c r="A44" s="100">
        <f>IF($C44="","",'Painel Geral'!$B$14)</f>
        <v/>
      </c>
      <c r="B44" s="100">
        <f>IF($C44="","",'Painel Geral'!$C$14)</f>
        <v/>
      </c>
      <c r="C44" s="100">
        <f>IF('EPE Formas '!$A$55="","",'EPE Formas '!$A$55)</f>
        <v/>
      </c>
      <c r="D44" s="101">
        <f>IF('EPE Formas '!$B$55="","",'EPE Formas '!$B$55)</f>
        <v/>
      </c>
      <c r="E44" s="102">
        <f>IF('EPE Formas '!$C$55="","",'EPE Formas '!$C$55)</f>
        <v/>
      </c>
      <c r="F44" s="100">
        <f>IF('EPE Formas '!$D$55="","",'EPE Formas '!$D$55)</f>
        <v/>
      </c>
      <c r="G44" s="101">
        <f>IF('EPE Formas '!$E$55="","",'EPE Formas '!$E$55)</f>
        <v/>
      </c>
      <c r="H44" s="102">
        <f>IF('EPE Formas '!$F$55="","",'EPE Formas '!$F$55)</f>
        <v/>
      </c>
      <c r="I44" s="103">
        <f>IF('EPE Formas '!$G$55="","",'EPE Formas '!$G$55)</f>
        <v/>
      </c>
      <c r="J44" s="100">
        <f>IF('EPE Formas '!$H$55="","",'EPE Formas '!$H$55)</f>
        <v/>
      </c>
      <c r="K44" s="101">
        <f>IF('EPE Formas '!$I$55="","",'EPE Formas '!$I$55)</f>
        <v/>
      </c>
      <c r="L44" s="102">
        <f>IF('EPE Formas '!$J$55="","",'EPE Formas '!$J$55)</f>
        <v/>
      </c>
      <c r="M44" s="103">
        <f>IF('EPE Formas '!$K$55="","",'EPE Formas '!$K$55)</f>
        <v/>
      </c>
      <c r="N44" s="100">
        <f>IF('EPE Formas '!$L$55="","",'EPE Formas '!$L$55)</f>
        <v/>
      </c>
      <c r="O44" s="101">
        <f>IF('EPE Formas '!$M$55="","",'EPE Formas '!$M$55)</f>
        <v/>
      </c>
      <c r="P44" s="102">
        <f>IF('EPE Formas '!$N$55="","",'EPE Formas '!$N$55)</f>
        <v/>
      </c>
      <c r="Q44" s="102">
        <f>IF('EPE Formas '!$O$55="","",'EPE Formas '!$O$55)</f>
        <v/>
      </c>
      <c r="R44" s="103">
        <f>IF($C44="","",IF('EPE Formas '!$F$7="","",'EPE Formas '!$F$7))</f>
        <v/>
      </c>
      <c r="S44" s="100" t="n"/>
      <c r="T44" s="102" t="n"/>
      <c r="U44" s="102" t="n"/>
      <c r="V44" s="102" t="n"/>
    </row>
    <row r="45">
      <c r="A45" s="100">
        <f>IF($C45="","",'Painel Geral'!$B$14)</f>
        <v/>
      </c>
      <c r="B45" s="100">
        <f>IF($C45="","",'Painel Geral'!$C$14)</f>
        <v/>
      </c>
      <c r="C45" s="100">
        <f>IF('EPE Formas '!$A$56="","",'EPE Formas '!$A$56)</f>
        <v/>
      </c>
      <c r="D45" s="101">
        <f>IF('EPE Formas '!$B$56="","",'EPE Formas '!$B$56)</f>
        <v/>
      </c>
      <c r="E45" s="102">
        <f>IF('EPE Formas '!$C$56="","",'EPE Formas '!$C$56)</f>
        <v/>
      </c>
      <c r="F45" s="100">
        <f>IF('EPE Formas '!$D$56="","",'EPE Formas '!$D$56)</f>
        <v/>
      </c>
      <c r="G45" s="101">
        <f>IF('EPE Formas '!$E$56="","",'EPE Formas '!$E$56)</f>
        <v/>
      </c>
      <c r="H45" s="102">
        <f>IF('EPE Formas '!$F$56="","",'EPE Formas '!$F$56)</f>
        <v/>
      </c>
      <c r="I45" s="103">
        <f>IF('EPE Formas '!$G$56="","",'EPE Formas '!$G$56)</f>
        <v/>
      </c>
      <c r="J45" s="100">
        <f>IF('EPE Formas '!$H$56="","",'EPE Formas '!$H$56)</f>
        <v/>
      </c>
      <c r="K45" s="101">
        <f>IF('EPE Formas '!$I$56="","",'EPE Formas '!$I$56)</f>
        <v/>
      </c>
      <c r="L45" s="102">
        <f>IF('EPE Formas '!$J$56="","",'EPE Formas '!$J$56)</f>
        <v/>
      </c>
      <c r="M45" s="103">
        <f>IF('EPE Formas '!$K$56="","",'EPE Formas '!$K$56)</f>
        <v/>
      </c>
      <c r="N45" s="100">
        <f>IF('EPE Formas '!$L$56="","",'EPE Formas '!$L$56)</f>
        <v/>
      </c>
      <c r="O45" s="101">
        <f>IF('EPE Formas '!$M$56="","",'EPE Formas '!$M$56)</f>
        <v/>
      </c>
      <c r="P45" s="102">
        <f>IF('EPE Formas '!$N$56="","",'EPE Formas '!$N$56)</f>
        <v/>
      </c>
      <c r="Q45" s="102">
        <f>IF('EPE Formas '!$O$56="","",'EPE Formas '!$O$56)</f>
        <v/>
      </c>
      <c r="R45" s="103">
        <f>IF($C45="","",IF('EPE Formas '!$F$7="","",'EPE Formas '!$F$7))</f>
        <v/>
      </c>
      <c r="S45" s="100" t="n"/>
      <c r="T45" s="102" t="n"/>
      <c r="U45" s="102" t="n"/>
      <c r="V45" s="102" t="n"/>
    </row>
    <row r="46">
      <c r="A46" s="100">
        <f>IF($C46="","",'Painel Geral'!$B$14)</f>
        <v/>
      </c>
      <c r="B46" s="100">
        <f>IF($C46="","",'Painel Geral'!$C$14)</f>
        <v/>
      </c>
      <c r="C46" s="100">
        <f>IF('EPE Formas '!$A$57="","",'EPE Formas '!$A$57)</f>
        <v/>
      </c>
      <c r="D46" s="101">
        <f>IF('EPE Formas '!$B$57="","",'EPE Formas '!$B$57)</f>
        <v/>
      </c>
      <c r="E46" s="102">
        <f>IF('EPE Formas '!$C$57="","",'EPE Formas '!$C$57)</f>
        <v/>
      </c>
      <c r="F46" s="100">
        <f>IF('EPE Formas '!$D$57="","",'EPE Formas '!$D$57)</f>
        <v/>
      </c>
      <c r="G46" s="101">
        <f>IF('EPE Formas '!$E$57="","",'EPE Formas '!$E$57)</f>
        <v/>
      </c>
      <c r="H46" s="102">
        <f>IF('EPE Formas '!$F$57="","",'EPE Formas '!$F$57)</f>
        <v/>
      </c>
      <c r="I46" s="103">
        <f>IF('EPE Formas '!$G$57="","",'EPE Formas '!$G$57)</f>
        <v/>
      </c>
      <c r="J46" s="100">
        <f>IF('EPE Formas '!$H$57="","",'EPE Formas '!$H$57)</f>
        <v/>
      </c>
      <c r="K46" s="101">
        <f>IF('EPE Formas '!$I$57="","",'EPE Formas '!$I$57)</f>
        <v/>
      </c>
      <c r="L46" s="102">
        <f>IF('EPE Formas '!$J$57="","",'EPE Formas '!$J$57)</f>
        <v/>
      </c>
      <c r="M46" s="103">
        <f>IF('EPE Formas '!$K$57="","",'EPE Formas '!$K$57)</f>
        <v/>
      </c>
      <c r="N46" s="100">
        <f>IF('EPE Formas '!$L$57="","",'EPE Formas '!$L$57)</f>
        <v/>
      </c>
      <c r="O46" s="101">
        <f>IF('EPE Formas '!$M$57="","",'EPE Formas '!$M$57)</f>
        <v/>
      </c>
      <c r="P46" s="102">
        <f>IF('EPE Formas '!$N$57="","",'EPE Formas '!$N$57)</f>
        <v/>
      </c>
      <c r="Q46" s="102">
        <f>IF('EPE Formas '!$O$57="","",'EPE Formas '!$O$57)</f>
        <v/>
      </c>
      <c r="R46" s="103">
        <f>IF($C46="","",IF('EPE Formas '!$F$7="","",'EPE Formas '!$F$7))</f>
        <v/>
      </c>
      <c r="S46" s="100" t="n"/>
      <c r="T46" s="102" t="n"/>
      <c r="U46" s="102" t="n"/>
      <c r="V46" s="102" t="n"/>
    </row>
    <row r="47">
      <c r="A47" s="100">
        <f>IF($C47="","",'Painel Geral'!$B$14)</f>
        <v/>
      </c>
      <c r="B47" s="100">
        <f>IF($C47="","",'Painel Geral'!$C$14)</f>
        <v/>
      </c>
      <c r="C47" s="100">
        <f>IF('EPE Formas '!$A$58="","",'EPE Formas '!$A$58)</f>
        <v/>
      </c>
      <c r="D47" s="101">
        <f>IF('EPE Formas '!$B$58="","",'EPE Formas '!$B$58)</f>
        <v/>
      </c>
      <c r="E47" s="102">
        <f>IF('EPE Formas '!$C$58="","",'EPE Formas '!$C$58)</f>
        <v/>
      </c>
      <c r="F47" s="100">
        <f>IF('EPE Formas '!$D$58="","",'EPE Formas '!$D$58)</f>
        <v/>
      </c>
      <c r="G47" s="101">
        <f>IF('EPE Formas '!$E$58="","",'EPE Formas '!$E$58)</f>
        <v/>
      </c>
      <c r="H47" s="102">
        <f>IF('EPE Formas '!$F$58="","",'EPE Formas '!$F$58)</f>
        <v/>
      </c>
      <c r="I47" s="103">
        <f>IF('EPE Formas '!$G$58="","",'EPE Formas '!$G$58)</f>
        <v/>
      </c>
      <c r="J47" s="100">
        <f>IF('EPE Formas '!$H$58="","",'EPE Formas '!$H$58)</f>
        <v/>
      </c>
      <c r="K47" s="101">
        <f>IF('EPE Formas '!$I$58="","",'EPE Formas '!$I$58)</f>
        <v/>
      </c>
      <c r="L47" s="102">
        <f>IF('EPE Formas '!$J$58="","",'EPE Formas '!$J$58)</f>
        <v/>
      </c>
      <c r="M47" s="103">
        <f>IF('EPE Formas '!$K$58="","",'EPE Formas '!$K$58)</f>
        <v/>
      </c>
      <c r="N47" s="100">
        <f>IF('EPE Formas '!$L$58="","",'EPE Formas '!$L$58)</f>
        <v/>
      </c>
      <c r="O47" s="101">
        <f>IF('EPE Formas '!$M$58="","",'EPE Formas '!$M$58)</f>
        <v/>
      </c>
      <c r="P47" s="102">
        <f>IF('EPE Formas '!$N$58="","",'EPE Formas '!$N$58)</f>
        <v/>
      </c>
      <c r="Q47" s="102">
        <f>IF('EPE Formas '!$O$58="","",'EPE Formas '!$O$58)</f>
        <v/>
      </c>
      <c r="R47" s="103">
        <f>IF($C47="","",IF('EPE Formas '!$F$7="","",'EPE Formas '!$F$7))</f>
        <v/>
      </c>
      <c r="S47" s="100" t="n"/>
      <c r="T47" s="102" t="n"/>
      <c r="U47" s="102" t="n"/>
      <c r="V47" s="102" t="n"/>
    </row>
    <row r="48">
      <c r="A48" s="100">
        <f>IF($C48="","",'Painel Geral'!$B$14)</f>
        <v/>
      </c>
      <c r="B48" s="100">
        <f>IF($C48="","",'Painel Geral'!$C$14)</f>
        <v/>
      </c>
      <c r="C48" s="100">
        <f>IF('EPE Formas '!$A$59="","",'EPE Formas '!$A$59)</f>
        <v/>
      </c>
      <c r="D48" s="101">
        <f>IF('EPE Formas '!$B$59="","",'EPE Formas '!$B$59)</f>
        <v/>
      </c>
      <c r="E48" s="102">
        <f>IF('EPE Formas '!$C$59="","",'EPE Formas '!$C$59)</f>
        <v/>
      </c>
      <c r="F48" s="100">
        <f>IF('EPE Formas '!$D$59="","",'EPE Formas '!$D$59)</f>
        <v/>
      </c>
      <c r="G48" s="101">
        <f>IF('EPE Formas '!$E$59="","",'EPE Formas '!$E$59)</f>
        <v/>
      </c>
      <c r="H48" s="102">
        <f>IF('EPE Formas '!$F$59="","",'EPE Formas '!$F$59)</f>
        <v/>
      </c>
      <c r="I48" s="103">
        <f>IF('EPE Formas '!$G$59="","",'EPE Formas '!$G$59)</f>
        <v/>
      </c>
      <c r="J48" s="100">
        <f>IF('EPE Formas '!$H$59="","",'EPE Formas '!$H$59)</f>
        <v/>
      </c>
      <c r="K48" s="101">
        <f>IF('EPE Formas '!$I$59="","",'EPE Formas '!$I$59)</f>
        <v/>
      </c>
      <c r="L48" s="102">
        <f>IF('EPE Formas '!$J$59="","",'EPE Formas '!$J$59)</f>
        <v/>
      </c>
      <c r="M48" s="103">
        <f>IF('EPE Formas '!$K$59="","",'EPE Formas '!$K$59)</f>
        <v/>
      </c>
      <c r="N48" s="100">
        <f>IF('EPE Formas '!$L$59="","",'EPE Formas '!$L$59)</f>
        <v/>
      </c>
      <c r="O48" s="101">
        <f>IF('EPE Formas '!$M$59="","",'EPE Formas '!$M$59)</f>
        <v/>
      </c>
      <c r="P48" s="102">
        <f>IF('EPE Formas '!$N$59="","",'EPE Formas '!$N$59)</f>
        <v/>
      </c>
      <c r="Q48" s="102">
        <f>IF('EPE Formas '!$O$59="","",'EPE Formas '!$O$59)</f>
        <v/>
      </c>
      <c r="R48" s="103">
        <f>IF($C48="","",IF('EPE Formas '!$F$7="","",'EPE Formas '!$F$7))</f>
        <v/>
      </c>
      <c r="S48" s="100" t="n"/>
      <c r="T48" s="102" t="n"/>
      <c r="U48" s="102" t="n"/>
      <c r="V48" s="102" t="n"/>
    </row>
    <row r="49">
      <c r="A49" s="100">
        <f>IF($C49="","",'Painel Geral'!$B$14)</f>
        <v/>
      </c>
      <c r="B49" s="100">
        <f>IF($C49="","",'Painel Geral'!$C$14)</f>
        <v/>
      </c>
      <c r="C49" s="100">
        <f>IF('EPE Formas '!$A$60="","",'EPE Formas '!$A$60)</f>
        <v/>
      </c>
      <c r="D49" s="101">
        <f>IF('EPE Formas '!$B$60="","",'EPE Formas '!$B$60)</f>
        <v/>
      </c>
      <c r="E49" s="102">
        <f>IF('EPE Formas '!$C$60="","",'EPE Formas '!$C$60)</f>
        <v/>
      </c>
      <c r="F49" s="100">
        <f>IF('EPE Formas '!$D$60="","",'EPE Formas '!$D$60)</f>
        <v/>
      </c>
      <c r="G49" s="101">
        <f>IF('EPE Formas '!$E$60="","",'EPE Formas '!$E$60)</f>
        <v/>
      </c>
      <c r="H49" s="102">
        <f>IF('EPE Formas '!$F$60="","",'EPE Formas '!$F$60)</f>
        <v/>
      </c>
      <c r="I49" s="103">
        <f>IF('EPE Formas '!$G$60="","",'EPE Formas '!$G$60)</f>
        <v/>
      </c>
      <c r="J49" s="100">
        <f>IF('EPE Formas '!$H$60="","",'EPE Formas '!$H$60)</f>
        <v/>
      </c>
      <c r="K49" s="101">
        <f>IF('EPE Formas '!$I$60="","",'EPE Formas '!$I$60)</f>
        <v/>
      </c>
      <c r="L49" s="102">
        <f>IF('EPE Formas '!$J$60="","",'EPE Formas '!$J$60)</f>
        <v/>
      </c>
      <c r="M49" s="103">
        <f>IF('EPE Formas '!$K$60="","",'EPE Formas '!$K$60)</f>
        <v/>
      </c>
      <c r="N49" s="100">
        <f>IF('EPE Formas '!$L$60="","",'EPE Formas '!$L$60)</f>
        <v/>
      </c>
      <c r="O49" s="101">
        <f>IF('EPE Formas '!$M$60="","",'EPE Formas '!$M$60)</f>
        <v/>
      </c>
      <c r="P49" s="102">
        <f>IF('EPE Formas '!$N$60="","",'EPE Formas '!$N$60)</f>
        <v/>
      </c>
      <c r="Q49" s="102">
        <f>IF('EPE Formas '!$O$60="","",'EPE Formas '!$O$60)</f>
        <v/>
      </c>
      <c r="R49" s="103">
        <f>IF($C49="","",IF('EPE Formas '!$F$7="","",'EPE Formas '!$F$7))</f>
        <v/>
      </c>
      <c r="S49" s="100" t="n"/>
      <c r="T49" s="102" t="n"/>
      <c r="U49" s="102" t="n"/>
      <c r="V49" s="102" t="n"/>
    </row>
    <row r="50">
      <c r="A50" s="100">
        <f>IF($C50="","",'Painel Geral'!$B$15)</f>
        <v/>
      </c>
      <c r="B50" s="100">
        <f>IF($C50="","",'Painel Geral'!$C$15)</f>
        <v/>
      </c>
      <c r="C50" s="100">
        <f>IF('Flavia '!$A$49="","",'Flavia '!$A$49)</f>
        <v/>
      </c>
      <c r="D50" s="101">
        <f>IF('Flavia '!$B$49="","",'Flavia '!$B$49)</f>
        <v/>
      </c>
      <c r="E50" s="102">
        <f>IF('Flavia '!$C$49="","",'Flavia '!$C$49)</f>
        <v/>
      </c>
      <c r="F50" s="100">
        <f>IF('Flavia '!$D$49="","",'Flavia '!$D$49)</f>
        <v/>
      </c>
      <c r="G50" s="101">
        <f>IF('Flavia '!$E$49="","",'Flavia '!$E$49)</f>
        <v/>
      </c>
      <c r="H50" s="102">
        <f>IF('Flavia '!$F$49="","",'Flavia '!$F$49)</f>
        <v/>
      </c>
      <c r="I50" s="103">
        <f>IF('Flavia '!$G$49="","",'Flavia '!$G$49)</f>
        <v/>
      </c>
      <c r="J50" s="100">
        <f>IF('Flavia '!$H$49="","",'Flavia '!$H$49)</f>
        <v/>
      </c>
      <c r="K50" s="101">
        <f>IF('Flavia '!$I$49="","",'Flavia '!$I$49)</f>
        <v/>
      </c>
      <c r="L50" s="102">
        <f>IF('Flavia '!$J$49="","",'Flavia '!$J$49)</f>
        <v/>
      </c>
      <c r="M50" s="103">
        <f>IF('Flavia '!$K$49="","",'Flavia '!$K$49)</f>
        <v/>
      </c>
      <c r="N50" s="100">
        <f>IF('Flavia '!$L$49="","",'Flavia '!$L$49)</f>
        <v/>
      </c>
      <c r="O50" s="101">
        <f>IF('Flavia '!$M$49="","",'Flavia '!$M$49)</f>
        <v/>
      </c>
      <c r="P50" s="102">
        <f>IF('Flavia '!$N$49="","",'Flavia '!$N$49)</f>
        <v/>
      </c>
      <c r="Q50" s="102">
        <f>IF('Flavia '!$O$49="","",'Flavia '!$O$49)</f>
        <v/>
      </c>
      <c r="R50" s="103">
        <f>IF($C50="","",IF('Flavia '!$F$7="","",'Flavia '!$F$7))</f>
        <v/>
      </c>
      <c r="S50" s="100">
        <f>IF($C50="","",IF('Flavia '!$F$9="","",'Flavia '!$F$9))</f>
        <v/>
      </c>
      <c r="T50" s="102">
        <f>IF($C50="","",IF('Flavia '!$D$65="",0,'Flavia '!$D$65))</f>
        <v/>
      </c>
      <c r="U50" s="102">
        <f>IF($C50="","",IF('Flavia '!$D$45="",0,'Flavia '!$D$45))</f>
        <v/>
      </c>
      <c r="V50" s="102">
        <f>IF($C50="","",IF('Flavia '!$A$13="",0,'Flavia '!$A$13))</f>
        <v/>
      </c>
    </row>
    <row r="51">
      <c r="A51" s="100">
        <f>IF($C51="","",'Painel Geral'!$B$15)</f>
        <v/>
      </c>
      <c r="B51" s="100">
        <f>IF($C51="","",'Painel Geral'!$C$15)</f>
        <v/>
      </c>
      <c r="C51" s="100">
        <f>IF('Flavia '!$A$50="","",'Flavia '!$A$50)</f>
        <v/>
      </c>
      <c r="D51" s="101">
        <f>IF('Flavia '!$B$50="","",'Flavia '!$B$50)</f>
        <v/>
      </c>
      <c r="E51" s="102">
        <f>IF('Flavia '!$C$50="","",'Flavia '!$C$50)</f>
        <v/>
      </c>
      <c r="F51" s="100">
        <f>IF('Flavia '!$D$50="","",'Flavia '!$D$50)</f>
        <v/>
      </c>
      <c r="G51" s="101">
        <f>IF('Flavia '!$E$50="","",'Flavia '!$E$50)</f>
        <v/>
      </c>
      <c r="H51" s="102">
        <f>IF('Flavia '!$F$50="","",'Flavia '!$F$50)</f>
        <v/>
      </c>
      <c r="I51" s="103">
        <f>IF('Flavia '!$G$50="","",'Flavia '!$G$50)</f>
        <v/>
      </c>
      <c r="J51" s="100">
        <f>IF('Flavia '!$H$50="","",'Flavia '!$H$50)</f>
        <v/>
      </c>
      <c r="K51" s="101">
        <f>IF('Flavia '!$I$50="","",'Flavia '!$I$50)</f>
        <v/>
      </c>
      <c r="L51" s="102">
        <f>IF('Flavia '!$J$50="","",'Flavia '!$J$50)</f>
        <v/>
      </c>
      <c r="M51" s="103">
        <f>IF('Flavia '!$K$50="","",'Flavia '!$K$50)</f>
        <v/>
      </c>
      <c r="N51" s="100">
        <f>IF('Flavia '!$L$50="","",'Flavia '!$L$50)</f>
        <v/>
      </c>
      <c r="O51" s="101">
        <f>IF('Flavia '!$M$50="","",'Flavia '!$M$50)</f>
        <v/>
      </c>
      <c r="P51" s="102">
        <f>IF('Flavia '!$N$50="","",'Flavia '!$N$50)</f>
        <v/>
      </c>
      <c r="Q51" s="102">
        <f>IF('Flavia '!$O$50="","",'Flavia '!$O$50)</f>
        <v/>
      </c>
      <c r="R51" s="103">
        <f>IF($C51="","",IF('Flavia '!$F$7="","",'Flavia '!$F$7))</f>
        <v/>
      </c>
      <c r="S51" s="100" t="n"/>
      <c r="T51" s="102" t="n"/>
      <c r="U51" s="102" t="n"/>
      <c r="V51" s="102" t="n"/>
    </row>
    <row r="52">
      <c r="A52" s="100">
        <f>IF($C52="","",'Painel Geral'!$B$15)</f>
        <v/>
      </c>
      <c r="B52" s="100">
        <f>IF($C52="","",'Painel Geral'!$C$15)</f>
        <v/>
      </c>
      <c r="C52" s="100">
        <f>IF('Flavia '!$A$51="","",'Flavia '!$A$51)</f>
        <v/>
      </c>
      <c r="D52" s="101">
        <f>IF('Flavia '!$B$51="","",'Flavia '!$B$51)</f>
        <v/>
      </c>
      <c r="E52" s="102">
        <f>IF('Flavia '!$C$51="","",'Flavia '!$C$51)</f>
        <v/>
      </c>
      <c r="F52" s="100">
        <f>IF('Flavia '!$D$51="","",'Flavia '!$D$51)</f>
        <v/>
      </c>
      <c r="G52" s="101">
        <f>IF('Flavia '!$E$51="","",'Flavia '!$E$51)</f>
        <v/>
      </c>
      <c r="H52" s="102">
        <f>IF('Flavia '!$F$51="","",'Flavia '!$F$51)</f>
        <v/>
      </c>
      <c r="I52" s="103">
        <f>IF('Flavia '!$G$51="","",'Flavia '!$G$51)</f>
        <v/>
      </c>
      <c r="J52" s="100">
        <f>IF('Flavia '!$H$51="","",'Flavia '!$H$51)</f>
        <v/>
      </c>
      <c r="K52" s="101">
        <f>IF('Flavia '!$I$51="","",'Flavia '!$I$51)</f>
        <v/>
      </c>
      <c r="L52" s="102">
        <f>IF('Flavia '!$J$51="","",'Flavia '!$J$51)</f>
        <v/>
      </c>
      <c r="M52" s="103">
        <f>IF('Flavia '!$K$51="","",'Flavia '!$K$51)</f>
        <v/>
      </c>
      <c r="N52" s="100">
        <f>IF('Flavia '!$L$51="","",'Flavia '!$L$51)</f>
        <v/>
      </c>
      <c r="O52" s="101">
        <f>IF('Flavia '!$M$51="","",'Flavia '!$M$51)</f>
        <v/>
      </c>
      <c r="P52" s="102">
        <f>IF('Flavia '!$N$51="","",'Flavia '!$N$51)</f>
        <v/>
      </c>
      <c r="Q52" s="102">
        <f>IF('Flavia '!$O$51="","",'Flavia '!$O$51)</f>
        <v/>
      </c>
      <c r="R52" s="103">
        <f>IF($C52="","",IF('Flavia '!$F$7="","",'Flavia '!$F$7))</f>
        <v/>
      </c>
      <c r="S52" s="100" t="n"/>
      <c r="T52" s="102" t="n"/>
      <c r="U52" s="102" t="n"/>
      <c r="V52" s="102" t="n"/>
    </row>
    <row r="53">
      <c r="A53" s="100">
        <f>IF($C53="","",'Painel Geral'!$B$15)</f>
        <v/>
      </c>
      <c r="B53" s="100">
        <f>IF($C53="","",'Painel Geral'!$C$15)</f>
        <v/>
      </c>
      <c r="C53" s="100">
        <f>IF('Flavia '!$A$52="","",'Flavia '!$A$52)</f>
        <v/>
      </c>
      <c r="D53" s="101">
        <f>IF('Flavia '!$B$52="","",'Flavia '!$B$52)</f>
        <v/>
      </c>
      <c r="E53" s="102">
        <f>IF('Flavia '!$C$52="","",'Flavia '!$C$52)</f>
        <v/>
      </c>
      <c r="F53" s="100">
        <f>IF('Flavia '!$D$52="","",'Flavia '!$D$52)</f>
        <v/>
      </c>
      <c r="G53" s="101">
        <f>IF('Flavia '!$E$52="","",'Flavia '!$E$52)</f>
        <v/>
      </c>
      <c r="H53" s="102">
        <f>IF('Flavia '!$F$52="","",'Flavia '!$F$52)</f>
        <v/>
      </c>
      <c r="I53" s="103">
        <f>IF('Flavia '!$G$52="","",'Flavia '!$G$52)</f>
        <v/>
      </c>
      <c r="J53" s="100">
        <f>IF('Flavia '!$H$52="","",'Flavia '!$H$52)</f>
        <v/>
      </c>
      <c r="K53" s="101">
        <f>IF('Flavia '!$I$52="","",'Flavia '!$I$52)</f>
        <v/>
      </c>
      <c r="L53" s="102">
        <f>IF('Flavia '!$J$52="","",'Flavia '!$J$52)</f>
        <v/>
      </c>
      <c r="M53" s="103">
        <f>IF('Flavia '!$K$52="","",'Flavia '!$K$52)</f>
        <v/>
      </c>
      <c r="N53" s="100">
        <f>IF('Flavia '!$L$52="","",'Flavia '!$L$52)</f>
        <v/>
      </c>
      <c r="O53" s="101">
        <f>IF('Flavia '!$M$52="","",'Flavia '!$M$52)</f>
        <v/>
      </c>
      <c r="P53" s="102">
        <f>IF('Flavia '!$N$52="","",'Flavia '!$N$52)</f>
        <v/>
      </c>
      <c r="Q53" s="102">
        <f>IF('Flavia '!$O$52="","",'Flavia '!$O$52)</f>
        <v/>
      </c>
      <c r="R53" s="103">
        <f>IF($C53="","",IF('Flavia '!$F$7="","",'Flavia '!$F$7))</f>
        <v/>
      </c>
      <c r="S53" s="100" t="n"/>
      <c r="T53" s="102" t="n"/>
      <c r="U53" s="102" t="n"/>
      <c r="V53" s="102" t="n"/>
    </row>
    <row r="54">
      <c r="A54" s="100">
        <f>IF($C54="","",'Painel Geral'!$B$15)</f>
        <v/>
      </c>
      <c r="B54" s="100">
        <f>IF($C54="","",'Painel Geral'!$C$15)</f>
        <v/>
      </c>
      <c r="C54" s="100">
        <f>IF('Flavia '!$A$53="","",'Flavia '!$A$53)</f>
        <v/>
      </c>
      <c r="D54" s="101">
        <f>IF('Flavia '!$B$53="","",'Flavia '!$B$53)</f>
        <v/>
      </c>
      <c r="E54" s="102">
        <f>IF('Flavia '!$C$53="","",'Flavia '!$C$53)</f>
        <v/>
      </c>
      <c r="F54" s="100">
        <f>IF('Flavia '!$D$53="","",'Flavia '!$D$53)</f>
        <v/>
      </c>
      <c r="G54" s="101">
        <f>IF('Flavia '!$E$53="","",'Flavia '!$E$53)</f>
        <v/>
      </c>
      <c r="H54" s="102">
        <f>IF('Flavia '!$F$53="","",'Flavia '!$F$53)</f>
        <v/>
      </c>
      <c r="I54" s="103">
        <f>IF('Flavia '!$G$53="","",'Flavia '!$G$53)</f>
        <v/>
      </c>
      <c r="J54" s="100">
        <f>IF('Flavia '!$H$53="","",'Flavia '!$H$53)</f>
        <v/>
      </c>
      <c r="K54" s="101">
        <f>IF('Flavia '!$I$53="","",'Flavia '!$I$53)</f>
        <v/>
      </c>
      <c r="L54" s="102">
        <f>IF('Flavia '!$J$53="","",'Flavia '!$J$53)</f>
        <v/>
      </c>
      <c r="M54" s="103">
        <f>IF('Flavia '!$K$53="","",'Flavia '!$K$53)</f>
        <v/>
      </c>
      <c r="N54" s="100">
        <f>IF('Flavia '!$L$53="","",'Flavia '!$L$53)</f>
        <v/>
      </c>
      <c r="O54" s="101">
        <f>IF('Flavia '!$M$53="","",'Flavia '!$M$53)</f>
        <v/>
      </c>
      <c r="P54" s="102">
        <f>IF('Flavia '!$N$53="","",'Flavia '!$N$53)</f>
        <v/>
      </c>
      <c r="Q54" s="102">
        <f>IF('Flavia '!$O$53="","",'Flavia '!$O$53)</f>
        <v/>
      </c>
      <c r="R54" s="103">
        <f>IF($C54="","",IF('Flavia '!$F$7="","",'Flavia '!$F$7))</f>
        <v/>
      </c>
      <c r="S54" s="100" t="n"/>
      <c r="T54" s="102" t="n"/>
      <c r="U54" s="102" t="n"/>
      <c r="V54" s="102" t="n"/>
    </row>
    <row r="55">
      <c r="A55" s="100">
        <f>IF($C55="","",'Painel Geral'!$B$15)</f>
        <v/>
      </c>
      <c r="B55" s="100">
        <f>IF($C55="","",'Painel Geral'!$C$15)</f>
        <v/>
      </c>
      <c r="C55" s="100">
        <f>IF('Flavia '!$A$54="","",'Flavia '!$A$54)</f>
        <v/>
      </c>
      <c r="D55" s="101">
        <f>IF('Flavia '!$B$54="","",'Flavia '!$B$54)</f>
        <v/>
      </c>
      <c r="E55" s="102">
        <f>IF('Flavia '!$C$54="","",'Flavia '!$C$54)</f>
        <v/>
      </c>
      <c r="F55" s="100">
        <f>IF('Flavia '!$D$54="","",'Flavia '!$D$54)</f>
        <v/>
      </c>
      <c r="G55" s="101">
        <f>IF('Flavia '!$E$54="","",'Flavia '!$E$54)</f>
        <v/>
      </c>
      <c r="H55" s="102">
        <f>IF('Flavia '!$F$54="","",'Flavia '!$F$54)</f>
        <v/>
      </c>
      <c r="I55" s="103">
        <f>IF('Flavia '!$G$54="","",'Flavia '!$G$54)</f>
        <v/>
      </c>
      <c r="J55" s="100">
        <f>IF('Flavia '!$H$54="","",'Flavia '!$H$54)</f>
        <v/>
      </c>
      <c r="K55" s="101">
        <f>IF('Flavia '!$I$54="","",'Flavia '!$I$54)</f>
        <v/>
      </c>
      <c r="L55" s="102">
        <f>IF('Flavia '!$J$54="","",'Flavia '!$J$54)</f>
        <v/>
      </c>
      <c r="M55" s="103">
        <f>IF('Flavia '!$K$54="","",'Flavia '!$K$54)</f>
        <v/>
      </c>
      <c r="N55" s="100">
        <f>IF('Flavia '!$L$54="","",'Flavia '!$L$54)</f>
        <v/>
      </c>
      <c r="O55" s="101">
        <f>IF('Flavia '!$M$54="","",'Flavia '!$M$54)</f>
        <v/>
      </c>
      <c r="P55" s="102">
        <f>IF('Flavia '!$N$54="","",'Flavia '!$N$54)</f>
        <v/>
      </c>
      <c r="Q55" s="102">
        <f>IF('Flavia '!$O$54="","",'Flavia '!$O$54)</f>
        <v/>
      </c>
      <c r="R55" s="103">
        <f>IF($C55="","",IF('Flavia '!$F$7="","",'Flavia '!$F$7))</f>
        <v/>
      </c>
      <c r="S55" s="100" t="n"/>
      <c r="T55" s="102" t="n"/>
      <c r="U55" s="102" t="n"/>
      <c r="V55" s="102" t="n"/>
    </row>
    <row r="56">
      <c r="A56" s="100">
        <f>IF($C56="","",'Painel Geral'!$B$15)</f>
        <v/>
      </c>
      <c r="B56" s="100">
        <f>IF($C56="","",'Painel Geral'!$C$15)</f>
        <v/>
      </c>
      <c r="C56" s="100">
        <f>IF('Flavia '!$A$55="","",'Flavia '!$A$55)</f>
        <v/>
      </c>
      <c r="D56" s="101">
        <f>IF('Flavia '!$B$55="","",'Flavia '!$B$55)</f>
        <v/>
      </c>
      <c r="E56" s="102">
        <f>IF('Flavia '!$C$55="","",'Flavia '!$C$55)</f>
        <v/>
      </c>
      <c r="F56" s="100">
        <f>IF('Flavia '!$D$55="","",'Flavia '!$D$55)</f>
        <v/>
      </c>
      <c r="G56" s="101">
        <f>IF('Flavia '!$E$55="","",'Flavia '!$E$55)</f>
        <v/>
      </c>
      <c r="H56" s="102">
        <f>IF('Flavia '!$F$55="","",'Flavia '!$F$55)</f>
        <v/>
      </c>
      <c r="I56" s="103">
        <f>IF('Flavia '!$G$55="","",'Flavia '!$G$55)</f>
        <v/>
      </c>
      <c r="J56" s="100">
        <f>IF('Flavia '!$H$55="","",'Flavia '!$H$55)</f>
        <v/>
      </c>
      <c r="K56" s="101">
        <f>IF('Flavia '!$I$55="","",'Flavia '!$I$55)</f>
        <v/>
      </c>
      <c r="L56" s="102">
        <f>IF('Flavia '!$J$55="","",'Flavia '!$J$55)</f>
        <v/>
      </c>
      <c r="M56" s="103">
        <f>IF('Flavia '!$K$55="","",'Flavia '!$K$55)</f>
        <v/>
      </c>
      <c r="N56" s="100">
        <f>IF('Flavia '!$L$55="","",'Flavia '!$L$55)</f>
        <v/>
      </c>
      <c r="O56" s="101">
        <f>IF('Flavia '!$M$55="","",'Flavia '!$M$55)</f>
        <v/>
      </c>
      <c r="P56" s="102">
        <f>IF('Flavia '!$N$55="","",'Flavia '!$N$55)</f>
        <v/>
      </c>
      <c r="Q56" s="102">
        <f>IF('Flavia '!$O$55="","",'Flavia '!$O$55)</f>
        <v/>
      </c>
      <c r="R56" s="103">
        <f>IF($C56="","",IF('Flavia '!$F$7="","",'Flavia '!$F$7))</f>
        <v/>
      </c>
      <c r="S56" s="100" t="n"/>
      <c r="T56" s="102" t="n"/>
      <c r="U56" s="102" t="n"/>
      <c r="V56" s="102" t="n"/>
    </row>
    <row r="57">
      <c r="A57" s="100">
        <f>IF($C57="","",'Painel Geral'!$B$15)</f>
        <v/>
      </c>
      <c r="B57" s="100">
        <f>IF($C57="","",'Painel Geral'!$C$15)</f>
        <v/>
      </c>
      <c r="C57" s="100">
        <f>IF('Flavia '!$A$56="","",'Flavia '!$A$56)</f>
        <v/>
      </c>
      <c r="D57" s="101">
        <f>IF('Flavia '!$B$56="","",'Flavia '!$B$56)</f>
        <v/>
      </c>
      <c r="E57" s="102">
        <f>IF('Flavia '!$C$56="","",'Flavia '!$C$56)</f>
        <v/>
      </c>
      <c r="F57" s="100">
        <f>IF('Flavia '!$D$56="","",'Flavia '!$D$56)</f>
        <v/>
      </c>
      <c r="G57" s="101">
        <f>IF('Flavia '!$E$56="","",'Flavia '!$E$56)</f>
        <v/>
      </c>
      <c r="H57" s="102">
        <f>IF('Flavia '!$F$56="","",'Flavia '!$F$56)</f>
        <v/>
      </c>
      <c r="I57" s="103">
        <f>IF('Flavia '!$G$56="","",'Flavia '!$G$56)</f>
        <v/>
      </c>
      <c r="J57" s="100">
        <f>IF('Flavia '!$H$56="","",'Flavia '!$H$56)</f>
        <v/>
      </c>
      <c r="K57" s="101">
        <f>IF('Flavia '!$I$56="","",'Flavia '!$I$56)</f>
        <v/>
      </c>
      <c r="L57" s="102">
        <f>IF('Flavia '!$J$56="","",'Flavia '!$J$56)</f>
        <v/>
      </c>
      <c r="M57" s="103">
        <f>IF('Flavia '!$K$56="","",'Flavia '!$K$56)</f>
        <v/>
      </c>
      <c r="N57" s="100">
        <f>IF('Flavia '!$L$56="","",'Flavia '!$L$56)</f>
        <v/>
      </c>
      <c r="O57" s="101">
        <f>IF('Flavia '!$M$56="","",'Flavia '!$M$56)</f>
        <v/>
      </c>
      <c r="P57" s="102">
        <f>IF('Flavia '!$N$56="","",'Flavia '!$N$56)</f>
        <v/>
      </c>
      <c r="Q57" s="102">
        <f>IF('Flavia '!$O$56="","",'Flavia '!$O$56)</f>
        <v/>
      </c>
      <c r="R57" s="103">
        <f>IF($C57="","",IF('Flavia '!$F$7="","",'Flavia '!$F$7))</f>
        <v/>
      </c>
      <c r="S57" s="100" t="n"/>
      <c r="T57" s="102" t="n"/>
      <c r="U57" s="102" t="n"/>
      <c r="V57" s="102" t="n"/>
    </row>
    <row r="58">
      <c r="A58" s="100">
        <f>IF($C58="","",'Painel Geral'!$B$15)</f>
        <v/>
      </c>
      <c r="B58" s="100">
        <f>IF($C58="","",'Painel Geral'!$C$15)</f>
        <v/>
      </c>
      <c r="C58" s="100">
        <f>IF('Flavia '!$A$57="","",'Flavia '!$A$57)</f>
        <v/>
      </c>
      <c r="D58" s="101">
        <f>IF('Flavia '!$B$57="","",'Flavia '!$B$57)</f>
        <v/>
      </c>
      <c r="E58" s="102">
        <f>IF('Flavia '!$C$57="","",'Flavia '!$C$57)</f>
        <v/>
      </c>
      <c r="F58" s="100">
        <f>IF('Flavia '!$D$57="","",'Flavia '!$D$57)</f>
        <v/>
      </c>
      <c r="G58" s="101">
        <f>IF('Flavia '!$E$57="","",'Flavia '!$E$57)</f>
        <v/>
      </c>
      <c r="H58" s="102">
        <f>IF('Flavia '!$F$57="","",'Flavia '!$F$57)</f>
        <v/>
      </c>
      <c r="I58" s="103">
        <f>IF('Flavia '!$G$57="","",'Flavia '!$G$57)</f>
        <v/>
      </c>
      <c r="J58" s="100">
        <f>IF('Flavia '!$H$57="","",'Flavia '!$H$57)</f>
        <v/>
      </c>
      <c r="K58" s="101">
        <f>IF('Flavia '!$I$57="","",'Flavia '!$I$57)</f>
        <v/>
      </c>
      <c r="L58" s="102">
        <f>IF('Flavia '!$J$57="","",'Flavia '!$J$57)</f>
        <v/>
      </c>
      <c r="M58" s="103">
        <f>IF('Flavia '!$K$57="","",'Flavia '!$K$57)</f>
        <v/>
      </c>
      <c r="N58" s="100">
        <f>IF('Flavia '!$L$57="","",'Flavia '!$L$57)</f>
        <v/>
      </c>
      <c r="O58" s="101">
        <f>IF('Flavia '!$M$57="","",'Flavia '!$M$57)</f>
        <v/>
      </c>
      <c r="P58" s="102">
        <f>IF('Flavia '!$N$57="","",'Flavia '!$N$57)</f>
        <v/>
      </c>
      <c r="Q58" s="102">
        <f>IF('Flavia '!$O$57="","",'Flavia '!$O$57)</f>
        <v/>
      </c>
      <c r="R58" s="103">
        <f>IF($C58="","",IF('Flavia '!$F$7="","",'Flavia '!$F$7))</f>
        <v/>
      </c>
      <c r="S58" s="100" t="n"/>
      <c r="T58" s="102" t="n"/>
      <c r="U58" s="102" t="n"/>
      <c r="V58" s="102" t="n"/>
    </row>
    <row r="59">
      <c r="A59" s="100">
        <f>IF($C59="","",'Painel Geral'!$B$15)</f>
        <v/>
      </c>
      <c r="B59" s="100">
        <f>IF($C59="","",'Painel Geral'!$C$15)</f>
        <v/>
      </c>
      <c r="C59" s="100">
        <f>IF('Flavia '!$A$58="","",'Flavia '!$A$58)</f>
        <v/>
      </c>
      <c r="D59" s="101">
        <f>IF('Flavia '!$B$58="","",'Flavia '!$B$58)</f>
        <v/>
      </c>
      <c r="E59" s="102">
        <f>IF('Flavia '!$C$58="","",'Flavia '!$C$58)</f>
        <v/>
      </c>
      <c r="F59" s="100">
        <f>IF('Flavia '!$D$58="","",'Flavia '!$D$58)</f>
        <v/>
      </c>
      <c r="G59" s="101">
        <f>IF('Flavia '!$E$58="","",'Flavia '!$E$58)</f>
        <v/>
      </c>
      <c r="H59" s="102">
        <f>IF('Flavia '!$F$58="","",'Flavia '!$F$58)</f>
        <v/>
      </c>
      <c r="I59" s="103">
        <f>IF('Flavia '!$G$58="","",'Flavia '!$G$58)</f>
        <v/>
      </c>
      <c r="J59" s="100">
        <f>IF('Flavia '!$H$58="","",'Flavia '!$H$58)</f>
        <v/>
      </c>
      <c r="K59" s="101">
        <f>IF('Flavia '!$I$58="","",'Flavia '!$I$58)</f>
        <v/>
      </c>
      <c r="L59" s="102">
        <f>IF('Flavia '!$J$58="","",'Flavia '!$J$58)</f>
        <v/>
      </c>
      <c r="M59" s="103">
        <f>IF('Flavia '!$K$58="","",'Flavia '!$K$58)</f>
        <v/>
      </c>
      <c r="N59" s="100">
        <f>IF('Flavia '!$L$58="","",'Flavia '!$L$58)</f>
        <v/>
      </c>
      <c r="O59" s="101">
        <f>IF('Flavia '!$M$58="","",'Flavia '!$M$58)</f>
        <v/>
      </c>
      <c r="P59" s="102">
        <f>IF('Flavia '!$N$58="","",'Flavia '!$N$58)</f>
        <v/>
      </c>
      <c r="Q59" s="102">
        <f>IF('Flavia '!$O$58="","",'Flavia '!$O$58)</f>
        <v/>
      </c>
      <c r="R59" s="103">
        <f>IF($C59="","",IF('Flavia '!$F$7="","",'Flavia '!$F$7))</f>
        <v/>
      </c>
      <c r="S59" s="100" t="n"/>
      <c r="T59" s="102" t="n"/>
      <c r="U59" s="102" t="n"/>
      <c r="V59" s="102" t="n"/>
    </row>
    <row r="60">
      <c r="A60" s="100">
        <f>IF($C60="","",'Painel Geral'!$B$15)</f>
        <v/>
      </c>
      <c r="B60" s="100">
        <f>IF($C60="","",'Painel Geral'!$C$15)</f>
        <v/>
      </c>
      <c r="C60" s="100">
        <f>IF('Flavia '!$A$59="","",'Flavia '!$A$59)</f>
        <v/>
      </c>
      <c r="D60" s="101">
        <f>IF('Flavia '!$B$59="","",'Flavia '!$B$59)</f>
        <v/>
      </c>
      <c r="E60" s="102">
        <f>IF('Flavia '!$C$59="","",'Flavia '!$C$59)</f>
        <v/>
      </c>
      <c r="F60" s="100">
        <f>IF('Flavia '!$D$59="","",'Flavia '!$D$59)</f>
        <v/>
      </c>
      <c r="G60" s="101">
        <f>IF('Flavia '!$E$59="","",'Flavia '!$E$59)</f>
        <v/>
      </c>
      <c r="H60" s="102">
        <f>IF('Flavia '!$F$59="","",'Flavia '!$F$59)</f>
        <v/>
      </c>
      <c r="I60" s="103">
        <f>IF('Flavia '!$G$59="","",'Flavia '!$G$59)</f>
        <v/>
      </c>
      <c r="J60" s="100">
        <f>IF('Flavia '!$H$59="","",'Flavia '!$H$59)</f>
        <v/>
      </c>
      <c r="K60" s="101">
        <f>IF('Flavia '!$I$59="","",'Flavia '!$I$59)</f>
        <v/>
      </c>
      <c r="L60" s="102">
        <f>IF('Flavia '!$J$59="","",'Flavia '!$J$59)</f>
        <v/>
      </c>
      <c r="M60" s="103">
        <f>IF('Flavia '!$K$59="","",'Flavia '!$K$59)</f>
        <v/>
      </c>
      <c r="N60" s="100">
        <f>IF('Flavia '!$L$59="","",'Flavia '!$L$59)</f>
        <v/>
      </c>
      <c r="O60" s="101">
        <f>IF('Flavia '!$M$59="","",'Flavia '!$M$59)</f>
        <v/>
      </c>
      <c r="P60" s="102">
        <f>IF('Flavia '!$N$59="","",'Flavia '!$N$59)</f>
        <v/>
      </c>
      <c r="Q60" s="102">
        <f>IF('Flavia '!$O$59="","",'Flavia '!$O$59)</f>
        <v/>
      </c>
      <c r="R60" s="103">
        <f>IF($C60="","",IF('Flavia '!$F$7="","",'Flavia '!$F$7))</f>
        <v/>
      </c>
      <c r="S60" s="100" t="n"/>
      <c r="T60" s="102" t="n"/>
      <c r="U60" s="102" t="n"/>
      <c r="V60" s="102" t="n"/>
    </row>
    <row r="61">
      <c r="A61" s="100">
        <f>IF($C61="","",'Painel Geral'!$B$15)</f>
        <v/>
      </c>
      <c r="B61" s="100">
        <f>IF($C61="","",'Painel Geral'!$C$15)</f>
        <v/>
      </c>
      <c r="C61" s="100">
        <f>IF('Flavia '!$A$60="","",'Flavia '!$A$60)</f>
        <v/>
      </c>
      <c r="D61" s="101">
        <f>IF('Flavia '!$B$60="","",'Flavia '!$B$60)</f>
        <v/>
      </c>
      <c r="E61" s="102">
        <f>IF('Flavia '!$C$60="","",'Flavia '!$C$60)</f>
        <v/>
      </c>
      <c r="F61" s="100">
        <f>IF('Flavia '!$D$60="","",'Flavia '!$D$60)</f>
        <v/>
      </c>
      <c r="G61" s="101">
        <f>IF('Flavia '!$E$60="","",'Flavia '!$E$60)</f>
        <v/>
      </c>
      <c r="H61" s="102">
        <f>IF('Flavia '!$F$60="","",'Flavia '!$F$60)</f>
        <v/>
      </c>
      <c r="I61" s="103">
        <f>IF('Flavia '!$G$60="","",'Flavia '!$G$60)</f>
        <v/>
      </c>
      <c r="J61" s="100">
        <f>IF('Flavia '!$H$60="","",'Flavia '!$H$60)</f>
        <v/>
      </c>
      <c r="K61" s="101">
        <f>IF('Flavia '!$I$60="","",'Flavia '!$I$60)</f>
        <v/>
      </c>
      <c r="L61" s="102">
        <f>IF('Flavia '!$J$60="","",'Flavia '!$J$60)</f>
        <v/>
      </c>
      <c r="M61" s="103">
        <f>IF('Flavia '!$K$60="","",'Flavia '!$K$60)</f>
        <v/>
      </c>
      <c r="N61" s="100">
        <f>IF('Flavia '!$L$60="","",'Flavia '!$L$60)</f>
        <v/>
      </c>
      <c r="O61" s="101">
        <f>IF('Flavia '!$M$60="","",'Flavia '!$M$60)</f>
        <v/>
      </c>
      <c r="P61" s="102">
        <f>IF('Flavia '!$N$60="","",'Flavia '!$N$60)</f>
        <v/>
      </c>
      <c r="Q61" s="102">
        <f>IF('Flavia '!$O$60="","",'Flavia '!$O$60)</f>
        <v/>
      </c>
      <c r="R61" s="103">
        <f>IF($C61="","",IF('Flavia '!$F$7="","",'Flavia '!$F$7))</f>
        <v/>
      </c>
      <c r="S61" s="100" t="n"/>
      <c r="T61" s="102" t="n"/>
      <c r="U61" s="102" t="n"/>
      <c r="V61" s="102" t="n"/>
    </row>
    <row r="62">
      <c r="A62" s="100">
        <f>IF($C62="","",'Painel Geral'!$B$16)</f>
        <v/>
      </c>
      <c r="B62" s="100">
        <f>IF($C62="","",'Painel Geral'!$C$16)</f>
        <v/>
      </c>
      <c r="C62" s="100">
        <f>IF('Jairo'!$A$49="","",'Jairo'!$A$49)</f>
        <v/>
      </c>
      <c r="D62" s="101">
        <f>IF('Jairo'!$B$49="","",'Jairo'!$B$49)</f>
        <v/>
      </c>
      <c r="E62" s="102">
        <f>IF('Jairo'!$C$49="","",'Jairo'!$C$49)</f>
        <v/>
      </c>
      <c r="F62" s="100">
        <f>IF('Jairo'!$D$49="","",'Jairo'!$D$49)</f>
        <v/>
      </c>
      <c r="G62" s="101">
        <f>IF('Jairo'!$E$49="","",'Jairo'!$E$49)</f>
        <v/>
      </c>
      <c r="H62" s="102">
        <f>IF('Jairo'!$F$49="","",'Jairo'!$F$49)</f>
        <v/>
      </c>
      <c r="I62" s="103">
        <f>IF('Jairo'!$G$49="","",'Jairo'!$G$49)</f>
        <v/>
      </c>
      <c r="J62" s="100">
        <f>IF('Jairo'!$H$49="","",'Jairo'!$H$49)</f>
        <v/>
      </c>
      <c r="K62" s="101">
        <f>IF('Jairo'!$I$49="","",'Jairo'!$I$49)</f>
        <v/>
      </c>
      <c r="L62" s="102">
        <f>IF('Jairo'!$J$49="","",'Jairo'!$J$49)</f>
        <v/>
      </c>
      <c r="M62" s="103">
        <f>IF('Jairo'!$K$49="","",'Jairo'!$K$49)</f>
        <v/>
      </c>
      <c r="N62" s="100">
        <f>IF('Jairo'!$L$49="","",'Jairo'!$L$49)</f>
        <v/>
      </c>
      <c r="O62" s="101">
        <f>IF('Jairo'!$M$49="","",'Jairo'!$M$49)</f>
        <v/>
      </c>
      <c r="P62" s="102">
        <f>IF('Jairo'!$N$49="","",'Jairo'!$N$49)</f>
        <v/>
      </c>
      <c r="Q62" s="102">
        <f>IF('Jairo'!$O$49="","",'Jairo'!$O$49)</f>
        <v/>
      </c>
      <c r="R62" s="103">
        <f>IF($C62="","",IF('Jairo'!$F$7="","",'Jairo'!$F$7))</f>
        <v/>
      </c>
      <c r="S62" s="100">
        <f>IF($C62="","",IF('Jairo'!$F$9="","",'Jairo'!$F$9))</f>
        <v/>
      </c>
      <c r="T62" s="102">
        <f>IF($C62="","",IF('Jairo'!$D$65="",0,'Jairo'!$D$65))</f>
        <v/>
      </c>
      <c r="U62" s="102">
        <f>IF($C62="","",IF('Jairo'!$D$45="",0,'Jairo'!$D$45))</f>
        <v/>
      </c>
      <c r="V62" s="102">
        <f>IF($C62="","",IF('Jairo'!$A$13="",0,'Jairo'!$A$13))</f>
        <v/>
      </c>
    </row>
    <row r="63">
      <c r="A63" s="100">
        <f>IF($C63="","",'Painel Geral'!$B$16)</f>
        <v/>
      </c>
      <c r="B63" s="100">
        <f>IF($C63="","",'Painel Geral'!$C$16)</f>
        <v/>
      </c>
      <c r="C63" s="100">
        <f>IF('Jairo'!$A$50="","",'Jairo'!$A$50)</f>
        <v/>
      </c>
      <c r="D63" s="101">
        <f>IF('Jairo'!$B$50="","",'Jairo'!$B$50)</f>
        <v/>
      </c>
      <c r="E63" s="102">
        <f>IF('Jairo'!$C$50="","",'Jairo'!$C$50)</f>
        <v/>
      </c>
      <c r="F63" s="100">
        <f>IF('Jairo'!$D$50="","",'Jairo'!$D$50)</f>
        <v/>
      </c>
      <c r="G63" s="101">
        <f>IF('Jairo'!$E$50="","",'Jairo'!$E$50)</f>
        <v/>
      </c>
      <c r="H63" s="102">
        <f>IF('Jairo'!$F$50="","",'Jairo'!$F$50)</f>
        <v/>
      </c>
      <c r="I63" s="103">
        <f>IF('Jairo'!$G$50="","",'Jairo'!$G$50)</f>
        <v/>
      </c>
      <c r="J63" s="100">
        <f>IF('Jairo'!$H$50="","",'Jairo'!$H$50)</f>
        <v/>
      </c>
      <c r="K63" s="101">
        <f>IF('Jairo'!$I$50="","",'Jairo'!$I$50)</f>
        <v/>
      </c>
      <c r="L63" s="102">
        <f>IF('Jairo'!$J$50="","",'Jairo'!$J$50)</f>
        <v/>
      </c>
      <c r="M63" s="103">
        <f>IF('Jairo'!$K$50="","",'Jairo'!$K$50)</f>
        <v/>
      </c>
      <c r="N63" s="100">
        <f>IF('Jairo'!$L$50="","",'Jairo'!$L$50)</f>
        <v/>
      </c>
      <c r="O63" s="101">
        <f>IF('Jairo'!$M$50="","",'Jairo'!$M$50)</f>
        <v/>
      </c>
      <c r="P63" s="102">
        <f>IF('Jairo'!$N$50="","",'Jairo'!$N$50)</f>
        <v/>
      </c>
      <c r="Q63" s="102">
        <f>IF('Jairo'!$O$50="","",'Jairo'!$O$50)</f>
        <v/>
      </c>
      <c r="R63" s="103">
        <f>IF($C63="","",IF('Jairo'!$F$7="","",'Jairo'!$F$7))</f>
        <v/>
      </c>
      <c r="S63" s="100" t="n"/>
      <c r="T63" s="102" t="n"/>
      <c r="U63" s="102" t="n"/>
      <c r="V63" s="102" t="n"/>
    </row>
    <row r="64">
      <c r="A64" s="100">
        <f>IF($C64="","",'Painel Geral'!$B$16)</f>
        <v/>
      </c>
      <c r="B64" s="100">
        <f>IF($C64="","",'Painel Geral'!$C$16)</f>
        <v/>
      </c>
      <c r="C64" s="100">
        <f>IF('Jairo'!$A$51="","",'Jairo'!$A$51)</f>
        <v/>
      </c>
      <c r="D64" s="101">
        <f>IF('Jairo'!$B$51="","",'Jairo'!$B$51)</f>
        <v/>
      </c>
      <c r="E64" s="102">
        <f>IF('Jairo'!$C$51="","",'Jairo'!$C$51)</f>
        <v/>
      </c>
      <c r="F64" s="100">
        <f>IF('Jairo'!$D$51="","",'Jairo'!$D$51)</f>
        <v/>
      </c>
      <c r="G64" s="101">
        <f>IF('Jairo'!$E$51="","",'Jairo'!$E$51)</f>
        <v/>
      </c>
      <c r="H64" s="102">
        <f>IF('Jairo'!$F$51="","",'Jairo'!$F$51)</f>
        <v/>
      </c>
      <c r="I64" s="103">
        <f>IF('Jairo'!$G$51="","",'Jairo'!$G$51)</f>
        <v/>
      </c>
      <c r="J64" s="100">
        <f>IF('Jairo'!$H$51="","",'Jairo'!$H$51)</f>
        <v/>
      </c>
      <c r="K64" s="101">
        <f>IF('Jairo'!$I$51="","",'Jairo'!$I$51)</f>
        <v/>
      </c>
      <c r="L64" s="102">
        <f>IF('Jairo'!$J$51="","",'Jairo'!$J$51)</f>
        <v/>
      </c>
      <c r="M64" s="103">
        <f>IF('Jairo'!$K$51="","",'Jairo'!$K$51)</f>
        <v/>
      </c>
      <c r="N64" s="100">
        <f>IF('Jairo'!$L$51="","",'Jairo'!$L$51)</f>
        <v/>
      </c>
      <c r="O64" s="101">
        <f>IF('Jairo'!$M$51="","",'Jairo'!$M$51)</f>
        <v/>
      </c>
      <c r="P64" s="102">
        <f>IF('Jairo'!$N$51="","",'Jairo'!$N$51)</f>
        <v/>
      </c>
      <c r="Q64" s="102">
        <f>IF('Jairo'!$O$51="","",'Jairo'!$O$51)</f>
        <v/>
      </c>
      <c r="R64" s="103">
        <f>IF($C64="","",IF('Jairo'!$F$7="","",'Jairo'!$F$7))</f>
        <v/>
      </c>
      <c r="S64" s="100" t="n"/>
      <c r="T64" s="102" t="n"/>
      <c r="U64" s="102" t="n"/>
      <c r="V64" s="102" t="n"/>
    </row>
    <row r="65">
      <c r="A65" s="100">
        <f>IF($C65="","",'Painel Geral'!$B$16)</f>
        <v/>
      </c>
      <c r="B65" s="100">
        <f>IF($C65="","",'Painel Geral'!$C$16)</f>
        <v/>
      </c>
      <c r="C65" s="100">
        <f>IF('Jairo'!$A$52="","",'Jairo'!$A$52)</f>
        <v/>
      </c>
      <c r="D65" s="101">
        <f>IF('Jairo'!$B$52="","",'Jairo'!$B$52)</f>
        <v/>
      </c>
      <c r="E65" s="102">
        <f>IF('Jairo'!$C$52="","",'Jairo'!$C$52)</f>
        <v/>
      </c>
      <c r="F65" s="100">
        <f>IF('Jairo'!$D$52="","",'Jairo'!$D$52)</f>
        <v/>
      </c>
      <c r="G65" s="101">
        <f>IF('Jairo'!$E$52="","",'Jairo'!$E$52)</f>
        <v/>
      </c>
      <c r="H65" s="102">
        <f>IF('Jairo'!$F$52="","",'Jairo'!$F$52)</f>
        <v/>
      </c>
      <c r="I65" s="103">
        <f>IF('Jairo'!$G$52="","",'Jairo'!$G$52)</f>
        <v/>
      </c>
      <c r="J65" s="100">
        <f>IF('Jairo'!$H$52="","",'Jairo'!$H$52)</f>
        <v/>
      </c>
      <c r="K65" s="101">
        <f>IF('Jairo'!$I$52="","",'Jairo'!$I$52)</f>
        <v/>
      </c>
      <c r="L65" s="102">
        <f>IF('Jairo'!$J$52="","",'Jairo'!$J$52)</f>
        <v/>
      </c>
      <c r="M65" s="103">
        <f>IF('Jairo'!$K$52="","",'Jairo'!$K$52)</f>
        <v/>
      </c>
      <c r="N65" s="100">
        <f>IF('Jairo'!$L$52="","",'Jairo'!$L$52)</f>
        <v/>
      </c>
      <c r="O65" s="101">
        <f>IF('Jairo'!$M$52="","",'Jairo'!$M$52)</f>
        <v/>
      </c>
      <c r="P65" s="102">
        <f>IF('Jairo'!$N$52="","",'Jairo'!$N$52)</f>
        <v/>
      </c>
      <c r="Q65" s="102">
        <f>IF('Jairo'!$O$52="","",'Jairo'!$O$52)</f>
        <v/>
      </c>
      <c r="R65" s="103">
        <f>IF($C65="","",IF('Jairo'!$F$7="","",'Jairo'!$F$7))</f>
        <v/>
      </c>
      <c r="S65" s="100" t="n"/>
      <c r="T65" s="102" t="n"/>
      <c r="U65" s="102" t="n"/>
      <c r="V65" s="102" t="n"/>
    </row>
    <row r="66">
      <c r="A66" s="100">
        <f>IF($C66="","",'Painel Geral'!$B$16)</f>
        <v/>
      </c>
      <c r="B66" s="100">
        <f>IF($C66="","",'Painel Geral'!$C$16)</f>
        <v/>
      </c>
      <c r="C66" s="100">
        <f>IF('Jairo'!$A$53="","",'Jairo'!$A$53)</f>
        <v/>
      </c>
      <c r="D66" s="101">
        <f>IF('Jairo'!$B$53="","",'Jairo'!$B$53)</f>
        <v/>
      </c>
      <c r="E66" s="102">
        <f>IF('Jairo'!$C$53="","",'Jairo'!$C$53)</f>
        <v/>
      </c>
      <c r="F66" s="100">
        <f>IF('Jairo'!$D$53="","",'Jairo'!$D$53)</f>
        <v/>
      </c>
      <c r="G66" s="101">
        <f>IF('Jairo'!$E$53="","",'Jairo'!$E$53)</f>
        <v/>
      </c>
      <c r="H66" s="102">
        <f>IF('Jairo'!$F$53="","",'Jairo'!$F$53)</f>
        <v/>
      </c>
      <c r="I66" s="103">
        <f>IF('Jairo'!$G$53="","",'Jairo'!$G$53)</f>
        <v/>
      </c>
      <c r="J66" s="100">
        <f>IF('Jairo'!$H$53="","",'Jairo'!$H$53)</f>
        <v/>
      </c>
      <c r="K66" s="101">
        <f>IF('Jairo'!$I$53="","",'Jairo'!$I$53)</f>
        <v/>
      </c>
      <c r="L66" s="102">
        <f>IF('Jairo'!$J$53="","",'Jairo'!$J$53)</f>
        <v/>
      </c>
      <c r="M66" s="103">
        <f>IF('Jairo'!$K$53="","",'Jairo'!$K$53)</f>
        <v/>
      </c>
      <c r="N66" s="100">
        <f>IF('Jairo'!$L$53="","",'Jairo'!$L$53)</f>
        <v/>
      </c>
      <c r="O66" s="101">
        <f>IF('Jairo'!$M$53="","",'Jairo'!$M$53)</f>
        <v/>
      </c>
      <c r="P66" s="102">
        <f>IF('Jairo'!$N$53="","",'Jairo'!$N$53)</f>
        <v/>
      </c>
      <c r="Q66" s="102">
        <f>IF('Jairo'!$O$53="","",'Jairo'!$O$53)</f>
        <v/>
      </c>
      <c r="R66" s="103">
        <f>IF($C66="","",IF('Jairo'!$F$7="","",'Jairo'!$F$7))</f>
        <v/>
      </c>
      <c r="S66" s="100" t="n"/>
      <c r="T66" s="102" t="n"/>
      <c r="U66" s="102" t="n"/>
      <c r="V66" s="102" t="n"/>
    </row>
    <row r="67">
      <c r="A67" s="100">
        <f>IF($C67="","",'Painel Geral'!$B$16)</f>
        <v/>
      </c>
      <c r="B67" s="100">
        <f>IF($C67="","",'Painel Geral'!$C$16)</f>
        <v/>
      </c>
      <c r="C67" s="100">
        <f>IF('Jairo'!$A$54="","",'Jairo'!$A$54)</f>
        <v/>
      </c>
      <c r="D67" s="101">
        <f>IF('Jairo'!$B$54="","",'Jairo'!$B$54)</f>
        <v/>
      </c>
      <c r="E67" s="102">
        <f>IF('Jairo'!$C$54="","",'Jairo'!$C$54)</f>
        <v/>
      </c>
      <c r="F67" s="100">
        <f>IF('Jairo'!$D$54="","",'Jairo'!$D$54)</f>
        <v/>
      </c>
      <c r="G67" s="101">
        <f>IF('Jairo'!$E$54="","",'Jairo'!$E$54)</f>
        <v/>
      </c>
      <c r="H67" s="102">
        <f>IF('Jairo'!$F$54="","",'Jairo'!$F$54)</f>
        <v/>
      </c>
      <c r="I67" s="103">
        <f>IF('Jairo'!$G$54="","",'Jairo'!$G$54)</f>
        <v/>
      </c>
      <c r="J67" s="100">
        <f>IF('Jairo'!$H$54="","",'Jairo'!$H$54)</f>
        <v/>
      </c>
      <c r="K67" s="101">
        <f>IF('Jairo'!$I$54="","",'Jairo'!$I$54)</f>
        <v/>
      </c>
      <c r="L67" s="102">
        <f>IF('Jairo'!$J$54="","",'Jairo'!$J$54)</f>
        <v/>
      </c>
      <c r="M67" s="103">
        <f>IF('Jairo'!$K$54="","",'Jairo'!$K$54)</f>
        <v/>
      </c>
      <c r="N67" s="100">
        <f>IF('Jairo'!$L$54="","",'Jairo'!$L$54)</f>
        <v/>
      </c>
      <c r="O67" s="101">
        <f>IF('Jairo'!$M$54="","",'Jairo'!$M$54)</f>
        <v/>
      </c>
      <c r="P67" s="102">
        <f>IF('Jairo'!$N$54="","",'Jairo'!$N$54)</f>
        <v/>
      </c>
      <c r="Q67" s="102">
        <f>IF('Jairo'!$O$54="","",'Jairo'!$O$54)</f>
        <v/>
      </c>
      <c r="R67" s="103">
        <f>IF($C67="","",IF('Jairo'!$F$7="","",'Jairo'!$F$7))</f>
        <v/>
      </c>
      <c r="S67" s="100" t="n"/>
      <c r="T67" s="102" t="n"/>
      <c r="U67" s="102" t="n"/>
      <c r="V67" s="102" t="n"/>
    </row>
    <row r="68">
      <c r="A68" s="100">
        <f>IF($C68="","",'Painel Geral'!$B$16)</f>
        <v/>
      </c>
      <c r="B68" s="100">
        <f>IF($C68="","",'Painel Geral'!$C$16)</f>
        <v/>
      </c>
      <c r="C68" s="100">
        <f>IF('Jairo'!$A$55="","",'Jairo'!$A$55)</f>
        <v/>
      </c>
      <c r="D68" s="101">
        <f>IF('Jairo'!$B$55="","",'Jairo'!$B$55)</f>
        <v/>
      </c>
      <c r="E68" s="102">
        <f>IF('Jairo'!$C$55="","",'Jairo'!$C$55)</f>
        <v/>
      </c>
      <c r="F68" s="100">
        <f>IF('Jairo'!$D$55="","",'Jairo'!$D$55)</f>
        <v/>
      </c>
      <c r="G68" s="101">
        <f>IF('Jairo'!$E$55="","",'Jairo'!$E$55)</f>
        <v/>
      </c>
      <c r="H68" s="102">
        <f>IF('Jairo'!$F$55="","",'Jairo'!$F$55)</f>
        <v/>
      </c>
      <c r="I68" s="103">
        <f>IF('Jairo'!$G$55="","",'Jairo'!$G$55)</f>
        <v/>
      </c>
      <c r="J68" s="100">
        <f>IF('Jairo'!$H$55="","",'Jairo'!$H$55)</f>
        <v/>
      </c>
      <c r="K68" s="101">
        <f>IF('Jairo'!$I$55="","",'Jairo'!$I$55)</f>
        <v/>
      </c>
      <c r="L68" s="102">
        <f>IF('Jairo'!$J$55="","",'Jairo'!$J$55)</f>
        <v/>
      </c>
      <c r="M68" s="103">
        <f>IF('Jairo'!$K$55="","",'Jairo'!$K$55)</f>
        <v/>
      </c>
      <c r="N68" s="100">
        <f>IF('Jairo'!$L$55="","",'Jairo'!$L$55)</f>
        <v/>
      </c>
      <c r="O68" s="101">
        <f>IF('Jairo'!$M$55="","",'Jairo'!$M$55)</f>
        <v/>
      </c>
      <c r="P68" s="102">
        <f>IF('Jairo'!$N$55="","",'Jairo'!$N$55)</f>
        <v/>
      </c>
      <c r="Q68" s="102">
        <f>IF('Jairo'!$O$55="","",'Jairo'!$O$55)</f>
        <v/>
      </c>
      <c r="R68" s="103">
        <f>IF($C68="","",IF('Jairo'!$F$7="","",'Jairo'!$F$7))</f>
        <v/>
      </c>
      <c r="S68" s="100" t="n"/>
      <c r="T68" s="102" t="n"/>
      <c r="U68" s="102" t="n"/>
      <c r="V68" s="102" t="n"/>
    </row>
    <row r="69">
      <c r="A69" s="100">
        <f>IF($C69="","",'Painel Geral'!$B$16)</f>
        <v/>
      </c>
      <c r="B69" s="100">
        <f>IF($C69="","",'Painel Geral'!$C$16)</f>
        <v/>
      </c>
      <c r="C69" s="100">
        <f>IF('Jairo'!$A$56="","",'Jairo'!$A$56)</f>
        <v/>
      </c>
      <c r="D69" s="101">
        <f>IF('Jairo'!$B$56="","",'Jairo'!$B$56)</f>
        <v/>
      </c>
      <c r="E69" s="102">
        <f>IF('Jairo'!$C$56="","",'Jairo'!$C$56)</f>
        <v/>
      </c>
      <c r="F69" s="100">
        <f>IF('Jairo'!$D$56="","",'Jairo'!$D$56)</f>
        <v/>
      </c>
      <c r="G69" s="101">
        <f>IF('Jairo'!$E$56="","",'Jairo'!$E$56)</f>
        <v/>
      </c>
      <c r="H69" s="102">
        <f>IF('Jairo'!$F$56="","",'Jairo'!$F$56)</f>
        <v/>
      </c>
      <c r="I69" s="103">
        <f>IF('Jairo'!$G$56="","",'Jairo'!$G$56)</f>
        <v/>
      </c>
      <c r="J69" s="100">
        <f>IF('Jairo'!$H$56="","",'Jairo'!$H$56)</f>
        <v/>
      </c>
      <c r="K69" s="101">
        <f>IF('Jairo'!$I$56="","",'Jairo'!$I$56)</f>
        <v/>
      </c>
      <c r="L69" s="102">
        <f>IF('Jairo'!$J$56="","",'Jairo'!$J$56)</f>
        <v/>
      </c>
      <c r="M69" s="103">
        <f>IF('Jairo'!$K$56="","",'Jairo'!$K$56)</f>
        <v/>
      </c>
      <c r="N69" s="100">
        <f>IF('Jairo'!$L$56="","",'Jairo'!$L$56)</f>
        <v/>
      </c>
      <c r="O69" s="101">
        <f>IF('Jairo'!$M$56="","",'Jairo'!$M$56)</f>
        <v/>
      </c>
      <c r="P69" s="102">
        <f>IF('Jairo'!$N$56="","",'Jairo'!$N$56)</f>
        <v/>
      </c>
      <c r="Q69" s="102">
        <f>IF('Jairo'!$O$56="","",'Jairo'!$O$56)</f>
        <v/>
      </c>
      <c r="R69" s="103">
        <f>IF($C69="","",IF('Jairo'!$F$7="","",'Jairo'!$F$7))</f>
        <v/>
      </c>
      <c r="S69" s="100" t="n"/>
      <c r="T69" s="102" t="n"/>
      <c r="U69" s="102" t="n"/>
      <c r="V69" s="102" t="n"/>
    </row>
    <row r="70">
      <c r="A70" s="100">
        <f>IF($C70="","",'Painel Geral'!$B$16)</f>
        <v/>
      </c>
      <c r="B70" s="100">
        <f>IF($C70="","",'Painel Geral'!$C$16)</f>
        <v/>
      </c>
      <c r="C70" s="100">
        <f>IF('Jairo'!$A$57="","",'Jairo'!$A$57)</f>
        <v/>
      </c>
      <c r="D70" s="101">
        <f>IF('Jairo'!$B$57="","",'Jairo'!$B$57)</f>
        <v/>
      </c>
      <c r="E70" s="102">
        <f>IF('Jairo'!$C$57="","",'Jairo'!$C$57)</f>
        <v/>
      </c>
      <c r="F70" s="100">
        <f>IF('Jairo'!$D$57="","",'Jairo'!$D$57)</f>
        <v/>
      </c>
      <c r="G70" s="101">
        <f>IF('Jairo'!$E$57="","",'Jairo'!$E$57)</f>
        <v/>
      </c>
      <c r="H70" s="102">
        <f>IF('Jairo'!$F$57="","",'Jairo'!$F$57)</f>
        <v/>
      </c>
      <c r="I70" s="103">
        <f>IF('Jairo'!$G$57="","",'Jairo'!$G$57)</f>
        <v/>
      </c>
      <c r="J70" s="100">
        <f>IF('Jairo'!$H$57="","",'Jairo'!$H$57)</f>
        <v/>
      </c>
      <c r="K70" s="101">
        <f>IF('Jairo'!$I$57="","",'Jairo'!$I$57)</f>
        <v/>
      </c>
      <c r="L70" s="102">
        <f>IF('Jairo'!$J$57="","",'Jairo'!$J$57)</f>
        <v/>
      </c>
      <c r="M70" s="103">
        <f>IF('Jairo'!$K$57="","",'Jairo'!$K$57)</f>
        <v/>
      </c>
      <c r="N70" s="100">
        <f>IF('Jairo'!$L$57="","",'Jairo'!$L$57)</f>
        <v/>
      </c>
      <c r="O70" s="101">
        <f>IF('Jairo'!$M$57="","",'Jairo'!$M$57)</f>
        <v/>
      </c>
      <c r="P70" s="102">
        <f>IF('Jairo'!$N$57="","",'Jairo'!$N$57)</f>
        <v/>
      </c>
      <c r="Q70" s="102">
        <f>IF('Jairo'!$O$57="","",'Jairo'!$O$57)</f>
        <v/>
      </c>
      <c r="R70" s="103">
        <f>IF($C70="","",IF('Jairo'!$F$7="","",'Jairo'!$F$7))</f>
        <v/>
      </c>
      <c r="S70" s="100" t="n"/>
      <c r="T70" s="102" t="n"/>
      <c r="U70" s="102" t="n"/>
      <c r="V70" s="102" t="n"/>
    </row>
    <row r="71">
      <c r="A71" s="100">
        <f>IF($C71="","",'Painel Geral'!$B$16)</f>
        <v/>
      </c>
      <c r="B71" s="100">
        <f>IF($C71="","",'Painel Geral'!$C$16)</f>
        <v/>
      </c>
      <c r="C71" s="100">
        <f>IF('Jairo'!$A$58="","",'Jairo'!$A$58)</f>
        <v/>
      </c>
      <c r="D71" s="101">
        <f>IF('Jairo'!$B$58="","",'Jairo'!$B$58)</f>
        <v/>
      </c>
      <c r="E71" s="102">
        <f>IF('Jairo'!$C$58="","",'Jairo'!$C$58)</f>
        <v/>
      </c>
      <c r="F71" s="100">
        <f>IF('Jairo'!$D$58="","",'Jairo'!$D$58)</f>
        <v/>
      </c>
      <c r="G71" s="101">
        <f>IF('Jairo'!$E$58="","",'Jairo'!$E$58)</f>
        <v/>
      </c>
      <c r="H71" s="102">
        <f>IF('Jairo'!$F$58="","",'Jairo'!$F$58)</f>
        <v/>
      </c>
      <c r="I71" s="103">
        <f>IF('Jairo'!$G$58="","",'Jairo'!$G$58)</f>
        <v/>
      </c>
      <c r="J71" s="100">
        <f>IF('Jairo'!$H$58="","",'Jairo'!$H$58)</f>
        <v/>
      </c>
      <c r="K71" s="101">
        <f>IF('Jairo'!$I$58="","",'Jairo'!$I$58)</f>
        <v/>
      </c>
      <c r="L71" s="102">
        <f>IF('Jairo'!$J$58="","",'Jairo'!$J$58)</f>
        <v/>
      </c>
      <c r="M71" s="103">
        <f>IF('Jairo'!$K$58="","",'Jairo'!$K$58)</f>
        <v/>
      </c>
      <c r="N71" s="100">
        <f>IF('Jairo'!$L$58="","",'Jairo'!$L$58)</f>
        <v/>
      </c>
      <c r="O71" s="101">
        <f>IF('Jairo'!$M$58="","",'Jairo'!$M$58)</f>
        <v/>
      </c>
      <c r="P71" s="102">
        <f>IF('Jairo'!$N$58="","",'Jairo'!$N$58)</f>
        <v/>
      </c>
      <c r="Q71" s="102">
        <f>IF('Jairo'!$O$58="","",'Jairo'!$O$58)</f>
        <v/>
      </c>
      <c r="R71" s="103">
        <f>IF($C71="","",IF('Jairo'!$F$7="","",'Jairo'!$F$7))</f>
        <v/>
      </c>
      <c r="S71" s="100" t="n"/>
      <c r="T71" s="102" t="n"/>
      <c r="U71" s="102" t="n"/>
      <c r="V71" s="102" t="n"/>
    </row>
    <row r="72">
      <c r="A72" s="100">
        <f>IF($C72="","",'Painel Geral'!$B$16)</f>
        <v/>
      </c>
      <c r="B72" s="100">
        <f>IF($C72="","",'Painel Geral'!$C$16)</f>
        <v/>
      </c>
      <c r="C72" s="100">
        <f>IF('Jairo'!$A$59="","",'Jairo'!$A$59)</f>
        <v/>
      </c>
      <c r="D72" s="101">
        <f>IF('Jairo'!$B$59="","",'Jairo'!$B$59)</f>
        <v/>
      </c>
      <c r="E72" s="102">
        <f>IF('Jairo'!$C$59="","",'Jairo'!$C$59)</f>
        <v/>
      </c>
      <c r="F72" s="100">
        <f>IF('Jairo'!$D$59="","",'Jairo'!$D$59)</f>
        <v/>
      </c>
      <c r="G72" s="101">
        <f>IF('Jairo'!$E$59="","",'Jairo'!$E$59)</f>
        <v/>
      </c>
      <c r="H72" s="102">
        <f>IF('Jairo'!$F$59="","",'Jairo'!$F$59)</f>
        <v/>
      </c>
      <c r="I72" s="103">
        <f>IF('Jairo'!$G$59="","",'Jairo'!$G$59)</f>
        <v/>
      </c>
      <c r="J72" s="100">
        <f>IF('Jairo'!$H$59="","",'Jairo'!$H$59)</f>
        <v/>
      </c>
      <c r="K72" s="101">
        <f>IF('Jairo'!$I$59="","",'Jairo'!$I$59)</f>
        <v/>
      </c>
      <c r="L72" s="102">
        <f>IF('Jairo'!$J$59="","",'Jairo'!$J$59)</f>
        <v/>
      </c>
      <c r="M72" s="103">
        <f>IF('Jairo'!$K$59="","",'Jairo'!$K$59)</f>
        <v/>
      </c>
      <c r="N72" s="100">
        <f>IF('Jairo'!$L$59="","",'Jairo'!$L$59)</f>
        <v/>
      </c>
      <c r="O72" s="101">
        <f>IF('Jairo'!$M$59="","",'Jairo'!$M$59)</f>
        <v/>
      </c>
      <c r="P72" s="102">
        <f>IF('Jairo'!$N$59="","",'Jairo'!$N$59)</f>
        <v/>
      </c>
      <c r="Q72" s="102">
        <f>IF('Jairo'!$O$59="","",'Jairo'!$O$59)</f>
        <v/>
      </c>
      <c r="R72" s="103">
        <f>IF($C72="","",IF('Jairo'!$F$7="","",'Jairo'!$F$7))</f>
        <v/>
      </c>
      <c r="S72" s="100" t="n"/>
      <c r="T72" s="102" t="n"/>
      <c r="U72" s="102" t="n"/>
      <c r="V72" s="102" t="n"/>
    </row>
    <row r="73">
      <c r="A73" s="100">
        <f>IF($C73="","",'Painel Geral'!$B$16)</f>
        <v/>
      </c>
      <c r="B73" s="100">
        <f>IF($C73="","",'Painel Geral'!$C$16)</f>
        <v/>
      </c>
      <c r="C73" s="100">
        <f>IF('Jairo'!$A$60="","",'Jairo'!$A$60)</f>
        <v/>
      </c>
      <c r="D73" s="101">
        <f>IF('Jairo'!$B$60="","",'Jairo'!$B$60)</f>
        <v/>
      </c>
      <c r="E73" s="102">
        <f>IF('Jairo'!$C$60="","",'Jairo'!$C$60)</f>
        <v/>
      </c>
      <c r="F73" s="100">
        <f>IF('Jairo'!$D$60="","",'Jairo'!$D$60)</f>
        <v/>
      </c>
      <c r="G73" s="101">
        <f>IF('Jairo'!$E$60="","",'Jairo'!$E$60)</f>
        <v/>
      </c>
      <c r="H73" s="102">
        <f>IF('Jairo'!$F$60="","",'Jairo'!$F$60)</f>
        <v/>
      </c>
      <c r="I73" s="103">
        <f>IF('Jairo'!$G$60="","",'Jairo'!$G$60)</f>
        <v/>
      </c>
      <c r="J73" s="100">
        <f>IF('Jairo'!$H$60="","",'Jairo'!$H$60)</f>
        <v/>
      </c>
      <c r="K73" s="101">
        <f>IF('Jairo'!$I$60="","",'Jairo'!$I$60)</f>
        <v/>
      </c>
      <c r="L73" s="102">
        <f>IF('Jairo'!$J$60="","",'Jairo'!$J$60)</f>
        <v/>
      </c>
      <c r="M73" s="103">
        <f>IF('Jairo'!$K$60="","",'Jairo'!$K$60)</f>
        <v/>
      </c>
      <c r="N73" s="100">
        <f>IF('Jairo'!$L$60="","",'Jairo'!$L$60)</f>
        <v/>
      </c>
      <c r="O73" s="101">
        <f>IF('Jairo'!$M$60="","",'Jairo'!$M$60)</f>
        <v/>
      </c>
      <c r="P73" s="102">
        <f>IF('Jairo'!$N$60="","",'Jairo'!$N$60)</f>
        <v/>
      </c>
      <c r="Q73" s="102">
        <f>IF('Jairo'!$O$60="","",'Jairo'!$O$60)</f>
        <v/>
      </c>
      <c r="R73" s="103">
        <f>IF($C73="","",IF('Jairo'!$F$7="","",'Jairo'!$F$7))</f>
        <v/>
      </c>
      <c r="S73" s="100" t="n"/>
      <c r="T73" s="102" t="n"/>
      <c r="U73" s="102" t="n"/>
      <c r="V73" s="102" t="n"/>
    </row>
    <row r="74">
      <c r="A74" s="100">
        <f>IF($C74="","",'Painel Geral'!$B$17)</f>
        <v/>
      </c>
      <c r="B74" s="100">
        <f>IF($C74="","",'Painel Geral'!$C$17)</f>
        <v/>
      </c>
      <c r="C74" s="100">
        <f>IF('Graciene '!$A$49="","",'Graciene '!$A$49)</f>
        <v/>
      </c>
      <c r="D74" s="101">
        <f>IF('Graciene '!$B$49="","",'Graciene '!$B$49)</f>
        <v/>
      </c>
      <c r="E74" s="102">
        <f>IF('Graciene '!$C$49="","",'Graciene '!$C$49)</f>
        <v/>
      </c>
      <c r="F74" s="100">
        <f>IF('Graciene '!$D$49="","",'Graciene '!$D$49)</f>
        <v/>
      </c>
      <c r="G74" s="101">
        <f>IF('Graciene '!$E$49="","",'Graciene '!$E$49)</f>
        <v/>
      </c>
      <c r="H74" s="102">
        <f>IF('Graciene '!$F$49="","",'Graciene '!$F$49)</f>
        <v/>
      </c>
      <c r="I74" s="103">
        <f>IF('Graciene '!$G$49="","",'Graciene '!$G$49)</f>
        <v/>
      </c>
      <c r="J74" s="100">
        <f>IF('Graciene '!$H$49="","",'Graciene '!$H$49)</f>
        <v/>
      </c>
      <c r="K74" s="101">
        <f>IF('Graciene '!$I$49="","",'Graciene '!$I$49)</f>
        <v/>
      </c>
      <c r="L74" s="102">
        <f>IF('Graciene '!$J$49="","",'Graciene '!$J$49)</f>
        <v/>
      </c>
      <c r="M74" s="103">
        <f>IF('Graciene '!$K$49="","",'Graciene '!$K$49)</f>
        <v/>
      </c>
      <c r="N74" s="100">
        <f>IF('Graciene '!$L$49="","",'Graciene '!$L$49)</f>
        <v/>
      </c>
      <c r="O74" s="101">
        <f>IF('Graciene '!$M$49="","",'Graciene '!$M$49)</f>
        <v/>
      </c>
      <c r="P74" s="102">
        <f>IF('Graciene '!$N$49="","",'Graciene '!$N$49)</f>
        <v/>
      </c>
      <c r="Q74" s="102">
        <f>IF('Graciene '!$O$49="","",'Graciene '!$O$49)</f>
        <v/>
      </c>
      <c r="R74" s="103">
        <f>IF($C74="","",IF('Graciene '!$F$7="","",'Graciene '!$F$7))</f>
        <v/>
      </c>
      <c r="S74" s="100">
        <f>IF($C74="","",IF('Graciene '!$F$9="","",'Graciene '!$F$9))</f>
        <v/>
      </c>
      <c r="T74" s="102">
        <f>IF($C74="","",IF('Graciene '!$D$65="",0,'Graciene '!$D$65))</f>
        <v/>
      </c>
      <c r="U74" s="102">
        <f>IF($C74="","",IF('Graciene '!$D$45="",0,'Graciene '!$D$45))</f>
        <v/>
      </c>
      <c r="V74" s="102">
        <f>IF($C74="","",IF('Graciene '!$A$13="",0,'Graciene '!$A$13))</f>
        <v/>
      </c>
    </row>
    <row r="75">
      <c r="A75" s="100">
        <f>IF($C75="","",'Painel Geral'!$B$17)</f>
        <v/>
      </c>
      <c r="B75" s="100">
        <f>IF($C75="","",'Painel Geral'!$C$17)</f>
        <v/>
      </c>
      <c r="C75" s="100">
        <f>IF('Graciene '!$A$50="","",'Graciene '!$A$50)</f>
        <v/>
      </c>
      <c r="D75" s="101">
        <f>IF('Graciene '!$B$50="","",'Graciene '!$B$50)</f>
        <v/>
      </c>
      <c r="E75" s="102">
        <f>IF('Graciene '!$C$50="","",'Graciene '!$C$50)</f>
        <v/>
      </c>
      <c r="F75" s="100">
        <f>IF('Graciene '!$D$50="","",'Graciene '!$D$50)</f>
        <v/>
      </c>
      <c r="G75" s="101">
        <f>IF('Graciene '!$E$50="","",'Graciene '!$E$50)</f>
        <v/>
      </c>
      <c r="H75" s="102">
        <f>IF('Graciene '!$F$50="","",'Graciene '!$F$50)</f>
        <v/>
      </c>
      <c r="I75" s="103">
        <f>IF('Graciene '!$G$50="","",'Graciene '!$G$50)</f>
        <v/>
      </c>
      <c r="J75" s="100">
        <f>IF('Graciene '!$H$50="","",'Graciene '!$H$50)</f>
        <v/>
      </c>
      <c r="K75" s="101">
        <f>IF('Graciene '!$I$50="","",'Graciene '!$I$50)</f>
        <v/>
      </c>
      <c r="L75" s="102">
        <f>IF('Graciene '!$J$50="","",'Graciene '!$J$50)</f>
        <v/>
      </c>
      <c r="M75" s="103">
        <f>IF('Graciene '!$K$50="","",'Graciene '!$K$50)</f>
        <v/>
      </c>
      <c r="N75" s="100">
        <f>IF('Graciene '!$L$50="","",'Graciene '!$L$50)</f>
        <v/>
      </c>
      <c r="O75" s="101">
        <f>IF('Graciene '!$M$50="","",'Graciene '!$M$50)</f>
        <v/>
      </c>
      <c r="P75" s="102">
        <f>IF('Graciene '!$N$50="","",'Graciene '!$N$50)</f>
        <v/>
      </c>
      <c r="Q75" s="102">
        <f>IF('Graciene '!$O$50="","",'Graciene '!$O$50)</f>
        <v/>
      </c>
      <c r="R75" s="103">
        <f>IF($C75="","",IF('Graciene '!$F$7="","",'Graciene '!$F$7))</f>
        <v/>
      </c>
      <c r="S75" s="100" t="n"/>
      <c r="T75" s="102" t="n"/>
      <c r="U75" s="102" t="n"/>
      <c r="V75" s="102" t="n"/>
    </row>
    <row r="76">
      <c r="A76" s="100">
        <f>IF($C76="","",'Painel Geral'!$B$17)</f>
        <v/>
      </c>
      <c r="B76" s="100">
        <f>IF($C76="","",'Painel Geral'!$C$17)</f>
        <v/>
      </c>
      <c r="C76" s="100">
        <f>IF('Graciene '!$A$51="","",'Graciene '!$A$51)</f>
        <v/>
      </c>
      <c r="D76" s="101">
        <f>IF('Graciene '!$B$51="","",'Graciene '!$B$51)</f>
        <v/>
      </c>
      <c r="E76" s="102">
        <f>IF('Graciene '!$C$51="","",'Graciene '!$C$51)</f>
        <v/>
      </c>
      <c r="F76" s="100">
        <f>IF('Graciene '!$D$51="","",'Graciene '!$D$51)</f>
        <v/>
      </c>
      <c r="G76" s="101">
        <f>IF('Graciene '!$E$51="","",'Graciene '!$E$51)</f>
        <v/>
      </c>
      <c r="H76" s="102">
        <f>IF('Graciene '!$F$51="","",'Graciene '!$F$51)</f>
        <v/>
      </c>
      <c r="I76" s="103">
        <f>IF('Graciene '!$G$51="","",'Graciene '!$G$51)</f>
        <v/>
      </c>
      <c r="J76" s="100">
        <f>IF('Graciene '!$H$51="","",'Graciene '!$H$51)</f>
        <v/>
      </c>
      <c r="K76" s="101">
        <f>IF('Graciene '!$I$51="","",'Graciene '!$I$51)</f>
        <v/>
      </c>
      <c r="L76" s="102">
        <f>IF('Graciene '!$J$51="","",'Graciene '!$J$51)</f>
        <v/>
      </c>
      <c r="M76" s="103">
        <f>IF('Graciene '!$K$51="","",'Graciene '!$K$51)</f>
        <v/>
      </c>
      <c r="N76" s="100">
        <f>IF('Graciene '!$L$51="","",'Graciene '!$L$51)</f>
        <v/>
      </c>
      <c r="O76" s="101">
        <f>IF('Graciene '!$M$51="","",'Graciene '!$M$51)</f>
        <v/>
      </c>
      <c r="P76" s="102">
        <f>IF('Graciene '!$N$51="","",'Graciene '!$N$51)</f>
        <v/>
      </c>
      <c r="Q76" s="102">
        <f>IF('Graciene '!$O$51="","",'Graciene '!$O$51)</f>
        <v/>
      </c>
      <c r="R76" s="103">
        <f>IF($C76="","",IF('Graciene '!$F$7="","",'Graciene '!$F$7))</f>
        <v/>
      </c>
      <c r="S76" s="100" t="n"/>
      <c r="T76" s="102" t="n"/>
      <c r="U76" s="102" t="n"/>
      <c r="V76" s="102" t="n"/>
    </row>
    <row r="77">
      <c r="A77" s="100">
        <f>IF($C77="","",'Painel Geral'!$B$17)</f>
        <v/>
      </c>
      <c r="B77" s="100">
        <f>IF($C77="","",'Painel Geral'!$C$17)</f>
        <v/>
      </c>
      <c r="C77" s="100">
        <f>IF('Graciene '!$A$52="","",'Graciene '!$A$52)</f>
        <v/>
      </c>
      <c r="D77" s="101">
        <f>IF('Graciene '!$B$52="","",'Graciene '!$B$52)</f>
        <v/>
      </c>
      <c r="E77" s="102">
        <f>IF('Graciene '!$C$52="","",'Graciene '!$C$52)</f>
        <v/>
      </c>
      <c r="F77" s="100">
        <f>IF('Graciene '!$D$52="","",'Graciene '!$D$52)</f>
        <v/>
      </c>
      <c r="G77" s="101">
        <f>IF('Graciene '!$E$52="","",'Graciene '!$E$52)</f>
        <v/>
      </c>
      <c r="H77" s="102">
        <f>IF('Graciene '!$F$52="","",'Graciene '!$F$52)</f>
        <v/>
      </c>
      <c r="I77" s="103">
        <f>IF('Graciene '!$G$52="","",'Graciene '!$G$52)</f>
        <v/>
      </c>
      <c r="J77" s="100">
        <f>IF('Graciene '!$H$52="","",'Graciene '!$H$52)</f>
        <v/>
      </c>
      <c r="K77" s="101">
        <f>IF('Graciene '!$I$52="","",'Graciene '!$I$52)</f>
        <v/>
      </c>
      <c r="L77" s="102">
        <f>IF('Graciene '!$J$52="","",'Graciene '!$J$52)</f>
        <v/>
      </c>
      <c r="M77" s="103">
        <f>IF('Graciene '!$K$52="","",'Graciene '!$K$52)</f>
        <v/>
      </c>
      <c r="N77" s="100">
        <f>IF('Graciene '!$L$52="","",'Graciene '!$L$52)</f>
        <v/>
      </c>
      <c r="O77" s="101">
        <f>IF('Graciene '!$M$52="","",'Graciene '!$M$52)</f>
        <v/>
      </c>
      <c r="P77" s="102">
        <f>IF('Graciene '!$N$52="","",'Graciene '!$N$52)</f>
        <v/>
      </c>
      <c r="Q77" s="102">
        <f>IF('Graciene '!$O$52="","",'Graciene '!$O$52)</f>
        <v/>
      </c>
      <c r="R77" s="103">
        <f>IF($C77="","",IF('Graciene '!$F$7="","",'Graciene '!$F$7))</f>
        <v/>
      </c>
      <c r="S77" s="100" t="n"/>
      <c r="T77" s="102" t="n"/>
      <c r="U77" s="102" t="n"/>
      <c r="V77" s="102" t="n"/>
    </row>
    <row r="78">
      <c r="A78" s="100">
        <f>IF($C78="","",'Painel Geral'!$B$17)</f>
        <v/>
      </c>
      <c r="B78" s="100">
        <f>IF($C78="","",'Painel Geral'!$C$17)</f>
        <v/>
      </c>
      <c r="C78" s="100">
        <f>IF('Graciene '!$A$53="","",'Graciene '!$A$53)</f>
        <v/>
      </c>
      <c r="D78" s="101">
        <f>IF('Graciene '!$B$53="","",'Graciene '!$B$53)</f>
        <v/>
      </c>
      <c r="E78" s="102">
        <f>IF('Graciene '!$C$53="","",'Graciene '!$C$53)</f>
        <v/>
      </c>
      <c r="F78" s="100">
        <f>IF('Graciene '!$D$53="","",'Graciene '!$D$53)</f>
        <v/>
      </c>
      <c r="G78" s="101">
        <f>IF('Graciene '!$E$53="","",'Graciene '!$E$53)</f>
        <v/>
      </c>
      <c r="H78" s="102">
        <f>IF('Graciene '!$F$53="","",'Graciene '!$F$53)</f>
        <v/>
      </c>
      <c r="I78" s="103">
        <f>IF('Graciene '!$G$53="","",'Graciene '!$G$53)</f>
        <v/>
      </c>
      <c r="J78" s="100">
        <f>IF('Graciene '!$H$53="","",'Graciene '!$H$53)</f>
        <v/>
      </c>
      <c r="K78" s="101">
        <f>IF('Graciene '!$I$53="","",'Graciene '!$I$53)</f>
        <v/>
      </c>
      <c r="L78" s="102">
        <f>IF('Graciene '!$J$53="","",'Graciene '!$J$53)</f>
        <v/>
      </c>
      <c r="M78" s="103">
        <f>IF('Graciene '!$K$53="","",'Graciene '!$K$53)</f>
        <v/>
      </c>
      <c r="N78" s="100">
        <f>IF('Graciene '!$L$53="","",'Graciene '!$L$53)</f>
        <v/>
      </c>
      <c r="O78" s="101">
        <f>IF('Graciene '!$M$53="","",'Graciene '!$M$53)</f>
        <v/>
      </c>
      <c r="P78" s="102">
        <f>IF('Graciene '!$N$53="","",'Graciene '!$N$53)</f>
        <v/>
      </c>
      <c r="Q78" s="102">
        <f>IF('Graciene '!$O$53="","",'Graciene '!$O$53)</f>
        <v/>
      </c>
      <c r="R78" s="103">
        <f>IF($C78="","",IF('Graciene '!$F$7="","",'Graciene '!$F$7))</f>
        <v/>
      </c>
      <c r="S78" s="100" t="n"/>
      <c r="T78" s="102" t="n"/>
      <c r="U78" s="102" t="n"/>
      <c r="V78" s="102" t="n"/>
    </row>
    <row r="79">
      <c r="A79" s="100">
        <f>IF($C79="","",'Painel Geral'!$B$17)</f>
        <v/>
      </c>
      <c r="B79" s="100">
        <f>IF($C79="","",'Painel Geral'!$C$17)</f>
        <v/>
      </c>
      <c r="C79" s="100">
        <f>IF('Graciene '!$A$54="","",'Graciene '!$A$54)</f>
        <v/>
      </c>
      <c r="D79" s="101">
        <f>IF('Graciene '!$B$54="","",'Graciene '!$B$54)</f>
        <v/>
      </c>
      <c r="E79" s="102">
        <f>IF('Graciene '!$C$54="","",'Graciene '!$C$54)</f>
        <v/>
      </c>
      <c r="F79" s="100">
        <f>IF('Graciene '!$D$54="","",'Graciene '!$D$54)</f>
        <v/>
      </c>
      <c r="G79" s="101">
        <f>IF('Graciene '!$E$54="","",'Graciene '!$E$54)</f>
        <v/>
      </c>
      <c r="H79" s="102">
        <f>IF('Graciene '!$F$54="","",'Graciene '!$F$54)</f>
        <v/>
      </c>
      <c r="I79" s="103">
        <f>IF('Graciene '!$G$54="","",'Graciene '!$G$54)</f>
        <v/>
      </c>
      <c r="J79" s="100">
        <f>IF('Graciene '!$H$54="","",'Graciene '!$H$54)</f>
        <v/>
      </c>
      <c r="K79" s="101">
        <f>IF('Graciene '!$I$54="","",'Graciene '!$I$54)</f>
        <v/>
      </c>
      <c r="L79" s="102">
        <f>IF('Graciene '!$J$54="","",'Graciene '!$J$54)</f>
        <v/>
      </c>
      <c r="M79" s="103">
        <f>IF('Graciene '!$K$54="","",'Graciene '!$K$54)</f>
        <v/>
      </c>
      <c r="N79" s="100">
        <f>IF('Graciene '!$L$54="","",'Graciene '!$L$54)</f>
        <v/>
      </c>
      <c r="O79" s="101">
        <f>IF('Graciene '!$M$54="","",'Graciene '!$M$54)</f>
        <v/>
      </c>
      <c r="P79" s="102">
        <f>IF('Graciene '!$N$54="","",'Graciene '!$N$54)</f>
        <v/>
      </c>
      <c r="Q79" s="102">
        <f>IF('Graciene '!$O$54="","",'Graciene '!$O$54)</f>
        <v/>
      </c>
      <c r="R79" s="103">
        <f>IF($C79="","",IF('Graciene '!$F$7="","",'Graciene '!$F$7))</f>
        <v/>
      </c>
      <c r="S79" s="100" t="n"/>
      <c r="T79" s="102" t="n"/>
      <c r="U79" s="102" t="n"/>
      <c r="V79" s="102" t="n"/>
    </row>
    <row r="80">
      <c r="A80" s="100">
        <f>IF($C80="","",'Painel Geral'!$B$17)</f>
        <v/>
      </c>
      <c r="B80" s="100">
        <f>IF($C80="","",'Painel Geral'!$C$17)</f>
        <v/>
      </c>
      <c r="C80" s="100">
        <f>IF('Graciene '!$A$55="","",'Graciene '!$A$55)</f>
        <v/>
      </c>
      <c r="D80" s="101">
        <f>IF('Graciene '!$B$55="","",'Graciene '!$B$55)</f>
        <v/>
      </c>
      <c r="E80" s="102">
        <f>IF('Graciene '!$C$55="","",'Graciene '!$C$55)</f>
        <v/>
      </c>
      <c r="F80" s="100">
        <f>IF('Graciene '!$D$55="","",'Graciene '!$D$55)</f>
        <v/>
      </c>
      <c r="G80" s="101">
        <f>IF('Graciene '!$E$55="","",'Graciene '!$E$55)</f>
        <v/>
      </c>
      <c r="H80" s="102">
        <f>IF('Graciene '!$F$55="","",'Graciene '!$F$55)</f>
        <v/>
      </c>
      <c r="I80" s="103">
        <f>IF('Graciene '!$G$55="","",'Graciene '!$G$55)</f>
        <v/>
      </c>
      <c r="J80" s="100">
        <f>IF('Graciene '!$H$55="","",'Graciene '!$H$55)</f>
        <v/>
      </c>
      <c r="K80" s="101">
        <f>IF('Graciene '!$I$55="","",'Graciene '!$I$55)</f>
        <v/>
      </c>
      <c r="L80" s="102">
        <f>IF('Graciene '!$J$55="","",'Graciene '!$J$55)</f>
        <v/>
      </c>
      <c r="M80" s="103">
        <f>IF('Graciene '!$K$55="","",'Graciene '!$K$55)</f>
        <v/>
      </c>
      <c r="N80" s="100">
        <f>IF('Graciene '!$L$55="","",'Graciene '!$L$55)</f>
        <v/>
      </c>
      <c r="O80" s="101">
        <f>IF('Graciene '!$M$55="","",'Graciene '!$M$55)</f>
        <v/>
      </c>
      <c r="P80" s="102">
        <f>IF('Graciene '!$N$55="","",'Graciene '!$N$55)</f>
        <v/>
      </c>
      <c r="Q80" s="102">
        <f>IF('Graciene '!$O$55="","",'Graciene '!$O$55)</f>
        <v/>
      </c>
      <c r="R80" s="103">
        <f>IF($C80="","",IF('Graciene '!$F$7="","",'Graciene '!$F$7))</f>
        <v/>
      </c>
      <c r="S80" s="100" t="n"/>
      <c r="T80" s="102" t="n"/>
      <c r="U80" s="102" t="n"/>
      <c r="V80" s="102" t="n"/>
    </row>
    <row r="81">
      <c r="A81" s="100">
        <f>IF($C81="","",'Painel Geral'!$B$17)</f>
        <v/>
      </c>
      <c r="B81" s="100">
        <f>IF($C81="","",'Painel Geral'!$C$17)</f>
        <v/>
      </c>
      <c r="C81" s="100">
        <f>IF('Graciene '!$A$56="","",'Graciene '!$A$56)</f>
        <v/>
      </c>
      <c r="D81" s="101">
        <f>IF('Graciene '!$B$56="","",'Graciene '!$B$56)</f>
        <v/>
      </c>
      <c r="E81" s="102">
        <f>IF('Graciene '!$C$56="","",'Graciene '!$C$56)</f>
        <v/>
      </c>
      <c r="F81" s="100">
        <f>IF('Graciene '!$D$56="","",'Graciene '!$D$56)</f>
        <v/>
      </c>
      <c r="G81" s="101">
        <f>IF('Graciene '!$E$56="","",'Graciene '!$E$56)</f>
        <v/>
      </c>
      <c r="H81" s="102">
        <f>IF('Graciene '!$F$56="","",'Graciene '!$F$56)</f>
        <v/>
      </c>
      <c r="I81" s="103">
        <f>IF('Graciene '!$G$56="","",'Graciene '!$G$56)</f>
        <v/>
      </c>
      <c r="J81" s="100">
        <f>IF('Graciene '!$H$56="","",'Graciene '!$H$56)</f>
        <v/>
      </c>
      <c r="K81" s="101">
        <f>IF('Graciene '!$I$56="","",'Graciene '!$I$56)</f>
        <v/>
      </c>
      <c r="L81" s="102">
        <f>IF('Graciene '!$J$56="","",'Graciene '!$J$56)</f>
        <v/>
      </c>
      <c r="M81" s="103">
        <f>IF('Graciene '!$K$56="","",'Graciene '!$K$56)</f>
        <v/>
      </c>
      <c r="N81" s="100">
        <f>IF('Graciene '!$L$56="","",'Graciene '!$L$56)</f>
        <v/>
      </c>
      <c r="O81" s="101">
        <f>IF('Graciene '!$M$56="","",'Graciene '!$M$56)</f>
        <v/>
      </c>
      <c r="P81" s="102">
        <f>IF('Graciene '!$N$56="","",'Graciene '!$N$56)</f>
        <v/>
      </c>
      <c r="Q81" s="102">
        <f>IF('Graciene '!$O$56="","",'Graciene '!$O$56)</f>
        <v/>
      </c>
      <c r="R81" s="103">
        <f>IF($C81="","",IF('Graciene '!$F$7="","",'Graciene '!$F$7))</f>
        <v/>
      </c>
      <c r="S81" s="100" t="n"/>
      <c r="T81" s="102" t="n"/>
      <c r="U81" s="102" t="n"/>
      <c r="V81" s="102" t="n"/>
    </row>
    <row r="82">
      <c r="A82" s="100">
        <f>IF($C82="","",'Painel Geral'!$B$17)</f>
        <v/>
      </c>
      <c r="B82" s="100">
        <f>IF($C82="","",'Painel Geral'!$C$17)</f>
        <v/>
      </c>
      <c r="C82" s="100">
        <f>IF('Graciene '!$A$57="","",'Graciene '!$A$57)</f>
        <v/>
      </c>
      <c r="D82" s="101">
        <f>IF('Graciene '!$B$57="","",'Graciene '!$B$57)</f>
        <v/>
      </c>
      <c r="E82" s="102">
        <f>IF('Graciene '!$C$57="","",'Graciene '!$C$57)</f>
        <v/>
      </c>
      <c r="F82" s="100">
        <f>IF('Graciene '!$D$57="","",'Graciene '!$D$57)</f>
        <v/>
      </c>
      <c r="G82" s="101">
        <f>IF('Graciene '!$E$57="","",'Graciene '!$E$57)</f>
        <v/>
      </c>
      <c r="H82" s="102">
        <f>IF('Graciene '!$F$57="","",'Graciene '!$F$57)</f>
        <v/>
      </c>
      <c r="I82" s="103">
        <f>IF('Graciene '!$G$57="","",'Graciene '!$G$57)</f>
        <v/>
      </c>
      <c r="J82" s="100">
        <f>IF('Graciene '!$H$57="","",'Graciene '!$H$57)</f>
        <v/>
      </c>
      <c r="K82" s="101">
        <f>IF('Graciene '!$I$57="","",'Graciene '!$I$57)</f>
        <v/>
      </c>
      <c r="L82" s="102">
        <f>IF('Graciene '!$J$57="","",'Graciene '!$J$57)</f>
        <v/>
      </c>
      <c r="M82" s="103">
        <f>IF('Graciene '!$K$57="","",'Graciene '!$K$57)</f>
        <v/>
      </c>
      <c r="N82" s="100">
        <f>IF('Graciene '!$L$57="","",'Graciene '!$L$57)</f>
        <v/>
      </c>
      <c r="O82" s="101">
        <f>IF('Graciene '!$M$57="","",'Graciene '!$M$57)</f>
        <v/>
      </c>
      <c r="P82" s="102">
        <f>IF('Graciene '!$N$57="","",'Graciene '!$N$57)</f>
        <v/>
      </c>
      <c r="Q82" s="102">
        <f>IF('Graciene '!$O$57="","",'Graciene '!$O$57)</f>
        <v/>
      </c>
      <c r="R82" s="103">
        <f>IF($C82="","",IF('Graciene '!$F$7="","",'Graciene '!$F$7))</f>
        <v/>
      </c>
      <c r="S82" s="100" t="n"/>
      <c r="T82" s="102" t="n"/>
      <c r="U82" s="102" t="n"/>
      <c r="V82" s="102" t="n"/>
    </row>
    <row r="83">
      <c r="A83" s="100">
        <f>IF($C83="","",'Painel Geral'!$B$17)</f>
        <v/>
      </c>
      <c r="B83" s="100">
        <f>IF($C83="","",'Painel Geral'!$C$17)</f>
        <v/>
      </c>
      <c r="C83" s="100">
        <f>IF('Graciene '!$A$58="","",'Graciene '!$A$58)</f>
        <v/>
      </c>
      <c r="D83" s="101">
        <f>IF('Graciene '!$B$58="","",'Graciene '!$B$58)</f>
        <v/>
      </c>
      <c r="E83" s="102">
        <f>IF('Graciene '!$C$58="","",'Graciene '!$C$58)</f>
        <v/>
      </c>
      <c r="F83" s="100">
        <f>IF('Graciene '!$D$58="","",'Graciene '!$D$58)</f>
        <v/>
      </c>
      <c r="G83" s="101">
        <f>IF('Graciene '!$E$58="","",'Graciene '!$E$58)</f>
        <v/>
      </c>
      <c r="H83" s="102">
        <f>IF('Graciene '!$F$58="","",'Graciene '!$F$58)</f>
        <v/>
      </c>
      <c r="I83" s="103">
        <f>IF('Graciene '!$G$58="","",'Graciene '!$G$58)</f>
        <v/>
      </c>
      <c r="J83" s="100">
        <f>IF('Graciene '!$H$58="","",'Graciene '!$H$58)</f>
        <v/>
      </c>
      <c r="K83" s="101">
        <f>IF('Graciene '!$I$58="","",'Graciene '!$I$58)</f>
        <v/>
      </c>
      <c r="L83" s="102">
        <f>IF('Graciene '!$J$58="","",'Graciene '!$J$58)</f>
        <v/>
      </c>
      <c r="M83" s="103">
        <f>IF('Graciene '!$K$58="","",'Graciene '!$K$58)</f>
        <v/>
      </c>
      <c r="N83" s="100">
        <f>IF('Graciene '!$L$58="","",'Graciene '!$L$58)</f>
        <v/>
      </c>
      <c r="O83" s="101">
        <f>IF('Graciene '!$M$58="","",'Graciene '!$M$58)</f>
        <v/>
      </c>
      <c r="P83" s="102">
        <f>IF('Graciene '!$N$58="","",'Graciene '!$N$58)</f>
        <v/>
      </c>
      <c r="Q83" s="102">
        <f>IF('Graciene '!$O$58="","",'Graciene '!$O$58)</f>
        <v/>
      </c>
      <c r="R83" s="103">
        <f>IF($C83="","",IF('Graciene '!$F$7="","",'Graciene '!$F$7))</f>
        <v/>
      </c>
      <c r="S83" s="100" t="n"/>
      <c r="T83" s="102" t="n"/>
      <c r="U83" s="102" t="n"/>
      <c r="V83" s="102" t="n"/>
    </row>
    <row r="84">
      <c r="A84" s="100">
        <f>IF($C84="","",'Painel Geral'!$B$17)</f>
        <v/>
      </c>
      <c r="B84" s="100">
        <f>IF($C84="","",'Painel Geral'!$C$17)</f>
        <v/>
      </c>
      <c r="C84" s="100">
        <f>IF('Graciene '!$A$59="","",'Graciene '!$A$59)</f>
        <v/>
      </c>
      <c r="D84" s="101">
        <f>IF('Graciene '!$B$59="","",'Graciene '!$B$59)</f>
        <v/>
      </c>
      <c r="E84" s="102">
        <f>IF('Graciene '!$C$59="","",'Graciene '!$C$59)</f>
        <v/>
      </c>
      <c r="F84" s="100">
        <f>IF('Graciene '!$D$59="","",'Graciene '!$D$59)</f>
        <v/>
      </c>
      <c r="G84" s="101">
        <f>IF('Graciene '!$E$59="","",'Graciene '!$E$59)</f>
        <v/>
      </c>
      <c r="H84" s="102">
        <f>IF('Graciene '!$F$59="","",'Graciene '!$F$59)</f>
        <v/>
      </c>
      <c r="I84" s="103">
        <f>IF('Graciene '!$G$59="","",'Graciene '!$G$59)</f>
        <v/>
      </c>
      <c r="J84" s="100">
        <f>IF('Graciene '!$H$59="","",'Graciene '!$H$59)</f>
        <v/>
      </c>
      <c r="K84" s="101">
        <f>IF('Graciene '!$I$59="","",'Graciene '!$I$59)</f>
        <v/>
      </c>
      <c r="L84" s="102">
        <f>IF('Graciene '!$J$59="","",'Graciene '!$J$59)</f>
        <v/>
      </c>
      <c r="M84" s="103">
        <f>IF('Graciene '!$K$59="","",'Graciene '!$K$59)</f>
        <v/>
      </c>
      <c r="N84" s="100">
        <f>IF('Graciene '!$L$59="","",'Graciene '!$L$59)</f>
        <v/>
      </c>
      <c r="O84" s="101">
        <f>IF('Graciene '!$M$59="","",'Graciene '!$M$59)</f>
        <v/>
      </c>
      <c r="P84" s="102">
        <f>IF('Graciene '!$N$59="","",'Graciene '!$N$59)</f>
        <v/>
      </c>
      <c r="Q84" s="102">
        <f>IF('Graciene '!$O$59="","",'Graciene '!$O$59)</f>
        <v/>
      </c>
      <c r="R84" s="103">
        <f>IF($C84="","",IF('Graciene '!$F$7="","",'Graciene '!$F$7))</f>
        <v/>
      </c>
      <c r="S84" s="100" t="n"/>
      <c r="T84" s="102" t="n"/>
      <c r="U84" s="102" t="n"/>
      <c r="V84" s="102" t="n"/>
    </row>
    <row r="85">
      <c r="A85" s="100">
        <f>IF($C85="","",'Painel Geral'!$B$17)</f>
        <v/>
      </c>
      <c r="B85" s="100">
        <f>IF($C85="","",'Painel Geral'!$C$17)</f>
        <v/>
      </c>
      <c r="C85" s="100">
        <f>IF('Graciene '!$A$60="","",'Graciene '!$A$60)</f>
        <v/>
      </c>
      <c r="D85" s="101">
        <f>IF('Graciene '!$B$60="","",'Graciene '!$B$60)</f>
        <v/>
      </c>
      <c r="E85" s="102">
        <f>IF('Graciene '!$C$60="","",'Graciene '!$C$60)</f>
        <v/>
      </c>
      <c r="F85" s="100">
        <f>IF('Graciene '!$D$60="","",'Graciene '!$D$60)</f>
        <v/>
      </c>
      <c r="G85" s="101">
        <f>IF('Graciene '!$E$60="","",'Graciene '!$E$60)</f>
        <v/>
      </c>
      <c r="H85" s="102">
        <f>IF('Graciene '!$F$60="","",'Graciene '!$F$60)</f>
        <v/>
      </c>
      <c r="I85" s="103">
        <f>IF('Graciene '!$G$60="","",'Graciene '!$G$60)</f>
        <v/>
      </c>
      <c r="J85" s="100">
        <f>IF('Graciene '!$H$60="","",'Graciene '!$H$60)</f>
        <v/>
      </c>
      <c r="K85" s="101">
        <f>IF('Graciene '!$I$60="","",'Graciene '!$I$60)</f>
        <v/>
      </c>
      <c r="L85" s="102">
        <f>IF('Graciene '!$J$60="","",'Graciene '!$J$60)</f>
        <v/>
      </c>
      <c r="M85" s="103">
        <f>IF('Graciene '!$K$60="","",'Graciene '!$K$60)</f>
        <v/>
      </c>
      <c r="N85" s="100">
        <f>IF('Graciene '!$L$60="","",'Graciene '!$L$60)</f>
        <v/>
      </c>
      <c r="O85" s="101">
        <f>IF('Graciene '!$M$60="","",'Graciene '!$M$60)</f>
        <v/>
      </c>
      <c r="P85" s="102">
        <f>IF('Graciene '!$N$60="","",'Graciene '!$N$60)</f>
        <v/>
      </c>
      <c r="Q85" s="102">
        <f>IF('Graciene '!$O$60="","",'Graciene '!$O$60)</f>
        <v/>
      </c>
      <c r="R85" s="103">
        <f>IF($C85="","",IF('Graciene '!$F$7="","",'Graciene '!$F$7))</f>
        <v/>
      </c>
      <c r="S85" s="100" t="n"/>
      <c r="T85" s="102" t="n"/>
      <c r="U85" s="102" t="n"/>
      <c r="V85" s="102" t="n"/>
    </row>
    <row r="86">
      <c r="A86" s="100">
        <f>IF($C86="","",'Painel Geral'!$B$18)</f>
        <v/>
      </c>
      <c r="B86" s="100">
        <f>IF($C86="","",'Painel Geral'!$C$18)</f>
        <v/>
      </c>
      <c r="C86" s="100">
        <f>IF('Larissa '!$A$49="","",'Larissa '!$A$49)</f>
        <v/>
      </c>
      <c r="D86" s="101">
        <f>IF('Larissa '!$B$49="","",'Larissa '!$B$49)</f>
        <v/>
      </c>
      <c r="E86" s="102">
        <f>IF('Larissa '!$C$49="","",'Larissa '!$C$49)</f>
        <v/>
      </c>
      <c r="F86" s="100">
        <f>IF('Larissa '!$D$49="","",'Larissa '!$D$49)</f>
        <v/>
      </c>
      <c r="G86" s="101">
        <f>IF('Larissa '!$E$49="","",'Larissa '!$E$49)</f>
        <v/>
      </c>
      <c r="H86" s="102">
        <f>IF('Larissa '!$F$49="","",'Larissa '!$F$49)</f>
        <v/>
      </c>
      <c r="I86" s="103">
        <f>IF('Larissa '!$G$49="","",'Larissa '!$G$49)</f>
        <v/>
      </c>
      <c r="J86" s="100">
        <f>IF('Larissa '!$H$49="","",'Larissa '!$H$49)</f>
        <v/>
      </c>
      <c r="K86" s="101">
        <f>IF('Larissa '!$I$49="","",'Larissa '!$I$49)</f>
        <v/>
      </c>
      <c r="L86" s="102">
        <f>IF('Larissa '!$J$49="","",'Larissa '!$J$49)</f>
        <v/>
      </c>
      <c r="M86" s="103">
        <f>IF('Larissa '!$K$49="","",'Larissa '!$K$49)</f>
        <v/>
      </c>
      <c r="N86" s="100">
        <f>IF('Larissa '!$L$49="","",'Larissa '!$L$49)</f>
        <v/>
      </c>
      <c r="O86" s="101">
        <f>IF('Larissa '!$M$49="","",'Larissa '!$M$49)</f>
        <v/>
      </c>
      <c r="P86" s="102">
        <f>IF('Larissa '!$N$49="","",'Larissa '!$N$49)</f>
        <v/>
      </c>
      <c r="Q86" s="102">
        <f>IF('Larissa '!$O$49="","",'Larissa '!$O$49)</f>
        <v/>
      </c>
      <c r="R86" s="103">
        <f>IF($C86="","",IF('Larissa '!$F$7="","",'Larissa '!$F$7))</f>
        <v/>
      </c>
      <c r="S86" s="100">
        <f>IF($C86="","",IF('Larissa '!$F$9="","",'Larissa '!$F$9))</f>
        <v/>
      </c>
      <c r="T86" s="102">
        <f>IF($C86="","",IF('Larissa '!$D$65="",0,'Larissa '!$D$65))</f>
        <v/>
      </c>
      <c r="U86" s="102">
        <f>IF($C86="","",IF('Larissa '!$D$45="",0,'Larissa '!$D$45))</f>
        <v/>
      </c>
      <c r="V86" s="102">
        <f>IF($C86="","",IF('Larissa '!$A$13="",0,'Larissa '!$A$13))</f>
        <v/>
      </c>
    </row>
    <row r="87">
      <c r="A87" s="100">
        <f>IF($C87="","",'Painel Geral'!$B$18)</f>
        <v/>
      </c>
      <c r="B87" s="100">
        <f>IF($C87="","",'Painel Geral'!$C$18)</f>
        <v/>
      </c>
      <c r="C87" s="100">
        <f>IF('Larissa '!$A$50="","",'Larissa '!$A$50)</f>
        <v/>
      </c>
      <c r="D87" s="101">
        <f>IF('Larissa '!$B$50="","",'Larissa '!$B$50)</f>
        <v/>
      </c>
      <c r="E87" s="102">
        <f>IF('Larissa '!$C$50="","",'Larissa '!$C$50)</f>
        <v/>
      </c>
      <c r="F87" s="100">
        <f>IF('Larissa '!$D$50="","",'Larissa '!$D$50)</f>
        <v/>
      </c>
      <c r="G87" s="101">
        <f>IF('Larissa '!$E$50="","",'Larissa '!$E$50)</f>
        <v/>
      </c>
      <c r="H87" s="102">
        <f>IF('Larissa '!$F$50="","",'Larissa '!$F$50)</f>
        <v/>
      </c>
      <c r="I87" s="103">
        <f>IF('Larissa '!$G$50="","",'Larissa '!$G$50)</f>
        <v/>
      </c>
      <c r="J87" s="100">
        <f>IF('Larissa '!$H$50="","",'Larissa '!$H$50)</f>
        <v/>
      </c>
      <c r="K87" s="101">
        <f>IF('Larissa '!$I$50="","",'Larissa '!$I$50)</f>
        <v/>
      </c>
      <c r="L87" s="102">
        <f>IF('Larissa '!$J$50="","",'Larissa '!$J$50)</f>
        <v/>
      </c>
      <c r="M87" s="103">
        <f>IF('Larissa '!$K$50="","",'Larissa '!$K$50)</f>
        <v/>
      </c>
      <c r="N87" s="100">
        <f>IF('Larissa '!$L$50="","",'Larissa '!$L$50)</f>
        <v/>
      </c>
      <c r="O87" s="101">
        <f>IF('Larissa '!$M$50="","",'Larissa '!$M$50)</f>
        <v/>
      </c>
      <c r="P87" s="102">
        <f>IF('Larissa '!$N$50="","",'Larissa '!$N$50)</f>
        <v/>
      </c>
      <c r="Q87" s="102">
        <f>IF('Larissa '!$O$50="","",'Larissa '!$O$50)</f>
        <v/>
      </c>
      <c r="R87" s="103">
        <f>IF($C87="","",IF('Larissa '!$F$7="","",'Larissa '!$F$7))</f>
        <v/>
      </c>
      <c r="S87" s="100" t="n"/>
      <c r="T87" s="102" t="n"/>
      <c r="U87" s="102" t="n"/>
      <c r="V87" s="102" t="n"/>
    </row>
    <row r="88">
      <c r="A88" s="100">
        <f>IF($C88="","",'Painel Geral'!$B$18)</f>
        <v/>
      </c>
      <c r="B88" s="100">
        <f>IF($C88="","",'Painel Geral'!$C$18)</f>
        <v/>
      </c>
      <c r="C88" s="100">
        <f>IF('Larissa '!$A$51="","",'Larissa '!$A$51)</f>
        <v/>
      </c>
      <c r="D88" s="101">
        <f>IF('Larissa '!$B$51="","",'Larissa '!$B$51)</f>
        <v/>
      </c>
      <c r="E88" s="102">
        <f>IF('Larissa '!$C$51="","",'Larissa '!$C$51)</f>
        <v/>
      </c>
      <c r="F88" s="100">
        <f>IF('Larissa '!$D$51="","",'Larissa '!$D$51)</f>
        <v/>
      </c>
      <c r="G88" s="101">
        <f>IF('Larissa '!$E$51="","",'Larissa '!$E$51)</f>
        <v/>
      </c>
      <c r="H88" s="102">
        <f>IF('Larissa '!$F$51="","",'Larissa '!$F$51)</f>
        <v/>
      </c>
      <c r="I88" s="103">
        <f>IF('Larissa '!$G$51="","",'Larissa '!$G$51)</f>
        <v/>
      </c>
      <c r="J88" s="100">
        <f>IF('Larissa '!$H$51="","",'Larissa '!$H$51)</f>
        <v/>
      </c>
      <c r="K88" s="101">
        <f>IF('Larissa '!$I$51="","",'Larissa '!$I$51)</f>
        <v/>
      </c>
      <c r="L88" s="102">
        <f>IF('Larissa '!$J$51="","",'Larissa '!$J$51)</f>
        <v/>
      </c>
      <c r="M88" s="103">
        <f>IF('Larissa '!$K$51="","",'Larissa '!$K$51)</f>
        <v/>
      </c>
      <c r="N88" s="100">
        <f>IF('Larissa '!$L$51="","",'Larissa '!$L$51)</f>
        <v/>
      </c>
      <c r="O88" s="101">
        <f>IF('Larissa '!$M$51="","",'Larissa '!$M$51)</f>
        <v/>
      </c>
      <c r="P88" s="102">
        <f>IF('Larissa '!$N$51="","",'Larissa '!$N$51)</f>
        <v/>
      </c>
      <c r="Q88" s="102">
        <f>IF('Larissa '!$O$51="","",'Larissa '!$O$51)</f>
        <v/>
      </c>
      <c r="R88" s="103">
        <f>IF($C88="","",IF('Larissa '!$F$7="","",'Larissa '!$F$7))</f>
        <v/>
      </c>
      <c r="S88" s="100" t="n"/>
      <c r="T88" s="102" t="n"/>
      <c r="U88" s="102" t="n"/>
      <c r="V88" s="102" t="n"/>
    </row>
    <row r="89">
      <c r="A89" s="100">
        <f>IF($C89="","",'Painel Geral'!$B$18)</f>
        <v/>
      </c>
      <c r="B89" s="100">
        <f>IF($C89="","",'Painel Geral'!$C$18)</f>
        <v/>
      </c>
      <c r="C89" s="100">
        <f>IF('Larissa '!$A$52="","",'Larissa '!$A$52)</f>
        <v/>
      </c>
      <c r="D89" s="101">
        <f>IF('Larissa '!$B$52="","",'Larissa '!$B$52)</f>
        <v/>
      </c>
      <c r="E89" s="102">
        <f>IF('Larissa '!$C$52="","",'Larissa '!$C$52)</f>
        <v/>
      </c>
      <c r="F89" s="100">
        <f>IF('Larissa '!$D$52="","",'Larissa '!$D$52)</f>
        <v/>
      </c>
      <c r="G89" s="101">
        <f>IF('Larissa '!$E$52="","",'Larissa '!$E$52)</f>
        <v/>
      </c>
      <c r="H89" s="102">
        <f>IF('Larissa '!$F$52="","",'Larissa '!$F$52)</f>
        <v/>
      </c>
      <c r="I89" s="103">
        <f>IF('Larissa '!$G$52="","",'Larissa '!$G$52)</f>
        <v/>
      </c>
      <c r="J89" s="100">
        <f>IF('Larissa '!$H$52="","",'Larissa '!$H$52)</f>
        <v/>
      </c>
      <c r="K89" s="101">
        <f>IF('Larissa '!$I$52="","",'Larissa '!$I$52)</f>
        <v/>
      </c>
      <c r="L89" s="102">
        <f>IF('Larissa '!$J$52="","",'Larissa '!$J$52)</f>
        <v/>
      </c>
      <c r="M89" s="103">
        <f>IF('Larissa '!$K$52="","",'Larissa '!$K$52)</f>
        <v/>
      </c>
      <c r="N89" s="100">
        <f>IF('Larissa '!$L$52="","",'Larissa '!$L$52)</f>
        <v/>
      </c>
      <c r="O89" s="101">
        <f>IF('Larissa '!$M$52="","",'Larissa '!$M$52)</f>
        <v/>
      </c>
      <c r="P89" s="102">
        <f>IF('Larissa '!$N$52="","",'Larissa '!$N$52)</f>
        <v/>
      </c>
      <c r="Q89" s="102">
        <f>IF('Larissa '!$O$52="","",'Larissa '!$O$52)</f>
        <v/>
      </c>
      <c r="R89" s="103">
        <f>IF($C89="","",IF('Larissa '!$F$7="","",'Larissa '!$F$7))</f>
        <v/>
      </c>
      <c r="S89" s="100" t="n"/>
      <c r="T89" s="102" t="n"/>
      <c r="U89" s="102" t="n"/>
      <c r="V89" s="102" t="n"/>
    </row>
    <row r="90">
      <c r="A90" s="100">
        <f>IF($C90="","",'Painel Geral'!$B$18)</f>
        <v/>
      </c>
      <c r="B90" s="100">
        <f>IF($C90="","",'Painel Geral'!$C$18)</f>
        <v/>
      </c>
      <c r="C90" s="100">
        <f>IF('Larissa '!$A$53="","",'Larissa '!$A$53)</f>
        <v/>
      </c>
      <c r="D90" s="101">
        <f>IF('Larissa '!$B$53="","",'Larissa '!$B$53)</f>
        <v/>
      </c>
      <c r="E90" s="102">
        <f>IF('Larissa '!$C$53="","",'Larissa '!$C$53)</f>
        <v/>
      </c>
      <c r="F90" s="100">
        <f>IF('Larissa '!$D$53="","",'Larissa '!$D$53)</f>
        <v/>
      </c>
      <c r="G90" s="101">
        <f>IF('Larissa '!$E$53="","",'Larissa '!$E$53)</f>
        <v/>
      </c>
      <c r="H90" s="102">
        <f>IF('Larissa '!$F$53="","",'Larissa '!$F$53)</f>
        <v/>
      </c>
      <c r="I90" s="103">
        <f>IF('Larissa '!$G$53="","",'Larissa '!$G$53)</f>
        <v/>
      </c>
      <c r="J90" s="100">
        <f>IF('Larissa '!$H$53="","",'Larissa '!$H$53)</f>
        <v/>
      </c>
      <c r="K90" s="101">
        <f>IF('Larissa '!$I$53="","",'Larissa '!$I$53)</f>
        <v/>
      </c>
      <c r="L90" s="102">
        <f>IF('Larissa '!$J$53="","",'Larissa '!$J$53)</f>
        <v/>
      </c>
      <c r="M90" s="103">
        <f>IF('Larissa '!$K$53="","",'Larissa '!$K$53)</f>
        <v/>
      </c>
      <c r="N90" s="100">
        <f>IF('Larissa '!$L$53="","",'Larissa '!$L$53)</f>
        <v/>
      </c>
      <c r="O90" s="101">
        <f>IF('Larissa '!$M$53="","",'Larissa '!$M$53)</f>
        <v/>
      </c>
      <c r="P90" s="102">
        <f>IF('Larissa '!$N$53="","",'Larissa '!$N$53)</f>
        <v/>
      </c>
      <c r="Q90" s="102">
        <f>IF('Larissa '!$O$53="","",'Larissa '!$O$53)</f>
        <v/>
      </c>
      <c r="R90" s="103">
        <f>IF($C90="","",IF('Larissa '!$F$7="","",'Larissa '!$F$7))</f>
        <v/>
      </c>
      <c r="S90" s="100" t="n"/>
      <c r="T90" s="102" t="n"/>
      <c r="U90" s="102" t="n"/>
      <c r="V90" s="102" t="n"/>
    </row>
    <row r="91">
      <c r="A91" s="100">
        <f>IF($C91="","",'Painel Geral'!$B$18)</f>
        <v/>
      </c>
      <c r="B91" s="100">
        <f>IF($C91="","",'Painel Geral'!$C$18)</f>
        <v/>
      </c>
      <c r="C91" s="100">
        <f>IF('Larissa '!$A$54="","",'Larissa '!$A$54)</f>
        <v/>
      </c>
      <c r="D91" s="101">
        <f>IF('Larissa '!$B$54="","",'Larissa '!$B$54)</f>
        <v/>
      </c>
      <c r="E91" s="102">
        <f>IF('Larissa '!$C$54="","",'Larissa '!$C$54)</f>
        <v/>
      </c>
      <c r="F91" s="100">
        <f>IF('Larissa '!$D$54="","",'Larissa '!$D$54)</f>
        <v/>
      </c>
      <c r="G91" s="101">
        <f>IF('Larissa '!$E$54="","",'Larissa '!$E$54)</f>
        <v/>
      </c>
      <c r="H91" s="102">
        <f>IF('Larissa '!$F$54="","",'Larissa '!$F$54)</f>
        <v/>
      </c>
      <c r="I91" s="103">
        <f>IF('Larissa '!$G$54="","",'Larissa '!$G$54)</f>
        <v/>
      </c>
      <c r="J91" s="100">
        <f>IF('Larissa '!$H$54="","",'Larissa '!$H$54)</f>
        <v/>
      </c>
      <c r="K91" s="101">
        <f>IF('Larissa '!$I$54="","",'Larissa '!$I$54)</f>
        <v/>
      </c>
      <c r="L91" s="102">
        <f>IF('Larissa '!$J$54="","",'Larissa '!$J$54)</f>
        <v/>
      </c>
      <c r="M91" s="103">
        <f>IF('Larissa '!$K$54="","",'Larissa '!$K$54)</f>
        <v/>
      </c>
      <c r="N91" s="100">
        <f>IF('Larissa '!$L$54="","",'Larissa '!$L$54)</f>
        <v/>
      </c>
      <c r="O91" s="101">
        <f>IF('Larissa '!$M$54="","",'Larissa '!$M$54)</f>
        <v/>
      </c>
      <c r="P91" s="102">
        <f>IF('Larissa '!$N$54="","",'Larissa '!$N$54)</f>
        <v/>
      </c>
      <c r="Q91" s="102">
        <f>IF('Larissa '!$O$54="","",'Larissa '!$O$54)</f>
        <v/>
      </c>
      <c r="R91" s="103">
        <f>IF($C91="","",IF('Larissa '!$F$7="","",'Larissa '!$F$7))</f>
        <v/>
      </c>
      <c r="S91" s="100" t="n"/>
      <c r="T91" s="102" t="n"/>
      <c r="U91" s="102" t="n"/>
      <c r="V91" s="102" t="n"/>
    </row>
    <row r="92">
      <c r="A92" s="100">
        <f>IF($C92="","",'Painel Geral'!$B$18)</f>
        <v/>
      </c>
      <c r="B92" s="100">
        <f>IF($C92="","",'Painel Geral'!$C$18)</f>
        <v/>
      </c>
      <c r="C92" s="100">
        <f>IF('Larissa '!$A$55="","",'Larissa '!$A$55)</f>
        <v/>
      </c>
      <c r="D92" s="101">
        <f>IF('Larissa '!$B$55="","",'Larissa '!$B$55)</f>
        <v/>
      </c>
      <c r="E92" s="102">
        <f>IF('Larissa '!$C$55="","",'Larissa '!$C$55)</f>
        <v/>
      </c>
      <c r="F92" s="100">
        <f>IF('Larissa '!$D$55="","",'Larissa '!$D$55)</f>
        <v/>
      </c>
      <c r="G92" s="101">
        <f>IF('Larissa '!$E$55="","",'Larissa '!$E$55)</f>
        <v/>
      </c>
      <c r="H92" s="102">
        <f>IF('Larissa '!$F$55="","",'Larissa '!$F$55)</f>
        <v/>
      </c>
      <c r="I92" s="103">
        <f>IF('Larissa '!$G$55="","",'Larissa '!$G$55)</f>
        <v/>
      </c>
      <c r="J92" s="100">
        <f>IF('Larissa '!$H$55="","",'Larissa '!$H$55)</f>
        <v/>
      </c>
      <c r="K92" s="101">
        <f>IF('Larissa '!$I$55="","",'Larissa '!$I$55)</f>
        <v/>
      </c>
      <c r="L92" s="102">
        <f>IF('Larissa '!$J$55="","",'Larissa '!$J$55)</f>
        <v/>
      </c>
      <c r="M92" s="103">
        <f>IF('Larissa '!$K$55="","",'Larissa '!$K$55)</f>
        <v/>
      </c>
      <c r="N92" s="100">
        <f>IF('Larissa '!$L$55="","",'Larissa '!$L$55)</f>
        <v/>
      </c>
      <c r="O92" s="101">
        <f>IF('Larissa '!$M$55="","",'Larissa '!$M$55)</f>
        <v/>
      </c>
      <c r="P92" s="102">
        <f>IF('Larissa '!$N$55="","",'Larissa '!$N$55)</f>
        <v/>
      </c>
      <c r="Q92" s="102">
        <f>IF('Larissa '!$O$55="","",'Larissa '!$O$55)</f>
        <v/>
      </c>
      <c r="R92" s="103">
        <f>IF($C92="","",IF('Larissa '!$F$7="","",'Larissa '!$F$7))</f>
        <v/>
      </c>
      <c r="S92" s="100" t="n"/>
      <c r="T92" s="102" t="n"/>
      <c r="U92" s="102" t="n"/>
      <c r="V92" s="102" t="n"/>
    </row>
    <row r="93">
      <c r="A93" s="100">
        <f>IF($C93="","",'Painel Geral'!$B$18)</f>
        <v/>
      </c>
      <c r="B93" s="100">
        <f>IF($C93="","",'Painel Geral'!$C$18)</f>
        <v/>
      </c>
      <c r="C93" s="100">
        <f>IF('Larissa '!$A$56="","",'Larissa '!$A$56)</f>
        <v/>
      </c>
      <c r="D93" s="101">
        <f>IF('Larissa '!$B$56="","",'Larissa '!$B$56)</f>
        <v/>
      </c>
      <c r="E93" s="102">
        <f>IF('Larissa '!$C$56="","",'Larissa '!$C$56)</f>
        <v/>
      </c>
      <c r="F93" s="100">
        <f>IF('Larissa '!$D$56="","",'Larissa '!$D$56)</f>
        <v/>
      </c>
      <c r="G93" s="101">
        <f>IF('Larissa '!$E$56="","",'Larissa '!$E$56)</f>
        <v/>
      </c>
      <c r="H93" s="102">
        <f>IF('Larissa '!$F$56="","",'Larissa '!$F$56)</f>
        <v/>
      </c>
      <c r="I93" s="103">
        <f>IF('Larissa '!$G$56="","",'Larissa '!$G$56)</f>
        <v/>
      </c>
      <c r="J93" s="100">
        <f>IF('Larissa '!$H$56="","",'Larissa '!$H$56)</f>
        <v/>
      </c>
      <c r="K93" s="101">
        <f>IF('Larissa '!$I$56="","",'Larissa '!$I$56)</f>
        <v/>
      </c>
      <c r="L93" s="102">
        <f>IF('Larissa '!$J$56="","",'Larissa '!$J$56)</f>
        <v/>
      </c>
      <c r="M93" s="103">
        <f>IF('Larissa '!$K$56="","",'Larissa '!$K$56)</f>
        <v/>
      </c>
      <c r="N93" s="100">
        <f>IF('Larissa '!$L$56="","",'Larissa '!$L$56)</f>
        <v/>
      </c>
      <c r="O93" s="101">
        <f>IF('Larissa '!$M$56="","",'Larissa '!$M$56)</f>
        <v/>
      </c>
      <c r="P93" s="102">
        <f>IF('Larissa '!$N$56="","",'Larissa '!$N$56)</f>
        <v/>
      </c>
      <c r="Q93" s="102">
        <f>IF('Larissa '!$O$56="","",'Larissa '!$O$56)</f>
        <v/>
      </c>
      <c r="R93" s="103">
        <f>IF($C93="","",IF('Larissa '!$F$7="","",'Larissa '!$F$7))</f>
        <v/>
      </c>
      <c r="S93" s="100" t="n"/>
      <c r="T93" s="102" t="n"/>
      <c r="U93" s="102" t="n"/>
      <c r="V93" s="102" t="n"/>
    </row>
    <row r="94">
      <c r="A94" s="100">
        <f>IF($C94="","",'Painel Geral'!$B$18)</f>
        <v/>
      </c>
      <c r="B94" s="100">
        <f>IF($C94="","",'Painel Geral'!$C$18)</f>
        <v/>
      </c>
      <c r="C94" s="100">
        <f>IF('Larissa '!$A$57="","",'Larissa '!$A$57)</f>
        <v/>
      </c>
      <c r="D94" s="101">
        <f>IF('Larissa '!$B$57="","",'Larissa '!$B$57)</f>
        <v/>
      </c>
      <c r="E94" s="102">
        <f>IF('Larissa '!$C$57="","",'Larissa '!$C$57)</f>
        <v/>
      </c>
      <c r="F94" s="100">
        <f>IF('Larissa '!$D$57="","",'Larissa '!$D$57)</f>
        <v/>
      </c>
      <c r="G94" s="101">
        <f>IF('Larissa '!$E$57="","",'Larissa '!$E$57)</f>
        <v/>
      </c>
      <c r="H94" s="102">
        <f>IF('Larissa '!$F$57="","",'Larissa '!$F$57)</f>
        <v/>
      </c>
      <c r="I94" s="103">
        <f>IF('Larissa '!$G$57="","",'Larissa '!$G$57)</f>
        <v/>
      </c>
      <c r="J94" s="100">
        <f>IF('Larissa '!$H$57="","",'Larissa '!$H$57)</f>
        <v/>
      </c>
      <c r="K94" s="101">
        <f>IF('Larissa '!$I$57="","",'Larissa '!$I$57)</f>
        <v/>
      </c>
      <c r="L94" s="102">
        <f>IF('Larissa '!$J$57="","",'Larissa '!$J$57)</f>
        <v/>
      </c>
      <c r="M94" s="103">
        <f>IF('Larissa '!$K$57="","",'Larissa '!$K$57)</f>
        <v/>
      </c>
      <c r="N94" s="100">
        <f>IF('Larissa '!$L$57="","",'Larissa '!$L$57)</f>
        <v/>
      </c>
      <c r="O94" s="101">
        <f>IF('Larissa '!$M$57="","",'Larissa '!$M$57)</f>
        <v/>
      </c>
      <c r="P94" s="102">
        <f>IF('Larissa '!$N$57="","",'Larissa '!$N$57)</f>
        <v/>
      </c>
      <c r="Q94" s="102">
        <f>IF('Larissa '!$O$57="","",'Larissa '!$O$57)</f>
        <v/>
      </c>
      <c r="R94" s="103">
        <f>IF($C94="","",IF('Larissa '!$F$7="","",'Larissa '!$F$7))</f>
        <v/>
      </c>
      <c r="S94" s="100" t="n"/>
      <c r="T94" s="102" t="n"/>
      <c r="U94" s="102" t="n"/>
      <c r="V94" s="102" t="n"/>
    </row>
    <row r="95">
      <c r="A95" s="100">
        <f>IF($C95="","",'Painel Geral'!$B$18)</f>
        <v/>
      </c>
      <c r="B95" s="100">
        <f>IF($C95="","",'Painel Geral'!$C$18)</f>
        <v/>
      </c>
      <c r="C95" s="100">
        <f>IF('Larissa '!$A$58="","",'Larissa '!$A$58)</f>
        <v/>
      </c>
      <c r="D95" s="101">
        <f>IF('Larissa '!$B$58="","",'Larissa '!$B$58)</f>
        <v/>
      </c>
      <c r="E95" s="102">
        <f>IF('Larissa '!$C$58="","",'Larissa '!$C$58)</f>
        <v/>
      </c>
      <c r="F95" s="100">
        <f>IF('Larissa '!$D$58="","",'Larissa '!$D$58)</f>
        <v/>
      </c>
      <c r="G95" s="101">
        <f>IF('Larissa '!$E$58="","",'Larissa '!$E$58)</f>
        <v/>
      </c>
      <c r="H95" s="102">
        <f>IF('Larissa '!$F$58="","",'Larissa '!$F$58)</f>
        <v/>
      </c>
      <c r="I95" s="103">
        <f>IF('Larissa '!$G$58="","",'Larissa '!$G$58)</f>
        <v/>
      </c>
      <c r="J95" s="100">
        <f>IF('Larissa '!$H$58="","",'Larissa '!$H$58)</f>
        <v/>
      </c>
      <c r="K95" s="101">
        <f>IF('Larissa '!$I$58="","",'Larissa '!$I$58)</f>
        <v/>
      </c>
      <c r="L95" s="102">
        <f>IF('Larissa '!$J$58="","",'Larissa '!$J$58)</f>
        <v/>
      </c>
      <c r="M95" s="103">
        <f>IF('Larissa '!$K$58="","",'Larissa '!$K$58)</f>
        <v/>
      </c>
      <c r="N95" s="100">
        <f>IF('Larissa '!$L$58="","",'Larissa '!$L$58)</f>
        <v/>
      </c>
      <c r="O95" s="101">
        <f>IF('Larissa '!$M$58="","",'Larissa '!$M$58)</f>
        <v/>
      </c>
      <c r="P95" s="102">
        <f>IF('Larissa '!$N$58="","",'Larissa '!$N$58)</f>
        <v/>
      </c>
      <c r="Q95" s="102">
        <f>IF('Larissa '!$O$58="","",'Larissa '!$O$58)</f>
        <v/>
      </c>
      <c r="R95" s="103">
        <f>IF($C95="","",IF('Larissa '!$F$7="","",'Larissa '!$F$7))</f>
        <v/>
      </c>
      <c r="S95" s="100" t="n"/>
      <c r="T95" s="102" t="n"/>
      <c r="U95" s="102" t="n"/>
      <c r="V95" s="102" t="n"/>
    </row>
    <row r="96">
      <c r="A96" s="100">
        <f>IF($C96="","",'Painel Geral'!$B$18)</f>
        <v/>
      </c>
      <c r="B96" s="100">
        <f>IF($C96="","",'Painel Geral'!$C$18)</f>
        <v/>
      </c>
      <c r="C96" s="100">
        <f>IF('Larissa '!$A$59="","",'Larissa '!$A$59)</f>
        <v/>
      </c>
      <c r="D96" s="101">
        <f>IF('Larissa '!$B$59="","",'Larissa '!$B$59)</f>
        <v/>
      </c>
      <c r="E96" s="102">
        <f>IF('Larissa '!$C$59="","",'Larissa '!$C$59)</f>
        <v/>
      </c>
      <c r="F96" s="100">
        <f>IF('Larissa '!$D$59="","",'Larissa '!$D$59)</f>
        <v/>
      </c>
      <c r="G96" s="101">
        <f>IF('Larissa '!$E$59="","",'Larissa '!$E$59)</f>
        <v/>
      </c>
      <c r="H96" s="102">
        <f>IF('Larissa '!$F$59="","",'Larissa '!$F$59)</f>
        <v/>
      </c>
      <c r="I96" s="103">
        <f>IF('Larissa '!$G$59="","",'Larissa '!$G$59)</f>
        <v/>
      </c>
      <c r="J96" s="100">
        <f>IF('Larissa '!$H$59="","",'Larissa '!$H$59)</f>
        <v/>
      </c>
      <c r="K96" s="101">
        <f>IF('Larissa '!$I$59="","",'Larissa '!$I$59)</f>
        <v/>
      </c>
      <c r="L96" s="102">
        <f>IF('Larissa '!$J$59="","",'Larissa '!$J$59)</f>
        <v/>
      </c>
      <c r="M96" s="103">
        <f>IF('Larissa '!$K$59="","",'Larissa '!$K$59)</f>
        <v/>
      </c>
      <c r="N96" s="100">
        <f>IF('Larissa '!$L$59="","",'Larissa '!$L$59)</f>
        <v/>
      </c>
      <c r="O96" s="101">
        <f>IF('Larissa '!$M$59="","",'Larissa '!$M$59)</f>
        <v/>
      </c>
      <c r="P96" s="102">
        <f>IF('Larissa '!$N$59="","",'Larissa '!$N$59)</f>
        <v/>
      </c>
      <c r="Q96" s="102">
        <f>IF('Larissa '!$O$59="","",'Larissa '!$O$59)</f>
        <v/>
      </c>
      <c r="R96" s="103">
        <f>IF($C96="","",IF('Larissa '!$F$7="","",'Larissa '!$F$7))</f>
        <v/>
      </c>
      <c r="S96" s="100" t="n"/>
      <c r="T96" s="102" t="n"/>
      <c r="U96" s="102" t="n"/>
      <c r="V96" s="102" t="n"/>
    </row>
    <row r="97">
      <c r="A97" s="100">
        <f>IF($C97="","",'Painel Geral'!$B$18)</f>
        <v/>
      </c>
      <c r="B97" s="100">
        <f>IF($C97="","",'Painel Geral'!$C$18)</f>
        <v/>
      </c>
      <c r="C97" s="100">
        <f>IF('Larissa '!$A$60="","",'Larissa '!$A$60)</f>
        <v/>
      </c>
      <c r="D97" s="101">
        <f>IF('Larissa '!$B$60="","",'Larissa '!$B$60)</f>
        <v/>
      </c>
      <c r="E97" s="102">
        <f>IF('Larissa '!$C$60="","",'Larissa '!$C$60)</f>
        <v/>
      </c>
      <c r="F97" s="100">
        <f>IF('Larissa '!$D$60="","",'Larissa '!$D$60)</f>
        <v/>
      </c>
      <c r="G97" s="101">
        <f>IF('Larissa '!$E$60="","",'Larissa '!$E$60)</f>
        <v/>
      </c>
      <c r="H97" s="102">
        <f>IF('Larissa '!$F$60="","",'Larissa '!$F$60)</f>
        <v/>
      </c>
      <c r="I97" s="103">
        <f>IF('Larissa '!$G$60="","",'Larissa '!$G$60)</f>
        <v/>
      </c>
      <c r="J97" s="100">
        <f>IF('Larissa '!$H$60="","",'Larissa '!$H$60)</f>
        <v/>
      </c>
      <c r="K97" s="101">
        <f>IF('Larissa '!$I$60="","",'Larissa '!$I$60)</f>
        <v/>
      </c>
      <c r="L97" s="102">
        <f>IF('Larissa '!$J$60="","",'Larissa '!$J$60)</f>
        <v/>
      </c>
      <c r="M97" s="103">
        <f>IF('Larissa '!$K$60="","",'Larissa '!$K$60)</f>
        <v/>
      </c>
      <c r="N97" s="100">
        <f>IF('Larissa '!$L$60="","",'Larissa '!$L$60)</f>
        <v/>
      </c>
      <c r="O97" s="101">
        <f>IF('Larissa '!$M$60="","",'Larissa '!$M$60)</f>
        <v/>
      </c>
      <c r="P97" s="102">
        <f>IF('Larissa '!$N$60="","",'Larissa '!$N$60)</f>
        <v/>
      </c>
      <c r="Q97" s="102">
        <f>IF('Larissa '!$O$60="","",'Larissa '!$O$60)</f>
        <v/>
      </c>
      <c r="R97" s="103">
        <f>IF($C97="","",IF('Larissa '!$F$7="","",'Larissa '!$F$7))</f>
        <v/>
      </c>
      <c r="S97" s="100" t="n"/>
      <c r="T97" s="102" t="n"/>
      <c r="U97" s="102" t="n"/>
      <c r="V97" s="102" t="n"/>
    </row>
    <row r="98">
      <c r="A98" s="100">
        <f>IF($C98="","",'Painel Geral'!$B$19)</f>
        <v/>
      </c>
      <c r="B98" s="100">
        <f>IF($C98="","",'Painel Geral'!$C$19)</f>
        <v/>
      </c>
      <c r="C98" s="100">
        <f>IF('Leonardo '!$A$49="","",'Leonardo '!$A$49)</f>
        <v/>
      </c>
      <c r="D98" s="101">
        <f>IF('Leonardo '!$B$49="","",'Leonardo '!$B$49)</f>
        <v/>
      </c>
      <c r="E98" s="102">
        <f>IF('Leonardo '!$C$49="","",'Leonardo '!$C$49)</f>
        <v/>
      </c>
      <c r="F98" s="100">
        <f>IF('Leonardo '!$D$49="","",'Leonardo '!$D$49)</f>
        <v/>
      </c>
      <c r="G98" s="101">
        <f>IF('Leonardo '!$E$49="","",'Leonardo '!$E$49)</f>
        <v/>
      </c>
      <c r="H98" s="102">
        <f>IF('Leonardo '!$F$49="","",'Leonardo '!$F$49)</f>
        <v/>
      </c>
      <c r="I98" s="103">
        <f>IF('Leonardo '!$G$49="","",'Leonardo '!$G$49)</f>
        <v/>
      </c>
      <c r="J98" s="100">
        <f>IF('Leonardo '!$H$49="","",'Leonardo '!$H$49)</f>
        <v/>
      </c>
      <c r="K98" s="101">
        <f>IF('Leonardo '!$I$49="","",'Leonardo '!$I$49)</f>
        <v/>
      </c>
      <c r="L98" s="102">
        <f>IF('Leonardo '!$J$49="","",'Leonardo '!$J$49)</f>
        <v/>
      </c>
      <c r="M98" s="103">
        <f>IF('Leonardo '!$K$49="","",'Leonardo '!$K$49)</f>
        <v/>
      </c>
      <c r="N98" s="100">
        <f>IF('Leonardo '!$L$49="","",'Leonardo '!$L$49)</f>
        <v/>
      </c>
      <c r="O98" s="101">
        <f>IF('Leonardo '!$M$49="","",'Leonardo '!$M$49)</f>
        <v/>
      </c>
      <c r="P98" s="102">
        <f>IF('Leonardo '!$N$49="","",'Leonardo '!$N$49)</f>
        <v/>
      </c>
      <c r="Q98" s="102">
        <f>IF('Leonardo '!$O$49="","",'Leonardo '!$O$49)</f>
        <v/>
      </c>
      <c r="R98" s="103">
        <f>IF($C98="","",IF('Leonardo '!$F$7="","",'Leonardo '!$F$7))</f>
        <v/>
      </c>
      <c r="S98" s="100">
        <f>IF($C98="","",IF('Leonardo '!$F$9="","",'Leonardo '!$F$9))</f>
        <v/>
      </c>
      <c r="T98" s="102">
        <f>IF($C98="","",IF('Leonardo '!$D$65="",0,'Leonardo '!$D$65))</f>
        <v/>
      </c>
      <c r="U98" s="102">
        <f>IF($C98="","",IF('Leonardo '!$D$45="",0,'Leonardo '!$D$45))</f>
        <v/>
      </c>
      <c r="V98" s="102">
        <f>IF($C98="","",IF('Leonardo '!$A$13="",0,'Leonardo '!$A$13))</f>
        <v/>
      </c>
    </row>
    <row r="99">
      <c r="A99" s="100">
        <f>IF($C99="","",'Painel Geral'!$B$19)</f>
        <v/>
      </c>
      <c r="B99" s="100">
        <f>IF($C99="","",'Painel Geral'!$C$19)</f>
        <v/>
      </c>
      <c r="C99" s="100">
        <f>IF('Leonardo '!$A$50="","",'Leonardo '!$A$50)</f>
        <v/>
      </c>
      <c r="D99" s="101">
        <f>IF('Leonardo '!$B$50="","",'Leonardo '!$B$50)</f>
        <v/>
      </c>
      <c r="E99" s="102">
        <f>IF('Leonardo '!$C$50="","",'Leonardo '!$C$50)</f>
        <v/>
      </c>
      <c r="F99" s="100">
        <f>IF('Leonardo '!$D$50="","",'Leonardo '!$D$50)</f>
        <v/>
      </c>
      <c r="G99" s="101">
        <f>IF('Leonardo '!$E$50="","",'Leonardo '!$E$50)</f>
        <v/>
      </c>
      <c r="H99" s="102">
        <f>IF('Leonardo '!$F$50="","",'Leonardo '!$F$50)</f>
        <v/>
      </c>
      <c r="I99" s="103">
        <f>IF('Leonardo '!$G$50="","",'Leonardo '!$G$50)</f>
        <v/>
      </c>
      <c r="J99" s="100">
        <f>IF('Leonardo '!$H$50="","",'Leonardo '!$H$50)</f>
        <v/>
      </c>
      <c r="K99" s="101">
        <f>IF('Leonardo '!$I$50="","",'Leonardo '!$I$50)</f>
        <v/>
      </c>
      <c r="L99" s="102">
        <f>IF('Leonardo '!$J$50="","",'Leonardo '!$J$50)</f>
        <v/>
      </c>
      <c r="M99" s="103">
        <f>IF('Leonardo '!$K$50="","",'Leonardo '!$K$50)</f>
        <v/>
      </c>
      <c r="N99" s="100">
        <f>IF('Leonardo '!$L$50="","",'Leonardo '!$L$50)</f>
        <v/>
      </c>
      <c r="O99" s="101">
        <f>IF('Leonardo '!$M$50="","",'Leonardo '!$M$50)</f>
        <v/>
      </c>
      <c r="P99" s="102">
        <f>IF('Leonardo '!$N$50="","",'Leonardo '!$N$50)</f>
        <v/>
      </c>
      <c r="Q99" s="102">
        <f>IF('Leonardo '!$O$50="","",'Leonardo '!$O$50)</f>
        <v/>
      </c>
      <c r="R99" s="103">
        <f>IF($C99="","",IF('Leonardo '!$F$7="","",'Leonardo '!$F$7))</f>
        <v/>
      </c>
      <c r="S99" s="100" t="n"/>
      <c r="T99" s="102" t="n"/>
      <c r="U99" s="102" t="n"/>
      <c r="V99" s="102" t="n"/>
    </row>
    <row r="100">
      <c r="A100" s="100">
        <f>IF($C100="","",'Painel Geral'!$B$19)</f>
        <v/>
      </c>
      <c r="B100" s="100">
        <f>IF($C100="","",'Painel Geral'!$C$19)</f>
        <v/>
      </c>
      <c r="C100" s="100">
        <f>IF('Leonardo '!$A$51="","",'Leonardo '!$A$51)</f>
        <v/>
      </c>
      <c r="D100" s="101">
        <f>IF('Leonardo '!$B$51="","",'Leonardo '!$B$51)</f>
        <v/>
      </c>
      <c r="E100" s="102">
        <f>IF('Leonardo '!$C$51="","",'Leonardo '!$C$51)</f>
        <v/>
      </c>
      <c r="F100" s="100">
        <f>IF('Leonardo '!$D$51="","",'Leonardo '!$D$51)</f>
        <v/>
      </c>
      <c r="G100" s="101">
        <f>IF('Leonardo '!$E$51="","",'Leonardo '!$E$51)</f>
        <v/>
      </c>
      <c r="H100" s="102">
        <f>IF('Leonardo '!$F$51="","",'Leonardo '!$F$51)</f>
        <v/>
      </c>
      <c r="I100" s="103">
        <f>IF('Leonardo '!$G$51="","",'Leonardo '!$G$51)</f>
        <v/>
      </c>
      <c r="J100" s="100">
        <f>IF('Leonardo '!$H$51="","",'Leonardo '!$H$51)</f>
        <v/>
      </c>
      <c r="K100" s="101">
        <f>IF('Leonardo '!$I$51="","",'Leonardo '!$I$51)</f>
        <v/>
      </c>
      <c r="L100" s="102">
        <f>IF('Leonardo '!$J$51="","",'Leonardo '!$J$51)</f>
        <v/>
      </c>
      <c r="M100" s="103">
        <f>IF('Leonardo '!$K$51="","",'Leonardo '!$K$51)</f>
        <v/>
      </c>
      <c r="N100" s="100">
        <f>IF('Leonardo '!$L$51="","",'Leonardo '!$L$51)</f>
        <v/>
      </c>
      <c r="O100" s="101">
        <f>IF('Leonardo '!$M$51="","",'Leonardo '!$M$51)</f>
        <v/>
      </c>
      <c r="P100" s="102">
        <f>IF('Leonardo '!$N$51="","",'Leonardo '!$N$51)</f>
        <v/>
      </c>
      <c r="Q100" s="102">
        <f>IF('Leonardo '!$O$51="","",'Leonardo '!$O$51)</f>
        <v/>
      </c>
      <c r="R100" s="103">
        <f>IF($C100="","",IF('Leonardo '!$F$7="","",'Leonardo '!$F$7))</f>
        <v/>
      </c>
      <c r="S100" s="100" t="n"/>
      <c r="T100" s="102" t="n"/>
      <c r="U100" s="102" t="n"/>
      <c r="V100" s="102" t="n"/>
    </row>
    <row r="101">
      <c r="A101" s="100">
        <f>IF($C101="","",'Painel Geral'!$B$19)</f>
        <v/>
      </c>
      <c r="B101" s="100">
        <f>IF($C101="","",'Painel Geral'!$C$19)</f>
        <v/>
      </c>
      <c r="C101" s="100">
        <f>IF('Leonardo '!$A$52="","",'Leonardo '!$A$52)</f>
        <v/>
      </c>
      <c r="D101" s="101">
        <f>IF('Leonardo '!$B$52="","",'Leonardo '!$B$52)</f>
        <v/>
      </c>
      <c r="E101" s="102">
        <f>IF('Leonardo '!$C$52="","",'Leonardo '!$C$52)</f>
        <v/>
      </c>
      <c r="F101" s="100">
        <f>IF('Leonardo '!$D$52="","",'Leonardo '!$D$52)</f>
        <v/>
      </c>
      <c r="G101" s="101">
        <f>IF('Leonardo '!$E$52="","",'Leonardo '!$E$52)</f>
        <v/>
      </c>
      <c r="H101" s="102">
        <f>IF('Leonardo '!$F$52="","",'Leonardo '!$F$52)</f>
        <v/>
      </c>
      <c r="I101" s="103">
        <f>IF('Leonardo '!$G$52="","",'Leonardo '!$G$52)</f>
        <v/>
      </c>
      <c r="J101" s="100">
        <f>IF('Leonardo '!$H$52="","",'Leonardo '!$H$52)</f>
        <v/>
      </c>
      <c r="K101" s="101">
        <f>IF('Leonardo '!$I$52="","",'Leonardo '!$I$52)</f>
        <v/>
      </c>
      <c r="L101" s="102">
        <f>IF('Leonardo '!$J$52="","",'Leonardo '!$J$52)</f>
        <v/>
      </c>
      <c r="M101" s="103">
        <f>IF('Leonardo '!$K$52="","",'Leonardo '!$K$52)</f>
        <v/>
      </c>
      <c r="N101" s="100">
        <f>IF('Leonardo '!$L$52="","",'Leonardo '!$L$52)</f>
        <v/>
      </c>
      <c r="O101" s="101">
        <f>IF('Leonardo '!$M$52="","",'Leonardo '!$M$52)</f>
        <v/>
      </c>
      <c r="P101" s="102">
        <f>IF('Leonardo '!$N$52="","",'Leonardo '!$N$52)</f>
        <v/>
      </c>
      <c r="Q101" s="102">
        <f>IF('Leonardo '!$O$52="","",'Leonardo '!$O$52)</f>
        <v/>
      </c>
      <c r="R101" s="103">
        <f>IF($C101="","",IF('Leonardo '!$F$7="","",'Leonardo '!$F$7))</f>
        <v/>
      </c>
      <c r="S101" s="100" t="n"/>
      <c r="T101" s="102" t="n"/>
      <c r="U101" s="102" t="n"/>
      <c r="V101" s="102" t="n"/>
    </row>
    <row r="102">
      <c r="A102" s="100">
        <f>IF($C102="","",'Painel Geral'!$B$19)</f>
        <v/>
      </c>
      <c r="B102" s="100">
        <f>IF($C102="","",'Painel Geral'!$C$19)</f>
        <v/>
      </c>
      <c r="C102" s="100">
        <f>IF('Leonardo '!$A$53="","",'Leonardo '!$A$53)</f>
        <v/>
      </c>
      <c r="D102" s="101">
        <f>IF('Leonardo '!$B$53="","",'Leonardo '!$B$53)</f>
        <v/>
      </c>
      <c r="E102" s="102">
        <f>IF('Leonardo '!$C$53="","",'Leonardo '!$C$53)</f>
        <v/>
      </c>
      <c r="F102" s="100">
        <f>IF('Leonardo '!$D$53="","",'Leonardo '!$D$53)</f>
        <v/>
      </c>
      <c r="G102" s="101">
        <f>IF('Leonardo '!$E$53="","",'Leonardo '!$E$53)</f>
        <v/>
      </c>
      <c r="H102" s="102">
        <f>IF('Leonardo '!$F$53="","",'Leonardo '!$F$53)</f>
        <v/>
      </c>
      <c r="I102" s="103">
        <f>IF('Leonardo '!$G$53="","",'Leonardo '!$G$53)</f>
        <v/>
      </c>
      <c r="J102" s="100">
        <f>IF('Leonardo '!$H$53="","",'Leonardo '!$H$53)</f>
        <v/>
      </c>
      <c r="K102" s="101">
        <f>IF('Leonardo '!$I$53="","",'Leonardo '!$I$53)</f>
        <v/>
      </c>
      <c r="L102" s="102">
        <f>IF('Leonardo '!$J$53="","",'Leonardo '!$J$53)</f>
        <v/>
      </c>
      <c r="M102" s="103">
        <f>IF('Leonardo '!$K$53="","",'Leonardo '!$K$53)</f>
        <v/>
      </c>
      <c r="N102" s="100">
        <f>IF('Leonardo '!$L$53="","",'Leonardo '!$L$53)</f>
        <v/>
      </c>
      <c r="O102" s="101">
        <f>IF('Leonardo '!$M$53="","",'Leonardo '!$M$53)</f>
        <v/>
      </c>
      <c r="P102" s="102">
        <f>IF('Leonardo '!$N$53="","",'Leonardo '!$N$53)</f>
        <v/>
      </c>
      <c r="Q102" s="102">
        <f>IF('Leonardo '!$O$53="","",'Leonardo '!$O$53)</f>
        <v/>
      </c>
      <c r="R102" s="103">
        <f>IF($C102="","",IF('Leonardo '!$F$7="","",'Leonardo '!$F$7))</f>
        <v/>
      </c>
      <c r="S102" s="100" t="n"/>
      <c r="T102" s="102" t="n"/>
      <c r="U102" s="102" t="n"/>
      <c r="V102" s="102" t="n"/>
    </row>
    <row r="103">
      <c r="A103" s="100">
        <f>IF($C103="","",'Painel Geral'!$B$19)</f>
        <v/>
      </c>
      <c r="B103" s="100">
        <f>IF($C103="","",'Painel Geral'!$C$19)</f>
        <v/>
      </c>
      <c r="C103" s="100">
        <f>IF('Leonardo '!$A$54="","",'Leonardo '!$A$54)</f>
        <v/>
      </c>
      <c r="D103" s="101">
        <f>IF('Leonardo '!$B$54="","",'Leonardo '!$B$54)</f>
        <v/>
      </c>
      <c r="E103" s="102">
        <f>IF('Leonardo '!$C$54="","",'Leonardo '!$C$54)</f>
        <v/>
      </c>
      <c r="F103" s="100">
        <f>IF('Leonardo '!$D$54="","",'Leonardo '!$D$54)</f>
        <v/>
      </c>
      <c r="G103" s="101">
        <f>IF('Leonardo '!$E$54="","",'Leonardo '!$E$54)</f>
        <v/>
      </c>
      <c r="H103" s="102">
        <f>IF('Leonardo '!$F$54="","",'Leonardo '!$F$54)</f>
        <v/>
      </c>
      <c r="I103" s="103">
        <f>IF('Leonardo '!$G$54="","",'Leonardo '!$G$54)</f>
        <v/>
      </c>
      <c r="J103" s="100">
        <f>IF('Leonardo '!$H$54="","",'Leonardo '!$H$54)</f>
        <v/>
      </c>
      <c r="K103" s="101">
        <f>IF('Leonardo '!$I$54="","",'Leonardo '!$I$54)</f>
        <v/>
      </c>
      <c r="L103" s="102">
        <f>IF('Leonardo '!$J$54="","",'Leonardo '!$J$54)</f>
        <v/>
      </c>
      <c r="M103" s="103">
        <f>IF('Leonardo '!$K$54="","",'Leonardo '!$K$54)</f>
        <v/>
      </c>
      <c r="N103" s="100">
        <f>IF('Leonardo '!$L$54="","",'Leonardo '!$L$54)</f>
        <v/>
      </c>
      <c r="O103" s="101">
        <f>IF('Leonardo '!$M$54="","",'Leonardo '!$M$54)</f>
        <v/>
      </c>
      <c r="P103" s="102">
        <f>IF('Leonardo '!$N$54="","",'Leonardo '!$N$54)</f>
        <v/>
      </c>
      <c r="Q103" s="102">
        <f>IF('Leonardo '!$O$54="","",'Leonardo '!$O$54)</f>
        <v/>
      </c>
      <c r="R103" s="103">
        <f>IF($C103="","",IF('Leonardo '!$F$7="","",'Leonardo '!$F$7))</f>
        <v/>
      </c>
      <c r="S103" s="100" t="n"/>
      <c r="T103" s="102" t="n"/>
      <c r="U103" s="102" t="n"/>
      <c r="V103" s="102" t="n"/>
    </row>
    <row r="104">
      <c r="A104" s="100">
        <f>IF($C104="","",'Painel Geral'!$B$19)</f>
        <v/>
      </c>
      <c r="B104" s="100">
        <f>IF($C104="","",'Painel Geral'!$C$19)</f>
        <v/>
      </c>
      <c r="C104" s="100">
        <f>IF('Leonardo '!$A$55="","",'Leonardo '!$A$55)</f>
        <v/>
      </c>
      <c r="D104" s="101">
        <f>IF('Leonardo '!$B$55="","",'Leonardo '!$B$55)</f>
        <v/>
      </c>
      <c r="E104" s="102">
        <f>IF('Leonardo '!$C$55="","",'Leonardo '!$C$55)</f>
        <v/>
      </c>
      <c r="F104" s="100">
        <f>IF('Leonardo '!$D$55="","",'Leonardo '!$D$55)</f>
        <v/>
      </c>
      <c r="G104" s="101">
        <f>IF('Leonardo '!$E$55="","",'Leonardo '!$E$55)</f>
        <v/>
      </c>
      <c r="H104" s="102">
        <f>IF('Leonardo '!$F$55="","",'Leonardo '!$F$55)</f>
        <v/>
      </c>
      <c r="I104" s="103">
        <f>IF('Leonardo '!$G$55="","",'Leonardo '!$G$55)</f>
        <v/>
      </c>
      <c r="J104" s="100">
        <f>IF('Leonardo '!$H$55="","",'Leonardo '!$H$55)</f>
        <v/>
      </c>
      <c r="K104" s="101">
        <f>IF('Leonardo '!$I$55="","",'Leonardo '!$I$55)</f>
        <v/>
      </c>
      <c r="L104" s="102">
        <f>IF('Leonardo '!$J$55="","",'Leonardo '!$J$55)</f>
        <v/>
      </c>
      <c r="M104" s="103">
        <f>IF('Leonardo '!$K$55="","",'Leonardo '!$K$55)</f>
        <v/>
      </c>
      <c r="N104" s="100">
        <f>IF('Leonardo '!$L$55="","",'Leonardo '!$L$55)</f>
        <v/>
      </c>
      <c r="O104" s="101">
        <f>IF('Leonardo '!$M$55="","",'Leonardo '!$M$55)</f>
        <v/>
      </c>
      <c r="P104" s="102">
        <f>IF('Leonardo '!$N$55="","",'Leonardo '!$N$55)</f>
        <v/>
      </c>
      <c r="Q104" s="102">
        <f>IF('Leonardo '!$O$55="","",'Leonardo '!$O$55)</f>
        <v/>
      </c>
      <c r="R104" s="103">
        <f>IF($C104="","",IF('Leonardo '!$F$7="","",'Leonardo '!$F$7))</f>
        <v/>
      </c>
      <c r="S104" s="100" t="n"/>
      <c r="T104" s="102" t="n"/>
      <c r="U104" s="102" t="n"/>
      <c r="V104" s="102" t="n"/>
    </row>
    <row r="105">
      <c r="A105" s="100">
        <f>IF($C105="","",'Painel Geral'!$B$19)</f>
        <v/>
      </c>
      <c r="B105" s="100">
        <f>IF($C105="","",'Painel Geral'!$C$19)</f>
        <v/>
      </c>
      <c r="C105" s="100">
        <f>IF('Leonardo '!$A$56="","",'Leonardo '!$A$56)</f>
        <v/>
      </c>
      <c r="D105" s="101">
        <f>IF('Leonardo '!$B$56="","",'Leonardo '!$B$56)</f>
        <v/>
      </c>
      <c r="E105" s="102">
        <f>IF('Leonardo '!$C$56="","",'Leonardo '!$C$56)</f>
        <v/>
      </c>
      <c r="F105" s="100">
        <f>IF('Leonardo '!$D$56="","",'Leonardo '!$D$56)</f>
        <v/>
      </c>
      <c r="G105" s="101">
        <f>IF('Leonardo '!$E$56="","",'Leonardo '!$E$56)</f>
        <v/>
      </c>
      <c r="H105" s="102">
        <f>IF('Leonardo '!$F$56="","",'Leonardo '!$F$56)</f>
        <v/>
      </c>
      <c r="I105" s="103">
        <f>IF('Leonardo '!$G$56="","",'Leonardo '!$G$56)</f>
        <v/>
      </c>
      <c r="J105" s="100">
        <f>IF('Leonardo '!$H$56="","",'Leonardo '!$H$56)</f>
        <v/>
      </c>
      <c r="K105" s="101">
        <f>IF('Leonardo '!$I$56="","",'Leonardo '!$I$56)</f>
        <v/>
      </c>
      <c r="L105" s="102">
        <f>IF('Leonardo '!$J$56="","",'Leonardo '!$J$56)</f>
        <v/>
      </c>
      <c r="M105" s="103">
        <f>IF('Leonardo '!$K$56="","",'Leonardo '!$K$56)</f>
        <v/>
      </c>
      <c r="N105" s="100">
        <f>IF('Leonardo '!$L$56="","",'Leonardo '!$L$56)</f>
        <v/>
      </c>
      <c r="O105" s="101">
        <f>IF('Leonardo '!$M$56="","",'Leonardo '!$M$56)</f>
        <v/>
      </c>
      <c r="P105" s="102">
        <f>IF('Leonardo '!$N$56="","",'Leonardo '!$N$56)</f>
        <v/>
      </c>
      <c r="Q105" s="102">
        <f>IF('Leonardo '!$O$56="","",'Leonardo '!$O$56)</f>
        <v/>
      </c>
      <c r="R105" s="103">
        <f>IF($C105="","",IF('Leonardo '!$F$7="","",'Leonardo '!$F$7))</f>
        <v/>
      </c>
      <c r="S105" s="100" t="n"/>
      <c r="T105" s="102" t="n"/>
      <c r="U105" s="102" t="n"/>
      <c r="V105" s="102" t="n"/>
    </row>
    <row r="106">
      <c r="A106" s="100">
        <f>IF($C106="","",'Painel Geral'!$B$19)</f>
        <v/>
      </c>
      <c r="B106" s="100">
        <f>IF($C106="","",'Painel Geral'!$C$19)</f>
        <v/>
      </c>
      <c r="C106" s="100">
        <f>IF('Leonardo '!$A$57="","",'Leonardo '!$A$57)</f>
        <v/>
      </c>
      <c r="D106" s="101">
        <f>IF('Leonardo '!$B$57="","",'Leonardo '!$B$57)</f>
        <v/>
      </c>
      <c r="E106" s="102">
        <f>IF('Leonardo '!$C$57="","",'Leonardo '!$C$57)</f>
        <v/>
      </c>
      <c r="F106" s="100">
        <f>IF('Leonardo '!$D$57="","",'Leonardo '!$D$57)</f>
        <v/>
      </c>
      <c r="G106" s="101">
        <f>IF('Leonardo '!$E$57="","",'Leonardo '!$E$57)</f>
        <v/>
      </c>
      <c r="H106" s="102">
        <f>IF('Leonardo '!$F$57="","",'Leonardo '!$F$57)</f>
        <v/>
      </c>
      <c r="I106" s="103">
        <f>IF('Leonardo '!$G$57="","",'Leonardo '!$G$57)</f>
        <v/>
      </c>
      <c r="J106" s="100">
        <f>IF('Leonardo '!$H$57="","",'Leonardo '!$H$57)</f>
        <v/>
      </c>
      <c r="K106" s="101">
        <f>IF('Leonardo '!$I$57="","",'Leonardo '!$I$57)</f>
        <v/>
      </c>
      <c r="L106" s="102">
        <f>IF('Leonardo '!$J$57="","",'Leonardo '!$J$57)</f>
        <v/>
      </c>
      <c r="M106" s="103">
        <f>IF('Leonardo '!$K$57="","",'Leonardo '!$K$57)</f>
        <v/>
      </c>
      <c r="N106" s="100">
        <f>IF('Leonardo '!$L$57="","",'Leonardo '!$L$57)</f>
        <v/>
      </c>
      <c r="O106" s="101">
        <f>IF('Leonardo '!$M$57="","",'Leonardo '!$M$57)</f>
        <v/>
      </c>
      <c r="P106" s="102">
        <f>IF('Leonardo '!$N$57="","",'Leonardo '!$N$57)</f>
        <v/>
      </c>
      <c r="Q106" s="102">
        <f>IF('Leonardo '!$O$57="","",'Leonardo '!$O$57)</f>
        <v/>
      </c>
      <c r="R106" s="103">
        <f>IF($C106="","",IF('Leonardo '!$F$7="","",'Leonardo '!$F$7))</f>
        <v/>
      </c>
      <c r="S106" s="100" t="n"/>
      <c r="T106" s="102" t="n"/>
      <c r="U106" s="102" t="n"/>
      <c r="V106" s="102" t="n"/>
    </row>
    <row r="107">
      <c r="A107" s="100">
        <f>IF($C107="","",'Painel Geral'!$B$19)</f>
        <v/>
      </c>
      <c r="B107" s="100">
        <f>IF($C107="","",'Painel Geral'!$C$19)</f>
        <v/>
      </c>
      <c r="C107" s="100">
        <f>IF('Leonardo '!$A$58="","",'Leonardo '!$A$58)</f>
        <v/>
      </c>
      <c r="D107" s="101">
        <f>IF('Leonardo '!$B$58="","",'Leonardo '!$B$58)</f>
        <v/>
      </c>
      <c r="E107" s="102">
        <f>IF('Leonardo '!$C$58="","",'Leonardo '!$C$58)</f>
        <v/>
      </c>
      <c r="F107" s="100">
        <f>IF('Leonardo '!$D$58="","",'Leonardo '!$D$58)</f>
        <v/>
      </c>
      <c r="G107" s="101">
        <f>IF('Leonardo '!$E$58="","",'Leonardo '!$E$58)</f>
        <v/>
      </c>
      <c r="H107" s="102">
        <f>IF('Leonardo '!$F$58="","",'Leonardo '!$F$58)</f>
        <v/>
      </c>
      <c r="I107" s="103">
        <f>IF('Leonardo '!$G$58="","",'Leonardo '!$G$58)</f>
        <v/>
      </c>
      <c r="J107" s="100">
        <f>IF('Leonardo '!$H$58="","",'Leonardo '!$H$58)</f>
        <v/>
      </c>
      <c r="K107" s="101">
        <f>IF('Leonardo '!$I$58="","",'Leonardo '!$I$58)</f>
        <v/>
      </c>
      <c r="L107" s="102">
        <f>IF('Leonardo '!$J$58="","",'Leonardo '!$J$58)</f>
        <v/>
      </c>
      <c r="M107" s="103">
        <f>IF('Leonardo '!$K$58="","",'Leonardo '!$K$58)</f>
        <v/>
      </c>
      <c r="N107" s="100">
        <f>IF('Leonardo '!$L$58="","",'Leonardo '!$L$58)</f>
        <v/>
      </c>
      <c r="O107" s="101">
        <f>IF('Leonardo '!$M$58="","",'Leonardo '!$M$58)</f>
        <v/>
      </c>
      <c r="P107" s="102">
        <f>IF('Leonardo '!$N$58="","",'Leonardo '!$N$58)</f>
        <v/>
      </c>
      <c r="Q107" s="102">
        <f>IF('Leonardo '!$O$58="","",'Leonardo '!$O$58)</f>
        <v/>
      </c>
      <c r="R107" s="103">
        <f>IF($C107="","",IF('Leonardo '!$F$7="","",'Leonardo '!$F$7))</f>
        <v/>
      </c>
      <c r="S107" s="100" t="n"/>
      <c r="T107" s="102" t="n"/>
      <c r="U107" s="102" t="n"/>
      <c r="V107" s="102" t="n"/>
    </row>
    <row r="108">
      <c r="A108" s="100">
        <f>IF($C108="","",'Painel Geral'!$B$19)</f>
        <v/>
      </c>
      <c r="B108" s="100">
        <f>IF($C108="","",'Painel Geral'!$C$19)</f>
        <v/>
      </c>
      <c r="C108" s="100">
        <f>IF('Leonardo '!$A$59="","",'Leonardo '!$A$59)</f>
        <v/>
      </c>
      <c r="D108" s="101">
        <f>IF('Leonardo '!$B$59="","",'Leonardo '!$B$59)</f>
        <v/>
      </c>
      <c r="E108" s="102">
        <f>IF('Leonardo '!$C$59="","",'Leonardo '!$C$59)</f>
        <v/>
      </c>
      <c r="F108" s="100">
        <f>IF('Leonardo '!$D$59="","",'Leonardo '!$D$59)</f>
        <v/>
      </c>
      <c r="G108" s="101">
        <f>IF('Leonardo '!$E$59="","",'Leonardo '!$E$59)</f>
        <v/>
      </c>
      <c r="H108" s="102">
        <f>IF('Leonardo '!$F$59="","",'Leonardo '!$F$59)</f>
        <v/>
      </c>
      <c r="I108" s="103">
        <f>IF('Leonardo '!$G$59="","",'Leonardo '!$G$59)</f>
        <v/>
      </c>
      <c r="J108" s="100">
        <f>IF('Leonardo '!$H$59="","",'Leonardo '!$H$59)</f>
        <v/>
      </c>
      <c r="K108" s="101">
        <f>IF('Leonardo '!$I$59="","",'Leonardo '!$I$59)</f>
        <v/>
      </c>
      <c r="L108" s="102">
        <f>IF('Leonardo '!$J$59="","",'Leonardo '!$J$59)</f>
        <v/>
      </c>
      <c r="M108" s="103">
        <f>IF('Leonardo '!$K$59="","",'Leonardo '!$K$59)</f>
        <v/>
      </c>
      <c r="N108" s="100">
        <f>IF('Leonardo '!$L$59="","",'Leonardo '!$L$59)</f>
        <v/>
      </c>
      <c r="O108" s="101">
        <f>IF('Leonardo '!$M$59="","",'Leonardo '!$M$59)</f>
        <v/>
      </c>
      <c r="P108" s="102">
        <f>IF('Leonardo '!$N$59="","",'Leonardo '!$N$59)</f>
        <v/>
      </c>
      <c r="Q108" s="102">
        <f>IF('Leonardo '!$O$59="","",'Leonardo '!$O$59)</f>
        <v/>
      </c>
      <c r="R108" s="103">
        <f>IF($C108="","",IF('Leonardo '!$F$7="","",'Leonardo '!$F$7))</f>
        <v/>
      </c>
      <c r="S108" s="100" t="n"/>
      <c r="T108" s="102" t="n"/>
      <c r="U108" s="102" t="n"/>
      <c r="V108" s="102" t="n"/>
    </row>
    <row r="109">
      <c r="A109" s="100">
        <f>IF($C109="","",'Painel Geral'!$B$19)</f>
        <v/>
      </c>
      <c r="B109" s="100">
        <f>IF($C109="","",'Painel Geral'!$C$19)</f>
        <v/>
      </c>
      <c r="C109" s="100">
        <f>IF('Leonardo '!$A$60="","",'Leonardo '!$A$60)</f>
        <v/>
      </c>
      <c r="D109" s="101">
        <f>IF('Leonardo '!$B$60="","",'Leonardo '!$B$60)</f>
        <v/>
      </c>
      <c r="E109" s="102">
        <f>IF('Leonardo '!$C$60="","",'Leonardo '!$C$60)</f>
        <v/>
      </c>
      <c r="F109" s="100">
        <f>IF('Leonardo '!$D$60="","",'Leonardo '!$D$60)</f>
        <v/>
      </c>
      <c r="G109" s="101">
        <f>IF('Leonardo '!$E$60="","",'Leonardo '!$E$60)</f>
        <v/>
      </c>
      <c r="H109" s="102">
        <f>IF('Leonardo '!$F$60="","",'Leonardo '!$F$60)</f>
        <v/>
      </c>
      <c r="I109" s="103">
        <f>IF('Leonardo '!$G$60="","",'Leonardo '!$G$60)</f>
        <v/>
      </c>
      <c r="J109" s="100">
        <f>IF('Leonardo '!$H$60="","",'Leonardo '!$H$60)</f>
        <v/>
      </c>
      <c r="K109" s="101">
        <f>IF('Leonardo '!$I$60="","",'Leonardo '!$I$60)</f>
        <v/>
      </c>
      <c r="L109" s="102">
        <f>IF('Leonardo '!$J$60="","",'Leonardo '!$J$60)</f>
        <v/>
      </c>
      <c r="M109" s="103">
        <f>IF('Leonardo '!$K$60="","",'Leonardo '!$K$60)</f>
        <v/>
      </c>
      <c r="N109" s="100">
        <f>IF('Leonardo '!$L$60="","",'Leonardo '!$L$60)</f>
        <v/>
      </c>
      <c r="O109" s="101">
        <f>IF('Leonardo '!$M$60="","",'Leonardo '!$M$60)</f>
        <v/>
      </c>
      <c r="P109" s="102">
        <f>IF('Leonardo '!$N$60="","",'Leonardo '!$N$60)</f>
        <v/>
      </c>
      <c r="Q109" s="102">
        <f>IF('Leonardo '!$O$60="","",'Leonardo '!$O$60)</f>
        <v/>
      </c>
      <c r="R109" s="103">
        <f>IF($C109="","",IF('Leonardo '!$F$7="","",'Leonardo '!$F$7))</f>
        <v/>
      </c>
      <c r="S109" s="100" t="n"/>
      <c r="T109" s="102" t="n"/>
      <c r="U109" s="102" t="n"/>
      <c r="V109" s="102" t="n"/>
    </row>
    <row r="110">
      <c r="A110" s="100">
        <f>IF($C110="","",'Painel Geral'!$B$20)</f>
        <v/>
      </c>
      <c r="B110" s="100">
        <f>IF($C110="","",'Painel Geral'!$C$20)</f>
        <v/>
      </c>
      <c r="C110" s="100">
        <f>IF('Luiz '!$A$49="","",'Luiz '!$A$49)</f>
        <v/>
      </c>
      <c r="D110" s="101">
        <f>IF('Luiz '!$B$49="","",'Luiz '!$B$49)</f>
        <v/>
      </c>
      <c r="E110" s="102">
        <f>IF('Luiz '!$C$49="","",'Luiz '!$C$49)</f>
        <v/>
      </c>
      <c r="F110" s="100">
        <f>IF('Luiz '!$D$49="","",'Luiz '!$D$49)</f>
        <v/>
      </c>
      <c r="G110" s="101">
        <f>IF('Luiz '!$E$49="","",'Luiz '!$E$49)</f>
        <v/>
      </c>
      <c r="H110" s="102">
        <f>IF('Luiz '!$F$49="","",'Luiz '!$F$49)</f>
        <v/>
      </c>
      <c r="I110" s="103">
        <f>IF('Luiz '!$G$49="","",'Luiz '!$G$49)</f>
        <v/>
      </c>
      <c r="J110" s="100">
        <f>IF('Luiz '!$H$49="","",'Luiz '!$H$49)</f>
        <v/>
      </c>
      <c r="K110" s="101">
        <f>IF('Luiz '!$I$49="","",'Luiz '!$I$49)</f>
        <v/>
      </c>
      <c r="L110" s="102">
        <f>IF('Luiz '!$J$49="","",'Luiz '!$J$49)</f>
        <v/>
      </c>
      <c r="M110" s="103">
        <f>IF('Luiz '!$K$49="","",'Luiz '!$K$49)</f>
        <v/>
      </c>
      <c r="N110" s="100">
        <f>IF('Luiz '!$L$49="","",'Luiz '!$L$49)</f>
        <v/>
      </c>
      <c r="O110" s="101">
        <f>IF('Luiz '!$M$49="","",'Luiz '!$M$49)</f>
        <v/>
      </c>
      <c r="P110" s="102">
        <f>IF('Luiz '!$N$49="","",'Luiz '!$N$49)</f>
        <v/>
      </c>
      <c r="Q110" s="102">
        <f>IF('Luiz '!$O$49="","",'Luiz '!$O$49)</f>
        <v/>
      </c>
      <c r="R110" s="103">
        <f>IF($C110="","",IF('Luiz '!$F$7="","",'Luiz '!$F$7))</f>
        <v/>
      </c>
      <c r="S110" s="100">
        <f>IF($C110="","",IF('Luiz '!$F$9="","",'Luiz '!$F$9))</f>
        <v/>
      </c>
      <c r="T110" s="102">
        <f>IF($C110="","",IF('Luiz '!$D$65="",0,'Luiz '!$D$65))</f>
        <v/>
      </c>
      <c r="U110" s="102">
        <f>IF($C110="","",IF('Luiz '!$D$45="",0,'Luiz '!$D$45))</f>
        <v/>
      </c>
      <c r="V110" s="102">
        <f>IF($C110="","",IF('Luiz '!$A$13="",0,'Luiz '!$A$13))</f>
        <v/>
      </c>
    </row>
    <row r="111">
      <c r="A111" s="100">
        <f>IF($C111="","",'Painel Geral'!$B$20)</f>
        <v/>
      </c>
      <c r="B111" s="100">
        <f>IF($C111="","",'Painel Geral'!$C$20)</f>
        <v/>
      </c>
      <c r="C111" s="100">
        <f>IF('Luiz '!$A$50="","",'Luiz '!$A$50)</f>
        <v/>
      </c>
      <c r="D111" s="101">
        <f>IF('Luiz '!$B$50="","",'Luiz '!$B$50)</f>
        <v/>
      </c>
      <c r="E111" s="102">
        <f>IF('Luiz '!$C$50="","",'Luiz '!$C$50)</f>
        <v/>
      </c>
      <c r="F111" s="100">
        <f>IF('Luiz '!$D$50="","",'Luiz '!$D$50)</f>
        <v/>
      </c>
      <c r="G111" s="101">
        <f>IF('Luiz '!$E$50="","",'Luiz '!$E$50)</f>
        <v/>
      </c>
      <c r="H111" s="102">
        <f>IF('Luiz '!$F$50="","",'Luiz '!$F$50)</f>
        <v/>
      </c>
      <c r="I111" s="103">
        <f>IF('Luiz '!$G$50="","",'Luiz '!$G$50)</f>
        <v/>
      </c>
      <c r="J111" s="100">
        <f>IF('Luiz '!$H$50="","",'Luiz '!$H$50)</f>
        <v/>
      </c>
      <c r="K111" s="101">
        <f>IF('Luiz '!$I$50="","",'Luiz '!$I$50)</f>
        <v/>
      </c>
      <c r="L111" s="102">
        <f>IF('Luiz '!$J$50="","",'Luiz '!$J$50)</f>
        <v/>
      </c>
      <c r="M111" s="103">
        <f>IF('Luiz '!$K$50="","",'Luiz '!$K$50)</f>
        <v/>
      </c>
      <c r="N111" s="100">
        <f>IF('Luiz '!$L$50="","",'Luiz '!$L$50)</f>
        <v/>
      </c>
      <c r="O111" s="101">
        <f>IF('Luiz '!$M$50="","",'Luiz '!$M$50)</f>
        <v/>
      </c>
      <c r="P111" s="102">
        <f>IF('Luiz '!$N$50="","",'Luiz '!$N$50)</f>
        <v/>
      </c>
      <c r="Q111" s="102">
        <f>IF('Luiz '!$O$50="","",'Luiz '!$O$50)</f>
        <v/>
      </c>
      <c r="R111" s="103">
        <f>IF($C111="","",IF('Luiz '!$F$7="","",'Luiz '!$F$7))</f>
        <v/>
      </c>
      <c r="S111" s="100" t="n"/>
      <c r="T111" s="102" t="n"/>
      <c r="U111" s="102" t="n"/>
      <c r="V111" s="102" t="n"/>
    </row>
    <row r="112">
      <c r="A112" s="100">
        <f>IF($C112="","",'Painel Geral'!$B$20)</f>
        <v/>
      </c>
      <c r="B112" s="100">
        <f>IF($C112="","",'Painel Geral'!$C$20)</f>
        <v/>
      </c>
      <c r="C112" s="100">
        <f>IF('Luiz '!$A$51="","",'Luiz '!$A$51)</f>
        <v/>
      </c>
      <c r="D112" s="101">
        <f>IF('Luiz '!$B$51="","",'Luiz '!$B$51)</f>
        <v/>
      </c>
      <c r="E112" s="102">
        <f>IF('Luiz '!$C$51="","",'Luiz '!$C$51)</f>
        <v/>
      </c>
      <c r="F112" s="100">
        <f>IF('Luiz '!$D$51="","",'Luiz '!$D$51)</f>
        <v/>
      </c>
      <c r="G112" s="101">
        <f>IF('Luiz '!$E$51="","",'Luiz '!$E$51)</f>
        <v/>
      </c>
      <c r="H112" s="102">
        <f>IF('Luiz '!$F$51="","",'Luiz '!$F$51)</f>
        <v/>
      </c>
      <c r="I112" s="103">
        <f>IF('Luiz '!$G$51="","",'Luiz '!$G$51)</f>
        <v/>
      </c>
      <c r="J112" s="100">
        <f>IF('Luiz '!$H$51="","",'Luiz '!$H$51)</f>
        <v/>
      </c>
      <c r="K112" s="101">
        <f>IF('Luiz '!$I$51="","",'Luiz '!$I$51)</f>
        <v/>
      </c>
      <c r="L112" s="102">
        <f>IF('Luiz '!$J$51="","",'Luiz '!$J$51)</f>
        <v/>
      </c>
      <c r="M112" s="103">
        <f>IF('Luiz '!$K$51="","",'Luiz '!$K$51)</f>
        <v/>
      </c>
      <c r="N112" s="100">
        <f>IF('Luiz '!$L$51="","",'Luiz '!$L$51)</f>
        <v/>
      </c>
      <c r="O112" s="101">
        <f>IF('Luiz '!$M$51="","",'Luiz '!$M$51)</f>
        <v/>
      </c>
      <c r="P112" s="102">
        <f>IF('Luiz '!$N$51="","",'Luiz '!$N$51)</f>
        <v/>
      </c>
      <c r="Q112" s="102">
        <f>IF('Luiz '!$O$51="","",'Luiz '!$O$51)</f>
        <v/>
      </c>
      <c r="R112" s="103">
        <f>IF($C112="","",IF('Luiz '!$F$7="","",'Luiz '!$F$7))</f>
        <v/>
      </c>
      <c r="S112" s="100" t="n"/>
      <c r="T112" s="102" t="n"/>
      <c r="U112" s="102" t="n"/>
      <c r="V112" s="102" t="n"/>
    </row>
    <row r="113">
      <c r="A113" s="100">
        <f>IF($C113="","",'Painel Geral'!$B$20)</f>
        <v/>
      </c>
      <c r="B113" s="100">
        <f>IF($C113="","",'Painel Geral'!$C$20)</f>
        <v/>
      </c>
      <c r="C113" s="100">
        <f>IF('Luiz '!$A$52="","",'Luiz '!$A$52)</f>
        <v/>
      </c>
      <c r="D113" s="101">
        <f>IF('Luiz '!$B$52="","",'Luiz '!$B$52)</f>
        <v/>
      </c>
      <c r="E113" s="102">
        <f>IF('Luiz '!$C$52="","",'Luiz '!$C$52)</f>
        <v/>
      </c>
      <c r="F113" s="100">
        <f>IF('Luiz '!$D$52="","",'Luiz '!$D$52)</f>
        <v/>
      </c>
      <c r="G113" s="101">
        <f>IF('Luiz '!$E$52="","",'Luiz '!$E$52)</f>
        <v/>
      </c>
      <c r="H113" s="102">
        <f>IF('Luiz '!$F$52="","",'Luiz '!$F$52)</f>
        <v/>
      </c>
      <c r="I113" s="103">
        <f>IF('Luiz '!$G$52="","",'Luiz '!$G$52)</f>
        <v/>
      </c>
      <c r="J113" s="100">
        <f>IF('Luiz '!$H$52="","",'Luiz '!$H$52)</f>
        <v/>
      </c>
      <c r="K113" s="101">
        <f>IF('Luiz '!$I$52="","",'Luiz '!$I$52)</f>
        <v/>
      </c>
      <c r="L113" s="102">
        <f>IF('Luiz '!$J$52="","",'Luiz '!$J$52)</f>
        <v/>
      </c>
      <c r="M113" s="103">
        <f>IF('Luiz '!$K$52="","",'Luiz '!$K$52)</f>
        <v/>
      </c>
      <c r="N113" s="100">
        <f>IF('Luiz '!$L$52="","",'Luiz '!$L$52)</f>
        <v/>
      </c>
      <c r="O113" s="101">
        <f>IF('Luiz '!$M$52="","",'Luiz '!$M$52)</f>
        <v/>
      </c>
      <c r="P113" s="102">
        <f>IF('Luiz '!$N$52="","",'Luiz '!$N$52)</f>
        <v/>
      </c>
      <c r="Q113" s="102">
        <f>IF('Luiz '!$O$52="","",'Luiz '!$O$52)</f>
        <v/>
      </c>
      <c r="R113" s="103">
        <f>IF($C113="","",IF('Luiz '!$F$7="","",'Luiz '!$F$7))</f>
        <v/>
      </c>
      <c r="S113" s="100" t="n"/>
      <c r="T113" s="102" t="n"/>
      <c r="U113" s="102" t="n"/>
      <c r="V113" s="102" t="n"/>
    </row>
    <row r="114">
      <c r="A114" s="100">
        <f>IF($C114="","",'Painel Geral'!$B$20)</f>
        <v/>
      </c>
      <c r="B114" s="100">
        <f>IF($C114="","",'Painel Geral'!$C$20)</f>
        <v/>
      </c>
      <c r="C114" s="100">
        <f>IF('Luiz '!$A$53="","",'Luiz '!$A$53)</f>
        <v/>
      </c>
      <c r="D114" s="101">
        <f>IF('Luiz '!$B$53="","",'Luiz '!$B$53)</f>
        <v/>
      </c>
      <c r="E114" s="102">
        <f>IF('Luiz '!$C$53="","",'Luiz '!$C$53)</f>
        <v/>
      </c>
      <c r="F114" s="100">
        <f>IF('Luiz '!$D$53="","",'Luiz '!$D$53)</f>
        <v/>
      </c>
      <c r="G114" s="101">
        <f>IF('Luiz '!$E$53="","",'Luiz '!$E$53)</f>
        <v/>
      </c>
      <c r="H114" s="102">
        <f>IF('Luiz '!$F$53="","",'Luiz '!$F$53)</f>
        <v/>
      </c>
      <c r="I114" s="103">
        <f>IF('Luiz '!$G$53="","",'Luiz '!$G$53)</f>
        <v/>
      </c>
      <c r="J114" s="100">
        <f>IF('Luiz '!$H$53="","",'Luiz '!$H$53)</f>
        <v/>
      </c>
      <c r="K114" s="101">
        <f>IF('Luiz '!$I$53="","",'Luiz '!$I$53)</f>
        <v/>
      </c>
      <c r="L114" s="102">
        <f>IF('Luiz '!$J$53="","",'Luiz '!$J$53)</f>
        <v/>
      </c>
      <c r="M114" s="103">
        <f>IF('Luiz '!$K$53="","",'Luiz '!$K$53)</f>
        <v/>
      </c>
      <c r="N114" s="100">
        <f>IF('Luiz '!$L$53="","",'Luiz '!$L$53)</f>
        <v/>
      </c>
      <c r="O114" s="101">
        <f>IF('Luiz '!$M$53="","",'Luiz '!$M$53)</f>
        <v/>
      </c>
      <c r="P114" s="102">
        <f>IF('Luiz '!$N$53="","",'Luiz '!$N$53)</f>
        <v/>
      </c>
      <c r="Q114" s="102">
        <f>IF('Luiz '!$O$53="","",'Luiz '!$O$53)</f>
        <v/>
      </c>
      <c r="R114" s="103">
        <f>IF($C114="","",IF('Luiz '!$F$7="","",'Luiz '!$F$7))</f>
        <v/>
      </c>
      <c r="S114" s="100" t="n"/>
      <c r="T114" s="102" t="n"/>
      <c r="U114" s="102" t="n"/>
      <c r="V114" s="102" t="n"/>
    </row>
    <row r="115">
      <c r="A115" s="100">
        <f>IF($C115="","",'Painel Geral'!$B$20)</f>
        <v/>
      </c>
      <c r="B115" s="100">
        <f>IF($C115="","",'Painel Geral'!$C$20)</f>
        <v/>
      </c>
      <c r="C115" s="100">
        <f>IF('Luiz '!$A$54="","",'Luiz '!$A$54)</f>
        <v/>
      </c>
      <c r="D115" s="101">
        <f>IF('Luiz '!$B$54="","",'Luiz '!$B$54)</f>
        <v/>
      </c>
      <c r="E115" s="102">
        <f>IF('Luiz '!$C$54="","",'Luiz '!$C$54)</f>
        <v/>
      </c>
      <c r="F115" s="100">
        <f>IF('Luiz '!$D$54="","",'Luiz '!$D$54)</f>
        <v/>
      </c>
      <c r="G115" s="101">
        <f>IF('Luiz '!$E$54="","",'Luiz '!$E$54)</f>
        <v/>
      </c>
      <c r="H115" s="102">
        <f>IF('Luiz '!$F$54="","",'Luiz '!$F$54)</f>
        <v/>
      </c>
      <c r="I115" s="103">
        <f>IF('Luiz '!$G$54="","",'Luiz '!$G$54)</f>
        <v/>
      </c>
      <c r="J115" s="100">
        <f>IF('Luiz '!$H$54="","",'Luiz '!$H$54)</f>
        <v/>
      </c>
      <c r="K115" s="101">
        <f>IF('Luiz '!$I$54="","",'Luiz '!$I$54)</f>
        <v/>
      </c>
      <c r="L115" s="102">
        <f>IF('Luiz '!$J$54="","",'Luiz '!$J$54)</f>
        <v/>
      </c>
      <c r="M115" s="103">
        <f>IF('Luiz '!$K$54="","",'Luiz '!$K$54)</f>
        <v/>
      </c>
      <c r="N115" s="100">
        <f>IF('Luiz '!$L$54="","",'Luiz '!$L$54)</f>
        <v/>
      </c>
      <c r="O115" s="101">
        <f>IF('Luiz '!$M$54="","",'Luiz '!$M$54)</f>
        <v/>
      </c>
      <c r="P115" s="102">
        <f>IF('Luiz '!$N$54="","",'Luiz '!$N$54)</f>
        <v/>
      </c>
      <c r="Q115" s="102">
        <f>IF('Luiz '!$O$54="","",'Luiz '!$O$54)</f>
        <v/>
      </c>
      <c r="R115" s="103">
        <f>IF($C115="","",IF('Luiz '!$F$7="","",'Luiz '!$F$7))</f>
        <v/>
      </c>
      <c r="S115" s="100" t="n"/>
      <c r="T115" s="102" t="n"/>
      <c r="U115" s="102" t="n"/>
      <c r="V115" s="102" t="n"/>
    </row>
    <row r="116">
      <c r="A116" s="100">
        <f>IF($C116="","",'Painel Geral'!$B$20)</f>
        <v/>
      </c>
      <c r="B116" s="100">
        <f>IF($C116="","",'Painel Geral'!$C$20)</f>
        <v/>
      </c>
      <c r="C116" s="100">
        <f>IF('Luiz '!$A$55="","",'Luiz '!$A$55)</f>
        <v/>
      </c>
      <c r="D116" s="101">
        <f>IF('Luiz '!$B$55="","",'Luiz '!$B$55)</f>
        <v/>
      </c>
      <c r="E116" s="102">
        <f>IF('Luiz '!$C$55="","",'Luiz '!$C$55)</f>
        <v/>
      </c>
      <c r="F116" s="100">
        <f>IF('Luiz '!$D$55="","",'Luiz '!$D$55)</f>
        <v/>
      </c>
      <c r="G116" s="101">
        <f>IF('Luiz '!$E$55="","",'Luiz '!$E$55)</f>
        <v/>
      </c>
      <c r="H116" s="102">
        <f>IF('Luiz '!$F$55="","",'Luiz '!$F$55)</f>
        <v/>
      </c>
      <c r="I116" s="103">
        <f>IF('Luiz '!$G$55="","",'Luiz '!$G$55)</f>
        <v/>
      </c>
      <c r="J116" s="100">
        <f>IF('Luiz '!$H$55="","",'Luiz '!$H$55)</f>
        <v/>
      </c>
      <c r="K116" s="101">
        <f>IF('Luiz '!$I$55="","",'Luiz '!$I$55)</f>
        <v/>
      </c>
      <c r="L116" s="102">
        <f>IF('Luiz '!$J$55="","",'Luiz '!$J$55)</f>
        <v/>
      </c>
      <c r="M116" s="103">
        <f>IF('Luiz '!$K$55="","",'Luiz '!$K$55)</f>
        <v/>
      </c>
      <c r="N116" s="100">
        <f>IF('Luiz '!$L$55="","",'Luiz '!$L$55)</f>
        <v/>
      </c>
      <c r="O116" s="101">
        <f>IF('Luiz '!$M$55="","",'Luiz '!$M$55)</f>
        <v/>
      </c>
      <c r="P116" s="102">
        <f>IF('Luiz '!$N$55="","",'Luiz '!$N$55)</f>
        <v/>
      </c>
      <c r="Q116" s="102">
        <f>IF('Luiz '!$O$55="","",'Luiz '!$O$55)</f>
        <v/>
      </c>
      <c r="R116" s="103">
        <f>IF($C116="","",IF('Luiz '!$F$7="","",'Luiz '!$F$7))</f>
        <v/>
      </c>
      <c r="S116" s="100" t="n"/>
      <c r="T116" s="102" t="n"/>
      <c r="U116" s="102" t="n"/>
      <c r="V116" s="102" t="n"/>
    </row>
    <row r="117">
      <c r="A117" s="100">
        <f>IF($C117="","",'Painel Geral'!$B$20)</f>
        <v/>
      </c>
      <c r="B117" s="100">
        <f>IF($C117="","",'Painel Geral'!$C$20)</f>
        <v/>
      </c>
      <c r="C117" s="100">
        <f>IF('Luiz '!$A$56="","",'Luiz '!$A$56)</f>
        <v/>
      </c>
      <c r="D117" s="101">
        <f>IF('Luiz '!$B$56="","",'Luiz '!$B$56)</f>
        <v/>
      </c>
      <c r="E117" s="102">
        <f>IF('Luiz '!$C$56="","",'Luiz '!$C$56)</f>
        <v/>
      </c>
      <c r="F117" s="100">
        <f>IF('Luiz '!$D$56="","",'Luiz '!$D$56)</f>
        <v/>
      </c>
      <c r="G117" s="101">
        <f>IF('Luiz '!$E$56="","",'Luiz '!$E$56)</f>
        <v/>
      </c>
      <c r="H117" s="102">
        <f>IF('Luiz '!$F$56="","",'Luiz '!$F$56)</f>
        <v/>
      </c>
      <c r="I117" s="103">
        <f>IF('Luiz '!$G$56="","",'Luiz '!$G$56)</f>
        <v/>
      </c>
      <c r="J117" s="100">
        <f>IF('Luiz '!$H$56="","",'Luiz '!$H$56)</f>
        <v/>
      </c>
      <c r="K117" s="101">
        <f>IF('Luiz '!$I$56="","",'Luiz '!$I$56)</f>
        <v/>
      </c>
      <c r="L117" s="102">
        <f>IF('Luiz '!$J$56="","",'Luiz '!$J$56)</f>
        <v/>
      </c>
      <c r="M117" s="103">
        <f>IF('Luiz '!$K$56="","",'Luiz '!$K$56)</f>
        <v/>
      </c>
      <c r="N117" s="100">
        <f>IF('Luiz '!$L$56="","",'Luiz '!$L$56)</f>
        <v/>
      </c>
      <c r="O117" s="101">
        <f>IF('Luiz '!$M$56="","",'Luiz '!$M$56)</f>
        <v/>
      </c>
      <c r="P117" s="102">
        <f>IF('Luiz '!$N$56="","",'Luiz '!$N$56)</f>
        <v/>
      </c>
      <c r="Q117" s="102">
        <f>IF('Luiz '!$O$56="","",'Luiz '!$O$56)</f>
        <v/>
      </c>
      <c r="R117" s="103">
        <f>IF($C117="","",IF('Luiz '!$F$7="","",'Luiz '!$F$7))</f>
        <v/>
      </c>
      <c r="S117" s="100" t="n"/>
      <c r="T117" s="102" t="n"/>
      <c r="U117" s="102" t="n"/>
      <c r="V117" s="102" t="n"/>
    </row>
    <row r="118">
      <c r="A118" s="100">
        <f>IF($C118="","",'Painel Geral'!$B$20)</f>
        <v/>
      </c>
      <c r="B118" s="100">
        <f>IF($C118="","",'Painel Geral'!$C$20)</f>
        <v/>
      </c>
      <c r="C118" s="100">
        <f>IF('Luiz '!$A$57="","",'Luiz '!$A$57)</f>
        <v/>
      </c>
      <c r="D118" s="101">
        <f>IF('Luiz '!$B$57="","",'Luiz '!$B$57)</f>
        <v/>
      </c>
      <c r="E118" s="102">
        <f>IF('Luiz '!$C$57="","",'Luiz '!$C$57)</f>
        <v/>
      </c>
      <c r="F118" s="100">
        <f>IF('Luiz '!$D$57="","",'Luiz '!$D$57)</f>
        <v/>
      </c>
      <c r="G118" s="101">
        <f>IF('Luiz '!$E$57="","",'Luiz '!$E$57)</f>
        <v/>
      </c>
      <c r="H118" s="102">
        <f>IF('Luiz '!$F$57="","",'Luiz '!$F$57)</f>
        <v/>
      </c>
      <c r="I118" s="103">
        <f>IF('Luiz '!$G$57="","",'Luiz '!$G$57)</f>
        <v/>
      </c>
      <c r="J118" s="100">
        <f>IF('Luiz '!$H$57="","",'Luiz '!$H$57)</f>
        <v/>
      </c>
      <c r="K118" s="101">
        <f>IF('Luiz '!$I$57="","",'Luiz '!$I$57)</f>
        <v/>
      </c>
      <c r="L118" s="102">
        <f>IF('Luiz '!$J$57="","",'Luiz '!$J$57)</f>
        <v/>
      </c>
      <c r="M118" s="103">
        <f>IF('Luiz '!$K$57="","",'Luiz '!$K$57)</f>
        <v/>
      </c>
      <c r="N118" s="100">
        <f>IF('Luiz '!$L$57="","",'Luiz '!$L$57)</f>
        <v/>
      </c>
      <c r="O118" s="101">
        <f>IF('Luiz '!$M$57="","",'Luiz '!$M$57)</f>
        <v/>
      </c>
      <c r="P118" s="102">
        <f>IF('Luiz '!$N$57="","",'Luiz '!$N$57)</f>
        <v/>
      </c>
      <c r="Q118" s="102">
        <f>IF('Luiz '!$O$57="","",'Luiz '!$O$57)</f>
        <v/>
      </c>
      <c r="R118" s="103">
        <f>IF($C118="","",IF('Luiz '!$F$7="","",'Luiz '!$F$7))</f>
        <v/>
      </c>
      <c r="S118" s="100" t="n"/>
      <c r="T118" s="102" t="n"/>
      <c r="U118" s="102" t="n"/>
      <c r="V118" s="102" t="n"/>
    </row>
    <row r="119">
      <c r="A119" s="100">
        <f>IF($C119="","",'Painel Geral'!$B$20)</f>
        <v/>
      </c>
      <c r="B119" s="100">
        <f>IF($C119="","",'Painel Geral'!$C$20)</f>
        <v/>
      </c>
      <c r="C119" s="100">
        <f>IF('Luiz '!$A$58="","",'Luiz '!$A$58)</f>
        <v/>
      </c>
      <c r="D119" s="101">
        <f>IF('Luiz '!$B$58="","",'Luiz '!$B$58)</f>
        <v/>
      </c>
      <c r="E119" s="102">
        <f>IF('Luiz '!$C$58="","",'Luiz '!$C$58)</f>
        <v/>
      </c>
      <c r="F119" s="100">
        <f>IF('Luiz '!$D$58="","",'Luiz '!$D$58)</f>
        <v/>
      </c>
      <c r="G119" s="101">
        <f>IF('Luiz '!$E$58="","",'Luiz '!$E$58)</f>
        <v/>
      </c>
      <c r="H119" s="102">
        <f>IF('Luiz '!$F$58="","",'Luiz '!$F$58)</f>
        <v/>
      </c>
      <c r="I119" s="103">
        <f>IF('Luiz '!$G$58="","",'Luiz '!$G$58)</f>
        <v/>
      </c>
      <c r="J119" s="100">
        <f>IF('Luiz '!$H$58="","",'Luiz '!$H$58)</f>
        <v/>
      </c>
      <c r="K119" s="101">
        <f>IF('Luiz '!$I$58="","",'Luiz '!$I$58)</f>
        <v/>
      </c>
      <c r="L119" s="102">
        <f>IF('Luiz '!$J$58="","",'Luiz '!$J$58)</f>
        <v/>
      </c>
      <c r="M119" s="103">
        <f>IF('Luiz '!$K$58="","",'Luiz '!$K$58)</f>
        <v/>
      </c>
      <c r="N119" s="100">
        <f>IF('Luiz '!$L$58="","",'Luiz '!$L$58)</f>
        <v/>
      </c>
      <c r="O119" s="101">
        <f>IF('Luiz '!$M$58="","",'Luiz '!$M$58)</f>
        <v/>
      </c>
      <c r="P119" s="102">
        <f>IF('Luiz '!$N$58="","",'Luiz '!$N$58)</f>
        <v/>
      </c>
      <c r="Q119" s="102">
        <f>IF('Luiz '!$O$58="","",'Luiz '!$O$58)</f>
        <v/>
      </c>
      <c r="R119" s="103">
        <f>IF($C119="","",IF('Luiz '!$F$7="","",'Luiz '!$F$7))</f>
        <v/>
      </c>
      <c r="S119" s="100" t="n"/>
      <c r="T119" s="102" t="n"/>
      <c r="U119" s="102" t="n"/>
      <c r="V119" s="102" t="n"/>
    </row>
    <row r="120">
      <c r="A120" s="100">
        <f>IF($C120="","",'Painel Geral'!$B$20)</f>
        <v/>
      </c>
      <c r="B120" s="100">
        <f>IF($C120="","",'Painel Geral'!$C$20)</f>
        <v/>
      </c>
      <c r="C120" s="100">
        <f>IF('Luiz '!$A$59="","",'Luiz '!$A$59)</f>
        <v/>
      </c>
      <c r="D120" s="101">
        <f>IF('Luiz '!$B$59="","",'Luiz '!$B$59)</f>
        <v/>
      </c>
      <c r="E120" s="102">
        <f>IF('Luiz '!$C$59="","",'Luiz '!$C$59)</f>
        <v/>
      </c>
      <c r="F120" s="100">
        <f>IF('Luiz '!$D$59="","",'Luiz '!$D$59)</f>
        <v/>
      </c>
      <c r="G120" s="101">
        <f>IF('Luiz '!$E$59="","",'Luiz '!$E$59)</f>
        <v/>
      </c>
      <c r="H120" s="102">
        <f>IF('Luiz '!$F$59="","",'Luiz '!$F$59)</f>
        <v/>
      </c>
      <c r="I120" s="103">
        <f>IF('Luiz '!$G$59="","",'Luiz '!$G$59)</f>
        <v/>
      </c>
      <c r="J120" s="100">
        <f>IF('Luiz '!$H$59="","",'Luiz '!$H$59)</f>
        <v/>
      </c>
      <c r="K120" s="101">
        <f>IF('Luiz '!$I$59="","",'Luiz '!$I$59)</f>
        <v/>
      </c>
      <c r="L120" s="102">
        <f>IF('Luiz '!$J$59="","",'Luiz '!$J$59)</f>
        <v/>
      </c>
      <c r="M120" s="103">
        <f>IF('Luiz '!$K$59="","",'Luiz '!$K$59)</f>
        <v/>
      </c>
      <c r="N120" s="100">
        <f>IF('Luiz '!$L$59="","",'Luiz '!$L$59)</f>
        <v/>
      </c>
      <c r="O120" s="101">
        <f>IF('Luiz '!$M$59="","",'Luiz '!$M$59)</f>
        <v/>
      </c>
      <c r="P120" s="102">
        <f>IF('Luiz '!$N$59="","",'Luiz '!$N$59)</f>
        <v/>
      </c>
      <c r="Q120" s="102">
        <f>IF('Luiz '!$O$59="","",'Luiz '!$O$59)</f>
        <v/>
      </c>
      <c r="R120" s="103">
        <f>IF($C120="","",IF('Luiz '!$F$7="","",'Luiz '!$F$7))</f>
        <v/>
      </c>
      <c r="S120" s="100" t="n"/>
      <c r="T120" s="102" t="n"/>
      <c r="U120" s="102" t="n"/>
      <c r="V120" s="102" t="n"/>
    </row>
    <row r="121">
      <c r="A121" s="100">
        <f>IF($C121="","",'Painel Geral'!$B$20)</f>
        <v/>
      </c>
      <c r="B121" s="100">
        <f>IF($C121="","",'Painel Geral'!$C$20)</f>
        <v/>
      </c>
      <c r="C121" s="100">
        <f>IF('Luiz '!$A$60="","",'Luiz '!$A$60)</f>
        <v/>
      </c>
      <c r="D121" s="101">
        <f>IF('Luiz '!$B$60="","",'Luiz '!$B$60)</f>
        <v/>
      </c>
      <c r="E121" s="102">
        <f>IF('Luiz '!$C$60="","",'Luiz '!$C$60)</f>
        <v/>
      </c>
      <c r="F121" s="100">
        <f>IF('Luiz '!$D$60="","",'Luiz '!$D$60)</f>
        <v/>
      </c>
      <c r="G121" s="101">
        <f>IF('Luiz '!$E$60="","",'Luiz '!$E$60)</f>
        <v/>
      </c>
      <c r="H121" s="102">
        <f>IF('Luiz '!$F$60="","",'Luiz '!$F$60)</f>
        <v/>
      </c>
      <c r="I121" s="103">
        <f>IF('Luiz '!$G$60="","",'Luiz '!$G$60)</f>
        <v/>
      </c>
      <c r="J121" s="100">
        <f>IF('Luiz '!$H$60="","",'Luiz '!$H$60)</f>
        <v/>
      </c>
      <c r="K121" s="101">
        <f>IF('Luiz '!$I$60="","",'Luiz '!$I$60)</f>
        <v/>
      </c>
      <c r="L121" s="102">
        <f>IF('Luiz '!$J$60="","",'Luiz '!$J$60)</f>
        <v/>
      </c>
      <c r="M121" s="103">
        <f>IF('Luiz '!$K$60="","",'Luiz '!$K$60)</f>
        <v/>
      </c>
      <c r="N121" s="100">
        <f>IF('Luiz '!$L$60="","",'Luiz '!$L$60)</f>
        <v/>
      </c>
      <c r="O121" s="101">
        <f>IF('Luiz '!$M$60="","",'Luiz '!$M$60)</f>
        <v/>
      </c>
      <c r="P121" s="102">
        <f>IF('Luiz '!$N$60="","",'Luiz '!$N$60)</f>
        <v/>
      </c>
      <c r="Q121" s="102">
        <f>IF('Luiz '!$O$60="","",'Luiz '!$O$60)</f>
        <v/>
      </c>
      <c r="R121" s="103">
        <f>IF($C121="","",IF('Luiz '!$F$7="","",'Luiz '!$F$7))</f>
        <v/>
      </c>
      <c r="S121" s="100" t="n"/>
      <c r="T121" s="102" t="n"/>
      <c r="U121" s="102" t="n"/>
      <c r="V121" s="102" t="n"/>
    </row>
    <row r="122">
      <c r="A122" s="100">
        <f>IF($C122="","",'Painel Geral'!$B$21)</f>
        <v/>
      </c>
      <c r="B122" s="100">
        <f>IF($C122="","",'Painel Geral'!$C$21)</f>
        <v/>
      </c>
      <c r="C122" s="100">
        <f>IF('Carla Dresller'!$A$49="","",'Carla Dresller'!$A$49)</f>
        <v/>
      </c>
      <c r="D122" s="101">
        <f>IF('Carla Dresller'!$B$49="","",'Carla Dresller'!$B$49)</f>
        <v/>
      </c>
      <c r="E122" s="102">
        <f>IF('Carla Dresller'!$C$49="","",'Carla Dresller'!$C$49)</f>
        <v/>
      </c>
      <c r="F122" s="100">
        <f>IF('Carla Dresller'!$D$49="","",'Carla Dresller'!$D$49)</f>
        <v/>
      </c>
      <c r="G122" s="101">
        <f>IF('Carla Dresller'!$E$49="","",'Carla Dresller'!$E$49)</f>
        <v/>
      </c>
      <c r="H122" s="102">
        <f>IF('Carla Dresller'!$F$49="","",'Carla Dresller'!$F$49)</f>
        <v/>
      </c>
      <c r="I122" s="103">
        <f>IF('Carla Dresller'!$G$49="","",'Carla Dresller'!$G$49)</f>
        <v/>
      </c>
      <c r="J122" s="100">
        <f>IF('Carla Dresller'!$H$49="","",'Carla Dresller'!$H$49)</f>
        <v/>
      </c>
      <c r="K122" s="101">
        <f>IF('Carla Dresller'!$I$49="","",'Carla Dresller'!$I$49)</f>
        <v/>
      </c>
      <c r="L122" s="102">
        <f>IF('Carla Dresller'!$J$49="","",'Carla Dresller'!$J$49)</f>
        <v/>
      </c>
      <c r="M122" s="103">
        <f>IF('Carla Dresller'!$K$49="","",'Carla Dresller'!$K$49)</f>
        <v/>
      </c>
      <c r="N122" s="100">
        <f>IF('Carla Dresller'!$L$49="","",'Carla Dresller'!$L$49)</f>
        <v/>
      </c>
      <c r="O122" s="101">
        <f>IF('Carla Dresller'!$M$49="","",'Carla Dresller'!$M$49)</f>
        <v/>
      </c>
      <c r="P122" s="102">
        <f>IF('Carla Dresller'!$N$49="","",'Carla Dresller'!$N$49)</f>
        <v/>
      </c>
      <c r="Q122" s="102">
        <f>IF('Carla Dresller'!$O$49="","",'Carla Dresller'!$O$49)</f>
        <v/>
      </c>
      <c r="R122" s="103">
        <f>IF($C122="","",IF('Carla Dresller'!$F$7="","",'Carla Dresller'!$F$7))</f>
        <v/>
      </c>
      <c r="S122" s="100">
        <f>IF($C122="","",IF('Carla Dresller'!$F$9="","",'Carla Dresller'!$F$9))</f>
        <v/>
      </c>
      <c r="T122" s="102">
        <f>IF($C122="","",IF('Carla Dresller'!$D$65="",0,'Carla Dresller'!$D$65))</f>
        <v/>
      </c>
      <c r="U122" s="102">
        <f>IF($C122="","",IF('Carla Dresller'!$D$45="",0,'Carla Dresller'!$D$45))</f>
        <v/>
      </c>
      <c r="V122" s="102">
        <f>IF($C122="","",IF('Carla Dresller'!$A$13="",0,'Carla Dresller'!$A$13))</f>
        <v/>
      </c>
    </row>
    <row r="123">
      <c r="A123" s="100">
        <f>IF($C123="","",'Painel Geral'!$B$21)</f>
        <v/>
      </c>
      <c r="B123" s="100">
        <f>IF($C123="","",'Painel Geral'!$C$21)</f>
        <v/>
      </c>
      <c r="C123" s="100">
        <f>IF('Carla Dresller'!$A$50="","",'Carla Dresller'!$A$50)</f>
        <v/>
      </c>
      <c r="D123" s="101">
        <f>IF('Carla Dresller'!$B$50="","",'Carla Dresller'!$B$50)</f>
        <v/>
      </c>
      <c r="E123" s="102">
        <f>IF('Carla Dresller'!$C$50="","",'Carla Dresller'!$C$50)</f>
        <v/>
      </c>
      <c r="F123" s="100">
        <f>IF('Carla Dresller'!$D$50="","",'Carla Dresller'!$D$50)</f>
        <v/>
      </c>
      <c r="G123" s="101">
        <f>IF('Carla Dresller'!$E$50="","",'Carla Dresller'!$E$50)</f>
        <v/>
      </c>
      <c r="H123" s="102">
        <f>IF('Carla Dresller'!$F$50="","",'Carla Dresller'!$F$50)</f>
        <v/>
      </c>
      <c r="I123" s="103">
        <f>IF('Carla Dresller'!$G$50="","",'Carla Dresller'!$G$50)</f>
        <v/>
      </c>
      <c r="J123" s="100">
        <f>IF('Carla Dresller'!$H$50="","",'Carla Dresller'!$H$50)</f>
        <v/>
      </c>
      <c r="K123" s="101">
        <f>IF('Carla Dresller'!$I$50="","",'Carla Dresller'!$I$50)</f>
        <v/>
      </c>
      <c r="L123" s="102">
        <f>IF('Carla Dresller'!$J$50="","",'Carla Dresller'!$J$50)</f>
        <v/>
      </c>
      <c r="M123" s="103">
        <f>IF('Carla Dresller'!$K$50="","",'Carla Dresller'!$K$50)</f>
        <v/>
      </c>
      <c r="N123" s="100">
        <f>IF('Carla Dresller'!$L$50="","",'Carla Dresller'!$L$50)</f>
        <v/>
      </c>
      <c r="O123" s="101">
        <f>IF('Carla Dresller'!$M$50="","",'Carla Dresller'!$M$50)</f>
        <v/>
      </c>
      <c r="P123" s="102">
        <f>IF('Carla Dresller'!$N$50="","",'Carla Dresller'!$N$50)</f>
        <v/>
      </c>
      <c r="Q123" s="102">
        <f>IF('Carla Dresller'!$O$50="","",'Carla Dresller'!$O$50)</f>
        <v/>
      </c>
      <c r="R123" s="103">
        <f>IF($C123="","",IF('Carla Dresller'!$F$7="","",'Carla Dresller'!$F$7))</f>
        <v/>
      </c>
      <c r="S123" s="100" t="n"/>
      <c r="T123" s="102" t="n"/>
      <c r="U123" s="102" t="n"/>
      <c r="V123" s="102" t="n"/>
    </row>
    <row r="124">
      <c r="A124" s="100">
        <f>IF($C124="","",'Painel Geral'!$B$21)</f>
        <v/>
      </c>
      <c r="B124" s="100">
        <f>IF($C124="","",'Painel Geral'!$C$21)</f>
        <v/>
      </c>
      <c r="C124" s="100">
        <f>IF('Carla Dresller'!$A$51="","",'Carla Dresller'!$A$51)</f>
        <v/>
      </c>
      <c r="D124" s="101">
        <f>IF('Carla Dresller'!$B$51="","",'Carla Dresller'!$B$51)</f>
        <v/>
      </c>
      <c r="E124" s="102">
        <f>IF('Carla Dresller'!$C$51="","",'Carla Dresller'!$C$51)</f>
        <v/>
      </c>
      <c r="F124" s="100">
        <f>IF('Carla Dresller'!$D$51="","",'Carla Dresller'!$D$51)</f>
        <v/>
      </c>
      <c r="G124" s="101">
        <f>IF('Carla Dresller'!$E$51="","",'Carla Dresller'!$E$51)</f>
        <v/>
      </c>
      <c r="H124" s="102">
        <f>IF('Carla Dresller'!$F$51="","",'Carla Dresller'!$F$51)</f>
        <v/>
      </c>
      <c r="I124" s="103">
        <f>IF('Carla Dresller'!$G$51="","",'Carla Dresller'!$G$51)</f>
        <v/>
      </c>
      <c r="J124" s="100">
        <f>IF('Carla Dresller'!$H$51="","",'Carla Dresller'!$H$51)</f>
        <v/>
      </c>
      <c r="K124" s="101">
        <f>IF('Carla Dresller'!$I$51="","",'Carla Dresller'!$I$51)</f>
        <v/>
      </c>
      <c r="L124" s="102">
        <f>IF('Carla Dresller'!$J$51="","",'Carla Dresller'!$J$51)</f>
        <v/>
      </c>
      <c r="M124" s="103">
        <f>IF('Carla Dresller'!$K$51="","",'Carla Dresller'!$K$51)</f>
        <v/>
      </c>
      <c r="N124" s="100">
        <f>IF('Carla Dresller'!$L$51="","",'Carla Dresller'!$L$51)</f>
        <v/>
      </c>
      <c r="O124" s="101">
        <f>IF('Carla Dresller'!$M$51="","",'Carla Dresller'!$M$51)</f>
        <v/>
      </c>
      <c r="P124" s="102">
        <f>IF('Carla Dresller'!$N$51="","",'Carla Dresller'!$N$51)</f>
        <v/>
      </c>
      <c r="Q124" s="102">
        <f>IF('Carla Dresller'!$O$51="","",'Carla Dresller'!$O$51)</f>
        <v/>
      </c>
      <c r="R124" s="103">
        <f>IF($C124="","",IF('Carla Dresller'!$F$7="","",'Carla Dresller'!$F$7))</f>
        <v/>
      </c>
      <c r="S124" s="100" t="n"/>
      <c r="T124" s="102" t="n"/>
      <c r="U124" s="102" t="n"/>
      <c r="V124" s="102" t="n"/>
    </row>
    <row r="125">
      <c r="A125" s="100">
        <f>IF($C125="","",'Painel Geral'!$B$21)</f>
        <v/>
      </c>
      <c r="B125" s="100">
        <f>IF($C125="","",'Painel Geral'!$C$21)</f>
        <v/>
      </c>
      <c r="C125" s="100">
        <f>IF('Carla Dresller'!$A$52="","",'Carla Dresller'!$A$52)</f>
        <v/>
      </c>
      <c r="D125" s="101">
        <f>IF('Carla Dresller'!$B$52="","",'Carla Dresller'!$B$52)</f>
        <v/>
      </c>
      <c r="E125" s="102">
        <f>IF('Carla Dresller'!$C$52="","",'Carla Dresller'!$C$52)</f>
        <v/>
      </c>
      <c r="F125" s="100">
        <f>IF('Carla Dresller'!$D$52="","",'Carla Dresller'!$D$52)</f>
        <v/>
      </c>
      <c r="G125" s="101">
        <f>IF('Carla Dresller'!$E$52="","",'Carla Dresller'!$E$52)</f>
        <v/>
      </c>
      <c r="H125" s="102">
        <f>IF('Carla Dresller'!$F$52="","",'Carla Dresller'!$F$52)</f>
        <v/>
      </c>
      <c r="I125" s="103">
        <f>IF('Carla Dresller'!$G$52="","",'Carla Dresller'!$G$52)</f>
        <v/>
      </c>
      <c r="J125" s="100">
        <f>IF('Carla Dresller'!$H$52="","",'Carla Dresller'!$H$52)</f>
        <v/>
      </c>
      <c r="K125" s="101">
        <f>IF('Carla Dresller'!$I$52="","",'Carla Dresller'!$I$52)</f>
        <v/>
      </c>
      <c r="L125" s="102">
        <f>IF('Carla Dresller'!$J$52="","",'Carla Dresller'!$J$52)</f>
        <v/>
      </c>
      <c r="M125" s="103">
        <f>IF('Carla Dresller'!$K$52="","",'Carla Dresller'!$K$52)</f>
        <v/>
      </c>
      <c r="N125" s="100">
        <f>IF('Carla Dresller'!$L$52="","",'Carla Dresller'!$L$52)</f>
        <v/>
      </c>
      <c r="O125" s="101">
        <f>IF('Carla Dresller'!$M$52="","",'Carla Dresller'!$M$52)</f>
        <v/>
      </c>
      <c r="P125" s="102">
        <f>IF('Carla Dresller'!$N$52="","",'Carla Dresller'!$N$52)</f>
        <v/>
      </c>
      <c r="Q125" s="102">
        <f>IF('Carla Dresller'!$O$52="","",'Carla Dresller'!$O$52)</f>
        <v/>
      </c>
      <c r="R125" s="103">
        <f>IF($C125="","",IF('Carla Dresller'!$F$7="","",'Carla Dresller'!$F$7))</f>
        <v/>
      </c>
      <c r="S125" s="100" t="n"/>
      <c r="T125" s="102" t="n"/>
      <c r="U125" s="102" t="n"/>
      <c r="V125" s="102" t="n"/>
    </row>
    <row r="126">
      <c r="A126" s="100">
        <f>IF($C126="","",'Painel Geral'!$B$21)</f>
        <v/>
      </c>
      <c r="B126" s="100">
        <f>IF($C126="","",'Painel Geral'!$C$21)</f>
        <v/>
      </c>
      <c r="C126" s="100">
        <f>IF('Carla Dresller'!$A$53="","",'Carla Dresller'!$A$53)</f>
        <v/>
      </c>
      <c r="D126" s="101">
        <f>IF('Carla Dresller'!$B$53="","",'Carla Dresller'!$B$53)</f>
        <v/>
      </c>
      <c r="E126" s="102">
        <f>IF('Carla Dresller'!$C$53="","",'Carla Dresller'!$C$53)</f>
        <v/>
      </c>
      <c r="F126" s="100">
        <f>IF('Carla Dresller'!$D$53="","",'Carla Dresller'!$D$53)</f>
        <v/>
      </c>
      <c r="G126" s="101">
        <f>IF('Carla Dresller'!$E$53="","",'Carla Dresller'!$E$53)</f>
        <v/>
      </c>
      <c r="H126" s="102">
        <f>IF('Carla Dresller'!$F$53="","",'Carla Dresller'!$F$53)</f>
        <v/>
      </c>
      <c r="I126" s="103">
        <f>IF('Carla Dresller'!$G$53="","",'Carla Dresller'!$G$53)</f>
        <v/>
      </c>
      <c r="J126" s="100">
        <f>IF('Carla Dresller'!$H$53="","",'Carla Dresller'!$H$53)</f>
        <v/>
      </c>
      <c r="K126" s="101">
        <f>IF('Carla Dresller'!$I$53="","",'Carla Dresller'!$I$53)</f>
        <v/>
      </c>
      <c r="L126" s="102">
        <f>IF('Carla Dresller'!$J$53="","",'Carla Dresller'!$J$53)</f>
        <v/>
      </c>
      <c r="M126" s="103">
        <f>IF('Carla Dresller'!$K$53="","",'Carla Dresller'!$K$53)</f>
        <v/>
      </c>
      <c r="N126" s="100">
        <f>IF('Carla Dresller'!$L$53="","",'Carla Dresller'!$L$53)</f>
        <v/>
      </c>
      <c r="O126" s="101">
        <f>IF('Carla Dresller'!$M$53="","",'Carla Dresller'!$M$53)</f>
        <v/>
      </c>
      <c r="P126" s="102">
        <f>IF('Carla Dresller'!$N$53="","",'Carla Dresller'!$N$53)</f>
        <v/>
      </c>
      <c r="Q126" s="102">
        <f>IF('Carla Dresller'!$O$53="","",'Carla Dresller'!$O$53)</f>
        <v/>
      </c>
      <c r="R126" s="103">
        <f>IF($C126="","",IF('Carla Dresller'!$F$7="","",'Carla Dresller'!$F$7))</f>
        <v/>
      </c>
      <c r="S126" s="100" t="n"/>
      <c r="T126" s="102" t="n"/>
      <c r="U126" s="102" t="n"/>
      <c r="V126" s="102" t="n"/>
    </row>
    <row r="127">
      <c r="A127" s="100">
        <f>IF($C127="","",'Painel Geral'!$B$21)</f>
        <v/>
      </c>
      <c r="B127" s="100">
        <f>IF($C127="","",'Painel Geral'!$C$21)</f>
        <v/>
      </c>
      <c r="C127" s="100">
        <f>IF('Carla Dresller'!$A$54="","",'Carla Dresller'!$A$54)</f>
        <v/>
      </c>
      <c r="D127" s="101">
        <f>IF('Carla Dresller'!$B$54="","",'Carla Dresller'!$B$54)</f>
        <v/>
      </c>
      <c r="E127" s="102">
        <f>IF('Carla Dresller'!$C$54="","",'Carla Dresller'!$C$54)</f>
        <v/>
      </c>
      <c r="F127" s="100">
        <f>IF('Carla Dresller'!$D$54="","",'Carla Dresller'!$D$54)</f>
        <v/>
      </c>
      <c r="G127" s="101">
        <f>IF('Carla Dresller'!$E$54="","",'Carla Dresller'!$E$54)</f>
        <v/>
      </c>
      <c r="H127" s="102">
        <f>IF('Carla Dresller'!$F$54="","",'Carla Dresller'!$F$54)</f>
        <v/>
      </c>
      <c r="I127" s="103">
        <f>IF('Carla Dresller'!$G$54="","",'Carla Dresller'!$G$54)</f>
        <v/>
      </c>
      <c r="J127" s="100">
        <f>IF('Carla Dresller'!$H$54="","",'Carla Dresller'!$H$54)</f>
        <v/>
      </c>
      <c r="K127" s="101">
        <f>IF('Carla Dresller'!$I$54="","",'Carla Dresller'!$I$54)</f>
        <v/>
      </c>
      <c r="L127" s="102">
        <f>IF('Carla Dresller'!$J$54="","",'Carla Dresller'!$J$54)</f>
        <v/>
      </c>
      <c r="M127" s="103">
        <f>IF('Carla Dresller'!$K$54="","",'Carla Dresller'!$K$54)</f>
        <v/>
      </c>
      <c r="N127" s="100">
        <f>IF('Carla Dresller'!$L$54="","",'Carla Dresller'!$L$54)</f>
        <v/>
      </c>
      <c r="O127" s="101">
        <f>IF('Carla Dresller'!$M$54="","",'Carla Dresller'!$M$54)</f>
        <v/>
      </c>
      <c r="P127" s="102">
        <f>IF('Carla Dresller'!$N$54="","",'Carla Dresller'!$N$54)</f>
        <v/>
      </c>
      <c r="Q127" s="102">
        <f>IF('Carla Dresller'!$O$54="","",'Carla Dresller'!$O$54)</f>
        <v/>
      </c>
      <c r="R127" s="103">
        <f>IF($C127="","",IF('Carla Dresller'!$F$7="","",'Carla Dresller'!$F$7))</f>
        <v/>
      </c>
      <c r="S127" s="100" t="n"/>
      <c r="T127" s="102" t="n"/>
      <c r="U127" s="102" t="n"/>
      <c r="V127" s="102" t="n"/>
    </row>
    <row r="128">
      <c r="A128" s="100">
        <f>IF($C128="","",'Painel Geral'!$B$21)</f>
        <v/>
      </c>
      <c r="B128" s="100">
        <f>IF($C128="","",'Painel Geral'!$C$21)</f>
        <v/>
      </c>
      <c r="C128" s="100">
        <f>IF('Carla Dresller'!$A$55="","",'Carla Dresller'!$A$55)</f>
        <v/>
      </c>
      <c r="D128" s="101">
        <f>IF('Carla Dresller'!$B$55="","",'Carla Dresller'!$B$55)</f>
        <v/>
      </c>
      <c r="E128" s="102">
        <f>IF('Carla Dresller'!$C$55="","",'Carla Dresller'!$C$55)</f>
        <v/>
      </c>
      <c r="F128" s="100">
        <f>IF('Carla Dresller'!$D$55="","",'Carla Dresller'!$D$55)</f>
        <v/>
      </c>
      <c r="G128" s="101">
        <f>IF('Carla Dresller'!$E$55="","",'Carla Dresller'!$E$55)</f>
        <v/>
      </c>
      <c r="H128" s="102">
        <f>IF('Carla Dresller'!$F$55="","",'Carla Dresller'!$F$55)</f>
        <v/>
      </c>
      <c r="I128" s="103">
        <f>IF('Carla Dresller'!$G$55="","",'Carla Dresller'!$G$55)</f>
        <v/>
      </c>
      <c r="J128" s="100">
        <f>IF('Carla Dresller'!$H$55="","",'Carla Dresller'!$H$55)</f>
        <v/>
      </c>
      <c r="K128" s="101">
        <f>IF('Carla Dresller'!$I$55="","",'Carla Dresller'!$I$55)</f>
        <v/>
      </c>
      <c r="L128" s="102">
        <f>IF('Carla Dresller'!$J$55="","",'Carla Dresller'!$J$55)</f>
        <v/>
      </c>
      <c r="M128" s="103">
        <f>IF('Carla Dresller'!$K$55="","",'Carla Dresller'!$K$55)</f>
        <v/>
      </c>
      <c r="N128" s="100">
        <f>IF('Carla Dresller'!$L$55="","",'Carla Dresller'!$L$55)</f>
        <v/>
      </c>
      <c r="O128" s="101">
        <f>IF('Carla Dresller'!$M$55="","",'Carla Dresller'!$M$55)</f>
        <v/>
      </c>
      <c r="P128" s="102">
        <f>IF('Carla Dresller'!$N$55="","",'Carla Dresller'!$N$55)</f>
        <v/>
      </c>
      <c r="Q128" s="102">
        <f>IF('Carla Dresller'!$O$55="","",'Carla Dresller'!$O$55)</f>
        <v/>
      </c>
      <c r="R128" s="103">
        <f>IF($C128="","",IF('Carla Dresller'!$F$7="","",'Carla Dresller'!$F$7))</f>
        <v/>
      </c>
      <c r="S128" s="100" t="n"/>
      <c r="T128" s="102" t="n"/>
      <c r="U128" s="102" t="n"/>
      <c r="V128" s="102" t="n"/>
    </row>
    <row r="129">
      <c r="A129" s="100">
        <f>IF($C129="","",'Painel Geral'!$B$21)</f>
        <v/>
      </c>
      <c r="B129" s="100">
        <f>IF($C129="","",'Painel Geral'!$C$21)</f>
        <v/>
      </c>
      <c r="C129" s="100">
        <f>IF('Carla Dresller'!$A$56="","",'Carla Dresller'!$A$56)</f>
        <v/>
      </c>
      <c r="D129" s="101">
        <f>IF('Carla Dresller'!$B$56="","",'Carla Dresller'!$B$56)</f>
        <v/>
      </c>
      <c r="E129" s="102">
        <f>IF('Carla Dresller'!$C$56="","",'Carla Dresller'!$C$56)</f>
        <v/>
      </c>
      <c r="F129" s="100">
        <f>IF('Carla Dresller'!$D$56="","",'Carla Dresller'!$D$56)</f>
        <v/>
      </c>
      <c r="G129" s="101">
        <f>IF('Carla Dresller'!$E$56="","",'Carla Dresller'!$E$56)</f>
        <v/>
      </c>
      <c r="H129" s="102">
        <f>IF('Carla Dresller'!$F$56="","",'Carla Dresller'!$F$56)</f>
        <v/>
      </c>
      <c r="I129" s="103">
        <f>IF('Carla Dresller'!$G$56="","",'Carla Dresller'!$G$56)</f>
        <v/>
      </c>
      <c r="J129" s="100">
        <f>IF('Carla Dresller'!$H$56="","",'Carla Dresller'!$H$56)</f>
        <v/>
      </c>
      <c r="K129" s="101">
        <f>IF('Carla Dresller'!$I$56="","",'Carla Dresller'!$I$56)</f>
        <v/>
      </c>
      <c r="L129" s="102">
        <f>IF('Carla Dresller'!$J$56="","",'Carla Dresller'!$J$56)</f>
        <v/>
      </c>
      <c r="M129" s="103">
        <f>IF('Carla Dresller'!$K$56="","",'Carla Dresller'!$K$56)</f>
        <v/>
      </c>
      <c r="N129" s="100">
        <f>IF('Carla Dresller'!$L$56="","",'Carla Dresller'!$L$56)</f>
        <v/>
      </c>
      <c r="O129" s="101">
        <f>IF('Carla Dresller'!$M$56="","",'Carla Dresller'!$M$56)</f>
        <v/>
      </c>
      <c r="P129" s="102">
        <f>IF('Carla Dresller'!$N$56="","",'Carla Dresller'!$N$56)</f>
        <v/>
      </c>
      <c r="Q129" s="102">
        <f>IF('Carla Dresller'!$O$56="","",'Carla Dresller'!$O$56)</f>
        <v/>
      </c>
      <c r="R129" s="103">
        <f>IF($C129="","",IF('Carla Dresller'!$F$7="","",'Carla Dresller'!$F$7))</f>
        <v/>
      </c>
      <c r="S129" s="100" t="n"/>
      <c r="T129" s="102" t="n"/>
      <c r="U129" s="102" t="n"/>
      <c r="V129" s="102" t="n"/>
    </row>
    <row r="130">
      <c r="A130" s="100">
        <f>IF($C130="","",'Painel Geral'!$B$21)</f>
        <v/>
      </c>
      <c r="B130" s="100">
        <f>IF($C130="","",'Painel Geral'!$C$21)</f>
        <v/>
      </c>
      <c r="C130" s="100">
        <f>IF('Carla Dresller'!$A$57="","",'Carla Dresller'!$A$57)</f>
        <v/>
      </c>
      <c r="D130" s="101">
        <f>IF('Carla Dresller'!$B$57="","",'Carla Dresller'!$B$57)</f>
        <v/>
      </c>
      <c r="E130" s="102">
        <f>IF('Carla Dresller'!$C$57="","",'Carla Dresller'!$C$57)</f>
        <v/>
      </c>
      <c r="F130" s="100">
        <f>IF('Carla Dresller'!$D$57="","",'Carla Dresller'!$D$57)</f>
        <v/>
      </c>
      <c r="G130" s="101">
        <f>IF('Carla Dresller'!$E$57="","",'Carla Dresller'!$E$57)</f>
        <v/>
      </c>
      <c r="H130" s="102">
        <f>IF('Carla Dresller'!$F$57="","",'Carla Dresller'!$F$57)</f>
        <v/>
      </c>
      <c r="I130" s="103">
        <f>IF('Carla Dresller'!$G$57="","",'Carla Dresller'!$G$57)</f>
        <v/>
      </c>
      <c r="J130" s="100">
        <f>IF('Carla Dresller'!$H$57="","",'Carla Dresller'!$H$57)</f>
        <v/>
      </c>
      <c r="K130" s="101">
        <f>IF('Carla Dresller'!$I$57="","",'Carla Dresller'!$I$57)</f>
        <v/>
      </c>
      <c r="L130" s="102">
        <f>IF('Carla Dresller'!$J$57="","",'Carla Dresller'!$J$57)</f>
        <v/>
      </c>
      <c r="M130" s="103">
        <f>IF('Carla Dresller'!$K$57="","",'Carla Dresller'!$K$57)</f>
        <v/>
      </c>
      <c r="N130" s="100">
        <f>IF('Carla Dresller'!$L$57="","",'Carla Dresller'!$L$57)</f>
        <v/>
      </c>
      <c r="O130" s="101">
        <f>IF('Carla Dresller'!$M$57="","",'Carla Dresller'!$M$57)</f>
        <v/>
      </c>
      <c r="P130" s="102">
        <f>IF('Carla Dresller'!$N$57="","",'Carla Dresller'!$N$57)</f>
        <v/>
      </c>
      <c r="Q130" s="102">
        <f>IF('Carla Dresller'!$O$57="","",'Carla Dresller'!$O$57)</f>
        <v/>
      </c>
      <c r="R130" s="103">
        <f>IF($C130="","",IF('Carla Dresller'!$F$7="","",'Carla Dresller'!$F$7))</f>
        <v/>
      </c>
      <c r="S130" s="100" t="n"/>
      <c r="T130" s="102" t="n"/>
      <c r="U130" s="102" t="n"/>
      <c r="V130" s="102" t="n"/>
    </row>
    <row r="131">
      <c r="A131" s="100">
        <f>IF($C131="","",'Painel Geral'!$B$21)</f>
        <v/>
      </c>
      <c r="B131" s="100">
        <f>IF($C131="","",'Painel Geral'!$C$21)</f>
        <v/>
      </c>
      <c r="C131" s="100">
        <f>IF('Carla Dresller'!$A$58="","",'Carla Dresller'!$A$58)</f>
        <v/>
      </c>
      <c r="D131" s="101">
        <f>IF('Carla Dresller'!$B$58="","",'Carla Dresller'!$B$58)</f>
        <v/>
      </c>
      <c r="E131" s="102">
        <f>IF('Carla Dresller'!$C$58="","",'Carla Dresller'!$C$58)</f>
        <v/>
      </c>
      <c r="F131" s="100">
        <f>IF('Carla Dresller'!$D$58="","",'Carla Dresller'!$D$58)</f>
        <v/>
      </c>
      <c r="G131" s="101">
        <f>IF('Carla Dresller'!$E$58="","",'Carla Dresller'!$E$58)</f>
        <v/>
      </c>
      <c r="H131" s="102">
        <f>IF('Carla Dresller'!$F$58="","",'Carla Dresller'!$F$58)</f>
        <v/>
      </c>
      <c r="I131" s="103">
        <f>IF('Carla Dresller'!$G$58="","",'Carla Dresller'!$G$58)</f>
        <v/>
      </c>
      <c r="J131" s="100">
        <f>IF('Carla Dresller'!$H$58="","",'Carla Dresller'!$H$58)</f>
        <v/>
      </c>
      <c r="K131" s="101">
        <f>IF('Carla Dresller'!$I$58="","",'Carla Dresller'!$I$58)</f>
        <v/>
      </c>
      <c r="L131" s="102">
        <f>IF('Carla Dresller'!$J$58="","",'Carla Dresller'!$J$58)</f>
        <v/>
      </c>
      <c r="M131" s="103">
        <f>IF('Carla Dresller'!$K$58="","",'Carla Dresller'!$K$58)</f>
        <v/>
      </c>
      <c r="N131" s="100">
        <f>IF('Carla Dresller'!$L$58="","",'Carla Dresller'!$L$58)</f>
        <v/>
      </c>
      <c r="O131" s="101">
        <f>IF('Carla Dresller'!$M$58="","",'Carla Dresller'!$M$58)</f>
        <v/>
      </c>
      <c r="P131" s="102">
        <f>IF('Carla Dresller'!$N$58="","",'Carla Dresller'!$N$58)</f>
        <v/>
      </c>
      <c r="Q131" s="102">
        <f>IF('Carla Dresller'!$O$58="","",'Carla Dresller'!$O$58)</f>
        <v/>
      </c>
      <c r="R131" s="103">
        <f>IF($C131="","",IF('Carla Dresller'!$F$7="","",'Carla Dresller'!$F$7))</f>
        <v/>
      </c>
      <c r="S131" s="100" t="n"/>
      <c r="T131" s="102" t="n"/>
      <c r="U131" s="102" t="n"/>
      <c r="V131" s="102" t="n"/>
    </row>
    <row r="132">
      <c r="A132" s="100">
        <f>IF($C132="","",'Painel Geral'!$B$21)</f>
        <v/>
      </c>
      <c r="B132" s="100">
        <f>IF($C132="","",'Painel Geral'!$C$21)</f>
        <v/>
      </c>
      <c r="C132" s="100">
        <f>IF('Carla Dresller'!$A$59="","",'Carla Dresller'!$A$59)</f>
        <v/>
      </c>
      <c r="D132" s="101">
        <f>IF('Carla Dresller'!$B$59="","",'Carla Dresller'!$B$59)</f>
        <v/>
      </c>
      <c r="E132" s="102">
        <f>IF('Carla Dresller'!$C$59="","",'Carla Dresller'!$C$59)</f>
        <v/>
      </c>
      <c r="F132" s="100">
        <f>IF('Carla Dresller'!$D$59="","",'Carla Dresller'!$D$59)</f>
        <v/>
      </c>
      <c r="G132" s="101">
        <f>IF('Carla Dresller'!$E$59="","",'Carla Dresller'!$E$59)</f>
        <v/>
      </c>
      <c r="H132" s="102">
        <f>IF('Carla Dresller'!$F$59="","",'Carla Dresller'!$F$59)</f>
        <v/>
      </c>
      <c r="I132" s="103">
        <f>IF('Carla Dresller'!$G$59="","",'Carla Dresller'!$G$59)</f>
        <v/>
      </c>
      <c r="J132" s="100">
        <f>IF('Carla Dresller'!$H$59="","",'Carla Dresller'!$H$59)</f>
        <v/>
      </c>
      <c r="K132" s="101">
        <f>IF('Carla Dresller'!$I$59="","",'Carla Dresller'!$I$59)</f>
        <v/>
      </c>
      <c r="L132" s="102">
        <f>IF('Carla Dresller'!$J$59="","",'Carla Dresller'!$J$59)</f>
        <v/>
      </c>
      <c r="M132" s="103">
        <f>IF('Carla Dresller'!$K$59="","",'Carla Dresller'!$K$59)</f>
        <v/>
      </c>
      <c r="N132" s="100">
        <f>IF('Carla Dresller'!$L$59="","",'Carla Dresller'!$L$59)</f>
        <v/>
      </c>
      <c r="O132" s="101">
        <f>IF('Carla Dresller'!$M$59="","",'Carla Dresller'!$M$59)</f>
        <v/>
      </c>
      <c r="P132" s="102">
        <f>IF('Carla Dresller'!$N$59="","",'Carla Dresller'!$N$59)</f>
        <v/>
      </c>
      <c r="Q132" s="102">
        <f>IF('Carla Dresller'!$O$59="","",'Carla Dresller'!$O$59)</f>
        <v/>
      </c>
      <c r="R132" s="103">
        <f>IF($C132="","",IF('Carla Dresller'!$F$7="","",'Carla Dresller'!$F$7))</f>
        <v/>
      </c>
      <c r="S132" s="100" t="n"/>
      <c r="T132" s="102" t="n"/>
      <c r="U132" s="102" t="n"/>
      <c r="V132" s="102" t="n"/>
    </row>
    <row r="133">
      <c r="A133" s="100">
        <f>IF($C133="","",'Painel Geral'!$B$21)</f>
        <v/>
      </c>
      <c r="B133" s="100">
        <f>IF($C133="","",'Painel Geral'!$C$21)</f>
        <v/>
      </c>
      <c r="C133" s="100">
        <f>IF('Carla Dresller'!$A$60="","",'Carla Dresller'!$A$60)</f>
        <v/>
      </c>
      <c r="D133" s="101">
        <f>IF('Carla Dresller'!$B$60="","",'Carla Dresller'!$B$60)</f>
        <v/>
      </c>
      <c r="E133" s="102">
        <f>IF('Carla Dresller'!$C$60="","",'Carla Dresller'!$C$60)</f>
        <v/>
      </c>
      <c r="F133" s="100">
        <f>IF('Carla Dresller'!$D$60="","",'Carla Dresller'!$D$60)</f>
        <v/>
      </c>
      <c r="G133" s="101">
        <f>IF('Carla Dresller'!$E$60="","",'Carla Dresller'!$E$60)</f>
        <v/>
      </c>
      <c r="H133" s="102">
        <f>IF('Carla Dresller'!$F$60="","",'Carla Dresller'!$F$60)</f>
        <v/>
      </c>
      <c r="I133" s="103">
        <f>IF('Carla Dresller'!$G$60="","",'Carla Dresller'!$G$60)</f>
        <v/>
      </c>
      <c r="J133" s="100">
        <f>IF('Carla Dresller'!$H$60="","",'Carla Dresller'!$H$60)</f>
        <v/>
      </c>
      <c r="K133" s="101">
        <f>IF('Carla Dresller'!$I$60="","",'Carla Dresller'!$I$60)</f>
        <v/>
      </c>
      <c r="L133" s="102">
        <f>IF('Carla Dresller'!$J$60="","",'Carla Dresller'!$J$60)</f>
        <v/>
      </c>
      <c r="M133" s="103">
        <f>IF('Carla Dresller'!$K$60="","",'Carla Dresller'!$K$60)</f>
        <v/>
      </c>
      <c r="N133" s="100">
        <f>IF('Carla Dresller'!$L$60="","",'Carla Dresller'!$L$60)</f>
        <v/>
      </c>
      <c r="O133" s="101">
        <f>IF('Carla Dresller'!$M$60="","",'Carla Dresller'!$M$60)</f>
        <v/>
      </c>
      <c r="P133" s="102">
        <f>IF('Carla Dresller'!$N$60="","",'Carla Dresller'!$N$60)</f>
        <v/>
      </c>
      <c r="Q133" s="102">
        <f>IF('Carla Dresller'!$O$60="","",'Carla Dresller'!$O$60)</f>
        <v/>
      </c>
      <c r="R133" s="103">
        <f>IF($C133="","",IF('Carla Dresller'!$F$7="","",'Carla Dresller'!$F$7))</f>
        <v/>
      </c>
      <c r="S133" s="100" t="n"/>
      <c r="T133" s="102" t="n"/>
      <c r="U133" s="102" t="n"/>
      <c r="V133" s="102" t="n"/>
    </row>
    <row r="134">
      <c r="A134" s="100">
        <f>IF($C134="","",'Painel Geral'!$B$22)</f>
        <v/>
      </c>
      <c r="B134" s="100">
        <f>IF($C134="","",'Painel Geral'!$C$22)</f>
        <v/>
      </c>
      <c r="C134" s="100">
        <f>IF('Maria '!$A$49="","",'Maria '!$A$49)</f>
        <v/>
      </c>
      <c r="D134" s="101">
        <f>IF('Maria '!$B$49="","",'Maria '!$B$49)</f>
        <v/>
      </c>
      <c r="E134" s="102">
        <f>IF('Maria '!$C$49="","",'Maria '!$C$49)</f>
        <v/>
      </c>
      <c r="F134" s="100">
        <f>IF('Maria '!$D$49="","",'Maria '!$D$49)</f>
        <v/>
      </c>
      <c r="G134" s="101">
        <f>IF('Maria '!$E$49="","",'Maria '!$E$49)</f>
        <v/>
      </c>
      <c r="H134" s="102">
        <f>IF('Maria '!$F$49="","",'Maria '!$F$49)</f>
        <v/>
      </c>
      <c r="I134" s="103">
        <f>IF('Maria '!$G$49="","",'Maria '!$G$49)</f>
        <v/>
      </c>
      <c r="J134" s="100">
        <f>IF('Maria '!$H$49="","",'Maria '!$H$49)</f>
        <v/>
      </c>
      <c r="K134" s="101">
        <f>IF('Maria '!$I$49="","",'Maria '!$I$49)</f>
        <v/>
      </c>
      <c r="L134" s="102">
        <f>IF('Maria '!$J$49="","",'Maria '!$J$49)</f>
        <v/>
      </c>
      <c r="M134" s="103">
        <f>IF('Maria '!$K$49="","",'Maria '!$K$49)</f>
        <v/>
      </c>
      <c r="N134" s="100">
        <f>IF('Maria '!$L$49="","",'Maria '!$L$49)</f>
        <v/>
      </c>
      <c r="O134" s="101">
        <f>IF('Maria '!$M$49="","",'Maria '!$M$49)</f>
        <v/>
      </c>
      <c r="P134" s="102">
        <f>IF('Maria '!$N$49="","",'Maria '!$N$49)</f>
        <v/>
      </c>
      <c r="Q134" s="102">
        <f>IF('Maria '!$O$49="","",'Maria '!$O$49)</f>
        <v/>
      </c>
      <c r="R134" s="103">
        <f>IF($C134="","",IF('Maria '!$F$7="","",'Maria '!$F$7))</f>
        <v/>
      </c>
      <c r="S134" s="100">
        <f>IF($C134="","",IF('Maria '!$F$9="","",'Maria '!$F$9))</f>
        <v/>
      </c>
      <c r="T134" s="102">
        <f>IF($C134="","",IF('Maria '!$D$65="",0,'Maria '!$D$65))</f>
        <v/>
      </c>
      <c r="U134" s="102">
        <f>IF($C134="","",IF('Maria '!$D$45="",0,'Maria '!$D$45))</f>
        <v/>
      </c>
      <c r="V134" s="102">
        <f>IF($C134="","",IF('Maria '!$A$13="",0,'Maria '!$A$13))</f>
        <v/>
      </c>
    </row>
    <row r="135">
      <c r="A135" s="100">
        <f>IF($C135="","",'Painel Geral'!$B$22)</f>
        <v/>
      </c>
      <c r="B135" s="100">
        <f>IF($C135="","",'Painel Geral'!$C$22)</f>
        <v/>
      </c>
      <c r="C135" s="100">
        <f>IF('Maria '!$A$50="","",'Maria '!$A$50)</f>
        <v/>
      </c>
      <c r="D135" s="101">
        <f>IF('Maria '!$B$50="","",'Maria '!$B$50)</f>
        <v/>
      </c>
      <c r="E135" s="102">
        <f>IF('Maria '!$C$50="","",'Maria '!$C$50)</f>
        <v/>
      </c>
      <c r="F135" s="100">
        <f>IF('Maria '!$D$50="","",'Maria '!$D$50)</f>
        <v/>
      </c>
      <c r="G135" s="101">
        <f>IF('Maria '!$E$50="","",'Maria '!$E$50)</f>
        <v/>
      </c>
      <c r="H135" s="102">
        <f>IF('Maria '!$F$50="","",'Maria '!$F$50)</f>
        <v/>
      </c>
      <c r="I135" s="103">
        <f>IF('Maria '!$G$50="","",'Maria '!$G$50)</f>
        <v/>
      </c>
      <c r="J135" s="100">
        <f>IF('Maria '!$H$50="","",'Maria '!$H$50)</f>
        <v/>
      </c>
      <c r="K135" s="101">
        <f>IF('Maria '!$I$50="","",'Maria '!$I$50)</f>
        <v/>
      </c>
      <c r="L135" s="102">
        <f>IF('Maria '!$J$50="","",'Maria '!$J$50)</f>
        <v/>
      </c>
      <c r="M135" s="103">
        <f>IF('Maria '!$K$50="","",'Maria '!$K$50)</f>
        <v/>
      </c>
      <c r="N135" s="100">
        <f>IF('Maria '!$L$50="","",'Maria '!$L$50)</f>
        <v/>
      </c>
      <c r="O135" s="101">
        <f>IF('Maria '!$M$50="","",'Maria '!$M$50)</f>
        <v/>
      </c>
      <c r="P135" s="102">
        <f>IF('Maria '!$N$50="","",'Maria '!$N$50)</f>
        <v/>
      </c>
      <c r="Q135" s="102">
        <f>IF('Maria '!$O$50="","",'Maria '!$O$50)</f>
        <v/>
      </c>
      <c r="R135" s="103">
        <f>IF($C135="","",IF('Maria '!$F$7="","",'Maria '!$F$7))</f>
        <v/>
      </c>
      <c r="S135" s="100" t="n"/>
      <c r="T135" s="102" t="n"/>
      <c r="U135" s="102" t="n"/>
      <c r="V135" s="102" t="n"/>
    </row>
    <row r="136">
      <c r="A136" s="100">
        <f>IF($C136="","",'Painel Geral'!$B$22)</f>
        <v/>
      </c>
      <c r="B136" s="100">
        <f>IF($C136="","",'Painel Geral'!$C$22)</f>
        <v/>
      </c>
      <c r="C136" s="100">
        <f>IF('Maria '!$A$51="","",'Maria '!$A$51)</f>
        <v/>
      </c>
      <c r="D136" s="101">
        <f>IF('Maria '!$B$51="","",'Maria '!$B$51)</f>
        <v/>
      </c>
      <c r="E136" s="102">
        <f>IF('Maria '!$C$51="","",'Maria '!$C$51)</f>
        <v/>
      </c>
      <c r="F136" s="100">
        <f>IF('Maria '!$D$51="","",'Maria '!$D$51)</f>
        <v/>
      </c>
      <c r="G136" s="101">
        <f>IF('Maria '!$E$51="","",'Maria '!$E$51)</f>
        <v/>
      </c>
      <c r="H136" s="102">
        <f>IF('Maria '!$F$51="","",'Maria '!$F$51)</f>
        <v/>
      </c>
      <c r="I136" s="103">
        <f>IF('Maria '!$G$51="","",'Maria '!$G$51)</f>
        <v/>
      </c>
      <c r="J136" s="100">
        <f>IF('Maria '!$H$51="","",'Maria '!$H$51)</f>
        <v/>
      </c>
      <c r="K136" s="101">
        <f>IF('Maria '!$I$51="","",'Maria '!$I$51)</f>
        <v/>
      </c>
      <c r="L136" s="102">
        <f>IF('Maria '!$J$51="","",'Maria '!$J$51)</f>
        <v/>
      </c>
      <c r="M136" s="103">
        <f>IF('Maria '!$K$51="","",'Maria '!$K$51)</f>
        <v/>
      </c>
      <c r="N136" s="100">
        <f>IF('Maria '!$L$51="","",'Maria '!$L$51)</f>
        <v/>
      </c>
      <c r="O136" s="101">
        <f>IF('Maria '!$M$51="","",'Maria '!$M$51)</f>
        <v/>
      </c>
      <c r="P136" s="102">
        <f>IF('Maria '!$N$51="","",'Maria '!$N$51)</f>
        <v/>
      </c>
      <c r="Q136" s="102">
        <f>IF('Maria '!$O$51="","",'Maria '!$O$51)</f>
        <v/>
      </c>
      <c r="R136" s="103">
        <f>IF($C136="","",IF('Maria '!$F$7="","",'Maria '!$F$7))</f>
        <v/>
      </c>
      <c r="S136" s="100" t="n"/>
      <c r="T136" s="102" t="n"/>
      <c r="U136" s="102" t="n"/>
      <c r="V136" s="102" t="n"/>
    </row>
    <row r="137">
      <c r="A137" s="100">
        <f>IF($C137="","",'Painel Geral'!$B$22)</f>
        <v/>
      </c>
      <c r="B137" s="100">
        <f>IF($C137="","",'Painel Geral'!$C$22)</f>
        <v/>
      </c>
      <c r="C137" s="100">
        <f>IF('Maria '!$A$52="","",'Maria '!$A$52)</f>
        <v/>
      </c>
      <c r="D137" s="101">
        <f>IF('Maria '!$B$52="","",'Maria '!$B$52)</f>
        <v/>
      </c>
      <c r="E137" s="102">
        <f>IF('Maria '!$C$52="","",'Maria '!$C$52)</f>
        <v/>
      </c>
      <c r="F137" s="100">
        <f>IF('Maria '!$D$52="","",'Maria '!$D$52)</f>
        <v/>
      </c>
      <c r="G137" s="101">
        <f>IF('Maria '!$E$52="","",'Maria '!$E$52)</f>
        <v/>
      </c>
      <c r="H137" s="102">
        <f>IF('Maria '!$F$52="","",'Maria '!$F$52)</f>
        <v/>
      </c>
      <c r="I137" s="103">
        <f>IF('Maria '!$G$52="","",'Maria '!$G$52)</f>
        <v/>
      </c>
      <c r="J137" s="100">
        <f>IF('Maria '!$H$52="","",'Maria '!$H$52)</f>
        <v/>
      </c>
      <c r="K137" s="101">
        <f>IF('Maria '!$I$52="","",'Maria '!$I$52)</f>
        <v/>
      </c>
      <c r="L137" s="102">
        <f>IF('Maria '!$J$52="","",'Maria '!$J$52)</f>
        <v/>
      </c>
      <c r="M137" s="103">
        <f>IF('Maria '!$K$52="","",'Maria '!$K$52)</f>
        <v/>
      </c>
      <c r="N137" s="100">
        <f>IF('Maria '!$L$52="","",'Maria '!$L$52)</f>
        <v/>
      </c>
      <c r="O137" s="101">
        <f>IF('Maria '!$M$52="","",'Maria '!$M$52)</f>
        <v/>
      </c>
      <c r="P137" s="102">
        <f>IF('Maria '!$N$52="","",'Maria '!$N$52)</f>
        <v/>
      </c>
      <c r="Q137" s="102">
        <f>IF('Maria '!$O$52="","",'Maria '!$O$52)</f>
        <v/>
      </c>
      <c r="R137" s="103">
        <f>IF($C137="","",IF('Maria '!$F$7="","",'Maria '!$F$7))</f>
        <v/>
      </c>
      <c r="S137" s="100" t="n"/>
      <c r="T137" s="102" t="n"/>
      <c r="U137" s="102" t="n"/>
      <c r="V137" s="102" t="n"/>
    </row>
    <row r="138">
      <c r="A138" s="100">
        <f>IF($C138="","",'Painel Geral'!$B$22)</f>
        <v/>
      </c>
      <c r="B138" s="100">
        <f>IF($C138="","",'Painel Geral'!$C$22)</f>
        <v/>
      </c>
      <c r="C138" s="100">
        <f>IF('Maria '!$A$53="","",'Maria '!$A$53)</f>
        <v/>
      </c>
      <c r="D138" s="101">
        <f>IF('Maria '!$B$53="","",'Maria '!$B$53)</f>
        <v/>
      </c>
      <c r="E138" s="102">
        <f>IF('Maria '!$C$53="","",'Maria '!$C$53)</f>
        <v/>
      </c>
      <c r="F138" s="100">
        <f>IF('Maria '!$D$53="","",'Maria '!$D$53)</f>
        <v/>
      </c>
      <c r="G138" s="101">
        <f>IF('Maria '!$E$53="","",'Maria '!$E$53)</f>
        <v/>
      </c>
      <c r="H138" s="102">
        <f>IF('Maria '!$F$53="","",'Maria '!$F$53)</f>
        <v/>
      </c>
      <c r="I138" s="103">
        <f>IF('Maria '!$G$53="","",'Maria '!$G$53)</f>
        <v/>
      </c>
      <c r="J138" s="100">
        <f>IF('Maria '!$H$53="","",'Maria '!$H$53)</f>
        <v/>
      </c>
      <c r="K138" s="101">
        <f>IF('Maria '!$I$53="","",'Maria '!$I$53)</f>
        <v/>
      </c>
      <c r="L138" s="102">
        <f>IF('Maria '!$J$53="","",'Maria '!$J$53)</f>
        <v/>
      </c>
      <c r="M138" s="103">
        <f>IF('Maria '!$K$53="","",'Maria '!$K$53)</f>
        <v/>
      </c>
      <c r="N138" s="100">
        <f>IF('Maria '!$L$53="","",'Maria '!$L$53)</f>
        <v/>
      </c>
      <c r="O138" s="101">
        <f>IF('Maria '!$M$53="","",'Maria '!$M$53)</f>
        <v/>
      </c>
      <c r="P138" s="102">
        <f>IF('Maria '!$N$53="","",'Maria '!$N$53)</f>
        <v/>
      </c>
      <c r="Q138" s="102">
        <f>IF('Maria '!$O$53="","",'Maria '!$O$53)</f>
        <v/>
      </c>
      <c r="R138" s="103">
        <f>IF($C138="","",IF('Maria '!$F$7="","",'Maria '!$F$7))</f>
        <v/>
      </c>
      <c r="S138" s="100" t="n"/>
      <c r="T138" s="102" t="n"/>
      <c r="U138" s="102" t="n"/>
      <c r="V138" s="102" t="n"/>
    </row>
    <row r="139">
      <c r="A139" s="100">
        <f>IF($C139="","",'Painel Geral'!$B$22)</f>
        <v/>
      </c>
      <c r="B139" s="100">
        <f>IF($C139="","",'Painel Geral'!$C$22)</f>
        <v/>
      </c>
      <c r="C139" s="100">
        <f>IF('Maria '!$A$54="","",'Maria '!$A$54)</f>
        <v/>
      </c>
      <c r="D139" s="101">
        <f>IF('Maria '!$B$54="","",'Maria '!$B$54)</f>
        <v/>
      </c>
      <c r="E139" s="102">
        <f>IF('Maria '!$C$54="","",'Maria '!$C$54)</f>
        <v/>
      </c>
      <c r="F139" s="100">
        <f>IF('Maria '!$D$54="","",'Maria '!$D$54)</f>
        <v/>
      </c>
      <c r="G139" s="101">
        <f>IF('Maria '!$E$54="","",'Maria '!$E$54)</f>
        <v/>
      </c>
      <c r="H139" s="102">
        <f>IF('Maria '!$F$54="","",'Maria '!$F$54)</f>
        <v/>
      </c>
      <c r="I139" s="103">
        <f>IF('Maria '!$G$54="","",'Maria '!$G$54)</f>
        <v/>
      </c>
      <c r="J139" s="100">
        <f>IF('Maria '!$H$54="","",'Maria '!$H$54)</f>
        <v/>
      </c>
      <c r="K139" s="101">
        <f>IF('Maria '!$I$54="","",'Maria '!$I$54)</f>
        <v/>
      </c>
      <c r="L139" s="102">
        <f>IF('Maria '!$J$54="","",'Maria '!$J$54)</f>
        <v/>
      </c>
      <c r="M139" s="103">
        <f>IF('Maria '!$K$54="","",'Maria '!$K$54)</f>
        <v/>
      </c>
      <c r="N139" s="100">
        <f>IF('Maria '!$L$54="","",'Maria '!$L$54)</f>
        <v/>
      </c>
      <c r="O139" s="101">
        <f>IF('Maria '!$M$54="","",'Maria '!$M$54)</f>
        <v/>
      </c>
      <c r="P139" s="102">
        <f>IF('Maria '!$N$54="","",'Maria '!$N$54)</f>
        <v/>
      </c>
      <c r="Q139" s="102">
        <f>IF('Maria '!$O$54="","",'Maria '!$O$54)</f>
        <v/>
      </c>
      <c r="R139" s="103">
        <f>IF($C139="","",IF('Maria '!$F$7="","",'Maria '!$F$7))</f>
        <v/>
      </c>
      <c r="S139" s="100" t="n"/>
      <c r="T139" s="102" t="n"/>
      <c r="U139" s="102" t="n"/>
      <c r="V139" s="102" t="n"/>
    </row>
    <row r="140">
      <c r="A140" s="100">
        <f>IF($C140="","",'Painel Geral'!$B$22)</f>
        <v/>
      </c>
      <c r="B140" s="100">
        <f>IF($C140="","",'Painel Geral'!$C$22)</f>
        <v/>
      </c>
      <c r="C140" s="100">
        <f>IF('Maria '!$A$55="","",'Maria '!$A$55)</f>
        <v/>
      </c>
      <c r="D140" s="101">
        <f>IF('Maria '!$B$55="","",'Maria '!$B$55)</f>
        <v/>
      </c>
      <c r="E140" s="102">
        <f>IF('Maria '!$C$55="","",'Maria '!$C$55)</f>
        <v/>
      </c>
      <c r="F140" s="100">
        <f>IF('Maria '!$D$55="","",'Maria '!$D$55)</f>
        <v/>
      </c>
      <c r="G140" s="101">
        <f>IF('Maria '!$E$55="","",'Maria '!$E$55)</f>
        <v/>
      </c>
      <c r="H140" s="102">
        <f>IF('Maria '!$F$55="","",'Maria '!$F$55)</f>
        <v/>
      </c>
      <c r="I140" s="103">
        <f>IF('Maria '!$G$55="","",'Maria '!$G$55)</f>
        <v/>
      </c>
      <c r="J140" s="100">
        <f>IF('Maria '!$H$55="","",'Maria '!$H$55)</f>
        <v/>
      </c>
      <c r="K140" s="101">
        <f>IF('Maria '!$I$55="","",'Maria '!$I$55)</f>
        <v/>
      </c>
      <c r="L140" s="102">
        <f>IF('Maria '!$J$55="","",'Maria '!$J$55)</f>
        <v/>
      </c>
      <c r="M140" s="103">
        <f>IF('Maria '!$K$55="","",'Maria '!$K$55)</f>
        <v/>
      </c>
      <c r="N140" s="100">
        <f>IF('Maria '!$L$55="","",'Maria '!$L$55)</f>
        <v/>
      </c>
      <c r="O140" s="101">
        <f>IF('Maria '!$M$55="","",'Maria '!$M$55)</f>
        <v/>
      </c>
      <c r="P140" s="102">
        <f>IF('Maria '!$N$55="","",'Maria '!$N$55)</f>
        <v/>
      </c>
      <c r="Q140" s="102">
        <f>IF('Maria '!$O$55="","",'Maria '!$O$55)</f>
        <v/>
      </c>
      <c r="R140" s="103">
        <f>IF($C140="","",IF('Maria '!$F$7="","",'Maria '!$F$7))</f>
        <v/>
      </c>
      <c r="S140" s="100" t="n"/>
      <c r="T140" s="102" t="n"/>
      <c r="U140" s="102" t="n"/>
      <c r="V140" s="102" t="n"/>
    </row>
    <row r="141">
      <c r="A141" s="100">
        <f>IF($C141="","",'Painel Geral'!$B$22)</f>
        <v/>
      </c>
      <c r="B141" s="100">
        <f>IF($C141="","",'Painel Geral'!$C$22)</f>
        <v/>
      </c>
      <c r="C141" s="100">
        <f>IF('Maria '!$A$56="","",'Maria '!$A$56)</f>
        <v/>
      </c>
      <c r="D141" s="101">
        <f>IF('Maria '!$B$56="","",'Maria '!$B$56)</f>
        <v/>
      </c>
      <c r="E141" s="102">
        <f>IF('Maria '!$C$56="","",'Maria '!$C$56)</f>
        <v/>
      </c>
      <c r="F141" s="100">
        <f>IF('Maria '!$D$56="","",'Maria '!$D$56)</f>
        <v/>
      </c>
      <c r="G141" s="101">
        <f>IF('Maria '!$E$56="","",'Maria '!$E$56)</f>
        <v/>
      </c>
      <c r="H141" s="102">
        <f>IF('Maria '!$F$56="","",'Maria '!$F$56)</f>
        <v/>
      </c>
      <c r="I141" s="103">
        <f>IF('Maria '!$G$56="","",'Maria '!$G$56)</f>
        <v/>
      </c>
      <c r="J141" s="100">
        <f>IF('Maria '!$H$56="","",'Maria '!$H$56)</f>
        <v/>
      </c>
      <c r="K141" s="101">
        <f>IF('Maria '!$I$56="","",'Maria '!$I$56)</f>
        <v/>
      </c>
      <c r="L141" s="102">
        <f>IF('Maria '!$J$56="","",'Maria '!$J$56)</f>
        <v/>
      </c>
      <c r="M141" s="103">
        <f>IF('Maria '!$K$56="","",'Maria '!$K$56)</f>
        <v/>
      </c>
      <c r="N141" s="100">
        <f>IF('Maria '!$L$56="","",'Maria '!$L$56)</f>
        <v/>
      </c>
      <c r="O141" s="101">
        <f>IF('Maria '!$M$56="","",'Maria '!$M$56)</f>
        <v/>
      </c>
      <c r="P141" s="102">
        <f>IF('Maria '!$N$56="","",'Maria '!$N$56)</f>
        <v/>
      </c>
      <c r="Q141" s="102">
        <f>IF('Maria '!$O$56="","",'Maria '!$O$56)</f>
        <v/>
      </c>
      <c r="R141" s="103">
        <f>IF($C141="","",IF('Maria '!$F$7="","",'Maria '!$F$7))</f>
        <v/>
      </c>
      <c r="S141" s="100" t="n"/>
      <c r="T141" s="102" t="n"/>
      <c r="U141" s="102" t="n"/>
      <c r="V141" s="102" t="n"/>
    </row>
    <row r="142">
      <c r="A142" s="100">
        <f>IF($C142="","",'Painel Geral'!$B$22)</f>
        <v/>
      </c>
      <c r="B142" s="100">
        <f>IF($C142="","",'Painel Geral'!$C$22)</f>
        <v/>
      </c>
      <c r="C142" s="100">
        <f>IF('Maria '!$A$57="","",'Maria '!$A$57)</f>
        <v/>
      </c>
      <c r="D142" s="101">
        <f>IF('Maria '!$B$57="","",'Maria '!$B$57)</f>
        <v/>
      </c>
      <c r="E142" s="102">
        <f>IF('Maria '!$C$57="","",'Maria '!$C$57)</f>
        <v/>
      </c>
      <c r="F142" s="100">
        <f>IF('Maria '!$D$57="","",'Maria '!$D$57)</f>
        <v/>
      </c>
      <c r="G142" s="101">
        <f>IF('Maria '!$E$57="","",'Maria '!$E$57)</f>
        <v/>
      </c>
      <c r="H142" s="102">
        <f>IF('Maria '!$F$57="","",'Maria '!$F$57)</f>
        <v/>
      </c>
      <c r="I142" s="103">
        <f>IF('Maria '!$G$57="","",'Maria '!$G$57)</f>
        <v/>
      </c>
      <c r="J142" s="100">
        <f>IF('Maria '!$H$57="","",'Maria '!$H$57)</f>
        <v/>
      </c>
      <c r="K142" s="101">
        <f>IF('Maria '!$I$57="","",'Maria '!$I$57)</f>
        <v/>
      </c>
      <c r="L142" s="102">
        <f>IF('Maria '!$J$57="","",'Maria '!$J$57)</f>
        <v/>
      </c>
      <c r="M142" s="103">
        <f>IF('Maria '!$K$57="","",'Maria '!$K$57)</f>
        <v/>
      </c>
      <c r="N142" s="100">
        <f>IF('Maria '!$L$57="","",'Maria '!$L$57)</f>
        <v/>
      </c>
      <c r="O142" s="101">
        <f>IF('Maria '!$M$57="","",'Maria '!$M$57)</f>
        <v/>
      </c>
      <c r="P142" s="102">
        <f>IF('Maria '!$N$57="","",'Maria '!$N$57)</f>
        <v/>
      </c>
      <c r="Q142" s="102">
        <f>IF('Maria '!$O$57="","",'Maria '!$O$57)</f>
        <v/>
      </c>
      <c r="R142" s="103">
        <f>IF($C142="","",IF('Maria '!$F$7="","",'Maria '!$F$7))</f>
        <v/>
      </c>
      <c r="S142" s="100" t="n"/>
      <c r="T142" s="102" t="n"/>
      <c r="U142" s="102" t="n"/>
      <c r="V142" s="102" t="n"/>
    </row>
    <row r="143">
      <c r="A143" s="100">
        <f>IF($C143="","",'Painel Geral'!$B$22)</f>
        <v/>
      </c>
      <c r="B143" s="100">
        <f>IF($C143="","",'Painel Geral'!$C$22)</f>
        <v/>
      </c>
      <c r="C143" s="100">
        <f>IF('Maria '!$A$58="","",'Maria '!$A$58)</f>
        <v/>
      </c>
      <c r="D143" s="101">
        <f>IF('Maria '!$B$58="","",'Maria '!$B$58)</f>
        <v/>
      </c>
      <c r="E143" s="102">
        <f>IF('Maria '!$C$58="","",'Maria '!$C$58)</f>
        <v/>
      </c>
      <c r="F143" s="100">
        <f>IF('Maria '!$D$58="","",'Maria '!$D$58)</f>
        <v/>
      </c>
      <c r="G143" s="101">
        <f>IF('Maria '!$E$58="","",'Maria '!$E$58)</f>
        <v/>
      </c>
      <c r="H143" s="102">
        <f>IF('Maria '!$F$58="","",'Maria '!$F$58)</f>
        <v/>
      </c>
      <c r="I143" s="103">
        <f>IF('Maria '!$G$58="","",'Maria '!$G$58)</f>
        <v/>
      </c>
      <c r="J143" s="100">
        <f>IF('Maria '!$H$58="","",'Maria '!$H$58)</f>
        <v/>
      </c>
      <c r="K143" s="101">
        <f>IF('Maria '!$I$58="","",'Maria '!$I$58)</f>
        <v/>
      </c>
      <c r="L143" s="102">
        <f>IF('Maria '!$J$58="","",'Maria '!$J$58)</f>
        <v/>
      </c>
      <c r="M143" s="103">
        <f>IF('Maria '!$K$58="","",'Maria '!$K$58)</f>
        <v/>
      </c>
      <c r="N143" s="100">
        <f>IF('Maria '!$L$58="","",'Maria '!$L$58)</f>
        <v/>
      </c>
      <c r="O143" s="101">
        <f>IF('Maria '!$M$58="","",'Maria '!$M$58)</f>
        <v/>
      </c>
      <c r="P143" s="102">
        <f>IF('Maria '!$N$58="","",'Maria '!$N$58)</f>
        <v/>
      </c>
      <c r="Q143" s="102">
        <f>IF('Maria '!$O$58="","",'Maria '!$O$58)</f>
        <v/>
      </c>
      <c r="R143" s="103">
        <f>IF($C143="","",IF('Maria '!$F$7="","",'Maria '!$F$7))</f>
        <v/>
      </c>
      <c r="S143" s="100" t="n"/>
      <c r="T143" s="102" t="n"/>
      <c r="U143" s="102" t="n"/>
      <c r="V143" s="102" t="n"/>
    </row>
    <row r="144">
      <c r="A144" s="100">
        <f>IF($C144="","",'Painel Geral'!$B$22)</f>
        <v/>
      </c>
      <c r="B144" s="100">
        <f>IF($C144="","",'Painel Geral'!$C$22)</f>
        <v/>
      </c>
      <c r="C144" s="100">
        <f>IF('Maria '!$A$59="","",'Maria '!$A$59)</f>
        <v/>
      </c>
      <c r="D144" s="101">
        <f>IF('Maria '!$B$59="","",'Maria '!$B$59)</f>
        <v/>
      </c>
      <c r="E144" s="102">
        <f>IF('Maria '!$C$59="","",'Maria '!$C$59)</f>
        <v/>
      </c>
      <c r="F144" s="100">
        <f>IF('Maria '!$D$59="","",'Maria '!$D$59)</f>
        <v/>
      </c>
      <c r="G144" s="101">
        <f>IF('Maria '!$E$59="","",'Maria '!$E$59)</f>
        <v/>
      </c>
      <c r="H144" s="102">
        <f>IF('Maria '!$F$59="","",'Maria '!$F$59)</f>
        <v/>
      </c>
      <c r="I144" s="103">
        <f>IF('Maria '!$G$59="","",'Maria '!$G$59)</f>
        <v/>
      </c>
      <c r="J144" s="100">
        <f>IF('Maria '!$H$59="","",'Maria '!$H$59)</f>
        <v/>
      </c>
      <c r="K144" s="101">
        <f>IF('Maria '!$I$59="","",'Maria '!$I$59)</f>
        <v/>
      </c>
      <c r="L144" s="102">
        <f>IF('Maria '!$J$59="","",'Maria '!$J$59)</f>
        <v/>
      </c>
      <c r="M144" s="103">
        <f>IF('Maria '!$K$59="","",'Maria '!$K$59)</f>
        <v/>
      </c>
      <c r="N144" s="100">
        <f>IF('Maria '!$L$59="","",'Maria '!$L$59)</f>
        <v/>
      </c>
      <c r="O144" s="101">
        <f>IF('Maria '!$M$59="","",'Maria '!$M$59)</f>
        <v/>
      </c>
      <c r="P144" s="102">
        <f>IF('Maria '!$N$59="","",'Maria '!$N$59)</f>
        <v/>
      </c>
      <c r="Q144" s="102">
        <f>IF('Maria '!$O$59="","",'Maria '!$O$59)</f>
        <v/>
      </c>
      <c r="R144" s="103">
        <f>IF($C144="","",IF('Maria '!$F$7="","",'Maria '!$F$7))</f>
        <v/>
      </c>
      <c r="S144" s="100" t="n"/>
      <c r="T144" s="102" t="n"/>
      <c r="U144" s="102" t="n"/>
      <c r="V144" s="102" t="n"/>
    </row>
    <row r="145">
      <c r="A145" s="100">
        <f>IF($C145="","",'Painel Geral'!$B$22)</f>
        <v/>
      </c>
      <c r="B145" s="100">
        <f>IF($C145="","",'Painel Geral'!$C$22)</f>
        <v/>
      </c>
      <c r="C145" s="100">
        <f>IF('Maria '!$A$60="","",'Maria '!$A$60)</f>
        <v/>
      </c>
      <c r="D145" s="101">
        <f>IF('Maria '!$B$60="","",'Maria '!$B$60)</f>
        <v/>
      </c>
      <c r="E145" s="102">
        <f>IF('Maria '!$C$60="","",'Maria '!$C$60)</f>
        <v/>
      </c>
      <c r="F145" s="100">
        <f>IF('Maria '!$D$60="","",'Maria '!$D$60)</f>
        <v/>
      </c>
      <c r="G145" s="101">
        <f>IF('Maria '!$E$60="","",'Maria '!$E$60)</f>
        <v/>
      </c>
      <c r="H145" s="102">
        <f>IF('Maria '!$F$60="","",'Maria '!$F$60)</f>
        <v/>
      </c>
      <c r="I145" s="103">
        <f>IF('Maria '!$G$60="","",'Maria '!$G$60)</f>
        <v/>
      </c>
      <c r="J145" s="100">
        <f>IF('Maria '!$H$60="","",'Maria '!$H$60)</f>
        <v/>
      </c>
      <c r="K145" s="101">
        <f>IF('Maria '!$I$60="","",'Maria '!$I$60)</f>
        <v/>
      </c>
      <c r="L145" s="102">
        <f>IF('Maria '!$J$60="","",'Maria '!$J$60)</f>
        <v/>
      </c>
      <c r="M145" s="103">
        <f>IF('Maria '!$K$60="","",'Maria '!$K$60)</f>
        <v/>
      </c>
      <c r="N145" s="100">
        <f>IF('Maria '!$L$60="","",'Maria '!$L$60)</f>
        <v/>
      </c>
      <c r="O145" s="101">
        <f>IF('Maria '!$M$60="","",'Maria '!$M$60)</f>
        <v/>
      </c>
      <c r="P145" s="102">
        <f>IF('Maria '!$N$60="","",'Maria '!$N$60)</f>
        <v/>
      </c>
      <c r="Q145" s="102">
        <f>IF('Maria '!$O$60="","",'Maria '!$O$60)</f>
        <v/>
      </c>
      <c r="R145" s="103">
        <f>IF($C145="","",IF('Maria '!$F$7="","",'Maria '!$F$7))</f>
        <v/>
      </c>
      <c r="S145" s="100" t="n"/>
      <c r="T145" s="102" t="n"/>
      <c r="U145" s="102" t="n"/>
      <c r="V145" s="102" t="n"/>
    </row>
    <row r="146">
      <c r="A146" s="100">
        <f>IF($C146="","",'Painel Geral'!$B$23)</f>
        <v/>
      </c>
      <c r="B146" s="100">
        <f>IF($C146="","",'Painel Geral'!$C$23)</f>
        <v/>
      </c>
      <c r="C146" s="100">
        <f>IF('Nadia '!$A$49="","",'Nadia '!$A$49)</f>
        <v/>
      </c>
      <c r="D146" s="101">
        <f>IF('Nadia '!$B$49="","",'Nadia '!$B$49)</f>
        <v/>
      </c>
      <c r="E146" s="102">
        <f>IF('Nadia '!$C$49="","",'Nadia '!$C$49)</f>
        <v/>
      </c>
      <c r="F146" s="100">
        <f>IF('Nadia '!$D$49="","",'Nadia '!$D$49)</f>
        <v/>
      </c>
      <c r="G146" s="101">
        <f>IF('Nadia '!$E$49="","",'Nadia '!$E$49)</f>
        <v/>
      </c>
      <c r="H146" s="102">
        <f>IF('Nadia '!$F$49="","",'Nadia '!$F$49)</f>
        <v/>
      </c>
      <c r="I146" s="103">
        <f>IF('Nadia '!$G$49="","",'Nadia '!$G$49)</f>
        <v/>
      </c>
      <c r="J146" s="100">
        <f>IF('Nadia '!$H$49="","",'Nadia '!$H$49)</f>
        <v/>
      </c>
      <c r="K146" s="101">
        <f>IF('Nadia '!$I$49="","",'Nadia '!$I$49)</f>
        <v/>
      </c>
      <c r="L146" s="102">
        <f>IF('Nadia '!$J$49="","",'Nadia '!$J$49)</f>
        <v/>
      </c>
      <c r="M146" s="103">
        <f>IF('Nadia '!$K$49="","",'Nadia '!$K$49)</f>
        <v/>
      </c>
      <c r="N146" s="100">
        <f>IF('Nadia '!$L$49="","",'Nadia '!$L$49)</f>
        <v/>
      </c>
      <c r="O146" s="101">
        <f>IF('Nadia '!$M$49="","",'Nadia '!$M$49)</f>
        <v/>
      </c>
      <c r="P146" s="102">
        <f>IF('Nadia '!$N$49="","",'Nadia '!$N$49)</f>
        <v/>
      </c>
      <c r="Q146" s="102">
        <f>IF('Nadia '!$O$49="","",'Nadia '!$O$49)</f>
        <v/>
      </c>
      <c r="R146" s="103">
        <f>IF($C146="","",IF('Nadia '!$F$7="","",'Nadia '!$F$7))</f>
        <v/>
      </c>
      <c r="S146" s="100">
        <f>IF($C146="","",IF('Nadia '!$F$9="","",'Nadia '!$F$9))</f>
        <v/>
      </c>
      <c r="T146" s="102">
        <f>IF($C146="","",IF('Nadia '!$D$65="",0,'Nadia '!$D$65))</f>
        <v/>
      </c>
      <c r="U146" s="102">
        <f>IF($C146="","",IF('Nadia '!$D$45="",0,'Nadia '!$D$45))</f>
        <v/>
      </c>
      <c r="V146" s="102">
        <f>IF($C146="","",IF('Nadia '!$A$13="",0,'Nadia '!$A$13))</f>
        <v/>
      </c>
    </row>
    <row r="147">
      <c r="A147" s="100">
        <f>IF($C147="","",'Painel Geral'!$B$23)</f>
        <v/>
      </c>
      <c r="B147" s="100">
        <f>IF($C147="","",'Painel Geral'!$C$23)</f>
        <v/>
      </c>
      <c r="C147" s="100">
        <f>IF('Nadia '!$A$50="","",'Nadia '!$A$50)</f>
        <v/>
      </c>
      <c r="D147" s="101">
        <f>IF('Nadia '!$B$50="","",'Nadia '!$B$50)</f>
        <v/>
      </c>
      <c r="E147" s="102">
        <f>IF('Nadia '!$C$50="","",'Nadia '!$C$50)</f>
        <v/>
      </c>
      <c r="F147" s="100">
        <f>IF('Nadia '!$D$50="","",'Nadia '!$D$50)</f>
        <v/>
      </c>
      <c r="G147" s="101">
        <f>IF('Nadia '!$E$50="","",'Nadia '!$E$50)</f>
        <v/>
      </c>
      <c r="H147" s="102">
        <f>IF('Nadia '!$F$50="","",'Nadia '!$F$50)</f>
        <v/>
      </c>
      <c r="I147" s="103">
        <f>IF('Nadia '!$G$50="","",'Nadia '!$G$50)</f>
        <v/>
      </c>
      <c r="J147" s="100">
        <f>IF('Nadia '!$H$50="","",'Nadia '!$H$50)</f>
        <v/>
      </c>
      <c r="K147" s="101">
        <f>IF('Nadia '!$I$50="","",'Nadia '!$I$50)</f>
        <v/>
      </c>
      <c r="L147" s="102">
        <f>IF('Nadia '!$J$50="","",'Nadia '!$J$50)</f>
        <v/>
      </c>
      <c r="M147" s="103">
        <f>IF('Nadia '!$K$50="","",'Nadia '!$K$50)</f>
        <v/>
      </c>
      <c r="N147" s="100">
        <f>IF('Nadia '!$L$50="","",'Nadia '!$L$50)</f>
        <v/>
      </c>
      <c r="O147" s="101">
        <f>IF('Nadia '!$M$50="","",'Nadia '!$M$50)</f>
        <v/>
      </c>
      <c r="P147" s="102">
        <f>IF('Nadia '!$N$50="","",'Nadia '!$N$50)</f>
        <v/>
      </c>
      <c r="Q147" s="102">
        <f>IF('Nadia '!$O$50="","",'Nadia '!$O$50)</f>
        <v/>
      </c>
      <c r="R147" s="103">
        <f>IF($C147="","",IF('Nadia '!$F$7="","",'Nadia '!$F$7))</f>
        <v/>
      </c>
      <c r="S147" s="100" t="n"/>
      <c r="T147" s="102" t="n"/>
      <c r="U147" s="102" t="n"/>
      <c r="V147" s="102" t="n"/>
    </row>
    <row r="148">
      <c r="A148" s="100">
        <f>IF($C148="","",'Painel Geral'!$B$23)</f>
        <v/>
      </c>
      <c r="B148" s="100">
        <f>IF($C148="","",'Painel Geral'!$C$23)</f>
        <v/>
      </c>
      <c r="C148" s="100">
        <f>IF('Nadia '!$A$51="","",'Nadia '!$A$51)</f>
        <v/>
      </c>
      <c r="D148" s="101">
        <f>IF('Nadia '!$B$51="","",'Nadia '!$B$51)</f>
        <v/>
      </c>
      <c r="E148" s="102">
        <f>IF('Nadia '!$C$51="","",'Nadia '!$C$51)</f>
        <v/>
      </c>
      <c r="F148" s="100">
        <f>IF('Nadia '!$D$51="","",'Nadia '!$D$51)</f>
        <v/>
      </c>
      <c r="G148" s="101">
        <f>IF('Nadia '!$E$51="","",'Nadia '!$E$51)</f>
        <v/>
      </c>
      <c r="H148" s="102">
        <f>IF('Nadia '!$F$51="","",'Nadia '!$F$51)</f>
        <v/>
      </c>
      <c r="I148" s="103">
        <f>IF('Nadia '!$G$51="","",'Nadia '!$G$51)</f>
        <v/>
      </c>
      <c r="J148" s="100">
        <f>IF('Nadia '!$H$51="","",'Nadia '!$H$51)</f>
        <v/>
      </c>
      <c r="K148" s="101">
        <f>IF('Nadia '!$I$51="","",'Nadia '!$I$51)</f>
        <v/>
      </c>
      <c r="L148" s="102">
        <f>IF('Nadia '!$J$51="","",'Nadia '!$J$51)</f>
        <v/>
      </c>
      <c r="M148" s="103">
        <f>IF('Nadia '!$K$51="","",'Nadia '!$K$51)</f>
        <v/>
      </c>
      <c r="N148" s="100">
        <f>IF('Nadia '!$L$51="","",'Nadia '!$L$51)</f>
        <v/>
      </c>
      <c r="O148" s="101">
        <f>IF('Nadia '!$M$51="","",'Nadia '!$M$51)</f>
        <v/>
      </c>
      <c r="P148" s="102">
        <f>IF('Nadia '!$N$51="","",'Nadia '!$N$51)</f>
        <v/>
      </c>
      <c r="Q148" s="102">
        <f>IF('Nadia '!$O$51="","",'Nadia '!$O$51)</f>
        <v/>
      </c>
      <c r="R148" s="103">
        <f>IF($C148="","",IF('Nadia '!$F$7="","",'Nadia '!$F$7))</f>
        <v/>
      </c>
      <c r="S148" s="100" t="n"/>
      <c r="T148" s="102" t="n"/>
      <c r="U148" s="102" t="n"/>
      <c r="V148" s="102" t="n"/>
    </row>
    <row r="149">
      <c r="A149" s="100">
        <f>IF($C149="","",'Painel Geral'!$B$23)</f>
        <v/>
      </c>
      <c r="B149" s="100">
        <f>IF($C149="","",'Painel Geral'!$C$23)</f>
        <v/>
      </c>
      <c r="C149" s="100">
        <f>IF('Nadia '!$A$52="","",'Nadia '!$A$52)</f>
        <v/>
      </c>
      <c r="D149" s="101">
        <f>IF('Nadia '!$B$52="","",'Nadia '!$B$52)</f>
        <v/>
      </c>
      <c r="E149" s="102">
        <f>IF('Nadia '!$C$52="","",'Nadia '!$C$52)</f>
        <v/>
      </c>
      <c r="F149" s="100">
        <f>IF('Nadia '!$D$52="","",'Nadia '!$D$52)</f>
        <v/>
      </c>
      <c r="G149" s="101">
        <f>IF('Nadia '!$E$52="","",'Nadia '!$E$52)</f>
        <v/>
      </c>
      <c r="H149" s="102">
        <f>IF('Nadia '!$F$52="","",'Nadia '!$F$52)</f>
        <v/>
      </c>
      <c r="I149" s="103">
        <f>IF('Nadia '!$G$52="","",'Nadia '!$G$52)</f>
        <v/>
      </c>
      <c r="J149" s="100">
        <f>IF('Nadia '!$H$52="","",'Nadia '!$H$52)</f>
        <v/>
      </c>
      <c r="K149" s="101">
        <f>IF('Nadia '!$I$52="","",'Nadia '!$I$52)</f>
        <v/>
      </c>
      <c r="L149" s="102">
        <f>IF('Nadia '!$J$52="","",'Nadia '!$J$52)</f>
        <v/>
      </c>
      <c r="M149" s="103">
        <f>IF('Nadia '!$K$52="","",'Nadia '!$K$52)</f>
        <v/>
      </c>
      <c r="N149" s="100">
        <f>IF('Nadia '!$L$52="","",'Nadia '!$L$52)</f>
        <v/>
      </c>
      <c r="O149" s="101">
        <f>IF('Nadia '!$M$52="","",'Nadia '!$M$52)</f>
        <v/>
      </c>
      <c r="P149" s="102">
        <f>IF('Nadia '!$N$52="","",'Nadia '!$N$52)</f>
        <v/>
      </c>
      <c r="Q149" s="102">
        <f>IF('Nadia '!$O$52="","",'Nadia '!$O$52)</f>
        <v/>
      </c>
      <c r="R149" s="103">
        <f>IF($C149="","",IF('Nadia '!$F$7="","",'Nadia '!$F$7))</f>
        <v/>
      </c>
      <c r="S149" s="100" t="n"/>
      <c r="T149" s="102" t="n"/>
      <c r="U149" s="102" t="n"/>
      <c r="V149" s="102" t="n"/>
    </row>
    <row r="150">
      <c r="A150" s="100">
        <f>IF($C150="","",'Painel Geral'!$B$23)</f>
        <v/>
      </c>
      <c r="B150" s="100">
        <f>IF($C150="","",'Painel Geral'!$C$23)</f>
        <v/>
      </c>
      <c r="C150" s="100">
        <f>IF('Nadia '!$A$53="","",'Nadia '!$A$53)</f>
        <v/>
      </c>
      <c r="D150" s="101">
        <f>IF('Nadia '!$B$53="","",'Nadia '!$B$53)</f>
        <v/>
      </c>
      <c r="E150" s="102">
        <f>IF('Nadia '!$C$53="","",'Nadia '!$C$53)</f>
        <v/>
      </c>
      <c r="F150" s="100">
        <f>IF('Nadia '!$D$53="","",'Nadia '!$D$53)</f>
        <v/>
      </c>
      <c r="G150" s="101">
        <f>IF('Nadia '!$E$53="","",'Nadia '!$E$53)</f>
        <v/>
      </c>
      <c r="H150" s="102">
        <f>IF('Nadia '!$F$53="","",'Nadia '!$F$53)</f>
        <v/>
      </c>
      <c r="I150" s="103">
        <f>IF('Nadia '!$G$53="","",'Nadia '!$G$53)</f>
        <v/>
      </c>
      <c r="J150" s="100">
        <f>IF('Nadia '!$H$53="","",'Nadia '!$H$53)</f>
        <v/>
      </c>
      <c r="K150" s="101">
        <f>IF('Nadia '!$I$53="","",'Nadia '!$I$53)</f>
        <v/>
      </c>
      <c r="L150" s="102">
        <f>IF('Nadia '!$J$53="","",'Nadia '!$J$53)</f>
        <v/>
      </c>
      <c r="M150" s="103">
        <f>IF('Nadia '!$K$53="","",'Nadia '!$K$53)</f>
        <v/>
      </c>
      <c r="N150" s="100">
        <f>IF('Nadia '!$L$53="","",'Nadia '!$L$53)</f>
        <v/>
      </c>
      <c r="O150" s="101">
        <f>IF('Nadia '!$M$53="","",'Nadia '!$M$53)</f>
        <v/>
      </c>
      <c r="P150" s="102">
        <f>IF('Nadia '!$N$53="","",'Nadia '!$N$53)</f>
        <v/>
      </c>
      <c r="Q150" s="102">
        <f>IF('Nadia '!$O$53="","",'Nadia '!$O$53)</f>
        <v/>
      </c>
      <c r="R150" s="103">
        <f>IF($C150="","",IF('Nadia '!$F$7="","",'Nadia '!$F$7))</f>
        <v/>
      </c>
      <c r="S150" s="100" t="n"/>
      <c r="T150" s="102" t="n"/>
      <c r="U150" s="102" t="n"/>
      <c r="V150" s="102" t="n"/>
    </row>
    <row r="151">
      <c r="A151" s="100">
        <f>IF($C151="","",'Painel Geral'!$B$23)</f>
        <v/>
      </c>
      <c r="B151" s="100">
        <f>IF($C151="","",'Painel Geral'!$C$23)</f>
        <v/>
      </c>
      <c r="C151" s="100">
        <f>IF('Nadia '!$A$54="","",'Nadia '!$A$54)</f>
        <v/>
      </c>
      <c r="D151" s="101">
        <f>IF('Nadia '!$B$54="","",'Nadia '!$B$54)</f>
        <v/>
      </c>
      <c r="E151" s="102">
        <f>IF('Nadia '!$C$54="","",'Nadia '!$C$54)</f>
        <v/>
      </c>
      <c r="F151" s="100">
        <f>IF('Nadia '!$D$54="","",'Nadia '!$D$54)</f>
        <v/>
      </c>
      <c r="G151" s="101">
        <f>IF('Nadia '!$E$54="","",'Nadia '!$E$54)</f>
        <v/>
      </c>
      <c r="H151" s="102">
        <f>IF('Nadia '!$F$54="","",'Nadia '!$F$54)</f>
        <v/>
      </c>
      <c r="I151" s="103">
        <f>IF('Nadia '!$G$54="","",'Nadia '!$G$54)</f>
        <v/>
      </c>
      <c r="J151" s="100">
        <f>IF('Nadia '!$H$54="","",'Nadia '!$H$54)</f>
        <v/>
      </c>
      <c r="K151" s="101">
        <f>IF('Nadia '!$I$54="","",'Nadia '!$I$54)</f>
        <v/>
      </c>
      <c r="L151" s="102">
        <f>IF('Nadia '!$J$54="","",'Nadia '!$J$54)</f>
        <v/>
      </c>
      <c r="M151" s="103">
        <f>IF('Nadia '!$K$54="","",'Nadia '!$K$54)</f>
        <v/>
      </c>
      <c r="N151" s="100">
        <f>IF('Nadia '!$L$54="","",'Nadia '!$L$54)</f>
        <v/>
      </c>
      <c r="O151" s="101">
        <f>IF('Nadia '!$M$54="","",'Nadia '!$M$54)</f>
        <v/>
      </c>
      <c r="P151" s="102">
        <f>IF('Nadia '!$N$54="","",'Nadia '!$N$54)</f>
        <v/>
      </c>
      <c r="Q151" s="102">
        <f>IF('Nadia '!$O$54="","",'Nadia '!$O$54)</f>
        <v/>
      </c>
      <c r="R151" s="103">
        <f>IF($C151="","",IF('Nadia '!$F$7="","",'Nadia '!$F$7))</f>
        <v/>
      </c>
      <c r="S151" s="100" t="n"/>
      <c r="T151" s="102" t="n"/>
      <c r="U151" s="102" t="n"/>
      <c r="V151" s="102" t="n"/>
    </row>
    <row r="152">
      <c r="A152" s="100">
        <f>IF($C152="","",'Painel Geral'!$B$23)</f>
        <v/>
      </c>
      <c r="B152" s="100">
        <f>IF($C152="","",'Painel Geral'!$C$23)</f>
        <v/>
      </c>
      <c r="C152" s="100">
        <f>IF('Nadia '!$A$55="","",'Nadia '!$A$55)</f>
        <v/>
      </c>
      <c r="D152" s="101">
        <f>IF('Nadia '!$B$55="","",'Nadia '!$B$55)</f>
        <v/>
      </c>
      <c r="E152" s="102">
        <f>IF('Nadia '!$C$55="","",'Nadia '!$C$55)</f>
        <v/>
      </c>
      <c r="F152" s="100">
        <f>IF('Nadia '!$D$55="","",'Nadia '!$D$55)</f>
        <v/>
      </c>
      <c r="G152" s="101">
        <f>IF('Nadia '!$E$55="","",'Nadia '!$E$55)</f>
        <v/>
      </c>
      <c r="H152" s="102">
        <f>IF('Nadia '!$F$55="","",'Nadia '!$F$55)</f>
        <v/>
      </c>
      <c r="I152" s="103">
        <f>IF('Nadia '!$G$55="","",'Nadia '!$G$55)</f>
        <v/>
      </c>
      <c r="J152" s="100">
        <f>IF('Nadia '!$H$55="","",'Nadia '!$H$55)</f>
        <v/>
      </c>
      <c r="K152" s="101">
        <f>IF('Nadia '!$I$55="","",'Nadia '!$I$55)</f>
        <v/>
      </c>
      <c r="L152" s="102">
        <f>IF('Nadia '!$J$55="","",'Nadia '!$J$55)</f>
        <v/>
      </c>
      <c r="M152" s="103">
        <f>IF('Nadia '!$K$55="","",'Nadia '!$K$55)</f>
        <v/>
      </c>
      <c r="N152" s="100">
        <f>IF('Nadia '!$L$55="","",'Nadia '!$L$55)</f>
        <v/>
      </c>
      <c r="O152" s="101">
        <f>IF('Nadia '!$M$55="","",'Nadia '!$M$55)</f>
        <v/>
      </c>
      <c r="P152" s="102">
        <f>IF('Nadia '!$N$55="","",'Nadia '!$N$55)</f>
        <v/>
      </c>
      <c r="Q152" s="102">
        <f>IF('Nadia '!$O$55="","",'Nadia '!$O$55)</f>
        <v/>
      </c>
      <c r="R152" s="103">
        <f>IF($C152="","",IF('Nadia '!$F$7="","",'Nadia '!$F$7))</f>
        <v/>
      </c>
      <c r="S152" s="100" t="n"/>
      <c r="T152" s="102" t="n"/>
      <c r="U152" s="102" t="n"/>
      <c r="V152" s="102" t="n"/>
    </row>
    <row r="153">
      <c r="A153" s="100">
        <f>IF($C153="","",'Painel Geral'!$B$23)</f>
        <v/>
      </c>
      <c r="B153" s="100">
        <f>IF($C153="","",'Painel Geral'!$C$23)</f>
        <v/>
      </c>
      <c r="C153" s="100">
        <f>IF('Nadia '!$A$56="","",'Nadia '!$A$56)</f>
        <v/>
      </c>
      <c r="D153" s="101">
        <f>IF('Nadia '!$B$56="","",'Nadia '!$B$56)</f>
        <v/>
      </c>
      <c r="E153" s="102">
        <f>IF('Nadia '!$C$56="","",'Nadia '!$C$56)</f>
        <v/>
      </c>
      <c r="F153" s="100">
        <f>IF('Nadia '!$D$56="","",'Nadia '!$D$56)</f>
        <v/>
      </c>
      <c r="G153" s="101">
        <f>IF('Nadia '!$E$56="","",'Nadia '!$E$56)</f>
        <v/>
      </c>
      <c r="H153" s="102">
        <f>IF('Nadia '!$F$56="","",'Nadia '!$F$56)</f>
        <v/>
      </c>
      <c r="I153" s="103">
        <f>IF('Nadia '!$G$56="","",'Nadia '!$G$56)</f>
        <v/>
      </c>
      <c r="J153" s="100">
        <f>IF('Nadia '!$H$56="","",'Nadia '!$H$56)</f>
        <v/>
      </c>
      <c r="K153" s="101">
        <f>IF('Nadia '!$I$56="","",'Nadia '!$I$56)</f>
        <v/>
      </c>
      <c r="L153" s="102">
        <f>IF('Nadia '!$J$56="","",'Nadia '!$J$56)</f>
        <v/>
      </c>
      <c r="M153" s="103">
        <f>IF('Nadia '!$K$56="","",'Nadia '!$K$56)</f>
        <v/>
      </c>
      <c r="N153" s="100">
        <f>IF('Nadia '!$L$56="","",'Nadia '!$L$56)</f>
        <v/>
      </c>
      <c r="O153" s="101">
        <f>IF('Nadia '!$M$56="","",'Nadia '!$M$56)</f>
        <v/>
      </c>
      <c r="P153" s="102">
        <f>IF('Nadia '!$N$56="","",'Nadia '!$N$56)</f>
        <v/>
      </c>
      <c r="Q153" s="102">
        <f>IF('Nadia '!$O$56="","",'Nadia '!$O$56)</f>
        <v/>
      </c>
      <c r="R153" s="103">
        <f>IF($C153="","",IF('Nadia '!$F$7="","",'Nadia '!$F$7))</f>
        <v/>
      </c>
      <c r="S153" s="100" t="n"/>
      <c r="T153" s="102" t="n"/>
      <c r="U153" s="102" t="n"/>
      <c r="V153" s="102" t="n"/>
    </row>
    <row r="154">
      <c r="A154" s="100">
        <f>IF($C154="","",'Painel Geral'!$B$23)</f>
        <v/>
      </c>
      <c r="B154" s="100">
        <f>IF($C154="","",'Painel Geral'!$C$23)</f>
        <v/>
      </c>
      <c r="C154" s="100">
        <f>IF('Nadia '!$A$57="","",'Nadia '!$A$57)</f>
        <v/>
      </c>
      <c r="D154" s="101">
        <f>IF('Nadia '!$B$57="","",'Nadia '!$B$57)</f>
        <v/>
      </c>
      <c r="E154" s="102">
        <f>IF('Nadia '!$C$57="","",'Nadia '!$C$57)</f>
        <v/>
      </c>
      <c r="F154" s="100">
        <f>IF('Nadia '!$D$57="","",'Nadia '!$D$57)</f>
        <v/>
      </c>
      <c r="G154" s="101">
        <f>IF('Nadia '!$E$57="","",'Nadia '!$E$57)</f>
        <v/>
      </c>
      <c r="H154" s="102">
        <f>IF('Nadia '!$F$57="","",'Nadia '!$F$57)</f>
        <v/>
      </c>
      <c r="I154" s="103">
        <f>IF('Nadia '!$G$57="","",'Nadia '!$G$57)</f>
        <v/>
      </c>
      <c r="J154" s="100">
        <f>IF('Nadia '!$H$57="","",'Nadia '!$H$57)</f>
        <v/>
      </c>
      <c r="K154" s="101">
        <f>IF('Nadia '!$I$57="","",'Nadia '!$I$57)</f>
        <v/>
      </c>
      <c r="L154" s="102">
        <f>IF('Nadia '!$J$57="","",'Nadia '!$J$57)</f>
        <v/>
      </c>
      <c r="M154" s="103">
        <f>IF('Nadia '!$K$57="","",'Nadia '!$K$57)</f>
        <v/>
      </c>
      <c r="N154" s="100">
        <f>IF('Nadia '!$L$57="","",'Nadia '!$L$57)</f>
        <v/>
      </c>
      <c r="O154" s="101">
        <f>IF('Nadia '!$M$57="","",'Nadia '!$M$57)</f>
        <v/>
      </c>
      <c r="P154" s="102">
        <f>IF('Nadia '!$N$57="","",'Nadia '!$N$57)</f>
        <v/>
      </c>
      <c r="Q154" s="102">
        <f>IF('Nadia '!$O$57="","",'Nadia '!$O$57)</f>
        <v/>
      </c>
      <c r="R154" s="103">
        <f>IF($C154="","",IF('Nadia '!$F$7="","",'Nadia '!$F$7))</f>
        <v/>
      </c>
      <c r="S154" s="100" t="n"/>
      <c r="T154" s="102" t="n"/>
      <c r="U154" s="102" t="n"/>
      <c r="V154" s="102" t="n"/>
    </row>
    <row r="155">
      <c r="A155" s="100">
        <f>IF($C155="","",'Painel Geral'!$B$23)</f>
        <v/>
      </c>
      <c r="B155" s="100">
        <f>IF($C155="","",'Painel Geral'!$C$23)</f>
        <v/>
      </c>
      <c r="C155" s="100">
        <f>IF('Nadia '!$A$58="","",'Nadia '!$A$58)</f>
        <v/>
      </c>
      <c r="D155" s="101">
        <f>IF('Nadia '!$B$58="","",'Nadia '!$B$58)</f>
        <v/>
      </c>
      <c r="E155" s="102">
        <f>IF('Nadia '!$C$58="","",'Nadia '!$C$58)</f>
        <v/>
      </c>
      <c r="F155" s="100">
        <f>IF('Nadia '!$D$58="","",'Nadia '!$D$58)</f>
        <v/>
      </c>
      <c r="G155" s="101">
        <f>IF('Nadia '!$E$58="","",'Nadia '!$E$58)</f>
        <v/>
      </c>
      <c r="H155" s="102">
        <f>IF('Nadia '!$F$58="","",'Nadia '!$F$58)</f>
        <v/>
      </c>
      <c r="I155" s="103">
        <f>IF('Nadia '!$G$58="","",'Nadia '!$G$58)</f>
        <v/>
      </c>
      <c r="J155" s="100">
        <f>IF('Nadia '!$H$58="","",'Nadia '!$H$58)</f>
        <v/>
      </c>
      <c r="K155" s="101">
        <f>IF('Nadia '!$I$58="","",'Nadia '!$I$58)</f>
        <v/>
      </c>
      <c r="L155" s="102">
        <f>IF('Nadia '!$J$58="","",'Nadia '!$J$58)</f>
        <v/>
      </c>
      <c r="M155" s="103">
        <f>IF('Nadia '!$K$58="","",'Nadia '!$K$58)</f>
        <v/>
      </c>
      <c r="N155" s="100">
        <f>IF('Nadia '!$L$58="","",'Nadia '!$L$58)</f>
        <v/>
      </c>
      <c r="O155" s="101">
        <f>IF('Nadia '!$M$58="","",'Nadia '!$M$58)</f>
        <v/>
      </c>
      <c r="P155" s="102">
        <f>IF('Nadia '!$N$58="","",'Nadia '!$N$58)</f>
        <v/>
      </c>
      <c r="Q155" s="102">
        <f>IF('Nadia '!$O$58="","",'Nadia '!$O$58)</f>
        <v/>
      </c>
      <c r="R155" s="103">
        <f>IF($C155="","",IF('Nadia '!$F$7="","",'Nadia '!$F$7))</f>
        <v/>
      </c>
      <c r="S155" s="100" t="n"/>
      <c r="T155" s="102" t="n"/>
      <c r="U155" s="102" t="n"/>
      <c r="V155" s="102" t="n"/>
    </row>
    <row r="156">
      <c r="A156" s="100">
        <f>IF($C156="","",'Painel Geral'!$B$23)</f>
        <v/>
      </c>
      <c r="B156" s="100">
        <f>IF($C156="","",'Painel Geral'!$C$23)</f>
        <v/>
      </c>
      <c r="C156" s="100">
        <f>IF('Nadia '!$A$59="","",'Nadia '!$A$59)</f>
        <v/>
      </c>
      <c r="D156" s="101">
        <f>IF('Nadia '!$B$59="","",'Nadia '!$B$59)</f>
        <v/>
      </c>
      <c r="E156" s="102">
        <f>IF('Nadia '!$C$59="","",'Nadia '!$C$59)</f>
        <v/>
      </c>
      <c r="F156" s="100">
        <f>IF('Nadia '!$D$59="","",'Nadia '!$D$59)</f>
        <v/>
      </c>
      <c r="G156" s="101">
        <f>IF('Nadia '!$E$59="","",'Nadia '!$E$59)</f>
        <v/>
      </c>
      <c r="H156" s="102">
        <f>IF('Nadia '!$F$59="","",'Nadia '!$F$59)</f>
        <v/>
      </c>
      <c r="I156" s="103">
        <f>IF('Nadia '!$G$59="","",'Nadia '!$G$59)</f>
        <v/>
      </c>
      <c r="J156" s="100">
        <f>IF('Nadia '!$H$59="","",'Nadia '!$H$59)</f>
        <v/>
      </c>
      <c r="K156" s="101">
        <f>IF('Nadia '!$I$59="","",'Nadia '!$I$59)</f>
        <v/>
      </c>
      <c r="L156" s="102">
        <f>IF('Nadia '!$J$59="","",'Nadia '!$J$59)</f>
        <v/>
      </c>
      <c r="M156" s="103">
        <f>IF('Nadia '!$K$59="","",'Nadia '!$K$59)</f>
        <v/>
      </c>
      <c r="N156" s="100">
        <f>IF('Nadia '!$L$59="","",'Nadia '!$L$59)</f>
        <v/>
      </c>
      <c r="O156" s="101">
        <f>IF('Nadia '!$M$59="","",'Nadia '!$M$59)</f>
        <v/>
      </c>
      <c r="P156" s="102">
        <f>IF('Nadia '!$N$59="","",'Nadia '!$N$59)</f>
        <v/>
      </c>
      <c r="Q156" s="102">
        <f>IF('Nadia '!$O$59="","",'Nadia '!$O$59)</f>
        <v/>
      </c>
      <c r="R156" s="103">
        <f>IF($C156="","",IF('Nadia '!$F$7="","",'Nadia '!$F$7))</f>
        <v/>
      </c>
      <c r="S156" s="100" t="n"/>
      <c r="T156" s="102" t="n"/>
      <c r="U156" s="102" t="n"/>
      <c r="V156" s="102" t="n"/>
    </row>
    <row r="157">
      <c r="A157" s="100">
        <f>IF($C157="","",'Painel Geral'!$B$23)</f>
        <v/>
      </c>
      <c r="B157" s="100">
        <f>IF($C157="","",'Painel Geral'!$C$23)</f>
        <v/>
      </c>
      <c r="C157" s="100">
        <f>IF('Nadia '!$A$60="","",'Nadia '!$A$60)</f>
        <v/>
      </c>
      <c r="D157" s="101">
        <f>IF('Nadia '!$B$60="","",'Nadia '!$B$60)</f>
        <v/>
      </c>
      <c r="E157" s="102">
        <f>IF('Nadia '!$C$60="","",'Nadia '!$C$60)</f>
        <v/>
      </c>
      <c r="F157" s="100">
        <f>IF('Nadia '!$D$60="","",'Nadia '!$D$60)</f>
        <v/>
      </c>
      <c r="G157" s="101">
        <f>IF('Nadia '!$E$60="","",'Nadia '!$E$60)</f>
        <v/>
      </c>
      <c r="H157" s="102">
        <f>IF('Nadia '!$F$60="","",'Nadia '!$F$60)</f>
        <v/>
      </c>
      <c r="I157" s="103">
        <f>IF('Nadia '!$G$60="","",'Nadia '!$G$60)</f>
        <v/>
      </c>
      <c r="J157" s="100">
        <f>IF('Nadia '!$H$60="","",'Nadia '!$H$60)</f>
        <v/>
      </c>
      <c r="K157" s="101">
        <f>IF('Nadia '!$I$60="","",'Nadia '!$I$60)</f>
        <v/>
      </c>
      <c r="L157" s="102">
        <f>IF('Nadia '!$J$60="","",'Nadia '!$J$60)</f>
        <v/>
      </c>
      <c r="M157" s="103">
        <f>IF('Nadia '!$K$60="","",'Nadia '!$K$60)</f>
        <v/>
      </c>
      <c r="N157" s="100">
        <f>IF('Nadia '!$L$60="","",'Nadia '!$L$60)</f>
        <v/>
      </c>
      <c r="O157" s="101">
        <f>IF('Nadia '!$M$60="","",'Nadia '!$M$60)</f>
        <v/>
      </c>
      <c r="P157" s="102">
        <f>IF('Nadia '!$N$60="","",'Nadia '!$N$60)</f>
        <v/>
      </c>
      <c r="Q157" s="102">
        <f>IF('Nadia '!$O$60="","",'Nadia '!$O$60)</f>
        <v/>
      </c>
      <c r="R157" s="103">
        <f>IF($C157="","",IF('Nadia '!$F$7="","",'Nadia '!$F$7))</f>
        <v/>
      </c>
      <c r="S157" s="100" t="n"/>
      <c r="T157" s="102" t="n"/>
      <c r="U157" s="102" t="n"/>
      <c r="V157" s="102" t="n"/>
    </row>
    <row r="158">
      <c r="A158" s="100">
        <f>IF($C158="","",'Painel Geral'!$B$24)</f>
        <v/>
      </c>
      <c r="B158" s="100">
        <f>IF($C158="","",'Painel Geral'!$C$24)</f>
        <v/>
      </c>
      <c r="C158" s="100">
        <f>IF('Richard'!$A$49="","",'Richard'!$A$49)</f>
        <v/>
      </c>
      <c r="D158" s="101">
        <f>IF('Richard'!$B$49="","",'Richard'!$B$49)</f>
        <v/>
      </c>
      <c r="E158" s="102">
        <f>IF('Richard'!$C$49="","",'Richard'!$C$49)</f>
        <v/>
      </c>
      <c r="F158" s="100">
        <f>IF('Richard'!$D$49="","",'Richard'!$D$49)</f>
        <v/>
      </c>
      <c r="G158" s="101">
        <f>IF('Richard'!$E$49="","",'Richard'!$E$49)</f>
        <v/>
      </c>
      <c r="H158" s="102">
        <f>IF('Richard'!$F$49="","",'Richard'!$F$49)</f>
        <v/>
      </c>
      <c r="I158" s="103">
        <f>IF('Richard'!$G$49="","",'Richard'!$G$49)</f>
        <v/>
      </c>
      <c r="J158" s="100">
        <f>IF('Richard'!$H$49="","",'Richard'!$H$49)</f>
        <v/>
      </c>
      <c r="K158" s="101">
        <f>IF('Richard'!$I$49="","",'Richard'!$I$49)</f>
        <v/>
      </c>
      <c r="L158" s="102">
        <f>IF('Richard'!$J$49="","",'Richard'!$J$49)</f>
        <v/>
      </c>
      <c r="M158" s="103">
        <f>IF('Richard'!$K$49="","",'Richard'!$K$49)</f>
        <v/>
      </c>
      <c r="N158" s="100">
        <f>IF('Richard'!$L$49="","",'Richard'!$L$49)</f>
        <v/>
      </c>
      <c r="O158" s="101">
        <f>IF('Richard'!$M$49="","",'Richard'!$M$49)</f>
        <v/>
      </c>
      <c r="P158" s="102">
        <f>IF('Richard'!$N$49="","",'Richard'!$N$49)</f>
        <v/>
      </c>
      <c r="Q158" s="102">
        <f>IF('Richard'!$O$49="","",'Richard'!$O$49)</f>
        <v/>
      </c>
      <c r="R158" s="103">
        <f>IF($C158="","",IF('Richard'!$F$7="","",'Richard'!$F$7))</f>
        <v/>
      </c>
      <c r="S158" s="100">
        <f>IF($C158="","",IF('Richard'!$F$9="","",'Richard'!$F$9))</f>
        <v/>
      </c>
      <c r="T158" s="102">
        <f>IF($C158="","",IF('Richard'!$D$65="",0,'Richard'!$D$65))</f>
        <v/>
      </c>
      <c r="U158" s="102">
        <f>IF($C158="","",IF('Richard'!$D$45="",0,'Richard'!$D$45))</f>
        <v/>
      </c>
      <c r="V158" s="102">
        <f>IF($C158="","",IF('Richard'!$A$13="",0,'Richard'!$A$13))</f>
        <v/>
      </c>
    </row>
    <row r="159">
      <c r="A159" s="100">
        <f>IF($C159="","",'Painel Geral'!$B$24)</f>
        <v/>
      </c>
      <c r="B159" s="100">
        <f>IF($C159="","",'Painel Geral'!$C$24)</f>
        <v/>
      </c>
      <c r="C159" s="100">
        <f>IF('Richard'!$A$50="","",'Richard'!$A$50)</f>
        <v/>
      </c>
      <c r="D159" s="101">
        <f>IF('Richard'!$B$50="","",'Richard'!$B$50)</f>
        <v/>
      </c>
      <c r="E159" s="102">
        <f>IF('Richard'!$C$50="","",'Richard'!$C$50)</f>
        <v/>
      </c>
      <c r="F159" s="100">
        <f>IF('Richard'!$D$50="","",'Richard'!$D$50)</f>
        <v/>
      </c>
      <c r="G159" s="101">
        <f>IF('Richard'!$E$50="","",'Richard'!$E$50)</f>
        <v/>
      </c>
      <c r="H159" s="102">
        <f>IF('Richard'!$F$50="","",'Richard'!$F$50)</f>
        <v/>
      </c>
      <c r="I159" s="103">
        <f>IF('Richard'!$G$50="","",'Richard'!$G$50)</f>
        <v/>
      </c>
      <c r="J159" s="100">
        <f>IF('Richard'!$H$50="","",'Richard'!$H$50)</f>
        <v/>
      </c>
      <c r="K159" s="101">
        <f>IF('Richard'!$I$50="","",'Richard'!$I$50)</f>
        <v/>
      </c>
      <c r="L159" s="102">
        <f>IF('Richard'!$J$50="","",'Richard'!$J$50)</f>
        <v/>
      </c>
      <c r="M159" s="103">
        <f>IF('Richard'!$K$50="","",'Richard'!$K$50)</f>
        <v/>
      </c>
      <c r="N159" s="100">
        <f>IF('Richard'!$L$50="","",'Richard'!$L$50)</f>
        <v/>
      </c>
      <c r="O159" s="101">
        <f>IF('Richard'!$M$50="","",'Richard'!$M$50)</f>
        <v/>
      </c>
      <c r="P159" s="102">
        <f>IF('Richard'!$N$50="","",'Richard'!$N$50)</f>
        <v/>
      </c>
      <c r="Q159" s="102">
        <f>IF('Richard'!$O$50="","",'Richard'!$O$50)</f>
        <v/>
      </c>
      <c r="R159" s="103">
        <f>IF($C159="","",IF('Richard'!$F$7="","",'Richard'!$F$7))</f>
        <v/>
      </c>
      <c r="S159" s="100" t="n"/>
      <c r="T159" s="102" t="n"/>
      <c r="U159" s="102" t="n"/>
      <c r="V159" s="102" t="n"/>
    </row>
    <row r="160">
      <c r="A160" s="100">
        <f>IF($C160="","",'Painel Geral'!$B$24)</f>
        <v/>
      </c>
      <c r="B160" s="100">
        <f>IF($C160="","",'Painel Geral'!$C$24)</f>
        <v/>
      </c>
      <c r="C160" s="100">
        <f>IF('Richard'!$A$51="","",'Richard'!$A$51)</f>
        <v/>
      </c>
      <c r="D160" s="101">
        <f>IF('Richard'!$B$51="","",'Richard'!$B$51)</f>
        <v/>
      </c>
      <c r="E160" s="102">
        <f>IF('Richard'!$C$51="","",'Richard'!$C$51)</f>
        <v/>
      </c>
      <c r="F160" s="100">
        <f>IF('Richard'!$D$51="","",'Richard'!$D$51)</f>
        <v/>
      </c>
      <c r="G160" s="101">
        <f>IF('Richard'!$E$51="","",'Richard'!$E$51)</f>
        <v/>
      </c>
      <c r="H160" s="102">
        <f>IF('Richard'!$F$51="","",'Richard'!$F$51)</f>
        <v/>
      </c>
      <c r="I160" s="103">
        <f>IF('Richard'!$G$51="","",'Richard'!$G$51)</f>
        <v/>
      </c>
      <c r="J160" s="100">
        <f>IF('Richard'!$H$51="","",'Richard'!$H$51)</f>
        <v/>
      </c>
      <c r="K160" s="101">
        <f>IF('Richard'!$I$51="","",'Richard'!$I$51)</f>
        <v/>
      </c>
      <c r="L160" s="102">
        <f>IF('Richard'!$J$51="","",'Richard'!$J$51)</f>
        <v/>
      </c>
      <c r="M160" s="103">
        <f>IF('Richard'!$K$51="","",'Richard'!$K$51)</f>
        <v/>
      </c>
      <c r="N160" s="100">
        <f>IF('Richard'!$L$51="","",'Richard'!$L$51)</f>
        <v/>
      </c>
      <c r="O160" s="101">
        <f>IF('Richard'!$M$51="","",'Richard'!$M$51)</f>
        <v/>
      </c>
      <c r="P160" s="102">
        <f>IF('Richard'!$N$51="","",'Richard'!$N$51)</f>
        <v/>
      </c>
      <c r="Q160" s="102">
        <f>IF('Richard'!$O$51="","",'Richard'!$O$51)</f>
        <v/>
      </c>
      <c r="R160" s="103">
        <f>IF($C160="","",IF('Richard'!$F$7="","",'Richard'!$F$7))</f>
        <v/>
      </c>
      <c r="S160" s="100" t="n"/>
      <c r="T160" s="102" t="n"/>
      <c r="U160" s="102" t="n"/>
      <c r="V160" s="102" t="n"/>
    </row>
    <row r="161">
      <c r="A161" s="100">
        <f>IF($C161="","",'Painel Geral'!$B$24)</f>
        <v/>
      </c>
      <c r="B161" s="100">
        <f>IF($C161="","",'Painel Geral'!$C$24)</f>
        <v/>
      </c>
      <c r="C161" s="100">
        <f>IF('Richard'!$A$52="","",'Richard'!$A$52)</f>
        <v/>
      </c>
      <c r="D161" s="101">
        <f>IF('Richard'!$B$52="","",'Richard'!$B$52)</f>
        <v/>
      </c>
      <c r="E161" s="102">
        <f>IF('Richard'!$C$52="","",'Richard'!$C$52)</f>
        <v/>
      </c>
      <c r="F161" s="100">
        <f>IF('Richard'!$D$52="","",'Richard'!$D$52)</f>
        <v/>
      </c>
      <c r="G161" s="101">
        <f>IF('Richard'!$E$52="","",'Richard'!$E$52)</f>
        <v/>
      </c>
      <c r="H161" s="102">
        <f>IF('Richard'!$F$52="","",'Richard'!$F$52)</f>
        <v/>
      </c>
      <c r="I161" s="103">
        <f>IF('Richard'!$G$52="","",'Richard'!$G$52)</f>
        <v/>
      </c>
      <c r="J161" s="100">
        <f>IF('Richard'!$H$52="","",'Richard'!$H$52)</f>
        <v/>
      </c>
      <c r="K161" s="101">
        <f>IF('Richard'!$I$52="","",'Richard'!$I$52)</f>
        <v/>
      </c>
      <c r="L161" s="102">
        <f>IF('Richard'!$J$52="","",'Richard'!$J$52)</f>
        <v/>
      </c>
      <c r="M161" s="103">
        <f>IF('Richard'!$K$52="","",'Richard'!$K$52)</f>
        <v/>
      </c>
      <c r="N161" s="100">
        <f>IF('Richard'!$L$52="","",'Richard'!$L$52)</f>
        <v/>
      </c>
      <c r="O161" s="101">
        <f>IF('Richard'!$M$52="","",'Richard'!$M$52)</f>
        <v/>
      </c>
      <c r="P161" s="102">
        <f>IF('Richard'!$N$52="","",'Richard'!$N$52)</f>
        <v/>
      </c>
      <c r="Q161" s="102">
        <f>IF('Richard'!$O$52="","",'Richard'!$O$52)</f>
        <v/>
      </c>
      <c r="R161" s="103">
        <f>IF($C161="","",IF('Richard'!$F$7="","",'Richard'!$F$7))</f>
        <v/>
      </c>
      <c r="S161" s="100" t="n"/>
      <c r="T161" s="102" t="n"/>
      <c r="U161" s="102" t="n"/>
      <c r="V161" s="102" t="n"/>
    </row>
    <row r="162">
      <c r="A162" s="100">
        <f>IF($C162="","",'Painel Geral'!$B$24)</f>
        <v/>
      </c>
      <c r="B162" s="100">
        <f>IF($C162="","",'Painel Geral'!$C$24)</f>
        <v/>
      </c>
      <c r="C162" s="100">
        <f>IF('Richard'!$A$53="","",'Richard'!$A$53)</f>
        <v/>
      </c>
      <c r="D162" s="101">
        <f>IF('Richard'!$B$53="","",'Richard'!$B$53)</f>
        <v/>
      </c>
      <c r="E162" s="102">
        <f>IF('Richard'!$C$53="","",'Richard'!$C$53)</f>
        <v/>
      </c>
      <c r="F162" s="100">
        <f>IF('Richard'!$D$53="","",'Richard'!$D$53)</f>
        <v/>
      </c>
      <c r="G162" s="101">
        <f>IF('Richard'!$E$53="","",'Richard'!$E$53)</f>
        <v/>
      </c>
      <c r="H162" s="102">
        <f>IF('Richard'!$F$53="","",'Richard'!$F$53)</f>
        <v/>
      </c>
      <c r="I162" s="103">
        <f>IF('Richard'!$G$53="","",'Richard'!$G$53)</f>
        <v/>
      </c>
      <c r="J162" s="100">
        <f>IF('Richard'!$H$53="","",'Richard'!$H$53)</f>
        <v/>
      </c>
      <c r="K162" s="101">
        <f>IF('Richard'!$I$53="","",'Richard'!$I$53)</f>
        <v/>
      </c>
      <c r="L162" s="102">
        <f>IF('Richard'!$J$53="","",'Richard'!$J$53)</f>
        <v/>
      </c>
      <c r="M162" s="103">
        <f>IF('Richard'!$K$53="","",'Richard'!$K$53)</f>
        <v/>
      </c>
      <c r="N162" s="100">
        <f>IF('Richard'!$L$53="","",'Richard'!$L$53)</f>
        <v/>
      </c>
      <c r="O162" s="101">
        <f>IF('Richard'!$M$53="","",'Richard'!$M$53)</f>
        <v/>
      </c>
      <c r="P162" s="102">
        <f>IF('Richard'!$N$53="","",'Richard'!$N$53)</f>
        <v/>
      </c>
      <c r="Q162" s="102">
        <f>IF('Richard'!$O$53="","",'Richard'!$O$53)</f>
        <v/>
      </c>
      <c r="R162" s="103">
        <f>IF($C162="","",IF('Richard'!$F$7="","",'Richard'!$F$7))</f>
        <v/>
      </c>
      <c r="S162" s="100" t="n"/>
      <c r="T162" s="102" t="n"/>
      <c r="U162" s="102" t="n"/>
      <c r="V162" s="102" t="n"/>
    </row>
    <row r="163">
      <c r="A163" s="100">
        <f>IF($C163="","",'Painel Geral'!$B$24)</f>
        <v/>
      </c>
      <c r="B163" s="100">
        <f>IF($C163="","",'Painel Geral'!$C$24)</f>
        <v/>
      </c>
      <c r="C163" s="100">
        <f>IF('Richard'!$A$54="","",'Richard'!$A$54)</f>
        <v/>
      </c>
      <c r="D163" s="101">
        <f>IF('Richard'!$B$54="","",'Richard'!$B$54)</f>
        <v/>
      </c>
      <c r="E163" s="102">
        <f>IF('Richard'!$C$54="","",'Richard'!$C$54)</f>
        <v/>
      </c>
      <c r="F163" s="100">
        <f>IF('Richard'!$D$54="","",'Richard'!$D$54)</f>
        <v/>
      </c>
      <c r="G163" s="101">
        <f>IF('Richard'!$E$54="","",'Richard'!$E$54)</f>
        <v/>
      </c>
      <c r="H163" s="102">
        <f>IF('Richard'!$F$54="","",'Richard'!$F$54)</f>
        <v/>
      </c>
      <c r="I163" s="103">
        <f>IF('Richard'!$G$54="","",'Richard'!$G$54)</f>
        <v/>
      </c>
      <c r="J163" s="100">
        <f>IF('Richard'!$H$54="","",'Richard'!$H$54)</f>
        <v/>
      </c>
      <c r="K163" s="101">
        <f>IF('Richard'!$I$54="","",'Richard'!$I$54)</f>
        <v/>
      </c>
      <c r="L163" s="102">
        <f>IF('Richard'!$J$54="","",'Richard'!$J$54)</f>
        <v/>
      </c>
      <c r="M163" s="103">
        <f>IF('Richard'!$K$54="","",'Richard'!$K$54)</f>
        <v/>
      </c>
      <c r="N163" s="100">
        <f>IF('Richard'!$L$54="","",'Richard'!$L$54)</f>
        <v/>
      </c>
      <c r="O163" s="101">
        <f>IF('Richard'!$M$54="","",'Richard'!$M$54)</f>
        <v/>
      </c>
      <c r="P163" s="102">
        <f>IF('Richard'!$N$54="","",'Richard'!$N$54)</f>
        <v/>
      </c>
      <c r="Q163" s="102">
        <f>IF('Richard'!$O$54="","",'Richard'!$O$54)</f>
        <v/>
      </c>
      <c r="R163" s="103">
        <f>IF($C163="","",IF('Richard'!$F$7="","",'Richard'!$F$7))</f>
        <v/>
      </c>
      <c r="S163" s="100" t="n"/>
      <c r="T163" s="102" t="n"/>
      <c r="U163" s="102" t="n"/>
      <c r="V163" s="102" t="n"/>
    </row>
    <row r="164">
      <c r="A164" s="100">
        <f>IF($C164="","",'Painel Geral'!$B$24)</f>
        <v/>
      </c>
      <c r="B164" s="100">
        <f>IF($C164="","",'Painel Geral'!$C$24)</f>
        <v/>
      </c>
      <c r="C164" s="100">
        <f>IF('Richard'!$A$55="","",'Richard'!$A$55)</f>
        <v/>
      </c>
      <c r="D164" s="101">
        <f>IF('Richard'!$B$55="","",'Richard'!$B$55)</f>
        <v/>
      </c>
      <c r="E164" s="102">
        <f>IF('Richard'!$C$55="","",'Richard'!$C$55)</f>
        <v/>
      </c>
      <c r="F164" s="100">
        <f>IF('Richard'!$D$55="","",'Richard'!$D$55)</f>
        <v/>
      </c>
      <c r="G164" s="101">
        <f>IF('Richard'!$E$55="","",'Richard'!$E$55)</f>
        <v/>
      </c>
      <c r="H164" s="102">
        <f>IF('Richard'!$F$55="","",'Richard'!$F$55)</f>
        <v/>
      </c>
      <c r="I164" s="103">
        <f>IF('Richard'!$G$55="","",'Richard'!$G$55)</f>
        <v/>
      </c>
      <c r="J164" s="100">
        <f>IF('Richard'!$H$55="","",'Richard'!$H$55)</f>
        <v/>
      </c>
      <c r="K164" s="101">
        <f>IF('Richard'!$I$55="","",'Richard'!$I$55)</f>
        <v/>
      </c>
      <c r="L164" s="102">
        <f>IF('Richard'!$J$55="","",'Richard'!$J$55)</f>
        <v/>
      </c>
      <c r="M164" s="103">
        <f>IF('Richard'!$K$55="","",'Richard'!$K$55)</f>
        <v/>
      </c>
      <c r="N164" s="100">
        <f>IF('Richard'!$L$55="","",'Richard'!$L$55)</f>
        <v/>
      </c>
      <c r="O164" s="101">
        <f>IF('Richard'!$M$55="","",'Richard'!$M$55)</f>
        <v/>
      </c>
      <c r="P164" s="102">
        <f>IF('Richard'!$N$55="","",'Richard'!$N$55)</f>
        <v/>
      </c>
      <c r="Q164" s="102">
        <f>IF('Richard'!$O$55="","",'Richard'!$O$55)</f>
        <v/>
      </c>
      <c r="R164" s="103">
        <f>IF($C164="","",IF('Richard'!$F$7="","",'Richard'!$F$7))</f>
        <v/>
      </c>
      <c r="S164" s="100" t="n"/>
      <c r="T164" s="102" t="n"/>
      <c r="U164" s="102" t="n"/>
      <c r="V164" s="102" t="n"/>
    </row>
    <row r="165">
      <c r="A165" s="100">
        <f>IF($C165="","",'Painel Geral'!$B$24)</f>
        <v/>
      </c>
      <c r="B165" s="100">
        <f>IF($C165="","",'Painel Geral'!$C$24)</f>
        <v/>
      </c>
      <c r="C165" s="100">
        <f>IF('Richard'!$A$56="","",'Richard'!$A$56)</f>
        <v/>
      </c>
      <c r="D165" s="101">
        <f>IF('Richard'!$B$56="","",'Richard'!$B$56)</f>
        <v/>
      </c>
      <c r="E165" s="102">
        <f>IF('Richard'!$C$56="","",'Richard'!$C$56)</f>
        <v/>
      </c>
      <c r="F165" s="100">
        <f>IF('Richard'!$D$56="","",'Richard'!$D$56)</f>
        <v/>
      </c>
      <c r="G165" s="101">
        <f>IF('Richard'!$E$56="","",'Richard'!$E$56)</f>
        <v/>
      </c>
      <c r="H165" s="102">
        <f>IF('Richard'!$F$56="","",'Richard'!$F$56)</f>
        <v/>
      </c>
      <c r="I165" s="103">
        <f>IF('Richard'!$G$56="","",'Richard'!$G$56)</f>
        <v/>
      </c>
      <c r="J165" s="100">
        <f>IF('Richard'!$H$56="","",'Richard'!$H$56)</f>
        <v/>
      </c>
      <c r="K165" s="101">
        <f>IF('Richard'!$I$56="","",'Richard'!$I$56)</f>
        <v/>
      </c>
      <c r="L165" s="102">
        <f>IF('Richard'!$J$56="","",'Richard'!$J$56)</f>
        <v/>
      </c>
      <c r="M165" s="103">
        <f>IF('Richard'!$K$56="","",'Richard'!$K$56)</f>
        <v/>
      </c>
      <c r="N165" s="100">
        <f>IF('Richard'!$L$56="","",'Richard'!$L$56)</f>
        <v/>
      </c>
      <c r="O165" s="101">
        <f>IF('Richard'!$M$56="","",'Richard'!$M$56)</f>
        <v/>
      </c>
      <c r="P165" s="102">
        <f>IF('Richard'!$N$56="","",'Richard'!$N$56)</f>
        <v/>
      </c>
      <c r="Q165" s="102">
        <f>IF('Richard'!$O$56="","",'Richard'!$O$56)</f>
        <v/>
      </c>
      <c r="R165" s="103">
        <f>IF($C165="","",IF('Richard'!$F$7="","",'Richard'!$F$7))</f>
        <v/>
      </c>
      <c r="S165" s="100" t="n"/>
      <c r="T165" s="102" t="n"/>
      <c r="U165" s="102" t="n"/>
      <c r="V165" s="102" t="n"/>
    </row>
    <row r="166">
      <c r="A166" s="100">
        <f>IF($C166="","",'Painel Geral'!$B$24)</f>
        <v/>
      </c>
      <c r="B166" s="100">
        <f>IF($C166="","",'Painel Geral'!$C$24)</f>
        <v/>
      </c>
      <c r="C166" s="100">
        <f>IF('Richard'!$A$57="","",'Richard'!$A$57)</f>
        <v/>
      </c>
      <c r="D166" s="101">
        <f>IF('Richard'!$B$57="","",'Richard'!$B$57)</f>
        <v/>
      </c>
      <c r="E166" s="102">
        <f>IF('Richard'!$C$57="","",'Richard'!$C$57)</f>
        <v/>
      </c>
      <c r="F166" s="100">
        <f>IF('Richard'!$D$57="","",'Richard'!$D$57)</f>
        <v/>
      </c>
      <c r="G166" s="101">
        <f>IF('Richard'!$E$57="","",'Richard'!$E$57)</f>
        <v/>
      </c>
      <c r="H166" s="102">
        <f>IF('Richard'!$F$57="","",'Richard'!$F$57)</f>
        <v/>
      </c>
      <c r="I166" s="103">
        <f>IF('Richard'!$G$57="","",'Richard'!$G$57)</f>
        <v/>
      </c>
      <c r="J166" s="100">
        <f>IF('Richard'!$H$57="","",'Richard'!$H$57)</f>
        <v/>
      </c>
      <c r="K166" s="101">
        <f>IF('Richard'!$I$57="","",'Richard'!$I$57)</f>
        <v/>
      </c>
      <c r="L166" s="102">
        <f>IF('Richard'!$J$57="","",'Richard'!$J$57)</f>
        <v/>
      </c>
      <c r="M166" s="103">
        <f>IF('Richard'!$K$57="","",'Richard'!$K$57)</f>
        <v/>
      </c>
      <c r="N166" s="100">
        <f>IF('Richard'!$L$57="","",'Richard'!$L$57)</f>
        <v/>
      </c>
      <c r="O166" s="101">
        <f>IF('Richard'!$M$57="","",'Richard'!$M$57)</f>
        <v/>
      </c>
      <c r="P166" s="102">
        <f>IF('Richard'!$N$57="","",'Richard'!$N$57)</f>
        <v/>
      </c>
      <c r="Q166" s="102">
        <f>IF('Richard'!$O$57="","",'Richard'!$O$57)</f>
        <v/>
      </c>
      <c r="R166" s="103">
        <f>IF($C166="","",IF('Richard'!$F$7="","",'Richard'!$F$7))</f>
        <v/>
      </c>
      <c r="S166" s="100" t="n"/>
      <c r="T166" s="102" t="n"/>
      <c r="U166" s="102" t="n"/>
      <c r="V166" s="102" t="n"/>
    </row>
    <row r="167">
      <c r="A167" s="100">
        <f>IF($C167="","",'Painel Geral'!$B$24)</f>
        <v/>
      </c>
      <c r="B167" s="100">
        <f>IF($C167="","",'Painel Geral'!$C$24)</f>
        <v/>
      </c>
      <c r="C167" s="100">
        <f>IF('Richard'!$A$58="","",'Richard'!$A$58)</f>
        <v/>
      </c>
      <c r="D167" s="101">
        <f>IF('Richard'!$B$58="","",'Richard'!$B$58)</f>
        <v/>
      </c>
      <c r="E167" s="102">
        <f>IF('Richard'!$C$58="","",'Richard'!$C$58)</f>
        <v/>
      </c>
      <c r="F167" s="100">
        <f>IF('Richard'!$D$58="","",'Richard'!$D$58)</f>
        <v/>
      </c>
      <c r="G167" s="101">
        <f>IF('Richard'!$E$58="","",'Richard'!$E$58)</f>
        <v/>
      </c>
      <c r="H167" s="102">
        <f>IF('Richard'!$F$58="","",'Richard'!$F$58)</f>
        <v/>
      </c>
      <c r="I167" s="103">
        <f>IF('Richard'!$G$58="","",'Richard'!$G$58)</f>
        <v/>
      </c>
      <c r="J167" s="100">
        <f>IF('Richard'!$H$58="","",'Richard'!$H$58)</f>
        <v/>
      </c>
      <c r="K167" s="101">
        <f>IF('Richard'!$I$58="","",'Richard'!$I$58)</f>
        <v/>
      </c>
      <c r="L167" s="102">
        <f>IF('Richard'!$J$58="","",'Richard'!$J$58)</f>
        <v/>
      </c>
      <c r="M167" s="103">
        <f>IF('Richard'!$K$58="","",'Richard'!$K$58)</f>
        <v/>
      </c>
      <c r="N167" s="100">
        <f>IF('Richard'!$L$58="","",'Richard'!$L$58)</f>
        <v/>
      </c>
      <c r="O167" s="101">
        <f>IF('Richard'!$M$58="","",'Richard'!$M$58)</f>
        <v/>
      </c>
      <c r="P167" s="102">
        <f>IF('Richard'!$N$58="","",'Richard'!$N$58)</f>
        <v/>
      </c>
      <c r="Q167" s="102">
        <f>IF('Richard'!$O$58="","",'Richard'!$O$58)</f>
        <v/>
      </c>
      <c r="R167" s="103">
        <f>IF($C167="","",IF('Richard'!$F$7="","",'Richard'!$F$7))</f>
        <v/>
      </c>
      <c r="S167" s="100" t="n"/>
      <c r="T167" s="102" t="n"/>
      <c r="U167" s="102" t="n"/>
      <c r="V167" s="102" t="n"/>
    </row>
    <row r="168">
      <c r="A168" s="100">
        <f>IF($C168="","",'Painel Geral'!$B$24)</f>
        <v/>
      </c>
      <c r="B168" s="100">
        <f>IF($C168="","",'Painel Geral'!$C$24)</f>
        <v/>
      </c>
      <c r="C168" s="100">
        <f>IF('Richard'!$A$59="","",'Richard'!$A$59)</f>
        <v/>
      </c>
      <c r="D168" s="101">
        <f>IF('Richard'!$B$59="","",'Richard'!$B$59)</f>
        <v/>
      </c>
      <c r="E168" s="102">
        <f>IF('Richard'!$C$59="","",'Richard'!$C$59)</f>
        <v/>
      </c>
      <c r="F168" s="100">
        <f>IF('Richard'!$D$59="","",'Richard'!$D$59)</f>
        <v/>
      </c>
      <c r="G168" s="101">
        <f>IF('Richard'!$E$59="","",'Richard'!$E$59)</f>
        <v/>
      </c>
      <c r="H168" s="102">
        <f>IF('Richard'!$F$59="","",'Richard'!$F$59)</f>
        <v/>
      </c>
      <c r="I168" s="103">
        <f>IF('Richard'!$G$59="","",'Richard'!$G$59)</f>
        <v/>
      </c>
      <c r="J168" s="100">
        <f>IF('Richard'!$H$59="","",'Richard'!$H$59)</f>
        <v/>
      </c>
      <c r="K168" s="101">
        <f>IF('Richard'!$I$59="","",'Richard'!$I$59)</f>
        <v/>
      </c>
      <c r="L168" s="102">
        <f>IF('Richard'!$J$59="","",'Richard'!$J$59)</f>
        <v/>
      </c>
      <c r="M168" s="103">
        <f>IF('Richard'!$K$59="","",'Richard'!$K$59)</f>
        <v/>
      </c>
      <c r="N168" s="100">
        <f>IF('Richard'!$L$59="","",'Richard'!$L$59)</f>
        <v/>
      </c>
      <c r="O168" s="101">
        <f>IF('Richard'!$M$59="","",'Richard'!$M$59)</f>
        <v/>
      </c>
      <c r="P168" s="102">
        <f>IF('Richard'!$N$59="","",'Richard'!$N$59)</f>
        <v/>
      </c>
      <c r="Q168" s="102">
        <f>IF('Richard'!$O$59="","",'Richard'!$O$59)</f>
        <v/>
      </c>
      <c r="R168" s="103">
        <f>IF($C168="","",IF('Richard'!$F$7="","",'Richard'!$F$7))</f>
        <v/>
      </c>
      <c r="S168" s="100" t="n"/>
      <c r="T168" s="102" t="n"/>
      <c r="U168" s="102" t="n"/>
      <c r="V168" s="102" t="n"/>
    </row>
    <row r="169">
      <c r="A169" s="100">
        <f>IF($C169="","",'Painel Geral'!$B$24)</f>
        <v/>
      </c>
      <c r="B169" s="100">
        <f>IF($C169="","",'Painel Geral'!$C$24)</f>
        <v/>
      </c>
      <c r="C169" s="100">
        <f>IF('Richard'!$A$60="","",'Richard'!$A$60)</f>
        <v/>
      </c>
      <c r="D169" s="101">
        <f>IF('Richard'!$B$60="","",'Richard'!$B$60)</f>
        <v/>
      </c>
      <c r="E169" s="102">
        <f>IF('Richard'!$C$60="","",'Richard'!$C$60)</f>
        <v/>
      </c>
      <c r="F169" s="100">
        <f>IF('Richard'!$D$60="","",'Richard'!$D$60)</f>
        <v/>
      </c>
      <c r="G169" s="101">
        <f>IF('Richard'!$E$60="","",'Richard'!$E$60)</f>
        <v/>
      </c>
      <c r="H169" s="102">
        <f>IF('Richard'!$F$60="","",'Richard'!$F$60)</f>
        <v/>
      </c>
      <c r="I169" s="103">
        <f>IF('Richard'!$G$60="","",'Richard'!$G$60)</f>
        <v/>
      </c>
      <c r="J169" s="100">
        <f>IF('Richard'!$H$60="","",'Richard'!$H$60)</f>
        <v/>
      </c>
      <c r="K169" s="101">
        <f>IF('Richard'!$I$60="","",'Richard'!$I$60)</f>
        <v/>
      </c>
      <c r="L169" s="102">
        <f>IF('Richard'!$J$60="","",'Richard'!$J$60)</f>
        <v/>
      </c>
      <c r="M169" s="103">
        <f>IF('Richard'!$K$60="","",'Richard'!$K$60)</f>
        <v/>
      </c>
      <c r="N169" s="100">
        <f>IF('Richard'!$L$60="","",'Richard'!$L$60)</f>
        <v/>
      </c>
      <c r="O169" s="101">
        <f>IF('Richard'!$M$60="","",'Richard'!$M$60)</f>
        <v/>
      </c>
      <c r="P169" s="102">
        <f>IF('Richard'!$N$60="","",'Richard'!$N$60)</f>
        <v/>
      </c>
      <c r="Q169" s="102">
        <f>IF('Richard'!$O$60="","",'Richard'!$O$60)</f>
        <v/>
      </c>
      <c r="R169" s="103">
        <f>IF($C169="","",IF('Richard'!$F$7="","",'Richard'!$F$7))</f>
        <v/>
      </c>
      <c r="S169" s="100" t="n"/>
      <c r="T169" s="102" t="n"/>
      <c r="U169" s="102" t="n"/>
      <c r="V169" s="102" t="n"/>
    </row>
    <row r="170">
      <c r="A170" s="100">
        <f>IF($C170="","",'Painel Geral'!$B$25)</f>
        <v/>
      </c>
      <c r="B170" s="100">
        <f>IF($C170="","",'Painel Geral'!$C$25)</f>
        <v/>
      </c>
      <c r="C170" s="100">
        <f>IF('Shelf'!$A$49="","",'Shelf'!$A$49)</f>
        <v/>
      </c>
      <c r="D170" s="101">
        <f>IF('Shelf'!$B$49="","",'Shelf'!$B$49)</f>
        <v/>
      </c>
      <c r="E170" s="102">
        <f>IF('Shelf'!$C$49="","",'Shelf'!$C$49)</f>
        <v/>
      </c>
      <c r="F170" s="100">
        <f>IF('Shelf'!$D$49="","",'Shelf'!$D$49)</f>
        <v/>
      </c>
      <c r="G170" s="101">
        <f>IF('Shelf'!$E$49="","",'Shelf'!$E$49)</f>
        <v/>
      </c>
      <c r="H170" s="102">
        <f>IF('Shelf'!$F$49="","",'Shelf'!$F$49)</f>
        <v/>
      </c>
      <c r="I170" s="103">
        <f>IF('Shelf'!$G$49="","",'Shelf'!$G$49)</f>
        <v/>
      </c>
      <c r="J170" s="100">
        <f>IF('Shelf'!$H$49="","",'Shelf'!$H$49)</f>
        <v/>
      </c>
      <c r="K170" s="101">
        <f>IF('Shelf'!$I$49="","",'Shelf'!$I$49)</f>
        <v/>
      </c>
      <c r="L170" s="102">
        <f>IF('Shelf'!$J$49="","",'Shelf'!$J$49)</f>
        <v/>
      </c>
      <c r="M170" s="103">
        <f>IF('Shelf'!$K$49="","",'Shelf'!$K$49)</f>
        <v/>
      </c>
      <c r="N170" s="100">
        <f>IF('Shelf'!$L$49="","",'Shelf'!$L$49)</f>
        <v/>
      </c>
      <c r="O170" s="101">
        <f>IF('Shelf'!$M$49="","",'Shelf'!$M$49)</f>
        <v/>
      </c>
      <c r="P170" s="102">
        <f>IF('Shelf'!$N$49="","",'Shelf'!$N$49)</f>
        <v/>
      </c>
      <c r="Q170" s="102">
        <f>IF('Shelf'!$O$49="","",'Shelf'!$O$49)</f>
        <v/>
      </c>
      <c r="R170" s="103">
        <f>IF($C170="","",IF('Shelf'!$F$7="","",'Shelf'!$F$7))</f>
        <v/>
      </c>
      <c r="S170" s="100">
        <f>IF($C170="","",IF('Shelf'!$F$9="","",'Shelf'!$F$9))</f>
        <v/>
      </c>
      <c r="T170" s="102">
        <f>IF($C170="","",IF('Shelf'!$D$65="",0,'Shelf'!$D$65))</f>
        <v/>
      </c>
      <c r="U170" s="102">
        <f>IF($C170="","",IF('Shelf'!$D$45="",0,'Shelf'!$D$45))</f>
        <v/>
      </c>
      <c r="V170" s="102">
        <f>IF($C170="","",IF('Shelf'!$A$13="",0,'Shelf'!$A$13))</f>
        <v/>
      </c>
    </row>
    <row r="171">
      <c r="A171" s="100">
        <f>IF($C171="","",'Painel Geral'!$B$25)</f>
        <v/>
      </c>
      <c r="B171" s="100">
        <f>IF($C171="","",'Painel Geral'!$C$25)</f>
        <v/>
      </c>
      <c r="C171" s="100">
        <f>IF('Shelf'!$A$50="","",'Shelf'!$A$50)</f>
        <v/>
      </c>
      <c r="D171" s="101">
        <f>IF('Shelf'!$B$50="","",'Shelf'!$B$50)</f>
        <v/>
      </c>
      <c r="E171" s="102">
        <f>IF('Shelf'!$C$50="","",'Shelf'!$C$50)</f>
        <v/>
      </c>
      <c r="F171" s="100">
        <f>IF('Shelf'!$D$50="","",'Shelf'!$D$50)</f>
        <v/>
      </c>
      <c r="G171" s="101">
        <f>IF('Shelf'!$E$50="","",'Shelf'!$E$50)</f>
        <v/>
      </c>
      <c r="H171" s="102">
        <f>IF('Shelf'!$F$50="","",'Shelf'!$F$50)</f>
        <v/>
      </c>
      <c r="I171" s="103">
        <f>IF('Shelf'!$G$50="","",'Shelf'!$G$50)</f>
        <v/>
      </c>
      <c r="J171" s="100">
        <f>IF('Shelf'!$H$50="","",'Shelf'!$H$50)</f>
        <v/>
      </c>
      <c r="K171" s="101">
        <f>IF('Shelf'!$I$50="","",'Shelf'!$I$50)</f>
        <v/>
      </c>
      <c r="L171" s="102">
        <f>IF('Shelf'!$J$50="","",'Shelf'!$J$50)</f>
        <v/>
      </c>
      <c r="M171" s="103">
        <f>IF('Shelf'!$K$50="","",'Shelf'!$K$50)</f>
        <v/>
      </c>
      <c r="N171" s="100">
        <f>IF('Shelf'!$L$50="","",'Shelf'!$L$50)</f>
        <v/>
      </c>
      <c r="O171" s="101">
        <f>IF('Shelf'!$M$50="","",'Shelf'!$M$50)</f>
        <v/>
      </c>
      <c r="P171" s="102">
        <f>IF('Shelf'!$N$50="","",'Shelf'!$N$50)</f>
        <v/>
      </c>
      <c r="Q171" s="102">
        <f>IF('Shelf'!$O$50="","",'Shelf'!$O$50)</f>
        <v/>
      </c>
      <c r="R171" s="103">
        <f>IF($C171="","",IF('Shelf'!$F$7="","",'Shelf'!$F$7))</f>
        <v/>
      </c>
      <c r="S171" s="100" t="n"/>
      <c r="T171" s="102" t="n"/>
      <c r="U171" s="102" t="n"/>
      <c r="V171" s="102" t="n"/>
    </row>
    <row r="172">
      <c r="A172" s="100">
        <f>IF($C172="","",'Painel Geral'!$B$25)</f>
        <v/>
      </c>
      <c r="B172" s="100">
        <f>IF($C172="","",'Painel Geral'!$C$25)</f>
        <v/>
      </c>
      <c r="C172" s="100">
        <f>IF('Shelf'!$A$51="","",'Shelf'!$A$51)</f>
        <v/>
      </c>
      <c r="D172" s="101">
        <f>IF('Shelf'!$B$51="","",'Shelf'!$B$51)</f>
        <v/>
      </c>
      <c r="E172" s="102">
        <f>IF('Shelf'!$C$51="","",'Shelf'!$C$51)</f>
        <v/>
      </c>
      <c r="F172" s="100">
        <f>IF('Shelf'!$D$51="","",'Shelf'!$D$51)</f>
        <v/>
      </c>
      <c r="G172" s="101">
        <f>IF('Shelf'!$E$51="","",'Shelf'!$E$51)</f>
        <v/>
      </c>
      <c r="H172" s="102">
        <f>IF('Shelf'!$F$51="","",'Shelf'!$F$51)</f>
        <v/>
      </c>
      <c r="I172" s="103">
        <f>IF('Shelf'!$G$51="","",'Shelf'!$G$51)</f>
        <v/>
      </c>
      <c r="J172" s="100">
        <f>IF('Shelf'!$H$51="","",'Shelf'!$H$51)</f>
        <v/>
      </c>
      <c r="K172" s="101">
        <f>IF('Shelf'!$I$51="","",'Shelf'!$I$51)</f>
        <v/>
      </c>
      <c r="L172" s="102">
        <f>IF('Shelf'!$J$51="","",'Shelf'!$J$51)</f>
        <v/>
      </c>
      <c r="M172" s="103">
        <f>IF('Shelf'!$K$51="","",'Shelf'!$K$51)</f>
        <v/>
      </c>
      <c r="N172" s="100">
        <f>IF('Shelf'!$L$51="","",'Shelf'!$L$51)</f>
        <v/>
      </c>
      <c r="O172" s="101">
        <f>IF('Shelf'!$M$51="","",'Shelf'!$M$51)</f>
        <v/>
      </c>
      <c r="P172" s="102">
        <f>IF('Shelf'!$N$51="","",'Shelf'!$N$51)</f>
        <v/>
      </c>
      <c r="Q172" s="102">
        <f>IF('Shelf'!$O$51="","",'Shelf'!$O$51)</f>
        <v/>
      </c>
      <c r="R172" s="103">
        <f>IF($C172="","",IF('Shelf'!$F$7="","",'Shelf'!$F$7))</f>
        <v/>
      </c>
      <c r="S172" s="100" t="n"/>
      <c r="T172" s="102" t="n"/>
      <c r="U172" s="102" t="n"/>
      <c r="V172" s="102" t="n"/>
    </row>
    <row r="173">
      <c r="A173" s="100">
        <f>IF($C173="","",'Painel Geral'!$B$25)</f>
        <v/>
      </c>
      <c r="B173" s="100">
        <f>IF($C173="","",'Painel Geral'!$C$25)</f>
        <v/>
      </c>
      <c r="C173" s="100">
        <f>IF('Shelf'!$A$52="","",'Shelf'!$A$52)</f>
        <v/>
      </c>
      <c r="D173" s="101">
        <f>IF('Shelf'!$B$52="","",'Shelf'!$B$52)</f>
        <v/>
      </c>
      <c r="E173" s="102">
        <f>IF('Shelf'!$C$52="","",'Shelf'!$C$52)</f>
        <v/>
      </c>
      <c r="F173" s="100">
        <f>IF('Shelf'!$D$52="","",'Shelf'!$D$52)</f>
        <v/>
      </c>
      <c r="G173" s="101">
        <f>IF('Shelf'!$E$52="","",'Shelf'!$E$52)</f>
        <v/>
      </c>
      <c r="H173" s="102">
        <f>IF('Shelf'!$F$52="","",'Shelf'!$F$52)</f>
        <v/>
      </c>
      <c r="I173" s="103">
        <f>IF('Shelf'!$G$52="","",'Shelf'!$G$52)</f>
        <v/>
      </c>
      <c r="J173" s="100">
        <f>IF('Shelf'!$H$52="","",'Shelf'!$H$52)</f>
        <v/>
      </c>
      <c r="K173" s="101">
        <f>IF('Shelf'!$I$52="","",'Shelf'!$I$52)</f>
        <v/>
      </c>
      <c r="L173" s="102">
        <f>IF('Shelf'!$J$52="","",'Shelf'!$J$52)</f>
        <v/>
      </c>
      <c r="M173" s="103">
        <f>IF('Shelf'!$K$52="","",'Shelf'!$K$52)</f>
        <v/>
      </c>
      <c r="N173" s="100">
        <f>IF('Shelf'!$L$52="","",'Shelf'!$L$52)</f>
        <v/>
      </c>
      <c r="O173" s="101">
        <f>IF('Shelf'!$M$52="","",'Shelf'!$M$52)</f>
        <v/>
      </c>
      <c r="P173" s="102">
        <f>IF('Shelf'!$N$52="","",'Shelf'!$N$52)</f>
        <v/>
      </c>
      <c r="Q173" s="102">
        <f>IF('Shelf'!$O$52="","",'Shelf'!$O$52)</f>
        <v/>
      </c>
      <c r="R173" s="103">
        <f>IF($C173="","",IF('Shelf'!$F$7="","",'Shelf'!$F$7))</f>
        <v/>
      </c>
      <c r="S173" s="100" t="n"/>
      <c r="T173" s="102" t="n"/>
      <c r="U173" s="102" t="n"/>
      <c r="V173" s="102" t="n"/>
    </row>
    <row r="174">
      <c r="A174" s="100">
        <f>IF($C174="","",'Painel Geral'!$B$25)</f>
        <v/>
      </c>
      <c r="B174" s="100">
        <f>IF($C174="","",'Painel Geral'!$C$25)</f>
        <v/>
      </c>
      <c r="C174" s="100">
        <f>IF('Shelf'!$A$53="","",'Shelf'!$A$53)</f>
        <v/>
      </c>
      <c r="D174" s="101">
        <f>IF('Shelf'!$B$53="","",'Shelf'!$B$53)</f>
        <v/>
      </c>
      <c r="E174" s="102">
        <f>IF('Shelf'!$C$53="","",'Shelf'!$C$53)</f>
        <v/>
      </c>
      <c r="F174" s="100">
        <f>IF('Shelf'!$D$53="","",'Shelf'!$D$53)</f>
        <v/>
      </c>
      <c r="G174" s="101">
        <f>IF('Shelf'!$E$53="","",'Shelf'!$E$53)</f>
        <v/>
      </c>
      <c r="H174" s="102">
        <f>IF('Shelf'!$F$53="","",'Shelf'!$F$53)</f>
        <v/>
      </c>
      <c r="I174" s="103">
        <f>IF('Shelf'!$G$53="","",'Shelf'!$G$53)</f>
        <v/>
      </c>
      <c r="J174" s="100">
        <f>IF('Shelf'!$H$53="","",'Shelf'!$H$53)</f>
        <v/>
      </c>
      <c r="K174" s="101">
        <f>IF('Shelf'!$I$53="","",'Shelf'!$I$53)</f>
        <v/>
      </c>
      <c r="L174" s="102">
        <f>IF('Shelf'!$J$53="","",'Shelf'!$J$53)</f>
        <v/>
      </c>
      <c r="M174" s="103">
        <f>IF('Shelf'!$K$53="","",'Shelf'!$K$53)</f>
        <v/>
      </c>
      <c r="N174" s="100">
        <f>IF('Shelf'!$L$53="","",'Shelf'!$L$53)</f>
        <v/>
      </c>
      <c r="O174" s="101">
        <f>IF('Shelf'!$M$53="","",'Shelf'!$M$53)</f>
        <v/>
      </c>
      <c r="P174" s="102">
        <f>IF('Shelf'!$N$53="","",'Shelf'!$N$53)</f>
        <v/>
      </c>
      <c r="Q174" s="102">
        <f>IF('Shelf'!$O$53="","",'Shelf'!$O$53)</f>
        <v/>
      </c>
      <c r="R174" s="103">
        <f>IF($C174="","",IF('Shelf'!$F$7="","",'Shelf'!$F$7))</f>
        <v/>
      </c>
      <c r="S174" s="100" t="n"/>
      <c r="T174" s="102" t="n"/>
      <c r="U174" s="102" t="n"/>
      <c r="V174" s="102" t="n"/>
    </row>
    <row r="175">
      <c r="A175" s="100">
        <f>IF($C175="","",'Painel Geral'!$B$25)</f>
        <v/>
      </c>
      <c r="B175" s="100">
        <f>IF($C175="","",'Painel Geral'!$C$25)</f>
        <v/>
      </c>
      <c r="C175" s="100">
        <f>IF('Shelf'!$A$54="","",'Shelf'!$A$54)</f>
        <v/>
      </c>
      <c r="D175" s="101">
        <f>IF('Shelf'!$B$54="","",'Shelf'!$B$54)</f>
        <v/>
      </c>
      <c r="E175" s="102">
        <f>IF('Shelf'!$C$54="","",'Shelf'!$C$54)</f>
        <v/>
      </c>
      <c r="F175" s="100">
        <f>IF('Shelf'!$D$54="","",'Shelf'!$D$54)</f>
        <v/>
      </c>
      <c r="G175" s="101">
        <f>IF('Shelf'!$E$54="","",'Shelf'!$E$54)</f>
        <v/>
      </c>
      <c r="H175" s="102">
        <f>IF('Shelf'!$F$54="","",'Shelf'!$F$54)</f>
        <v/>
      </c>
      <c r="I175" s="103">
        <f>IF('Shelf'!$G$54="","",'Shelf'!$G$54)</f>
        <v/>
      </c>
      <c r="J175" s="100">
        <f>IF('Shelf'!$H$54="","",'Shelf'!$H$54)</f>
        <v/>
      </c>
      <c r="K175" s="101">
        <f>IF('Shelf'!$I$54="","",'Shelf'!$I$54)</f>
        <v/>
      </c>
      <c r="L175" s="102">
        <f>IF('Shelf'!$J$54="","",'Shelf'!$J$54)</f>
        <v/>
      </c>
      <c r="M175" s="103">
        <f>IF('Shelf'!$K$54="","",'Shelf'!$K$54)</f>
        <v/>
      </c>
      <c r="N175" s="100">
        <f>IF('Shelf'!$L$54="","",'Shelf'!$L$54)</f>
        <v/>
      </c>
      <c r="O175" s="101">
        <f>IF('Shelf'!$M$54="","",'Shelf'!$M$54)</f>
        <v/>
      </c>
      <c r="P175" s="102">
        <f>IF('Shelf'!$N$54="","",'Shelf'!$N$54)</f>
        <v/>
      </c>
      <c r="Q175" s="102">
        <f>IF('Shelf'!$O$54="","",'Shelf'!$O$54)</f>
        <v/>
      </c>
      <c r="R175" s="103">
        <f>IF($C175="","",IF('Shelf'!$F$7="","",'Shelf'!$F$7))</f>
        <v/>
      </c>
      <c r="S175" s="100" t="n"/>
      <c r="T175" s="102" t="n"/>
      <c r="U175" s="102" t="n"/>
      <c r="V175" s="102" t="n"/>
    </row>
    <row r="176">
      <c r="A176" s="100">
        <f>IF($C176="","",'Painel Geral'!$B$25)</f>
        <v/>
      </c>
      <c r="B176" s="100">
        <f>IF($C176="","",'Painel Geral'!$C$25)</f>
        <v/>
      </c>
      <c r="C176" s="100">
        <f>IF('Shelf'!$A$55="","",'Shelf'!$A$55)</f>
        <v/>
      </c>
      <c r="D176" s="101">
        <f>IF('Shelf'!$B$55="","",'Shelf'!$B$55)</f>
        <v/>
      </c>
      <c r="E176" s="102">
        <f>IF('Shelf'!$C$55="","",'Shelf'!$C$55)</f>
        <v/>
      </c>
      <c r="F176" s="100">
        <f>IF('Shelf'!$D$55="","",'Shelf'!$D$55)</f>
        <v/>
      </c>
      <c r="G176" s="101">
        <f>IF('Shelf'!$E$55="","",'Shelf'!$E$55)</f>
        <v/>
      </c>
      <c r="H176" s="102">
        <f>IF('Shelf'!$F$55="","",'Shelf'!$F$55)</f>
        <v/>
      </c>
      <c r="I176" s="103">
        <f>IF('Shelf'!$G$55="","",'Shelf'!$G$55)</f>
        <v/>
      </c>
      <c r="J176" s="100">
        <f>IF('Shelf'!$H$55="","",'Shelf'!$H$55)</f>
        <v/>
      </c>
      <c r="K176" s="101">
        <f>IF('Shelf'!$I$55="","",'Shelf'!$I$55)</f>
        <v/>
      </c>
      <c r="L176" s="102">
        <f>IF('Shelf'!$J$55="","",'Shelf'!$J$55)</f>
        <v/>
      </c>
      <c r="M176" s="103">
        <f>IF('Shelf'!$K$55="","",'Shelf'!$K$55)</f>
        <v/>
      </c>
      <c r="N176" s="100">
        <f>IF('Shelf'!$L$55="","",'Shelf'!$L$55)</f>
        <v/>
      </c>
      <c r="O176" s="101">
        <f>IF('Shelf'!$M$55="","",'Shelf'!$M$55)</f>
        <v/>
      </c>
      <c r="P176" s="102">
        <f>IF('Shelf'!$N$55="","",'Shelf'!$N$55)</f>
        <v/>
      </c>
      <c r="Q176" s="102">
        <f>IF('Shelf'!$O$55="","",'Shelf'!$O$55)</f>
        <v/>
      </c>
      <c r="R176" s="103">
        <f>IF($C176="","",IF('Shelf'!$F$7="","",'Shelf'!$F$7))</f>
        <v/>
      </c>
      <c r="S176" s="100" t="n"/>
      <c r="T176" s="102" t="n"/>
      <c r="U176" s="102" t="n"/>
      <c r="V176" s="102" t="n"/>
    </row>
    <row r="177">
      <c r="A177" s="100">
        <f>IF($C177="","",'Painel Geral'!$B$25)</f>
        <v/>
      </c>
      <c r="B177" s="100">
        <f>IF($C177="","",'Painel Geral'!$C$25)</f>
        <v/>
      </c>
      <c r="C177" s="100">
        <f>IF('Shelf'!$A$56="","",'Shelf'!$A$56)</f>
        <v/>
      </c>
      <c r="D177" s="101">
        <f>IF('Shelf'!$B$56="","",'Shelf'!$B$56)</f>
        <v/>
      </c>
      <c r="E177" s="102">
        <f>IF('Shelf'!$C$56="","",'Shelf'!$C$56)</f>
        <v/>
      </c>
      <c r="F177" s="100">
        <f>IF('Shelf'!$D$56="","",'Shelf'!$D$56)</f>
        <v/>
      </c>
      <c r="G177" s="101">
        <f>IF('Shelf'!$E$56="","",'Shelf'!$E$56)</f>
        <v/>
      </c>
      <c r="H177" s="102">
        <f>IF('Shelf'!$F$56="","",'Shelf'!$F$56)</f>
        <v/>
      </c>
      <c r="I177" s="103">
        <f>IF('Shelf'!$G$56="","",'Shelf'!$G$56)</f>
        <v/>
      </c>
      <c r="J177" s="100">
        <f>IF('Shelf'!$H$56="","",'Shelf'!$H$56)</f>
        <v/>
      </c>
      <c r="K177" s="101">
        <f>IF('Shelf'!$I$56="","",'Shelf'!$I$56)</f>
        <v/>
      </c>
      <c r="L177" s="102">
        <f>IF('Shelf'!$J$56="","",'Shelf'!$J$56)</f>
        <v/>
      </c>
      <c r="M177" s="103">
        <f>IF('Shelf'!$K$56="","",'Shelf'!$K$56)</f>
        <v/>
      </c>
      <c r="N177" s="100">
        <f>IF('Shelf'!$L$56="","",'Shelf'!$L$56)</f>
        <v/>
      </c>
      <c r="O177" s="101">
        <f>IF('Shelf'!$M$56="","",'Shelf'!$M$56)</f>
        <v/>
      </c>
      <c r="P177" s="102">
        <f>IF('Shelf'!$N$56="","",'Shelf'!$N$56)</f>
        <v/>
      </c>
      <c r="Q177" s="102">
        <f>IF('Shelf'!$O$56="","",'Shelf'!$O$56)</f>
        <v/>
      </c>
      <c r="R177" s="103">
        <f>IF($C177="","",IF('Shelf'!$F$7="","",'Shelf'!$F$7))</f>
        <v/>
      </c>
      <c r="S177" s="100" t="n"/>
      <c r="T177" s="102" t="n"/>
      <c r="U177" s="102" t="n"/>
      <c r="V177" s="102" t="n"/>
    </row>
    <row r="178">
      <c r="A178" s="100">
        <f>IF($C178="","",'Painel Geral'!$B$25)</f>
        <v/>
      </c>
      <c r="B178" s="100">
        <f>IF($C178="","",'Painel Geral'!$C$25)</f>
        <v/>
      </c>
      <c r="C178" s="100">
        <f>IF('Shelf'!$A$57="","",'Shelf'!$A$57)</f>
        <v/>
      </c>
      <c r="D178" s="101">
        <f>IF('Shelf'!$B$57="","",'Shelf'!$B$57)</f>
        <v/>
      </c>
      <c r="E178" s="102">
        <f>IF('Shelf'!$C$57="","",'Shelf'!$C$57)</f>
        <v/>
      </c>
      <c r="F178" s="100">
        <f>IF('Shelf'!$D$57="","",'Shelf'!$D$57)</f>
        <v/>
      </c>
      <c r="G178" s="101">
        <f>IF('Shelf'!$E$57="","",'Shelf'!$E$57)</f>
        <v/>
      </c>
      <c r="H178" s="102">
        <f>IF('Shelf'!$F$57="","",'Shelf'!$F$57)</f>
        <v/>
      </c>
      <c r="I178" s="103">
        <f>IF('Shelf'!$G$57="","",'Shelf'!$G$57)</f>
        <v/>
      </c>
      <c r="J178" s="100">
        <f>IF('Shelf'!$H$57="","",'Shelf'!$H$57)</f>
        <v/>
      </c>
      <c r="K178" s="101">
        <f>IF('Shelf'!$I$57="","",'Shelf'!$I$57)</f>
        <v/>
      </c>
      <c r="L178" s="102">
        <f>IF('Shelf'!$J$57="","",'Shelf'!$J$57)</f>
        <v/>
      </c>
      <c r="M178" s="103">
        <f>IF('Shelf'!$K$57="","",'Shelf'!$K$57)</f>
        <v/>
      </c>
      <c r="N178" s="100">
        <f>IF('Shelf'!$L$57="","",'Shelf'!$L$57)</f>
        <v/>
      </c>
      <c r="O178" s="101">
        <f>IF('Shelf'!$M$57="","",'Shelf'!$M$57)</f>
        <v/>
      </c>
      <c r="P178" s="102">
        <f>IF('Shelf'!$N$57="","",'Shelf'!$N$57)</f>
        <v/>
      </c>
      <c r="Q178" s="102">
        <f>IF('Shelf'!$O$57="","",'Shelf'!$O$57)</f>
        <v/>
      </c>
      <c r="R178" s="103">
        <f>IF($C178="","",IF('Shelf'!$F$7="","",'Shelf'!$F$7))</f>
        <v/>
      </c>
      <c r="S178" s="100" t="n"/>
      <c r="T178" s="102" t="n"/>
      <c r="U178" s="102" t="n"/>
      <c r="V178" s="102" t="n"/>
    </row>
    <row r="179">
      <c r="A179" s="100">
        <f>IF($C179="","",'Painel Geral'!$B$25)</f>
        <v/>
      </c>
      <c r="B179" s="100">
        <f>IF($C179="","",'Painel Geral'!$C$25)</f>
        <v/>
      </c>
      <c r="C179" s="100">
        <f>IF('Shelf'!$A$58="","",'Shelf'!$A$58)</f>
        <v/>
      </c>
      <c r="D179" s="101">
        <f>IF('Shelf'!$B$58="","",'Shelf'!$B$58)</f>
        <v/>
      </c>
      <c r="E179" s="102">
        <f>IF('Shelf'!$C$58="","",'Shelf'!$C$58)</f>
        <v/>
      </c>
      <c r="F179" s="100">
        <f>IF('Shelf'!$D$58="","",'Shelf'!$D$58)</f>
        <v/>
      </c>
      <c r="G179" s="101">
        <f>IF('Shelf'!$E$58="","",'Shelf'!$E$58)</f>
        <v/>
      </c>
      <c r="H179" s="102">
        <f>IF('Shelf'!$F$58="","",'Shelf'!$F$58)</f>
        <v/>
      </c>
      <c r="I179" s="103">
        <f>IF('Shelf'!$G$58="","",'Shelf'!$G$58)</f>
        <v/>
      </c>
      <c r="J179" s="100">
        <f>IF('Shelf'!$H$58="","",'Shelf'!$H$58)</f>
        <v/>
      </c>
      <c r="K179" s="101">
        <f>IF('Shelf'!$I$58="","",'Shelf'!$I$58)</f>
        <v/>
      </c>
      <c r="L179" s="102">
        <f>IF('Shelf'!$J$58="","",'Shelf'!$J$58)</f>
        <v/>
      </c>
      <c r="M179" s="103">
        <f>IF('Shelf'!$K$58="","",'Shelf'!$K$58)</f>
        <v/>
      </c>
      <c r="N179" s="100">
        <f>IF('Shelf'!$L$58="","",'Shelf'!$L$58)</f>
        <v/>
      </c>
      <c r="O179" s="101">
        <f>IF('Shelf'!$M$58="","",'Shelf'!$M$58)</f>
        <v/>
      </c>
      <c r="P179" s="102">
        <f>IF('Shelf'!$N$58="","",'Shelf'!$N$58)</f>
        <v/>
      </c>
      <c r="Q179" s="102">
        <f>IF('Shelf'!$O$58="","",'Shelf'!$O$58)</f>
        <v/>
      </c>
      <c r="R179" s="103">
        <f>IF($C179="","",IF('Shelf'!$F$7="","",'Shelf'!$F$7))</f>
        <v/>
      </c>
      <c r="S179" s="100" t="n"/>
      <c r="T179" s="102" t="n"/>
      <c r="U179" s="102" t="n"/>
      <c r="V179" s="102" t="n"/>
    </row>
    <row r="180">
      <c r="A180" s="100">
        <f>IF($C180="","",'Painel Geral'!$B$25)</f>
        <v/>
      </c>
      <c r="B180" s="100">
        <f>IF($C180="","",'Painel Geral'!$C$25)</f>
        <v/>
      </c>
      <c r="C180" s="100">
        <f>IF('Shelf'!$A$59="","",'Shelf'!$A$59)</f>
        <v/>
      </c>
      <c r="D180" s="101">
        <f>IF('Shelf'!$B$59="","",'Shelf'!$B$59)</f>
        <v/>
      </c>
      <c r="E180" s="102">
        <f>IF('Shelf'!$C$59="","",'Shelf'!$C$59)</f>
        <v/>
      </c>
      <c r="F180" s="100">
        <f>IF('Shelf'!$D$59="","",'Shelf'!$D$59)</f>
        <v/>
      </c>
      <c r="G180" s="101">
        <f>IF('Shelf'!$E$59="","",'Shelf'!$E$59)</f>
        <v/>
      </c>
      <c r="H180" s="102">
        <f>IF('Shelf'!$F$59="","",'Shelf'!$F$59)</f>
        <v/>
      </c>
      <c r="I180" s="103">
        <f>IF('Shelf'!$G$59="","",'Shelf'!$G$59)</f>
        <v/>
      </c>
      <c r="J180" s="100">
        <f>IF('Shelf'!$H$59="","",'Shelf'!$H$59)</f>
        <v/>
      </c>
      <c r="K180" s="101">
        <f>IF('Shelf'!$I$59="","",'Shelf'!$I$59)</f>
        <v/>
      </c>
      <c r="L180" s="102">
        <f>IF('Shelf'!$J$59="","",'Shelf'!$J$59)</f>
        <v/>
      </c>
      <c r="M180" s="103">
        <f>IF('Shelf'!$K$59="","",'Shelf'!$K$59)</f>
        <v/>
      </c>
      <c r="N180" s="100">
        <f>IF('Shelf'!$L$59="","",'Shelf'!$L$59)</f>
        <v/>
      </c>
      <c r="O180" s="101">
        <f>IF('Shelf'!$M$59="","",'Shelf'!$M$59)</f>
        <v/>
      </c>
      <c r="P180" s="102">
        <f>IF('Shelf'!$N$59="","",'Shelf'!$N$59)</f>
        <v/>
      </c>
      <c r="Q180" s="102">
        <f>IF('Shelf'!$O$59="","",'Shelf'!$O$59)</f>
        <v/>
      </c>
      <c r="R180" s="103">
        <f>IF($C180="","",IF('Shelf'!$F$7="","",'Shelf'!$F$7))</f>
        <v/>
      </c>
      <c r="S180" s="100" t="n"/>
      <c r="T180" s="102" t="n"/>
      <c r="U180" s="102" t="n"/>
      <c r="V180" s="102" t="n"/>
    </row>
    <row r="181">
      <c r="A181" s="100">
        <f>IF($C181="","",'Painel Geral'!$B$25)</f>
        <v/>
      </c>
      <c r="B181" s="100">
        <f>IF($C181="","",'Painel Geral'!$C$25)</f>
        <v/>
      </c>
      <c r="C181" s="100">
        <f>IF('Shelf'!$A$60="","",'Shelf'!$A$60)</f>
        <v/>
      </c>
      <c r="D181" s="101">
        <f>IF('Shelf'!$B$60="","",'Shelf'!$B$60)</f>
        <v/>
      </c>
      <c r="E181" s="102">
        <f>IF('Shelf'!$C$60="","",'Shelf'!$C$60)</f>
        <v/>
      </c>
      <c r="F181" s="100">
        <f>IF('Shelf'!$D$60="","",'Shelf'!$D$60)</f>
        <v/>
      </c>
      <c r="G181" s="101">
        <f>IF('Shelf'!$E$60="","",'Shelf'!$E$60)</f>
        <v/>
      </c>
      <c r="H181" s="102">
        <f>IF('Shelf'!$F$60="","",'Shelf'!$F$60)</f>
        <v/>
      </c>
      <c r="I181" s="103">
        <f>IF('Shelf'!$G$60="","",'Shelf'!$G$60)</f>
        <v/>
      </c>
      <c r="J181" s="100">
        <f>IF('Shelf'!$H$60="","",'Shelf'!$H$60)</f>
        <v/>
      </c>
      <c r="K181" s="101">
        <f>IF('Shelf'!$I$60="","",'Shelf'!$I$60)</f>
        <v/>
      </c>
      <c r="L181" s="102">
        <f>IF('Shelf'!$J$60="","",'Shelf'!$J$60)</f>
        <v/>
      </c>
      <c r="M181" s="103">
        <f>IF('Shelf'!$K$60="","",'Shelf'!$K$60)</f>
        <v/>
      </c>
      <c r="N181" s="100">
        <f>IF('Shelf'!$L$60="","",'Shelf'!$L$60)</f>
        <v/>
      </c>
      <c r="O181" s="101">
        <f>IF('Shelf'!$M$60="","",'Shelf'!$M$60)</f>
        <v/>
      </c>
      <c r="P181" s="102">
        <f>IF('Shelf'!$N$60="","",'Shelf'!$N$60)</f>
        <v/>
      </c>
      <c r="Q181" s="102">
        <f>IF('Shelf'!$O$60="","",'Shelf'!$O$60)</f>
        <v/>
      </c>
      <c r="R181" s="103">
        <f>IF($C181="","",IF('Shelf'!$F$7="","",'Shelf'!$F$7))</f>
        <v/>
      </c>
      <c r="S181" s="100" t="n"/>
      <c r="T181" s="102" t="n"/>
      <c r="U181" s="102" t="n"/>
      <c r="V181" s="102" t="n"/>
    </row>
    <row r="182">
      <c r="A182" s="100">
        <f>IF($C182="","",'Painel Geral'!$B$26)</f>
        <v/>
      </c>
      <c r="B182" s="100">
        <f>IF($C182="","",'Painel Geral'!$C$26)</f>
        <v/>
      </c>
      <c r="C182" s="100">
        <f>IF('Simony'!$A$49="","",'Simony'!$A$49)</f>
        <v/>
      </c>
      <c r="D182" s="101">
        <f>IF('Simony'!$B$49="","",'Simony'!$B$49)</f>
        <v/>
      </c>
      <c r="E182" s="102">
        <f>IF('Simony'!$C$49="","",'Simony'!$C$49)</f>
        <v/>
      </c>
      <c r="F182" s="100">
        <f>IF('Simony'!$D$49="","",'Simony'!$D$49)</f>
        <v/>
      </c>
      <c r="G182" s="101">
        <f>IF('Simony'!$E$49="","",'Simony'!$E$49)</f>
        <v/>
      </c>
      <c r="H182" s="102">
        <f>IF('Simony'!$F$49="","",'Simony'!$F$49)</f>
        <v/>
      </c>
      <c r="I182" s="103">
        <f>IF('Simony'!$G$49="","",'Simony'!$G$49)</f>
        <v/>
      </c>
      <c r="J182" s="100">
        <f>IF('Simony'!$H$49="","",'Simony'!$H$49)</f>
        <v/>
      </c>
      <c r="K182" s="101">
        <f>IF('Simony'!$I$49="","",'Simony'!$I$49)</f>
        <v/>
      </c>
      <c r="L182" s="102">
        <f>IF('Simony'!$J$49="","",'Simony'!$J$49)</f>
        <v/>
      </c>
      <c r="M182" s="103">
        <f>IF('Simony'!$K$49="","",'Simony'!$K$49)</f>
        <v/>
      </c>
      <c r="N182" s="100">
        <f>IF('Simony'!$L$49="","",'Simony'!$L$49)</f>
        <v/>
      </c>
      <c r="O182" s="101">
        <f>IF('Simony'!$M$49="","",'Simony'!$M$49)</f>
        <v/>
      </c>
      <c r="P182" s="102">
        <f>IF('Simony'!$N$49="","",'Simony'!$N$49)</f>
        <v/>
      </c>
      <c r="Q182" s="102">
        <f>IF('Simony'!$O$49="","",'Simony'!$O$49)</f>
        <v/>
      </c>
      <c r="R182" s="103">
        <f>IF($C182="","",IF('Simony'!$F$7="","",'Simony'!$F$7))</f>
        <v/>
      </c>
      <c r="S182" s="100">
        <f>IF($C182="","",IF('Simony'!$F$9="","",'Simony'!$F$9))</f>
        <v/>
      </c>
      <c r="T182" s="102">
        <f>IF($C182="","",IF('Simony'!$D$65="",0,'Simony'!$D$65))</f>
        <v/>
      </c>
      <c r="U182" s="102">
        <f>IF($C182="","",IF('Simony'!$D$45="",0,'Simony'!$D$45))</f>
        <v/>
      </c>
      <c r="V182" s="102">
        <f>IF($C182="","",IF('Simony'!$A$13="",0,'Simony'!$A$13))</f>
        <v/>
      </c>
    </row>
    <row r="183">
      <c r="A183" s="100">
        <f>IF($C183="","",'Painel Geral'!$B$26)</f>
        <v/>
      </c>
      <c r="B183" s="100">
        <f>IF($C183="","",'Painel Geral'!$C$26)</f>
        <v/>
      </c>
      <c r="C183" s="100">
        <f>IF('Simony'!$A$50="","",'Simony'!$A$50)</f>
        <v/>
      </c>
      <c r="D183" s="101">
        <f>IF('Simony'!$B$50="","",'Simony'!$B$50)</f>
        <v/>
      </c>
      <c r="E183" s="102">
        <f>IF('Simony'!$C$50="","",'Simony'!$C$50)</f>
        <v/>
      </c>
      <c r="F183" s="100">
        <f>IF('Simony'!$D$50="","",'Simony'!$D$50)</f>
        <v/>
      </c>
      <c r="G183" s="101">
        <f>IF('Simony'!$E$50="","",'Simony'!$E$50)</f>
        <v/>
      </c>
      <c r="H183" s="102">
        <f>IF('Simony'!$F$50="","",'Simony'!$F$50)</f>
        <v/>
      </c>
      <c r="I183" s="103">
        <f>IF('Simony'!$G$50="","",'Simony'!$G$50)</f>
        <v/>
      </c>
      <c r="J183" s="100">
        <f>IF('Simony'!$H$50="","",'Simony'!$H$50)</f>
        <v/>
      </c>
      <c r="K183" s="101">
        <f>IF('Simony'!$I$50="","",'Simony'!$I$50)</f>
        <v/>
      </c>
      <c r="L183" s="102">
        <f>IF('Simony'!$J$50="","",'Simony'!$J$50)</f>
        <v/>
      </c>
      <c r="M183" s="103">
        <f>IF('Simony'!$K$50="","",'Simony'!$K$50)</f>
        <v/>
      </c>
      <c r="N183" s="100">
        <f>IF('Simony'!$L$50="","",'Simony'!$L$50)</f>
        <v/>
      </c>
      <c r="O183" s="101">
        <f>IF('Simony'!$M$50="","",'Simony'!$M$50)</f>
        <v/>
      </c>
      <c r="P183" s="102">
        <f>IF('Simony'!$N$50="","",'Simony'!$N$50)</f>
        <v/>
      </c>
      <c r="Q183" s="102">
        <f>IF('Simony'!$O$50="","",'Simony'!$O$50)</f>
        <v/>
      </c>
      <c r="R183" s="103">
        <f>IF($C183="","",IF('Simony'!$F$7="","",'Simony'!$F$7))</f>
        <v/>
      </c>
      <c r="S183" s="100" t="n"/>
      <c r="T183" s="102" t="n"/>
      <c r="U183" s="102" t="n"/>
      <c r="V183" s="102" t="n"/>
    </row>
    <row r="184">
      <c r="A184" s="100">
        <f>IF($C184="","",'Painel Geral'!$B$26)</f>
        <v/>
      </c>
      <c r="B184" s="100">
        <f>IF($C184="","",'Painel Geral'!$C$26)</f>
        <v/>
      </c>
      <c r="C184" s="100">
        <f>IF('Simony'!$A$51="","",'Simony'!$A$51)</f>
        <v/>
      </c>
      <c r="D184" s="101">
        <f>IF('Simony'!$B$51="","",'Simony'!$B$51)</f>
        <v/>
      </c>
      <c r="E184" s="102">
        <f>IF('Simony'!$C$51="","",'Simony'!$C$51)</f>
        <v/>
      </c>
      <c r="F184" s="100">
        <f>IF('Simony'!$D$51="","",'Simony'!$D$51)</f>
        <v/>
      </c>
      <c r="G184" s="101">
        <f>IF('Simony'!$E$51="","",'Simony'!$E$51)</f>
        <v/>
      </c>
      <c r="H184" s="102">
        <f>IF('Simony'!$F$51="","",'Simony'!$F$51)</f>
        <v/>
      </c>
      <c r="I184" s="103">
        <f>IF('Simony'!$G$51="","",'Simony'!$G$51)</f>
        <v/>
      </c>
      <c r="J184" s="100">
        <f>IF('Simony'!$H$51="","",'Simony'!$H$51)</f>
        <v/>
      </c>
      <c r="K184" s="101">
        <f>IF('Simony'!$I$51="","",'Simony'!$I$51)</f>
        <v/>
      </c>
      <c r="L184" s="102">
        <f>IF('Simony'!$J$51="","",'Simony'!$J$51)</f>
        <v/>
      </c>
      <c r="M184" s="103">
        <f>IF('Simony'!$K$51="","",'Simony'!$K$51)</f>
        <v/>
      </c>
      <c r="N184" s="100">
        <f>IF('Simony'!$L$51="","",'Simony'!$L$51)</f>
        <v/>
      </c>
      <c r="O184" s="101">
        <f>IF('Simony'!$M$51="","",'Simony'!$M$51)</f>
        <v/>
      </c>
      <c r="P184" s="102">
        <f>IF('Simony'!$N$51="","",'Simony'!$N$51)</f>
        <v/>
      </c>
      <c r="Q184" s="102">
        <f>IF('Simony'!$O$51="","",'Simony'!$O$51)</f>
        <v/>
      </c>
      <c r="R184" s="103">
        <f>IF($C184="","",IF('Simony'!$F$7="","",'Simony'!$F$7))</f>
        <v/>
      </c>
      <c r="S184" s="100" t="n"/>
      <c r="T184" s="102" t="n"/>
      <c r="U184" s="102" t="n"/>
      <c r="V184" s="102" t="n"/>
    </row>
    <row r="185">
      <c r="A185" s="100">
        <f>IF($C185="","",'Painel Geral'!$B$26)</f>
        <v/>
      </c>
      <c r="B185" s="100">
        <f>IF($C185="","",'Painel Geral'!$C$26)</f>
        <v/>
      </c>
      <c r="C185" s="100">
        <f>IF('Simony'!$A$52="","",'Simony'!$A$52)</f>
        <v/>
      </c>
      <c r="D185" s="101">
        <f>IF('Simony'!$B$52="","",'Simony'!$B$52)</f>
        <v/>
      </c>
      <c r="E185" s="102">
        <f>IF('Simony'!$C$52="","",'Simony'!$C$52)</f>
        <v/>
      </c>
      <c r="F185" s="100">
        <f>IF('Simony'!$D$52="","",'Simony'!$D$52)</f>
        <v/>
      </c>
      <c r="G185" s="101">
        <f>IF('Simony'!$E$52="","",'Simony'!$E$52)</f>
        <v/>
      </c>
      <c r="H185" s="102">
        <f>IF('Simony'!$F$52="","",'Simony'!$F$52)</f>
        <v/>
      </c>
      <c r="I185" s="103">
        <f>IF('Simony'!$G$52="","",'Simony'!$G$52)</f>
        <v/>
      </c>
      <c r="J185" s="100">
        <f>IF('Simony'!$H$52="","",'Simony'!$H$52)</f>
        <v/>
      </c>
      <c r="K185" s="101">
        <f>IF('Simony'!$I$52="","",'Simony'!$I$52)</f>
        <v/>
      </c>
      <c r="L185" s="102">
        <f>IF('Simony'!$J$52="","",'Simony'!$J$52)</f>
        <v/>
      </c>
      <c r="M185" s="103">
        <f>IF('Simony'!$K$52="","",'Simony'!$K$52)</f>
        <v/>
      </c>
      <c r="N185" s="100">
        <f>IF('Simony'!$L$52="","",'Simony'!$L$52)</f>
        <v/>
      </c>
      <c r="O185" s="101">
        <f>IF('Simony'!$M$52="","",'Simony'!$M$52)</f>
        <v/>
      </c>
      <c r="P185" s="102">
        <f>IF('Simony'!$N$52="","",'Simony'!$N$52)</f>
        <v/>
      </c>
      <c r="Q185" s="102">
        <f>IF('Simony'!$O$52="","",'Simony'!$O$52)</f>
        <v/>
      </c>
      <c r="R185" s="103">
        <f>IF($C185="","",IF('Simony'!$F$7="","",'Simony'!$F$7))</f>
        <v/>
      </c>
      <c r="S185" s="100" t="n"/>
      <c r="T185" s="102" t="n"/>
      <c r="U185" s="102" t="n"/>
      <c r="V185" s="102" t="n"/>
    </row>
    <row r="186">
      <c r="A186" s="100">
        <f>IF($C186="","",'Painel Geral'!$B$26)</f>
        <v/>
      </c>
      <c r="B186" s="100">
        <f>IF($C186="","",'Painel Geral'!$C$26)</f>
        <v/>
      </c>
      <c r="C186" s="100">
        <f>IF('Simony'!$A$53="","",'Simony'!$A$53)</f>
        <v/>
      </c>
      <c r="D186" s="101">
        <f>IF('Simony'!$B$53="","",'Simony'!$B$53)</f>
        <v/>
      </c>
      <c r="E186" s="102">
        <f>IF('Simony'!$C$53="","",'Simony'!$C$53)</f>
        <v/>
      </c>
      <c r="F186" s="100">
        <f>IF('Simony'!$D$53="","",'Simony'!$D$53)</f>
        <v/>
      </c>
      <c r="G186" s="101">
        <f>IF('Simony'!$E$53="","",'Simony'!$E$53)</f>
        <v/>
      </c>
      <c r="H186" s="102">
        <f>IF('Simony'!$F$53="","",'Simony'!$F$53)</f>
        <v/>
      </c>
      <c r="I186" s="103">
        <f>IF('Simony'!$G$53="","",'Simony'!$G$53)</f>
        <v/>
      </c>
      <c r="J186" s="100">
        <f>IF('Simony'!$H$53="","",'Simony'!$H$53)</f>
        <v/>
      </c>
      <c r="K186" s="101">
        <f>IF('Simony'!$I$53="","",'Simony'!$I$53)</f>
        <v/>
      </c>
      <c r="L186" s="102">
        <f>IF('Simony'!$J$53="","",'Simony'!$J$53)</f>
        <v/>
      </c>
      <c r="M186" s="103">
        <f>IF('Simony'!$K$53="","",'Simony'!$K$53)</f>
        <v/>
      </c>
      <c r="N186" s="100">
        <f>IF('Simony'!$L$53="","",'Simony'!$L$53)</f>
        <v/>
      </c>
      <c r="O186" s="101">
        <f>IF('Simony'!$M$53="","",'Simony'!$M$53)</f>
        <v/>
      </c>
      <c r="P186" s="102">
        <f>IF('Simony'!$N$53="","",'Simony'!$N$53)</f>
        <v/>
      </c>
      <c r="Q186" s="102">
        <f>IF('Simony'!$O$53="","",'Simony'!$O$53)</f>
        <v/>
      </c>
      <c r="R186" s="103">
        <f>IF($C186="","",IF('Simony'!$F$7="","",'Simony'!$F$7))</f>
        <v/>
      </c>
      <c r="S186" s="100" t="n"/>
      <c r="T186" s="102" t="n"/>
      <c r="U186" s="102" t="n"/>
      <c r="V186" s="102" t="n"/>
    </row>
    <row r="187">
      <c r="A187" s="100">
        <f>IF($C187="","",'Painel Geral'!$B$26)</f>
        <v/>
      </c>
      <c r="B187" s="100">
        <f>IF($C187="","",'Painel Geral'!$C$26)</f>
        <v/>
      </c>
      <c r="C187" s="100">
        <f>IF('Simony'!$A$54="","",'Simony'!$A$54)</f>
        <v/>
      </c>
      <c r="D187" s="101">
        <f>IF('Simony'!$B$54="","",'Simony'!$B$54)</f>
        <v/>
      </c>
      <c r="E187" s="102">
        <f>IF('Simony'!$C$54="","",'Simony'!$C$54)</f>
        <v/>
      </c>
      <c r="F187" s="100">
        <f>IF('Simony'!$D$54="","",'Simony'!$D$54)</f>
        <v/>
      </c>
      <c r="G187" s="101">
        <f>IF('Simony'!$E$54="","",'Simony'!$E$54)</f>
        <v/>
      </c>
      <c r="H187" s="102">
        <f>IF('Simony'!$F$54="","",'Simony'!$F$54)</f>
        <v/>
      </c>
      <c r="I187" s="103">
        <f>IF('Simony'!$G$54="","",'Simony'!$G$54)</f>
        <v/>
      </c>
      <c r="J187" s="100">
        <f>IF('Simony'!$H$54="","",'Simony'!$H$54)</f>
        <v/>
      </c>
      <c r="K187" s="101">
        <f>IF('Simony'!$I$54="","",'Simony'!$I$54)</f>
        <v/>
      </c>
      <c r="L187" s="102">
        <f>IF('Simony'!$J$54="","",'Simony'!$J$54)</f>
        <v/>
      </c>
      <c r="M187" s="103">
        <f>IF('Simony'!$K$54="","",'Simony'!$K$54)</f>
        <v/>
      </c>
      <c r="N187" s="100">
        <f>IF('Simony'!$L$54="","",'Simony'!$L$54)</f>
        <v/>
      </c>
      <c r="O187" s="101">
        <f>IF('Simony'!$M$54="","",'Simony'!$M$54)</f>
        <v/>
      </c>
      <c r="P187" s="102">
        <f>IF('Simony'!$N$54="","",'Simony'!$N$54)</f>
        <v/>
      </c>
      <c r="Q187" s="102">
        <f>IF('Simony'!$O$54="","",'Simony'!$O$54)</f>
        <v/>
      </c>
      <c r="R187" s="103">
        <f>IF($C187="","",IF('Simony'!$F$7="","",'Simony'!$F$7))</f>
        <v/>
      </c>
      <c r="S187" s="100" t="n"/>
      <c r="T187" s="102" t="n"/>
      <c r="U187" s="102" t="n"/>
      <c r="V187" s="102" t="n"/>
    </row>
    <row r="188">
      <c r="A188" s="100">
        <f>IF($C188="","",'Painel Geral'!$B$26)</f>
        <v/>
      </c>
      <c r="B188" s="100">
        <f>IF($C188="","",'Painel Geral'!$C$26)</f>
        <v/>
      </c>
      <c r="C188" s="100">
        <f>IF('Simony'!$A$55="","",'Simony'!$A$55)</f>
        <v/>
      </c>
      <c r="D188" s="101">
        <f>IF('Simony'!$B$55="","",'Simony'!$B$55)</f>
        <v/>
      </c>
      <c r="E188" s="102">
        <f>IF('Simony'!$C$55="","",'Simony'!$C$55)</f>
        <v/>
      </c>
      <c r="F188" s="100">
        <f>IF('Simony'!$D$55="","",'Simony'!$D$55)</f>
        <v/>
      </c>
      <c r="G188" s="101">
        <f>IF('Simony'!$E$55="","",'Simony'!$E$55)</f>
        <v/>
      </c>
      <c r="H188" s="102">
        <f>IF('Simony'!$F$55="","",'Simony'!$F$55)</f>
        <v/>
      </c>
      <c r="I188" s="103">
        <f>IF('Simony'!$G$55="","",'Simony'!$G$55)</f>
        <v/>
      </c>
      <c r="J188" s="100">
        <f>IF('Simony'!$H$55="","",'Simony'!$H$55)</f>
        <v/>
      </c>
      <c r="K188" s="101">
        <f>IF('Simony'!$I$55="","",'Simony'!$I$55)</f>
        <v/>
      </c>
      <c r="L188" s="102">
        <f>IF('Simony'!$J$55="","",'Simony'!$J$55)</f>
        <v/>
      </c>
      <c r="M188" s="103">
        <f>IF('Simony'!$K$55="","",'Simony'!$K$55)</f>
        <v/>
      </c>
      <c r="N188" s="100">
        <f>IF('Simony'!$L$55="","",'Simony'!$L$55)</f>
        <v/>
      </c>
      <c r="O188" s="101">
        <f>IF('Simony'!$M$55="","",'Simony'!$M$55)</f>
        <v/>
      </c>
      <c r="P188" s="102">
        <f>IF('Simony'!$N$55="","",'Simony'!$N$55)</f>
        <v/>
      </c>
      <c r="Q188" s="102">
        <f>IF('Simony'!$O$55="","",'Simony'!$O$55)</f>
        <v/>
      </c>
      <c r="R188" s="103">
        <f>IF($C188="","",IF('Simony'!$F$7="","",'Simony'!$F$7))</f>
        <v/>
      </c>
      <c r="S188" s="100" t="n"/>
      <c r="T188" s="102" t="n"/>
      <c r="U188" s="102" t="n"/>
      <c r="V188" s="102" t="n"/>
    </row>
    <row r="189">
      <c r="A189" s="100">
        <f>IF($C189="","",'Painel Geral'!$B$26)</f>
        <v/>
      </c>
      <c r="B189" s="100">
        <f>IF($C189="","",'Painel Geral'!$C$26)</f>
        <v/>
      </c>
      <c r="C189" s="100">
        <f>IF('Simony'!$A$56="","",'Simony'!$A$56)</f>
        <v/>
      </c>
      <c r="D189" s="101">
        <f>IF('Simony'!$B$56="","",'Simony'!$B$56)</f>
        <v/>
      </c>
      <c r="E189" s="102">
        <f>IF('Simony'!$C$56="","",'Simony'!$C$56)</f>
        <v/>
      </c>
      <c r="F189" s="100">
        <f>IF('Simony'!$D$56="","",'Simony'!$D$56)</f>
        <v/>
      </c>
      <c r="G189" s="101">
        <f>IF('Simony'!$E$56="","",'Simony'!$E$56)</f>
        <v/>
      </c>
      <c r="H189" s="102">
        <f>IF('Simony'!$F$56="","",'Simony'!$F$56)</f>
        <v/>
      </c>
      <c r="I189" s="103">
        <f>IF('Simony'!$G$56="","",'Simony'!$G$56)</f>
        <v/>
      </c>
      <c r="J189" s="100">
        <f>IF('Simony'!$H$56="","",'Simony'!$H$56)</f>
        <v/>
      </c>
      <c r="K189" s="101">
        <f>IF('Simony'!$I$56="","",'Simony'!$I$56)</f>
        <v/>
      </c>
      <c r="L189" s="102">
        <f>IF('Simony'!$J$56="","",'Simony'!$J$56)</f>
        <v/>
      </c>
      <c r="M189" s="103">
        <f>IF('Simony'!$K$56="","",'Simony'!$K$56)</f>
        <v/>
      </c>
      <c r="N189" s="100">
        <f>IF('Simony'!$L$56="","",'Simony'!$L$56)</f>
        <v/>
      </c>
      <c r="O189" s="101">
        <f>IF('Simony'!$M$56="","",'Simony'!$M$56)</f>
        <v/>
      </c>
      <c r="P189" s="102">
        <f>IF('Simony'!$N$56="","",'Simony'!$N$56)</f>
        <v/>
      </c>
      <c r="Q189" s="102">
        <f>IF('Simony'!$O$56="","",'Simony'!$O$56)</f>
        <v/>
      </c>
      <c r="R189" s="103">
        <f>IF($C189="","",IF('Simony'!$F$7="","",'Simony'!$F$7))</f>
        <v/>
      </c>
      <c r="S189" s="100" t="n"/>
      <c r="T189" s="102" t="n"/>
      <c r="U189" s="102" t="n"/>
      <c r="V189" s="102" t="n"/>
    </row>
    <row r="190">
      <c r="A190" s="100">
        <f>IF($C190="","",'Painel Geral'!$B$26)</f>
        <v/>
      </c>
      <c r="B190" s="100">
        <f>IF($C190="","",'Painel Geral'!$C$26)</f>
        <v/>
      </c>
      <c r="C190" s="100">
        <f>IF('Simony'!$A$57="","",'Simony'!$A$57)</f>
        <v/>
      </c>
      <c r="D190" s="101">
        <f>IF('Simony'!$B$57="","",'Simony'!$B$57)</f>
        <v/>
      </c>
      <c r="E190" s="102">
        <f>IF('Simony'!$C$57="","",'Simony'!$C$57)</f>
        <v/>
      </c>
      <c r="F190" s="100">
        <f>IF('Simony'!$D$57="","",'Simony'!$D$57)</f>
        <v/>
      </c>
      <c r="G190" s="101">
        <f>IF('Simony'!$E$57="","",'Simony'!$E$57)</f>
        <v/>
      </c>
      <c r="H190" s="102">
        <f>IF('Simony'!$F$57="","",'Simony'!$F$57)</f>
        <v/>
      </c>
      <c r="I190" s="103">
        <f>IF('Simony'!$G$57="","",'Simony'!$G$57)</f>
        <v/>
      </c>
      <c r="J190" s="100">
        <f>IF('Simony'!$H$57="","",'Simony'!$H$57)</f>
        <v/>
      </c>
      <c r="K190" s="101">
        <f>IF('Simony'!$I$57="","",'Simony'!$I$57)</f>
        <v/>
      </c>
      <c r="L190" s="102">
        <f>IF('Simony'!$J$57="","",'Simony'!$J$57)</f>
        <v/>
      </c>
      <c r="M190" s="103">
        <f>IF('Simony'!$K$57="","",'Simony'!$K$57)</f>
        <v/>
      </c>
      <c r="N190" s="100">
        <f>IF('Simony'!$L$57="","",'Simony'!$L$57)</f>
        <v/>
      </c>
      <c r="O190" s="101">
        <f>IF('Simony'!$M$57="","",'Simony'!$M$57)</f>
        <v/>
      </c>
      <c r="P190" s="102">
        <f>IF('Simony'!$N$57="","",'Simony'!$N$57)</f>
        <v/>
      </c>
      <c r="Q190" s="102">
        <f>IF('Simony'!$O$57="","",'Simony'!$O$57)</f>
        <v/>
      </c>
      <c r="R190" s="103">
        <f>IF($C190="","",IF('Simony'!$F$7="","",'Simony'!$F$7))</f>
        <v/>
      </c>
      <c r="S190" s="100" t="n"/>
      <c r="T190" s="102" t="n"/>
      <c r="U190" s="102" t="n"/>
      <c r="V190" s="102" t="n"/>
    </row>
    <row r="191">
      <c r="A191" s="100">
        <f>IF($C191="","",'Painel Geral'!$B$26)</f>
        <v/>
      </c>
      <c r="B191" s="100">
        <f>IF($C191="","",'Painel Geral'!$C$26)</f>
        <v/>
      </c>
      <c r="C191" s="100">
        <f>IF('Simony'!$A$58="","",'Simony'!$A$58)</f>
        <v/>
      </c>
      <c r="D191" s="101">
        <f>IF('Simony'!$B$58="","",'Simony'!$B$58)</f>
        <v/>
      </c>
      <c r="E191" s="102">
        <f>IF('Simony'!$C$58="","",'Simony'!$C$58)</f>
        <v/>
      </c>
      <c r="F191" s="100">
        <f>IF('Simony'!$D$58="","",'Simony'!$D$58)</f>
        <v/>
      </c>
      <c r="G191" s="101">
        <f>IF('Simony'!$E$58="","",'Simony'!$E$58)</f>
        <v/>
      </c>
      <c r="H191" s="102">
        <f>IF('Simony'!$F$58="","",'Simony'!$F$58)</f>
        <v/>
      </c>
      <c r="I191" s="103">
        <f>IF('Simony'!$G$58="","",'Simony'!$G$58)</f>
        <v/>
      </c>
      <c r="J191" s="100">
        <f>IF('Simony'!$H$58="","",'Simony'!$H$58)</f>
        <v/>
      </c>
      <c r="K191" s="101">
        <f>IF('Simony'!$I$58="","",'Simony'!$I$58)</f>
        <v/>
      </c>
      <c r="L191" s="102">
        <f>IF('Simony'!$J$58="","",'Simony'!$J$58)</f>
        <v/>
      </c>
      <c r="M191" s="103">
        <f>IF('Simony'!$K$58="","",'Simony'!$K$58)</f>
        <v/>
      </c>
      <c r="N191" s="100">
        <f>IF('Simony'!$L$58="","",'Simony'!$L$58)</f>
        <v/>
      </c>
      <c r="O191" s="101">
        <f>IF('Simony'!$M$58="","",'Simony'!$M$58)</f>
        <v/>
      </c>
      <c r="P191" s="102">
        <f>IF('Simony'!$N$58="","",'Simony'!$N$58)</f>
        <v/>
      </c>
      <c r="Q191" s="102">
        <f>IF('Simony'!$O$58="","",'Simony'!$O$58)</f>
        <v/>
      </c>
      <c r="R191" s="103">
        <f>IF($C191="","",IF('Simony'!$F$7="","",'Simony'!$F$7))</f>
        <v/>
      </c>
      <c r="S191" s="100" t="n"/>
      <c r="T191" s="102" t="n"/>
      <c r="U191" s="102" t="n"/>
      <c r="V191" s="102" t="n"/>
    </row>
    <row r="192">
      <c r="A192" s="100">
        <f>IF($C192="","",'Painel Geral'!$B$26)</f>
        <v/>
      </c>
      <c r="B192" s="100">
        <f>IF($C192="","",'Painel Geral'!$C$26)</f>
        <v/>
      </c>
      <c r="C192" s="100">
        <f>IF('Simony'!$A$59="","",'Simony'!$A$59)</f>
        <v/>
      </c>
      <c r="D192" s="101">
        <f>IF('Simony'!$B$59="","",'Simony'!$B$59)</f>
        <v/>
      </c>
      <c r="E192" s="102">
        <f>IF('Simony'!$C$59="","",'Simony'!$C$59)</f>
        <v/>
      </c>
      <c r="F192" s="100">
        <f>IF('Simony'!$D$59="","",'Simony'!$D$59)</f>
        <v/>
      </c>
      <c r="G192" s="101">
        <f>IF('Simony'!$E$59="","",'Simony'!$E$59)</f>
        <v/>
      </c>
      <c r="H192" s="102">
        <f>IF('Simony'!$F$59="","",'Simony'!$F$59)</f>
        <v/>
      </c>
      <c r="I192" s="103">
        <f>IF('Simony'!$G$59="","",'Simony'!$G$59)</f>
        <v/>
      </c>
      <c r="J192" s="100">
        <f>IF('Simony'!$H$59="","",'Simony'!$H$59)</f>
        <v/>
      </c>
      <c r="K192" s="101">
        <f>IF('Simony'!$I$59="","",'Simony'!$I$59)</f>
        <v/>
      </c>
      <c r="L192" s="102">
        <f>IF('Simony'!$J$59="","",'Simony'!$J$59)</f>
        <v/>
      </c>
      <c r="M192" s="103">
        <f>IF('Simony'!$K$59="","",'Simony'!$K$59)</f>
        <v/>
      </c>
      <c r="N192" s="100">
        <f>IF('Simony'!$L$59="","",'Simony'!$L$59)</f>
        <v/>
      </c>
      <c r="O192" s="101">
        <f>IF('Simony'!$M$59="","",'Simony'!$M$59)</f>
        <v/>
      </c>
      <c r="P192" s="102">
        <f>IF('Simony'!$N$59="","",'Simony'!$N$59)</f>
        <v/>
      </c>
      <c r="Q192" s="102">
        <f>IF('Simony'!$O$59="","",'Simony'!$O$59)</f>
        <v/>
      </c>
      <c r="R192" s="103">
        <f>IF($C192="","",IF('Simony'!$F$7="","",'Simony'!$F$7))</f>
        <v/>
      </c>
      <c r="S192" s="100" t="n"/>
      <c r="T192" s="102" t="n"/>
      <c r="U192" s="102" t="n"/>
      <c r="V192" s="102" t="n"/>
    </row>
    <row r="193">
      <c r="A193" s="100">
        <f>IF($C193="","",'Painel Geral'!$B$26)</f>
        <v/>
      </c>
      <c r="B193" s="100">
        <f>IF($C193="","",'Painel Geral'!$C$26)</f>
        <v/>
      </c>
      <c r="C193" s="100">
        <f>IF('Simony'!$A$60="","",'Simony'!$A$60)</f>
        <v/>
      </c>
      <c r="D193" s="101">
        <f>IF('Simony'!$B$60="","",'Simony'!$B$60)</f>
        <v/>
      </c>
      <c r="E193" s="102">
        <f>IF('Simony'!$C$60="","",'Simony'!$C$60)</f>
        <v/>
      </c>
      <c r="F193" s="100">
        <f>IF('Simony'!$D$60="","",'Simony'!$D$60)</f>
        <v/>
      </c>
      <c r="G193" s="101">
        <f>IF('Simony'!$E$60="","",'Simony'!$E$60)</f>
        <v/>
      </c>
      <c r="H193" s="102">
        <f>IF('Simony'!$F$60="","",'Simony'!$F$60)</f>
        <v/>
      </c>
      <c r="I193" s="103">
        <f>IF('Simony'!$G$60="","",'Simony'!$G$60)</f>
        <v/>
      </c>
      <c r="J193" s="100">
        <f>IF('Simony'!$H$60="","",'Simony'!$H$60)</f>
        <v/>
      </c>
      <c r="K193" s="101">
        <f>IF('Simony'!$I$60="","",'Simony'!$I$60)</f>
        <v/>
      </c>
      <c r="L193" s="102">
        <f>IF('Simony'!$J$60="","",'Simony'!$J$60)</f>
        <v/>
      </c>
      <c r="M193" s="103">
        <f>IF('Simony'!$K$60="","",'Simony'!$K$60)</f>
        <v/>
      </c>
      <c r="N193" s="100">
        <f>IF('Simony'!$L$60="","",'Simony'!$L$60)</f>
        <v/>
      </c>
      <c r="O193" s="101">
        <f>IF('Simony'!$M$60="","",'Simony'!$M$60)</f>
        <v/>
      </c>
      <c r="P193" s="102">
        <f>IF('Simony'!$N$60="","",'Simony'!$N$60)</f>
        <v/>
      </c>
      <c r="Q193" s="102">
        <f>IF('Simony'!$O$60="","",'Simony'!$O$60)</f>
        <v/>
      </c>
      <c r="R193" s="103">
        <f>IF($C193="","",IF('Simony'!$F$7="","",'Simony'!$F$7))</f>
        <v/>
      </c>
      <c r="S193" s="100" t="n"/>
      <c r="T193" s="102" t="n"/>
      <c r="U193" s="102" t="n"/>
      <c r="V193" s="102" t="n"/>
    </row>
    <row r="194">
      <c r="A194" s="100">
        <f>IF($C194="","",'Painel Geral'!$B$27)</f>
        <v/>
      </c>
      <c r="B194" s="100">
        <f>IF($C194="","",'Painel Geral'!$C$27)</f>
        <v/>
      </c>
      <c r="C194" s="100">
        <f>IF('Exemplo P-2026-041'!$A$49="","",'Exemplo P-2026-041'!$A$49)</f>
        <v/>
      </c>
      <c r="D194" s="101">
        <f>IF('Exemplo P-2026-041'!$B$49="","",'Exemplo P-2026-041'!$B$49)</f>
        <v/>
      </c>
      <c r="E194" s="102">
        <f>IF('Exemplo P-2026-041'!$C$49="","",'Exemplo P-2026-041'!$C$49)</f>
        <v/>
      </c>
      <c r="F194" s="100">
        <f>IF('Exemplo P-2026-041'!$D$49="","",'Exemplo P-2026-041'!$D$49)</f>
        <v/>
      </c>
      <c r="G194" s="101">
        <f>IF('Exemplo P-2026-041'!$E$49="","",'Exemplo P-2026-041'!$E$49)</f>
        <v/>
      </c>
      <c r="H194" s="102">
        <f>IF('Exemplo P-2026-041'!$F$49="","",'Exemplo P-2026-041'!$F$49)</f>
        <v/>
      </c>
      <c r="I194" s="103">
        <f>IF('Exemplo P-2026-041'!$G$49="","",'Exemplo P-2026-041'!$G$49)</f>
        <v/>
      </c>
      <c r="J194" s="100">
        <f>IF('Exemplo P-2026-041'!$H$49="","",'Exemplo P-2026-041'!$H$49)</f>
        <v/>
      </c>
      <c r="K194" s="101">
        <f>IF('Exemplo P-2026-041'!$I$49="","",'Exemplo P-2026-041'!$I$49)</f>
        <v/>
      </c>
      <c r="L194" s="102">
        <f>IF('Exemplo P-2026-041'!$J$49="","",'Exemplo P-2026-041'!$J$49)</f>
        <v/>
      </c>
      <c r="M194" s="103">
        <f>IF('Exemplo P-2026-041'!$K$49="","",'Exemplo P-2026-041'!$K$49)</f>
        <v/>
      </c>
      <c r="N194" s="100">
        <f>IF('Exemplo P-2026-041'!$L$49="","",'Exemplo P-2026-041'!$L$49)</f>
        <v/>
      </c>
      <c r="O194" s="101">
        <f>IF('Exemplo P-2026-041'!$M$49="","",'Exemplo P-2026-041'!$M$49)</f>
        <v/>
      </c>
      <c r="P194" s="102">
        <f>IF('Exemplo P-2026-041'!$N$49="","",'Exemplo P-2026-041'!$N$49)</f>
        <v/>
      </c>
      <c r="Q194" s="102">
        <f>IF('Exemplo P-2026-041'!$O$49="","",'Exemplo P-2026-041'!$O$49)</f>
        <v/>
      </c>
      <c r="R194" s="103">
        <f>IF($C194="","",IF('Exemplo P-2026-041'!$F$7="","",'Exemplo P-2026-041'!$F$7))</f>
        <v/>
      </c>
      <c r="S194" s="100">
        <f>IF($C194="","",IF('Exemplo P-2026-041'!$F$9="","",'Exemplo P-2026-041'!$F$9))</f>
        <v/>
      </c>
      <c r="T194" s="102">
        <f>IF($C194="","",IF('Exemplo P-2026-041'!$D$65="",0,'Exemplo P-2026-041'!$D$65))</f>
        <v/>
      </c>
      <c r="U194" s="102">
        <f>IF($C194="","",IF('Exemplo P-2026-041'!$D$45="",0,'Exemplo P-2026-041'!$D$45))</f>
        <v/>
      </c>
      <c r="V194" s="102">
        <f>IF($C194="","",IF('Exemplo P-2026-041'!$A$13="",0,'Exemplo P-2026-041'!$A$13))</f>
        <v/>
      </c>
    </row>
    <row r="195">
      <c r="A195" s="100">
        <f>IF($C195="","",'Painel Geral'!$B$27)</f>
        <v/>
      </c>
      <c r="B195" s="100">
        <f>IF($C195="","",'Painel Geral'!$C$27)</f>
        <v/>
      </c>
      <c r="C195" s="100">
        <f>IF('Exemplo P-2026-041'!$A$50="","",'Exemplo P-2026-041'!$A$50)</f>
        <v/>
      </c>
      <c r="D195" s="101">
        <f>IF('Exemplo P-2026-041'!$B$50="","",'Exemplo P-2026-041'!$B$50)</f>
        <v/>
      </c>
      <c r="E195" s="102">
        <f>IF('Exemplo P-2026-041'!$C$50="","",'Exemplo P-2026-041'!$C$50)</f>
        <v/>
      </c>
      <c r="F195" s="100">
        <f>IF('Exemplo P-2026-041'!$D$50="","",'Exemplo P-2026-041'!$D$50)</f>
        <v/>
      </c>
      <c r="G195" s="101">
        <f>IF('Exemplo P-2026-041'!$E$50="","",'Exemplo P-2026-041'!$E$50)</f>
        <v/>
      </c>
      <c r="H195" s="102">
        <f>IF('Exemplo P-2026-041'!$F$50="","",'Exemplo P-2026-041'!$F$50)</f>
        <v/>
      </c>
      <c r="I195" s="103">
        <f>IF('Exemplo P-2026-041'!$G$50="","",'Exemplo P-2026-041'!$G$50)</f>
        <v/>
      </c>
      <c r="J195" s="100">
        <f>IF('Exemplo P-2026-041'!$H$50="","",'Exemplo P-2026-041'!$H$50)</f>
        <v/>
      </c>
      <c r="K195" s="101">
        <f>IF('Exemplo P-2026-041'!$I$50="","",'Exemplo P-2026-041'!$I$50)</f>
        <v/>
      </c>
      <c r="L195" s="102">
        <f>IF('Exemplo P-2026-041'!$J$50="","",'Exemplo P-2026-041'!$J$50)</f>
        <v/>
      </c>
      <c r="M195" s="103">
        <f>IF('Exemplo P-2026-041'!$K$50="","",'Exemplo P-2026-041'!$K$50)</f>
        <v/>
      </c>
      <c r="N195" s="100">
        <f>IF('Exemplo P-2026-041'!$L$50="","",'Exemplo P-2026-041'!$L$50)</f>
        <v/>
      </c>
      <c r="O195" s="101">
        <f>IF('Exemplo P-2026-041'!$M$50="","",'Exemplo P-2026-041'!$M$50)</f>
        <v/>
      </c>
      <c r="P195" s="102">
        <f>IF('Exemplo P-2026-041'!$N$50="","",'Exemplo P-2026-041'!$N$50)</f>
        <v/>
      </c>
      <c r="Q195" s="102">
        <f>IF('Exemplo P-2026-041'!$O$50="","",'Exemplo P-2026-041'!$O$50)</f>
        <v/>
      </c>
      <c r="R195" s="103">
        <f>IF($C195="","",IF('Exemplo P-2026-041'!$F$7="","",'Exemplo P-2026-041'!$F$7))</f>
        <v/>
      </c>
      <c r="S195" s="100" t="n"/>
      <c r="T195" s="102" t="n"/>
      <c r="U195" s="102" t="n"/>
      <c r="V195" s="102" t="n"/>
    </row>
    <row r="196">
      <c r="A196" s="100">
        <f>IF($C196="","",'Painel Geral'!$B$27)</f>
        <v/>
      </c>
      <c r="B196" s="100">
        <f>IF($C196="","",'Painel Geral'!$C$27)</f>
        <v/>
      </c>
      <c r="C196" s="100">
        <f>IF('Exemplo P-2026-041'!$A$51="","",'Exemplo P-2026-041'!$A$51)</f>
        <v/>
      </c>
      <c r="D196" s="101">
        <f>IF('Exemplo P-2026-041'!$B$51="","",'Exemplo P-2026-041'!$B$51)</f>
        <v/>
      </c>
      <c r="E196" s="102">
        <f>IF('Exemplo P-2026-041'!$C$51="","",'Exemplo P-2026-041'!$C$51)</f>
        <v/>
      </c>
      <c r="F196" s="100">
        <f>IF('Exemplo P-2026-041'!$D$51="","",'Exemplo P-2026-041'!$D$51)</f>
        <v/>
      </c>
      <c r="G196" s="101">
        <f>IF('Exemplo P-2026-041'!$E$51="","",'Exemplo P-2026-041'!$E$51)</f>
        <v/>
      </c>
      <c r="H196" s="102">
        <f>IF('Exemplo P-2026-041'!$F$51="","",'Exemplo P-2026-041'!$F$51)</f>
        <v/>
      </c>
      <c r="I196" s="103">
        <f>IF('Exemplo P-2026-041'!$G$51="","",'Exemplo P-2026-041'!$G$51)</f>
        <v/>
      </c>
      <c r="J196" s="100">
        <f>IF('Exemplo P-2026-041'!$H$51="","",'Exemplo P-2026-041'!$H$51)</f>
        <v/>
      </c>
      <c r="K196" s="101">
        <f>IF('Exemplo P-2026-041'!$I$51="","",'Exemplo P-2026-041'!$I$51)</f>
        <v/>
      </c>
      <c r="L196" s="102">
        <f>IF('Exemplo P-2026-041'!$J$51="","",'Exemplo P-2026-041'!$J$51)</f>
        <v/>
      </c>
      <c r="M196" s="103">
        <f>IF('Exemplo P-2026-041'!$K$51="","",'Exemplo P-2026-041'!$K$51)</f>
        <v/>
      </c>
      <c r="N196" s="100">
        <f>IF('Exemplo P-2026-041'!$L$51="","",'Exemplo P-2026-041'!$L$51)</f>
        <v/>
      </c>
      <c r="O196" s="101">
        <f>IF('Exemplo P-2026-041'!$M$51="","",'Exemplo P-2026-041'!$M$51)</f>
        <v/>
      </c>
      <c r="P196" s="102">
        <f>IF('Exemplo P-2026-041'!$N$51="","",'Exemplo P-2026-041'!$N$51)</f>
        <v/>
      </c>
      <c r="Q196" s="102">
        <f>IF('Exemplo P-2026-041'!$O$51="","",'Exemplo P-2026-041'!$O$51)</f>
        <v/>
      </c>
      <c r="R196" s="103">
        <f>IF($C196="","",IF('Exemplo P-2026-041'!$F$7="","",'Exemplo P-2026-041'!$F$7))</f>
        <v/>
      </c>
      <c r="S196" s="100" t="n"/>
      <c r="T196" s="102" t="n"/>
      <c r="U196" s="102" t="n"/>
      <c r="V196" s="102" t="n"/>
    </row>
    <row r="197">
      <c r="A197" s="100">
        <f>IF($C197="","",'Painel Geral'!$B$27)</f>
        <v/>
      </c>
      <c r="B197" s="100">
        <f>IF($C197="","",'Painel Geral'!$C$27)</f>
        <v/>
      </c>
      <c r="C197" s="100">
        <f>IF('Exemplo P-2026-041'!$A$52="","",'Exemplo P-2026-041'!$A$52)</f>
        <v/>
      </c>
      <c r="D197" s="101">
        <f>IF('Exemplo P-2026-041'!$B$52="","",'Exemplo P-2026-041'!$B$52)</f>
        <v/>
      </c>
      <c r="E197" s="102">
        <f>IF('Exemplo P-2026-041'!$C$52="","",'Exemplo P-2026-041'!$C$52)</f>
        <v/>
      </c>
      <c r="F197" s="100">
        <f>IF('Exemplo P-2026-041'!$D$52="","",'Exemplo P-2026-041'!$D$52)</f>
        <v/>
      </c>
      <c r="G197" s="101">
        <f>IF('Exemplo P-2026-041'!$E$52="","",'Exemplo P-2026-041'!$E$52)</f>
        <v/>
      </c>
      <c r="H197" s="102">
        <f>IF('Exemplo P-2026-041'!$F$52="","",'Exemplo P-2026-041'!$F$52)</f>
        <v/>
      </c>
      <c r="I197" s="103">
        <f>IF('Exemplo P-2026-041'!$G$52="","",'Exemplo P-2026-041'!$G$52)</f>
        <v/>
      </c>
      <c r="J197" s="100">
        <f>IF('Exemplo P-2026-041'!$H$52="","",'Exemplo P-2026-041'!$H$52)</f>
        <v/>
      </c>
      <c r="K197" s="101">
        <f>IF('Exemplo P-2026-041'!$I$52="","",'Exemplo P-2026-041'!$I$52)</f>
        <v/>
      </c>
      <c r="L197" s="102">
        <f>IF('Exemplo P-2026-041'!$J$52="","",'Exemplo P-2026-041'!$J$52)</f>
        <v/>
      </c>
      <c r="M197" s="103">
        <f>IF('Exemplo P-2026-041'!$K$52="","",'Exemplo P-2026-041'!$K$52)</f>
        <v/>
      </c>
      <c r="N197" s="100">
        <f>IF('Exemplo P-2026-041'!$L$52="","",'Exemplo P-2026-041'!$L$52)</f>
        <v/>
      </c>
      <c r="O197" s="101">
        <f>IF('Exemplo P-2026-041'!$M$52="","",'Exemplo P-2026-041'!$M$52)</f>
        <v/>
      </c>
      <c r="P197" s="102">
        <f>IF('Exemplo P-2026-041'!$N$52="","",'Exemplo P-2026-041'!$N$52)</f>
        <v/>
      </c>
      <c r="Q197" s="102">
        <f>IF('Exemplo P-2026-041'!$O$52="","",'Exemplo P-2026-041'!$O$52)</f>
        <v/>
      </c>
      <c r="R197" s="103">
        <f>IF($C197="","",IF('Exemplo P-2026-041'!$F$7="","",'Exemplo P-2026-041'!$F$7))</f>
        <v/>
      </c>
      <c r="S197" s="100" t="n"/>
      <c r="T197" s="102" t="n"/>
      <c r="U197" s="102" t="n"/>
      <c r="V197" s="102" t="n"/>
    </row>
    <row r="198">
      <c r="A198" s="100">
        <f>IF($C198="","",'Painel Geral'!$B$27)</f>
        <v/>
      </c>
      <c r="B198" s="100">
        <f>IF($C198="","",'Painel Geral'!$C$27)</f>
        <v/>
      </c>
      <c r="C198" s="100">
        <f>IF('Exemplo P-2026-041'!$A$53="","",'Exemplo P-2026-041'!$A$53)</f>
        <v/>
      </c>
      <c r="D198" s="101">
        <f>IF('Exemplo P-2026-041'!$B$53="","",'Exemplo P-2026-041'!$B$53)</f>
        <v/>
      </c>
      <c r="E198" s="102">
        <f>IF('Exemplo P-2026-041'!$C$53="","",'Exemplo P-2026-041'!$C$53)</f>
        <v/>
      </c>
      <c r="F198" s="100">
        <f>IF('Exemplo P-2026-041'!$D$53="","",'Exemplo P-2026-041'!$D$53)</f>
        <v/>
      </c>
      <c r="G198" s="101">
        <f>IF('Exemplo P-2026-041'!$E$53="","",'Exemplo P-2026-041'!$E$53)</f>
        <v/>
      </c>
      <c r="H198" s="102">
        <f>IF('Exemplo P-2026-041'!$F$53="","",'Exemplo P-2026-041'!$F$53)</f>
        <v/>
      </c>
      <c r="I198" s="103">
        <f>IF('Exemplo P-2026-041'!$G$53="","",'Exemplo P-2026-041'!$G$53)</f>
        <v/>
      </c>
      <c r="J198" s="100">
        <f>IF('Exemplo P-2026-041'!$H$53="","",'Exemplo P-2026-041'!$H$53)</f>
        <v/>
      </c>
      <c r="K198" s="101">
        <f>IF('Exemplo P-2026-041'!$I$53="","",'Exemplo P-2026-041'!$I$53)</f>
        <v/>
      </c>
      <c r="L198" s="102">
        <f>IF('Exemplo P-2026-041'!$J$53="","",'Exemplo P-2026-041'!$J$53)</f>
        <v/>
      </c>
      <c r="M198" s="103">
        <f>IF('Exemplo P-2026-041'!$K$53="","",'Exemplo P-2026-041'!$K$53)</f>
        <v/>
      </c>
      <c r="N198" s="100">
        <f>IF('Exemplo P-2026-041'!$L$53="","",'Exemplo P-2026-041'!$L$53)</f>
        <v/>
      </c>
      <c r="O198" s="101">
        <f>IF('Exemplo P-2026-041'!$M$53="","",'Exemplo P-2026-041'!$M$53)</f>
        <v/>
      </c>
      <c r="P198" s="102">
        <f>IF('Exemplo P-2026-041'!$N$53="","",'Exemplo P-2026-041'!$N$53)</f>
        <v/>
      </c>
      <c r="Q198" s="102">
        <f>IF('Exemplo P-2026-041'!$O$53="","",'Exemplo P-2026-041'!$O$53)</f>
        <v/>
      </c>
      <c r="R198" s="103">
        <f>IF($C198="","",IF('Exemplo P-2026-041'!$F$7="","",'Exemplo P-2026-041'!$F$7))</f>
        <v/>
      </c>
      <c r="S198" s="100" t="n"/>
      <c r="T198" s="102" t="n"/>
      <c r="U198" s="102" t="n"/>
      <c r="V198" s="102" t="n"/>
    </row>
    <row r="199">
      <c r="A199" s="100">
        <f>IF($C199="","",'Painel Geral'!$B$27)</f>
        <v/>
      </c>
      <c r="B199" s="100">
        <f>IF($C199="","",'Painel Geral'!$C$27)</f>
        <v/>
      </c>
      <c r="C199" s="100">
        <f>IF('Exemplo P-2026-041'!$A$54="","",'Exemplo P-2026-041'!$A$54)</f>
        <v/>
      </c>
      <c r="D199" s="101">
        <f>IF('Exemplo P-2026-041'!$B$54="","",'Exemplo P-2026-041'!$B$54)</f>
        <v/>
      </c>
      <c r="E199" s="102">
        <f>IF('Exemplo P-2026-041'!$C$54="","",'Exemplo P-2026-041'!$C$54)</f>
        <v/>
      </c>
      <c r="F199" s="100">
        <f>IF('Exemplo P-2026-041'!$D$54="","",'Exemplo P-2026-041'!$D$54)</f>
        <v/>
      </c>
      <c r="G199" s="101">
        <f>IF('Exemplo P-2026-041'!$E$54="","",'Exemplo P-2026-041'!$E$54)</f>
        <v/>
      </c>
      <c r="H199" s="102">
        <f>IF('Exemplo P-2026-041'!$F$54="","",'Exemplo P-2026-041'!$F$54)</f>
        <v/>
      </c>
      <c r="I199" s="103">
        <f>IF('Exemplo P-2026-041'!$G$54="","",'Exemplo P-2026-041'!$G$54)</f>
        <v/>
      </c>
      <c r="J199" s="100">
        <f>IF('Exemplo P-2026-041'!$H$54="","",'Exemplo P-2026-041'!$H$54)</f>
        <v/>
      </c>
      <c r="K199" s="101">
        <f>IF('Exemplo P-2026-041'!$I$54="","",'Exemplo P-2026-041'!$I$54)</f>
        <v/>
      </c>
      <c r="L199" s="102">
        <f>IF('Exemplo P-2026-041'!$J$54="","",'Exemplo P-2026-041'!$J$54)</f>
        <v/>
      </c>
      <c r="M199" s="103">
        <f>IF('Exemplo P-2026-041'!$K$54="","",'Exemplo P-2026-041'!$K$54)</f>
        <v/>
      </c>
      <c r="N199" s="100">
        <f>IF('Exemplo P-2026-041'!$L$54="","",'Exemplo P-2026-041'!$L$54)</f>
        <v/>
      </c>
      <c r="O199" s="101">
        <f>IF('Exemplo P-2026-041'!$M$54="","",'Exemplo P-2026-041'!$M$54)</f>
        <v/>
      </c>
      <c r="P199" s="102">
        <f>IF('Exemplo P-2026-041'!$N$54="","",'Exemplo P-2026-041'!$N$54)</f>
        <v/>
      </c>
      <c r="Q199" s="102">
        <f>IF('Exemplo P-2026-041'!$O$54="","",'Exemplo P-2026-041'!$O$54)</f>
        <v/>
      </c>
      <c r="R199" s="103">
        <f>IF($C199="","",IF('Exemplo P-2026-041'!$F$7="","",'Exemplo P-2026-041'!$F$7))</f>
        <v/>
      </c>
      <c r="S199" s="100" t="n"/>
      <c r="T199" s="102" t="n"/>
      <c r="U199" s="102" t="n"/>
      <c r="V199" s="102" t="n"/>
    </row>
    <row r="200">
      <c r="A200" s="100">
        <f>IF($C200="","",'Painel Geral'!$B$27)</f>
        <v/>
      </c>
      <c r="B200" s="100">
        <f>IF($C200="","",'Painel Geral'!$C$27)</f>
        <v/>
      </c>
      <c r="C200" s="100">
        <f>IF('Exemplo P-2026-041'!$A$55="","",'Exemplo P-2026-041'!$A$55)</f>
        <v/>
      </c>
      <c r="D200" s="101">
        <f>IF('Exemplo P-2026-041'!$B$55="","",'Exemplo P-2026-041'!$B$55)</f>
        <v/>
      </c>
      <c r="E200" s="102">
        <f>IF('Exemplo P-2026-041'!$C$55="","",'Exemplo P-2026-041'!$C$55)</f>
        <v/>
      </c>
      <c r="F200" s="100">
        <f>IF('Exemplo P-2026-041'!$D$55="","",'Exemplo P-2026-041'!$D$55)</f>
        <v/>
      </c>
      <c r="G200" s="101">
        <f>IF('Exemplo P-2026-041'!$E$55="","",'Exemplo P-2026-041'!$E$55)</f>
        <v/>
      </c>
      <c r="H200" s="102">
        <f>IF('Exemplo P-2026-041'!$F$55="","",'Exemplo P-2026-041'!$F$55)</f>
        <v/>
      </c>
      <c r="I200" s="103">
        <f>IF('Exemplo P-2026-041'!$G$55="","",'Exemplo P-2026-041'!$G$55)</f>
        <v/>
      </c>
      <c r="J200" s="100">
        <f>IF('Exemplo P-2026-041'!$H$55="","",'Exemplo P-2026-041'!$H$55)</f>
        <v/>
      </c>
      <c r="K200" s="101">
        <f>IF('Exemplo P-2026-041'!$I$55="","",'Exemplo P-2026-041'!$I$55)</f>
        <v/>
      </c>
      <c r="L200" s="102">
        <f>IF('Exemplo P-2026-041'!$J$55="","",'Exemplo P-2026-041'!$J$55)</f>
        <v/>
      </c>
      <c r="M200" s="103">
        <f>IF('Exemplo P-2026-041'!$K$55="","",'Exemplo P-2026-041'!$K$55)</f>
        <v/>
      </c>
      <c r="N200" s="100">
        <f>IF('Exemplo P-2026-041'!$L$55="","",'Exemplo P-2026-041'!$L$55)</f>
        <v/>
      </c>
      <c r="O200" s="101">
        <f>IF('Exemplo P-2026-041'!$M$55="","",'Exemplo P-2026-041'!$M$55)</f>
        <v/>
      </c>
      <c r="P200" s="102">
        <f>IF('Exemplo P-2026-041'!$N$55="","",'Exemplo P-2026-041'!$N$55)</f>
        <v/>
      </c>
      <c r="Q200" s="102">
        <f>IF('Exemplo P-2026-041'!$O$55="","",'Exemplo P-2026-041'!$O$55)</f>
        <v/>
      </c>
      <c r="R200" s="103">
        <f>IF($C200="","",IF('Exemplo P-2026-041'!$F$7="","",'Exemplo P-2026-041'!$F$7))</f>
        <v/>
      </c>
      <c r="S200" s="100" t="n"/>
      <c r="T200" s="102" t="n"/>
      <c r="U200" s="102" t="n"/>
      <c r="V200" s="102" t="n"/>
    </row>
    <row r="201">
      <c r="A201" s="100">
        <f>IF($C201="","",'Painel Geral'!$B$27)</f>
        <v/>
      </c>
      <c r="B201" s="100">
        <f>IF($C201="","",'Painel Geral'!$C$27)</f>
        <v/>
      </c>
      <c r="C201" s="100">
        <f>IF('Exemplo P-2026-041'!$A$56="","",'Exemplo P-2026-041'!$A$56)</f>
        <v/>
      </c>
      <c r="D201" s="101">
        <f>IF('Exemplo P-2026-041'!$B$56="","",'Exemplo P-2026-041'!$B$56)</f>
        <v/>
      </c>
      <c r="E201" s="102">
        <f>IF('Exemplo P-2026-041'!$C$56="","",'Exemplo P-2026-041'!$C$56)</f>
        <v/>
      </c>
      <c r="F201" s="100">
        <f>IF('Exemplo P-2026-041'!$D$56="","",'Exemplo P-2026-041'!$D$56)</f>
        <v/>
      </c>
      <c r="G201" s="101">
        <f>IF('Exemplo P-2026-041'!$E$56="","",'Exemplo P-2026-041'!$E$56)</f>
        <v/>
      </c>
      <c r="H201" s="102">
        <f>IF('Exemplo P-2026-041'!$F$56="","",'Exemplo P-2026-041'!$F$56)</f>
        <v/>
      </c>
      <c r="I201" s="103">
        <f>IF('Exemplo P-2026-041'!$G$56="","",'Exemplo P-2026-041'!$G$56)</f>
        <v/>
      </c>
      <c r="J201" s="100">
        <f>IF('Exemplo P-2026-041'!$H$56="","",'Exemplo P-2026-041'!$H$56)</f>
        <v/>
      </c>
      <c r="K201" s="101">
        <f>IF('Exemplo P-2026-041'!$I$56="","",'Exemplo P-2026-041'!$I$56)</f>
        <v/>
      </c>
      <c r="L201" s="102">
        <f>IF('Exemplo P-2026-041'!$J$56="","",'Exemplo P-2026-041'!$J$56)</f>
        <v/>
      </c>
      <c r="M201" s="103">
        <f>IF('Exemplo P-2026-041'!$K$56="","",'Exemplo P-2026-041'!$K$56)</f>
        <v/>
      </c>
      <c r="N201" s="100">
        <f>IF('Exemplo P-2026-041'!$L$56="","",'Exemplo P-2026-041'!$L$56)</f>
        <v/>
      </c>
      <c r="O201" s="101">
        <f>IF('Exemplo P-2026-041'!$M$56="","",'Exemplo P-2026-041'!$M$56)</f>
        <v/>
      </c>
      <c r="P201" s="102">
        <f>IF('Exemplo P-2026-041'!$N$56="","",'Exemplo P-2026-041'!$N$56)</f>
        <v/>
      </c>
      <c r="Q201" s="102">
        <f>IF('Exemplo P-2026-041'!$O$56="","",'Exemplo P-2026-041'!$O$56)</f>
        <v/>
      </c>
      <c r="R201" s="103">
        <f>IF($C201="","",IF('Exemplo P-2026-041'!$F$7="","",'Exemplo P-2026-041'!$F$7))</f>
        <v/>
      </c>
      <c r="S201" s="100" t="n"/>
      <c r="T201" s="102" t="n"/>
      <c r="U201" s="102" t="n"/>
      <c r="V201" s="102" t="n"/>
    </row>
    <row r="202">
      <c r="A202" s="100">
        <f>IF($C202="","",'Painel Geral'!$B$27)</f>
        <v/>
      </c>
      <c r="B202" s="100">
        <f>IF($C202="","",'Painel Geral'!$C$27)</f>
        <v/>
      </c>
      <c r="C202" s="100">
        <f>IF('Exemplo P-2026-041'!$A$57="","",'Exemplo P-2026-041'!$A$57)</f>
        <v/>
      </c>
      <c r="D202" s="101">
        <f>IF('Exemplo P-2026-041'!$B$57="","",'Exemplo P-2026-041'!$B$57)</f>
        <v/>
      </c>
      <c r="E202" s="102">
        <f>IF('Exemplo P-2026-041'!$C$57="","",'Exemplo P-2026-041'!$C$57)</f>
        <v/>
      </c>
      <c r="F202" s="100">
        <f>IF('Exemplo P-2026-041'!$D$57="","",'Exemplo P-2026-041'!$D$57)</f>
        <v/>
      </c>
      <c r="G202" s="101">
        <f>IF('Exemplo P-2026-041'!$E$57="","",'Exemplo P-2026-041'!$E$57)</f>
        <v/>
      </c>
      <c r="H202" s="102">
        <f>IF('Exemplo P-2026-041'!$F$57="","",'Exemplo P-2026-041'!$F$57)</f>
        <v/>
      </c>
      <c r="I202" s="103">
        <f>IF('Exemplo P-2026-041'!$G$57="","",'Exemplo P-2026-041'!$G$57)</f>
        <v/>
      </c>
      <c r="J202" s="100">
        <f>IF('Exemplo P-2026-041'!$H$57="","",'Exemplo P-2026-041'!$H$57)</f>
        <v/>
      </c>
      <c r="K202" s="101">
        <f>IF('Exemplo P-2026-041'!$I$57="","",'Exemplo P-2026-041'!$I$57)</f>
        <v/>
      </c>
      <c r="L202" s="102">
        <f>IF('Exemplo P-2026-041'!$J$57="","",'Exemplo P-2026-041'!$J$57)</f>
        <v/>
      </c>
      <c r="M202" s="103">
        <f>IF('Exemplo P-2026-041'!$K$57="","",'Exemplo P-2026-041'!$K$57)</f>
        <v/>
      </c>
      <c r="N202" s="100">
        <f>IF('Exemplo P-2026-041'!$L$57="","",'Exemplo P-2026-041'!$L$57)</f>
        <v/>
      </c>
      <c r="O202" s="101">
        <f>IF('Exemplo P-2026-041'!$M$57="","",'Exemplo P-2026-041'!$M$57)</f>
        <v/>
      </c>
      <c r="P202" s="102">
        <f>IF('Exemplo P-2026-041'!$N$57="","",'Exemplo P-2026-041'!$N$57)</f>
        <v/>
      </c>
      <c r="Q202" s="102">
        <f>IF('Exemplo P-2026-041'!$O$57="","",'Exemplo P-2026-041'!$O$57)</f>
        <v/>
      </c>
      <c r="R202" s="103">
        <f>IF($C202="","",IF('Exemplo P-2026-041'!$F$7="","",'Exemplo P-2026-041'!$F$7))</f>
        <v/>
      </c>
      <c r="S202" s="100" t="n"/>
      <c r="T202" s="102" t="n"/>
      <c r="U202" s="102" t="n"/>
      <c r="V202" s="102" t="n"/>
    </row>
    <row r="203">
      <c r="A203" s="100">
        <f>IF($C203="","",'Painel Geral'!$B$27)</f>
        <v/>
      </c>
      <c r="B203" s="100">
        <f>IF($C203="","",'Painel Geral'!$C$27)</f>
        <v/>
      </c>
      <c r="C203" s="100">
        <f>IF('Exemplo P-2026-041'!$A$58="","",'Exemplo P-2026-041'!$A$58)</f>
        <v/>
      </c>
      <c r="D203" s="101">
        <f>IF('Exemplo P-2026-041'!$B$58="","",'Exemplo P-2026-041'!$B$58)</f>
        <v/>
      </c>
      <c r="E203" s="102">
        <f>IF('Exemplo P-2026-041'!$C$58="","",'Exemplo P-2026-041'!$C$58)</f>
        <v/>
      </c>
      <c r="F203" s="100">
        <f>IF('Exemplo P-2026-041'!$D$58="","",'Exemplo P-2026-041'!$D$58)</f>
        <v/>
      </c>
      <c r="G203" s="101">
        <f>IF('Exemplo P-2026-041'!$E$58="","",'Exemplo P-2026-041'!$E$58)</f>
        <v/>
      </c>
      <c r="H203" s="102">
        <f>IF('Exemplo P-2026-041'!$F$58="","",'Exemplo P-2026-041'!$F$58)</f>
        <v/>
      </c>
      <c r="I203" s="103">
        <f>IF('Exemplo P-2026-041'!$G$58="","",'Exemplo P-2026-041'!$G$58)</f>
        <v/>
      </c>
      <c r="J203" s="100">
        <f>IF('Exemplo P-2026-041'!$H$58="","",'Exemplo P-2026-041'!$H$58)</f>
        <v/>
      </c>
      <c r="K203" s="101">
        <f>IF('Exemplo P-2026-041'!$I$58="","",'Exemplo P-2026-041'!$I$58)</f>
        <v/>
      </c>
      <c r="L203" s="102">
        <f>IF('Exemplo P-2026-041'!$J$58="","",'Exemplo P-2026-041'!$J$58)</f>
        <v/>
      </c>
      <c r="M203" s="103">
        <f>IF('Exemplo P-2026-041'!$K$58="","",'Exemplo P-2026-041'!$K$58)</f>
        <v/>
      </c>
      <c r="N203" s="100">
        <f>IF('Exemplo P-2026-041'!$L$58="","",'Exemplo P-2026-041'!$L$58)</f>
        <v/>
      </c>
      <c r="O203" s="101">
        <f>IF('Exemplo P-2026-041'!$M$58="","",'Exemplo P-2026-041'!$M$58)</f>
        <v/>
      </c>
      <c r="P203" s="102">
        <f>IF('Exemplo P-2026-041'!$N$58="","",'Exemplo P-2026-041'!$N$58)</f>
        <v/>
      </c>
      <c r="Q203" s="102">
        <f>IF('Exemplo P-2026-041'!$O$58="","",'Exemplo P-2026-041'!$O$58)</f>
        <v/>
      </c>
      <c r="R203" s="103">
        <f>IF($C203="","",IF('Exemplo P-2026-041'!$F$7="","",'Exemplo P-2026-041'!$F$7))</f>
        <v/>
      </c>
      <c r="S203" s="100" t="n"/>
      <c r="T203" s="102" t="n"/>
      <c r="U203" s="102" t="n"/>
      <c r="V203" s="102" t="n"/>
    </row>
    <row r="204">
      <c r="A204" s="100">
        <f>IF($C204="","",'Painel Geral'!$B$27)</f>
        <v/>
      </c>
      <c r="B204" s="100">
        <f>IF($C204="","",'Painel Geral'!$C$27)</f>
        <v/>
      </c>
      <c r="C204" s="100">
        <f>IF('Exemplo P-2026-041'!$A$59="","",'Exemplo P-2026-041'!$A$59)</f>
        <v/>
      </c>
      <c r="D204" s="101">
        <f>IF('Exemplo P-2026-041'!$B$59="","",'Exemplo P-2026-041'!$B$59)</f>
        <v/>
      </c>
      <c r="E204" s="102">
        <f>IF('Exemplo P-2026-041'!$C$59="","",'Exemplo P-2026-041'!$C$59)</f>
        <v/>
      </c>
      <c r="F204" s="100">
        <f>IF('Exemplo P-2026-041'!$D$59="","",'Exemplo P-2026-041'!$D$59)</f>
        <v/>
      </c>
      <c r="G204" s="101">
        <f>IF('Exemplo P-2026-041'!$E$59="","",'Exemplo P-2026-041'!$E$59)</f>
        <v/>
      </c>
      <c r="H204" s="102">
        <f>IF('Exemplo P-2026-041'!$F$59="","",'Exemplo P-2026-041'!$F$59)</f>
        <v/>
      </c>
      <c r="I204" s="103">
        <f>IF('Exemplo P-2026-041'!$G$59="","",'Exemplo P-2026-041'!$G$59)</f>
        <v/>
      </c>
      <c r="J204" s="100">
        <f>IF('Exemplo P-2026-041'!$H$59="","",'Exemplo P-2026-041'!$H$59)</f>
        <v/>
      </c>
      <c r="K204" s="101">
        <f>IF('Exemplo P-2026-041'!$I$59="","",'Exemplo P-2026-041'!$I$59)</f>
        <v/>
      </c>
      <c r="L204" s="102">
        <f>IF('Exemplo P-2026-041'!$J$59="","",'Exemplo P-2026-041'!$J$59)</f>
        <v/>
      </c>
      <c r="M204" s="103">
        <f>IF('Exemplo P-2026-041'!$K$59="","",'Exemplo P-2026-041'!$K$59)</f>
        <v/>
      </c>
      <c r="N204" s="100">
        <f>IF('Exemplo P-2026-041'!$L$59="","",'Exemplo P-2026-041'!$L$59)</f>
        <v/>
      </c>
      <c r="O204" s="101">
        <f>IF('Exemplo P-2026-041'!$M$59="","",'Exemplo P-2026-041'!$M$59)</f>
        <v/>
      </c>
      <c r="P204" s="102">
        <f>IF('Exemplo P-2026-041'!$N$59="","",'Exemplo P-2026-041'!$N$59)</f>
        <v/>
      </c>
      <c r="Q204" s="102">
        <f>IF('Exemplo P-2026-041'!$O$59="","",'Exemplo P-2026-041'!$O$59)</f>
        <v/>
      </c>
      <c r="R204" s="103">
        <f>IF($C204="","",IF('Exemplo P-2026-041'!$F$7="","",'Exemplo P-2026-041'!$F$7))</f>
        <v/>
      </c>
      <c r="S204" s="100" t="n"/>
      <c r="T204" s="102" t="n"/>
      <c r="U204" s="102" t="n"/>
      <c r="V204" s="102" t="n"/>
    </row>
    <row r="205">
      <c r="A205" s="100">
        <f>IF($C205="","",'Painel Geral'!$B$27)</f>
        <v/>
      </c>
      <c r="B205" s="100">
        <f>IF($C205="","",'Painel Geral'!$C$27)</f>
        <v/>
      </c>
      <c r="C205" s="100">
        <f>IF('Exemplo P-2026-041'!$A$60="","",'Exemplo P-2026-041'!$A$60)</f>
        <v/>
      </c>
      <c r="D205" s="101">
        <f>IF('Exemplo P-2026-041'!$B$60="","",'Exemplo P-2026-041'!$B$60)</f>
        <v/>
      </c>
      <c r="E205" s="102">
        <f>IF('Exemplo P-2026-041'!$C$60="","",'Exemplo P-2026-041'!$C$60)</f>
        <v/>
      </c>
      <c r="F205" s="100">
        <f>IF('Exemplo P-2026-041'!$D$60="","",'Exemplo P-2026-041'!$D$60)</f>
        <v/>
      </c>
      <c r="G205" s="101">
        <f>IF('Exemplo P-2026-041'!$E$60="","",'Exemplo P-2026-041'!$E$60)</f>
        <v/>
      </c>
      <c r="H205" s="102">
        <f>IF('Exemplo P-2026-041'!$F$60="","",'Exemplo P-2026-041'!$F$60)</f>
        <v/>
      </c>
      <c r="I205" s="103">
        <f>IF('Exemplo P-2026-041'!$G$60="","",'Exemplo P-2026-041'!$G$60)</f>
        <v/>
      </c>
      <c r="J205" s="100">
        <f>IF('Exemplo P-2026-041'!$H$60="","",'Exemplo P-2026-041'!$H$60)</f>
        <v/>
      </c>
      <c r="K205" s="101">
        <f>IF('Exemplo P-2026-041'!$I$60="","",'Exemplo P-2026-041'!$I$60)</f>
        <v/>
      </c>
      <c r="L205" s="102">
        <f>IF('Exemplo P-2026-041'!$J$60="","",'Exemplo P-2026-041'!$J$60)</f>
        <v/>
      </c>
      <c r="M205" s="103">
        <f>IF('Exemplo P-2026-041'!$K$60="","",'Exemplo P-2026-041'!$K$60)</f>
        <v/>
      </c>
      <c r="N205" s="100">
        <f>IF('Exemplo P-2026-041'!$L$60="","",'Exemplo P-2026-041'!$L$60)</f>
        <v/>
      </c>
      <c r="O205" s="101">
        <f>IF('Exemplo P-2026-041'!$M$60="","",'Exemplo P-2026-041'!$M$60)</f>
        <v/>
      </c>
      <c r="P205" s="102">
        <f>IF('Exemplo P-2026-041'!$N$60="","",'Exemplo P-2026-041'!$N$60)</f>
        <v/>
      </c>
      <c r="Q205" s="102">
        <f>IF('Exemplo P-2026-041'!$O$60="","",'Exemplo P-2026-041'!$O$60)</f>
        <v/>
      </c>
      <c r="R205" s="103">
        <f>IF($C205="","",IF('Exemplo P-2026-041'!$F$7="","",'Exemplo P-2026-041'!$F$7))</f>
        <v/>
      </c>
      <c r="S205" s="100" t="n"/>
      <c r="T205" s="102" t="n"/>
      <c r="U205" s="102" t="n"/>
      <c r="V205" s="10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42" customWidth="1" min="4" max="4"/>
    <col width="22" customWidth="1" min="5" max="5"/>
    <col width="22" customWidth="1" min="6" max="6"/>
    <col width="46" customWidth="1" min="7" max="7"/>
    <col width="22" customWidth="1" min="8" max="8"/>
    <col width="80" customWidth="1" min="9" max="9"/>
  </cols>
  <sheetData>
    <row r="1">
      <c r="A1" s="104" t="inlineStr">
        <is>
          <t>Equipe (comissões)</t>
        </is>
      </c>
      <c r="B1" s="104" t="inlineStr">
        <is>
          <t>Vendedor</t>
        </is>
      </c>
      <c r="C1" s="104" t="inlineStr">
        <is>
          <t>Causa do retrabalho</t>
        </is>
      </c>
      <c r="D1" s="104" t="inlineStr">
        <is>
          <t>Categoria de compra</t>
        </is>
      </c>
      <c r="E1" s="104" t="inlineStr">
        <is>
          <t>Forma de pagamento</t>
        </is>
      </c>
      <c r="F1" s="104" t="inlineStr">
        <is>
          <t>Status da compra</t>
        </is>
      </c>
      <c r="G1" s="104" t="inlineStr">
        <is>
          <t>O que entra nesta categoria</t>
        </is>
      </c>
      <c r="H1" s="104" t="inlineStr">
        <is>
          <t>Projetista</t>
        </is>
      </c>
      <c r="I1" s="104" t="inlineStr">
        <is>
          <t>Para que servem</t>
        </is>
      </c>
    </row>
    <row r="2" ht="32" customHeight="1">
      <c r="A2" s="105" t="inlineStr">
        <is>
          <t>Deivison</t>
        </is>
      </c>
      <c r="B2" s="105" t="inlineStr">
        <is>
          <t>Jonathan</t>
        </is>
      </c>
      <c r="C2" s="105" t="inlineStr">
        <is>
          <t>Erro de projeto</t>
        </is>
      </c>
      <c r="D2" s="105" t="inlineStr">
        <is>
          <t>MDF e MDP</t>
        </is>
      </c>
      <c r="E2" s="105" t="inlineStr">
        <is>
          <t>PIX</t>
        </is>
      </c>
      <c r="F2" s="105" t="inlineStr">
        <is>
          <t>A comprar</t>
        </is>
      </c>
      <c r="G2" s="106" t="inlineStr">
        <is>
          <t>chapas cruas e revestidas, por cor e espessura</t>
        </is>
      </c>
      <c r="H2" s="105" t="inlineStr">
        <is>
          <t>Lorrane</t>
        </is>
      </c>
      <c r="I2" s="107" t="inlineStr">
        <is>
          <t>Coluna A — quem recebe comissão de produção, montagem ou coordenação: marceneiros, coordenador e operador de máquinas. Ajudante geral não entra, porque não assume ambiente. Alimenta as colunas D e G do bloco 3 e o consolidado do bloco 5.</t>
        </is>
      </c>
    </row>
    <row r="3" ht="32" customHeight="1">
      <c r="A3" s="105" t="inlineStr">
        <is>
          <t>Ronald</t>
        </is>
      </c>
      <c r="B3" s="105" t="inlineStr">
        <is>
          <t>Vitor</t>
        </is>
      </c>
      <c r="C3" s="105" t="inlineStr">
        <is>
          <t>Erro de medição</t>
        </is>
      </c>
      <c r="D3" s="105" t="inlineStr">
        <is>
          <t>Fita de borda</t>
        </is>
      </c>
      <c r="E3" s="105" t="inlineStr">
        <is>
          <t>Boleto</t>
        </is>
      </c>
      <c r="F3" s="105" t="inlineStr">
        <is>
          <t>Comprado (a pagar)</t>
        </is>
      </c>
      <c r="G3" s="106" t="inlineStr">
        <is>
          <t>fita de borda de todas as cores e espessuras</t>
        </is>
      </c>
      <c r="H3" s="105" t="inlineStr">
        <is>
          <t>Lucas</t>
        </is>
      </c>
      <c r="I3" s="107" t="inlineStr">
        <is>
          <t>Coluna H — os projetistas. Alimenta a coluna J do bloco 3: quem projetou cada ambiente. A comissão do projetista é 1% do líquido e sai no bloco 4.</t>
        </is>
      </c>
    </row>
    <row r="4" ht="32" customHeight="1">
      <c r="A4" s="105" t="inlineStr">
        <is>
          <t>Samuel</t>
        </is>
      </c>
      <c r="B4" s="105" t="inlineStr">
        <is>
          <t>Indicação</t>
        </is>
      </c>
      <c r="C4" s="105" t="inlineStr">
        <is>
          <t>Erro de produção</t>
        </is>
      </c>
      <c r="D4" s="105" t="inlineStr">
        <is>
          <t>Ferragens</t>
        </is>
      </c>
      <c r="E4" s="105" t="inlineStr">
        <is>
          <t>Cartão de crédito</t>
        </is>
      </c>
      <c r="F4" s="105" t="inlineStr">
        <is>
          <t>Pago</t>
        </is>
      </c>
      <c r="G4" s="106" t="inlineStr">
        <is>
          <t>corrediças, dobradiças, puxadores, pistões, suportes</t>
        </is>
      </c>
      <c r="H4" s="105" t="inlineStr">
        <is>
          <t>Externo / avulso</t>
        </is>
      </c>
      <c r="I4" s="107" t="inlineStr">
        <is>
          <t>Se acrescentar alguém aqui, inclua também na tabela "Comissões por colaborador" da ficha, senão a pessoa não aparece no consolidado.</t>
        </is>
      </c>
    </row>
    <row r="5" ht="32" customHeight="1">
      <c r="A5" s="105" t="inlineStr">
        <is>
          <t>Cesar</t>
        </is>
      </c>
      <c r="B5" s="105" t="inlineStr">
        <is>
          <t>Arquiteto parceiro</t>
        </is>
      </c>
      <c r="C5" s="105" t="inlineStr">
        <is>
          <t>Erro de montagem</t>
        </is>
      </c>
      <c r="D5" s="105" t="inlineStr">
        <is>
          <t>Vidros e espelhos</t>
        </is>
      </c>
      <c r="E5" s="105" t="inlineStr">
        <is>
          <t>Cartão parcelado</t>
        </is>
      </c>
      <c r="G5" s="106" t="inlineStr">
        <is>
          <t>vidro, espelho e cristal comprados prontos</t>
        </is>
      </c>
      <c r="I5" s="107" t="inlineStr">
        <is>
          <t>Coluna D — as categorias de compra. Se você renomear uma categoria aqui, renomeie também na tabela do bloco 6 da ficha: o SUMIFS casa pelo texto.</t>
        </is>
      </c>
    </row>
    <row r="6" ht="32" customHeight="1">
      <c r="A6" s="105" t="inlineStr">
        <is>
          <t>Jhon</t>
        </is>
      </c>
      <c r="B6" s="105" t="inlineStr">
        <is>
          <t>Outro</t>
        </is>
      </c>
      <c r="C6" s="105" t="inlineStr">
        <is>
          <t>Falha de material</t>
        </is>
      </c>
      <c r="D6" s="105" t="inlineStr">
        <is>
          <t>Esquadrias</t>
        </is>
      </c>
      <c r="E6" s="105" t="inlineStr">
        <is>
          <t>Dinheiro</t>
        </is>
      </c>
      <c r="G6" s="106" t="inlineStr">
        <is>
          <t>perfis de alumínio, portas de perfil e box</t>
        </is>
      </c>
      <c r="I6" s="107" t="inlineStr">
        <is>
          <t>Coluna F — status. "A comprar" NÃO entra no custo realizado, entra na coluna "ainda a comprar". "Comprado (a pagar)" e "Pago" entram no custo.</t>
        </is>
      </c>
    </row>
    <row r="7" ht="32" customHeight="1">
      <c r="A7" s="105" t="inlineStr">
        <is>
          <t>Joelson</t>
        </is>
      </c>
      <c r="C7" s="105" t="inlineStr">
        <is>
          <t>Dano no transporte</t>
        </is>
      </c>
      <c r="D7" s="105" t="inlineStr">
        <is>
          <t>Lâmina natural</t>
        </is>
      </c>
      <c r="E7" s="105" t="inlineStr">
        <is>
          <t>Transferência</t>
        </is>
      </c>
      <c r="G7" s="106" t="inlineStr">
        <is>
          <t>lâmina de madeira natural e compostos</t>
        </is>
      </c>
      <c r="I7" s="107" t="inlineStr">
        <is>
          <t>Coluna C — causas do retrabalho. É a lista mais estratégica da planilha: ela é que vai dizer se o problema está no projeto, na medição, na produção ou no fornecedor.</t>
        </is>
      </c>
    </row>
    <row r="8">
      <c r="A8" s="105" t="inlineStr">
        <is>
          <t>Davi</t>
        </is>
      </c>
      <c r="C8" s="105" t="inlineStr">
        <is>
          <t>Mudança pedida pelo cliente</t>
        </is>
      </c>
      <c r="D8" s="105" t="inlineStr">
        <is>
          <t>Consumíveis</t>
        </is>
      </c>
      <c r="E8" s="105" t="inlineStr">
        <is>
          <t>Faturado 30 dias</t>
        </is>
      </c>
      <c r="G8" s="106" t="inlineStr">
        <is>
          <t>parafuso, adesivo, tíner, estopa, lixa, disco, broca</t>
        </is>
      </c>
    </row>
    <row r="9">
      <c r="A9" s="105" t="inlineStr">
        <is>
          <t>Jomar</t>
        </is>
      </c>
      <c r="C9" s="105" t="inlineStr">
        <is>
          <t>Falha de fornecedor</t>
        </is>
      </c>
      <c r="D9" s="105" t="inlineStr">
        <is>
          <t>Acabamento</t>
        </is>
      </c>
      <c r="E9" s="105" t="inlineStr">
        <is>
          <t>A combinar</t>
        </is>
      </c>
      <c r="G9" s="106" t="inlineStr">
        <is>
          <t>pintura, laca, verniz e envernizamento terceirizado</t>
        </is>
      </c>
    </row>
    <row r="10">
      <c r="A10" s="105" t="inlineStr">
        <is>
          <t>Bruno</t>
        </is>
      </c>
      <c r="C10" s="105" t="inlineStr">
        <is>
          <t>Outro</t>
        </is>
      </c>
      <c r="D10" s="105" t="inlineStr">
        <is>
          <t>Serralheria</t>
        </is>
      </c>
      <c r="G10" s="106" t="inlineStr">
        <is>
          <t>estruturas metálicas feitas fora</t>
        </is>
      </c>
    </row>
    <row r="11">
      <c r="A11" s="105" t="inlineStr">
        <is>
          <t>Wallace</t>
        </is>
      </c>
      <c r="D11" s="105" t="inlineStr">
        <is>
          <t>Vidraceiro</t>
        </is>
      </c>
      <c r="G11" s="106" t="inlineStr">
        <is>
          <t>corte e instalação de vidro por terceiro</t>
        </is>
      </c>
    </row>
    <row r="12">
      <c r="A12" s="105" t="inlineStr">
        <is>
          <t>Douglas</t>
        </is>
      </c>
      <c r="D12" s="105" t="inlineStr">
        <is>
          <t>Outro terceirizado</t>
        </is>
      </c>
      <c r="G12" s="106" t="inlineStr">
        <is>
          <t>qualquer serviço feito fora da fábrica</t>
        </is>
      </c>
    </row>
    <row r="13">
      <c r="A13" s="105" t="inlineStr">
        <is>
          <t>Terceiro / avulso</t>
        </is>
      </c>
      <c r="D13" s="105" t="inlineStr">
        <is>
          <t>Uber e aplicativo</t>
        </is>
      </c>
      <c r="G13" s="106" t="inlineStr">
        <is>
          <t>corrida de medição, conferência e visita</t>
        </is>
      </c>
    </row>
    <row r="14">
      <c r="D14" s="105" t="inlineStr">
        <is>
          <t>Carreto e entrega</t>
        </is>
      </c>
      <c r="G14" s="106" t="inlineStr">
        <is>
          <t>transporte do móvel pronto até a obra</t>
        </is>
      </c>
    </row>
    <row r="15">
      <c r="D15" s="105" t="inlineStr">
        <is>
          <t>Deslocamento da equipe</t>
        </is>
      </c>
      <c r="G15" s="106" t="inlineStr">
        <is>
          <t>ida e volta da equipe de montagem</t>
        </is>
      </c>
    </row>
    <row r="16">
      <c r="D16" s="105" t="inlineStr">
        <is>
          <t>Frete de material</t>
        </is>
      </c>
      <c r="G16" s="106" t="inlineStr">
        <is>
          <t>entrega de material do fornecedor até a fábrica</t>
        </is>
      </c>
    </row>
    <row r="17">
      <c r="D17" s="105" t="inlineStr">
        <is>
          <t>Estacionamento e pedágio</t>
        </is>
      </c>
      <c r="G17" s="106" t="inlineStr">
        <is>
          <t>estacionamento, pedágio e miudezas de rota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2026-10-24T11:39:57Z</dcterms:created>
  <dcterms:modified xsi:type="dcterms:W3CDTF">2026-10-24T11:40:03Z</dcterms:modified>
</cp:coreProperties>
</file>