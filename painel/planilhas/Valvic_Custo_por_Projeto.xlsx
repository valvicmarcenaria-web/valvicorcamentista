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nstruções" sheetId="1" state="visible" r:id="rId1"/>
    <sheet name="Painel Geral" sheetId="2" state="visible" r:id="rId2"/>
    <sheet name="Ficha Modelo" sheetId="3" state="visible" r:id="rId3"/>
    <sheet name="Exemplo P-2026-041" sheetId="4" state="visible" r:id="rId4"/>
    <sheet name="Listas" sheetId="5" state="visible" r:id="rId5"/>
  </sheets>
  <definedNames>
    <definedName name="CATEGORIA_COMPRA">Listas!$D$2:$D$17</definedName>
    <definedName name="FORMA_PAGAMENTO">Listas!$E$2:$E$9</definedName>
    <definedName name="STATUS_COMPRA">Listas!$F$2:$F$4</definedName>
    <definedName name="EQUIPE_COMISSAO">Listas!$A$2:$A$9</definedName>
    <definedName name="VENDEDOR">Listas!$B$2:$B$6</definedName>
    <definedName name="CAUSA_RETRABALHO">Listas!$C$2:$C$10</definedName>
    <definedName name="_xlnm.Print_Area" localSheetId="0">'Instruções'!$A$1:$F$67</definedName>
    <definedName name="_xlnm.Print_Area" localSheetId="1">'Painel Geral'!$A$1:$R$68</definedName>
    <definedName name="_xlnm.Print_Area" localSheetId="2">'Ficha Modelo'!$A$1:$J$182</definedName>
    <definedName name="_xlnm.Print_Area" localSheetId="3">'Exemplo P-2026-041'!$A$1:$J$182</definedName>
  </definedNames>
  <calcPr calcId="124519" fullCalcOnLoad="1"/>
</workbook>
</file>

<file path=xl/styles.xml><?xml version="1.0" encoding="utf-8"?>
<styleSheet xmlns="http://schemas.openxmlformats.org/spreadsheetml/2006/main">
  <numFmts count="9">
    <numFmt numFmtId="164" formatCode="DD/MM/YYYY"/>
    <numFmt numFmtId="165" formatCode="0 &quot;dias&quot;"/>
    <numFmt numFmtId="166" formatCode="R$ #,##0"/>
    <numFmt numFmtId="167" formatCode="0.0%"/>
    <numFmt numFmtId="168" formatCode="R$ #,##0.00"/>
    <numFmt numFmtId="169" formatCode="+0%;-0%;0%"/>
    <numFmt numFmtId="170" formatCode="&quot;ainda a comprar  &quot;R$ #,##0"/>
    <numFmt numFmtId="171" formatCode="+0.0;-0.0;0.0"/>
    <numFmt numFmtId="172" formatCode="+0.0%;-0.0%;0.0%"/>
  </numFmts>
  <fonts count="48">
    <font>
      <name val="Calibri"/>
      <family val="2"/>
      <color theme="1"/>
      <sz val="11"/>
      <scheme val="minor"/>
    </font>
    <font>
      <name val="Arial"/>
      <b val="1"/>
      <color rgb="00FFFFFF"/>
      <sz val="13"/>
    </font>
    <font>
      <name val="Arial"/>
      <color rgb="009FB0C4"/>
      <sz val="8"/>
    </font>
    <font>
      <name val="Arial"/>
      <b val="1"/>
      <color rgb="00FFFFFF"/>
      <sz val="15"/>
    </font>
    <font>
      <name val="Arial"/>
      <i val="1"/>
      <color rgb="007A5B17"/>
      <sz val="8.5"/>
    </font>
    <font>
      <name val="Arial"/>
      <b val="1"/>
      <color rgb="006C7785"/>
      <sz val="7.5"/>
    </font>
    <font>
      <name val="Arial"/>
      <b val="1"/>
      <color rgb="0016314F"/>
      <sz val="10"/>
    </font>
    <font>
      <name val="Arial"/>
      <b val="1"/>
      <color rgb="000E2038"/>
      <sz val="9"/>
    </font>
    <font>
      <name val="Arial"/>
      <b val="1"/>
      <color rgb="000E2038"/>
      <sz val="13"/>
    </font>
    <font>
      <name val="Arial"/>
      <b val="1"/>
      <color rgb="00FFFFFF"/>
      <sz val="8.5"/>
    </font>
    <font>
      <name val="Arial"/>
      <color rgb="001B2733"/>
      <sz val="9.5"/>
    </font>
    <font>
      <name val="Arial"/>
      <color rgb="0016314F"/>
      <sz val="9.5"/>
    </font>
    <font>
      <name val="Arial"/>
      <b val="1"/>
      <color rgb="0016314F"/>
      <sz val="9.5"/>
    </font>
    <font>
      <name val="Arial"/>
      <color rgb="006C7785"/>
      <sz val="9.5"/>
    </font>
    <font>
      <name val="Arial"/>
      <b val="1"/>
      <color rgb="00FFFFFF"/>
      <sz val="10"/>
    </font>
    <font>
      <name val="Arial"/>
      <b val="1"/>
      <color rgb="00D8BD80"/>
      <sz val="11"/>
    </font>
    <font>
      <name val="Arial"/>
      <b val="1"/>
      <color rgb="00D8BD80"/>
      <sz val="10"/>
    </font>
    <font>
      <name val="Arial"/>
      <b val="1"/>
      <color rgb="00D8BD80"/>
      <sz val="9.5"/>
    </font>
    <font>
      <name val="Arial"/>
      <b val="1"/>
      <color rgb="00FFFFFF"/>
      <sz val="11.5"/>
    </font>
    <font>
      <name val="Arial"/>
      <b val="1"/>
      <color rgb="00D8BD80"/>
      <sz val="12"/>
    </font>
    <font>
      <name val="Arial"/>
      <b val="1"/>
      <color rgb="007A5B17"/>
      <sz val="9.5"/>
    </font>
    <font>
      <name val="Arial"/>
      <b val="1"/>
      <color rgb="007A5B17"/>
      <sz val="10"/>
    </font>
    <font>
      <name val="Arial"/>
      <color rgb="006C7785"/>
      <sz val="9"/>
    </font>
    <font>
      <name val="Arial"/>
      <color rgb="001B2733"/>
      <sz val="8.5"/>
    </font>
    <font>
      <name val="Arial"/>
      <b val="1"/>
      <color rgb="00FFFFFF"/>
      <sz val="11"/>
    </font>
    <font>
      <name val="Arial"/>
      <b val="1"/>
      <color rgb="00D8BD80"/>
      <sz val="11.5"/>
    </font>
    <font>
      <name val="Arial"/>
      <i val="1"/>
      <color rgb="00D8BD80"/>
      <sz val="8.5"/>
    </font>
    <font>
      <name val="Arial"/>
      <b val="1"/>
      <color rgb="000E2038"/>
      <sz val="9.5"/>
    </font>
    <font>
      <name val="Arial"/>
      <b val="1"/>
      <color rgb="00D8BD80"/>
      <sz val="8.5"/>
    </font>
    <font>
      <name val="Arial"/>
      <b val="1"/>
      <color rgb="000E2038"/>
      <sz val="10"/>
    </font>
    <font>
      <name val="Arial"/>
      <color rgb="00B57A16"/>
      <sz val="9.5"/>
    </font>
    <font>
      <name val="Arial"/>
      <color rgb="002F5D8C"/>
      <sz val="9.5"/>
    </font>
    <font>
      <name val="Arial"/>
      <b val="1"/>
      <color rgb="00B0413F"/>
      <sz val="9.5"/>
    </font>
    <font>
      <name val="Arial"/>
      <color rgb="001B2733"/>
      <sz val="9"/>
    </font>
    <font>
      <name val="Arial"/>
      <b val="1"/>
      <color rgb="0016314F"/>
      <sz val="9"/>
    </font>
    <font>
      <name val="Arial"/>
      <b val="1"/>
      <color rgb="00D8BD80"/>
      <sz val="9"/>
    </font>
    <font>
      <name val="Arial"/>
      <color rgb="0041505D"/>
      <sz val="8.5"/>
    </font>
    <font>
      <name val="Arial"/>
      <b val="1"/>
      <color rgb="006C7785"/>
      <sz val="8"/>
    </font>
    <font>
      <name val="Arial"/>
      <b val="1"/>
      <color rgb="000E2038"/>
      <sz val="14"/>
    </font>
    <font>
      <name val="Arial"/>
      <color rgb="006C7785"/>
      <sz val="8.5"/>
    </font>
    <font>
      <name val="Arial"/>
      <b val="1"/>
      <color rgb="0016314F"/>
      <sz val="8.5"/>
    </font>
    <font>
      <name val="Arial"/>
      <color rgb="006C7785"/>
      <sz val="8"/>
    </font>
    <font>
      <name val="Arial"/>
      <color rgb="002A3744"/>
      <sz val="9.5"/>
    </font>
    <font>
      <name val="Arial"/>
      <b val="1"/>
      <color rgb="00FFFFFF"/>
      <sz val="9"/>
    </font>
    <font>
      <name val="Arial"/>
      <color rgb="001B2733"/>
      <sz val="10"/>
    </font>
    <font>
      <name val="Arial"/>
      <color rgb="0041505D"/>
      <sz val="9"/>
    </font>
    <font>
      <name val="Arial"/>
      <color rgb="002A3744"/>
      <sz val="10"/>
    </font>
    <font>
      <name val="Arial"/>
      <b val="1"/>
      <color rgb="007A5B17"/>
      <sz val="9"/>
    </font>
  </fonts>
  <fills count="8">
    <fill>
      <patternFill/>
    </fill>
    <fill>
      <patternFill patternType="gray125"/>
    </fill>
    <fill>
      <patternFill patternType="solid">
        <fgColor rgb="000E2038"/>
      </patternFill>
    </fill>
    <fill>
      <patternFill patternType="solid">
        <fgColor rgb="0016314F"/>
      </patternFill>
    </fill>
    <fill>
      <patternFill patternType="solid">
        <fgColor rgb="00F6EDD6"/>
      </patternFill>
    </fill>
    <fill>
      <patternFill patternType="solid">
        <fgColor rgb="00FFFFFF"/>
      </patternFill>
    </fill>
    <fill>
      <patternFill patternType="solid">
        <fgColor rgb="00FFF9E3"/>
      </patternFill>
    </fill>
    <fill>
      <patternFill patternType="solid">
        <fgColor rgb="00F4F6F8"/>
      </patternFill>
    </fill>
  </fills>
  <borders count="5">
    <border>
      <left/>
      <right/>
      <top/>
      <bottom/>
      <diagonal/>
    </border>
    <border>
      <left style="thin">
        <color rgb="00E8E3D8"/>
      </left>
      <right style="thin">
        <color rgb="00E8E3D8"/>
      </right>
      <bottom style="thin">
        <color rgb="00E8E3D8"/>
      </bottom>
    </border>
    <border>
      <bottom style="medium">
        <color rgb="00C2A05A"/>
      </bottom>
    </border>
    <border>
      <left style="thin">
        <color rgb="0016314F"/>
      </left>
      <right style="thin">
        <color rgb="0016314F"/>
      </right>
      <bottom style="medium">
        <color rgb="00C2A05A"/>
      </bottom>
    </border>
    <border>
      <bottom style="thin">
        <color rgb="00DFDACD"/>
      </bottom>
    </border>
  </borders>
  <cellStyleXfs count="1">
    <xf numFmtId="0" fontId="0" fillId="0" borderId="0"/>
  </cellStyleXfs>
  <cellXfs count="97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0" fillId="2" borderId="0" pivotButton="0" quotePrefix="0" xfId="0"/>
    <xf numFmtId="0" fontId="2" fillId="2" borderId="0" applyAlignment="1" pivotButton="0" quotePrefix="0" xfId="0">
      <alignment horizontal="left" vertical="center" indent="1"/>
    </xf>
    <xf numFmtId="0" fontId="3" fillId="3" borderId="0" applyAlignment="1" pivotButton="0" quotePrefix="0" xfId="0">
      <alignment horizontal="left" vertical="center" indent="1"/>
    </xf>
    <xf numFmtId="0" fontId="0" fillId="3" borderId="0" pivotButton="0" quotePrefix="0" xfId="0"/>
    <xf numFmtId="0" fontId="4" fillId="4" borderId="0" applyAlignment="1" pivotButton="0" quotePrefix="0" xfId="0">
      <alignment horizontal="left" vertical="center" indent="1"/>
    </xf>
    <xf numFmtId="0" fontId="0" fillId="4" borderId="0" pivotButton="0" quotePrefix="0" xfId="0"/>
    <xf numFmtId="0" fontId="7" fillId="4" borderId="2" applyAlignment="1" pivotButton="0" quotePrefix="0" xfId="0">
      <alignment horizontal="left" vertical="center"/>
    </xf>
    <xf numFmtId="0" fontId="0" fillId="4" borderId="2" pivotButton="0" quotePrefix="0" xfId="0"/>
    <xf numFmtId="0" fontId="46" fillId="0" borderId="0" applyAlignment="1" pivotButton="0" quotePrefix="0" xfId="0">
      <alignment horizontal="left" vertical="center" wrapText="1"/>
    </xf>
    <xf numFmtId="0" fontId="47" fillId="4" borderId="0" applyAlignment="1" pivotButton="0" quotePrefix="0" xfId="0">
      <alignment horizontal="left" vertical="center" wrapText="1"/>
    </xf>
    <xf numFmtId="0" fontId="37" fillId="5" borderId="0" applyAlignment="1" pivotButton="0" quotePrefix="0" xfId="0">
      <alignment horizontal="center" vertical="center"/>
    </xf>
    <xf numFmtId="0" fontId="0" fillId="5" borderId="0" pivotButton="0" quotePrefix="0" xfId="0"/>
    <xf numFmtId="1" fontId="38" fillId="4" borderId="1" applyAlignment="1" pivotButton="0" quotePrefix="0" xfId="0">
      <alignment horizontal="center" vertical="center"/>
    </xf>
    <xf numFmtId="0" fontId="0" fillId="4" borderId="1" pivotButton="0" quotePrefix="0" xfId="0"/>
    <xf numFmtId="166" fontId="38" fillId="4" borderId="1" applyAlignment="1" pivotButton="0" quotePrefix="0" xfId="0">
      <alignment horizontal="center" vertical="center"/>
    </xf>
    <xf numFmtId="167" fontId="38" fillId="4" borderId="1" applyAlignment="1" pivotButton="0" quotePrefix="0" xfId="0">
      <alignment horizontal="center" vertical="center"/>
    </xf>
    <xf numFmtId="9" fontId="38" fillId="4" borderId="1" applyAlignment="1" pivotButton="0" quotePrefix="0" xfId="0">
      <alignment horizontal="center" vertical="center"/>
    </xf>
    <xf numFmtId="0" fontId="9" fillId="3" borderId="3" applyAlignment="1" pivotButton="0" quotePrefix="0" xfId="0">
      <alignment horizontal="center" vertical="center" wrapText="1"/>
    </xf>
    <xf numFmtId="0" fontId="39" fillId="7" borderId="1" applyAlignment="1" pivotButton="0" quotePrefix="0" xfId="0">
      <alignment horizontal="center" vertical="center"/>
    </xf>
    <xf numFmtId="0" fontId="27" fillId="6" borderId="1" applyAlignment="1" pivotButton="0" quotePrefix="0" xfId="0">
      <alignment horizontal="left" vertical="center" indent="1"/>
    </xf>
    <xf numFmtId="0" fontId="11" fillId="7" borderId="1" applyAlignment="1" pivotButton="0" quotePrefix="0" xfId="0">
      <alignment horizontal="left" vertical="center" indent="1"/>
    </xf>
    <xf numFmtId="164" fontId="11" fillId="7" borderId="1" applyAlignment="1" pivotButton="0" quotePrefix="0" xfId="0">
      <alignment horizontal="center" vertical="center"/>
    </xf>
    <xf numFmtId="1" fontId="11" fillId="7" borderId="1" applyAlignment="1" pivotButton="0" quotePrefix="0" xfId="0">
      <alignment horizontal="center" vertical="center"/>
    </xf>
    <xf numFmtId="0" fontId="11" fillId="7" borderId="1" applyAlignment="1" pivotButton="0" quotePrefix="0" xfId="0">
      <alignment horizontal="center" vertical="center"/>
    </xf>
    <xf numFmtId="166" fontId="11" fillId="7" borderId="1" applyAlignment="1" pivotButton="0" quotePrefix="0" xfId="0">
      <alignment horizontal="right" vertical="center" indent="1"/>
    </xf>
    <xf numFmtId="167" fontId="11" fillId="7" borderId="1" applyAlignment="1" pivotButton="0" quotePrefix="0" xfId="0">
      <alignment horizontal="center" vertical="center"/>
    </xf>
    <xf numFmtId="171" fontId="12" fillId="7" borderId="1" applyAlignment="1" pivotButton="0" quotePrefix="0" xfId="0">
      <alignment horizontal="center" vertical="center"/>
    </xf>
    <xf numFmtId="0" fontId="40" fillId="7" borderId="1" applyAlignment="1" pivotButton="0" quotePrefix="0" xfId="0">
      <alignment horizontal="center" vertical="center"/>
    </xf>
    <xf numFmtId="168" fontId="41" fillId="0" borderId="0" pivotButton="0" quotePrefix="0" xfId="0"/>
    <xf numFmtId="0" fontId="14" fillId="3" borderId="1" applyAlignment="1" pivotButton="0" quotePrefix="0" xfId="0">
      <alignment horizontal="right" vertical="center" indent="1"/>
    </xf>
    <xf numFmtId="0" fontId="0" fillId="3" borderId="1" pivotButton="0" quotePrefix="0" xfId="0"/>
    <xf numFmtId="166" fontId="16" fillId="3" borderId="1" applyAlignment="1" pivotButton="0" quotePrefix="0" xfId="0">
      <alignment horizontal="right" vertical="center" indent="1"/>
    </xf>
    <xf numFmtId="167" fontId="16" fillId="3" borderId="1" applyAlignment="1" pivotButton="0" quotePrefix="0" xfId="0">
      <alignment horizontal="center" vertical="center"/>
    </xf>
    <xf numFmtId="0" fontId="0" fillId="3" borderId="3" pivotButton="0" quotePrefix="0" xfId="0"/>
    <xf numFmtId="0" fontId="10" fillId="5" borderId="1" applyAlignment="1" pivotButton="0" quotePrefix="0" xfId="0">
      <alignment horizontal="left" vertical="center" indent="1"/>
    </xf>
    <xf numFmtId="0" fontId="0" fillId="5" borderId="1" pivotButton="0" quotePrefix="0" xfId="0"/>
    <xf numFmtId="0" fontId="0" fillId="7" borderId="1" pivotButton="0" quotePrefix="0" xfId="0"/>
    <xf numFmtId="166" fontId="12" fillId="7" borderId="1" applyAlignment="1" pivotButton="0" quotePrefix="0" xfId="0">
      <alignment horizontal="right" vertical="center" indent="1"/>
    </xf>
    <xf numFmtId="172" fontId="6" fillId="7" borderId="1" applyAlignment="1" pivotButton="0" quotePrefix="0" xfId="0">
      <alignment horizontal="center" vertical="center"/>
    </xf>
    <xf numFmtId="0" fontId="23" fillId="7" borderId="1" applyAlignment="1" pivotButton="0" quotePrefix="0" xfId="0">
      <alignment horizontal="left" vertical="center" indent="1"/>
    </xf>
    <xf numFmtId="0" fontId="42" fillId="5" borderId="0" applyAlignment="1" pivotButton="0" quotePrefix="0" xfId="0">
      <alignment horizontal="left" vertical="center" wrapText="1" indent="1"/>
    </xf>
    <xf numFmtId="0" fontId="36" fillId="4" borderId="1" applyAlignment="1" pivotButton="0" quotePrefix="0" xfId="0">
      <alignment horizontal="left" vertical="center" wrapText="1" indent="1"/>
    </xf>
    <xf numFmtId="0" fontId="5" fillId="5" borderId="0" applyAlignment="1" pivotButton="0" quotePrefix="0" xfId="0">
      <alignment horizontal="center" vertical="center"/>
    </xf>
    <xf numFmtId="0" fontId="6" fillId="6" borderId="1" applyAlignment="1" pivotButton="0" quotePrefix="0" xfId="0">
      <alignment horizontal="left" vertical="center" indent="1"/>
    </xf>
    <xf numFmtId="0" fontId="0" fillId="6" borderId="1" pivotButton="0" quotePrefix="0" xfId="0"/>
    <xf numFmtId="164" fontId="6" fillId="6" borderId="1" applyAlignment="1" pivotButton="0" quotePrefix="0" xfId="0">
      <alignment horizontal="center" vertical="center"/>
    </xf>
    <xf numFmtId="0" fontId="6" fillId="6" borderId="1" applyAlignment="1" pivotButton="0" quotePrefix="0" xfId="0">
      <alignment horizontal="center" vertical="center"/>
    </xf>
    <xf numFmtId="165" fontId="6" fillId="7" borderId="1" applyAlignment="1" pivotButton="0" quotePrefix="0" xfId="0">
      <alignment horizontal="center" vertical="center"/>
    </xf>
    <xf numFmtId="0" fontId="6" fillId="7" borderId="1" applyAlignment="1" pivotButton="0" quotePrefix="0" xfId="0">
      <alignment horizontal="center" vertical="center"/>
    </xf>
    <xf numFmtId="166" fontId="8" fillId="4" borderId="1" applyAlignment="1" pivotButton="0" quotePrefix="0" xfId="0">
      <alignment horizontal="center" vertical="center"/>
    </xf>
    <xf numFmtId="167" fontId="8" fillId="4" borderId="1" applyAlignment="1" pivotButton="0" quotePrefix="0" xfId="0">
      <alignment horizontal="center" vertical="center"/>
    </xf>
    <xf numFmtId="168" fontId="11" fillId="7" borderId="1" applyAlignment="1" pivotButton="0" quotePrefix="0" xfId="0">
      <alignment horizontal="right" vertical="center" indent="1"/>
    </xf>
    <xf numFmtId="169" fontId="12" fillId="7" borderId="1" applyAlignment="1" pivotButton="0" quotePrefix="0" xfId="0">
      <alignment horizontal="center" vertical="center"/>
    </xf>
    <xf numFmtId="167" fontId="13" fillId="7" borderId="1" applyAlignment="1" pivotButton="0" quotePrefix="0" xfId="0">
      <alignment horizontal="center" vertical="center"/>
    </xf>
    <xf numFmtId="168" fontId="15" fillId="3" borderId="1" applyAlignment="1" pivotButton="0" quotePrefix="0" xfId="0">
      <alignment horizontal="right" vertical="center" indent="1"/>
    </xf>
    <xf numFmtId="168" fontId="16" fillId="3" borderId="1" applyAlignment="1" pivotButton="0" quotePrefix="0" xfId="0">
      <alignment horizontal="right" vertical="center" indent="1"/>
    </xf>
    <xf numFmtId="169" fontId="17" fillId="3" borderId="1" applyAlignment="1" pivotButton="0" quotePrefix="0" xfId="0">
      <alignment horizontal="center" vertical="center"/>
    </xf>
    <xf numFmtId="167" fontId="17" fillId="3" borderId="1" applyAlignment="1" pivotButton="0" quotePrefix="0" xfId="0">
      <alignment horizontal="center" vertical="center"/>
    </xf>
    <xf numFmtId="0" fontId="18" fillId="2" borderId="1" applyAlignment="1" pivotButton="0" quotePrefix="0" xfId="0">
      <alignment horizontal="right" vertical="center" indent="1"/>
    </xf>
    <xf numFmtId="0" fontId="0" fillId="2" borderId="1" pivotButton="0" quotePrefix="0" xfId="0"/>
    <xf numFmtId="168" fontId="19" fillId="2" borderId="1" applyAlignment="1" pivotButton="0" quotePrefix="0" xfId="0">
      <alignment horizontal="right" vertical="center" indent="1"/>
    </xf>
    <xf numFmtId="168" fontId="16" fillId="2" borderId="1" applyAlignment="1" pivotButton="0" quotePrefix="0" xfId="0">
      <alignment horizontal="right" vertical="center" indent="1"/>
    </xf>
    <xf numFmtId="167" fontId="16" fillId="2" borderId="1" applyAlignment="1" pivotButton="0" quotePrefix="0" xfId="0">
      <alignment horizontal="center" vertical="center"/>
    </xf>
    <xf numFmtId="167" fontId="19" fillId="2" borderId="1" applyAlignment="1" pivotButton="0" quotePrefix="0" xfId="0">
      <alignment horizontal="center" vertical="center"/>
    </xf>
    <xf numFmtId="0" fontId="20" fillId="4" borderId="1" applyAlignment="1" pivotButton="0" quotePrefix="0" xfId="0">
      <alignment horizontal="left" vertical="center" indent="1"/>
    </xf>
    <xf numFmtId="170" fontId="21" fillId="4" borderId="1" applyAlignment="1" pivotButton="0" quotePrefix="0" xfId="0">
      <alignment horizontal="center" vertical="center"/>
    </xf>
    <xf numFmtId="168" fontId="10" fillId="6" borderId="1" applyAlignment="1" pivotButton="0" quotePrefix="0" xfId="0">
      <alignment horizontal="right" vertical="center" indent="1"/>
    </xf>
    <xf numFmtId="167" fontId="22" fillId="7" borderId="1" applyAlignment="1" pivotButton="0" quotePrefix="0" xfId="0">
      <alignment horizontal="center" vertical="center"/>
    </xf>
    <xf numFmtId="0" fontId="23" fillId="6" borderId="1" applyAlignment="1" pivotButton="0" quotePrefix="0" xfId="0">
      <alignment horizontal="left" vertical="center" indent="1"/>
    </xf>
    <xf numFmtId="167" fontId="20" fillId="6" borderId="1" applyAlignment="1" pivotButton="0" quotePrefix="0" xfId="0">
      <alignment horizontal="center" vertical="center"/>
    </xf>
    <xf numFmtId="0" fontId="24" fillId="2" borderId="1" applyAlignment="1" pivotButton="0" quotePrefix="0" xfId="0">
      <alignment horizontal="right" vertical="center" indent="1"/>
    </xf>
    <xf numFmtId="168" fontId="25" fillId="2" borderId="1" applyAlignment="1" pivotButton="0" quotePrefix="0" xfId="0">
      <alignment horizontal="right" vertical="center" indent="1"/>
    </xf>
    <xf numFmtId="167" fontId="17" fillId="2" borderId="1" applyAlignment="1" pivotButton="0" quotePrefix="0" xfId="0">
      <alignment horizontal="center" vertical="center"/>
    </xf>
    <xf numFmtId="0" fontId="26" fillId="2" borderId="1" applyAlignment="1" pivotButton="0" quotePrefix="0" xfId="0">
      <alignment horizontal="left" vertical="center" indent="1"/>
    </xf>
    <xf numFmtId="0" fontId="10" fillId="6" borderId="1" applyAlignment="1" pivotButton="0" quotePrefix="0" xfId="0">
      <alignment horizontal="left" vertical="center" indent="1"/>
    </xf>
    <xf numFmtId="168" fontId="27" fillId="6" borderId="1" applyAlignment="1" pivotButton="0" quotePrefix="0" xfId="0">
      <alignment horizontal="right" vertical="center" indent="1"/>
    </xf>
    <xf numFmtId="168" fontId="12" fillId="7" borderId="1" applyAlignment="1" pivotButton="0" quotePrefix="0" xfId="0">
      <alignment horizontal="right" vertical="center" indent="1"/>
    </xf>
    <xf numFmtId="0" fontId="28" fillId="3" borderId="1" applyAlignment="1" pivotButton="0" quotePrefix="0" xfId="0">
      <alignment horizontal="center" vertical="center"/>
    </xf>
    <xf numFmtId="0" fontId="12" fillId="6" borderId="1" applyAlignment="1" pivotButton="0" quotePrefix="0" xfId="0">
      <alignment horizontal="left" vertical="center" indent="1"/>
    </xf>
    <xf numFmtId="168" fontId="29" fillId="7" borderId="1" applyAlignment="1" pivotButton="0" quotePrefix="0" xfId="0">
      <alignment horizontal="right" vertical="center" indent="1"/>
    </xf>
    <xf numFmtId="168" fontId="30" fillId="7" borderId="1" applyAlignment="1" pivotButton="0" quotePrefix="0" xfId="0">
      <alignment horizontal="right" vertical="center" indent="1"/>
    </xf>
    <xf numFmtId="168" fontId="31" fillId="7" borderId="1" applyAlignment="1" pivotButton="0" quotePrefix="0" xfId="0">
      <alignment horizontal="right" vertical="center" indent="1"/>
    </xf>
    <xf numFmtId="168" fontId="32" fillId="6" borderId="1" applyAlignment="1" pivotButton="0" quotePrefix="0" xfId="0">
      <alignment horizontal="right" vertical="center" indent="1"/>
    </xf>
    <xf numFmtId="168" fontId="16" fillId="6" borderId="1" applyAlignment="1" pivotButton="0" quotePrefix="0" xfId="0">
      <alignment horizontal="right" vertical="center" indent="1"/>
    </xf>
    <xf numFmtId="0" fontId="26" fillId="3" borderId="1" applyAlignment="1" pivotButton="0" quotePrefix="0" xfId="0">
      <alignment horizontal="left" vertical="center" indent="1"/>
    </xf>
    <xf numFmtId="0" fontId="33" fillId="6" borderId="1" applyAlignment="1" pivotButton="0" quotePrefix="0" xfId="0">
      <alignment horizontal="left" vertical="center" indent="1"/>
    </xf>
    <xf numFmtId="164" fontId="10" fillId="6" borderId="1" applyAlignment="1" pivotButton="0" quotePrefix="0" xfId="0">
      <alignment horizontal="center" vertical="center"/>
    </xf>
    <xf numFmtId="168" fontId="12" fillId="6" borderId="1" applyAlignment="1" pivotButton="0" quotePrefix="0" xfId="0">
      <alignment horizontal="right" vertical="center" indent="1"/>
    </xf>
    <xf numFmtId="0" fontId="33" fillId="6" borderId="1" applyAlignment="1" pivotButton="0" quotePrefix="0" xfId="0">
      <alignment horizontal="center" vertical="center"/>
    </xf>
    <xf numFmtId="0" fontId="34" fillId="6" borderId="1" applyAlignment="1" pivotButton="0" quotePrefix="0" xfId="0">
      <alignment horizontal="center" vertical="center"/>
    </xf>
    <xf numFmtId="0" fontId="35" fillId="3" borderId="1" applyAlignment="1" pivotButton="0" quotePrefix="0" xfId="0">
      <alignment horizontal="center" vertical="center"/>
    </xf>
    <xf numFmtId="0" fontId="43" fillId="3" borderId="0" applyAlignment="1" pivotButton="0" quotePrefix="0" xfId="0">
      <alignment horizontal="center" vertical="center"/>
    </xf>
    <xf numFmtId="0" fontId="44" fillId="0" borderId="4" pivotButton="0" quotePrefix="0" xfId="0"/>
    <xf numFmtId="0" fontId="22" fillId="0" borderId="4" pivotButton="0" quotePrefix="0" xfId="0"/>
    <xf numFmtId="0" fontId="45" fillId="0" borderId="0" applyAlignment="1" pivotButton="0" quotePrefix="0" xfId="0">
      <alignment horizontal="left" vertical="center" wrapText="1"/>
    </xf>
  </cellXfs>
  <cellStyles count="1">
    <cellStyle name="Normal" xfId="0" builtinId="0" hidden="0"/>
  </cellStyles>
  <dxfs count="7">
    <dxf>
      <font>
        <b val="1"/>
        <color rgb="002F7D4F"/>
      </font>
      <fill>
        <patternFill patternType="solid">
          <fgColor rgb="00E2F0E7"/>
        </patternFill>
      </fill>
    </dxf>
    <dxf>
      <font>
        <b val="1"/>
        <color rgb="00B57A16"/>
      </font>
      <fill>
        <patternFill patternType="solid">
          <fgColor rgb="00FBF1DC"/>
        </patternFill>
      </fill>
    </dxf>
    <dxf>
      <font>
        <b val="1"/>
        <color rgb="00B0413F"/>
      </font>
      <fill>
        <patternFill patternType="solid">
          <fgColor rgb="00FBE7E6"/>
        </patternFill>
      </fill>
    </dxf>
    <dxf>
      <font>
        <b val="1"/>
        <color rgb="002F5D8C"/>
      </font>
      <fill>
        <patternFill patternType="solid">
          <fgColor rgb="00E7EEF6"/>
        </patternFill>
      </fill>
    </dxf>
    <dxf>
      <font>
        <b val="1"/>
        <color rgb="00B0413F"/>
      </font>
    </dxf>
    <dxf>
      <font>
        <b val="1"/>
        <color rgb="002F7D4F"/>
      </font>
    </dxf>
    <dxf>
      <fill>
        <patternFill patternType="solid">
          <fgColor rgb="00FBE7E6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Margem de contribuição por projeto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'Painel Geral'!N10</f>
            </strRef>
          </tx>
          <spPr>
            <a:solidFill>
              <a:srgbClr val="C2A05A"/>
            </a:solidFill>
            <a:ln>
              <a:prstDash val="solid"/>
            </a:ln>
          </spPr>
          <cat>
            <numRef>
              <f>'Painel Geral'!$C$11:$C$50</f>
            </numRef>
          </cat>
          <val>
            <numRef>
              <f>'Painel Geral'!$N$11:$N$50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txPr>
          <a:bodyPr/>
          <a:p>
            <a:pPr>
              <a:defRPr sz="800">
                <a:solidFill>
                  <a:srgbClr val="6C7785"/>
                </a:solidFill>
              </a:defRPr>
            </a:pPr>
            <a:r>
              <a:t/>
            </a:r>
            <a:endParaRPr sz="800"/>
          </a:p>
        </txPr>
        <crossAx val="100"/>
        <lblOffset val="100"/>
      </catAx>
      <valAx>
        <axId val="100"/>
        <scaling>
          <orientation val="minMax"/>
        </scaling>
        <axPos val="l"/>
        <majorGridlines/>
        <numFmt formatCode="0%" sourceLinked="0"/>
        <majorTickMark val="none"/>
        <minorTickMark val="none"/>
        <txPr>
          <a:bodyPr/>
          <a:p>
            <a:pPr>
              <a:defRPr sz="800">
                <a:solidFill>
                  <a:srgbClr val="6C7785"/>
                </a:solidFill>
              </a:defRPr>
            </a:pPr>
            <a:r>
              <a:t/>
            </a:r>
            <a:endParaRPr sz="800"/>
          </a:p>
        </txPr>
        <crossAx val="10"/>
      </valAx>
    </plotArea>
    <legend>
      <legendPos val="b"/>
      <overlay val="0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Desvio do orçamento por categoria (R$)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'Painel Geral'!H54</f>
            </strRef>
          </tx>
          <spPr>
            <a:solidFill>
              <a:srgbClr val="16314F"/>
            </a:solidFill>
            <a:ln>
              <a:prstDash val="solid"/>
            </a:ln>
          </spPr>
          <cat>
            <numRef>
              <f>'Painel Geral'!$A$55:$A$60</f>
            </numRef>
          </cat>
          <val>
            <numRef>
              <f>'Painel Geral'!$H$55:$H$60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txPr>
          <a:bodyPr/>
          <a:p>
            <a:pPr>
              <a:defRPr sz="800">
                <a:solidFill>
                  <a:srgbClr val="6C7785"/>
                </a:solidFill>
              </a:defRPr>
            </a:pPr>
            <a:r>
              <a:t/>
            </a:r>
            <a:endParaRPr sz="800"/>
          </a:p>
        </txPr>
        <crossAx val="100"/>
        <lblOffset val="100"/>
      </catAx>
      <valAx>
        <axId val="100"/>
        <scaling>
          <orientation val="minMax"/>
        </scaling>
        <axPos val="l"/>
        <majorGridlines/>
        <numFmt formatCode="R$ #,##0" sourceLinked="0"/>
        <majorTickMark val="none"/>
        <minorTickMark val="none"/>
        <txPr>
          <a:bodyPr/>
          <a:p>
            <a:pPr>
              <a:defRPr sz="800">
                <a:solidFill>
                  <a:srgbClr val="6C7785"/>
                </a:solidFill>
              </a:defRPr>
            </a:pPr>
            <a:r>
              <a:t/>
            </a:r>
            <a:endParaRPr sz="800"/>
          </a:p>
        </txPr>
        <crossAx val="10"/>
      </valAx>
    </plotArea>
    <legend>
      <legendPos val="b"/>
      <overlay val="0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19</col>
      <colOff>0</colOff>
      <row>32</row>
      <rowOff>0</rowOff>
    </from>
    <ext cx="61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19</col>
      <colOff>0</colOff>
      <row>52</row>
      <rowOff>0</rowOff>
    </from>
    <ext cx="6120000" cy="28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7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34" customWidth="1" min="2" max="2"/>
    <col width="30" customWidth="1" min="3" max="3"/>
    <col width="30" customWidth="1" min="4" max="4"/>
    <col width="30" customWidth="1" min="5" max="5"/>
    <col width="12" customWidth="1" min="6" max="6"/>
  </cols>
  <sheetData>
    <row r="1" ht="26" customHeight="1">
      <c r="A1" s="1" t="inlineStr">
        <is>
          <t>VALVIC MARCENARIA</t>
        </is>
      </c>
      <c r="B1" s="2" t="n"/>
      <c r="C1" s="2" t="n"/>
      <c r="D1" s="2" t="n"/>
      <c r="E1" s="2" t="n"/>
      <c r="F1" s="2" t="n"/>
    </row>
    <row r="2" ht="15" customHeight="1">
      <c r="A2" s="3" t="inlineStr">
        <is>
          <t>Vargas Decor Ltda   ·   CNPJ 17.269.304/0001-51   ·   Belo Horizonte / MG</t>
        </is>
      </c>
      <c r="B2" s="2" t="n"/>
      <c r="C2" s="2" t="n"/>
      <c r="D2" s="2" t="n"/>
      <c r="E2" s="2" t="n"/>
      <c r="F2" s="2" t="n"/>
    </row>
    <row r="3" ht="28" customHeight="1">
      <c r="A3" s="4" t="inlineStr">
        <is>
          <t>COMO USAR ESTA PLANILHA</t>
        </is>
      </c>
      <c r="B3" s="5" t="n"/>
      <c r="C3" s="5" t="n"/>
      <c r="D3" s="5" t="n"/>
      <c r="E3" s="5" t="n"/>
      <c r="F3" s="5" t="n"/>
    </row>
    <row r="4" ht="17" customHeight="1">
      <c r="A4" s="6" t="inlineStr">
        <is>
          <t>Custo direto por projeto · orçado × realizado · eficiência do orçamento</t>
        </is>
      </c>
      <c r="B4" s="7" t="n"/>
      <c r="C4" s="7" t="n"/>
      <c r="D4" s="7" t="n"/>
      <c r="E4" s="7" t="n"/>
      <c r="F4" s="7" t="n"/>
    </row>
    <row r="6" ht="20" customHeight="1">
      <c r="A6" s="8" t="inlineStr">
        <is>
          <t xml:space="preserve">  PARA QUE SERVE</t>
        </is>
      </c>
      <c r="B6" s="9" t="n"/>
      <c r="C6" s="9" t="n"/>
      <c r="D6" s="9" t="n"/>
      <c r="E6" s="9" t="n"/>
      <c r="F6" s="9" t="n"/>
    </row>
    <row r="7" ht="4" customHeight="1"/>
    <row r="8" ht="30" customHeight="1">
      <c r="A8" s="10" t="inlineStr">
        <is>
          <t xml:space="preserve">   Medir se o seu orçamento acerta. Cada linha de custo tem ORÇADO e REALIZADO lado a lado, e o desvio entre os dois é a resposta.</t>
        </is>
      </c>
    </row>
    <row r="9" ht="30" customHeight="1">
      <c r="A9" s="10" t="inlineStr">
        <is>
          <t xml:space="preserve">   Sem a coluna ORÇADO isto seria só um controle de gasto. Com ela, vira uma régua: você descobre que sempre erra ferragem para menos, ou que a logística custa o dobro do que imagina.</t>
        </is>
      </c>
    </row>
    <row r="10" ht="8" customHeight="1"/>
    <row r="11" ht="20" customHeight="1">
      <c r="A11" s="8" t="inlineStr">
        <is>
          <t xml:space="preserve">  O PASSO A PASSO</t>
        </is>
      </c>
      <c r="B11" s="9" t="n"/>
      <c r="C11" s="9" t="n"/>
      <c r="D11" s="9" t="n"/>
      <c r="E11" s="9" t="n"/>
      <c r="F11" s="9" t="n"/>
    </row>
    <row r="12" ht="4" customHeight="1"/>
    <row r="13" ht="30" customHeight="1">
      <c r="A13" s="10" t="inlineStr">
        <is>
          <t xml:space="preserve">   1 · Botão direito na aba "Ficha Modelo" → Mover ou copiar → marcar "Criar uma cópia". Renomeie (ex.: P-2026-042 Maria).</t>
        </is>
      </c>
    </row>
    <row r="14" ht="24" customHeight="1">
      <c r="A14" s="10" t="inlineStr">
        <is>
          <t xml:space="preserve">   2 · Preencha a identificação: cliente, nº, projeto, data de entrada, entrega prevista, vendedor e coordenador.</t>
        </is>
      </c>
    </row>
    <row r="15" ht="30" customHeight="1">
      <c r="A15" s="10" t="inlineStr">
        <is>
          <t xml:space="preserve">   3 · Lance o valor de venda ORÇADO (proposta) e REALIZADO (fechado). A diferença entre os dois já é informação: é o desconto que você deu.</t>
        </is>
      </c>
    </row>
    <row r="16" ht="30" customHeight="1">
      <c r="A16" s="10" t="inlineStr">
        <is>
          <t xml:space="preserve">   4 · Preencha as premissas de custo de venda (% de imposto, máquina, comissão e RT). Elas se aplicam sozinhas aos dois cenários.</t>
        </is>
      </c>
    </row>
    <row r="17" ht="30" customHeight="1">
      <c r="A17" s="10" t="inlineStr">
        <is>
          <t xml:space="preserve">   5 · Liste os ambientes com o valor de cada um e, para cada ambiente, quem produziu e quem montou, com o % de comissão.</t>
        </is>
      </c>
    </row>
    <row r="18" ht="24" customHeight="1">
      <c r="A18" s="10" t="inlineStr">
        <is>
          <t xml:space="preserve">   6 · No bloco 6, digite o ORÇADO de cada categoria de compra. O realizado virá sozinho do livro.</t>
        </is>
      </c>
    </row>
    <row r="19" ht="18" customHeight="1">
      <c r="A19" s="10" t="inlineStr">
        <is>
          <t xml:space="preserve">   7 · Conforme for comprando, lance no livro (bloco 8). Uma linha por compra.</t>
        </is>
      </c>
    </row>
    <row r="20" ht="24" customHeight="1">
      <c r="A20" s="10" t="inlineStr">
        <is>
          <t xml:space="preserve">   8 · Vá ao Painel Geral e escreva o nome da aba nova numa linha livre da coluna ABA.</t>
        </is>
      </c>
    </row>
    <row r="21" ht="8" customHeight="1"/>
    <row r="22" ht="20" customHeight="1">
      <c r="A22" s="8" t="inlineStr">
        <is>
          <t xml:space="preserve">  O LIVRO DE COMPRAS — A PARTE QUE DÁ O DINAMISMO</t>
        </is>
      </c>
      <c r="B22" s="9" t="n"/>
      <c r="C22" s="9" t="n"/>
      <c r="D22" s="9" t="n"/>
      <c r="E22" s="9" t="n"/>
      <c r="F22" s="9" t="n"/>
    </row>
    <row r="23" ht="4" customHeight="1"/>
    <row r="24" ht="30" customHeight="1">
      <c r="A24" s="10" t="inlineStr">
        <is>
          <t xml:space="preserve">   Hoje você compra chapa, amanhã compra outra, semana que vem compra ferragem. Cada compra é UMA LINHA no bloco 8, com: descrição/fornecedor, categoria, data, valor, forma de pagamento e status.</t>
        </is>
      </c>
    </row>
    <row r="25" ht="30" customHeight="1">
      <c r="A25" s="10" t="inlineStr">
        <is>
          <t xml:space="preserve">   O bloco 6 (Material, terceirizados e logística) NÃO se digita: ele soma o livro por categoria, sozinho. Você só digita o orçado de cada categoria.</t>
        </is>
      </c>
    </row>
    <row r="26" ht="30" customHeight="1">
      <c r="A26" s="10" t="inlineStr">
        <is>
          <t xml:space="preserve">   O STATUS é o que separa o que já é custo do que ainda não é: "A comprar" NÃO entra no custo realizado — vai para a coluna "Ainda a comprar". "Comprado (a pagar)" e "Pago" entram no custo.</t>
        </is>
      </c>
    </row>
    <row r="27" ht="30" customHeight="1">
      <c r="A27" s="10" t="inlineStr">
        <is>
          <t xml:space="preserve">   Isso responde três perguntas de uma vez: quanto já custou, quanto ainda vou gastar e quanto devo aos fornecedores. A faixa dourada logo abaixo da margem mostra o custo projetado e a MC projetada.</t>
        </is>
      </c>
    </row>
    <row r="28" ht="30" customHeight="1">
      <c r="A28" s="10" t="inlineStr">
        <is>
          <t xml:space="preserve">   Você pode inserir quantas linhas quiser no livro. Ele fica no fim da ficha exatamente por isso: nada que o Painel Geral lê está abaixo dele.</t>
        </is>
      </c>
    </row>
    <row r="29" ht="30" customHeight="1">
      <c r="A29" s="10" t="inlineStr">
        <is>
          <t xml:space="preserve">   Categoria, Forma de pagamento e Status são MENUS SUSPENSOS: clique na célula e escolha. Digitar por fora é permitido, mas a planilha avisa — e o que não estiver escrito igual à lista não entra na soma da categoria.</t>
        </is>
      </c>
    </row>
    <row r="30" ht="30" customHeight="1">
      <c r="A30" s="10" t="inlineStr">
        <is>
          <t xml:space="preserve">   Lançamento com valor e sem categoria fica destacado em vermelho, e o total do livro avisa quantos estão sem classificar.</t>
        </is>
      </c>
    </row>
    <row r="31" ht="8" customHeight="1"/>
    <row r="32" ht="20" customHeight="1">
      <c r="A32" s="8" t="inlineStr">
        <is>
          <t xml:space="preserve">  A CASCATA DE CÁLCULO — A ORDEM IMPORTA</t>
        </is>
      </c>
      <c r="B32" s="9" t="n"/>
      <c r="C32" s="9" t="n"/>
      <c r="D32" s="9" t="n"/>
      <c r="E32" s="9" t="n"/>
      <c r="F32" s="9" t="n"/>
    </row>
    <row r="33" ht="4" customHeight="1"/>
    <row r="34" ht="24" customHeight="1">
      <c r="A34" s="10" t="inlineStr">
        <is>
          <t xml:space="preserve">   Valor de venda  −  custos de venda (impostos, máquina, taxas, comissão de venda, projeto, RT)  =  RECEITA LÍQUIDA</t>
        </is>
      </c>
    </row>
    <row r="35" ht="30" customHeight="1">
      <c r="A35" s="10" t="inlineStr">
        <is>
          <t xml:space="preserve">   A receita líquida é a base das comissões de coordenação, produção e montagem. Não é o valor de venda. O marceneiro não deve ser comissionado sobre o imposto nem sobre o RT do arquiteto.</t>
        </is>
      </c>
    </row>
    <row r="36" ht="24" customHeight="1">
      <c r="A36" s="10" t="inlineStr">
        <is>
          <t xml:space="preserve">   O RT tem base própria: incide sobre a venda menos impostos, máquina e taxas de transação — como você pediu.</t>
        </is>
      </c>
    </row>
    <row r="37" ht="30" customHeight="1">
      <c r="A37" s="10" t="inlineStr">
        <is>
          <t xml:space="preserve">   Depois da receita líquida saem, na ordem: comissões, material, terceirizados, logística e retrabalho. O que sobra é a MARGEM DE CONTRIBUIÇÃO.</t>
        </is>
      </c>
    </row>
    <row r="38" ht="8" customHeight="1"/>
    <row r="39" ht="20" customHeight="1">
      <c r="A39" s="8" t="inlineStr">
        <is>
          <t xml:space="preserve">  COMO FUNCIONAM AS COMISSÕES POR AMBIENTE</t>
        </is>
      </c>
      <c r="B39" s="9" t="n"/>
      <c r="C39" s="9" t="n"/>
      <c r="D39" s="9" t="n"/>
      <c r="E39" s="9" t="n"/>
      <c r="F39" s="9" t="n"/>
    </row>
    <row r="40" ht="4" customHeight="1"/>
    <row r="41" ht="30" customHeight="1">
      <c r="A41" s="10" t="inlineStr">
        <is>
          <t xml:space="preserve">   Cada ambiente tem um valor em reais. A planilha calcula o peso dele no projeto e aplica esse peso sobre a receita líquida — essa é a base do ambiente.</t>
        </is>
      </c>
    </row>
    <row r="42" ht="30" customHeight="1">
      <c r="A42" s="10" t="inlineStr">
        <is>
          <t xml:space="preserve">   Sobre a base do ambiente incidem dois percentuais: o de quem produziu e o de quem montou. Pessoas diferentes em ambientes diferentes, cada uma com seu percentual.</t>
        </is>
      </c>
    </row>
    <row r="43" ht="30" customHeight="1">
      <c r="A43" s="10" t="inlineStr">
        <is>
          <t xml:space="preserve">   Exemplo: projeto de R$ 90.000 com cozinha R$ 30.000 (33,3%). Se a receita líquida for R$ 76.000, a base da cozinha é R$ 25.333. A 3% de produção, o Jackson recebe R$ 760 por aquele ambiente.</t>
        </is>
      </c>
    </row>
    <row r="44" ht="30" customHeight="1">
      <c r="A44" s="10" t="inlineStr">
        <is>
          <t xml:space="preserve">   A tabela "Comissões por colaborador" soma tudo sozinha. Ela lista só marceneiros, ajudantes e o coordenador — quem não recebe comissão não aparece.</t>
        </is>
      </c>
    </row>
    <row r="45" ht="24" customHeight="1">
      <c r="A45" s="10" t="inlineStr">
        <is>
          <t xml:space="preserve">   A soma dos ambientes precisa fechar com o valor de venda. A linha de total avisa quando não fecha.</t>
        </is>
      </c>
    </row>
    <row r="46" ht="8" customHeight="1"/>
    <row r="47" ht="20" customHeight="1">
      <c r="A47" s="8" t="inlineStr">
        <is>
          <t xml:space="preserve">  RETRABALHO — A PARTE QUE MAIS ENSINA</t>
        </is>
      </c>
      <c r="B47" s="9" t="n"/>
      <c r="C47" s="9" t="n"/>
      <c r="D47" s="9" t="n"/>
      <c r="E47" s="9" t="n"/>
      <c r="F47" s="9" t="n"/>
    </row>
    <row r="48" ht="4" customHeight="1"/>
    <row r="49" ht="30" customHeight="1">
      <c r="A49" s="10" t="inlineStr">
        <is>
          <t xml:space="preserve">   Registre o que aconteceu, a causa (menu suspenso) e o custo estimado. Não precisa ser exato: o valor aproximado já serve.</t>
        </is>
      </c>
    </row>
    <row r="50" ht="30" customHeight="1">
      <c r="A50" s="10" t="inlineStr">
        <is>
          <t xml:space="preserve">   No orçamento você lança a CONTINGÊNCIA prevista. O desvio entre ela e o retrabalho real diz se a sua provisão está no tamanho certo.</t>
        </is>
      </c>
    </row>
    <row r="51" ht="30" customHeight="1">
      <c r="A51" s="10" t="inlineStr">
        <is>
          <t xml:space="preserve">   Com o tempo, a coluna Causa vira o dado mais valioso da planilha: se metade dos retrabalhos é "erro de medição", o problema não é preço, é processo.</t>
        </is>
      </c>
    </row>
    <row r="52" ht="8" customHeight="1"/>
    <row r="53" ht="20" customHeight="1">
      <c r="A53" s="8" t="inlineStr">
        <is>
          <t xml:space="preserve">  O PAINEL GERAL</t>
        </is>
      </c>
      <c r="B53" s="9" t="n"/>
      <c r="C53" s="9" t="n"/>
      <c r="D53" s="9" t="n"/>
      <c r="E53" s="9" t="n"/>
      <c r="F53" s="9" t="n"/>
    </row>
    <row r="54" ht="4" customHeight="1"/>
    <row r="55" ht="30" customHeight="1">
      <c r="A55" s="10" t="inlineStr">
        <is>
          <t xml:space="preserve">   Sete indicadores no topo: projetos, vendido, custo total, ainda a comprar, margem em reais, margem média e percentual de entrega no prazo.</t>
        </is>
      </c>
    </row>
    <row r="56" ht="24" customHeight="1">
      <c r="A56" s="10" t="inlineStr">
        <is>
          <t xml:space="preserve">   A tabela de projetos puxa cada ficha pelo nome da aba. Nome errado deixa a linha em branco — não quebra.</t>
        </is>
      </c>
    </row>
    <row r="57" ht="30" customHeight="1">
      <c r="A57" s="10" t="inlineStr">
        <is>
          <t xml:space="preserve">   O bloco "Onde o orçamento erra" soma todos os projetos por categoria e mostra em qual delas você mais estoura. É o retorno direto para ajustar a base de orçamento.</t>
        </is>
      </c>
    </row>
    <row r="58" ht="18" customHeight="1">
      <c r="A58" s="10" t="inlineStr">
        <is>
          <t xml:space="preserve">   Dois gráficos: margem por projeto e desvio do orçamento por categoria.</t>
        </is>
      </c>
    </row>
    <row r="59" ht="8" customHeight="1"/>
    <row r="60" ht="20" customHeight="1">
      <c r="A60" s="8" t="inlineStr">
        <is>
          <t xml:space="preserve">  CUIDADOS</t>
        </is>
      </c>
      <c r="B60" s="9" t="n"/>
      <c r="C60" s="9" t="n"/>
      <c r="D60" s="9" t="n"/>
      <c r="E60" s="9" t="n"/>
      <c r="F60" s="9" t="n"/>
    </row>
    <row r="61" ht="4" customHeight="1"/>
    <row r="62" ht="30" customHeight="1">
      <c r="A62" s="10" t="inlineStr">
        <is>
          <t xml:space="preserve">   A regra de ouro: pode inserir e apagar linhas em qualquer bloco A PARTIR DA LINHA 26. Tudo o que o Painel Geral lê está entre as linhas 6 e 24.</t>
        </is>
      </c>
    </row>
    <row r="63" ht="24" customHeight="1">
      <c r="A63" s="10" t="inlineStr">
        <is>
          <t xml:space="preserve">   Não mexa nas linhas 1 a 25 da ficha. Se elas mudarem de lugar, o Painel passa a ler a célula errada.</t>
        </is>
      </c>
    </row>
    <row r="64" ht="30" customHeight="1">
      <c r="A64" s="10" t="inlineStr">
        <is>
          <t xml:space="preserve">   A margem calculada aqui é de CONTRIBUIÇÃO: ela ainda não paga o custo fixo da empresa. Um projeto com 30% de MC não deu 30% de lucro.</t>
        </is>
      </c>
    </row>
    <row r="65" ht="30" customHeight="1">
      <c r="A65" s="10" t="inlineStr">
        <is>
          <t xml:space="preserve">   O custo de retrabalho é estimado por você. Não sai de nota fiscal — é a sua leitura do prejuízo, e vale mais registrada por alto do que não registrada.</t>
        </is>
      </c>
    </row>
    <row r="66" ht="8" customHeight="1"/>
    <row r="67" ht="26" customHeight="1">
      <c r="A67" s="11" t="inlineStr">
        <is>
          <t xml:space="preserve">   Abas:   Instruções  ·  Painel Geral  ·  Ficha Modelo (duplique esta)  ·  Exemplo P-2026-041 (preenchido)  ·  Listas</t>
        </is>
      </c>
      <c r="B67" s="7" t="n"/>
      <c r="C67" s="7" t="n"/>
      <c r="D67" s="7" t="n"/>
      <c r="E67" s="7" t="n"/>
      <c r="F67" s="7" t="n"/>
    </row>
  </sheetData>
  <mergeCells count="50">
    <mergeCell ref="A41:F41"/>
    <mergeCell ref="A16:F16"/>
    <mergeCell ref="A37:F37"/>
    <mergeCell ref="A27:F27"/>
    <mergeCell ref="A18:F18"/>
    <mergeCell ref="A50:F50"/>
    <mergeCell ref="A56:F56"/>
    <mergeCell ref="A3:F3"/>
    <mergeCell ref="A26:F26"/>
    <mergeCell ref="A55:F55"/>
    <mergeCell ref="A57:F57"/>
    <mergeCell ref="A2:F2"/>
    <mergeCell ref="A47:F47"/>
    <mergeCell ref="A42:F42"/>
    <mergeCell ref="A14:F14"/>
    <mergeCell ref="A32:F32"/>
    <mergeCell ref="A8:F8"/>
    <mergeCell ref="A22:F22"/>
    <mergeCell ref="A17:F17"/>
    <mergeCell ref="A35:F35"/>
    <mergeCell ref="A4:F4"/>
    <mergeCell ref="A62:F62"/>
    <mergeCell ref="A20:F20"/>
    <mergeCell ref="A53:F53"/>
    <mergeCell ref="A29:F29"/>
    <mergeCell ref="A43:F43"/>
    <mergeCell ref="A63:F63"/>
    <mergeCell ref="A65:F65"/>
    <mergeCell ref="A28:F28"/>
    <mergeCell ref="A13:F13"/>
    <mergeCell ref="A19:F19"/>
    <mergeCell ref="A44:F44"/>
    <mergeCell ref="A9:F9"/>
    <mergeCell ref="A67:F67"/>
    <mergeCell ref="A58:F58"/>
    <mergeCell ref="A34:F34"/>
    <mergeCell ref="A30:F30"/>
    <mergeCell ref="A39:F39"/>
    <mergeCell ref="A15:F15"/>
    <mergeCell ref="A64:F64"/>
    <mergeCell ref="A24:F24"/>
    <mergeCell ref="A11:F11"/>
    <mergeCell ref="A49:F49"/>
    <mergeCell ref="A51:F51"/>
    <mergeCell ref="A60:F60"/>
    <mergeCell ref="A36:F36"/>
    <mergeCell ref="A1:F1"/>
    <mergeCell ref="A45:F45"/>
    <mergeCell ref="A6:F6"/>
    <mergeCell ref="A25:F25"/>
  </mergeCells>
  <pageMargins left="0.4" right="0.3" top="0.4" bottom="0.3" header="0.5" footer="0.5"/>
  <pageSetup orientation="portrait" paperSize="9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S68"/>
  <sheetViews>
    <sheetView showGridLines="0" workbookViewId="0">
      <pane xSplit="2" ySplit="10" topLeftCell="C11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22" customWidth="1" min="2" max="2"/>
    <col width="20" customWidth="1" min="3" max="3"/>
    <col width="26" customWidth="1" min="4" max="4"/>
    <col width="11" customWidth="1" min="5" max="5"/>
    <col width="11" customWidth="1" min="6" max="6"/>
    <col width="11" customWidth="1" min="7" max="7"/>
    <col width="9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9" customWidth="1" min="14" max="14"/>
    <col width="9" customWidth="1" min="15" max="15"/>
    <col width="9" customWidth="1" min="16" max="16"/>
    <col width="14" customWidth="1" min="17" max="17"/>
    <col width="24" customWidth="1" min="18" max="18"/>
    <col hidden="1" width="13" customWidth="1" min="34" max="34"/>
    <col hidden="1" width="13" customWidth="1" min="35" max="35"/>
    <col hidden="1" width="13" customWidth="1" min="36" max="36"/>
    <col hidden="1" width="13" customWidth="1" min="37" max="37"/>
    <col hidden="1" width="13" customWidth="1" min="38" max="38"/>
    <col hidden="1" width="13" customWidth="1" min="39" max="39"/>
    <col hidden="1" width="13" customWidth="1" min="40" max="40"/>
    <col hidden="1" width="13" customWidth="1" min="41" max="41"/>
    <col hidden="1" width="13" customWidth="1" min="42" max="42"/>
    <col hidden="1" width="13" customWidth="1" min="43" max="43"/>
    <col hidden="1" width="13" customWidth="1" min="44" max="44"/>
    <col hidden="1" width="13" customWidth="1" min="45" max="45"/>
  </cols>
  <sheetData>
    <row r="1" ht="26" customHeight="1">
      <c r="A1" s="1" t="inlineStr">
        <is>
          <t>VALVIC MARCENARIA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</row>
    <row r="2" ht="15" customHeight="1">
      <c r="A2" s="3" t="inlineStr">
        <is>
          <t>Vargas Decor Ltda   ·   CNPJ 17.269.304/0001-51   ·   Belo Horizonte / MG</t>
        </is>
      </c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  <c r="P2" s="2" t="n"/>
      <c r="Q2" s="2" t="n"/>
      <c r="R2" s="2" t="n"/>
    </row>
    <row r="3" ht="28" customHeight="1">
      <c r="A3" s="4" t="inlineStr">
        <is>
          <t>PAINEL GERAL DE CUSTO POR PROJETO</t>
        </is>
      </c>
      <c r="B3" s="5" t="n"/>
      <c r="C3" s="5" t="n"/>
      <c r="D3" s="5" t="n"/>
      <c r="E3" s="5" t="n"/>
      <c r="F3" s="5" t="n"/>
      <c r="G3" s="5" t="n"/>
      <c r="H3" s="5" t="n"/>
      <c r="I3" s="5" t="n"/>
      <c r="J3" s="5" t="n"/>
      <c r="K3" s="5" t="n"/>
      <c r="L3" s="5" t="n"/>
      <c r="M3" s="5" t="n"/>
      <c r="N3" s="5" t="n"/>
      <c r="O3" s="5" t="n"/>
      <c r="P3" s="5" t="n"/>
      <c r="Q3" s="5" t="n"/>
      <c r="R3" s="5" t="n"/>
    </row>
    <row r="4" ht="17" customHeight="1">
      <c r="A4" s="6" t="inlineStr">
        <is>
          <t>Cada linha puxa uma ficha · digite o nome exato da aba na coluna ABA e o resto aparece sozinho</t>
        </is>
      </c>
      <c r="B4" s="7" t="n"/>
      <c r="C4" s="7" t="n"/>
      <c r="D4" s="7" t="n"/>
      <c r="E4" s="7" t="n"/>
      <c r="F4" s="7" t="n"/>
      <c r="G4" s="7" t="n"/>
      <c r="H4" s="7" t="n"/>
      <c r="I4" s="7" t="n"/>
      <c r="J4" s="7" t="n"/>
      <c r="K4" s="7" t="n"/>
      <c r="L4" s="7" t="n"/>
      <c r="M4" s="7" t="n"/>
      <c r="N4" s="7" t="n"/>
      <c r="O4" s="7" t="n"/>
      <c r="P4" s="7" t="n"/>
      <c r="Q4" s="7" t="n"/>
      <c r="R4" s="7" t="n"/>
    </row>
    <row r="5" ht="6" customHeight="1"/>
    <row r="6" ht="14" customHeight="1">
      <c r="A6" s="12" t="inlineStr">
        <is>
          <t>PROJETOS</t>
        </is>
      </c>
      <c r="B6" s="13" t="n"/>
      <c r="C6" s="13" t="n"/>
      <c r="D6" s="12" t="inlineStr">
        <is>
          <t>VENDIDO</t>
        </is>
      </c>
      <c r="E6" s="13" t="n"/>
      <c r="F6" s="13" t="n"/>
      <c r="G6" s="12" t="inlineStr">
        <is>
          <t>CUSTO TOTAL</t>
        </is>
      </c>
      <c r="H6" s="13" t="n"/>
      <c r="I6" s="13" t="n"/>
      <c r="J6" s="12" t="inlineStr">
        <is>
          <t>AINDA A COMPRAR</t>
        </is>
      </c>
      <c r="K6" s="13" t="n"/>
      <c r="L6" s="13" t="n"/>
      <c r="M6" s="12" t="inlineStr">
        <is>
          <t>MARGEM DE CONTRIB.</t>
        </is>
      </c>
      <c r="N6" s="13" t="n"/>
      <c r="O6" s="12" t="inlineStr">
        <is>
          <t>MC MÉDIA</t>
        </is>
      </c>
      <c r="P6" s="13" t="n"/>
      <c r="Q6" s="12" t="inlineStr">
        <is>
          <t>ENTREGA NO PRAZO</t>
        </is>
      </c>
      <c r="R6" s="13" t="n"/>
    </row>
    <row r="7" ht="32" customHeight="1">
      <c r="A7" s="14">
        <f>COUNTA($B$11:$B$50)</f>
        <v/>
      </c>
      <c r="B7" s="15" t="n"/>
      <c r="C7" s="15" t="n"/>
      <c r="D7" s="16">
        <f>ROUND(SUM($J$11:$J$50),2)</f>
        <v/>
      </c>
      <c r="E7" s="15" t="n"/>
      <c r="F7" s="15" t="n"/>
      <c r="G7" s="16">
        <f>ROUND(SUM($K$11:$K$50),2)</f>
        <v/>
      </c>
      <c r="H7" s="15" t="n"/>
      <c r="I7" s="15" t="n"/>
      <c r="J7" s="16">
        <f>ROUND(SUM($L$11:$L$50),2)</f>
        <v/>
      </c>
      <c r="K7" s="15" t="n"/>
      <c r="L7" s="15" t="n"/>
      <c r="M7" s="16">
        <f>ROUND(SUM($M$11:$M$50),2)</f>
        <v/>
      </c>
      <c r="N7" s="15" t="n"/>
      <c r="O7" s="17">
        <f>IF(SUM($J$11:$J$50)=0,"",SUM($M$11:$M$50)/SUM($J$11:$J$50))</f>
        <v/>
      </c>
      <c r="P7" s="15" t="n"/>
      <c r="Q7" s="18">
        <f>IF(COUNTIF($I$11:$I$50,"No prazo")+COUNTIF($I$11:$I$50,"Atrasado")=0,"",COUNTIF($I$11:$I$50,"No prazo")/(COUNTIF($I$11:$I$50,"No prazo")+COUNTIF($I$11:$I$50,"Atrasado")))</f>
        <v/>
      </c>
      <c r="R7" s="15" t="n"/>
    </row>
    <row r="8" ht="8" customHeight="1"/>
    <row r="9" ht="20" customHeight="1">
      <c r="A9" s="8" t="inlineStr">
        <is>
          <t xml:space="preserve">  PROJETOS          digite na coluna ABA o nome exato da lâmina de cada projeto</t>
        </is>
      </c>
      <c r="B9" s="9" t="n"/>
      <c r="C9" s="9" t="n"/>
      <c r="D9" s="9" t="n"/>
      <c r="E9" s="9" t="n"/>
      <c r="F9" s="9" t="n"/>
      <c r="G9" s="9" t="n"/>
      <c r="H9" s="9" t="n"/>
      <c r="I9" s="9" t="n"/>
      <c r="J9" s="9" t="n"/>
      <c r="K9" s="9" t="n"/>
      <c r="L9" s="9" t="n"/>
      <c r="M9" s="9" t="n"/>
      <c r="N9" s="9" t="n"/>
      <c r="O9" s="9" t="n"/>
      <c r="P9" s="9" t="n"/>
      <c r="Q9" s="9" t="n"/>
      <c r="R9" s="9" t="n"/>
    </row>
    <row r="10" ht="30" customHeight="1">
      <c r="A10" s="19" t="inlineStr">
        <is>
          <t>#</t>
        </is>
      </c>
      <c r="B10" s="19" t="inlineStr">
        <is>
          <t>Aba do projeto</t>
        </is>
      </c>
      <c r="C10" s="19" t="inlineStr">
        <is>
          <t>Cliente</t>
        </is>
      </c>
      <c r="D10" s="19" t="inlineStr">
        <is>
          <t>Projeto</t>
        </is>
      </c>
      <c r="E10" s="19" t="inlineStr">
        <is>
          <t>Entrada</t>
        </is>
      </c>
      <c r="F10" s="19" t="inlineStr">
        <is>
          <t>Prevista</t>
        </is>
      </c>
      <c r="G10" s="19" t="inlineStr">
        <is>
          <t>Entregue</t>
        </is>
      </c>
      <c r="H10" s="19" t="inlineStr">
        <is>
          <t>Dias</t>
        </is>
      </c>
      <c r="I10" s="19" t="inlineStr">
        <is>
          <t>Entrega</t>
        </is>
      </c>
      <c r="J10" s="19" t="inlineStr">
        <is>
          <t>Venda</t>
        </is>
      </c>
      <c r="K10" s="19" t="inlineStr">
        <is>
          <t>Custo total</t>
        </is>
      </c>
      <c r="L10" s="19" t="inlineStr">
        <is>
          <t>A comprar</t>
        </is>
      </c>
      <c r="M10" s="19" t="inlineStr">
        <is>
          <t>MC (R$)</t>
        </is>
      </c>
      <c r="N10" s="19" t="inlineStr">
        <is>
          <t>MC %</t>
        </is>
      </c>
      <c r="O10" s="19" t="inlineStr">
        <is>
          <t>MC % orç.</t>
        </is>
      </c>
      <c r="P10" s="19" t="inlineStr">
        <is>
          <t>Δ p.p.</t>
        </is>
      </c>
      <c r="Q10" s="19" t="inlineStr">
        <is>
          <t>Desvio de custo</t>
        </is>
      </c>
      <c r="R10" s="19" t="inlineStr">
        <is>
          <t>Diagnóstico</t>
        </is>
      </c>
    </row>
    <row r="11" ht="17" customHeight="1">
      <c r="A11" s="20" t="n">
        <v>1</v>
      </c>
      <c r="B11" s="21" t="inlineStr">
        <is>
          <t>Exemplo P-2026-041</t>
        </is>
      </c>
      <c r="C11" s="22">
        <f>IFERROR(INDIRECT("'"&amp;$B11&amp;"'!A7"),"")</f>
        <v/>
      </c>
      <c r="D11" s="22">
        <f>IFERROR(INDIRECT("'"&amp;$B11&amp;"'!A9"),"")</f>
        <v/>
      </c>
      <c r="E11" s="23">
        <f>IFERROR(INDIRECT("'"&amp;$B11&amp;"'!F7"),"")</f>
        <v/>
      </c>
      <c r="F11" s="23">
        <f>IFERROR(INDIRECT("'"&amp;$B11&amp;"'!H7"),"")</f>
        <v/>
      </c>
      <c r="G11" s="23">
        <f>IFERROR(INDIRECT("'"&amp;$B11&amp;"'!J7"),"")</f>
        <v/>
      </c>
      <c r="H11" s="24">
        <f>IFERROR(INDIRECT("'"&amp;$B11&amp;"'!H9"),"")</f>
        <v/>
      </c>
      <c r="I11" s="25">
        <f>IFERROR(INDIRECT("'"&amp;$B11&amp;"'!J9"),"")</f>
        <v/>
      </c>
      <c r="J11" s="26">
        <f>IFERROR(INDIRECT("'"&amp;$B11&amp;"'!A13"),"")</f>
        <v/>
      </c>
      <c r="K11" s="26">
        <f>IFERROR(INDIRECT("'"&amp;$B11&amp;"'!C13"),"")</f>
        <v/>
      </c>
      <c r="L11" s="26">
        <f>IFERROR(INDIRECT("'"&amp;$B11&amp;"'!I24"),"")</f>
        <v/>
      </c>
      <c r="M11" s="26">
        <f>IFERROR(INDIRECT("'"&amp;$B11&amp;"'!E13"),"")</f>
        <v/>
      </c>
      <c r="N11" s="27">
        <f>IFERROR(INDIRECT("'"&amp;$B11&amp;"'!G13"),"")</f>
        <v/>
      </c>
      <c r="O11" s="27">
        <f>IFERROR(INDIRECT("'"&amp;$B11&amp;"'!H13"),"")</f>
        <v/>
      </c>
      <c r="P11" s="28">
        <f>IF(OR($N11="",$O11=""),"",ROUND(($N11-$O11)*100,1))</f>
        <v/>
      </c>
      <c r="Q11" s="26">
        <f>IFERROR(INDIRECT("'"&amp;$B11&amp;"'!I13"),"")</f>
        <v/>
      </c>
      <c r="R11" s="29">
        <f>IF($N11="","",IF($N11&gt;=0.35,"Margem boa",IF($N11&gt;=0.25,"Margem apertada","Margem crítica")))</f>
        <v/>
      </c>
      <c r="AH11" s="30">
        <f>IFERROR(INDIRECT("'"&amp;$B11&amp;"'!C16"),"")</f>
        <v/>
      </c>
      <c r="AI11" s="30">
        <f>IFERROR(INDIRECT("'"&amp;$B11&amp;"'!D16"),"")</f>
        <v/>
      </c>
      <c r="AJ11" s="30">
        <f>IFERROR(INDIRECT("'"&amp;$B11&amp;"'!C17"),"")</f>
        <v/>
      </c>
      <c r="AK11" s="30">
        <f>IFERROR(INDIRECT("'"&amp;$B11&amp;"'!D17"),"")</f>
        <v/>
      </c>
      <c r="AL11" s="30">
        <f>IFERROR(INDIRECT("'"&amp;$B11&amp;"'!C18"),"")</f>
        <v/>
      </c>
      <c r="AM11" s="30">
        <f>IFERROR(INDIRECT("'"&amp;$B11&amp;"'!D18"),"")</f>
        <v/>
      </c>
      <c r="AN11" s="30">
        <f>IFERROR(INDIRECT("'"&amp;$B11&amp;"'!C19"),"")</f>
        <v/>
      </c>
      <c r="AO11" s="30">
        <f>IFERROR(INDIRECT("'"&amp;$B11&amp;"'!D19"),"")</f>
        <v/>
      </c>
      <c r="AP11" s="30">
        <f>IFERROR(INDIRECT("'"&amp;$B11&amp;"'!C20"),"")</f>
        <v/>
      </c>
      <c r="AQ11" s="30">
        <f>IFERROR(INDIRECT("'"&amp;$B11&amp;"'!D20"),"")</f>
        <v/>
      </c>
      <c r="AR11" s="30">
        <f>IFERROR(INDIRECT("'"&amp;$B11&amp;"'!C21"),"")</f>
        <v/>
      </c>
      <c r="AS11" s="30">
        <f>IFERROR(INDIRECT("'"&amp;$B11&amp;"'!D21"),"")</f>
        <v/>
      </c>
    </row>
    <row r="12" ht="17" customHeight="1">
      <c r="A12" s="20" t="n">
        <v>2</v>
      </c>
      <c r="B12" s="21" t="n"/>
      <c r="C12" s="22">
        <f>IFERROR(INDIRECT("'"&amp;$B12&amp;"'!A7"),"")</f>
        <v/>
      </c>
      <c r="D12" s="22">
        <f>IFERROR(INDIRECT("'"&amp;$B12&amp;"'!A9"),"")</f>
        <v/>
      </c>
      <c r="E12" s="23">
        <f>IFERROR(INDIRECT("'"&amp;$B12&amp;"'!F7"),"")</f>
        <v/>
      </c>
      <c r="F12" s="23">
        <f>IFERROR(INDIRECT("'"&amp;$B12&amp;"'!H7"),"")</f>
        <v/>
      </c>
      <c r="G12" s="23">
        <f>IFERROR(INDIRECT("'"&amp;$B12&amp;"'!J7"),"")</f>
        <v/>
      </c>
      <c r="H12" s="24">
        <f>IFERROR(INDIRECT("'"&amp;$B12&amp;"'!H9"),"")</f>
        <v/>
      </c>
      <c r="I12" s="25">
        <f>IFERROR(INDIRECT("'"&amp;$B12&amp;"'!J9"),"")</f>
        <v/>
      </c>
      <c r="J12" s="26">
        <f>IFERROR(INDIRECT("'"&amp;$B12&amp;"'!A13"),"")</f>
        <v/>
      </c>
      <c r="K12" s="26">
        <f>IFERROR(INDIRECT("'"&amp;$B12&amp;"'!C13"),"")</f>
        <v/>
      </c>
      <c r="L12" s="26">
        <f>IFERROR(INDIRECT("'"&amp;$B12&amp;"'!I24"),"")</f>
        <v/>
      </c>
      <c r="M12" s="26">
        <f>IFERROR(INDIRECT("'"&amp;$B12&amp;"'!E13"),"")</f>
        <v/>
      </c>
      <c r="N12" s="27">
        <f>IFERROR(INDIRECT("'"&amp;$B12&amp;"'!G13"),"")</f>
        <v/>
      </c>
      <c r="O12" s="27">
        <f>IFERROR(INDIRECT("'"&amp;$B12&amp;"'!H13"),"")</f>
        <v/>
      </c>
      <c r="P12" s="28">
        <f>IF(OR($N12="",$O12=""),"",ROUND(($N12-$O12)*100,1))</f>
        <v/>
      </c>
      <c r="Q12" s="26">
        <f>IFERROR(INDIRECT("'"&amp;$B12&amp;"'!I13"),"")</f>
        <v/>
      </c>
      <c r="R12" s="29">
        <f>IF($N12="","",IF($N12&gt;=0.35,"Margem boa",IF($N12&gt;=0.25,"Margem apertada","Margem crítica")))</f>
        <v/>
      </c>
      <c r="AH12" s="30">
        <f>IFERROR(INDIRECT("'"&amp;$B12&amp;"'!C16"),"")</f>
        <v/>
      </c>
      <c r="AI12" s="30">
        <f>IFERROR(INDIRECT("'"&amp;$B12&amp;"'!D16"),"")</f>
        <v/>
      </c>
      <c r="AJ12" s="30">
        <f>IFERROR(INDIRECT("'"&amp;$B12&amp;"'!C17"),"")</f>
        <v/>
      </c>
      <c r="AK12" s="30">
        <f>IFERROR(INDIRECT("'"&amp;$B12&amp;"'!D17"),"")</f>
        <v/>
      </c>
      <c r="AL12" s="30">
        <f>IFERROR(INDIRECT("'"&amp;$B12&amp;"'!C18"),"")</f>
        <v/>
      </c>
      <c r="AM12" s="30">
        <f>IFERROR(INDIRECT("'"&amp;$B12&amp;"'!D18"),"")</f>
        <v/>
      </c>
      <c r="AN12" s="30">
        <f>IFERROR(INDIRECT("'"&amp;$B12&amp;"'!C19"),"")</f>
        <v/>
      </c>
      <c r="AO12" s="30">
        <f>IFERROR(INDIRECT("'"&amp;$B12&amp;"'!D19"),"")</f>
        <v/>
      </c>
      <c r="AP12" s="30">
        <f>IFERROR(INDIRECT("'"&amp;$B12&amp;"'!C20"),"")</f>
        <v/>
      </c>
      <c r="AQ12" s="30">
        <f>IFERROR(INDIRECT("'"&amp;$B12&amp;"'!D20"),"")</f>
        <v/>
      </c>
      <c r="AR12" s="30">
        <f>IFERROR(INDIRECT("'"&amp;$B12&amp;"'!C21"),"")</f>
        <v/>
      </c>
      <c r="AS12" s="30">
        <f>IFERROR(INDIRECT("'"&amp;$B12&amp;"'!D21"),"")</f>
        <v/>
      </c>
    </row>
    <row r="13" ht="17" customHeight="1">
      <c r="A13" s="20" t="n">
        <v>3</v>
      </c>
      <c r="B13" s="21" t="n"/>
      <c r="C13" s="22">
        <f>IFERROR(INDIRECT("'"&amp;$B13&amp;"'!A7"),"")</f>
        <v/>
      </c>
      <c r="D13" s="22">
        <f>IFERROR(INDIRECT("'"&amp;$B13&amp;"'!A9"),"")</f>
        <v/>
      </c>
      <c r="E13" s="23">
        <f>IFERROR(INDIRECT("'"&amp;$B13&amp;"'!F7"),"")</f>
        <v/>
      </c>
      <c r="F13" s="23">
        <f>IFERROR(INDIRECT("'"&amp;$B13&amp;"'!H7"),"")</f>
        <v/>
      </c>
      <c r="G13" s="23">
        <f>IFERROR(INDIRECT("'"&amp;$B13&amp;"'!J7"),"")</f>
        <v/>
      </c>
      <c r="H13" s="24">
        <f>IFERROR(INDIRECT("'"&amp;$B13&amp;"'!H9"),"")</f>
        <v/>
      </c>
      <c r="I13" s="25">
        <f>IFERROR(INDIRECT("'"&amp;$B13&amp;"'!J9"),"")</f>
        <v/>
      </c>
      <c r="J13" s="26">
        <f>IFERROR(INDIRECT("'"&amp;$B13&amp;"'!A13"),"")</f>
        <v/>
      </c>
      <c r="K13" s="26">
        <f>IFERROR(INDIRECT("'"&amp;$B13&amp;"'!C13"),"")</f>
        <v/>
      </c>
      <c r="L13" s="26">
        <f>IFERROR(INDIRECT("'"&amp;$B13&amp;"'!I24"),"")</f>
        <v/>
      </c>
      <c r="M13" s="26">
        <f>IFERROR(INDIRECT("'"&amp;$B13&amp;"'!E13"),"")</f>
        <v/>
      </c>
      <c r="N13" s="27">
        <f>IFERROR(INDIRECT("'"&amp;$B13&amp;"'!G13"),"")</f>
        <v/>
      </c>
      <c r="O13" s="27">
        <f>IFERROR(INDIRECT("'"&amp;$B13&amp;"'!H13"),"")</f>
        <v/>
      </c>
      <c r="P13" s="28">
        <f>IF(OR($N13="",$O13=""),"",ROUND(($N13-$O13)*100,1))</f>
        <v/>
      </c>
      <c r="Q13" s="26">
        <f>IFERROR(INDIRECT("'"&amp;$B13&amp;"'!I13"),"")</f>
        <v/>
      </c>
      <c r="R13" s="29">
        <f>IF($N13="","",IF($N13&gt;=0.35,"Margem boa",IF($N13&gt;=0.25,"Margem apertada","Margem crítica")))</f>
        <v/>
      </c>
      <c r="AH13" s="30">
        <f>IFERROR(INDIRECT("'"&amp;$B13&amp;"'!C16"),"")</f>
        <v/>
      </c>
      <c r="AI13" s="30">
        <f>IFERROR(INDIRECT("'"&amp;$B13&amp;"'!D16"),"")</f>
        <v/>
      </c>
      <c r="AJ13" s="30">
        <f>IFERROR(INDIRECT("'"&amp;$B13&amp;"'!C17"),"")</f>
        <v/>
      </c>
      <c r="AK13" s="30">
        <f>IFERROR(INDIRECT("'"&amp;$B13&amp;"'!D17"),"")</f>
        <v/>
      </c>
      <c r="AL13" s="30">
        <f>IFERROR(INDIRECT("'"&amp;$B13&amp;"'!C18"),"")</f>
        <v/>
      </c>
      <c r="AM13" s="30">
        <f>IFERROR(INDIRECT("'"&amp;$B13&amp;"'!D18"),"")</f>
        <v/>
      </c>
      <c r="AN13" s="30">
        <f>IFERROR(INDIRECT("'"&amp;$B13&amp;"'!C19"),"")</f>
        <v/>
      </c>
      <c r="AO13" s="30">
        <f>IFERROR(INDIRECT("'"&amp;$B13&amp;"'!D19"),"")</f>
        <v/>
      </c>
      <c r="AP13" s="30">
        <f>IFERROR(INDIRECT("'"&amp;$B13&amp;"'!C20"),"")</f>
        <v/>
      </c>
      <c r="AQ13" s="30">
        <f>IFERROR(INDIRECT("'"&amp;$B13&amp;"'!D20"),"")</f>
        <v/>
      </c>
      <c r="AR13" s="30">
        <f>IFERROR(INDIRECT("'"&amp;$B13&amp;"'!C21"),"")</f>
        <v/>
      </c>
      <c r="AS13" s="30">
        <f>IFERROR(INDIRECT("'"&amp;$B13&amp;"'!D21"),"")</f>
        <v/>
      </c>
    </row>
    <row r="14" ht="17" customHeight="1">
      <c r="A14" s="20" t="n">
        <v>4</v>
      </c>
      <c r="B14" s="21" t="n"/>
      <c r="C14" s="22">
        <f>IFERROR(INDIRECT("'"&amp;$B14&amp;"'!A7"),"")</f>
        <v/>
      </c>
      <c r="D14" s="22">
        <f>IFERROR(INDIRECT("'"&amp;$B14&amp;"'!A9"),"")</f>
        <v/>
      </c>
      <c r="E14" s="23">
        <f>IFERROR(INDIRECT("'"&amp;$B14&amp;"'!F7"),"")</f>
        <v/>
      </c>
      <c r="F14" s="23">
        <f>IFERROR(INDIRECT("'"&amp;$B14&amp;"'!H7"),"")</f>
        <v/>
      </c>
      <c r="G14" s="23">
        <f>IFERROR(INDIRECT("'"&amp;$B14&amp;"'!J7"),"")</f>
        <v/>
      </c>
      <c r="H14" s="24">
        <f>IFERROR(INDIRECT("'"&amp;$B14&amp;"'!H9"),"")</f>
        <v/>
      </c>
      <c r="I14" s="25">
        <f>IFERROR(INDIRECT("'"&amp;$B14&amp;"'!J9"),"")</f>
        <v/>
      </c>
      <c r="J14" s="26">
        <f>IFERROR(INDIRECT("'"&amp;$B14&amp;"'!A13"),"")</f>
        <v/>
      </c>
      <c r="K14" s="26">
        <f>IFERROR(INDIRECT("'"&amp;$B14&amp;"'!C13"),"")</f>
        <v/>
      </c>
      <c r="L14" s="26">
        <f>IFERROR(INDIRECT("'"&amp;$B14&amp;"'!I24"),"")</f>
        <v/>
      </c>
      <c r="M14" s="26">
        <f>IFERROR(INDIRECT("'"&amp;$B14&amp;"'!E13"),"")</f>
        <v/>
      </c>
      <c r="N14" s="27">
        <f>IFERROR(INDIRECT("'"&amp;$B14&amp;"'!G13"),"")</f>
        <v/>
      </c>
      <c r="O14" s="27">
        <f>IFERROR(INDIRECT("'"&amp;$B14&amp;"'!H13"),"")</f>
        <v/>
      </c>
      <c r="P14" s="28">
        <f>IF(OR($N14="",$O14=""),"",ROUND(($N14-$O14)*100,1))</f>
        <v/>
      </c>
      <c r="Q14" s="26">
        <f>IFERROR(INDIRECT("'"&amp;$B14&amp;"'!I13"),"")</f>
        <v/>
      </c>
      <c r="R14" s="29">
        <f>IF($N14="","",IF($N14&gt;=0.35,"Margem boa",IF($N14&gt;=0.25,"Margem apertada","Margem crítica")))</f>
        <v/>
      </c>
      <c r="AH14" s="30">
        <f>IFERROR(INDIRECT("'"&amp;$B14&amp;"'!C16"),"")</f>
        <v/>
      </c>
      <c r="AI14" s="30">
        <f>IFERROR(INDIRECT("'"&amp;$B14&amp;"'!D16"),"")</f>
        <v/>
      </c>
      <c r="AJ14" s="30">
        <f>IFERROR(INDIRECT("'"&amp;$B14&amp;"'!C17"),"")</f>
        <v/>
      </c>
      <c r="AK14" s="30">
        <f>IFERROR(INDIRECT("'"&amp;$B14&amp;"'!D17"),"")</f>
        <v/>
      </c>
      <c r="AL14" s="30">
        <f>IFERROR(INDIRECT("'"&amp;$B14&amp;"'!C18"),"")</f>
        <v/>
      </c>
      <c r="AM14" s="30">
        <f>IFERROR(INDIRECT("'"&amp;$B14&amp;"'!D18"),"")</f>
        <v/>
      </c>
      <c r="AN14" s="30">
        <f>IFERROR(INDIRECT("'"&amp;$B14&amp;"'!C19"),"")</f>
        <v/>
      </c>
      <c r="AO14" s="30">
        <f>IFERROR(INDIRECT("'"&amp;$B14&amp;"'!D19"),"")</f>
        <v/>
      </c>
      <c r="AP14" s="30">
        <f>IFERROR(INDIRECT("'"&amp;$B14&amp;"'!C20"),"")</f>
        <v/>
      </c>
      <c r="AQ14" s="30">
        <f>IFERROR(INDIRECT("'"&amp;$B14&amp;"'!D20"),"")</f>
        <v/>
      </c>
      <c r="AR14" s="30">
        <f>IFERROR(INDIRECT("'"&amp;$B14&amp;"'!C21"),"")</f>
        <v/>
      </c>
      <c r="AS14" s="30">
        <f>IFERROR(INDIRECT("'"&amp;$B14&amp;"'!D21"),"")</f>
        <v/>
      </c>
    </row>
    <row r="15" ht="17" customHeight="1">
      <c r="A15" s="20" t="n">
        <v>5</v>
      </c>
      <c r="B15" s="21" t="n"/>
      <c r="C15" s="22">
        <f>IFERROR(INDIRECT("'"&amp;$B15&amp;"'!A7"),"")</f>
        <v/>
      </c>
      <c r="D15" s="22">
        <f>IFERROR(INDIRECT("'"&amp;$B15&amp;"'!A9"),"")</f>
        <v/>
      </c>
      <c r="E15" s="23">
        <f>IFERROR(INDIRECT("'"&amp;$B15&amp;"'!F7"),"")</f>
        <v/>
      </c>
      <c r="F15" s="23">
        <f>IFERROR(INDIRECT("'"&amp;$B15&amp;"'!H7"),"")</f>
        <v/>
      </c>
      <c r="G15" s="23">
        <f>IFERROR(INDIRECT("'"&amp;$B15&amp;"'!J7"),"")</f>
        <v/>
      </c>
      <c r="H15" s="24">
        <f>IFERROR(INDIRECT("'"&amp;$B15&amp;"'!H9"),"")</f>
        <v/>
      </c>
      <c r="I15" s="25">
        <f>IFERROR(INDIRECT("'"&amp;$B15&amp;"'!J9"),"")</f>
        <v/>
      </c>
      <c r="J15" s="26">
        <f>IFERROR(INDIRECT("'"&amp;$B15&amp;"'!A13"),"")</f>
        <v/>
      </c>
      <c r="K15" s="26">
        <f>IFERROR(INDIRECT("'"&amp;$B15&amp;"'!C13"),"")</f>
        <v/>
      </c>
      <c r="L15" s="26">
        <f>IFERROR(INDIRECT("'"&amp;$B15&amp;"'!I24"),"")</f>
        <v/>
      </c>
      <c r="M15" s="26">
        <f>IFERROR(INDIRECT("'"&amp;$B15&amp;"'!E13"),"")</f>
        <v/>
      </c>
      <c r="N15" s="27">
        <f>IFERROR(INDIRECT("'"&amp;$B15&amp;"'!G13"),"")</f>
        <v/>
      </c>
      <c r="O15" s="27">
        <f>IFERROR(INDIRECT("'"&amp;$B15&amp;"'!H13"),"")</f>
        <v/>
      </c>
      <c r="P15" s="28">
        <f>IF(OR($N15="",$O15=""),"",ROUND(($N15-$O15)*100,1))</f>
        <v/>
      </c>
      <c r="Q15" s="26">
        <f>IFERROR(INDIRECT("'"&amp;$B15&amp;"'!I13"),"")</f>
        <v/>
      </c>
      <c r="R15" s="29">
        <f>IF($N15="","",IF($N15&gt;=0.35,"Margem boa",IF($N15&gt;=0.25,"Margem apertada","Margem crítica")))</f>
        <v/>
      </c>
      <c r="AH15" s="30">
        <f>IFERROR(INDIRECT("'"&amp;$B15&amp;"'!C16"),"")</f>
        <v/>
      </c>
      <c r="AI15" s="30">
        <f>IFERROR(INDIRECT("'"&amp;$B15&amp;"'!D16"),"")</f>
        <v/>
      </c>
      <c r="AJ15" s="30">
        <f>IFERROR(INDIRECT("'"&amp;$B15&amp;"'!C17"),"")</f>
        <v/>
      </c>
      <c r="AK15" s="30">
        <f>IFERROR(INDIRECT("'"&amp;$B15&amp;"'!D17"),"")</f>
        <v/>
      </c>
      <c r="AL15" s="30">
        <f>IFERROR(INDIRECT("'"&amp;$B15&amp;"'!C18"),"")</f>
        <v/>
      </c>
      <c r="AM15" s="30">
        <f>IFERROR(INDIRECT("'"&amp;$B15&amp;"'!D18"),"")</f>
        <v/>
      </c>
      <c r="AN15" s="30">
        <f>IFERROR(INDIRECT("'"&amp;$B15&amp;"'!C19"),"")</f>
        <v/>
      </c>
      <c r="AO15" s="30">
        <f>IFERROR(INDIRECT("'"&amp;$B15&amp;"'!D19"),"")</f>
        <v/>
      </c>
      <c r="AP15" s="30">
        <f>IFERROR(INDIRECT("'"&amp;$B15&amp;"'!C20"),"")</f>
        <v/>
      </c>
      <c r="AQ15" s="30">
        <f>IFERROR(INDIRECT("'"&amp;$B15&amp;"'!D20"),"")</f>
        <v/>
      </c>
      <c r="AR15" s="30">
        <f>IFERROR(INDIRECT("'"&amp;$B15&amp;"'!C21"),"")</f>
        <v/>
      </c>
      <c r="AS15" s="30">
        <f>IFERROR(INDIRECT("'"&amp;$B15&amp;"'!D21"),"")</f>
        <v/>
      </c>
    </row>
    <row r="16" ht="17" customHeight="1">
      <c r="A16" s="20" t="n">
        <v>6</v>
      </c>
      <c r="B16" s="21" t="n"/>
      <c r="C16" s="22">
        <f>IFERROR(INDIRECT("'"&amp;$B16&amp;"'!A7"),"")</f>
        <v/>
      </c>
      <c r="D16" s="22">
        <f>IFERROR(INDIRECT("'"&amp;$B16&amp;"'!A9"),"")</f>
        <v/>
      </c>
      <c r="E16" s="23">
        <f>IFERROR(INDIRECT("'"&amp;$B16&amp;"'!F7"),"")</f>
        <v/>
      </c>
      <c r="F16" s="23">
        <f>IFERROR(INDIRECT("'"&amp;$B16&amp;"'!H7"),"")</f>
        <v/>
      </c>
      <c r="G16" s="23">
        <f>IFERROR(INDIRECT("'"&amp;$B16&amp;"'!J7"),"")</f>
        <v/>
      </c>
      <c r="H16" s="24">
        <f>IFERROR(INDIRECT("'"&amp;$B16&amp;"'!H9"),"")</f>
        <v/>
      </c>
      <c r="I16" s="25">
        <f>IFERROR(INDIRECT("'"&amp;$B16&amp;"'!J9"),"")</f>
        <v/>
      </c>
      <c r="J16" s="26">
        <f>IFERROR(INDIRECT("'"&amp;$B16&amp;"'!A13"),"")</f>
        <v/>
      </c>
      <c r="K16" s="26">
        <f>IFERROR(INDIRECT("'"&amp;$B16&amp;"'!C13"),"")</f>
        <v/>
      </c>
      <c r="L16" s="26">
        <f>IFERROR(INDIRECT("'"&amp;$B16&amp;"'!I24"),"")</f>
        <v/>
      </c>
      <c r="M16" s="26">
        <f>IFERROR(INDIRECT("'"&amp;$B16&amp;"'!E13"),"")</f>
        <v/>
      </c>
      <c r="N16" s="27">
        <f>IFERROR(INDIRECT("'"&amp;$B16&amp;"'!G13"),"")</f>
        <v/>
      </c>
      <c r="O16" s="27">
        <f>IFERROR(INDIRECT("'"&amp;$B16&amp;"'!H13"),"")</f>
        <v/>
      </c>
      <c r="P16" s="28">
        <f>IF(OR($N16="",$O16=""),"",ROUND(($N16-$O16)*100,1))</f>
        <v/>
      </c>
      <c r="Q16" s="26">
        <f>IFERROR(INDIRECT("'"&amp;$B16&amp;"'!I13"),"")</f>
        <v/>
      </c>
      <c r="R16" s="29">
        <f>IF($N16="","",IF($N16&gt;=0.35,"Margem boa",IF($N16&gt;=0.25,"Margem apertada","Margem crítica")))</f>
        <v/>
      </c>
      <c r="AH16" s="30">
        <f>IFERROR(INDIRECT("'"&amp;$B16&amp;"'!C16"),"")</f>
        <v/>
      </c>
      <c r="AI16" s="30">
        <f>IFERROR(INDIRECT("'"&amp;$B16&amp;"'!D16"),"")</f>
        <v/>
      </c>
      <c r="AJ16" s="30">
        <f>IFERROR(INDIRECT("'"&amp;$B16&amp;"'!C17"),"")</f>
        <v/>
      </c>
      <c r="AK16" s="30">
        <f>IFERROR(INDIRECT("'"&amp;$B16&amp;"'!D17"),"")</f>
        <v/>
      </c>
      <c r="AL16" s="30">
        <f>IFERROR(INDIRECT("'"&amp;$B16&amp;"'!C18"),"")</f>
        <v/>
      </c>
      <c r="AM16" s="30">
        <f>IFERROR(INDIRECT("'"&amp;$B16&amp;"'!D18"),"")</f>
        <v/>
      </c>
      <c r="AN16" s="30">
        <f>IFERROR(INDIRECT("'"&amp;$B16&amp;"'!C19"),"")</f>
        <v/>
      </c>
      <c r="AO16" s="30">
        <f>IFERROR(INDIRECT("'"&amp;$B16&amp;"'!D19"),"")</f>
        <v/>
      </c>
      <c r="AP16" s="30">
        <f>IFERROR(INDIRECT("'"&amp;$B16&amp;"'!C20"),"")</f>
        <v/>
      </c>
      <c r="AQ16" s="30">
        <f>IFERROR(INDIRECT("'"&amp;$B16&amp;"'!D20"),"")</f>
        <v/>
      </c>
      <c r="AR16" s="30">
        <f>IFERROR(INDIRECT("'"&amp;$B16&amp;"'!C21"),"")</f>
        <v/>
      </c>
      <c r="AS16" s="30">
        <f>IFERROR(INDIRECT("'"&amp;$B16&amp;"'!D21"),"")</f>
        <v/>
      </c>
    </row>
    <row r="17" ht="17" customHeight="1">
      <c r="A17" s="20" t="n">
        <v>7</v>
      </c>
      <c r="B17" s="21" t="n"/>
      <c r="C17" s="22">
        <f>IFERROR(INDIRECT("'"&amp;$B17&amp;"'!A7"),"")</f>
        <v/>
      </c>
      <c r="D17" s="22">
        <f>IFERROR(INDIRECT("'"&amp;$B17&amp;"'!A9"),"")</f>
        <v/>
      </c>
      <c r="E17" s="23">
        <f>IFERROR(INDIRECT("'"&amp;$B17&amp;"'!F7"),"")</f>
        <v/>
      </c>
      <c r="F17" s="23">
        <f>IFERROR(INDIRECT("'"&amp;$B17&amp;"'!H7"),"")</f>
        <v/>
      </c>
      <c r="G17" s="23">
        <f>IFERROR(INDIRECT("'"&amp;$B17&amp;"'!J7"),"")</f>
        <v/>
      </c>
      <c r="H17" s="24">
        <f>IFERROR(INDIRECT("'"&amp;$B17&amp;"'!H9"),"")</f>
        <v/>
      </c>
      <c r="I17" s="25">
        <f>IFERROR(INDIRECT("'"&amp;$B17&amp;"'!J9"),"")</f>
        <v/>
      </c>
      <c r="J17" s="26">
        <f>IFERROR(INDIRECT("'"&amp;$B17&amp;"'!A13"),"")</f>
        <v/>
      </c>
      <c r="K17" s="26">
        <f>IFERROR(INDIRECT("'"&amp;$B17&amp;"'!C13"),"")</f>
        <v/>
      </c>
      <c r="L17" s="26">
        <f>IFERROR(INDIRECT("'"&amp;$B17&amp;"'!I24"),"")</f>
        <v/>
      </c>
      <c r="M17" s="26">
        <f>IFERROR(INDIRECT("'"&amp;$B17&amp;"'!E13"),"")</f>
        <v/>
      </c>
      <c r="N17" s="27">
        <f>IFERROR(INDIRECT("'"&amp;$B17&amp;"'!G13"),"")</f>
        <v/>
      </c>
      <c r="O17" s="27">
        <f>IFERROR(INDIRECT("'"&amp;$B17&amp;"'!H13"),"")</f>
        <v/>
      </c>
      <c r="P17" s="28">
        <f>IF(OR($N17="",$O17=""),"",ROUND(($N17-$O17)*100,1))</f>
        <v/>
      </c>
      <c r="Q17" s="26">
        <f>IFERROR(INDIRECT("'"&amp;$B17&amp;"'!I13"),"")</f>
        <v/>
      </c>
      <c r="R17" s="29">
        <f>IF($N17="","",IF($N17&gt;=0.35,"Margem boa",IF($N17&gt;=0.25,"Margem apertada","Margem crítica")))</f>
        <v/>
      </c>
      <c r="AH17" s="30">
        <f>IFERROR(INDIRECT("'"&amp;$B17&amp;"'!C16"),"")</f>
        <v/>
      </c>
      <c r="AI17" s="30">
        <f>IFERROR(INDIRECT("'"&amp;$B17&amp;"'!D16"),"")</f>
        <v/>
      </c>
      <c r="AJ17" s="30">
        <f>IFERROR(INDIRECT("'"&amp;$B17&amp;"'!C17"),"")</f>
        <v/>
      </c>
      <c r="AK17" s="30">
        <f>IFERROR(INDIRECT("'"&amp;$B17&amp;"'!D17"),"")</f>
        <v/>
      </c>
      <c r="AL17" s="30">
        <f>IFERROR(INDIRECT("'"&amp;$B17&amp;"'!C18"),"")</f>
        <v/>
      </c>
      <c r="AM17" s="30">
        <f>IFERROR(INDIRECT("'"&amp;$B17&amp;"'!D18"),"")</f>
        <v/>
      </c>
      <c r="AN17" s="30">
        <f>IFERROR(INDIRECT("'"&amp;$B17&amp;"'!C19"),"")</f>
        <v/>
      </c>
      <c r="AO17" s="30">
        <f>IFERROR(INDIRECT("'"&amp;$B17&amp;"'!D19"),"")</f>
        <v/>
      </c>
      <c r="AP17" s="30">
        <f>IFERROR(INDIRECT("'"&amp;$B17&amp;"'!C20"),"")</f>
        <v/>
      </c>
      <c r="AQ17" s="30">
        <f>IFERROR(INDIRECT("'"&amp;$B17&amp;"'!D20"),"")</f>
        <v/>
      </c>
      <c r="AR17" s="30">
        <f>IFERROR(INDIRECT("'"&amp;$B17&amp;"'!C21"),"")</f>
        <v/>
      </c>
      <c r="AS17" s="30">
        <f>IFERROR(INDIRECT("'"&amp;$B17&amp;"'!D21"),"")</f>
        <v/>
      </c>
    </row>
    <row r="18" ht="17" customHeight="1">
      <c r="A18" s="20" t="n">
        <v>8</v>
      </c>
      <c r="B18" s="21" t="n"/>
      <c r="C18" s="22">
        <f>IFERROR(INDIRECT("'"&amp;$B18&amp;"'!A7"),"")</f>
        <v/>
      </c>
      <c r="D18" s="22">
        <f>IFERROR(INDIRECT("'"&amp;$B18&amp;"'!A9"),"")</f>
        <v/>
      </c>
      <c r="E18" s="23">
        <f>IFERROR(INDIRECT("'"&amp;$B18&amp;"'!F7"),"")</f>
        <v/>
      </c>
      <c r="F18" s="23">
        <f>IFERROR(INDIRECT("'"&amp;$B18&amp;"'!H7"),"")</f>
        <v/>
      </c>
      <c r="G18" s="23">
        <f>IFERROR(INDIRECT("'"&amp;$B18&amp;"'!J7"),"")</f>
        <v/>
      </c>
      <c r="H18" s="24">
        <f>IFERROR(INDIRECT("'"&amp;$B18&amp;"'!H9"),"")</f>
        <v/>
      </c>
      <c r="I18" s="25">
        <f>IFERROR(INDIRECT("'"&amp;$B18&amp;"'!J9"),"")</f>
        <v/>
      </c>
      <c r="J18" s="26">
        <f>IFERROR(INDIRECT("'"&amp;$B18&amp;"'!A13"),"")</f>
        <v/>
      </c>
      <c r="K18" s="26">
        <f>IFERROR(INDIRECT("'"&amp;$B18&amp;"'!C13"),"")</f>
        <v/>
      </c>
      <c r="L18" s="26">
        <f>IFERROR(INDIRECT("'"&amp;$B18&amp;"'!I24"),"")</f>
        <v/>
      </c>
      <c r="M18" s="26">
        <f>IFERROR(INDIRECT("'"&amp;$B18&amp;"'!E13"),"")</f>
        <v/>
      </c>
      <c r="N18" s="27">
        <f>IFERROR(INDIRECT("'"&amp;$B18&amp;"'!G13"),"")</f>
        <v/>
      </c>
      <c r="O18" s="27">
        <f>IFERROR(INDIRECT("'"&amp;$B18&amp;"'!H13"),"")</f>
        <v/>
      </c>
      <c r="P18" s="28">
        <f>IF(OR($N18="",$O18=""),"",ROUND(($N18-$O18)*100,1))</f>
        <v/>
      </c>
      <c r="Q18" s="26">
        <f>IFERROR(INDIRECT("'"&amp;$B18&amp;"'!I13"),"")</f>
        <v/>
      </c>
      <c r="R18" s="29">
        <f>IF($N18="","",IF($N18&gt;=0.35,"Margem boa",IF($N18&gt;=0.25,"Margem apertada","Margem crítica")))</f>
        <v/>
      </c>
      <c r="AH18" s="30">
        <f>IFERROR(INDIRECT("'"&amp;$B18&amp;"'!C16"),"")</f>
        <v/>
      </c>
      <c r="AI18" s="30">
        <f>IFERROR(INDIRECT("'"&amp;$B18&amp;"'!D16"),"")</f>
        <v/>
      </c>
      <c r="AJ18" s="30">
        <f>IFERROR(INDIRECT("'"&amp;$B18&amp;"'!C17"),"")</f>
        <v/>
      </c>
      <c r="AK18" s="30">
        <f>IFERROR(INDIRECT("'"&amp;$B18&amp;"'!D17"),"")</f>
        <v/>
      </c>
      <c r="AL18" s="30">
        <f>IFERROR(INDIRECT("'"&amp;$B18&amp;"'!C18"),"")</f>
        <v/>
      </c>
      <c r="AM18" s="30">
        <f>IFERROR(INDIRECT("'"&amp;$B18&amp;"'!D18"),"")</f>
        <v/>
      </c>
      <c r="AN18" s="30">
        <f>IFERROR(INDIRECT("'"&amp;$B18&amp;"'!C19"),"")</f>
        <v/>
      </c>
      <c r="AO18" s="30">
        <f>IFERROR(INDIRECT("'"&amp;$B18&amp;"'!D19"),"")</f>
        <v/>
      </c>
      <c r="AP18" s="30">
        <f>IFERROR(INDIRECT("'"&amp;$B18&amp;"'!C20"),"")</f>
        <v/>
      </c>
      <c r="AQ18" s="30">
        <f>IFERROR(INDIRECT("'"&amp;$B18&amp;"'!D20"),"")</f>
        <v/>
      </c>
      <c r="AR18" s="30">
        <f>IFERROR(INDIRECT("'"&amp;$B18&amp;"'!C21"),"")</f>
        <v/>
      </c>
      <c r="AS18" s="30">
        <f>IFERROR(INDIRECT("'"&amp;$B18&amp;"'!D21"),"")</f>
        <v/>
      </c>
    </row>
    <row r="19" ht="17" customHeight="1">
      <c r="A19" s="20" t="n">
        <v>9</v>
      </c>
      <c r="B19" s="21" t="n"/>
      <c r="C19" s="22">
        <f>IFERROR(INDIRECT("'"&amp;$B19&amp;"'!A7"),"")</f>
        <v/>
      </c>
      <c r="D19" s="22">
        <f>IFERROR(INDIRECT("'"&amp;$B19&amp;"'!A9"),"")</f>
        <v/>
      </c>
      <c r="E19" s="23">
        <f>IFERROR(INDIRECT("'"&amp;$B19&amp;"'!F7"),"")</f>
        <v/>
      </c>
      <c r="F19" s="23">
        <f>IFERROR(INDIRECT("'"&amp;$B19&amp;"'!H7"),"")</f>
        <v/>
      </c>
      <c r="G19" s="23">
        <f>IFERROR(INDIRECT("'"&amp;$B19&amp;"'!J7"),"")</f>
        <v/>
      </c>
      <c r="H19" s="24">
        <f>IFERROR(INDIRECT("'"&amp;$B19&amp;"'!H9"),"")</f>
        <v/>
      </c>
      <c r="I19" s="25">
        <f>IFERROR(INDIRECT("'"&amp;$B19&amp;"'!J9"),"")</f>
        <v/>
      </c>
      <c r="J19" s="26">
        <f>IFERROR(INDIRECT("'"&amp;$B19&amp;"'!A13"),"")</f>
        <v/>
      </c>
      <c r="K19" s="26">
        <f>IFERROR(INDIRECT("'"&amp;$B19&amp;"'!C13"),"")</f>
        <v/>
      </c>
      <c r="L19" s="26">
        <f>IFERROR(INDIRECT("'"&amp;$B19&amp;"'!I24"),"")</f>
        <v/>
      </c>
      <c r="M19" s="26">
        <f>IFERROR(INDIRECT("'"&amp;$B19&amp;"'!E13"),"")</f>
        <v/>
      </c>
      <c r="N19" s="27">
        <f>IFERROR(INDIRECT("'"&amp;$B19&amp;"'!G13"),"")</f>
        <v/>
      </c>
      <c r="O19" s="27">
        <f>IFERROR(INDIRECT("'"&amp;$B19&amp;"'!H13"),"")</f>
        <v/>
      </c>
      <c r="P19" s="28">
        <f>IF(OR($N19="",$O19=""),"",ROUND(($N19-$O19)*100,1))</f>
        <v/>
      </c>
      <c r="Q19" s="26">
        <f>IFERROR(INDIRECT("'"&amp;$B19&amp;"'!I13"),"")</f>
        <v/>
      </c>
      <c r="R19" s="29">
        <f>IF($N19="","",IF($N19&gt;=0.35,"Margem boa",IF($N19&gt;=0.25,"Margem apertada","Margem crítica")))</f>
        <v/>
      </c>
      <c r="AH19" s="30">
        <f>IFERROR(INDIRECT("'"&amp;$B19&amp;"'!C16"),"")</f>
        <v/>
      </c>
      <c r="AI19" s="30">
        <f>IFERROR(INDIRECT("'"&amp;$B19&amp;"'!D16"),"")</f>
        <v/>
      </c>
      <c r="AJ19" s="30">
        <f>IFERROR(INDIRECT("'"&amp;$B19&amp;"'!C17"),"")</f>
        <v/>
      </c>
      <c r="AK19" s="30">
        <f>IFERROR(INDIRECT("'"&amp;$B19&amp;"'!D17"),"")</f>
        <v/>
      </c>
      <c r="AL19" s="30">
        <f>IFERROR(INDIRECT("'"&amp;$B19&amp;"'!C18"),"")</f>
        <v/>
      </c>
      <c r="AM19" s="30">
        <f>IFERROR(INDIRECT("'"&amp;$B19&amp;"'!D18"),"")</f>
        <v/>
      </c>
      <c r="AN19" s="30">
        <f>IFERROR(INDIRECT("'"&amp;$B19&amp;"'!C19"),"")</f>
        <v/>
      </c>
      <c r="AO19" s="30">
        <f>IFERROR(INDIRECT("'"&amp;$B19&amp;"'!D19"),"")</f>
        <v/>
      </c>
      <c r="AP19" s="30">
        <f>IFERROR(INDIRECT("'"&amp;$B19&amp;"'!C20"),"")</f>
        <v/>
      </c>
      <c r="AQ19" s="30">
        <f>IFERROR(INDIRECT("'"&amp;$B19&amp;"'!D20"),"")</f>
        <v/>
      </c>
      <c r="AR19" s="30">
        <f>IFERROR(INDIRECT("'"&amp;$B19&amp;"'!C21"),"")</f>
        <v/>
      </c>
      <c r="AS19" s="30">
        <f>IFERROR(INDIRECT("'"&amp;$B19&amp;"'!D21"),"")</f>
        <v/>
      </c>
    </row>
    <row r="20" ht="17" customHeight="1">
      <c r="A20" s="20" t="n">
        <v>10</v>
      </c>
      <c r="B20" s="21" t="n"/>
      <c r="C20" s="22">
        <f>IFERROR(INDIRECT("'"&amp;$B20&amp;"'!A7"),"")</f>
        <v/>
      </c>
      <c r="D20" s="22">
        <f>IFERROR(INDIRECT("'"&amp;$B20&amp;"'!A9"),"")</f>
        <v/>
      </c>
      <c r="E20" s="23">
        <f>IFERROR(INDIRECT("'"&amp;$B20&amp;"'!F7"),"")</f>
        <v/>
      </c>
      <c r="F20" s="23">
        <f>IFERROR(INDIRECT("'"&amp;$B20&amp;"'!H7"),"")</f>
        <v/>
      </c>
      <c r="G20" s="23">
        <f>IFERROR(INDIRECT("'"&amp;$B20&amp;"'!J7"),"")</f>
        <v/>
      </c>
      <c r="H20" s="24">
        <f>IFERROR(INDIRECT("'"&amp;$B20&amp;"'!H9"),"")</f>
        <v/>
      </c>
      <c r="I20" s="25">
        <f>IFERROR(INDIRECT("'"&amp;$B20&amp;"'!J9"),"")</f>
        <v/>
      </c>
      <c r="J20" s="26">
        <f>IFERROR(INDIRECT("'"&amp;$B20&amp;"'!A13"),"")</f>
        <v/>
      </c>
      <c r="K20" s="26">
        <f>IFERROR(INDIRECT("'"&amp;$B20&amp;"'!C13"),"")</f>
        <v/>
      </c>
      <c r="L20" s="26">
        <f>IFERROR(INDIRECT("'"&amp;$B20&amp;"'!I24"),"")</f>
        <v/>
      </c>
      <c r="M20" s="26">
        <f>IFERROR(INDIRECT("'"&amp;$B20&amp;"'!E13"),"")</f>
        <v/>
      </c>
      <c r="N20" s="27">
        <f>IFERROR(INDIRECT("'"&amp;$B20&amp;"'!G13"),"")</f>
        <v/>
      </c>
      <c r="O20" s="27">
        <f>IFERROR(INDIRECT("'"&amp;$B20&amp;"'!H13"),"")</f>
        <v/>
      </c>
      <c r="P20" s="28">
        <f>IF(OR($N20="",$O20=""),"",ROUND(($N20-$O20)*100,1))</f>
        <v/>
      </c>
      <c r="Q20" s="26">
        <f>IFERROR(INDIRECT("'"&amp;$B20&amp;"'!I13"),"")</f>
        <v/>
      </c>
      <c r="R20" s="29">
        <f>IF($N20="","",IF($N20&gt;=0.35,"Margem boa",IF($N20&gt;=0.25,"Margem apertada","Margem crítica")))</f>
        <v/>
      </c>
      <c r="AH20" s="30">
        <f>IFERROR(INDIRECT("'"&amp;$B20&amp;"'!C16"),"")</f>
        <v/>
      </c>
      <c r="AI20" s="30">
        <f>IFERROR(INDIRECT("'"&amp;$B20&amp;"'!D16"),"")</f>
        <v/>
      </c>
      <c r="AJ20" s="30">
        <f>IFERROR(INDIRECT("'"&amp;$B20&amp;"'!C17"),"")</f>
        <v/>
      </c>
      <c r="AK20" s="30">
        <f>IFERROR(INDIRECT("'"&amp;$B20&amp;"'!D17"),"")</f>
        <v/>
      </c>
      <c r="AL20" s="30">
        <f>IFERROR(INDIRECT("'"&amp;$B20&amp;"'!C18"),"")</f>
        <v/>
      </c>
      <c r="AM20" s="30">
        <f>IFERROR(INDIRECT("'"&amp;$B20&amp;"'!D18"),"")</f>
        <v/>
      </c>
      <c r="AN20" s="30">
        <f>IFERROR(INDIRECT("'"&amp;$B20&amp;"'!C19"),"")</f>
        <v/>
      </c>
      <c r="AO20" s="30">
        <f>IFERROR(INDIRECT("'"&amp;$B20&amp;"'!D19"),"")</f>
        <v/>
      </c>
      <c r="AP20" s="30">
        <f>IFERROR(INDIRECT("'"&amp;$B20&amp;"'!C20"),"")</f>
        <v/>
      </c>
      <c r="AQ20" s="30">
        <f>IFERROR(INDIRECT("'"&amp;$B20&amp;"'!D20"),"")</f>
        <v/>
      </c>
      <c r="AR20" s="30">
        <f>IFERROR(INDIRECT("'"&amp;$B20&amp;"'!C21"),"")</f>
        <v/>
      </c>
      <c r="AS20" s="30">
        <f>IFERROR(INDIRECT("'"&amp;$B20&amp;"'!D21"),"")</f>
        <v/>
      </c>
    </row>
    <row r="21" ht="17" customHeight="1">
      <c r="A21" s="20" t="n">
        <v>11</v>
      </c>
      <c r="B21" s="21" t="n"/>
      <c r="C21" s="22">
        <f>IFERROR(INDIRECT("'"&amp;$B21&amp;"'!A7"),"")</f>
        <v/>
      </c>
      <c r="D21" s="22">
        <f>IFERROR(INDIRECT("'"&amp;$B21&amp;"'!A9"),"")</f>
        <v/>
      </c>
      <c r="E21" s="23">
        <f>IFERROR(INDIRECT("'"&amp;$B21&amp;"'!F7"),"")</f>
        <v/>
      </c>
      <c r="F21" s="23">
        <f>IFERROR(INDIRECT("'"&amp;$B21&amp;"'!H7"),"")</f>
        <v/>
      </c>
      <c r="G21" s="23">
        <f>IFERROR(INDIRECT("'"&amp;$B21&amp;"'!J7"),"")</f>
        <v/>
      </c>
      <c r="H21" s="24">
        <f>IFERROR(INDIRECT("'"&amp;$B21&amp;"'!H9"),"")</f>
        <v/>
      </c>
      <c r="I21" s="25">
        <f>IFERROR(INDIRECT("'"&amp;$B21&amp;"'!J9"),"")</f>
        <v/>
      </c>
      <c r="J21" s="26">
        <f>IFERROR(INDIRECT("'"&amp;$B21&amp;"'!A13"),"")</f>
        <v/>
      </c>
      <c r="K21" s="26">
        <f>IFERROR(INDIRECT("'"&amp;$B21&amp;"'!C13"),"")</f>
        <v/>
      </c>
      <c r="L21" s="26">
        <f>IFERROR(INDIRECT("'"&amp;$B21&amp;"'!I24"),"")</f>
        <v/>
      </c>
      <c r="M21" s="26">
        <f>IFERROR(INDIRECT("'"&amp;$B21&amp;"'!E13"),"")</f>
        <v/>
      </c>
      <c r="N21" s="27">
        <f>IFERROR(INDIRECT("'"&amp;$B21&amp;"'!G13"),"")</f>
        <v/>
      </c>
      <c r="O21" s="27">
        <f>IFERROR(INDIRECT("'"&amp;$B21&amp;"'!H13"),"")</f>
        <v/>
      </c>
      <c r="P21" s="28">
        <f>IF(OR($N21="",$O21=""),"",ROUND(($N21-$O21)*100,1))</f>
        <v/>
      </c>
      <c r="Q21" s="26">
        <f>IFERROR(INDIRECT("'"&amp;$B21&amp;"'!I13"),"")</f>
        <v/>
      </c>
      <c r="R21" s="29">
        <f>IF($N21="","",IF($N21&gt;=0.35,"Margem boa",IF($N21&gt;=0.25,"Margem apertada","Margem crítica")))</f>
        <v/>
      </c>
      <c r="AH21" s="30">
        <f>IFERROR(INDIRECT("'"&amp;$B21&amp;"'!C16"),"")</f>
        <v/>
      </c>
      <c r="AI21" s="30">
        <f>IFERROR(INDIRECT("'"&amp;$B21&amp;"'!D16"),"")</f>
        <v/>
      </c>
      <c r="AJ21" s="30">
        <f>IFERROR(INDIRECT("'"&amp;$B21&amp;"'!C17"),"")</f>
        <v/>
      </c>
      <c r="AK21" s="30">
        <f>IFERROR(INDIRECT("'"&amp;$B21&amp;"'!D17"),"")</f>
        <v/>
      </c>
      <c r="AL21" s="30">
        <f>IFERROR(INDIRECT("'"&amp;$B21&amp;"'!C18"),"")</f>
        <v/>
      </c>
      <c r="AM21" s="30">
        <f>IFERROR(INDIRECT("'"&amp;$B21&amp;"'!D18"),"")</f>
        <v/>
      </c>
      <c r="AN21" s="30">
        <f>IFERROR(INDIRECT("'"&amp;$B21&amp;"'!C19"),"")</f>
        <v/>
      </c>
      <c r="AO21" s="30">
        <f>IFERROR(INDIRECT("'"&amp;$B21&amp;"'!D19"),"")</f>
        <v/>
      </c>
      <c r="AP21" s="30">
        <f>IFERROR(INDIRECT("'"&amp;$B21&amp;"'!C20"),"")</f>
        <v/>
      </c>
      <c r="AQ21" s="30">
        <f>IFERROR(INDIRECT("'"&amp;$B21&amp;"'!D20"),"")</f>
        <v/>
      </c>
      <c r="AR21" s="30">
        <f>IFERROR(INDIRECT("'"&amp;$B21&amp;"'!C21"),"")</f>
        <v/>
      </c>
      <c r="AS21" s="30">
        <f>IFERROR(INDIRECT("'"&amp;$B21&amp;"'!D21"),"")</f>
        <v/>
      </c>
    </row>
    <row r="22" ht="17" customHeight="1">
      <c r="A22" s="20" t="n">
        <v>12</v>
      </c>
      <c r="B22" s="21" t="n"/>
      <c r="C22" s="22">
        <f>IFERROR(INDIRECT("'"&amp;$B22&amp;"'!A7"),"")</f>
        <v/>
      </c>
      <c r="D22" s="22">
        <f>IFERROR(INDIRECT("'"&amp;$B22&amp;"'!A9"),"")</f>
        <v/>
      </c>
      <c r="E22" s="23">
        <f>IFERROR(INDIRECT("'"&amp;$B22&amp;"'!F7"),"")</f>
        <v/>
      </c>
      <c r="F22" s="23">
        <f>IFERROR(INDIRECT("'"&amp;$B22&amp;"'!H7"),"")</f>
        <v/>
      </c>
      <c r="G22" s="23">
        <f>IFERROR(INDIRECT("'"&amp;$B22&amp;"'!J7"),"")</f>
        <v/>
      </c>
      <c r="H22" s="24">
        <f>IFERROR(INDIRECT("'"&amp;$B22&amp;"'!H9"),"")</f>
        <v/>
      </c>
      <c r="I22" s="25">
        <f>IFERROR(INDIRECT("'"&amp;$B22&amp;"'!J9"),"")</f>
        <v/>
      </c>
      <c r="J22" s="26">
        <f>IFERROR(INDIRECT("'"&amp;$B22&amp;"'!A13"),"")</f>
        <v/>
      </c>
      <c r="K22" s="26">
        <f>IFERROR(INDIRECT("'"&amp;$B22&amp;"'!C13"),"")</f>
        <v/>
      </c>
      <c r="L22" s="26">
        <f>IFERROR(INDIRECT("'"&amp;$B22&amp;"'!I24"),"")</f>
        <v/>
      </c>
      <c r="M22" s="26">
        <f>IFERROR(INDIRECT("'"&amp;$B22&amp;"'!E13"),"")</f>
        <v/>
      </c>
      <c r="N22" s="27">
        <f>IFERROR(INDIRECT("'"&amp;$B22&amp;"'!G13"),"")</f>
        <v/>
      </c>
      <c r="O22" s="27">
        <f>IFERROR(INDIRECT("'"&amp;$B22&amp;"'!H13"),"")</f>
        <v/>
      </c>
      <c r="P22" s="28">
        <f>IF(OR($N22="",$O22=""),"",ROUND(($N22-$O22)*100,1))</f>
        <v/>
      </c>
      <c r="Q22" s="26">
        <f>IFERROR(INDIRECT("'"&amp;$B22&amp;"'!I13"),"")</f>
        <v/>
      </c>
      <c r="R22" s="29">
        <f>IF($N22="","",IF($N22&gt;=0.35,"Margem boa",IF($N22&gt;=0.25,"Margem apertada","Margem crítica")))</f>
        <v/>
      </c>
      <c r="AH22" s="30">
        <f>IFERROR(INDIRECT("'"&amp;$B22&amp;"'!C16"),"")</f>
        <v/>
      </c>
      <c r="AI22" s="30">
        <f>IFERROR(INDIRECT("'"&amp;$B22&amp;"'!D16"),"")</f>
        <v/>
      </c>
      <c r="AJ22" s="30">
        <f>IFERROR(INDIRECT("'"&amp;$B22&amp;"'!C17"),"")</f>
        <v/>
      </c>
      <c r="AK22" s="30">
        <f>IFERROR(INDIRECT("'"&amp;$B22&amp;"'!D17"),"")</f>
        <v/>
      </c>
      <c r="AL22" s="30">
        <f>IFERROR(INDIRECT("'"&amp;$B22&amp;"'!C18"),"")</f>
        <v/>
      </c>
      <c r="AM22" s="30">
        <f>IFERROR(INDIRECT("'"&amp;$B22&amp;"'!D18"),"")</f>
        <v/>
      </c>
      <c r="AN22" s="30">
        <f>IFERROR(INDIRECT("'"&amp;$B22&amp;"'!C19"),"")</f>
        <v/>
      </c>
      <c r="AO22" s="30">
        <f>IFERROR(INDIRECT("'"&amp;$B22&amp;"'!D19"),"")</f>
        <v/>
      </c>
      <c r="AP22" s="30">
        <f>IFERROR(INDIRECT("'"&amp;$B22&amp;"'!C20"),"")</f>
        <v/>
      </c>
      <c r="AQ22" s="30">
        <f>IFERROR(INDIRECT("'"&amp;$B22&amp;"'!D20"),"")</f>
        <v/>
      </c>
      <c r="AR22" s="30">
        <f>IFERROR(INDIRECT("'"&amp;$B22&amp;"'!C21"),"")</f>
        <v/>
      </c>
      <c r="AS22" s="30">
        <f>IFERROR(INDIRECT("'"&amp;$B22&amp;"'!D21"),"")</f>
        <v/>
      </c>
    </row>
    <row r="23" ht="17" customHeight="1">
      <c r="A23" s="20" t="n">
        <v>13</v>
      </c>
      <c r="B23" s="21" t="n"/>
      <c r="C23" s="22">
        <f>IFERROR(INDIRECT("'"&amp;$B23&amp;"'!A7"),"")</f>
        <v/>
      </c>
      <c r="D23" s="22">
        <f>IFERROR(INDIRECT("'"&amp;$B23&amp;"'!A9"),"")</f>
        <v/>
      </c>
      <c r="E23" s="23">
        <f>IFERROR(INDIRECT("'"&amp;$B23&amp;"'!F7"),"")</f>
        <v/>
      </c>
      <c r="F23" s="23">
        <f>IFERROR(INDIRECT("'"&amp;$B23&amp;"'!H7"),"")</f>
        <v/>
      </c>
      <c r="G23" s="23">
        <f>IFERROR(INDIRECT("'"&amp;$B23&amp;"'!J7"),"")</f>
        <v/>
      </c>
      <c r="H23" s="24">
        <f>IFERROR(INDIRECT("'"&amp;$B23&amp;"'!H9"),"")</f>
        <v/>
      </c>
      <c r="I23" s="25">
        <f>IFERROR(INDIRECT("'"&amp;$B23&amp;"'!J9"),"")</f>
        <v/>
      </c>
      <c r="J23" s="26">
        <f>IFERROR(INDIRECT("'"&amp;$B23&amp;"'!A13"),"")</f>
        <v/>
      </c>
      <c r="K23" s="26">
        <f>IFERROR(INDIRECT("'"&amp;$B23&amp;"'!C13"),"")</f>
        <v/>
      </c>
      <c r="L23" s="26">
        <f>IFERROR(INDIRECT("'"&amp;$B23&amp;"'!I24"),"")</f>
        <v/>
      </c>
      <c r="M23" s="26">
        <f>IFERROR(INDIRECT("'"&amp;$B23&amp;"'!E13"),"")</f>
        <v/>
      </c>
      <c r="N23" s="27">
        <f>IFERROR(INDIRECT("'"&amp;$B23&amp;"'!G13"),"")</f>
        <v/>
      </c>
      <c r="O23" s="27">
        <f>IFERROR(INDIRECT("'"&amp;$B23&amp;"'!H13"),"")</f>
        <v/>
      </c>
      <c r="P23" s="28">
        <f>IF(OR($N23="",$O23=""),"",ROUND(($N23-$O23)*100,1))</f>
        <v/>
      </c>
      <c r="Q23" s="26">
        <f>IFERROR(INDIRECT("'"&amp;$B23&amp;"'!I13"),"")</f>
        <v/>
      </c>
      <c r="R23" s="29">
        <f>IF($N23="","",IF($N23&gt;=0.35,"Margem boa",IF($N23&gt;=0.25,"Margem apertada","Margem crítica")))</f>
        <v/>
      </c>
      <c r="AH23" s="30">
        <f>IFERROR(INDIRECT("'"&amp;$B23&amp;"'!C16"),"")</f>
        <v/>
      </c>
      <c r="AI23" s="30">
        <f>IFERROR(INDIRECT("'"&amp;$B23&amp;"'!D16"),"")</f>
        <v/>
      </c>
      <c r="AJ23" s="30">
        <f>IFERROR(INDIRECT("'"&amp;$B23&amp;"'!C17"),"")</f>
        <v/>
      </c>
      <c r="AK23" s="30">
        <f>IFERROR(INDIRECT("'"&amp;$B23&amp;"'!D17"),"")</f>
        <v/>
      </c>
      <c r="AL23" s="30">
        <f>IFERROR(INDIRECT("'"&amp;$B23&amp;"'!C18"),"")</f>
        <v/>
      </c>
      <c r="AM23" s="30">
        <f>IFERROR(INDIRECT("'"&amp;$B23&amp;"'!D18"),"")</f>
        <v/>
      </c>
      <c r="AN23" s="30">
        <f>IFERROR(INDIRECT("'"&amp;$B23&amp;"'!C19"),"")</f>
        <v/>
      </c>
      <c r="AO23" s="30">
        <f>IFERROR(INDIRECT("'"&amp;$B23&amp;"'!D19"),"")</f>
        <v/>
      </c>
      <c r="AP23" s="30">
        <f>IFERROR(INDIRECT("'"&amp;$B23&amp;"'!C20"),"")</f>
        <v/>
      </c>
      <c r="AQ23" s="30">
        <f>IFERROR(INDIRECT("'"&amp;$B23&amp;"'!D20"),"")</f>
        <v/>
      </c>
      <c r="AR23" s="30">
        <f>IFERROR(INDIRECT("'"&amp;$B23&amp;"'!C21"),"")</f>
        <v/>
      </c>
      <c r="AS23" s="30">
        <f>IFERROR(INDIRECT("'"&amp;$B23&amp;"'!D21"),"")</f>
        <v/>
      </c>
    </row>
    <row r="24" ht="17" customHeight="1">
      <c r="A24" s="20" t="n">
        <v>14</v>
      </c>
      <c r="B24" s="21" t="n"/>
      <c r="C24" s="22">
        <f>IFERROR(INDIRECT("'"&amp;$B24&amp;"'!A7"),"")</f>
        <v/>
      </c>
      <c r="D24" s="22">
        <f>IFERROR(INDIRECT("'"&amp;$B24&amp;"'!A9"),"")</f>
        <v/>
      </c>
      <c r="E24" s="23">
        <f>IFERROR(INDIRECT("'"&amp;$B24&amp;"'!F7"),"")</f>
        <v/>
      </c>
      <c r="F24" s="23">
        <f>IFERROR(INDIRECT("'"&amp;$B24&amp;"'!H7"),"")</f>
        <v/>
      </c>
      <c r="G24" s="23">
        <f>IFERROR(INDIRECT("'"&amp;$B24&amp;"'!J7"),"")</f>
        <v/>
      </c>
      <c r="H24" s="24">
        <f>IFERROR(INDIRECT("'"&amp;$B24&amp;"'!H9"),"")</f>
        <v/>
      </c>
      <c r="I24" s="25">
        <f>IFERROR(INDIRECT("'"&amp;$B24&amp;"'!J9"),"")</f>
        <v/>
      </c>
      <c r="J24" s="26">
        <f>IFERROR(INDIRECT("'"&amp;$B24&amp;"'!A13"),"")</f>
        <v/>
      </c>
      <c r="K24" s="26">
        <f>IFERROR(INDIRECT("'"&amp;$B24&amp;"'!C13"),"")</f>
        <v/>
      </c>
      <c r="L24" s="26">
        <f>IFERROR(INDIRECT("'"&amp;$B24&amp;"'!I24"),"")</f>
        <v/>
      </c>
      <c r="M24" s="26">
        <f>IFERROR(INDIRECT("'"&amp;$B24&amp;"'!E13"),"")</f>
        <v/>
      </c>
      <c r="N24" s="27">
        <f>IFERROR(INDIRECT("'"&amp;$B24&amp;"'!G13"),"")</f>
        <v/>
      </c>
      <c r="O24" s="27">
        <f>IFERROR(INDIRECT("'"&amp;$B24&amp;"'!H13"),"")</f>
        <v/>
      </c>
      <c r="P24" s="28">
        <f>IF(OR($N24="",$O24=""),"",ROUND(($N24-$O24)*100,1))</f>
        <v/>
      </c>
      <c r="Q24" s="26">
        <f>IFERROR(INDIRECT("'"&amp;$B24&amp;"'!I13"),"")</f>
        <v/>
      </c>
      <c r="R24" s="29">
        <f>IF($N24="","",IF($N24&gt;=0.35,"Margem boa",IF($N24&gt;=0.25,"Margem apertada","Margem crítica")))</f>
        <v/>
      </c>
      <c r="AH24" s="30">
        <f>IFERROR(INDIRECT("'"&amp;$B24&amp;"'!C16"),"")</f>
        <v/>
      </c>
      <c r="AI24" s="30">
        <f>IFERROR(INDIRECT("'"&amp;$B24&amp;"'!D16"),"")</f>
        <v/>
      </c>
      <c r="AJ24" s="30">
        <f>IFERROR(INDIRECT("'"&amp;$B24&amp;"'!C17"),"")</f>
        <v/>
      </c>
      <c r="AK24" s="30">
        <f>IFERROR(INDIRECT("'"&amp;$B24&amp;"'!D17"),"")</f>
        <v/>
      </c>
      <c r="AL24" s="30">
        <f>IFERROR(INDIRECT("'"&amp;$B24&amp;"'!C18"),"")</f>
        <v/>
      </c>
      <c r="AM24" s="30">
        <f>IFERROR(INDIRECT("'"&amp;$B24&amp;"'!D18"),"")</f>
        <v/>
      </c>
      <c r="AN24" s="30">
        <f>IFERROR(INDIRECT("'"&amp;$B24&amp;"'!C19"),"")</f>
        <v/>
      </c>
      <c r="AO24" s="30">
        <f>IFERROR(INDIRECT("'"&amp;$B24&amp;"'!D19"),"")</f>
        <v/>
      </c>
      <c r="AP24" s="30">
        <f>IFERROR(INDIRECT("'"&amp;$B24&amp;"'!C20"),"")</f>
        <v/>
      </c>
      <c r="AQ24" s="30">
        <f>IFERROR(INDIRECT("'"&amp;$B24&amp;"'!D20"),"")</f>
        <v/>
      </c>
      <c r="AR24" s="30">
        <f>IFERROR(INDIRECT("'"&amp;$B24&amp;"'!C21"),"")</f>
        <v/>
      </c>
      <c r="AS24" s="30">
        <f>IFERROR(INDIRECT("'"&amp;$B24&amp;"'!D21"),"")</f>
        <v/>
      </c>
    </row>
    <row r="25" ht="17" customHeight="1">
      <c r="A25" s="20" t="n">
        <v>15</v>
      </c>
      <c r="B25" s="21" t="n"/>
      <c r="C25" s="22">
        <f>IFERROR(INDIRECT("'"&amp;$B25&amp;"'!A7"),"")</f>
        <v/>
      </c>
      <c r="D25" s="22">
        <f>IFERROR(INDIRECT("'"&amp;$B25&amp;"'!A9"),"")</f>
        <v/>
      </c>
      <c r="E25" s="23">
        <f>IFERROR(INDIRECT("'"&amp;$B25&amp;"'!F7"),"")</f>
        <v/>
      </c>
      <c r="F25" s="23">
        <f>IFERROR(INDIRECT("'"&amp;$B25&amp;"'!H7"),"")</f>
        <v/>
      </c>
      <c r="G25" s="23">
        <f>IFERROR(INDIRECT("'"&amp;$B25&amp;"'!J7"),"")</f>
        <v/>
      </c>
      <c r="H25" s="24">
        <f>IFERROR(INDIRECT("'"&amp;$B25&amp;"'!H9"),"")</f>
        <v/>
      </c>
      <c r="I25" s="25">
        <f>IFERROR(INDIRECT("'"&amp;$B25&amp;"'!J9"),"")</f>
        <v/>
      </c>
      <c r="J25" s="26">
        <f>IFERROR(INDIRECT("'"&amp;$B25&amp;"'!A13"),"")</f>
        <v/>
      </c>
      <c r="K25" s="26">
        <f>IFERROR(INDIRECT("'"&amp;$B25&amp;"'!C13"),"")</f>
        <v/>
      </c>
      <c r="L25" s="26">
        <f>IFERROR(INDIRECT("'"&amp;$B25&amp;"'!I24"),"")</f>
        <v/>
      </c>
      <c r="M25" s="26">
        <f>IFERROR(INDIRECT("'"&amp;$B25&amp;"'!E13"),"")</f>
        <v/>
      </c>
      <c r="N25" s="27">
        <f>IFERROR(INDIRECT("'"&amp;$B25&amp;"'!G13"),"")</f>
        <v/>
      </c>
      <c r="O25" s="27">
        <f>IFERROR(INDIRECT("'"&amp;$B25&amp;"'!H13"),"")</f>
        <v/>
      </c>
      <c r="P25" s="28">
        <f>IF(OR($N25="",$O25=""),"",ROUND(($N25-$O25)*100,1))</f>
        <v/>
      </c>
      <c r="Q25" s="26">
        <f>IFERROR(INDIRECT("'"&amp;$B25&amp;"'!I13"),"")</f>
        <v/>
      </c>
      <c r="R25" s="29">
        <f>IF($N25="","",IF($N25&gt;=0.35,"Margem boa",IF($N25&gt;=0.25,"Margem apertada","Margem crítica")))</f>
        <v/>
      </c>
      <c r="AH25" s="30">
        <f>IFERROR(INDIRECT("'"&amp;$B25&amp;"'!C16"),"")</f>
        <v/>
      </c>
      <c r="AI25" s="30">
        <f>IFERROR(INDIRECT("'"&amp;$B25&amp;"'!D16"),"")</f>
        <v/>
      </c>
      <c r="AJ25" s="30">
        <f>IFERROR(INDIRECT("'"&amp;$B25&amp;"'!C17"),"")</f>
        <v/>
      </c>
      <c r="AK25" s="30">
        <f>IFERROR(INDIRECT("'"&amp;$B25&amp;"'!D17"),"")</f>
        <v/>
      </c>
      <c r="AL25" s="30">
        <f>IFERROR(INDIRECT("'"&amp;$B25&amp;"'!C18"),"")</f>
        <v/>
      </c>
      <c r="AM25" s="30">
        <f>IFERROR(INDIRECT("'"&amp;$B25&amp;"'!D18"),"")</f>
        <v/>
      </c>
      <c r="AN25" s="30">
        <f>IFERROR(INDIRECT("'"&amp;$B25&amp;"'!C19"),"")</f>
        <v/>
      </c>
      <c r="AO25" s="30">
        <f>IFERROR(INDIRECT("'"&amp;$B25&amp;"'!D19"),"")</f>
        <v/>
      </c>
      <c r="AP25" s="30">
        <f>IFERROR(INDIRECT("'"&amp;$B25&amp;"'!C20"),"")</f>
        <v/>
      </c>
      <c r="AQ25" s="30">
        <f>IFERROR(INDIRECT("'"&amp;$B25&amp;"'!D20"),"")</f>
        <v/>
      </c>
      <c r="AR25" s="30">
        <f>IFERROR(INDIRECT("'"&amp;$B25&amp;"'!C21"),"")</f>
        <v/>
      </c>
      <c r="AS25" s="30">
        <f>IFERROR(INDIRECT("'"&amp;$B25&amp;"'!D21"),"")</f>
        <v/>
      </c>
    </row>
    <row r="26" ht="17" customHeight="1">
      <c r="A26" s="20" t="n">
        <v>16</v>
      </c>
      <c r="B26" s="21" t="n"/>
      <c r="C26" s="22">
        <f>IFERROR(INDIRECT("'"&amp;$B26&amp;"'!A7"),"")</f>
        <v/>
      </c>
      <c r="D26" s="22">
        <f>IFERROR(INDIRECT("'"&amp;$B26&amp;"'!A9"),"")</f>
        <v/>
      </c>
      <c r="E26" s="23">
        <f>IFERROR(INDIRECT("'"&amp;$B26&amp;"'!F7"),"")</f>
        <v/>
      </c>
      <c r="F26" s="23">
        <f>IFERROR(INDIRECT("'"&amp;$B26&amp;"'!H7"),"")</f>
        <v/>
      </c>
      <c r="G26" s="23">
        <f>IFERROR(INDIRECT("'"&amp;$B26&amp;"'!J7"),"")</f>
        <v/>
      </c>
      <c r="H26" s="24">
        <f>IFERROR(INDIRECT("'"&amp;$B26&amp;"'!H9"),"")</f>
        <v/>
      </c>
      <c r="I26" s="25">
        <f>IFERROR(INDIRECT("'"&amp;$B26&amp;"'!J9"),"")</f>
        <v/>
      </c>
      <c r="J26" s="26">
        <f>IFERROR(INDIRECT("'"&amp;$B26&amp;"'!A13"),"")</f>
        <v/>
      </c>
      <c r="K26" s="26">
        <f>IFERROR(INDIRECT("'"&amp;$B26&amp;"'!C13"),"")</f>
        <v/>
      </c>
      <c r="L26" s="26">
        <f>IFERROR(INDIRECT("'"&amp;$B26&amp;"'!I24"),"")</f>
        <v/>
      </c>
      <c r="M26" s="26">
        <f>IFERROR(INDIRECT("'"&amp;$B26&amp;"'!E13"),"")</f>
        <v/>
      </c>
      <c r="N26" s="27">
        <f>IFERROR(INDIRECT("'"&amp;$B26&amp;"'!G13"),"")</f>
        <v/>
      </c>
      <c r="O26" s="27">
        <f>IFERROR(INDIRECT("'"&amp;$B26&amp;"'!H13"),"")</f>
        <v/>
      </c>
      <c r="P26" s="28">
        <f>IF(OR($N26="",$O26=""),"",ROUND(($N26-$O26)*100,1))</f>
        <v/>
      </c>
      <c r="Q26" s="26">
        <f>IFERROR(INDIRECT("'"&amp;$B26&amp;"'!I13"),"")</f>
        <v/>
      </c>
      <c r="R26" s="29">
        <f>IF($N26="","",IF($N26&gt;=0.35,"Margem boa",IF($N26&gt;=0.25,"Margem apertada","Margem crítica")))</f>
        <v/>
      </c>
      <c r="AH26" s="30">
        <f>IFERROR(INDIRECT("'"&amp;$B26&amp;"'!C16"),"")</f>
        <v/>
      </c>
      <c r="AI26" s="30">
        <f>IFERROR(INDIRECT("'"&amp;$B26&amp;"'!D16"),"")</f>
        <v/>
      </c>
      <c r="AJ26" s="30">
        <f>IFERROR(INDIRECT("'"&amp;$B26&amp;"'!C17"),"")</f>
        <v/>
      </c>
      <c r="AK26" s="30">
        <f>IFERROR(INDIRECT("'"&amp;$B26&amp;"'!D17"),"")</f>
        <v/>
      </c>
      <c r="AL26" s="30">
        <f>IFERROR(INDIRECT("'"&amp;$B26&amp;"'!C18"),"")</f>
        <v/>
      </c>
      <c r="AM26" s="30">
        <f>IFERROR(INDIRECT("'"&amp;$B26&amp;"'!D18"),"")</f>
        <v/>
      </c>
      <c r="AN26" s="30">
        <f>IFERROR(INDIRECT("'"&amp;$B26&amp;"'!C19"),"")</f>
        <v/>
      </c>
      <c r="AO26" s="30">
        <f>IFERROR(INDIRECT("'"&amp;$B26&amp;"'!D19"),"")</f>
        <v/>
      </c>
      <c r="AP26" s="30">
        <f>IFERROR(INDIRECT("'"&amp;$B26&amp;"'!C20"),"")</f>
        <v/>
      </c>
      <c r="AQ26" s="30">
        <f>IFERROR(INDIRECT("'"&amp;$B26&amp;"'!D20"),"")</f>
        <v/>
      </c>
      <c r="AR26" s="30">
        <f>IFERROR(INDIRECT("'"&amp;$B26&amp;"'!C21"),"")</f>
        <v/>
      </c>
      <c r="AS26" s="30">
        <f>IFERROR(INDIRECT("'"&amp;$B26&amp;"'!D21"),"")</f>
        <v/>
      </c>
    </row>
    <row r="27" ht="17" customHeight="1">
      <c r="A27" s="20" t="n">
        <v>17</v>
      </c>
      <c r="B27" s="21" t="n"/>
      <c r="C27" s="22">
        <f>IFERROR(INDIRECT("'"&amp;$B27&amp;"'!A7"),"")</f>
        <v/>
      </c>
      <c r="D27" s="22">
        <f>IFERROR(INDIRECT("'"&amp;$B27&amp;"'!A9"),"")</f>
        <v/>
      </c>
      <c r="E27" s="23">
        <f>IFERROR(INDIRECT("'"&amp;$B27&amp;"'!F7"),"")</f>
        <v/>
      </c>
      <c r="F27" s="23">
        <f>IFERROR(INDIRECT("'"&amp;$B27&amp;"'!H7"),"")</f>
        <v/>
      </c>
      <c r="G27" s="23">
        <f>IFERROR(INDIRECT("'"&amp;$B27&amp;"'!J7"),"")</f>
        <v/>
      </c>
      <c r="H27" s="24">
        <f>IFERROR(INDIRECT("'"&amp;$B27&amp;"'!H9"),"")</f>
        <v/>
      </c>
      <c r="I27" s="25">
        <f>IFERROR(INDIRECT("'"&amp;$B27&amp;"'!J9"),"")</f>
        <v/>
      </c>
      <c r="J27" s="26">
        <f>IFERROR(INDIRECT("'"&amp;$B27&amp;"'!A13"),"")</f>
        <v/>
      </c>
      <c r="K27" s="26">
        <f>IFERROR(INDIRECT("'"&amp;$B27&amp;"'!C13"),"")</f>
        <v/>
      </c>
      <c r="L27" s="26">
        <f>IFERROR(INDIRECT("'"&amp;$B27&amp;"'!I24"),"")</f>
        <v/>
      </c>
      <c r="M27" s="26">
        <f>IFERROR(INDIRECT("'"&amp;$B27&amp;"'!E13"),"")</f>
        <v/>
      </c>
      <c r="N27" s="27">
        <f>IFERROR(INDIRECT("'"&amp;$B27&amp;"'!G13"),"")</f>
        <v/>
      </c>
      <c r="O27" s="27">
        <f>IFERROR(INDIRECT("'"&amp;$B27&amp;"'!H13"),"")</f>
        <v/>
      </c>
      <c r="P27" s="28">
        <f>IF(OR($N27="",$O27=""),"",ROUND(($N27-$O27)*100,1))</f>
        <v/>
      </c>
      <c r="Q27" s="26">
        <f>IFERROR(INDIRECT("'"&amp;$B27&amp;"'!I13"),"")</f>
        <v/>
      </c>
      <c r="R27" s="29">
        <f>IF($N27="","",IF($N27&gt;=0.35,"Margem boa",IF($N27&gt;=0.25,"Margem apertada","Margem crítica")))</f>
        <v/>
      </c>
      <c r="AH27" s="30">
        <f>IFERROR(INDIRECT("'"&amp;$B27&amp;"'!C16"),"")</f>
        <v/>
      </c>
      <c r="AI27" s="30">
        <f>IFERROR(INDIRECT("'"&amp;$B27&amp;"'!D16"),"")</f>
        <v/>
      </c>
      <c r="AJ27" s="30">
        <f>IFERROR(INDIRECT("'"&amp;$B27&amp;"'!C17"),"")</f>
        <v/>
      </c>
      <c r="AK27" s="30">
        <f>IFERROR(INDIRECT("'"&amp;$B27&amp;"'!D17"),"")</f>
        <v/>
      </c>
      <c r="AL27" s="30">
        <f>IFERROR(INDIRECT("'"&amp;$B27&amp;"'!C18"),"")</f>
        <v/>
      </c>
      <c r="AM27" s="30">
        <f>IFERROR(INDIRECT("'"&amp;$B27&amp;"'!D18"),"")</f>
        <v/>
      </c>
      <c r="AN27" s="30">
        <f>IFERROR(INDIRECT("'"&amp;$B27&amp;"'!C19"),"")</f>
        <v/>
      </c>
      <c r="AO27" s="30">
        <f>IFERROR(INDIRECT("'"&amp;$B27&amp;"'!D19"),"")</f>
        <v/>
      </c>
      <c r="AP27" s="30">
        <f>IFERROR(INDIRECT("'"&amp;$B27&amp;"'!C20"),"")</f>
        <v/>
      </c>
      <c r="AQ27" s="30">
        <f>IFERROR(INDIRECT("'"&amp;$B27&amp;"'!D20"),"")</f>
        <v/>
      </c>
      <c r="AR27" s="30">
        <f>IFERROR(INDIRECT("'"&amp;$B27&amp;"'!C21"),"")</f>
        <v/>
      </c>
      <c r="AS27" s="30">
        <f>IFERROR(INDIRECT("'"&amp;$B27&amp;"'!D21"),"")</f>
        <v/>
      </c>
    </row>
    <row r="28" ht="17" customHeight="1">
      <c r="A28" s="20" t="n">
        <v>18</v>
      </c>
      <c r="B28" s="21" t="n"/>
      <c r="C28" s="22">
        <f>IFERROR(INDIRECT("'"&amp;$B28&amp;"'!A7"),"")</f>
        <v/>
      </c>
      <c r="D28" s="22">
        <f>IFERROR(INDIRECT("'"&amp;$B28&amp;"'!A9"),"")</f>
        <v/>
      </c>
      <c r="E28" s="23">
        <f>IFERROR(INDIRECT("'"&amp;$B28&amp;"'!F7"),"")</f>
        <v/>
      </c>
      <c r="F28" s="23">
        <f>IFERROR(INDIRECT("'"&amp;$B28&amp;"'!H7"),"")</f>
        <v/>
      </c>
      <c r="G28" s="23">
        <f>IFERROR(INDIRECT("'"&amp;$B28&amp;"'!J7"),"")</f>
        <v/>
      </c>
      <c r="H28" s="24">
        <f>IFERROR(INDIRECT("'"&amp;$B28&amp;"'!H9"),"")</f>
        <v/>
      </c>
      <c r="I28" s="25">
        <f>IFERROR(INDIRECT("'"&amp;$B28&amp;"'!J9"),"")</f>
        <v/>
      </c>
      <c r="J28" s="26">
        <f>IFERROR(INDIRECT("'"&amp;$B28&amp;"'!A13"),"")</f>
        <v/>
      </c>
      <c r="K28" s="26">
        <f>IFERROR(INDIRECT("'"&amp;$B28&amp;"'!C13"),"")</f>
        <v/>
      </c>
      <c r="L28" s="26">
        <f>IFERROR(INDIRECT("'"&amp;$B28&amp;"'!I24"),"")</f>
        <v/>
      </c>
      <c r="M28" s="26">
        <f>IFERROR(INDIRECT("'"&amp;$B28&amp;"'!E13"),"")</f>
        <v/>
      </c>
      <c r="N28" s="27">
        <f>IFERROR(INDIRECT("'"&amp;$B28&amp;"'!G13"),"")</f>
        <v/>
      </c>
      <c r="O28" s="27">
        <f>IFERROR(INDIRECT("'"&amp;$B28&amp;"'!H13"),"")</f>
        <v/>
      </c>
      <c r="P28" s="28">
        <f>IF(OR($N28="",$O28=""),"",ROUND(($N28-$O28)*100,1))</f>
        <v/>
      </c>
      <c r="Q28" s="26">
        <f>IFERROR(INDIRECT("'"&amp;$B28&amp;"'!I13"),"")</f>
        <v/>
      </c>
      <c r="R28" s="29">
        <f>IF($N28="","",IF($N28&gt;=0.35,"Margem boa",IF($N28&gt;=0.25,"Margem apertada","Margem crítica")))</f>
        <v/>
      </c>
      <c r="AH28" s="30">
        <f>IFERROR(INDIRECT("'"&amp;$B28&amp;"'!C16"),"")</f>
        <v/>
      </c>
      <c r="AI28" s="30">
        <f>IFERROR(INDIRECT("'"&amp;$B28&amp;"'!D16"),"")</f>
        <v/>
      </c>
      <c r="AJ28" s="30">
        <f>IFERROR(INDIRECT("'"&amp;$B28&amp;"'!C17"),"")</f>
        <v/>
      </c>
      <c r="AK28" s="30">
        <f>IFERROR(INDIRECT("'"&amp;$B28&amp;"'!D17"),"")</f>
        <v/>
      </c>
      <c r="AL28" s="30">
        <f>IFERROR(INDIRECT("'"&amp;$B28&amp;"'!C18"),"")</f>
        <v/>
      </c>
      <c r="AM28" s="30">
        <f>IFERROR(INDIRECT("'"&amp;$B28&amp;"'!D18"),"")</f>
        <v/>
      </c>
      <c r="AN28" s="30">
        <f>IFERROR(INDIRECT("'"&amp;$B28&amp;"'!C19"),"")</f>
        <v/>
      </c>
      <c r="AO28" s="30">
        <f>IFERROR(INDIRECT("'"&amp;$B28&amp;"'!D19"),"")</f>
        <v/>
      </c>
      <c r="AP28" s="30">
        <f>IFERROR(INDIRECT("'"&amp;$B28&amp;"'!C20"),"")</f>
        <v/>
      </c>
      <c r="AQ28" s="30">
        <f>IFERROR(INDIRECT("'"&amp;$B28&amp;"'!D20"),"")</f>
        <v/>
      </c>
      <c r="AR28" s="30">
        <f>IFERROR(INDIRECT("'"&amp;$B28&amp;"'!C21"),"")</f>
        <v/>
      </c>
      <c r="AS28" s="30">
        <f>IFERROR(INDIRECT("'"&amp;$B28&amp;"'!D21"),"")</f>
        <v/>
      </c>
    </row>
    <row r="29" ht="17" customHeight="1">
      <c r="A29" s="20" t="n">
        <v>19</v>
      </c>
      <c r="B29" s="21" t="n"/>
      <c r="C29" s="22">
        <f>IFERROR(INDIRECT("'"&amp;$B29&amp;"'!A7"),"")</f>
        <v/>
      </c>
      <c r="D29" s="22">
        <f>IFERROR(INDIRECT("'"&amp;$B29&amp;"'!A9"),"")</f>
        <v/>
      </c>
      <c r="E29" s="23">
        <f>IFERROR(INDIRECT("'"&amp;$B29&amp;"'!F7"),"")</f>
        <v/>
      </c>
      <c r="F29" s="23">
        <f>IFERROR(INDIRECT("'"&amp;$B29&amp;"'!H7"),"")</f>
        <v/>
      </c>
      <c r="G29" s="23">
        <f>IFERROR(INDIRECT("'"&amp;$B29&amp;"'!J7"),"")</f>
        <v/>
      </c>
      <c r="H29" s="24">
        <f>IFERROR(INDIRECT("'"&amp;$B29&amp;"'!H9"),"")</f>
        <v/>
      </c>
      <c r="I29" s="25">
        <f>IFERROR(INDIRECT("'"&amp;$B29&amp;"'!J9"),"")</f>
        <v/>
      </c>
      <c r="J29" s="26">
        <f>IFERROR(INDIRECT("'"&amp;$B29&amp;"'!A13"),"")</f>
        <v/>
      </c>
      <c r="K29" s="26">
        <f>IFERROR(INDIRECT("'"&amp;$B29&amp;"'!C13"),"")</f>
        <v/>
      </c>
      <c r="L29" s="26">
        <f>IFERROR(INDIRECT("'"&amp;$B29&amp;"'!I24"),"")</f>
        <v/>
      </c>
      <c r="M29" s="26">
        <f>IFERROR(INDIRECT("'"&amp;$B29&amp;"'!E13"),"")</f>
        <v/>
      </c>
      <c r="N29" s="27">
        <f>IFERROR(INDIRECT("'"&amp;$B29&amp;"'!G13"),"")</f>
        <v/>
      </c>
      <c r="O29" s="27">
        <f>IFERROR(INDIRECT("'"&amp;$B29&amp;"'!H13"),"")</f>
        <v/>
      </c>
      <c r="P29" s="28">
        <f>IF(OR($N29="",$O29=""),"",ROUND(($N29-$O29)*100,1))</f>
        <v/>
      </c>
      <c r="Q29" s="26">
        <f>IFERROR(INDIRECT("'"&amp;$B29&amp;"'!I13"),"")</f>
        <v/>
      </c>
      <c r="R29" s="29">
        <f>IF($N29="","",IF($N29&gt;=0.35,"Margem boa",IF($N29&gt;=0.25,"Margem apertada","Margem crítica")))</f>
        <v/>
      </c>
      <c r="AH29" s="30">
        <f>IFERROR(INDIRECT("'"&amp;$B29&amp;"'!C16"),"")</f>
        <v/>
      </c>
      <c r="AI29" s="30">
        <f>IFERROR(INDIRECT("'"&amp;$B29&amp;"'!D16"),"")</f>
        <v/>
      </c>
      <c r="AJ29" s="30">
        <f>IFERROR(INDIRECT("'"&amp;$B29&amp;"'!C17"),"")</f>
        <v/>
      </c>
      <c r="AK29" s="30">
        <f>IFERROR(INDIRECT("'"&amp;$B29&amp;"'!D17"),"")</f>
        <v/>
      </c>
      <c r="AL29" s="30">
        <f>IFERROR(INDIRECT("'"&amp;$B29&amp;"'!C18"),"")</f>
        <v/>
      </c>
      <c r="AM29" s="30">
        <f>IFERROR(INDIRECT("'"&amp;$B29&amp;"'!D18"),"")</f>
        <v/>
      </c>
      <c r="AN29" s="30">
        <f>IFERROR(INDIRECT("'"&amp;$B29&amp;"'!C19"),"")</f>
        <v/>
      </c>
      <c r="AO29" s="30">
        <f>IFERROR(INDIRECT("'"&amp;$B29&amp;"'!D19"),"")</f>
        <v/>
      </c>
      <c r="AP29" s="30">
        <f>IFERROR(INDIRECT("'"&amp;$B29&amp;"'!C20"),"")</f>
        <v/>
      </c>
      <c r="AQ29" s="30">
        <f>IFERROR(INDIRECT("'"&amp;$B29&amp;"'!D20"),"")</f>
        <v/>
      </c>
      <c r="AR29" s="30">
        <f>IFERROR(INDIRECT("'"&amp;$B29&amp;"'!C21"),"")</f>
        <v/>
      </c>
      <c r="AS29" s="30">
        <f>IFERROR(INDIRECT("'"&amp;$B29&amp;"'!D21"),"")</f>
        <v/>
      </c>
    </row>
    <row r="30" ht="17" customHeight="1">
      <c r="A30" s="20" t="n">
        <v>20</v>
      </c>
      <c r="B30" s="21" t="n"/>
      <c r="C30" s="22">
        <f>IFERROR(INDIRECT("'"&amp;$B30&amp;"'!A7"),"")</f>
        <v/>
      </c>
      <c r="D30" s="22">
        <f>IFERROR(INDIRECT("'"&amp;$B30&amp;"'!A9"),"")</f>
        <v/>
      </c>
      <c r="E30" s="23">
        <f>IFERROR(INDIRECT("'"&amp;$B30&amp;"'!F7"),"")</f>
        <v/>
      </c>
      <c r="F30" s="23">
        <f>IFERROR(INDIRECT("'"&amp;$B30&amp;"'!H7"),"")</f>
        <v/>
      </c>
      <c r="G30" s="23">
        <f>IFERROR(INDIRECT("'"&amp;$B30&amp;"'!J7"),"")</f>
        <v/>
      </c>
      <c r="H30" s="24">
        <f>IFERROR(INDIRECT("'"&amp;$B30&amp;"'!H9"),"")</f>
        <v/>
      </c>
      <c r="I30" s="25">
        <f>IFERROR(INDIRECT("'"&amp;$B30&amp;"'!J9"),"")</f>
        <v/>
      </c>
      <c r="J30" s="26">
        <f>IFERROR(INDIRECT("'"&amp;$B30&amp;"'!A13"),"")</f>
        <v/>
      </c>
      <c r="K30" s="26">
        <f>IFERROR(INDIRECT("'"&amp;$B30&amp;"'!C13"),"")</f>
        <v/>
      </c>
      <c r="L30" s="26">
        <f>IFERROR(INDIRECT("'"&amp;$B30&amp;"'!I24"),"")</f>
        <v/>
      </c>
      <c r="M30" s="26">
        <f>IFERROR(INDIRECT("'"&amp;$B30&amp;"'!E13"),"")</f>
        <v/>
      </c>
      <c r="N30" s="27">
        <f>IFERROR(INDIRECT("'"&amp;$B30&amp;"'!G13"),"")</f>
        <v/>
      </c>
      <c r="O30" s="27">
        <f>IFERROR(INDIRECT("'"&amp;$B30&amp;"'!H13"),"")</f>
        <v/>
      </c>
      <c r="P30" s="28">
        <f>IF(OR($N30="",$O30=""),"",ROUND(($N30-$O30)*100,1))</f>
        <v/>
      </c>
      <c r="Q30" s="26">
        <f>IFERROR(INDIRECT("'"&amp;$B30&amp;"'!I13"),"")</f>
        <v/>
      </c>
      <c r="R30" s="29">
        <f>IF($N30="","",IF($N30&gt;=0.35,"Margem boa",IF($N30&gt;=0.25,"Margem apertada","Margem crítica")))</f>
        <v/>
      </c>
      <c r="AH30" s="30">
        <f>IFERROR(INDIRECT("'"&amp;$B30&amp;"'!C16"),"")</f>
        <v/>
      </c>
      <c r="AI30" s="30">
        <f>IFERROR(INDIRECT("'"&amp;$B30&amp;"'!D16"),"")</f>
        <v/>
      </c>
      <c r="AJ30" s="30">
        <f>IFERROR(INDIRECT("'"&amp;$B30&amp;"'!C17"),"")</f>
        <v/>
      </c>
      <c r="AK30" s="30">
        <f>IFERROR(INDIRECT("'"&amp;$B30&amp;"'!D17"),"")</f>
        <v/>
      </c>
      <c r="AL30" s="30">
        <f>IFERROR(INDIRECT("'"&amp;$B30&amp;"'!C18"),"")</f>
        <v/>
      </c>
      <c r="AM30" s="30">
        <f>IFERROR(INDIRECT("'"&amp;$B30&amp;"'!D18"),"")</f>
        <v/>
      </c>
      <c r="AN30" s="30">
        <f>IFERROR(INDIRECT("'"&amp;$B30&amp;"'!C19"),"")</f>
        <v/>
      </c>
      <c r="AO30" s="30">
        <f>IFERROR(INDIRECT("'"&amp;$B30&amp;"'!D19"),"")</f>
        <v/>
      </c>
      <c r="AP30" s="30">
        <f>IFERROR(INDIRECT("'"&amp;$B30&amp;"'!C20"),"")</f>
        <v/>
      </c>
      <c r="AQ30" s="30">
        <f>IFERROR(INDIRECT("'"&amp;$B30&amp;"'!D20"),"")</f>
        <v/>
      </c>
      <c r="AR30" s="30">
        <f>IFERROR(INDIRECT("'"&amp;$B30&amp;"'!C21"),"")</f>
        <v/>
      </c>
      <c r="AS30" s="30">
        <f>IFERROR(INDIRECT("'"&amp;$B30&amp;"'!D21"),"")</f>
        <v/>
      </c>
    </row>
    <row r="31" ht="17" customHeight="1">
      <c r="A31" s="20" t="n">
        <v>21</v>
      </c>
      <c r="B31" s="21" t="n"/>
      <c r="C31" s="22">
        <f>IFERROR(INDIRECT("'"&amp;$B31&amp;"'!A7"),"")</f>
        <v/>
      </c>
      <c r="D31" s="22">
        <f>IFERROR(INDIRECT("'"&amp;$B31&amp;"'!A9"),"")</f>
        <v/>
      </c>
      <c r="E31" s="23">
        <f>IFERROR(INDIRECT("'"&amp;$B31&amp;"'!F7"),"")</f>
        <v/>
      </c>
      <c r="F31" s="23">
        <f>IFERROR(INDIRECT("'"&amp;$B31&amp;"'!H7"),"")</f>
        <v/>
      </c>
      <c r="G31" s="23">
        <f>IFERROR(INDIRECT("'"&amp;$B31&amp;"'!J7"),"")</f>
        <v/>
      </c>
      <c r="H31" s="24">
        <f>IFERROR(INDIRECT("'"&amp;$B31&amp;"'!H9"),"")</f>
        <v/>
      </c>
      <c r="I31" s="25">
        <f>IFERROR(INDIRECT("'"&amp;$B31&amp;"'!J9"),"")</f>
        <v/>
      </c>
      <c r="J31" s="26">
        <f>IFERROR(INDIRECT("'"&amp;$B31&amp;"'!A13"),"")</f>
        <v/>
      </c>
      <c r="K31" s="26">
        <f>IFERROR(INDIRECT("'"&amp;$B31&amp;"'!C13"),"")</f>
        <v/>
      </c>
      <c r="L31" s="26">
        <f>IFERROR(INDIRECT("'"&amp;$B31&amp;"'!I24"),"")</f>
        <v/>
      </c>
      <c r="M31" s="26">
        <f>IFERROR(INDIRECT("'"&amp;$B31&amp;"'!E13"),"")</f>
        <v/>
      </c>
      <c r="N31" s="27">
        <f>IFERROR(INDIRECT("'"&amp;$B31&amp;"'!G13"),"")</f>
        <v/>
      </c>
      <c r="O31" s="27">
        <f>IFERROR(INDIRECT("'"&amp;$B31&amp;"'!H13"),"")</f>
        <v/>
      </c>
      <c r="P31" s="28">
        <f>IF(OR($N31="",$O31=""),"",ROUND(($N31-$O31)*100,1))</f>
        <v/>
      </c>
      <c r="Q31" s="26">
        <f>IFERROR(INDIRECT("'"&amp;$B31&amp;"'!I13"),"")</f>
        <v/>
      </c>
      <c r="R31" s="29">
        <f>IF($N31="","",IF($N31&gt;=0.35,"Margem boa",IF($N31&gt;=0.25,"Margem apertada","Margem crítica")))</f>
        <v/>
      </c>
      <c r="AH31" s="30">
        <f>IFERROR(INDIRECT("'"&amp;$B31&amp;"'!C16"),"")</f>
        <v/>
      </c>
      <c r="AI31" s="30">
        <f>IFERROR(INDIRECT("'"&amp;$B31&amp;"'!D16"),"")</f>
        <v/>
      </c>
      <c r="AJ31" s="30">
        <f>IFERROR(INDIRECT("'"&amp;$B31&amp;"'!C17"),"")</f>
        <v/>
      </c>
      <c r="AK31" s="30">
        <f>IFERROR(INDIRECT("'"&amp;$B31&amp;"'!D17"),"")</f>
        <v/>
      </c>
      <c r="AL31" s="30">
        <f>IFERROR(INDIRECT("'"&amp;$B31&amp;"'!C18"),"")</f>
        <v/>
      </c>
      <c r="AM31" s="30">
        <f>IFERROR(INDIRECT("'"&amp;$B31&amp;"'!D18"),"")</f>
        <v/>
      </c>
      <c r="AN31" s="30">
        <f>IFERROR(INDIRECT("'"&amp;$B31&amp;"'!C19"),"")</f>
        <v/>
      </c>
      <c r="AO31" s="30">
        <f>IFERROR(INDIRECT("'"&amp;$B31&amp;"'!D19"),"")</f>
        <v/>
      </c>
      <c r="AP31" s="30">
        <f>IFERROR(INDIRECT("'"&amp;$B31&amp;"'!C20"),"")</f>
        <v/>
      </c>
      <c r="AQ31" s="30">
        <f>IFERROR(INDIRECT("'"&amp;$B31&amp;"'!D20"),"")</f>
        <v/>
      </c>
      <c r="AR31" s="30">
        <f>IFERROR(INDIRECT("'"&amp;$B31&amp;"'!C21"),"")</f>
        <v/>
      </c>
      <c r="AS31" s="30">
        <f>IFERROR(INDIRECT("'"&amp;$B31&amp;"'!D21"),"")</f>
        <v/>
      </c>
    </row>
    <row r="32" ht="17" customHeight="1">
      <c r="A32" s="20" t="n">
        <v>22</v>
      </c>
      <c r="B32" s="21" t="n"/>
      <c r="C32" s="22">
        <f>IFERROR(INDIRECT("'"&amp;$B32&amp;"'!A7"),"")</f>
        <v/>
      </c>
      <c r="D32" s="22">
        <f>IFERROR(INDIRECT("'"&amp;$B32&amp;"'!A9"),"")</f>
        <v/>
      </c>
      <c r="E32" s="23">
        <f>IFERROR(INDIRECT("'"&amp;$B32&amp;"'!F7"),"")</f>
        <v/>
      </c>
      <c r="F32" s="23">
        <f>IFERROR(INDIRECT("'"&amp;$B32&amp;"'!H7"),"")</f>
        <v/>
      </c>
      <c r="G32" s="23">
        <f>IFERROR(INDIRECT("'"&amp;$B32&amp;"'!J7"),"")</f>
        <v/>
      </c>
      <c r="H32" s="24">
        <f>IFERROR(INDIRECT("'"&amp;$B32&amp;"'!H9"),"")</f>
        <v/>
      </c>
      <c r="I32" s="25">
        <f>IFERROR(INDIRECT("'"&amp;$B32&amp;"'!J9"),"")</f>
        <v/>
      </c>
      <c r="J32" s="26">
        <f>IFERROR(INDIRECT("'"&amp;$B32&amp;"'!A13"),"")</f>
        <v/>
      </c>
      <c r="K32" s="26">
        <f>IFERROR(INDIRECT("'"&amp;$B32&amp;"'!C13"),"")</f>
        <v/>
      </c>
      <c r="L32" s="26">
        <f>IFERROR(INDIRECT("'"&amp;$B32&amp;"'!I24"),"")</f>
        <v/>
      </c>
      <c r="M32" s="26">
        <f>IFERROR(INDIRECT("'"&amp;$B32&amp;"'!E13"),"")</f>
        <v/>
      </c>
      <c r="N32" s="27">
        <f>IFERROR(INDIRECT("'"&amp;$B32&amp;"'!G13"),"")</f>
        <v/>
      </c>
      <c r="O32" s="27">
        <f>IFERROR(INDIRECT("'"&amp;$B32&amp;"'!H13"),"")</f>
        <v/>
      </c>
      <c r="P32" s="28">
        <f>IF(OR($N32="",$O32=""),"",ROUND(($N32-$O32)*100,1))</f>
        <v/>
      </c>
      <c r="Q32" s="26">
        <f>IFERROR(INDIRECT("'"&amp;$B32&amp;"'!I13"),"")</f>
        <v/>
      </c>
      <c r="R32" s="29">
        <f>IF($N32="","",IF($N32&gt;=0.35,"Margem boa",IF($N32&gt;=0.25,"Margem apertada","Margem crítica")))</f>
        <v/>
      </c>
      <c r="AH32" s="30">
        <f>IFERROR(INDIRECT("'"&amp;$B32&amp;"'!C16"),"")</f>
        <v/>
      </c>
      <c r="AI32" s="30">
        <f>IFERROR(INDIRECT("'"&amp;$B32&amp;"'!D16"),"")</f>
        <v/>
      </c>
      <c r="AJ32" s="30">
        <f>IFERROR(INDIRECT("'"&amp;$B32&amp;"'!C17"),"")</f>
        <v/>
      </c>
      <c r="AK32" s="30">
        <f>IFERROR(INDIRECT("'"&amp;$B32&amp;"'!D17"),"")</f>
        <v/>
      </c>
      <c r="AL32" s="30">
        <f>IFERROR(INDIRECT("'"&amp;$B32&amp;"'!C18"),"")</f>
        <v/>
      </c>
      <c r="AM32" s="30">
        <f>IFERROR(INDIRECT("'"&amp;$B32&amp;"'!D18"),"")</f>
        <v/>
      </c>
      <c r="AN32" s="30">
        <f>IFERROR(INDIRECT("'"&amp;$B32&amp;"'!C19"),"")</f>
        <v/>
      </c>
      <c r="AO32" s="30">
        <f>IFERROR(INDIRECT("'"&amp;$B32&amp;"'!D19"),"")</f>
        <v/>
      </c>
      <c r="AP32" s="30">
        <f>IFERROR(INDIRECT("'"&amp;$B32&amp;"'!C20"),"")</f>
        <v/>
      </c>
      <c r="AQ32" s="30">
        <f>IFERROR(INDIRECT("'"&amp;$B32&amp;"'!D20"),"")</f>
        <v/>
      </c>
      <c r="AR32" s="30">
        <f>IFERROR(INDIRECT("'"&amp;$B32&amp;"'!C21"),"")</f>
        <v/>
      </c>
      <c r="AS32" s="30">
        <f>IFERROR(INDIRECT("'"&amp;$B32&amp;"'!D21"),"")</f>
        <v/>
      </c>
    </row>
    <row r="33" ht="17" customHeight="1">
      <c r="A33" s="20" t="n">
        <v>23</v>
      </c>
      <c r="B33" s="21" t="n"/>
      <c r="C33" s="22">
        <f>IFERROR(INDIRECT("'"&amp;$B33&amp;"'!A7"),"")</f>
        <v/>
      </c>
      <c r="D33" s="22">
        <f>IFERROR(INDIRECT("'"&amp;$B33&amp;"'!A9"),"")</f>
        <v/>
      </c>
      <c r="E33" s="23">
        <f>IFERROR(INDIRECT("'"&amp;$B33&amp;"'!F7"),"")</f>
        <v/>
      </c>
      <c r="F33" s="23">
        <f>IFERROR(INDIRECT("'"&amp;$B33&amp;"'!H7"),"")</f>
        <v/>
      </c>
      <c r="G33" s="23">
        <f>IFERROR(INDIRECT("'"&amp;$B33&amp;"'!J7"),"")</f>
        <v/>
      </c>
      <c r="H33" s="24">
        <f>IFERROR(INDIRECT("'"&amp;$B33&amp;"'!H9"),"")</f>
        <v/>
      </c>
      <c r="I33" s="25">
        <f>IFERROR(INDIRECT("'"&amp;$B33&amp;"'!J9"),"")</f>
        <v/>
      </c>
      <c r="J33" s="26">
        <f>IFERROR(INDIRECT("'"&amp;$B33&amp;"'!A13"),"")</f>
        <v/>
      </c>
      <c r="K33" s="26">
        <f>IFERROR(INDIRECT("'"&amp;$B33&amp;"'!C13"),"")</f>
        <v/>
      </c>
      <c r="L33" s="26">
        <f>IFERROR(INDIRECT("'"&amp;$B33&amp;"'!I24"),"")</f>
        <v/>
      </c>
      <c r="M33" s="26">
        <f>IFERROR(INDIRECT("'"&amp;$B33&amp;"'!E13"),"")</f>
        <v/>
      </c>
      <c r="N33" s="27">
        <f>IFERROR(INDIRECT("'"&amp;$B33&amp;"'!G13"),"")</f>
        <v/>
      </c>
      <c r="O33" s="27">
        <f>IFERROR(INDIRECT("'"&amp;$B33&amp;"'!H13"),"")</f>
        <v/>
      </c>
      <c r="P33" s="28">
        <f>IF(OR($N33="",$O33=""),"",ROUND(($N33-$O33)*100,1))</f>
        <v/>
      </c>
      <c r="Q33" s="26">
        <f>IFERROR(INDIRECT("'"&amp;$B33&amp;"'!I13"),"")</f>
        <v/>
      </c>
      <c r="R33" s="29">
        <f>IF($N33="","",IF($N33&gt;=0.35,"Margem boa",IF($N33&gt;=0.25,"Margem apertada","Margem crítica")))</f>
        <v/>
      </c>
      <c r="AH33" s="30">
        <f>IFERROR(INDIRECT("'"&amp;$B33&amp;"'!C16"),"")</f>
        <v/>
      </c>
      <c r="AI33" s="30">
        <f>IFERROR(INDIRECT("'"&amp;$B33&amp;"'!D16"),"")</f>
        <v/>
      </c>
      <c r="AJ33" s="30">
        <f>IFERROR(INDIRECT("'"&amp;$B33&amp;"'!C17"),"")</f>
        <v/>
      </c>
      <c r="AK33" s="30">
        <f>IFERROR(INDIRECT("'"&amp;$B33&amp;"'!D17"),"")</f>
        <v/>
      </c>
      <c r="AL33" s="30">
        <f>IFERROR(INDIRECT("'"&amp;$B33&amp;"'!C18"),"")</f>
        <v/>
      </c>
      <c r="AM33" s="30">
        <f>IFERROR(INDIRECT("'"&amp;$B33&amp;"'!D18"),"")</f>
        <v/>
      </c>
      <c r="AN33" s="30">
        <f>IFERROR(INDIRECT("'"&amp;$B33&amp;"'!C19"),"")</f>
        <v/>
      </c>
      <c r="AO33" s="30">
        <f>IFERROR(INDIRECT("'"&amp;$B33&amp;"'!D19"),"")</f>
        <v/>
      </c>
      <c r="AP33" s="30">
        <f>IFERROR(INDIRECT("'"&amp;$B33&amp;"'!C20"),"")</f>
        <v/>
      </c>
      <c r="AQ33" s="30">
        <f>IFERROR(INDIRECT("'"&amp;$B33&amp;"'!D20"),"")</f>
        <v/>
      </c>
      <c r="AR33" s="30">
        <f>IFERROR(INDIRECT("'"&amp;$B33&amp;"'!C21"),"")</f>
        <v/>
      </c>
      <c r="AS33" s="30">
        <f>IFERROR(INDIRECT("'"&amp;$B33&amp;"'!D21"),"")</f>
        <v/>
      </c>
    </row>
    <row r="34" ht="17" customHeight="1">
      <c r="A34" s="20" t="n">
        <v>24</v>
      </c>
      <c r="B34" s="21" t="n"/>
      <c r="C34" s="22">
        <f>IFERROR(INDIRECT("'"&amp;$B34&amp;"'!A7"),"")</f>
        <v/>
      </c>
      <c r="D34" s="22">
        <f>IFERROR(INDIRECT("'"&amp;$B34&amp;"'!A9"),"")</f>
        <v/>
      </c>
      <c r="E34" s="23">
        <f>IFERROR(INDIRECT("'"&amp;$B34&amp;"'!F7"),"")</f>
        <v/>
      </c>
      <c r="F34" s="23">
        <f>IFERROR(INDIRECT("'"&amp;$B34&amp;"'!H7"),"")</f>
        <v/>
      </c>
      <c r="G34" s="23">
        <f>IFERROR(INDIRECT("'"&amp;$B34&amp;"'!J7"),"")</f>
        <v/>
      </c>
      <c r="H34" s="24">
        <f>IFERROR(INDIRECT("'"&amp;$B34&amp;"'!H9"),"")</f>
        <v/>
      </c>
      <c r="I34" s="25">
        <f>IFERROR(INDIRECT("'"&amp;$B34&amp;"'!J9"),"")</f>
        <v/>
      </c>
      <c r="J34" s="26">
        <f>IFERROR(INDIRECT("'"&amp;$B34&amp;"'!A13"),"")</f>
        <v/>
      </c>
      <c r="K34" s="26">
        <f>IFERROR(INDIRECT("'"&amp;$B34&amp;"'!C13"),"")</f>
        <v/>
      </c>
      <c r="L34" s="26">
        <f>IFERROR(INDIRECT("'"&amp;$B34&amp;"'!I24"),"")</f>
        <v/>
      </c>
      <c r="M34" s="26">
        <f>IFERROR(INDIRECT("'"&amp;$B34&amp;"'!E13"),"")</f>
        <v/>
      </c>
      <c r="N34" s="27">
        <f>IFERROR(INDIRECT("'"&amp;$B34&amp;"'!G13"),"")</f>
        <v/>
      </c>
      <c r="O34" s="27">
        <f>IFERROR(INDIRECT("'"&amp;$B34&amp;"'!H13"),"")</f>
        <v/>
      </c>
      <c r="P34" s="28">
        <f>IF(OR($N34="",$O34=""),"",ROUND(($N34-$O34)*100,1))</f>
        <v/>
      </c>
      <c r="Q34" s="26">
        <f>IFERROR(INDIRECT("'"&amp;$B34&amp;"'!I13"),"")</f>
        <v/>
      </c>
      <c r="R34" s="29">
        <f>IF($N34="","",IF($N34&gt;=0.35,"Margem boa",IF($N34&gt;=0.25,"Margem apertada","Margem crítica")))</f>
        <v/>
      </c>
      <c r="AH34" s="30">
        <f>IFERROR(INDIRECT("'"&amp;$B34&amp;"'!C16"),"")</f>
        <v/>
      </c>
      <c r="AI34" s="30">
        <f>IFERROR(INDIRECT("'"&amp;$B34&amp;"'!D16"),"")</f>
        <v/>
      </c>
      <c r="AJ34" s="30">
        <f>IFERROR(INDIRECT("'"&amp;$B34&amp;"'!C17"),"")</f>
        <v/>
      </c>
      <c r="AK34" s="30">
        <f>IFERROR(INDIRECT("'"&amp;$B34&amp;"'!D17"),"")</f>
        <v/>
      </c>
      <c r="AL34" s="30">
        <f>IFERROR(INDIRECT("'"&amp;$B34&amp;"'!C18"),"")</f>
        <v/>
      </c>
      <c r="AM34" s="30">
        <f>IFERROR(INDIRECT("'"&amp;$B34&amp;"'!D18"),"")</f>
        <v/>
      </c>
      <c r="AN34" s="30">
        <f>IFERROR(INDIRECT("'"&amp;$B34&amp;"'!C19"),"")</f>
        <v/>
      </c>
      <c r="AO34" s="30">
        <f>IFERROR(INDIRECT("'"&amp;$B34&amp;"'!D19"),"")</f>
        <v/>
      </c>
      <c r="AP34" s="30">
        <f>IFERROR(INDIRECT("'"&amp;$B34&amp;"'!C20"),"")</f>
        <v/>
      </c>
      <c r="AQ34" s="30">
        <f>IFERROR(INDIRECT("'"&amp;$B34&amp;"'!D20"),"")</f>
        <v/>
      </c>
      <c r="AR34" s="30">
        <f>IFERROR(INDIRECT("'"&amp;$B34&amp;"'!C21"),"")</f>
        <v/>
      </c>
      <c r="AS34" s="30">
        <f>IFERROR(INDIRECT("'"&amp;$B34&amp;"'!D21"),"")</f>
        <v/>
      </c>
    </row>
    <row r="35" ht="17" customHeight="1">
      <c r="A35" s="20" t="n">
        <v>25</v>
      </c>
      <c r="B35" s="21" t="n"/>
      <c r="C35" s="22">
        <f>IFERROR(INDIRECT("'"&amp;$B35&amp;"'!A7"),"")</f>
        <v/>
      </c>
      <c r="D35" s="22">
        <f>IFERROR(INDIRECT("'"&amp;$B35&amp;"'!A9"),"")</f>
        <v/>
      </c>
      <c r="E35" s="23">
        <f>IFERROR(INDIRECT("'"&amp;$B35&amp;"'!F7"),"")</f>
        <v/>
      </c>
      <c r="F35" s="23">
        <f>IFERROR(INDIRECT("'"&amp;$B35&amp;"'!H7"),"")</f>
        <v/>
      </c>
      <c r="G35" s="23">
        <f>IFERROR(INDIRECT("'"&amp;$B35&amp;"'!J7"),"")</f>
        <v/>
      </c>
      <c r="H35" s="24">
        <f>IFERROR(INDIRECT("'"&amp;$B35&amp;"'!H9"),"")</f>
        <v/>
      </c>
      <c r="I35" s="25">
        <f>IFERROR(INDIRECT("'"&amp;$B35&amp;"'!J9"),"")</f>
        <v/>
      </c>
      <c r="J35" s="26">
        <f>IFERROR(INDIRECT("'"&amp;$B35&amp;"'!A13"),"")</f>
        <v/>
      </c>
      <c r="K35" s="26">
        <f>IFERROR(INDIRECT("'"&amp;$B35&amp;"'!C13"),"")</f>
        <v/>
      </c>
      <c r="L35" s="26">
        <f>IFERROR(INDIRECT("'"&amp;$B35&amp;"'!I24"),"")</f>
        <v/>
      </c>
      <c r="M35" s="26">
        <f>IFERROR(INDIRECT("'"&amp;$B35&amp;"'!E13"),"")</f>
        <v/>
      </c>
      <c r="N35" s="27">
        <f>IFERROR(INDIRECT("'"&amp;$B35&amp;"'!G13"),"")</f>
        <v/>
      </c>
      <c r="O35" s="27">
        <f>IFERROR(INDIRECT("'"&amp;$B35&amp;"'!H13"),"")</f>
        <v/>
      </c>
      <c r="P35" s="28">
        <f>IF(OR($N35="",$O35=""),"",ROUND(($N35-$O35)*100,1))</f>
        <v/>
      </c>
      <c r="Q35" s="26">
        <f>IFERROR(INDIRECT("'"&amp;$B35&amp;"'!I13"),"")</f>
        <v/>
      </c>
      <c r="R35" s="29">
        <f>IF($N35="","",IF($N35&gt;=0.35,"Margem boa",IF($N35&gt;=0.25,"Margem apertada","Margem crítica")))</f>
        <v/>
      </c>
      <c r="AH35" s="30">
        <f>IFERROR(INDIRECT("'"&amp;$B35&amp;"'!C16"),"")</f>
        <v/>
      </c>
      <c r="AI35" s="30">
        <f>IFERROR(INDIRECT("'"&amp;$B35&amp;"'!D16"),"")</f>
        <v/>
      </c>
      <c r="AJ35" s="30">
        <f>IFERROR(INDIRECT("'"&amp;$B35&amp;"'!C17"),"")</f>
        <v/>
      </c>
      <c r="AK35" s="30">
        <f>IFERROR(INDIRECT("'"&amp;$B35&amp;"'!D17"),"")</f>
        <v/>
      </c>
      <c r="AL35" s="30">
        <f>IFERROR(INDIRECT("'"&amp;$B35&amp;"'!C18"),"")</f>
        <v/>
      </c>
      <c r="AM35" s="30">
        <f>IFERROR(INDIRECT("'"&amp;$B35&amp;"'!D18"),"")</f>
        <v/>
      </c>
      <c r="AN35" s="30">
        <f>IFERROR(INDIRECT("'"&amp;$B35&amp;"'!C19"),"")</f>
        <v/>
      </c>
      <c r="AO35" s="30">
        <f>IFERROR(INDIRECT("'"&amp;$B35&amp;"'!D19"),"")</f>
        <v/>
      </c>
      <c r="AP35" s="30">
        <f>IFERROR(INDIRECT("'"&amp;$B35&amp;"'!C20"),"")</f>
        <v/>
      </c>
      <c r="AQ35" s="30">
        <f>IFERROR(INDIRECT("'"&amp;$B35&amp;"'!D20"),"")</f>
        <v/>
      </c>
      <c r="AR35" s="30">
        <f>IFERROR(INDIRECT("'"&amp;$B35&amp;"'!C21"),"")</f>
        <v/>
      </c>
      <c r="AS35" s="30">
        <f>IFERROR(INDIRECT("'"&amp;$B35&amp;"'!D21"),"")</f>
        <v/>
      </c>
    </row>
    <row r="36" ht="17" customHeight="1">
      <c r="A36" s="20" t="n">
        <v>26</v>
      </c>
      <c r="B36" s="21" t="n"/>
      <c r="C36" s="22">
        <f>IFERROR(INDIRECT("'"&amp;$B36&amp;"'!A7"),"")</f>
        <v/>
      </c>
      <c r="D36" s="22">
        <f>IFERROR(INDIRECT("'"&amp;$B36&amp;"'!A9"),"")</f>
        <v/>
      </c>
      <c r="E36" s="23">
        <f>IFERROR(INDIRECT("'"&amp;$B36&amp;"'!F7"),"")</f>
        <v/>
      </c>
      <c r="F36" s="23">
        <f>IFERROR(INDIRECT("'"&amp;$B36&amp;"'!H7"),"")</f>
        <v/>
      </c>
      <c r="G36" s="23">
        <f>IFERROR(INDIRECT("'"&amp;$B36&amp;"'!J7"),"")</f>
        <v/>
      </c>
      <c r="H36" s="24">
        <f>IFERROR(INDIRECT("'"&amp;$B36&amp;"'!H9"),"")</f>
        <v/>
      </c>
      <c r="I36" s="25">
        <f>IFERROR(INDIRECT("'"&amp;$B36&amp;"'!J9"),"")</f>
        <v/>
      </c>
      <c r="J36" s="26">
        <f>IFERROR(INDIRECT("'"&amp;$B36&amp;"'!A13"),"")</f>
        <v/>
      </c>
      <c r="K36" s="26">
        <f>IFERROR(INDIRECT("'"&amp;$B36&amp;"'!C13"),"")</f>
        <v/>
      </c>
      <c r="L36" s="26">
        <f>IFERROR(INDIRECT("'"&amp;$B36&amp;"'!I24"),"")</f>
        <v/>
      </c>
      <c r="M36" s="26">
        <f>IFERROR(INDIRECT("'"&amp;$B36&amp;"'!E13"),"")</f>
        <v/>
      </c>
      <c r="N36" s="27">
        <f>IFERROR(INDIRECT("'"&amp;$B36&amp;"'!G13"),"")</f>
        <v/>
      </c>
      <c r="O36" s="27">
        <f>IFERROR(INDIRECT("'"&amp;$B36&amp;"'!H13"),"")</f>
        <v/>
      </c>
      <c r="P36" s="28">
        <f>IF(OR($N36="",$O36=""),"",ROUND(($N36-$O36)*100,1))</f>
        <v/>
      </c>
      <c r="Q36" s="26">
        <f>IFERROR(INDIRECT("'"&amp;$B36&amp;"'!I13"),"")</f>
        <v/>
      </c>
      <c r="R36" s="29">
        <f>IF($N36="","",IF($N36&gt;=0.35,"Margem boa",IF($N36&gt;=0.25,"Margem apertada","Margem crítica")))</f>
        <v/>
      </c>
      <c r="AH36" s="30">
        <f>IFERROR(INDIRECT("'"&amp;$B36&amp;"'!C16"),"")</f>
        <v/>
      </c>
      <c r="AI36" s="30">
        <f>IFERROR(INDIRECT("'"&amp;$B36&amp;"'!D16"),"")</f>
        <v/>
      </c>
      <c r="AJ36" s="30">
        <f>IFERROR(INDIRECT("'"&amp;$B36&amp;"'!C17"),"")</f>
        <v/>
      </c>
      <c r="AK36" s="30">
        <f>IFERROR(INDIRECT("'"&amp;$B36&amp;"'!D17"),"")</f>
        <v/>
      </c>
      <c r="AL36" s="30">
        <f>IFERROR(INDIRECT("'"&amp;$B36&amp;"'!C18"),"")</f>
        <v/>
      </c>
      <c r="AM36" s="30">
        <f>IFERROR(INDIRECT("'"&amp;$B36&amp;"'!D18"),"")</f>
        <v/>
      </c>
      <c r="AN36" s="30">
        <f>IFERROR(INDIRECT("'"&amp;$B36&amp;"'!C19"),"")</f>
        <v/>
      </c>
      <c r="AO36" s="30">
        <f>IFERROR(INDIRECT("'"&amp;$B36&amp;"'!D19"),"")</f>
        <v/>
      </c>
      <c r="AP36" s="30">
        <f>IFERROR(INDIRECT("'"&amp;$B36&amp;"'!C20"),"")</f>
        <v/>
      </c>
      <c r="AQ36" s="30">
        <f>IFERROR(INDIRECT("'"&amp;$B36&amp;"'!D20"),"")</f>
        <v/>
      </c>
      <c r="AR36" s="30">
        <f>IFERROR(INDIRECT("'"&amp;$B36&amp;"'!C21"),"")</f>
        <v/>
      </c>
      <c r="AS36" s="30">
        <f>IFERROR(INDIRECT("'"&amp;$B36&amp;"'!D21"),"")</f>
        <v/>
      </c>
    </row>
    <row r="37" ht="17" customHeight="1">
      <c r="A37" s="20" t="n">
        <v>27</v>
      </c>
      <c r="B37" s="21" t="n"/>
      <c r="C37" s="22">
        <f>IFERROR(INDIRECT("'"&amp;$B37&amp;"'!A7"),"")</f>
        <v/>
      </c>
      <c r="D37" s="22">
        <f>IFERROR(INDIRECT("'"&amp;$B37&amp;"'!A9"),"")</f>
        <v/>
      </c>
      <c r="E37" s="23">
        <f>IFERROR(INDIRECT("'"&amp;$B37&amp;"'!F7"),"")</f>
        <v/>
      </c>
      <c r="F37" s="23">
        <f>IFERROR(INDIRECT("'"&amp;$B37&amp;"'!H7"),"")</f>
        <v/>
      </c>
      <c r="G37" s="23">
        <f>IFERROR(INDIRECT("'"&amp;$B37&amp;"'!J7"),"")</f>
        <v/>
      </c>
      <c r="H37" s="24">
        <f>IFERROR(INDIRECT("'"&amp;$B37&amp;"'!H9"),"")</f>
        <v/>
      </c>
      <c r="I37" s="25">
        <f>IFERROR(INDIRECT("'"&amp;$B37&amp;"'!J9"),"")</f>
        <v/>
      </c>
      <c r="J37" s="26">
        <f>IFERROR(INDIRECT("'"&amp;$B37&amp;"'!A13"),"")</f>
        <v/>
      </c>
      <c r="K37" s="26">
        <f>IFERROR(INDIRECT("'"&amp;$B37&amp;"'!C13"),"")</f>
        <v/>
      </c>
      <c r="L37" s="26">
        <f>IFERROR(INDIRECT("'"&amp;$B37&amp;"'!I24"),"")</f>
        <v/>
      </c>
      <c r="M37" s="26">
        <f>IFERROR(INDIRECT("'"&amp;$B37&amp;"'!E13"),"")</f>
        <v/>
      </c>
      <c r="N37" s="27">
        <f>IFERROR(INDIRECT("'"&amp;$B37&amp;"'!G13"),"")</f>
        <v/>
      </c>
      <c r="O37" s="27">
        <f>IFERROR(INDIRECT("'"&amp;$B37&amp;"'!H13"),"")</f>
        <v/>
      </c>
      <c r="P37" s="28">
        <f>IF(OR($N37="",$O37=""),"",ROUND(($N37-$O37)*100,1))</f>
        <v/>
      </c>
      <c r="Q37" s="26">
        <f>IFERROR(INDIRECT("'"&amp;$B37&amp;"'!I13"),"")</f>
        <v/>
      </c>
      <c r="R37" s="29">
        <f>IF($N37="","",IF($N37&gt;=0.35,"Margem boa",IF($N37&gt;=0.25,"Margem apertada","Margem crítica")))</f>
        <v/>
      </c>
      <c r="AH37" s="30">
        <f>IFERROR(INDIRECT("'"&amp;$B37&amp;"'!C16"),"")</f>
        <v/>
      </c>
      <c r="AI37" s="30">
        <f>IFERROR(INDIRECT("'"&amp;$B37&amp;"'!D16"),"")</f>
        <v/>
      </c>
      <c r="AJ37" s="30">
        <f>IFERROR(INDIRECT("'"&amp;$B37&amp;"'!C17"),"")</f>
        <v/>
      </c>
      <c r="AK37" s="30">
        <f>IFERROR(INDIRECT("'"&amp;$B37&amp;"'!D17"),"")</f>
        <v/>
      </c>
      <c r="AL37" s="30">
        <f>IFERROR(INDIRECT("'"&amp;$B37&amp;"'!C18"),"")</f>
        <v/>
      </c>
      <c r="AM37" s="30">
        <f>IFERROR(INDIRECT("'"&amp;$B37&amp;"'!D18"),"")</f>
        <v/>
      </c>
      <c r="AN37" s="30">
        <f>IFERROR(INDIRECT("'"&amp;$B37&amp;"'!C19"),"")</f>
        <v/>
      </c>
      <c r="AO37" s="30">
        <f>IFERROR(INDIRECT("'"&amp;$B37&amp;"'!D19"),"")</f>
        <v/>
      </c>
      <c r="AP37" s="30">
        <f>IFERROR(INDIRECT("'"&amp;$B37&amp;"'!C20"),"")</f>
        <v/>
      </c>
      <c r="AQ37" s="30">
        <f>IFERROR(INDIRECT("'"&amp;$B37&amp;"'!D20"),"")</f>
        <v/>
      </c>
      <c r="AR37" s="30">
        <f>IFERROR(INDIRECT("'"&amp;$B37&amp;"'!C21"),"")</f>
        <v/>
      </c>
      <c r="AS37" s="30">
        <f>IFERROR(INDIRECT("'"&amp;$B37&amp;"'!D21"),"")</f>
        <v/>
      </c>
    </row>
    <row r="38" ht="17" customHeight="1">
      <c r="A38" s="20" t="n">
        <v>28</v>
      </c>
      <c r="B38" s="21" t="n"/>
      <c r="C38" s="22">
        <f>IFERROR(INDIRECT("'"&amp;$B38&amp;"'!A7"),"")</f>
        <v/>
      </c>
      <c r="D38" s="22">
        <f>IFERROR(INDIRECT("'"&amp;$B38&amp;"'!A9"),"")</f>
        <v/>
      </c>
      <c r="E38" s="23">
        <f>IFERROR(INDIRECT("'"&amp;$B38&amp;"'!F7"),"")</f>
        <v/>
      </c>
      <c r="F38" s="23">
        <f>IFERROR(INDIRECT("'"&amp;$B38&amp;"'!H7"),"")</f>
        <v/>
      </c>
      <c r="G38" s="23">
        <f>IFERROR(INDIRECT("'"&amp;$B38&amp;"'!J7"),"")</f>
        <v/>
      </c>
      <c r="H38" s="24">
        <f>IFERROR(INDIRECT("'"&amp;$B38&amp;"'!H9"),"")</f>
        <v/>
      </c>
      <c r="I38" s="25">
        <f>IFERROR(INDIRECT("'"&amp;$B38&amp;"'!J9"),"")</f>
        <v/>
      </c>
      <c r="J38" s="26">
        <f>IFERROR(INDIRECT("'"&amp;$B38&amp;"'!A13"),"")</f>
        <v/>
      </c>
      <c r="K38" s="26">
        <f>IFERROR(INDIRECT("'"&amp;$B38&amp;"'!C13"),"")</f>
        <v/>
      </c>
      <c r="L38" s="26">
        <f>IFERROR(INDIRECT("'"&amp;$B38&amp;"'!I24"),"")</f>
        <v/>
      </c>
      <c r="M38" s="26">
        <f>IFERROR(INDIRECT("'"&amp;$B38&amp;"'!E13"),"")</f>
        <v/>
      </c>
      <c r="N38" s="27">
        <f>IFERROR(INDIRECT("'"&amp;$B38&amp;"'!G13"),"")</f>
        <v/>
      </c>
      <c r="O38" s="27">
        <f>IFERROR(INDIRECT("'"&amp;$B38&amp;"'!H13"),"")</f>
        <v/>
      </c>
      <c r="P38" s="28">
        <f>IF(OR($N38="",$O38=""),"",ROUND(($N38-$O38)*100,1))</f>
        <v/>
      </c>
      <c r="Q38" s="26">
        <f>IFERROR(INDIRECT("'"&amp;$B38&amp;"'!I13"),"")</f>
        <v/>
      </c>
      <c r="R38" s="29">
        <f>IF($N38="","",IF($N38&gt;=0.35,"Margem boa",IF($N38&gt;=0.25,"Margem apertada","Margem crítica")))</f>
        <v/>
      </c>
      <c r="AH38" s="30">
        <f>IFERROR(INDIRECT("'"&amp;$B38&amp;"'!C16"),"")</f>
        <v/>
      </c>
      <c r="AI38" s="30">
        <f>IFERROR(INDIRECT("'"&amp;$B38&amp;"'!D16"),"")</f>
        <v/>
      </c>
      <c r="AJ38" s="30">
        <f>IFERROR(INDIRECT("'"&amp;$B38&amp;"'!C17"),"")</f>
        <v/>
      </c>
      <c r="AK38" s="30">
        <f>IFERROR(INDIRECT("'"&amp;$B38&amp;"'!D17"),"")</f>
        <v/>
      </c>
      <c r="AL38" s="30">
        <f>IFERROR(INDIRECT("'"&amp;$B38&amp;"'!C18"),"")</f>
        <v/>
      </c>
      <c r="AM38" s="30">
        <f>IFERROR(INDIRECT("'"&amp;$B38&amp;"'!D18"),"")</f>
        <v/>
      </c>
      <c r="AN38" s="30">
        <f>IFERROR(INDIRECT("'"&amp;$B38&amp;"'!C19"),"")</f>
        <v/>
      </c>
      <c r="AO38" s="30">
        <f>IFERROR(INDIRECT("'"&amp;$B38&amp;"'!D19"),"")</f>
        <v/>
      </c>
      <c r="AP38" s="30">
        <f>IFERROR(INDIRECT("'"&amp;$B38&amp;"'!C20"),"")</f>
        <v/>
      </c>
      <c r="AQ38" s="30">
        <f>IFERROR(INDIRECT("'"&amp;$B38&amp;"'!D20"),"")</f>
        <v/>
      </c>
      <c r="AR38" s="30">
        <f>IFERROR(INDIRECT("'"&amp;$B38&amp;"'!C21"),"")</f>
        <v/>
      </c>
      <c r="AS38" s="30">
        <f>IFERROR(INDIRECT("'"&amp;$B38&amp;"'!D21"),"")</f>
        <v/>
      </c>
    </row>
    <row r="39" ht="17" customHeight="1">
      <c r="A39" s="20" t="n">
        <v>29</v>
      </c>
      <c r="B39" s="21" t="n"/>
      <c r="C39" s="22">
        <f>IFERROR(INDIRECT("'"&amp;$B39&amp;"'!A7"),"")</f>
        <v/>
      </c>
      <c r="D39" s="22">
        <f>IFERROR(INDIRECT("'"&amp;$B39&amp;"'!A9"),"")</f>
        <v/>
      </c>
      <c r="E39" s="23">
        <f>IFERROR(INDIRECT("'"&amp;$B39&amp;"'!F7"),"")</f>
        <v/>
      </c>
      <c r="F39" s="23">
        <f>IFERROR(INDIRECT("'"&amp;$B39&amp;"'!H7"),"")</f>
        <v/>
      </c>
      <c r="G39" s="23">
        <f>IFERROR(INDIRECT("'"&amp;$B39&amp;"'!J7"),"")</f>
        <v/>
      </c>
      <c r="H39" s="24">
        <f>IFERROR(INDIRECT("'"&amp;$B39&amp;"'!H9"),"")</f>
        <v/>
      </c>
      <c r="I39" s="25">
        <f>IFERROR(INDIRECT("'"&amp;$B39&amp;"'!J9"),"")</f>
        <v/>
      </c>
      <c r="J39" s="26">
        <f>IFERROR(INDIRECT("'"&amp;$B39&amp;"'!A13"),"")</f>
        <v/>
      </c>
      <c r="K39" s="26">
        <f>IFERROR(INDIRECT("'"&amp;$B39&amp;"'!C13"),"")</f>
        <v/>
      </c>
      <c r="L39" s="26">
        <f>IFERROR(INDIRECT("'"&amp;$B39&amp;"'!I24"),"")</f>
        <v/>
      </c>
      <c r="M39" s="26">
        <f>IFERROR(INDIRECT("'"&amp;$B39&amp;"'!E13"),"")</f>
        <v/>
      </c>
      <c r="N39" s="27">
        <f>IFERROR(INDIRECT("'"&amp;$B39&amp;"'!G13"),"")</f>
        <v/>
      </c>
      <c r="O39" s="27">
        <f>IFERROR(INDIRECT("'"&amp;$B39&amp;"'!H13"),"")</f>
        <v/>
      </c>
      <c r="P39" s="28">
        <f>IF(OR($N39="",$O39=""),"",ROUND(($N39-$O39)*100,1))</f>
        <v/>
      </c>
      <c r="Q39" s="26">
        <f>IFERROR(INDIRECT("'"&amp;$B39&amp;"'!I13"),"")</f>
        <v/>
      </c>
      <c r="R39" s="29">
        <f>IF($N39="","",IF($N39&gt;=0.35,"Margem boa",IF($N39&gt;=0.25,"Margem apertada","Margem crítica")))</f>
        <v/>
      </c>
      <c r="AH39" s="30">
        <f>IFERROR(INDIRECT("'"&amp;$B39&amp;"'!C16"),"")</f>
        <v/>
      </c>
      <c r="AI39" s="30">
        <f>IFERROR(INDIRECT("'"&amp;$B39&amp;"'!D16"),"")</f>
        <v/>
      </c>
      <c r="AJ39" s="30">
        <f>IFERROR(INDIRECT("'"&amp;$B39&amp;"'!C17"),"")</f>
        <v/>
      </c>
      <c r="AK39" s="30">
        <f>IFERROR(INDIRECT("'"&amp;$B39&amp;"'!D17"),"")</f>
        <v/>
      </c>
      <c r="AL39" s="30">
        <f>IFERROR(INDIRECT("'"&amp;$B39&amp;"'!C18"),"")</f>
        <v/>
      </c>
      <c r="AM39" s="30">
        <f>IFERROR(INDIRECT("'"&amp;$B39&amp;"'!D18"),"")</f>
        <v/>
      </c>
      <c r="AN39" s="30">
        <f>IFERROR(INDIRECT("'"&amp;$B39&amp;"'!C19"),"")</f>
        <v/>
      </c>
      <c r="AO39" s="30">
        <f>IFERROR(INDIRECT("'"&amp;$B39&amp;"'!D19"),"")</f>
        <v/>
      </c>
      <c r="AP39" s="30">
        <f>IFERROR(INDIRECT("'"&amp;$B39&amp;"'!C20"),"")</f>
        <v/>
      </c>
      <c r="AQ39" s="30">
        <f>IFERROR(INDIRECT("'"&amp;$B39&amp;"'!D20"),"")</f>
        <v/>
      </c>
      <c r="AR39" s="30">
        <f>IFERROR(INDIRECT("'"&amp;$B39&amp;"'!C21"),"")</f>
        <v/>
      </c>
      <c r="AS39" s="30">
        <f>IFERROR(INDIRECT("'"&amp;$B39&amp;"'!D21"),"")</f>
        <v/>
      </c>
    </row>
    <row r="40" ht="17" customHeight="1">
      <c r="A40" s="20" t="n">
        <v>30</v>
      </c>
      <c r="B40" s="21" t="n"/>
      <c r="C40" s="22">
        <f>IFERROR(INDIRECT("'"&amp;$B40&amp;"'!A7"),"")</f>
        <v/>
      </c>
      <c r="D40" s="22">
        <f>IFERROR(INDIRECT("'"&amp;$B40&amp;"'!A9"),"")</f>
        <v/>
      </c>
      <c r="E40" s="23">
        <f>IFERROR(INDIRECT("'"&amp;$B40&amp;"'!F7"),"")</f>
        <v/>
      </c>
      <c r="F40" s="23">
        <f>IFERROR(INDIRECT("'"&amp;$B40&amp;"'!H7"),"")</f>
        <v/>
      </c>
      <c r="G40" s="23">
        <f>IFERROR(INDIRECT("'"&amp;$B40&amp;"'!J7"),"")</f>
        <v/>
      </c>
      <c r="H40" s="24">
        <f>IFERROR(INDIRECT("'"&amp;$B40&amp;"'!H9"),"")</f>
        <v/>
      </c>
      <c r="I40" s="25">
        <f>IFERROR(INDIRECT("'"&amp;$B40&amp;"'!J9"),"")</f>
        <v/>
      </c>
      <c r="J40" s="26">
        <f>IFERROR(INDIRECT("'"&amp;$B40&amp;"'!A13"),"")</f>
        <v/>
      </c>
      <c r="K40" s="26">
        <f>IFERROR(INDIRECT("'"&amp;$B40&amp;"'!C13"),"")</f>
        <v/>
      </c>
      <c r="L40" s="26">
        <f>IFERROR(INDIRECT("'"&amp;$B40&amp;"'!I24"),"")</f>
        <v/>
      </c>
      <c r="M40" s="26">
        <f>IFERROR(INDIRECT("'"&amp;$B40&amp;"'!E13"),"")</f>
        <v/>
      </c>
      <c r="N40" s="27">
        <f>IFERROR(INDIRECT("'"&amp;$B40&amp;"'!G13"),"")</f>
        <v/>
      </c>
      <c r="O40" s="27">
        <f>IFERROR(INDIRECT("'"&amp;$B40&amp;"'!H13"),"")</f>
        <v/>
      </c>
      <c r="P40" s="28">
        <f>IF(OR($N40="",$O40=""),"",ROUND(($N40-$O40)*100,1))</f>
        <v/>
      </c>
      <c r="Q40" s="26">
        <f>IFERROR(INDIRECT("'"&amp;$B40&amp;"'!I13"),"")</f>
        <v/>
      </c>
      <c r="R40" s="29">
        <f>IF($N40="","",IF($N40&gt;=0.35,"Margem boa",IF($N40&gt;=0.25,"Margem apertada","Margem crítica")))</f>
        <v/>
      </c>
      <c r="AH40" s="30">
        <f>IFERROR(INDIRECT("'"&amp;$B40&amp;"'!C16"),"")</f>
        <v/>
      </c>
      <c r="AI40" s="30">
        <f>IFERROR(INDIRECT("'"&amp;$B40&amp;"'!D16"),"")</f>
        <v/>
      </c>
      <c r="AJ40" s="30">
        <f>IFERROR(INDIRECT("'"&amp;$B40&amp;"'!C17"),"")</f>
        <v/>
      </c>
      <c r="AK40" s="30">
        <f>IFERROR(INDIRECT("'"&amp;$B40&amp;"'!D17"),"")</f>
        <v/>
      </c>
      <c r="AL40" s="30">
        <f>IFERROR(INDIRECT("'"&amp;$B40&amp;"'!C18"),"")</f>
        <v/>
      </c>
      <c r="AM40" s="30">
        <f>IFERROR(INDIRECT("'"&amp;$B40&amp;"'!D18"),"")</f>
        <v/>
      </c>
      <c r="AN40" s="30">
        <f>IFERROR(INDIRECT("'"&amp;$B40&amp;"'!C19"),"")</f>
        <v/>
      </c>
      <c r="AO40" s="30">
        <f>IFERROR(INDIRECT("'"&amp;$B40&amp;"'!D19"),"")</f>
        <v/>
      </c>
      <c r="AP40" s="30">
        <f>IFERROR(INDIRECT("'"&amp;$B40&amp;"'!C20"),"")</f>
        <v/>
      </c>
      <c r="AQ40" s="30">
        <f>IFERROR(INDIRECT("'"&amp;$B40&amp;"'!D20"),"")</f>
        <v/>
      </c>
      <c r="AR40" s="30">
        <f>IFERROR(INDIRECT("'"&amp;$B40&amp;"'!C21"),"")</f>
        <v/>
      </c>
      <c r="AS40" s="30">
        <f>IFERROR(INDIRECT("'"&amp;$B40&amp;"'!D21"),"")</f>
        <v/>
      </c>
    </row>
    <row r="41" ht="17" customHeight="1">
      <c r="A41" s="20" t="n">
        <v>31</v>
      </c>
      <c r="B41" s="21" t="n"/>
      <c r="C41" s="22">
        <f>IFERROR(INDIRECT("'"&amp;$B41&amp;"'!A7"),"")</f>
        <v/>
      </c>
      <c r="D41" s="22">
        <f>IFERROR(INDIRECT("'"&amp;$B41&amp;"'!A9"),"")</f>
        <v/>
      </c>
      <c r="E41" s="23">
        <f>IFERROR(INDIRECT("'"&amp;$B41&amp;"'!F7"),"")</f>
        <v/>
      </c>
      <c r="F41" s="23">
        <f>IFERROR(INDIRECT("'"&amp;$B41&amp;"'!H7"),"")</f>
        <v/>
      </c>
      <c r="G41" s="23">
        <f>IFERROR(INDIRECT("'"&amp;$B41&amp;"'!J7"),"")</f>
        <v/>
      </c>
      <c r="H41" s="24">
        <f>IFERROR(INDIRECT("'"&amp;$B41&amp;"'!H9"),"")</f>
        <v/>
      </c>
      <c r="I41" s="25">
        <f>IFERROR(INDIRECT("'"&amp;$B41&amp;"'!J9"),"")</f>
        <v/>
      </c>
      <c r="J41" s="26">
        <f>IFERROR(INDIRECT("'"&amp;$B41&amp;"'!A13"),"")</f>
        <v/>
      </c>
      <c r="K41" s="26">
        <f>IFERROR(INDIRECT("'"&amp;$B41&amp;"'!C13"),"")</f>
        <v/>
      </c>
      <c r="L41" s="26">
        <f>IFERROR(INDIRECT("'"&amp;$B41&amp;"'!I24"),"")</f>
        <v/>
      </c>
      <c r="M41" s="26">
        <f>IFERROR(INDIRECT("'"&amp;$B41&amp;"'!E13"),"")</f>
        <v/>
      </c>
      <c r="N41" s="27">
        <f>IFERROR(INDIRECT("'"&amp;$B41&amp;"'!G13"),"")</f>
        <v/>
      </c>
      <c r="O41" s="27">
        <f>IFERROR(INDIRECT("'"&amp;$B41&amp;"'!H13"),"")</f>
        <v/>
      </c>
      <c r="P41" s="28">
        <f>IF(OR($N41="",$O41=""),"",ROUND(($N41-$O41)*100,1))</f>
        <v/>
      </c>
      <c r="Q41" s="26">
        <f>IFERROR(INDIRECT("'"&amp;$B41&amp;"'!I13"),"")</f>
        <v/>
      </c>
      <c r="R41" s="29">
        <f>IF($N41="","",IF($N41&gt;=0.35,"Margem boa",IF($N41&gt;=0.25,"Margem apertada","Margem crítica")))</f>
        <v/>
      </c>
      <c r="AH41" s="30">
        <f>IFERROR(INDIRECT("'"&amp;$B41&amp;"'!C16"),"")</f>
        <v/>
      </c>
      <c r="AI41" s="30">
        <f>IFERROR(INDIRECT("'"&amp;$B41&amp;"'!D16"),"")</f>
        <v/>
      </c>
      <c r="AJ41" s="30">
        <f>IFERROR(INDIRECT("'"&amp;$B41&amp;"'!C17"),"")</f>
        <v/>
      </c>
      <c r="AK41" s="30">
        <f>IFERROR(INDIRECT("'"&amp;$B41&amp;"'!D17"),"")</f>
        <v/>
      </c>
      <c r="AL41" s="30">
        <f>IFERROR(INDIRECT("'"&amp;$B41&amp;"'!C18"),"")</f>
        <v/>
      </c>
      <c r="AM41" s="30">
        <f>IFERROR(INDIRECT("'"&amp;$B41&amp;"'!D18"),"")</f>
        <v/>
      </c>
      <c r="AN41" s="30">
        <f>IFERROR(INDIRECT("'"&amp;$B41&amp;"'!C19"),"")</f>
        <v/>
      </c>
      <c r="AO41" s="30">
        <f>IFERROR(INDIRECT("'"&amp;$B41&amp;"'!D19"),"")</f>
        <v/>
      </c>
      <c r="AP41" s="30">
        <f>IFERROR(INDIRECT("'"&amp;$B41&amp;"'!C20"),"")</f>
        <v/>
      </c>
      <c r="AQ41" s="30">
        <f>IFERROR(INDIRECT("'"&amp;$B41&amp;"'!D20"),"")</f>
        <v/>
      </c>
      <c r="AR41" s="30">
        <f>IFERROR(INDIRECT("'"&amp;$B41&amp;"'!C21"),"")</f>
        <v/>
      </c>
      <c r="AS41" s="30">
        <f>IFERROR(INDIRECT("'"&amp;$B41&amp;"'!D21"),"")</f>
        <v/>
      </c>
    </row>
    <row r="42" ht="17" customHeight="1">
      <c r="A42" s="20" t="n">
        <v>32</v>
      </c>
      <c r="B42" s="21" t="n"/>
      <c r="C42" s="22">
        <f>IFERROR(INDIRECT("'"&amp;$B42&amp;"'!A7"),"")</f>
        <v/>
      </c>
      <c r="D42" s="22">
        <f>IFERROR(INDIRECT("'"&amp;$B42&amp;"'!A9"),"")</f>
        <v/>
      </c>
      <c r="E42" s="23">
        <f>IFERROR(INDIRECT("'"&amp;$B42&amp;"'!F7"),"")</f>
        <v/>
      </c>
      <c r="F42" s="23">
        <f>IFERROR(INDIRECT("'"&amp;$B42&amp;"'!H7"),"")</f>
        <v/>
      </c>
      <c r="G42" s="23">
        <f>IFERROR(INDIRECT("'"&amp;$B42&amp;"'!J7"),"")</f>
        <v/>
      </c>
      <c r="H42" s="24">
        <f>IFERROR(INDIRECT("'"&amp;$B42&amp;"'!H9"),"")</f>
        <v/>
      </c>
      <c r="I42" s="25">
        <f>IFERROR(INDIRECT("'"&amp;$B42&amp;"'!J9"),"")</f>
        <v/>
      </c>
      <c r="J42" s="26">
        <f>IFERROR(INDIRECT("'"&amp;$B42&amp;"'!A13"),"")</f>
        <v/>
      </c>
      <c r="K42" s="26">
        <f>IFERROR(INDIRECT("'"&amp;$B42&amp;"'!C13"),"")</f>
        <v/>
      </c>
      <c r="L42" s="26">
        <f>IFERROR(INDIRECT("'"&amp;$B42&amp;"'!I24"),"")</f>
        <v/>
      </c>
      <c r="M42" s="26">
        <f>IFERROR(INDIRECT("'"&amp;$B42&amp;"'!E13"),"")</f>
        <v/>
      </c>
      <c r="N42" s="27">
        <f>IFERROR(INDIRECT("'"&amp;$B42&amp;"'!G13"),"")</f>
        <v/>
      </c>
      <c r="O42" s="27">
        <f>IFERROR(INDIRECT("'"&amp;$B42&amp;"'!H13"),"")</f>
        <v/>
      </c>
      <c r="P42" s="28">
        <f>IF(OR($N42="",$O42=""),"",ROUND(($N42-$O42)*100,1))</f>
        <v/>
      </c>
      <c r="Q42" s="26">
        <f>IFERROR(INDIRECT("'"&amp;$B42&amp;"'!I13"),"")</f>
        <v/>
      </c>
      <c r="R42" s="29">
        <f>IF($N42="","",IF($N42&gt;=0.35,"Margem boa",IF($N42&gt;=0.25,"Margem apertada","Margem crítica")))</f>
        <v/>
      </c>
      <c r="AH42" s="30">
        <f>IFERROR(INDIRECT("'"&amp;$B42&amp;"'!C16"),"")</f>
        <v/>
      </c>
      <c r="AI42" s="30">
        <f>IFERROR(INDIRECT("'"&amp;$B42&amp;"'!D16"),"")</f>
        <v/>
      </c>
      <c r="AJ42" s="30">
        <f>IFERROR(INDIRECT("'"&amp;$B42&amp;"'!C17"),"")</f>
        <v/>
      </c>
      <c r="AK42" s="30">
        <f>IFERROR(INDIRECT("'"&amp;$B42&amp;"'!D17"),"")</f>
        <v/>
      </c>
      <c r="AL42" s="30">
        <f>IFERROR(INDIRECT("'"&amp;$B42&amp;"'!C18"),"")</f>
        <v/>
      </c>
      <c r="AM42" s="30">
        <f>IFERROR(INDIRECT("'"&amp;$B42&amp;"'!D18"),"")</f>
        <v/>
      </c>
      <c r="AN42" s="30">
        <f>IFERROR(INDIRECT("'"&amp;$B42&amp;"'!C19"),"")</f>
        <v/>
      </c>
      <c r="AO42" s="30">
        <f>IFERROR(INDIRECT("'"&amp;$B42&amp;"'!D19"),"")</f>
        <v/>
      </c>
      <c r="AP42" s="30">
        <f>IFERROR(INDIRECT("'"&amp;$B42&amp;"'!C20"),"")</f>
        <v/>
      </c>
      <c r="AQ42" s="30">
        <f>IFERROR(INDIRECT("'"&amp;$B42&amp;"'!D20"),"")</f>
        <v/>
      </c>
      <c r="AR42" s="30">
        <f>IFERROR(INDIRECT("'"&amp;$B42&amp;"'!C21"),"")</f>
        <v/>
      </c>
      <c r="AS42" s="30">
        <f>IFERROR(INDIRECT("'"&amp;$B42&amp;"'!D21"),"")</f>
        <v/>
      </c>
    </row>
    <row r="43" ht="17" customHeight="1">
      <c r="A43" s="20" t="n">
        <v>33</v>
      </c>
      <c r="B43" s="21" t="n"/>
      <c r="C43" s="22">
        <f>IFERROR(INDIRECT("'"&amp;$B43&amp;"'!A7"),"")</f>
        <v/>
      </c>
      <c r="D43" s="22">
        <f>IFERROR(INDIRECT("'"&amp;$B43&amp;"'!A9"),"")</f>
        <v/>
      </c>
      <c r="E43" s="23">
        <f>IFERROR(INDIRECT("'"&amp;$B43&amp;"'!F7"),"")</f>
        <v/>
      </c>
      <c r="F43" s="23">
        <f>IFERROR(INDIRECT("'"&amp;$B43&amp;"'!H7"),"")</f>
        <v/>
      </c>
      <c r="G43" s="23">
        <f>IFERROR(INDIRECT("'"&amp;$B43&amp;"'!J7"),"")</f>
        <v/>
      </c>
      <c r="H43" s="24">
        <f>IFERROR(INDIRECT("'"&amp;$B43&amp;"'!H9"),"")</f>
        <v/>
      </c>
      <c r="I43" s="25">
        <f>IFERROR(INDIRECT("'"&amp;$B43&amp;"'!J9"),"")</f>
        <v/>
      </c>
      <c r="J43" s="26">
        <f>IFERROR(INDIRECT("'"&amp;$B43&amp;"'!A13"),"")</f>
        <v/>
      </c>
      <c r="K43" s="26">
        <f>IFERROR(INDIRECT("'"&amp;$B43&amp;"'!C13"),"")</f>
        <v/>
      </c>
      <c r="L43" s="26">
        <f>IFERROR(INDIRECT("'"&amp;$B43&amp;"'!I24"),"")</f>
        <v/>
      </c>
      <c r="M43" s="26">
        <f>IFERROR(INDIRECT("'"&amp;$B43&amp;"'!E13"),"")</f>
        <v/>
      </c>
      <c r="N43" s="27">
        <f>IFERROR(INDIRECT("'"&amp;$B43&amp;"'!G13"),"")</f>
        <v/>
      </c>
      <c r="O43" s="27">
        <f>IFERROR(INDIRECT("'"&amp;$B43&amp;"'!H13"),"")</f>
        <v/>
      </c>
      <c r="P43" s="28">
        <f>IF(OR($N43="",$O43=""),"",ROUND(($N43-$O43)*100,1))</f>
        <v/>
      </c>
      <c r="Q43" s="26">
        <f>IFERROR(INDIRECT("'"&amp;$B43&amp;"'!I13"),"")</f>
        <v/>
      </c>
      <c r="R43" s="29">
        <f>IF($N43="","",IF($N43&gt;=0.35,"Margem boa",IF($N43&gt;=0.25,"Margem apertada","Margem crítica")))</f>
        <v/>
      </c>
      <c r="AH43" s="30">
        <f>IFERROR(INDIRECT("'"&amp;$B43&amp;"'!C16"),"")</f>
        <v/>
      </c>
      <c r="AI43" s="30">
        <f>IFERROR(INDIRECT("'"&amp;$B43&amp;"'!D16"),"")</f>
        <v/>
      </c>
      <c r="AJ43" s="30">
        <f>IFERROR(INDIRECT("'"&amp;$B43&amp;"'!C17"),"")</f>
        <v/>
      </c>
      <c r="AK43" s="30">
        <f>IFERROR(INDIRECT("'"&amp;$B43&amp;"'!D17"),"")</f>
        <v/>
      </c>
      <c r="AL43" s="30">
        <f>IFERROR(INDIRECT("'"&amp;$B43&amp;"'!C18"),"")</f>
        <v/>
      </c>
      <c r="AM43" s="30">
        <f>IFERROR(INDIRECT("'"&amp;$B43&amp;"'!D18"),"")</f>
        <v/>
      </c>
      <c r="AN43" s="30">
        <f>IFERROR(INDIRECT("'"&amp;$B43&amp;"'!C19"),"")</f>
        <v/>
      </c>
      <c r="AO43" s="30">
        <f>IFERROR(INDIRECT("'"&amp;$B43&amp;"'!D19"),"")</f>
        <v/>
      </c>
      <c r="AP43" s="30">
        <f>IFERROR(INDIRECT("'"&amp;$B43&amp;"'!C20"),"")</f>
        <v/>
      </c>
      <c r="AQ43" s="30">
        <f>IFERROR(INDIRECT("'"&amp;$B43&amp;"'!D20"),"")</f>
        <v/>
      </c>
      <c r="AR43" s="30">
        <f>IFERROR(INDIRECT("'"&amp;$B43&amp;"'!C21"),"")</f>
        <v/>
      </c>
      <c r="AS43" s="30">
        <f>IFERROR(INDIRECT("'"&amp;$B43&amp;"'!D21"),"")</f>
        <v/>
      </c>
    </row>
    <row r="44" ht="17" customHeight="1">
      <c r="A44" s="20" t="n">
        <v>34</v>
      </c>
      <c r="B44" s="21" t="n"/>
      <c r="C44" s="22">
        <f>IFERROR(INDIRECT("'"&amp;$B44&amp;"'!A7"),"")</f>
        <v/>
      </c>
      <c r="D44" s="22">
        <f>IFERROR(INDIRECT("'"&amp;$B44&amp;"'!A9"),"")</f>
        <v/>
      </c>
      <c r="E44" s="23">
        <f>IFERROR(INDIRECT("'"&amp;$B44&amp;"'!F7"),"")</f>
        <v/>
      </c>
      <c r="F44" s="23">
        <f>IFERROR(INDIRECT("'"&amp;$B44&amp;"'!H7"),"")</f>
        <v/>
      </c>
      <c r="G44" s="23">
        <f>IFERROR(INDIRECT("'"&amp;$B44&amp;"'!J7"),"")</f>
        <v/>
      </c>
      <c r="H44" s="24">
        <f>IFERROR(INDIRECT("'"&amp;$B44&amp;"'!H9"),"")</f>
        <v/>
      </c>
      <c r="I44" s="25">
        <f>IFERROR(INDIRECT("'"&amp;$B44&amp;"'!J9"),"")</f>
        <v/>
      </c>
      <c r="J44" s="26">
        <f>IFERROR(INDIRECT("'"&amp;$B44&amp;"'!A13"),"")</f>
        <v/>
      </c>
      <c r="K44" s="26">
        <f>IFERROR(INDIRECT("'"&amp;$B44&amp;"'!C13"),"")</f>
        <v/>
      </c>
      <c r="L44" s="26">
        <f>IFERROR(INDIRECT("'"&amp;$B44&amp;"'!I24"),"")</f>
        <v/>
      </c>
      <c r="M44" s="26">
        <f>IFERROR(INDIRECT("'"&amp;$B44&amp;"'!E13"),"")</f>
        <v/>
      </c>
      <c r="N44" s="27">
        <f>IFERROR(INDIRECT("'"&amp;$B44&amp;"'!G13"),"")</f>
        <v/>
      </c>
      <c r="O44" s="27">
        <f>IFERROR(INDIRECT("'"&amp;$B44&amp;"'!H13"),"")</f>
        <v/>
      </c>
      <c r="P44" s="28">
        <f>IF(OR($N44="",$O44=""),"",ROUND(($N44-$O44)*100,1))</f>
        <v/>
      </c>
      <c r="Q44" s="26">
        <f>IFERROR(INDIRECT("'"&amp;$B44&amp;"'!I13"),"")</f>
        <v/>
      </c>
      <c r="R44" s="29">
        <f>IF($N44="","",IF($N44&gt;=0.35,"Margem boa",IF($N44&gt;=0.25,"Margem apertada","Margem crítica")))</f>
        <v/>
      </c>
      <c r="AH44" s="30">
        <f>IFERROR(INDIRECT("'"&amp;$B44&amp;"'!C16"),"")</f>
        <v/>
      </c>
      <c r="AI44" s="30">
        <f>IFERROR(INDIRECT("'"&amp;$B44&amp;"'!D16"),"")</f>
        <v/>
      </c>
      <c r="AJ44" s="30">
        <f>IFERROR(INDIRECT("'"&amp;$B44&amp;"'!C17"),"")</f>
        <v/>
      </c>
      <c r="AK44" s="30">
        <f>IFERROR(INDIRECT("'"&amp;$B44&amp;"'!D17"),"")</f>
        <v/>
      </c>
      <c r="AL44" s="30">
        <f>IFERROR(INDIRECT("'"&amp;$B44&amp;"'!C18"),"")</f>
        <v/>
      </c>
      <c r="AM44" s="30">
        <f>IFERROR(INDIRECT("'"&amp;$B44&amp;"'!D18"),"")</f>
        <v/>
      </c>
      <c r="AN44" s="30">
        <f>IFERROR(INDIRECT("'"&amp;$B44&amp;"'!C19"),"")</f>
        <v/>
      </c>
      <c r="AO44" s="30">
        <f>IFERROR(INDIRECT("'"&amp;$B44&amp;"'!D19"),"")</f>
        <v/>
      </c>
      <c r="AP44" s="30">
        <f>IFERROR(INDIRECT("'"&amp;$B44&amp;"'!C20"),"")</f>
        <v/>
      </c>
      <c r="AQ44" s="30">
        <f>IFERROR(INDIRECT("'"&amp;$B44&amp;"'!D20"),"")</f>
        <v/>
      </c>
      <c r="AR44" s="30">
        <f>IFERROR(INDIRECT("'"&amp;$B44&amp;"'!C21"),"")</f>
        <v/>
      </c>
      <c r="AS44" s="30">
        <f>IFERROR(INDIRECT("'"&amp;$B44&amp;"'!D21"),"")</f>
        <v/>
      </c>
    </row>
    <row r="45" ht="17" customHeight="1">
      <c r="A45" s="20" t="n">
        <v>35</v>
      </c>
      <c r="B45" s="21" t="n"/>
      <c r="C45" s="22">
        <f>IFERROR(INDIRECT("'"&amp;$B45&amp;"'!A7"),"")</f>
        <v/>
      </c>
      <c r="D45" s="22">
        <f>IFERROR(INDIRECT("'"&amp;$B45&amp;"'!A9"),"")</f>
        <v/>
      </c>
      <c r="E45" s="23">
        <f>IFERROR(INDIRECT("'"&amp;$B45&amp;"'!F7"),"")</f>
        <v/>
      </c>
      <c r="F45" s="23">
        <f>IFERROR(INDIRECT("'"&amp;$B45&amp;"'!H7"),"")</f>
        <v/>
      </c>
      <c r="G45" s="23">
        <f>IFERROR(INDIRECT("'"&amp;$B45&amp;"'!J7"),"")</f>
        <v/>
      </c>
      <c r="H45" s="24">
        <f>IFERROR(INDIRECT("'"&amp;$B45&amp;"'!H9"),"")</f>
        <v/>
      </c>
      <c r="I45" s="25">
        <f>IFERROR(INDIRECT("'"&amp;$B45&amp;"'!J9"),"")</f>
        <v/>
      </c>
      <c r="J45" s="26">
        <f>IFERROR(INDIRECT("'"&amp;$B45&amp;"'!A13"),"")</f>
        <v/>
      </c>
      <c r="K45" s="26">
        <f>IFERROR(INDIRECT("'"&amp;$B45&amp;"'!C13"),"")</f>
        <v/>
      </c>
      <c r="L45" s="26">
        <f>IFERROR(INDIRECT("'"&amp;$B45&amp;"'!I24"),"")</f>
        <v/>
      </c>
      <c r="M45" s="26">
        <f>IFERROR(INDIRECT("'"&amp;$B45&amp;"'!E13"),"")</f>
        <v/>
      </c>
      <c r="N45" s="27">
        <f>IFERROR(INDIRECT("'"&amp;$B45&amp;"'!G13"),"")</f>
        <v/>
      </c>
      <c r="O45" s="27">
        <f>IFERROR(INDIRECT("'"&amp;$B45&amp;"'!H13"),"")</f>
        <v/>
      </c>
      <c r="P45" s="28">
        <f>IF(OR($N45="",$O45=""),"",ROUND(($N45-$O45)*100,1))</f>
        <v/>
      </c>
      <c r="Q45" s="26">
        <f>IFERROR(INDIRECT("'"&amp;$B45&amp;"'!I13"),"")</f>
        <v/>
      </c>
      <c r="R45" s="29">
        <f>IF($N45="","",IF($N45&gt;=0.35,"Margem boa",IF($N45&gt;=0.25,"Margem apertada","Margem crítica")))</f>
        <v/>
      </c>
      <c r="AH45" s="30">
        <f>IFERROR(INDIRECT("'"&amp;$B45&amp;"'!C16"),"")</f>
        <v/>
      </c>
      <c r="AI45" s="30">
        <f>IFERROR(INDIRECT("'"&amp;$B45&amp;"'!D16"),"")</f>
        <v/>
      </c>
      <c r="AJ45" s="30">
        <f>IFERROR(INDIRECT("'"&amp;$B45&amp;"'!C17"),"")</f>
        <v/>
      </c>
      <c r="AK45" s="30">
        <f>IFERROR(INDIRECT("'"&amp;$B45&amp;"'!D17"),"")</f>
        <v/>
      </c>
      <c r="AL45" s="30">
        <f>IFERROR(INDIRECT("'"&amp;$B45&amp;"'!C18"),"")</f>
        <v/>
      </c>
      <c r="AM45" s="30">
        <f>IFERROR(INDIRECT("'"&amp;$B45&amp;"'!D18"),"")</f>
        <v/>
      </c>
      <c r="AN45" s="30">
        <f>IFERROR(INDIRECT("'"&amp;$B45&amp;"'!C19"),"")</f>
        <v/>
      </c>
      <c r="AO45" s="30">
        <f>IFERROR(INDIRECT("'"&amp;$B45&amp;"'!D19"),"")</f>
        <v/>
      </c>
      <c r="AP45" s="30">
        <f>IFERROR(INDIRECT("'"&amp;$B45&amp;"'!C20"),"")</f>
        <v/>
      </c>
      <c r="AQ45" s="30">
        <f>IFERROR(INDIRECT("'"&amp;$B45&amp;"'!D20"),"")</f>
        <v/>
      </c>
      <c r="AR45" s="30">
        <f>IFERROR(INDIRECT("'"&amp;$B45&amp;"'!C21"),"")</f>
        <v/>
      </c>
      <c r="AS45" s="30">
        <f>IFERROR(INDIRECT("'"&amp;$B45&amp;"'!D21"),"")</f>
        <v/>
      </c>
    </row>
    <row r="46" ht="17" customHeight="1">
      <c r="A46" s="20" t="n">
        <v>36</v>
      </c>
      <c r="B46" s="21" t="n"/>
      <c r="C46" s="22">
        <f>IFERROR(INDIRECT("'"&amp;$B46&amp;"'!A7"),"")</f>
        <v/>
      </c>
      <c r="D46" s="22">
        <f>IFERROR(INDIRECT("'"&amp;$B46&amp;"'!A9"),"")</f>
        <v/>
      </c>
      <c r="E46" s="23">
        <f>IFERROR(INDIRECT("'"&amp;$B46&amp;"'!F7"),"")</f>
        <v/>
      </c>
      <c r="F46" s="23">
        <f>IFERROR(INDIRECT("'"&amp;$B46&amp;"'!H7"),"")</f>
        <v/>
      </c>
      <c r="G46" s="23">
        <f>IFERROR(INDIRECT("'"&amp;$B46&amp;"'!J7"),"")</f>
        <v/>
      </c>
      <c r="H46" s="24">
        <f>IFERROR(INDIRECT("'"&amp;$B46&amp;"'!H9"),"")</f>
        <v/>
      </c>
      <c r="I46" s="25">
        <f>IFERROR(INDIRECT("'"&amp;$B46&amp;"'!J9"),"")</f>
        <v/>
      </c>
      <c r="J46" s="26">
        <f>IFERROR(INDIRECT("'"&amp;$B46&amp;"'!A13"),"")</f>
        <v/>
      </c>
      <c r="K46" s="26">
        <f>IFERROR(INDIRECT("'"&amp;$B46&amp;"'!C13"),"")</f>
        <v/>
      </c>
      <c r="L46" s="26">
        <f>IFERROR(INDIRECT("'"&amp;$B46&amp;"'!I24"),"")</f>
        <v/>
      </c>
      <c r="M46" s="26">
        <f>IFERROR(INDIRECT("'"&amp;$B46&amp;"'!E13"),"")</f>
        <v/>
      </c>
      <c r="N46" s="27">
        <f>IFERROR(INDIRECT("'"&amp;$B46&amp;"'!G13"),"")</f>
        <v/>
      </c>
      <c r="O46" s="27">
        <f>IFERROR(INDIRECT("'"&amp;$B46&amp;"'!H13"),"")</f>
        <v/>
      </c>
      <c r="P46" s="28">
        <f>IF(OR($N46="",$O46=""),"",ROUND(($N46-$O46)*100,1))</f>
        <v/>
      </c>
      <c r="Q46" s="26">
        <f>IFERROR(INDIRECT("'"&amp;$B46&amp;"'!I13"),"")</f>
        <v/>
      </c>
      <c r="R46" s="29">
        <f>IF($N46="","",IF($N46&gt;=0.35,"Margem boa",IF($N46&gt;=0.25,"Margem apertada","Margem crítica")))</f>
        <v/>
      </c>
      <c r="AH46" s="30">
        <f>IFERROR(INDIRECT("'"&amp;$B46&amp;"'!C16"),"")</f>
        <v/>
      </c>
      <c r="AI46" s="30">
        <f>IFERROR(INDIRECT("'"&amp;$B46&amp;"'!D16"),"")</f>
        <v/>
      </c>
      <c r="AJ46" s="30">
        <f>IFERROR(INDIRECT("'"&amp;$B46&amp;"'!C17"),"")</f>
        <v/>
      </c>
      <c r="AK46" s="30">
        <f>IFERROR(INDIRECT("'"&amp;$B46&amp;"'!D17"),"")</f>
        <v/>
      </c>
      <c r="AL46" s="30">
        <f>IFERROR(INDIRECT("'"&amp;$B46&amp;"'!C18"),"")</f>
        <v/>
      </c>
      <c r="AM46" s="30">
        <f>IFERROR(INDIRECT("'"&amp;$B46&amp;"'!D18"),"")</f>
        <v/>
      </c>
      <c r="AN46" s="30">
        <f>IFERROR(INDIRECT("'"&amp;$B46&amp;"'!C19"),"")</f>
        <v/>
      </c>
      <c r="AO46" s="30">
        <f>IFERROR(INDIRECT("'"&amp;$B46&amp;"'!D19"),"")</f>
        <v/>
      </c>
      <c r="AP46" s="30">
        <f>IFERROR(INDIRECT("'"&amp;$B46&amp;"'!C20"),"")</f>
        <v/>
      </c>
      <c r="AQ46" s="30">
        <f>IFERROR(INDIRECT("'"&amp;$B46&amp;"'!D20"),"")</f>
        <v/>
      </c>
      <c r="AR46" s="30">
        <f>IFERROR(INDIRECT("'"&amp;$B46&amp;"'!C21"),"")</f>
        <v/>
      </c>
      <c r="AS46" s="30">
        <f>IFERROR(INDIRECT("'"&amp;$B46&amp;"'!D21"),"")</f>
        <v/>
      </c>
    </row>
    <row r="47" ht="17" customHeight="1">
      <c r="A47" s="20" t="n">
        <v>37</v>
      </c>
      <c r="B47" s="21" t="n"/>
      <c r="C47" s="22">
        <f>IFERROR(INDIRECT("'"&amp;$B47&amp;"'!A7"),"")</f>
        <v/>
      </c>
      <c r="D47" s="22">
        <f>IFERROR(INDIRECT("'"&amp;$B47&amp;"'!A9"),"")</f>
        <v/>
      </c>
      <c r="E47" s="23">
        <f>IFERROR(INDIRECT("'"&amp;$B47&amp;"'!F7"),"")</f>
        <v/>
      </c>
      <c r="F47" s="23">
        <f>IFERROR(INDIRECT("'"&amp;$B47&amp;"'!H7"),"")</f>
        <v/>
      </c>
      <c r="G47" s="23">
        <f>IFERROR(INDIRECT("'"&amp;$B47&amp;"'!J7"),"")</f>
        <v/>
      </c>
      <c r="H47" s="24">
        <f>IFERROR(INDIRECT("'"&amp;$B47&amp;"'!H9"),"")</f>
        <v/>
      </c>
      <c r="I47" s="25">
        <f>IFERROR(INDIRECT("'"&amp;$B47&amp;"'!J9"),"")</f>
        <v/>
      </c>
      <c r="J47" s="26">
        <f>IFERROR(INDIRECT("'"&amp;$B47&amp;"'!A13"),"")</f>
        <v/>
      </c>
      <c r="K47" s="26">
        <f>IFERROR(INDIRECT("'"&amp;$B47&amp;"'!C13"),"")</f>
        <v/>
      </c>
      <c r="L47" s="26">
        <f>IFERROR(INDIRECT("'"&amp;$B47&amp;"'!I24"),"")</f>
        <v/>
      </c>
      <c r="M47" s="26">
        <f>IFERROR(INDIRECT("'"&amp;$B47&amp;"'!E13"),"")</f>
        <v/>
      </c>
      <c r="N47" s="27">
        <f>IFERROR(INDIRECT("'"&amp;$B47&amp;"'!G13"),"")</f>
        <v/>
      </c>
      <c r="O47" s="27">
        <f>IFERROR(INDIRECT("'"&amp;$B47&amp;"'!H13"),"")</f>
        <v/>
      </c>
      <c r="P47" s="28">
        <f>IF(OR($N47="",$O47=""),"",ROUND(($N47-$O47)*100,1))</f>
        <v/>
      </c>
      <c r="Q47" s="26">
        <f>IFERROR(INDIRECT("'"&amp;$B47&amp;"'!I13"),"")</f>
        <v/>
      </c>
      <c r="R47" s="29">
        <f>IF($N47="","",IF($N47&gt;=0.35,"Margem boa",IF($N47&gt;=0.25,"Margem apertada","Margem crítica")))</f>
        <v/>
      </c>
      <c r="AH47" s="30">
        <f>IFERROR(INDIRECT("'"&amp;$B47&amp;"'!C16"),"")</f>
        <v/>
      </c>
      <c r="AI47" s="30">
        <f>IFERROR(INDIRECT("'"&amp;$B47&amp;"'!D16"),"")</f>
        <v/>
      </c>
      <c r="AJ47" s="30">
        <f>IFERROR(INDIRECT("'"&amp;$B47&amp;"'!C17"),"")</f>
        <v/>
      </c>
      <c r="AK47" s="30">
        <f>IFERROR(INDIRECT("'"&amp;$B47&amp;"'!D17"),"")</f>
        <v/>
      </c>
      <c r="AL47" s="30">
        <f>IFERROR(INDIRECT("'"&amp;$B47&amp;"'!C18"),"")</f>
        <v/>
      </c>
      <c r="AM47" s="30">
        <f>IFERROR(INDIRECT("'"&amp;$B47&amp;"'!D18"),"")</f>
        <v/>
      </c>
      <c r="AN47" s="30">
        <f>IFERROR(INDIRECT("'"&amp;$B47&amp;"'!C19"),"")</f>
        <v/>
      </c>
      <c r="AO47" s="30">
        <f>IFERROR(INDIRECT("'"&amp;$B47&amp;"'!D19"),"")</f>
        <v/>
      </c>
      <c r="AP47" s="30">
        <f>IFERROR(INDIRECT("'"&amp;$B47&amp;"'!C20"),"")</f>
        <v/>
      </c>
      <c r="AQ47" s="30">
        <f>IFERROR(INDIRECT("'"&amp;$B47&amp;"'!D20"),"")</f>
        <v/>
      </c>
      <c r="AR47" s="30">
        <f>IFERROR(INDIRECT("'"&amp;$B47&amp;"'!C21"),"")</f>
        <v/>
      </c>
      <c r="AS47" s="30">
        <f>IFERROR(INDIRECT("'"&amp;$B47&amp;"'!D21"),"")</f>
        <v/>
      </c>
    </row>
    <row r="48" ht="17" customHeight="1">
      <c r="A48" s="20" t="n">
        <v>38</v>
      </c>
      <c r="B48" s="21" t="n"/>
      <c r="C48" s="22">
        <f>IFERROR(INDIRECT("'"&amp;$B48&amp;"'!A7"),"")</f>
        <v/>
      </c>
      <c r="D48" s="22">
        <f>IFERROR(INDIRECT("'"&amp;$B48&amp;"'!A9"),"")</f>
        <v/>
      </c>
      <c r="E48" s="23">
        <f>IFERROR(INDIRECT("'"&amp;$B48&amp;"'!F7"),"")</f>
        <v/>
      </c>
      <c r="F48" s="23">
        <f>IFERROR(INDIRECT("'"&amp;$B48&amp;"'!H7"),"")</f>
        <v/>
      </c>
      <c r="G48" s="23">
        <f>IFERROR(INDIRECT("'"&amp;$B48&amp;"'!J7"),"")</f>
        <v/>
      </c>
      <c r="H48" s="24">
        <f>IFERROR(INDIRECT("'"&amp;$B48&amp;"'!H9"),"")</f>
        <v/>
      </c>
      <c r="I48" s="25">
        <f>IFERROR(INDIRECT("'"&amp;$B48&amp;"'!J9"),"")</f>
        <v/>
      </c>
      <c r="J48" s="26">
        <f>IFERROR(INDIRECT("'"&amp;$B48&amp;"'!A13"),"")</f>
        <v/>
      </c>
      <c r="K48" s="26">
        <f>IFERROR(INDIRECT("'"&amp;$B48&amp;"'!C13"),"")</f>
        <v/>
      </c>
      <c r="L48" s="26">
        <f>IFERROR(INDIRECT("'"&amp;$B48&amp;"'!I24"),"")</f>
        <v/>
      </c>
      <c r="M48" s="26">
        <f>IFERROR(INDIRECT("'"&amp;$B48&amp;"'!E13"),"")</f>
        <v/>
      </c>
      <c r="N48" s="27">
        <f>IFERROR(INDIRECT("'"&amp;$B48&amp;"'!G13"),"")</f>
        <v/>
      </c>
      <c r="O48" s="27">
        <f>IFERROR(INDIRECT("'"&amp;$B48&amp;"'!H13"),"")</f>
        <v/>
      </c>
      <c r="P48" s="28">
        <f>IF(OR($N48="",$O48=""),"",ROUND(($N48-$O48)*100,1))</f>
        <v/>
      </c>
      <c r="Q48" s="26">
        <f>IFERROR(INDIRECT("'"&amp;$B48&amp;"'!I13"),"")</f>
        <v/>
      </c>
      <c r="R48" s="29">
        <f>IF($N48="","",IF($N48&gt;=0.35,"Margem boa",IF($N48&gt;=0.25,"Margem apertada","Margem crítica")))</f>
        <v/>
      </c>
      <c r="AH48" s="30">
        <f>IFERROR(INDIRECT("'"&amp;$B48&amp;"'!C16"),"")</f>
        <v/>
      </c>
      <c r="AI48" s="30">
        <f>IFERROR(INDIRECT("'"&amp;$B48&amp;"'!D16"),"")</f>
        <v/>
      </c>
      <c r="AJ48" s="30">
        <f>IFERROR(INDIRECT("'"&amp;$B48&amp;"'!C17"),"")</f>
        <v/>
      </c>
      <c r="AK48" s="30">
        <f>IFERROR(INDIRECT("'"&amp;$B48&amp;"'!D17"),"")</f>
        <v/>
      </c>
      <c r="AL48" s="30">
        <f>IFERROR(INDIRECT("'"&amp;$B48&amp;"'!C18"),"")</f>
        <v/>
      </c>
      <c r="AM48" s="30">
        <f>IFERROR(INDIRECT("'"&amp;$B48&amp;"'!D18"),"")</f>
        <v/>
      </c>
      <c r="AN48" s="30">
        <f>IFERROR(INDIRECT("'"&amp;$B48&amp;"'!C19"),"")</f>
        <v/>
      </c>
      <c r="AO48" s="30">
        <f>IFERROR(INDIRECT("'"&amp;$B48&amp;"'!D19"),"")</f>
        <v/>
      </c>
      <c r="AP48" s="30">
        <f>IFERROR(INDIRECT("'"&amp;$B48&amp;"'!C20"),"")</f>
        <v/>
      </c>
      <c r="AQ48" s="30">
        <f>IFERROR(INDIRECT("'"&amp;$B48&amp;"'!D20"),"")</f>
        <v/>
      </c>
      <c r="AR48" s="30">
        <f>IFERROR(INDIRECT("'"&amp;$B48&amp;"'!C21"),"")</f>
        <v/>
      </c>
      <c r="AS48" s="30">
        <f>IFERROR(INDIRECT("'"&amp;$B48&amp;"'!D21"),"")</f>
        <v/>
      </c>
    </row>
    <row r="49" ht="17" customHeight="1">
      <c r="A49" s="20" t="n">
        <v>39</v>
      </c>
      <c r="B49" s="21" t="n"/>
      <c r="C49" s="22">
        <f>IFERROR(INDIRECT("'"&amp;$B49&amp;"'!A7"),"")</f>
        <v/>
      </c>
      <c r="D49" s="22">
        <f>IFERROR(INDIRECT("'"&amp;$B49&amp;"'!A9"),"")</f>
        <v/>
      </c>
      <c r="E49" s="23">
        <f>IFERROR(INDIRECT("'"&amp;$B49&amp;"'!F7"),"")</f>
        <v/>
      </c>
      <c r="F49" s="23">
        <f>IFERROR(INDIRECT("'"&amp;$B49&amp;"'!H7"),"")</f>
        <v/>
      </c>
      <c r="G49" s="23">
        <f>IFERROR(INDIRECT("'"&amp;$B49&amp;"'!J7"),"")</f>
        <v/>
      </c>
      <c r="H49" s="24">
        <f>IFERROR(INDIRECT("'"&amp;$B49&amp;"'!H9"),"")</f>
        <v/>
      </c>
      <c r="I49" s="25">
        <f>IFERROR(INDIRECT("'"&amp;$B49&amp;"'!J9"),"")</f>
        <v/>
      </c>
      <c r="J49" s="26">
        <f>IFERROR(INDIRECT("'"&amp;$B49&amp;"'!A13"),"")</f>
        <v/>
      </c>
      <c r="K49" s="26">
        <f>IFERROR(INDIRECT("'"&amp;$B49&amp;"'!C13"),"")</f>
        <v/>
      </c>
      <c r="L49" s="26">
        <f>IFERROR(INDIRECT("'"&amp;$B49&amp;"'!I24"),"")</f>
        <v/>
      </c>
      <c r="M49" s="26">
        <f>IFERROR(INDIRECT("'"&amp;$B49&amp;"'!E13"),"")</f>
        <v/>
      </c>
      <c r="N49" s="27">
        <f>IFERROR(INDIRECT("'"&amp;$B49&amp;"'!G13"),"")</f>
        <v/>
      </c>
      <c r="O49" s="27">
        <f>IFERROR(INDIRECT("'"&amp;$B49&amp;"'!H13"),"")</f>
        <v/>
      </c>
      <c r="P49" s="28">
        <f>IF(OR($N49="",$O49=""),"",ROUND(($N49-$O49)*100,1))</f>
        <v/>
      </c>
      <c r="Q49" s="26">
        <f>IFERROR(INDIRECT("'"&amp;$B49&amp;"'!I13"),"")</f>
        <v/>
      </c>
      <c r="R49" s="29">
        <f>IF($N49="","",IF($N49&gt;=0.35,"Margem boa",IF($N49&gt;=0.25,"Margem apertada","Margem crítica")))</f>
        <v/>
      </c>
      <c r="AH49" s="30">
        <f>IFERROR(INDIRECT("'"&amp;$B49&amp;"'!C16"),"")</f>
        <v/>
      </c>
      <c r="AI49" s="30">
        <f>IFERROR(INDIRECT("'"&amp;$B49&amp;"'!D16"),"")</f>
        <v/>
      </c>
      <c r="AJ49" s="30">
        <f>IFERROR(INDIRECT("'"&amp;$B49&amp;"'!C17"),"")</f>
        <v/>
      </c>
      <c r="AK49" s="30">
        <f>IFERROR(INDIRECT("'"&amp;$B49&amp;"'!D17"),"")</f>
        <v/>
      </c>
      <c r="AL49" s="30">
        <f>IFERROR(INDIRECT("'"&amp;$B49&amp;"'!C18"),"")</f>
        <v/>
      </c>
      <c r="AM49" s="30">
        <f>IFERROR(INDIRECT("'"&amp;$B49&amp;"'!D18"),"")</f>
        <v/>
      </c>
      <c r="AN49" s="30">
        <f>IFERROR(INDIRECT("'"&amp;$B49&amp;"'!C19"),"")</f>
        <v/>
      </c>
      <c r="AO49" s="30">
        <f>IFERROR(INDIRECT("'"&amp;$B49&amp;"'!D19"),"")</f>
        <v/>
      </c>
      <c r="AP49" s="30">
        <f>IFERROR(INDIRECT("'"&amp;$B49&amp;"'!C20"),"")</f>
        <v/>
      </c>
      <c r="AQ49" s="30">
        <f>IFERROR(INDIRECT("'"&amp;$B49&amp;"'!D20"),"")</f>
        <v/>
      </c>
      <c r="AR49" s="30">
        <f>IFERROR(INDIRECT("'"&amp;$B49&amp;"'!C21"),"")</f>
        <v/>
      </c>
      <c r="AS49" s="30">
        <f>IFERROR(INDIRECT("'"&amp;$B49&amp;"'!D21"),"")</f>
        <v/>
      </c>
    </row>
    <row r="50" ht="17" customHeight="1">
      <c r="A50" s="20" t="n">
        <v>40</v>
      </c>
      <c r="B50" s="21" t="n"/>
      <c r="C50" s="22">
        <f>IFERROR(INDIRECT("'"&amp;$B50&amp;"'!A7"),"")</f>
        <v/>
      </c>
      <c r="D50" s="22">
        <f>IFERROR(INDIRECT("'"&amp;$B50&amp;"'!A9"),"")</f>
        <v/>
      </c>
      <c r="E50" s="23">
        <f>IFERROR(INDIRECT("'"&amp;$B50&amp;"'!F7"),"")</f>
        <v/>
      </c>
      <c r="F50" s="23">
        <f>IFERROR(INDIRECT("'"&amp;$B50&amp;"'!H7"),"")</f>
        <v/>
      </c>
      <c r="G50" s="23">
        <f>IFERROR(INDIRECT("'"&amp;$B50&amp;"'!J7"),"")</f>
        <v/>
      </c>
      <c r="H50" s="24">
        <f>IFERROR(INDIRECT("'"&amp;$B50&amp;"'!H9"),"")</f>
        <v/>
      </c>
      <c r="I50" s="25">
        <f>IFERROR(INDIRECT("'"&amp;$B50&amp;"'!J9"),"")</f>
        <v/>
      </c>
      <c r="J50" s="26">
        <f>IFERROR(INDIRECT("'"&amp;$B50&amp;"'!A13"),"")</f>
        <v/>
      </c>
      <c r="K50" s="26">
        <f>IFERROR(INDIRECT("'"&amp;$B50&amp;"'!C13"),"")</f>
        <v/>
      </c>
      <c r="L50" s="26">
        <f>IFERROR(INDIRECT("'"&amp;$B50&amp;"'!I24"),"")</f>
        <v/>
      </c>
      <c r="M50" s="26">
        <f>IFERROR(INDIRECT("'"&amp;$B50&amp;"'!E13"),"")</f>
        <v/>
      </c>
      <c r="N50" s="27">
        <f>IFERROR(INDIRECT("'"&amp;$B50&amp;"'!G13"),"")</f>
        <v/>
      </c>
      <c r="O50" s="27">
        <f>IFERROR(INDIRECT("'"&amp;$B50&amp;"'!H13"),"")</f>
        <v/>
      </c>
      <c r="P50" s="28">
        <f>IF(OR($N50="",$O50=""),"",ROUND(($N50-$O50)*100,1))</f>
        <v/>
      </c>
      <c r="Q50" s="26">
        <f>IFERROR(INDIRECT("'"&amp;$B50&amp;"'!I13"),"")</f>
        <v/>
      </c>
      <c r="R50" s="29">
        <f>IF($N50="","",IF($N50&gt;=0.35,"Margem boa",IF($N50&gt;=0.25,"Margem apertada","Margem crítica")))</f>
        <v/>
      </c>
      <c r="AH50" s="30">
        <f>IFERROR(INDIRECT("'"&amp;$B50&amp;"'!C16"),"")</f>
        <v/>
      </c>
      <c r="AI50" s="30">
        <f>IFERROR(INDIRECT("'"&amp;$B50&amp;"'!D16"),"")</f>
        <v/>
      </c>
      <c r="AJ50" s="30">
        <f>IFERROR(INDIRECT("'"&amp;$B50&amp;"'!C17"),"")</f>
        <v/>
      </c>
      <c r="AK50" s="30">
        <f>IFERROR(INDIRECT("'"&amp;$B50&amp;"'!D17"),"")</f>
        <v/>
      </c>
      <c r="AL50" s="30">
        <f>IFERROR(INDIRECT("'"&amp;$B50&amp;"'!C18"),"")</f>
        <v/>
      </c>
      <c r="AM50" s="30">
        <f>IFERROR(INDIRECT("'"&amp;$B50&amp;"'!D18"),"")</f>
        <v/>
      </c>
      <c r="AN50" s="30">
        <f>IFERROR(INDIRECT("'"&amp;$B50&amp;"'!C19"),"")</f>
        <v/>
      </c>
      <c r="AO50" s="30">
        <f>IFERROR(INDIRECT("'"&amp;$B50&amp;"'!D19"),"")</f>
        <v/>
      </c>
      <c r="AP50" s="30">
        <f>IFERROR(INDIRECT("'"&amp;$B50&amp;"'!C20"),"")</f>
        <v/>
      </c>
      <c r="AQ50" s="30">
        <f>IFERROR(INDIRECT("'"&amp;$B50&amp;"'!D20"),"")</f>
        <v/>
      </c>
      <c r="AR50" s="30">
        <f>IFERROR(INDIRECT("'"&amp;$B50&amp;"'!C21"),"")</f>
        <v/>
      </c>
      <c r="AS50" s="30">
        <f>IFERROR(INDIRECT("'"&amp;$B50&amp;"'!D21"),"")</f>
        <v/>
      </c>
    </row>
    <row r="51" ht="20" customHeight="1">
      <c r="A51" s="31" t="inlineStr">
        <is>
          <t>TOTAL</t>
        </is>
      </c>
      <c r="B51" s="32" t="n"/>
      <c r="C51" s="32" t="n"/>
      <c r="D51" s="32" t="n"/>
      <c r="E51" s="32" t="n"/>
      <c r="F51" s="32" t="n"/>
      <c r="G51" s="32" t="n"/>
      <c r="H51" s="32" t="n"/>
      <c r="I51" s="32" t="n"/>
      <c r="J51" s="33">
        <f>ROUND(SUM(J11:J50),2)</f>
        <v/>
      </c>
      <c r="K51" s="33">
        <f>ROUND(SUM(K11:K50),2)</f>
        <v/>
      </c>
      <c r="L51" s="33">
        <f>ROUND(SUM(L11:L50),2)</f>
        <v/>
      </c>
      <c r="M51" s="33">
        <f>ROUND(SUM(M11:M50),2)</f>
        <v/>
      </c>
      <c r="N51" s="34">
        <f>IF($J$51=0,"",$M$51/$J$51)</f>
        <v/>
      </c>
      <c r="O51" s="32" t="n"/>
      <c r="P51" s="32" t="n"/>
      <c r="Q51" s="33">
        <f>ROUND(SUM($Q$11:$Q$50),2)</f>
        <v/>
      </c>
      <c r="R51" s="32" t="n"/>
    </row>
    <row r="53" ht="20" customHeight="1">
      <c r="A53" s="8" t="inlineStr">
        <is>
          <t xml:space="preserve">  ONDE O ORÇAMENTO ERRA          somando todos os projetos lançados · desvio positivo = gastou mais do que previu</t>
        </is>
      </c>
      <c r="B53" s="9" t="n"/>
      <c r="C53" s="9" t="n"/>
      <c r="D53" s="9" t="n"/>
      <c r="E53" s="9" t="n"/>
      <c r="F53" s="9" t="n"/>
      <c r="G53" s="9" t="n"/>
      <c r="H53" s="9" t="n"/>
      <c r="I53" s="9" t="n"/>
      <c r="J53" s="9" t="n"/>
      <c r="K53" s="9" t="n"/>
      <c r="L53" s="9" t="n"/>
      <c r="M53" s="9" t="n"/>
      <c r="N53" s="9" t="n"/>
      <c r="O53" s="9" t="n"/>
      <c r="P53" s="9" t="n"/>
      <c r="Q53" s="9" t="n"/>
      <c r="R53" s="9" t="n"/>
    </row>
    <row r="54" ht="26" customHeight="1">
      <c r="A54" s="19" t="inlineStr">
        <is>
          <t>Categoria</t>
        </is>
      </c>
      <c r="B54" s="35" t="n"/>
      <c r="C54" s="35" t="n"/>
      <c r="D54" s="19" t="inlineStr">
        <is>
          <t>Orçado (R$)</t>
        </is>
      </c>
      <c r="E54" s="35" t="n"/>
      <c r="F54" s="19" t="inlineStr">
        <is>
          <t>Realizado (R$)</t>
        </is>
      </c>
      <c r="G54" s="35" t="n"/>
      <c r="H54" s="19" t="inlineStr">
        <is>
          <t>Desvio (R$)</t>
        </is>
      </c>
      <c r="I54" s="35" t="n"/>
      <c r="J54" s="19" t="inlineStr">
        <is>
          <t>Desvio (%)</t>
        </is>
      </c>
      <c r="K54" s="35" t="n"/>
      <c r="L54" s="19" t="inlineStr">
        <is>
          <t>% da venda</t>
        </is>
      </c>
      <c r="M54" s="35" t="n"/>
      <c r="N54" s="19" t="inlineStr">
        <is>
          <t>Leitura</t>
        </is>
      </c>
      <c r="O54" s="35" t="n"/>
      <c r="P54" s="35" t="n"/>
      <c r="Q54" s="35" t="n"/>
      <c r="R54" s="35" t="n"/>
    </row>
    <row r="55" ht="19" customHeight="1">
      <c r="A55" s="36" t="inlineStr">
        <is>
          <t>Custos de venda</t>
        </is>
      </c>
      <c r="B55" s="37" t="n"/>
      <c r="C55" s="37" t="n"/>
      <c r="D55" s="26">
        <f>ROUND(SUM(AH$11:AH$50),2)</f>
        <v/>
      </c>
      <c r="E55" s="38" t="n"/>
      <c r="F55" s="26">
        <f>ROUND(SUM(AI$11:AI$50),2)</f>
        <v/>
      </c>
      <c r="G55" s="38" t="n"/>
      <c r="H55" s="39">
        <f>ROUND($F55-$D55,2)</f>
        <v/>
      </c>
      <c r="I55" s="38" t="n"/>
      <c r="J55" s="40">
        <f>IF($D55=0,"",$F55/$D55-1)</f>
        <v/>
      </c>
      <c r="K55" s="38" t="n"/>
      <c r="L55" s="27">
        <f>IF($J$51=0,"",$F55/$J$51)</f>
        <v/>
      </c>
      <c r="M55" s="38" t="n"/>
      <c r="N55" s="41">
        <f>IF($D55=0,"—",IF($J55&gt;0.1,"Estourou mais de 10% — revisar a premissa",IF($J55&lt;-0.1,"Sobrou mais de 10% — orçamento pode estar gordo","Dentro do previsto")))</f>
        <v/>
      </c>
      <c r="O55" s="38" t="n"/>
      <c r="P55" s="38" t="n"/>
      <c r="Q55" s="38" t="n"/>
      <c r="R55" s="38" t="n"/>
    </row>
    <row r="56" ht="19" customHeight="1">
      <c r="A56" s="36" t="inlineStr">
        <is>
          <t>Comissões operacionais</t>
        </is>
      </c>
      <c r="B56" s="37" t="n"/>
      <c r="C56" s="37" t="n"/>
      <c r="D56" s="26">
        <f>ROUND(SUM(AJ$11:AJ$50),2)</f>
        <v/>
      </c>
      <c r="E56" s="38" t="n"/>
      <c r="F56" s="26">
        <f>ROUND(SUM(AK$11:AK$50),2)</f>
        <v/>
      </c>
      <c r="G56" s="38" t="n"/>
      <c r="H56" s="39">
        <f>ROUND($F56-$D56,2)</f>
        <v/>
      </c>
      <c r="I56" s="38" t="n"/>
      <c r="J56" s="40">
        <f>IF($D56=0,"",$F56/$D56-1)</f>
        <v/>
      </c>
      <c r="K56" s="38" t="n"/>
      <c r="L56" s="27">
        <f>IF($J$51=0,"",$F56/$J$51)</f>
        <v/>
      </c>
      <c r="M56" s="38" t="n"/>
      <c r="N56" s="41">
        <f>IF($D56=0,"—",IF($J56&gt;0.1,"Estourou mais de 10% — revisar a premissa",IF($J56&lt;-0.1,"Sobrou mais de 10% — orçamento pode estar gordo","Dentro do previsto")))</f>
        <v/>
      </c>
      <c r="O56" s="38" t="n"/>
      <c r="P56" s="38" t="n"/>
      <c r="Q56" s="38" t="n"/>
      <c r="R56" s="38" t="n"/>
    </row>
    <row r="57" ht="19" customHeight="1">
      <c r="A57" s="36" t="inlineStr">
        <is>
          <t>Material</t>
        </is>
      </c>
      <c r="B57" s="37" t="n"/>
      <c r="C57" s="37" t="n"/>
      <c r="D57" s="26">
        <f>ROUND(SUM(AL$11:AL$50),2)</f>
        <v/>
      </c>
      <c r="E57" s="38" t="n"/>
      <c r="F57" s="26">
        <f>ROUND(SUM(AM$11:AM$50),2)</f>
        <v/>
      </c>
      <c r="G57" s="38" t="n"/>
      <c r="H57" s="39">
        <f>ROUND($F57-$D57,2)</f>
        <v/>
      </c>
      <c r="I57" s="38" t="n"/>
      <c r="J57" s="40">
        <f>IF($D57=0,"",$F57/$D57-1)</f>
        <v/>
      </c>
      <c r="K57" s="38" t="n"/>
      <c r="L57" s="27">
        <f>IF($J$51=0,"",$F57/$J$51)</f>
        <v/>
      </c>
      <c r="M57" s="38" t="n"/>
      <c r="N57" s="41">
        <f>IF($D57=0,"—",IF($J57&gt;0.1,"Estourou mais de 10% — revisar a premissa",IF($J57&lt;-0.1,"Sobrou mais de 10% — orçamento pode estar gordo","Dentro do previsto")))</f>
        <v/>
      </c>
      <c r="O57" s="38" t="n"/>
      <c r="P57" s="38" t="n"/>
      <c r="Q57" s="38" t="n"/>
      <c r="R57" s="38" t="n"/>
    </row>
    <row r="58" ht="19" customHeight="1">
      <c r="A58" s="36" t="inlineStr">
        <is>
          <t>Serviços terceirizados</t>
        </is>
      </c>
      <c r="B58" s="37" t="n"/>
      <c r="C58" s="37" t="n"/>
      <c r="D58" s="26">
        <f>ROUND(SUM(AN$11:AN$50),2)</f>
        <v/>
      </c>
      <c r="E58" s="38" t="n"/>
      <c r="F58" s="26">
        <f>ROUND(SUM(AO$11:AO$50),2)</f>
        <v/>
      </c>
      <c r="G58" s="38" t="n"/>
      <c r="H58" s="39">
        <f>ROUND($F58-$D58,2)</f>
        <v/>
      </c>
      <c r="I58" s="38" t="n"/>
      <c r="J58" s="40">
        <f>IF($D58=0,"",$F58/$D58-1)</f>
        <v/>
      </c>
      <c r="K58" s="38" t="n"/>
      <c r="L58" s="27">
        <f>IF($J$51=0,"",$F58/$J$51)</f>
        <v/>
      </c>
      <c r="M58" s="38" t="n"/>
      <c r="N58" s="41">
        <f>IF($D58=0,"—",IF($J58&gt;0.1,"Estourou mais de 10% — revisar a premissa",IF($J58&lt;-0.1,"Sobrou mais de 10% — orçamento pode estar gordo","Dentro do previsto")))</f>
        <v/>
      </c>
      <c r="O58" s="38" t="n"/>
      <c r="P58" s="38" t="n"/>
      <c r="Q58" s="38" t="n"/>
      <c r="R58" s="38" t="n"/>
    </row>
    <row r="59" ht="19" customHeight="1">
      <c r="A59" s="36" t="inlineStr">
        <is>
          <t>Logística</t>
        </is>
      </c>
      <c r="B59" s="37" t="n"/>
      <c r="C59" s="37" t="n"/>
      <c r="D59" s="26">
        <f>ROUND(SUM(AP$11:AP$50),2)</f>
        <v/>
      </c>
      <c r="E59" s="38" t="n"/>
      <c r="F59" s="26">
        <f>ROUND(SUM(AQ$11:AQ$50),2)</f>
        <v/>
      </c>
      <c r="G59" s="38" t="n"/>
      <c r="H59" s="39">
        <f>ROUND($F59-$D59,2)</f>
        <v/>
      </c>
      <c r="I59" s="38" t="n"/>
      <c r="J59" s="40">
        <f>IF($D59=0,"",$F59/$D59-1)</f>
        <v/>
      </c>
      <c r="K59" s="38" t="n"/>
      <c r="L59" s="27">
        <f>IF($J$51=0,"",$F59/$J$51)</f>
        <v/>
      </c>
      <c r="M59" s="38" t="n"/>
      <c r="N59" s="41">
        <f>IF($D59=0,"—",IF($J59&gt;0.1,"Estourou mais de 10% — revisar a premissa",IF($J59&lt;-0.1,"Sobrou mais de 10% — orçamento pode estar gordo","Dentro do previsto")))</f>
        <v/>
      </c>
      <c r="O59" s="38" t="n"/>
      <c r="P59" s="38" t="n"/>
      <c r="Q59" s="38" t="n"/>
      <c r="R59" s="38" t="n"/>
    </row>
    <row r="60" ht="19" customHeight="1">
      <c r="A60" s="36" t="inlineStr">
        <is>
          <t>Retrabalho</t>
        </is>
      </c>
      <c r="B60" s="37" t="n"/>
      <c r="C60" s="37" t="n"/>
      <c r="D60" s="26">
        <f>ROUND(SUM(AR$11:AR$50),2)</f>
        <v/>
      </c>
      <c r="E60" s="38" t="n"/>
      <c r="F60" s="26">
        <f>ROUND(SUM(AS$11:AS$50),2)</f>
        <v/>
      </c>
      <c r="G60" s="38" t="n"/>
      <c r="H60" s="39">
        <f>ROUND($F60-$D60,2)</f>
        <v/>
      </c>
      <c r="I60" s="38" t="n"/>
      <c r="J60" s="40">
        <f>IF($D60=0,"",$F60/$D60-1)</f>
        <v/>
      </c>
      <c r="K60" s="38" t="n"/>
      <c r="L60" s="27">
        <f>IF($J$51=0,"",$F60/$J$51)</f>
        <v/>
      </c>
      <c r="M60" s="38" t="n"/>
      <c r="N60" s="41">
        <f>IF($D60=0,"—",IF($J60&gt;0.1,"Estourou mais de 10% — revisar a premissa",IF($J60&lt;-0.1,"Sobrou mais de 10% — orçamento pode estar gordo","Dentro do previsto")))</f>
        <v/>
      </c>
      <c r="O60" s="38" t="n"/>
      <c r="P60" s="38" t="n"/>
      <c r="Q60" s="38" t="n"/>
      <c r="R60" s="38" t="n"/>
    </row>
    <row r="62" ht="20" customHeight="1">
      <c r="A62" s="8" t="inlineStr">
        <is>
          <t xml:space="preserve">  LEITURAS          frases montadas a partir dos números acima</t>
        </is>
      </c>
      <c r="B62" s="9" t="n"/>
      <c r="C62" s="9" t="n"/>
      <c r="D62" s="9" t="n"/>
      <c r="E62" s="9" t="n"/>
      <c r="F62" s="9" t="n"/>
      <c r="G62" s="9" t="n"/>
      <c r="H62" s="9" t="n"/>
      <c r="I62" s="9" t="n"/>
      <c r="J62" s="9" t="n"/>
      <c r="K62" s="9" t="n"/>
      <c r="L62" s="9" t="n"/>
      <c r="M62" s="9" t="n"/>
      <c r="N62" s="9" t="n"/>
      <c r="O62" s="9" t="n"/>
      <c r="P62" s="9" t="n"/>
      <c r="Q62" s="9" t="n"/>
      <c r="R62" s="9" t="n"/>
    </row>
    <row r="63" ht="22" customHeight="1">
      <c r="A63" s="42">
        <f>"Carteira lançada: "&amp;COUNTA($B$11:$B$50)&amp;" projeto(s), "&amp;TEXT($J$51,"R$ #,##0")&amp;" de venda e "&amp;TEXT($M$51,"R$ #,##0")&amp;" de margem de contribuição — "&amp;TEXT($N$51,"0.0%")&amp;" sobre a venda."</f>
        <v/>
      </c>
      <c r="B63" s="13" t="n"/>
      <c r="C63" s="13" t="n"/>
      <c r="D63" s="13" t="n"/>
      <c r="E63" s="13" t="n"/>
      <c r="F63" s="13" t="n"/>
      <c r="G63" s="13" t="n"/>
      <c r="H63" s="13" t="n"/>
      <c r="I63" s="13" t="n"/>
      <c r="J63" s="13" t="n"/>
      <c r="K63" s="13" t="n"/>
      <c r="L63" s="13" t="n"/>
      <c r="M63" s="13" t="n"/>
      <c r="N63" s="13" t="n"/>
      <c r="O63" s="13" t="n"/>
      <c r="P63" s="13" t="n"/>
      <c r="Q63" s="13" t="n"/>
      <c r="R63" s="13" t="n"/>
    </row>
    <row r="64" ht="22" customHeight="1">
      <c r="A64" s="42">
        <f>"Categoria que mais estoura: "&amp;INDEX($A$55:$A$60,MATCH(MAX($H$55:$H$60),$H$55:$H$60,0))&amp;", com "&amp;TEXT(MAX($H$55:$H$60),"R$ #,##0")&amp;" acima do orçado. "&amp;"Categoria que mais sobra: "&amp;INDEX($A$55:$A$60,MATCH(MIN($H$55:$H$60),$H$55:$H$60,0))&amp;"."</f>
        <v/>
      </c>
      <c r="B64" s="13" t="n"/>
      <c r="C64" s="13" t="n"/>
      <c r="D64" s="13" t="n"/>
      <c r="E64" s="13" t="n"/>
      <c r="F64" s="13" t="n"/>
      <c r="G64" s="13" t="n"/>
      <c r="H64" s="13" t="n"/>
      <c r="I64" s="13" t="n"/>
      <c r="J64" s="13" t="n"/>
      <c r="K64" s="13" t="n"/>
      <c r="L64" s="13" t="n"/>
      <c r="M64" s="13" t="n"/>
      <c r="N64" s="13" t="n"/>
      <c r="O64" s="13" t="n"/>
      <c r="P64" s="13" t="n"/>
      <c r="Q64" s="13" t="n"/>
      <c r="R64" s="13" t="n"/>
    </row>
    <row r="65" ht="22" customHeight="1">
      <c r="A65" s="42">
        <f>"Margem: "&amp;COUNTIF($R$11:$R$50,"Margem crítica")&amp;" projeto(s) abaixo de 25%, "&amp;COUNTIF($R$11:$R$50,"Margem apertada")&amp;" entre 25% e 35% e "&amp;COUNTIF($R$11:$R$50,"Margem boa")&amp;" acima de 35%."</f>
        <v/>
      </c>
      <c r="B65" s="13" t="n"/>
      <c r="C65" s="13" t="n"/>
      <c r="D65" s="13" t="n"/>
      <c r="E65" s="13" t="n"/>
      <c r="F65" s="13" t="n"/>
      <c r="G65" s="13" t="n"/>
      <c r="H65" s="13" t="n"/>
      <c r="I65" s="13" t="n"/>
      <c r="J65" s="13" t="n"/>
      <c r="K65" s="13" t="n"/>
      <c r="L65" s="13" t="n"/>
      <c r="M65" s="13" t="n"/>
      <c r="N65" s="13" t="n"/>
      <c r="O65" s="13" t="n"/>
      <c r="P65" s="13" t="n"/>
      <c r="Q65" s="13" t="n"/>
      <c r="R65" s="13" t="n"/>
    </row>
    <row r="66" ht="22" customHeight="1">
      <c r="A66" s="42">
        <f>"Compras pendentes na carteira: "&amp;TEXT(SUM($L$11:$L$50),"R$ #,##0")&amp;" ainda a comprar. Entrega: "&amp;COUNTIF($I$11:$I$50,"No prazo")&amp;" no prazo, "&amp;COUNTIF($I$11:$I$50,"Atrasado")&amp;" atrasado(s), "&amp;COUNTIF($I$11:$I$50,"Em produção")&amp;" em produção. Atraso médio: "&amp;IF(COUNT($H$11:$H$50)=0,"—",TEXT(AVERAGE($H$11:$H$50),"0")&amp;" dia(s)")&amp;"."</f>
        <v/>
      </c>
      <c r="B66" s="13" t="n"/>
      <c r="C66" s="13" t="n"/>
      <c r="D66" s="13" t="n"/>
      <c r="E66" s="13" t="n"/>
      <c r="F66" s="13" t="n"/>
      <c r="G66" s="13" t="n"/>
      <c r="H66" s="13" t="n"/>
      <c r="I66" s="13" t="n"/>
      <c r="J66" s="13" t="n"/>
      <c r="K66" s="13" t="n"/>
      <c r="L66" s="13" t="n"/>
      <c r="M66" s="13" t="n"/>
      <c r="N66" s="13" t="n"/>
      <c r="O66" s="13" t="n"/>
      <c r="P66" s="13" t="n"/>
      <c r="Q66" s="13" t="n"/>
      <c r="R66" s="13" t="n"/>
    </row>
    <row r="67" ht="8" customHeight="1"/>
    <row r="68" ht="46" customHeight="1">
      <c r="A68" s="43" t="inlineStr">
        <is>
          <t xml:space="preserve">  Como alimentar: a cada projeto novo, botão direito na aba "Ficha Modelo" → Mover ou copiar → Criar uma cópia, renomeie (ex.: P-2026-042 Maria) e escreva esse mesmo nome numa linha livre da coluna ABA aqui. Todo o resto se preenche sozinho. Nome errado ou aba inexistente deixa a linha em branco — não quebra nada.</t>
        </is>
      </c>
      <c r="B68" s="15" t="n"/>
      <c r="C68" s="15" t="n"/>
      <c r="D68" s="15" t="n"/>
      <c r="E68" s="15" t="n"/>
      <c r="F68" s="15" t="n"/>
      <c r="G68" s="15" t="n"/>
      <c r="H68" s="15" t="n"/>
      <c r="I68" s="15" t="n"/>
      <c r="J68" s="15" t="n"/>
      <c r="K68" s="15" t="n"/>
      <c r="L68" s="15" t="n"/>
      <c r="M68" s="15" t="n"/>
      <c r="N68" s="15" t="n"/>
      <c r="O68" s="15" t="n"/>
      <c r="P68" s="15" t="n"/>
      <c r="Q68" s="15" t="n"/>
      <c r="R68" s="15" t="n"/>
    </row>
  </sheetData>
  <mergeCells count="77">
    <mergeCell ref="O7:P7"/>
    <mergeCell ref="D60:E60"/>
    <mergeCell ref="Q7:R7"/>
    <mergeCell ref="O6:P6"/>
    <mergeCell ref="H55:I55"/>
    <mergeCell ref="J59:K59"/>
    <mergeCell ref="A57:C57"/>
    <mergeCell ref="J60:K60"/>
    <mergeCell ref="A2:R2"/>
    <mergeCell ref="A62:R62"/>
    <mergeCell ref="A9:R9"/>
    <mergeCell ref="D56:E56"/>
    <mergeCell ref="F56:G56"/>
    <mergeCell ref="N60:R60"/>
    <mergeCell ref="A6:C6"/>
    <mergeCell ref="J58:K58"/>
    <mergeCell ref="F57:G57"/>
    <mergeCell ref="N55:R55"/>
    <mergeCell ref="G6:I6"/>
    <mergeCell ref="F54:G54"/>
    <mergeCell ref="H54:I54"/>
    <mergeCell ref="N54:R54"/>
    <mergeCell ref="J57:K57"/>
    <mergeCell ref="L57:M57"/>
    <mergeCell ref="A55:C55"/>
    <mergeCell ref="J7:L7"/>
    <mergeCell ref="H56:I56"/>
    <mergeCell ref="N56:R56"/>
    <mergeCell ref="N58:R58"/>
    <mergeCell ref="M7:N7"/>
    <mergeCell ref="A53:R53"/>
    <mergeCell ref="A63:R63"/>
    <mergeCell ref="O51:P51"/>
    <mergeCell ref="A58:C58"/>
    <mergeCell ref="N57:R57"/>
    <mergeCell ref="A68:R68"/>
    <mergeCell ref="N59:R59"/>
    <mergeCell ref="A60:C60"/>
    <mergeCell ref="L59:M59"/>
    <mergeCell ref="A1:R1"/>
    <mergeCell ref="A7:C7"/>
    <mergeCell ref="J6:L6"/>
    <mergeCell ref="A65:R65"/>
    <mergeCell ref="D7:F7"/>
    <mergeCell ref="H58:I58"/>
    <mergeCell ref="H60:I60"/>
    <mergeCell ref="A4:R4"/>
    <mergeCell ref="L58:M58"/>
    <mergeCell ref="Q6:R6"/>
    <mergeCell ref="H57:I57"/>
    <mergeCell ref="A59:C59"/>
    <mergeCell ref="L60:M60"/>
    <mergeCell ref="D55:E55"/>
    <mergeCell ref="D54:E54"/>
    <mergeCell ref="D6:F6"/>
    <mergeCell ref="G7:I7"/>
    <mergeCell ref="A54:C54"/>
    <mergeCell ref="A56:C56"/>
    <mergeCell ref="A66:R66"/>
    <mergeCell ref="A3:R3"/>
    <mergeCell ref="F59:G59"/>
    <mergeCell ref="F55:G55"/>
    <mergeCell ref="H59:I59"/>
    <mergeCell ref="D57:E57"/>
    <mergeCell ref="J55:K55"/>
    <mergeCell ref="L55:M55"/>
    <mergeCell ref="M6:N6"/>
    <mergeCell ref="J54:K54"/>
    <mergeCell ref="L54:M54"/>
    <mergeCell ref="D58:E58"/>
    <mergeCell ref="F58:G58"/>
    <mergeCell ref="J56:K56"/>
    <mergeCell ref="L56:M56"/>
    <mergeCell ref="A64:R64"/>
    <mergeCell ref="A51:I51"/>
    <mergeCell ref="F60:G60"/>
    <mergeCell ref="D59:E59"/>
  </mergeCells>
  <conditionalFormatting sqref="R11:R50">
    <cfRule type="expression" priority="1" dxfId="0" stopIfTrue="1">
      <formula>$R11="Margem boa"</formula>
    </cfRule>
    <cfRule type="expression" priority="2" dxfId="1" stopIfTrue="1">
      <formula>$R11="Margem apertada"</formula>
    </cfRule>
    <cfRule type="expression" priority="3" dxfId="2" stopIfTrue="1">
      <formula>$R11="Margem crítica"</formula>
    </cfRule>
  </conditionalFormatting>
  <conditionalFormatting sqref="I11:I50">
    <cfRule type="expression" priority="4" dxfId="0" stopIfTrue="1">
      <formula>$I11="No prazo"</formula>
    </cfRule>
    <cfRule type="expression" priority="5" dxfId="2" stopIfTrue="1">
      <formula>$I11="Atrasado"</formula>
    </cfRule>
    <cfRule type="expression" priority="6" dxfId="3" stopIfTrue="1">
      <formula>$I11="Em produção"</formula>
    </cfRule>
  </conditionalFormatting>
  <conditionalFormatting sqref="Q11:Q50">
    <cfRule type="expression" priority="7" dxfId="4">
      <formula>AND($Q11&lt;&gt;"",$Q11&gt;0)</formula>
    </cfRule>
    <cfRule type="expression" priority="8" dxfId="5">
      <formula>AND($Q11&lt;&gt;"",$Q11&lt;0)</formula>
    </cfRule>
  </conditionalFormatting>
  <conditionalFormatting sqref="L11:L50">
    <cfRule type="expression" priority="9" dxfId="1">
      <formula>AND($L11&lt;&gt;"",$L11&gt;0)</formula>
    </cfRule>
  </conditionalFormatting>
  <conditionalFormatting sqref="N55:R60">
    <cfRule type="expression" priority="10" dxfId="2" stopIfTrue="1">
      <formula>LEFT($N55,8)="Estourou"</formula>
    </cfRule>
    <cfRule type="expression" priority="11" dxfId="1" stopIfTrue="1">
      <formula>LEFT($N55,6)="Sobrou"</formula>
    </cfRule>
    <cfRule type="expression" priority="12" dxfId="0" stopIfTrue="1">
      <formula>LEFT($N55,6)="Dentro"</formula>
    </cfRule>
  </conditionalFormatting>
  <pageMargins left="0.4" right="0.3" top="0.4" bottom="0.3" header="0.5" footer="0.5"/>
  <pageSetup orientation="landscape" paperSize="9" fitToHeight="0" fitToWidth="1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J182"/>
  <sheetViews>
    <sheetView showGridLines="0" workbookViewId="0">
      <pane ySplit="25" topLeftCell="A26" activePane="bottomLeft" state="frozen"/>
      <selection pane="bottomLeft" activeCell="A1" sqref="A1"/>
    </sheetView>
  </sheetViews>
  <sheetFormatPr baseColWidth="8" defaultRowHeight="15"/>
  <cols>
    <col width="30" customWidth="1" min="1" max="1"/>
    <col width="10" customWidth="1" min="2" max="2"/>
    <col width="14" customWidth="1" min="3" max="3"/>
    <col width="18" customWidth="1" min="4" max="4"/>
    <col width="8" customWidth="1" min="5" max="5"/>
    <col width="13" customWidth="1" min="6" max="6"/>
    <col width="18" customWidth="1" min="7" max="7"/>
    <col width="8" customWidth="1" min="8" max="8"/>
    <col width="13" customWidth="1" min="9" max="9"/>
    <col width="14" customWidth="1" min="10" max="10"/>
  </cols>
  <sheetData>
    <row r="1" ht="26" customHeight="1">
      <c r="A1" s="1" t="inlineStr">
        <is>
          <t>VALVIC MARCENARIA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</row>
    <row r="2" ht="15" customHeight="1">
      <c r="A2" s="3" t="inlineStr">
        <is>
          <t>Vargas Decor Ltda   ·   CNPJ 17.269.304/0001-51   ·   Belo Horizonte / MG</t>
        </is>
      </c>
      <c r="B2" s="2" t="n"/>
      <c r="C2" s="2" t="n"/>
      <c r="D2" s="2" t="n"/>
      <c r="E2" s="2" t="n"/>
      <c r="F2" s="2" t="n"/>
      <c r="G2" s="2" t="n"/>
      <c r="H2" s="2" t="n"/>
      <c r="I2" s="2" t="n"/>
      <c r="J2" s="2" t="n"/>
    </row>
    <row r="3" ht="28" customHeight="1">
      <c r="A3" s="4" t="inlineStr">
        <is>
          <t>FICHA DE CUSTO DO PROJETO</t>
        </is>
      </c>
      <c r="B3" s="5" t="n"/>
      <c r="C3" s="5" t="n"/>
      <c r="D3" s="5" t="n"/>
      <c r="E3" s="5" t="n"/>
      <c r="F3" s="5" t="n"/>
      <c r="G3" s="5" t="n"/>
      <c r="H3" s="5" t="n"/>
      <c r="I3" s="5" t="n"/>
      <c r="J3" s="5" t="n"/>
    </row>
    <row r="4" ht="17" customHeight="1">
      <c r="A4" s="6" t="inlineStr">
        <is>
          <t>Fundo creme = você preenche · fundo cinza = calculado · duplique esta aba a cada projeto e registre o nome dela no Painel Geral</t>
        </is>
      </c>
      <c r="B4" s="7" t="n"/>
      <c r="C4" s="7" t="n"/>
      <c r="D4" s="7" t="n"/>
      <c r="E4" s="7" t="n"/>
      <c r="F4" s="7" t="n"/>
      <c r="G4" s="7" t="n"/>
      <c r="H4" s="7" t="n"/>
      <c r="I4" s="7" t="n"/>
      <c r="J4" s="7" t="n"/>
    </row>
    <row r="5" ht="6" customHeight="1"/>
    <row r="6" ht="13" customHeight="1">
      <c r="A6" s="44" t="inlineStr">
        <is>
          <t>CLIENTE</t>
        </is>
      </c>
      <c r="B6" s="13" t="n"/>
      <c r="C6" s="13" t="n"/>
      <c r="D6" s="44" t="inlineStr">
        <is>
          <t>Nº DO PROJETO</t>
        </is>
      </c>
      <c r="E6" s="13" t="n"/>
      <c r="F6" s="44" t="inlineStr">
        <is>
          <t>DATA DE ENTRADA</t>
        </is>
      </c>
      <c r="G6" s="13" t="n"/>
      <c r="H6" s="44" t="inlineStr">
        <is>
          <t>ENTREGA PREVISTA</t>
        </is>
      </c>
      <c r="I6" s="13" t="n"/>
      <c r="J6" s="44" t="inlineStr">
        <is>
          <t>ENTREGA REAL</t>
        </is>
      </c>
    </row>
    <row r="7" ht="21" customHeight="1">
      <c r="A7" s="45" t="n"/>
      <c r="B7" s="46" t="n"/>
      <c r="C7" s="46" t="n"/>
      <c r="D7" s="45" t="n"/>
      <c r="E7" s="46" t="n"/>
      <c r="F7" s="47" t="n"/>
      <c r="G7" s="46" t="n"/>
      <c r="H7" s="47" t="n"/>
      <c r="I7" s="46" t="n"/>
      <c r="J7" s="47" t="n"/>
    </row>
    <row r="8" ht="13" customHeight="1">
      <c r="A8" s="44" t="inlineStr">
        <is>
          <t>PROJETO</t>
        </is>
      </c>
      <c r="B8" s="13" t="n"/>
      <c r="C8" s="13" t="n"/>
      <c r="D8" s="44" t="inlineStr">
        <is>
          <t>VENDEDOR</t>
        </is>
      </c>
      <c r="E8" s="13" t="n"/>
      <c r="F8" s="44" t="inlineStr">
        <is>
          <t>COORDENADOR</t>
        </is>
      </c>
      <c r="G8" s="13" t="n"/>
      <c r="H8" s="44" t="inlineStr">
        <is>
          <t>DIAS DE ATRASO</t>
        </is>
      </c>
      <c r="I8" s="13" t="n"/>
      <c r="J8" s="44" t="inlineStr">
        <is>
          <t>SITUAÇÃO DA ENTREGA</t>
        </is>
      </c>
    </row>
    <row r="9" ht="21" customHeight="1">
      <c r="A9" s="45" t="n"/>
      <c r="B9" s="46" t="n"/>
      <c r="C9" s="46" t="n"/>
      <c r="D9" s="45" t="n"/>
      <c r="E9" s="46" t="n"/>
      <c r="F9" s="48" t="n"/>
      <c r="G9" s="46" t="n"/>
      <c r="H9" s="49">
        <f>IF(OR($H$7="",$J$7=""),"",$J$7-$H$7)</f>
        <v/>
      </c>
      <c r="I9" s="38" t="n"/>
      <c r="J9" s="50">
        <f>IF($H$7="","",IF($J$7="",IF(TODAY()&gt;$H$7,"Atrasado","Em produção"),IF($H$9&lt;=0,"No prazo","Atrasado")))</f>
        <v/>
      </c>
    </row>
    <row r="10" ht="8" customHeight="1"/>
    <row r="11" ht="20" customHeight="1">
      <c r="A11" s="8" t="inlineStr">
        <is>
          <t xml:space="preserve">  RESULTADO DO PROJETO          tudo aqui se atualiza conforme você lança os custos mais abaixo</t>
        </is>
      </c>
      <c r="B11" s="9" t="n"/>
      <c r="C11" s="9" t="n"/>
      <c r="D11" s="9" t="n"/>
      <c r="E11" s="9" t="n"/>
      <c r="F11" s="9" t="n"/>
      <c r="G11" s="9" t="n"/>
      <c r="H11" s="9" t="n"/>
      <c r="I11" s="9" t="n"/>
      <c r="J11" s="9" t="n"/>
    </row>
    <row r="12" ht="13" customHeight="1">
      <c r="A12" s="44" t="inlineStr">
        <is>
          <t>VALOR DE VENDA</t>
        </is>
      </c>
      <c r="B12" s="13" t="n"/>
      <c r="C12" s="44" t="inlineStr">
        <is>
          <t>CUSTO TOTAL</t>
        </is>
      </c>
      <c r="D12" s="13" t="n"/>
      <c r="E12" s="44" t="inlineStr">
        <is>
          <t>MARGEM DE CONTRIBUIÇÃO</t>
        </is>
      </c>
      <c r="F12" s="13" t="n"/>
      <c r="G12" s="44" t="inlineStr">
        <is>
          <t>MC %</t>
        </is>
      </c>
      <c r="H12" s="44" t="inlineStr">
        <is>
          <t>MC % ORÇADA</t>
        </is>
      </c>
      <c r="I12" s="44" t="inlineStr">
        <is>
          <t>DESVIO DE CUSTO</t>
        </is>
      </c>
      <c r="J12" s="13" t="n"/>
    </row>
    <row r="13" ht="30" customHeight="1">
      <c r="A13" s="51">
        <f>IF($D$28="",$C$28,$D$28)</f>
        <v/>
      </c>
      <c r="B13" s="15" t="n"/>
      <c r="C13" s="51">
        <f>IF($D$22=0,"",$D$22)</f>
        <v/>
      </c>
      <c r="D13" s="15" t="n"/>
      <c r="E13" s="51">
        <f>IF($A$13="","",$D$23)</f>
        <v/>
      </c>
      <c r="F13" s="15" t="n"/>
      <c r="G13" s="52">
        <f>IF(OR($A$13="",$A$13=0),"",$D$23/$A$13)</f>
        <v/>
      </c>
      <c r="H13" s="52">
        <f>IF(OR($C$28="",$C$28=0),"",$C$23/$C$28)</f>
        <v/>
      </c>
      <c r="I13" s="51">
        <f>IF(OR($C$22=0,$D$22=0),"",ROUND($D$22-$C$22,2))</f>
        <v/>
      </c>
      <c r="J13" s="15" t="n"/>
    </row>
    <row r="14" ht="8" customHeight="1"/>
    <row r="15" ht="26" customHeight="1">
      <c r="A15" s="19" t="inlineStr">
        <is>
          <t>Resumo por categoria</t>
        </is>
      </c>
      <c r="B15" s="35" t="n"/>
      <c r="C15" s="19" t="inlineStr">
        <is>
          <t>Orçado (R$)</t>
        </is>
      </c>
      <c r="D15" s="19" t="inlineStr">
        <is>
          <t>Realizado (R$)</t>
        </is>
      </c>
      <c r="E15" s="19" t="inlineStr">
        <is>
          <t>Desvio (R$)</t>
        </is>
      </c>
      <c r="F15" s="35" t="n"/>
      <c r="G15" s="19" t="inlineStr">
        <is>
          <t>Desvio (%)</t>
        </is>
      </c>
      <c r="H15" s="19" t="inlineStr">
        <is>
          <t>% da venda realizada</t>
        </is>
      </c>
      <c r="I15" s="35" t="n"/>
      <c r="J15" s="35" t="n"/>
    </row>
    <row r="16" ht="18" customHeight="1">
      <c r="A16" s="36" t="inlineStr">
        <is>
          <t>Custos de venda</t>
        </is>
      </c>
      <c r="B16" s="37" t="n"/>
      <c r="C16" s="53">
        <f>IF(C38="","",C38)</f>
        <v/>
      </c>
      <c r="D16" s="53">
        <f>IF(D38="","",D38)</f>
        <v/>
      </c>
      <c r="E16" s="53">
        <f>IF(OR($C16="",$D16=""),"",ROUND($D16-$C16,2))</f>
        <v/>
      </c>
      <c r="F16" s="38" t="n"/>
      <c r="G16" s="54">
        <f>IF(OR($C16="",$C16=0,$D16=""),"",$D16/$C16-1)</f>
        <v/>
      </c>
      <c r="H16" s="55">
        <f>IF(OR($D16="",$A$13="",$A$13=0),"",$D16/$A$13)</f>
        <v/>
      </c>
      <c r="I16" s="38" t="n"/>
      <c r="J16" s="38" t="n"/>
    </row>
    <row r="17" ht="18" customHeight="1">
      <c r="A17" s="36" t="inlineStr">
        <is>
          <t>Comissões operacionais</t>
        </is>
      </c>
      <c r="B17" s="37" t="n"/>
      <c r="C17" s="53">
        <f>IF(C62="","",C62)</f>
        <v/>
      </c>
      <c r="D17" s="53">
        <f>IF(D62="","",D62)</f>
        <v/>
      </c>
      <c r="E17" s="53">
        <f>IF(OR($C17="",$D17=""),"",ROUND($D17-$C17,2))</f>
        <v/>
      </c>
      <c r="F17" s="38" t="n"/>
      <c r="G17" s="54">
        <f>IF(OR($C17="",$C17=0,$D17=""),"",$D17/$C17-1)</f>
        <v/>
      </c>
      <c r="H17" s="55">
        <f>IF(OR($D17="",$A$13="",$A$13=0),"",$D17/$A$13)</f>
        <v/>
      </c>
      <c r="I17" s="38" t="n"/>
      <c r="J17" s="38" t="n"/>
    </row>
    <row r="18" ht="18" customHeight="1">
      <c r="A18" s="36" t="inlineStr">
        <is>
          <t>Material</t>
        </is>
      </c>
      <c r="B18" s="37" t="n"/>
      <c r="C18" s="53">
        <f>IF(C89="","",C89)</f>
        <v/>
      </c>
      <c r="D18" s="53">
        <f>IF(D89="","",D89)</f>
        <v/>
      </c>
      <c r="E18" s="53">
        <f>IF(OR($C18="",$D18=""),"",ROUND($D18-$C18,2))</f>
        <v/>
      </c>
      <c r="F18" s="38" t="n"/>
      <c r="G18" s="54">
        <f>IF(OR($C18="",$C18=0,$D18=""),"",$D18/$C18-1)</f>
        <v/>
      </c>
      <c r="H18" s="55">
        <f>IF(OR($D18="",$A$13="",$A$13=0),"",$D18/$A$13)</f>
        <v/>
      </c>
      <c r="I18" s="38" t="n"/>
      <c r="J18" s="38" t="n"/>
    </row>
    <row r="19" ht="18" customHeight="1">
      <c r="A19" s="36" t="inlineStr">
        <is>
          <t>Serviços terceirizados</t>
        </is>
      </c>
      <c r="B19" s="37" t="n"/>
      <c r="C19" s="53">
        <f>IF(C94="","",C94)</f>
        <v/>
      </c>
      <c r="D19" s="53">
        <f>IF(D94="","",D94)</f>
        <v/>
      </c>
      <c r="E19" s="53">
        <f>IF(OR($C19="",$D19=""),"",ROUND($D19-$C19,2))</f>
        <v/>
      </c>
      <c r="F19" s="38" t="n"/>
      <c r="G19" s="54">
        <f>IF(OR($C19="",$C19=0,$D19=""),"",$D19/$C19-1)</f>
        <v/>
      </c>
      <c r="H19" s="55">
        <f>IF(OR($D19="",$A$13="",$A$13=0),"",$D19/$A$13)</f>
        <v/>
      </c>
      <c r="I19" s="38" t="n"/>
      <c r="J19" s="38" t="n"/>
    </row>
    <row r="20" ht="18" customHeight="1">
      <c r="A20" s="36" t="inlineStr">
        <is>
          <t>Logística</t>
        </is>
      </c>
      <c r="B20" s="37" t="n"/>
      <c r="C20" s="53">
        <f>IF(C100="","",C100)</f>
        <v/>
      </c>
      <c r="D20" s="53">
        <f>IF(D100="","",D100)</f>
        <v/>
      </c>
      <c r="E20" s="53">
        <f>IF(OR($C20="",$D20=""),"",ROUND($D20-$C20,2))</f>
        <v/>
      </c>
      <c r="F20" s="38" t="n"/>
      <c r="G20" s="54">
        <f>IF(OR($C20="",$C20=0,$D20=""),"",$D20/$C20-1)</f>
        <v/>
      </c>
      <c r="H20" s="55">
        <f>IF(OR($D20="",$A$13="",$A$13=0),"",$D20/$A$13)</f>
        <v/>
      </c>
      <c r="I20" s="38" t="n"/>
      <c r="J20" s="38" t="n"/>
    </row>
    <row r="21" ht="18" customHeight="1">
      <c r="A21" s="36" t="inlineStr">
        <is>
          <t>Retrabalho</t>
        </is>
      </c>
      <c r="B21" s="37" t="n"/>
      <c r="C21" s="53">
        <f>IF(C116="","",C116)</f>
        <v/>
      </c>
      <c r="D21" s="53">
        <f>IF(D116="","",D116)</f>
        <v/>
      </c>
      <c r="E21" s="53">
        <f>IF(OR($C21="",$D21=""),"",ROUND($D21-$C21,2))</f>
        <v/>
      </c>
      <c r="F21" s="38" t="n"/>
      <c r="G21" s="54">
        <f>IF(OR($C21="",$C21=0,$D21=""),"",$D21/$C21-1)</f>
        <v/>
      </c>
      <c r="H21" s="55">
        <f>IF(OR($D21="",$A$13="",$A$13=0),"",$D21/$A$13)</f>
        <v/>
      </c>
      <c r="I21" s="38" t="n"/>
      <c r="J21" s="38" t="n"/>
    </row>
    <row r="22" ht="22" customHeight="1">
      <c r="A22" s="31" t="inlineStr">
        <is>
          <t>(=) CUSTO TOTAL DO PROJETO</t>
        </is>
      </c>
      <c r="B22" s="32" t="n"/>
      <c r="C22" s="56">
        <f>ROUND(SUM(C16:C21),2)</f>
        <v/>
      </c>
      <c r="D22" s="56">
        <f>ROUND(SUM(D16:D21),2)</f>
        <v/>
      </c>
      <c r="E22" s="57">
        <f>ROUND($D$22-$C$22,2)</f>
        <v/>
      </c>
      <c r="F22" s="32" t="n"/>
      <c r="G22" s="58">
        <f>IF(OR($C$22="",$C$22=0),"",$D$22/$C$22-1)</f>
        <v/>
      </c>
      <c r="H22" s="59">
        <f>IF(OR($A$13="",$A$13=0),"",$D$22/$A$13)</f>
        <v/>
      </c>
      <c r="I22" s="32" t="n"/>
      <c r="J22" s="32" t="n"/>
    </row>
    <row r="23" ht="28" customHeight="1">
      <c r="A23" s="60" t="inlineStr">
        <is>
          <t>(=) MARGEM DE CONTRIBUIÇÃO</t>
        </is>
      </c>
      <c r="B23" s="61" t="n"/>
      <c r="C23" s="62">
        <f>ROUND($C$28-$C$22,2)</f>
        <v/>
      </c>
      <c r="D23" s="62">
        <f>ROUND($A$13-$D$22,2)</f>
        <v/>
      </c>
      <c r="E23" s="63">
        <f>ROUND($D$23-$C$23,2)</f>
        <v/>
      </c>
      <c r="F23" s="61" t="n"/>
      <c r="G23" s="64">
        <f>IF(OR($C$28="",$C$28=0),"",$C$23/$C$28)</f>
        <v/>
      </c>
      <c r="H23" s="65">
        <f>IF(OR($A$13="",$A$13=0),"",$D$23/$A$13)</f>
        <v/>
      </c>
      <c r="I23" s="61" t="n"/>
      <c r="J23" s="61" t="n"/>
    </row>
    <row r="24" ht="22" customHeight="1">
      <c r="A24" s="66">
        <f>IF($A$13="","",IF(ROUND(SUMIF($I$120:$I$179,"A comprar",$E$120:$E$179),2)+ROUND(SUMIF($I$120:$I$179,"Comprado (a pagar)",$E$120:$E$179),2)=0,"   Nenhuma compra pendente lançada — o custo realizado já é o custo final.","   Já comprado e ainda a pagar: "&amp;TEXT(ROUND(SUMIF($I$120:$I$179,"Comprado (a pagar)",$E$120:$E$179),2),"R$ #,##0")&amp;"   ·   custo projetado: "&amp;TEXT($D$22+ROUND(SUMIF($I$120:$I$179,"A comprar",$E$120:$E$179),2),"R$ #,##0")&amp;"   ·   MC projetada: "&amp;TEXT(($A$13-$D$22-ROUND(SUMIF($I$120:$I$179,"A comprar",$E$120:$E$179),2))/$A$13,"0.0%")))</f>
        <v/>
      </c>
      <c r="B24" s="15" t="n"/>
      <c r="C24" s="15" t="n"/>
      <c r="D24" s="15" t="n"/>
      <c r="E24" s="15" t="n"/>
      <c r="F24" s="15" t="n"/>
      <c r="G24" s="15" t="n"/>
      <c r="H24" s="15" t="n"/>
      <c r="I24" s="67">
        <f>IF($A$13="","",ROUND(SUMIF($I$120:$I$179,"A comprar",$E$120:$E$179),2))</f>
        <v/>
      </c>
      <c r="J24" s="15" t="n"/>
    </row>
    <row r="25" ht="8" customHeight="1"/>
    <row r="26" ht="20" customHeight="1">
      <c r="A26" s="8" t="inlineStr">
        <is>
          <t xml:space="preserve">  1 · VALOR DE VENDA</t>
        </is>
      </c>
      <c r="B26" s="9" t="n"/>
      <c r="C26" s="9" t="n"/>
      <c r="D26" s="9" t="n"/>
      <c r="E26" s="9" t="n"/>
      <c r="F26" s="9" t="n"/>
      <c r="G26" s="9" t="n"/>
      <c r="H26" s="9" t="n"/>
      <c r="I26" s="9" t="n"/>
      <c r="J26" s="9" t="n"/>
    </row>
    <row r="27" ht="26" customHeight="1">
      <c r="A27" s="19" t="inlineStr">
        <is>
          <t>Item</t>
        </is>
      </c>
      <c r="B27" s="19" t="inlineStr">
        <is>
          <t>%</t>
        </is>
      </c>
      <c r="C27" s="19" t="inlineStr">
        <is>
          <t>Orçado (R$)</t>
        </is>
      </c>
      <c r="D27" s="19" t="inlineStr">
        <is>
          <t>Realizado (R$)</t>
        </is>
      </c>
      <c r="E27" s="19" t="inlineStr">
        <is>
          <t>Desvio (R$)</t>
        </is>
      </c>
      <c r="F27" s="35" t="n"/>
      <c r="G27" s="19" t="inlineStr">
        <is>
          <t>% da venda</t>
        </is>
      </c>
      <c r="H27" s="19" t="inlineStr">
        <is>
          <t>Observação</t>
        </is>
      </c>
      <c r="I27" s="35" t="n"/>
      <c r="J27" s="35" t="n"/>
    </row>
    <row r="28" ht="17" customHeight="1">
      <c r="A28" s="36" t="inlineStr">
        <is>
          <t>Valor de venda do projeto</t>
        </is>
      </c>
      <c r="B28" s="37" t="n"/>
      <c r="C28" s="68" t="n"/>
      <c r="D28" s="68" t="n"/>
      <c r="E28" s="53">
        <f>IF(OR($C28="",$D28=""),"",ROUND($D28-$C28,2))</f>
        <v/>
      </c>
      <c r="F28" s="38" t="n"/>
      <c r="G28" s="69" t="n"/>
      <c r="H28" s="70" t="inlineStr">
        <is>
          <t>Orçado = valor da proposta · Realizado = valor fechado</t>
        </is>
      </c>
      <c r="I28" s="46" t="n"/>
      <c r="J28" s="46" t="n"/>
    </row>
    <row r="29" ht="8" customHeight="1"/>
    <row r="30" ht="20" customHeight="1">
      <c r="A30" s="8" t="inlineStr">
        <is>
          <t xml:space="preserve">  2 · CUSTOS DE VENDA          tudo que sai por causa da venda · define a RECEITA LÍQUIDA</t>
        </is>
      </c>
      <c r="B30" s="9" t="n"/>
      <c r="C30" s="9" t="n"/>
      <c r="D30" s="9" t="n"/>
      <c r="E30" s="9" t="n"/>
      <c r="F30" s="9" t="n"/>
      <c r="G30" s="9" t="n"/>
      <c r="H30" s="9" t="n"/>
      <c r="I30" s="9" t="n"/>
      <c r="J30" s="9" t="n"/>
    </row>
    <row r="31" ht="26" customHeight="1">
      <c r="A31" s="19" t="inlineStr">
        <is>
          <t>Item</t>
        </is>
      </c>
      <c r="B31" s="19" t="inlineStr">
        <is>
          <t>%</t>
        </is>
      </c>
      <c r="C31" s="19" t="inlineStr">
        <is>
          <t>Orçado (R$)</t>
        </is>
      </c>
      <c r="D31" s="19" t="inlineStr">
        <is>
          <t>Realizado (R$)</t>
        </is>
      </c>
      <c r="E31" s="19" t="inlineStr">
        <is>
          <t>Desvio (R$)</t>
        </is>
      </c>
      <c r="F31" s="35" t="n"/>
      <c r="G31" s="19" t="inlineStr">
        <is>
          <t>% da venda</t>
        </is>
      </c>
      <c r="H31" s="19" t="inlineStr">
        <is>
          <t>Observação</t>
        </is>
      </c>
      <c r="I31" s="35" t="n"/>
      <c r="J31" s="35" t="n"/>
    </row>
    <row r="32" ht="17" customHeight="1">
      <c r="A32" s="36" t="inlineStr">
        <is>
          <t>Impostos sobre a nota (Simples)</t>
        </is>
      </c>
      <c r="B32" s="71" t="n"/>
      <c r="C32" s="53">
        <f>IF($B32="","",ROUND($B32*$C$28,2))</f>
        <v/>
      </c>
      <c r="D32" s="53">
        <f>IF($B32="","",ROUND($B32*$A$13,2))</f>
        <v/>
      </c>
      <c r="E32" s="53">
        <f>IF(OR($C32="",$D32=""),"",ROUND($D32-$C32,2))</f>
        <v/>
      </c>
      <c r="F32" s="38" t="n"/>
      <c r="G32" s="69">
        <f>IF(OR($D32="",$A$13="",$A$13=0),"",$D32/$A$13)</f>
        <v/>
      </c>
      <c r="H32" s="70" t="inlineStr">
        <is>
          <t>% sobre o valor de venda</t>
        </is>
      </c>
      <c r="I32" s="46" t="n"/>
      <c r="J32" s="46" t="n"/>
    </row>
    <row r="33" ht="17" customHeight="1">
      <c r="A33" s="36" t="inlineStr">
        <is>
          <t>Taxa de máquina de cartão</t>
        </is>
      </c>
      <c r="B33" s="71" t="n"/>
      <c r="C33" s="53">
        <f>IF($B33="","",ROUND($B33*$C$28,2))</f>
        <v/>
      </c>
      <c r="D33" s="53">
        <f>IF($B33="","",ROUND($B33*$A$13,2))</f>
        <v/>
      </c>
      <c r="E33" s="53">
        <f>IF(OR($C33="",$D33=""),"",ROUND($D33-$C33,2))</f>
        <v/>
      </c>
      <c r="F33" s="38" t="n"/>
      <c r="G33" s="69">
        <f>IF(OR($D33="",$A$13="",$A$13=0),"",$D33/$A$13)</f>
        <v/>
      </c>
      <c r="H33" s="70" t="inlineStr">
        <is>
          <t>% sobre o valor de venda</t>
        </is>
      </c>
      <c r="I33" s="46" t="n"/>
      <c r="J33" s="46" t="n"/>
    </row>
    <row r="34" ht="17" customHeight="1">
      <c r="A34" s="36" t="inlineStr">
        <is>
          <t>Taxas de transação (PIX, boleto, TED)</t>
        </is>
      </c>
      <c r="B34" s="37" t="n"/>
      <c r="C34" s="68" t="n"/>
      <c r="D34" s="68" t="n"/>
      <c r="E34" s="53">
        <f>IF(OR($C34="",$D34=""),"",ROUND($D34-$C34,2))</f>
        <v/>
      </c>
      <c r="F34" s="38" t="n"/>
      <c r="G34" s="69">
        <f>IF(OR($D34="",$A$13="",$A$13=0),"",$D34/$A$13)</f>
        <v/>
      </c>
      <c r="H34" s="70" t="inlineStr">
        <is>
          <t>valor em reais</t>
        </is>
      </c>
      <c r="I34" s="46" t="n"/>
      <c r="J34" s="46" t="n"/>
    </row>
    <row r="35" ht="17" customHeight="1">
      <c r="A35" s="36" t="inlineStr">
        <is>
          <t>Comissão de venda (vendedor)</t>
        </is>
      </c>
      <c r="B35" s="71" t="n"/>
      <c r="C35" s="53">
        <f>IF($B35="","",ROUND($B35*$C$28,2))</f>
        <v/>
      </c>
      <c r="D35" s="53">
        <f>IF($B35="","",ROUND($B35*$A$13,2))</f>
        <v/>
      </c>
      <c r="E35" s="53">
        <f>IF(OR($C35="",$D35=""),"",ROUND($D35-$C35,2))</f>
        <v/>
      </c>
      <c r="F35" s="38" t="n"/>
      <c r="G35" s="69">
        <f>IF(OR($D35="",$A$13="",$A$13=0),"",$D35/$A$13)</f>
        <v/>
      </c>
      <c r="H35" s="70" t="inlineStr">
        <is>
          <t>% sobre o valor de venda</t>
        </is>
      </c>
      <c r="I35" s="46" t="n"/>
      <c r="J35" s="46" t="n"/>
    </row>
    <row r="36" ht="17" customHeight="1">
      <c r="A36" s="36" t="inlineStr">
        <is>
          <t>Projeto / anteprojeto (externo)</t>
        </is>
      </c>
      <c r="B36" s="37" t="n"/>
      <c r="C36" s="68" t="n"/>
      <c r="D36" s="68" t="n"/>
      <c r="E36" s="53">
        <f>IF(OR($C36="",$D36=""),"",ROUND($D36-$C36,2))</f>
        <v/>
      </c>
      <c r="F36" s="38" t="n"/>
      <c r="G36" s="69">
        <f>IF(OR($D36="",$A$13="",$A$13=0),"",$D36/$A$13)</f>
        <v/>
      </c>
      <c r="H36" s="70" t="inlineStr">
        <is>
          <t>projetista ou arquiteto contratado para o projeto</t>
        </is>
      </c>
      <c r="I36" s="46" t="n"/>
      <c r="J36" s="46" t="n"/>
    </row>
    <row r="37" ht="17" customHeight="1">
      <c r="A37" s="36" t="inlineStr">
        <is>
          <t>RT do parceiro</t>
        </is>
      </c>
      <c r="B37" s="71" t="n"/>
      <c r="C37" s="53">
        <f>IF($B37="","",ROUND($B37*($C$28-SUM($C$32:$C$34)),2))</f>
        <v/>
      </c>
      <c r="D37" s="53">
        <f>IF($B37="","",ROUND($B37*($A$13-SUM($D$32:$D$34)),2))</f>
        <v/>
      </c>
      <c r="E37" s="53">
        <f>IF(OR($C37="",$D37=""),"",ROUND($D37-$C37,2))</f>
        <v/>
      </c>
      <c r="F37" s="38" t="n"/>
      <c r="G37" s="69">
        <f>IF(OR($D37="",$A$13="",$A$13=0),"",$D37/$A$13)</f>
        <v/>
      </c>
      <c r="H37" s="70" t="inlineStr">
        <is>
          <t>% sobre o líquido: venda menos impostos, máquina e taxas</t>
        </is>
      </c>
      <c r="I37" s="46" t="n"/>
      <c r="J37" s="46" t="n"/>
    </row>
    <row r="38" ht="20" customHeight="1">
      <c r="A38" s="31" t="inlineStr">
        <is>
          <t>(=) SUBTOTAL DOS CUSTOS DE VENDA</t>
        </is>
      </c>
      <c r="B38" s="32" t="n"/>
      <c r="C38" s="57">
        <f>ROUND(SUM(C32:C37),2)</f>
        <v/>
      </c>
      <c r="D38" s="57">
        <f>ROUND(SUM(D32:D37),2)</f>
        <v/>
      </c>
      <c r="E38" s="57">
        <f>ROUND($D38-$C38,2)</f>
        <v/>
      </c>
      <c r="F38" s="32" t="n"/>
      <c r="G38" s="59">
        <f>IF(OR($A$13="",$A$13=0),"",$D38/$A$13)</f>
        <v/>
      </c>
      <c r="H38" s="32" t="n"/>
      <c r="I38" s="32" t="n"/>
      <c r="J38" s="32" t="n"/>
    </row>
    <row r="39" ht="24" customHeight="1">
      <c r="A39" s="72" t="inlineStr">
        <is>
          <t>(=) RECEITA LÍQUIDA</t>
        </is>
      </c>
      <c r="B39" s="61" t="n"/>
      <c r="C39" s="73">
        <f>ROUND($C$28-$C$38,2)</f>
        <v/>
      </c>
      <c r="D39" s="73">
        <f>ROUND($A$13-$D$38,2)</f>
        <v/>
      </c>
      <c r="E39" s="63">
        <f>ROUND($D$39-$C$39,2)</f>
        <v/>
      </c>
      <c r="F39" s="61" t="n"/>
      <c r="G39" s="74">
        <f>IF(OR($A$13="",$A$13=0),"",$D$39/$A$13)</f>
        <v/>
      </c>
      <c r="H39" s="75" t="inlineStr">
        <is>
          <t>É esta a base das comissões de coordenação, produção e montagem</t>
        </is>
      </c>
      <c r="I39" s="61" t="n"/>
      <c r="J39" s="61" t="n"/>
    </row>
    <row r="40" ht="8" customHeight="1"/>
    <row r="41" ht="20" customHeight="1">
      <c r="A41" s="8" t="inlineStr">
        <is>
          <t xml:space="preserve">  3 · AMBIENTES, PRODUÇÃO E MONTAGEM          cada ambiente com seu produtor e seu montador · a comissão incide sobre a receita líquida</t>
        </is>
      </c>
      <c r="B41" s="9" t="n"/>
      <c r="C41" s="9" t="n"/>
      <c r="D41" s="9" t="n"/>
      <c r="E41" s="9" t="n"/>
      <c r="F41" s="9" t="n"/>
      <c r="G41" s="9" t="n"/>
      <c r="H41" s="9" t="n"/>
      <c r="I41" s="9" t="n"/>
      <c r="J41" s="9" t="n"/>
    </row>
    <row r="42" ht="32" customHeight="1">
      <c r="A42" s="19" t="inlineStr">
        <is>
          <t>Ambiente</t>
        </is>
      </c>
      <c r="B42" s="19" t="inlineStr">
        <is>
          <t>% do total</t>
        </is>
      </c>
      <c r="C42" s="19" t="inlineStr">
        <is>
          <t>Valor do ambiente (R$)</t>
        </is>
      </c>
      <c r="D42" s="19" t="inlineStr">
        <is>
          <t>Produção — quem</t>
        </is>
      </c>
      <c r="E42" s="19" t="inlineStr">
        <is>
          <t>%</t>
        </is>
      </c>
      <c r="F42" s="19" t="inlineStr">
        <is>
          <t>Comissão produção (R$)</t>
        </is>
      </c>
      <c r="G42" s="19" t="inlineStr">
        <is>
          <t>Montagem — quem</t>
        </is>
      </c>
      <c r="H42" s="19" t="inlineStr">
        <is>
          <t>%</t>
        </is>
      </c>
      <c r="I42" s="19" t="inlineStr">
        <is>
          <t>Comissão montagem (R$)</t>
        </is>
      </c>
      <c r="J42" s="19" t="inlineStr">
        <is>
          <t>Total do ambiente</t>
        </is>
      </c>
    </row>
    <row r="43" ht="18" customHeight="1">
      <c r="A43" s="76" t="n"/>
      <c r="B43" s="69">
        <f>IF(OR($C43="",$A$13="",$A$13=0),"",$C43/$A$13)</f>
        <v/>
      </c>
      <c r="C43" s="77" t="n"/>
      <c r="D43" s="76" t="n"/>
      <c r="E43" s="71" t="n"/>
      <c r="F43" s="53">
        <f>IF(OR($B43="",$E43="",$D$39=""),"",ROUND($B43*$D$39*$E43,2))</f>
        <v/>
      </c>
      <c r="G43" s="76" t="n"/>
      <c r="H43" s="71" t="n"/>
      <c r="I43" s="53">
        <f>IF(OR($B43="",$H43="",$D$39=""),"",ROUND($B43*$D$39*$H43,2))</f>
        <v/>
      </c>
      <c r="J43" s="78">
        <f>IF(AND($F43="",$I43=""),"",ROUND(IF($F43="",0,$F43)+IF($I43="",0,$I43),2))</f>
        <v/>
      </c>
    </row>
    <row r="44" ht="18" customHeight="1">
      <c r="A44" s="76" t="n"/>
      <c r="B44" s="69">
        <f>IF(OR($C44="",$A$13="",$A$13=0),"",$C44/$A$13)</f>
        <v/>
      </c>
      <c r="C44" s="77" t="n"/>
      <c r="D44" s="76" t="n"/>
      <c r="E44" s="71" t="n"/>
      <c r="F44" s="53">
        <f>IF(OR($B44="",$E44="",$D$39=""),"",ROUND($B44*$D$39*$E44,2))</f>
        <v/>
      </c>
      <c r="G44" s="76" t="n"/>
      <c r="H44" s="71" t="n"/>
      <c r="I44" s="53">
        <f>IF(OR($B44="",$H44="",$D$39=""),"",ROUND($B44*$D$39*$H44,2))</f>
        <v/>
      </c>
      <c r="J44" s="78">
        <f>IF(AND($F44="",$I44=""),"",ROUND(IF($F44="",0,$F44)+IF($I44="",0,$I44),2))</f>
        <v/>
      </c>
    </row>
    <row r="45" ht="18" customHeight="1">
      <c r="A45" s="76" t="n"/>
      <c r="B45" s="69">
        <f>IF(OR($C45="",$A$13="",$A$13=0),"",$C45/$A$13)</f>
        <v/>
      </c>
      <c r="C45" s="77" t="n"/>
      <c r="D45" s="76" t="n"/>
      <c r="E45" s="71" t="n"/>
      <c r="F45" s="53">
        <f>IF(OR($B45="",$E45="",$D$39=""),"",ROUND($B45*$D$39*$E45,2))</f>
        <v/>
      </c>
      <c r="G45" s="76" t="n"/>
      <c r="H45" s="71" t="n"/>
      <c r="I45" s="53">
        <f>IF(OR($B45="",$H45="",$D$39=""),"",ROUND($B45*$D$39*$H45,2))</f>
        <v/>
      </c>
      <c r="J45" s="78">
        <f>IF(AND($F45="",$I45=""),"",ROUND(IF($F45="",0,$F45)+IF($I45="",0,$I45),2))</f>
        <v/>
      </c>
    </row>
    <row r="46" ht="18" customHeight="1">
      <c r="A46" s="76" t="n"/>
      <c r="B46" s="69">
        <f>IF(OR($C46="",$A$13="",$A$13=0),"",$C46/$A$13)</f>
        <v/>
      </c>
      <c r="C46" s="77" t="n"/>
      <c r="D46" s="76" t="n"/>
      <c r="E46" s="71" t="n"/>
      <c r="F46" s="53">
        <f>IF(OR($B46="",$E46="",$D$39=""),"",ROUND($B46*$D$39*$E46,2))</f>
        <v/>
      </c>
      <c r="G46" s="76" t="n"/>
      <c r="H46" s="71" t="n"/>
      <c r="I46" s="53">
        <f>IF(OR($B46="",$H46="",$D$39=""),"",ROUND($B46*$D$39*$H46,2))</f>
        <v/>
      </c>
      <c r="J46" s="78">
        <f>IF(AND($F46="",$I46=""),"",ROUND(IF($F46="",0,$F46)+IF($I46="",0,$I46),2))</f>
        <v/>
      </c>
    </row>
    <row r="47" ht="18" customHeight="1">
      <c r="A47" s="76" t="n"/>
      <c r="B47" s="69">
        <f>IF(OR($C47="",$A$13="",$A$13=0),"",$C47/$A$13)</f>
        <v/>
      </c>
      <c r="C47" s="77" t="n"/>
      <c r="D47" s="76" t="n"/>
      <c r="E47" s="71" t="n"/>
      <c r="F47" s="53">
        <f>IF(OR($B47="",$E47="",$D$39=""),"",ROUND($B47*$D$39*$E47,2))</f>
        <v/>
      </c>
      <c r="G47" s="76" t="n"/>
      <c r="H47" s="71" t="n"/>
      <c r="I47" s="53">
        <f>IF(OR($B47="",$H47="",$D$39=""),"",ROUND($B47*$D$39*$H47,2))</f>
        <v/>
      </c>
      <c r="J47" s="78">
        <f>IF(AND($F47="",$I47=""),"",ROUND(IF($F47="",0,$F47)+IF($I47="",0,$I47),2))</f>
        <v/>
      </c>
    </row>
    <row r="48" ht="18" customHeight="1">
      <c r="A48" s="76" t="n"/>
      <c r="B48" s="69">
        <f>IF(OR($C48="",$A$13="",$A$13=0),"",$C48/$A$13)</f>
        <v/>
      </c>
      <c r="C48" s="77" t="n"/>
      <c r="D48" s="76" t="n"/>
      <c r="E48" s="71" t="n"/>
      <c r="F48" s="53">
        <f>IF(OR($B48="",$E48="",$D$39=""),"",ROUND($B48*$D$39*$E48,2))</f>
        <v/>
      </c>
      <c r="G48" s="76" t="n"/>
      <c r="H48" s="71" t="n"/>
      <c r="I48" s="53">
        <f>IF(OR($B48="",$H48="",$D$39=""),"",ROUND($B48*$D$39*$H48,2))</f>
        <v/>
      </c>
      <c r="J48" s="78">
        <f>IF(AND($F48="",$I48=""),"",ROUND(IF($F48="",0,$F48)+IF($I48="",0,$I48),2))</f>
        <v/>
      </c>
    </row>
    <row r="49" ht="18" customHeight="1">
      <c r="A49" s="76" t="n"/>
      <c r="B49" s="69">
        <f>IF(OR($C49="",$A$13="",$A$13=0),"",$C49/$A$13)</f>
        <v/>
      </c>
      <c r="C49" s="77" t="n"/>
      <c r="D49" s="76" t="n"/>
      <c r="E49" s="71" t="n"/>
      <c r="F49" s="53">
        <f>IF(OR($B49="",$E49="",$D$39=""),"",ROUND($B49*$D$39*$E49,2))</f>
        <v/>
      </c>
      <c r="G49" s="76" t="n"/>
      <c r="H49" s="71" t="n"/>
      <c r="I49" s="53">
        <f>IF(OR($B49="",$H49="",$D$39=""),"",ROUND($B49*$D$39*$H49,2))</f>
        <v/>
      </c>
      <c r="J49" s="78">
        <f>IF(AND($F49="",$I49=""),"",ROUND(IF($F49="",0,$F49)+IF($I49="",0,$I49),2))</f>
        <v/>
      </c>
    </row>
    <row r="50" ht="18" customHeight="1">
      <c r="A50" s="76" t="n"/>
      <c r="B50" s="69">
        <f>IF(OR($C50="",$A$13="",$A$13=0),"",$C50/$A$13)</f>
        <v/>
      </c>
      <c r="C50" s="77" t="n"/>
      <c r="D50" s="76" t="n"/>
      <c r="E50" s="71" t="n"/>
      <c r="F50" s="53">
        <f>IF(OR($B50="",$E50="",$D$39=""),"",ROUND($B50*$D$39*$E50,2))</f>
        <v/>
      </c>
      <c r="G50" s="76" t="n"/>
      <c r="H50" s="71" t="n"/>
      <c r="I50" s="53">
        <f>IF(OR($B50="",$H50="",$D$39=""),"",ROUND($B50*$D$39*$H50,2))</f>
        <v/>
      </c>
      <c r="J50" s="78">
        <f>IF(AND($F50="",$I50=""),"",ROUND(IF($F50="",0,$F50)+IF($I50="",0,$I50),2))</f>
        <v/>
      </c>
    </row>
    <row r="51" ht="18" customHeight="1">
      <c r="A51" s="76" t="n"/>
      <c r="B51" s="69">
        <f>IF(OR($C51="",$A$13="",$A$13=0),"",$C51/$A$13)</f>
        <v/>
      </c>
      <c r="C51" s="77" t="n"/>
      <c r="D51" s="76" t="n"/>
      <c r="E51" s="71" t="n"/>
      <c r="F51" s="53">
        <f>IF(OR($B51="",$E51="",$D$39=""),"",ROUND($B51*$D$39*$E51,2))</f>
        <v/>
      </c>
      <c r="G51" s="76" t="n"/>
      <c r="H51" s="71" t="n"/>
      <c r="I51" s="53">
        <f>IF(OR($B51="",$H51="",$D$39=""),"",ROUND($B51*$D$39*$H51,2))</f>
        <v/>
      </c>
      <c r="J51" s="78">
        <f>IF(AND($F51="",$I51=""),"",ROUND(IF($F51="",0,$F51)+IF($I51="",0,$I51),2))</f>
        <v/>
      </c>
    </row>
    <row r="52" ht="18" customHeight="1">
      <c r="A52" s="76" t="n"/>
      <c r="B52" s="69">
        <f>IF(OR($C52="",$A$13="",$A$13=0),"",$C52/$A$13)</f>
        <v/>
      </c>
      <c r="C52" s="77" t="n"/>
      <c r="D52" s="76" t="n"/>
      <c r="E52" s="71" t="n"/>
      <c r="F52" s="53">
        <f>IF(OR($B52="",$E52="",$D$39=""),"",ROUND($B52*$D$39*$E52,2))</f>
        <v/>
      </c>
      <c r="G52" s="76" t="n"/>
      <c r="H52" s="71" t="n"/>
      <c r="I52" s="53">
        <f>IF(OR($B52="",$H52="",$D$39=""),"",ROUND($B52*$D$39*$H52,2))</f>
        <v/>
      </c>
      <c r="J52" s="78">
        <f>IF(AND($F52="",$I52=""),"",ROUND(IF($F52="",0,$F52)+IF($I52="",0,$I52),2))</f>
        <v/>
      </c>
    </row>
    <row r="53" ht="18" customHeight="1">
      <c r="A53" s="76" t="n"/>
      <c r="B53" s="69">
        <f>IF(OR($C53="",$A$13="",$A$13=0),"",$C53/$A$13)</f>
        <v/>
      </c>
      <c r="C53" s="77" t="n"/>
      <c r="D53" s="76" t="n"/>
      <c r="E53" s="71" t="n"/>
      <c r="F53" s="53">
        <f>IF(OR($B53="",$E53="",$D$39=""),"",ROUND($B53*$D$39*$E53,2))</f>
        <v/>
      </c>
      <c r="G53" s="76" t="n"/>
      <c r="H53" s="71" t="n"/>
      <c r="I53" s="53">
        <f>IF(OR($B53="",$H53="",$D$39=""),"",ROUND($B53*$D$39*$H53,2))</f>
        <v/>
      </c>
      <c r="J53" s="78">
        <f>IF(AND($F53="",$I53=""),"",ROUND(IF($F53="",0,$F53)+IF($I53="",0,$I53),2))</f>
        <v/>
      </c>
    </row>
    <row r="54" ht="18" customHeight="1">
      <c r="A54" s="76" t="n"/>
      <c r="B54" s="69">
        <f>IF(OR($C54="",$A$13="",$A$13=0),"",$C54/$A$13)</f>
        <v/>
      </c>
      <c r="C54" s="77" t="n"/>
      <c r="D54" s="76" t="n"/>
      <c r="E54" s="71" t="n"/>
      <c r="F54" s="53">
        <f>IF(OR($B54="",$E54="",$D$39=""),"",ROUND($B54*$D$39*$E54,2))</f>
        <v/>
      </c>
      <c r="G54" s="76" t="n"/>
      <c r="H54" s="71" t="n"/>
      <c r="I54" s="53">
        <f>IF(OR($B54="",$H54="",$D$39=""),"",ROUND($B54*$D$39*$H54,2))</f>
        <v/>
      </c>
      <c r="J54" s="78">
        <f>IF(AND($F54="",$I54=""),"",ROUND(IF($F54="",0,$F54)+IF($I54="",0,$I54),2))</f>
        <v/>
      </c>
    </row>
    <row r="55" ht="20" customHeight="1">
      <c r="A55" s="31" t="inlineStr">
        <is>
          <t>SOMA DOS AMBIENTES</t>
        </is>
      </c>
      <c r="B55" s="59">
        <f>IF($A$13=0,"",$C$55/$A$13)</f>
        <v/>
      </c>
      <c r="C55" s="57">
        <f>ROUND(SUM(C43:C54),2)</f>
        <v/>
      </c>
      <c r="D55" s="79">
        <f>IF($C$55=0,"—",IF(ROUND($C$55-$A$13,2)=0,"OK · os ambientes somam o valor de venda","ATENÇÃO: diferença de "&amp;TEXT($C$55-$A$13,"R$ #,##0.00")))</f>
        <v/>
      </c>
      <c r="E55" s="32" t="n"/>
      <c r="F55" s="57">
        <f>ROUND(SUM(F43:F54),2)</f>
        <v/>
      </c>
      <c r="G55" s="32" t="n"/>
      <c r="H55" s="32" t="n"/>
      <c r="I55" s="57">
        <f>ROUND(SUM(I43:I54),2)</f>
        <v/>
      </c>
      <c r="J55" s="57">
        <f>ROUND(SUM(J43:J54),2)</f>
        <v/>
      </c>
    </row>
    <row r="56" ht="8" customHeight="1"/>
    <row r="57" ht="20" customHeight="1">
      <c r="A57" s="8" t="inlineStr">
        <is>
          <t xml:space="preserve">  4 · COMISSÕES OPERACIONAIS          calculadas sobre a RECEITA LÍQUIDA · o realizado vem dos ambientes acima</t>
        </is>
      </c>
      <c r="B57" s="9" t="n"/>
      <c r="C57" s="9" t="n"/>
      <c r="D57" s="9" t="n"/>
      <c r="E57" s="9" t="n"/>
      <c r="F57" s="9" t="n"/>
      <c r="G57" s="9" t="n"/>
      <c r="H57" s="9" t="n"/>
      <c r="I57" s="9" t="n"/>
      <c r="J57" s="9" t="n"/>
    </row>
    <row r="58" ht="26" customHeight="1">
      <c r="A58" s="19" t="inlineStr">
        <is>
          <t>Item</t>
        </is>
      </c>
      <c r="B58" s="19" t="inlineStr">
        <is>
          <t>%</t>
        </is>
      </c>
      <c r="C58" s="19" t="inlineStr">
        <is>
          <t>Orçado (R$)</t>
        </is>
      </c>
      <c r="D58" s="19" t="inlineStr">
        <is>
          <t>Realizado (R$)</t>
        </is>
      </c>
      <c r="E58" s="19" t="inlineStr">
        <is>
          <t>Desvio (R$)</t>
        </is>
      </c>
      <c r="F58" s="35" t="n"/>
      <c r="G58" s="19" t="inlineStr">
        <is>
          <t>% da venda</t>
        </is>
      </c>
      <c r="H58" s="19" t="inlineStr">
        <is>
          <t>Observação</t>
        </is>
      </c>
      <c r="I58" s="35" t="n"/>
      <c r="J58" s="35" t="n"/>
    </row>
    <row r="59" ht="17" customHeight="1">
      <c r="A59" s="36" t="inlineStr">
        <is>
          <t>Coordenação de produção</t>
        </is>
      </c>
      <c r="B59" s="71" t="n"/>
      <c r="C59" s="53">
        <f>IF($B59="","",ROUND($B59*$C$39,2))</f>
        <v/>
      </c>
      <c r="D59" s="53">
        <f>IF($B59="","",ROUND($B59*$D$39,2))</f>
        <v/>
      </c>
      <c r="E59" s="53">
        <f>IF(OR($C59="",$D59=""),"",ROUND($D59-$C59,2))</f>
        <v/>
      </c>
      <c r="F59" s="38" t="n"/>
      <c r="G59" s="69">
        <f>IF(OR($D59="",$A$13="",$A$13=0),"",$D59/$A$13)</f>
        <v/>
      </c>
      <c r="H59" s="70" t="inlineStr">
        <is>
          <t>quem coordena está na identificação, no topo da ficha</t>
        </is>
      </c>
      <c r="I59" s="46" t="n"/>
      <c r="J59" s="46" t="n"/>
    </row>
    <row r="60" ht="17" customHeight="1">
      <c r="A60" s="36" t="inlineStr">
        <is>
          <t>Comissão de produção</t>
        </is>
      </c>
      <c r="B60" s="71" t="n"/>
      <c r="C60" s="53">
        <f>IF($B60="","",ROUND($B60*$C$39,2))</f>
        <v/>
      </c>
      <c r="D60" s="53">
        <f>IF($F$55=0,"",$F$55)</f>
        <v/>
      </c>
      <c r="E60" s="53">
        <f>IF(OR($C60="",$D60=""),"",ROUND($D60-$C60,2))</f>
        <v/>
      </c>
      <c r="F60" s="38" t="n"/>
      <c r="G60" s="69">
        <f>IF(OR($D60="",$A$13="",$A$13=0),"",$D60/$A$13)</f>
        <v/>
      </c>
      <c r="H60" s="70" t="inlineStr">
        <is>
          <t>orçado = % único estimado · realizado = soma dos ambientes</t>
        </is>
      </c>
      <c r="I60" s="46" t="n"/>
      <c r="J60" s="46" t="n"/>
    </row>
    <row r="61" ht="17" customHeight="1">
      <c r="A61" s="36" t="inlineStr">
        <is>
          <t>Comissão de montagem</t>
        </is>
      </c>
      <c r="B61" s="71" t="n"/>
      <c r="C61" s="53">
        <f>IF($B61="","",ROUND($B61*$C$39,2))</f>
        <v/>
      </c>
      <c r="D61" s="53">
        <f>IF($I$55=0,"",$I$55)</f>
        <v/>
      </c>
      <c r="E61" s="53">
        <f>IF(OR($C61="",$D61=""),"",ROUND($D61-$C61,2))</f>
        <v/>
      </c>
      <c r="F61" s="38" t="n"/>
      <c r="G61" s="69">
        <f>IF(OR($D61="",$A$13="",$A$13=0),"",$D61/$A$13)</f>
        <v/>
      </c>
      <c r="H61" s="70" t="inlineStr">
        <is>
          <t>orçado = % único estimado · realizado = soma dos ambientes</t>
        </is>
      </c>
      <c r="I61" s="46" t="n"/>
      <c r="J61" s="46" t="n"/>
    </row>
    <row r="62" ht="20" customHeight="1">
      <c r="A62" s="31" t="inlineStr">
        <is>
          <t>(=) SUBTOTAL DAS COMISSÕES</t>
        </is>
      </c>
      <c r="B62" s="32" t="n"/>
      <c r="C62" s="57">
        <f>ROUND(SUM(C59:C61),2)</f>
        <v/>
      </c>
      <c r="D62" s="57">
        <f>ROUND(SUM(D59:D61),2)</f>
        <v/>
      </c>
      <c r="E62" s="57">
        <f>ROUND($D62-$C62,2)</f>
        <v/>
      </c>
      <c r="F62" s="32" t="n"/>
      <c r="G62" s="59">
        <f>IF(OR($A$13="",$A$13=0),"",$D62/$A$13)</f>
        <v/>
      </c>
      <c r="H62" s="32" t="n"/>
      <c r="I62" s="32" t="n"/>
      <c r="J62" s="32" t="n"/>
    </row>
    <row r="63" ht="8" customHeight="1"/>
    <row r="64" ht="20" customHeight="1">
      <c r="A64" s="8" t="inlineStr">
        <is>
          <t xml:space="preserve">  5 · COMISSÕES POR COLABORADOR          consolidado automático — só marceneiros, ajudantes e o coordenador</t>
        </is>
      </c>
      <c r="B64" s="9" t="n"/>
      <c r="C64" s="9" t="n"/>
      <c r="D64" s="9" t="n"/>
      <c r="E64" s="9" t="n"/>
      <c r="F64" s="9" t="n"/>
      <c r="G64" s="9" t="n"/>
      <c r="H64" s="9" t="n"/>
      <c r="I64" s="9" t="n"/>
      <c r="J64" s="9" t="n"/>
    </row>
    <row r="65" ht="26" customHeight="1">
      <c r="A65" s="19" t="inlineStr">
        <is>
          <t>Colaborador</t>
        </is>
      </c>
      <c r="B65" s="19" t="inlineStr">
        <is>
          <t>Produção (R$)</t>
        </is>
      </c>
      <c r="C65" s="35" t="n"/>
      <c r="D65" s="19" t="inlineStr">
        <is>
          <t>Montagem (R$)</t>
        </is>
      </c>
      <c r="E65" s="35" t="n"/>
      <c r="F65" s="19" t="inlineStr">
        <is>
          <t>Coordenação (R$)</t>
        </is>
      </c>
      <c r="G65" s="35" t="n"/>
      <c r="H65" s="19" t="inlineStr">
        <is>
          <t>Total no projeto (R$)</t>
        </is>
      </c>
      <c r="I65" s="35" t="n"/>
      <c r="J65" s="35" t="n"/>
    </row>
    <row r="66" ht="17" customHeight="1">
      <c r="A66" s="80" t="inlineStr">
        <is>
          <t>Deivson</t>
        </is>
      </c>
      <c r="B66" s="53">
        <f>IF($A66="","",ROUND(SUMIF($D$43:$D$54,$A66,$F$43:$F$54),2))</f>
        <v/>
      </c>
      <c r="C66" s="38" t="n"/>
      <c r="D66" s="53">
        <f>IF($A66="","",ROUND(SUMIF($G$43:$G$54,$A66,$I$43:$I$54),2))</f>
        <v/>
      </c>
      <c r="E66" s="38" t="n"/>
      <c r="F66" s="53">
        <f>IF($A66="","",IF($A66=$F$9,IF($D$59="",0,$D$59),0))</f>
        <v/>
      </c>
      <c r="G66" s="38" t="n"/>
      <c r="H66" s="81">
        <f>IF($A66="","",ROUND($B66+$D66+$F66,2))</f>
        <v/>
      </c>
      <c r="I66" s="38" t="n"/>
      <c r="J66" s="38" t="n"/>
    </row>
    <row r="67" ht="17" customHeight="1">
      <c r="A67" s="80" t="inlineStr">
        <is>
          <t>Samuel</t>
        </is>
      </c>
      <c r="B67" s="53">
        <f>IF($A67="","",ROUND(SUMIF($D$43:$D$54,$A67,$F$43:$F$54),2))</f>
        <v/>
      </c>
      <c r="C67" s="38" t="n"/>
      <c r="D67" s="53">
        <f>IF($A67="","",ROUND(SUMIF($G$43:$G$54,$A67,$I$43:$I$54),2))</f>
        <v/>
      </c>
      <c r="E67" s="38" t="n"/>
      <c r="F67" s="53">
        <f>IF($A67="","",IF($A67=$F$9,IF($D$59="",0,$D$59),0))</f>
        <v/>
      </c>
      <c r="G67" s="38" t="n"/>
      <c r="H67" s="81">
        <f>IF($A67="","",ROUND($B67+$D67+$F67,2))</f>
        <v/>
      </c>
      <c r="I67" s="38" t="n"/>
      <c r="J67" s="38" t="n"/>
    </row>
    <row r="68" ht="17" customHeight="1">
      <c r="A68" s="80" t="inlineStr">
        <is>
          <t>Cezar</t>
        </is>
      </c>
      <c r="B68" s="53">
        <f>IF($A68="","",ROUND(SUMIF($D$43:$D$54,$A68,$F$43:$F$54),2))</f>
        <v/>
      </c>
      <c r="C68" s="38" t="n"/>
      <c r="D68" s="53">
        <f>IF($A68="","",ROUND(SUMIF($G$43:$G$54,$A68,$I$43:$I$54),2))</f>
        <v/>
      </c>
      <c r="E68" s="38" t="n"/>
      <c r="F68" s="53">
        <f>IF($A68="","",IF($A68=$F$9,IF($D$59="",0,$D$59),0))</f>
        <v/>
      </c>
      <c r="G68" s="38" t="n"/>
      <c r="H68" s="81">
        <f>IF($A68="","",ROUND($B68+$D68+$F68,2))</f>
        <v/>
      </c>
      <c r="I68" s="38" t="n"/>
      <c r="J68" s="38" t="n"/>
    </row>
    <row r="69" ht="17" customHeight="1">
      <c r="A69" s="80" t="inlineStr">
        <is>
          <t>Jackson</t>
        </is>
      </c>
      <c r="B69" s="53">
        <f>IF($A69="","",ROUND(SUMIF($D$43:$D$54,$A69,$F$43:$F$54),2))</f>
        <v/>
      </c>
      <c r="C69" s="38" t="n"/>
      <c r="D69" s="53">
        <f>IF($A69="","",ROUND(SUMIF($G$43:$G$54,$A69,$I$43:$I$54),2))</f>
        <v/>
      </c>
      <c r="E69" s="38" t="n"/>
      <c r="F69" s="53">
        <f>IF($A69="","",IF($A69=$F$9,IF($D$59="",0,$D$59),0))</f>
        <v/>
      </c>
      <c r="G69" s="38" t="n"/>
      <c r="H69" s="81">
        <f>IF($A69="","",ROUND($B69+$D69+$F69,2))</f>
        <v/>
      </c>
      <c r="I69" s="38" t="n"/>
      <c r="J69" s="38" t="n"/>
    </row>
    <row r="70" ht="17" customHeight="1">
      <c r="A70" s="80" t="inlineStr">
        <is>
          <t>Jomar</t>
        </is>
      </c>
      <c r="B70" s="53">
        <f>IF($A70="","",ROUND(SUMIF($D$43:$D$54,$A70,$F$43:$F$54),2))</f>
        <v/>
      </c>
      <c r="C70" s="38" t="n"/>
      <c r="D70" s="53">
        <f>IF($A70="","",ROUND(SUMIF($G$43:$G$54,$A70,$I$43:$I$54),2))</f>
        <v/>
      </c>
      <c r="E70" s="38" t="n"/>
      <c r="F70" s="53">
        <f>IF($A70="","",IF($A70=$F$9,IF($D$59="",0,$D$59),0))</f>
        <v/>
      </c>
      <c r="G70" s="38" t="n"/>
      <c r="H70" s="81">
        <f>IF($A70="","",ROUND($B70+$D70+$F70,2))</f>
        <v/>
      </c>
      <c r="I70" s="38" t="n"/>
      <c r="J70" s="38" t="n"/>
    </row>
    <row r="71" ht="17" customHeight="1">
      <c r="A71" s="80" t="inlineStr">
        <is>
          <t>Joelson</t>
        </is>
      </c>
      <c r="B71" s="53">
        <f>IF($A71="","",ROUND(SUMIF($D$43:$D$54,$A71,$F$43:$F$54),2))</f>
        <v/>
      </c>
      <c r="C71" s="38" t="n"/>
      <c r="D71" s="53">
        <f>IF($A71="","",ROUND(SUMIF($G$43:$G$54,$A71,$I$43:$I$54),2))</f>
        <v/>
      </c>
      <c r="E71" s="38" t="n"/>
      <c r="F71" s="53">
        <f>IF($A71="","",IF($A71=$F$9,IF($D$59="",0,$D$59),0))</f>
        <v/>
      </c>
      <c r="G71" s="38" t="n"/>
      <c r="H71" s="81">
        <f>IF($A71="","",ROUND($B71+$D71+$F71,2))</f>
        <v/>
      </c>
      <c r="I71" s="38" t="n"/>
      <c r="J71" s="38" t="n"/>
    </row>
    <row r="72" ht="17" customHeight="1">
      <c r="A72" s="80" t="inlineStr">
        <is>
          <t>Jonathan Godoy</t>
        </is>
      </c>
      <c r="B72" s="53">
        <f>IF($A72="","",ROUND(SUMIF($D$43:$D$54,$A72,$F$43:$F$54),2))</f>
        <v/>
      </c>
      <c r="C72" s="38" t="n"/>
      <c r="D72" s="53">
        <f>IF($A72="","",ROUND(SUMIF($G$43:$G$54,$A72,$I$43:$I$54),2))</f>
        <v/>
      </c>
      <c r="E72" s="38" t="n"/>
      <c r="F72" s="53">
        <f>IF($A72="","",IF($A72=$F$9,IF($D$59="",0,$D$59),0))</f>
        <v/>
      </c>
      <c r="G72" s="38" t="n"/>
      <c r="H72" s="81">
        <f>IF($A72="","",ROUND($B72+$D72+$F72,2))</f>
        <v/>
      </c>
      <c r="I72" s="38" t="n"/>
      <c r="J72" s="38" t="n"/>
    </row>
    <row r="73" ht="17" customHeight="1">
      <c r="A73" s="80" t="inlineStr">
        <is>
          <t>Terceiro / avulso</t>
        </is>
      </c>
      <c r="B73" s="53">
        <f>IF($A73="","",ROUND(SUMIF($D$43:$D$54,$A73,$F$43:$F$54),2))</f>
        <v/>
      </c>
      <c r="C73" s="38" t="n"/>
      <c r="D73" s="53">
        <f>IF($A73="","",ROUND(SUMIF($G$43:$G$54,$A73,$I$43:$I$54),2))</f>
        <v/>
      </c>
      <c r="E73" s="38" t="n"/>
      <c r="F73" s="53">
        <f>IF($A73="","",IF($A73=$F$9,IF($D$59="",0,$D$59),0))</f>
        <v/>
      </c>
      <c r="G73" s="38" t="n"/>
      <c r="H73" s="81">
        <f>IF($A73="","",ROUND($B73+$D73+$F73,2))</f>
        <v/>
      </c>
      <c r="I73" s="38" t="n"/>
      <c r="J73" s="38" t="n"/>
    </row>
    <row r="74" ht="17" customHeight="1">
      <c r="A74" s="80" t="n"/>
      <c r="B74" s="53">
        <f>IF($A74="","",ROUND(SUMIF($D$43:$D$54,$A74,$F$43:$F$54),2))</f>
        <v/>
      </c>
      <c r="C74" s="38" t="n"/>
      <c r="D74" s="53">
        <f>IF($A74="","",ROUND(SUMIF($G$43:$G$54,$A74,$I$43:$I$54),2))</f>
        <v/>
      </c>
      <c r="E74" s="38" t="n"/>
      <c r="F74" s="53">
        <f>IF($A74="","",IF($A74=$F$9,IF($D$59="",0,$D$59),0))</f>
        <v/>
      </c>
      <c r="G74" s="38" t="n"/>
      <c r="H74" s="81">
        <f>IF($A74="","",ROUND($B74+$D74+$F74,2))</f>
        <v/>
      </c>
      <c r="I74" s="38" t="n"/>
      <c r="J74" s="38" t="n"/>
    </row>
    <row r="75" ht="17" customHeight="1">
      <c r="A75" s="80" t="n"/>
      <c r="B75" s="53">
        <f>IF($A75="","",ROUND(SUMIF($D$43:$D$54,$A75,$F$43:$F$54),2))</f>
        <v/>
      </c>
      <c r="C75" s="38" t="n"/>
      <c r="D75" s="53">
        <f>IF($A75="","",ROUND(SUMIF($G$43:$G$54,$A75,$I$43:$I$54),2))</f>
        <v/>
      </c>
      <c r="E75" s="38" t="n"/>
      <c r="F75" s="53">
        <f>IF($A75="","",IF($A75=$F$9,IF($D$59="",0,$D$59),0))</f>
        <v/>
      </c>
      <c r="G75" s="38" t="n"/>
      <c r="H75" s="81">
        <f>IF($A75="","",ROUND($B75+$D75+$F75,2))</f>
        <v/>
      </c>
      <c r="I75" s="38" t="n"/>
      <c r="J75" s="38" t="n"/>
    </row>
    <row r="76" ht="17" customHeight="1">
      <c r="A76" s="80" t="n"/>
      <c r="B76" s="53">
        <f>IF($A76="","",ROUND(SUMIF($D$43:$D$54,$A76,$F$43:$F$54),2))</f>
        <v/>
      </c>
      <c r="C76" s="38" t="n"/>
      <c r="D76" s="53">
        <f>IF($A76="","",ROUND(SUMIF($G$43:$G$54,$A76,$I$43:$I$54),2))</f>
        <v/>
      </c>
      <c r="E76" s="38" t="n"/>
      <c r="F76" s="53">
        <f>IF($A76="","",IF($A76=$F$9,IF($D$59="",0,$D$59),0))</f>
        <v/>
      </c>
      <c r="G76" s="38" t="n"/>
      <c r="H76" s="81">
        <f>IF($A76="","",ROUND($B76+$D76+$F76,2))</f>
        <v/>
      </c>
      <c r="I76" s="38" t="n"/>
      <c r="J76" s="38" t="n"/>
    </row>
    <row r="77" ht="17" customHeight="1">
      <c r="A77" s="80" t="n"/>
      <c r="B77" s="53">
        <f>IF($A77="","",ROUND(SUMIF($D$43:$D$54,$A77,$F$43:$F$54),2))</f>
        <v/>
      </c>
      <c r="C77" s="38" t="n"/>
      <c r="D77" s="53">
        <f>IF($A77="","",ROUND(SUMIF($G$43:$G$54,$A77,$I$43:$I$54),2))</f>
        <v/>
      </c>
      <c r="E77" s="38" t="n"/>
      <c r="F77" s="53">
        <f>IF($A77="","",IF($A77=$F$9,IF($D$59="",0,$D$59),0))</f>
        <v/>
      </c>
      <c r="G77" s="38" t="n"/>
      <c r="H77" s="81">
        <f>IF($A77="","",ROUND($B77+$D77+$F77,2))</f>
        <v/>
      </c>
      <c r="I77" s="38" t="n"/>
      <c r="J77" s="38" t="n"/>
    </row>
    <row r="78" ht="20" customHeight="1">
      <c r="A78" s="31" t="inlineStr">
        <is>
          <t>TOTAL</t>
        </is>
      </c>
      <c r="B78" s="57">
        <f>ROUND(SUM(B66:B77),2)</f>
        <v/>
      </c>
      <c r="C78" s="32" t="n"/>
      <c r="D78" s="57">
        <f>ROUND(SUM(D66:D77),2)</f>
        <v/>
      </c>
      <c r="E78" s="32" t="n"/>
      <c r="F78" s="57">
        <f>ROUND(SUM(F66:F77),2)</f>
        <v/>
      </c>
      <c r="G78" s="32" t="n"/>
      <c r="H78" s="57">
        <f>ROUND(SUM(H66:H77),2)</f>
        <v/>
      </c>
      <c r="I78" s="32" t="n"/>
      <c r="J78" s="32" t="n"/>
    </row>
    <row r="79" ht="8" customHeight="1"/>
    <row r="80" ht="20" customHeight="1">
      <c r="A80" s="8" t="inlineStr">
        <is>
          <t xml:space="preserve">  6 · MATERIAL, TERCEIRIZADOS E LOGÍSTICA          o orçado você digita · o realizado vem sozinho do livro de lançamentos, lá no fim da ficha</t>
        </is>
      </c>
      <c r="B80" s="9" t="n"/>
      <c r="C80" s="9" t="n"/>
      <c r="D80" s="9" t="n"/>
      <c r="E80" s="9" t="n"/>
      <c r="F80" s="9" t="n"/>
      <c r="G80" s="9" t="n"/>
      <c r="H80" s="9" t="n"/>
      <c r="I80" s="9" t="n"/>
      <c r="J80" s="9" t="n"/>
    </row>
    <row r="81" ht="30" customHeight="1">
      <c r="A81" s="19" t="inlineStr">
        <is>
          <t>Categoria</t>
        </is>
      </c>
      <c r="B81" s="19" t="inlineStr"/>
      <c r="C81" s="19" t="inlineStr">
        <is>
          <t>Orçado (R$)</t>
        </is>
      </c>
      <c r="D81" s="19" t="inlineStr">
        <is>
          <t>Realizado (R$)</t>
        </is>
      </c>
      <c r="E81" s="19" t="inlineStr">
        <is>
          <t>Desvio (R$)</t>
        </is>
      </c>
      <c r="F81" s="35" t="n"/>
      <c r="G81" s="19" t="inlineStr">
        <is>
          <t>Ainda a comprar</t>
        </is>
      </c>
      <c r="H81" s="19" t="inlineStr">
        <is>
          <t>Comprado, ainda a pagar</t>
        </is>
      </c>
      <c r="I81" s="35" t="n"/>
      <c r="J81" s="35" t="n"/>
    </row>
    <row r="82" ht="17" customHeight="1">
      <c r="A82" s="36" t="inlineStr">
        <is>
          <t>MDF e MDP</t>
        </is>
      </c>
      <c r="B82" s="37" t="n"/>
      <c r="C82" s="68" t="n"/>
      <c r="D82" s="53">
        <f>ROUND(SUMIFS($E$120:$E$179,$B$120:$B$179,$A82,$I$120:$I$179,"Comprado (a pagar)")+SUMIFS($E$120:$E$179,$B$120:$B$179,$A82,$I$120:$I$179,"Pago"),2)</f>
        <v/>
      </c>
      <c r="E82" s="53">
        <f>IF($C82="","",ROUND($D82-$C82,2))</f>
        <v/>
      </c>
      <c r="F82" s="38" t="n"/>
      <c r="G82" s="82">
        <f>ROUND(SUMIFS($E$120:$E$179,$B$120:$B$179,$A82,$I$120:$I$179,"A comprar"),2)</f>
        <v/>
      </c>
      <c r="H82" s="83">
        <f>ROUND(SUMIFS($E$120:$E$179,$B$120:$B$179,$A82,$I$120:$I$179,"Comprado (a pagar)"),2)</f>
        <v/>
      </c>
      <c r="I82" s="38" t="n"/>
      <c r="J82" s="38" t="n"/>
    </row>
    <row r="83" ht="17" customHeight="1">
      <c r="A83" s="36" t="inlineStr">
        <is>
          <t>Fita de borda</t>
        </is>
      </c>
      <c r="B83" s="37" t="n"/>
      <c r="C83" s="68" t="n"/>
      <c r="D83" s="53">
        <f>ROUND(SUMIFS($E$120:$E$179,$B$120:$B$179,$A83,$I$120:$I$179,"Comprado (a pagar)")+SUMIFS($E$120:$E$179,$B$120:$B$179,$A83,$I$120:$I$179,"Pago"),2)</f>
        <v/>
      </c>
      <c r="E83" s="53">
        <f>IF($C83="","",ROUND($D83-$C83,2))</f>
        <v/>
      </c>
      <c r="F83" s="38" t="n"/>
      <c r="G83" s="82">
        <f>ROUND(SUMIFS($E$120:$E$179,$B$120:$B$179,$A83,$I$120:$I$179,"A comprar"),2)</f>
        <v/>
      </c>
      <c r="H83" s="83">
        <f>ROUND(SUMIFS($E$120:$E$179,$B$120:$B$179,$A83,$I$120:$I$179,"Comprado (a pagar)"),2)</f>
        <v/>
      </c>
      <c r="I83" s="38" t="n"/>
      <c r="J83" s="38" t="n"/>
    </row>
    <row r="84" ht="17" customHeight="1">
      <c r="A84" s="36" t="inlineStr">
        <is>
          <t>Ferragens</t>
        </is>
      </c>
      <c r="B84" s="37" t="n"/>
      <c r="C84" s="68" t="n"/>
      <c r="D84" s="53">
        <f>ROUND(SUMIFS($E$120:$E$179,$B$120:$B$179,$A84,$I$120:$I$179,"Comprado (a pagar)")+SUMIFS($E$120:$E$179,$B$120:$B$179,$A84,$I$120:$I$179,"Pago"),2)</f>
        <v/>
      </c>
      <c r="E84" s="53">
        <f>IF($C84="","",ROUND($D84-$C84,2))</f>
        <v/>
      </c>
      <c r="F84" s="38" t="n"/>
      <c r="G84" s="82">
        <f>ROUND(SUMIFS($E$120:$E$179,$B$120:$B$179,$A84,$I$120:$I$179,"A comprar"),2)</f>
        <v/>
      </c>
      <c r="H84" s="83">
        <f>ROUND(SUMIFS($E$120:$E$179,$B$120:$B$179,$A84,$I$120:$I$179,"Comprado (a pagar)"),2)</f>
        <v/>
      </c>
      <c r="I84" s="38" t="n"/>
      <c r="J84" s="38" t="n"/>
    </row>
    <row r="85" ht="17" customHeight="1">
      <c r="A85" s="36" t="inlineStr">
        <is>
          <t>Vidros e espelhos</t>
        </is>
      </c>
      <c r="B85" s="37" t="n"/>
      <c r="C85" s="68" t="n"/>
      <c r="D85" s="53">
        <f>ROUND(SUMIFS($E$120:$E$179,$B$120:$B$179,$A85,$I$120:$I$179,"Comprado (a pagar)")+SUMIFS($E$120:$E$179,$B$120:$B$179,$A85,$I$120:$I$179,"Pago"),2)</f>
        <v/>
      </c>
      <c r="E85" s="53">
        <f>IF($C85="","",ROUND($D85-$C85,2))</f>
        <v/>
      </c>
      <c r="F85" s="38" t="n"/>
      <c r="G85" s="82">
        <f>ROUND(SUMIFS($E$120:$E$179,$B$120:$B$179,$A85,$I$120:$I$179,"A comprar"),2)</f>
        <v/>
      </c>
      <c r="H85" s="83">
        <f>ROUND(SUMIFS($E$120:$E$179,$B$120:$B$179,$A85,$I$120:$I$179,"Comprado (a pagar)"),2)</f>
        <v/>
      </c>
      <c r="I85" s="38" t="n"/>
      <c r="J85" s="38" t="n"/>
    </row>
    <row r="86" ht="17" customHeight="1">
      <c r="A86" s="36" t="inlineStr">
        <is>
          <t>Esquadrias</t>
        </is>
      </c>
      <c r="B86" s="37" t="n"/>
      <c r="C86" s="68" t="n"/>
      <c r="D86" s="53">
        <f>ROUND(SUMIFS($E$120:$E$179,$B$120:$B$179,$A86,$I$120:$I$179,"Comprado (a pagar)")+SUMIFS($E$120:$E$179,$B$120:$B$179,$A86,$I$120:$I$179,"Pago"),2)</f>
        <v/>
      </c>
      <c r="E86" s="53">
        <f>IF($C86="","",ROUND($D86-$C86,2))</f>
        <v/>
      </c>
      <c r="F86" s="38" t="n"/>
      <c r="G86" s="82">
        <f>ROUND(SUMIFS($E$120:$E$179,$B$120:$B$179,$A86,$I$120:$I$179,"A comprar"),2)</f>
        <v/>
      </c>
      <c r="H86" s="83">
        <f>ROUND(SUMIFS($E$120:$E$179,$B$120:$B$179,$A86,$I$120:$I$179,"Comprado (a pagar)"),2)</f>
        <v/>
      </c>
      <c r="I86" s="38" t="n"/>
      <c r="J86" s="38" t="n"/>
    </row>
    <row r="87" ht="17" customHeight="1">
      <c r="A87" s="36" t="inlineStr">
        <is>
          <t>Lâmina natural</t>
        </is>
      </c>
      <c r="B87" s="37" t="n"/>
      <c r="C87" s="68" t="n"/>
      <c r="D87" s="53">
        <f>ROUND(SUMIFS($E$120:$E$179,$B$120:$B$179,$A87,$I$120:$I$179,"Comprado (a pagar)")+SUMIFS($E$120:$E$179,$B$120:$B$179,$A87,$I$120:$I$179,"Pago"),2)</f>
        <v/>
      </c>
      <c r="E87" s="53">
        <f>IF($C87="","",ROUND($D87-$C87,2))</f>
        <v/>
      </c>
      <c r="F87" s="38" t="n"/>
      <c r="G87" s="82">
        <f>ROUND(SUMIFS($E$120:$E$179,$B$120:$B$179,$A87,$I$120:$I$179,"A comprar"),2)</f>
        <v/>
      </c>
      <c r="H87" s="83">
        <f>ROUND(SUMIFS($E$120:$E$179,$B$120:$B$179,$A87,$I$120:$I$179,"Comprado (a pagar)"),2)</f>
        <v/>
      </c>
      <c r="I87" s="38" t="n"/>
      <c r="J87" s="38" t="n"/>
    </row>
    <row r="88" ht="17" customHeight="1">
      <c r="A88" s="36" t="inlineStr">
        <is>
          <t>Consumíveis</t>
        </is>
      </c>
      <c r="B88" s="37" t="n"/>
      <c r="C88" s="68" t="n"/>
      <c r="D88" s="53">
        <f>ROUND(SUMIFS($E$120:$E$179,$B$120:$B$179,$A88,$I$120:$I$179,"Comprado (a pagar)")+SUMIFS($E$120:$E$179,$B$120:$B$179,$A88,$I$120:$I$179,"Pago"),2)</f>
        <v/>
      </c>
      <c r="E88" s="53">
        <f>IF($C88="","",ROUND($D88-$C88,2))</f>
        <v/>
      </c>
      <c r="F88" s="38" t="n"/>
      <c r="G88" s="82">
        <f>ROUND(SUMIFS($E$120:$E$179,$B$120:$B$179,$A88,$I$120:$I$179,"A comprar"),2)</f>
        <v/>
      </c>
      <c r="H88" s="83">
        <f>ROUND(SUMIFS($E$120:$E$179,$B$120:$B$179,$A88,$I$120:$I$179,"Comprado (a pagar)"),2)</f>
        <v/>
      </c>
      <c r="I88" s="38" t="n"/>
      <c r="J88" s="38" t="n"/>
    </row>
    <row r="89" ht="20" customHeight="1">
      <c r="A89" s="31" t="inlineStr">
        <is>
          <t>(=) SUBTOTAL · MATERIAL</t>
        </is>
      </c>
      <c r="B89" s="32" t="n"/>
      <c r="C89" s="57">
        <f>ROUND(SUM(C82:C88),2)</f>
        <v/>
      </c>
      <c r="D89" s="57">
        <f>ROUND(SUM(D82:D88),2)</f>
        <v/>
      </c>
      <c r="E89" s="57">
        <f>ROUND(SUM(E82:E88),2)</f>
        <v/>
      </c>
      <c r="F89" s="32" t="n"/>
      <c r="G89" s="57">
        <f>ROUND(SUM(G82:G88),2)</f>
        <v/>
      </c>
      <c r="H89" s="57">
        <f>ROUND(SUM(H82:H88),2)</f>
        <v/>
      </c>
      <c r="I89" s="32" t="n"/>
      <c r="J89" s="32" t="n"/>
    </row>
    <row r="90" ht="17" customHeight="1">
      <c r="A90" s="36" t="inlineStr">
        <is>
          <t>Acabamento</t>
        </is>
      </c>
      <c r="B90" s="37" t="n"/>
      <c r="C90" s="68" t="n"/>
      <c r="D90" s="53">
        <f>ROUND(SUMIFS($E$120:$E$179,$B$120:$B$179,$A90,$I$120:$I$179,"Comprado (a pagar)")+SUMIFS($E$120:$E$179,$B$120:$B$179,$A90,$I$120:$I$179,"Pago"),2)</f>
        <v/>
      </c>
      <c r="E90" s="53">
        <f>IF($C90="","",ROUND($D90-$C90,2))</f>
        <v/>
      </c>
      <c r="F90" s="38" t="n"/>
      <c r="G90" s="82">
        <f>ROUND(SUMIFS($E$120:$E$179,$B$120:$B$179,$A90,$I$120:$I$179,"A comprar"),2)</f>
        <v/>
      </c>
      <c r="H90" s="83">
        <f>ROUND(SUMIFS($E$120:$E$179,$B$120:$B$179,$A90,$I$120:$I$179,"Comprado (a pagar)"),2)</f>
        <v/>
      </c>
      <c r="I90" s="38" t="n"/>
      <c r="J90" s="38" t="n"/>
    </row>
    <row r="91" ht="17" customHeight="1">
      <c r="A91" s="36" t="inlineStr">
        <is>
          <t>Serralheria</t>
        </is>
      </c>
      <c r="B91" s="37" t="n"/>
      <c r="C91" s="68" t="n"/>
      <c r="D91" s="53">
        <f>ROUND(SUMIFS($E$120:$E$179,$B$120:$B$179,$A91,$I$120:$I$179,"Comprado (a pagar)")+SUMIFS($E$120:$E$179,$B$120:$B$179,$A91,$I$120:$I$179,"Pago"),2)</f>
        <v/>
      </c>
      <c r="E91" s="53">
        <f>IF($C91="","",ROUND($D91-$C91,2))</f>
        <v/>
      </c>
      <c r="F91" s="38" t="n"/>
      <c r="G91" s="82">
        <f>ROUND(SUMIFS($E$120:$E$179,$B$120:$B$179,$A91,$I$120:$I$179,"A comprar"),2)</f>
        <v/>
      </c>
      <c r="H91" s="83">
        <f>ROUND(SUMIFS($E$120:$E$179,$B$120:$B$179,$A91,$I$120:$I$179,"Comprado (a pagar)"),2)</f>
        <v/>
      </c>
      <c r="I91" s="38" t="n"/>
      <c r="J91" s="38" t="n"/>
    </row>
    <row r="92" ht="17" customHeight="1">
      <c r="A92" s="36" t="inlineStr">
        <is>
          <t>Vidraceiro</t>
        </is>
      </c>
      <c r="B92" s="37" t="n"/>
      <c r="C92" s="68" t="n"/>
      <c r="D92" s="53">
        <f>ROUND(SUMIFS($E$120:$E$179,$B$120:$B$179,$A92,$I$120:$I$179,"Comprado (a pagar)")+SUMIFS($E$120:$E$179,$B$120:$B$179,$A92,$I$120:$I$179,"Pago"),2)</f>
        <v/>
      </c>
      <c r="E92" s="53">
        <f>IF($C92="","",ROUND($D92-$C92,2))</f>
        <v/>
      </c>
      <c r="F92" s="38" t="n"/>
      <c r="G92" s="82">
        <f>ROUND(SUMIFS($E$120:$E$179,$B$120:$B$179,$A92,$I$120:$I$179,"A comprar"),2)</f>
        <v/>
      </c>
      <c r="H92" s="83">
        <f>ROUND(SUMIFS($E$120:$E$179,$B$120:$B$179,$A92,$I$120:$I$179,"Comprado (a pagar)"),2)</f>
        <v/>
      </c>
      <c r="I92" s="38" t="n"/>
      <c r="J92" s="38" t="n"/>
    </row>
    <row r="93" ht="17" customHeight="1">
      <c r="A93" s="36" t="inlineStr">
        <is>
          <t>Outro terceirizado</t>
        </is>
      </c>
      <c r="B93" s="37" t="n"/>
      <c r="C93" s="68" t="n"/>
      <c r="D93" s="53">
        <f>ROUND(SUMIFS($E$120:$E$179,$B$120:$B$179,$A93,$I$120:$I$179,"Comprado (a pagar)")+SUMIFS($E$120:$E$179,$B$120:$B$179,$A93,$I$120:$I$179,"Pago"),2)</f>
        <v/>
      </c>
      <c r="E93" s="53">
        <f>IF($C93="","",ROUND($D93-$C93,2))</f>
        <v/>
      </c>
      <c r="F93" s="38" t="n"/>
      <c r="G93" s="82">
        <f>ROUND(SUMIFS($E$120:$E$179,$B$120:$B$179,$A93,$I$120:$I$179,"A comprar"),2)</f>
        <v/>
      </c>
      <c r="H93" s="83">
        <f>ROUND(SUMIFS($E$120:$E$179,$B$120:$B$179,$A93,$I$120:$I$179,"Comprado (a pagar)"),2)</f>
        <v/>
      </c>
      <c r="I93" s="38" t="n"/>
      <c r="J93" s="38" t="n"/>
    </row>
    <row r="94" ht="20" customHeight="1">
      <c r="A94" s="31" t="inlineStr">
        <is>
          <t>(=) SUBTOTAL · SERVIÇOS TERCEIRIZADOS</t>
        </is>
      </c>
      <c r="B94" s="32" t="n"/>
      <c r="C94" s="57">
        <f>ROUND(SUM(C90:C93),2)</f>
        <v/>
      </c>
      <c r="D94" s="57">
        <f>ROUND(SUM(D90:D93),2)</f>
        <v/>
      </c>
      <c r="E94" s="57">
        <f>ROUND(SUM(E90:E93),2)</f>
        <v/>
      </c>
      <c r="F94" s="32" t="n"/>
      <c r="G94" s="57">
        <f>ROUND(SUM(G90:G93),2)</f>
        <v/>
      </c>
      <c r="H94" s="57">
        <f>ROUND(SUM(H90:H93),2)</f>
        <v/>
      </c>
      <c r="I94" s="32" t="n"/>
      <c r="J94" s="32" t="n"/>
    </row>
    <row r="95" ht="17" customHeight="1">
      <c r="A95" s="36" t="inlineStr">
        <is>
          <t>Uber e aplicativo</t>
        </is>
      </c>
      <c r="B95" s="37" t="n"/>
      <c r="C95" s="68" t="n"/>
      <c r="D95" s="53">
        <f>ROUND(SUMIFS($E$120:$E$179,$B$120:$B$179,$A95,$I$120:$I$179,"Comprado (a pagar)")+SUMIFS($E$120:$E$179,$B$120:$B$179,$A95,$I$120:$I$179,"Pago"),2)</f>
        <v/>
      </c>
      <c r="E95" s="53">
        <f>IF($C95="","",ROUND($D95-$C95,2))</f>
        <v/>
      </c>
      <c r="F95" s="38" t="n"/>
      <c r="G95" s="82">
        <f>ROUND(SUMIFS($E$120:$E$179,$B$120:$B$179,$A95,$I$120:$I$179,"A comprar"),2)</f>
        <v/>
      </c>
      <c r="H95" s="83">
        <f>ROUND(SUMIFS($E$120:$E$179,$B$120:$B$179,$A95,$I$120:$I$179,"Comprado (a pagar)"),2)</f>
        <v/>
      </c>
      <c r="I95" s="38" t="n"/>
      <c r="J95" s="38" t="n"/>
    </row>
    <row r="96" ht="17" customHeight="1">
      <c r="A96" s="36" t="inlineStr">
        <is>
          <t>Carreto e entrega</t>
        </is>
      </c>
      <c r="B96" s="37" t="n"/>
      <c r="C96" s="68" t="n"/>
      <c r="D96" s="53">
        <f>ROUND(SUMIFS($E$120:$E$179,$B$120:$B$179,$A96,$I$120:$I$179,"Comprado (a pagar)")+SUMIFS($E$120:$E$179,$B$120:$B$179,$A96,$I$120:$I$179,"Pago"),2)</f>
        <v/>
      </c>
      <c r="E96" s="53">
        <f>IF($C96="","",ROUND($D96-$C96,2))</f>
        <v/>
      </c>
      <c r="F96" s="38" t="n"/>
      <c r="G96" s="82">
        <f>ROUND(SUMIFS($E$120:$E$179,$B$120:$B$179,$A96,$I$120:$I$179,"A comprar"),2)</f>
        <v/>
      </c>
      <c r="H96" s="83">
        <f>ROUND(SUMIFS($E$120:$E$179,$B$120:$B$179,$A96,$I$120:$I$179,"Comprado (a pagar)"),2)</f>
        <v/>
      </c>
      <c r="I96" s="38" t="n"/>
      <c r="J96" s="38" t="n"/>
    </row>
    <row r="97" ht="17" customHeight="1">
      <c r="A97" s="36" t="inlineStr">
        <is>
          <t>Deslocamento da equipe</t>
        </is>
      </c>
      <c r="B97" s="37" t="n"/>
      <c r="C97" s="68" t="n"/>
      <c r="D97" s="53">
        <f>ROUND(SUMIFS($E$120:$E$179,$B$120:$B$179,$A97,$I$120:$I$179,"Comprado (a pagar)")+SUMIFS($E$120:$E$179,$B$120:$B$179,$A97,$I$120:$I$179,"Pago"),2)</f>
        <v/>
      </c>
      <c r="E97" s="53">
        <f>IF($C97="","",ROUND($D97-$C97,2))</f>
        <v/>
      </c>
      <c r="F97" s="38" t="n"/>
      <c r="G97" s="82">
        <f>ROUND(SUMIFS($E$120:$E$179,$B$120:$B$179,$A97,$I$120:$I$179,"A comprar"),2)</f>
        <v/>
      </c>
      <c r="H97" s="83">
        <f>ROUND(SUMIFS($E$120:$E$179,$B$120:$B$179,$A97,$I$120:$I$179,"Comprado (a pagar)"),2)</f>
        <v/>
      </c>
      <c r="I97" s="38" t="n"/>
      <c r="J97" s="38" t="n"/>
    </row>
    <row r="98" ht="17" customHeight="1">
      <c r="A98" s="36" t="inlineStr">
        <is>
          <t>Frete de material</t>
        </is>
      </c>
      <c r="B98" s="37" t="n"/>
      <c r="C98" s="68" t="n"/>
      <c r="D98" s="53">
        <f>ROUND(SUMIFS($E$120:$E$179,$B$120:$B$179,$A98,$I$120:$I$179,"Comprado (a pagar)")+SUMIFS($E$120:$E$179,$B$120:$B$179,$A98,$I$120:$I$179,"Pago"),2)</f>
        <v/>
      </c>
      <c r="E98" s="53">
        <f>IF($C98="","",ROUND($D98-$C98,2))</f>
        <v/>
      </c>
      <c r="F98" s="38" t="n"/>
      <c r="G98" s="82">
        <f>ROUND(SUMIFS($E$120:$E$179,$B$120:$B$179,$A98,$I$120:$I$179,"A comprar"),2)</f>
        <v/>
      </c>
      <c r="H98" s="83">
        <f>ROUND(SUMIFS($E$120:$E$179,$B$120:$B$179,$A98,$I$120:$I$179,"Comprado (a pagar)"),2)</f>
        <v/>
      </c>
      <c r="I98" s="38" t="n"/>
      <c r="J98" s="38" t="n"/>
    </row>
    <row r="99" ht="17" customHeight="1">
      <c r="A99" s="36" t="inlineStr">
        <is>
          <t>Estacionamento e pedágio</t>
        </is>
      </c>
      <c r="B99" s="37" t="n"/>
      <c r="C99" s="68" t="n"/>
      <c r="D99" s="53">
        <f>ROUND(SUMIFS($E$120:$E$179,$B$120:$B$179,$A99,$I$120:$I$179,"Comprado (a pagar)")+SUMIFS($E$120:$E$179,$B$120:$B$179,$A99,$I$120:$I$179,"Pago"),2)</f>
        <v/>
      </c>
      <c r="E99" s="53">
        <f>IF($C99="","",ROUND($D99-$C99,2))</f>
        <v/>
      </c>
      <c r="F99" s="38" t="n"/>
      <c r="G99" s="82">
        <f>ROUND(SUMIFS($E$120:$E$179,$B$120:$B$179,$A99,$I$120:$I$179,"A comprar"),2)</f>
        <v/>
      </c>
      <c r="H99" s="83">
        <f>ROUND(SUMIFS($E$120:$E$179,$B$120:$B$179,$A99,$I$120:$I$179,"Comprado (a pagar)"),2)</f>
        <v/>
      </c>
      <c r="I99" s="38" t="n"/>
      <c r="J99" s="38" t="n"/>
    </row>
    <row r="100" ht="20" customHeight="1">
      <c r="A100" s="31" t="inlineStr">
        <is>
          <t>(=) SUBTOTAL · LOGÍSTICA</t>
        </is>
      </c>
      <c r="B100" s="32" t="n"/>
      <c r="C100" s="57">
        <f>ROUND(SUM(C95:C99),2)</f>
        <v/>
      </c>
      <c r="D100" s="57">
        <f>ROUND(SUM(D95:D99),2)</f>
        <v/>
      </c>
      <c r="E100" s="57">
        <f>ROUND(SUM(E95:E99),2)</f>
        <v/>
      </c>
      <c r="F100" s="32" t="n"/>
      <c r="G100" s="57">
        <f>ROUND(SUM(G95:G99),2)</f>
        <v/>
      </c>
      <c r="H100" s="57">
        <f>ROUND(SUM(H95:H99),2)</f>
        <v/>
      </c>
      <c r="I100" s="32" t="n"/>
      <c r="J100" s="32" t="n"/>
    </row>
    <row r="101" ht="8" customHeight="1"/>
    <row r="102" ht="20" customHeight="1">
      <c r="A102" s="8" t="inlineStr">
        <is>
          <t xml:space="preserve">  7 · RETRABALHO          o que aconteceu, por que aconteceu e quanto custou — é aqui que o orçamento aprende</t>
        </is>
      </c>
      <c r="B102" s="9" t="n"/>
      <c r="C102" s="9" t="n"/>
      <c r="D102" s="9" t="n"/>
      <c r="E102" s="9" t="n"/>
      <c r="F102" s="9" t="n"/>
      <c r="G102" s="9" t="n"/>
      <c r="H102" s="9" t="n"/>
      <c r="I102" s="9" t="n"/>
      <c r="J102" s="9" t="n"/>
    </row>
    <row r="103" ht="26" customHeight="1">
      <c r="A103" s="19" t="inlineStr">
        <is>
          <t>O que aconteceu</t>
        </is>
      </c>
      <c r="B103" s="19" t="inlineStr">
        <is>
          <t>Causa</t>
        </is>
      </c>
      <c r="C103" s="35" t="n"/>
      <c r="D103" s="35" t="n"/>
      <c r="E103" s="19" t="inlineStr">
        <is>
          <t>Custo estimado (R$)</t>
        </is>
      </c>
      <c r="F103" s="35" t="n"/>
      <c r="G103" s="19" t="inlineStr">
        <is>
          <t>Providência / responsável</t>
        </is>
      </c>
      <c r="H103" s="35" t="n"/>
      <c r="I103" s="35" t="n"/>
      <c r="J103" s="35" t="n"/>
    </row>
    <row r="104" ht="18" customHeight="1">
      <c r="A104" s="76" t="n"/>
      <c r="B104" s="76" t="n"/>
      <c r="C104" s="46" t="n"/>
      <c r="D104" s="46" t="n"/>
      <c r="E104" s="84" t="n"/>
      <c r="F104" s="46" t="n"/>
      <c r="G104" s="70" t="n"/>
      <c r="H104" s="46" t="n"/>
      <c r="I104" s="46" t="n"/>
      <c r="J104" s="46" t="n"/>
    </row>
    <row r="105" ht="18" customHeight="1">
      <c r="A105" s="76" t="n"/>
      <c r="B105" s="76" t="n"/>
      <c r="C105" s="46" t="n"/>
      <c r="D105" s="46" t="n"/>
      <c r="E105" s="84" t="n"/>
      <c r="F105" s="46" t="n"/>
      <c r="G105" s="70" t="n"/>
      <c r="H105" s="46" t="n"/>
      <c r="I105" s="46" t="n"/>
      <c r="J105" s="46" t="n"/>
    </row>
    <row r="106" ht="18" customHeight="1">
      <c r="A106" s="76" t="n"/>
      <c r="B106" s="76" t="n"/>
      <c r="C106" s="46" t="n"/>
      <c r="D106" s="46" t="n"/>
      <c r="E106" s="84" t="n"/>
      <c r="F106" s="46" t="n"/>
      <c r="G106" s="70" t="n"/>
      <c r="H106" s="46" t="n"/>
      <c r="I106" s="46" t="n"/>
      <c r="J106" s="46" t="n"/>
    </row>
    <row r="107" ht="18" customHeight="1">
      <c r="A107" s="76" t="n"/>
      <c r="B107" s="76" t="n"/>
      <c r="C107" s="46" t="n"/>
      <c r="D107" s="46" t="n"/>
      <c r="E107" s="84" t="n"/>
      <c r="F107" s="46" t="n"/>
      <c r="G107" s="70" t="n"/>
      <c r="H107" s="46" t="n"/>
      <c r="I107" s="46" t="n"/>
      <c r="J107" s="46" t="n"/>
    </row>
    <row r="108" ht="18" customHeight="1">
      <c r="A108" s="76" t="n"/>
      <c r="B108" s="76" t="n"/>
      <c r="C108" s="46" t="n"/>
      <c r="D108" s="46" t="n"/>
      <c r="E108" s="84" t="n"/>
      <c r="F108" s="46" t="n"/>
      <c r="G108" s="70" t="n"/>
      <c r="H108" s="46" t="n"/>
      <c r="I108" s="46" t="n"/>
      <c r="J108" s="46" t="n"/>
    </row>
    <row r="109" ht="18" customHeight="1">
      <c r="A109" s="76" t="n"/>
      <c r="B109" s="76" t="n"/>
      <c r="C109" s="46" t="n"/>
      <c r="D109" s="46" t="n"/>
      <c r="E109" s="84" t="n"/>
      <c r="F109" s="46" t="n"/>
      <c r="G109" s="70" t="n"/>
      <c r="H109" s="46" t="n"/>
      <c r="I109" s="46" t="n"/>
      <c r="J109" s="46" t="n"/>
    </row>
    <row r="110" ht="18" customHeight="1">
      <c r="A110" s="76" t="n"/>
      <c r="B110" s="76" t="n"/>
      <c r="C110" s="46" t="n"/>
      <c r="D110" s="46" t="n"/>
      <c r="E110" s="84" t="n"/>
      <c r="F110" s="46" t="n"/>
      <c r="G110" s="70" t="n"/>
      <c r="H110" s="46" t="n"/>
      <c r="I110" s="46" t="n"/>
      <c r="J110" s="46" t="n"/>
    </row>
    <row r="111" ht="18" customHeight="1">
      <c r="A111" s="76" t="n"/>
      <c r="B111" s="76" t="n"/>
      <c r="C111" s="46" t="n"/>
      <c r="D111" s="46" t="n"/>
      <c r="E111" s="84" t="n"/>
      <c r="F111" s="46" t="n"/>
      <c r="G111" s="70" t="n"/>
      <c r="H111" s="46" t="n"/>
      <c r="I111" s="46" t="n"/>
      <c r="J111" s="46" t="n"/>
    </row>
    <row r="112" ht="18" customHeight="1">
      <c r="A112" s="76" t="n"/>
      <c r="B112" s="76" t="n"/>
      <c r="C112" s="46" t="n"/>
      <c r="D112" s="46" t="n"/>
      <c r="E112" s="84" t="n"/>
      <c r="F112" s="46" t="n"/>
      <c r="G112" s="70" t="n"/>
      <c r="H112" s="46" t="n"/>
      <c r="I112" s="46" t="n"/>
      <c r="J112" s="46" t="n"/>
    </row>
    <row r="113" ht="18" customHeight="1">
      <c r="A113" s="76" t="n"/>
      <c r="B113" s="76" t="n"/>
      <c r="C113" s="46" t="n"/>
      <c r="D113" s="46" t="n"/>
      <c r="E113" s="84" t="n"/>
      <c r="F113" s="46" t="n"/>
      <c r="G113" s="70" t="n"/>
      <c r="H113" s="46" t="n"/>
      <c r="I113" s="46" t="n"/>
      <c r="J113" s="46" t="n"/>
    </row>
    <row r="114" ht="18" customHeight="1">
      <c r="A114" s="76" t="n"/>
      <c r="B114" s="76" t="n"/>
      <c r="C114" s="46" t="n"/>
      <c r="D114" s="46" t="n"/>
      <c r="E114" s="84" t="n"/>
      <c r="F114" s="46" t="n"/>
      <c r="G114" s="70" t="n"/>
      <c r="H114" s="46" t="n"/>
      <c r="I114" s="46" t="n"/>
      <c r="J114" s="46" t="n"/>
    </row>
    <row r="115" ht="18" customHeight="1">
      <c r="A115" s="76" t="n"/>
      <c r="B115" s="76" t="n"/>
      <c r="C115" s="46" t="n"/>
      <c r="D115" s="46" t="n"/>
      <c r="E115" s="84" t="n"/>
      <c r="F115" s="46" t="n"/>
      <c r="G115" s="70" t="n"/>
      <c r="H115" s="46" t="n"/>
      <c r="I115" s="46" t="n"/>
      <c r="J115" s="46" t="n"/>
    </row>
    <row r="116" ht="20" customHeight="1">
      <c r="A116" s="31" t="inlineStr">
        <is>
          <t>CONTINGÊNCIA PREVISTA NO ORÇAMENTO  →</t>
        </is>
      </c>
      <c r="B116" s="32" t="n"/>
      <c r="C116" s="85" t="n"/>
      <c r="D116" s="57">
        <f>ROUND(SUM($E$104:$E$115),2)</f>
        <v/>
      </c>
      <c r="E116" s="57">
        <f>ROUND($D$116-IF($C$116="",0,$C$116),2)</f>
        <v/>
      </c>
      <c r="F116" s="32" t="n"/>
      <c r="G116" s="59">
        <f>IF(OR($A$13="",$A$13=0),"",$D$116/$A$13)</f>
        <v/>
      </c>
      <c r="H116" s="86" t="inlineStr">
        <is>
          <t>orçado = a contingência prevista · realizado = a soma acima</t>
        </is>
      </c>
      <c r="I116" s="32" t="n"/>
      <c r="J116" s="32" t="n"/>
    </row>
    <row r="117" ht="8" customHeight="1"/>
    <row r="118" ht="20" customHeight="1">
      <c r="A118" s="8" t="inlineStr">
        <is>
          <t xml:space="preserve">  8 · LIVRO DE COMPRAS E DESPESAS DO PROJETO          uma linha por compra, na ordem em que acontecer · pode inserir linhas à vontade aqui</t>
        </is>
      </c>
      <c r="B118" s="9" t="n"/>
      <c r="C118" s="9" t="n"/>
      <c r="D118" s="9" t="n"/>
      <c r="E118" s="9" t="n"/>
      <c r="F118" s="9" t="n"/>
      <c r="G118" s="9" t="n"/>
      <c r="H118" s="9" t="n"/>
      <c r="I118" s="9" t="n"/>
      <c r="J118" s="9" t="n"/>
    </row>
    <row r="119" ht="28" customHeight="1">
      <c r="A119" s="19" t="inlineStr">
        <is>
          <t>Descrição / fornecedor</t>
        </is>
      </c>
      <c r="B119" s="19" t="inlineStr">
        <is>
          <t>Categoria</t>
        </is>
      </c>
      <c r="C119" s="35" t="n"/>
      <c r="D119" s="19" t="inlineStr">
        <is>
          <t>Data</t>
        </is>
      </c>
      <c r="E119" s="19" t="inlineStr">
        <is>
          <t>Valor (R$)</t>
        </is>
      </c>
      <c r="F119" s="35" t="n"/>
      <c r="G119" s="19" t="inlineStr">
        <is>
          <t>Forma de pagamento</t>
        </is>
      </c>
      <c r="H119" s="35" t="n"/>
      <c r="I119" s="19" t="inlineStr">
        <is>
          <t>Status</t>
        </is>
      </c>
      <c r="J119" s="35" t="n"/>
    </row>
    <row r="120" ht="17" customHeight="1">
      <c r="A120" s="76" t="n"/>
      <c r="B120" s="87" t="n"/>
      <c r="C120" s="46" t="n"/>
      <c r="D120" s="88" t="n"/>
      <c r="E120" s="89" t="n"/>
      <c r="F120" s="46" t="n"/>
      <c r="G120" s="90" t="n"/>
      <c r="H120" s="46" t="n"/>
      <c r="I120" s="91" t="n"/>
      <c r="J120" s="46" t="n"/>
    </row>
    <row r="121" ht="17" customHeight="1">
      <c r="A121" s="76" t="n"/>
      <c r="B121" s="87" t="n"/>
      <c r="C121" s="46" t="n"/>
      <c r="D121" s="88" t="n"/>
      <c r="E121" s="89" t="n"/>
      <c r="F121" s="46" t="n"/>
      <c r="G121" s="90" t="n"/>
      <c r="H121" s="46" t="n"/>
      <c r="I121" s="91" t="n"/>
      <c r="J121" s="46" t="n"/>
    </row>
    <row r="122" ht="17" customHeight="1">
      <c r="A122" s="76" t="n"/>
      <c r="B122" s="87" t="n"/>
      <c r="C122" s="46" t="n"/>
      <c r="D122" s="88" t="n"/>
      <c r="E122" s="89" t="n"/>
      <c r="F122" s="46" t="n"/>
      <c r="G122" s="90" t="n"/>
      <c r="H122" s="46" t="n"/>
      <c r="I122" s="91" t="n"/>
      <c r="J122" s="46" t="n"/>
    </row>
    <row r="123" ht="17" customHeight="1">
      <c r="A123" s="76" t="n"/>
      <c r="B123" s="87" t="n"/>
      <c r="C123" s="46" t="n"/>
      <c r="D123" s="88" t="n"/>
      <c r="E123" s="89" t="n"/>
      <c r="F123" s="46" t="n"/>
      <c r="G123" s="90" t="n"/>
      <c r="H123" s="46" t="n"/>
      <c r="I123" s="91" t="n"/>
      <c r="J123" s="46" t="n"/>
    </row>
    <row r="124" ht="17" customHeight="1">
      <c r="A124" s="76" t="n"/>
      <c r="B124" s="87" t="n"/>
      <c r="C124" s="46" t="n"/>
      <c r="D124" s="88" t="n"/>
      <c r="E124" s="89" t="n"/>
      <c r="F124" s="46" t="n"/>
      <c r="G124" s="90" t="n"/>
      <c r="H124" s="46" t="n"/>
      <c r="I124" s="91" t="n"/>
      <c r="J124" s="46" t="n"/>
    </row>
    <row r="125" ht="17" customHeight="1">
      <c r="A125" s="76" t="n"/>
      <c r="B125" s="87" t="n"/>
      <c r="C125" s="46" t="n"/>
      <c r="D125" s="88" t="n"/>
      <c r="E125" s="89" t="n"/>
      <c r="F125" s="46" t="n"/>
      <c r="G125" s="90" t="n"/>
      <c r="H125" s="46" t="n"/>
      <c r="I125" s="91" t="n"/>
      <c r="J125" s="46" t="n"/>
    </row>
    <row r="126" ht="17" customHeight="1">
      <c r="A126" s="76" t="n"/>
      <c r="B126" s="87" t="n"/>
      <c r="C126" s="46" t="n"/>
      <c r="D126" s="88" t="n"/>
      <c r="E126" s="89" t="n"/>
      <c r="F126" s="46" t="n"/>
      <c r="G126" s="90" t="n"/>
      <c r="H126" s="46" t="n"/>
      <c r="I126" s="91" t="n"/>
      <c r="J126" s="46" t="n"/>
    </row>
    <row r="127" ht="17" customHeight="1">
      <c r="A127" s="76" t="n"/>
      <c r="B127" s="87" t="n"/>
      <c r="C127" s="46" t="n"/>
      <c r="D127" s="88" t="n"/>
      <c r="E127" s="89" t="n"/>
      <c r="F127" s="46" t="n"/>
      <c r="G127" s="90" t="n"/>
      <c r="H127" s="46" t="n"/>
      <c r="I127" s="91" t="n"/>
      <c r="J127" s="46" t="n"/>
    </row>
    <row r="128" ht="17" customHeight="1">
      <c r="A128" s="76" t="n"/>
      <c r="B128" s="87" t="n"/>
      <c r="C128" s="46" t="n"/>
      <c r="D128" s="88" t="n"/>
      <c r="E128" s="89" t="n"/>
      <c r="F128" s="46" t="n"/>
      <c r="G128" s="90" t="n"/>
      <c r="H128" s="46" t="n"/>
      <c r="I128" s="91" t="n"/>
      <c r="J128" s="46" t="n"/>
    </row>
    <row r="129" ht="17" customHeight="1">
      <c r="A129" s="76" t="n"/>
      <c r="B129" s="87" t="n"/>
      <c r="C129" s="46" t="n"/>
      <c r="D129" s="88" t="n"/>
      <c r="E129" s="89" t="n"/>
      <c r="F129" s="46" t="n"/>
      <c r="G129" s="90" t="n"/>
      <c r="H129" s="46" t="n"/>
      <c r="I129" s="91" t="n"/>
      <c r="J129" s="46" t="n"/>
    </row>
    <row r="130" ht="17" customHeight="1">
      <c r="A130" s="76" t="n"/>
      <c r="B130" s="87" t="n"/>
      <c r="C130" s="46" t="n"/>
      <c r="D130" s="88" t="n"/>
      <c r="E130" s="89" t="n"/>
      <c r="F130" s="46" t="n"/>
      <c r="G130" s="90" t="n"/>
      <c r="H130" s="46" t="n"/>
      <c r="I130" s="91" t="n"/>
      <c r="J130" s="46" t="n"/>
    </row>
    <row r="131" ht="17" customHeight="1">
      <c r="A131" s="76" t="n"/>
      <c r="B131" s="87" t="n"/>
      <c r="C131" s="46" t="n"/>
      <c r="D131" s="88" t="n"/>
      <c r="E131" s="89" t="n"/>
      <c r="F131" s="46" t="n"/>
      <c r="G131" s="90" t="n"/>
      <c r="H131" s="46" t="n"/>
      <c r="I131" s="91" t="n"/>
      <c r="J131" s="46" t="n"/>
    </row>
    <row r="132" ht="17" customHeight="1">
      <c r="A132" s="76" t="n"/>
      <c r="B132" s="87" t="n"/>
      <c r="C132" s="46" t="n"/>
      <c r="D132" s="88" t="n"/>
      <c r="E132" s="89" t="n"/>
      <c r="F132" s="46" t="n"/>
      <c r="G132" s="90" t="n"/>
      <c r="H132" s="46" t="n"/>
      <c r="I132" s="91" t="n"/>
      <c r="J132" s="46" t="n"/>
    </row>
    <row r="133" ht="17" customHeight="1">
      <c r="A133" s="76" t="n"/>
      <c r="B133" s="87" t="n"/>
      <c r="C133" s="46" t="n"/>
      <c r="D133" s="88" t="n"/>
      <c r="E133" s="89" t="n"/>
      <c r="F133" s="46" t="n"/>
      <c r="G133" s="90" t="n"/>
      <c r="H133" s="46" t="n"/>
      <c r="I133" s="91" t="n"/>
      <c r="J133" s="46" t="n"/>
    </row>
    <row r="134" ht="17" customHeight="1">
      <c r="A134" s="76" t="n"/>
      <c r="B134" s="87" t="n"/>
      <c r="C134" s="46" t="n"/>
      <c r="D134" s="88" t="n"/>
      <c r="E134" s="89" t="n"/>
      <c r="F134" s="46" t="n"/>
      <c r="G134" s="90" t="n"/>
      <c r="H134" s="46" t="n"/>
      <c r="I134" s="91" t="n"/>
      <c r="J134" s="46" t="n"/>
    </row>
    <row r="135" ht="17" customHeight="1">
      <c r="A135" s="76" t="n"/>
      <c r="B135" s="87" t="n"/>
      <c r="C135" s="46" t="n"/>
      <c r="D135" s="88" t="n"/>
      <c r="E135" s="89" t="n"/>
      <c r="F135" s="46" t="n"/>
      <c r="G135" s="90" t="n"/>
      <c r="H135" s="46" t="n"/>
      <c r="I135" s="91" t="n"/>
      <c r="J135" s="46" t="n"/>
    </row>
    <row r="136" ht="17" customHeight="1">
      <c r="A136" s="76" t="n"/>
      <c r="B136" s="87" t="n"/>
      <c r="C136" s="46" t="n"/>
      <c r="D136" s="88" t="n"/>
      <c r="E136" s="89" t="n"/>
      <c r="F136" s="46" t="n"/>
      <c r="G136" s="90" t="n"/>
      <c r="H136" s="46" t="n"/>
      <c r="I136" s="91" t="n"/>
      <c r="J136" s="46" t="n"/>
    </row>
    <row r="137" ht="17" customHeight="1">
      <c r="A137" s="76" t="n"/>
      <c r="B137" s="87" t="n"/>
      <c r="C137" s="46" t="n"/>
      <c r="D137" s="88" t="n"/>
      <c r="E137" s="89" t="n"/>
      <c r="F137" s="46" t="n"/>
      <c r="G137" s="90" t="n"/>
      <c r="H137" s="46" t="n"/>
      <c r="I137" s="91" t="n"/>
      <c r="J137" s="46" t="n"/>
    </row>
    <row r="138" ht="17" customHeight="1">
      <c r="A138" s="76" t="n"/>
      <c r="B138" s="87" t="n"/>
      <c r="C138" s="46" t="n"/>
      <c r="D138" s="88" t="n"/>
      <c r="E138" s="89" t="n"/>
      <c r="F138" s="46" t="n"/>
      <c r="G138" s="90" t="n"/>
      <c r="H138" s="46" t="n"/>
      <c r="I138" s="91" t="n"/>
      <c r="J138" s="46" t="n"/>
    </row>
    <row r="139" ht="17" customHeight="1">
      <c r="A139" s="76" t="n"/>
      <c r="B139" s="87" t="n"/>
      <c r="C139" s="46" t="n"/>
      <c r="D139" s="88" t="n"/>
      <c r="E139" s="89" t="n"/>
      <c r="F139" s="46" t="n"/>
      <c r="G139" s="90" t="n"/>
      <c r="H139" s="46" t="n"/>
      <c r="I139" s="91" t="n"/>
      <c r="J139" s="46" t="n"/>
    </row>
    <row r="140" ht="17" customHeight="1">
      <c r="A140" s="76" t="n"/>
      <c r="B140" s="87" t="n"/>
      <c r="C140" s="46" t="n"/>
      <c r="D140" s="88" t="n"/>
      <c r="E140" s="89" t="n"/>
      <c r="F140" s="46" t="n"/>
      <c r="G140" s="90" t="n"/>
      <c r="H140" s="46" t="n"/>
      <c r="I140" s="91" t="n"/>
      <c r="J140" s="46" t="n"/>
    </row>
    <row r="141" ht="17" customHeight="1">
      <c r="A141" s="76" t="n"/>
      <c r="B141" s="87" t="n"/>
      <c r="C141" s="46" t="n"/>
      <c r="D141" s="88" t="n"/>
      <c r="E141" s="89" t="n"/>
      <c r="F141" s="46" t="n"/>
      <c r="G141" s="90" t="n"/>
      <c r="H141" s="46" t="n"/>
      <c r="I141" s="91" t="n"/>
      <c r="J141" s="46" t="n"/>
    </row>
    <row r="142" ht="17" customHeight="1">
      <c r="A142" s="76" t="n"/>
      <c r="B142" s="87" t="n"/>
      <c r="C142" s="46" t="n"/>
      <c r="D142" s="88" t="n"/>
      <c r="E142" s="89" t="n"/>
      <c r="F142" s="46" t="n"/>
      <c r="G142" s="90" t="n"/>
      <c r="H142" s="46" t="n"/>
      <c r="I142" s="91" t="n"/>
      <c r="J142" s="46" t="n"/>
    </row>
    <row r="143" ht="17" customHeight="1">
      <c r="A143" s="76" t="n"/>
      <c r="B143" s="87" t="n"/>
      <c r="C143" s="46" t="n"/>
      <c r="D143" s="88" t="n"/>
      <c r="E143" s="89" t="n"/>
      <c r="F143" s="46" t="n"/>
      <c r="G143" s="90" t="n"/>
      <c r="H143" s="46" t="n"/>
      <c r="I143" s="91" t="n"/>
      <c r="J143" s="46" t="n"/>
    </row>
    <row r="144" ht="17" customHeight="1">
      <c r="A144" s="76" t="n"/>
      <c r="B144" s="87" t="n"/>
      <c r="C144" s="46" t="n"/>
      <c r="D144" s="88" t="n"/>
      <c r="E144" s="89" t="n"/>
      <c r="F144" s="46" t="n"/>
      <c r="G144" s="90" t="n"/>
      <c r="H144" s="46" t="n"/>
      <c r="I144" s="91" t="n"/>
      <c r="J144" s="46" t="n"/>
    </row>
    <row r="145" ht="17" customHeight="1">
      <c r="A145" s="76" t="n"/>
      <c r="B145" s="87" t="n"/>
      <c r="C145" s="46" t="n"/>
      <c r="D145" s="88" t="n"/>
      <c r="E145" s="89" t="n"/>
      <c r="F145" s="46" t="n"/>
      <c r="G145" s="90" t="n"/>
      <c r="H145" s="46" t="n"/>
      <c r="I145" s="91" t="n"/>
      <c r="J145" s="46" t="n"/>
    </row>
    <row r="146" ht="17" customHeight="1">
      <c r="A146" s="76" t="n"/>
      <c r="B146" s="87" t="n"/>
      <c r="C146" s="46" t="n"/>
      <c r="D146" s="88" t="n"/>
      <c r="E146" s="89" t="n"/>
      <c r="F146" s="46" t="n"/>
      <c r="G146" s="90" t="n"/>
      <c r="H146" s="46" t="n"/>
      <c r="I146" s="91" t="n"/>
      <c r="J146" s="46" t="n"/>
    </row>
    <row r="147" ht="17" customHeight="1">
      <c r="A147" s="76" t="n"/>
      <c r="B147" s="87" t="n"/>
      <c r="C147" s="46" t="n"/>
      <c r="D147" s="88" t="n"/>
      <c r="E147" s="89" t="n"/>
      <c r="F147" s="46" t="n"/>
      <c r="G147" s="90" t="n"/>
      <c r="H147" s="46" t="n"/>
      <c r="I147" s="91" t="n"/>
      <c r="J147" s="46" t="n"/>
    </row>
    <row r="148" ht="17" customHeight="1">
      <c r="A148" s="76" t="n"/>
      <c r="B148" s="87" t="n"/>
      <c r="C148" s="46" t="n"/>
      <c r="D148" s="88" t="n"/>
      <c r="E148" s="89" t="n"/>
      <c r="F148" s="46" t="n"/>
      <c r="G148" s="90" t="n"/>
      <c r="H148" s="46" t="n"/>
      <c r="I148" s="91" t="n"/>
      <c r="J148" s="46" t="n"/>
    </row>
    <row r="149" ht="17" customHeight="1">
      <c r="A149" s="76" t="n"/>
      <c r="B149" s="87" t="n"/>
      <c r="C149" s="46" t="n"/>
      <c r="D149" s="88" t="n"/>
      <c r="E149" s="89" t="n"/>
      <c r="F149" s="46" t="n"/>
      <c r="G149" s="90" t="n"/>
      <c r="H149" s="46" t="n"/>
      <c r="I149" s="91" t="n"/>
      <c r="J149" s="46" t="n"/>
    </row>
    <row r="150" ht="17" customHeight="1">
      <c r="A150" s="76" t="n"/>
      <c r="B150" s="87" t="n"/>
      <c r="C150" s="46" t="n"/>
      <c r="D150" s="88" t="n"/>
      <c r="E150" s="89" t="n"/>
      <c r="F150" s="46" t="n"/>
      <c r="G150" s="90" t="n"/>
      <c r="H150" s="46" t="n"/>
      <c r="I150" s="91" t="n"/>
      <c r="J150" s="46" t="n"/>
    </row>
    <row r="151" ht="17" customHeight="1">
      <c r="A151" s="76" t="n"/>
      <c r="B151" s="87" t="n"/>
      <c r="C151" s="46" t="n"/>
      <c r="D151" s="88" t="n"/>
      <c r="E151" s="89" t="n"/>
      <c r="F151" s="46" t="n"/>
      <c r="G151" s="90" t="n"/>
      <c r="H151" s="46" t="n"/>
      <c r="I151" s="91" t="n"/>
      <c r="J151" s="46" t="n"/>
    </row>
    <row r="152" ht="17" customHeight="1">
      <c r="A152" s="76" t="n"/>
      <c r="B152" s="87" t="n"/>
      <c r="C152" s="46" t="n"/>
      <c r="D152" s="88" t="n"/>
      <c r="E152" s="89" t="n"/>
      <c r="F152" s="46" t="n"/>
      <c r="G152" s="90" t="n"/>
      <c r="H152" s="46" t="n"/>
      <c r="I152" s="91" t="n"/>
      <c r="J152" s="46" t="n"/>
    </row>
    <row r="153" ht="17" customHeight="1">
      <c r="A153" s="76" t="n"/>
      <c r="B153" s="87" t="n"/>
      <c r="C153" s="46" t="n"/>
      <c r="D153" s="88" t="n"/>
      <c r="E153" s="89" t="n"/>
      <c r="F153" s="46" t="n"/>
      <c r="G153" s="90" t="n"/>
      <c r="H153" s="46" t="n"/>
      <c r="I153" s="91" t="n"/>
      <c r="J153" s="46" t="n"/>
    </row>
    <row r="154" ht="17" customHeight="1">
      <c r="A154" s="76" t="n"/>
      <c r="B154" s="87" t="n"/>
      <c r="C154" s="46" t="n"/>
      <c r="D154" s="88" t="n"/>
      <c r="E154" s="89" t="n"/>
      <c r="F154" s="46" t="n"/>
      <c r="G154" s="90" t="n"/>
      <c r="H154" s="46" t="n"/>
      <c r="I154" s="91" t="n"/>
      <c r="J154" s="46" t="n"/>
    </row>
    <row r="155" ht="17" customHeight="1">
      <c r="A155" s="76" t="n"/>
      <c r="B155" s="87" t="n"/>
      <c r="C155" s="46" t="n"/>
      <c r="D155" s="88" t="n"/>
      <c r="E155" s="89" t="n"/>
      <c r="F155" s="46" t="n"/>
      <c r="G155" s="90" t="n"/>
      <c r="H155" s="46" t="n"/>
      <c r="I155" s="91" t="n"/>
      <c r="J155" s="46" t="n"/>
    </row>
    <row r="156" ht="17" customHeight="1">
      <c r="A156" s="76" t="n"/>
      <c r="B156" s="87" t="n"/>
      <c r="C156" s="46" t="n"/>
      <c r="D156" s="88" t="n"/>
      <c r="E156" s="89" t="n"/>
      <c r="F156" s="46" t="n"/>
      <c r="G156" s="90" t="n"/>
      <c r="H156" s="46" t="n"/>
      <c r="I156" s="91" t="n"/>
      <c r="J156" s="46" t="n"/>
    </row>
    <row r="157" ht="17" customHeight="1">
      <c r="A157" s="76" t="n"/>
      <c r="B157" s="87" t="n"/>
      <c r="C157" s="46" t="n"/>
      <c r="D157" s="88" t="n"/>
      <c r="E157" s="89" t="n"/>
      <c r="F157" s="46" t="n"/>
      <c r="G157" s="90" t="n"/>
      <c r="H157" s="46" t="n"/>
      <c r="I157" s="91" t="n"/>
      <c r="J157" s="46" t="n"/>
    </row>
    <row r="158" ht="17" customHeight="1">
      <c r="A158" s="76" t="n"/>
      <c r="B158" s="87" t="n"/>
      <c r="C158" s="46" t="n"/>
      <c r="D158" s="88" t="n"/>
      <c r="E158" s="89" t="n"/>
      <c r="F158" s="46" t="n"/>
      <c r="G158" s="90" t="n"/>
      <c r="H158" s="46" t="n"/>
      <c r="I158" s="91" t="n"/>
      <c r="J158" s="46" t="n"/>
    </row>
    <row r="159" ht="17" customHeight="1">
      <c r="A159" s="76" t="n"/>
      <c r="B159" s="87" t="n"/>
      <c r="C159" s="46" t="n"/>
      <c r="D159" s="88" t="n"/>
      <c r="E159" s="89" t="n"/>
      <c r="F159" s="46" t="n"/>
      <c r="G159" s="90" t="n"/>
      <c r="H159" s="46" t="n"/>
      <c r="I159" s="91" t="n"/>
      <c r="J159" s="46" t="n"/>
    </row>
    <row r="160" ht="17" customHeight="1">
      <c r="A160" s="76" t="n"/>
      <c r="B160" s="87" t="n"/>
      <c r="C160" s="46" t="n"/>
      <c r="D160" s="88" t="n"/>
      <c r="E160" s="89" t="n"/>
      <c r="F160" s="46" t="n"/>
      <c r="G160" s="90" t="n"/>
      <c r="H160" s="46" t="n"/>
      <c r="I160" s="91" t="n"/>
      <c r="J160" s="46" t="n"/>
    </row>
    <row r="161" ht="17" customHeight="1">
      <c r="A161" s="76" t="n"/>
      <c r="B161" s="87" t="n"/>
      <c r="C161" s="46" t="n"/>
      <c r="D161" s="88" t="n"/>
      <c r="E161" s="89" t="n"/>
      <c r="F161" s="46" t="n"/>
      <c r="G161" s="90" t="n"/>
      <c r="H161" s="46" t="n"/>
      <c r="I161" s="91" t="n"/>
      <c r="J161" s="46" t="n"/>
    </row>
    <row r="162" ht="17" customHeight="1">
      <c r="A162" s="76" t="n"/>
      <c r="B162" s="87" t="n"/>
      <c r="C162" s="46" t="n"/>
      <c r="D162" s="88" t="n"/>
      <c r="E162" s="89" t="n"/>
      <c r="F162" s="46" t="n"/>
      <c r="G162" s="90" t="n"/>
      <c r="H162" s="46" t="n"/>
      <c r="I162" s="91" t="n"/>
      <c r="J162" s="46" t="n"/>
    </row>
    <row r="163" ht="17" customHeight="1">
      <c r="A163" s="76" t="n"/>
      <c r="B163" s="87" t="n"/>
      <c r="C163" s="46" t="n"/>
      <c r="D163" s="88" t="n"/>
      <c r="E163" s="89" t="n"/>
      <c r="F163" s="46" t="n"/>
      <c r="G163" s="90" t="n"/>
      <c r="H163" s="46" t="n"/>
      <c r="I163" s="91" t="n"/>
      <c r="J163" s="46" t="n"/>
    </row>
    <row r="164" ht="17" customHeight="1">
      <c r="A164" s="76" t="n"/>
      <c r="B164" s="87" t="n"/>
      <c r="C164" s="46" t="n"/>
      <c r="D164" s="88" t="n"/>
      <c r="E164" s="89" t="n"/>
      <c r="F164" s="46" t="n"/>
      <c r="G164" s="90" t="n"/>
      <c r="H164" s="46" t="n"/>
      <c r="I164" s="91" t="n"/>
      <c r="J164" s="46" t="n"/>
    </row>
    <row r="165" ht="17" customHeight="1">
      <c r="A165" s="76" t="n"/>
      <c r="B165" s="87" t="n"/>
      <c r="C165" s="46" t="n"/>
      <c r="D165" s="88" t="n"/>
      <c r="E165" s="89" t="n"/>
      <c r="F165" s="46" t="n"/>
      <c r="G165" s="90" t="n"/>
      <c r="H165" s="46" t="n"/>
      <c r="I165" s="91" t="n"/>
      <c r="J165" s="46" t="n"/>
    </row>
    <row r="166" ht="17" customHeight="1">
      <c r="A166" s="76" t="n"/>
      <c r="B166" s="87" t="n"/>
      <c r="C166" s="46" t="n"/>
      <c r="D166" s="88" t="n"/>
      <c r="E166" s="89" t="n"/>
      <c r="F166" s="46" t="n"/>
      <c r="G166" s="90" t="n"/>
      <c r="H166" s="46" t="n"/>
      <c r="I166" s="91" t="n"/>
      <c r="J166" s="46" t="n"/>
    </row>
    <row r="167" ht="17" customHeight="1">
      <c r="A167" s="76" t="n"/>
      <c r="B167" s="87" t="n"/>
      <c r="C167" s="46" t="n"/>
      <c r="D167" s="88" t="n"/>
      <c r="E167" s="89" t="n"/>
      <c r="F167" s="46" t="n"/>
      <c r="G167" s="90" t="n"/>
      <c r="H167" s="46" t="n"/>
      <c r="I167" s="91" t="n"/>
      <c r="J167" s="46" t="n"/>
    </row>
    <row r="168" ht="17" customHeight="1">
      <c r="A168" s="76" t="n"/>
      <c r="B168" s="87" t="n"/>
      <c r="C168" s="46" t="n"/>
      <c r="D168" s="88" t="n"/>
      <c r="E168" s="89" t="n"/>
      <c r="F168" s="46" t="n"/>
      <c r="G168" s="90" t="n"/>
      <c r="H168" s="46" t="n"/>
      <c r="I168" s="91" t="n"/>
      <c r="J168" s="46" t="n"/>
    </row>
    <row r="169" ht="17" customHeight="1">
      <c r="A169" s="76" t="n"/>
      <c r="B169" s="87" t="n"/>
      <c r="C169" s="46" t="n"/>
      <c r="D169" s="88" t="n"/>
      <c r="E169" s="89" t="n"/>
      <c r="F169" s="46" t="n"/>
      <c r="G169" s="90" t="n"/>
      <c r="H169" s="46" t="n"/>
      <c r="I169" s="91" t="n"/>
      <c r="J169" s="46" t="n"/>
    </row>
    <row r="170" ht="17" customHeight="1">
      <c r="A170" s="76" t="n"/>
      <c r="B170" s="87" t="n"/>
      <c r="C170" s="46" t="n"/>
      <c r="D170" s="88" t="n"/>
      <c r="E170" s="89" t="n"/>
      <c r="F170" s="46" t="n"/>
      <c r="G170" s="90" t="n"/>
      <c r="H170" s="46" t="n"/>
      <c r="I170" s="91" t="n"/>
      <c r="J170" s="46" t="n"/>
    </row>
    <row r="171" ht="17" customHeight="1">
      <c r="A171" s="76" t="n"/>
      <c r="B171" s="87" t="n"/>
      <c r="C171" s="46" t="n"/>
      <c r="D171" s="88" t="n"/>
      <c r="E171" s="89" t="n"/>
      <c r="F171" s="46" t="n"/>
      <c r="G171" s="90" t="n"/>
      <c r="H171" s="46" t="n"/>
      <c r="I171" s="91" t="n"/>
      <c r="J171" s="46" t="n"/>
    </row>
    <row r="172" ht="17" customHeight="1">
      <c r="A172" s="76" t="n"/>
      <c r="B172" s="87" t="n"/>
      <c r="C172" s="46" t="n"/>
      <c r="D172" s="88" t="n"/>
      <c r="E172" s="89" t="n"/>
      <c r="F172" s="46" t="n"/>
      <c r="G172" s="90" t="n"/>
      <c r="H172" s="46" t="n"/>
      <c r="I172" s="91" t="n"/>
      <c r="J172" s="46" t="n"/>
    </row>
    <row r="173" ht="17" customHeight="1">
      <c r="A173" s="76" t="n"/>
      <c r="B173" s="87" t="n"/>
      <c r="C173" s="46" t="n"/>
      <c r="D173" s="88" t="n"/>
      <c r="E173" s="89" t="n"/>
      <c r="F173" s="46" t="n"/>
      <c r="G173" s="90" t="n"/>
      <c r="H173" s="46" t="n"/>
      <c r="I173" s="91" t="n"/>
      <c r="J173" s="46" t="n"/>
    </row>
    <row r="174" ht="17" customHeight="1">
      <c r="A174" s="76" t="n"/>
      <c r="B174" s="87" t="n"/>
      <c r="C174" s="46" t="n"/>
      <c r="D174" s="88" t="n"/>
      <c r="E174" s="89" t="n"/>
      <c r="F174" s="46" t="n"/>
      <c r="G174" s="90" t="n"/>
      <c r="H174" s="46" t="n"/>
      <c r="I174" s="91" t="n"/>
      <c r="J174" s="46" t="n"/>
    </row>
    <row r="175" ht="17" customHeight="1">
      <c r="A175" s="76" t="n"/>
      <c r="B175" s="87" t="n"/>
      <c r="C175" s="46" t="n"/>
      <c r="D175" s="88" t="n"/>
      <c r="E175" s="89" t="n"/>
      <c r="F175" s="46" t="n"/>
      <c r="G175" s="90" t="n"/>
      <c r="H175" s="46" t="n"/>
      <c r="I175" s="91" t="n"/>
      <c r="J175" s="46" t="n"/>
    </row>
    <row r="176" ht="17" customHeight="1">
      <c r="A176" s="76" t="n"/>
      <c r="B176" s="87" t="n"/>
      <c r="C176" s="46" t="n"/>
      <c r="D176" s="88" t="n"/>
      <c r="E176" s="89" t="n"/>
      <c r="F176" s="46" t="n"/>
      <c r="G176" s="90" t="n"/>
      <c r="H176" s="46" t="n"/>
      <c r="I176" s="91" t="n"/>
      <c r="J176" s="46" t="n"/>
    </row>
    <row r="177" ht="17" customHeight="1">
      <c r="A177" s="76" t="n"/>
      <c r="B177" s="87" t="n"/>
      <c r="C177" s="46" t="n"/>
      <c r="D177" s="88" t="n"/>
      <c r="E177" s="89" t="n"/>
      <c r="F177" s="46" t="n"/>
      <c r="G177" s="90" t="n"/>
      <c r="H177" s="46" t="n"/>
      <c r="I177" s="91" t="n"/>
      <c r="J177" s="46" t="n"/>
    </row>
    <row r="178" ht="17" customHeight="1">
      <c r="A178" s="76" t="n"/>
      <c r="B178" s="87" t="n"/>
      <c r="C178" s="46" t="n"/>
      <c r="D178" s="88" t="n"/>
      <c r="E178" s="89" t="n"/>
      <c r="F178" s="46" t="n"/>
      <c r="G178" s="90" t="n"/>
      <c r="H178" s="46" t="n"/>
      <c r="I178" s="91" t="n"/>
      <c r="J178" s="46" t="n"/>
    </row>
    <row r="179" ht="17" customHeight="1">
      <c r="A179" s="76" t="n"/>
      <c r="B179" s="87" t="n"/>
      <c r="C179" s="46" t="n"/>
      <c r="D179" s="88" t="n"/>
      <c r="E179" s="89" t="n"/>
      <c r="F179" s="46" t="n"/>
      <c r="G179" s="90" t="n"/>
      <c r="H179" s="46" t="n"/>
      <c r="I179" s="91" t="n"/>
      <c r="J179" s="46" t="n"/>
    </row>
    <row r="180" ht="22" customHeight="1">
      <c r="A180" s="31" t="inlineStr">
        <is>
          <t>TOTAL LANÇADO NO LIVRO</t>
        </is>
      </c>
      <c r="B180" s="32" t="n"/>
      <c r="C180" s="32" t="n"/>
      <c r="D180" s="32" t="n"/>
      <c r="E180" s="56">
        <f>ROUND(SUM($E$120:$E$179),2)</f>
        <v/>
      </c>
      <c r="F180" s="32" t="n"/>
      <c r="G180" s="92">
        <f>IF(COUNTA($B$120:$B$179)=COUNT($E$120:$E$179),"lançamentos: "&amp;COUNT($E$120:$E$179)&amp;" · todos classificados","ATENÇÃO: "&amp;(COUNT($E$120:$E$179)-COUNTA($B$120:$B$179))&amp;" lançamento(s) sem categoria")</f>
        <v/>
      </c>
      <c r="H180" s="32" t="n"/>
      <c r="I180" s="32" t="n"/>
      <c r="J180" s="32" t="n"/>
    </row>
    <row r="182" ht="50" customHeight="1">
      <c r="A182" s="43" t="inlineStr">
        <is>
          <t xml:space="preserve">  Preencha primeiro a coluna ORÇADO com o que o orçamento previu e vá preenchendo o REALIZADO conforme o projeto anda — o desvio de cada linha é o que mostra onde o orçamento erra. Compras entram uma a uma no livro do bloco 8, com categoria, forma de pagamento e status; as categorias do bloco 6 se somam sozinhas. Você pode inserir linhas em qualquer bloco a partir da linha 26: tudo o que o Painel Geral lê está acima disso.</t>
        </is>
      </c>
      <c r="B182" s="15" t="n"/>
      <c r="C182" s="15" t="n"/>
      <c r="D182" s="15" t="n"/>
      <c r="E182" s="15" t="n"/>
      <c r="F182" s="15" t="n"/>
      <c r="G182" s="15" t="n"/>
      <c r="H182" s="15" t="n"/>
      <c r="I182" s="15" t="n"/>
      <c r="J182" s="15" t="n"/>
    </row>
  </sheetData>
  <mergeCells count="492">
    <mergeCell ref="A15:B15"/>
    <mergeCell ref="B141:C141"/>
    <mergeCell ref="E142:F142"/>
    <mergeCell ref="H17:J17"/>
    <mergeCell ref="H9:I9"/>
    <mergeCell ref="E171:F171"/>
    <mergeCell ref="H84:J84"/>
    <mergeCell ref="H22:J22"/>
    <mergeCell ref="H19:J19"/>
    <mergeCell ref="H75:J75"/>
    <mergeCell ref="E137:F137"/>
    <mergeCell ref="G137:H137"/>
    <mergeCell ref="D70:E70"/>
    <mergeCell ref="E173:F173"/>
    <mergeCell ref="F70:G70"/>
    <mergeCell ref="H86:J86"/>
    <mergeCell ref="E148:F148"/>
    <mergeCell ref="G148:H148"/>
    <mergeCell ref="B78:C78"/>
    <mergeCell ref="D7:E7"/>
    <mergeCell ref="D78:E78"/>
    <mergeCell ref="I155:J155"/>
    <mergeCell ref="G139:H139"/>
    <mergeCell ref="E166:F166"/>
    <mergeCell ref="I170:J170"/>
    <mergeCell ref="D71:E71"/>
    <mergeCell ref="F71:G71"/>
    <mergeCell ref="I157:J157"/>
    <mergeCell ref="E168:F168"/>
    <mergeCell ref="G168:H168"/>
    <mergeCell ref="A62:B62"/>
    <mergeCell ref="G143:H143"/>
    <mergeCell ref="I172:J172"/>
    <mergeCell ref="D73:E73"/>
    <mergeCell ref="B154:C154"/>
    <mergeCell ref="A39:B39"/>
    <mergeCell ref="B129:C129"/>
    <mergeCell ref="G110:J110"/>
    <mergeCell ref="A24:H24"/>
    <mergeCell ref="B156:C156"/>
    <mergeCell ref="B131:C131"/>
    <mergeCell ref="I175:J175"/>
    <mergeCell ref="H99:J99"/>
    <mergeCell ref="G125:H125"/>
    <mergeCell ref="I125:J125"/>
    <mergeCell ref="E161:F161"/>
    <mergeCell ref="D66:E66"/>
    <mergeCell ref="G127:H127"/>
    <mergeCell ref="F66:G66"/>
    <mergeCell ref="I127:J127"/>
    <mergeCell ref="I176:J176"/>
    <mergeCell ref="E110:F110"/>
    <mergeCell ref="H20:J20"/>
    <mergeCell ref="E16:F16"/>
    <mergeCell ref="G138:H138"/>
    <mergeCell ref="B142:C142"/>
    <mergeCell ref="I138:J138"/>
    <mergeCell ref="E174:F174"/>
    <mergeCell ref="E18:F18"/>
    <mergeCell ref="G140:H140"/>
    <mergeCell ref="B144:C144"/>
    <mergeCell ref="I140:J140"/>
    <mergeCell ref="F73:G73"/>
    <mergeCell ref="E92:F92"/>
    <mergeCell ref="E94:F94"/>
    <mergeCell ref="A30:J30"/>
    <mergeCell ref="B170:C170"/>
    <mergeCell ref="E31:F31"/>
    <mergeCell ref="E158:F158"/>
    <mergeCell ref="H15:J15"/>
    <mergeCell ref="H71:J71"/>
    <mergeCell ref="E133:F133"/>
    <mergeCell ref="E108:F108"/>
    <mergeCell ref="G133:H133"/>
    <mergeCell ref="B172:C172"/>
    <mergeCell ref="E95:F95"/>
    <mergeCell ref="E89:F89"/>
    <mergeCell ref="B113:D113"/>
    <mergeCell ref="A41:J41"/>
    <mergeCell ref="G135:H135"/>
    <mergeCell ref="E162:F162"/>
    <mergeCell ref="D55:E55"/>
    <mergeCell ref="G153:H153"/>
    <mergeCell ref="I153:J153"/>
    <mergeCell ref="B115:D115"/>
    <mergeCell ref="D67:E67"/>
    <mergeCell ref="B76:C76"/>
    <mergeCell ref="I128:J128"/>
    <mergeCell ref="E164:F164"/>
    <mergeCell ref="G164:H164"/>
    <mergeCell ref="H39:J39"/>
    <mergeCell ref="D69:E69"/>
    <mergeCell ref="F69:G69"/>
    <mergeCell ref="B150:C150"/>
    <mergeCell ref="E17:F17"/>
    <mergeCell ref="E88:F88"/>
    <mergeCell ref="E126:F126"/>
    <mergeCell ref="E82:F82"/>
    <mergeCell ref="B152:C152"/>
    <mergeCell ref="E180:F180"/>
    <mergeCell ref="H72:J72"/>
    <mergeCell ref="H28:J28"/>
    <mergeCell ref="E19:F19"/>
    <mergeCell ref="B145:C145"/>
    <mergeCell ref="G146:H146"/>
    <mergeCell ref="I146:J146"/>
    <mergeCell ref="A11:J11"/>
    <mergeCell ref="A1:J1"/>
    <mergeCell ref="I12:J12"/>
    <mergeCell ref="B147:C147"/>
    <mergeCell ref="H23:J23"/>
    <mergeCell ref="E179:F179"/>
    <mergeCell ref="F67:G67"/>
    <mergeCell ref="A80:J80"/>
    <mergeCell ref="E37:F37"/>
    <mergeCell ref="E159:F159"/>
    <mergeCell ref="E97:F97"/>
    <mergeCell ref="G159:H159"/>
    <mergeCell ref="B163:C163"/>
    <mergeCell ref="H8:I8"/>
    <mergeCell ref="E109:F109"/>
    <mergeCell ref="H83:J83"/>
    <mergeCell ref="E145:F145"/>
    <mergeCell ref="E139:F139"/>
    <mergeCell ref="G161:H161"/>
    <mergeCell ref="B165:C165"/>
    <mergeCell ref="E111:F111"/>
    <mergeCell ref="G136:H136"/>
    <mergeCell ref="I136:J136"/>
    <mergeCell ref="B77:C77"/>
    <mergeCell ref="D6:E6"/>
    <mergeCell ref="D77:E77"/>
    <mergeCell ref="I129:J129"/>
    <mergeCell ref="B108:D108"/>
    <mergeCell ref="I131:J131"/>
    <mergeCell ref="D72:E72"/>
    <mergeCell ref="F72:G72"/>
    <mergeCell ref="B178:C178"/>
    <mergeCell ref="H92:J92"/>
    <mergeCell ref="E27:F27"/>
    <mergeCell ref="E119:F119"/>
    <mergeCell ref="E116:F116"/>
    <mergeCell ref="H78:J78"/>
    <mergeCell ref="E91:F91"/>
    <mergeCell ref="E85:F85"/>
    <mergeCell ref="A6:C6"/>
    <mergeCell ref="H31:J31"/>
    <mergeCell ref="H58:J58"/>
    <mergeCell ref="E22:F22"/>
    <mergeCell ref="I13:J13"/>
    <mergeCell ref="E93:F93"/>
    <mergeCell ref="G149:H149"/>
    <mergeCell ref="I149:J149"/>
    <mergeCell ref="B111:D111"/>
    <mergeCell ref="H73:J73"/>
    <mergeCell ref="H60:J60"/>
    <mergeCell ref="E122:F122"/>
    <mergeCell ref="G113:J113"/>
    <mergeCell ref="G151:H151"/>
    <mergeCell ref="G178:H178"/>
    <mergeCell ref="I151:J151"/>
    <mergeCell ref="F6:G6"/>
    <mergeCell ref="I144:J144"/>
    <mergeCell ref="E38:F38"/>
    <mergeCell ref="E147:F147"/>
    <mergeCell ref="A89:B89"/>
    <mergeCell ref="G175:H175"/>
    <mergeCell ref="B179:C179"/>
    <mergeCell ref="G162:H162"/>
    <mergeCell ref="B166:C166"/>
    <mergeCell ref="I162:J162"/>
    <mergeCell ref="G177:H177"/>
    <mergeCell ref="E104:F104"/>
    <mergeCell ref="B174:C174"/>
    <mergeCell ref="I177:J177"/>
    <mergeCell ref="B168:C168"/>
    <mergeCell ref="D9:E9"/>
    <mergeCell ref="B109:D109"/>
    <mergeCell ref="F9:G9"/>
    <mergeCell ref="A100:B100"/>
    <mergeCell ref="B169:C169"/>
    <mergeCell ref="A2:J2"/>
    <mergeCell ref="E130:F130"/>
    <mergeCell ref="G155:H155"/>
    <mergeCell ref="G130:H130"/>
    <mergeCell ref="B134:C134"/>
    <mergeCell ref="B121:C121"/>
    <mergeCell ref="E160:F160"/>
    <mergeCell ref="A180:D180"/>
    <mergeCell ref="H70:J70"/>
    <mergeCell ref="E141:F141"/>
    <mergeCell ref="E135:F135"/>
    <mergeCell ref="B71:C71"/>
    <mergeCell ref="E132:F132"/>
    <mergeCell ref="G157:H157"/>
    <mergeCell ref="G132:H132"/>
    <mergeCell ref="G122:H122"/>
    <mergeCell ref="H32:J32"/>
    <mergeCell ref="H81:J81"/>
    <mergeCell ref="E107:F107"/>
    <mergeCell ref="E143:F143"/>
    <mergeCell ref="G172:H172"/>
    <mergeCell ref="I150:J150"/>
    <mergeCell ref="G115:J115"/>
    <mergeCell ref="A64:J64"/>
    <mergeCell ref="B162:C162"/>
    <mergeCell ref="I165:J165"/>
    <mergeCell ref="G152:H152"/>
    <mergeCell ref="E59:F59"/>
    <mergeCell ref="A21:B21"/>
    <mergeCell ref="I152:J152"/>
    <mergeCell ref="B114:D114"/>
    <mergeCell ref="H76:J76"/>
    <mergeCell ref="E61:F61"/>
    <mergeCell ref="A23:B23"/>
    <mergeCell ref="G103:J103"/>
    <mergeCell ref="B124:C124"/>
    <mergeCell ref="E125:F125"/>
    <mergeCell ref="E112:F112"/>
    <mergeCell ref="B126:C126"/>
    <mergeCell ref="I178:J178"/>
    <mergeCell ref="H94:J94"/>
    <mergeCell ref="G120:H120"/>
    <mergeCell ref="I120:J120"/>
    <mergeCell ref="I163:J163"/>
    <mergeCell ref="A102:J102"/>
    <mergeCell ref="B112:D112"/>
    <mergeCell ref="A16:B16"/>
    <mergeCell ref="E138:F138"/>
    <mergeCell ref="A18:B18"/>
    <mergeCell ref="B73:C73"/>
    <mergeCell ref="E167:F167"/>
    <mergeCell ref="H7:I7"/>
    <mergeCell ref="B137:C137"/>
    <mergeCell ref="E169:F169"/>
    <mergeCell ref="B74:C74"/>
    <mergeCell ref="B68:C68"/>
    <mergeCell ref="D74:E74"/>
    <mergeCell ref="B139:C139"/>
    <mergeCell ref="D68:E68"/>
    <mergeCell ref="A57:J57"/>
    <mergeCell ref="G180:J180"/>
    <mergeCell ref="I168:J168"/>
    <mergeCell ref="E62:F62"/>
    <mergeCell ref="G109:J109"/>
    <mergeCell ref="G176:H176"/>
    <mergeCell ref="H100:J100"/>
    <mergeCell ref="E156:F156"/>
    <mergeCell ref="G111:J111"/>
    <mergeCell ref="E153:F153"/>
    <mergeCell ref="H66:J66"/>
    <mergeCell ref="B67:C67"/>
    <mergeCell ref="E128:F128"/>
    <mergeCell ref="E155:F155"/>
    <mergeCell ref="G128:H128"/>
    <mergeCell ref="G171:H171"/>
    <mergeCell ref="I171:J171"/>
    <mergeCell ref="H95:J95"/>
    <mergeCell ref="B69:C69"/>
    <mergeCell ref="G121:H121"/>
    <mergeCell ref="I121:J121"/>
    <mergeCell ref="E157:F157"/>
    <mergeCell ref="I173:J173"/>
    <mergeCell ref="H97:J97"/>
    <mergeCell ref="G123:H123"/>
    <mergeCell ref="A17:B17"/>
    <mergeCell ref="B127:C127"/>
    <mergeCell ref="I123:J123"/>
    <mergeCell ref="I166:J166"/>
    <mergeCell ref="A118:J118"/>
    <mergeCell ref="A19:B19"/>
    <mergeCell ref="E146:F146"/>
    <mergeCell ref="H21:J21"/>
    <mergeCell ref="G114:J114"/>
    <mergeCell ref="E12:F12"/>
    <mergeCell ref="B138:C138"/>
    <mergeCell ref="E175:F175"/>
    <mergeCell ref="A4:J4"/>
    <mergeCell ref="B140:C140"/>
    <mergeCell ref="H16:J16"/>
    <mergeCell ref="I134:J134"/>
    <mergeCell ref="H27:J27"/>
    <mergeCell ref="E170:F170"/>
    <mergeCell ref="D75:E75"/>
    <mergeCell ref="F75:G75"/>
    <mergeCell ref="E90:F90"/>
    <mergeCell ref="B110:D110"/>
    <mergeCell ref="G112:J112"/>
    <mergeCell ref="E154:F154"/>
    <mergeCell ref="H67:J67"/>
    <mergeCell ref="G154:H154"/>
    <mergeCell ref="B158:C158"/>
    <mergeCell ref="G129:H129"/>
    <mergeCell ref="E172:F172"/>
    <mergeCell ref="B160:C160"/>
    <mergeCell ref="G131:H131"/>
    <mergeCell ref="E58:F58"/>
    <mergeCell ref="B153:C153"/>
    <mergeCell ref="I174:J174"/>
    <mergeCell ref="H98:J98"/>
    <mergeCell ref="B72:C72"/>
    <mergeCell ref="I124:J124"/>
    <mergeCell ref="E83:F83"/>
    <mergeCell ref="A94:B94"/>
    <mergeCell ref="D65:E65"/>
    <mergeCell ref="G126:H126"/>
    <mergeCell ref="I126:J126"/>
    <mergeCell ref="E20:F20"/>
    <mergeCell ref="E177:F177"/>
    <mergeCell ref="E13:F13"/>
    <mergeCell ref="H87:J87"/>
    <mergeCell ref="E84:F84"/>
    <mergeCell ref="B148:C148"/>
    <mergeCell ref="E149:F149"/>
    <mergeCell ref="E176:F176"/>
    <mergeCell ref="E114:F114"/>
    <mergeCell ref="H18:J18"/>
    <mergeCell ref="E15:F15"/>
    <mergeCell ref="E86:F86"/>
    <mergeCell ref="H116:J116"/>
    <mergeCell ref="G142:H142"/>
    <mergeCell ref="B146:C146"/>
    <mergeCell ref="I142:J142"/>
    <mergeCell ref="E178:F178"/>
    <mergeCell ref="H82:J82"/>
    <mergeCell ref="B143:C143"/>
    <mergeCell ref="E144:F144"/>
    <mergeCell ref="G144:H144"/>
    <mergeCell ref="A38:B38"/>
    <mergeCell ref="E81:F81"/>
    <mergeCell ref="I137:J137"/>
    <mergeCell ref="G173:H173"/>
    <mergeCell ref="F78:G78"/>
    <mergeCell ref="I164:J164"/>
    <mergeCell ref="E106:F106"/>
    <mergeCell ref="I139:J139"/>
    <mergeCell ref="E33:F33"/>
    <mergeCell ref="F65:G65"/>
    <mergeCell ref="B159:C159"/>
    <mergeCell ref="G170:H170"/>
    <mergeCell ref="E35:F35"/>
    <mergeCell ref="B167:C167"/>
    <mergeCell ref="B161:C161"/>
    <mergeCell ref="H6:I6"/>
    <mergeCell ref="B136:C136"/>
    <mergeCell ref="H37:J37"/>
    <mergeCell ref="E28:F28"/>
    <mergeCell ref="B175:C175"/>
    <mergeCell ref="B104:D104"/>
    <mergeCell ref="I130:J130"/>
    <mergeCell ref="A9:C9"/>
    <mergeCell ref="B106:D106"/>
    <mergeCell ref="I132:J132"/>
    <mergeCell ref="D8:E8"/>
    <mergeCell ref="G150:H150"/>
    <mergeCell ref="A26:J26"/>
    <mergeCell ref="H74:J74"/>
    <mergeCell ref="H68:J68"/>
    <mergeCell ref="E21:F21"/>
    <mergeCell ref="F68:G68"/>
    <mergeCell ref="E129:F129"/>
    <mergeCell ref="E23:F23"/>
    <mergeCell ref="B155:C155"/>
    <mergeCell ref="G145:H145"/>
    <mergeCell ref="B149:C149"/>
    <mergeCell ref="I145:J145"/>
    <mergeCell ref="H69:J69"/>
    <mergeCell ref="E131:F131"/>
    <mergeCell ref="G160:H160"/>
    <mergeCell ref="E87:F87"/>
    <mergeCell ref="G147:H147"/>
    <mergeCell ref="B151:C151"/>
    <mergeCell ref="G174:H174"/>
    <mergeCell ref="I147:J147"/>
    <mergeCell ref="I122:J122"/>
    <mergeCell ref="E34:F34"/>
    <mergeCell ref="E105:F105"/>
    <mergeCell ref="E99:F99"/>
    <mergeCell ref="E36:F36"/>
    <mergeCell ref="E163:F163"/>
    <mergeCell ref="G163:H163"/>
    <mergeCell ref="A22:B22"/>
    <mergeCell ref="H38:J38"/>
    <mergeCell ref="E113:F113"/>
    <mergeCell ref="B177:C177"/>
    <mergeCell ref="E100:F100"/>
    <mergeCell ref="B164:C164"/>
    <mergeCell ref="E136:F136"/>
    <mergeCell ref="A3:J3"/>
    <mergeCell ref="G165:H165"/>
    <mergeCell ref="E115:F115"/>
    <mergeCell ref="B105:D105"/>
    <mergeCell ref="G108:J108"/>
    <mergeCell ref="G158:H158"/>
    <mergeCell ref="I158:J158"/>
    <mergeCell ref="B107:D107"/>
    <mergeCell ref="I133:J133"/>
    <mergeCell ref="G169:H169"/>
    <mergeCell ref="B66:C66"/>
    <mergeCell ref="E127:F127"/>
    <mergeCell ref="I160:J160"/>
    <mergeCell ref="F74:G74"/>
    <mergeCell ref="I135:J135"/>
    <mergeCell ref="B130:C130"/>
    <mergeCell ref="D76:E76"/>
    <mergeCell ref="F76:G76"/>
    <mergeCell ref="B157:C157"/>
    <mergeCell ref="B132:C132"/>
    <mergeCell ref="H77:J77"/>
    <mergeCell ref="B119:C119"/>
    <mergeCell ref="H33:J33"/>
    <mergeCell ref="I24:J24"/>
    <mergeCell ref="H35:J35"/>
    <mergeCell ref="A116:B116"/>
    <mergeCell ref="E124:F124"/>
    <mergeCell ref="I148:J148"/>
    <mergeCell ref="E120:F120"/>
    <mergeCell ref="A7:C7"/>
    <mergeCell ref="G104:J104"/>
    <mergeCell ref="H59:J59"/>
    <mergeCell ref="E121:F121"/>
    <mergeCell ref="H89:J89"/>
    <mergeCell ref="B125:C125"/>
    <mergeCell ref="E151:F151"/>
    <mergeCell ref="H61:J61"/>
    <mergeCell ref="H88:J88"/>
    <mergeCell ref="B122:C122"/>
    <mergeCell ref="E123:F123"/>
    <mergeCell ref="E150:F150"/>
    <mergeCell ref="E39:F39"/>
    <mergeCell ref="G179:H179"/>
    <mergeCell ref="F7:G7"/>
    <mergeCell ref="B176:C176"/>
    <mergeCell ref="I179:J179"/>
    <mergeCell ref="G166:H166"/>
    <mergeCell ref="H90:J90"/>
    <mergeCell ref="G141:H141"/>
    <mergeCell ref="B120:C120"/>
    <mergeCell ref="I141:J141"/>
    <mergeCell ref="E103:F103"/>
    <mergeCell ref="E152:F152"/>
    <mergeCell ref="H65:J65"/>
    <mergeCell ref="I159:J159"/>
    <mergeCell ref="A182:J182"/>
    <mergeCell ref="F8:G8"/>
    <mergeCell ref="A12:B12"/>
    <mergeCell ref="I143:J143"/>
    <mergeCell ref="C12:D12"/>
    <mergeCell ref="G167:H167"/>
    <mergeCell ref="B171:C171"/>
    <mergeCell ref="I161:J161"/>
    <mergeCell ref="F77:G77"/>
    <mergeCell ref="E32:F32"/>
    <mergeCell ref="B133:C133"/>
    <mergeCell ref="E134:F134"/>
    <mergeCell ref="G134:H134"/>
    <mergeCell ref="H34:J34"/>
    <mergeCell ref="B173:C173"/>
    <mergeCell ref="E96:F96"/>
    <mergeCell ref="B75:C75"/>
    <mergeCell ref="B135:C135"/>
    <mergeCell ref="H36:J36"/>
    <mergeCell ref="H85:J85"/>
    <mergeCell ref="E98:F98"/>
    <mergeCell ref="I154:J154"/>
    <mergeCell ref="E165:F165"/>
    <mergeCell ref="B103:D103"/>
    <mergeCell ref="E140:F140"/>
    <mergeCell ref="G106:J106"/>
    <mergeCell ref="B70:C70"/>
    <mergeCell ref="G156:H156"/>
    <mergeCell ref="I156:J156"/>
    <mergeCell ref="A8:C8"/>
    <mergeCell ref="G105:J105"/>
    <mergeCell ref="H96:J96"/>
    <mergeCell ref="E60:F60"/>
    <mergeCell ref="G107:J107"/>
    <mergeCell ref="H62:J62"/>
    <mergeCell ref="G124:H124"/>
    <mergeCell ref="B128:C128"/>
    <mergeCell ref="I167:J167"/>
    <mergeCell ref="H91:J91"/>
    <mergeCell ref="B65:C65"/>
    <mergeCell ref="G55:H55"/>
    <mergeCell ref="A20:B20"/>
    <mergeCell ref="I169:J169"/>
    <mergeCell ref="H93:J93"/>
    <mergeCell ref="B123:C123"/>
    <mergeCell ref="G119:H119"/>
    <mergeCell ref="A13:B13"/>
    <mergeCell ref="I119:J119"/>
    <mergeCell ref="C13:D13"/>
  </mergeCells>
  <conditionalFormatting sqref="I120:J179">
    <cfRule type="expression" priority="1" dxfId="0" stopIfTrue="1">
      <formula>$I120="Pago"</formula>
    </cfRule>
    <cfRule type="expression" priority="2" dxfId="3" stopIfTrue="1">
      <formula>$I120="Comprado (a pagar)"</formula>
    </cfRule>
    <cfRule type="expression" priority="3" dxfId="1" stopIfTrue="1">
      <formula>$I120="A comprar"</formula>
    </cfRule>
  </conditionalFormatting>
  <conditionalFormatting sqref="A120:J179">
    <cfRule type="expression" priority="4" dxfId="6">
      <formula>AND($E120&lt;&gt;"",$B120="")</formula>
    </cfRule>
  </conditionalFormatting>
  <conditionalFormatting sqref="E16:F22">
    <cfRule type="expression" priority="5" dxfId="4">
      <formula>AND($E16&lt;&gt;"",$E16&gt;0)</formula>
    </cfRule>
    <cfRule type="expression" priority="6" dxfId="5">
      <formula>AND($E16&lt;&gt;"",$E16&lt;0)</formula>
    </cfRule>
  </conditionalFormatting>
  <conditionalFormatting sqref="E82:F100">
    <cfRule type="expression" priority="7" dxfId="4">
      <formula>AND($E82&lt;&gt;"",$E82&gt;0)</formula>
    </cfRule>
    <cfRule type="expression" priority="8" dxfId="5">
      <formula>AND($E82&lt;&gt;"",$E82&lt;0)</formula>
    </cfRule>
  </conditionalFormatting>
  <conditionalFormatting sqref="J9">
    <cfRule type="expression" priority="9" dxfId="0" stopIfTrue="1">
      <formula>$J$9="No prazo"</formula>
    </cfRule>
    <cfRule type="expression" priority="10" dxfId="2">
      <formula>$J$9="Atrasado"</formula>
    </cfRule>
  </conditionalFormatting>
  <conditionalFormatting sqref="A13:J13">
    <cfRule type="expression" priority="11" dxfId="6">
      <formula>AND($G$13&lt;&gt;"",$G$13&lt;0.25)</formula>
    </cfRule>
  </conditionalFormatting>
  <dataValidations count="9">
    <dataValidation sqref="D43:D54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"Deivson,Samuel,Cezar,Jackson,Jomar,Joelson,Jonathan Godoy,Terceiro / avulso"</formula1>
    </dataValidation>
    <dataValidation sqref="G43:G54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"Deivson,Samuel,Cezar,Jackson,Jomar,Joelson,Jonathan Godoy,Terceiro / avulso"</formula1>
    </dataValidation>
    <dataValidation sqref="A66:A77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"Deivson,Samuel,Cezar,Jackson,Jomar,Joelson,Jonathan Godoy,Terceiro / avulso"</formula1>
    </dataValidation>
    <dataValidation sqref="B104:B115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"Erro de projeto,Erro de medição,Erro de produção,Erro de montagem,Falha de material,Dano no transporte,Mudança pedida pelo cliente,Falha de fornecedor,Outro"</formula1>
    </dataValidation>
    <dataValidation sqref="B120:B179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"MDF e MDP,Fita de borda,Ferragens,Vidros e espelhos,Esquadrias,Lâmina natural,Consumíveis,Acabamento,Serralheria,Vidraceiro,Outro terceirizado,Uber e aplicativo,Carreto e entrega,Deslocamento da equipe,Frete de material,Estacionamento e pedágio"</formula1>
    </dataValidation>
    <dataValidation sqref="G120:G179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"PIX,Boleto,Cartão de crédito,Cartão parcelado,Dinheiro,Transferência,Faturado 30 dias,A combinar"</formula1>
    </dataValidation>
    <dataValidation sqref="I120:I179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"A comprar,Comprado (a pagar),Pago"</formula1>
    </dataValidation>
    <dataValidation sqref="D7:E7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"Jonathan,Vitor,Indicação,Arquiteto parceiro,Outro"</formula1>
    </dataValidation>
    <dataValidation sqref="F9:G9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"Deivson,Samuel,Cezar,Jackson,Jomar,Joelson,Jonathan Godoy,Terceiro / avulso"</formula1>
    </dataValidation>
  </dataValidations>
  <pageMargins left="0.4" right="0.3" top="0.4" bottom="0.3" header="0.5" footer="0.5"/>
  <pageSetup orientation="landscape" paperSize="9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J182"/>
  <sheetViews>
    <sheetView showGridLines="0" workbookViewId="0">
      <pane ySplit="25" topLeftCell="A26" activePane="bottomLeft" state="frozen"/>
      <selection pane="bottomLeft" activeCell="A1" sqref="A1"/>
    </sheetView>
  </sheetViews>
  <sheetFormatPr baseColWidth="8" defaultRowHeight="15"/>
  <cols>
    <col width="30" customWidth="1" min="1" max="1"/>
    <col width="10" customWidth="1" min="2" max="2"/>
    <col width="14" customWidth="1" min="3" max="3"/>
    <col width="18" customWidth="1" min="4" max="4"/>
    <col width="8" customWidth="1" min="5" max="5"/>
    <col width="13" customWidth="1" min="6" max="6"/>
    <col width="18" customWidth="1" min="7" max="7"/>
    <col width="8" customWidth="1" min="8" max="8"/>
    <col width="13" customWidth="1" min="9" max="9"/>
    <col width="14" customWidth="1" min="10" max="10"/>
  </cols>
  <sheetData>
    <row r="1" ht="26" customHeight="1">
      <c r="A1" s="1" t="inlineStr">
        <is>
          <t>VALVIC MARCENARIA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</row>
    <row r="2" ht="15" customHeight="1">
      <c r="A2" s="3" t="inlineStr">
        <is>
          <t>Vargas Decor Ltda   ·   CNPJ 17.269.304/0001-51   ·   Belo Horizonte / MG</t>
        </is>
      </c>
      <c r="B2" s="2" t="n"/>
      <c r="C2" s="2" t="n"/>
      <c r="D2" s="2" t="n"/>
      <c r="E2" s="2" t="n"/>
      <c r="F2" s="2" t="n"/>
      <c r="G2" s="2" t="n"/>
      <c r="H2" s="2" t="n"/>
      <c r="I2" s="2" t="n"/>
      <c r="J2" s="2" t="n"/>
    </row>
    <row r="3" ht="28" customHeight="1">
      <c r="A3" s="4" t="inlineStr">
        <is>
          <t>FICHA DE CUSTO DO PROJETO</t>
        </is>
      </c>
      <c r="B3" s="5" t="n"/>
      <c r="C3" s="5" t="n"/>
      <c r="D3" s="5" t="n"/>
      <c r="E3" s="5" t="n"/>
      <c r="F3" s="5" t="n"/>
      <c r="G3" s="5" t="n"/>
      <c r="H3" s="5" t="n"/>
      <c r="I3" s="5" t="n"/>
      <c r="J3" s="5" t="n"/>
    </row>
    <row r="4" ht="17" customHeight="1">
      <c r="A4" s="6" t="inlineStr">
        <is>
          <t>Fundo creme = você preenche · fundo cinza = calculado · duplique esta aba a cada projeto e registre o nome dela no Painel Geral</t>
        </is>
      </c>
      <c r="B4" s="7" t="n"/>
      <c r="C4" s="7" t="n"/>
      <c r="D4" s="7" t="n"/>
      <c r="E4" s="7" t="n"/>
      <c r="F4" s="7" t="n"/>
      <c r="G4" s="7" t="n"/>
      <c r="H4" s="7" t="n"/>
      <c r="I4" s="7" t="n"/>
      <c r="J4" s="7" t="n"/>
    </row>
    <row r="5" ht="6" customHeight="1"/>
    <row r="6" ht="13" customHeight="1">
      <c r="A6" s="44" t="inlineStr">
        <is>
          <t>CLIENTE</t>
        </is>
      </c>
      <c r="B6" s="13" t="n"/>
      <c r="C6" s="13" t="n"/>
      <c r="D6" s="44" t="inlineStr">
        <is>
          <t>Nº DO PROJETO</t>
        </is>
      </c>
      <c r="E6" s="13" t="n"/>
      <c r="F6" s="44" t="inlineStr">
        <is>
          <t>DATA DE ENTRADA</t>
        </is>
      </c>
      <c r="G6" s="13" t="n"/>
      <c r="H6" s="44" t="inlineStr">
        <is>
          <t>ENTREGA PREVISTA</t>
        </is>
      </c>
      <c r="I6" s="13" t="n"/>
      <c r="J6" s="44" t="inlineStr">
        <is>
          <t>ENTREGA REAL</t>
        </is>
      </c>
    </row>
    <row r="7" ht="21" customHeight="1">
      <c r="A7" s="45" t="inlineStr">
        <is>
          <t>Jonathan Vargas</t>
        </is>
      </c>
      <c r="B7" s="46" t="n"/>
      <c r="C7" s="46" t="n"/>
      <c r="D7" s="45" t="inlineStr">
        <is>
          <t>P-2026-041</t>
        </is>
      </c>
      <c r="E7" s="46" t="n"/>
      <c r="F7" s="47" t="n">
        <v>46154</v>
      </c>
      <c r="G7" s="46" t="n"/>
      <c r="H7" s="47" t="n">
        <v>46233</v>
      </c>
      <c r="I7" s="46" t="n"/>
      <c r="J7" s="47" t="n">
        <v>46240</v>
      </c>
    </row>
    <row r="8" ht="13" customHeight="1">
      <c r="A8" s="44" t="inlineStr">
        <is>
          <t>PROJETO</t>
        </is>
      </c>
      <c r="B8" s="13" t="n"/>
      <c r="C8" s="13" t="n"/>
      <c r="D8" s="44" t="inlineStr">
        <is>
          <t>VENDEDOR</t>
        </is>
      </c>
      <c r="E8" s="13" t="n"/>
      <c r="F8" s="44" t="inlineStr">
        <is>
          <t>COORDENADOR</t>
        </is>
      </c>
      <c r="G8" s="13" t="n"/>
      <c r="H8" s="44" t="inlineStr">
        <is>
          <t>DIAS DE ATRASO</t>
        </is>
      </c>
      <c r="I8" s="13" t="n"/>
      <c r="J8" s="44" t="inlineStr">
        <is>
          <t>SITUAÇÃO DA ENTREGA</t>
        </is>
      </c>
    </row>
    <row r="9" ht="21" customHeight="1">
      <c r="A9" s="45" t="inlineStr">
        <is>
          <t>Apartamento completo — 4 ambientes</t>
        </is>
      </c>
      <c r="B9" s="46" t="n"/>
      <c r="C9" s="46" t="n"/>
      <c r="D9" s="45" t="inlineStr">
        <is>
          <t>Jonathan</t>
        </is>
      </c>
      <c r="E9" s="46" t="n"/>
      <c r="F9" s="48" t="inlineStr">
        <is>
          <t>Deivson</t>
        </is>
      </c>
      <c r="G9" s="46" t="n"/>
      <c r="H9" s="49">
        <f>IF(OR($H$7="",$J$7=""),"",$J$7-$H$7)</f>
        <v/>
      </c>
      <c r="I9" s="38" t="n"/>
      <c r="J9" s="50">
        <f>IF($H$7="","",IF($J$7="",IF(TODAY()&gt;$H$7,"Atrasado","Em produção"),IF($H$9&lt;=0,"No prazo","Atrasado")))</f>
        <v/>
      </c>
    </row>
    <row r="10" ht="8" customHeight="1"/>
    <row r="11" ht="20" customHeight="1">
      <c r="A11" s="8" t="inlineStr">
        <is>
          <t xml:space="preserve">  RESULTADO DO PROJETO          tudo aqui se atualiza conforme você lança os custos mais abaixo</t>
        </is>
      </c>
      <c r="B11" s="9" t="n"/>
      <c r="C11" s="9" t="n"/>
      <c r="D11" s="9" t="n"/>
      <c r="E11" s="9" t="n"/>
      <c r="F11" s="9" t="n"/>
      <c r="G11" s="9" t="n"/>
      <c r="H11" s="9" t="n"/>
      <c r="I11" s="9" t="n"/>
      <c r="J11" s="9" t="n"/>
    </row>
    <row r="12" ht="13" customHeight="1">
      <c r="A12" s="44" t="inlineStr">
        <is>
          <t>VALOR DE VENDA</t>
        </is>
      </c>
      <c r="B12" s="13" t="n"/>
      <c r="C12" s="44" t="inlineStr">
        <is>
          <t>CUSTO TOTAL</t>
        </is>
      </c>
      <c r="D12" s="13" t="n"/>
      <c r="E12" s="44" t="inlineStr">
        <is>
          <t>MARGEM DE CONTRIBUIÇÃO</t>
        </is>
      </c>
      <c r="F12" s="13" t="n"/>
      <c r="G12" s="44" t="inlineStr">
        <is>
          <t>MC %</t>
        </is>
      </c>
      <c r="H12" s="44" t="inlineStr">
        <is>
          <t>MC % ORÇADA</t>
        </is>
      </c>
      <c r="I12" s="44" t="inlineStr">
        <is>
          <t>DESVIO DE CUSTO</t>
        </is>
      </c>
      <c r="J12" s="13" t="n"/>
    </row>
    <row r="13" ht="30" customHeight="1">
      <c r="A13" s="51">
        <f>IF($D$28="",$C$28,$D$28)</f>
        <v/>
      </c>
      <c r="B13" s="15" t="n"/>
      <c r="C13" s="51">
        <f>IF($D$22=0,"",$D$22)</f>
        <v/>
      </c>
      <c r="D13" s="15" t="n"/>
      <c r="E13" s="51">
        <f>IF($A$13="","",$D$23)</f>
        <v/>
      </c>
      <c r="F13" s="15" t="n"/>
      <c r="G13" s="52">
        <f>IF(OR($A$13="",$A$13=0),"",$D$23/$A$13)</f>
        <v/>
      </c>
      <c r="H13" s="52">
        <f>IF(OR($C$28="",$C$28=0),"",$C$23/$C$28)</f>
        <v/>
      </c>
      <c r="I13" s="51">
        <f>IF(OR($C$22=0,$D$22=0),"",ROUND($D$22-$C$22,2))</f>
        <v/>
      </c>
      <c r="J13" s="15" t="n"/>
    </row>
    <row r="14" ht="8" customHeight="1"/>
    <row r="15" ht="26" customHeight="1">
      <c r="A15" s="19" t="inlineStr">
        <is>
          <t>Resumo por categoria</t>
        </is>
      </c>
      <c r="B15" s="35" t="n"/>
      <c r="C15" s="19" t="inlineStr">
        <is>
          <t>Orçado (R$)</t>
        </is>
      </c>
      <c r="D15" s="19" t="inlineStr">
        <is>
          <t>Realizado (R$)</t>
        </is>
      </c>
      <c r="E15" s="19" t="inlineStr">
        <is>
          <t>Desvio (R$)</t>
        </is>
      </c>
      <c r="F15" s="35" t="n"/>
      <c r="G15" s="19" t="inlineStr">
        <is>
          <t>Desvio (%)</t>
        </is>
      </c>
      <c r="H15" s="19" t="inlineStr">
        <is>
          <t>% da venda realizada</t>
        </is>
      </c>
      <c r="I15" s="35" t="n"/>
      <c r="J15" s="35" t="n"/>
    </row>
    <row r="16" ht="18" customHeight="1">
      <c r="A16" s="36" t="inlineStr">
        <is>
          <t>Custos de venda</t>
        </is>
      </c>
      <c r="B16" s="37" t="n"/>
      <c r="C16" s="53">
        <f>IF(C38="","",C38)</f>
        <v/>
      </c>
      <c r="D16" s="53">
        <f>IF(D38="","",D38)</f>
        <v/>
      </c>
      <c r="E16" s="53">
        <f>IF(OR($C16="",$D16=""),"",ROUND($D16-$C16,2))</f>
        <v/>
      </c>
      <c r="F16" s="38" t="n"/>
      <c r="G16" s="54">
        <f>IF(OR($C16="",$C16=0,$D16=""),"",$D16/$C16-1)</f>
        <v/>
      </c>
      <c r="H16" s="55">
        <f>IF(OR($D16="",$A$13="",$A$13=0),"",$D16/$A$13)</f>
        <v/>
      </c>
      <c r="I16" s="38" t="n"/>
      <c r="J16" s="38" t="n"/>
    </row>
    <row r="17" ht="18" customHeight="1">
      <c r="A17" s="36" t="inlineStr">
        <is>
          <t>Comissões operacionais</t>
        </is>
      </c>
      <c r="B17" s="37" t="n"/>
      <c r="C17" s="53">
        <f>IF(C62="","",C62)</f>
        <v/>
      </c>
      <c r="D17" s="53">
        <f>IF(D62="","",D62)</f>
        <v/>
      </c>
      <c r="E17" s="53">
        <f>IF(OR($C17="",$D17=""),"",ROUND($D17-$C17,2))</f>
        <v/>
      </c>
      <c r="F17" s="38" t="n"/>
      <c r="G17" s="54">
        <f>IF(OR($C17="",$C17=0,$D17=""),"",$D17/$C17-1)</f>
        <v/>
      </c>
      <c r="H17" s="55">
        <f>IF(OR($D17="",$A$13="",$A$13=0),"",$D17/$A$13)</f>
        <v/>
      </c>
      <c r="I17" s="38" t="n"/>
      <c r="J17" s="38" t="n"/>
    </row>
    <row r="18" ht="18" customHeight="1">
      <c r="A18" s="36" t="inlineStr">
        <is>
          <t>Material</t>
        </is>
      </c>
      <c r="B18" s="37" t="n"/>
      <c r="C18" s="53">
        <f>IF(C89="","",C89)</f>
        <v/>
      </c>
      <c r="D18" s="53">
        <f>IF(D89="","",D89)</f>
        <v/>
      </c>
      <c r="E18" s="53">
        <f>IF(OR($C18="",$D18=""),"",ROUND($D18-$C18,2))</f>
        <v/>
      </c>
      <c r="F18" s="38" t="n"/>
      <c r="G18" s="54">
        <f>IF(OR($C18="",$C18=0,$D18=""),"",$D18/$C18-1)</f>
        <v/>
      </c>
      <c r="H18" s="55">
        <f>IF(OR($D18="",$A$13="",$A$13=0),"",$D18/$A$13)</f>
        <v/>
      </c>
      <c r="I18" s="38" t="n"/>
      <c r="J18" s="38" t="n"/>
    </row>
    <row r="19" ht="18" customHeight="1">
      <c r="A19" s="36" t="inlineStr">
        <is>
          <t>Serviços terceirizados</t>
        </is>
      </c>
      <c r="B19" s="37" t="n"/>
      <c r="C19" s="53">
        <f>IF(C94="","",C94)</f>
        <v/>
      </c>
      <c r="D19" s="53">
        <f>IF(D94="","",D94)</f>
        <v/>
      </c>
      <c r="E19" s="53">
        <f>IF(OR($C19="",$D19=""),"",ROUND($D19-$C19,2))</f>
        <v/>
      </c>
      <c r="F19" s="38" t="n"/>
      <c r="G19" s="54">
        <f>IF(OR($C19="",$C19=0,$D19=""),"",$D19/$C19-1)</f>
        <v/>
      </c>
      <c r="H19" s="55">
        <f>IF(OR($D19="",$A$13="",$A$13=0),"",$D19/$A$13)</f>
        <v/>
      </c>
      <c r="I19" s="38" t="n"/>
      <c r="J19" s="38" t="n"/>
    </row>
    <row r="20" ht="18" customHeight="1">
      <c r="A20" s="36" t="inlineStr">
        <is>
          <t>Logística</t>
        </is>
      </c>
      <c r="B20" s="37" t="n"/>
      <c r="C20" s="53">
        <f>IF(C100="","",C100)</f>
        <v/>
      </c>
      <c r="D20" s="53">
        <f>IF(D100="","",D100)</f>
        <v/>
      </c>
      <c r="E20" s="53">
        <f>IF(OR($C20="",$D20=""),"",ROUND($D20-$C20,2))</f>
        <v/>
      </c>
      <c r="F20" s="38" t="n"/>
      <c r="G20" s="54">
        <f>IF(OR($C20="",$C20=0,$D20=""),"",$D20/$C20-1)</f>
        <v/>
      </c>
      <c r="H20" s="55">
        <f>IF(OR($D20="",$A$13="",$A$13=0),"",$D20/$A$13)</f>
        <v/>
      </c>
      <c r="I20" s="38" t="n"/>
      <c r="J20" s="38" t="n"/>
    </row>
    <row r="21" ht="18" customHeight="1">
      <c r="A21" s="36" t="inlineStr">
        <is>
          <t>Retrabalho</t>
        </is>
      </c>
      <c r="B21" s="37" t="n"/>
      <c r="C21" s="53">
        <f>IF(C116="","",C116)</f>
        <v/>
      </c>
      <c r="D21" s="53">
        <f>IF(D116="","",D116)</f>
        <v/>
      </c>
      <c r="E21" s="53">
        <f>IF(OR($C21="",$D21=""),"",ROUND($D21-$C21,2))</f>
        <v/>
      </c>
      <c r="F21" s="38" t="n"/>
      <c r="G21" s="54">
        <f>IF(OR($C21="",$C21=0,$D21=""),"",$D21/$C21-1)</f>
        <v/>
      </c>
      <c r="H21" s="55">
        <f>IF(OR($D21="",$A$13="",$A$13=0),"",$D21/$A$13)</f>
        <v/>
      </c>
      <c r="I21" s="38" t="n"/>
      <c r="J21" s="38" t="n"/>
    </row>
    <row r="22" ht="22" customHeight="1">
      <c r="A22" s="31" t="inlineStr">
        <is>
          <t>(=) CUSTO TOTAL DO PROJETO</t>
        </is>
      </c>
      <c r="B22" s="32" t="n"/>
      <c r="C22" s="56">
        <f>ROUND(SUM(C16:C21),2)</f>
        <v/>
      </c>
      <c r="D22" s="56">
        <f>ROUND(SUM(D16:D21),2)</f>
        <v/>
      </c>
      <c r="E22" s="57">
        <f>ROUND($D$22-$C$22,2)</f>
        <v/>
      </c>
      <c r="F22" s="32" t="n"/>
      <c r="G22" s="58">
        <f>IF(OR($C$22="",$C$22=0),"",$D$22/$C$22-1)</f>
        <v/>
      </c>
      <c r="H22" s="59">
        <f>IF(OR($A$13="",$A$13=0),"",$D$22/$A$13)</f>
        <v/>
      </c>
      <c r="I22" s="32" t="n"/>
      <c r="J22" s="32" t="n"/>
    </row>
    <row r="23" ht="28" customHeight="1">
      <c r="A23" s="60" t="inlineStr">
        <is>
          <t>(=) MARGEM DE CONTRIBUIÇÃO</t>
        </is>
      </c>
      <c r="B23" s="61" t="n"/>
      <c r="C23" s="62">
        <f>ROUND($C$28-$C$22,2)</f>
        <v/>
      </c>
      <c r="D23" s="62">
        <f>ROUND($A$13-$D$22,2)</f>
        <v/>
      </c>
      <c r="E23" s="63">
        <f>ROUND($D$23-$C$23,2)</f>
        <v/>
      </c>
      <c r="F23" s="61" t="n"/>
      <c r="G23" s="64">
        <f>IF(OR($C$28="",$C$28=0),"",$C$23/$C$28)</f>
        <v/>
      </c>
      <c r="H23" s="65">
        <f>IF(OR($A$13="",$A$13=0),"",$D$23/$A$13)</f>
        <v/>
      </c>
      <c r="I23" s="61" t="n"/>
      <c r="J23" s="61" t="n"/>
    </row>
    <row r="24" ht="22" customHeight="1">
      <c r="A24" s="66">
        <f>IF($A$13="","",IF(ROUND(SUMIF($I$120:$I$179,"A comprar",$E$120:$E$179),2)+ROUND(SUMIF($I$120:$I$179,"Comprado (a pagar)",$E$120:$E$179),2)=0,"   Nenhuma compra pendente lançada — o custo realizado já é o custo final.","   Já comprado e ainda a pagar: "&amp;TEXT(ROUND(SUMIF($I$120:$I$179,"Comprado (a pagar)",$E$120:$E$179),2),"R$ #,##0")&amp;"   ·   custo projetado: "&amp;TEXT($D$22+ROUND(SUMIF($I$120:$I$179,"A comprar",$E$120:$E$179),2),"R$ #,##0")&amp;"   ·   MC projetada: "&amp;TEXT(($A$13-$D$22-ROUND(SUMIF($I$120:$I$179,"A comprar",$E$120:$E$179),2))/$A$13,"0.0%")))</f>
        <v/>
      </c>
      <c r="B24" s="15" t="n"/>
      <c r="C24" s="15" t="n"/>
      <c r="D24" s="15" t="n"/>
      <c r="E24" s="15" t="n"/>
      <c r="F24" s="15" t="n"/>
      <c r="G24" s="15" t="n"/>
      <c r="H24" s="15" t="n"/>
      <c r="I24" s="67">
        <f>IF($A$13="","",ROUND(SUMIF($I$120:$I$179,"A comprar",$E$120:$E$179),2))</f>
        <v/>
      </c>
      <c r="J24" s="15" t="n"/>
    </row>
    <row r="25" ht="8" customHeight="1"/>
    <row r="26" ht="20" customHeight="1">
      <c r="A26" s="8" t="inlineStr">
        <is>
          <t xml:space="preserve">  1 · VALOR DE VENDA</t>
        </is>
      </c>
      <c r="B26" s="9" t="n"/>
      <c r="C26" s="9" t="n"/>
      <c r="D26" s="9" t="n"/>
      <c r="E26" s="9" t="n"/>
      <c r="F26" s="9" t="n"/>
      <c r="G26" s="9" t="n"/>
      <c r="H26" s="9" t="n"/>
      <c r="I26" s="9" t="n"/>
      <c r="J26" s="9" t="n"/>
    </row>
    <row r="27" ht="26" customHeight="1">
      <c r="A27" s="19" t="inlineStr">
        <is>
          <t>Item</t>
        </is>
      </c>
      <c r="B27" s="19" t="inlineStr">
        <is>
          <t>%</t>
        </is>
      </c>
      <c r="C27" s="19" t="inlineStr">
        <is>
          <t>Orçado (R$)</t>
        </is>
      </c>
      <c r="D27" s="19" t="inlineStr">
        <is>
          <t>Realizado (R$)</t>
        </is>
      </c>
      <c r="E27" s="19" t="inlineStr">
        <is>
          <t>Desvio (R$)</t>
        </is>
      </c>
      <c r="F27" s="35" t="n"/>
      <c r="G27" s="19" t="inlineStr">
        <is>
          <t>% da venda</t>
        </is>
      </c>
      <c r="H27" s="19" t="inlineStr">
        <is>
          <t>Observação</t>
        </is>
      </c>
      <c r="I27" s="35" t="n"/>
      <c r="J27" s="35" t="n"/>
    </row>
    <row r="28" ht="17" customHeight="1">
      <c r="A28" s="36" t="inlineStr">
        <is>
          <t>Valor de venda do projeto</t>
        </is>
      </c>
      <c r="B28" s="37" t="n"/>
      <c r="C28" s="68" t="n">
        <v>90000</v>
      </c>
      <c r="D28" s="68" t="n">
        <v>90000</v>
      </c>
      <c r="E28" s="53">
        <f>IF(OR($C28="",$D28=""),"",ROUND($D28-$C28,2))</f>
        <v/>
      </c>
      <c r="F28" s="38" t="n"/>
      <c r="G28" s="69" t="n"/>
      <c r="H28" s="70" t="inlineStr">
        <is>
          <t>Orçado = valor da proposta · Realizado = valor fechado</t>
        </is>
      </c>
      <c r="I28" s="46" t="n"/>
      <c r="J28" s="46" t="n"/>
    </row>
    <row r="29" ht="8" customHeight="1"/>
    <row r="30" ht="20" customHeight="1">
      <c r="A30" s="8" t="inlineStr">
        <is>
          <t xml:space="preserve">  2 · CUSTOS DE VENDA          tudo que sai por causa da venda · define a RECEITA LÍQUIDA</t>
        </is>
      </c>
      <c r="B30" s="9" t="n"/>
      <c r="C30" s="9" t="n"/>
      <c r="D30" s="9" t="n"/>
      <c r="E30" s="9" t="n"/>
      <c r="F30" s="9" t="n"/>
      <c r="G30" s="9" t="n"/>
      <c r="H30" s="9" t="n"/>
      <c r="I30" s="9" t="n"/>
      <c r="J30" s="9" t="n"/>
    </row>
    <row r="31" ht="26" customHeight="1">
      <c r="A31" s="19" t="inlineStr">
        <is>
          <t>Item</t>
        </is>
      </c>
      <c r="B31" s="19" t="inlineStr">
        <is>
          <t>%</t>
        </is>
      </c>
      <c r="C31" s="19" t="inlineStr">
        <is>
          <t>Orçado (R$)</t>
        </is>
      </c>
      <c r="D31" s="19" t="inlineStr">
        <is>
          <t>Realizado (R$)</t>
        </is>
      </c>
      <c r="E31" s="19" t="inlineStr">
        <is>
          <t>Desvio (R$)</t>
        </is>
      </c>
      <c r="F31" s="35" t="n"/>
      <c r="G31" s="19" t="inlineStr">
        <is>
          <t>% da venda</t>
        </is>
      </c>
      <c r="H31" s="19" t="inlineStr">
        <is>
          <t>Observação</t>
        </is>
      </c>
      <c r="I31" s="35" t="n"/>
      <c r="J31" s="35" t="n"/>
    </row>
    <row r="32" ht="17" customHeight="1">
      <c r="A32" s="36" t="inlineStr">
        <is>
          <t>Impostos sobre a nota (Simples)</t>
        </is>
      </c>
      <c r="B32" s="71" t="n">
        <v>0.075</v>
      </c>
      <c r="C32" s="53">
        <f>IF($B32="","",ROUND($B32*$C$28,2))</f>
        <v/>
      </c>
      <c r="D32" s="53">
        <f>IF($B32="","",ROUND($B32*$A$13,2))</f>
        <v/>
      </c>
      <c r="E32" s="53">
        <f>IF(OR($C32="",$D32=""),"",ROUND($D32-$C32,2))</f>
        <v/>
      </c>
      <c r="F32" s="38" t="n"/>
      <c r="G32" s="69">
        <f>IF(OR($D32="",$A$13="",$A$13=0),"",$D32/$A$13)</f>
        <v/>
      </c>
      <c r="H32" s="70" t="inlineStr">
        <is>
          <t>% sobre o valor de venda</t>
        </is>
      </c>
      <c r="I32" s="46" t="n"/>
      <c r="J32" s="46" t="n"/>
    </row>
    <row r="33" ht="17" customHeight="1">
      <c r="A33" s="36" t="inlineStr">
        <is>
          <t>Taxa de máquina de cartão</t>
        </is>
      </c>
      <c r="B33" s="71" t="n">
        <v>0.02</v>
      </c>
      <c r="C33" s="53">
        <f>IF($B33="","",ROUND($B33*$C$28,2))</f>
        <v/>
      </c>
      <c r="D33" s="53">
        <f>IF($B33="","",ROUND($B33*$A$13,2))</f>
        <v/>
      </c>
      <c r="E33" s="53">
        <f>IF(OR($C33="",$D33=""),"",ROUND($D33-$C33,2))</f>
        <v/>
      </c>
      <c r="F33" s="38" t="n"/>
      <c r="G33" s="69">
        <f>IF(OR($D33="",$A$13="",$A$13=0),"",$D33/$A$13)</f>
        <v/>
      </c>
      <c r="H33" s="70" t="inlineStr">
        <is>
          <t>% sobre o valor de venda</t>
        </is>
      </c>
      <c r="I33" s="46" t="n"/>
      <c r="J33" s="46" t="n"/>
    </row>
    <row r="34" ht="17" customHeight="1">
      <c r="A34" s="36" t="inlineStr">
        <is>
          <t>Taxas de transação (PIX, boleto, TED)</t>
        </is>
      </c>
      <c r="B34" s="37" t="n"/>
      <c r="C34" s="68" t="n">
        <v>120</v>
      </c>
      <c r="D34" s="68" t="n">
        <v>148</v>
      </c>
      <c r="E34" s="53">
        <f>IF(OR($C34="",$D34=""),"",ROUND($D34-$C34,2))</f>
        <v/>
      </c>
      <c r="F34" s="38" t="n"/>
      <c r="G34" s="69">
        <f>IF(OR($D34="",$A$13="",$A$13=0),"",$D34/$A$13)</f>
        <v/>
      </c>
      <c r="H34" s="70" t="inlineStr">
        <is>
          <t>valor em reais</t>
        </is>
      </c>
      <c r="I34" s="46" t="n"/>
      <c r="J34" s="46" t="n"/>
    </row>
    <row r="35" ht="17" customHeight="1">
      <c r="A35" s="36" t="inlineStr">
        <is>
          <t>Comissão de venda (vendedor)</t>
        </is>
      </c>
      <c r="B35" s="71" t="n">
        <v>0.03</v>
      </c>
      <c r="C35" s="53">
        <f>IF($B35="","",ROUND($B35*$C$28,2))</f>
        <v/>
      </c>
      <c r="D35" s="53">
        <f>IF($B35="","",ROUND($B35*$A$13,2))</f>
        <v/>
      </c>
      <c r="E35" s="53">
        <f>IF(OR($C35="",$D35=""),"",ROUND($D35-$C35,2))</f>
        <v/>
      </c>
      <c r="F35" s="38" t="n"/>
      <c r="G35" s="69">
        <f>IF(OR($D35="",$A$13="",$A$13=0),"",$D35/$A$13)</f>
        <v/>
      </c>
      <c r="H35" s="70" t="inlineStr">
        <is>
          <t>% sobre o valor de venda</t>
        </is>
      </c>
      <c r="I35" s="46" t="n"/>
      <c r="J35" s="46" t="n"/>
    </row>
    <row r="36" ht="17" customHeight="1">
      <c r="A36" s="36" t="inlineStr">
        <is>
          <t>Projeto / anteprojeto (externo)</t>
        </is>
      </c>
      <c r="B36" s="37" t="n"/>
      <c r="C36" s="68" t="n">
        <v>1500</v>
      </c>
      <c r="D36" s="68" t="n">
        <v>1500</v>
      </c>
      <c r="E36" s="53">
        <f>IF(OR($C36="",$D36=""),"",ROUND($D36-$C36,2))</f>
        <v/>
      </c>
      <c r="F36" s="38" t="n"/>
      <c r="G36" s="69">
        <f>IF(OR($D36="",$A$13="",$A$13=0),"",$D36/$A$13)</f>
        <v/>
      </c>
      <c r="H36" s="70" t="inlineStr">
        <is>
          <t>projetista ou arquiteto contratado para o projeto</t>
        </is>
      </c>
      <c r="I36" s="46" t="n"/>
      <c r="J36" s="46" t="n"/>
    </row>
    <row r="37" ht="17" customHeight="1">
      <c r="A37" s="36" t="inlineStr">
        <is>
          <t>RT do parceiro</t>
        </is>
      </c>
      <c r="B37" s="71" t="n">
        <v>0.05</v>
      </c>
      <c r="C37" s="53">
        <f>IF($B37="","",ROUND($B37*($C$28-SUM($C$32:$C$34)),2))</f>
        <v/>
      </c>
      <c r="D37" s="53">
        <f>IF($B37="","",ROUND($B37*($A$13-SUM($D$32:$D$34)),2))</f>
        <v/>
      </c>
      <c r="E37" s="53">
        <f>IF(OR($C37="",$D37=""),"",ROUND($D37-$C37,2))</f>
        <v/>
      </c>
      <c r="F37" s="38" t="n"/>
      <c r="G37" s="69">
        <f>IF(OR($D37="",$A$13="",$A$13=0),"",$D37/$A$13)</f>
        <v/>
      </c>
      <c r="H37" s="70" t="inlineStr">
        <is>
          <t>% sobre o líquido: venda menos impostos, máquina e taxas</t>
        </is>
      </c>
      <c r="I37" s="46" t="n"/>
      <c r="J37" s="46" t="n"/>
    </row>
    <row r="38" ht="20" customHeight="1">
      <c r="A38" s="31" t="inlineStr">
        <is>
          <t>(=) SUBTOTAL DOS CUSTOS DE VENDA</t>
        </is>
      </c>
      <c r="B38" s="32" t="n"/>
      <c r="C38" s="57">
        <f>ROUND(SUM(C32:C37),2)</f>
        <v/>
      </c>
      <c r="D38" s="57">
        <f>ROUND(SUM(D32:D37),2)</f>
        <v/>
      </c>
      <c r="E38" s="57">
        <f>ROUND($D38-$C38,2)</f>
        <v/>
      </c>
      <c r="F38" s="32" t="n"/>
      <c r="G38" s="59">
        <f>IF(OR($A$13="",$A$13=0),"",$D38/$A$13)</f>
        <v/>
      </c>
      <c r="H38" s="32" t="n"/>
      <c r="I38" s="32" t="n"/>
      <c r="J38" s="32" t="n"/>
    </row>
    <row r="39" ht="24" customHeight="1">
      <c r="A39" s="72" t="inlineStr">
        <is>
          <t>(=) RECEITA LÍQUIDA</t>
        </is>
      </c>
      <c r="B39" s="61" t="n"/>
      <c r="C39" s="73">
        <f>ROUND($C$28-$C$38,2)</f>
        <v/>
      </c>
      <c r="D39" s="73">
        <f>ROUND($A$13-$D$38,2)</f>
        <v/>
      </c>
      <c r="E39" s="63">
        <f>ROUND($D$39-$C$39,2)</f>
        <v/>
      </c>
      <c r="F39" s="61" t="n"/>
      <c r="G39" s="74">
        <f>IF(OR($A$13="",$A$13=0),"",$D$39/$A$13)</f>
        <v/>
      </c>
      <c r="H39" s="75" t="inlineStr">
        <is>
          <t>É esta a base das comissões de coordenação, produção e montagem</t>
        </is>
      </c>
      <c r="I39" s="61" t="n"/>
      <c r="J39" s="61" t="n"/>
    </row>
    <row r="40" ht="8" customHeight="1"/>
    <row r="41" ht="20" customHeight="1">
      <c r="A41" s="8" t="inlineStr">
        <is>
          <t xml:space="preserve">  3 · AMBIENTES, PRODUÇÃO E MONTAGEM          cada ambiente com seu produtor e seu montador · a comissão incide sobre a receita líquida</t>
        </is>
      </c>
      <c r="B41" s="9" t="n"/>
      <c r="C41" s="9" t="n"/>
      <c r="D41" s="9" t="n"/>
      <c r="E41" s="9" t="n"/>
      <c r="F41" s="9" t="n"/>
      <c r="G41" s="9" t="n"/>
      <c r="H41" s="9" t="n"/>
      <c r="I41" s="9" t="n"/>
      <c r="J41" s="9" t="n"/>
    </row>
    <row r="42" ht="32" customHeight="1">
      <c r="A42" s="19" t="inlineStr">
        <is>
          <t>Ambiente</t>
        </is>
      </c>
      <c r="B42" s="19" t="inlineStr">
        <is>
          <t>% do total</t>
        </is>
      </c>
      <c r="C42" s="19" t="inlineStr">
        <is>
          <t>Valor do ambiente (R$)</t>
        </is>
      </c>
      <c r="D42" s="19" t="inlineStr">
        <is>
          <t>Produção — quem</t>
        </is>
      </c>
      <c r="E42" s="19" t="inlineStr">
        <is>
          <t>%</t>
        </is>
      </c>
      <c r="F42" s="19" t="inlineStr">
        <is>
          <t>Comissão produção (R$)</t>
        </is>
      </c>
      <c r="G42" s="19" t="inlineStr">
        <is>
          <t>Montagem — quem</t>
        </is>
      </c>
      <c r="H42" s="19" t="inlineStr">
        <is>
          <t>%</t>
        </is>
      </c>
      <c r="I42" s="19" t="inlineStr">
        <is>
          <t>Comissão montagem (R$)</t>
        </is>
      </c>
      <c r="J42" s="19" t="inlineStr">
        <is>
          <t>Total do ambiente</t>
        </is>
      </c>
    </row>
    <row r="43" ht="18" customHeight="1">
      <c r="A43" s="76" t="inlineStr">
        <is>
          <t>Cozinha</t>
        </is>
      </c>
      <c r="B43" s="69">
        <f>IF(OR($C43="",$A$13="",$A$13=0),"",$C43/$A$13)</f>
        <v/>
      </c>
      <c r="C43" s="77" t="n">
        <v>30000</v>
      </c>
      <c r="D43" s="76" t="inlineStr">
        <is>
          <t>Jackson</t>
        </is>
      </c>
      <c r="E43" s="71" t="n">
        <v>0.03</v>
      </c>
      <c r="F43" s="53">
        <f>IF(OR($B43="",$E43="",$D$39=""),"",ROUND($B43*$D$39*$E43,2))</f>
        <v/>
      </c>
      <c r="G43" s="76" t="inlineStr">
        <is>
          <t>Samuel</t>
        </is>
      </c>
      <c r="H43" s="71" t="n">
        <v>0.02</v>
      </c>
      <c r="I43" s="53">
        <f>IF(OR($B43="",$H43="",$D$39=""),"",ROUND($B43*$D$39*$H43,2))</f>
        <v/>
      </c>
      <c r="J43" s="78">
        <f>IF(AND($F43="",$I43=""),"",ROUND(IF($F43="",0,$F43)+IF($I43="",0,$I43),2))</f>
        <v/>
      </c>
    </row>
    <row r="44" ht="18" customHeight="1">
      <c r="A44" s="76" t="inlineStr">
        <is>
          <t>Suíte</t>
        </is>
      </c>
      <c r="B44" s="69">
        <f>IF(OR($C44="",$A$13="",$A$13=0),"",$C44/$A$13)</f>
        <v/>
      </c>
      <c r="C44" s="77" t="n">
        <v>20000</v>
      </c>
      <c r="D44" s="76" t="inlineStr">
        <is>
          <t>Samuel</t>
        </is>
      </c>
      <c r="E44" s="71" t="n">
        <v>0.03</v>
      </c>
      <c r="F44" s="53">
        <f>IF(OR($B44="",$E44="",$D$39=""),"",ROUND($B44*$D$39*$E44,2))</f>
        <v/>
      </c>
      <c r="G44" s="76" t="inlineStr">
        <is>
          <t>Cezar</t>
        </is>
      </c>
      <c r="H44" s="71" t="n">
        <v>0.02</v>
      </c>
      <c r="I44" s="53">
        <f>IF(OR($B44="",$H44="",$D$39=""),"",ROUND($B44*$D$39*$H44,2))</f>
        <v/>
      </c>
      <c r="J44" s="78">
        <f>IF(AND($F44="",$I44=""),"",ROUND(IF($F44="",0,$F44)+IF($I44="",0,$I44),2))</f>
        <v/>
      </c>
    </row>
    <row r="45" ht="18" customHeight="1">
      <c r="A45" s="76" t="inlineStr">
        <is>
          <t>Lavanderia</t>
        </is>
      </c>
      <c r="B45" s="69">
        <f>IF(OR($C45="",$A$13="",$A$13=0),"",$C45/$A$13)</f>
        <v/>
      </c>
      <c r="C45" s="77" t="n">
        <v>10000</v>
      </c>
      <c r="D45" s="76" t="inlineStr">
        <is>
          <t>Joelson</t>
        </is>
      </c>
      <c r="E45" s="71" t="n">
        <v>0.03</v>
      </c>
      <c r="F45" s="53">
        <f>IF(OR($B45="",$E45="",$D$39=""),"",ROUND($B45*$D$39*$E45,2))</f>
        <v/>
      </c>
      <c r="G45" s="76" t="inlineStr">
        <is>
          <t>Samuel</t>
        </is>
      </c>
      <c r="H45" s="71" t="n">
        <v>0.02</v>
      </c>
      <c r="I45" s="53">
        <f>IF(OR($B45="",$H45="",$D$39=""),"",ROUND($B45*$D$39*$H45,2))</f>
        <v/>
      </c>
      <c r="J45" s="78">
        <f>IF(AND($F45="",$I45=""),"",ROUND(IF($F45="",0,$F45)+IF($I45="",0,$I45),2))</f>
        <v/>
      </c>
    </row>
    <row r="46" ht="18" customHeight="1">
      <c r="A46" s="76" t="inlineStr">
        <is>
          <t>Sala</t>
        </is>
      </c>
      <c r="B46" s="69">
        <f>IF(OR($C46="",$A$13="",$A$13=0),"",$C46/$A$13)</f>
        <v/>
      </c>
      <c r="C46" s="77" t="n">
        <v>30000</v>
      </c>
      <c r="D46" s="76" t="inlineStr">
        <is>
          <t>Deivson</t>
        </is>
      </c>
      <c r="E46" s="71" t="n">
        <v>0.03</v>
      </c>
      <c r="F46" s="53">
        <f>IF(OR($B46="",$E46="",$D$39=""),"",ROUND($B46*$D$39*$E46,2))</f>
        <v/>
      </c>
      <c r="G46" s="76" t="inlineStr">
        <is>
          <t>Jackson</t>
        </is>
      </c>
      <c r="H46" s="71" t="n">
        <v>0.02</v>
      </c>
      <c r="I46" s="53">
        <f>IF(OR($B46="",$H46="",$D$39=""),"",ROUND($B46*$D$39*$H46,2))</f>
        <v/>
      </c>
      <c r="J46" s="78">
        <f>IF(AND($F46="",$I46=""),"",ROUND(IF($F46="",0,$F46)+IF($I46="",0,$I46),2))</f>
        <v/>
      </c>
    </row>
    <row r="47" ht="18" customHeight="1">
      <c r="A47" s="76" t="n"/>
      <c r="B47" s="69">
        <f>IF(OR($C47="",$A$13="",$A$13=0),"",$C47/$A$13)</f>
        <v/>
      </c>
      <c r="C47" s="77" t="n"/>
      <c r="D47" s="76" t="n"/>
      <c r="E47" s="71" t="n"/>
      <c r="F47" s="53">
        <f>IF(OR($B47="",$E47="",$D$39=""),"",ROUND($B47*$D$39*$E47,2))</f>
        <v/>
      </c>
      <c r="G47" s="76" t="n"/>
      <c r="H47" s="71" t="n"/>
      <c r="I47" s="53">
        <f>IF(OR($B47="",$H47="",$D$39=""),"",ROUND($B47*$D$39*$H47,2))</f>
        <v/>
      </c>
      <c r="J47" s="78">
        <f>IF(AND($F47="",$I47=""),"",ROUND(IF($F47="",0,$F47)+IF($I47="",0,$I47),2))</f>
        <v/>
      </c>
    </row>
    <row r="48" ht="18" customHeight="1">
      <c r="A48" s="76" t="n"/>
      <c r="B48" s="69">
        <f>IF(OR($C48="",$A$13="",$A$13=0),"",$C48/$A$13)</f>
        <v/>
      </c>
      <c r="C48" s="77" t="n"/>
      <c r="D48" s="76" t="n"/>
      <c r="E48" s="71" t="n"/>
      <c r="F48" s="53">
        <f>IF(OR($B48="",$E48="",$D$39=""),"",ROUND($B48*$D$39*$E48,2))</f>
        <v/>
      </c>
      <c r="G48" s="76" t="n"/>
      <c r="H48" s="71" t="n"/>
      <c r="I48" s="53">
        <f>IF(OR($B48="",$H48="",$D$39=""),"",ROUND($B48*$D$39*$H48,2))</f>
        <v/>
      </c>
      <c r="J48" s="78">
        <f>IF(AND($F48="",$I48=""),"",ROUND(IF($F48="",0,$F48)+IF($I48="",0,$I48),2))</f>
        <v/>
      </c>
    </row>
    <row r="49" ht="18" customHeight="1">
      <c r="A49" s="76" t="n"/>
      <c r="B49" s="69">
        <f>IF(OR($C49="",$A$13="",$A$13=0),"",$C49/$A$13)</f>
        <v/>
      </c>
      <c r="C49" s="77" t="n"/>
      <c r="D49" s="76" t="n"/>
      <c r="E49" s="71" t="n"/>
      <c r="F49" s="53">
        <f>IF(OR($B49="",$E49="",$D$39=""),"",ROUND($B49*$D$39*$E49,2))</f>
        <v/>
      </c>
      <c r="G49" s="76" t="n"/>
      <c r="H49" s="71" t="n"/>
      <c r="I49" s="53">
        <f>IF(OR($B49="",$H49="",$D$39=""),"",ROUND($B49*$D$39*$H49,2))</f>
        <v/>
      </c>
      <c r="J49" s="78">
        <f>IF(AND($F49="",$I49=""),"",ROUND(IF($F49="",0,$F49)+IF($I49="",0,$I49),2))</f>
        <v/>
      </c>
    </row>
    <row r="50" ht="18" customHeight="1">
      <c r="A50" s="76" t="n"/>
      <c r="B50" s="69">
        <f>IF(OR($C50="",$A$13="",$A$13=0),"",$C50/$A$13)</f>
        <v/>
      </c>
      <c r="C50" s="77" t="n"/>
      <c r="D50" s="76" t="n"/>
      <c r="E50" s="71" t="n"/>
      <c r="F50" s="53">
        <f>IF(OR($B50="",$E50="",$D$39=""),"",ROUND($B50*$D$39*$E50,2))</f>
        <v/>
      </c>
      <c r="G50" s="76" t="n"/>
      <c r="H50" s="71" t="n"/>
      <c r="I50" s="53">
        <f>IF(OR($B50="",$H50="",$D$39=""),"",ROUND($B50*$D$39*$H50,2))</f>
        <v/>
      </c>
      <c r="J50" s="78">
        <f>IF(AND($F50="",$I50=""),"",ROUND(IF($F50="",0,$F50)+IF($I50="",0,$I50),2))</f>
        <v/>
      </c>
    </row>
    <row r="51" ht="18" customHeight="1">
      <c r="A51" s="76" t="n"/>
      <c r="B51" s="69">
        <f>IF(OR($C51="",$A$13="",$A$13=0),"",$C51/$A$13)</f>
        <v/>
      </c>
      <c r="C51" s="77" t="n"/>
      <c r="D51" s="76" t="n"/>
      <c r="E51" s="71" t="n"/>
      <c r="F51" s="53">
        <f>IF(OR($B51="",$E51="",$D$39=""),"",ROUND($B51*$D$39*$E51,2))</f>
        <v/>
      </c>
      <c r="G51" s="76" t="n"/>
      <c r="H51" s="71" t="n"/>
      <c r="I51" s="53">
        <f>IF(OR($B51="",$H51="",$D$39=""),"",ROUND($B51*$D$39*$H51,2))</f>
        <v/>
      </c>
      <c r="J51" s="78">
        <f>IF(AND($F51="",$I51=""),"",ROUND(IF($F51="",0,$F51)+IF($I51="",0,$I51),2))</f>
        <v/>
      </c>
    </row>
    <row r="52" ht="18" customHeight="1">
      <c r="A52" s="76" t="n"/>
      <c r="B52" s="69">
        <f>IF(OR($C52="",$A$13="",$A$13=0),"",$C52/$A$13)</f>
        <v/>
      </c>
      <c r="C52" s="77" t="n"/>
      <c r="D52" s="76" t="n"/>
      <c r="E52" s="71" t="n"/>
      <c r="F52" s="53">
        <f>IF(OR($B52="",$E52="",$D$39=""),"",ROUND($B52*$D$39*$E52,2))</f>
        <v/>
      </c>
      <c r="G52" s="76" t="n"/>
      <c r="H52" s="71" t="n"/>
      <c r="I52" s="53">
        <f>IF(OR($B52="",$H52="",$D$39=""),"",ROUND($B52*$D$39*$H52,2))</f>
        <v/>
      </c>
      <c r="J52" s="78">
        <f>IF(AND($F52="",$I52=""),"",ROUND(IF($F52="",0,$F52)+IF($I52="",0,$I52),2))</f>
        <v/>
      </c>
    </row>
    <row r="53" ht="18" customHeight="1">
      <c r="A53" s="76" t="n"/>
      <c r="B53" s="69">
        <f>IF(OR($C53="",$A$13="",$A$13=0),"",$C53/$A$13)</f>
        <v/>
      </c>
      <c r="C53" s="77" t="n"/>
      <c r="D53" s="76" t="n"/>
      <c r="E53" s="71" t="n"/>
      <c r="F53" s="53">
        <f>IF(OR($B53="",$E53="",$D$39=""),"",ROUND($B53*$D$39*$E53,2))</f>
        <v/>
      </c>
      <c r="G53" s="76" t="n"/>
      <c r="H53" s="71" t="n"/>
      <c r="I53" s="53">
        <f>IF(OR($B53="",$H53="",$D$39=""),"",ROUND($B53*$D$39*$H53,2))</f>
        <v/>
      </c>
      <c r="J53" s="78">
        <f>IF(AND($F53="",$I53=""),"",ROUND(IF($F53="",0,$F53)+IF($I53="",0,$I53),2))</f>
        <v/>
      </c>
    </row>
    <row r="54" ht="18" customHeight="1">
      <c r="A54" s="76" t="n"/>
      <c r="B54" s="69">
        <f>IF(OR($C54="",$A$13="",$A$13=0),"",$C54/$A$13)</f>
        <v/>
      </c>
      <c r="C54" s="77" t="n"/>
      <c r="D54" s="76" t="n"/>
      <c r="E54" s="71" t="n"/>
      <c r="F54" s="53">
        <f>IF(OR($B54="",$E54="",$D$39=""),"",ROUND($B54*$D$39*$E54,2))</f>
        <v/>
      </c>
      <c r="G54" s="76" t="n"/>
      <c r="H54" s="71" t="n"/>
      <c r="I54" s="53">
        <f>IF(OR($B54="",$H54="",$D$39=""),"",ROUND($B54*$D$39*$H54,2))</f>
        <v/>
      </c>
      <c r="J54" s="78">
        <f>IF(AND($F54="",$I54=""),"",ROUND(IF($F54="",0,$F54)+IF($I54="",0,$I54),2))</f>
        <v/>
      </c>
    </row>
    <row r="55" ht="20" customHeight="1">
      <c r="A55" s="31" t="inlineStr">
        <is>
          <t>SOMA DOS AMBIENTES</t>
        </is>
      </c>
      <c r="B55" s="59">
        <f>IF($A$13=0,"",$C$55/$A$13)</f>
        <v/>
      </c>
      <c r="C55" s="57">
        <f>ROUND(SUM(C43:C54),2)</f>
        <v/>
      </c>
      <c r="D55" s="79">
        <f>IF($C$55=0,"—",IF(ROUND($C$55-$A$13,2)=0,"OK · os ambientes somam o valor de venda","ATENÇÃO: diferença de "&amp;TEXT($C$55-$A$13,"R$ #,##0.00")))</f>
        <v/>
      </c>
      <c r="E55" s="32" t="n"/>
      <c r="F55" s="57">
        <f>ROUND(SUM(F43:F54),2)</f>
        <v/>
      </c>
      <c r="G55" s="32" t="n"/>
      <c r="H55" s="32" t="n"/>
      <c r="I55" s="57">
        <f>ROUND(SUM(I43:I54),2)</f>
        <v/>
      </c>
      <c r="J55" s="57">
        <f>ROUND(SUM(J43:J54),2)</f>
        <v/>
      </c>
    </row>
    <row r="56" ht="8" customHeight="1"/>
    <row r="57" ht="20" customHeight="1">
      <c r="A57" s="8" t="inlineStr">
        <is>
          <t xml:space="preserve">  4 · COMISSÕES OPERACIONAIS          calculadas sobre a RECEITA LÍQUIDA · o realizado vem dos ambientes acima</t>
        </is>
      </c>
      <c r="B57" s="9" t="n"/>
      <c r="C57" s="9" t="n"/>
      <c r="D57" s="9" t="n"/>
      <c r="E57" s="9" t="n"/>
      <c r="F57" s="9" t="n"/>
      <c r="G57" s="9" t="n"/>
      <c r="H57" s="9" t="n"/>
      <c r="I57" s="9" t="n"/>
      <c r="J57" s="9" t="n"/>
    </row>
    <row r="58" ht="26" customHeight="1">
      <c r="A58" s="19" t="inlineStr">
        <is>
          <t>Item</t>
        </is>
      </c>
      <c r="B58" s="19" t="inlineStr">
        <is>
          <t>%</t>
        </is>
      </c>
      <c r="C58" s="19" t="inlineStr">
        <is>
          <t>Orçado (R$)</t>
        </is>
      </c>
      <c r="D58" s="19" t="inlineStr">
        <is>
          <t>Realizado (R$)</t>
        </is>
      </c>
      <c r="E58" s="19" t="inlineStr">
        <is>
          <t>Desvio (R$)</t>
        </is>
      </c>
      <c r="F58" s="35" t="n"/>
      <c r="G58" s="19" t="inlineStr">
        <is>
          <t>% da venda</t>
        </is>
      </c>
      <c r="H58" s="19" t="inlineStr">
        <is>
          <t>Observação</t>
        </is>
      </c>
      <c r="I58" s="35" t="n"/>
      <c r="J58" s="35" t="n"/>
    </row>
    <row r="59" ht="17" customHeight="1">
      <c r="A59" s="36" t="inlineStr">
        <is>
          <t>Coordenação de produção</t>
        </is>
      </c>
      <c r="B59" s="71" t="n">
        <v>0.01</v>
      </c>
      <c r="C59" s="53">
        <f>IF($B59="","",ROUND($B59*$C$39,2))</f>
        <v/>
      </c>
      <c r="D59" s="53">
        <f>IF($B59="","",ROUND($B59*$D$39,2))</f>
        <v/>
      </c>
      <c r="E59" s="53">
        <f>IF(OR($C59="",$D59=""),"",ROUND($D59-$C59,2))</f>
        <v/>
      </c>
      <c r="F59" s="38" t="n"/>
      <c r="G59" s="69">
        <f>IF(OR($D59="",$A$13="",$A$13=0),"",$D59/$A$13)</f>
        <v/>
      </c>
      <c r="H59" s="70" t="inlineStr">
        <is>
          <t>quem coordena está na identificação, no topo da ficha</t>
        </is>
      </c>
      <c r="I59" s="46" t="n"/>
      <c r="J59" s="46" t="n"/>
    </row>
    <row r="60" ht="17" customHeight="1">
      <c r="A60" s="36" t="inlineStr">
        <is>
          <t>Comissão de produção</t>
        </is>
      </c>
      <c r="B60" s="71" t="n">
        <v>0.03</v>
      </c>
      <c r="C60" s="53">
        <f>IF($B60="","",ROUND($B60*$C$39,2))</f>
        <v/>
      </c>
      <c r="D60" s="53">
        <f>IF($F$55=0,"",$F$55)</f>
        <v/>
      </c>
      <c r="E60" s="53">
        <f>IF(OR($C60="",$D60=""),"",ROUND($D60-$C60,2))</f>
        <v/>
      </c>
      <c r="F60" s="38" t="n"/>
      <c r="G60" s="69">
        <f>IF(OR($D60="",$A$13="",$A$13=0),"",$D60/$A$13)</f>
        <v/>
      </c>
      <c r="H60" s="70" t="inlineStr">
        <is>
          <t>orçado = % único estimado · realizado = soma dos ambientes</t>
        </is>
      </c>
      <c r="I60" s="46" t="n"/>
      <c r="J60" s="46" t="n"/>
    </row>
    <row r="61" ht="17" customHeight="1">
      <c r="A61" s="36" t="inlineStr">
        <is>
          <t>Comissão de montagem</t>
        </is>
      </c>
      <c r="B61" s="71" t="n">
        <v>0.02</v>
      </c>
      <c r="C61" s="53">
        <f>IF($B61="","",ROUND($B61*$C$39,2))</f>
        <v/>
      </c>
      <c r="D61" s="53">
        <f>IF($I$55=0,"",$I$55)</f>
        <v/>
      </c>
      <c r="E61" s="53">
        <f>IF(OR($C61="",$D61=""),"",ROUND($D61-$C61,2))</f>
        <v/>
      </c>
      <c r="F61" s="38" t="n"/>
      <c r="G61" s="69">
        <f>IF(OR($D61="",$A$13="",$A$13=0),"",$D61/$A$13)</f>
        <v/>
      </c>
      <c r="H61" s="70" t="inlineStr">
        <is>
          <t>orçado = % único estimado · realizado = soma dos ambientes</t>
        </is>
      </c>
      <c r="I61" s="46" t="n"/>
      <c r="J61" s="46" t="n"/>
    </row>
    <row r="62" ht="20" customHeight="1">
      <c r="A62" s="31" t="inlineStr">
        <is>
          <t>(=) SUBTOTAL DAS COMISSÕES</t>
        </is>
      </c>
      <c r="B62" s="32" t="n"/>
      <c r="C62" s="57">
        <f>ROUND(SUM(C59:C61),2)</f>
        <v/>
      </c>
      <c r="D62" s="57">
        <f>ROUND(SUM(D59:D61),2)</f>
        <v/>
      </c>
      <c r="E62" s="57">
        <f>ROUND($D62-$C62,2)</f>
        <v/>
      </c>
      <c r="F62" s="32" t="n"/>
      <c r="G62" s="59">
        <f>IF(OR($A$13="",$A$13=0),"",$D62/$A$13)</f>
        <v/>
      </c>
      <c r="H62" s="32" t="n"/>
      <c r="I62" s="32" t="n"/>
      <c r="J62" s="32" t="n"/>
    </row>
    <row r="63" ht="8" customHeight="1"/>
    <row r="64" ht="20" customHeight="1">
      <c r="A64" s="8" t="inlineStr">
        <is>
          <t xml:space="preserve">  5 · COMISSÕES POR COLABORADOR          consolidado automático — só marceneiros, ajudantes e o coordenador</t>
        </is>
      </c>
      <c r="B64" s="9" t="n"/>
      <c r="C64" s="9" t="n"/>
      <c r="D64" s="9" t="n"/>
      <c r="E64" s="9" t="n"/>
      <c r="F64" s="9" t="n"/>
      <c r="G64" s="9" t="n"/>
      <c r="H64" s="9" t="n"/>
      <c r="I64" s="9" t="n"/>
      <c r="J64" s="9" t="n"/>
    </row>
    <row r="65" ht="26" customHeight="1">
      <c r="A65" s="19" t="inlineStr">
        <is>
          <t>Colaborador</t>
        </is>
      </c>
      <c r="B65" s="19" t="inlineStr">
        <is>
          <t>Produção (R$)</t>
        </is>
      </c>
      <c r="C65" s="35" t="n"/>
      <c r="D65" s="19" t="inlineStr">
        <is>
          <t>Montagem (R$)</t>
        </is>
      </c>
      <c r="E65" s="35" t="n"/>
      <c r="F65" s="19" t="inlineStr">
        <is>
          <t>Coordenação (R$)</t>
        </is>
      </c>
      <c r="G65" s="35" t="n"/>
      <c r="H65" s="19" t="inlineStr">
        <is>
          <t>Total no projeto (R$)</t>
        </is>
      </c>
      <c r="I65" s="35" t="n"/>
      <c r="J65" s="35" t="n"/>
    </row>
    <row r="66" ht="17" customHeight="1">
      <c r="A66" s="80" t="inlineStr">
        <is>
          <t>Deivson</t>
        </is>
      </c>
      <c r="B66" s="53">
        <f>IF($A66="","",ROUND(SUMIF($D$43:$D$54,$A66,$F$43:$F$54),2))</f>
        <v/>
      </c>
      <c r="C66" s="38" t="n"/>
      <c r="D66" s="53">
        <f>IF($A66="","",ROUND(SUMIF($G$43:$G$54,$A66,$I$43:$I$54),2))</f>
        <v/>
      </c>
      <c r="E66" s="38" t="n"/>
      <c r="F66" s="53">
        <f>IF($A66="","",IF($A66=$F$9,IF($D$59="",0,$D$59),0))</f>
        <v/>
      </c>
      <c r="G66" s="38" t="n"/>
      <c r="H66" s="81">
        <f>IF($A66="","",ROUND($B66+$D66+$F66,2))</f>
        <v/>
      </c>
      <c r="I66" s="38" t="n"/>
      <c r="J66" s="38" t="n"/>
    </row>
    <row r="67" ht="17" customHeight="1">
      <c r="A67" s="80" t="inlineStr">
        <is>
          <t>Samuel</t>
        </is>
      </c>
      <c r="B67" s="53">
        <f>IF($A67="","",ROUND(SUMIF($D$43:$D$54,$A67,$F$43:$F$54),2))</f>
        <v/>
      </c>
      <c r="C67" s="38" t="n"/>
      <c r="D67" s="53">
        <f>IF($A67="","",ROUND(SUMIF($G$43:$G$54,$A67,$I$43:$I$54),2))</f>
        <v/>
      </c>
      <c r="E67" s="38" t="n"/>
      <c r="F67" s="53">
        <f>IF($A67="","",IF($A67=$F$9,IF($D$59="",0,$D$59),0))</f>
        <v/>
      </c>
      <c r="G67" s="38" t="n"/>
      <c r="H67" s="81">
        <f>IF($A67="","",ROUND($B67+$D67+$F67,2))</f>
        <v/>
      </c>
      <c r="I67" s="38" t="n"/>
      <c r="J67" s="38" t="n"/>
    </row>
    <row r="68" ht="17" customHeight="1">
      <c r="A68" s="80" t="inlineStr">
        <is>
          <t>Cezar</t>
        </is>
      </c>
      <c r="B68" s="53">
        <f>IF($A68="","",ROUND(SUMIF($D$43:$D$54,$A68,$F$43:$F$54),2))</f>
        <v/>
      </c>
      <c r="C68" s="38" t="n"/>
      <c r="D68" s="53">
        <f>IF($A68="","",ROUND(SUMIF($G$43:$G$54,$A68,$I$43:$I$54),2))</f>
        <v/>
      </c>
      <c r="E68" s="38" t="n"/>
      <c r="F68" s="53">
        <f>IF($A68="","",IF($A68=$F$9,IF($D$59="",0,$D$59),0))</f>
        <v/>
      </c>
      <c r="G68" s="38" t="n"/>
      <c r="H68" s="81">
        <f>IF($A68="","",ROUND($B68+$D68+$F68,2))</f>
        <v/>
      </c>
      <c r="I68" s="38" t="n"/>
      <c r="J68" s="38" t="n"/>
    </row>
    <row r="69" ht="17" customHeight="1">
      <c r="A69" s="80" t="inlineStr">
        <is>
          <t>Jackson</t>
        </is>
      </c>
      <c r="B69" s="53">
        <f>IF($A69="","",ROUND(SUMIF($D$43:$D$54,$A69,$F$43:$F$54),2))</f>
        <v/>
      </c>
      <c r="C69" s="38" t="n"/>
      <c r="D69" s="53">
        <f>IF($A69="","",ROUND(SUMIF($G$43:$G$54,$A69,$I$43:$I$54),2))</f>
        <v/>
      </c>
      <c r="E69" s="38" t="n"/>
      <c r="F69" s="53">
        <f>IF($A69="","",IF($A69=$F$9,IF($D$59="",0,$D$59),0))</f>
        <v/>
      </c>
      <c r="G69" s="38" t="n"/>
      <c r="H69" s="81">
        <f>IF($A69="","",ROUND($B69+$D69+$F69,2))</f>
        <v/>
      </c>
      <c r="I69" s="38" t="n"/>
      <c r="J69" s="38" t="n"/>
    </row>
    <row r="70" ht="17" customHeight="1">
      <c r="A70" s="80" t="inlineStr">
        <is>
          <t>Jomar</t>
        </is>
      </c>
      <c r="B70" s="53">
        <f>IF($A70="","",ROUND(SUMIF($D$43:$D$54,$A70,$F$43:$F$54),2))</f>
        <v/>
      </c>
      <c r="C70" s="38" t="n"/>
      <c r="D70" s="53">
        <f>IF($A70="","",ROUND(SUMIF($G$43:$G$54,$A70,$I$43:$I$54),2))</f>
        <v/>
      </c>
      <c r="E70" s="38" t="n"/>
      <c r="F70" s="53">
        <f>IF($A70="","",IF($A70=$F$9,IF($D$59="",0,$D$59),0))</f>
        <v/>
      </c>
      <c r="G70" s="38" t="n"/>
      <c r="H70" s="81">
        <f>IF($A70="","",ROUND($B70+$D70+$F70,2))</f>
        <v/>
      </c>
      <c r="I70" s="38" t="n"/>
      <c r="J70" s="38" t="n"/>
    </row>
    <row r="71" ht="17" customHeight="1">
      <c r="A71" s="80" t="inlineStr">
        <is>
          <t>Joelson</t>
        </is>
      </c>
      <c r="B71" s="53">
        <f>IF($A71="","",ROUND(SUMIF($D$43:$D$54,$A71,$F$43:$F$54),2))</f>
        <v/>
      </c>
      <c r="C71" s="38" t="n"/>
      <c r="D71" s="53">
        <f>IF($A71="","",ROUND(SUMIF($G$43:$G$54,$A71,$I$43:$I$54),2))</f>
        <v/>
      </c>
      <c r="E71" s="38" t="n"/>
      <c r="F71" s="53">
        <f>IF($A71="","",IF($A71=$F$9,IF($D$59="",0,$D$59),0))</f>
        <v/>
      </c>
      <c r="G71" s="38" t="n"/>
      <c r="H71" s="81">
        <f>IF($A71="","",ROUND($B71+$D71+$F71,2))</f>
        <v/>
      </c>
      <c r="I71" s="38" t="n"/>
      <c r="J71" s="38" t="n"/>
    </row>
    <row r="72" ht="17" customHeight="1">
      <c r="A72" s="80" t="inlineStr">
        <is>
          <t>Jonathan Godoy</t>
        </is>
      </c>
      <c r="B72" s="53">
        <f>IF($A72="","",ROUND(SUMIF($D$43:$D$54,$A72,$F$43:$F$54),2))</f>
        <v/>
      </c>
      <c r="C72" s="38" t="n"/>
      <c r="D72" s="53">
        <f>IF($A72="","",ROUND(SUMIF($G$43:$G$54,$A72,$I$43:$I$54),2))</f>
        <v/>
      </c>
      <c r="E72" s="38" t="n"/>
      <c r="F72" s="53">
        <f>IF($A72="","",IF($A72=$F$9,IF($D$59="",0,$D$59),0))</f>
        <v/>
      </c>
      <c r="G72" s="38" t="n"/>
      <c r="H72" s="81">
        <f>IF($A72="","",ROUND($B72+$D72+$F72,2))</f>
        <v/>
      </c>
      <c r="I72" s="38" t="n"/>
      <c r="J72" s="38" t="n"/>
    </row>
    <row r="73" ht="17" customHeight="1">
      <c r="A73" s="80" t="inlineStr">
        <is>
          <t>Terceiro / avulso</t>
        </is>
      </c>
      <c r="B73" s="53">
        <f>IF($A73="","",ROUND(SUMIF($D$43:$D$54,$A73,$F$43:$F$54),2))</f>
        <v/>
      </c>
      <c r="C73" s="38" t="n"/>
      <c r="D73" s="53">
        <f>IF($A73="","",ROUND(SUMIF($G$43:$G$54,$A73,$I$43:$I$54),2))</f>
        <v/>
      </c>
      <c r="E73" s="38" t="n"/>
      <c r="F73" s="53">
        <f>IF($A73="","",IF($A73=$F$9,IF($D$59="",0,$D$59),0))</f>
        <v/>
      </c>
      <c r="G73" s="38" t="n"/>
      <c r="H73" s="81">
        <f>IF($A73="","",ROUND($B73+$D73+$F73,2))</f>
        <v/>
      </c>
      <c r="I73" s="38" t="n"/>
      <c r="J73" s="38" t="n"/>
    </row>
    <row r="74" ht="17" customHeight="1">
      <c r="A74" s="80" t="n"/>
      <c r="B74" s="53">
        <f>IF($A74="","",ROUND(SUMIF($D$43:$D$54,$A74,$F$43:$F$54),2))</f>
        <v/>
      </c>
      <c r="C74" s="38" t="n"/>
      <c r="D74" s="53">
        <f>IF($A74="","",ROUND(SUMIF($G$43:$G$54,$A74,$I$43:$I$54),2))</f>
        <v/>
      </c>
      <c r="E74" s="38" t="n"/>
      <c r="F74" s="53">
        <f>IF($A74="","",IF($A74=$F$9,IF($D$59="",0,$D$59),0))</f>
        <v/>
      </c>
      <c r="G74" s="38" t="n"/>
      <c r="H74" s="81">
        <f>IF($A74="","",ROUND($B74+$D74+$F74,2))</f>
        <v/>
      </c>
      <c r="I74" s="38" t="n"/>
      <c r="J74" s="38" t="n"/>
    </row>
    <row r="75" ht="17" customHeight="1">
      <c r="A75" s="80" t="n"/>
      <c r="B75" s="53">
        <f>IF($A75="","",ROUND(SUMIF($D$43:$D$54,$A75,$F$43:$F$54),2))</f>
        <v/>
      </c>
      <c r="C75" s="38" t="n"/>
      <c r="D75" s="53">
        <f>IF($A75="","",ROUND(SUMIF($G$43:$G$54,$A75,$I$43:$I$54),2))</f>
        <v/>
      </c>
      <c r="E75" s="38" t="n"/>
      <c r="F75" s="53">
        <f>IF($A75="","",IF($A75=$F$9,IF($D$59="",0,$D$59),0))</f>
        <v/>
      </c>
      <c r="G75" s="38" t="n"/>
      <c r="H75" s="81">
        <f>IF($A75="","",ROUND($B75+$D75+$F75,2))</f>
        <v/>
      </c>
      <c r="I75" s="38" t="n"/>
      <c r="J75" s="38" t="n"/>
    </row>
    <row r="76" ht="17" customHeight="1">
      <c r="A76" s="80" t="n"/>
      <c r="B76" s="53">
        <f>IF($A76="","",ROUND(SUMIF($D$43:$D$54,$A76,$F$43:$F$54),2))</f>
        <v/>
      </c>
      <c r="C76" s="38" t="n"/>
      <c r="D76" s="53">
        <f>IF($A76="","",ROUND(SUMIF($G$43:$G$54,$A76,$I$43:$I$54),2))</f>
        <v/>
      </c>
      <c r="E76" s="38" t="n"/>
      <c r="F76" s="53">
        <f>IF($A76="","",IF($A76=$F$9,IF($D$59="",0,$D$59),0))</f>
        <v/>
      </c>
      <c r="G76" s="38" t="n"/>
      <c r="H76" s="81">
        <f>IF($A76="","",ROUND($B76+$D76+$F76,2))</f>
        <v/>
      </c>
      <c r="I76" s="38" t="n"/>
      <c r="J76" s="38" t="n"/>
    </row>
    <row r="77" ht="17" customHeight="1">
      <c r="A77" s="80" t="n"/>
      <c r="B77" s="53">
        <f>IF($A77="","",ROUND(SUMIF($D$43:$D$54,$A77,$F$43:$F$54),2))</f>
        <v/>
      </c>
      <c r="C77" s="38" t="n"/>
      <c r="D77" s="53">
        <f>IF($A77="","",ROUND(SUMIF($G$43:$G$54,$A77,$I$43:$I$54),2))</f>
        <v/>
      </c>
      <c r="E77" s="38" t="n"/>
      <c r="F77" s="53">
        <f>IF($A77="","",IF($A77=$F$9,IF($D$59="",0,$D$59),0))</f>
        <v/>
      </c>
      <c r="G77" s="38" t="n"/>
      <c r="H77" s="81">
        <f>IF($A77="","",ROUND($B77+$D77+$F77,2))</f>
        <v/>
      </c>
      <c r="I77" s="38" t="n"/>
      <c r="J77" s="38" t="n"/>
    </row>
    <row r="78" ht="20" customHeight="1">
      <c r="A78" s="31" t="inlineStr">
        <is>
          <t>TOTAL</t>
        </is>
      </c>
      <c r="B78" s="57">
        <f>ROUND(SUM(B66:B77),2)</f>
        <v/>
      </c>
      <c r="C78" s="32" t="n"/>
      <c r="D78" s="57">
        <f>ROUND(SUM(D66:D77),2)</f>
        <v/>
      </c>
      <c r="E78" s="32" t="n"/>
      <c r="F78" s="57">
        <f>ROUND(SUM(F66:F77),2)</f>
        <v/>
      </c>
      <c r="G78" s="32" t="n"/>
      <c r="H78" s="57">
        <f>ROUND(SUM(H66:H77),2)</f>
        <v/>
      </c>
      <c r="I78" s="32" t="n"/>
      <c r="J78" s="32" t="n"/>
    </row>
    <row r="79" ht="8" customHeight="1"/>
    <row r="80" ht="20" customHeight="1">
      <c r="A80" s="8" t="inlineStr">
        <is>
          <t xml:space="preserve">  6 · MATERIAL, TERCEIRIZADOS E LOGÍSTICA          o orçado você digita · o realizado vem sozinho do livro de lançamentos, lá no fim da ficha</t>
        </is>
      </c>
      <c r="B80" s="9" t="n"/>
      <c r="C80" s="9" t="n"/>
      <c r="D80" s="9" t="n"/>
      <c r="E80" s="9" t="n"/>
      <c r="F80" s="9" t="n"/>
      <c r="G80" s="9" t="n"/>
      <c r="H80" s="9" t="n"/>
      <c r="I80" s="9" t="n"/>
      <c r="J80" s="9" t="n"/>
    </row>
    <row r="81" ht="30" customHeight="1">
      <c r="A81" s="19" t="inlineStr">
        <is>
          <t>Categoria</t>
        </is>
      </c>
      <c r="B81" s="19" t="inlineStr"/>
      <c r="C81" s="19" t="inlineStr">
        <is>
          <t>Orçado (R$)</t>
        </is>
      </c>
      <c r="D81" s="19" t="inlineStr">
        <is>
          <t>Realizado (R$)</t>
        </is>
      </c>
      <c r="E81" s="19" t="inlineStr">
        <is>
          <t>Desvio (R$)</t>
        </is>
      </c>
      <c r="F81" s="35" t="n"/>
      <c r="G81" s="19" t="inlineStr">
        <is>
          <t>Ainda a comprar</t>
        </is>
      </c>
      <c r="H81" s="19" t="inlineStr">
        <is>
          <t>Comprado, ainda a pagar</t>
        </is>
      </c>
      <c r="I81" s="35" t="n"/>
      <c r="J81" s="35" t="n"/>
    </row>
    <row r="82" ht="17" customHeight="1">
      <c r="A82" s="36" t="inlineStr">
        <is>
          <t>MDF e MDP</t>
        </is>
      </c>
      <c r="B82" s="37" t="n"/>
      <c r="C82" s="68" t="n">
        <v>14500</v>
      </c>
      <c r="D82" s="53">
        <f>ROUND(SUMIFS($E$120:$E$179,$B$120:$B$179,$A82,$I$120:$I$179,"Comprado (a pagar)")+SUMIFS($E$120:$E$179,$B$120:$B$179,$A82,$I$120:$I$179,"Pago"),2)</f>
        <v/>
      </c>
      <c r="E82" s="53">
        <f>IF($C82="","",ROUND($D82-$C82,2))</f>
        <v/>
      </c>
      <c r="F82" s="38" t="n"/>
      <c r="G82" s="82">
        <f>ROUND(SUMIFS($E$120:$E$179,$B$120:$B$179,$A82,$I$120:$I$179,"A comprar"),2)</f>
        <v/>
      </c>
      <c r="H82" s="83">
        <f>ROUND(SUMIFS($E$120:$E$179,$B$120:$B$179,$A82,$I$120:$I$179,"Comprado (a pagar)"),2)</f>
        <v/>
      </c>
      <c r="I82" s="38" t="n"/>
      <c r="J82" s="38" t="n"/>
    </row>
    <row r="83" ht="17" customHeight="1">
      <c r="A83" s="36" t="inlineStr">
        <is>
          <t>Fita de borda</t>
        </is>
      </c>
      <c r="B83" s="37" t="n"/>
      <c r="C83" s="68" t="n">
        <v>900</v>
      </c>
      <c r="D83" s="53">
        <f>ROUND(SUMIFS($E$120:$E$179,$B$120:$B$179,$A83,$I$120:$I$179,"Comprado (a pagar)")+SUMIFS($E$120:$E$179,$B$120:$B$179,$A83,$I$120:$I$179,"Pago"),2)</f>
        <v/>
      </c>
      <c r="E83" s="53">
        <f>IF($C83="","",ROUND($D83-$C83,2))</f>
        <v/>
      </c>
      <c r="F83" s="38" t="n"/>
      <c r="G83" s="82">
        <f>ROUND(SUMIFS($E$120:$E$179,$B$120:$B$179,$A83,$I$120:$I$179,"A comprar"),2)</f>
        <v/>
      </c>
      <c r="H83" s="83">
        <f>ROUND(SUMIFS($E$120:$E$179,$B$120:$B$179,$A83,$I$120:$I$179,"Comprado (a pagar)"),2)</f>
        <v/>
      </c>
      <c r="I83" s="38" t="n"/>
      <c r="J83" s="38" t="n"/>
    </row>
    <row r="84" ht="17" customHeight="1">
      <c r="A84" s="36" t="inlineStr">
        <is>
          <t>Ferragens</t>
        </is>
      </c>
      <c r="B84" s="37" t="n"/>
      <c r="C84" s="68" t="n">
        <v>6800</v>
      </c>
      <c r="D84" s="53">
        <f>ROUND(SUMIFS($E$120:$E$179,$B$120:$B$179,$A84,$I$120:$I$179,"Comprado (a pagar)")+SUMIFS($E$120:$E$179,$B$120:$B$179,$A84,$I$120:$I$179,"Pago"),2)</f>
        <v/>
      </c>
      <c r="E84" s="53">
        <f>IF($C84="","",ROUND($D84-$C84,2))</f>
        <v/>
      </c>
      <c r="F84" s="38" t="n"/>
      <c r="G84" s="82">
        <f>ROUND(SUMIFS($E$120:$E$179,$B$120:$B$179,$A84,$I$120:$I$179,"A comprar"),2)</f>
        <v/>
      </c>
      <c r="H84" s="83">
        <f>ROUND(SUMIFS($E$120:$E$179,$B$120:$B$179,$A84,$I$120:$I$179,"Comprado (a pagar)"),2)</f>
        <v/>
      </c>
      <c r="I84" s="38" t="n"/>
      <c r="J84" s="38" t="n"/>
    </row>
    <row r="85" ht="17" customHeight="1">
      <c r="A85" s="36" t="inlineStr">
        <is>
          <t>Vidros e espelhos</t>
        </is>
      </c>
      <c r="B85" s="37" t="n"/>
      <c r="C85" s="68" t="n">
        <v>2200</v>
      </c>
      <c r="D85" s="53">
        <f>ROUND(SUMIFS($E$120:$E$179,$B$120:$B$179,$A85,$I$120:$I$179,"Comprado (a pagar)")+SUMIFS($E$120:$E$179,$B$120:$B$179,$A85,$I$120:$I$179,"Pago"),2)</f>
        <v/>
      </c>
      <c r="E85" s="53">
        <f>IF($C85="","",ROUND($D85-$C85,2))</f>
        <v/>
      </c>
      <c r="F85" s="38" t="n"/>
      <c r="G85" s="82">
        <f>ROUND(SUMIFS($E$120:$E$179,$B$120:$B$179,$A85,$I$120:$I$179,"A comprar"),2)</f>
        <v/>
      </c>
      <c r="H85" s="83">
        <f>ROUND(SUMIFS($E$120:$E$179,$B$120:$B$179,$A85,$I$120:$I$179,"Comprado (a pagar)"),2)</f>
        <v/>
      </c>
      <c r="I85" s="38" t="n"/>
      <c r="J85" s="38" t="n"/>
    </row>
    <row r="86" ht="17" customHeight="1">
      <c r="A86" s="36" t="inlineStr">
        <is>
          <t>Esquadrias</t>
        </is>
      </c>
      <c r="B86" s="37" t="n"/>
      <c r="C86" s="68" t="n"/>
      <c r="D86" s="53">
        <f>ROUND(SUMIFS($E$120:$E$179,$B$120:$B$179,$A86,$I$120:$I$179,"Comprado (a pagar)")+SUMIFS($E$120:$E$179,$B$120:$B$179,$A86,$I$120:$I$179,"Pago"),2)</f>
        <v/>
      </c>
      <c r="E86" s="53">
        <f>IF($C86="","",ROUND($D86-$C86,2))</f>
        <v/>
      </c>
      <c r="F86" s="38" t="n"/>
      <c r="G86" s="82">
        <f>ROUND(SUMIFS($E$120:$E$179,$B$120:$B$179,$A86,$I$120:$I$179,"A comprar"),2)</f>
        <v/>
      </c>
      <c r="H86" s="83">
        <f>ROUND(SUMIFS($E$120:$E$179,$B$120:$B$179,$A86,$I$120:$I$179,"Comprado (a pagar)"),2)</f>
        <v/>
      </c>
      <c r="I86" s="38" t="n"/>
      <c r="J86" s="38" t="n"/>
    </row>
    <row r="87" ht="17" customHeight="1">
      <c r="A87" s="36" t="inlineStr">
        <is>
          <t>Lâmina natural</t>
        </is>
      </c>
      <c r="B87" s="37" t="n"/>
      <c r="C87" s="68" t="n">
        <v>3200</v>
      </c>
      <c r="D87" s="53">
        <f>ROUND(SUMIFS($E$120:$E$179,$B$120:$B$179,$A87,$I$120:$I$179,"Comprado (a pagar)")+SUMIFS($E$120:$E$179,$B$120:$B$179,$A87,$I$120:$I$179,"Pago"),2)</f>
        <v/>
      </c>
      <c r="E87" s="53">
        <f>IF($C87="","",ROUND($D87-$C87,2))</f>
        <v/>
      </c>
      <c r="F87" s="38" t="n"/>
      <c r="G87" s="82">
        <f>ROUND(SUMIFS($E$120:$E$179,$B$120:$B$179,$A87,$I$120:$I$179,"A comprar"),2)</f>
        <v/>
      </c>
      <c r="H87" s="83">
        <f>ROUND(SUMIFS($E$120:$E$179,$B$120:$B$179,$A87,$I$120:$I$179,"Comprado (a pagar)"),2)</f>
        <v/>
      </c>
      <c r="I87" s="38" t="n"/>
      <c r="J87" s="38" t="n"/>
    </row>
    <row r="88" ht="17" customHeight="1">
      <c r="A88" s="36" t="inlineStr">
        <is>
          <t>Consumíveis</t>
        </is>
      </c>
      <c r="B88" s="37" t="n"/>
      <c r="C88" s="68" t="n">
        <v>1100</v>
      </c>
      <c r="D88" s="53">
        <f>ROUND(SUMIFS($E$120:$E$179,$B$120:$B$179,$A88,$I$120:$I$179,"Comprado (a pagar)")+SUMIFS($E$120:$E$179,$B$120:$B$179,$A88,$I$120:$I$179,"Pago"),2)</f>
        <v/>
      </c>
      <c r="E88" s="53">
        <f>IF($C88="","",ROUND($D88-$C88,2))</f>
        <v/>
      </c>
      <c r="F88" s="38" t="n"/>
      <c r="G88" s="82">
        <f>ROUND(SUMIFS($E$120:$E$179,$B$120:$B$179,$A88,$I$120:$I$179,"A comprar"),2)</f>
        <v/>
      </c>
      <c r="H88" s="83">
        <f>ROUND(SUMIFS($E$120:$E$179,$B$120:$B$179,$A88,$I$120:$I$179,"Comprado (a pagar)"),2)</f>
        <v/>
      </c>
      <c r="I88" s="38" t="n"/>
      <c r="J88" s="38" t="n"/>
    </row>
    <row r="89" ht="20" customHeight="1">
      <c r="A89" s="31" t="inlineStr">
        <is>
          <t>(=) SUBTOTAL · MATERIAL</t>
        </is>
      </c>
      <c r="B89" s="32" t="n"/>
      <c r="C89" s="57">
        <f>ROUND(SUM(C82:C88),2)</f>
        <v/>
      </c>
      <c r="D89" s="57">
        <f>ROUND(SUM(D82:D88),2)</f>
        <v/>
      </c>
      <c r="E89" s="57">
        <f>ROUND(SUM(E82:E88),2)</f>
        <v/>
      </c>
      <c r="F89" s="32" t="n"/>
      <c r="G89" s="57">
        <f>ROUND(SUM(G82:G88),2)</f>
        <v/>
      </c>
      <c r="H89" s="57">
        <f>ROUND(SUM(H82:H88),2)</f>
        <v/>
      </c>
      <c r="I89" s="32" t="n"/>
      <c r="J89" s="32" t="n"/>
    </row>
    <row r="90" ht="17" customHeight="1">
      <c r="A90" s="36" t="inlineStr">
        <is>
          <t>Acabamento</t>
        </is>
      </c>
      <c r="B90" s="37" t="n"/>
      <c r="C90" s="68" t="n">
        <v>4800</v>
      </c>
      <c r="D90" s="53">
        <f>ROUND(SUMIFS($E$120:$E$179,$B$120:$B$179,$A90,$I$120:$I$179,"Comprado (a pagar)")+SUMIFS($E$120:$E$179,$B$120:$B$179,$A90,$I$120:$I$179,"Pago"),2)</f>
        <v/>
      </c>
      <c r="E90" s="53">
        <f>IF($C90="","",ROUND($D90-$C90,2))</f>
        <v/>
      </c>
      <c r="F90" s="38" t="n"/>
      <c r="G90" s="82">
        <f>ROUND(SUMIFS($E$120:$E$179,$B$120:$B$179,$A90,$I$120:$I$179,"A comprar"),2)</f>
        <v/>
      </c>
      <c r="H90" s="83">
        <f>ROUND(SUMIFS($E$120:$E$179,$B$120:$B$179,$A90,$I$120:$I$179,"Comprado (a pagar)"),2)</f>
        <v/>
      </c>
      <c r="I90" s="38" t="n"/>
      <c r="J90" s="38" t="n"/>
    </row>
    <row r="91" ht="17" customHeight="1">
      <c r="A91" s="36" t="inlineStr">
        <is>
          <t>Serralheria</t>
        </is>
      </c>
      <c r="B91" s="37" t="n"/>
      <c r="C91" s="68" t="n">
        <v>1500</v>
      </c>
      <c r="D91" s="53">
        <f>ROUND(SUMIFS($E$120:$E$179,$B$120:$B$179,$A91,$I$120:$I$179,"Comprado (a pagar)")+SUMIFS($E$120:$E$179,$B$120:$B$179,$A91,$I$120:$I$179,"Pago"),2)</f>
        <v/>
      </c>
      <c r="E91" s="53">
        <f>IF($C91="","",ROUND($D91-$C91,2))</f>
        <v/>
      </c>
      <c r="F91" s="38" t="n"/>
      <c r="G91" s="82">
        <f>ROUND(SUMIFS($E$120:$E$179,$B$120:$B$179,$A91,$I$120:$I$179,"A comprar"),2)</f>
        <v/>
      </c>
      <c r="H91" s="83">
        <f>ROUND(SUMIFS($E$120:$E$179,$B$120:$B$179,$A91,$I$120:$I$179,"Comprado (a pagar)"),2)</f>
        <v/>
      </c>
      <c r="I91" s="38" t="n"/>
      <c r="J91" s="38" t="n"/>
    </row>
    <row r="92" ht="17" customHeight="1">
      <c r="A92" s="36" t="inlineStr">
        <is>
          <t>Vidraceiro</t>
        </is>
      </c>
      <c r="B92" s="37" t="n"/>
      <c r="C92" s="68" t="n">
        <v>900</v>
      </c>
      <c r="D92" s="53">
        <f>ROUND(SUMIFS($E$120:$E$179,$B$120:$B$179,$A92,$I$120:$I$179,"Comprado (a pagar)")+SUMIFS($E$120:$E$179,$B$120:$B$179,$A92,$I$120:$I$179,"Pago"),2)</f>
        <v/>
      </c>
      <c r="E92" s="53">
        <f>IF($C92="","",ROUND($D92-$C92,2))</f>
        <v/>
      </c>
      <c r="F92" s="38" t="n"/>
      <c r="G92" s="82">
        <f>ROUND(SUMIFS($E$120:$E$179,$B$120:$B$179,$A92,$I$120:$I$179,"A comprar"),2)</f>
        <v/>
      </c>
      <c r="H92" s="83">
        <f>ROUND(SUMIFS($E$120:$E$179,$B$120:$B$179,$A92,$I$120:$I$179,"Comprado (a pagar)"),2)</f>
        <v/>
      </c>
      <c r="I92" s="38" t="n"/>
      <c r="J92" s="38" t="n"/>
    </row>
    <row r="93" ht="17" customHeight="1">
      <c r="A93" s="36" t="inlineStr">
        <is>
          <t>Outro terceirizado</t>
        </is>
      </c>
      <c r="B93" s="37" t="n"/>
      <c r="C93" s="68" t="n"/>
      <c r="D93" s="53">
        <f>ROUND(SUMIFS($E$120:$E$179,$B$120:$B$179,$A93,$I$120:$I$179,"Comprado (a pagar)")+SUMIFS($E$120:$E$179,$B$120:$B$179,$A93,$I$120:$I$179,"Pago"),2)</f>
        <v/>
      </c>
      <c r="E93" s="53">
        <f>IF($C93="","",ROUND($D93-$C93,2))</f>
        <v/>
      </c>
      <c r="F93" s="38" t="n"/>
      <c r="G93" s="82">
        <f>ROUND(SUMIFS($E$120:$E$179,$B$120:$B$179,$A93,$I$120:$I$179,"A comprar"),2)</f>
        <v/>
      </c>
      <c r="H93" s="83">
        <f>ROUND(SUMIFS($E$120:$E$179,$B$120:$B$179,$A93,$I$120:$I$179,"Comprado (a pagar)"),2)</f>
        <v/>
      </c>
      <c r="I93" s="38" t="n"/>
      <c r="J93" s="38" t="n"/>
    </row>
    <row r="94" ht="20" customHeight="1">
      <c r="A94" s="31" t="inlineStr">
        <is>
          <t>(=) SUBTOTAL · SERVIÇOS TERCEIRIZADOS</t>
        </is>
      </c>
      <c r="B94" s="32" t="n"/>
      <c r="C94" s="57">
        <f>ROUND(SUM(C90:C93),2)</f>
        <v/>
      </c>
      <c r="D94" s="57">
        <f>ROUND(SUM(D90:D93),2)</f>
        <v/>
      </c>
      <c r="E94" s="57">
        <f>ROUND(SUM(E90:E93),2)</f>
        <v/>
      </c>
      <c r="F94" s="32" t="n"/>
      <c r="G94" s="57">
        <f>ROUND(SUM(G90:G93),2)</f>
        <v/>
      </c>
      <c r="H94" s="57">
        <f>ROUND(SUM(H90:H93),2)</f>
        <v/>
      </c>
      <c r="I94" s="32" t="n"/>
      <c r="J94" s="32" t="n"/>
    </row>
    <row r="95" ht="17" customHeight="1">
      <c r="A95" s="36" t="inlineStr">
        <is>
          <t>Uber e aplicativo</t>
        </is>
      </c>
      <c r="B95" s="37" t="n"/>
      <c r="C95" s="68" t="n">
        <v>250</v>
      </c>
      <c r="D95" s="53">
        <f>ROUND(SUMIFS($E$120:$E$179,$B$120:$B$179,$A95,$I$120:$I$179,"Comprado (a pagar)")+SUMIFS($E$120:$E$179,$B$120:$B$179,$A95,$I$120:$I$179,"Pago"),2)</f>
        <v/>
      </c>
      <c r="E95" s="53">
        <f>IF($C95="","",ROUND($D95-$C95,2))</f>
        <v/>
      </c>
      <c r="F95" s="38" t="n"/>
      <c r="G95" s="82">
        <f>ROUND(SUMIFS($E$120:$E$179,$B$120:$B$179,$A95,$I$120:$I$179,"A comprar"),2)</f>
        <v/>
      </c>
      <c r="H95" s="83">
        <f>ROUND(SUMIFS($E$120:$E$179,$B$120:$B$179,$A95,$I$120:$I$179,"Comprado (a pagar)"),2)</f>
        <v/>
      </c>
      <c r="I95" s="38" t="n"/>
      <c r="J95" s="38" t="n"/>
    </row>
    <row r="96" ht="17" customHeight="1">
      <c r="A96" s="36" t="inlineStr">
        <is>
          <t>Carreto e entrega</t>
        </is>
      </c>
      <c r="B96" s="37" t="n"/>
      <c r="C96" s="68" t="n">
        <v>900</v>
      </c>
      <c r="D96" s="53">
        <f>ROUND(SUMIFS($E$120:$E$179,$B$120:$B$179,$A96,$I$120:$I$179,"Comprado (a pagar)")+SUMIFS($E$120:$E$179,$B$120:$B$179,$A96,$I$120:$I$179,"Pago"),2)</f>
        <v/>
      </c>
      <c r="E96" s="53">
        <f>IF($C96="","",ROUND($D96-$C96,2))</f>
        <v/>
      </c>
      <c r="F96" s="38" t="n"/>
      <c r="G96" s="82">
        <f>ROUND(SUMIFS($E$120:$E$179,$B$120:$B$179,$A96,$I$120:$I$179,"A comprar"),2)</f>
        <v/>
      </c>
      <c r="H96" s="83">
        <f>ROUND(SUMIFS($E$120:$E$179,$B$120:$B$179,$A96,$I$120:$I$179,"Comprado (a pagar)"),2)</f>
        <v/>
      </c>
      <c r="I96" s="38" t="n"/>
      <c r="J96" s="38" t="n"/>
    </row>
    <row r="97" ht="17" customHeight="1">
      <c r="A97" s="36" t="inlineStr">
        <is>
          <t>Deslocamento da equipe</t>
        </is>
      </c>
      <c r="B97" s="37" t="n"/>
      <c r="C97" s="68" t="n">
        <v>400</v>
      </c>
      <c r="D97" s="53">
        <f>ROUND(SUMIFS($E$120:$E$179,$B$120:$B$179,$A97,$I$120:$I$179,"Comprado (a pagar)")+SUMIFS($E$120:$E$179,$B$120:$B$179,$A97,$I$120:$I$179,"Pago"),2)</f>
        <v/>
      </c>
      <c r="E97" s="53">
        <f>IF($C97="","",ROUND($D97-$C97,2))</f>
        <v/>
      </c>
      <c r="F97" s="38" t="n"/>
      <c r="G97" s="82">
        <f>ROUND(SUMIFS($E$120:$E$179,$B$120:$B$179,$A97,$I$120:$I$179,"A comprar"),2)</f>
        <v/>
      </c>
      <c r="H97" s="83">
        <f>ROUND(SUMIFS($E$120:$E$179,$B$120:$B$179,$A97,$I$120:$I$179,"Comprado (a pagar)"),2)</f>
        <v/>
      </c>
      <c r="I97" s="38" t="n"/>
      <c r="J97" s="38" t="n"/>
    </row>
    <row r="98" ht="17" customHeight="1">
      <c r="A98" s="36" t="inlineStr">
        <is>
          <t>Frete de material</t>
        </is>
      </c>
      <c r="B98" s="37" t="n"/>
      <c r="C98" s="68" t="n">
        <v>350</v>
      </c>
      <c r="D98" s="53">
        <f>ROUND(SUMIFS($E$120:$E$179,$B$120:$B$179,$A98,$I$120:$I$179,"Comprado (a pagar)")+SUMIFS($E$120:$E$179,$B$120:$B$179,$A98,$I$120:$I$179,"Pago"),2)</f>
        <v/>
      </c>
      <c r="E98" s="53">
        <f>IF($C98="","",ROUND($D98-$C98,2))</f>
        <v/>
      </c>
      <c r="F98" s="38" t="n"/>
      <c r="G98" s="82">
        <f>ROUND(SUMIFS($E$120:$E$179,$B$120:$B$179,$A98,$I$120:$I$179,"A comprar"),2)</f>
        <v/>
      </c>
      <c r="H98" s="83">
        <f>ROUND(SUMIFS($E$120:$E$179,$B$120:$B$179,$A98,$I$120:$I$179,"Comprado (a pagar)"),2)</f>
        <v/>
      </c>
      <c r="I98" s="38" t="n"/>
      <c r="J98" s="38" t="n"/>
    </row>
    <row r="99" ht="17" customHeight="1">
      <c r="A99" s="36" t="inlineStr">
        <is>
          <t>Estacionamento e pedágio</t>
        </is>
      </c>
      <c r="B99" s="37" t="n"/>
      <c r="C99" s="68" t="n">
        <v>100</v>
      </c>
      <c r="D99" s="53">
        <f>ROUND(SUMIFS($E$120:$E$179,$B$120:$B$179,$A99,$I$120:$I$179,"Comprado (a pagar)")+SUMIFS($E$120:$E$179,$B$120:$B$179,$A99,$I$120:$I$179,"Pago"),2)</f>
        <v/>
      </c>
      <c r="E99" s="53">
        <f>IF($C99="","",ROUND($D99-$C99,2))</f>
        <v/>
      </c>
      <c r="F99" s="38" t="n"/>
      <c r="G99" s="82">
        <f>ROUND(SUMIFS($E$120:$E$179,$B$120:$B$179,$A99,$I$120:$I$179,"A comprar"),2)</f>
        <v/>
      </c>
      <c r="H99" s="83">
        <f>ROUND(SUMIFS($E$120:$E$179,$B$120:$B$179,$A99,$I$120:$I$179,"Comprado (a pagar)"),2)</f>
        <v/>
      </c>
      <c r="I99" s="38" t="n"/>
      <c r="J99" s="38" t="n"/>
    </row>
    <row r="100" ht="20" customHeight="1">
      <c r="A100" s="31" t="inlineStr">
        <is>
          <t>(=) SUBTOTAL · LOGÍSTICA</t>
        </is>
      </c>
      <c r="B100" s="32" t="n"/>
      <c r="C100" s="57">
        <f>ROUND(SUM(C95:C99),2)</f>
        <v/>
      </c>
      <c r="D100" s="57">
        <f>ROUND(SUM(D95:D99),2)</f>
        <v/>
      </c>
      <c r="E100" s="57">
        <f>ROUND(SUM(E95:E99),2)</f>
        <v/>
      </c>
      <c r="F100" s="32" t="n"/>
      <c r="G100" s="57">
        <f>ROUND(SUM(G95:G99),2)</f>
        <v/>
      </c>
      <c r="H100" s="57">
        <f>ROUND(SUM(H95:H99),2)</f>
        <v/>
      </c>
      <c r="I100" s="32" t="n"/>
      <c r="J100" s="32" t="n"/>
    </row>
    <row r="101" ht="8" customHeight="1"/>
    <row r="102" ht="20" customHeight="1">
      <c r="A102" s="8" t="inlineStr">
        <is>
          <t xml:space="preserve">  7 · RETRABALHO          o que aconteceu, por que aconteceu e quanto custou — é aqui que o orçamento aprende</t>
        </is>
      </c>
      <c r="B102" s="9" t="n"/>
      <c r="C102" s="9" t="n"/>
      <c r="D102" s="9" t="n"/>
      <c r="E102" s="9" t="n"/>
      <c r="F102" s="9" t="n"/>
      <c r="G102" s="9" t="n"/>
      <c r="H102" s="9" t="n"/>
      <c r="I102" s="9" t="n"/>
      <c r="J102" s="9" t="n"/>
    </row>
    <row r="103" ht="26" customHeight="1">
      <c r="A103" s="19" t="inlineStr">
        <is>
          <t>O que aconteceu</t>
        </is>
      </c>
      <c r="B103" s="19" t="inlineStr">
        <is>
          <t>Causa</t>
        </is>
      </c>
      <c r="C103" s="35" t="n"/>
      <c r="D103" s="35" t="n"/>
      <c r="E103" s="19" t="inlineStr">
        <is>
          <t>Custo estimado (R$)</t>
        </is>
      </c>
      <c r="F103" s="35" t="n"/>
      <c r="G103" s="19" t="inlineStr">
        <is>
          <t>Providência / responsável</t>
        </is>
      </c>
      <c r="H103" s="35" t="n"/>
      <c r="I103" s="35" t="n"/>
      <c r="J103" s="35" t="n"/>
    </row>
    <row r="104" ht="18" customHeight="1">
      <c r="A104" s="76" t="inlineStr">
        <is>
          <t>Porta da cozinha empenou depois de instalada</t>
        </is>
      </c>
      <c r="B104" s="76" t="inlineStr">
        <is>
          <t>Falha de material</t>
        </is>
      </c>
      <c r="C104" s="46" t="n"/>
      <c r="D104" s="46" t="n"/>
      <c r="E104" s="84" t="n">
        <v>850</v>
      </c>
      <c r="F104" s="46" t="n"/>
      <c r="G104" s="70" t="inlineStr">
        <is>
          <t>Refeita em MDF de outro lote · fornecedor notificado</t>
        </is>
      </c>
      <c r="H104" s="46" t="n"/>
      <c r="I104" s="46" t="n"/>
      <c r="J104" s="46" t="n"/>
    </row>
    <row r="105" ht="18" customHeight="1">
      <c r="A105" s="76" t="inlineStr">
        <is>
          <t>Nicho da suíte 4 cm fora da medida</t>
        </is>
      </c>
      <c r="B105" s="76" t="inlineStr">
        <is>
          <t>Erro de medição</t>
        </is>
      </c>
      <c r="C105" s="46" t="n"/>
      <c r="D105" s="46" t="n"/>
      <c r="E105" s="84" t="n">
        <v>1200</v>
      </c>
      <c r="F105" s="46" t="n"/>
      <c r="G105" s="70" t="inlineStr">
        <is>
          <t>Refeito · medição passa a ser conferida por 2 pessoas</t>
        </is>
      </c>
      <c r="H105" s="46" t="n"/>
      <c r="I105" s="46" t="n"/>
      <c r="J105" s="46" t="n"/>
    </row>
    <row r="106" ht="18" customHeight="1">
      <c r="A106" s="76" t="inlineStr">
        <is>
          <t>Risco no tampo da lavanderia no transporte</t>
        </is>
      </c>
      <c r="B106" s="76" t="inlineStr">
        <is>
          <t>Dano no transporte</t>
        </is>
      </c>
      <c r="C106" s="46" t="n"/>
      <c r="D106" s="46" t="n"/>
      <c r="E106" s="84" t="n">
        <v>320</v>
      </c>
      <c r="F106" s="46" t="n"/>
      <c r="G106" s="70" t="inlineStr">
        <is>
          <t>Polido no local · exigir manta no carreto</t>
        </is>
      </c>
      <c r="H106" s="46" t="n"/>
      <c r="I106" s="46" t="n"/>
      <c r="J106" s="46" t="n"/>
    </row>
    <row r="107" ht="18" customHeight="1">
      <c r="A107" s="76" t="n"/>
      <c r="B107" s="76" t="n"/>
      <c r="C107" s="46" t="n"/>
      <c r="D107" s="46" t="n"/>
      <c r="E107" s="84" t="n"/>
      <c r="F107" s="46" t="n"/>
      <c r="G107" s="70" t="n"/>
      <c r="H107" s="46" t="n"/>
      <c r="I107" s="46" t="n"/>
      <c r="J107" s="46" t="n"/>
    </row>
    <row r="108" ht="18" customHeight="1">
      <c r="A108" s="76" t="n"/>
      <c r="B108" s="76" t="n"/>
      <c r="C108" s="46" t="n"/>
      <c r="D108" s="46" t="n"/>
      <c r="E108" s="84" t="n"/>
      <c r="F108" s="46" t="n"/>
      <c r="G108" s="70" t="n"/>
      <c r="H108" s="46" t="n"/>
      <c r="I108" s="46" t="n"/>
      <c r="J108" s="46" t="n"/>
    </row>
    <row r="109" ht="18" customHeight="1">
      <c r="A109" s="76" t="n"/>
      <c r="B109" s="76" t="n"/>
      <c r="C109" s="46" t="n"/>
      <c r="D109" s="46" t="n"/>
      <c r="E109" s="84" t="n"/>
      <c r="F109" s="46" t="n"/>
      <c r="G109" s="70" t="n"/>
      <c r="H109" s="46" t="n"/>
      <c r="I109" s="46" t="n"/>
      <c r="J109" s="46" t="n"/>
    </row>
    <row r="110" ht="18" customHeight="1">
      <c r="A110" s="76" t="n"/>
      <c r="B110" s="76" t="n"/>
      <c r="C110" s="46" t="n"/>
      <c r="D110" s="46" t="n"/>
      <c r="E110" s="84" t="n"/>
      <c r="F110" s="46" t="n"/>
      <c r="G110" s="70" t="n"/>
      <c r="H110" s="46" t="n"/>
      <c r="I110" s="46" t="n"/>
      <c r="J110" s="46" t="n"/>
    </row>
    <row r="111" ht="18" customHeight="1">
      <c r="A111" s="76" t="n"/>
      <c r="B111" s="76" t="n"/>
      <c r="C111" s="46" t="n"/>
      <c r="D111" s="46" t="n"/>
      <c r="E111" s="84" t="n"/>
      <c r="F111" s="46" t="n"/>
      <c r="G111" s="70" t="n"/>
      <c r="H111" s="46" t="n"/>
      <c r="I111" s="46" t="n"/>
      <c r="J111" s="46" t="n"/>
    </row>
    <row r="112" ht="18" customHeight="1">
      <c r="A112" s="76" t="n"/>
      <c r="B112" s="76" t="n"/>
      <c r="C112" s="46" t="n"/>
      <c r="D112" s="46" t="n"/>
      <c r="E112" s="84" t="n"/>
      <c r="F112" s="46" t="n"/>
      <c r="G112" s="70" t="n"/>
      <c r="H112" s="46" t="n"/>
      <c r="I112" s="46" t="n"/>
      <c r="J112" s="46" t="n"/>
    </row>
    <row r="113" ht="18" customHeight="1">
      <c r="A113" s="76" t="n"/>
      <c r="B113" s="76" t="n"/>
      <c r="C113" s="46" t="n"/>
      <c r="D113" s="46" t="n"/>
      <c r="E113" s="84" t="n"/>
      <c r="F113" s="46" t="n"/>
      <c r="G113" s="70" t="n"/>
      <c r="H113" s="46" t="n"/>
      <c r="I113" s="46" t="n"/>
      <c r="J113" s="46" t="n"/>
    </row>
    <row r="114" ht="18" customHeight="1">
      <c r="A114" s="76" t="n"/>
      <c r="B114" s="76" t="n"/>
      <c r="C114" s="46" t="n"/>
      <c r="D114" s="46" t="n"/>
      <c r="E114" s="84" t="n"/>
      <c r="F114" s="46" t="n"/>
      <c r="G114" s="70" t="n"/>
      <c r="H114" s="46" t="n"/>
      <c r="I114" s="46" t="n"/>
      <c r="J114" s="46" t="n"/>
    </row>
    <row r="115" ht="18" customHeight="1">
      <c r="A115" s="76" t="n"/>
      <c r="B115" s="76" t="n"/>
      <c r="C115" s="46" t="n"/>
      <c r="D115" s="46" t="n"/>
      <c r="E115" s="84" t="n"/>
      <c r="F115" s="46" t="n"/>
      <c r="G115" s="70" t="n"/>
      <c r="H115" s="46" t="n"/>
      <c r="I115" s="46" t="n"/>
      <c r="J115" s="46" t="n"/>
    </row>
    <row r="116" ht="20" customHeight="1">
      <c r="A116" s="31" t="inlineStr">
        <is>
          <t>CONTINGÊNCIA PREVISTA NO ORÇAMENTO  →</t>
        </is>
      </c>
      <c r="B116" s="32" t="n"/>
      <c r="C116" s="85" t="n">
        <v>1500</v>
      </c>
      <c r="D116" s="57">
        <f>ROUND(SUM($E$104:$E$115),2)</f>
        <v/>
      </c>
      <c r="E116" s="57">
        <f>ROUND($D$116-IF($C$116="",0,$C$116),2)</f>
        <v/>
      </c>
      <c r="F116" s="32" t="n"/>
      <c r="G116" s="59">
        <f>IF(OR($A$13="",$A$13=0),"",$D$116/$A$13)</f>
        <v/>
      </c>
      <c r="H116" s="86" t="inlineStr">
        <is>
          <t>orçado = a contingência prevista · realizado = a soma acima</t>
        </is>
      </c>
      <c r="I116" s="32" t="n"/>
      <c r="J116" s="32" t="n"/>
    </row>
    <row r="117" ht="8" customHeight="1"/>
    <row r="118" ht="20" customHeight="1">
      <c r="A118" s="8" t="inlineStr">
        <is>
          <t xml:space="preserve">  8 · LIVRO DE COMPRAS E DESPESAS DO PROJETO          uma linha por compra, na ordem em que acontecer · pode inserir linhas à vontade aqui</t>
        </is>
      </c>
      <c r="B118" s="9" t="n"/>
      <c r="C118" s="9" t="n"/>
      <c r="D118" s="9" t="n"/>
      <c r="E118" s="9" t="n"/>
      <c r="F118" s="9" t="n"/>
      <c r="G118" s="9" t="n"/>
      <c r="H118" s="9" t="n"/>
      <c r="I118" s="9" t="n"/>
      <c r="J118" s="9" t="n"/>
    </row>
    <row r="119" ht="28" customHeight="1">
      <c r="A119" s="19" t="inlineStr">
        <is>
          <t>Descrição / fornecedor</t>
        </is>
      </c>
      <c r="B119" s="19" t="inlineStr">
        <is>
          <t>Categoria</t>
        </is>
      </c>
      <c r="C119" s="35" t="n"/>
      <c r="D119" s="19" t="inlineStr">
        <is>
          <t>Data</t>
        </is>
      </c>
      <c r="E119" s="19" t="inlineStr">
        <is>
          <t>Valor (R$)</t>
        </is>
      </c>
      <c r="F119" s="35" t="n"/>
      <c r="G119" s="19" t="inlineStr">
        <is>
          <t>Forma de pagamento</t>
        </is>
      </c>
      <c r="H119" s="35" t="n"/>
      <c r="I119" s="19" t="inlineStr">
        <is>
          <t>Status</t>
        </is>
      </c>
      <c r="J119" s="35" t="n"/>
    </row>
    <row r="120" ht="17" customHeight="1">
      <c r="A120" s="76" t="inlineStr">
        <is>
          <t>MADEGEM — chapas brancas TX</t>
        </is>
      </c>
      <c r="B120" s="87" t="inlineStr">
        <is>
          <t>MDF e MDP</t>
        </is>
      </c>
      <c r="C120" s="46" t="n"/>
      <c r="D120" s="88" t="n">
        <v>46154</v>
      </c>
      <c r="E120" s="89" t="n">
        <v>8200</v>
      </c>
      <c r="F120" s="46" t="n"/>
      <c r="G120" s="90" t="inlineStr">
        <is>
          <t>PIX</t>
        </is>
      </c>
      <c r="H120" s="46" t="n"/>
      <c r="I120" s="91" t="inlineStr">
        <is>
          <t>Pago</t>
        </is>
      </c>
      <c r="J120" s="46" t="n"/>
    </row>
    <row r="121" ht="17" customHeight="1">
      <c r="A121" s="76" t="inlineStr">
        <is>
          <t>Frete das chapas</t>
        </is>
      </c>
      <c r="B121" s="87" t="inlineStr">
        <is>
          <t>Frete de material</t>
        </is>
      </c>
      <c r="C121" s="46" t="n"/>
      <c r="D121" s="88" t="n">
        <v>46154</v>
      </c>
      <c r="E121" s="89" t="n">
        <v>350</v>
      </c>
      <c r="F121" s="46" t="n"/>
      <c r="G121" s="90" t="inlineStr">
        <is>
          <t>Dinheiro</t>
        </is>
      </c>
      <c r="H121" s="46" t="n"/>
      <c r="I121" s="91" t="inlineStr">
        <is>
          <t>Pago</t>
        </is>
      </c>
      <c r="J121" s="46" t="n"/>
    </row>
    <row r="122" ht="17" customHeight="1">
      <c r="A122" s="76" t="inlineStr">
        <is>
          <t>Consumíveis — parafuso e cola</t>
        </is>
      </c>
      <c r="B122" s="87" t="inlineStr">
        <is>
          <t>Consumíveis</t>
        </is>
      </c>
      <c r="C122" s="46" t="n"/>
      <c r="D122" s="88" t="n">
        <v>46157</v>
      </c>
      <c r="E122" s="89" t="n">
        <v>640</v>
      </c>
      <c r="F122" s="46" t="n"/>
      <c r="G122" s="90" t="inlineStr">
        <is>
          <t>Dinheiro</t>
        </is>
      </c>
      <c r="H122" s="46" t="n"/>
      <c r="I122" s="91" t="inlineStr">
        <is>
          <t>Pago</t>
        </is>
      </c>
      <c r="J122" s="46" t="n"/>
    </row>
    <row r="123" ht="17" customHeight="1">
      <c r="A123" s="76" t="inlineStr">
        <is>
          <t>Lâmina natural freijó</t>
        </is>
      </c>
      <c r="B123" s="87" t="inlineStr">
        <is>
          <t>Lâmina natural</t>
        </is>
      </c>
      <c r="C123" s="46" t="n"/>
      <c r="D123" s="88" t="n">
        <v>46161</v>
      </c>
      <c r="E123" s="89" t="n">
        <v>3200</v>
      </c>
      <c r="F123" s="46" t="n"/>
      <c r="G123" s="90" t="inlineStr">
        <is>
          <t>PIX</t>
        </is>
      </c>
      <c r="H123" s="46" t="n"/>
      <c r="I123" s="91" t="inlineStr">
        <is>
          <t>Pago</t>
        </is>
      </c>
      <c r="J123" s="46" t="n"/>
    </row>
    <row r="124" ht="17" customHeight="1">
      <c r="A124" s="76" t="inlineStr">
        <is>
          <t>Bigfer — corrediças e dobradiças</t>
        </is>
      </c>
      <c r="B124" s="87" t="inlineStr">
        <is>
          <t>Ferragens</t>
        </is>
      </c>
      <c r="C124" s="46" t="n"/>
      <c r="D124" s="88" t="n">
        <v>46162</v>
      </c>
      <c r="E124" s="89" t="n">
        <v>4300</v>
      </c>
      <c r="F124" s="46" t="n"/>
      <c r="G124" s="90" t="inlineStr">
        <is>
          <t>Cartão parcelado</t>
        </is>
      </c>
      <c r="H124" s="46" t="n"/>
      <c r="I124" s="91" t="inlineStr">
        <is>
          <t>Pago</t>
        </is>
      </c>
      <c r="J124" s="46" t="n"/>
    </row>
    <row r="125" ht="17" customHeight="1">
      <c r="A125" s="76" t="inlineStr">
        <is>
          <t>Uber — medição e conferência</t>
        </is>
      </c>
      <c r="B125" s="87" t="inlineStr">
        <is>
          <t>Uber e aplicativo</t>
        </is>
      </c>
      <c r="C125" s="46" t="n"/>
      <c r="D125" s="88" t="n">
        <v>46164</v>
      </c>
      <c r="E125" s="89" t="n">
        <v>230</v>
      </c>
      <c r="F125" s="46" t="n"/>
      <c r="G125" s="90" t="inlineStr">
        <is>
          <t>PIX</t>
        </is>
      </c>
      <c r="H125" s="46" t="n"/>
      <c r="I125" s="91" t="inlineStr">
        <is>
          <t>Pago</t>
        </is>
      </c>
      <c r="J125" s="46" t="n"/>
    </row>
    <row r="126" ht="17" customHeight="1">
      <c r="A126" s="76" t="inlineStr">
        <is>
          <t>MADEGEM — complemento de chapas</t>
        </is>
      </c>
      <c r="B126" s="87" t="inlineStr">
        <is>
          <t>MDF e MDP</t>
        </is>
      </c>
      <c r="C126" s="46" t="n"/>
      <c r="D126" s="88" t="n">
        <v>46170</v>
      </c>
      <c r="E126" s="89" t="n">
        <v>5180</v>
      </c>
      <c r="F126" s="46" t="n"/>
      <c r="G126" s="90" t="inlineStr">
        <is>
          <t>Boleto</t>
        </is>
      </c>
      <c r="H126" s="46" t="n"/>
      <c r="I126" s="91" t="inlineStr">
        <is>
          <t>Pago</t>
        </is>
      </c>
      <c r="J126" s="46" t="n"/>
    </row>
    <row r="127" ht="17" customHeight="1">
      <c r="A127" s="76" t="inlineStr">
        <is>
          <t>Fita de borda 6 cores</t>
        </is>
      </c>
      <c r="B127" s="87" t="inlineStr">
        <is>
          <t>Fita de borda</t>
        </is>
      </c>
      <c r="C127" s="46" t="n"/>
      <c r="D127" s="88" t="n">
        <v>46170</v>
      </c>
      <c r="E127" s="89" t="n">
        <v>1120</v>
      </c>
      <c r="F127" s="46" t="n"/>
      <c r="G127" s="90" t="inlineStr">
        <is>
          <t>PIX</t>
        </is>
      </c>
      <c r="H127" s="46" t="n"/>
      <c r="I127" s="91" t="inlineStr">
        <is>
          <t>Pago</t>
        </is>
      </c>
      <c r="J127" s="46" t="n"/>
    </row>
    <row r="128" ht="17" customHeight="1">
      <c r="A128" s="76" t="inlineStr">
        <is>
          <t>Consumíveis — lixa e tíner</t>
        </is>
      </c>
      <c r="B128" s="87" t="inlineStr">
        <is>
          <t>Consumíveis</t>
        </is>
      </c>
      <c r="C128" s="46" t="n"/>
      <c r="D128" s="88" t="n">
        <v>46176</v>
      </c>
      <c r="E128" s="89" t="n">
        <v>465</v>
      </c>
      <c r="F128" s="46" t="n"/>
      <c r="G128" s="90" t="inlineStr">
        <is>
          <t>PIX</t>
        </is>
      </c>
      <c r="H128" s="46" t="n"/>
      <c r="I128" s="91" t="inlineStr">
        <is>
          <t>Pago</t>
        </is>
      </c>
      <c r="J128" s="46" t="n"/>
    </row>
    <row r="129" ht="17" customHeight="1">
      <c r="A129" s="76" t="inlineStr">
        <is>
          <t>JR Ferragens — puxadores</t>
        </is>
      </c>
      <c r="B129" s="87" t="inlineStr">
        <is>
          <t>Ferragens</t>
        </is>
      </c>
      <c r="C129" s="46" t="n"/>
      <c r="D129" s="88" t="n">
        <v>46184</v>
      </c>
      <c r="E129" s="89" t="n">
        <v>3150</v>
      </c>
      <c r="F129" s="46" t="n"/>
      <c r="G129" s="90" t="inlineStr">
        <is>
          <t>PIX</t>
        </is>
      </c>
      <c r="H129" s="46" t="n"/>
      <c r="I129" s="91" t="inlineStr">
        <is>
          <t>Pago</t>
        </is>
      </c>
      <c r="J129" s="46" t="n"/>
    </row>
    <row r="130" ht="17" customHeight="1">
      <c r="A130" s="76" t="inlineStr">
        <is>
          <t>MADEGEM — reposição pós-retrabalho</t>
        </is>
      </c>
      <c r="B130" s="87" t="inlineStr">
        <is>
          <t>MDF e MDP</t>
        </is>
      </c>
      <c r="C130" s="46" t="n"/>
      <c r="D130" s="88" t="n">
        <v>46187</v>
      </c>
      <c r="E130" s="89" t="n">
        <v>2600</v>
      </c>
      <c r="F130" s="46" t="n"/>
      <c r="G130" s="90" t="inlineStr">
        <is>
          <t>Boleto</t>
        </is>
      </c>
      <c r="H130" s="46" t="n"/>
      <c r="I130" s="91" t="inlineStr">
        <is>
          <t>Comprado (a pagar)</t>
        </is>
      </c>
      <c r="J130" s="46" t="n"/>
    </row>
    <row r="131" ht="17" customHeight="1">
      <c r="A131" s="76" t="inlineStr">
        <is>
          <t>Consumíveis — estopa e adesivo</t>
        </is>
      </c>
      <c r="B131" s="87" t="inlineStr">
        <is>
          <t>Consumíveis</t>
        </is>
      </c>
      <c r="C131" s="46" t="n"/>
      <c r="D131" s="88" t="n">
        <v>46198</v>
      </c>
      <c r="E131" s="89" t="n">
        <v>360</v>
      </c>
      <c r="F131" s="46" t="n"/>
      <c r="G131" s="90" t="inlineStr">
        <is>
          <t>Dinheiro</t>
        </is>
      </c>
      <c r="H131" s="46" t="n"/>
      <c r="I131" s="91" t="inlineStr">
        <is>
          <t>Pago</t>
        </is>
      </c>
      <c r="J131" s="46" t="n"/>
    </row>
    <row r="132" ht="17" customHeight="1">
      <c r="A132" s="76" t="inlineStr">
        <is>
          <t>Serralheria — estrutura da bancada</t>
        </is>
      </c>
      <c r="B132" s="87" t="inlineStr">
        <is>
          <t>Serralheria</t>
        </is>
      </c>
      <c r="C132" s="46" t="n"/>
      <c r="D132" s="88" t="n">
        <v>46199</v>
      </c>
      <c r="E132" s="89" t="n">
        <v>1500</v>
      </c>
      <c r="F132" s="46" t="n"/>
      <c r="G132" s="90" t="inlineStr">
        <is>
          <t>PIX</t>
        </is>
      </c>
      <c r="H132" s="46" t="n"/>
      <c r="I132" s="91" t="inlineStr">
        <is>
          <t>Pago</t>
        </is>
      </c>
      <c r="J132" s="46" t="n"/>
    </row>
    <row r="133" ht="17" customHeight="1">
      <c r="A133" s="76" t="inlineStr">
        <is>
          <t>Espelho da suíte</t>
        </is>
      </c>
      <c r="B133" s="87" t="inlineStr">
        <is>
          <t>Vidros e espelhos</t>
        </is>
      </c>
      <c r="C133" s="46" t="n"/>
      <c r="D133" s="88" t="n">
        <v>46205</v>
      </c>
      <c r="E133" s="89" t="n">
        <v>2200</v>
      </c>
      <c r="F133" s="46" t="n"/>
      <c r="G133" s="90" t="inlineStr">
        <is>
          <t>Boleto</t>
        </is>
      </c>
      <c r="H133" s="46" t="n"/>
      <c r="I133" s="91" t="inlineStr">
        <is>
          <t>Comprado (a pagar)</t>
        </is>
      </c>
      <c r="J133" s="46" t="n"/>
    </row>
    <row r="134" ht="17" customHeight="1">
      <c r="A134" s="76" t="inlineStr">
        <is>
          <t>Vidraceiro — instalação</t>
        </is>
      </c>
      <c r="B134" s="87" t="inlineStr">
        <is>
          <t>Vidraceiro</t>
        </is>
      </c>
      <c r="C134" s="46" t="n"/>
      <c r="D134" s="88" t="n">
        <v>46207</v>
      </c>
      <c r="E134" s="89" t="n">
        <v>1250</v>
      </c>
      <c r="F134" s="46" t="n"/>
      <c r="G134" s="90" t="inlineStr">
        <is>
          <t>PIX</t>
        </is>
      </c>
      <c r="H134" s="46" t="n"/>
      <c r="I134" s="91" t="inlineStr">
        <is>
          <t>Pago</t>
        </is>
      </c>
      <c r="J134" s="46" t="n"/>
    </row>
    <row r="135" ht="17" customHeight="1">
      <c r="A135" s="76" t="inlineStr">
        <is>
          <t>Laqueação das portas</t>
        </is>
      </c>
      <c r="B135" s="87" t="inlineStr">
        <is>
          <t>Acabamento</t>
        </is>
      </c>
      <c r="C135" s="46" t="n"/>
      <c r="D135" s="88" t="n">
        <v>46213</v>
      </c>
      <c r="E135" s="89" t="n">
        <v>5400</v>
      </c>
      <c r="F135" s="46" t="n"/>
      <c r="G135" s="90" t="inlineStr">
        <is>
          <t>Faturado 30 dias</t>
        </is>
      </c>
      <c r="H135" s="46" t="n"/>
      <c r="I135" s="91" t="inlineStr">
        <is>
          <t>Comprado (a pagar)</t>
        </is>
      </c>
      <c r="J135" s="46" t="n"/>
    </row>
    <row r="136" ht="17" customHeight="1">
      <c r="A136" s="76" t="inlineStr">
        <is>
          <t>Carreto — 1ª entrega</t>
        </is>
      </c>
      <c r="B136" s="87" t="inlineStr">
        <is>
          <t>Carreto e entrega</t>
        </is>
      </c>
      <c r="C136" s="46" t="n"/>
      <c r="D136" s="88" t="n">
        <v>46231</v>
      </c>
      <c r="E136" s="89" t="n">
        <v>650</v>
      </c>
      <c r="F136" s="46" t="n"/>
      <c r="G136" s="90" t="inlineStr">
        <is>
          <t>PIX</t>
        </is>
      </c>
      <c r="H136" s="46" t="n"/>
      <c r="I136" s="91" t="inlineStr">
        <is>
          <t>Pago</t>
        </is>
      </c>
      <c r="J136" s="46" t="n"/>
    </row>
    <row r="137" ht="17" customHeight="1">
      <c r="A137" s="76" t="inlineStr">
        <is>
          <t>Uber — acerto final com o cliente</t>
        </is>
      </c>
      <c r="B137" s="87" t="inlineStr">
        <is>
          <t>Uber e aplicativo</t>
        </is>
      </c>
      <c r="C137" s="46" t="n"/>
      <c r="D137" s="88" t="n">
        <v>46233</v>
      </c>
      <c r="E137" s="89" t="n">
        <v>180</v>
      </c>
      <c r="F137" s="46" t="n"/>
      <c r="G137" s="90" t="inlineStr">
        <is>
          <t>PIX</t>
        </is>
      </c>
      <c r="H137" s="46" t="n"/>
      <c r="I137" s="91" t="inlineStr">
        <is>
          <t>Pago</t>
        </is>
      </c>
      <c r="J137" s="46" t="n"/>
    </row>
    <row r="138" ht="17" customHeight="1">
      <c r="A138" s="76" t="inlineStr">
        <is>
          <t>Carreto — 2ª entrega e retorno</t>
        </is>
      </c>
      <c r="B138" s="87" t="inlineStr">
        <is>
          <t>Carreto e entrega</t>
        </is>
      </c>
      <c r="C138" s="46" t="n"/>
      <c r="D138" s="88" t="n">
        <v>46239</v>
      </c>
      <c r="E138" s="89" t="n">
        <v>500</v>
      </c>
      <c r="F138" s="46" t="n"/>
      <c r="G138" s="90" t="inlineStr">
        <is>
          <t>PIX</t>
        </is>
      </c>
      <c r="H138" s="46" t="n"/>
      <c r="I138" s="91" t="inlineStr">
        <is>
          <t>Pago</t>
        </is>
      </c>
      <c r="J138" s="46" t="n"/>
    </row>
    <row r="139" ht="17" customHeight="1">
      <c r="A139" s="76" t="inlineStr">
        <is>
          <t>Deslocamento da equipe de montagem</t>
        </is>
      </c>
      <c r="B139" s="87" t="inlineStr">
        <is>
          <t>Deslocamento da equipe</t>
        </is>
      </c>
      <c r="C139" s="46" t="n"/>
      <c r="D139" s="88" t="n">
        <v>46239</v>
      </c>
      <c r="E139" s="89" t="n">
        <v>620</v>
      </c>
      <c r="F139" s="46" t="n"/>
      <c r="G139" s="90" t="inlineStr">
        <is>
          <t>Dinheiro</t>
        </is>
      </c>
      <c r="H139" s="46" t="n"/>
      <c r="I139" s="91" t="inlineStr">
        <is>
          <t>Pago</t>
        </is>
      </c>
      <c r="J139" s="46" t="n"/>
    </row>
    <row r="140" ht="17" customHeight="1">
      <c r="A140" s="76" t="inlineStr">
        <is>
          <t>Estacionamento e pedágio</t>
        </is>
      </c>
      <c r="B140" s="87" t="inlineStr">
        <is>
          <t>Estacionamento e pedágio</t>
        </is>
      </c>
      <c r="C140" s="46" t="n"/>
      <c r="D140" s="88" t="n">
        <v>46240</v>
      </c>
      <c r="E140" s="89" t="n">
        <v>185</v>
      </c>
      <c r="F140" s="46" t="n"/>
      <c r="G140" s="90" t="inlineStr">
        <is>
          <t>Dinheiro</t>
        </is>
      </c>
      <c r="H140" s="46" t="n"/>
      <c r="I140" s="91" t="inlineStr">
        <is>
          <t>Pago</t>
        </is>
      </c>
      <c r="J140" s="46" t="n"/>
    </row>
    <row r="141" ht="17" customHeight="1">
      <c r="A141" s="76" t="n"/>
      <c r="B141" s="87" t="n"/>
      <c r="C141" s="46" t="n"/>
      <c r="D141" s="88" t="n"/>
      <c r="E141" s="89" t="n"/>
      <c r="F141" s="46" t="n"/>
      <c r="G141" s="90" t="n"/>
      <c r="H141" s="46" t="n"/>
      <c r="I141" s="91" t="n"/>
      <c r="J141" s="46" t="n"/>
    </row>
    <row r="142" ht="17" customHeight="1">
      <c r="A142" s="76" t="n"/>
      <c r="B142" s="87" t="n"/>
      <c r="C142" s="46" t="n"/>
      <c r="D142" s="88" t="n"/>
      <c r="E142" s="89" t="n"/>
      <c r="F142" s="46" t="n"/>
      <c r="G142" s="90" t="n"/>
      <c r="H142" s="46" t="n"/>
      <c r="I142" s="91" t="n"/>
      <c r="J142" s="46" t="n"/>
    </row>
    <row r="143" ht="17" customHeight="1">
      <c r="A143" s="76" t="n"/>
      <c r="B143" s="87" t="n"/>
      <c r="C143" s="46" t="n"/>
      <c r="D143" s="88" t="n"/>
      <c r="E143" s="89" t="n"/>
      <c r="F143" s="46" t="n"/>
      <c r="G143" s="90" t="n"/>
      <c r="H143" s="46" t="n"/>
      <c r="I143" s="91" t="n"/>
      <c r="J143" s="46" t="n"/>
    </row>
    <row r="144" ht="17" customHeight="1">
      <c r="A144" s="76" t="n"/>
      <c r="B144" s="87" t="n"/>
      <c r="C144" s="46" t="n"/>
      <c r="D144" s="88" t="n"/>
      <c r="E144" s="89" t="n"/>
      <c r="F144" s="46" t="n"/>
      <c r="G144" s="90" t="n"/>
      <c r="H144" s="46" t="n"/>
      <c r="I144" s="91" t="n"/>
      <c r="J144" s="46" t="n"/>
    </row>
    <row r="145" ht="17" customHeight="1">
      <c r="A145" s="76" t="n"/>
      <c r="B145" s="87" t="n"/>
      <c r="C145" s="46" t="n"/>
      <c r="D145" s="88" t="n"/>
      <c r="E145" s="89" t="n"/>
      <c r="F145" s="46" t="n"/>
      <c r="G145" s="90" t="n"/>
      <c r="H145" s="46" t="n"/>
      <c r="I145" s="91" t="n"/>
      <c r="J145" s="46" t="n"/>
    </row>
    <row r="146" ht="17" customHeight="1">
      <c r="A146" s="76" t="n"/>
      <c r="B146" s="87" t="n"/>
      <c r="C146" s="46" t="n"/>
      <c r="D146" s="88" t="n"/>
      <c r="E146" s="89" t="n"/>
      <c r="F146" s="46" t="n"/>
      <c r="G146" s="90" t="n"/>
      <c r="H146" s="46" t="n"/>
      <c r="I146" s="91" t="n"/>
      <c r="J146" s="46" t="n"/>
    </row>
    <row r="147" ht="17" customHeight="1">
      <c r="A147" s="76" t="n"/>
      <c r="B147" s="87" t="n"/>
      <c r="C147" s="46" t="n"/>
      <c r="D147" s="88" t="n"/>
      <c r="E147" s="89" t="n"/>
      <c r="F147" s="46" t="n"/>
      <c r="G147" s="90" t="n"/>
      <c r="H147" s="46" t="n"/>
      <c r="I147" s="91" t="n"/>
      <c r="J147" s="46" t="n"/>
    </row>
    <row r="148" ht="17" customHeight="1">
      <c r="A148" s="76" t="n"/>
      <c r="B148" s="87" t="n"/>
      <c r="C148" s="46" t="n"/>
      <c r="D148" s="88" t="n"/>
      <c r="E148" s="89" t="n"/>
      <c r="F148" s="46" t="n"/>
      <c r="G148" s="90" t="n"/>
      <c r="H148" s="46" t="n"/>
      <c r="I148" s="91" t="n"/>
      <c r="J148" s="46" t="n"/>
    </row>
    <row r="149" ht="17" customHeight="1">
      <c r="A149" s="76" t="n"/>
      <c r="B149" s="87" t="n"/>
      <c r="C149" s="46" t="n"/>
      <c r="D149" s="88" t="n"/>
      <c r="E149" s="89" t="n"/>
      <c r="F149" s="46" t="n"/>
      <c r="G149" s="90" t="n"/>
      <c r="H149" s="46" t="n"/>
      <c r="I149" s="91" t="n"/>
      <c r="J149" s="46" t="n"/>
    </row>
    <row r="150" ht="17" customHeight="1">
      <c r="A150" s="76" t="n"/>
      <c r="B150" s="87" t="n"/>
      <c r="C150" s="46" t="n"/>
      <c r="D150" s="88" t="n"/>
      <c r="E150" s="89" t="n"/>
      <c r="F150" s="46" t="n"/>
      <c r="G150" s="90" t="n"/>
      <c r="H150" s="46" t="n"/>
      <c r="I150" s="91" t="n"/>
      <c r="J150" s="46" t="n"/>
    </row>
    <row r="151" ht="17" customHeight="1">
      <c r="A151" s="76" t="n"/>
      <c r="B151" s="87" t="n"/>
      <c r="C151" s="46" t="n"/>
      <c r="D151" s="88" t="n"/>
      <c r="E151" s="89" t="n"/>
      <c r="F151" s="46" t="n"/>
      <c r="G151" s="90" t="n"/>
      <c r="H151" s="46" t="n"/>
      <c r="I151" s="91" t="n"/>
      <c r="J151" s="46" t="n"/>
    </row>
    <row r="152" ht="17" customHeight="1">
      <c r="A152" s="76" t="n"/>
      <c r="B152" s="87" t="n"/>
      <c r="C152" s="46" t="n"/>
      <c r="D152" s="88" t="n"/>
      <c r="E152" s="89" t="n"/>
      <c r="F152" s="46" t="n"/>
      <c r="G152" s="90" t="n"/>
      <c r="H152" s="46" t="n"/>
      <c r="I152" s="91" t="n"/>
      <c r="J152" s="46" t="n"/>
    </row>
    <row r="153" ht="17" customHeight="1">
      <c r="A153" s="76" t="n"/>
      <c r="B153" s="87" t="n"/>
      <c r="C153" s="46" t="n"/>
      <c r="D153" s="88" t="n"/>
      <c r="E153" s="89" t="n"/>
      <c r="F153" s="46" t="n"/>
      <c r="G153" s="90" t="n"/>
      <c r="H153" s="46" t="n"/>
      <c r="I153" s="91" t="n"/>
      <c r="J153" s="46" t="n"/>
    </row>
    <row r="154" ht="17" customHeight="1">
      <c r="A154" s="76" t="n"/>
      <c r="B154" s="87" t="n"/>
      <c r="C154" s="46" t="n"/>
      <c r="D154" s="88" t="n"/>
      <c r="E154" s="89" t="n"/>
      <c r="F154" s="46" t="n"/>
      <c r="G154" s="90" t="n"/>
      <c r="H154" s="46" t="n"/>
      <c r="I154" s="91" t="n"/>
      <c r="J154" s="46" t="n"/>
    </row>
    <row r="155" ht="17" customHeight="1">
      <c r="A155" s="76" t="n"/>
      <c r="B155" s="87" t="n"/>
      <c r="C155" s="46" t="n"/>
      <c r="D155" s="88" t="n"/>
      <c r="E155" s="89" t="n"/>
      <c r="F155" s="46" t="n"/>
      <c r="G155" s="90" t="n"/>
      <c r="H155" s="46" t="n"/>
      <c r="I155" s="91" t="n"/>
      <c r="J155" s="46" t="n"/>
    </row>
    <row r="156" ht="17" customHeight="1">
      <c r="A156" s="76" t="n"/>
      <c r="B156" s="87" t="n"/>
      <c r="C156" s="46" t="n"/>
      <c r="D156" s="88" t="n"/>
      <c r="E156" s="89" t="n"/>
      <c r="F156" s="46" t="n"/>
      <c r="G156" s="90" t="n"/>
      <c r="H156" s="46" t="n"/>
      <c r="I156" s="91" t="n"/>
      <c r="J156" s="46" t="n"/>
    </row>
    <row r="157" ht="17" customHeight="1">
      <c r="A157" s="76" t="n"/>
      <c r="B157" s="87" t="n"/>
      <c r="C157" s="46" t="n"/>
      <c r="D157" s="88" t="n"/>
      <c r="E157" s="89" t="n"/>
      <c r="F157" s="46" t="n"/>
      <c r="G157" s="90" t="n"/>
      <c r="H157" s="46" t="n"/>
      <c r="I157" s="91" t="n"/>
      <c r="J157" s="46" t="n"/>
    </row>
    <row r="158" ht="17" customHeight="1">
      <c r="A158" s="76" t="n"/>
      <c r="B158" s="87" t="n"/>
      <c r="C158" s="46" t="n"/>
      <c r="D158" s="88" t="n"/>
      <c r="E158" s="89" t="n"/>
      <c r="F158" s="46" t="n"/>
      <c r="G158" s="90" t="n"/>
      <c r="H158" s="46" t="n"/>
      <c r="I158" s="91" t="n"/>
      <c r="J158" s="46" t="n"/>
    </row>
    <row r="159" ht="17" customHeight="1">
      <c r="A159" s="76" t="n"/>
      <c r="B159" s="87" t="n"/>
      <c r="C159" s="46" t="n"/>
      <c r="D159" s="88" t="n"/>
      <c r="E159" s="89" t="n"/>
      <c r="F159" s="46" t="n"/>
      <c r="G159" s="90" t="n"/>
      <c r="H159" s="46" t="n"/>
      <c r="I159" s="91" t="n"/>
      <c r="J159" s="46" t="n"/>
    </row>
    <row r="160" ht="17" customHeight="1">
      <c r="A160" s="76" t="n"/>
      <c r="B160" s="87" t="n"/>
      <c r="C160" s="46" t="n"/>
      <c r="D160" s="88" t="n"/>
      <c r="E160" s="89" t="n"/>
      <c r="F160" s="46" t="n"/>
      <c r="G160" s="90" t="n"/>
      <c r="H160" s="46" t="n"/>
      <c r="I160" s="91" t="n"/>
      <c r="J160" s="46" t="n"/>
    </row>
    <row r="161" ht="17" customHeight="1">
      <c r="A161" s="76" t="n"/>
      <c r="B161" s="87" t="n"/>
      <c r="C161" s="46" t="n"/>
      <c r="D161" s="88" t="n"/>
      <c r="E161" s="89" t="n"/>
      <c r="F161" s="46" t="n"/>
      <c r="G161" s="90" t="n"/>
      <c r="H161" s="46" t="n"/>
      <c r="I161" s="91" t="n"/>
      <c r="J161" s="46" t="n"/>
    </row>
    <row r="162" ht="17" customHeight="1">
      <c r="A162" s="76" t="n"/>
      <c r="B162" s="87" t="n"/>
      <c r="C162" s="46" t="n"/>
      <c r="D162" s="88" t="n"/>
      <c r="E162" s="89" t="n"/>
      <c r="F162" s="46" t="n"/>
      <c r="G162" s="90" t="n"/>
      <c r="H162" s="46" t="n"/>
      <c r="I162" s="91" t="n"/>
      <c r="J162" s="46" t="n"/>
    </row>
    <row r="163" ht="17" customHeight="1">
      <c r="A163" s="76" t="n"/>
      <c r="B163" s="87" t="n"/>
      <c r="C163" s="46" t="n"/>
      <c r="D163" s="88" t="n"/>
      <c r="E163" s="89" t="n"/>
      <c r="F163" s="46" t="n"/>
      <c r="G163" s="90" t="n"/>
      <c r="H163" s="46" t="n"/>
      <c r="I163" s="91" t="n"/>
      <c r="J163" s="46" t="n"/>
    </row>
    <row r="164" ht="17" customHeight="1">
      <c r="A164" s="76" t="n"/>
      <c r="B164" s="87" t="n"/>
      <c r="C164" s="46" t="n"/>
      <c r="D164" s="88" t="n"/>
      <c r="E164" s="89" t="n"/>
      <c r="F164" s="46" t="n"/>
      <c r="G164" s="90" t="n"/>
      <c r="H164" s="46" t="n"/>
      <c r="I164" s="91" t="n"/>
      <c r="J164" s="46" t="n"/>
    </row>
    <row r="165" ht="17" customHeight="1">
      <c r="A165" s="76" t="n"/>
      <c r="B165" s="87" t="n"/>
      <c r="C165" s="46" t="n"/>
      <c r="D165" s="88" t="n"/>
      <c r="E165" s="89" t="n"/>
      <c r="F165" s="46" t="n"/>
      <c r="G165" s="90" t="n"/>
      <c r="H165" s="46" t="n"/>
      <c r="I165" s="91" t="n"/>
      <c r="J165" s="46" t="n"/>
    </row>
    <row r="166" ht="17" customHeight="1">
      <c r="A166" s="76" t="n"/>
      <c r="B166" s="87" t="n"/>
      <c r="C166" s="46" t="n"/>
      <c r="D166" s="88" t="n"/>
      <c r="E166" s="89" t="n"/>
      <c r="F166" s="46" t="n"/>
      <c r="G166" s="90" t="n"/>
      <c r="H166" s="46" t="n"/>
      <c r="I166" s="91" t="n"/>
      <c r="J166" s="46" t="n"/>
    </row>
    <row r="167" ht="17" customHeight="1">
      <c r="A167" s="76" t="n"/>
      <c r="B167" s="87" t="n"/>
      <c r="C167" s="46" t="n"/>
      <c r="D167" s="88" t="n"/>
      <c r="E167" s="89" t="n"/>
      <c r="F167" s="46" t="n"/>
      <c r="G167" s="90" t="n"/>
      <c r="H167" s="46" t="n"/>
      <c r="I167" s="91" t="n"/>
      <c r="J167" s="46" t="n"/>
    </row>
    <row r="168" ht="17" customHeight="1">
      <c r="A168" s="76" t="n"/>
      <c r="B168" s="87" t="n"/>
      <c r="C168" s="46" t="n"/>
      <c r="D168" s="88" t="n"/>
      <c r="E168" s="89" t="n"/>
      <c r="F168" s="46" t="n"/>
      <c r="G168" s="90" t="n"/>
      <c r="H168" s="46" t="n"/>
      <c r="I168" s="91" t="n"/>
      <c r="J168" s="46" t="n"/>
    </row>
    <row r="169" ht="17" customHeight="1">
      <c r="A169" s="76" t="n"/>
      <c r="B169" s="87" t="n"/>
      <c r="C169" s="46" t="n"/>
      <c r="D169" s="88" t="n"/>
      <c r="E169" s="89" t="n"/>
      <c r="F169" s="46" t="n"/>
      <c r="G169" s="90" t="n"/>
      <c r="H169" s="46" t="n"/>
      <c r="I169" s="91" t="n"/>
      <c r="J169" s="46" t="n"/>
    </row>
    <row r="170" ht="17" customHeight="1">
      <c r="A170" s="76" t="n"/>
      <c r="B170" s="87" t="n"/>
      <c r="C170" s="46" t="n"/>
      <c r="D170" s="88" t="n"/>
      <c r="E170" s="89" t="n"/>
      <c r="F170" s="46" t="n"/>
      <c r="G170" s="90" t="n"/>
      <c r="H170" s="46" t="n"/>
      <c r="I170" s="91" t="n"/>
      <c r="J170" s="46" t="n"/>
    </row>
    <row r="171" ht="17" customHeight="1">
      <c r="A171" s="76" t="n"/>
      <c r="B171" s="87" t="n"/>
      <c r="C171" s="46" t="n"/>
      <c r="D171" s="88" t="n"/>
      <c r="E171" s="89" t="n"/>
      <c r="F171" s="46" t="n"/>
      <c r="G171" s="90" t="n"/>
      <c r="H171" s="46" t="n"/>
      <c r="I171" s="91" t="n"/>
      <c r="J171" s="46" t="n"/>
    </row>
    <row r="172" ht="17" customHeight="1">
      <c r="A172" s="76" t="n"/>
      <c r="B172" s="87" t="n"/>
      <c r="C172" s="46" t="n"/>
      <c r="D172" s="88" t="n"/>
      <c r="E172" s="89" t="n"/>
      <c r="F172" s="46" t="n"/>
      <c r="G172" s="90" t="n"/>
      <c r="H172" s="46" t="n"/>
      <c r="I172" s="91" t="n"/>
      <c r="J172" s="46" t="n"/>
    </row>
    <row r="173" ht="17" customHeight="1">
      <c r="A173" s="76" t="n"/>
      <c r="B173" s="87" t="n"/>
      <c r="C173" s="46" t="n"/>
      <c r="D173" s="88" t="n"/>
      <c r="E173" s="89" t="n"/>
      <c r="F173" s="46" t="n"/>
      <c r="G173" s="90" t="n"/>
      <c r="H173" s="46" t="n"/>
      <c r="I173" s="91" t="n"/>
      <c r="J173" s="46" t="n"/>
    </row>
    <row r="174" ht="17" customHeight="1">
      <c r="A174" s="76" t="n"/>
      <c r="B174" s="87" t="n"/>
      <c r="C174" s="46" t="n"/>
      <c r="D174" s="88" t="n"/>
      <c r="E174" s="89" t="n"/>
      <c r="F174" s="46" t="n"/>
      <c r="G174" s="90" t="n"/>
      <c r="H174" s="46" t="n"/>
      <c r="I174" s="91" t="n"/>
      <c r="J174" s="46" t="n"/>
    </row>
    <row r="175" ht="17" customHeight="1">
      <c r="A175" s="76" t="n"/>
      <c r="B175" s="87" t="n"/>
      <c r="C175" s="46" t="n"/>
      <c r="D175" s="88" t="n"/>
      <c r="E175" s="89" t="n"/>
      <c r="F175" s="46" t="n"/>
      <c r="G175" s="90" t="n"/>
      <c r="H175" s="46" t="n"/>
      <c r="I175" s="91" t="n"/>
      <c r="J175" s="46" t="n"/>
    </row>
    <row r="176" ht="17" customHeight="1">
      <c r="A176" s="76" t="n"/>
      <c r="B176" s="87" t="n"/>
      <c r="C176" s="46" t="n"/>
      <c r="D176" s="88" t="n"/>
      <c r="E176" s="89" t="n"/>
      <c r="F176" s="46" t="n"/>
      <c r="G176" s="90" t="n"/>
      <c r="H176" s="46" t="n"/>
      <c r="I176" s="91" t="n"/>
      <c r="J176" s="46" t="n"/>
    </row>
    <row r="177" ht="17" customHeight="1">
      <c r="A177" s="76" t="n"/>
      <c r="B177" s="87" t="n"/>
      <c r="C177" s="46" t="n"/>
      <c r="D177" s="88" t="n"/>
      <c r="E177" s="89" t="n"/>
      <c r="F177" s="46" t="n"/>
      <c r="G177" s="90" t="n"/>
      <c r="H177" s="46" t="n"/>
      <c r="I177" s="91" t="n"/>
      <c r="J177" s="46" t="n"/>
    </row>
    <row r="178" ht="17" customHeight="1">
      <c r="A178" s="76" t="n"/>
      <c r="B178" s="87" t="n"/>
      <c r="C178" s="46" t="n"/>
      <c r="D178" s="88" t="n"/>
      <c r="E178" s="89" t="n"/>
      <c r="F178" s="46" t="n"/>
      <c r="G178" s="90" t="n"/>
      <c r="H178" s="46" t="n"/>
      <c r="I178" s="91" t="n"/>
      <c r="J178" s="46" t="n"/>
    </row>
    <row r="179" ht="17" customHeight="1">
      <c r="A179" s="76" t="n"/>
      <c r="B179" s="87" t="n"/>
      <c r="C179" s="46" t="n"/>
      <c r="D179" s="88" t="n"/>
      <c r="E179" s="89" t="n"/>
      <c r="F179" s="46" t="n"/>
      <c r="G179" s="90" t="n"/>
      <c r="H179" s="46" t="n"/>
      <c r="I179" s="91" t="n"/>
      <c r="J179" s="46" t="n"/>
    </row>
    <row r="180" ht="22" customHeight="1">
      <c r="A180" s="31" t="inlineStr">
        <is>
          <t>TOTAL LANÇADO NO LIVRO</t>
        </is>
      </c>
      <c r="B180" s="32" t="n"/>
      <c r="C180" s="32" t="n"/>
      <c r="D180" s="32" t="n"/>
      <c r="E180" s="56">
        <f>ROUND(SUM($E$120:$E$179),2)</f>
        <v/>
      </c>
      <c r="F180" s="32" t="n"/>
      <c r="G180" s="92">
        <f>IF(COUNTA($B$120:$B$179)=COUNT($E$120:$E$179),"lançamentos: "&amp;COUNT($E$120:$E$179)&amp;" · todos classificados","ATENÇÃO: "&amp;(COUNT($E$120:$E$179)-COUNTA($B$120:$B$179))&amp;" lançamento(s) sem categoria")</f>
        <v/>
      </c>
      <c r="H180" s="32" t="n"/>
      <c r="I180" s="32" t="n"/>
      <c r="J180" s="32" t="n"/>
    </row>
    <row r="182" ht="50" customHeight="1">
      <c r="A182" s="43" t="inlineStr">
        <is>
          <t xml:space="preserve">  Preencha primeiro a coluna ORÇADO com o que o orçamento previu e vá preenchendo o REALIZADO conforme o projeto anda — o desvio de cada linha é o que mostra onde o orçamento erra. Compras entram uma a uma no livro do bloco 8, com categoria, forma de pagamento e status; as categorias do bloco 6 se somam sozinhas. Você pode inserir linhas em qualquer bloco a partir da linha 26: tudo o que o Painel Geral lê está acima disso.</t>
        </is>
      </c>
      <c r="B182" s="15" t="n"/>
      <c r="C182" s="15" t="n"/>
      <c r="D182" s="15" t="n"/>
      <c r="E182" s="15" t="n"/>
      <c r="F182" s="15" t="n"/>
      <c r="G182" s="15" t="n"/>
      <c r="H182" s="15" t="n"/>
      <c r="I182" s="15" t="n"/>
      <c r="J182" s="15" t="n"/>
    </row>
  </sheetData>
  <mergeCells count="492">
    <mergeCell ref="A15:B15"/>
    <mergeCell ref="B141:C141"/>
    <mergeCell ref="E142:F142"/>
    <mergeCell ref="H17:J17"/>
    <mergeCell ref="H9:I9"/>
    <mergeCell ref="E171:F171"/>
    <mergeCell ref="H84:J84"/>
    <mergeCell ref="H22:J22"/>
    <mergeCell ref="H19:J19"/>
    <mergeCell ref="H75:J75"/>
    <mergeCell ref="E137:F137"/>
    <mergeCell ref="G137:H137"/>
    <mergeCell ref="D70:E70"/>
    <mergeCell ref="E173:F173"/>
    <mergeCell ref="F70:G70"/>
    <mergeCell ref="H86:J86"/>
    <mergeCell ref="E148:F148"/>
    <mergeCell ref="G148:H148"/>
    <mergeCell ref="B78:C78"/>
    <mergeCell ref="D7:E7"/>
    <mergeCell ref="D78:E78"/>
    <mergeCell ref="I155:J155"/>
    <mergeCell ref="G139:H139"/>
    <mergeCell ref="E166:F166"/>
    <mergeCell ref="I170:J170"/>
    <mergeCell ref="D71:E71"/>
    <mergeCell ref="F71:G71"/>
    <mergeCell ref="I157:J157"/>
    <mergeCell ref="E168:F168"/>
    <mergeCell ref="G168:H168"/>
    <mergeCell ref="A62:B62"/>
    <mergeCell ref="G143:H143"/>
    <mergeCell ref="I172:J172"/>
    <mergeCell ref="D73:E73"/>
    <mergeCell ref="B154:C154"/>
    <mergeCell ref="A39:B39"/>
    <mergeCell ref="B129:C129"/>
    <mergeCell ref="G110:J110"/>
    <mergeCell ref="A24:H24"/>
    <mergeCell ref="B156:C156"/>
    <mergeCell ref="B131:C131"/>
    <mergeCell ref="I175:J175"/>
    <mergeCell ref="H99:J99"/>
    <mergeCell ref="G125:H125"/>
    <mergeCell ref="I125:J125"/>
    <mergeCell ref="E161:F161"/>
    <mergeCell ref="D66:E66"/>
    <mergeCell ref="G127:H127"/>
    <mergeCell ref="F66:G66"/>
    <mergeCell ref="I127:J127"/>
    <mergeCell ref="I176:J176"/>
    <mergeCell ref="E110:F110"/>
    <mergeCell ref="H20:J20"/>
    <mergeCell ref="E16:F16"/>
    <mergeCell ref="G138:H138"/>
    <mergeCell ref="B142:C142"/>
    <mergeCell ref="I138:J138"/>
    <mergeCell ref="E174:F174"/>
    <mergeCell ref="E18:F18"/>
    <mergeCell ref="G140:H140"/>
    <mergeCell ref="B144:C144"/>
    <mergeCell ref="I140:J140"/>
    <mergeCell ref="F73:G73"/>
    <mergeCell ref="E92:F92"/>
    <mergeCell ref="E94:F94"/>
    <mergeCell ref="A30:J30"/>
    <mergeCell ref="B170:C170"/>
    <mergeCell ref="E31:F31"/>
    <mergeCell ref="E158:F158"/>
    <mergeCell ref="H15:J15"/>
    <mergeCell ref="H71:J71"/>
    <mergeCell ref="E133:F133"/>
    <mergeCell ref="E108:F108"/>
    <mergeCell ref="G133:H133"/>
    <mergeCell ref="B172:C172"/>
    <mergeCell ref="E95:F95"/>
    <mergeCell ref="E89:F89"/>
    <mergeCell ref="B113:D113"/>
    <mergeCell ref="A41:J41"/>
    <mergeCell ref="G135:H135"/>
    <mergeCell ref="E162:F162"/>
    <mergeCell ref="D55:E55"/>
    <mergeCell ref="G153:H153"/>
    <mergeCell ref="I153:J153"/>
    <mergeCell ref="B115:D115"/>
    <mergeCell ref="D67:E67"/>
    <mergeCell ref="B76:C76"/>
    <mergeCell ref="I128:J128"/>
    <mergeCell ref="E164:F164"/>
    <mergeCell ref="G164:H164"/>
    <mergeCell ref="H39:J39"/>
    <mergeCell ref="D69:E69"/>
    <mergeCell ref="F69:G69"/>
    <mergeCell ref="B150:C150"/>
    <mergeCell ref="E17:F17"/>
    <mergeCell ref="E88:F88"/>
    <mergeCell ref="E126:F126"/>
    <mergeCell ref="E82:F82"/>
    <mergeCell ref="B152:C152"/>
    <mergeCell ref="E180:F180"/>
    <mergeCell ref="H72:J72"/>
    <mergeCell ref="H28:J28"/>
    <mergeCell ref="E19:F19"/>
    <mergeCell ref="B145:C145"/>
    <mergeCell ref="G146:H146"/>
    <mergeCell ref="I146:J146"/>
    <mergeCell ref="A11:J11"/>
    <mergeCell ref="A1:J1"/>
    <mergeCell ref="I12:J12"/>
    <mergeCell ref="B147:C147"/>
    <mergeCell ref="H23:J23"/>
    <mergeCell ref="E179:F179"/>
    <mergeCell ref="F67:G67"/>
    <mergeCell ref="A80:J80"/>
    <mergeCell ref="E37:F37"/>
    <mergeCell ref="E159:F159"/>
    <mergeCell ref="E97:F97"/>
    <mergeCell ref="G159:H159"/>
    <mergeCell ref="B163:C163"/>
    <mergeCell ref="H8:I8"/>
    <mergeCell ref="E109:F109"/>
    <mergeCell ref="H83:J83"/>
    <mergeCell ref="E145:F145"/>
    <mergeCell ref="E139:F139"/>
    <mergeCell ref="G161:H161"/>
    <mergeCell ref="B165:C165"/>
    <mergeCell ref="E111:F111"/>
    <mergeCell ref="G136:H136"/>
    <mergeCell ref="I136:J136"/>
    <mergeCell ref="B77:C77"/>
    <mergeCell ref="D6:E6"/>
    <mergeCell ref="D77:E77"/>
    <mergeCell ref="I129:J129"/>
    <mergeCell ref="B108:D108"/>
    <mergeCell ref="I131:J131"/>
    <mergeCell ref="D72:E72"/>
    <mergeCell ref="F72:G72"/>
    <mergeCell ref="B178:C178"/>
    <mergeCell ref="H92:J92"/>
    <mergeCell ref="E27:F27"/>
    <mergeCell ref="E119:F119"/>
    <mergeCell ref="E116:F116"/>
    <mergeCell ref="H78:J78"/>
    <mergeCell ref="E91:F91"/>
    <mergeCell ref="E85:F85"/>
    <mergeCell ref="A6:C6"/>
    <mergeCell ref="H31:J31"/>
    <mergeCell ref="H58:J58"/>
    <mergeCell ref="E22:F22"/>
    <mergeCell ref="I13:J13"/>
    <mergeCell ref="E93:F93"/>
    <mergeCell ref="G149:H149"/>
    <mergeCell ref="I149:J149"/>
    <mergeCell ref="B111:D111"/>
    <mergeCell ref="H73:J73"/>
    <mergeCell ref="H60:J60"/>
    <mergeCell ref="E122:F122"/>
    <mergeCell ref="G113:J113"/>
    <mergeCell ref="G151:H151"/>
    <mergeCell ref="G178:H178"/>
    <mergeCell ref="I151:J151"/>
    <mergeCell ref="F6:G6"/>
    <mergeCell ref="I144:J144"/>
    <mergeCell ref="E38:F38"/>
    <mergeCell ref="E147:F147"/>
    <mergeCell ref="A89:B89"/>
    <mergeCell ref="G175:H175"/>
    <mergeCell ref="B179:C179"/>
    <mergeCell ref="G162:H162"/>
    <mergeCell ref="B166:C166"/>
    <mergeCell ref="I162:J162"/>
    <mergeCell ref="G177:H177"/>
    <mergeCell ref="E104:F104"/>
    <mergeCell ref="B174:C174"/>
    <mergeCell ref="I177:J177"/>
    <mergeCell ref="B168:C168"/>
    <mergeCell ref="D9:E9"/>
    <mergeCell ref="B109:D109"/>
    <mergeCell ref="F9:G9"/>
    <mergeCell ref="A100:B100"/>
    <mergeCell ref="B169:C169"/>
    <mergeCell ref="A2:J2"/>
    <mergeCell ref="E130:F130"/>
    <mergeCell ref="G155:H155"/>
    <mergeCell ref="G130:H130"/>
    <mergeCell ref="B134:C134"/>
    <mergeCell ref="B121:C121"/>
    <mergeCell ref="E160:F160"/>
    <mergeCell ref="A180:D180"/>
    <mergeCell ref="H70:J70"/>
    <mergeCell ref="E141:F141"/>
    <mergeCell ref="E135:F135"/>
    <mergeCell ref="B71:C71"/>
    <mergeCell ref="E132:F132"/>
    <mergeCell ref="G157:H157"/>
    <mergeCell ref="G132:H132"/>
    <mergeCell ref="G122:H122"/>
    <mergeCell ref="H32:J32"/>
    <mergeCell ref="H81:J81"/>
    <mergeCell ref="E107:F107"/>
    <mergeCell ref="E143:F143"/>
    <mergeCell ref="G172:H172"/>
    <mergeCell ref="I150:J150"/>
    <mergeCell ref="G115:J115"/>
    <mergeCell ref="A64:J64"/>
    <mergeCell ref="B162:C162"/>
    <mergeCell ref="I165:J165"/>
    <mergeCell ref="G152:H152"/>
    <mergeCell ref="E59:F59"/>
    <mergeCell ref="A21:B21"/>
    <mergeCell ref="I152:J152"/>
    <mergeCell ref="B114:D114"/>
    <mergeCell ref="H76:J76"/>
    <mergeCell ref="E61:F61"/>
    <mergeCell ref="A23:B23"/>
    <mergeCell ref="G103:J103"/>
    <mergeCell ref="B124:C124"/>
    <mergeCell ref="E125:F125"/>
    <mergeCell ref="E112:F112"/>
    <mergeCell ref="B126:C126"/>
    <mergeCell ref="I178:J178"/>
    <mergeCell ref="H94:J94"/>
    <mergeCell ref="G120:H120"/>
    <mergeCell ref="I120:J120"/>
    <mergeCell ref="I163:J163"/>
    <mergeCell ref="A102:J102"/>
    <mergeCell ref="B112:D112"/>
    <mergeCell ref="A16:B16"/>
    <mergeCell ref="E138:F138"/>
    <mergeCell ref="A18:B18"/>
    <mergeCell ref="B73:C73"/>
    <mergeCell ref="E167:F167"/>
    <mergeCell ref="H7:I7"/>
    <mergeCell ref="B137:C137"/>
    <mergeCell ref="E169:F169"/>
    <mergeCell ref="B74:C74"/>
    <mergeCell ref="B68:C68"/>
    <mergeCell ref="D74:E74"/>
    <mergeCell ref="B139:C139"/>
    <mergeCell ref="D68:E68"/>
    <mergeCell ref="A57:J57"/>
    <mergeCell ref="G180:J180"/>
    <mergeCell ref="I168:J168"/>
    <mergeCell ref="E62:F62"/>
    <mergeCell ref="G109:J109"/>
    <mergeCell ref="G176:H176"/>
    <mergeCell ref="H100:J100"/>
    <mergeCell ref="E156:F156"/>
    <mergeCell ref="G111:J111"/>
    <mergeCell ref="E153:F153"/>
    <mergeCell ref="H66:J66"/>
    <mergeCell ref="B67:C67"/>
    <mergeCell ref="E128:F128"/>
    <mergeCell ref="E155:F155"/>
    <mergeCell ref="G128:H128"/>
    <mergeCell ref="G171:H171"/>
    <mergeCell ref="I171:J171"/>
    <mergeCell ref="H95:J95"/>
    <mergeCell ref="B69:C69"/>
    <mergeCell ref="G121:H121"/>
    <mergeCell ref="I121:J121"/>
    <mergeCell ref="E157:F157"/>
    <mergeCell ref="I173:J173"/>
    <mergeCell ref="H97:J97"/>
    <mergeCell ref="G123:H123"/>
    <mergeCell ref="A17:B17"/>
    <mergeCell ref="B127:C127"/>
    <mergeCell ref="I123:J123"/>
    <mergeCell ref="I166:J166"/>
    <mergeCell ref="A118:J118"/>
    <mergeCell ref="A19:B19"/>
    <mergeCell ref="E146:F146"/>
    <mergeCell ref="H21:J21"/>
    <mergeCell ref="G114:J114"/>
    <mergeCell ref="E12:F12"/>
    <mergeCell ref="B138:C138"/>
    <mergeCell ref="E175:F175"/>
    <mergeCell ref="A4:J4"/>
    <mergeCell ref="B140:C140"/>
    <mergeCell ref="H16:J16"/>
    <mergeCell ref="I134:J134"/>
    <mergeCell ref="H27:J27"/>
    <mergeCell ref="E170:F170"/>
    <mergeCell ref="D75:E75"/>
    <mergeCell ref="F75:G75"/>
    <mergeCell ref="E90:F90"/>
    <mergeCell ref="B110:D110"/>
    <mergeCell ref="G112:J112"/>
    <mergeCell ref="E154:F154"/>
    <mergeCell ref="H67:J67"/>
    <mergeCell ref="G154:H154"/>
    <mergeCell ref="B158:C158"/>
    <mergeCell ref="G129:H129"/>
    <mergeCell ref="E172:F172"/>
    <mergeCell ref="B160:C160"/>
    <mergeCell ref="G131:H131"/>
    <mergeCell ref="E58:F58"/>
    <mergeCell ref="B153:C153"/>
    <mergeCell ref="I174:J174"/>
    <mergeCell ref="H98:J98"/>
    <mergeCell ref="B72:C72"/>
    <mergeCell ref="I124:J124"/>
    <mergeCell ref="E83:F83"/>
    <mergeCell ref="A94:B94"/>
    <mergeCell ref="D65:E65"/>
    <mergeCell ref="G126:H126"/>
    <mergeCell ref="I126:J126"/>
    <mergeCell ref="E20:F20"/>
    <mergeCell ref="E177:F177"/>
    <mergeCell ref="E13:F13"/>
    <mergeCell ref="H87:J87"/>
    <mergeCell ref="E84:F84"/>
    <mergeCell ref="B148:C148"/>
    <mergeCell ref="E149:F149"/>
    <mergeCell ref="E176:F176"/>
    <mergeCell ref="E114:F114"/>
    <mergeCell ref="H18:J18"/>
    <mergeCell ref="E15:F15"/>
    <mergeCell ref="E86:F86"/>
    <mergeCell ref="H116:J116"/>
    <mergeCell ref="G142:H142"/>
    <mergeCell ref="B146:C146"/>
    <mergeCell ref="I142:J142"/>
    <mergeCell ref="E178:F178"/>
    <mergeCell ref="H82:J82"/>
    <mergeCell ref="B143:C143"/>
    <mergeCell ref="E144:F144"/>
    <mergeCell ref="G144:H144"/>
    <mergeCell ref="A38:B38"/>
    <mergeCell ref="E81:F81"/>
    <mergeCell ref="I137:J137"/>
    <mergeCell ref="G173:H173"/>
    <mergeCell ref="F78:G78"/>
    <mergeCell ref="I164:J164"/>
    <mergeCell ref="E106:F106"/>
    <mergeCell ref="I139:J139"/>
    <mergeCell ref="E33:F33"/>
    <mergeCell ref="F65:G65"/>
    <mergeCell ref="B159:C159"/>
    <mergeCell ref="G170:H170"/>
    <mergeCell ref="E35:F35"/>
    <mergeCell ref="B167:C167"/>
    <mergeCell ref="B161:C161"/>
    <mergeCell ref="H6:I6"/>
    <mergeCell ref="B136:C136"/>
    <mergeCell ref="H37:J37"/>
    <mergeCell ref="E28:F28"/>
    <mergeCell ref="B175:C175"/>
    <mergeCell ref="B104:D104"/>
    <mergeCell ref="I130:J130"/>
    <mergeCell ref="A9:C9"/>
    <mergeCell ref="B106:D106"/>
    <mergeCell ref="I132:J132"/>
    <mergeCell ref="D8:E8"/>
    <mergeCell ref="G150:H150"/>
    <mergeCell ref="A26:J26"/>
    <mergeCell ref="H74:J74"/>
    <mergeCell ref="H68:J68"/>
    <mergeCell ref="E21:F21"/>
    <mergeCell ref="F68:G68"/>
    <mergeCell ref="E129:F129"/>
    <mergeCell ref="E23:F23"/>
    <mergeCell ref="B155:C155"/>
    <mergeCell ref="G145:H145"/>
    <mergeCell ref="B149:C149"/>
    <mergeCell ref="I145:J145"/>
    <mergeCell ref="H69:J69"/>
    <mergeCell ref="E131:F131"/>
    <mergeCell ref="G160:H160"/>
    <mergeCell ref="E87:F87"/>
    <mergeCell ref="G147:H147"/>
    <mergeCell ref="B151:C151"/>
    <mergeCell ref="G174:H174"/>
    <mergeCell ref="I147:J147"/>
    <mergeCell ref="I122:J122"/>
    <mergeCell ref="E34:F34"/>
    <mergeCell ref="E105:F105"/>
    <mergeCell ref="E99:F99"/>
    <mergeCell ref="E36:F36"/>
    <mergeCell ref="E163:F163"/>
    <mergeCell ref="G163:H163"/>
    <mergeCell ref="A22:B22"/>
    <mergeCell ref="H38:J38"/>
    <mergeCell ref="E113:F113"/>
    <mergeCell ref="B177:C177"/>
    <mergeCell ref="E100:F100"/>
    <mergeCell ref="B164:C164"/>
    <mergeCell ref="E136:F136"/>
    <mergeCell ref="A3:J3"/>
    <mergeCell ref="G165:H165"/>
    <mergeCell ref="E115:F115"/>
    <mergeCell ref="B105:D105"/>
    <mergeCell ref="G108:J108"/>
    <mergeCell ref="G158:H158"/>
    <mergeCell ref="I158:J158"/>
    <mergeCell ref="B107:D107"/>
    <mergeCell ref="I133:J133"/>
    <mergeCell ref="G169:H169"/>
    <mergeCell ref="B66:C66"/>
    <mergeCell ref="E127:F127"/>
    <mergeCell ref="I160:J160"/>
    <mergeCell ref="F74:G74"/>
    <mergeCell ref="I135:J135"/>
    <mergeCell ref="B130:C130"/>
    <mergeCell ref="D76:E76"/>
    <mergeCell ref="F76:G76"/>
    <mergeCell ref="B157:C157"/>
    <mergeCell ref="B132:C132"/>
    <mergeCell ref="H77:J77"/>
    <mergeCell ref="B119:C119"/>
    <mergeCell ref="H33:J33"/>
    <mergeCell ref="I24:J24"/>
    <mergeCell ref="H35:J35"/>
    <mergeCell ref="A116:B116"/>
    <mergeCell ref="E124:F124"/>
    <mergeCell ref="I148:J148"/>
    <mergeCell ref="E120:F120"/>
    <mergeCell ref="A7:C7"/>
    <mergeCell ref="G104:J104"/>
    <mergeCell ref="H59:J59"/>
    <mergeCell ref="E121:F121"/>
    <mergeCell ref="H89:J89"/>
    <mergeCell ref="B125:C125"/>
    <mergeCell ref="E151:F151"/>
    <mergeCell ref="H61:J61"/>
    <mergeCell ref="H88:J88"/>
    <mergeCell ref="B122:C122"/>
    <mergeCell ref="E123:F123"/>
    <mergeCell ref="E150:F150"/>
    <mergeCell ref="E39:F39"/>
    <mergeCell ref="G179:H179"/>
    <mergeCell ref="F7:G7"/>
    <mergeCell ref="B176:C176"/>
    <mergeCell ref="I179:J179"/>
    <mergeCell ref="G166:H166"/>
    <mergeCell ref="H90:J90"/>
    <mergeCell ref="G141:H141"/>
    <mergeCell ref="B120:C120"/>
    <mergeCell ref="I141:J141"/>
    <mergeCell ref="E103:F103"/>
    <mergeCell ref="E152:F152"/>
    <mergeCell ref="H65:J65"/>
    <mergeCell ref="I159:J159"/>
    <mergeCell ref="A182:J182"/>
    <mergeCell ref="F8:G8"/>
    <mergeCell ref="A12:B12"/>
    <mergeCell ref="I143:J143"/>
    <mergeCell ref="C12:D12"/>
    <mergeCell ref="G167:H167"/>
    <mergeCell ref="B171:C171"/>
    <mergeCell ref="I161:J161"/>
    <mergeCell ref="F77:G77"/>
    <mergeCell ref="E32:F32"/>
    <mergeCell ref="B133:C133"/>
    <mergeCell ref="E134:F134"/>
    <mergeCell ref="G134:H134"/>
    <mergeCell ref="H34:J34"/>
    <mergeCell ref="B173:C173"/>
    <mergeCell ref="E96:F96"/>
    <mergeCell ref="B75:C75"/>
    <mergeCell ref="B135:C135"/>
    <mergeCell ref="H36:J36"/>
    <mergeCell ref="H85:J85"/>
    <mergeCell ref="E98:F98"/>
    <mergeCell ref="I154:J154"/>
    <mergeCell ref="E165:F165"/>
    <mergeCell ref="B103:D103"/>
    <mergeCell ref="E140:F140"/>
    <mergeCell ref="G106:J106"/>
    <mergeCell ref="B70:C70"/>
    <mergeCell ref="G156:H156"/>
    <mergeCell ref="I156:J156"/>
    <mergeCell ref="A8:C8"/>
    <mergeCell ref="G105:J105"/>
    <mergeCell ref="H96:J96"/>
    <mergeCell ref="E60:F60"/>
    <mergeCell ref="G107:J107"/>
    <mergeCell ref="H62:J62"/>
    <mergeCell ref="G124:H124"/>
    <mergeCell ref="B128:C128"/>
    <mergeCell ref="I167:J167"/>
    <mergeCell ref="H91:J91"/>
    <mergeCell ref="B65:C65"/>
    <mergeCell ref="G55:H55"/>
    <mergeCell ref="A20:B20"/>
    <mergeCell ref="I169:J169"/>
    <mergeCell ref="H93:J93"/>
    <mergeCell ref="B123:C123"/>
    <mergeCell ref="G119:H119"/>
    <mergeCell ref="A13:B13"/>
    <mergeCell ref="I119:J119"/>
    <mergeCell ref="C13:D13"/>
  </mergeCells>
  <conditionalFormatting sqref="I120:J179">
    <cfRule type="expression" priority="1" dxfId="0" stopIfTrue="1">
      <formula>$I120="Pago"</formula>
    </cfRule>
    <cfRule type="expression" priority="2" dxfId="3" stopIfTrue="1">
      <formula>$I120="Comprado (a pagar)"</formula>
    </cfRule>
    <cfRule type="expression" priority="3" dxfId="1" stopIfTrue="1">
      <formula>$I120="A comprar"</formula>
    </cfRule>
  </conditionalFormatting>
  <conditionalFormatting sqref="A120:J179">
    <cfRule type="expression" priority="4" dxfId="6">
      <formula>AND($E120&lt;&gt;"",$B120="")</formula>
    </cfRule>
  </conditionalFormatting>
  <conditionalFormatting sqref="E16:F22">
    <cfRule type="expression" priority="5" dxfId="4">
      <formula>AND($E16&lt;&gt;"",$E16&gt;0)</formula>
    </cfRule>
    <cfRule type="expression" priority="6" dxfId="5">
      <formula>AND($E16&lt;&gt;"",$E16&lt;0)</formula>
    </cfRule>
  </conditionalFormatting>
  <conditionalFormatting sqref="E82:F100">
    <cfRule type="expression" priority="7" dxfId="4">
      <formula>AND($E82&lt;&gt;"",$E82&gt;0)</formula>
    </cfRule>
    <cfRule type="expression" priority="8" dxfId="5">
      <formula>AND($E82&lt;&gt;"",$E82&lt;0)</formula>
    </cfRule>
  </conditionalFormatting>
  <conditionalFormatting sqref="J9">
    <cfRule type="expression" priority="9" dxfId="0" stopIfTrue="1">
      <formula>$J$9="No prazo"</formula>
    </cfRule>
    <cfRule type="expression" priority="10" dxfId="2">
      <formula>$J$9="Atrasado"</formula>
    </cfRule>
  </conditionalFormatting>
  <conditionalFormatting sqref="A13:J13">
    <cfRule type="expression" priority="11" dxfId="6">
      <formula>AND($G$13&lt;&gt;"",$G$13&lt;0.25)</formula>
    </cfRule>
  </conditionalFormatting>
  <dataValidations count="9">
    <dataValidation sqref="D43:D54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"Deivson,Samuel,Cezar,Jackson,Jomar,Joelson,Jonathan Godoy,Terceiro / avulso"</formula1>
    </dataValidation>
    <dataValidation sqref="G43:G54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"Deivson,Samuel,Cezar,Jackson,Jomar,Joelson,Jonathan Godoy,Terceiro / avulso"</formula1>
    </dataValidation>
    <dataValidation sqref="A66:A77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"Deivson,Samuel,Cezar,Jackson,Jomar,Joelson,Jonathan Godoy,Terceiro / avulso"</formula1>
    </dataValidation>
    <dataValidation sqref="B104:B115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"Erro de projeto,Erro de medição,Erro de produção,Erro de montagem,Falha de material,Dano no transporte,Mudança pedida pelo cliente,Falha de fornecedor,Outro"</formula1>
    </dataValidation>
    <dataValidation sqref="B120:B179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"MDF e MDP,Fita de borda,Ferragens,Vidros e espelhos,Esquadrias,Lâmina natural,Consumíveis,Acabamento,Serralheria,Vidraceiro,Outro terceirizado,Uber e aplicativo,Carreto e entrega,Deslocamento da equipe,Frete de material,Estacionamento e pedágio"</formula1>
    </dataValidation>
    <dataValidation sqref="G120:G179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"PIX,Boleto,Cartão de crédito,Cartão parcelado,Dinheiro,Transferência,Faturado 30 dias,A combinar"</formula1>
    </dataValidation>
    <dataValidation sqref="I120:I179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"A comprar,Comprado (a pagar),Pago"</formula1>
    </dataValidation>
    <dataValidation sqref="D7:E7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"Jonathan,Vitor,Indicação,Arquiteto parceiro,Outro"</formula1>
    </dataValidation>
    <dataValidation sqref="F9:G9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"Deivson,Samuel,Cezar,Jackson,Jomar,Joelson,Jonathan Godoy,Terceiro / avulso"</formula1>
    </dataValidation>
  </dataValidations>
  <pageMargins left="0.4" right="0.3" top="0.4" bottom="0.3" header="0.5" footer="0.5"/>
  <pageSetup orientation="landscape" paperSize="9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17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22" customWidth="1" min="2" max="2"/>
    <col width="30" customWidth="1" min="3" max="3"/>
    <col width="42" customWidth="1" min="4" max="4"/>
    <col width="22" customWidth="1" min="5" max="5"/>
    <col width="22" customWidth="1" min="6" max="6"/>
    <col width="46" customWidth="1" min="7" max="7"/>
    <col width="80" customWidth="1" min="9" max="9"/>
  </cols>
  <sheetData>
    <row r="1">
      <c r="A1" s="93" t="inlineStr">
        <is>
          <t>Equipe (comissões)</t>
        </is>
      </c>
      <c r="B1" s="93" t="inlineStr">
        <is>
          <t>Vendedor</t>
        </is>
      </c>
      <c r="C1" s="93" t="inlineStr">
        <is>
          <t>Causa do retrabalho</t>
        </is>
      </c>
      <c r="D1" s="93" t="inlineStr">
        <is>
          <t>Categoria de compra</t>
        </is>
      </c>
      <c r="E1" s="93" t="inlineStr">
        <is>
          <t>Forma de pagamento</t>
        </is>
      </c>
      <c r="F1" s="93" t="inlineStr">
        <is>
          <t>Status da compra</t>
        </is>
      </c>
      <c r="G1" s="93" t="inlineStr">
        <is>
          <t>O que entra nesta categoria</t>
        </is>
      </c>
      <c r="I1" s="93" t="inlineStr">
        <is>
          <t>Para que servem</t>
        </is>
      </c>
    </row>
    <row r="2" ht="32" customHeight="1">
      <c r="A2" s="94" t="inlineStr">
        <is>
          <t>Deivson</t>
        </is>
      </c>
      <c r="B2" s="94" t="inlineStr">
        <is>
          <t>Jonathan</t>
        </is>
      </c>
      <c r="C2" s="94" t="inlineStr">
        <is>
          <t>Erro de projeto</t>
        </is>
      </c>
      <c r="D2" s="94" t="inlineStr">
        <is>
          <t>MDF e MDP</t>
        </is>
      </c>
      <c r="E2" s="94" t="inlineStr">
        <is>
          <t>PIX</t>
        </is>
      </c>
      <c r="F2" s="94" t="inlineStr">
        <is>
          <t>A comprar</t>
        </is>
      </c>
      <c r="G2" s="95" t="inlineStr">
        <is>
          <t>chapas cruas e revestidas, por cor e espessura</t>
        </is>
      </c>
      <c r="I2" s="96" t="inlineStr">
        <is>
          <t>Coluna A — só quem recebe comissão: marceneiros, ajudantes e o coordenador. Alimenta produção, montagem, coordenação e o consolidado por colaborador.</t>
        </is>
      </c>
    </row>
    <row r="3" ht="32" customHeight="1">
      <c r="A3" s="94" t="inlineStr">
        <is>
          <t>Samuel</t>
        </is>
      </c>
      <c r="B3" s="94" t="inlineStr">
        <is>
          <t>Vitor</t>
        </is>
      </c>
      <c r="C3" s="94" t="inlineStr">
        <is>
          <t>Erro de medição</t>
        </is>
      </c>
      <c r="D3" s="94" t="inlineStr">
        <is>
          <t>Fita de borda</t>
        </is>
      </c>
      <c r="E3" s="94" t="inlineStr">
        <is>
          <t>Boleto</t>
        </is>
      </c>
      <c r="F3" s="94" t="inlineStr">
        <is>
          <t>Comprado (a pagar)</t>
        </is>
      </c>
      <c r="G3" s="95" t="inlineStr">
        <is>
          <t>fita de borda de todas as cores e espessuras</t>
        </is>
      </c>
      <c r="I3" s="96" t="inlineStr">
        <is>
          <t>Se acrescentar alguém aqui, inclua também na tabela "Comissões por colaborador" da ficha, senão a pessoa não aparece no consolidado.</t>
        </is>
      </c>
    </row>
    <row r="4" ht="32" customHeight="1">
      <c r="A4" s="94" t="inlineStr">
        <is>
          <t>Cezar</t>
        </is>
      </c>
      <c r="B4" s="94" t="inlineStr">
        <is>
          <t>Indicação</t>
        </is>
      </c>
      <c r="C4" s="94" t="inlineStr">
        <is>
          <t>Erro de produção</t>
        </is>
      </c>
      <c r="D4" s="94" t="inlineStr">
        <is>
          <t>Ferragens</t>
        </is>
      </c>
      <c r="E4" s="94" t="inlineStr">
        <is>
          <t>Cartão de crédito</t>
        </is>
      </c>
      <c r="F4" s="94" t="inlineStr">
        <is>
          <t>Pago</t>
        </is>
      </c>
      <c r="G4" s="95" t="inlineStr">
        <is>
          <t>corrediças, dobradiças, puxadores, pistões, suportes</t>
        </is>
      </c>
      <c r="I4" s="96" t="inlineStr">
        <is>
          <t>Coluna D — as categorias de compra. Se você renomear uma categoria aqui, renomeie também na tabela do bloco 6 da ficha: o SUMIFS casa pelo texto.</t>
        </is>
      </c>
    </row>
    <row r="5" ht="32" customHeight="1">
      <c r="A5" s="94" t="inlineStr">
        <is>
          <t>Jackson</t>
        </is>
      </c>
      <c r="B5" s="94" t="inlineStr">
        <is>
          <t>Arquiteto parceiro</t>
        </is>
      </c>
      <c r="C5" s="94" t="inlineStr">
        <is>
          <t>Erro de montagem</t>
        </is>
      </c>
      <c r="D5" s="94" t="inlineStr">
        <is>
          <t>Vidros e espelhos</t>
        </is>
      </c>
      <c r="E5" s="94" t="inlineStr">
        <is>
          <t>Cartão parcelado</t>
        </is>
      </c>
      <c r="G5" s="95" t="inlineStr">
        <is>
          <t>vidro, espelho e cristal comprados prontos</t>
        </is>
      </c>
      <c r="I5" s="96" t="inlineStr">
        <is>
          <t>Coluna F — status. "A comprar" NÃO entra no custo realizado, entra na coluna "ainda a comprar". "Comprado (a pagar)" e "Pago" entram no custo.</t>
        </is>
      </c>
    </row>
    <row r="6" ht="32" customHeight="1">
      <c r="A6" s="94" t="inlineStr">
        <is>
          <t>Jomar</t>
        </is>
      </c>
      <c r="B6" s="94" t="inlineStr">
        <is>
          <t>Outro</t>
        </is>
      </c>
      <c r="C6" s="94" t="inlineStr">
        <is>
          <t>Falha de material</t>
        </is>
      </c>
      <c r="D6" s="94" t="inlineStr">
        <is>
          <t>Esquadrias</t>
        </is>
      </c>
      <c r="E6" s="94" t="inlineStr">
        <is>
          <t>Dinheiro</t>
        </is>
      </c>
      <c r="G6" s="95" t="inlineStr">
        <is>
          <t>perfis de alumínio, portas de perfil e box</t>
        </is>
      </c>
      <c r="I6" s="96" t="inlineStr">
        <is>
          <t>Coluna C — causas do retrabalho. É a lista mais estratégica da planilha: ela é que vai dizer se o problema está no projeto, na medição, na produção ou no fornecedor.</t>
        </is>
      </c>
    </row>
    <row r="7">
      <c r="A7" s="94" t="inlineStr">
        <is>
          <t>Joelson</t>
        </is>
      </c>
      <c r="C7" s="94" t="inlineStr">
        <is>
          <t>Dano no transporte</t>
        </is>
      </c>
      <c r="D7" s="94" t="inlineStr">
        <is>
          <t>Lâmina natural</t>
        </is>
      </c>
      <c r="E7" s="94" t="inlineStr">
        <is>
          <t>Transferência</t>
        </is>
      </c>
      <c r="G7" s="95" t="inlineStr">
        <is>
          <t>lâmina de madeira natural e compostos</t>
        </is>
      </c>
    </row>
    <row r="8">
      <c r="A8" s="94" t="inlineStr">
        <is>
          <t>Jonathan Godoy</t>
        </is>
      </c>
      <c r="C8" s="94" t="inlineStr">
        <is>
          <t>Mudança pedida pelo cliente</t>
        </is>
      </c>
      <c r="D8" s="94" t="inlineStr">
        <is>
          <t>Consumíveis</t>
        </is>
      </c>
      <c r="E8" s="94" t="inlineStr">
        <is>
          <t>Faturado 30 dias</t>
        </is>
      </c>
      <c r="G8" s="95" t="inlineStr">
        <is>
          <t>parafuso, adesivo, tíner, estopa, lixa, disco, broca</t>
        </is>
      </c>
    </row>
    <row r="9">
      <c r="A9" s="94" t="inlineStr">
        <is>
          <t>Terceiro / avulso</t>
        </is>
      </c>
      <c r="C9" s="94" t="inlineStr">
        <is>
          <t>Falha de fornecedor</t>
        </is>
      </c>
      <c r="D9" s="94" t="inlineStr">
        <is>
          <t>Acabamento</t>
        </is>
      </c>
      <c r="E9" s="94" t="inlineStr">
        <is>
          <t>A combinar</t>
        </is>
      </c>
      <c r="G9" s="95" t="inlineStr">
        <is>
          <t>pintura, laca, verniz e envernizamento terceirizado</t>
        </is>
      </c>
    </row>
    <row r="10">
      <c r="C10" s="94" t="inlineStr">
        <is>
          <t>Outro</t>
        </is>
      </c>
      <c r="D10" s="94" t="inlineStr">
        <is>
          <t>Serralheria</t>
        </is>
      </c>
      <c r="G10" s="95" t="inlineStr">
        <is>
          <t>estruturas metálicas feitas fora</t>
        </is>
      </c>
    </row>
    <row r="11">
      <c r="D11" s="94" t="inlineStr">
        <is>
          <t>Vidraceiro</t>
        </is>
      </c>
      <c r="G11" s="95" t="inlineStr">
        <is>
          <t>corte e instalação de vidro por terceiro</t>
        </is>
      </c>
    </row>
    <row r="12">
      <c r="D12" s="94" t="inlineStr">
        <is>
          <t>Outro terceirizado</t>
        </is>
      </c>
      <c r="G12" s="95" t="inlineStr">
        <is>
          <t>qualquer serviço feito fora da fábrica</t>
        </is>
      </c>
    </row>
    <row r="13">
      <c r="D13" s="94" t="inlineStr">
        <is>
          <t>Uber e aplicativo</t>
        </is>
      </c>
      <c r="G13" s="95" t="inlineStr">
        <is>
          <t>corrida de medição, conferência e visita</t>
        </is>
      </c>
    </row>
    <row r="14">
      <c r="D14" s="94" t="inlineStr">
        <is>
          <t>Carreto e entrega</t>
        </is>
      </c>
      <c r="G14" s="95" t="inlineStr">
        <is>
          <t>transporte do móvel pronto até a obra</t>
        </is>
      </c>
    </row>
    <row r="15">
      <c r="D15" s="94" t="inlineStr">
        <is>
          <t>Deslocamento da equipe</t>
        </is>
      </c>
      <c r="G15" s="95" t="inlineStr">
        <is>
          <t>ida e volta da equipe de montagem</t>
        </is>
      </c>
    </row>
    <row r="16">
      <c r="D16" s="94" t="inlineStr">
        <is>
          <t>Frete de material</t>
        </is>
      </c>
      <c r="G16" s="95" t="inlineStr">
        <is>
          <t>entrega de material do fornecedor até a fábrica</t>
        </is>
      </c>
    </row>
    <row r="17">
      <c r="D17" s="94" t="inlineStr">
        <is>
          <t>Estacionamento e pedágio</t>
        </is>
      </c>
      <c r="G17" s="95" t="inlineStr">
        <is>
          <t>estacionamento, pedágio e miudezas de rota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2026-08-21T12:38:23Z</dcterms:created>
  <dcterms:modified xsi:type="dcterms:W3CDTF">2026-08-21T12:38:24Z</dcterms:modified>
</cp:coreProperties>
</file>