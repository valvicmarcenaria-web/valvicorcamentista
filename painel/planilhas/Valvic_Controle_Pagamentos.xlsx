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Análise &amp; Sazonalidade" sheetId="2" state="visible" r:id="rId2"/>
    <sheet name="2026" sheetId="3" state="visible" r:id="rId3"/>
    <sheet name="2025" sheetId="4" state="visible" r:id="rId4"/>
    <sheet name="2024" sheetId="5" state="visible" r:id="rId5"/>
    <sheet name="2023" sheetId="6" state="visible" r:id="rId6"/>
    <sheet name="Aporte Walton" sheetId="7" state="visible" r:id="rId7"/>
    <sheet name="Crédito Samuel" sheetId="8" state="visible" r:id="rId8"/>
    <sheet name="Listas" sheetId="9" state="visible" r:id="rId9"/>
    <sheet name="Notas de migração" sheetId="10" state="visible" r:id="rId10"/>
  </sheets>
  <definedNames>
    <definedName name="_xlnm.Print_Area" localSheetId="0">'Painel'!$A$1:$H$51</definedName>
    <definedName name="_xlnm.Print_Area" localSheetId="1">'Análise &amp; Sazonalidade'!$A$1:$I$52</definedName>
    <definedName name="_xlnm.Print_Area" localSheetId="2">'2026'!$A$1:$H$107</definedName>
    <definedName name="_xlnm.Print_Area" localSheetId="3">'2025'!$A$1:$H$112</definedName>
    <definedName name="_xlnm.Print_Area" localSheetId="4">'2024'!$A$1:$H$108</definedName>
    <definedName name="_xlnm.Print_Area" localSheetId="5">'2023'!$A$1:$H$127</definedName>
    <definedName name="_xlnm.Print_Area" localSheetId="6">'Aporte Walton'!$A$1:$D$43</definedName>
    <definedName name="_xlnm.Print_Area" localSheetId="7">'Crédito Samuel'!$A$1:$C$22</definedName>
    <definedName name="_xlnm.Print_Area" localSheetId="9">'Notas de migração'!$A$1:$F$37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"/>
    <numFmt numFmtId="165" formatCode="0.0%"/>
    <numFmt numFmtId="166" formatCode="R$ #,##0.00"/>
    <numFmt numFmtId="167" formatCode="yyyy-mm-dd"/>
    <numFmt numFmtId="168" formatCode="DD/MM/YYYY"/>
  </numFmts>
  <fonts count="3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FB0C4"/>
      <sz val="8"/>
    </font>
    <font>
      <name val="Arial"/>
      <b val="1"/>
      <color rgb="00FFFFFF"/>
      <sz val="15"/>
    </font>
    <font>
      <name val="Arial"/>
      <i val="1"/>
      <color rgb="007A5B17"/>
      <sz val="8.5"/>
    </font>
    <font>
      <name val="Arial"/>
      <b val="1"/>
      <color rgb="006C7785"/>
      <sz val="8"/>
    </font>
    <font>
      <name val="Arial"/>
      <b val="1"/>
      <color rgb="000E2038"/>
      <sz val="13"/>
    </font>
    <font>
      <name val="Arial"/>
      <b val="1"/>
      <color rgb="00FFFFFF"/>
      <sz val="8.5"/>
    </font>
    <font>
      <name val="Arial"/>
      <b val="1"/>
      <color rgb="00FFFFFF"/>
      <sz val="10"/>
    </font>
    <font>
      <name val="Arial"/>
      <color rgb="00D8BD80"/>
      <sz val="9"/>
    </font>
    <font>
      <name val="Arial"/>
      <color rgb="001B2733"/>
      <sz val="9.5"/>
    </font>
    <font>
      <name val="Arial"/>
      <b val="1"/>
      <color rgb="000E2038"/>
      <sz val="9.5"/>
    </font>
    <font>
      <name val="Arial"/>
      <color rgb="0016314F"/>
      <sz val="9.5"/>
    </font>
    <font>
      <name val="Arial"/>
      <b val="1"/>
      <color rgb="0016314F"/>
      <sz val="9.5"/>
    </font>
    <font>
      <name val="Arial"/>
      <b val="1"/>
      <color rgb="0016314F"/>
      <sz val="8.5"/>
    </font>
    <font>
      <name val="Arial"/>
      <color rgb="001B2733"/>
      <sz val="9"/>
    </font>
    <font>
      <name val="Arial"/>
      <color rgb="001B2733"/>
      <sz val="8.5"/>
    </font>
    <font>
      <name val="Arial"/>
      <color rgb="006C7785"/>
      <sz val="8"/>
    </font>
    <font>
      <name val="Arial"/>
      <b val="1"/>
      <color rgb="000E2038"/>
      <sz val="9"/>
    </font>
    <font>
      <name val="Arial"/>
      <b val="1"/>
      <color rgb="000E2038"/>
      <sz val="15"/>
    </font>
    <font>
      <name val="Arial"/>
      <b val="1"/>
      <color rgb="000E2038"/>
      <sz val="10"/>
    </font>
    <font>
      <name val="Arial"/>
      <color rgb="0016314F"/>
      <sz val="10"/>
    </font>
    <font>
      <name val="Arial"/>
      <color rgb="006C7785"/>
      <sz val="9.5"/>
    </font>
    <font>
      <name val="Arial"/>
      <b val="1"/>
      <color rgb="00B0413F"/>
      <sz val="9.5"/>
    </font>
    <font>
      <name val="Arial"/>
      <color rgb="002A3744"/>
      <sz val="9.5"/>
    </font>
    <font>
      <name val="Arial"/>
      <b val="1"/>
      <color rgb="00D8BD80"/>
      <sz val="10"/>
    </font>
    <font>
      <name val="Arial"/>
      <b val="1"/>
      <color rgb="0016314F"/>
      <sz val="10"/>
    </font>
    <font>
      <name val="Arial"/>
      <color rgb="006C7785"/>
      <sz val="9"/>
    </font>
    <font>
      <name val="Arial"/>
      <b val="1"/>
      <color rgb="0016314F"/>
      <sz val="9"/>
    </font>
    <font>
      <name val="Arial"/>
      <color rgb="0041505D"/>
      <sz val="8.5"/>
    </font>
    <font>
      <name val="Arial"/>
      <b val="1"/>
      <color rgb="00FFFFFF"/>
      <sz val="11"/>
    </font>
    <font>
      <name val="Arial"/>
      <b val="1"/>
      <color rgb="00D8BD80"/>
      <sz val="9.5"/>
    </font>
    <font>
      <name val="Arial"/>
      <b val="1"/>
      <color rgb="00D8BD80"/>
      <sz val="14"/>
    </font>
    <font>
      <name val="Arial"/>
      <b val="1"/>
      <color rgb="00D8BD80"/>
      <sz val="12"/>
    </font>
    <font>
      <name val="Arial"/>
      <b val="1"/>
      <color rgb="00FFFFFF"/>
      <sz val="9"/>
    </font>
    <font>
      <name val="Arial"/>
      <color rgb="001B2733"/>
      <sz val="10"/>
    </font>
    <font>
      <name val="Arial"/>
      <color rgb="0041505D"/>
      <sz val="9"/>
    </font>
    <font>
      <name val="Arial"/>
      <color rgb="002A3744"/>
      <sz val="10"/>
    </font>
    <font>
      <name val="Arial"/>
      <b val="1"/>
      <color rgb="007A5B17"/>
      <sz val="9"/>
    </font>
  </fonts>
  <fills count="8">
    <fill>
      <patternFill/>
    </fill>
    <fill>
      <patternFill patternType="gray125"/>
    </fill>
    <fill>
      <patternFill patternType="solid">
        <fgColor rgb="000E2038"/>
      </patternFill>
    </fill>
    <fill>
      <patternFill patternType="solid">
        <fgColor rgb="0016314F"/>
      </patternFill>
    </fill>
    <fill>
      <patternFill patternType="solid">
        <fgColor rgb="00F6EDD6"/>
      </patternFill>
    </fill>
    <fill>
      <patternFill patternType="solid">
        <fgColor rgb="00FFFFFF"/>
      </patternFill>
    </fill>
    <fill>
      <patternFill patternType="solid">
        <fgColor rgb="00FFF9E3"/>
      </patternFill>
    </fill>
    <fill>
      <patternFill patternType="solid">
        <fgColor rgb="00F4F6F8"/>
      </patternFill>
    </fill>
  </fills>
  <borders count="5">
    <border>
      <left/>
      <right/>
      <top/>
      <bottom/>
      <diagonal/>
    </border>
    <border>
      <left style="thin">
        <color rgb="00E8E3D8"/>
      </left>
      <right style="thin">
        <color rgb="00E8E3D8"/>
      </right>
      <bottom style="thin">
        <color rgb="00E8E3D8"/>
      </bottom>
    </border>
    <border>
      <left style="thin">
        <color rgb="0016314F"/>
      </left>
      <right style="thin">
        <color rgb="0016314F"/>
      </right>
      <bottom style="medium">
        <color rgb="00C2A05A"/>
      </bottom>
    </border>
    <border>
      <bottom style="medium">
        <color rgb="00C2A05A"/>
      </bottom>
    </border>
    <border>
      <bottom style="thin">
        <color rgb="00DFDACD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164" fontId="19" fillId="4" borderId="1" applyAlignment="1" pivotButton="0" quotePrefix="0" xfId="0">
      <alignment horizontal="center" vertical="center"/>
    </xf>
    <xf numFmtId="0" fontId="0" fillId="4" borderId="1" pivotButton="0" quotePrefix="0" xfId="0"/>
    <xf numFmtId="9" fontId="19" fillId="4" borderId="1" applyAlignment="1" pivotButton="0" quotePrefix="0" xfId="0">
      <alignment horizontal="center" vertical="center"/>
    </xf>
    <xf numFmtId="1" fontId="19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left" vertical="center"/>
    </xf>
    <xf numFmtId="0" fontId="0" fillId="4" borderId="3" pivotButton="0" quotePrefix="0" xfId="0"/>
    <xf numFmtId="0" fontId="7" fillId="3" borderId="2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indent="1"/>
    </xf>
    <xf numFmtId="1" fontId="21" fillId="7" borderId="1" applyAlignment="1" pivotButton="0" quotePrefix="0" xfId="0">
      <alignment horizontal="center" vertical="center"/>
    </xf>
    <xf numFmtId="164" fontId="21" fillId="7" borderId="1" applyAlignment="1" pivotButton="0" quotePrefix="0" xfId="0">
      <alignment horizontal="right" vertical="center" indent="1"/>
    </xf>
    <xf numFmtId="9" fontId="2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1" fontId="12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right" vertical="center" indent="1"/>
    </xf>
    <xf numFmtId="9" fontId="12" fillId="7" borderId="1" applyAlignment="1" pivotButton="0" quotePrefix="0" xfId="0">
      <alignment horizontal="center" vertical="center"/>
    </xf>
    <xf numFmtId="164" fontId="22" fillId="7" borderId="1" applyAlignment="1" pivotButton="0" quotePrefix="0" xfId="0">
      <alignment horizontal="right" vertical="center" indent="1"/>
    </xf>
    <xf numFmtId="0" fontId="2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164" fontId="23" fillId="7" borderId="1" applyAlignment="1" pivotButton="0" quotePrefix="0" xfId="0">
      <alignment horizontal="right" vertical="center" indent="1"/>
    </xf>
    <xf numFmtId="165" fontId="22" fillId="7" borderId="1" applyAlignment="1" pivotButton="0" quotePrefix="0" xfId="0">
      <alignment horizontal="center" vertical="center"/>
    </xf>
    <xf numFmtId="0" fontId="24" fillId="5" borderId="0" applyAlignment="1" pivotButton="0" quotePrefix="0" xfId="0">
      <alignment horizontal="left" vertical="center" wrapText="1" indent="1"/>
    </xf>
    <xf numFmtId="164" fontId="11" fillId="4" borderId="1" applyAlignment="1" pivotButton="0" quotePrefix="0" xfId="0">
      <alignment horizontal="right" vertical="center" indent="1"/>
    </xf>
    <xf numFmtId="165" fontId="12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indent="1"/>
    </xf>
    <xf numFmtId="164" fontId="25" fillId="3" borderId="1" applyAlignment="1" pivotButton="0" quotePrefix="0" xfId="0">
      <alignment horizontal="right" vertical="center" indent="1"/>
    </xf>
    <xf numFmtId="2" fontId="26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8" fillId="3" borderId="1" applyAlignment="1" pivotButton="0" quotePrefix="0" xfId="0">
      <alignment horizontal="center" vertical="center"/>
    </xf>
    <xf numFmtId="9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indent="1"/>
    </xf>
    <xf numFmtId="166" fontId="11" fillId="6" borderId="1" applyAlignment="1" pivotButton="0" quotePrefix="0" xfId="0">
      <alignment horizontal="right" vertical="center" indent="1"/>
    </xf>
    <xf numFmtId="166" fontId="12" fillId="7" borderId="1" applyAlignment="1" pivotButton="0" quotePrefix="0" xfId="0">
      <alignment horizontal="right" vertical="center" indent="1"/>
    </xf>
    <xf numFmtId="166" fontId="13" fillId="7" borderId="1" applyAlignment="1" pivotButton="0" quotePrefix="0" xfId="0">
      <alignment horizontal="right" vertical="center" indent="1"/>
    </xf>
    <xf numFmtId="0" fontId="14" fillId="7" borderId="1" applyAlignment="1" pivotButton="0" quotePrefix="0" xfId="0">
      <alignment horizontal="center" vertical="center"/>
    </xf>
    <xf numFmtId="166" fontId="12" fillId="6" borderId="1" applyAlignment="1" pivotButton="0" quotePrefix="0" xfId="0">
      <alignment horizontal="right" vertical="center" indent="1"/>
    </xf>
    <xf numFmtId="168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indent="1"/>
    </xf>
    <xf numFmtId="166" fontId="17" fillId="0" borderId="0" pivotButton="0" quotePrefix="0" xfId="0"/>
    <xf numFmtId="166" fontId="21" fillId="6" borderId="1" applyAlignment="1" pivotButton="0" quotePrefix="0" xfId="0">
      <alignment horizontal="right" vertical="center" indent="1"/>
    </xf>
    <xf numFmtId="166" fontId="0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6" fontId="30" fillId="3" borderId="1" applyAlignment="1" pivotButton="0" quotePrefix="0" xfId="0">
      <alignment horizontal="right" vertical="center" indent="1"/>
    </xf>
    <xf numFmtId="0" fontId="31" fillId="3" borderId="1" applyAlignment="1" pivotButton="0" quotePrefix="0" xfId="0">
      <alignment horizontal="left" vertical="center" indent="1"/>
    </xf>
    <xf numFmtId="166" fontId="32" fillId="2" borderId="1" applyAlignment="1" pivotButton="0" quotePrefix="0" xfId="0">
      <alignment horizontal="right" vertical="center" indent="1"/>
    </xf>
    <xf numFmtId="0" fontId="8" fillId="2" borderId="1" applyAlignment="1" pivotButton="0" quotePrefix="0" xfId="0">
      <alignment horizontal="left" vertical="center" indent="1"/>
    </xf>
    <xf numFmtId="168" fontId="10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indent="1"/>
    </xf>
    <xf numFmtId="166" fontId="33" fillId="3" borderId="1" applyAlignment="1" pivotButton="0" quotePrefix="0" xfId="0">
      <alignment horizontal="right" vertical="center" indent="1"/>
    </xf>
    <xf numFmtId="0" fontId="34" fillId="3" borderId="0" applyAlignment="1" pivotButton="0" quotePrefix="0" xfId="0">
      <alignment horizontal="center" vertical="center"/>
    </xf>
    <xf numFmtId="0" fontId="35" fillId="0" borderId="4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left" vertical="center" wrapText="1"/>
    </xf>
    <xf numFmtId="0" fontId="38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b val="1"/>
        <color rgb="002F7D4F"/>
      </font>
      <fill>
        <patternFill patternType="solid">
          <fgColor rgb="00E2F0E7"/>
        </patternFill>
      </fill>
    </dxf>
    <dxf>
      <font>
        <color rgb="00B0413F"/>
      </font>
    </dxf>
    <dxf>
      <font>
        <b val="1"/>
        <color rgb="00B0413F"/>
      </font>
      <fill>
        <patternFill patternType="solid">
          <fgColor rgb="00FBE7E6"/>
        </patternFill>
      </fill>
    </dxf>
    <dxf>
      <font>
        <b val="1"/>
        <color rgb="00B57A16"/>
      </font>
      <fill>
        <patternFill patternType="solid">
          <fgColor rgb="00FBF1DC"/>
        </patternFill>
      </fill>
    </dxf>
    <dxf>
      <font>
        <b val="1"/>
        <color rgb="002F5D8C"/>
      </font>
      <fill>
        <patternFill patternType="solid">
          <fgColor rgb="00E7EEF6"/>
        </patternFill>
      </fill>
    </dxf>
    <dxf>
      <font>
        <b val="1"/>
        <color rgb="00B0413F"/>
      </font>
    </dxf>
    <dxf>
      <fill>
        <patternFill patternType="solid">
          <fgColor rgb="00FDF3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Vendido × recebido por 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'Painel'!C10</f>
            </strRef>
          </tx>
          <spPr>
            <a:solidFill>
              <a:srgbClr val="16314F"/>
            </a:solidFill>
            <a:ln>
              <a:solidFill>
                <a:srgbClr val="16314F"/>
              </a:solidFill>
              <a:prstDash val="solid"/>
            </a:ln>
          </spPr>
          <cat>
            <numRef>
              <f>'Painel'!$A$11:$A$14</f>
            </numRef>
          </cat>
          <val>
            <numRef>
              <f>'Painel'!$C$11:$C$14</f>
            </numRef>
          </val>
        </ser>
        <ser>
          <idx val="1"/>
          <order val="1"/>
          <tx>
            <strRef>
              <f>'Painel'!D10</f>
            </strRef>
          </tx>
          <spPr>
            <a:solidFill>
              <a:srgbClr val="C2A05A"/>
            </a:solidFill>
            <a:ln>
              <a:solidFill>
                <a:srgbClr val="C2A05A"/>
              </a:solidFill>
              <a:prstDash val="solid"/>
            </a:ln>
          </spPr>
          <cat>
            <numRef>
              <f>'Painel'!$A$11:$A$14</f>
            </numRef>
          </cat>
          <val>
            <numRef>
              <f>'Painel'!$D$11:$D$14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2026 · vendas e recebimentos mês a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'Painel'!C17</f>
            </strRef>
          </tx>
          <spPr>
            <a:solidFill>
              <a:srgbClr val="16314F"/>
            </a:solidFill>
            <a:ln>
              <a:solidFill>
                <a:srgbClr val="16314F"/>
              </a:solidFill>
              <a:prstDash val="solid"/>
            </a:ln>
          </spPr>
          <cat>
            <numRef>
              <f>'Painel'!$A$18:$A$29</f>
            </numRef>
          </cat>
          <val>
            <numRef>
              <f>'Painel'!$C$18:$C$29</f>
            </numRef>
          </val>
        </ser>
        <ser>
          <idx val="1"/>
          <order val="1"/>
          <tx>
            <strRef>
              <f>'Painel'!D17</f>
            </strRef>
          </tx>
          <spPr>
            <a:solidFill>
              <a:srgbClr val="C2A05A"/>
            </a:solidFill>
            <a:ln>
              <a:solidFill>
                <a:srgbClr val="C2A05A"/>
              </a:solidFill>
              <a:prstDash val="solid"/>
            </a:ln>
          </spPr>
          <cat>
            <numRef>
              <f>'Painel'!$A$18:$A$29</f>
            </numRef>
          </cat>
          <val>
            <numRef>
              <f>'Painel'!$D$18:$D$29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'Painel'!G17</f>
            </strRef>
          </tx>
          <spPr>
            <a:ln w="22000">
              <a:solidFill>
                <a:srgbClr val="2F7D4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'Painel'!$G$18:$G$29</f>
            </numRef>
          </val>
          <smooth val="0"/>
        </ser>
        <ser>
          <idx val="3"/>
          <order val="3"/>
          <tx>
            <strRef>
              <f>'Painel'!H17</f>
            </strRef>
          </tx>
          <spPr>
            <a:ln w="22000">
              <a:solidFill>
                <a:srgbClr val="B0413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'Painel'!$H$18:$H$29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"/>
      </valAx>
      <valAx>
        <axId val="2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Fluxo de caixa · entradas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'Análise &amp; Sazonalidade'!B7</f>
            </strRef>
          </tx>
          <spPr>
            <a:ln w="20000">
              <a:solidFill>
                <a:srgbClr val="9FB0C4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'Análise &amp; Sazonalidade'!$A$8:$A$19</f>
            </numRef>
          </cat>
          <val>
            <numRef>
              <f>'Análise &amp; Sazonalidade'!$B$8:$B$19</f>
            </numRef>
          </val>
          <smooth val="0"/>
        </ser>
        <ser>
          <idx val="1"/>
          <order val="1"/>
          <tx>
            <strRef>
              <f>'Análise &amp; Sazonalidade'!C7</f>
            </strRef>
          </tx>
          <spPr>
            <a:ln w="20000">
              <a:solidFill>
                <a:srgbClr val="2F5D8C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'Análise &amp; Sazonalidade'!$A$8:$A$19</f>
            </numRef>
          </cat>
          <val>
            <numRef>
              <f>'Análise &amp; Sazonalidade'!$C$8:$C$19</f>
            </numRef>
          </val>
          <smooth val="0"/>
        </ser>
        <ser>
          <idx val="2"/>
          <order val="2"/>
          <tx>
            <strRef>
              <f>'Análise &amp; Sazonalidade'!D7</f>
            </strRef>
          </tx>
          <spPr>
            <a:ln w="20000">
              <a:solidFill>
                <a:srgbClr val="C2A05A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'Análise &amp; Sazonalidade'!$A$8:$A$19</f>
            </numRef>
          </cat>
          <val>
            <numRef>
              <f>'Análise &amp; Sazonalidade'!$D$8:$D$19</f>
            </numRef>
          </val>
          <smooth val="0"/>
        </ser>
        <ser>
          <idx val="3"/>
          <order val="3"/>
          <tx>
            <strRef>
              <f>'Análise &amp; Sazonalidade'!E7</f>
            </strRef>
          </tx>
          <spPr>
            <a:ln w="20000">
              <a:solidFill>
                <a:srgbClr val="16314F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'Análise &amp; Sazonalidade'!$A$8:$A$19</f>
            </numRef>
          </cat>
          <val>
            <numRef>
              <f>'Análise &amp; Sazonalidade'!$E$8:$E$19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Índice sazonal de vendas  ·  1,00 = mês médio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 &amp; Sazonalidade'!G23</f>
            </strRef>
          </tx>
          <spPr>
            <a:solidFill>
              <a:srgbClr val="C2A05A"/>
            </a:solidFill>
            <a:ln>
              <a:solidFill>
                <a:srgbClr val="C2A05A"/>
              </a:solidFill>
              <a:prstDash val="solid"/>
            </a:ln>
          </spPr>
          <cat>
            <numRef>
              <f>'Análise &amp; Sazonalidade'!$A$24:$A$35</f>
            </numRef>
          </cat>
          <val>
            <numRef>
              <f>'Análise &amp; Sazonalidade'!$G$24:$G$35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0.00" sourceLinked="0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Vendas mês a mês, ano a 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 &amp; Sazonalidade'!B23</f>
            </strRef>
          </tx>
          <spPr>
            <a:solidFill>
              <a:srgbClr val="9FB0C4"/>
            </a:solidFill>
            <a:ln>
              <a:solidFill>
                <a:srgbClr val="9FB0C4"/>
              </a:solidFill>
              <a:prstDash val="solid"/>
            </a:ln>
          </spPr>
          <cat>
            <numRef>
              <f>'Análise &amp; Sazonalidade'!$A$24:$A$35</f>
            </numRef>
          </cat>
          <val>
            <numRef>
              <f>'Análise &amp; Sazonalidade'!$B$24:$B$35</f>
            </numRef>
          </val>
        </ser>
        <ser>
          <idx val="1"/>
          <order val="1"/>
          <tx>
            <strRef>
              <f>'Análise &amp; Sazonalidade'!C23</f>
            </strRef>
          </tx>
          <spPr>
            <a:solidFill>
              <a:srgbClr val="2F5D8C"/>
            </a:solidFill>
            <a:ln>
              <a:solidFill>
                <a:srgbClr val="2F5D8C"/>
              </a:solidFill>
              <a:prstDash val="solid"/>
            </a:ln>
          </spPr>
          <cat>
            <numRef>
              <f>'Análise &amp; Sazonalidade'!$A$24:$A$35</f>
            </numRef>
          </cat>
          <val>
            <numRef>
              <f>'Análise &amp; Sazonalidade'!$C$24:$C$35</f>
            </numRef>
          </val>
        </ser>
        <ser>
          <idx val="2"/>
          <order val="2"/>
          <tx>
            <strRef>
              <f>'Análise &amp; Sazonalidade'!D23</f>
            </strRef>
          </tx>
          <spPr>
            <a:solidFill>
              <a:srgbClr val="C2A05A"/>
            </a:solidFill>
            <a:ln>
              <a:solidFill>
                <a:srgbClr val="C2A05A"/>
              </a:solidFill>
              <a:prstDash val="solid"/>
            </a:ln>
          </spPr>
          <cat>
            <numRef>
              <f>'Análise &amp; Sazonalidade'!$A$24:$A$35</f>
            </numRef>
          </cat>
          <val>
            <numRef>
              <f>'Análise &amp; Sazonalidade'!$D$24:$D$35</f>
            </numRef>
          </val>
        </ser>
        <ser>
          <idx val="3"/>
          <order val="3"/>
          <tx>
            <strRef>
              <f>'Análise &amp; Sazonalidade'!E23</f>
            </strRef>
          </tx>
          <spPr>
            <a:solidFill>
              <a:srgbClr val="16314F"/>
            </a:solidFill>
            <a:ln>
              <a:solidFill>
                <a:srgbClr val="16314F"/>
              </a:solidFill>
              <a:prstDash val="solid"/>
            </a:ln>
          </spPr>
          <cat>
            <numRef>
              <f>'Análise &amp; Sazonalidade'!$A$24:$A$35</f>
            </numRef>
          </cat>
          <val>
            <numRef>
              <f>'Análise &amp; Sazonalidade'!$E$24:$E$35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25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6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44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8" customHeight="1">
      <c r="A3" s="4" t="inlineStr">
        <is>
          <t>PAINEL DE PAGAMENTOS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7" customHeight="1">
      <c r="A4" s="6" t="inlineStr">
        <is>
          <t>Tudo aqui é calculado a partir das abas de ano — não digite nada nesta aba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 ht="6" customHeight="1"/>
    <row r="6" ht="14" customHeight="1">
      <c r="A6" s="8" t="inlineStr">
        <is>
          <t>VENDIDO EM 2026</t>
        </is>
      </c>
      <c r="B6" s="9" t="n"/>
      <c r="C6" s="9" t="n"/>
      <c r="D6" s="8" t="inlineStr">
        <is>
          <t>RECEBIDO</t>
        </is>
      </c>
      <c r="E6" s="9" t="n"/>
      <c r="F6" s="9" t="n"/>
      <c r="G6" s="8" t="inlineStr">
        <is>
          <t>A RECEBER</t>
        </is>
      </c>
      <c r="H6" s="9" t="n"/>
      <c r="I6" s="9" t="n"/>
      <c r="J6" s="8" t="inlineStr">
        <is>
          <t>% RECEBIDO</t>
        </is>
      </c>
      <c r="K6" s="9" t="n"/>
      <c r="L6" s="9" t="n"/>
      <c r="M6" s="8" t="inlineStr">
        <is>
          <t>PROJETOS</t>
        </is>
      </c>
      <c r="N6" s="9" t="n"/>
      <c r="O6" s="9" t="n"/>
      <c r="P6" s="8" t="inlineStr">
        <is>
          <t>TICKET MÉDIO</t>
        </is>
      </c>
      <c r="Q6" s="9" t="n"/>
      <c r="R6" s="9" t="n"/>
    </row>
    <row r="7" ht="32" customHeight="1">
      <c r="A7" s="10">
        <f>'2026'!$A$7</f>
        <v/>
      </c>
      <c r="B7" s="11" t="n"/>
      <c r="C7" s="11" t="n"/>
      <c r="D7" s="10">
        <f>'2026'!$D$7</f>
        <v/>
      </c>
      <c r="E7" s="11" t="n"/>
      <c r="F7" s="11" t="n"/>
      <c r="G7" s="10">
        <f>'2026'!$F$7</f>
        <v/>
      </c>
      <c r="H7" s="11" t="n"/>
      <c r="I7" s="11" t="n"/>
      <c r="J7" s="12">
        <f>'2026'!$H$7</f>
        <v/>
      </c>
      <c r="K7" s="11" t="n"/>
      <c r="L7" s="11" t="n"/>
      <c r="M7" s="13">
        <f>COUNT('2026'!$X$10:$X$107)</f>
        <v/>
      </c>
      <c r="N7" s="11" t="n"/>
      <c r="O7" s="11" t="n"/>
      <c r="P7" s="10">
        <f>IF(COUNT('2026'!$X$10:$X$107)=0,"",'2026'!$A$7/COUNT('2026'!$X$10:$X$107))</f>
        <v/>
      </c>
      <c r="Q7" s="11" t="n"/>
      <c r="R7" s="11" t="n"/>
    </row>
    <row r="8" ht="8" customHeight="1"/>
    <row r="9" ht="20" customHeight="1">
      <c r="A9" s="14" t="inlineStr">
        <is>
          <t xml:space="preserve">  ANO A ANO          vendido, recebido e o que ficou em aberto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</row>
    <row r="10" ht="26" customHeight="1">
      <c r="A10" s="16" t="inlineStr">
        <is>
          <t>Ano</t>
        </is>
      </c>
      <c r="B10" s="16" t="inlineStr">
        <is>
          <t>Projetos</t>
        </is>
      </c>
      <c r="C10" s="16" t="inlineStr">
        <is>
          <t>Vendido</t>
        </is>
      </c>
      <c r="D10" s="16" t="inlineStr">
        <is>
          <t>Recebido</t>
        </is>
      </c>
      <c r="E10" s="16" t="inlineStr">
        <is>
          <t>A receber</t>
        </is>
      </c>
      <c r="F10" s="16" t="inlineStr">
        <is>
          <t>% recebido</t>
        </is>
      </c>
      <c r="G10" s="16" t="inlineStr">
        <is>
          <t>Ticket médio</t>
        </is>
      </c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</row>
    <row r="11" ht="19" customHeight="1">
      <c r="A11" s="17" t="inlineStr">
        <is>
          <t>2026</t>
        </is>
      </c>
      <c r="B11" s="18">
        <f>COUNT('2026'!$X$10:$X$107)</f>
        <v/>
      </c>
      <c r="C11" s="19">
        <f>'2026'!$A$7</f>
        <v/>
      </c>
      <c r="D11" s="19">
        <f>'2026'!$D$7</f>
        <v/>
      </c>
      <c r="E11" s="19">
        <f>'2026'!$F$7</f>
        <v/>
      </c>
      <c r="F11" s="20">
        <f>'2026'!$H$7</f>
        <v/>
      </c>
      <c r="G11" s="19">
        <f>IF(COUNT('2026'!$X$10:$X$107)=0,"",'2026'!$A$7/COUNT('2026'!$X$10:$X$107))</f>
        <v/>
      </c>
    </row>
    <row r="12" ht="19" customHeight="1">
      <c r="A12" s="17" t="inlineStr">
        <is>
          <t>2025</t>
        </is>
      </c>
      <c r="B12" s="18">
        <f>COUNT('2025'!$X$10:$X$112)</f>
        <v/>
      </c>
      <c r="C12" s="19">
        <f>'2025'!$A$7</f>
        <v/>
      </c>
      <c r="D12" s="19">
        <f>'2025'!$D$7</f>
        <v/>
      </c>
      <c r="E12" s="19">
        <f>'2025'!$F$7</f>
        <v/>
      </c>
      <c r="F12" s="20">
        <f>'2025'!$H$7</f>
        <v/>
      </c>
      <c r="G12" s="19">
        <f>IF(COUNT('2025'!$X$10:$X$112)=0,"",'2025'!$A$7/COUNT('2025'!$X$10:$X$112))</f>
        <v/>
      </c>
    </row>
    <row r="13" ht="19" customHeight="1">
      <c r="A13" s="17" t="inlineStr">
        <is>
          <t>2024</t>
        </is>
      </c>
      <c r="B13" s="18">
        <f>COUNT('2024'!$X$10:$X$108)</f>
        <v/>
      </c>
      <c r="C13" s="19">
        <f>'2024'!$A$7</f>
        <v/>
      </c>
      <c r="D13" s="19">
        <f>'2024'!$D$7</f>
        <v/>
      </c>
      <c r="E13" s="19">
        <f>'2024'!$F$7</f>
        <v/>
      </c>
      <c r="F13" s="20">
        <f>'2024'!$H$7</f>
        <v/>
      </c>
      <c r="G13" s="19">
        <f>IF(COUNT('2024'!$X$10:$X$108)=0,"",'2024'!$A$7/COUNT('2024'!$X$10:$X$108))</f>
        <v/>
      </c>
    </row>
    <row r="14" ht="19" customHeight="1">
      <c r="A14" s="17" t="inlineStr">
        <is>
          <t>2023</t>
        </is>
      </c>
      <c r="B14" s="18">
        <f>COUNT('2023'!$X$26:$X$127)</f>
        <v/>
      </c>
      <c r="C14" s="19">
        <f>'2023'!$A$7</f>
        <v/>
      </c>
      <c r="D14" s="19">
        <f>'2023'!$D$7</f>
        <v/>
      </c>
      <c r="E14" s="19">
        <f>'2023'!$F$7</f>
        <v/>
      </c>
      <c r="F14" s="20">
        <f>'2023'!$H$7</f>
        <v/>
      </c>
      <c r="G14" s="19">
        <f>IF(COUNT('2023'!$X$26:$X$127)=0,"",'2023'!$A$7/COUNT('2023'!$X$26:$X$127))</f>
        <v/>
      </c>
    </row>
    <row r="15" ht="8" customHeight="1"/>
    <row r="16" ht="20" customHeight="1">
      <c r="A16" s="14" t="inlineStr">
        <is>
          <t xml:space="preserve">  2026 MÊS A MÊS          vendas pela data do contrato · acumulado comparado à meta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 ht="26" customHeight="1">
      <c r="A17" s="16" t="inlineStr">
        <is>
          <t>Mês</t>
        </is>
      </c>
      <c r="B17" s="16" t="inlineStr">
        <is>
          <t>Projetos</t>
        </is>
      </c>
      <c r="C17" s="16" t="inlineStr">
        <is>
          <t>Vendido</t>
        </is>
      </c>
      <c r="D17" s="16" t="inlineStr">
        <is>
          <t>Recebido</t>
        </is>
      </c>
      <c r="E17" s="16" t="inlineStr">
        <is>
          <t>A receber</t>
        </is>
      </c>
      <c r="F17" s="16" t="inlineStr">
        <is>
          <t>% recebido</t>
        </is>
      </c>
      <c r="G17" s="16" t="inlineStr">
        <is>
          <t>Acum. vendido</t>
        </is>
      </c>
      <c r="H17" s="16" t="inlineStr">
        <is>
          <t>Meta acum.</t>
        </is>
      </c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6" t="inlineStr"/>
      <c r="S17" s="16" t="inlineStr"/>
      <c r="T17" s="16" t="inlineStr"/>
    </row>
    <row r="18" ht="18" customHeight="1">
      <c r="A18" s="21" t="inlineStr">
        <is>
          <t>Janeiro</t>
        </is>
      </c>
      <c r="B18" s="22">
        <f>COUNT('2026'!$X$11:$X$19)</f>
        <v/>
      </c>
      <c r="C18" s="23">
        <f>'2026'!$C$10</f>
        <v/>
      </c>
      <c r="D18" s="23">
        <f>'2026'!$E$10</f>
        <v/>
      </c>
      <c r="E18" s="23">
        <f>'2026'!$F$10</f>
        <v/>
      </c>
      <c r="F18" s="24">
        <f>'2026'!$G$10</f>
        <v/>
      </c>
      <c r="G18" s="23">
        <f>IF(DATE(2026,1,1)&gt;TODAY(),"",IF(SUM($C$18:$C18)=0,"",SUM($C$18:$C18)))</f>
        <v/>
      </c>
      <c r="H18" s="25">
        <f>ROUND('2026'!$I$7/12*1,0)</f>
        <v/>
      </c>
    </row>
    <row r="19" ht="18" customHeight="1">
      <c r="A19" s="21" t="inlineStr">
        <is>
          <t>Fevereiro</t>
        </is>
      </c>
      <c r="B19" s="22">
        <f>COUNT('2026'!$X$18:$X$26)</f>
        <v/>
      </c>
      <c r="C19" s="23">
        <f>'2026'!$C$17</f>
        <v/>
      </c>
      <c r="D19" s="23">
        <f>'2026'!$E$17</f>
        <v/>
      </c>
      <c r="E19" s="23">
        <f>'2026'!$F$17</f>
        <v/>
      </c>
      <c r="F19" s="24">
        <f>'2026'!$G$17</f>
        <v/>
      </c>
      <c r="G19" s="23">
        <f>IF(DATE(2026,2,1)&gt;TODAY(),"",IF(SUM($C$18:$C19)=0,"",SUM($C$18:$C19)))</f>
        <v/>
      </c>
      <c r="H19" s="25">
        <f>ROUND('2026'!$I$7/12*2,0)</f>
        <v/>
      </c>
    </row>
    <row r="20" ht="18" customHeight="1">
      <c r="A20" s="21" t="inlineStr">
        <is>
          <t>Março</t>
        </is>
      </c>
      <c r="B20" s="22">
        <f>COUNT('2026'!$X$28:$X$36)</f>
        <v/>
      </c>
      <c r="C20" s="23">
        <f>'2026'!$C$27</f>
        <v/>
      </c>
      <c r="D20" s="23">
        <f>'2026'!$E$27</f>
        <v/>
      </c>
      <c r="E20" s="23">
        <f>'2026'!$F$27</f>
        <v/>
      </c>
      <c r="F20" s="24">
        <f>'2026'!$G$27</f>
        <v/>
      </c>
      <c r="G20" s="23">
        <f>IF(DATE(2026,3,1)&gt;TODAY(),"",IF(SUM($C$18:$C20)=0,"",SUM($C$18:$C20)))</f>
        <v/>
      </c>
      <c r="H20" s="25">
        <f>ROUND('2026'!$I$7/12*3,0)</f>
        <v/>
      </c>
    </row>
    <row r="21" ht="18" customHeight="1">
      <c r="A21" s="21" t="inlineStr">
        <is>
          <t>Abril</t>
        </is>
      </c>
      <c r="B21" s="22">
        <f>COUNT('2026'!$X$39:$X$47)</f>
        <v/>
      </c>
      <c r="C21" s="23">
        <f>'2026'!$C$38</f>
        <v/>
      </c>
      <c r="D21" s="23">
        <f>'2026'!$E$38</f>
        <v/>
      </c>
      <c r="E21" s="23">
        <f>'2026'!$F$38</f>
        <v/>
      </c>
      <c r="F21" s="24">
        <f>'2026'!$G$38</f>
        <v/>
      </c>
      <c r="G21" s="23">
        <f>IF(DATE(2026,4,1)&gt;TODAY(),"",IF(SUM($C$18:$C21)=0,"",SUM($C$18:$C21)))</f>
        <v/>
      </c>
      <c r="H21" s="25">
        <f>ROUND('2026'!$I$7/12*4,0)</f>
        <v/>
      </c>
    </row>
    <row r="22" ht="18" customHeight="1">
      <c r="A22" s="21" t="inlineStr">
        <is>
          <t>Maio</t>
        </is>
      </c>
      <c r="B22" s="22">
        <f>COUNT('2026'!$X$50:$X$58)</f>
        <v/>
      </c>
      <c r="C22" s="23">
        <f>'2026'!$C$49</f>
        <v/>
      </c>
      <c r="D22" s="23">
        <f>'2026'!$E$49</f>
        <v/>
      </c>
      <c r="E22" s="23">
        <f>'2026'!$F$49</f>
        <v/>
      </c>
      <c r="F22" s="24">
        <f>'2026'!$G$49</f>
        <v/>
      </c>
      <c r="G22" s="23">
        <f>IF(DATE(2026,5,1)&gt;TODAY(),"",IF(SUM($C$18:$C22)=0,"",SUM($C$18:$C22)))</f>
        <v/>
      </c>
      <c r="H22" s="25">
        <f>ROUND('2026'!$I$7/12*5,0)</f>
        <v/>
      </c>
    </row>
    <row r="23" ht="18" customHeight="1">
      <c r="A23" s="21" t="inlineStr">
        <is>
          <t>Junho</t>
        </is>
      </c>
      <c r="B23" s="22">
        <f>COUNT('2026'!$X$59:$X$67)</f>
        <v/>
      </c>
      <c r="C23" s="23">
        <f>'2026'!$C$58</f>
        <v/>
      </c>
      <c r="D23" s="23">
        <f>'2026'!$E$58</f>
        <v/>
      </c>
      <c r="E23" s="23">
        <f>'2026'!$F$58</f>
        <v/>
      </c>
      <c r="F23" s="24">
        <f>'2026'!$G$58</f>
        <v/>
      </c>
      <c r="G23" s="23">
        <f>IF(DATE(2026,6,1)&gt;TODAY(),"",IF(SUM($C$18:$C23)=0,"",SUM($C$18:$C23)))</f>
        <v/>
      </c>
      <c r="H23" s="25">
        <f>ROUND('2026'!$I$7/12*6,0)</f>
        <v/>
      </c>
    </row>
    <row r="24" ht="18" customHeight="1">
      <c r="A24" s="21" t="inlineStr">
        <is>
          <t>Julho</t>
        </is>
      </c>
      <c r="B24" s="22">
        <f>COUNT('2026'!$X$70:$X$78)</f>
        <v/>
      </c>
      <c r="C24" s="23">
        <f>'2026'!$C$69</f>
        <v/>
      </c>
      <c r="D24" s="23">
        <f>'2026'!$E$69</f>
        <v/>
      </c>
      <c r="E24" s="23">
        <f>'2026'!$F$69</f>
        <v/>
      </c>
      <c r="F24" s="24">
        <f>'2026'!$G$69</f>
        <v/>
      </c>
      <c r="G24" s="23">
        <f>IF(DATE(2026,7,1)&gt;TODAY(),"",IF(SUM($C$18:$C24)=0,"",SUM($C$18:$C24)))</f>
        <v/>
      </c>
      <c r="H24" s="25">
        <f>ROUND('2026'!$I$7/12*7,0)</f>
        <v/>
      </c>
    </row>
    <row r="25" ht="18" customHeight="1">
      <c r="A25" s="21" t="inlineStr">
        <is>
          <t>Agosto</t>
        </is>
      </c>
      <c r="B25" s="22">
        <f>COUNT('2026'!$X$81:$X$89)</f>
        <v/>
      </c>
      <c r="C25" s="23">
        <f>'2026'!$C$80</f>
        <v/>
      </c>
      <c r="D25" s="23">
        <f>'2026'!$E$80</f>
        <v/>
      </c>
      <c r="E25" s="23">
        <f>'2026'!$F$80</f>
        <v/>
      </c>
      <c r="F25" s="24">
        <f>'2026'!$G$80</f>
        <v/>
      </c>
      <c r="G25" s="23">
        <f>IF(DATE(2026,8,1)&gt;TODAY(),"",IF(SUM($C$18:$C25)=0,"",SUM($C$18:$C25)))</f>
        <v/>
      </c>
      <c r="H25" s="25">
        <f>ROUND('2026'!$I$7/12*8,0)</f>
        <v/>
      </c>
    </row>
    <row r="26" ht="18" customHeight="1">
      <c r="A26" s="21" t="inlineStr">
        <is>
          <t>Setembro</t>
        </is>
      </c>
      <c r="B26" s="22">
        <f>COUNT('2026'!$X$89:$X$97)</f>
        <v/>
      </c>
      <c r="C26" s="23">
        <f>'2026'!$C$88</f>
        <v/>
      </c>
      <c r="D26" s="23">
        <f>'2026'!$E$88</f>
        <v/>
      </c>
      <c r="E26" s="23">
        <f>'2026'!$F$88</f>
        <v/>
      </c>
      <c r="F26" s="24">
        <f>'2026'!$G$88</f>
        <v/>
      </c>
      <c r="G26" s="23">
        <f>IF(DATE(2026,9,1)&gt;TODAY(),"",IF(SUM($C$18:$C26)=0,"",SUM($C$18:$C26)))</f>
        <v/>
      </c>
      <c r="H26" s="25">
        <f>ROUND('2026'!$I$7/12*9,0)</f>
        <v/>
      </c>
    </row>
    <row r="27" ht="18" customHeight="1">
      <c r="A27" s="21" t="inlineStr">
        <is>
          <t>Outubro</t>
        </is>
      </c>
      <c r="B27" s="22">
        <f>COUNT('2026'!$X$94:$X$102)</f>
        <v/>
      </c>
      <c r="C27" s="23">
        <f>'2026'!$C$93</f>
        <v/>
      </c>
      <c r="D27" s="23">
        <f>'2026'!$E$93</f>
        <v/>
      </c>
      <c r="E27" s="23">
        <f>'2026'!$F$93</f>
        <v/>
      </c>
      <c r="F27" s="24">
        <f>'2026'!$G$93</f>
        <v/>
      </c>
      <c r="G27" s="23">
        <f>IF(DATE(2026,10,1)&gt;TODAY(),"",IF(SUM($C$18:$C27)=0,"",SUM($C$18:$C27)))</f>
        <v/>
      </c>
      <c r="H27" s="25">
        <f>ROUND('2026'!$I$7/12*10,0)</f>
        <v/>
      </c>
    </row>
    <row r="28" ht="18" customHeight="1">
      <c r="A28" s="21" t="inlineStr">
        <is>
          <t>Novembro</t>
        </is>
      </c>
      <c r="B28" s="22">
        <f>COUNT('2026'!$X$99:$X$107)</f>
        <v/>
      </c>
      <c r="C28" s="23">
        <f>'2026'!$C$98</f>
        <v/>
      </c>
      <c r="D28" s="23">
        <f>'2026'!$E$98</f>
        <v/>
      </c>
      <c r="E28" s="23">
        <f>'2026'!$F$98</f>
        <v/>
      </c>
      <c r="F28" s="24">
        <f>'2026'!$G$98</f>
        <v/>
      </c>
      <c r="G28" s="23">
        <f>IF(DATE(2026,11,1)&gt;TODAY(),"",IF(SUM($C$18:$C28)=0,"",SUM($C$18:$C28)))</f>
        <v/>
      </c>
      <c r="H28" s="25">
        <f>ROUND('2026'!$I$7/12*11,0)</f>
        <v/>
      </c>
    </row>
    <row r="29" ht="18" customHeight="1">
      <c r="A29" s="21" t="inlineStr">
        <is>
          <t>Dezembro</t>
        </is>
      </c>
      <c r="B29" s="22">
        <f>COUNT('2026'!$X$104:$X$112)</f>
        <v/>
      </c>
      <c r="C29" s="23">
        <f>'2026'!$C$103</f>
        <v/>
      </c>
      <c r="D29" s="23">
        <f>'2026'!$E$103</f>
        <v/>
      </c>
      <c r="E29" s="23">
        <f>'2026'!$F$103</f>
        <v/>
      </c>
      <c r="F29" s="24">
        <f>'2026'!$G$103</f>
        <v/>
      </c>
      <c r="G29" s="23">
        <f>IF(DATE(2026,12,1)&gt;TODAY(),"",IF(SUM($C$18:$C29)=0,"",SUM($C$18:$C29)))</f>
        <v/>
      </c>
      <c r="H29" s="25">
        <f>ROUND('2026'!$I$7/12*12,0)</f>
        <v/>
      </c>
    </row>
    <row r="30" ht="8" customHeight="1"/>
    <row r="31" ht="20" customHeight="1">
      <c r="A31" s="14" t="inlineStr">
        <is>
          <t xml:space="preserve">  MAIORES SALDOS EM ABERTO DE 2026          ordenado pelo saldo · empate exato mostra o primeiro da lista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</row>
    <row r="32" ht="26" customHeight="1">
      <c r="A32" s="16" t="inlineStr">
        <is>
          <t>#</t>
        </is>
      </c>
      <c r="B32" s="16" t="inlineStr">
        <is>
          <t>Cliente</t>
        </is>
      </c>
      <c r="C32" s="16" t="inlineStr">
        <is>
          <t>Projeto</t>
        </is>
      </c>
      <c r="D32" s="16" t="inlineStr">
        <is>
          <t>Investimento</t>
        </is>
      </c>
      <c r="E32" s="16" t="inlineStr">
        <is>
          <t>Recebido</t>
        </is>
      </c>
      <c r="F32" s="16" t="inlineStr">
        <is>
          <t>Saldo a receber</t>
        </is>
      </c>
      <c r="G32" s="16" t="inlineStr">
        <is>
          <t>% recebido</t>
        </is>
      </c>
      <c r="H32" s="16" t="inlineStr">
        <is>
          <t>% do total em aberto</t>
        </is>
      </c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inlineStr"/>
    </row>
    <row r="33" ht="18" customHeight="1">
      <c r="A33" s="26" t="n">
        <v>1</v>
      </c>
      <c r="B33" s="27">
        <f>IF(COUNT('2026'!$X$10:$X$106)&lt;1,"",IF(LARGE('2026'!$X$10:$X$106,1)&lt;=0,"",INDEX('2026'!$A$10:$A$106,MATCH(LARGE('2026'!$X$10:$X$106,1),'2026'!$X$10:$X$106,0))))</f>
        <v/>
      </c>
      <c r="C33" s="27">
        <f>IF(COUNT('2026'!$X$10:$X$106)&lt;1,"",IF(LARGE('2026'!$X$10:$X$106,1)&lt;=0,"",INDEX('2026'!$B$10:$B$106,MATCH(LARGE('2026'!$X$10:$X$106,1),'2026'!$X$10:$X$106,0))))</f>
        <v/>
      </c>
      <c r="D33" s="23">
        <f>IF(COUNT('2026'!$X$10:$X$106)&lt;1,"",IF(LARGE('2026'!$X$10:$X$106,1)&lt;=0,"",INDEX('2026'!$C$10:$C$106,MATCH(LARGE('2026'!$X$10:$X$106,1),'2026'!$X$10:$X$106,0))))</f>
        <v/>
      </c>
      <c r="E33" s="23">
        <f>IF(COUNT('2026'!$X$10:$X$106)&lt;1,"",IF(LARGE('2026'!$X$10:$X$106,1)&lt;=0,"",INDEX('2026'!$E$10:$E$106,MATCH(LARGE('2026'!$X$10:$X$106,1),'2026'!$X$10:$X$106,0))))</f>
        <v/>
      </c>
      <c r="F33" s="28">
        <f>IF(COUNT('2026'!$X$10:$X$106)&lt;1,"",IF(LARGE('2026'!$X$10:$X$106,1)&lt;=0,"",LARGE('2026'!$X$10:$X$106,1)))</f>
        <v/>
      </c>
      <c r="G33" s="24">
        <f>IF(COUNT('2026'!$X$10:$X$106)&lt;1,"",IF(LARGE('2026'!$X$10:$X$106,1)&lt;=0,"",INDEX('2026'!$G$10:$G$106,MATCH(LARGE('2026'!$X$10:$X$106,1),'2026'!$X$10:$X$106,0))))</f>
        <v/>
      </c>
      <c r="H33" s="29">
        <f>IF($F33="","",$F33/'2026'!$F$7)</f>
        <v/>
      </c>
    </row>
    <row r="34" ht="18" customHeight="1">
      <c r="A34" s="26" t="n">
        <v>2</v>
      </c>
      <c r="B34" s="27">
        <f>IF(COUNT('2026'!$X$10:$X$106)&lt;2,"",IF(LARGE('2026'!$X$10:$X$106,2)&lt;=0,"",INDEX('2026'!$A$10:$A$106,MATCH(LARGE('2026'!$X$10:$X$106,2),'2026'!$X$10:$X$106,0))))</f>
        <v/>
      </c>
      <c r="C34" s="27">
        <f>IF(COUNT('2026'!$X$10:$X$106)&lt;2,"",IF(LARGE('2026'!$X$10:$X$106,2)&lt;=0,"",INDEX('2026'!$B$10:$B$106,MATCH(LARGE('2026'!$X$10:$X$106,2),'2026'!$X$10:$X$106,0))))</f>
        <v/>
      </c>
      <c r="D34" s="23">
        <f>IF(COUNT('2026'!$X$10:$X$106)&lt;2,"",IF(LARGE('2026'!$X$10:$X$106,2)&lt;=0,"",INDEX('2026'!$C$10:$C$106,MATCH(LARGE('2026'!$X$10:$X$106,2),'2026'!$X$10:$X$106,0))))</f>
        <v/>
      </c>
      <c r="E34" s="23">
        <f>IF(COUNT('2026'!$X$10:$X$106)&lt;2,"",IF(LARGE('2026'!$X$10:$X$106,2)&lt;=0,"",INDEX('2026'!$E$10:$E$106,MATCH(LARGE('2026'!$X$10:$X$106,2),'2026'!$X$10:$X$106,0))))</f>
        <v/>
      </c>
      <c r="F34" s="28">
        <f>IF(COUNT('2026'!$X$10:$X$106)&lt;2,"",IF(LARGE('2026'!$X$10:$X$106,2)&lt;=0,"",LARGE('2026'!$X$10:$X$106,2)))</f>
        <v/>
      </c>
      <c r="G34" s="24">
        <f>IF(COUNT('2026'!$X$10:$X$106)&lt;2,"",IF(LARGE('2026'!$X$10:$X$106,2)&lt;=0,"",INDEX('2026'!$G$10:$G$106,MATCH(LARGE('2026'!$X$10:$X$106,2),'2026'!$X$10:$X$106,0))))</f>
        <v/>
      </c>
      <c r="H34" s="29">
        <f>IF($F34="","",$F34/'2026'!$F$7)</f>
        <v/>
      </c>
    </row>
    <row r="35" ht="18" customHeight="1">
      <c r="A35" s="26" t="n">
        <v>3</v>
      </c>
      <c r="B35" s="27">
        <f>IF(COUNT('2026'!$X$10:$X$106)&lt;3,"",IF(LARGE('2026'!$X$10:$X$106,3)&lt;=0,"",INDEX('2026'!$A$10:$A$106,MATCH(LARGE('2026'!$X$10:$X$106,3),'2026'!$X$10:$X$106,0))))</f>
        <v/>
      </c>
      <c r="C35" s="27">
        <f>IF(COUNT('2026'!$X$10:$X$106)&lt;3,"",IF(LARGE('2026'!$X$10:$X$106,3)&lt;=0,"",INDEX('2026'!$B$10:$B$106,MATCH(LARGE('2026'!$X$10:$X$106,3),'2026'!$X$10:$X$106,0))))</f>
        <v/>
      </c>
      <c r="D35" s="23">
        <f>IF(COUNT('2026'!$X$10:$X$106)&lt;3,"",IF(LARGE('2026'!$X$10:$X$106,3)&lt;=0,"",INDEX('2026'!$C$10:$C$106,MATCH(LARGE('2026'!$X$10:$X$106,3),'2026'!$X$10:$X$106,0))))</f>
        <v/>
      </c>
      <c r="E35" s="23">
        <f>IF(COUNT('2026'!$X$10:$X$106)&lt;3,"",IF(LARGE('2026'!$X$10:$X$106,3)&lt;=0,"",INDEX('2026'!$E$10:$E$106,MATCH(LARGE('2026'!$X$10:$X$106,3),'2026'!$X$10:$X$106,0))))</f>
        <v/>
      </c>
      <c r="F35" s="28">
        <f>IF(COUNT('2026'!$X$10:$X$106)&lt;3,"",IF(LARGE('2026'!$X$10:$X$106,3)&lt;=0,"",LARGE('2026'!$X$10:$X$106,3)))</f>
        <v/>
      </c>
      <c r="G35" s="24">
        <f>IF(COUNT('2026'!$X$10:$X$106)&lt;3,"",IF(LARGE('2026'!$X$10:$X$106,3)&lt;=0,"",INDEX('2026'!$G$10:$G$106,MATCH(LARGE('2026'!$X$10:$X$106,3),'2026'!$X$10:$X$106,0))))</f>
        <v/>
      </c>
      <c r="H35" s="29">
        <f>IF($F35="","",$F35/'2026'!$F$7)</f>
        <v/>
      </c>
    </row>
    <row r="36" ht="18" customHeight="1">
      <c r="A36" s="26" t="n">
        <v>4</v>
      </c>
      <c r="B36" s="27">
        <f>IF(COUNT('2026'!$X$10:$X$106)&lt;4,"",IF(LARGE('2026'!$X$10:$X$106,4)&lt;=0,"",INDEX('2026'!$A$10:$A$106,MATCH(LARGE('2026'!$X$10:$X$106,4),'2026'!$X$10:$X$106,0))))</f>
        <v/>
      </c>
      <c r="C36" s="27">
        <f>IF(COUNT('2026'!$X$10:$X$106)&lt;4,"",IF(LARGE('2026'!$X$10:$X$106,4)&lt;=0,"",INDEX('2026'!$B$10:$B$106,MATCH(LARGE('2026'!$X$10:$X$106,4),'2026'!$X$10:$X$106,0))))</f>
        <v/>
      </c>
      <c r="D36" s="23">
        <f>IF(COUNT('2026'!$X$10:$X$106)&lt;4,"",IF(LARGE('2026'!$X$10:$X$106,4)&lt;=0,"",INDEX('2026'!$C$10:$C$106,MATCH(LARGE('2026'!$X$10:$X$106,4),'2026'!$X$10:$X$106,0))))</f>
        <v/>
      </c>
      <c r="E36" s="23">
        <f>IF(COUNT('2026'!$X$10:$X$106)&lt;4,"",IF(LARGE('2026'!$X$10:$X$106,4)&lt;=0,"",INDEX('2026'!$E$10:$E$106,MATCH(LARGE('2026'!$X$10:$X$106,4),'2026'!$X$10:$X$106,0))))</f>
        <v/>
      </c>
      <c r="F36" s="28">
        <f>IF(COUNT('2026'!$X$10:$X$106)&lt;4,"",IF(LARGE('2026'!$X$10:$X$106,4)&lt;=0,"",LARGE('2026'!$X$10:$X$106,4)))</f>
        <v/>
      </c>
      <c r="G36" s="24">
        <f>IF(COUNT('2026'!$X$10:$X$106)&lt;4,"",IF(LARGE('2026'!$X$10:$X$106,4)&lt;=0,"",INDEX('2026'!$G$10:$G$106,MATCH(LARGE('2026'!$X$10:$X$106,4),'2026'!$X$10:$X$106,0))))</f>
        <v/>
      </c>
      <c r="H36" s="29">
        <f>IF($F36="","",$F36/'2026'!$F$7)</f>
        <v/>
      </c>
    </row>
    <row r="37" ht="18" customHeight="1">
      <c r="A37" s="26" t="n">
        <v>5</v>
      </c>
      <c r="B37" s="27">
        <f>IF(COUNT('2026'!$X$10:$X$106)&lt;5,"",IF(LARGE('2026'!$X$10:$X$106,5)&lt;=0,"",INDEX('2026'!$A$10:$A$106,MATCH(LARGE('2026'!$X$10:$X$106,5),'2026'!$X$10:$X$106,0))))</f>
        <v/>
      </c>
      <c r="C37" s="27">
        <f>IF(COUNT('2026'!$X$10:$X$106)&lt;5,"",IF(LARGE('2026'!$X$10:$X$106,5)&lt;=0,"",INDEX('2026'!$B$10:$B$106,MATCH(LARGE('2026'!$X$10:$X$106,5),'2026'!$X$10:$X$106,0))))</f>
        <v/>
      </c>
      <c r="D37" s="23">
        <f>IF(COUNT('2026'!$X$10:$X$106)&lt;5,"",IF(LARGE('2026'!$X$10:$X$106,5)&lt;=0,"",INDEX('2026'!$C$10:$C$106,MATCH(LARGE('2026'!$X$10:$X$106,5),'2026'!$X$10:$X$106,0))))</f>
        <v/>
      </c>
      <c r="E37" s="23">
        <f>IF(COUNT('2026'!$X$10:$X$106)&lt;5,"",IF(LARGE('2026'!$X$10:$X$106,5)&lt;=0,"",INDEX('2026'!$E$10:$E$106,MATCH(LARGE('2026'!$X$10:$X$106,5),'2026'!$X$10:$X$106,0))))</f>
        <v/>
      </c>
      <c r="F37" s="28">
        <f>IF(COUNT('2026'!$X$10:$X$106)&lt;5,"",IF(LARGE('2026'!$X$10:$X$106,5)&lt;=0,"",LARGE('2026'!$X$10:$X$106,5)))</f>
        <v/>
      </c>
      <c r="G37" s="24">
        <f>IF(COUNT('2026'!$X$10:$X$106)&lt;5,"",IF(LARGE('2026'!$X$10:$X$106,5)&lt;=0,"",INDEX('2026'!$G$10:$G$106,MATCH(LARGE('2026'!$X$10:$X$106,5),'2026'!$X$10:$X$106,0))))</f>
        <v/>
      </c>
      <c r="H37" s="29">
        <f>IF($F37="","",$F37/'2026'!$F$7)</f>
        <v/>
      </c>
    </row>
    <row r="38" ht="18" customHeight="1">
      <c r="A38" s="26" t="n">
        <v>6</v>
      </c>
      <c r="B38" s="27">
        <f>IF(COUNT('2026'!$X$10:$X$106)&lt;6,"",IF(LARGE('2026'!$X$10:$X$106,6)&lt;=0,"",INDEX('2026'!$A$10:$A$106,MATCH(LARGE('2026'!$X$10:$X$106,6),'2026'!$X$10:$X$106,0))))</f>
        <v/>
      </c>
      <c r="C38" s="27">
        <f>IF(COUNT('2026'!$X$10:$X$106)&lt;6,"",IF(LARGE('2026'!$X$10:$X$106,6)&lt;=0,"",INDEX('2026'!$B$10:$B$106,MATCH(LARGE('2026'!$X$10:$X$106,6),'2026'!$X$10:$X$106,0))))</f>
        <v/>
      </c>
      <c r="D38" s="23">
        <f>IF(COUNT('2026'!$X$10:$X$106)&lt;6,"",IF(LARGE('2026'!$X$10:$X$106,6)&lt;=0,"",INDEX('2026'!$C$10:$C$106,MATCH(LARGE('2026'!$X$10:$X$106,6),'2026'!$X$10:$X$106,0))))</f>
        <v/>
      </c>
      <c r="E38" s="23">
        <f>IF(COUNT('2026'!$X$10:$X$106)&lt;6,"",IF(LARGE('2026'!$X$10:$X$106,6)&lt;=0,"",INDEX('2026'!$E$10:$E$106,MATCH(LARGE('2026'!$X$10:$X$106,6),'2026'!$X$10:$X$106,0))))</f>
        <v/>
      </c>
      <c r="F38" s="28">
        <f>IF(COUNT('2026'!$X$10:$X$106)&lt;6,"",IF(LARGE('2026'!$X$10:$X$106,6)&lt;=0,"",LARGE('2026'!$X$10:$X$106,6)))</f>
        <v/>
      </c>
      <c r="G38" s="24">
        <f>IF(COUNT('2026'!$X$10:$X$106)&lt;6,"",IF(LARGE('2026'!$X$10:$X$106,6)&lt;=0,"",INDEX('2026'!$G$10:$G$106,MATCH(LARGE('2026'!$X$10:$X$106,6),'2026'!$X$10:$X$106,0))))</f>
        <v/>
      </c>
      <c r="H38" s="29">
        <f>IF($F38="","",$F38/'2026'!$F$7)</f>
        <v/>
      </c>
    </row>
    <row r="39" ht="18" customHeight="1">
      <c r="A39" s="26" t="n">
        <v>7</v>
      </c>
      <c r="B39" s="27">
        <f>IF(COUNT('2026'!$X$10:$X$106)&lt;7,"",IF(LARGE('2026'!$X$10:$X$106,7)&lt;=0,"",INDEX('2026'!$A$10:$A$106,MATCH(LARGE('2026'!$X$10:$X$106,7),'2026'!$X$10:$X$106,0))))</f>
        <v/>
      </c>
      <c r="C39" s="27">
        <f>IF(COUNT('2026'!$X$10:$X$106)&lt;7,"",IF(LARGE('2026'!$X$10:$X$106,7)&lt;=0,"",INDEX('2026'!$B$10:$B$106,MATCH(LARGE('2026'!$X$10:$X$106,7),'2026'!$X$10:$X$106,0))))</f>
        <v/>
      </c>
      <c r="D39" s="23">
        <f>IF(COUNT('2026'!$X$10:$X$106)&lt;7,"",IF(LARGE('2026'!$X$10:$X$106,7)&lt;=0,"",INDEX('2026'!$C$10:$C$106,MATCH(LARGE('2026'!$X$10:$X$106,7),'2026'!$X$10:$X$106,0))))</f>
        <v/>
      </c>
      <c r="E39" s="23">
        <f>IF(COUNT('2026'!$X$10:$X$106)&lt;7,"",IF(LARGE('2026'!$X$10:$X$106,7)&lt;=0,"",INDEX('2026'!$E$10:$E$106,MATCH(LARGE('2026'!$X$10:$X$106,7),'2026'!$X$10:$X$106,0))))</f>
        <v/>
      </c>
      <c r="F39" s="28">
        <f>IF(COUNT('2026'!$X$10:$X$106)&lt;7,"",IF(LARGE('2026'!$X$10:$X$106,7)&lt;=0,"",LARGE('2026'!$X$10:$X$106,7)))</f>
        <v/>
      </c>
      <c r="G39" s="24">
        <f>IF(COUNT('2026'!$X$10:$X$106)&lt;7,"",IF(LARGE('2026'!$X$10:$X$106,7)&lt;=0,"",INDEX('2026'!$G$10:$G$106,MATCH(LARGE('2026'!$X$10:$X$106,7),'2026'!$X$10:$X$106,0))))</f>
        <v/>
      </c>
      <c r="H39" s="29">
        <f>IF($F39="","",$F39/'2026'!$F$7)</f>
        <v/>
      </c>
    </row>
    <row r="40" ht="18" customHeight="1">
      <c r="A40" s="26" t="n">
        <v>8</v>
      </c>
      <c r="B40" s="27">
        <f>IF(COUNT('2026'!$X$10:$X$106)&lt;8,"",IF(LARGE('2026'!$X$10:$X$106,8)&lt;=0,"",INDEX('2026'!$A$10:$A$106,MATCH(LARGE('2026'!$X$10:$X$106,8),'2026'!$X$10:$X$106,0))))</f>
        <v/>
      </c>
      <c r="C40" s="27">
        <f>IF(COUNT('2026'!$X$10:$X$106)&lt;8,"",IF(LARGE('2026'!$X$10:$X$106,8)&lt;=0,"",INDEX('2026'!$B$10:$B$106,MATCH(LARGE('2026'!$X$10:$X$106,8),'2026'!$X$10:$X$106,0))))</f>
        <v/>
      </c>
      <c r="D40" s="23">
        <f>IF(COUNT('2026'!$X$10:$X$106)&lt;8,"",IF(LARGE('2026'!$X$10:$X$106,8)&lt;=0,"",INDEX('2026'!$C$10:$C$106,MATCH(LARGE('2026'!$X$10:$X$106,8),'2026'!$X$10:$X$106,0))))</f>
        <v/>
      </c>
      <c r="E40" s="23">
        <f>IF(COUNT('2026'!$X$10:$X$106)&lt;8,"",IF(LARGE('2026'!$X$10:$X$106,8)&lt;=0,"",INDEX('2026'!$E$10:$E$106,MATCH(LARGE('2026'!$X$10:$X$106,8),'2026'!$X$10:$X$106,0))))</f>
        <v/>
      </c>
      <c r="F40" s="28">
        <f>IF(COUNT('2026'!$X$10:$X$106)&lt;8,"",IF(LARGE('2026'!$X$10:$X$106,8)&lt;=0,"",LARGE('2026'!$X$10:$X$106,8)))</f>
        <v/>
      </c>
      <c r="G40" s="24">
        <f>IF(COUNT('2026'!$X$10:$X$106)&lt;8,"",IF(LARGE('2026'!$X$10:$X$106,8)&lt;=0,"",INDEX('2026'!$G$10:$G$106,MATCH(LARGE('2026'!$X$10:$X$106,8),'2026'!$X$10:$X$106,0))))</f>
        <v/>
      </c>
      <c r="H40" s="29">
        <f>IF($F40="","",$F40/'2026'!$F$7)</f>
        <v/>
      </c>
    </row>
    <row r="41" ht="18" customHeight="1">
      <c r="A41" s="26" t="n">
        <v>9</v>
      </c>
      <c r="B41" s="27">
        <f>IF(COUNT('2026'!$X$10:$X$106)&lt;9,"",IF(LARGE('2026'!$X$10:$X$106,9)&lt;=0,"",INDEX('2026'!$A$10:$A$106,MATCH(LARGE('2026'!$X$10:$X$106,9),'2026'!$X$10:$X$106,0))))</f>
        <v/>
      </c>
      <c r="C41" s="27">
        <f>IF(COUNT('2026'!$X$10:$X$106)&lt;9,"",IF(LARGE('2026'!$X$10:$X$106,9)&lt;=0,"",INDEX('2026'!$B$10:$B$106,MATCH(LARGE('2026'!$X$10:$X$106,9),'2026'!$X$10:$X$106,0))))</f>
        <v/>
      </c>
      <c r="D41" s="23">
        <f>IF(COUNT('2026'!$X$10:$X$106)&lt;9,"",IF(LARGE('2026'!$X$10:$X$106,9)&lt;=0,"",INDEX('2026'!$C$10:$C$106,MATCH(LARGE('2026'!$X$10:$X$106,9),'2026'!$X$10:$X$106,0))))</f>
        <v/>
      </c>
      <c r="E41" s="23">
        <f>IF(COUNT('2026'!$X$10:$X$106)&lt;9,"",IF(LARGE('2026'!$X$10:$X$106,9)&lt;=0,"",INDEX('2026'!$E$10:$E$106,MATCH(LARGE('2026'!$X$10:$X$106,9),'2026'!$X$10:$X$106,0))))</f>
        <v/>
      </c>
      <c r="F41" s="28">
        <f>IF(COUNT('2026'!$X$10:$X$106)&lt;9,"",IF(LARGE('2026'!$X$10:$X$106,9)&lt;=0,"",LARGE('2026'!$X$10:$X$106,9)))</f>
        <v/>
      </c>
      <c r="G41" s="24">
        <f>IF(COUNT('2026'!$X$10:$X$106)&lt;9,"",IF(LARGE('2026'!$X$10:$X$106,9)&lt;=0,"",INDEX('2026'!$G$10:$G$106,MATCH(LARGE('2026'!$X$10:$X$106,9),'2026'!$X$10:$X$106,0))))</f>
        <v/>
      </c>
      <c r="H41" s="29">
        <f>IF($F41="","",$F41/'2026'!$F$7)</f>
        <v/>
      </c>
    </row>
    <row r="42" ht="18" customHeight="1">
      <c r="A42" s="26" t="n">
        <v>10</v>
      </c>
      <c r="B42" s="27">
        <f>IF(COUNT('2026'!$X$10:$X$106)&lt;10,"",IF(LARGE('2026'!$X$10:$X$106,10)&lt;=0,"",INDEX('2026'!$A$10:$A$106,MATCH(LARGE('2026'!$X$10:$X$106,10),'2026'!$X$10:$X$106,0))))</f>
        <v/>
      </c>
      <c r="C42" s="27">
        <f>IF(COUNT('2026'!$X$10:$X$106)&lt;10,"",IF(LARGE('2026'!$X$10:$X$106,10)&lt;=0,"",INDEX('2026'!$B$10:$B$106,MATCH(LARGE('2026'!$X$10:$X$106,10),'2026'!$X$10:$X$106,0))))</f>
        <v/>
      </c>
      <c r="D42" s="23">
        <f>IF(COUNT('2026'!$X$10:$X$106)&lt;10,"",IF(LARGE('2026'!$X$10:$X$106,10)&lt;=0,"",INDEX('2026'!$C$10:$C$106,MATCH(LARGE('2026'!$X$10:$X$106,10),'2026'!$X$10:$X$106,0))))</f>
        <v/>
      </c>
      <c r="E42" s="23">
        <f>IF(COUNT('2026'!$X$10:$X$106)&lt;10,"",IF(LARGE('2026'!$X$10:$X$106,10)&lt;=0,"",INDEX('2026'!$E$10:$E$106,MATCH(LARGE('2026'!$X$10:$X$106,10),'2026'!$X$10:$X$106,0))))</f>
        <v/>
      </c>
      <c r="F42" s="28">
        <f>IF(COUNT('2026'!$X$10:$X$106)&lt;10,"",IF(LARGE('2026'!$X$10:$X$106,10)&lt;=0,"",LARGE('2026'!$X$10:$X$106,10)))</f>
        <v/>
      </c>
      <c r="G42" s="24">
        <f>IF(COUNT('2026'!$X$10:$X$106)&lt;10,"",IF(LARGE('2026'!$X$10:$X$106,10)&lt;=0,"",INDEX('2026'!$G$10:$G$106,MATCH(LARGE('2026'!$X$10:$X$106,10),'2026'!$X$10:$X$106,0))))</f>
        <v/>
      </c>
      <c r="H42" s="29">
        <f>IF($F42="","",$F42/'2026'!$F$7)</f>
        <v/>
      </c>
    </row>
    <row r="43" ht="18" customHeight="1">
      <c r="A43" s="26" t="n">
        <v>11</v>
      </c>
      <c r="B43" s="27">
        <f>IF(COUNT('2026'!$X$10:$X$106)&lt;11,"",IF(LARGE('2026'!$X$10:$X$106,11)&lt;=0,"",INDEX('2026'!$A$10:$A$106,MATCH(LARGE('2026'!$X$10:$X$106,11),'2026'!$X$10:$X$106,0))))</f>
        <v/>
      </c>
      <c r="C43" s="27">
        <f>IF(COUNT('2026'!$X$10:$X$106)&lt;11,"",IF(LARGE('2026'!$X$10:$X$106,11)&lt;=0,"",INDEX('2026'!$B$10:$B$106,MATCH(LARGE('2026'!$X$10:$X$106,11),'2026'!$X$10:$X$106,0))))</f>
        <v/>
      </c>
      <c r="D43" s="23">
        <f>IF(COUNT('2026'!$X$10:$X$106)&lt;11,"",IF(LARGE('2026'!$X$10:$X$106,11)&lt;=0,"",INDEX('2026'!$C$10:$C$106,MATCH(LARGE('2026'!$X$10:$X$106,11),'2026'!$X$10:$X$106,0))))</f>
        <v/>
      </c>
      <c r="E43" s="23">
        <f>IF(COUNT('2026'!$X$10:$X$106)&lt;11,"",IF(LARGE('2026'!$X$10:$X$106,11)&lt;=0,"",INDEX('2026'!$E$10:$E$106,MATCH(LARGE('2026'!$X$10:$X$106,11),'2026'!$X$10:$X$106,0))))</f>
        <v/>
      </c>
      <c r="F43" s="28">
        <f>IF(COUNT('2026'!$X$10:$X$106)&lt;11,"",IF(LARGE('2026'!$X$10:$X$106,11)&lt;=0,"",LARGE('2026'!$X$10:$X$106,11)))</f>
        <v/>
      </c>
      <c r="G43" s="24">
        <f>IF(COUNT('2026'!$X$10:$X$106)&lt;11,"",IF(LARGE('2026'!$X$10:$X$106,11)&lt;=0,"",INDEX('2026'!$G$10:$G$106,MATCH(LARGE('2026'!$X$10:$X$106,11),'2026'!$X$10:$X$106,0))))</f>
        <v/>
      </c>
      <c r="H43" s="29">
        <f>IF($F43="","",$F43/'2026'!$F$7)</f>
        <v/>
      </c>
    </row>
    <row r="44" ht="18" customHeight="1">
      <c r="A44" s="26" t="n">
        <v>12</v>
      </c>
      <c r="B44" s="27">
        <f>IF(COUNT('2026'!$X$10:$X$106)&lt;12,"",IF(LARGE('2026'!$X$10:$X$106,12)&lt;=0,"",INDEX('2026'!$A$10:$A$106,MATCH(LARGE('2026'!$X$10:$X$106,12),'2026'!$X$10:$X$106,0))))</f>
        <v/>
      </c>
      <c r="C44" s="27">
        <f>IF(COUNT('2026'!$X$10:$X$106)&lt;12,"",IF(LARGE('2026'!$X$10:$X$106,12)&lt;=0,"",INDEX('2026'!$B$10:$B$106,MATCH(LARGE('2026'!$X$10:$X$106,12),'2026'!$X$10:$X$106,0))))</f>
        <v/>
      </c>
      <c r="D44" s="23">
        <f>IF(COUNT('2026'!$X$10:$X$106)&lt;12,"",IF(LARGE('2026'!$X$10:$X$106,12)&lt;=0,"",INDEX('2026'!$C$10:$C$106,MATCH(LARGE('2026'!$X$10:$X$106,12),'2026'!$X$10:$X$106,0))))</f>
        <v/>
      </c>
      <c r="E44" s="23">
        <f>IF(COUNT('2026'!$X$10:$X$106)&lt;12,"",IF(LARGE('2026'!$X$10:$X$106,12)&lt;=0,"",INDEX('2026'!$E$10:$E$106,MATCH(LARGE('2026'!$X$10:$X$106,12),'2026'!$X$10:$X$106,0))))</f>
        <v/>
      </c>
      <c r="F44" s="28">
        <f>IF(COUNT('2026'!$X$10:$X$106)&lt;12,"",IF(LARGE('2026'!$X$10:$X$106,12)&lt;=0,"",LARGE('2026'!$X$10:$X$106,12)))</f>
        <v/>
      </c>
      <c r="G44" s="24">
        <f>IF(COUNT('2026'!$X$10:$X$106)&lt;12,"",IF(LARGE('2026'!$X$10:$X$106,12)&lt;=0,"",INDEX('2026'!$G$10:$G$106,MATCH(LARGE('2026'!$X$10:$X$106,12),'2026'!$X$10:$X$106,0))))</f>
        <v/>
      </c>
      <c r="H44" s="29">
        <f>IF($F44="","",$F44/'2026'!$F$7)</f>
        <v/>
      </c>
    </row>
    <row r="45" ht="8" customHeight="1"/>
    <row r="46" ht="20" customHeight="1">
      <c r="A46" s="14" t="inlineStr">
        <is>
          <t xml:space="preserve">  LEITURA DO QUADRO          frases montadas a partir dos números acima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</row>
    <row r="47" ht="22" customHeight="1">
      <c r="A47" s="30">
        <f>"Concentração da carteira em aberto: os 3 maiores saldos somam "&amp;TEXT(SUM($F$33:$F$35),"R$ #,##0")&amp;" de "&amp;TEXT('2026'!$F$7,"R$ #,##0")&amp;" — "&amp;TEXT(SUM($F$33:$F$35)/'2026'!$F$7,"0%")&amp;" do total a receber."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</row>
    <row r="48" ht="22" customHeight="1">
      <c r="A48" s="30">
        <f>"Ritmo do ano até "&amp;INDEX($A$18:$A$29,MONTH(TODAY()))&amp;": vendido "&amp;TEXT('2026'!$A$7,"R$ #,##0")&amp;" contra meta acumulada de "&amp;TEXT(INDEX($H$18:$H$29,MONTH(TODAY())),"R$ #,##0")&amp;" — "&amp;IF('2026'!$A$7&gt;=INDEX($H$18:$H$29,MONTH(TODAY())),"acima do ritmo necessário.","faltam "&amp;TEXT(INDEX($H$18:$H$29,MONTH(TODAY()))-'2026'!$A$7,"R$ #,##0")&amp;" para o ritmo da meta.")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</row>
    <row r="49" ht="22" customHeight="1">
      <c r="A49" s="30">
        <f>"Projetos sem nenhum recebimento em 2026: "&amp;COUNTIF('2026'!$H$10:$H$106,"A receber")&amp;" de "&amp;COUNT('2026'!$X$10:$X$107)&amp;" — somam "&amp;TEXT(SUMIF('2026'!$H$10:$H$106,"A receber",'2026'!$C$10:$C$106),"R$ #,##0")&amp;" de contrato."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 ht="22" customHeight="1">
      <c r="A50" s="30">
        <f>"Veja a aba Análise &amp; Sazonalidade para o fluxo de caixa mês a mês e o padrão sazonal de vendas."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</row>
  </sheetData>
  <mergeCells count="24">
    <mergeCell ref="J6:L6"/>
    <mergeCell ref="A31:T31"/>
    <mergeCell ref="G6:I6"/>
    <mergeCell ref="A9:T9"/>
    <mergeCell ref="A48:T48"/>
    <mergeCell ref="M7:O7"/>
    <mergeCell ref="A49:T49"/>
    <mergeCell ref="D7:F7"/>
    <mergeCell ref="M6:O6"/>
    <mergeCell ref="A1:T1"/>
    <mergeCell ref="J7:L7"/>
    <mergeCell ref="P7:R7"/>
    <mergeCell ref="A16:T16"/>
    <mergeCell ref="A46:T46"/>
    <mergeCell ref="A50:T50"/>
    <mergeCell ref="A3:T3"/>
    <mergeCell ref="A2:T2"/>
    <mergeCell ref="A47:T47"/>
    <mergeCell ref="A4:T4"/>
    <mergeCell ref="A6:C6"/>
    <mergeCell ref="D6:F6"/>
    <mergeCell ref="A7:C7"/>
    <mergeCell ref="G7:I7"/>
    <mergeCell ref="P6:R6"/>
  </mergeCells>
  <conditionalFormatting sqref="G18:G29">
    <cfRule type="expression" priority="1" dxfId="0">
      <formula>AND($G18&lt;&gt;"",$G18&gt;=$H18)</formula>
    </cfRule>
    <cfRule type="expression" priority="2" dxfId="1">
      <formula>AND($G18&lt;&gt;"",$G18&lt;$H18)</formula>
    </cfRule>
  </conditionalFormatting>
  <pageMargins left="0.4" right="0.3" top="0.4" bottom="0.3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5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12" customWidth="1" min="8" max="8"/>
    <col width="1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8" customHeight="1">
      <c r="A3" s="4" t="inlineStr">
        <is>
          <t>ANÁLISE &amp; SAZONALIDADE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7" customHeight="1">
      <c r="A4" s="6" t="inlineStr">
        <is>
          <t>Fluxo de caixa pela data do pagamento · padrão sazonal de vendas · concentração da carteira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</row>
    <row r="5" ht="6" customHeight="1"/>
    <row r="6" ht="20" customHeight="1">
      <c r="A6" s="14" t="inlineStr">
        <is>
          <t xml:space="preserve">  FLUXO DE CAIXA REALIZADO          quanto entrou em cada mês, pela DATA DO PAGAMENTO — não pela data do contrato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</row>
    <row r="7" ht="26" customHeight="1">
      <c r="A7" s="16" t="inlineStr">
        <is>
          <t>Mês</t>
        </is>
      </c>
      <c r="B7" s="16" t="inlineStr">
        <is>
          <t>2023</t>
        </is>
      </c>
      <c r="C7" s="16" t="inlineStr">
        <is>
          <t>2024</t>
        </is>
      </c>
      <c r="D7" s="16" t="inlineStr">
        <is>
          <t>2025</t>
        </is>
      </c>
      <c r="E7" s="16" t="inlineStr">
        <is>
          <t>2026</t>
        </is>
      </c>
      <c r="F7" s="16" t="inlineStr">
        <is>
          <t>Média 23–25</t>
        </is>
      </c>
      <c r="G7" s="16" t="inlineStr">
        <is>
          <t>Peso no ano</t>
        </is>
      </c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</row>
    <row r="8" ht="18" customHeight="1">
      <c r="A8" s="21" t="inlineStr">
        <is>
          <t>Janeiro</t>
        </is>
      </c>
      <c r="B8" s="23">
        <f>ROUND(SUMIFS('2026'!$I$10:$I$107,'2026'!$J$10:$J$107,"&gt;="&amp;DATE(2023,1,1),'2026'!$J$10:$J$107,"&lt;"&amp;DATE(2023,2,1))+SUMIFS('2026'!$L$10:$L$107,'2026'!$M$10:$M$107,"&gt;="&amp;DATE(2023,1,1),'2026'!$M$10:$M$107,"&lt;"&amp;DATE(2023,2,1))+SUMIFS('2026'!$O$10:$O$107,'2026'!$P$10:$P$107,"&gt;="&amp;DATE(2023,1,1),'2026'!$P$10:$P$107,"&lt;"&amp;DATE(2023,2,1))+SUMIFS('2026'!$R$10:$R$107,'2026'!$S$10:$S$107,"&gt;="&amp;DATE(2023,1,1),'2026'!$S$10:$S$107,"&lt;"&amp;DATE(2023,2,1))+SUMIFS('2026'!$U$10:$U$107,'2026'!$V$10:$V$107,"&gt;="&amp;DATE(2023,1,1),'2026'!$V$10:$V$107,"&lt;"&amp;DATE(2023,2,1))+SUMIFS('2025'!$I$10:$I$112,'2025'!$J$10:$J$112,"&gt;="&amp;DATE(2023,1,1),'2025'!$J$10:$J$112,"&lt;"&amp;DATE(2023,2,1))+SUMIFS('2025'!$L$10:$L$112,'2025'!$M$10:$M$112,"&gt;="&amp;DATE(2023,1,1),'2025'!$M$10:$M$112,"&lt;"&amp;DATE(2023,2,1))+SUMIFS('2025'!$O$10:$O$112,'2025'!$P$10:$P$112,"&gt;="&amp;DATE(2023,1,1),'2025'!$P$10:$P$112,"&lt;"&amp;DATE(2023,2,1))+SUMIFS('2025'!$R$10:$R$112,'2025'!$S$10:$S$112,"&gt;="&amp;DATE(2023,1,1),'2025'!$S$10:$S$112,"&lt;"&amp;DATE(2023,2,1))+SUMIFS('2025'!$U$10:$U$112,'2025'!$V$10:$V$112,"&gt;="&amp;DATE(2023,1,1),'2025'!$V$10:$V$112,"&lt;"&amp;DATE(2023,2,1))+SUMIFS('2024'!$I$10:$I$108,'2024'!$J$10:$J$108,"&gt;="&amp;DATE(2023,1,1),'2024'!$J$10:$J$108,"&lt;"&amp;DATE(2023,2,1))+SUMIFS('2024'!$L$10:$L$108,'2024'!$M$10:$M$108,"&gt;="&amp;DATE(2023,1,1),'2024'!$M$10:$M$108,"&lt;"&amp;DATE(2023,2,1))+SUMIFS('2024'!$O$10:$O$108,'2024'!$P$10:$P$108,"&gt;="&amp;DATE(2023,1,1),'2024'!$P$10:$P$108,"&lt;"&amp;DATE(2023,2,1))+SUMIFS('2024'!$R$10:$R$108,'2024'!$S$10:$S$108,"&gt;="&amp;DATE(2023,1,1),'2024'!$S$10:$S$108,"&lt;"&amp;DATE(2023,2,1))+SUMIFS('2024'!$U$10:$U$108,'2024'!$V$10:$V$108,"&gt;="&amp;DATE(2023,1,1),'2024'!$V$10:$V$108,"&lt;"&amp;DATE(2023,2,1))+SUMIFS('2023'!$I$10:$I$127,'2023'!$J$10:$J$127,"&gt;="&amp;DATE(2023,1,1),'2023'!$J$10:$J$127,"&lt;"&amp;DATE(2023,2,1))+SUMIFS('2023'!$L$10:$L$127,'2023'!$M$10:$M$127,"&gt;="&amp;DATE(2023,1,1),'2023'!$M$10:$M$127,"&lt;"&amp;DATE(2023,2,1))+SUMIFS('2023'!$O$10:$O$127,'2023'!$P$10:$P$127,"&gt;="&amp;DATE(2023,1,1),'2023'!$P$10:$P$127,"&lt;"&amp;DATE(2023,2,1))+SUMIFS('2023'!$R$10:$R$127,'2023'!$S$10:$S$127,"&gt;="&amp;DATE(2023,1,1),'2023'!$S$10:$S$127,"&lt;"&amp;DATE(2023,2,1))+SUMIFS('2023'!$U$10:$U$127,'2023'!$V$10:$V$127,"&gt;="&amp;DATE(2023,1,1),'2023'!$V$10:$V$127,"&lt;"&amp;DATE(2023,2,1)),2)</f>
        <v/>
      </c>
      <c r="C8" s="23">
        <f>ROUND(SUMIFS('2026'!$I$10:$I$107,'2026'!$J$10:$J$107,"&gt;="&amp;DATE(2024,1,1),'2026'!$J$10:$J$107,"&lt;"&amp;DATE(2024,2,1))+SUMIFS('2026'!$L$10:$L$107,'2026'!$M$10:$M$107,"&gt;="&amp;DATE(2024,1,1),'2026'!$M$10:$M$107,"&lt;"&amp;DATE(2024,2,1))+SUMIFS('2026'!$O$10:$O$107,'2026'!$P$10:$P$107,"&gt;="&amp;DATE(2024,1,1),'2026'!$P$10:$P$107,"&lt;"&amp;DATE(2024,2,1))+SUMIFS('2026'!$R$10:$R$107,'2026'!$S$10:$S$107,"&gt;="&amp;DATE(2024,1,1),'2026'!$S$10:$S$107,"&lt;"&amp;DATE(2024,2,1))+SUMIFS('2026'!$U$10:$U$107,'2026'!$V$10:$V$107,"&gt;="&amp;DATE(2024,1,1),'2026'!$V$10:$V$107,"&lt;"&amp;DATE(2024,2,1))+SUMIFS('2025'!$I$10:$I$112,'2025'!$J$10:$J$112,"&gt;="&amp;DATE(2024,1,1),'2025'!$J$10:$J$112,"&lt;"&amp;DATE(2024,2,1))+SUMIFS('2025'!$L$10:$L$112,'2025'!$M$10:$M$112,"&gt;="&amp;DATE(2024,1,1),'2025'!$M$10:$M$112,"&lt;"&amp;DATE(2024,2,1))+SUMIFS('2025'!$O$10:$O$112,'2025'!$P$10:$P$112,"&gt;="&amp;DATE(2024,1,1),'2025'!$P$10:$P$112,"&lt;"&amp;DATE(2024,2,1))+SUMIFS('2025'!$R$10:$R$112,'2025'!$S$10:$S$112,"&gt;="&amp;DATE(2024,1,1),'2025'!$S$10:$S$112,"&lt;"&amp;DATE(2024,2,1))+SUMIFS('2025'!$U$10:$U$112,'2025'!$V$10:$V$112,"&gt;="&amp;DATE(2024,1,1),'2025'!$V$10:$V$112,"&lt;"&amp;DATE(2024,2,1))+SUMIFS('2024'!$I$10:$I$108,'2024'!$J$10:$J$108,"&gt;="&amp;DATE(2024,1,1),'2024'!$J$10:$J$108,"&lt;"&amp;DATE(2024,2,1))+SUMIFS('2024'!$L$10:$L$108,'2024'!$M$10:$M$108,"&gt;="&amp;DATE(2024,1,1),'2024'!$M$10:$M$108,"&lt;"&amp;DATE(2024,2,1))+SUMIFS('2024'!$O$10:$O$108,'2024'!$P$10:$P$108,"&gt;="&amp;DATE(2024,1,1),'2024'!$P$10:$P$108,"&lt;"&amp;DATE(2024,2,1))+SUMIFS('2024'!$R$10:$R$108,'2024'!$S$10:$S$108,"&gt;="&amp;DATE(2024,1,1),'2024'!$S$10:$S$108,"&lt;"&amp;DATE(2024,2,1))+SUMIFS('2024'!$U$10:$U$108,'2024'!$V$10:$V$108,"&gt;="&amp;DATE(2024,1,1),'2024'!$V$10:$V$108,"&lt;"&amp;DATE(2024,2,1))+SUMIFS('2023'!$I$10:$I$127,'2023'!$J$10:$J$127,"&gt;="&amp;DATE(2024,1,1),'2023'!$J$10:$J$127,"&lt;"&amp;DATE(2024,2,1))+SUMIFS('2023'!$L$10:$L$127,'2023'!$M$10:$M$127,"&gt;="&amp;DATE(2024,1,1),'2023'!$M$10:$M$127,"&lt;"&amp;DATE(2024,2,1))+SUMIFS('2023'!$O$10:$O$127,'2023'!$P$10:$P$127,"&gt;="&amp;DATE(2024,1,1),'2023'!$P$10:$P$127,"&lt;"&amp;DATE(2024,2,1))+SUMIFS('2023'!$R$10:$R$127,'2023'!$S$10:$S$127,"&gt;="&amp;DATE(2024,1,1),'2023'!$S$10:$S$127,"&lt;"&amp;DATE(2024,2,1))+SUMIFS('2023'!$U$10:$U$127,'2023'!$V$10:$V$127,"&gt;="&amp;DATE(2024,1,1),'2023'!$V$10:$V$127,"&lt;"&amp;DATE(2024,2,1)),2)</f>
        <v/>
      </c>
      <c r="D8" s="23">
        <f>ROUND(SUMIFS('2026'!$I$10:$I$107,'2026'!$J$10:$J$107,"&gt;="&amp;DATE(2025,1,1),'2026'!$J$10:$J$107,"&lt;"&amp;DATE(2025,2,1))+SUMIFS('2026'!$L$10:$L$107,'2026'!$M$10:$M$107,"&gt;="&amp;DATE(2025,1,1),'2026'!$M$10:$M$107,"&lt;"&amp;DATE(2025,2,1))+SUMIFS('2026'!$O$10:$O$107,'2026'!$P$10:$P$107,"&gt;="&amp;DATE(2025,1,1),'2026'!$P$10:$P$107,"&lt;"&amp;DATE(2025,2,1))+SUMIFS('2026'!$R$10:$R$107,'2026'!$S$10:$S$107,"&gt;="&amp;DATE(2025,1,1),'2026'!$S$10:$S$107,"&lt;"&amp;DATE(2025,2,1))+SUMIFS('2026'!$U$10:$U$107,'2026'!$V$10:$V$107,"&gt;="&amp;DATE(2025,1,1),'2026'!$V$10:$V$107,"&lt;"&amp;DATE(2025,2,1))+SUMIFS('2025'!$I$10:$I$112,'2025'!$J$10:$J$112,"&gt;="&amp;DATE(2025,1,1),'2025'!$J$10:$J$112,"&lt;"&amp;DATE(2025,2,1))+SUMIFS('2025'!$L$10:$L$112,'2025'!$M$10:$M$112,"&gt;="&amp;DATE(2025,1,1),'2025'!$M$10:$M$112,"&lt;"&amp;DATE(2025,2,1))+SUMIFS('2025'!$O$10:$O$112,'2025'!$P$10:$P$112,"&gt;="&amp;DATE(2025,1,1),'2025'!$P$10:$P$112,"&lt;"&amp;DATE(2025,2,1))+SUMIFS('2025'!$R$10:$R$112,'2025'!$S$10:$S$112,"&gt;="&amp;DATE(2025,1,1),'2025'!$S$10:$S$112,"&lt;"&amp;DATE(2025,2,1))+SUMIFS('2025'!$U$10:$U$112,'2025'!$V$10:$V$112,"&gt;="&amp;DATE(2025,1,1),'2025'!$V$10:$V$112,"&lt;"&amp;DATE(2025,2,1))+SUMIFS('2024'!$I$10:$I$108,'2024'!$J$10:$J$108,"&gt;="&amp;DATE(2025,1,1),'2024'!$J$10:$J$108,"&lt;"&amp;DATE(2025,2,1))+SUMIFS('2024'!$L$10:$L$108,'2024'!$M$10:$M$108,"&gt;="&amp;DATE(2025,1,1),'2024'!$M$10:$M$108,"&lt;"&amp;DATE(2025,2,1))+SUMIFS('2024'!$O$10:$O$108,'2024'!$P$10:$P$108,"&gt;="&amp;DATE(2025,1,1),'2024'!$P$10:$P$108,"&lt;"&amp;DATE(2025,2,1))+SUMIFS('2024'!$R$10:$R$108,'2024'!$S$10:$S$108,"&gt;="&amp;DATE(2025,1,1),'2024'!$S$10:$S$108,"&lt;"&amp;DATE(2025,2,1))+SUMIFS('2024'!$U$10:$U$108,'2024'!$V$10:$V$108,"&gt;="&amp;DATE(2025,1,1),'2024'!$V$10:$V$108,"&lt;"&amp;DATE(2025,2,1))+SUMIFS('2023'!$I$10:$I$127,'2023'!$J$10:$J$127,"&gt;="&amp;DATE(2025,1,1),'2023'!$J$10:$J$127,"&lt;"&amp;DATE(2025,2,1))+SUMIFS('2023'!$L$10:$L$127,'2023'!$M$10:$M$127,"&gt;="&amp;DATE(2025,1,1),'2023'!$M$10:$M$127,"&lt;"&amp;DATE(2025,2,1))+SUMIFS('2023'!$O$10:$O$127,'2023'!$P$10:$P$127,"&gt;="&amp;DATE(2025,1,1),'2023'!$P$10:$P$127,"&lt;"&amp;DATE(2025,2,1))+SUMIFS('2023'!$R$10:$R$127,'2023'!$S$10:$S$127,"&gt;="&amp;DATE(2025,1,1),'2023'!$S$10:$S$127,"&lt;"&amp;DATE(2025,2,1))+SUMIFS('2023'!$U$10:$U$127,'2023'!$V$10:$V$127,"&gt;="&amp;DATE(2025,1,1),'2023'!$V$10:$V$127,"&lt;"&amp;DATE(2025,2,1)),2)</f>
        <v/>
      </c>
      <c r="E8" s="23">
        <f>ROUND(SUMIFS('2026'!$I$10:$I$107,'2026'!$J$10:$J$107,"&gt;="&amp;DATE(2026,1,1),'2026'!$J$10:$J$107,"&lt;"&amp;DATE(2026,2,1))+SUMIFS('2026'!$L$10:$L$107,'2026'!$M$10:$M$107,"&gt;="&amp;DATE(2026,1,1),'2026'!$M$10:$M$107,"&lt;"&amp;DATE(2026,2,1))+SUMIFS('2026'!$O$10:$O$107,'2026'!$P$10:$P$107,"&gt;="&amp;DATE(2026,1,1),'2026'!$P$10:$P$107,"&lt;"&amp;DATE(2026,2,1))+SUMIFS('2026'!$R$10:$R$107,'2026'!$S$10:$S$107,"&gt;="&amp;DATE(2026,1,1),'2026'!$S$10:$S$107,"&lt;"&amp;DATE(2026,2,1))+SUMIFS('2026'!$U$10:$U$107,'2026'!$V$10:$V$107,"&gt;="&amp;DATE(2026,1,1),'2026'!$V$10:$V$107,"&lt;"&amp;DATE(2026,2,1))+SUMIFS('2025'!$I$10:$I$112,'2025'!$J$10:$J$112,"&gt;="&amp;DATE(2026,1,1),'2025'!$J$10:$J$112,"&lt;"&amp;DATE(2026,2,1))+SUMIFS('2025'!$L$10:$L$112,'2025'!$M$10:$M$112,"&gt;="&amp;DATE(2026,1,1),'2025'!$M$10:$M$112,"&lt;"&amp;DATE(2026,2,1))+SUMIFS('2025'!$O$10:$O$112,'2025'!$P$10:$P$112,"&gt;="&amp;DATE(2026,1,1),'2025'!$P$10:$P$112,"&lt;"&amp;DATE(2026,2,1))+SUMIFS('2025'!$R$10:$R$112,'2025'!$S$10:$S$112,"&gt;="&amp;DATE(2026,1,1),'2025'!$S$10:$S$112,"&lt;"&amp;DATE(2026,2,1))+SUMIFS('2025'!$U$10:$U$112,'2025'!$V$10:$V$112,"&gt;="&amp;DATE(2026,1,1),'2025'!$V$10:$V$112,"&lt;"&amp;DATE(2026,2,1))+SUMIFS('2024'!$I$10:$I$108,'2024'!$J$10:$J$108,"&gt;="&amp;DATE(2026,1,1),'2024'!$J$10:$J$108,"&lt;"&amp;DATE(2026,2,1))+SUMIFS('2024'!$L$10:$L$108,'2024'!$M$10:$M$108,"&gt;="&amp;DATE(2026,1,1),'2024'!$M$10:$M$108,"&lt;"&amp;DATE(2026,2,1))+SUMIFS('2024'!$O$10:$O$108,'2024'!$P$10:$P$108,"&gt;="&amp;DATE(2026,1,1),'2024'!$P$10:$P$108,"&lt;"&amp;DATE(2026,2,1))+SUMIFS('2024'!$R$10:$R$108,'2024'!$S$10:$S$108,"&gt;="&amp;DATE(2026,1,1),'2024'!$S$10:$S$108,"&lt;"&amp;DATE(2026,2,1))+SUMIFS('2024'!$U$10:$U$108,'2024'!$V$10:$V$108,"&gt;="&amp;DATE(2026,1,1),'2024'!$V$10:$V$108,"&lt;"&amp;DATE(2026,2,1))+SUMIFS('2023'!$I$10:$I$127,'2023'!$J$10:$J$127,"&gt;="&amp;DATE(2026,1,1),'2023'!$J$10:$J$127,"&lt;"&amp;DATE(2026,2,1))+SUMIFS('2023'!$L$10:$L$127,'2023'!$M$10:$M$127,"&gt;="&amp;DATE(2026,1,1),'2023'!$M$10:$M$127,"&lt;"&amp;DATE(2026,2,1))+SUMIFS('2023'!$O$10:$O$127,'2023'!$P$10:$P$127,"&gt;="&amp;DATE(2026,1,1),'2023'!$P$10:$P$127,"&lt;"&amp;DATE(2026,2,1))+SUMIFS('2023'!$R$10:$R$127,'2023'!$S$10:$S$127,"&gt;="&amp;DATE(2026,1,1),'2023'!$S$10:$S$127,"&lt;"&amp;DATE(2026,2,1))+SUMIFS('2023'!$U$10:$U$127,'2023'!$V$10:$V$127,"&gt;="&amp;DATE(2026,1,1),'2023'!$V$10:$V$127,"&lt;"&amp;DATE(2026,2,1)),2)</f>
        <v/>
      </c>
      <c r="F8" s="31">
        <f>ROUND(AVERAGE($B8:$D8),0)</f>
        <v/>
      </c>
      <c r="G8" s="32">
        <f>IF(SUM($F$8:$F$19)=0,"",$F8/SUM($F$8:$F$19))</f>
        <v/>
      </c>
    </row>
    <row r="9" ht="18" customHeight="1">
      <c r="A9" s="21" t="inlineStr">
        <is>
          <t>Fevereiro</t>
        </is>
      </c>
      <c r="B9" s="23">
        <f>ROUND(SUMIFS('2026'!$I$10:$I$107,'2026'!$J$10:$J$107,"&gt;="&amp;DATE(2023,2,1),'2026'!$J$10:$J$107,"&lt;"&amp;DATE(2023,3,1))+SUMIFS('2026'!$L$10:$L$107,'2026'!$M$10:$M$107,"&gt;="&amp;DATE(2023,2,1),'2026'!$M$10:$M$107,"&lt;"&amp;DATE(2023,3,1))+SUMIFS('2026'!$O$10:$O$107,'2026'!$P$10:$P$107,"&gt;="&amp;DATE(2023,2,1),'2026'!$P$10:$P$107,"&lt;"&amp;DATE(2023,3,1))+SUMIFS('2026'!$R$10:$R$107,'2026'!$S$10:$S$107,"&gt;="&amp;DATE(2023,2,1),'2026'!$S$10:$S$107,"&lt;"&amp;DATE(2023,3,1))+SUMIFS('2026'!$U$10:$U$107,'2026'!$V$10:$V$107,"&gt;="&amp;DATE(2023,2,1),'2026'!$V$10:$V$107,"&lt;"&amp;DATE(2023,3,1))+SUMIFS('2025'!$I$10:$I$112,'2025'!$J$10:$J$112,"&gt;="&amp;DATE(2023,2,1),'2025'!$J$10:$J$112,"&lt;"&amp;DATE(2023,3,1))+SUMIFS('2025'!$L$10:$L$112,'2025'!$M$10:$M$112,"&gt;="&amp;DATE(2023,2,1),'2025'!$M$10:$M$112,"&lt;"&amp;DATE(2023,3,1))+SUMIFS('2025'!$O$10:$O$112,'2025'!$P$10:$P$112,"&gt;="&amp;DATE(2023,2,1),'2025'!$P$10:$P$112,"&lt;"&amp;DATE(2023,3,1))+SUMIFS('2025'!$R$10:$R$112,'2025'!$S$10:$S$112,"&gt;="&amp;DATE(2023,2,1),'2025'!$S$10:$S$112,"&lt;"&amp;DATE(2023,3,1))+SUMIFS('2025'!$U$10:$U$112,'2025'!$V$10:$V$112,"&gt;="&amp;DATE(2023,2,1),'2025'!$V$10:$V$112,"&lt;"&amp;DATE(2023,3,1))+SUMIFS('2024'!$I$10:$I$108,'2024'!$J$10:$J$108,"&gt;="&amp;DATE(2023,2,1),'2024'!$J$10:$J$108,"&lt;"&amp;DATE(2023,3,1))+SUMIFS('2024'!$L$10:$L$108,'2024'!$M$10:$M$108,"&gt;="&amp;DATE(2023,2,1),'2024'!$M$10:$M$108,"&lt;"&amp;DATE(2023,3,1))+SUMIFS('2024'!$O$10:$O$108,'2024'!$P$10:$P$108,"&gt;="&amp;DATE(2023,2,1),'2024'!$P$10:$P$108,"&lt;"&amp;DATE(2023,3,1))+SUMIFS('2024'!$R$10:$R$108,'2024'!$S$10:$S$108,"&gt;="&amp;DATE(2023,2,1),'2024'!$S$10:$S$108,"&lt;"&amp;DATE(2023,3,1))+SUMIFS('2024'!$U$10:$U$108,'2024'!$V$10:$V$108,"&gt;="&amp;DATE(2023,2,1),'2024'!$V$10:$V$108,"&lt;"&amp;DATE(2023,3,1))+SUMIFS('2023'!$I$10:$I$127,'2023'!$J$10:$J$127,"&gt;="&amp;DATE(2023,2,1),'2023'!$J$10:$J$127,"&lt;"&amp;DATE(2023,3,1))+SUMIFS('2023'!$L$10:$L$127,'2023'!$M$10:$M$127,"&gt;="&amp;DATE(2023,2,1),'2023'!$M$10:$M$127,"&lt;"&amp;DATE(2023,3,1))+SUMIFS('2023'!$O$10:$O$127,'2023'!$P$10:$P$127,"&gt;="&amp;DATE(2023,2,1),'2023'!$P$10:$P$127,"&lt;"&amp;DATE(2023,3,1))+SUMIFS('2023'!$R$10:$R$127,'2023'!$S$10:$S$127,"&gt;="&amp;DATE(2023,2,1),'2023'!$S$10:$S$127,"&lt;"&amp;DATE(2023,3,1))+SUMIFS('2023'!$U$10:$U$127,'2023'!$V$10:$V$127,"&gt;="&amp;DATE(2023,2,1),'2023'!$V$10:$V$127,"&lt;"&amp;DATE(2023,3,1)),2)</f>
        <v/>
      </c>
      <c r="C9" s="23">
        <f>ROUND(SUMIFS('2026'!$I$10:$I$107,'2026'!$J$10:$J$107,"&gt;="&amp;DATE(2024,2,1),'2026'!$J$10:$J$107,"&lt;"&amp;DATE(2024,3,1))+SUMIFS('2026'!$L$10:$L$107,'2026'!$M$10:$M$107,"&gt;="&amp;DATE(2024,2,1),'2026'!$M$10:$M$107,"&lt;"&amp;DATE(2024,3,1))+SUMIFS('2026'!$O$10:$O$107,'2026'!$P$10:$P$107,"&gt;="&amp;DATE(2024,2,1),'2026'!$P$10:$P$107,"&lt;"&amp;DATE(2024,3,1))+SUMIFS('2026'!$R$10:$R$107,'2026'!$S$10:$S$107,"&gt;="&amp;DATE(2024,2,1),'2026'!$S$10:$S$107,"&lt;"&amp;DATE(2024,3,1))+SUMIFS('2026'!$U$10:$U$107,'2026'!$V$10:$V$107,"&gt;="&amp;DATE(2024,2,1),'2026'!$V$10:$V$107,"&lt;"&amp;DATE(2024,3,1))+SUMIFS('2025'!$I$10:$I$112,'2025'!$J$10:$J$112,"&gt;="&amp;DATE(2024,2,1),'2025'!$J$10:$J$112,"&lt;"&amp;DATE(2024,3,1))+SUMIFS('2025'!$L$10:$L$112,'2025'!$M$10:$M$112,"&gt;="&amp;DATE(2024,2,1),'2025'!$M$10:$M$112,"&lt;"&amp;DATE(2024,3,1))+SUMIFS('2025'!$O$10:$O$112,'2025'!$P$10:$P$112,"&gt;="&amp;DATE(2024,2,1),'2025'!$P$10:$P$112,"&lt;"&amp;DATE(2024,3,1))+SUMIFS('2025'!$R$10:$R$112,'2025'!$S$10:$S$112,"&gt;="&amp;DATE(2024,2,1),'2025'!$S$10:$S$112,"&lt;"&amp;DATE(2024,3,1))+SUMIFS('2025'!$U$10:$U$112,'2025'!$V$10:$V$112,"&gt;="&amp;DATE(2024,2,1),'2025'!$V$10:$V$112,"&lt;"&amp;DATE(2024,3,1))+SUMIFS('2024'!$I$10:$I$108,'2024'!$J$10:$J$108,"&gt;="&amp;DATE(2024,2,1),'2024'!$J$10:$J$108,"&lt;"&amp;DATE(2024,3,1))+SUMIFS('2024'!$L$10:$L$108,'2024'!$M$10:$M$108,"&gt;="&amp;DATE(2024,2,1),'2024'!$M$10:$M$108,"&lt;"&amp;DATE(2024,3,1))+SUMIFS('2024'!$O$10:$O$108,'2024'!$P$10:$P$108,"&gt;="&amp;DATE(2024,2,1),'2024'!$P$10:$P$108,"&lt;"&amp;DATE(2024,3,1))+SUMIFS('2024'!$R$10:$R$108,'2024'!$S$10:$S$108,"&gt;="&amp;DATE(2024,2,1),'2024'!$S$10:$S$108,"&lt;"&amp;DATE(2024,3,1))+SUMIFS('2024'!$U$10:$U$108,'2024'!$V$10:$V$108,"&gt;="&amp;DATE(2024,2,1),'2024'!$V$10:$V$108,"&lt;"&amp;DATE(2024,3,1))+SUMIFS('2023'!$I$10:$I$127,'2023'!$J$10:$J$127,"&gt;="&amp;DATE(2024,2,1),'2023'!$J$10:$J$127,"&lt;"&amp;DATE(2024,3,1))+SUMIFS('2023'!$L$10:$L$127,'2023'!$M$10:$M$127,"&gt;="&amp;DATE(2024,2,1),'2023'!$M$10:$M$127,"&lt;"&amp;DATE(2024,3,1))+SUMIFS('2023'!$O$10:$O$127,'2023'!$P$10:$P$127,"&gt;="&amp;DATE(2024,2,1),'2023'!$P$10:$P$127,"&lt;"&amp;DATE(2024,3,1))+SUMIFS('2023'!$R$10:$R$127,'2023'!$S$10:$S$127,"&gt;="&amp;DATE(2024,2,1),'2023'!$S$10:$S$127,"&lt;"&amp;DATE(2024,3,1))+SUMIFS('2023'!$U$10:$U$127,'2023'!$V$10:$V$127,"&gt;="&amp;DATE(2024,2,1),'2023'!$V$10:$V$127,"&lt;"&amp;DATE(2024,3,1)),2)</f>
        <v/>
      </c>
      <c r="D9" s="23">
        <f>ROUND(SUMIFS('2026'!$I$10:$I$107,'2026'!$J$10:$J$107,"&gt;="&amp;DATE(2025,2,1),'2026'!$J$10:$J$107,"&lt;"&amp;DATE(2025,3,1))+SUMIFS('2026'!$L$10:$L$107,'2026'!$M$10:$M$107,"&gt;="&amp;DATE(2025,2,1),'2026'!$M$10:$M$107,"&lt;"&amp;DATE(2025,3,1))+SUMIFS('2026'!$O$10:$O$107,'2026'!$P$10:$P$107,"&gt;="&amp;DATE(2025,2,1),'2026'!$P$10:$P$107,"&lt;"&amp;DATE(2025,3,1))+SUMIFS('2026'!$R$10:$R$107,'2026'!$S$10:$S$107,"&gt;="&amp;DATE(2025,2,1),'2026'!$S$10:$S$107,"&lt;"&amp;DATE(2025,3,1))+SUMIFS('2026'!$U$10:$U$107,'2026'!$V$10:$V$107,"&gt;="&amp;DATE(2025,2,1),'2026'!$V$10:$V$107,"&lt;"&amp;DATE(2025,3,1))+SUMIFS('2025'!$I$10:$I$112,'2025'!$J$10:$J$112,"&gt;="&amp;DATE(2025,2,1),'2025'!$J$10:$J$112,"&lt;"&amp;DATE(2025,3,1))+SUMIFS('2025'!$L$10:$L$112,'2025'!$M$10:$M$112,"&gt;="&amp;DATE(2025,2,1),'2025'!$M$10:$M$112,"&lt;"&amp;DATE(2025,3,1))+SUMIFS('2025'!$O$10:$O$112,'2025'!$P$10:$P$112,"&gt;="&amp;DATE(2025,2,1),'2025'!$P$10:$P$112,"&lt;"&amp;DATE(2025,3,1))+SUMIFS('2025'!$R$10:$R$112,'2025'!$S$10:$S$112,"&gt;="&amp;DATE(2025,2,1),'2025'!$S$10:$S$112,"&lt;"&amp;DATE(2025,3,1))+SUMIFS('2025'!$U$10:$U$112,'2025'!$V$10:$V$112,"&gt;="&amp;DATE(2025,2,1),'2025'!$V$10:$V$112,"&lt;"&amp;DATE(2025,3,1))+SUMIFS('2024'!$I$10:$I$108,'2024'!$J$10:$J$108,"&gt;="&amp;DATE(2025,2,1),'2024'!$J$10:$J$108,"&lt;"&amp;DATE(2025,3,1))+SUMIFS('2024'!$L$10:$L$108,'2024'!$M$10:$M$108,"&gt;="&amp;DATE(2025,2,1),'2024'!$M$10:$M$108,"&lt;"&amp;DATE(2025,3,1))+SUMIFS('2024'!$O$10:$O$108,'2024'!$P$10:$P$108,"&gt;="&amp;DATE(2025,2,1),'2024'!$P$10:$P$108,"&lt;"&amp;DATE(2025,3,1))+SUMIFS('2024'!$R$10:$R$108,'2024'!$S$10:$S$108,"&gt;="&amp;DATE(2025,2,1),'2024'!$S$10:$S$108,"&lt;"&amp;DATE(2025,3,1))+SUMIFS('2024'!$U$10:$U$108,'2024'!$V$10:$V$108,"&gt;="&amp;DATE(2025,2,1),'2024'!$V$10:$V$108,"&lt;"&amp;DATE(2025,3,1))+SUMIFS('2023'!$I$10:$I$127,'2023'!$J$10:$J$127,"&gt;="&amp;DATE(2025,2,1),'2023'!$J$10:$J$127,"&lt;"&amp;DATE(2025,3,1))+SUMIFS('2023'!$L$10:$L$127,'2023'!$M$10:$M$127,"&gt;="&amp;DATE(2025,2,1),'2023'!$M$10:$M$127,"&lt;"&amp;DATE(2025,3,1))+SUMIFS('2023'!$O$10:$O$127,'2023'!$P$10:$P$127,"&gt;="&amp;DATE(2025,2,1),'2023'!$P$10:$P$127,"&lt;"&amp;DATE(2025,3,1))+SUMIFS('2023'!$R$10:$R$127,'2023'!$S$10:$S$127,"&gt;="&amp;DATE(2025,2,1),'2023'!$S$10:$S$127,"&lt;"&amp;DATE(2025,3,1))+SUMIFS('2023'!$U$10:$U$127,'2023'!$V$10:$V$127,"&gt;="&amp;DATE(2025,2,1),'2023'!$V$10:$V$127,"&lt;"&amp;DATE(2025,3,1)),2)</f>
        <v/>
      </c>
      <c r="E9" s="23">
        <f>ROUND(SUMIFS('2026'!$I$10:$I$107,'2026'!$J$10:$J$107,"&gt;="&amp;DATE(2026,2,1),'2026'!$J$10:$J$107,"&lt;"&amp;DATE(2026,3,1))+SUMIFS('2026'!$L$10:$L$107,'2026'!$M$10:$M$107,"&gt;="&amp;DATE(2026,2,1),'2026'!$M$10:$M$107,"&lt;"&amp;DATE(2026,3,1))+SUMIFS('2026'!$O$10:$O$107,'2026'!$P$10:$P$107,"&gt;="&amp;DATE(2026,2,1),'2026'!$P$10:$P$107,"&lt;"&amp;DATE(2026,3,1))+SUMIFS('2026'!$R$10:$R$107,'2026'!$S$10:$S$107,"&gt;="&amp;DATE(2026,2,1),'2026'!$S$10:$S$107,"&lt;"&amp;DATE(2026,3,1))+SUMIFS('2026'!$U$10:$U$107,'2026'!$V$10:$V$107,"&gt;="&amp;DATE(2026,2,1),'2026'!$V$10:$V$107,"&lt;"&amp;DATE(2026,3,1))+SUMIFS('2025'!$I$10:$I$112,'2025'!$J$10:$J$112,"&gt;="&amp;DATE(2026,2,1),'2025'!$J$10:$J$112,"&lt;"&amp;DATE(2026,3,1))+SUMIFS('2025'!$L$10:$L$112,'2025'!$M$10:$M$112,"&gt;="&amp;DATE(2026,2,1),'2025'!$M$10:$M$112,"&lt;"&amp;DATE(2026,3,1))+SUMIFS('2025'!$O$10:$O$112,'2025'!$P$10:$P$112,"&gt;="&amp;DATE(2026,2,1),'2025'!$P$10:$P$112,"&lt;"&amp;DATE(2026,3,1))+SUMIFS('2025'!$R$10:$R$112,'2025'!$S$10:$S$112,"&gt;="&amp;DATE(2026,2,1),'2025'!$S$10:$S$112,"&lt;"&amp;DATE(2026,3,1))+SUMIFS('2025'!$U$10:$U$112,'2025'!$V$10:$V$112,"&gt;="&amp;DATE(2026,2,1),'2025'!$V$10:$V$112,"&lt;"&amp;DATE(2026,3,1))+SUMIFS('2024'!$I$10:$I$108,'2024'!$J$10:$J$108,"&gt;="&amp;DATE(2026,2,1),'2024'!$J$10:$J$108,"&lt;"&amp;DATE(2026,3,1))+SUMIFS('2024'!$L$10:$L$108,'2024'!$M$10:$M$108,"&gt;="&amp;DATE(2026,2,1),'2024'!$M$10:$M$108,"&lt;"&amp;DATE(2026,3,1))+SUMIFS('2024'!$O$10:$O$108,'2024'!$P$10:$P$108,"&gt;="&amp;DATE(2026,2,1),'2024'!$P$10:$P$108,"&lt;"&amp;DATE(2026,3,1))+SUMIFS('2024'!$R$10:$R$108,'2024'!$S$10:$S$108,"&gt;="&amp;DATE(2026,2,1),'2024'!$S$10:$S$108,"&lt;"&amp;DATE(2026,3,1))+SUMIFS('2024'!$U$10:$U$108,'2024'!$V$10:$V$108,"&gt;="&amp;DATE(2026,2,1),'2024'!$V$10:$V$108,"&lt;"&amp;DATE(2026,3,1))+SUMIFS('2023'!$I$10:$I$127,'2023'!$J$10:$J$127,"&gt;="&amp;DATE(2026,2,1),'2023'!$J$10:$J$127,"&lt;"&amp;DATE(2026,3,1))+SUMIFS('2023'!$L$10:$L$127,'2023'!$M$10:$M$127,"&gt;="&amp;DATE(2026,2,1),'2023'!$M$10:$M$127,"&lt;"&amp;DATE(2026,3,1))+SUMIFS('2023'!$O$10:$O$127,'2023'!$P$10:$P$127,"&gt;="&amp;DATE(2026,2,1),'2023'!$P$10:$P$127,"&lt;"&amp;DATE(2026,3,1))+SUMIFS('2023'!$R$10:$R$127,'2023'!$S$10:$S$127,"&gt;="&amp;DATE(2026,2,1),'2023'!$S$10:$S$127,"&lt;"&amp;DATE(2026,3,1))+SUMIFS('2023'!$U$10:$U$127,'2023'!$V$10:$V$127,"&gt;="&amp;DATE(2026,2,1),'2023'!$V$10:$V$127,"&lt;"&amp;DATE(2026,3,1)),2)</f>
        <v/>
      </c>
      <c r="F9" s="31">
        <f>ROUND(AVERAGE($B9:$D9),0)</f>
        <v/>
      </c>
      <c r="G9" s="32">
        <f>IF(SUM($F$8:$F$19)=0,"",$F9/SUM($F$8:$F$19))</f>
        <v/>
      </c>
    </row>
    <row r="10" ht="18" customHeight="1">
      <c r="A10" s="21" t="inlineStr">
        <is>
          <t>Março</t>
        </is>
      </c>
      <c r="B10" s="23">
        <f>ROUND(SUMIFS('2026'!$I$10:$I$107,'2026'!$J$10:$J$107,"&gt;="&amp;DATE(2023,3,1),'2026'!$J$10:$J$107,"&lt;"&amp;DATE(2023,4,1))+SUMIFS('2026'!$L$10:$L$107,'2026'!$M$10:$M$107,"&gt;="&amp;DATE(2023,3,1),'2026'!$M$10:$M$107,"&lt;"&amp;DATE(2023,4,1))+SUMIFS('2026'!$O$10:$O$107,'2026'!$P$10:$P$107,"&gt;="&amp;DATE(2023,3,1),'2026'!$P$10:$P$107,"&lt;"&amp;DATE(2023,4,1))+SUMIFS('2026'!$R$10:$R$107,'2026'!$S$10:$S$107,"&gt;="&amp;DATE(2023,3,1),'2026'!$S$10:$S$107,"&lt;"&amp;DATE(2023,4,1))+SUMIFS('2026'!$U$10:$U$107,'2026'!$V$10:$V$107,"&gt;="&amp;DATE(2023,3,1),'2026'!$V$10:$V$107,"&lt;"&amp;DATE(2023,4,1))+SUMIFS('2025'!$I$10:$I$112,'2025'!$J$10:$J$112,"&gt;="&amp;DATE(2023,3,1),'2025'!$J$10:$J$112,"&lt;"&amp;DATE(2023,4,1))+SUMIFS('2025'!$L$10:$L$112,'2025'!$M$10:$M$112,"&gt;="&amp;DATE(2023,3,1),'2025'!$M$10:$M$112,"&lt;"&amp;DATE(2023,4,1))+SUMIFS('2025'!$O$10:$O$112,'2025'!$P$10:$P$112,"&gt;="&amp;DATE(2023,3,1),'2025'!$P$10:$P$112,"&lt;"&amp;DATE(2023,4,1))+SUMIFS('2025'!$R$10:$R$112,'2025'!$S$10:$S$112,"&gt;="&amp;DATE(2023,3,1),'2025'!$S$10:$S$112,"&lt;"&amp;DATE(2023,4,1))+SUMIFS('2025'!$U$10:$U$112,'2025'!$V$10:$V$112,"&gt;="&amp;DATE(2023,3,1),'2025'!$V$10:$V$112,"&lt;"&amp;DATE(2023,4,1))+SUMIFS('2024'!$I$10:$I$108,'2024'!$J$10:$J$108,"&gt;="&amp;DATE(2023,3,1),'2024'!$J$10:$J$108,"&lt;"&amp;DATE(2023,4,1))+SUMIFS('2024'!$L$10:$L$108,'2024'!$M$10:$M$108,"&gt;="&amp;DATE(2023,3,1),'2024'!$M$10:$M$108,"&lt;"&amp;DATE(2023,4,1))+SUMIFS('2024'!$O$10:$O$108,'2024'!$P$10:$P$108,"&gt;="&amp;DATE(2023,3,1),'2024'!$P$10:$P$108,"&lt;"&amp;DATE(2023,4,1))+SUMIFS('2024'!$R$10:$R$108,'2024'!$S$10:$S$108,"&gt;="&amp;DATE(2023,3,1),'2024'!$S$10:$S$108,"&lt;"&amp;DATE(2023,4,1))+SUMIFS('2024'!$U$10:$U$108,'2024'!$V$10:$V$108,"&gt;="&amp;DATE(2023,3,1),'2024'!$V$10:$V$108,"&lt;"&amp;DATE(2023,4,1))+SUMIFS('2023'!$I$10:$I$127,'2023'!$J$10:$J$127,"&gt;="&amp;DATE(2023,3,1),'2023'!$J$10:$J$127,"&lt;"&amp;DATE(2023,4,1))+SUMIFS('2023'!$L$10:$L$127,'2023'!$M$10:$M$127,"&gt;="&amp;DATE(2023,3,1),'2023'!$M$10:$M$127,"&lt;"&amp;DATE(2023,4,1))+SUMIFS('2023'!$O$10:$O$127,'2023'!$P$10:$P$127,"&gt;="&amp;DATE(2023,3,1),'2023'!$P$10:$P$127,"&lt;"&amp;DATE(2023,4,1))+SUMIFS('2023'!$R$10:$R$127,'2023'!$S$10:$S$127,"&gt;="&amp;DATE(2023,3,1),'2023'!$S$10:$S$127,"&lt;"&amp;DATE(2023,4,1))+SUMIFS('2023'!$U$10:$U$127,'2023'!$V$10:$V$127,"&gt;="&amp;DATE(2023,3,1),'2023'!$V$10:$V$127,"&lt;"&amp;DATE(2023,4,1)),2)</f>
        <v/>
      </c>
      <c r="C10" s="23">
        <f>ROUND(SUMIFS('2026'!$I$10:$I$107,'2026'!$J$10:$J$107,"&gt;="&amp;DATE(2024,3,1),'2026'!$J$10:$J$107,"&lt;"&amp;DATE(2024,4,1))+SUMIFS('2026'!$L$10:$L$107,'2026'!$M$10:$M$107,"&gt;="&amp;DATE(2024,3,1),'2026'!$M$10:$M$107,"&lt;"&amp;DATE(2024,4,1))+SUMIFS('2026'!$O$10:$O$107,'2026'!$P$10:$P$107,"&gt;="&amp;DATE(2024,3,1),'2026'!$P$10:$P$107,"&lt;"&amp;DATE(2024,4,1))+SUMIFS('2026'!$R$10:$R$107,'2026'!$S$10:$S$107,"&gt;="&amp;DATE(2024,3,1),'2026'!$S$10:$S$107,"&lt;"&amp;DATE(2024,4,1))+SUMIFS('2026'!$U$10:$U$107,'2026'!$V$10:$V$107,"&gt;="&amp;DATE(2024,3,1),'2026'!$V$10:$V$107,"&lt;"&amp;DATE(2024,4,1))+SUMIFS('2025'!$I$10:$I$112,'2025'!$J$10:$J$112,"&gt;="&amp;DATE(2024,3,1),'2025'!$J$10:$J$112,"&lt;"&amp;DATE(2024,4,1))+SUMIFS('2025'!$L$10:$L$112,'2025'!$M$10:$M$112,"&gt;="&amp;DATE(2024,3,1),'2025'!$M$10:$M$112,"&lt;"&amp;DATE(2024,4,1))+SUMIFS('2025'!$O$10:$O$112,'2025'!$P$10:$P$112,"&gt;="&amp;DATE(2024,3,1),'2025'!$P$10:$P$112,"&lt;"&amp;DATE(2024,4,1))+SUMIFS('2025'!$R$10:$R$112,'2025'!$S$10:$S$112,"&gt;="&amp;DATE(2024,3,1),'2025'!$S$10:$S$112,"&lt;"&amp;DATE(2024,4,1))+SUMIFS('2025'!$U$10:$U$112,'2025'!$V$10:$V$112,"&gt;="&amp;DATE(2024,3,1),'2025'!$V$10:$V$112,"&lt;"&amp;DATE(2024,4,1))+SUMIFS('2024'!$I$10:$I$108,'2024'!$J$10:$J$108,"&gt;="&amp;DATE(2024,3,1),'2024'!$J$10:$J$108,"&lt;"&amp;DATE(2024,4,1))+SUMIFS('2024'!$L$10:$L$108,'2024'!$M$10:$M$108,"&gt;="&amp;DATE(2024,3,1),'2024'!$M$10:$M$108,"&lt;"&amp;DATE(2024,4,1))+SUMIFS('2024'!$O$10:$O$108,'2024'!$P$10:$P$108,"&gt;="&amp;DATE(2024,3,1),'2024'!$P$10:$P$108,"&lt;"&amp;DATE(2024,4,1))+SUMIFS('2024'!$R$10:$R$108,'2024'!$S$10:$S$108,"&gt;="&amp;DATE(2024,3,1),'2024'!$S$10:$S$108,"&lt;"&amp;DATE(2024,4,1))+SUMIFS('2024'!$U$10:$U$108,'2024'!$V$10:$V$108,"&gt;="&amp;DATE(2024,3,1),'2024'!$V$10:$V$108,"&lt;"&amp;DATE(2024,4,1))+SUMIFS('2023'!$I$10:$I$127,'2023'!$J$10:$J$127,"&gt;="&amp;DATE(2024,3,1),'2023'!$J$10:$J$127,"&lt;"&amp;DATE(2024,4,1))+SUMIFS('2023'!$L$10:$L$127,'2023'!$M$10:$M$127,"&gt;="&amp;DATE(2024,3,1),'2023'!$M$10:$M$127,"&lt;"&amp;DATE(2024,4,1))+SUMIFS('2023'!$O$10:$O$127,'2023'!$P$10:$P$127,"&gt;="&amp;DATE(2024,3,1),'2023'!$P$10:$P$127,"&lt;"&amp;DATE(2024,4,1))+SUMIFS('2023'!$R$10:$R$127,'2023'!$S$10:$S$127,"&gt;="&amp;DATE(2024,3,1),'2023'!$S$10:$S$127,"&lt;"&amp;DATE(2024,4,1))+SUMIFS('2023'!$U$10:$U$127,'2023'!$V$10:$V$127,"&gt;="&amp;DATE(2024,3,1),'2023'!$V$10:$V$127,"&lt;"&amp;DATE(2024,4,1)),2)</f>
        <v/>
      </c>
      <c r="D10" s="23">
        <f>ROUND(SUMIFS('2026'!$I$10:$I$107,'2026'!$J$10:$J$107,"&gt;="&amp;DATE(2025,3,1),'2026'!$J$10:$J$107,"&lt;"&amp;DATE(2025,4,1))+SUMIFS('2026'!$L$10:$L$107,'2026'!$M$10:$M$107,"&gt;="&amp;DATE(2025,3,1),'2026'!$M$10:$M$107,"&lt;"&amp;DATE(2025,4,1))+SUMIFS('2026'!$O$10:$O$107,'2026'!$P$10:$P$107,"&gt;="&amp;DATE(2025,3,1),'2026'!$P$10:$P$107,"&lt;"&amp;DATE(2025,4,1))+SUMIFS('2026'!$R$10:$R$107,'2026'!$S$10:$S$107,"&gt;="&amp;DATE(2025,3,1),'2026'!$S$10:$S$107,"&lt;"&amp;DATE(2025,4,1))+SUMIFS('2026'!$U$10:$U$107,'2026'!$V$10:$V$107,"&gt;="&amp;DATE(2025,3,1),'2026'!$V$10:$V$107,"&lt;"&amp;DATE(2025,4,1))+SUMIFS('2025'!$I$10:$I$112,'2025'!$J$10:$J$112,"&gt;="&amp;DATE(2025,3,1),'2025'!$J$10:$J$112,"&lt;"&amp;DATE(2025,4,1))+SUMIFS('2025'!$L$10:$L$112,'2025'!$M$10:$M$112,"&gt;="&amp;DATE(2025,3,1),'2025'!$M$10:$M$112,"&lt;"&amp;DATE(2025,4,1))+SUMIFS('2025'!$O$10:$O$112,'2025'!$P$10:$P$112,"&gt;="&amp;DATE(2025,3,1),'2025'!$P$10:$P$112,"&lt;"&amp;DATE(2025,4,1))+SUMIFS('2025'!$R$10:$R$112,'2025'!$S$10:$S$112,"&gt;="&amp;DATE(2025,3,1),'2025'!$S$10:$S$112,"&lt;"&amp;DATE(2025,4,1))+SUMIFS('2025'!$U$10:$U$112,'2025'!$V$10:$V$112,"&gt;="&amp;DATE(2025,3,1),'2025'!$V$10:$V$112,"&lt;"&amp;DATE(2025,4,1))+SUMIFS('2024'!$I$10:$I$108,'2024'!$J$10:$J$108,"&gt;="&amp;DATE(2025,3,1),'2024'!$J$10:$J$108,"&lt;"&amp;DATE(2025,4,1))+SUMIFS('2024'!$L$10:$L$108,'2024'!$M$10:$M$108,"&gt;="&amp;DATE(2025,3,1),'2024'!$M$10:$M$108,"&lt;"&amp;DATE(2025,4,1))+SUMIFS('2024'!$O$10:$O$108,'2024'!$P$10:$P$108,"&gt;="&amp;DATE(2025,3,1),'2024'!$P$10:$P$108,"&lt;"&amp;DATE(2025,4,1))+SUMIFS('2024'!$R$10:$R$108,'2024'!$S$10:$S$108,"&gt;="&amp;DATE(2025,3,1),'2024'!$S$10:$S$108,"&lt;"&amp;DATE(2025,4,1))+SUMIFS('2024'!$U$10:$U$108,'2024'!$V$10:$V$108,"&gt;="&amp;DATE(2025,3,1),'2024'!$V$10:$V$108,"&lt;"&amp;DATE(2025,4,1))+SUMIFS('2023'!$I$10:$I$127,'2023'!$J$10:$J$127,"&gt;="&amp;DATE(2025,3,1),'2023'!$J$10:$J$127,"&lt;"&amp;DATE(2025,4,1))+SUMIFS('2023'!$L$10:$L$127,'2023'!$M$10:$M$127,"&gt;="&amp;DATE(2025,3,1),'2023'!$M$10:$M$127,"&lt;"&amp;DATE(2025,4,1))+SUMIFS('2023'!$O$10:$O$127,'2023'!$P$10:$P$127,"&gt;="&amp;DATE(2025,3,1),'2023'!$P$10:$P$127,"&lt;"&amp;DATE(2025,4,1))+SUMIFS('2023'!$R$10:$R$127,'2023'!$S$10:$S$127,"&gt;="&amp;DATE(2025,3,1),'2023'!$S$10:$S$127,"&lt;"&amp;DATE(2025,4,1))+SUMIFS('2023'!$U$10:$U$127,'2023'!$V$10:$V$127,"&gt;="&amp;DATE(2025,3,1),'2023'!$V$10:$V$127,"&lt;"&amp;DATE(2025,4,1)),2)</f>
        <v/>
      </c>
      <c r="E10" s="23">
        <f>ROUND(SUMIFS('2026'!$I$10:$I$107,'2026'!$J$10:$J$107,"&gt;="&amp;DATE(2026,3,1),'2026'!$J$10:$J$107,"&lt;"&amp;DATE(2026,4,1))+SUMIFS('2026'!$L$10:$L$107,'2026'!$M$10:$M$107,"&gt;="&amp;DATE(2026,3,1),'2026'!$M$10:$M$107,"&lt;"&amp;DATE(2026,4,1))+SUMIFS('2026'!$O$10:$O$107,'2026'!$P$10:$P$107,"&gt;="&amp;DATE(2026,3,1),'2026'!$P$10:$P$107,"&lt;"&amp;DATE(2026,4,1))+SUMIFS('2026'!$R$10:$R$107,'2026'!$S$10:$S$107,"&gt;="&amp;DATE(2026,3,1),'2026'!$S$10:$S$107,"&lt;"&amp;DATE(2026,4,1))+SUMIFS('2026'!$U$10:$U$107,'2026'!$V$10:$V$107,"&gt;="&amp;DATE(2026,3,1),'2026'!$V$10:$V$107,"&lt;"&amp;DATE(2026,4,1))+SUMIFS('2025'!$I$10:$I$112,'2025'!$J$10:$J$112,"&gt;="&amp;DATE(2026,3,1),'2025'!$J$10:$J$112,"&lt;"&amp;DATE(2026,4,1))+SUMIFS('2025'!$L$10:$L$112,'2025'!$M$10:$M$112,"&gt;="&amp;DATE(2026,3,1),'2025'!$M$10:$M$112,"&lt;"&amp;DATE(2026,4,1))+SUMIFS('2025'!$O$10:$O$112,'2025'!$P$10:$P$112,"&gt;="&amp;DATE(2026,3,1),'2025'!$P$10:$P$112,"&lt;"&amp;DATE(2026,4,1))+SUMIFS('2025'!$R$10:$R$112,'2025'!$S$10:$S$112,"&gt;="&amp;DATE(2026,3,1),'2025'!$S$10:$S$112,"&lt;"&amp;DATE(2026,4,1))+SUMIFS('2025'!$U$10:$U$112,'2025'!$V$10:$V$112,"&gt;="&amp;DATE(2026,3,1),'2025'!$V$10:$V$112,"&lt;"&amp;DATE(2026,4,1))+SUMIFS('2024'!$I$10:$I$108,'2024'!$J$10:$J$108,"&gt;="&amp;DATE(2026,3,1),'2024'!$J$10:$J$108,"&lt;"&amp;DATE(2026,4,1))+SUMIFS('2024'!$L$10:$L$108,'2024'!$M$10:$M$108,"&gt;="&amp;DATE(2026,3,1),'2024'!$M$10:$M$108,"&lt;"&amp;DATE(2026,4,1))+SUMIFS('2024'!$O$10:$O$108,'2024'!$P$10:$P$108,"&gt;="&amp;DATE(2026,3,1),'2024'!$P$10:$P$108,"&lt;"&amp;DATE(2026,4,1))+SUMIFS('2024'!$R$10:$R$108,'2024'!$S$10:$S$108,"&gt;="&amp;DATE(2026,3,1),'2024'!$S$10:$S$108,"&lt;"&amp;DATE(2026,4,1))+SUMIFS('2024'!$U$10:$U$108,'2024'!$V$10:$V$108,"&gt;="&amp;DATE(2026,3,1),'2024'!$V$10:$V$108,"&lt;"&amp;DATE(2026,4,1))+SUMIFS('2023'!$I$10:$I$127,'2023'!$J$10:$J$127,"&gt;="&amp;DATE(2026,3,1),'2023'!$J$10:$J$127,"&lt;"&amp;DATE(2026,4,1))+SUMIFS('2023'!$L$10:$L$127,'2023'!$M$10:$M$127,"&gt;="&amp;DATE(2026,3,1),'2023'!$M$10:$M$127,"&lt;"&amp;DATE(2026,4,1))+SUMIFS('2023'!$O$10:$O$127,'2023'!$P$10:$P$127,"&gt;="&amp;DATE(2026,3,1),'2023'!$P$10:$P$127,"&lt;"&amp;DATE(2026,4,1))+SUMIFS('2023'!$R$10:$R$127,'2023'!$S$10:$S$127,"&gt;="&amp;DATE(2026,3,1),'2023'!$S$10:$S$127,"&lt;"&amp;DATE(2026,4,1))+SUMIFS('2023'!$U$10:$U$127,'2023'!$V$10:$V$127,"&gt;="&amp;DATE(2026,3,1),'2023'!$V$10:$V$127,"&lt;"&amp;DATE(2026,4,1)),2)</f>
        <v/>
      </c>
      <c r="F10" s="31">
        <f>ROUND(AVERAGE($B10:$D10),0)</f>
        <v/>
      </c>
      <c r="G10" s="32">
        <f>IF(SUM($F$8:$F$19)=0,"",$F10/SUM($F$8:$F$19))</f>
        <v/>
      </c>
    </row>
    <row r="11" ht="18" customHeight="1">
      <c r="A11" s="21" t="inlineStr">
        <is>
          <t>Abril</t>
        </is>
      </c>
      <c r="B11" s="23">
        <f>ROUND(SUMIFS('2026'!$I$10:$I$107,'2026'!$J$10:$J$107,"&gt;="&amp;DATE(2023,4,1),'2026'!$J$10:$J$107,"&lt;"&amp;DATE(2023,5,1))+SUMIFS('2026'!$L$10:$L$107,'2026'!$M$10:$M$107,"&gt;="&amp;DATE(2023,4,1),'2026'!$M$10:$M$107,"&lt;"&amp;DATE(2023,5,1))+SUMIFS('2026'!$O$10:$O$107,'2026'!$P$10:$P$107,"&gt;="&amp;DATE(2023,4,1),'2026'!$P$10:$P$107,"&lt;"&amp;DATE(2023,5,1))+SUMIFS('2026'!$R$10:$R$107,'2026'!$S$10:$S$107,"&gt;="&amp;DATE(2023,4,1),'2026'!$S$10:$S$107,"&lt;"&amp;DATE(2023,5,1))+SUMIFS('2026'!$U$10:$U$107,'2026'!$V$10:$V$107,"&gt;="&amp;DATE(2023,4,1),'2026'!$V$10:$V$107,"&lt;"&amp;DATE(2023,5,1))+SUMIFS('2025'!$I$10:$I$112,'2025'!$J$10:$J$112,"&gt;="&amp;DATE(2023,4,1),'2025'!$J$10:$J$112,"&lt;"&amp;DATE(2023,5,1))+SUMIFS('2025'!$L$10:$L$112,'2025'!$M$10:$M$112,"&gt;="&amp;DATE(2023,4,1),'2025'!$M$10:$M$112,"&lt;"&amp;DATE(2023,5,1))+SUMIFS('2025'!$O$10:$O$112,'2025'!$P$10:$P$112,"&gt;="&amp;DATE(2023,4,1),'2025'!$P$10:$P$112,"&lt;"&amp;DATE(2023,5,1))+SUMIFS('2025'!$R$10:$R$112,'2025'!$S$10:$S$112,"&gt;="&amp;DATE(2023,4,1),'2025'!$S$10:$S$112,"&lt;"&amp;DATE(2023,5,1))+SUMIFS('2025'!$U$10:$U$112,'2025'!$V$10:$V$112,"&gt;="&amp;DATE(2023,4,1),'2025'!$V$10:$V$112,"&lt;"&amp;DATE(2023,5,1))+SUMIFS('2024'!$I$10:$I$108,'2024'!$J$10:$J$108,"&gt;="&amp;DATE(2023,4,1),'2024'!$J$10:$J$108,"&lt;"&amp;DATE(2023,5,1))+SUMIFS('2024'!$L$10:$L$108,'2024'!$M$10:$M$108,"&gt;="&amp;DATE(2023,4,1),'2024'!$M$10:$M$108,"&lt;"&amp;DATE(2023,5,1))+SUMIFS('2024'!$O$10:$O$108,'2024'!$P$10:$P$108,"&gt;="&amp;DATE(2023,4,1),'2024'!$P$10:$P$108,"&lt;"&amp;DATE(2023,5,1))+SUMIFS('2024'!$R$10:$R$108,'2024'!$S$10:$S$108,"&gt;="&amp;DATE(2023,4,1),'2024'!$S$10:$S$108,"&lt;"&amp;DATE(2023,5,1))+SUMIFS('2024'!$U$10:$U$108,'2024'!$V$10:$V$108,"&gt;="&amp;DATE(2023,4,1),'2024'!$V$10:$V$108,"&lt;"&amp;DATE(2023,5,1))+SUMIFS('2023'!$I$10:$I$127,'2023'!$J$10:$J$127,"&gt;="&amp;DATE(2023,4,1),'2023'!$J$10:$J$127,"&lt;"&amp;DATE(2023,5,1))+SUMIFS('2023'!$L$10:$L$127,'2023'!$M$10:$M$127,"&gt;="&amp;DATE(2023,4,1),'2023'!$M$10:$M$127,"&lt;"&amp;DATE(2023,5,1))+SUMIFS('2023'!$O$10:$O$127,'2023'!$P$10:$P$127,"&gt;="&amp;DATE(2023,4,1),'2023'!$P$10:$P$127,"&lt;"&amp;DATE(2023,5,1))+SUMIFS('2023'!$R$10:$R$127,'2023'!$S$10:$S$127,"&gt;="&amp;DATE(2023,4,1),'2023'!$S$10:$S$127,"&lt;"&amp;DATE(2023,5,1))+SUMIFS('2023'!$U$10:$U$127,'2023'!$V$10:$V$127,"&gt;="&amp;DATE(2023,4,1),'2023'!$V$10:$V$127,"&lt;"&amp;DATE(2023,5,1)),2)</f>
        <v/>
      </c>
      <c r="C11" s="23">
        <f>ROUND(SUMIFS('2026'!$I$10:$I$107,'2026'!$J$10:$J$107,"&gt;="&amp;DATE(2024,4,1),'2026'!$J$10:$J$107,"&lt;"&amp;DATE(2024,5,1))+SUMIFS('2026'!$L$10:$L$107,'2026'!$M$10:$M$107,"&gt;="&amp;DATE(2024,4,1),'2026'!$M$10:$M$107,"&lt;"&amp;DATE(2024,5,1))+SUMIFS('2026'!$O$10:$O$107,'2026'!$P$10:$P$107,"&gt;="&amp;DATE(2024,4,1),'2026'!$P$10:$P$107,"&lt;"&amp;DATE(2024,5,1))+SUMIFS('2026'!$R$10:$R$107,'2026'!$S$10:$S$107,"&gt;="&amp;DATE(2024,4,1),'2026'!$S$10:$S$107,"&lt;"&amp;DATE(2024,5,1))+SUMIFS('2026'!$U$10:$U$107,'2026'!$V$10:$V$107,"&gt;="&amp;DATE(2024,4,1),'2026'!$V$10:$V$107,"&lt;"&amp;DATE(2024,5,1))+SUMIFS('2025'!$I$10:$I$112,'2025'!$J$10:$J$112,"&gt;="&amp;DATE(2024,4,1),'2025'!$J$10:$J$112,"&lt;"&amp;DATE(2024,5,1))+SUMIFS('2025'!$L$10:$L$112,'2025'!$M$10:$M$112,"&gt;="&amp;DATE(2024,4,1),'2025'!$M$10:$M$112,"&lt;"&amp;DATE(2024,5,1))+SUMIFS('2025'!$O$10:$O$112,'2025'!$P$10:$P$112,"&gt;="&amp;DATE(2024,4,1),'2025'!$P$10:$P$112,"&lt;"&amp;DATE(2024,5,1))+SUMIFS('2025'!$R$10:$R$112,'2025'!$S$10:$S$112,"&gt;="&amp;DATE(2024,4,1),'2025'!$S$10:$S$112,"&lt;"&amp;DATE(2024,5,1))+SUMIFS('2025'!$U$10:$U$112,'2025'!$V$10:$V$112,"&gt;="&amp;DATE(2024,4,1),'2025'!$V$10:$V$112,"&lt;"&amp;DATE(2024,5,1))+SUMIFS('2024'!$I$10:$I$108,'2024'!$J$10:$J$108,"&gt;="&amp;DATE(2024,4,1),'2024'!$J$10:$J$108,"&lt;"&amp;DATE(2024,5,1))+SUMIFS('2024'!$L$10:$L$108,'2024'!$M$10:$M$108,"&gt;="&amp;DATE(2024,4,1),'2024'!$M$10:$M$108,"&lt;"&amp;DATE(2024,5,1))+SUMIFS('2024'!$O$10:$O$108,'2024'!$P$10:$P$108,"&gt;="&amp;DATE(2024,4,1),'2024'!$P$10:$P$108,"&lt;"&amp;DATE(2024,5,1))+SUMIFS('2024'!$R$10:$R$108,'2024'!$S$10:$S$108,"&gt;="&amp;DATE(2024,4,1),'2024'!$S$10:$S$108,"&lt;"&amp;DATE(2024,5,1))+SUMIFS('2024'!$U$10:$U$108,'2024'!$V$10:$V$108,"&gt;="&amp;DATE(2024,4,1),'2024'!$V$10:$V$108,"&lt;"&amp;DATE(2024,5,1))+SUMIFS('2023'!$I$10:$I$127,'2023'!$J$10:$J$127,"&gt;="&amp;DATE(2024,4,1),'2023'!$J$10:$J$127,"&lt;"&amp;DATE(2024,5,1))+SUMIFS('2023'!$L$10:$L$127,'2023'!$M$10:$M$127,"&gt;="&amp;DATE(2024,4,1),'2023'!$M$10:$M$127,"&lt;"&amp;DATE(2024,5,1))+SUMIFS('2023'!$O$10:$O$127,'2023'!$P$10:$P$127,"&gt;="&amp;DATE(2024,4,1),'2023'!$P$10:$P$127,"&lt;"&amp;DATE(2024,5,1))+SUMIFS('2023'!$R$10:$R$127,'2023'!$S$10:$S$127,"&gt;="&amp;DATE(2024,4,1),'2023'!$S$10:$S$127,"&lt;"&amp;DATE(2024,5,1))+SUMIFS('2023'!$U$10:$U$127,'2023'!$V$10:$V$127,"&gt;="&amp;DATE(2024,4,1),'2023'!$V$10:$V$127,"&lt;"&amp;DATE(2024,5,1)),2)</f>
        <v/>
      </c>
      <c r="D11" s="23">
        <f>ROUND(SUMIFS('2026'!$I$10:$I$107,'2026'!$J$10:$J$107,"&gt;="&amp;DATE(2025,4,1),'2026'!$J$10:$J$107,"&lt;"&amp;DATE(2025,5,1))+SUMIFS('2026'!$L$10:$L$107,'2026'!$M$10:$M$107,"&gt;="&amp;DATE(2025,4,1),'2026'!$M$10:$M$107,"&lt;"&amp;DATE(2025,5,1))+SUMIFS('2026'!$O$10:$O$107,'2026'!$P$10:$P$107,"&gt;="&amp;DATE(2025,4,1),'2026'!$P$10:$P$107,"&lt;"&amp;DATE(2025,5,1))+SUMIFS('2026'!$R$10:$R$107,'2026'!$S$10:$S$107,"&gt;="&amp;DATE(2025,4,1),'2026'!$S$10:$S$107,"&lt;"&amp;DATE(2025,5,1))+SUMIFS('2026'!$U$10:$U$107,'2026'!$V$10:$V$107,"&gt;="&amp;DATE(2025,4,1),'2026'!$V$10:$V$107,"&lt;"&amp;DATE(2025,5,1))+SUMIFS('2025'!$I$10:$I$112,'2025'!$J$10:$J$112,"&gt;="&amp;DATE(2025,4,1),'2025'!$J$10:$J$112,"&lt;"&amp;DATE(2025,5,1))+SUMIFS('2025'!$L$10:$L$112,'2025'!$M$10:$M$112,"&gt;="&amp;DATE(2025,4,1),'2025'!$M$10:$M$112,"&lt;"&amp;DATE(2025,5,1))+SUMIFS('2025'!$O$10:$O$112,'2025'!$P$10:$P$112,"&gt;="&amp;DATE(2025,4,1),'2025'!$P$10:$P$112,"&lt;"&amp;DATE(2025,5,1))+SUMIFS('2025'!$R$10:$R$112,'2025'!$S$10:$S$112,"&gt;="&amp;DATE(2025,4,1),'2025'!$S$10:$S$112,"&lt;"&amp;DATE(2025,5,1))+SUMIFS('2025'!$U$10:$U$112,'2025'!$V$10:$V$112,"&gt;="&amp;DATE(2025,4,1),'2025'!$V$10:$V$112,"&lt;"&amp;DATE(2025,5,1))+SUMIFS('2024'!$I$10:$I$108,'2024'!$J$10:$J$108,"&gt;="&amp;DATE(2025,4,1),'2024'!$J$10:$J$108,"&lt;"&amp;DATE(2025,5,1))+SUMIFS('2024'!$L$10:$L$108,'2024'!$M$10:$M$108,"&gt;="&amp;DATE(2025,4,1),'2024'!$M$10:$M$108,"&lt;"&amp;DATE(2025,5,1))+SUMIFS('2024'!$O$10:$O$108,'2024'!$P$10:$P$108,"&gt;="&amp;DATE(2025,4,1),'2024'!$P$10:$P$108,"&lt;"&amp;DATE(2025,5,1))+SUMIFS('2024'!$R$10:$R$108,'2024'!$S$10:$S$108,"&gt;="&amp;DATE(2025,4,1),'2024'!$S$10:$S$108,"&lt;"&amp;DATE(2025,5,1))+SUMIFS('2024'!$U$10:$U$108,'2024'!$V$10:$V$108,"&gt;="&amp;DATE(2025,4,1),'2024'!$V$10:$V$108,"&lt;"&amp;DATE(2025,5,1))+SUMIFS('2023'!$I$10:$I$127,'2023'!$J$10:$J$127,"&gt;="&amp;DATE(2025,4,1),'2023'!$J$10:$J$127,"&lt;"&amp;DATE(2025,5,1))+SUMIFS('2023'!$L$10:$L$127,'2023'!$M$10:$M$127,"&gt;="&amp;DATE(2025,4,1),'2023'!$M$10:$M$127,"&lt;"&amp;DATE(2025,5,1))+SUMIFS('2023'!$O$10:$O$127,'2023'!$P$10:$P$127,"&gt;="&amp;DATE(2025,4,1),'2023'!$P$10:$P$127,"&lt;"&amp;DATE(2025,5,1))+SUMIFS('2023'!$R$10:$R$127,'2023'!$S$10:$S$127,"&gt;="&amp;DATE(2025,4,1),'2023'!$S$10:$S$127,"&lt;"&amp;DATE(2025,5,1))+SUMIFS('2023'!$U$10:$U$127,'2023'!$V$10:$V$127,"&gt;="&amp;DATE(2025,4,1),'2023'!$V$10:$V$127,"&lt;"&amp;DATE(2025,5,1)),2)</f>
        <v/>
      </c>
      <c r="E11" s="23">
        <f>ROUND(SUMIFS('2026'!$I$10:$I$107,'2026'!$J$10:$J$107,"&gt;="&amp;DATE(2026,4,1),'2026'!$J$10:$J$107,"&lt;"&amp;DATE(2026,5,1))+SUMIFS('2026'!$L$10:$L$107,'2026'!$M$10:$M$107,"&gt;="&amp;DATE(2026,4,1),'2026'!$M$10:$M$107,"&lt;"&amp;DATE(2026,5,1))+SUMIFS('2026'!$O$10:$O$107,'2026'!$P$10:$P$107,"&gt;="&amp;DATE(2026,4,1),'2026'!$P$10:$P$107,"&lt;"&amp;DATE(2026,5,1))+SUMIFS('2026'!$R$10:$R$107,'2026'!$S$10:$S$107,"&gt;="&amp;DATE(2026,4,1),'2026'!$S$10:$S$107,"&lt;"&amp;DATE(2026,5,1))+SUMIFS('2026'!$U$10:$U$107,'2026'!$V$10:$V$107,"&gt;="&amp;DATE(2026,4,1),'2026'!$V$10:$V$107,"&lt;"&amp;DATE(2026,5,1))+SUMIFS('2025'!$I$10:$I$112,'2025'!$J$10:$J$112,"&gt;="&amp;DATE(2026,4,1),'2025'!$J$10:$J$112,"&lt;"&amp;DATE(2026,5,1))+SUMIFS('2025'!$L$10:$L$112,'2025'!$M$10:$M$112,"&gt;="&amp;DATE(2026,4,1),'2025'!$M$10:$M$112,"&lt;"&amp;DATE(2026,5,1))+SUMIFS('2025'!$O$10:$O$112,'2025'!$P$10:$P$112,"&gt;="&amp;DATE(2026,4,1),'2025'!$P$10:$P$112,"&lt;"&amp;DATE(2026,5,1))+SUMIFS('2025'!$R$10:$R$112,'2025'!$S$10:$S$112,"&gt;="&amp;DATE(2026,4,1),'2025'!$S$10:$S$112,"&lt;"&amp;DATE(2026,5,1))+SUMIFS('2025'!$U$10:$U$112,'2025'!$V$10:$V$112,"&gt;="&amp;DATE(2026,4,1),'2025'!$V$10:$V$112,"&lt;"&amp;DATE(2026,5,1))+SUMIFS('2024'!$I$10:$I$108,'2024'!$J$10:$J$108,"&gt;="&amp;DATE(2026,4,1),'2024'!$J$10:$J$108,"&lt;"&amp;DATE(2026,5,1))+SUMIFS('2024'!$L$10:$L$108,'2024'!$M$10:$M$108,"&gt;="&amp;DATE(2026,4,1),'2024'!$M$10:$M$108,"&lt;"&amp;DATE(2026,5,1))+SUMIFS('2024'!$O$10:$O$108,'2024'!$P$10:$P$108,"&gt;="&amp;DATE(2026,4,1),'2024'!$P$10:$P$108,"&lt;"&amp;DATE(2026,5,1))+SUMIFS('2024'!$R$10:$R$108,'2024'!$S$10:$S$108,"&gt;="&amp;DATE(2026,4,1),'2024'!$S$10:$S$108,"&lt;"&amp;DATE(2026,5,1))+SUMIFS('2024'!$U$10:$U$108,'2024'!$V$10:$V$108,"&gt;="&amp;DATE(2026,4,1),'2024'!$V$10:$V$108,"&lt;"&amp;DATE(2026,5,1))+SUMIFS('2023'!$I$10:$I$127,'2023'!$J$10:$J$127,"&gt;="&amp;DATE(2026,4,1),'2023'!$J$10:$J$127,"&lt;"&amp;DATE(2026,5,1))+SUMIFS('2023'!$L$10:$L$127,'2023'!$M$10:$M$127,"&gt;="&amp;DATE(2026,4,1),'2023'!$M$10:$M$127,"&lt;"&amp;DATE(2026,5,1))+SUMIFS('2023'!$O$10:$O$127,'2023'!$P$10:$P$127,"&gt;="&amp;DATE(2026,4,1),'2023'!$P$10:$P$127,"&lt;"&amp;DATE(2026,5,1))+SUMIFS('2023'!$R$10:$R$127,'2023'!$S$10:$S$127,"&gt;="&amp;DATE(2026,4,1),'2023'!$S$10:$S$127,"&lt;"&amp;DATE(2026,5,1))+SUMIFS('2023'!$U$10:$U$127,'2023'!$V$10:$V$127,"&gt;="&amp;DATE(2026,4,1),'2023'!$V$10:$V$127,"&lt;"&amp;DATE(2026,5,1)),2)</f>
        <v/>
      </c>
      <c r="F11" s="31">
        <f>ROUND(AVERAGE($B11:$D11),0)</f>
        <v/>
      </c>
      <c r="G11" s="32">
        <f>IF(SUM($F$8:$F$19)=0,"",$F11/SUM($F$8:$F$19))</f>
        <v/>
      </c>
    </row>
    <row r="12" ht="18" customHeight="1">
      <c r="A12" s="21" t="inlineStr">
        <is>
          <t>Maio</t>
        </is>
      </c>
      <c r="B12" s="23">
        <f>ROUND(SUMIFS('2026'!$I$10:$I$107,'2026'!$J$10:$J$107,"&gt;="&amp;DATE(2023,5,1),'2026'!$J$10:$J$107,"&lt;"&amp;DATE(2023,6,1))+SUMIFS('2026'!$L$10:$L$107,'2026'!$M$10:$M$107,"&gt;="&amp;DATE(2023,5,1),'2026'!$M$10:$M$107,"&lt;"&amp;DATE(2023,6,1))+SUMIFS('2026'!$O$10:$O$107,'2026'!$P$10:$P$107,"&gt;="&amp;DATE(2023,5,1),'2026'!$P$10:$P$107,"&lt;"&amp;DATE(2023,6,1))+SUMIFS('2026'!$R$10:$R$107,'2026'!$S$10:$S$107,"&gt;="&amp;DATE(2023,5,1),'2026'!$S$10:$S$107,"&lt;"&amp;DATE(2023,6,1))+SUMIFS('2026'!$U$10:$U$107,'2026'!$V$10:$V$107,"&gt;="&amp;DATE(2023,5,1),'2026'!$V$10:$V$107,"&lt;"&amp;DATE(2023,6,1))+SUMIFS('2025'!$I$10:$I$112,'2025'!$J$10:$J$112,"&gt;="&amp;DATE(2023,5,1),'2025'!$J$10:$J$112,"&lt;"&amp;DATE(2023,6,1))+SUMIFS('2025'!$L$10:$L$112,'2025'!$M$10:$M$112,"&gt;="&amp;DATE(2023,5,1),'2025'!$M$10:$M$112,"&lt;"&amp;DATE(2023,6,1))+SUMIFS('2025'!$O$10:$O$112,'2025'!$P$10:$P$112,"&gt;="&amp;DATE(2023,5,1),'2025'!$P$10:$P$112,"&lt;"&amp;DATE(2023,6,1))+SUMIFS('2025'!$R$10:$R$112,'2025'!$S$10:$S$112,"&gt;="&amp;DATE(2023,5,1),'2025'!$S$10:$S$112,"&lt;"&amp;DATE(2023,6,1))+SUMIFS('2025'!$U$10:$U$112,'2025'!$V$10:$V$112,"&gt;="&amp;DATE(2023,5,1),'2025'!$V$10:$V$112,"&lt;"&amp;DATE(2023,6,1))+SUMIFS('2024'!$I$10:$I$108,'2024'!$J$10:$J$108,"&gt;="&amp;DATE(2023,5,1),'2024'!$J$10:$J$108,"&lt;"&amp;DATE(2023,6,1))+SUMIFS('2024'!$L$10:$L$108,'2024'!$M$10:$M$108,"&gt;="&amp;DATE(2023,5,1),'2024'!$M$10:$M$108,"&lt;"&amp;DATE(2023,6,1))+SUMIFS('2024'!$O$10:$O$108,'2024'!$P$10:$P$108,"&gt;="&amp;DATE(2023,5,1),'2024'!$P$10:$P$108,"&lt;"&amp;DATE(2023,6,1))+SUMIFS('2024'!$R$10:$R$108,'2024'!$S$10:$S$108,"&gt;="&amp;DATE(2023,5,1),'2024'!$S$10:$S$108,"&lt;"&amp;DATE(2023,6,1))+SUMIFS('2024'!$U$10:$U$108,'2024'!$V$10:$V$108,"&gt;="&amp;DATE(2023,5,1),'2024'!$V$10:$V$108,"&lt;"&amp;DATE(2023,6,1))+SUMIFS('2023'!$I$10:$I$127,'2023'!$J$10:$J$127,"&gt;="&amp;DATE(2023,5,1),'2023'!$J$10:$J$127,"&lt;"&amp;DATE(2023,6,1))+SUMIFS('2023'!$L$10:$L$127,'2023'!$M$10:$M$127,"&gt;="&amp;DATE(2023,5,1),'2023'!$M$10:$M$127,"&lt;"&amp;DATE(2023,6,1))+SUMIFS('2023'!$O$10:$O$127,'2023'!$P$10:$P$127,"&gt;="&amp;DATE(2023,5,1),'2023'!$P$10:$P$127,"&lt;"&amp;DATE(2023,6,1))+SUMIFS('2023'!$R$10:$R$127,'2023'!$S$10:$S$127,"&gt;="&amp;DATE(2023,5,1),'2023'!$S$10:$S$127,"&lt;"&amp;DATE(2023,6,1))+SUMIFS('2023'!$U$10:$U$127,'2023'!$V$10:$V$127,"&gt;="&amp;DATE(2023,5,1),'2023'!$V$10:$V$127,"&lt;"&amp;DATE(2023,6,1)),2)</f>
        <v/>
      </c>
      <c r="C12" s="23">
        <f>ROUND(SUMIFS('2026'!$I$10:$I$107,'2026'!$J$10:$J$107,"&gt;="&amp;DATE(2024,5,1),'2026'!$J$10:$J$107,"&lt;"&amp;DATE(2024,6,1))+SUMIFS('2026'!$L$10:$L$107,'2026'!$M$10:$M$107,"&gt;="&amp;DATE(2024,5,1),'2026'!$M$10:$M$107,"&lt;"&amp;DATE(2024,6,1))+SUMIFS('2026'!$O$10:$O$107,'2026'!$P$10:$P$107,"&gt;="&amp;DATE(2024,5,1),'2026'!$P$10:$P$107,"&lt;"&amp;DATE(2024,6,1))+SUMIFS('2026'!$R$10:$R$107,'2026'!$S$10:$S$107,"&gt;="&amp;DATE(2024,5,1),'2026'!$S$10:$S$107,"&lt;"&amp;DATE(2024,6,1))+SUMIFS('2026'!$U$10:$U$107,'2026'!$V$10:$V$107,"&gt;="&amp;DATE(2024,5,1),'2026'!$V$10:$V$107,"&lt;"&amp;DATE(2024,6,1))+SUMIFS('2025'!$I$10:$I$112,'2025'!$J$10:$J$112,"&gt;="&amp;DATE(2024,5,1),'2025'!$J$10:$J$112,"&lt;"&amp;DATE(2024,6,1))+SUMIFS('2025'!$L$10:$L$112,'2025'!$M$10:$M$112,"&gt;="&amp;DATE(2024,5,1),'2025'!$M$10:$M$112,"&lt;"&amp;DATE(2024,6,1))+SUMIFS('2025'!$O$10:$O$112,'2025'!$P$10:$P$112,"&gt;="&amp;DATE(2024,5,1),'2025'!$P$10:$P$112,"&lt;"&amp;DATE(2024,6,1))+SUMIFS('2025'!$R$10:$R$112,'2025'!$S$10:$S$112,"&gt;="&amp;DATE(2024,5,1),'2025'!$S$10:$S$112,"&lt;"&amp;DATE(2024,6,1))+SUMIFS('2025'!$U$10:$U$112,'2025'!$V$10:$V$112,"&gt;="&amp;DATE(2024,5,1),'2025'!$V$10:$V$112,"&lt;"&amp;DATE(2024,6,1))+SUMIFS('2024'!$I$10:$I$108,'2024'!$J$10:$J$108,"&gt;="&amp;DATE(2024,5,1),'2024'!$J$10:$J$108,"&lt;"&amp;DATE(2024,6,1))+SUMIFS('2024'!$L$10:$L$108,'2024'!$M$10:$M$108,"&gt;="&amp;DATE(2024,5,1),'2024'!$M$10:$M$108,"&lt;"&amp;DATE(2024,6,1))+SUMIFS('2024'!$O$10:$O$108,'2024'!$P$10:$P$108,"&gt;="&amp;DATE(2024,5,1),'2024'!$P$10:$P$108,"&lt;"&amp;DATE(2024,6,1))+SUMIFS('2024'!$R$10:$R$108,'2024'!$S$10:$S$108,"&gt;="&amp;DATE(2024,5,1),'2024'!$S$10:$S$108,"&lt;"&amp;DATE(2024,6,1))+SUMIFS('2024'!$U$10:$U$108,'2024'!$V$10:$V$108,"&gt;="&amp;DATE(2024,5,1),'2024'!$V$10:$V$108,"&lt;"&amp;DATE(2024,6,1))+SUMIFS('2023'!$I$10:$I$127,'2023'!$J$10:$J$127,"&gt;="&amp;DATE(2024,5,1),'2023'!$J$10:$J$127,"&lt;"&amp;DATE(2024,6,1))+SUMIFS('2023'!$L$10:$L$127,'2023'!$M$10:$M$127,"&gt;="&amp;DATE(2024,5,1),'2023'!$M$10:$M$127,"&lt;"&amp;DATE(2024,6,1))+SUMIFS('2023'!$O$10:$O$127,'2023'!$P$10:$P$127,"&gt;="&amp;DATE(2024,5,1),'2023'!$P$10:$P$127,"&lt;"&amp;DATE(2024,6,1))+SUMIFS('2023'!$R$10:$R$127,'2023'!$S$10:$S$127,"&gt;="&amp;DATE(2024,5,1),'2023'!$S$10:$S$127,"&lt;"&amp;DATE(2024,6,1))+SUMIFS('2023'!$U$10:$U$127,'2023'!$V$10:$V$127,"&gt;="&amp;DATE(2024,5,1),'2023'!$V$10:$V$127,"&lt;"&amp;DATE(2024,6,1)),2)</f>
        <v/>
      </c>
      <c r="D12" s="23">
        <f>ROUND(SUMIFS('2026'!$I$10:$I$107,'2026'!$J$10:$J$107,"&gt;="&amp;DATE(2025,5,1),'2026'!$J$10:$J$107,"&lt;"&amp;DATE(2025,6,1))+SUMIFS('2026'!$L$10:$L$107,'2026'!$M$10:$M$107,"&gt;="&amp;DATE(2025,5,1),'2026'!$M$10:$M$107,"&lt;"&amp;DATE(2025,6,1))+SUMIFS('2026'!$O$10:$O$107,'2026'!$P$10:$P$107,"&gt;="&amp;DATE(2025,5,1),'2026'!$P$10:$P$107,"&lt;"&amp;DATE(2025,6,1))+SUMIFS('2026'!$R$10:$R$107,'2026'!$S$10:$S$107,"&gt;="&amp;DATE(2025,5,1),'2026'!$S$10:$S$107,"&lt;"&amp;DATE(2025,6,1))+SUMIFS('2026'!$U$10:$U$107,'2026'!$V$10:$V$107,"&gt;="&amp;DATE(2025,5,1),'2026'!$V$10:$V$107,"&lt;"&amp;DATE(2025,6,1))+SUMIFS('2025'!$I$10:$I$112,'2025'!$J$10:$J$112,"&gt;="&amp;DATE(2025,5,1),'2025'!$J$10:$J$112,"&lt;"&amp;DATE(2025,6,1))+SUMIFS('2025'!$L$10:$L$112,'2025'!$M$10:$M$112,"&gt;="&amp;DATE(2025,5,1),'2025'!$M$10:$M$112,"&lt;"&amp;DATE(2025,6,1))+SUMIFS('2025'!$O$10:$O$112,'2025'!$P$10:$P$112,"&gt;="&amp;DATE(2025,5,1),'2025'!$P$10:$P$112,"&lt;"&amp;DATE(2025,6,1))+SUMIFS('2025'!$R$10:$R$112,'2025'!$S$10:$S$112,"&gt;="&amp;DATE(2025,5,1),'2025'!$S$10:$S$112,"&lt;"&amp;DATE(2025,6,1))+SUMIFS('2025'!$U$10:$U$112,'2025'!$V$10:$V$112,"&gt;="&amp;DATE(2025,5,1),'2025'!$V$10:$V$112,"&lt;"&amp;DATE(2025,6,1))+SUMIFS('2024'!$I$10:$I$108,'2024'!$J$10:$J$108,"&gt;="&amp;DATE(2025,5,1),'2024'!$J$10:$J$108,"&lt;"&amp;DATE(2025,6,1))+SUMIFS('2024'!$L$10:$L$108,'2024'!$M$10:$M$108,"&gt;="&amp;DATE(2025,5,1),'2024'!$M$10:$M$108,"&lt;"&amp;DATE(2025,6,1))+SUMIFS('2024'!$O$10:$O$108,'2024'!$P$10:$P$108,"&gt;="&amp;DATE(2025,5,1),'2024'!$P$10:$P$108,"&lt;"&amp;DATE(2025,6,1))+SUMIFS('2024'!$R$10:$R$108,'2024'!$S$10:$S$108,"&gt;="&amp;DATE(2025,5,1),'2024'!$S$10:$S$108,"&lt;"&amp;DATE(2025,6,1))+SUMIFS('2024'!$U$10:$U$108,'2024'!$V$10:$V$108,"&gt;="&amp;DATE(2025,5,1),'2024'!$V$10:$V$108,"&lt;"&amp;DATE(2025,6,1))+SUMIFS('2023'!$I$10:$I$127,'2023'!$J$10:$J$127,"&gt;="&amp;DATE(2025,5,1),'2023'!$J$10:$J$127,"&lt;"&amp;DATE(2025,6,1))+SUMIFS('2023'!$L$10:$L$127,'2023'!$M$10:$M$127,"&gt;="&amp;DATE(2025,5,1),'2023'!$M$10:$M$127,"&lt;"&amp;DATE(2025,6,1))+SUMIFS('2023'!$O$10:$O$127,'2023'!$P$10:$P$127,"&gt;="&amp;DATE(2025,5,1),'2023'!$P$10:$P$127,"&lt;"&amp;DATE(2025,6,1))+SUMIFS('2023'!$R$10:$R$127,'2023'!$S$10:$S$127,"&gt;="&amp;DATE(2025,5,1),'2023'!$S$10:$S$127,"&lt;"&amp;DATE(2025,6,1))+SUMIFS('2023'!$U$10:$U$127,'2023'!$V$10:$V$127,"&gt;="&amp;DATE(2025,5,1),'2023'!$V$10:$V$127,"&lt;"&amp;DATE(2025,6,1)),2)</f>
        <v/>
      </c>
      <c r="E12" s="23">
        <f>ROUND(SUMIFS('2026'!$I$10:$I$107,'2026'!$J$10:$J$107,"&gt;="&amp;DATE(2026,5,1),'2026'!$J$10:$J$107,"&lt;"&amp;DATE(2026,6,1))+SUMIFS('2026'!$L$10:$L$107,'2026'!$M$10:$M$107,"&gt;="&amp;DATE(2026,5,1),'2026'!$M$10:$M$107,"&lt;"&amp;DATE(2026,6,1))+SUMIFS('2026'!$O$10:$O$107,'2026'!$P$10:$P$107,"&gt;="&amp;DATE(2026,5,1),'2026'!$P$10:$P$107,"&lt;"&amp;DATE(2026,6,1))+SUMIFS('2026'!$R$10:$R$107,'2026'!$S$10:$S$107,"&gt;="&amp;DATE(2026,5,1),'2026'!$S$10:$S$107,"&lt;"&amp;DATE(2026,6,1))+SUMIFS('2026'!$U$10:$U$107,'2026'!$V$10:$V$107,"&gt;="&amp;DATE(2026,5,1),'2026'!$V$10:$V$107,"&lt;"&amp;DATE(2026,6,1))+SUMIFS('2025'!$I$10:$I$112,'2025'!$J$10:$J$112,"&gt;="&amp;DATE(2026,5,1),'2025'!$J$10:$J$112,"&lt;"&amp;DATE(2026,6,1))+SUMIFS('2025'!$L$10:$L$112,'2025'!$M$10:$M$112,"&gt;="&amp;DATE(2026,5,1),'2025'!$M$10:$M$112,"&lt;"&amp;DATE(2026,6,1))+SUMIFS('2025'!$O$10:$O$112,'2025'!$P$10:$P$112,"&gt;="&amp;DATE(2026,5,1),'2025'!$P$10:$P$112,"&lt;"&amp;DATE(2026,6,1))+SUMIFS('2025'!$R$10:$R$112,'2025'!$S$10:$S$112,"&gt;="&amp;DATE(2026,5,1),'2025'!$S$10:$S$112,"&lt;"&amp;DATE(2026,6,1))+SUMIFS('2025'!$U$10:$U$112,'2025'!$V$10:$V$112,"&gt;="&amp;DATE(2026,5,1),'2025'!$V$10:$V$112,"&lt;"&amp;DATE(2026,6,1))+SUMIFS('2024'!$I$10:$I$108,'2024'!$J$10:$J$108,"&gt;="&amp;DATE(2026,5,1),'2024'!$J$10:$J$108,"&lt;"&amp;DATE(2026,6,1))+SUMIFS('2024'!$L$10:$L$108,'2024'!$M$10:$M$108,"&gt;="&amp;DATE(2026,5,1),'2024'!$M$10:$M$108,"&lt;"&amp;DATE(2026,6,1))+SUMIFS('2024'!$O$10:$O$108,'2024'!$P$10:$P$108,"&gt;="&amp;DATE(2026,5,1),'2024'!$P$10:$P$108,"&lt;"&amp;DATE(2026,6,1))+SUMIFS('2024'!$R$10:$R$108,'2024'!$S$10:$S$108,"&gt;="&amp;DATE(2026,5,1),'2024'!$S$10:$S$108,"&lt;"&amp;DATE(2026,6,1))+SUMIFS('2024'!$U$10:$U$108,'2024'!$V$10:$V$108,"&gt;="&amp;DATE(2026,5,1),'2024'!$V$10:$V$108,"&lt;"&amp;DATE(2026,6,1))+SUMIFS('2023'!$I$10:$I$127,'2023'!$J$10:$J$127,"&gt;="&amp;DATE(2026,5,1),'2023'!$J$10:$J$127,"&lt;"&amp;DATE(2026,6,1))+SUMIFS('2023'!$L$10:$L$127,'2023'!$M$10:$M$127,"&gt;="&amp;DATE(2026,5,1),'2023'!$M$10:$M$127,"&lt;"&amp;DATE(2026,6,1))+SUMIFS('2023'!$O$10:$O$127,'2023'!$P$10:$P$127,"&gt;="&amp;DATE(2026,5,1),'2023'!$P$10:$P$127,"&lt;"&amp;DATE(2026,6,1))+SUMIFS('2023'!$R$10:$R$127,'2023'!$S$10:$S$127,"&gt;="&amp;DATE(2026,5,1),'2023'!$S$10:$S$127,"&lt;"&amp;DATE(2026,6,1))+SUMIFS('2023'!$U$10:$U$127,'2023'!$V$10:$V$127,"&gt;="&amp;DATE(2026,5,1),'2023'!$V$10:$V$127,"&lt;"&amp;DATE(2026,6,1)),2)</f>
        <v/>
      </c>
      <c r="F12" s="31">
        <f>ROUND(AVERAGE($B12:$D12),0)</f>
        <v/>
      </c>
      <c r="G12" s="32">
        <f>IF(SUM($F$8:$F$19)=0,"",$F12/SUM($F$8:$F$19))</f>
        <v/>
      </c>
    </row>
    <row r="13" ht="18" customHeight="1">
      <c r="A13" s="21" t="inlineStr">
        <is>
          <t>Junho</t>
        </is>
      </c>
      <c r="B13" s="23">
        <f>ROUND(SUMIFS('2026'!$I$10:$I$107,'2026'!$J$10:$J$107,"&gt;="&amp;DATE(2023,6,1),'2026'!$J$10:$J$107,"&lt;"&amp;DATE(2023,7,1))+SUMIFS('2026'!$L$10:$L$107,'2026'!$M$10:$M$107,"&gt;="&amp;DATE(2023,6,1),'2026'!$M$10:$M$107,"&lt;"&amp;DATE(2023,7,1))+SUMIFS('2026'!$O$10:$O$107,'2026'!$P$10:$P$107,"&gt;="&amp;DATE(2023,6,1),'2026'!$P$10:$P$107,"&lt;"&amp;DATE(2023,7,1))+SUMIFS('2026'!$R$10:$R$107,'2026'!$S$10:$S$107,"&gt;="&amp;DATE(2023,6,1),'2026'!$S$10:$S$107,"&lt;"&amp;DATE(2023,7,1))+SUMIFS('2026'!$U$10:$U$107,'2026'!$V$10:$V$107,"&gt;="&amp;DATE(2023,6,1),'2026'!$V$10:$V$107,"&lt;"&amp;DATE(2023,7,1))+SUMIFS('2025'!$I$10:$I$112,'2025'!$J$10:$J$112,"&gt;="&amp;DATE(2023,6,1),'2025'!$J$10:$J$112,"&lt;"&amp;DATE(2023,7,1))+SUMIFS('2025'!$L$10:$L$112,'2025'!$M$10:$M$112,"&gt;="&amp;DATE(2023,6,1),'2025'!$M$10:$M$112,"&lt;"&amp;DATE(2023,7,1))+SUMIFS('2025'!$O$10:$O$112,'2025'!$P$10:$P$112,"&gt;="&amp;DATE(2023,6,1),'2025'!$P$10:$P$112,"&lt;"&amp;DATE(2023,7,1))+SUMIFS('2025'!$R$10:$R$112,'2025'!$S$10:$S$112,"&gt;="&amp;DATE(2023,6,1),'2025'!$S$10:$S$112,"&lt;"&amp;DATE(2023,7,1))+SUMIFS('2025'!$U$10:$U$112,'2025'!$V$10:$V$112,"&gt;="&amp;DATE(2023,6,1),'2025'!$V$10:$V$112,"&lt;"&amp;DATE(2023,7,1))+SUMIFS('2024'!$I$10:$I$108,'2024'!$J$10:$J$108,"&gt;="&amp;DATE(2023,6,1),'2024'!$J$10:$J$108,"&lt;"&amp;DATE(2023,7,1))+SUMIFS('2024'!$L$10:$L$108,'2024'!$M$10:$M$108,"&gt;="&amp;DATE(2023,6,1),'2024'!$M$10:$M$108,"&lt;"&amp;DATE(2023,7,1))+SUMIFS('2024'!$O$10:$O$108,'2024'!$P$10:$P$108,"&gt;="&amp;DATE(2023,6,1),'2024'!$P$10:$P$108,"&lt;"&amp;DATE(2023,7,1))+SUMIFS('2024'!$R$10:$R$108,'2024'!$S$10:$S$108,"&gt;="&amp;DATE(2023,6,1),'2024'!$S$10:$S$108,"&lt;"&amp;DATE(2023,7,1))+SUMIFS('2024'!$U$10:$U$108,'2024'!$V$10:$V$108,"&gt;="&amp;DATE(2023,6,1),'2024'!$V$10:$V$108,"&lt;"&amp;DATE(2023,7,1))+SUMIFS('2023'!$I$10:$I$127,'2023'!$J$10:$J$127,"&gt;="&amp;DATE(2023,6,1),'2023'!$J$10:$J$127,"&lt;"&amp;DATE(2023,7,1))+SUMIFS('2023'!$L$10:$L$127,'2023'!$M$10:$M$127,"&gt;="&amp;DATE(2023,6,1),'2023'!$M$10:$M$127,"&lt;"&amp;DATE(2023,7,1))+SUMIFS('2023'!$O$10:$O$127,'2023'!$P$10:$P$127,"&gt;="&amp;DATE(2023,6,1),'2023'!$P$10:$P$127,"&lt;"&amp;DATE(2023,7,1))+SUMIFS('2023'!$R$10:$R$127,'2023'!$S$10:$S$127,"&gt;="&amp;DATE(2023,6,1),'2023'!$S$10:$S$127,"&lt;"&amp;DATE(2023,7,1))+SUMIFS('2023'!$U$10:$U$127,'2023'!$V$10:$V$127,"&gt;="&amp;DATE(2023,6,1),'2023'!$V$10:$V$127,"&lt;"&amp;DATE(2023,7,1)),2)</f>
        <v/>
      </c>
      <c r="C13" s="23">
        <f>ROUND(SUMIFS('2026'!$I$10:$I$107,'2026'!$J$10:$J$107,"&gt;="&amp;DATE(2024,6,1),'2026'!$J$10:$J$107,"&lt;"&amp;DATE(2024,7,1))+SUMIFS('2026'!$L$10:$L$107,'2026'!$M$10:$M$107,"&gt;="&amp;DATE(2024,6,1),'2026'!$M$10:$M$107,"&lt;"&amp;DATE(2024,7,1))+SUMIFS('2026'!$O$10:$O$107,'2026'!$P$10:$P$107,"&gt;="&amp;DATE(2024,6,1),'2026'!$P$10:$P$107,"&lt;"&amp;DATE(2024,7,1))+SUMIFS('2026'!$R$10:$R$107,'2026'!$S$10:$S$107,"&gt;="&amp;DATE(2024,6,1),'2026'!$S$10:$S$107,"&lt;"&amp;DATE(2024,7,1))+SUMIFS('2026'!$U$10:$U$107,'2026'!$V$10:$V$107,"&gt;="&amp;DATE(2024,6,1),'2026'!$V$10:$V$107,"&lt;"&amp;DATE(2024,7,1))+SUMIFS('2025'!$I$10:$I$112,'2025'!$J$10:$J$112,"&gt;="&amp;DATE(2024,6,1),'2025'!$J$10:$J$112,"&lt;"&amp;DATE(2024,7,1))+SUMIFS('2025'!$L$10:$L$112,'2025'!$M$10:$M$112,"&gt;="&amp;DATE(2024,6,1),'2025'!$M$10:$M$112,"&lt;"&amp;DATE(2024,7,1))+SUMIFS('2025'!$O$10:$O$112,'2025'!$P$10:$P$112,"&gt;="&amp;DATE(2024,6,1),'2025'!$P$10:$P$112,"&lt;"&amp;DATE(2024,7,1))+SUMIFS('2025'!$R$10:$R$112,'2025'!$S$10:$S$112,"&gt;="&amp;DATE(2024,6,1),'2025'!$S$10:$S$112,"&lt;"&amp;DATE(2024,7,1))+SUMIFS('2025'!$U$10:$U$112,'2025'!$V$10:$V$112,"&gt;="&amp;DATE(2024,6,1),'2025'!$V$10:$V$112,"&lt;"&amp;DATE(2024,7,1))+SUMIFS('2024'!$I$10:$I$108,'2024'!$J$10:$J$108,"&gt;="&amp;DATE(2024,6,1),'2024'!$J$10:$J$108,"&lt;"&amp;DATE(2024,7,1))+SUMIFS('2024'!$L$10:$L$108,'2024'!$M$10:$M$108,"&gt;="&amp;DATE(2024,6,1),'2024'!$M$10:$M$108,"&lt;"&amp;DATE(2024,7,1))+SUMIFS('2024'!$O$10:$O$108,'2024'!$P$10:$P$108,"&gt;="&amp;DATE(2024,6,1),'2024'!$P$10:$P$108,"&lt;"&amp;DATE(2024,7,1))+SUMIFS('2024'!$R$10:$R$108,'2024'!$S$10:$S$108,"&gt;="&amp;DATE(2024,6,1),'2024'!$S$10:$S$108,"&lt;"&amp;DATE(2024,7,1))+SUMIFS('2024'!$U$10:$U$108,'2024'!$V$10:$V$108,"&gt;="&amp;DATE(2024,6,1),'2024'!$V$10:$V$108,"&lt;"&amp;DATE(2024,7,1))+SUMIFS('2023'!$I$10:$I$127,'2023'!$J$10:$J$127,"&gt;="&amp;DATE(2024,6,1),'2023'!$J$10:$J$127,"&lt;"&amp;DATE(2024,7,1))+SUMIFS('2023'!$L$10:$L$127,'2023'!$M$10:$M$127,"&gt;="&amp;DATE(2024,6,1),'2023'!$M$10:$M$127,"&lt;"&amp;DATE(2024,7,1))+SUMIFS('2023'!$O$10:$O$127,'2023'!$P$10:$P$127,"&gt;="&amp;DATE(2024,6,1),'2023'!$P$10:$P$127,"&lt;"&amp;DATE(2024,7,1))+SUMIFS('2023'!$R$10:$R$127,'2023'!$S$10:$S$127,"&gt;="&amp;DATE(2024,6,1),'2023'!$S$10:$S$127,"&lt;"&amp;DATE(2024,7,1))+SUMIFS('2023'!$U$10:$U$127,'2023'!$V$10:$V$127,"&gt;="&amp;DATE(2024,6,1),'2023'!$V$10:$V$127,"&lt;"&amp;DATE(2024,7,1)),2)</f>
        <v/>
      </c>
      <c r="D13" s="23">
        <f>ROUND(SUMIFS('2026'!$I$10:$I$107,'2026'!$J$10:$J$107,"&gt;="&amp;DATE(2025,6,1),'2026'!$J$10:$J$107,"&lt;"&amp;DATE(2025,7,1))+SUMIFS('2026'!$L$10:$L$107,'2026'!$M$10:$M$107,"&gt;="&amp;DATE(2025,6,1),'2026'!$M$10:$M$107,"&lt;"&amp;DATE(2025,7,1))+SUMIFS('2026'!$O$10:$O$107,'2026'!$P$10:$P$107,"&gt;="&amp;DATE(2025,6,1),'2026'!$P$10:$P$107,"&lt;"&amp;DATE(2025,7,1))+SUMIFS('2026'!$R$10:$R$107,'2026'!$S$10:$S$107,"&gt;="&amp;DATE(2025,6,1),'2026'!$S$10:$S$107,"&lt;"&amp;DATE(2025,7,1))+SUMIFS('2026'!$U$10:$U$107,'2026'!$V$10:$V$107,"&gt;="&amp;DATE(2025,6,1),'2026'!$V$10:$V$107,"&lt;"&amp;DATE(2025,7,1))+SUMIFS('2025'!$I$10:$I$112,'2025'!$J$10:$J$112,"&gt;="&amp;DATE(2025,6,1),'2025'!$J$10:$J$112,"&lt;"&amp;DATE(2025,7,1))+SUMIFS('2025'!$L$10:$L$112,'2025'!$M$10:$M$112,"&gt;="&amp;DATE(2025,6,1),'2025'!$M$10:$M$112,"&lt;"&amp;DATE(2025,7,1))+SUMIFS('2025'!$O$10:$O$112,'2025'!$P$10:$P$112,"&gt;="&amp;DATE(2025,6,1),'2025'!$P$10:$P$112,"&lt;"&amp;DATE(2025,7,1))+SUMIFS('2025'!$R$10:$R$112,'2025'!$S$10:$S$112,"&gt;="&amp;DATE(2025,6,1),'2025'!$S$10:$S$112,"&lt;"&amp;DATE(2025,7,1))+SUMIFS('2025'!$U$10:$U$112,'2025'!$V$10:$V$112,"&gt;="&amp;DATE(2025,6,1),'2025'!$V$10:$V$112,"&lt;"&amp;DATE(2025,7,1))+SUMIFS('2024'!$I$10:$I$108,'2024'!$J$10:$J$108,"&gt;="&amp;DATE(2025,6,1),'2024'!$J$10:$J$108,"&lt;"&amp;DATE(2025,7,1))+SUMIFS('2024'!$L$10:$L$108,'2024'!$M$10:$M$108,"&gt;="&amp;DATE(2025,6,1),'2024'!$M$10:$M$108,"&lt;"&amp;DATE(2025,7,1))+SUMIFS('2024'!$O$10:$O$108,'2024'!$P$10:$P$108,"&gt;="&amp;DATE(2025,6,1),'2024'!$P$10:$P$108,"&lt;"&amp;DATE(2025,7,1))+SUMIFS('2024'!$R$10:$R$108,'2024'!$S$10:$S$108,"&gt;="&amp;DATE(2025,6,1),'2024'!$S$10:$S$108,"&lt;"&amp;DATE(2025,7,1))+SUMIFS('2024'!$U$10:$U$108,'2024'!$V$10:$V$108,"&gt;="&amp;DATE(2025,6,1),'2024'!$V$10:$V$108,"&lt;"&amp;DATE(2025,7,1))+SUMIFS('2023'!$I$10:$I$127,'2023'!$J$10:$J$127,"&gt;="&amp;DATE(2025,6,1),'2023'!$J$10:$J$127,"&lt;"&amp;DATE(2025,7,1))+SUMIFS('2023'!$L$10:$L$127,'2023'!$M$10:$M$127,"&gt;="&amp;DATE(2025,6,1),'2023'!$M$10:$M$127,"&lt;"&amp;DATE(2025,7,1))+SUMIFS('2023'!$O$10:$O$127,'2023'!$P$10:$P$127,"&gt;="&amp;DATE(2025,6,1),'2023'!$P$10:$P$127,"&lt;"&amp;DATE(2025,7,1))+SUMIFS('2023'!$R$10:$R$127,'2023'!$S$10:$S$127,"&gt;="&amp;DATE(2025,6,1),'2023'!$S$10:$S$127,"&lt;"&amp;DATE(2025,7,1))+SUMIFS('2023'!$U$10:$U$127,'2023'!$V$10:$V$127,"&gt;="&amp;DATE(2025,6,1),'2023'!$V$10:$V$127,"&lt;"&amp;DATE(2025,7,1)),2)</f>
        <v/>
      </c>
      <c r="E13" s="23">
        <f>ROUND(SUMIFS('2026'!$I$10:$I$107,'2026'!$J$10:$J$107,"&gt;="&amp;DATE(2026,6,1),'2026'!$J$10:$J$107,"&lt;"&amp;DATE(2026,7,1))+SUMIFS('2026'!$L$10:$L$107,'2026'!$M$10:$M$107,"&gt;="&amp;DATE(2026,6,1),'2026'!$M$10:$M$107,"&lt;"&amp;DATE(2026,7,1))+SUMIFS('2026'!$O$10:$O$107,'2026'!$P$10:$P$107,"&gt;="&amp;DATE(2026,6,1),'2026'!$P$10:$P$107,"&lt;"&amp;DATE(2026,7,1))+SUMIFS('2026'!$R$10:$R$107,'2026'!$S$10:$S$107,"&gt;="&amp;DATE(2026,6,1),'2026'!$S$10:$S$107,"&lt;"&amp;DATE(2026,7,1))+SUMIFS('2026'!$U$10:$U$107,'2026'!$V$10:$V$107,"&gt;="&amp;DATE(2026,6,1),'2026'!$V$10:$V$107,"&lt;"&amp;DATE(2026,7,1))+SUMIFS('2025'!$I$10:$I$112,'2025'!$J$10:$J$112,"&gt;="&amp;DATE(2026,6,1),'2025'!$J$10:$J$112,"&lt;"&amp;DATE(2026,7,1))+SUMIFS('2025'!$L$10:$L$112,'2025'!$M$10:$M$112,"&gt;="&amp;DATE(2026,6,1),'2025'!$M$10:$M$112,"&lt;"&amp;DATE(2026,7,1))+SUMIFS('2025'!$O$10:$O$112,'2025'!$P$10:$P$112,"&gt;="&amp;DATE(2026,6,1),'2025'!$P$10:$P$112,"&lt;"&amp;DATE(2026,7,1))+SUMIFS('2025'!$R$10:$R$112,'2025'!$S$10:$S$112,"&gt;="&amp;DATE(2026,6,1),'2025'!$S$10:$S$112,"&lt;"&amp;DATE(2026,7,1))+SUMIFS('2025'!$U$10:$U$112,'2025'!$V$10:$V$112,"&gt;="&amp;DATE(2026,6,1),'2025'!$V$10:$V$112,"&lt;"&amp;DATE(2026,7,1))+SUMIFS('2024'!$I$10:$I$108,'2024'!$J$10:$J$108,"&gt;="&amp;DATE(2026,6,1),'2024'!$J$10:$J$108,"&lt;"&amp;DATE(2026,7,1))+SUMIFS('2024'!$L$10:$L$108,'2024'!$M$10:$M$108,"&gt;="&amp;DATE(2026,6,1),'2024'!$M$10:$M$108,"&lt;"&amp;DATE(2026,7,1))+SUMIFS('2024'!$O$10:$O$108,'2024'!$P$10:$P$108,"&gt;="&amp;DATE(2026,6,1),'2024'!$P$10:$P$108,"&lt;"&amp;DATE(2026,7,1))+SUMIFS('2024'!$R$10:$R$108,'2024'!$S$10:$S$108,"&gt;="&amp;DATE(2026,6,1),'2024'!$S$10:$S$108,"&lt;"&amp;DATE(2026,7,1))+SUMIFS('2024'!$U$10:$U$108,'2024'!$V$10:$V$108,"&gt;="&amp;DATE(2026,6,1),'2024'!$V$10:$V$108,"&lt;"&amp;DATE(2026,7,1))+SUMIFS('2023'!$I$10:$I$127,'2023'!$J$10:$J$127,"&gt;="&amp;DATE(2026,6,1),'2023'!$J$10:$J$127,"&lt;"&amp;DATE(2026,7,1))+SUMIFS('2023'!$L$10:$L$127,'2023'!$M$10:$M$127,"&gt;="&amp;DATE(2026,6,1),'2023'!$M$10:$M$127,"&lt;"&amp;DATE(2026,7,1))+SUMIFS('2023'!$O$10:$O$127,'2023'!$P$10:$P$127,"&gt;="&amp;DATE(2026,6,1),'2023'!$P$10:$P$127,"&lt;"&amp;DATE(2026,7,1))+SUMIFS('2023'!$R$10:$R$127,'2023'!$S$10:$S$127,"&gt;="&amp;DATE(2026,6,1),'2023'!$S$10:$S$127,"&lt;"&amp;DATE(2026,7,1))+SUMIFS('2023'!$U$10:$U$127,'2023'!$V$10:$V$127,"&gt;="&amp;DATE(2026,6,1),'2023'!$V$10:$V$127,"&lt;"&amp;DATE(2026,7,1)),2)</f>
        <v/>
      </c>
      <c r="F13" s="31">
        <f>ROUND(AVERAGE($B13:$D13),0)</f>
        <v/>
      </c>
      <c r="G13" s="32">
        <f>IF(SUM($F$8:$F$19)=0,"",$F13/SUM($F$8:$F$19))</f>
        <v/>
      </c>
    </row>
    <row r="14" ht="18" customHeight="1">
      <c r="A14" s="21" t="inlineStr">
        <is>
          <t>Julho</t>
        </is>
      </c>
      <c r="B14" s="23">
        <f>ROUND(SUMIFS('2026'!$I$10:$I$107,'2026'!$J$10:$J$107,"&gt;="&amp;DATE(2023,7,1),'2026'!$J$10:$J$107,"&lt;"&amp;DATE(2023,8,1))+SUMIFS('2026'!$L$10:$L$107,'2026'!$M$10:$M$107,"&gt;="&amp;DATE(2023,7,1),'2026'!$M$10:$M$107,"&lt;"&amp;DATE(2023,8,1))+SUMIFS('2026'!$O$10:$O$107,'2026'!$P$10:$P$107,"&gt;="&amp;DATE(2023,7,1),'2026'!$P$10:$P$107,"&lt;"&amp;DATE(2023,8,1))+SUMIFS('2026'!$R$10:$R$107,'2026'!$S$10:$S$107,"&gt;="&amp;DATE(2023,7,1),'2026'!$S$10:$S$107,"&lt;"&amp;DATE(2023,8,1))+SUMIFS('2026'!$U$10:$U$107,'2026'!$V$10:$V$107,"&gt;="&amp;DATE(2023,7,1),'2026'!$V$10:$V$107,"&lt;"&amp;DATE(2023,8,1))+SUMIFS('2025'!$I$10:$I$112,'2025'!$J$10:$J$112,"&gt;="&amp;DATE(2023,7,1),'2025'!$J$10:$J$112,"&lt;"&amp;DATE(2023,8,1))+SUMIFS('2025'!$L$10:$L$112,'2025'!$M$10:$M$112,"&gt;="&amp;DATE(2023,7,1),'2025'!$M$10:$M$112,"&lt;"&amp;DATE(2023,8,1))+SUMIFS('2025'!$O$10:$O$112,'2025'!$P$10:$P$112,"&gt;="&amp;DATE(2023,7,1),'2025'!$P$10:$P$112,"&lt;"&amp;DATE(2023,8,1))+SUMIFS('2025'!$R$10:$R$112,'2025'!$S$10:$S$112,"&gt;="&amp;DATE(2023,7,1),'2025'!$S$10:$S$112,"&lt;"&amp;DATE(2023,8,1))+SUMIFS('2025'!$U$10:$U$112,'2025'!$V$10:$V$112,"&gt;="&amp;DATE(2023,7,1),'2025'!$V$10:$V$112,"&lt;"&amp;DATE(2023,8,1))+SUMIFS('2024'!$I$10:$I$108,'2024'!$J$10:$J$108,"&gt;="&amp;DATE(2023,7,1),'2024'!$J$10:$J$108,"&lt;"&amp;DATE(2023,8,1))+SUMIFS('2024'!$L$10:$L$108,'2024'!$M$10:$M$108,"&gt;="&amp;DATE(2023,7,1),'2024'!$M$10:$M$108,"&lt;"&amp;DATE(2023,8,1))+SUMIFS('2024'!$O$10:$O$108,'2024'!$P$10:$P$108,"&gt;="&amp;DATE(2023,7,1),'2024'!$P$10:$P$108,"&lt;"&amp;DATE(2023,8,1))+SUMIFS('2024'!$R$10:$R$108,'2024'!$S$10:$S$108,"&gt;="&amp;DATE(2023,7,1),'2024'!$S$10:$S$108,"&lt;"&amp;DATE(2023,8,1))+SUMIFS('2024'!$U$10:$U$108,'2024'!$V$10:$V$108,"&gt;="&amp;DATE(2023,7,1),'2024'!$V$10:$V$108,"&lt;"&amp;DATE(2023,8,1))+SUMIFS('2023'!$I$10:$I$127,'2023'!$J$10:$J$127,"&gt;="&amp;DATE(2023,7,1),'2023'!$J$10:$J$127,"&lt;"&amp;DATE(2023,8,1))+SUMIFS('2023'!$L$10:$L$127,'2023'!$M$10:$M$127,"&gt;="&amp;DATE(2023,7,1),'2023'!$M$10:$M$127,"&lt;"&amp;DATE(2023,8,1))+SUMIFS('2023'!$O$10:$O$127,'2023'!$P$10:$P$127,"&gt;="&amp;DATE(2023,7,1),'2023'!$P$10:$P$127,"&lt;"&amp;DATE(2023,8,1))+SUMIFS('2023'!$R$10:$R$127,'2023'!$S$10:$S$127,"&gt;="&amp;DATE(2023,7,1),'2023'!$S$10:$S$127,"&lt;"&amp;DATE(2023,8,1))+SUMIFS('2023'!$U$10:$U$127,'2023'!$V$10:$V$127,"&gt;="&amp;DATE(2023,7,1),'2023'!$V$10:$V$127,"&lt;"&amp;DATE(2023,8,1)),2)</f>
        <v/>
      </c>
      <c r="C14" s="23">
        <f>ROUND(SUMIFS('2026'!$I$10:$I$107,'2026'!$J$10:$J$107,"&gt;="&amp;DATE(2024,7,1),'2026'!$J$10:$J$107,"&lt;"&amp;DATE(2024,8,1))+SUMIFS('2026'!$L$10:$L$107,'2026'!$M$10:$M$107,"&gt;="&amp;DATE(2024,7,1),'2026'!$M$10:$M$107,"&lt;"&amp;DATE(2024,8,1))+SUMIFS('2026'!$O$10:$O$107,'2026'!$P$10:$P$107,"&gt;="&amp;DATE(2024,7,1),'2026'!$P$10:$P$107,"&lt;"&amp;DATE(2024,8,1))+SUMIFS('2026'!$R$10:$R$107,'2026'!$S$10:$S$107,"&gt;="&amp;DATE(2024,7,1),'2026'!$S$10:$S$107,"&lt;"&amp;DATE(2024,8,1))+SUMIFS('2026'!$U$10:$U$107,'2026'!$V$10:$V$107,"&gt;="&amp;DATE(2024,7,1),'2026'!$V$10:$V$107,"&lt;"&amp;DATE(2024,8,1))+SUMIFS('2025'!$I$10:$I$112,'2025'!$J$10:$J$112,"&gt;="&amp;DATE(2024,7,1),'2025'!$J$10:$J$112,"&lt;"&amp;DATE(2024,8,1))+SUMIFS('2025'!$L$10:$L$112,'2025'!$M$10:$M$112,"&gt;="&amp;DATE(2024,7,1),'2025'!$M$10:$M$112,"&lt;"&amp;DATE(2024,8,1))+SUMIFS('2025'!$O$10:$O$112,'2025'!$P$10:$P$112,"&gt;="&amp;DATE(2024,7,1),'2025'!$P$10:$P$112,"&lt;"&amp;DATE(2024,8,1))+SUMIFS('2025'!$R$10:$R$112,'2025'!$S$10:$S$112,"&gt;="&amp;DATE(2024,7,1),'2025'!$S$10:$S$112,"&lt;"&amp;DATE(2024,8,1))+SUMIFS('2025'!$U$10:$U$112,'2025'!$V$10:$V$112,"&gt;="&amp;DATE(2024,7,1),'2025'!$V$10:$V$112,"&lt;"&amp;DATE(2024,8,1))+SUMIFS('2024'!$I$10:$I$108,'2024'!$J$10:$J$108,"&gt;="&amp;DATE(2024,7,1),'2024'!$J$10:$J$108,"&lt;"&amp;DATE(2024,8,1))+SUMIFS('2024'!$L$10:$L$108,'2024'!$M$10:$M$108,"&gt;="&amp;DATE(2024,7,1),'2024'!$M$10:$M$108,"&lt;"&amp;DATE(2024,8,1))+SUMIFS('2024'!$O$10:$O$108,'2024'!$P$10:$P$108,"&gt;="&amp;DATE(2024,7,1),'2024'!$P$10:$P$108,"&lt;"&amp;DATE(2024,8,1))+SUMIFS('2024'!$R$10:$R$108,'2024'!$S$10:$S$108,"&gt;="&amp;DATE(2024,7,1),'2024'!$S$10:$S$108,"&lt;"&amp;DATE(2024,8,1))+SUMIFS('2024'!$U$10:$U$108,'2024'!$V$10:$V$108,"&gt;="&amp;DATE(2024,7,1),'2024'!$V$10:$V$108,"&lt;"&amp;DATE(2024,8,1))+SUMIFS('2023'!$I$10:$I$127,'2023'!$J$10:$J$127,"&gt;="&amp;DATE(2024,7,1),'2023'!$J$10:$J$127,"&lt;"&amp;DATE(2024,8,1))+SUMIFS('2023'!$L$10:$L$127,'2023'!$M$10:$M$127,"&gt;="&amp;DATE(2024,7,1),'2023'!$M$10:$M$127,"&lt;"&amp;DATE(2024,8,1))+SUMIFS('2023'!$O$10:$O$127,'2023'!$P$10:$P$127,"&gt;="&amp;DATE(2024,7,1),'2023'!$P$10:$P$127,"&lt;"&amp;DATE(2024,8,1))+SUMIFS('2023'!$R$10:$R$127,'2023'!$S$10:$S$127,"&gt;="&amp;DATE(2024,7,1),'2023'!$S$10:$S$127,"&lt;"&amp;DATE(2024,8,1))+SUMIFS('2023'!$U$10:$U$127,'2023'!$V$10:$V$127,"&gt;="&amp;DATE(2024,7,1),'2023'!$V$10:$V$127,"&lt;"&amp;DATE(2024,8,1)),2)</f>
        <v/>
      </c>
      <c r="D14" s="23">
        <f>ROUND(SUMIFS('2026'!$I$10:$I$107,'2026'!$J$10:$J$107,"&gt;="&amp;DATE(2025,7,1),'2026'!$J$10:$J$107,"&lt;"&amp;DATE(2025,8,1))+SUMIFS('2026'!$L$10:$L$107,'2026'!$M$10:$M$107,"&gt;="&amp;DATE(2025,7,1),'2026'!$M$10:$M$107,"&lt;"&amp;DATE(2025,8,1))+SUMIFS('2026'!$O$10:$O$107,'2026'!$P$10:$P$107,"&gt;="&amp;DATE(2025,7,1),'2026'!$P$10:$P$107,"&lt;"&amp;DATE(2025,8,1))+SUMIFS('2026'!$R$10:$R$107,'2026'!$S$10:$S$107,"&gt;="&amp;DATE(2025,7,1),'2026'!$S$10:$S$107,"&lt;"&amp;DATE(2025,8,1))+SUMIFS('2026'!$U$10:$U$107,'2026'!$V$10:$V$107,"&gt;="&amp;DATE(2025,7,1),'2026'!$V$10:$V$107,"&lt;"&amp;DATE(2025,8,1))+SUMIFS('2025'!$I$10:$I$112,'2025'!$J$10:$J$112,"&gt;="&amp;DATE(2025,7,1),'2025'!$J$10:$J$112,"&lt;"&amp;DATE(2025,8,1))+SUMIFS('2025'!$L$10:$L$112,'2025'!$M$10:$M$112,"&gt;="&amp;DATE(2025,7,1),'2025'!$M$10:$M$112,"&lt;"&amp;DATE(2025,8,1))+SUMIFS('2025'!$O$10:$O$112,'2025'!$P$10:$P$112,"&gt;="&amp;DATE(2025,7,1),'2025'!$P$10:$P$112,"&lt;"&amp;DATE(2025,8,1))+SUMIFS('2025'!$R$10:$R$112,'2025'!$S$10:$S$112,"&gt;="&amp;DATE(2025,7,1),'2025'!$S$10:$S$112,"&lt;"&amp;DATE(2025,8,1))+SUMIFS('2025'!$U$10:$U$112,'2025'!$V$10:$V$112,"&gt;="&amp;DATE(2025,7,1),'2025'!$V$10:$V$112,"&lt;"&amp;DATE(2025,8,1))+SUMIFS('2024'!$I$10:$I$108,'2024'!$J$10:$J$108,"&gt;="&amp;DATE(2025,7,1),'2024'!$J$10:$J$108,"&lt;"&amp;DATE(2025,8,1))+SUMIFS('2024'!$L$10:$L$108,'2024'!$M$10:$M$108,"&gt;="&amp;DATE(2025,7,1),'2024'!$M$10:$M$108,"&lt;"&amp;DATE(2025,8,1))+SUMIFS('2024'!$O$10:$O$108,'2024'!$P$10:$P$108,"&gt;="&amp;DATE(2025,7,1),'2024'!$P$10:$P$108,"&lt;"&amp;DATE(2025,8,1))+SUMIFS('2024'!$R$10:$R$108,'2024'!$S$10:$S$108,"&gt;="&amp;DATE(2025,7,1),'2024'!$S$10:$S$108,"&lt;"&amp;DATE(2025,8,1))+SUMIFS('2024'!$U$10:$U$108,'2024'!$V$10:$V$108,"&gt;="&amp;DATE(2025,7,1),'2024'!$V$10:$V$108,"&lt;"&amp;DATE(2025,8,1))+SUMIFS('2023'!$I$10:$I$127,'2023'!$J$10:$J$127,"&gt;="&amp;DATE(2025,7,1),'2023'!$J$10:$J$127,"&lt;"&amp;DATE(2025,8,1))+SUMIFS('2023'!$L$10:$L$127,'2023'!$M$10:$M$127,"&gt;="&amp;DATE(2025,7,1),'2023'!$M$10:$M$127,"&lt;"&amp;DATE(2025,8,1))+SUMIFS('2023'!$O$10:$O$127,'2023'!$P$10:$P$127,"&gt;="&amp;DATE(2025,7,1),'2023'!$P$10:$P$127,"&lt;"&amp;DATE(2025,8,1))+SUMIFS('2023'!$R$10:$R$127,'2023'!$S$10:$S$127,"&gt;="&amp;DATE(2025,7,1),'2023'!$S$10:$S$127,"&lt;"&amp;DATE(2025,8,1))+SUMIFS('2023'!$U$10:$U$127,'2023'!$V$10:$V$127,"&gt;="&amp;DATE(2025,7,1),'2023'!$V$10:$V$127,"&lt;"&amp;DATE(2025,8,1)),2)</f>
        <v/>
      </c>
      <c r="E14" s="23">
        <f>ROUND(SUMIFS('2026'!$I$10:$I$107,'2026'!$J$10:$J$107,"&gt;="&amp;DATE(2026,7,1),'2026'!$J$10:$J$107,"&lt;"&amp;DATE(2026,8,1))+SUMIFS('2026'!$L$10:$L$107,'2026'!$M$10:$M$107,"&gt;="&amp;DATE(2026,7,1),'2026'!$M$10:$M$107,"&lt;"&amp;DATE(2026,8,1))+SUMIFS('2026'!$O$10:$O$107,'2026'!$P$10:$P$107,"&gt;="&amp;DATE(2026,7,1),'2026'!$P$10:$P$107,"&lt;"&amp;DATE(2026,8,1))+SUMIFS('2026'!$R$10:$R$107,'2026'!$S$10:$S$107,"&gt;="&amp;DATE(2026,7,1),'2026'!$S$10:$S$107,"&lt;"&amp;DATE(2026,8,1))+SUMIFS('2026'!$U$10:$U$107,'2026'!$V$10:$V$107,"&gt;="&amp;DATE(2026,7,1),'2026'!$V$10:$V$107,"&lt;"&amp;DATE(2026,8,1))+SUMIFS('2025'!$I$10:$I$112,'2025'!$J$10:$J$112,"&gt;="&amp;DATE(2026,7,1),'2025'!$J$10:$J$112,"&lt;"&amp;DATE(2026,8,1))+SUMIFS('2025'!$L$10:$L$112,'2025'!$M$10:$M$112,"&gt;="&amp;DATE(2026,7,1),'2025'!$M$10:$M$112,"&lt;"&amp;DATE(2026,8,1))+SUMIFS('2025'!$O$10:$O$112,'2025'!$P$10:$P$112,"&gt;="&amp;DATE(2026,7,1),'2025'!$P$10:$P$112,"&lt;"&amp;DATE(2026,8,1))+SUMIFS('2025'!$R$10:$R$112,'2025'!$S$10:$S$112,"&gt;="&amp;DATE(2026,7,1),'2025'!$S$10:$S$112,"&lt;"&amp;DATE(2026,8,1))+SUMIFS('2025'!$U$10:$U$112,'2025'!$V$10:$V$112,"&gt;="&amp;DATE(2026,7,1),'2025'!$V$10:$V$112,"&lt;"&amp;DATE(2026,8,1))+SUMIFS('2024'!$I$10:$I$108,'2024'!$J$10:$J$108,"&gt;="&amp;DATE(2026,7,1),'2024'!$J$10:$J$108,"&lt;"&amp;DATE(2026,8,1))+SUMIFS('2024'!$L$10:$L$108,'2024'!$M$10:$M$108,"&gt;="&amp;DATE(2026,7,1),'2024'!$M$10:$M$108,"&lt;"&amp;DATE(2026,8,1))+SUMIFS('2024'!$O$10:$O$108,'2024'!$P$10:$P$108,"&gt;="&amp;DATE(2026,7,1),'2024'!$P$10:$P$108,"&lt;"&amp;DATE(2026,8,1))+SUMIFS('2024'!$R$10:$R$108,'2024'!$S$10:$S$108,"&gt;="&amp;DATE(2026,7,1),'2024'!$S$10:$S$108,"&lt;"&amp;DATE(2026,8,1))+SUMIFS('2024'!$U$10:$U$108,'2024'!$V$10:$V$108,"&gt;="&amp;DATE(2026,7,1),'2024'!$V$10:$V$108,"&lt;"&amp;DATE(2026,8,1))+SUMIFS('2023'!$I$10:$I$127,'2023'!$J$10:$J$127,"&gt;="&amp;DATE(2026,7,1),'2023'!$J$10:$J$127,"&lt;"&amp;DATE(2026,8,1))+SUMIFS('2023'!$L$10:$L$127,'2023'!$M$10:$M$127,"&gt;="&amp;DATE(2026,7,1),'2023'!$M$10:$M$127,"&lt;"&amp;DATE(2026,8,1))+SUMIFS('2023'!$O$10:$O$127,'2023'!$P$10:$P$127,"&gt;="&amp;DATE(2026,7,1),'2023'!$P$10:$P$127,"&lt;"&amp;DATE(2026,8,1))+SUMIFS('2023'!$R$10:$R$127,'2023'!$S$10:$S$127,"&gt;="&amp;DATE(2026,7,1),'2023'!$S$10:$S$127,"&lt;"&amp;DATE(2026,8,1))+SUMIFS('2023'!$U$10:$U$127,'2023'!$V$10:$V$127,"&gt;="&amp;DATE(2026,7,1),'2023'!$V$10:$V$127,"&lt;"&amp;DATE(2026,8,1)),2)</f>
        <v/>
      </c>
      <c r="F14" s="31">
        <f>ROUND(AVERAGE($B14:$D14),0)</f>
        <v/>
      </c>
      <c r="G14" s="32">
        <f>IF(SUM($F$8:$F$19)=0,"",$F14/SUM($F$8:$F$19))</f>
        <v/>
      </c>
    </row>
    <row r="15" ht="18" customHeight="1">
      <c r="A15" s="21" t="inlineStr">
        <is>
          <t>Agosto</t>
        </is>
      </c>
      <c r="B15" s="23">
        <f>ROUND(SUMIFS('2026'!$I$10:$I$107,'2026'!$J$10:$J$107,"&gt;="&amp;DATE(2023,8,1),'2026'!$J$10:$J$107,"&lt;"&amp;DATE(2023,9,1))+SUMIFS('2026'!$L$10:$L$107,'2026'!$M$10:$M$107,"&gt;="&amp;DATE(2023,8,1),'2026'!$M$10:$M$107,"&lt;"&amp;DATE(2023,9,1))+SUMIFS('2026'!$O$10:$O$107,'2026'!$P$10:$P$107,"&gt;="&amp;DATE(2023,8,1),'2026'!$P$10:$P$107,"&lt;"&amp;DATE(2023,9,1))+SUMIFS('2026'!$R$10:$R$107,'2026'!$S$10:$S$107,"&gt;="&amp;DATE(2023,8,1),'2026'!$S$10:$S$107,"&lt;"&amp;DATE(2023,9,1))+SUMIFS('2026'!$U$10:$U$107,'2026'!$V$10:$V$107,"&gt;="&amp;DATE(2023,8,1),'2026'!$V$10:$V$107,"&lt;"&amp;DATE(2023,9,1))+SUMIFS('2025'!$I$10:$I$112,'2025'!$J$10:$J$112,"&gt;="&amp;DATE(2023,8,1),'2025'!$J$10:$J$112,"&lt;"&amp;DATE(2023,9,1))+SUMIFS('2025'!$L$10:$L$112,'2025'!$M$10:$M$112,"&gt;="&amp;DATE(2023,8,1),'2025'!$M$10:$M$112,"&lt;"&amp;DATE(2023,9,1))+SUMIFS('2025'!$O$10:$O$112,'2025'!$P$10:$P$112,"&gt;="&amp;DATE(2023,8,1),'2025'!$P$10:$P$112,"&lt;"&amp;DATE(2023,9,1))+SUMIFS('2025'!$R$10:$R$112,'2025'!$S$10:$S$112,"&gt;="&amp;DATE(2023,8,1),'2025'!$S$10:$S$112,"&lt;"&amp;DATE(2023,9,1))+SUMIFS('2025'!$U$10:$U$112,'2025'!$V$10:$V$112,"&gt;="&amp;DATE(2023,8,1),'2025'!$V$10:$V$112,"&lt;"&amp;DATE(2023,9,1))+SUMIFS('2024'!$I$10:$I$108,'2024'!$J$10:$J$108,"&gt;="&amp;DATE(2023,8,1),'2024'!$J$10:$J$108,"&lt;"&amp;DATE(2023,9,1))+SUMIFS('2024'!$L$10:$L$108,'2024'!$M$10:$M$108,"&gt;="&amp;DATE(2023,8,1),'2024'!$M$10:$M$108,"&lt;"&amp;DATE(2023,9,1))+SUMIFS('2024'!$O$10:$O$108,'2024'!$P$10:$P$108,"&gt;="&amp;DATE(2023,8,1),'2024'!$P$10:$P$108,"&lt;"&amp;DATE(2023,9,1))+SUMIFS('2024'!$R$10:$R$108,'2024'!$S$10:$S$108,"&gt;="&amp;DATE(2023,8,1),'2024'!$S$10:$S$108,"&lt;"&amp;DATE(2023,9,1))+SUMIFS('2024'!$U$10:$U$108,'2024'!$V$10:$V$108,"&gt;="&amp;DATE(2023,8,1),'2024'!$V$10:$V$108,"&lt;"&amp;DATE(2023,9,1))+SUMIFS('2023'!$I$10:$I$127,'2023'!$J$10:$J$127,"&gt;="&amp;DATE(2023,8,1),'2023'!$J$10:$J$127,"&lt;"&amp;DATE(2023,9,1))+SUMIFS('2023'!$L$10:$L$127,'2023'!$M$10:$M$127,"&gt;="&amp;DATE(2023,8,1),'2023'!$M$10:$M$127,"&lt;"&amp;DATE(2023,9,1))+SUMIFS('2023'!$O$10:$O$127,'2023'!$P$10:$P$127,"&gt;="&amp;DATE(2023,8,1),'2023'!$P$10:$P$127,"&lt;"&amp;DATE(2023,9,1))+SUMIFS('2023'!$R$10:$R$127,'2023'!$S$10:$S$127,"&gt;="&amp;DATE(2023,8,1),'2023'!$S$10:$S$127,"&lt;"&amp;DATE(2023,9,1))+SUMIFS('2023'!$U$10:$U$127,'2023'!$V$10:$V$127,"&gt;="&amp;DATE(2023,8,1),'2023'!$V$10:$V$127,"&lt;"&amp;DATE(2023,9,1)),2)</f>
        <v/>
      </c>
      <c r="C15" s="23">
        <f>ROUND(SUMIFS('2026'!$I$10:$I$107,'2026'!$J$10:$J$107,"&gt;="&amp;DATE(2024,8,1),'2026'!$J$10:$J$107,"&lt;"&amp;DATE(2024,9,1))+SUMIFS('2026'!$L$10:$L$107,'2026'!$M$10:$M$107,"&gt;="&amp;DATE(2024,8,1),'2026'!$M$10:$M$107,"&lt;"&amp;DATE(2024,9,1))+SUMIFS('2026'!$O$10:$O$107,'2026'!$P$10:$P$107,"&gt;="&amp;DATE(2024,8,1),'2026'!$P$10:$P$107,"&lt;"&amp;DATE(2024,9,1))+SUMIFS('2026'!$R$10:$R$107,'2026'!$S$10:$S$107,"&gt;="&amp;DATE(2024,8,1),'2026'!$S$10:$S$107,"&lt;"&amp;DATE(2024,9,1))+SUMIFS('2026'!$U$10:$U$107,'2026'!$V$10:$V$107,"&gt;="&amp;DATE(2024,8,1),'2026'!$V$10:$V$107,"&lt;"&amp;DATE(2024,9,1))+SUMIFS('2025'!$I$10:$I$112,'2025'!$J$10:$J$112,"&gt;="&amp;DATE(2024,8,1),'2025'!$J$10:$J$112,"&lt;"&amp;DATE(2024,9,1))+SUMIFS('2025'!$L$10:$L$112,'2025'!$M$10:$M$112,"&gt;="&amp;DATE(2024,8,1),'2025'!$M$10:$M$112,"&lt;"&amp;DATE(2024,9,1))+SUMIFS('2025'!$O$10:$O$112,'2025'!$P$10:$P$112,"&gt;="&amp;DATE(2024,8,1),'2025'!$P$10:$P$112,"&lt;"&amp;DATE(2024,9,1))+SUMIFS('2025'!$R$10:$R$112,'2025'!$S$10:$S$112,"&gt;="&amp;DATE(2024,8,1),'2025'!$S$10:$S$112,"&lt;"&amp;DATE(2024,9,1))+SUMIFS('2025'!$U$10:$U$112,'2025'!$V$10:$V$112,"&gt;="&amp;DATE(2024,8,1),'2025'!$V$10:$V$112,"&lt;"&amp;DATE(2024,9,1))+SUMIFS('2024'!$I$10:$I$108,'2024'!$J$10:$J$108,"&gt;="&amp;DATE(2024,8,1),'2024'!$J$10:$J$108,"&lt;"&amp;DATE(2024,9,1))+SUMIFS('2024'!$L$10:$L$108,'2024'!$M$10:$M$108,"&gt;="&amp;DATE(2024,8,1),'2024'!$M$10:$M$108,"&lt;"&amp;DATE(2024,9,1))+SUMIFS('2024'!$O$10:$O$108,'2024'!$P$10:$P$108,"&gt;="&amp;DATE(2024,8,1),'2024'!$P$10:$P$108,"&lt;"&amp;DATE(2024,9,1))+SUMIFS('2024'!$R$10:$R$108,'2024'!$S$10:$S$108,"&gt;="&amp;DATE(2024,8,1),'2024'!$S$10:$S$108,"&lt;"&amp;DATE(2024,9,1))+SUMIFS('2024'!$U$10:$U$108,'2024'!$V$10:$V$108,"&gt;="&amp;DATE(2024,8,1),'2024'!$V$10:$V$108,"&lt;"&amp;DATE(2024,9,1))+SUMIFS('2023'!$I$10:$I$127,'2023'!$J$10:$J$127,"&gt;="&amp;DATE(2024,8,1),'2023'!$J$10:$J$127,"&lt;"&amp;DATE(2024,9,1))+SUMIFS('2023'!$L$10:$L$127,'2023'!$M$10:$M$127,"&gt;="&amp;DATE(2024,8,1),'2023'!$M$10:$M$127,"&lt;"&amp;DATE(2024,9,1))+SUMIFS('2023'!$O$10:$O$127,'2023'!$P$10:$P$127,"&gt;="&amp;DATE(2024,8,1),'2023'!$P$10:$P$127,"&lt;"&amp;DATE(2024,9,1))+SUMIFS('2023'!$R$10:$R$127,'2023'!$S$10:$S$127,"&gt;="&amp;DATE(2024,8,1),'2023'!$S$10:$S$127,"&lt;"&amp;DATE(2024,9,1))+SUMIFS('2023'!$U$10:$U$127,'2023'!$V$10:$V$127,"&gt;="&amp;DATE(2024,8,1),'2023'!$V$10:$V$127,"&lt;"&amp;DATE(2024,9,1)),2)</f>
        <v/>
      </c>
      <c r="D15" s="23">
        <f>ROUND(SUMIFS('2026'!$I$10:$I$107,'2026'!$J$10:$J$107,"&gt;="&amp;DATE(2025,8,1),'2026'!$J$10:$J$107,"&lt;"&amp;DATE(2025,9,1))+SUMIFS('2026'!$L$10:$L$107,'2026'!$M$10:$M$107,"&gt;="&amp;DATE(2025,8,1),'2026'!$M$10:$M$107,"&lt;"&amp;DATE(2025,9,1))+SUMIFS('2026'!$O$10:$O$107,'2026'!$P$10:$P$107,"&gt;="&amp;DATE(2025,8,1),'2026'!$P$10:$P$107,"&lt;"&amp;DATE(2025,9,1))+SUMIFS('2026'!$R$10:$R$107,'2026'!$S$10:$S$107,"&gt;="&amp;DATE(2025,8,1),'2026'!$S$10:$S$107,"&lt;"&amp;DATE(2025,9,1))+SUMIFS('2026'!$U$10:$U$107,'2026'!$V$10:$V$107,"&gt;="&amp;DATE(2025,8,1),'2026'!$V$10:$V$107,"&lt;"&amp;DATE(2025,9,1))+SUMIFS('2025'!$I$10:$I$112,'2025'!$J$10:$J$112,"&gt;="&amp;DATE(2025,8,1),'2025'!$J$10:$J$112,"&lt;"&amp;DATE(2025,9,1))+SUMIFS('2025'!$L$10:$L$112,'2025'!$M$10:$M$112,"&gt;="&amp;DATE(2025,8,1),'2025'!$M$10:$M$112,"&lt;"&amp;DATE(2025,9,1))+SUMIFS('2025'!$O$10:$O$112,'2025'!$P$10:$P$112,"&gt;="&amp;DATE(2025,8,1),'2025'!$P$10:$P$112,"&lt;"&amp;DATE(2025,9,1))+SUMIFS('2025'!$R$10:$R$112,'2025'!$S$10:$S$112,"&gt;="&amp;DATE(2025,8,1),'2025'!$S$10:$S$112,"&lt;"&amp;DATE(2025,9,1))+SUMIFS('2025'!$U$10:$U$112,'2025'!$V$10:$V$112,"&gt;="&amp;DATE(2025,8,1),'2025'!$V$10:$V$112,"&lt;"&amp;DATE(2025,9,1))+SUMIFS('2024'!$I$10:$I$108,'2024'!$J$10:$J$108,"&gt;="&amp;DATE(2025,8,1),'2024'!$J$10:$J$108,"&lt;"&amp;DATE(2025,9,1))+SUMIFS('2024'!$L$10:$L$108,'2024'!$M$10:$M$108,"&gt;="&amp;DATE(2025,8,1),'2024'!$M$10:$M$108,"&lt;"&amp;DATE(2025,9,1))+SUMIFS('2024'!$O$10:$O$108,'2024'!$P$10:$P$108,"&gt;="&amp;DATE(2025,8,1),'2024'!$P$10:$P$108,"&lt;"&amp;DATE(2025,9,1))+SUMIFS('2024'!$R$10:$R$108,'2024'!$S$10:$S$108,"&gt;="&amp;DATE(2025,8,1),'2024'!$S$10:$S$108,"&lt;"&amp;DATE(2025,9,1))+SUMIFS('2024'!$U$10:$U$108,'2024'!$V$10:$V$108,"&gt;="&amp;DATE(2025,8,1),'2024'!$V$10:$V$108,"&lt;"&amp;DATE(2025,9,1))+SUMIFS('2023'!$I$10:$I$127,'2023'!$J$10:$J$127,"&gt;="&amp;DATE(2025,8,1),'2023'!$J$10:$J$127,"&lt;"&amp;DATE(2025,9,1))+SUMIFS('2023'!$L$10:$L$127,'2023'!$M$10:$M$127,"&gt;="&amp;DATE(2025,8,1),'2023'!$M$10:$M$127,"&lt;"&amp;DATE(2025,9,1))+SUMIFS('2023'!$O$10:$O$127,'2023'!$P$10:$P$127,"&gt;="&amp;DATE(2025,8,1),'2023'!$P$10:$P$127,"&lt;"&amp;DATE(2025,9,1))+SUMIFS('2023'!$R$10:$R$127,'2023'!$S$10:$S$127,"&gt;="&amp;DATE(2025,8,1),'2023'!$S$10:$S$127,"&lt;"&amp;DATE(2025,9,1))+SUMIFS('2023'!$U$10:$U$127,'2023'!$V$10:$V$127,"&gt;="&amp;DATE(2025,8,1),'2023'!$V$10:$V$127,"&lt;"&amp;DATE(2025,9,1)),2)</f>
        <v/>
      </c>
      <c r="E15" s="23">
        <f>ROUND(SUMIFS('2026'!$I$10:$I$107,'2026'!$J$10:$J$107,"&gt;="&amp;DATE(2026,8,1),'2026'!$J$10:$J$107,"&lt;"&amp;DATE(2026,9,1))+SUMIFS('2026'!$L$10:$L$107,'2026'!$M$10:$M$107,"&gt;="&amp;DATE(2026,8,1),'2026'!$M$10:$M$107,"&lt;"&amp;DATE(2026,9,1))+SUMIFS('2026'!$O$10:$O$107,'2026'!$P$10:$P$107,"&gt;="&amp;DATE(2026,8,1),'2026'!$P$10:$P$107,"&lt;"&amp;DATE(2026,9,1))+SUMIFS('2026'!$R$10:$R$107,'2026'!$S$10:$S$107,"&gt;="&amp;DATE(2026,8,1),'2026'!$S$10:$S$107,"&lt;"&amp;DATE(2026,9,1))+SUMIFS('2026'!$U$10:$U$107,'2026'!$V$10:$V$107,"&gt;="&amp;DATE(2026,8,1),'2026'!$V$10:$V$107,"&lt;"&amp;DATE(2026,9,1))+SUMIFS('2025'!$I$10:$I$112,'2025'!$J$10:$J$112,"&gt;="&amp;DATE(2026,8,1),'2025'!$J$10:$J$112,"&lt;"&amp;DATE(2026,9,1))+SUMIFS('2025'!$L$10:$L$112,'2025'!$M$10:$M$112,"&gt;="&amp;DATE(2026,8,1),'2025'!$M$10:$M$112,"&lt;"&amp;DATE(2026,9,1))+SUMIFS('2025'!$O$10:$O$112,'2025'!$P$10:$P$112,"&gt;="&amp;DATE(2026,8,1),'2025'!$P$10:$P$112,"&lt;"&amp;DATE(2026,9,1))+SUMIFS('2025'!$R$10:$R$112,'2025'!$S$10:$S$112,"&gt;="&amp;DATE(2026,8,1),'2025'!$S$10:$S$112,"&lt;"&amp;DATE(2026,9,1))+SUMIFS('2025'!$U$10:$U$112,'2025'!$V$10:$V$112,"&gt;="&amp;DATE(2026,8,1),'2025'!$V$10:$V$112,"&lt;"&amp;DATE(2026,9,1))+SUMIFS('2024'!$I$10:$I$108,'2024'!$J$10:$J$108,"&gt;="&amp;DATE(2026,8,1),'2024'!$J$10:$J$108,"&lt;"&amp;DATE(2026,9,1))+SUMIFS('2024'!$L$10:$L$108,'2024'!$M$10:$M$108,"&gt;="&amp;DATE(2026,8,1),'2024'!$M$10:$M$108,"&lt;"&amp;DATE(2026,9,1))+SUMIFS('2024'!$O$10:$O$108,'2024'!$P$10:$P$108,"&gt;="&amp;DATE(2026,8,1),'2024'!$P$10:$P$108,"&lt;"&amp;DATE(2026,9,1))+SUMIFS('2024'!$R$10:$R$108,'2024'!$S$10:$S$108,"&gt;="&amp;DATE(2026,8,1),'2024'!$S$10:$S$108,"&lt;"&amp;DATE(2026,9,1))+SUMIFS('2024'!$U$10:$U$108,'2024'!$V$10:$V$108,"&gt;="&amp;DATE(2026,8,1),'2024'!$V$10:$V$108,"&lt;"&amp;DATE(2026,9,1))+SUMIFS('2023'!$I$10:$I$127,'2023'!$J$10:$J$127,"&gt;="&amp;DATE(2026,8,1),'2023'!$J$10:$J$127,"&lt;"&amp;DATE(2026,9,1))+SUMIFS('2023'!$L$10:$L$127,'2023'!$M$10:$M$127,"&gt;="&amp;DATE(2026,8,1),'2023'!$M$10:$M$127,"&lt;"&amp;DATE(2026,9,1))+SUMIFS('2023'!$O$10:$O$127,'2023'!$P$10:$P$127,"&gt;="&amp;DATE(2026,8,1),'2023'!$P$10:$P$127,"&lt;"&amp;DATE(2026,9,1))+SUMIFS('2023'!$R$10:$R$127,'2023'!$S$10:$S$127,"&gt;="&amp;DATE(2026,8,1),'2023'!$S$10:$S$127,"&lt;"&amp;DATE(2026,9,1))+SUMIFS('2023'!$U$10:$U$127,'2023'!$V$10:$V$127,"&gt;="&amp;DATE(2026,8,1),'2023'!$V$10:$V$127,"&lt;"&amp;DATE(2026,9,1)),2)</f>
        <v/>
      </c>
      <c r="F15" s="31">
        <f>ROUND(AVERAGE($B15:$D15),0)</f>
        <v/>
      </c>
      <c r="G15" s="32">
        <f>IF(SUM($F$8:$F$19)=0,"",$F15/SUM($F$8:$F$19))</f>
        <v/>
      </c>
    </row>
    <row r="16" ht="18" customHeight="1">
      <c r="A16" s="21" t="inlineStr">
        <is>
          <t>Setembro</t>
        </is>
      </c>
      <c r="B16" s="23">
        <f>ROUND(SUMIFS('2026'!$I$10:$I$107,'2026'!$J$10:$J$107,"&gt;="&amp;DATE(2023,9,1),'2026'!$J$10:$J$107,"&lt;"&amp;DATE(2023,10,1))+SUMIFS('2026'!$L$10:$L$107,'2026'!$M$10:$M$107,"&gt;="&amp;DATE(2023,9,1),'2026'!$M$10:$M$107,"&lt;"&amp;DATE(2023,10,1))+SUMIFS('2026'!$O$10:$O$107,'2026'!$P$10:$P$107,"&gt;="&amp;DATE(2023,9,1),'2026'!$P$10:$P$107,"&lt;"&amp;DATE(2023,10,1))+SUMIFS('2026'!$R$10:$R$107,'2026'!$S$10:$S$107,"&gt;="&amp;DATE(2023,9,1),'2026'!$S$10:$S$107,"&lt;"&amp;DATE(2023,10,1))+SUMIFS('2026'!$U$10:$U$107,'2026'!$V$10:$V$107,"&gt;="&amp;DATE(2023,9,1),'2026'!$V$10:$V$107,"&lt;"&amp;DATE(2023,10,1))+SUMIFS('2025'!$I$10:$I$112,'2025'!$J$10:$J$112,"&gt;="&amp;DATE(2023,9,1),'2025'!$J$10:$J$112,"&lt;"&amp;DATE(2023,10,1))+SUMIFS('2025'!$L$10:$L$112,'2025'!$M$10:$M$112,"&gt;="&amp;DATE(2023,9,1),'2025'!$M$10:$M$112,"&lt;"&amp;DATE(2023,10,1))+SUMIFS('2025'!$O$10:$O$112,'2025'!$P$10:$P$112,"&gt;="&amp;DATE(2023,9,1),'2025'!$P$10:$P$112,"&lt;"&amp;DATE(2023,10,1))+SUMIFS('2025'!$R$10:$R$112,'2025'!$S$10:$S$112,"&gt;="&amp;DATE(2023,9,1),'2025'!$S$10:$S$112,"&lt;"&amp;DATE(2023,10,1))+SUMIFS('2025'!$U$10:$U$112,'2025'!$V$10:$V$112,"&gt;="&amp;DATE(2023,9,1),'2025'!$V$10:$V$112,"&lt;"&amp;DATE(2023,10,1))+SUMIFS('2024'!$I$10:$I$108,'2024'!$J$10:$J$108,"&gt;="&amp;DATE(2023,9,1),'2024'!$J$10:$J$108,"&lt;"&amp;DATE(2023,10,1))+SUMIFS('2024'!$L$10:$L$108,'2024'!$M$10:$M$108,"&gt;="&amp;DATE(2023,9,1),'2024'!$M$10:$M$108,"&lt;"&amp;DATE(2023,10,1))+SUMIFS('2024'!$O$10:$O$108,'2024'!$P$10:$P$108,"&gt;="&amp;DATE(2023,9,1),'2024'!$P$10:$P$108,"&lt;"&amp;DATE(2023,10,1))+SUMIFS('2024'!$R$10:$R$108,'2024'!$S$10:$S$108,"&gt;="&amp;DATE(2023,9,1),'2024'!$S$10:$S$108,"&lt;"&amp;DATE(2023,10,1))+SUMIFS('2024'!$U$10:$U$108,'2024'!$V$10:$V$108,"&gt;="&amp;DATE(2023,9,1),'2024'!$V$10:$V$108,"&lt;"&amp;DATE(2023,10,1))+SUMIFS('2023'!$I$10:$I$127,'2023'!$J$10:$J$127,"&gt;="&amp;DATE(2023,9,1),'2023'!$J$10:$J$127,"&lt;"&amp;DATE(2023,10,1))+SUMIFS('2023'!$L$10:$L$127,'2023'!$M$10:$M$127,"&gt;="&amp;DATE(2023,9,1),'2023'!$M$10:$M$127,"&lt;"&amp;DATE(2023,10,1))+SUMIFS('2023'!$O$10:$O$127,'2023'!$P$10:$P$127,"&gt;="&amp;DATE(2023,9,1),'2023'!$P$10:$P$127,"&lt;"&amp;DATE(2023,10,1))+SUMIFS('2023'!$R$10:$R$127,'2023'!$S$10:$S$127,"&gt;="&amp;DATE(2023,9,1),'2023'!$S$10:$S$127,"&lt;"&amp;DATE(2023,10,1))+SUMIFS('2023'!$U$10:$U$127,'2023'!$V$10:$V$127,"&gt;="&amp;DATE(2023,9,1),'2023'!$V$10:$V$127,"&lt;"&amp;DATE(2023,10,1)),2)</f>
        <v/>
      </c>
      <c r="C16" s="23">
        <f>ROUND(SUMIFS('2026'!$I$10:$I$107,'2026'!$J$10:$J$107,"&gt;="&amp;DATE(2024,9,1),'2026'!$J$10:$J$107,"&lt;"&amp;DATE(2024,10,1))+SUMIFS('2026'!$L$10:$L$107,'2026'!$M$10:$M$107,"&gt;="&amp;DATE(2024,9,1),'2026'!$M$10:$M$107,"&lt;"&amp;DATE(2024,10,1))+SUMIFS('2026'!$O$10:$O$107,'2026'!$P$10:$P$107,"&gt;="&amp;DATE(2024,9,1),'2026'!$P$10:$P$107,"&lt;"&amp;DATE(2024,10,1))+SUMIFS('2026'!$R$10:$R$107,'2026'!$S$10:$S$107,"&gt;="&amp;DATE(2024,9,1),'2026'!$S$10:$S$107,"&lt;"&amp;DATE(2024,10,1))+SUMIFS('2026'!$U$10:$U$107,'2026'!$V$10:$V$107,"&gt;="&amp;DATE(2024,9,1),'2026'!$V$10:$V$107,"&lt;"&amp;DATE(2024,10,1))+SUMIFS('2025'!$I$10:$I$112,'2025'!$J$10:$J$112,"&gt;="&amp;DATE(2024,9,1),'2025'!$J$10:$J$112,"&lt;"&amp;DATE(2024,10,1))+SUMIFS('2025'!$L$10:$L$112,'2025'!$M$10:$M$112,"&gt;="&amp;DATE(2024,9,1),'2025'!$M$10:$M$112,"&lt;"&amp;DATE(2024,10,1))+SUMIFS('2025'!$O$10:$O$112,'2025'!$P$10:$P$112,"&gt;="&amp;DATE(2024,9,1),'2025'!$P$10:$P$112,"&lt;"&amp;DATE(2024,10,1))+SUMIFS('2025'!$R$10:$R$112,'2025'!$S$10:$S$112,"&gt;="&amp;DATE(2024,9,1),'2025'!$S$10:$S$112,"&lt;"&amp;DATE(2024,10,1))+SUMIFS('2025'!$U$10:$U$112,'2025'!$V$10:$V$112,"&gt;="&amp;DATE(2024,9,1),'2025'!$V$10:$V$112,"&lt;"&amp;DATE(2024,10,1))+SUMIFS('2024'!$I$10:$I$108,'2024'!$J$10:$J$108,"&gt;="&amp;DATE(2024,9,1),'2024'!$J$10:$J$108,"&lt;"&amp;DATE(2024,10,1))+SUMIFS('2024'!$L$10:$L$108,'2024'!$M$10:$M$108,"&gt;="&amp;DATE(2024,9,1),'2024'!$M$10:$M$108,"&lt;"&amp;DATE(2024,10,1))+SUMIFS('2024'!$O$10:$O$108,'2024'!$P$10:$P$108,"&gt;="&amp;DATE(2024,9,1),'2024'!$P$10:$P$108,"&lt;"&amp;DATE(2024,10,1))+SUMIFS('2024'!$R$10:$R$108,'2024'!$S$10:$S$108,"&gt;="&amp;DATE(2024,9,1),'2024'!$S$10:$S$108,"&lt;"&amp;DATE(2024,10,1))+SUMIFS('2024'!$U$10:$U$108,'2024'!$V$10:$V$108,"&gt;="&amp;DATE(2024,9,1),'2024'!$V$10:$V$108,"&lt;"&amp;DATE(2024,10,1))+SUMIFS('2023'!$I$10:$I$127,'2023'!$J$10:$J$127,"&gt;="&amp;DATE(2024,9,1),'2023'!$J$10:$J$127,"&lt;"&amp;DATE(2024,10,1))+SUMIFS('2023'!$L$10:$L$127,'2023'!$M$10:$M$127,"&gt;="&amp;DATE(2024,9,1),'2023'!$M$10:$M$127,"&lt;"&amp;DATE(2024,10,1))+SUMIFS('2023'!$O$10:$O$127,'2023'!$P$10:$P$127,"&gt;="&amp;DATE(2024,9,1),'2023'!$P$10:$P$127,"&lt;"&amp;DATE(2024,10,1))+SUMIFS('2023'!$R$10:$R$127,'2023'!$S$10:$S$127,"&gt;="&amp;DATE(2024,9,1),'2023'!$S$10:$S$127,"&lt;"&amp;DATE(2024,10,1))+SUMIFS('2023'!$U$10:$U$127,'2023'!$V$10:$V$127,"&gt;="&amp;DATE(2024,9,1),'2023'!$V$10:$V$127,"&lt;"&amp;DATE(2024,10,1)),2)</f>
        <v/>
      </c>
      <c r="D16" s="23">
        <f>ROUND(SUMIFS('2026'!$I$10:$I$107,'2026'!$J$10:$J$107,"&gt;="&amp;DATE(2025,9,1),'2026'!$J$10:$J$107,"&lt;"&amp;DATE(2025,10,1))+SUMIFS('2026'!$L$10:$L$107,'2026'!$M$10:$M$107,"&gt;="&amp;DATE(2025,9,1),'2026'!$M$10:$M$107,"&lt;"&amp;DATE(2025,10,1))+SUMIFS('2026'!$O$10:$O$107,'2026'!$P$10:$P$107,"&gt;="&amp;DATE(2025,9,1),'2026'!$P$10:$P$107,"&lt;"&amp;DATE(2025,10,1))+SUMIFS('2026'!$R$10:$R$107,'2026'!$S$10:$S$107,"&gt;="&amp;DATE(2025,9,1),'2026'!$S$10:$S$107,"&lt;"&amp;DATE(2025,10,1))+SUMIFS('2026'!$U$10:$U$107,'2026'!$V$10:$V$107,"&gt;="&amp;DATE(2025,9,1),'2026'!$V$10:$V$107,"&lt;"&amp;DATE(2025,10,1))+SUMIFS('2025'!$I$10:$I$112,'2025'!$J$10:$J$112,"&gt;="&amp;DATE(2025,9,1),'2025'!$J$10:$J$112,"&lt;"&amp;DATE(2025,10,1))+SUMIFS('2025'!$L$10:$L$112,'2025'!$M$10:$M$112,"&gt;="&amp;DATE(2025,9,1),'2025'!$M$10:$M$112,"&lt;"&amp;DATE(2025,10,1))+SUMIFS('2025'!$O$10:$O$112,'2025'!$P$10:$P$112,"&gt;="&amp;DATE(2025,9,1),'2025'!$P$10:$P$112,"&lt;"&amp;DATE(2025,10,1))+SUMIFS('2025'!$R$10:$R$112,'2025'!$S$10:$S$112,"&gt;="&amp;DATE(2025,9,1),'2025'!$S$10:$S$112,"&lt;"&amp;DATE(2025,10,1))+SUMIFS('2025'!$U$10:$U$112,'2025'!$V$10:$V$112,"&gt;="&amp;DATE(2025,9,1),'2025'!$V$10:$V$112,"&lt;"&amp;DATE(2025,10,1))+SUMIFS('2024'!$I$10:$I$108,'2024'!$J$10:$J$108,"&gt;="&amp;DATE(2025,9,1),'2024'!$J$10:$J$108,"&lt;"&amp;DATE(2025,10,1))+SUMIFS('2024'!$L$10:$L$108,'2024'!$M$10:$M$108,"&gt;="&amp;DATE(2025,9,1),'2024'!$M$10:$M$108,"&lt;"&amp;DATE(2025,10,1))+SUMIFS('2024'!$O$10:$O$108,'2024'!$P$10:$P$108,"&gt;="&amp;DATE(2025,9,1),'2024'!$P$10:$P$108,"&lt;"&amp;DATE(2025,10,1))+SUMIFS('2024'!$R$10:$R$108,'2024'!$S$10:$S$108,"&gt;="&amp;DATE(2025,9,1),'2024'!$S$10:$S$108,"&lt;"&amp;DATE(2025,10,1))+SUMIFS('2024'!$U$10:$U$108,'2024'!$V$10:$V$108,"&gt;="&amp;DATE(2025,9,1),'2024'!$V$10:$V$108,"&lt;"&amp;DATE(2025,10,1))+SUMIFS('2023'!$I$10:$I$127,'2023'!$J$10:$J$127,"&gt;="&amp;DATE(2025,9,1),'2023'!$J$10:$J$127,"&lt;"&amp;DATE(2025,10,1))+SUMIFS('2023'!$L$10:$L$127,'2023'!$M$10:$M$127,"&gt;="&amp;DATE(2025,9,1),'2023'!$M$10:$M$127,"&lt;"&amp;DATE(2025,10,1))+SUMIFS('2023'!$O$10:$O$127,'2023'!$P$10:$P$127,"&gt;="&amp;DATE(2025,9,1),'2023'!$P$10:$P$127,"&lt;"&amp;DATE(2025,10,1))+SUMIFS('2023'!$R$10:$R$127,'2023'!$S$10:$S$127,"&gt;="&amp;DATE(2025,9,1),'2023'!$S$10:$S$127,"&lt;"&amp;DATE(2025,10,1))+SUMIFS('2023'!$U$10:$U$127,'2023'!$V$10:$V$127,"&gt;="&amp;DATE(2025,9,1),'2023'!$V$10:$V$127,"&lt;"&amp;DATE(2025,10,1)),2)</f>
        <v/>
      </c>
      <c r="E16" s="23">
        <f>ROUND(SUMIFS('2026'!$I$10:$I$107,'2026'!$J$10:$J$107,"&gt;="&amp;DATE(2026,9,1),'2026'!$J$10:$J$107,"&lt;"&amp;DATE(2026,10,1))+SUMIFS('2026'!$L$10:$L$107,'2026'!$M$10:$M$107,"&gt;="&amp;DATE(2026,9,1),'2026'!$M$10:$M$107,"&lt;"&amp;DATE(2026,10,1))+SUMIFS('2026'!$O$10:$O$107,'2026'!$P$10:$P$107,"&gt;="&amp;DATE(2026,9,1),'2026'!$P$10:$P$107,"&lt;"&amp;DATE(2026,10,1))+SUMIFS('2026'!$R$10:$R$107,'2026'!$S$10:$S$107,"&gt;="&amp;DATE(2026,9,1),'2026'!$S$10:$S$107,"&lt;"&amp;DATE(2026,10,1))+SUMIFS('2026'!$U$10:$U$107,'2026'!$V$10:$V$107,"&gt;="&amp;DATE(2026,9,1),'2026'!$V$10:$V$107,"&lt;"&amp;DATE(2026,10,1))+SUMIFS('2025'!$I$10:$I$112,'2025'!$J$10:$J$112,"&gt;="&amp;DATE(2026,9,1),'2025'!$J$10:$J$112,"&lt;"&amp;DATE(2026,10,1))+SUMIFS('2025'!$L$10:$L$112,'2025'!$M$10:$M$112,"&gt;="&amp;DATE(2026,9,1),'2025'!$M$10:$M$112,"&lt;"&amp;DATE(2026,10,1))+SUMIFS('2025'!$O$10:$O$112,'2025'!$P$10:$P$112,"&gt;="&amp;DATE(2026,9,1),'2025'!$P$10:$P$112,"&lt;"&amp;DATE(2026,10,1))+SUMIFS('2025'!$R$10:$R$112,'2025'!$S$10:$S$112,"&gt;="&amp;DATE(2026,9,1),'2025'!$S$10:$S$112,"&lt;"&amp;DATE(2026,10,1))+SUMIFS('2025'!$U$10:$U$112,'2025'!$V$10:$V$112,"&gt;="&amp;DATE(2026,9,1),'2025'!$V$10:$V$112,"&lt;"&amp;DATE(2026,10,1))+SUMIFS('2024'!$I$10:$I$108,'2024'!$J$10:$J$108,"&gt;="&amp;DATE(2026,9,1),'2024'!$J$10:$J$108,"&lt;"&amp;DATE(2026,10,1))+SUMIFS('2024'!$L$10:$L$108,'2024'!$M$10:$M$108,"&gt;="&amp;DATE(2026,9,1),'2024'!$M$10:$M$108,"&lt;"&amp;DATE(2026,10,1))+SUMIFS('2024'!$O$10:$O$108,'2024'!$P$10:$P$108,"&gt;="&amp;DATE(2026,9,1),'2024'!$P$10:$P$108,"&lt;"&amp;DATE(2026,10,1))+SUMIFS('2024'!$R$10:$R$108,'2024'!$S$10:$S$108,"&gt;="&amp;DATE(2026,9,1),'2024'!$S$10:$S$108,"&lt;"&amp;DATE(2026,10,1))+SUMIFS('2024'!$U$10:$U$108,'2024'!$V$10:$V$108,"&gt;="&amp;DATE(2026,9,1),'2024'!$V$10:$V$108,"&lt;"&amp;DATE(2026,10,1))+SUMIFS('2023'!$I$10:$I$127,'2023'!$J$10:$J$127,"&gt;="&amp;DATE(2026,9,1),'2023'!$J$10:$J$127,"&lt;"&amp;DATE(2026,10,1))+SUMIFS('2023'!$L$10:$L$127,'2023'!$M$10:$M$127,"&gt;="&amp;DATE(2026,9,1),'2023'!$M$10:$M$127,"&lt;"&amp;DATE(2026,10,1))+SUMIFS('2023'!$O$10:$O$127,'2023'!$P$10:$P$127,"&gt;="&amp;DATE(2026,9,1),'2023'!$P$10:$P$127,"&lt;"&amp;DATE(2026,10,1))+SUMIFS('2023'!$R$10:$R$127,'2023'!$S$10:$S$127,"&gt;="&amp;DATE(2026,9,1),'2023'!$S$10:$S$127,"&lt;"&amp;DATE(2026,10,1))+SUMIFS('2023'!$U$10:$U$127,'2023'!$V$10:$V$127,"&gt;="&amp;DATE(2026,9,1),'2023'!$V$10:$V$127,"&lt;"&amp;DATE(2026,10,1)),2)</f>
        <v/>
      </c>
      <c r="F16" s="31">
        <f>ROUND(AVERAGE($B16:$D16),0)</f>
        <v/>
      </c>
      <c r="G16" s="32">
        <f>IF(SUM($F$8:$F$19)=0,"",$F16/SUM($F$8:$F$19))</f>
        <v/>
      </c>
    </row>
    <row r="17" ht="18" customHeight="1">
      <c r="A17" s="21" t="inlineStr">
        <is>
          <t>Outubro</t>
        </is>
      </c>
      <c r="B17" s="23">
        <f>ROUND(SUMIFS('2026'!$I$10:$I$107,'2026'!$J$10:$J$107,"&gt;="&amp;DATE(2023,10,1),'2026'!$J$10:$J$107,"&lt;"&amp;DATE(2023,11,1))+SUMIFS('2026'!$L$10:$L$107,'2026'!$M$10:$M$107,"&gt;="&amp;DATE(2023,10,1),'2026'!$M$10:$M$107,"&lt;"&amp;DATE(2023,11,1))+SUMIFS('2026'!$O$10:$O$107,'2026'!$P$10:$P$107,"&gt;="&amp;DATE(2023,10,1),'2026'!$P$10:$P$107,"&lt;"&amp;DATE(2023,11,1))+SUMIFS('2026'!$R$10:$R$107,'2026'!$S$10:$S$107,"&gt;="&amp;DATE(2023,10,1),'2026'!$S$10:$S$107,"&lt;"&amp;DATE(2023,11,1))+SUMIFS('2026'!$U$10:$U$107,'2026'!$V$10:$V$107,"&gt;="&amp;DATE(2023,10,1),'2026'!$V$10:$V$107,"&lt;"&amp;DATE(2023,11,1))+SUMIFS('2025'!$I$10:$I$112,'2025'!$J$10:$J$112,"&gt;="&amp;DATE(2023,10,1),'2025'!$J$10:$J$112,"&lt;"&amp;DATE(2023,11,1))+SUMIFS('2025'!$L$10:$L$112,'2025'!$M$10:$M$112,"&gt;="&amp;DATE(2023,10,1),'2025'!$M$10:$M$112,"&lt;"&amp;DATE(2023,11,1))+SUMIFS('2025'!$O$10:$O$112,'2025'!$P$10:$P$112,"&gt;="&amp;DATE(2023,10,1),'2025'!$P$10:$P$112,"&lt;"&amp;DATE(2023,11,1))+SUMIFS('2025'!$R$10:$R$112,'2025'!$S$10:$S$112,"&gt;="&amp;DATE(2023,10,1),'2025'!$S$10:$S$112,"&lt;"&amp;DATE(2023,11,1))+SUMIFS('2025'!$U$10:$U$112,'2025'!$V$10:$V$112,"&gt;="&amp;DATE(2023,10,1),'2025'!$V$10:$V$112,"&lt;"&amp;DATE(2023,11,1))+SUMIFS('2024'!$I$10:$I$108,'2024'!$J$10:$J$108,"&gt;="&amp;DATE(2023,10,1),'2024'!$J$10:$J$108,"&lt;"&amp;DATE(2023,11,1))+SUMIFS('2024'!$L$10:$L$108,'2024'!$M$10:$M$108,"&gt;="&amp;DATE(2023,10,1),'2024'!$M$10:$M$108,"&lt;"&amp;DATE(2023,11,1))+SUMIFS('2024'!$O$10:$O$108,'2024'!$P$10:$P$108,"&gt;="&amp;DATE(2023,10,1),'2024'!$P$10:$P$108,"&lt;"&amp;DATE(2023,11,1))+SUMIFS('2024'!$R$10:$R$108,'2024'!$S$10:$S$108,"&gt;="&amp;DATE(2023,10,1),'2024'!$S$10:$S$108,"&lt;"&amp;DATE(2023,11,1))+SUMIFS('2024'!$U$10:$U$108,'2024'!$V$10:$V$108,"&gt;="&amp;DATE(2023,10,1),'2024'!$V$10:$V$108,"&lt;"&amp;DATE(2023,11,1))+SUMIFS('2023'!$I$10:$I$127,'2023'!$J$10:$J$127,"&gt;="&amp;DATE(2023,10,1),'2023'!$J$10:$J$127,"&lt;"&amp;DATE(2023,11,1))+SUMIFS('2023'!$L$10:$L$127,'2023'!$M$10:$M$127,"&gt;="&amp;DATE(2023,10,1),'2023'!$M$10:$M$127,"&lt;"&amp;DATE(2023,11,1))+SUMIFS('2023'!$O$10:$O$127,'2023'!$P$10:$P$127,"&gt;="&amp;DATE(2023,10,1),'2023'!$P$10:$P$127,"&lt;"&amp;DATE(2023,11,1))+SUMIFS('2023'!$R$10:$R$127,'2023'!$S$10:$S$127,"&gt;="&amp;DATE(2023,10,1),'2023'!$S$10:$S$127,"&lt;"&amp;DATE(2023,11,1))+SUMIFS('2023'!$U$10:$U$127,'2023'!$V$10:$V$127,"&gt;="&amp;DATE(2023,10,1),'2023'!$V$10:$V$127,"&lt;"&amp;DATE(2023,11,1)),2)</f>
        <v/>
      </c>
      <c r="C17" s="23">
        <f>ROUND(SUMIFS('2026'!$I$10:$I$107,'2026'!$J$10:$J$107,"&gt;="&amp;DATE(2024,10,1),'2026'!$J$10:$J$107,"&lt;"&amp;DATE(2024,11,1))+SUMIFS('2026'!$L$10:$L$107,'2026'!$M$10:$M$107,"&gt;="&amp;DATE(2024,10,1),'2026'!$M$10:$M$107,"&lt;"&amp;DATE(2024,11,1))+SUMIFS('2026'!$O$10:$O$107,'2026'!$P$10:$P$107,"&gt;="&amp;DATE(2024,10,1),'2026'!$P$10:$P$107,"&lt;"&amp;DATE(2024,11,1))+SUMIFS('2026'!$R$10:$R$107,'2026'!$S$10:$S$107,"&gt;="&amp;DATE(2024,10,1),'2026'!$S$10:$S$107,"&lt;"&amp;DATE(2024,11,1))+SUMIFS('2026'!$U$10:$U$107,'2026'!$V$10:$V$107,"&gt;="&amp;DATE(2024,10,1),'2026'!$V$10:$V$107,"&lt;"&amp;DATE(2024,11,1))+SUMIFS('2025'!$I$10:$I$112,'2025'!$J$10:$J$112,"&gt;="&amp;DATE(2024,10,1),'2025'!$J$10:$J$112,"&lt;"&amp;DATE(2024,11,1))+SUMIFS('2025'!$L$10:$L$112,'2025'!$M$10:$M$112,"&gt;="&amp;DATE(2024,10,1),'2025'!$M$10:$M$112,"&lt;"&amp;DATE(2024,11,1))+SUMIFS('2025'!$O$10:$O$112,'2025'!$P$10:$P$112,"&gt;="&amp;DATE(2024,10,1),'2025'!$P$10:$P$112,"&lt;"&amp;DATE(2024,11,1))+SUMIFS('2025'!$R$10:$R$112,'2025'!$S$10:$S$112,"&gt;="&amp;DATE(2024,10,1),'2025'!$S$10:$S$112,"&lt;"&amp;DATE(2024,11,1))+SUMIFS('2025'!$U$10:$U$112,'2025'!$V$10:$V$112,"&gt;="&amp;DATE(2024,10,1),'2025'!$V$10:$V$112,"&lt;"&amp;DATE(2024,11,1))+SUMIFS('2024'!$I$10:$I$108,'2024'!$J$10:$J$108,"&gt;="&amp;DATE(2024,10,1),'2024'!$J$10:$J$108,"&lt;"&amp;DATE(2024,11,1))+SUMIFS('2024'!$L$10:$L$108,'2024'!$M$10:$M$108,"&gt;="&amp;DATE(2024,10,1),'2024'!$M$10:$M$108,"&lt;"&amp;DATE(2024,11,1))+SUMIFS('2024'!$O$10:$O$108,'2024'!$P$10:$P$108,"&gt;="&amp;DATE(2024,10,1),'2024'!$P$10:$P$108,"&lt;"&amp;DATE(2024,11,1))+SUMIFS('2024'!$R$10:$R$108,'2024'!$S$10:$S$108,"&gt;="&amp;DATE(2024,10,1),'2024'!$S$10:$S$108,"&lt;"&amp;DATE(2024,11,1))+SUMIFS('2024'!$U$10:$U$108,'2024'!$V$10:$V$108,"&gt;="&amp;DATE(2024,10,1),'2024'!$V$10:$V$108,"&lt;"&amp;DATE(2024,11,1))+SUMIFS('2023'!$I$10:$I$127,'2023'!$J$10:$J$127,"&gt;="&amp;DATE(2024,10,1),'2023'!$J$10:$J$127,"&lt;"&amp;DATE(2024,11,1))+SUMIFS('2023'!$L$10:$L$127,'2023'!$M$10:$M$127,"&gt;="&amp;DATE(2024,10,1),'2023'!$M$10:$M$127,"&lt;"&amp;DATE(2024,11,1))+SUMIFS('2023'!$O$10:$O$127,'2023'!$P$10:$P$127,"&gt;="&amp;DATE(2024,10,1),'2023'!$P$10:$P$127,"&lt;"&amp;DATE(2024,11,1))+SUMIFS('2023'!$R$10:$R$127,'2023'!$S$10:$S$127,"&gt;="&amp;DATE(2024,10,1),'2023'!$S$10:$S$127,"&lt;"&amp;DATE(2024,11,1))+SUMIFS('2023'!$U$10:$U$127,'2023'!$V$10:$V$127,"&gt;="&amp;DATE(2024,10,1),'2023'!$V$10:$V$127,"&lt;"&amp;DATE(2024,11,1)),2)</f>
        <v/>
      </c>
      <c r="D17" s="23">
        <f>ROUND(SUMIFS('2026'!$I$10:$I$107,'2026'!$J$10:$J$107,"&gt;="&amp;DATE(2025,10,1),'2026'!$J$10:$J$107,"&lt;"&amp;DATE(2025,11,1))+SUMIFS('2026'!$L$10:$L$107,'2026'!$M$10:$M$107,"&gt;="&amp;DATE(2025,10,1),'2026'!$M$10:$M$107,"&lt;"&amp;DATE(2025,11,1))+SUMIFS('2026'!$O$10:$O$107,'2026'!$P$10:$P$107,"&gt;="&amp;DATE(2025,10,1),'2026'!$P$10:$P$107,"&lt;"&amp;DATE(2025,11,1))+SUMIFS('2026'!$R$10:$R$107,'2026'!$S$10:$S$107,"&gt;="&amp;DATE(2025,10,1),'2026'!$S$10:$S$107,"&lt;"&amp;DATE(2025,11,1))+SUMIFS('2026'!$U$10:$U$107,'2026'!$V$10:$V$107,"&gt;="&amp;DATE(2025,10,1),'2026'!$V$10:$V$107,"&lt;"&amp;DATE(2025,11,1))+SUMIFS('2025'!$I$10:$I$112,'2025'!$J$10:$J$112,"&gt;="&amp;DATE(2025,10,1),'2025'!$J$10:$J$112,"&lt;"&amp;DATE(2025,11,1))+SUMIFS('2025'!$L$10:$L$112,'2025'!$M$10:$M$112,"&gt;="&amp;DATE(2025,10,1),'2025'!$M$10:$M$112,"&lt;"&amp;DATE(2025,11,1))+SUMIFS('2025'!$O$10:$O$112,'2025'!$P$10:$P$112,"&gt;="&amp;DATE(2025,10,1),'2025'!$P$10:$P$112,"&lt;"&amp;DATE(2025,11,1))+SUMIFS('2025'!$R$10:$R$112,'2025'!$S$10:$S$112,"&gt;="&amp;DATE(2025,10,1),'2025'!$S$10:$S$112,"&lt;"&amp;DATE(2025,11,1))+SUMIFS('2025'!$U$10:$U$112,'2025'!$V$10:$V$112,"&gt;="&amp;DATE(2025,10,1),'2025'!$V$10:$V$112,"&lt;"&amp;DATE(2025,11,1))+SUMIFS('2024'!$I$10:$I$108,'2024'!$J$10:$J$108,"&gt;="&amp;DATE(2025,10,1),'2024'!$J$10:$J$108,"&lt;"&amp;DATE(2025,11,1))+SUMIFS('2024'!$L$10:$L$108,'2024'!$M$10:$M$108,"&gt;="&amp;DATE(2025,10,1),'2024'!$M$10:$M$108,"&lt;"&amp;DATE(2025,11,1))+SUMIFS('2024'!$O$10:$O$108,'2024'!$P$10:$P$108,"&gt;="&amp;DATE(2025,10,1),'2024'!$P$10:$P$108,"&lt;"&amp;DATE(2025,11,1))+SUMIFS('2024'!$R$10:$R$108,'2024'!$S$10:$S$108,"&gt;="&amp;DATE(2025,10,1),'2024'!$S$10:$S$108,"&lt;"&amp;DATE(2025,11,1))+SUMIFS('2024'!$U$10:$U$108,'2024'!$V$10:$V$108,"&gt;="&amp;DATE(2025,10,1),'2024'!$V$10:$V$108,"&lt;"&amp;DATE(2025,11,1))+SUMIFS('2023'!$I$10:$I$127,'2023'!$J$10:$J$127,"&gt;="&amp;DATE(2025,10,1),'2023'!$J$10:$J$127,"&lt;"&amp;DATE(2025,11,1))+SUMIFS('2023'!$L$10:$L$127,'2023'!$M$10:$M$127,"&gt;="&amp;DATE(2025,10,1),'2023'!$M$10:$M$127,"&lt;"&amp;DATE(2025,11,1))+SUMIFS('2023'!$O$10:$O$127,'2023'!$P$10:$P$127,"&gt;="&amp;DATE(2025,10,1),'2023'!$P$10:$P$127,"&lt;"&amp;DATE(2025,11,1))+SUMIFS('2023'!$R$10:$R$127,'2023'!$S$10:$S$127,"&gt;="&amp;DATE(2025,10,1),'2023'!$S$10:$S$127,"&lt;"&amp;DATE(2025,11,1))+SUMIFS('2023'!$U$10:$U$127,'2023'!$V$10:$V$127,"&gt;="&amp;DATE(2025,10,1),'2023'!$V$10:$V$127,"&lt;"&amp;DATE(2025,11,1)),2)</f>
        <v/>
      </c>
      <c r="E17" s="23">
        <f>ROUND(SUMIFS('2026'!$I$10:$I$107,'2026'!$J$10:$J$107,"&gt;="&amp;DATE(2026,10,1),'2026'!$J$10:$J$107,"&lt;"&amp;DATE(2026,11,1))+SUMIFS('2026'!$L$10:$L$107,'2026'!$M$10:$M$107,"&gt;="&amp;DATE(2026,10,1),'2026'!$M$10:$M$107,"&lt;"&amp;DATE(2026,11,1))+SUMIFS('2026'!$O$10:$O$107,'2026'!$P$10:$P$107,"&gt;="&amp;DATE(2026,10,1),'2026'!$P$10:$P$107,"&lt;"&amp;DATE(2026,11,1))+SUMIFS('2026'!$R$10:$R$107,'2026'!$S$10:$S$107,"&gt;="&amp;DATE(2026,10,1),'2026'!$S$10:$S$107,"&lt;"&amp;DATE(2026,11,1))+SUMIFS('2026'!$U$10:$U$107,'2026'!$V$10:$V$107,"&gt;="&amp;DATE(2026,10,1),'2026'!$V$10:$V$107,"&lt;"&amp;DATE(2026,11,1))+SUMIFS('2025'!$I$10:$I$112,'2025'!$J$10:$J$112,"&gt;="&amp;DATE(2026,10,1),'2025'!$J$10:$J$112,"&lt;"&amp;DATE(2026,11,1))+SUMIFS('2025'!$L$10:$L$112,'2025'!$M$10:$M$112,"&gt;="&amp;DATE(2026,10,1),'2025'!$M$10:$M$112,"&lt;"&amp;DATE(2026,11,1))+SUMIFS('2025'!$O$10:$O$112,'2025'!$P$10:$P$112,"&gt;="&amp;DATE(2026,10,1),'2025'!$P$10:$P$112,"&lt;"&amp;DATE(2026,11,1))+SUMIFS('2025'!$R$10:$R$112,'2025'!$S$10:$S$112,"&gt;="&amp;DATE(2026,10,1),'2025'!$S$10:$S$112,"&lt;"&amp;DATE(2026,11,1))+SUMIFS('2025'!$U$10:$U$112,'2025'!$V$10:$V$112,"&gt;="&amp;DATE(2026,10,1),'2025'!$V$10:$V$112,"&lt;"&amp;DATE(2026,11,1))+SUMIFS('2024'!$I$10:$I$108,'2024'!$J$10:$J$108,"&gt;="&amp;DATE(2026,10,1),'2024'!$J$10:$J$108,"&lt;"&amp;DATE(2026,11,1))+SUMIFS('2024'!$L$10:$L$108,'2024'!$M$10:$M$108,"&gt;="&amp;DATE(2026,10,1),'2024'!$M$10:$M$108,"&lt;"&amp;DATE(2026,11,1))+SUMIFS('2024'!$O$10:$O$108,'2024'!$P$10:$P$108,"&gt;="&amp;DATE(2026,10,1),'2024'!$P$10:$P$108,"&lt;"&amp;DATE(2026,11,1))+SUMIFS('2024'!$R$10:$R$108,'2024'!$S$10:$S$108,"&gt;="&amp;DATE(2026,10,1),'2024'!$S$10:$S$108,"&lt;"&amp;DATE(2026,11,1))+SUMIFS('2024'!$U$10:$U$108,'2024'!$V$10:$V$108,"&gt;="&amp;DATE(2026,10,1),'2024'!$V$10:$V$108,"&lt;"&amp;DATE(2026,11,1))+SUMIFS('2023'!$I$10:$I$127,'2023'!$J$10:$J$127,"&gt;="&amp;DATE(2026,10,1),'2023'!$J$10:$J$127,"&lt;"&amp;DATE(2026,11,1))+SUMIFS('2023'!$L$10:$L$127,'2023'!$M$10:$M$127,"&gt;="&amp;DATE(2026,10,1),'2023'!$M$10:$M$127,"&lt;"&amp;DATE(2026,11,1))+SUMIFS('2023'!$O$10:$O$127,'2023'!$P$10:$P$127,"&gt;="&amp;DATE(2026,10,1),'2023'!$P$10:$P$127,"&lt;"&amp;DATE(2026,11,1))+SUMIFS('2023'!$R$10:$R$127,'2023'!$S$10:$S$127,"&gt;="&amp;DATE(2026,10,1),'2023'!$S$10:$S$127,"&lt;"&amp;DATE(2026,11,1))+SUMIFS('2023'!$U$10:$U$127,'2023'!$V$10:$V$127,"&gt;="&amp;DATE(2026,10,1),'2023'!$V$10:$V$127,"&lt;"&amp;DATE(2026,11,1)),2)</f>
        <v/>
      </c>
      <c r="F17" s="31">
        <f>ROUND(AVERAGE($B17:$D17),0)</f>
        <v/>
      </c>
      <c r="G17" s="32">
        <f>IF(SUM($F$8:$F$19)=0,"",$F17/SUM($F$8:$F$19))</f>
        <v/>
      </c>
    </row>
    <row r="18" ht="18" customHeight="1">
      <c r="A18" s="21" t="inlineStr">
        <is>
          <t>Novembro</t>
        </is>
      </c>
      <c r="B18" s="23">
        <f>ROUND(SUMIFS('2026'!$I$10:$I$107,'2026'!$J$10:$J$107,"&gt;="&amp;DATE(2023,11,1),'2026'!$J$10:$J$107,"&lt;"&amp;DATE(2023,12,1))+SUMIFS('2026'!$L$10:$L$107,'2026'!$M$10:$M$107,"&gt;="&amp;DATE(2023,11,1),'2026'!$M$10:$M$107,"&lt;"&amp;DATE(2023,12,1))+SUMIFS('2026'!$O$10:$O$107,'2026'!$P$10:$P$107,"&gt;="&amp;DATE(2023,11,1),'2026'!$P$10:$P$107,"&lt;"&amp;DATE(2023,12,1))+SUMIFS('2026'!$R$10:$R$107,'2026'!$S$10:$S$107,"&gt;="&amp;DATE(2023,11,1),'2026'!$S$10:$S$107,"&lt;"&amp;DATE(2023,12,1))+SUMIFS('2026'!$U$10:$U$107,'2026'!$V$10:$V$107,"&gt;="&amp;DATE(2023,11,1),'2026'!$V$10:$V$107,"&lt;"&amp;DATE(2023,12,1))+SUMIFS('2025'!$I$10:$I$112,'2025'!$J$10:$J$112,"&gt;="&amp;DATE(2023,11,1),'2025'!$J$10:$J$112,"&lt;"&amp;DATE(2023,12,1))+SUMIFS('2025'!$L$10:$L$112,'2025'!$M$10:$M$112,"&gt;="&amp;DATE(2023,11,1),'2025'!$M$10:$M$112,"&lt;"&amp;DATE(2023,12,1))+SUMIFS('2025'!$O$10:$O$112,'2025'!$P$10:$P$112,"&gt;="&amp;DATE(2023,11,1),'2025'!$P$10:$P$112,"&lt;"&amp;DATE(2023,12,1))+SUMIFS('2025'!$R$10:$R$112,'2025'!$S$10:$S$112,"&gt;="&amp;DATE(2023,11,1),'2025'!$S$10:$S$112,"&lt;"&amp;DATE(2023,12,1))+SUMIFS('2025'!$U$10:$U$112,'2025'!$V$10:$V$112,"&gt;="&amp;DATE(2023,11,1),'2025'!$V$10:$V$112,"&lt;"&amp;DATE(2023,12,1))+SUMIFS('2024'!$I$10:$I$108,'2024'!$J$10:$J$108,"&gt;="&amp;DATE(2023,11,1),'2024'!$J$10:$J$108,"&lt;"&amp;DATE(2023,12,1))+SUMIFS('2024'!$L$10:$L$108,'2024'!$M$10:$M$108,"&gt;="&amp;DATE(2023,11,1),'2024'!$M$10:$M$108,"&lt;"&amp;DATE(2023,12,1))+SUMIFS('2024'!$O$10:$O$108,'2024'!$P$10:$P$108,"&gt;="&amp;DATE(2023,11,1),'2024'!$P$10:$P$108,"&lt;"&amp;DATE(2023,12,1))+SUMIFS('2024'!$R$10:$R$108,'2024'!$S$10:$S$108,"&gt;="&amp;DATE(2023,11,1),'2024'!$S$10:$S$108,"&lt;"&amp;DATE(2023,12,1))+SUMIFS('2024'!$U$10:$U$108,'2024'!$V$10:$V$108,"&gt;="&amp;DATE(2023,11,1),'2024'!$V$10:$V$108,"&lt;"&amp;DATE(2023,12,1))+SUMIFS('2023'!$I$10:$I$127,'2023'!$J$10:$J$127,"&gt;="&amp;DATE(2023,11,1),'2023'!$J$10:$J$127,"&lt;"&amp;DATE(2023,12,1))+SUMIFS('2023'!$L$10:$L$127,'2023'!$M$10:$M$127,"&gt;="&amp;DATE(2023,11,1),'2023'!$M$10:$M$127,"&lt;"&amp;DATE(2023,12,1))+SUMIFS('2023'!$O$10:$O$127,'2023'!$P$10:$P$127,"&gt;="&amp;DATE(2023,11,1),'2023'!$P$10:$P$127,"&lt;"&amp;DATE(2023,12,1))+SUMIFS('2023'!$R$10:$R$127,'2023'!$S$10:$S$127,"&gt;="&amp;DATE(2023,11,1),'2023'!$S$10:$S$127,"&lt;"&amp;DATE(2023,12,1))+SUMIFS('2023'!$U$10:$U$127,'2023'!$V$10:$V$127,"&gt;="&amp;DATE(2023,11,1),'2023'!$V$10:$V$127,"&lt;"&amp;DATE(2023,12,1)),2)</f>
        <v/>
      </c>
      <c r="C18" s="23">
        <f>ROUND(SUMIFS('2026'!$I$10:$I$107,'2026'!$J$10:$J$107,"&gt;="&amp;DATE(2024,11,1),'2026'!$J$10:$J$107,"&lt;"&amp;DATE(2024,12,1))+SUMIFS('2026'!$L$10:$L$107,'2026'!$M$10:$M$107,"&gt;="&amp;DATE(2024,11,1),'2026'!$M$10:$M$107,"&lt;"&amp;DATE(2024,12,1))+SUMIFS('2026'!$O$10:$O$107,'2026'!$P$10:$P$107,"&gt;="&amp;DATE(2024,11,1),'2026'!$P$10:$P$107,"&lt;"&amp;DATE(2024,12,1))+SUMIFS('2026'!$R$10:$R$107,'2026'!$S$10:$S$107,"&gt;="&amp;DATE(2024,11,1),'2026'!$S$10:$S$107,"&lt;"&amp;DATE(2024,12,1))+SUMIFS('2026'!$U$10:$U$107,'2026'!$V$10:$V$107,"&gt;="&amp;DATE(2024,11,1),'2026'!$V$10:$V$107,"&lt;"&amp;DATE(2024,12,1))+SUMIFS('2025'!$I$10:$I$112,'2025'!$J$10:$J$112,"&gt;="&amp;DATE(2024,11,1),'2025'!$J$10:$J$112,"&lt;"&amp;DATE(2024,12,1))+SUMIFS('2025'!$L$10:$L$112,'2025'!$M$10:$M$112,"&gt;="&amp;DATE(2024,11,1),'2025'!$M$10:$M$112,"&lt;"&amp;DATE(2024,12,1))+SUMIFS('2025'!$O$10:$O$112,'2025'!$P$10:$P$112,"&gt;="&amp;DATE(2024,11,1),'2025'!$P$10:$P$112,"&lt;"&amp;DATE(2024,12,1))+SUMIFS('2025'!$R$10:$R$112,'2025'!$S$10:$S$112,"&gt;="&amp;DATE(2024,11,1),'2025'!$S$10:$S$112,"&lt;"&amp;DATE(2024,12,1))+SUMIFS('2025'!$U$10:$U$112,'2025'!$V$10:$V$112,"&gt;="&amp;DATE(2024,11,1),'2025'!$V$10:$V$112,"&lt;"&amp;DATE(2024,12,1))+SUMIFS('2024'!$I$10:$I$108,'2024'!$J$10:$J$108,"&gt;="&amp;DATE(2024,11,1),'2024'!$J$10:$J$108,"&lt;"&amp;DATE(2024,12,1))+SUMIFS('2024'!$L$10:$L$108,'2024'!$M$10:$M$108,"&gt;="&amp;DATE(2024,11,1),'2024'!$M$10:$M$108,"&lt;"&amp;DATE(2024,12,1))+SUMIFS('2024'!$O$10:$O$108,'2024'!$P$10:$P$108,"&gt;="&amp;DATE(2024,11,1),'2024'!$P$10:$P$108,"&lt;"&amp;DATE(2024,12,1))+SUMIFS('2024'!$R$10:$R$108,'2024'!$S$10:$S$108,"&gt;="&amp;DATE(2024,11,1),'2024'!$S$10:$S$108,"&lt;"&amp;DATE(2024,12,1))+SUMIFS('2024'!$U$10:$U$108,'2024'!$V$10:$V$108,"&gt;="&amp;DATE(2024,11,1),'2024'!$V$10:$V$108,"&lt;"&amp;DATE(2024,12,1))+SUMIFS('2023'!$I$10:$I$127,'2023'!$J$10:$J$127,"&gt;="&amp;DATE(2024,11,1),'2023'!$J$10:$J$127,"&lt;"&amp;DATE(2024,12,1))+SUMIFS('2023'!$L$10:$L$127,'2023'!$M$10:$M$127,"&gt;="&amp;DATE(2024,11,1),'2023'!$M$10:$M$127,"&lt;"&amp;DATE(2024,12,1))+SUMIFS('2023'!$O$10:$O$127,'2023'!$P$10:$P$127,"&gt;="&amp;DATE(2024,11,1),'2023'!$P$10:$P$127,"&lt;"&amp;DATE(2024,12,1))+SUMIFS('2023'!$R$10:$R$127,'2023'!$S$10:$S$127,"&gt;="&amp;DATE(2024,11,1),'2023'!$S$10:$S$127,"&lt;"&amp;DATE(2024,12,1))+SUMIFS('2023'!$U$10:$U$127,'2023'!$V$10:$V$127,"&gt;="&amp;DATE(2024,11,1),'2023'!$V$10:$V$127,"&lt;"&amp;DATE(2024,12,1)),2)</f>
        <v/>
      </c>
      <c r="D18" s="23">
        <f>ROUND(SUMIFS('2026'!$I$10:$I$107,'2026'!$J$10:$J$107,"&gt;="&amp;DATE(2025,11,1),'2026'!$J$10:$J$107,"&lt;"&amp;DATE(2025,12,1))+SUMIFS('2026'!$L$10:$L$107,'2026'!$M$10:$M$107,"&gt;="&amp;DATE(2025,11,1),'2026'!$M$10:$M$107,"&lt;"&amp;DATE(2025,12,1))+SUMIFS('2026'!$O$10:$O$107,'2026'!$P$10:$P$107,"&gt;="&amp;DATE(2025,11,1),'2026'!$P$10:$P$107,"&lt;"&amp;DATE(2025,12,1))+SUMIFS('2026'!$R$10:$R$107,'2026'!$S$10:$S$107,"&gt;="&amp;DATE(2025,11,1),'2026'!$S$10:$S$107,"&lt;"&amp;DATE(2025,12,1))+SUMIFS('2026'!$U$10:$U$107,'2026'!$V$10:$V$107,"&gt;="&amp;DATE(2025,11,1),'2026'!$V$10:$V$107,"&lt;"&amp;DATE(2025,12,1))+SUMIFS('2025'!$I$10:$I$112,'2025'!$J$10:$J$112,"&gt;="&amp;DATE(2025,11,1),'2025'!$J$10:$J$112,"&lt;"&amp;DATE(2025,12,1))+SUMIFS('2025'!$L$10:$L$112,'2025'!$M$10:$M$112,"&gt;="&amp;DATE(2025,11,1),'2025'!$M$10:$M$112,"&lt;"&amp;DATE(2025,12,1))+SUMIFS('2025'!$O$10:$O$112,'2025'!$P$10:$P$112,"&gt;="&amp;DATE(2025,11,1),'2025'!$P$10:$P$112,"&lt;"&amp;DATE(2025,12,1))+SUMIFS('2025'!$R$10:$R$112,'2025'!$S$10:$S$112,"&gt;="&amp;DATE(2025,11,1),'2025'!$S$10:$S$112,"&lt;"&amp;DATE(2025,12,1))+SUMIFS('2025'!$U$10:$U$112,'2025'!$V$10:$V$112,"&gt;="&amp;DATE(2025,11,1),'2025'!$V$10:$V$112,"&lt;"&amp;DATE(2025,12,1))+SUMIFS('2024'!$I$10:$I$108,'2024'!$J$10:$J$108,"&gt;="&amp;DATE(2025,11,1),'2024'!$J$10:$J$108,"&lt;"&amp;DATE(2025,12,1))+SUMIFS('2024'!$L$10:$L$108,'2024'!$M$10:$M$108,"&gt;="&amp;DATE(2025,11,1),'2024'!$M$10:$M$108,"&lt;"&amp;DATE(2025,12,1))+SUMIFS('2024'!$O$10:$O$108,'2024'!$P$10:$P$108,"&gt;="&amp;DATE(2025,11,1),'2024'!$P$10:$P$108,"&lt;"&amp;DATE(2025,12,1))+SUMIFS('2024'!$R$10:$R$108,'2024'!$S$10:$S$108,"&gt;="&amp;DATE(2025,11,1),'2024'!$S$10:$S$108,"&lt;"&amp;DATE(2025,12,1))+SUMIFS('2024'!$U$10:$U$108,'2024'!$V$10:$V$108,"&gt;="&amp;DATE(2025,11,1),'2024'!$V$10:$V$108,"&lt;"&amp;DATE(2025,12,1))+SUMIFS('2023'!$I$10:$I$127,'2023'!$J$10:$J$127,"&gt;="&amp;DATE(2025,11,1),'2023'!$J$10:$J$127,"&lt;"&amp;DATE(2025,12,1))+SUMIFS('2023'!$L$10:$L$127,'2023'!$M$10:$M$127,"&gt;="&amp;DATE(2025,11,1),'2023'!$M$10:$M$127,"&lt;"&amp;DATE(2025,12,1))+SUMIFS('2023'!$O$10:$O$127,'2023'!$P$10:$P$127,"&gt;="&amp;DATE(2025,11,1),'2023'!$P$10:$P$127,"&lt;"&amp;DATE(2025,12,1))+SUMIFS('2023'!$R$10:$R$127,'2023'!$S$10:$S$127,"&gt;="&amp;DATE(2025,11,1),'2023'!$S$10:$S$127,"&lt;"&amp;DATE(2025,12,1))+SUMIFS('2023'!$U$10:$U$127,'2023'!$V$10:$V$127,"&gt;="&amp;DATE(2025,11,1),'2023'!$V$10:$V$127,"&lt;"&amp;DATE(2025,12,1)),2)</f>
        <v/>
      </c>
      <c r="E18" s="23">
        <f>ROUND(SUMIFS('2026'!$I$10:$I$107,'2026'!$J$10:$J$107,"&gt;="&amp;DATE(2026,11,1),'2026'!$J$10:$J$107,"&lt;"&amp;DATE(2026,12,1))+SUMIFS('2026'!$L$10:$L$107,'2026'!$M$10:$M$107,"&gt;="&amp;DATE(2026,11,1),'2026'!$M$10:$M$107,"&lt;"&amp;DATE(2026,12,1))+SUMIFS('2026'!$O$10:$O$107,'2026'!$P$10:$P$107,"&gt;="&amp;DATE(2026,11,1),'2026'!$P$10:$P$107,"&lt;"&amp;DATE(2026,12,1))+SUMIFS('2026'!$R$10:$R$107,'2026'!$S$10:$S$107,"&gt;="&amp;DATE(2026,11,1),'2026'!$S$10:$S$107,"&lt;"&amp;DATE(2026,12,1))+SUMIFS('2026'!$U$10:$U$107,'2026'!$V$10:$V$107,"&gt;="&amp;DATE(2026,11,1),'2026'!$V$10:$V$107,"&lt;"&amp;DATE(2026,12,1))+SUMIFS('2025'!$I$10:$I$112,'2025'!$J$10:$J$112,"&gt;="&amp;DATE(2026,11,1),'2025'!$J$10:$J$112,"&lt;"&amp;DATE(2026,12,1))+SUMIFS('2025'!$L$10:$L$112,'2025'!$M$10:$M$112,"&gt;="&amp;DATE(2026,11,1),'2025'!$M$10:$M$112,"&lt;"&amp;DATE(2026,12,1))+SUMIFS('2025'!$O$10:$O$112,'2025'!$P$10:$P$112,"&gt;="&amp;DATE(2026,11,1),'2025'!$P$10:$P$112,"&lt;"&amp;DATE(2026,12,1))+SUMIFS('2025'!$R$10:$R$112,'2025'!$S$10:$S$112,"&gt;="&amp;DATE(2026,11,1),'2025'!$S$10:$S$112,"&lt;"&amp;DATE(2026,12,1))+SUMIFS('2025'!$U$10:$U$112,'2025'!$V$10:$V$112,"&gt;="&amp;DATE(2026,11,1),'2025'!$V$10:$V$112,"&lt;"&amp;DATE(2026,12,1))+SUMIFS('2024'!$I$10:$I$108,'2024'!$J$10:$J$108,"&gt;="&amp;DATE(2026,11,1),'2024'!$J$10:$J$108,"&lt;"&amp;DATE(2026,12,1))+SUMIFS('2024'!$L$10:$L$108,'2024'!$M$10:$M$108,"&gt;="&amp;DATE(2026,11,1),'2024'!$M$10:$M$108,"&lt;"&amp;DATE(2026,12,1))+SUMIFS('2024'!$O$10:$O$108,'2024'!$P$10:$P$108,"&gt;="&amp;DATE(2026,11,1),'2024'!$P$10:$P$108,"&lt;"&amp;DATE(2026,12,1))+SUMIFS('2024'!$R$10:$R$108,'2024'!$S$10:$S$108,"&gt;="&amp;DATE(2026,11,1),'2024'!$S$10:$S$108,"&lt;"&amp;DATE(2026,12,1))+SUMIFS('2024'!$U$10:$U$108,'2024'!$V$10:$V$108,"&gt;="&amp;DATE(2026,11,1),'2024'!$V$10:$V$108,"&lt;"&amp;DATE(2026,12,1))+SUMIFS('2023'!$I$10:$I$127,'2023'!$J$10:$J$127,"&gt;="&amp;DATE(2026,11,1),'2023'!$J$10:$J$127,"&lt;"&amp;DATE(2026,12,1))+SUMIFS('2023'!$L$10:$L$127,'2023'!$M$10:$M$127,"&gt;="&amp;DATE(2026,11,1),'2023'!$M$10:$M$127,"&lt;"&amp;DATE(2026,12,1))+SUMIFS('2023'!$O$10:$O$127,'2023'!$P$10:$P$127,"&gt;="&amp;DATE(2026,11,1),'2023'!$P$10:$P$127,"&lt;"&amp;DATE(2026,12,1))+SUMIFS('2023'!$R$10:$R$127,'2023'!$S$10:$S$127,"&gt;="&amp;DATE(2026,11,1),'2023'!$S$10:$S$127,"&lt;"&amp;DATE(2026,12,1))+SUMIFS('2023'!$U$10:$U$127,'2023'!$V$10:$V$127,"&gt;="&amp;DATE(2026,11,1),'2023'!$V$10:$V$127,"&lt;"&amp;DATE(2026,12,1)),2)</f>
        <v/>
      </c>
      <c r="F18" s="31">
        <f>ROUND(AVERAGE($B18:$D18),0)</f>
        <v/>
      </c>
      <c r="G18" s="32">
        <f>IF(SUM($F$8:$F$19)=0,"",$F18/SUM($F$8:$F$19))</f>
        <v/>
      </c>
    </row>
    <row r="19" ht="18" customHeight="1">
      <c r="A19" s="21" t="inlineStr">
        <is>
          <t>Dezembro</t>
        </is>
      </c>
      <c r="B19" s="23">
        <f>ROUND(SUMIFS('2026'!$I$10:$I$107,'2026'!$J$10:$J$107,"&gt;="&amp;DATE(2023,12,1),'2026'!$J$10:$J$107,"&lt;"&amp;DATE(2023,13,1))+SUMIFS('2026'!$L$10:$L$107,'2026'!$M$10:$M$107,"&gt;="&amp;DATE(2023,12,1),'2026'!$M$10:$M$107,"&lt;"&amp;DATE(2023,13,1))+SUMIFS('2026'!$O$10:$O$107,'2026'!$P$10:$P$107,"&gt;="&amp;DATE(2023,12,1),'2026'!$P$10:$P$107,"&lt;"&amp;DATE(2023,13,1))+SUMIFS('2026'!$R$10:$R$107,'2026'!$S$10:$S$107,"&gt;="&amp;DATE(2023,12,1),'2026'!$S$10:$S$107,"&lt;"&amp;DATE(2023,13,1))+SUMIFS('2026'!$U$10:$U$107,'2026'!$V$10:$V$107,"&gt;="&amp;DATE(2023,12,1),'2026'!$V$10:$V$107,"&lt;"&amp;DATE(2023,13,1))+SUMIFS('2025'!$I$10:$I$112,'2025'!$J$10:$J$112,"&gt;="&amp;DATE(2023,12,1),'2025'!$J$10:$J$112,"&lt;"&amp;DATE(2023,13,1))+SUMIFS('2025'!$L$10:$L$112,'2025'!$M$10:$M$112,"&gt;="&amp;DATE(2023,12,1),'2025'!$M$10:$M$112,"&lt;"&amp;DATE(2023,13,1))+SUMIFS('2025'!$O$10:$O$112,'2025'!$P$10:$P$112,"&gt;="&amp;DATE(2023,12,1),'2025'!$P$10:$P$112,"&lt;"&amp;DATE(2023,13,1))+SUMIFS('2025'!$R$10:$R$112,'2025'!$S$10:$S$112,"&gt;="&amp;DATE(2023,12,1),'2025'!$S$10:$S$112,"&lt;"&amp;DATE(2023,13,1))+SUMIFS('2025'!$U$10:$U$112,'2025'!$V$10:$V$112,"&gt;="&amp;DATE(2023,12,1),'2025'!$V$10:$V$112,"&lt;"&amp;DATE(2023,13,1))+SUMIFS('2024'!$I$10:$I$108,'2024'!$J$10:$J$108,"&gt;="&amp;DATE(2023,12,1),'2024'!$J$10:$J$108,"&lt;"&amp;DATE(2023,13,1))+SUMIFS('2024'!$L$10:$L$108,'2024'!$M$10:$M$108,"&gt;="&amp;DATE(2023,12,1),'2024'!$M$10:$M$108,"&lt;"&amp;DATE(2023,13,1))+SUMIFS('2024'!$O$10:$O$108,'2024'!$P$10:$P$108,"&gt;="&amp;DATE(2023,12,1),'2024'!$P$10:$P$108,"&lt;"&amp;DATE(2023,13,1))+SUMIFS('2024'!$R$10:$R$108,'2024'!$S$10:$S$108,"&gt;="&amp;DATE(2023,12,1),'2024'!$S$10:$S$108,"&lt;"&amp;DATE(2023,13,1))+SUMIFS('2024'!$U$10:$U$108,'2024'!$V$10:$V$108,"&gt;="&amp;DATE(2023,12,1),'2024'!$V$10:$V$108,"&lt;"&amp;DATE(2023,13,1))+SUMIFS('2023'!$I$10:$I$127,'2023'!$J$10:$J$127,"&gt;="&amp;DATE(2023,12,1),'2023'!$J$10:$J$127,"&lt;"&amp;DATE(2023,13,1))+SUMIFS('2023'!$L$10:$L$127,'2023'!$M$10:$M$127,"&gt;="&amp;DATE(2023,12,1),'2023'!$M$10:$M$127,"&lt;"&amp;DATE(2023,13,1))+SUMIFS('2023'!$O$10:$O$127,'2023'!$P$10:$P$127,"&gt;="&amp;DATE(2023,12,1),'2023'!$P$10:$P$127,"&lt;"&amp;DATE(2023,13,1))+SUMIFS('2023'!$R$10:$R$127,'2023'!$S$10:$S$127,"&gt;="&amp;DATE(2023,12,1),'2023'!$S$10:$S$127,"&lt;"&amp;DATE(2023,13,1))+SUMIFS('2023'!$U$10:$U$127,'2023'!$V$10:$V$127,"&gt;="&amp;DATE(2023,12,1),'2023'!$V$10:$V$127,"&lt;"&amp;DATE(2023,13,1)),2)</f>
        <v/>
      </c>
      <c r="C19" s="23">
        <f>ROUND(SUMIFS('2026'!$I$10:$I$107,'2026'!$J$10:$J$107,"&gt;="&amp;DATE(2024,12,1),'2026'!$J$10:$J$107,"&lt;"&amp;DATE(2024,13,1))+SUMIFS('2026'!$L$10:$L$107,'2026'!$M$10:$M$107,"&gt;="&amp;DATE(2024,12,1),'2026'!$M$10:$M$107,"&lt;"&amp;DATE(2024,13,1))+SUMIFS('2026'!$O$10:$O$107,'2026'!$P$10:$P$107,"&gt;="&amp;DATE(2024,12,1),'2026'!$P$10:$P$107,"&lt;"&amp;DATE(2024,13,1))+SUMIFS('2026'!$R$10:$R$107,'2026'!$S$10:$S$107,"&gt;="&amp;DATE(2024,12,1),'2026'!$S$10:$S$107,"&lt;"&amp;DATE(2024,13,1))+SUMIFS('2026'!$U$10:$U$107,'2026'!$V$10:$V$107,"&gt;="&amp;DATE(2024,12,1),'2026'!$V$10:$V$107,"&lt;"&amp;DATE(2024,13,1))+SUMIFS('2025'!$I$10:$I$112,'2025'!$J$10:$J$112,"&gt;="&amp;DATE(2024,12,1),'2025'!$J$10:$J$112,"&lt;"&amp;DATE(2024,13,1))+SUMIFS('2025'!$L$10:$L$112,'2025'!$M$10:$M$112,"&gt;="&amp;DATE(2024,12,1),'2025'!$M$10:$M$112,"&lt;"&amp;DATE(2024,13,1))+SUMIFS('2025'!$O$10:$O$112,'2025'!$P$10:$P$112,"&gt;="&amp;DATE(2024,12,1),'2025'!$P$10:$P$112,"&lt;"&amp;DATE(2024,13,1))+SUMIFS('2025'!$R$10:$R$112,'2025'!$S$10:$S$112,"&gt;="&amp;DATE(2024,12,1),'2025'!$S$10:$S$112,"&lt;"&amp;DATE(2024,13,1))+SUMIFS('2025'!$U$10:$U$112,'2025'!$V$10:$V$112,"&gt;="&amp;DATE(2024,12,1),'2025'!$V$10:$V$112,"&lt;"&amp;DATE(2024,13,1))+SUMIFS('2024'!$I$10:$I$108,'2024'!$J$10:$J$108,"&gt;="&amp;DATE(2024,12,1),'2024'!$J$10:$J$108,"&lt;"&amp;DATE(2024,13,1))+SUMIFS('2024'!$L$10:$L$108,'2024'!$M$10:$M$108,"&gt;="&amp;DATE(2024,12,1),'2024'!$M$10:$M$108,"&lt;"&amp;DATE(2024,13,1))+SUMIFS('2024'!$O$10:$O$108,'2024'!$P$10:$P$108,"&gt;="&amp;DATE(2024,12,1),'2024'!$P$10:$P$108,"&lt;"&amp;DATE(2024,13,1))+SUMIFS('2024'!$R$10:$R$108,'2024'!$S$10:$S$108,"&gt;="&amp;DATE(2024,12,1),'2024'!$S$10:$S$108,"&lt;"&amp;DATE(2024,13,1))+SUMIFS('2024'!$U$10:$U$108,'2024'!$V$10:$V$108,"&gt;="&amp;DATE(2024,12,1),'2024'!$V$10:$V$108,"&lt;"&amp;DATE(2024,13,1))+SUMIFS('2023'!$I$10:$I$127,'2023'!$J$10:$J$127,"&gt;="&amp;DATE(2024,12,1),'2023'!$J$10:$J$127,"&lt;"&amp;DATE(2024,13,1))+SUMIFS('2023'!$L$10:$L$127,'2023'!$M$10:$M$127,"&gt;="&amp;DATE(2024,12,1),'2023'!$M$10:$M$127,"&lt;"&amp;DATE(2024,13,1))+SUMIFS('2023'!$O$10:$O$127,'2023'!$P$10:$P$127,"&gt;="&amp;DATE(2024,12,1),'2023'!$P$10:$P$127,"&lt;"&amp;DATE(2024,13,1))+SUMIFS('2023'!$R$10:$R$127,'2023'!$S$10:$S$127,"&gt;="&amp;DATE(2024,12,1),'2023'!$S$10:$S$127,"&lt;"&amp;DATE(2024,13,1))+SUMIFS('2023'!$U$10:$U$127,'2023'!$V$10:$V$127,"&gt;="&amp;DATE(2024,12,1),'2023'!$V$10:$V$127,"&lt;"&amp;DATE(2024,13,1)),2)</f>
        <v/>
      </c>
      <c r="D19" s="23">
        <f>ROUND(SUMIFS('2026'!$I$10:$I$107,'2026'!$J$10:$J$107,"&gt;="&amp;DATE(2025,12,1),'2026'!$J$10:$J$107,"&lt;"&amp;DATE(2025,13,1))+SUMIFS('2026'!$L$10:$L$107,'2026'!$M$10:$M$107,"&gt;="&amp;DATE(2025,12,1),'2026'!$M$10:$M$107,"&lt;"&amp;DATE(2025,13,1))+SUMIFS('2026'!$O$10:$O$107,'2026'!$P$10:$P$107,"&gt;="&amp;DATE(2025,12,1),'2026'!$P$10:$P$107,"&lt;"&amp;DATE(2025,13,1))+SUMIFS('2026'!$R$10:$R$107,'2026'!$S$10:$S$107,"&gt;="&amp;DATE(2025,12,1),'2026'!$S$10:$S$107,"&lt;"&amp;DATE(2025,13,1))+SUMIFS('2026'!$U$10:$U$107,'2026'!$V$10:$V$107,"&gt;="&amp;DATE(2025,12,1),'2026'!$V$10:$V$107,"&lt;"&amp;DATE(2025,13,1))+SUMIFS('2025'!$I$10:$I$112,'2025'!$J$10:$J$112,"&gt;="&amp;DATE(2025,12,1),'2025'!$J$10:$J$112,"&lt;"&amp;DATE(2025,13,1))+SUMIFS('2025'!$L$10:$L$112,'2025'!$M$10:$M$112,"&gt;="&amp;DATE(2025,12,1),'2025'!$M$10:$M$112,"&lt;"&amp;DATE(2025,13,1))+SUMIFS('2025'!$O$10:$O$112,'2025'!$P$10:$P$112,"&gt;="&amp;DATE(2025,12,1),'2025'!$P$10:$P$112,"&lt;"&amp;DATE(2025,13,1))+SUMIFS('2025'!$R$10:$R$112,'2025'!$S$10:$S$112,"&gt;="&amp;DATE(2025,12,1),'2025'!$S$10:$S$112,"&lt;"&amp;DATE(2025,13,1))+SUMIFS('2025'!$U$10:$U$112,'2025'!$V$10:$V$112,"&gt;="&amp;DATE(2025,12,1),'2025'!$V$10:$V$112,"&lt;"&amp;DATE(2025,13,1))+SUMIFS('2024'!$I$10:$I$108,'2024'!$J$10:$J$108,"&gt;="&amp;DATE(2025,12,1),'2024'!$J$10:$J$108,"&lt;"&amp;DATE(2025,13,1))+SUMIFS('2024'!$L$10:$L$108,'2024'!$M$10:$M$108,"&gt;="&amp;DATE(2025,12,1),'2024'!$M$10:$M$108,"&lt;"&amp;DATE(2025,13,1))+SUMIFS('2024'!$O$10:$O$108,'2024'!$P$10:$P$108,"&gt;="&amp;DATE(2025,12,1),'2024'!$P$10:$P$108,"&lt;"&amp;DATE(2025,13,1))+SUMIFS('2024'!$R$10:$R$108,'2024'!$S$10:$S$108,"&gt;="&amp;DATE(2025,12,1),'2024'!$S$10:$S$108,"&lt;"&amp;DATE(2025,13,1))+SUMIFS('2024'!$U$10:$U$108,'2024'!$V$10:$V$108,"&gt;="&amp;DATE(2025,12,1),'2024'!$V$10:$V$108,"&lt;"&amp;DATE(2025,13,1))+SUMIFS('2023'!$I$10:$I$127,'2023'!$J$10:$J$127,"&gt;="&amp;DATE(2025,12,1),'2023'!$J$10:$J$127,"&lt;"&amp;DATE(2025,13,1))+SUMIFS('2023'!$L$10:$L$127,'2023'!$M$10:$M$127,"&gt;="&amp;DATE(2025,12,1),'2023'!$M$10:$M$127,"&lt;"&amp;DATE(2025,13,1))+SUMIFS('2023'!$O$10:$O$127,'2023'!$P$10:$P$127,"&gt;="&amp;DATE(2025,12,1),'2023'!$P$10:$P$127,"&lt;"&amp;DATE(2025,13,1))+SUMIFS('2023'!$R$10:$R$127,'2023'!$S$10:$S$127,"&gt;="&amp;DATE(2025,12,1),'2023'!$S$10:$S$127,"&lt;"&amp;DATE(2025,13,1))+SUMIFS('2023'!$U$10:$U$127,'2023'!$V$10:$V$127,"&gt;="&amp;DATE(2025,12,1),'2023'!$V$10:$V$127,"&lt;"&amp;DATE(2025,13,1)),2)</f>
        <v/>
      </c>
      <c r="E19" s="23">
        <f>ROUND(SUMIFS('2026'!$I$10:$I$107,'2026'!$J$10:$J$107,"&gt;="&amp;DATE(2026,12,1),'2026'!$J$10:$J$107,"&lt;"&amp;DATE(2026,13,1))+SUMIFS('2026'!$L$10:$L$107,'2026'!$M$10:$M$107,"&gt;="&amp;DATE(2026,12,1),'2026'!$M$10:$M$107,"&lt;"&amp;DATE(2026,13,1))+SUMIFS('2026'!$O$10:$O$107,'2026'!$P$10:$P$107,"&gt;="&amp;DATE(2026,12,1),'2026'!$P$10:$P$107,"&lt;"&amp;DATE(2026,13,1))+SUMIFS('2026'!$R$10:$R$107,'2026'!$S$10:$S$107,"&gt;="&amp;DATE(2026,12,1),'2026'!$S$10:$S$107,"&lt;"&amp;DATE(2026,13,1))+SUMIFS('2026'!$U$10:$U$107,'2026'!$V$10:$V$107,"&gt;="&amp;DATE(2026,12,1),'2026'!$V$10:$V$107,"&lt;"&amp;DATE(2026,13,1))+SUMIFS('2025'!$I$10:$I$112,'2025'!$J$10:$J$112,"&gt;="&amp;DATE(2026,12,1),'2025'!$J$10:$J$112,"&lt;"&amp;DATE(2026,13,1))+SUMIFS('2025'!$L$10:$L$112,'2025'!$M$10:$M$112,"&gt;="&amp;DATE(2026,12,1),'2025'!$M$10:$M$112,"&lt;"&amp;DATE(2026,13,1))+SUMIFS('2025'!$O$10:$O$112,'2025'!$P$10:$P$112,"&gt;="&amp;DATE(2026,12,1),'2025'!$P$10:$P$112,"&lt;"&amp;DATE(2026,13,1))+SUMIFS('2025'!$R$10:$R$112,'2025'!$S$10:$S$112,"&gt;="&amp;DATE(2026,12,1),'2025'!$S$10:$S$112,"&lt;"&amp;DATE(2026,13,1))+SUMIFS('2025'!$U$10:$U$112,'2025'!$V$10:$V$112,"&gt;="&amp;DATE(2026,12,1),'2025'!$V$10:$V$112,"&lt;"&amp;DATE(2026,13,1))+SUMIFS('2024'!$I$10:$I$108,'2024'!$J$10:$J$108,"&gt;="&amp;DATE(2026,12,1),'2024'!$J$10:$J$108,"&lt;"&amp;DATE(2026,13,1))+SUMIFS('2024'!$L$10:$L$108,'2024'!$M$10:$M$108,"&gt;="&amp;DATE(2026,12,1),'2024'!$M$10:$M$108,"&lt;"&amp;DATE(2026,13,1))+SUMIFS('2024'!$O$10:$O$108,'2024'!$P$10:$P$108,"&gt;="&amp;DATE(2026,12,1),'2024'!$P$10:$P$108,"&lt;"&amp;DATE(2026,13,1))+SUMIFS('2024'!$R$10:$R$108,'2024'!$S$10:$S$108,"&gt;="&amp;DATE(2026,12,1),'2024'!$S$10:$S$108,"&lt;"&amp;DATE(2026,13,1))+SUMIFS('2024'!$U$10:$U$108,'2024'!$V$10:$V$108,"&gt;="&amp;DATE(2026,12,1),'2024'!$V$10:$V$108,"&lt;"&amp;DATE(2026,13,1))+SUMIFS('2023'!$I$10:$I$127,'2023'!$J$10:$J$127,"&gt;="&amp;DATE(2026,12,1),'2023'!$J$10:$J$127,"&lt;"&amp;DATE(2026,13,1))+SUMIFS('2023'!$L$10:$L$127,'2023'!$M$10:$M$127,"&gt;="&amp;DATE(2026,12,1),'2023'!$M$10:$M$127,"&lt;"&amp;DATE(2026,13,1))+SUMIFS('2023'!$O$10:$O$127,'2023'!$P$10:$P$127,"&gt;="&amp;DATE(2026,12,1),'2023'!$P$10:$P$127,"&lt;"&amp;DATE(2026,13,1))+SUMIFS('2023'!$R$10:$R$127,'2023'!$S$10:$S$127,"&gt;="&amp;DATE(2026,12,1),'2023'!$S$10:$S$127,"&lt;"&amp;DATE(2026,13,1))+SUMIFS('2023'!$U$10:$U$127,'2023'!$V$10:$V$127,"&gt;="&amp;DATE(2026,12,1),'2023'!$V$10:$V$127,"&lt;"&amp;DATE(2026,13,1)),2)</f>
        <v/>
      </c>
      <c r="F19" s="31">
        <f>ROUND(AVERAGE($B19:$D19),0)</f>
        <v/>
      </c>
      <c r="G19" s="32">
        <f>IF(SUM($F$8:$F$19)=0,"",$F19/SUM($F$8:$F$19))</f>
        <v/>
      </c>
    </row>
    <row r="20" ht="20" customHeight="1">
      <c r="A20" s="33" t="inlineStr">
        <is>
          <t>TOTAL</t>
        </is>
      </c>
      <c r="B20" s="34">
        <f>ROUND(SUM(B$8:B$19),0)</f>
        <v/>
      </c>
      <c r="C20" s="34">
        <f>ROUND(SUM(C$8:C$19),0)</f>
        <v/>
      </c>
      <c r="D20" s="34">
        <f>ROUND(SUM(D$8:D$19),0)</f>
        <v/>
      </c>
      <c r="E20" s="34">
        <f>ROUND(SUM(E$8:E$19),0)</f>
        <v/>
      </c>
      <c r="F20" s="34">
        <f>ROUND(SUM(F$8:F$19),0)</f>
        <v/>
      </c>
      <c r="G20" s="34" t="n"/>
    </row>
    <row r="22" ht="20" customHeight="1">
      <c r="A22" s="14" t="inlineStr">
        <is>
          <t xml:space="preserve">  PADRÃO SAZONAL DE VENDAS          vendas pela data do contrato · índice = média do mês ÷ média geral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</row>
    <row r="23" ht="26" customHeight="1">
      <c r="A23" s="16" t="inlineStr">
        <is>
          <t>Mês</t>
        </is>
      </c>
      <c r="B23" s="16" t="inlineStr">
        <is>
          <t>2023</t>
        </is>
      </c>
      <c r="C23" s="16" t="inlineStr">
        <is>
          <t>2024</t>
        </is>
      </c>
      <c r="D23" s="16" t="inlineStr">
        <is>
          <t>2025</t>
        </is>
      </c>
      <c r="E23" s="16" t="inlineStr">
        <is>
          <t>2026</t>
        </is>
      </c>
      <c r="F23" s="16" t="inlineStr">
        <is>
          <t>Média 23–25</t>
        </is>
      </c>
      <c r="G23" s="16" t="inlineStr">
        <is>
          <t>Índice</t>
        </is>
      </c>
      <c r="H23" s="16" t="inlineStr">
        <is>
          <t>Dispersão</t>
        </is>
      </c>
      <c r="I23" s="16" t="inlineStr">
        <is>
          <t>Classificação</t>
        </is>
      </c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  <c r="T23" s="16" t="inlineStr"/>
      <c r="U23" s="16" t="inlineStr"/>
      <c r="V23" s="16" t="inlineStr"/>
    </row>
    <row r="24" ht="18" customHeight="1">
      <c r="A24" s="21" t="inlineStr">
        <is>
          <t>Janeiro</t>
        </is>
      </c>
      <c r="B24" s="23">
        <f>'2023'!$C$26</f>
        <v/>
      </c>
      <c r="C24" s="23">
        <f>'2024'!$C$10</f>
        <v/>
      </c>
      <c r="D24" s="23">
        <f>'2025'!$C$10</f>
        <v/>
      </c>
      <c r="E24" s="23">
        <f>'2026'!$C$10</f>
        <v/>
      </c>
      <c r="F24" s="31">
        <f>ROUND(AVERAGE($B24:$D24),0)</f>
        <v/>
      </c>
      <c r="G24" s="35">
        <f>IF($F$36=0,"",$F24/($F$36/12))</f>
        <v/>
      </c>
      <c r="H24" s="36">
        <f>IF(OR($F24=0,COUNT($B24:$D24)&lt;2),"",ROUND(STDEV($B24:$D24)/$F24,2))</f>
        <v/>
      </c>
      <c r="I24" s="37">
        <f>IF($G24="","",IF($H24&gt;0.7,"Irregular",IF($G24&gt;=1.2,"Forte",IF($G24&lt;=0.8,"Fraco","Normal"))))</f>
        <v/>
      </c>
    </row>
    <row r="25" ht="18" customHeight="1">
      <c r="A25" s="21" t="inlineStr">
        <is>
          <t>Fevereiro</t>
        </is>
      </c>
      <c r="B25" s="23">
        <f>'2023'!$C$33</f>
        <v/>
      </c>
      <c r="C25" s="23">
        <f>'2024'!$C$21</f>
        <v/>
      </c>
      <c r="D25" s="23">
        <f>'2025'!$C$20</f>
        <v/>
      </c>
      <c r="E25" s="23">
        <f>'2026'!$C$17</f>
        <v/>
      </c>
      <c r="F25" s="31">
        <f>ROUND(AVERAGE($B25:$D25),0)</f>
        <v/>
      </c>
      <c r="G25" s="35">
        <f>IF($F$36=0,"",$F25/($F$36/12))</f>
        <v/>
      </c>
      <c r="H25" s="36">
        <f>IF(OR($F25=0,COUNT($B25:$D25)&lt;2),"",ROUND(STDEV($B25:$D25)/$F25,2))</f>
        <v/>
      </c>
      <c r="I25" s="37">
        <f>IF($G25="","",IF($H25&gt;0.7,"Irregular",IF($G25&gt;=1.2,"Forte",IF($G25&lt;=0.8,"Fraco","Normal"))))</f>
        <v/>
      </c>
    </row>
    <row r="26" ht="18" customHeight="1">
      <c r="A26" s="21" t="inlineStr">
        <is>
          <t>Março</t>
        </is>
      </c>
      <c r="B26" s="23">
        <f>'2023'!$C$37</f>
        <v/>
      </c>
      <c r="C26" s="23">
        <f>'2024'!$C$35</f>
        <v/>
      </c>
      <c r="D26" s="23">
        <f>'2025'!$C$29</f>
        <v/>
      </c>
      <c r="E26" s="23">
        <f>'2026'!$C$27</f>
        <v/>
      </c>
      <c r="F26" s="31">
        <f>ROUND(AVERAGE($B26:$D26),0)</f>
        <v/>
      </c>
      <c r="G26" s="35">
        <f>IF($F$36=0,"",$F26/($F$36/12))</f>
        <v/>
      </c>
      <c r="H26" s="36">
        <f>IF(OR($F26=0,COUNT($B26:$D26)&lt;2),"",ROUND(STDEV($B26:$D26)/$F26,2))</f>
        <v/>
      </c>
      <c r="I26" s="37">
        <f>IF($G26="","",IF($H26&gt;0.7,"Irregular",IF($G26&gt;=1.2,"Forte",IF($G26&lt;=0.8,"Fraco","Normal"))))</f>
        <v/>
      </c>
    </row>
    <row r="27" ht="18" customHeight="1">
      <c r="A27" s="21" t="inlineStr">
        <is>
          <t>Abril</t>
        </is>
      </c>
      <c r="B27" s="23">
        <f>'2023'!$C$49</f>
        <v/>
      </c>
      <c r="C27" s="23">
        <f>'2024'!$C$43</f>
        <v/>
      </c>
      <c r="D27" s="23">
        <f>'2025'!$C$40</f>
        <v/>
      </c>
      <c r="E27" s="23">
        <f>'2026'!$C$38</f>
        <v/>
      </c>
      <c r="F27" s="31">
        <f>ROUND(AVERAGE($B27:$D27),0)</f>
        <v/>
      </c>
      <c r="G27" s="35">
        <f>IF($F$36=0,"",$F27/($F$36/12))</f>
        <v/>
      </c>
      <c r="H27" s="36">
        <f>IF(OR($F27=0,COUNT($B27:$D27)&lt;2),"",ROUND(STDEV($B27:$D27)/$F27,2))</f>
        <v/>
      </c>
      <c r="I27" s="37">
        <f>IF($G27="","",IF($H27&gt;0.7,"Irregular",IF($G27&gt;=1.2,"Forte",IF($G27&lt;=0.8,"Fraco","Normal"))))</f>
        <v/>
      </c>
    </row>
    <row r="28" ht="18" customHeight="1">
      <c r="A28" s="21" t="inlineStr">
        <is>
          <t>Maio</t>
        </is>
      </c>
      <c r="B28" s="23">
        <f>'2023'!$C$55</f>
        <v/>
      </c>
      <c r="C28" s="23">
        <f>'2024'!$C$49</f>
        <v/>
      </c>
      <c r="D28" s="23">
        <f>'2025'!$C$51</f>
        <v/>
      </c>
      <c r="E28" s="23">
        <f>'2026'!$C$49</f>
        <v/>
      </c>
      <c r="F28" s="31">
        <f>ROUND(AVERAGE($B28:$D28),0)</f>
        <v/>
      </c>
      <c r="G28" s="35">
        <f>IF($F$36=0,"",$F28/($F$36/12))</f>
        <v/>
      </c>
      <c r="H28" s="36">
        <f>IF(OR($F28=0,COUNT($B28:$D28)&lt;2),"",ROUND(STDEV($B28:$D28)/$F28,2))</f>
        <v/>
      </c>
      <c r="I28" s="37">
        <f>IF($G28="","",IF($H28&gt;0.7,"Irregular",IF($G28&gt;=1.2,"Forte",IF($G28&lt;=0.8,"Fraco","Normal"))))</f>
        <v/>
      </c>
    </row>
    <row r="29" ht="18" customHeight="1">
      <c r="A29" s="21" t="inlineStr">
        <is>
          <t>Junho</t>
        </is>
      </c>
      <c r="B29" s="23">
        <f>'2023'!$C$63</f>
        <v/>
      </c>
      <c r="C29" s="23">
        <f>'2024'!$C$57</f>
        <v/>
      </c>
      <c r="D29" s="23">
        <f>'2025'!$C$58</f>
        <v/>
      </c>
      <c r="E29" s="23">
        <f>'2026'!$C$58</f>
        <v/>
      </c>
      <c r="F29" s="31">
        <f>ROUND(AVERAGE($B29:$D29),0)</f>
        <v/>
      </c>
      <c r="G29" s="35">
        <f>IF($F$36=0,"",$F29/($F$36/12))</f>
        <v/>
      </c>
      <c r="H29" s="36">
        <f>IF(OR($F29=0,COUNT($B29:$D29)&lt;2),"",ROUND(STDEV($B29:$D29)/$F29,2))</f>
        <v/>
      </c>
      <c r="I29" s="37">
        <f>IF($G29="","",IF($H29&gt;0.7,"Irregular",IF($G29&gt;=1.2,"Forte",IF($G29&lt;=0.8,"Fraco","Normal"))))</f>
        <v/>
      </c>
    </row>
    <row r="30" ht="18" customHeight="1">
      <c r="A30" s="21" t="inlineStr">
        <is>
          <t>Julho</t>
        </is>
      </c>
      <c r="B30" s="23">
        <f>'2023'!$C$75</f>
        <v/>
      </c>
      <c r="C30" s="23">
        <f>'2024'!$C$63</f>
        <v/>
      </c>
      <c r="D30" s="23">
        <f>'2025'!$C$69</f>
        <v/>
      </c>
      <c r="E30" s="23">
        <f>'2026'!$C$69</f>
        <v/>
      </c>
      <c r="F30" s="31">
        <f>ROUND(AVERAGE($B30:$D30),0)</f>
        <v/>
      </c>
      <c r="G30" s="35">
        <f>IF($F$36=0,"",$F30/($F$36/12))</f>
        <v/>
      </c>
      <c r="H30" s="36">
        <f>IF(OR($F30=0,COUNT($B30:$D30)&lt;2),"",ROUND(STDEV($B30:$D30)/$F30,2))</f>
        <v/>
      </c>
      <c r="I30" s="37">
        <f>IF($G30="","",IF($H30&gt;0.7,"Irregular",IF($G30&gt;=1.2,"Forte",IF($G30&lt;=0.8,"Fraco","Normal"))))</f>
        <v/>
      </c>
    </row>
    <row r="31" ht="18" customHeight="1">
      <c r="A31" s="21" t="inlineStr">
        <is>
          <t>Agosto</t>
        </is>
      </c>
      <c r="B31" s="23">
        <f>'2023'!$C$81</f>
        <v/>
      </c>
      <c r="C31" s="23">
        <f>'2024'!$C$69</f>
        <v/>
      </c>
      <c r="D31" s="23">
        <f>'2025'!$C$78</f>
        <v/>
      </c>
      <c r="E31" s="23">
        <f>'2026'!$C$80</f>
        <v/>
      </c>
      <c r="F31" s="31">
        <f>ROUND(AVERAGE($B31:$D31),0)</f>
        <v/>
      </c>
      <c r="G31" s="35">
        <f>IF($F$36=0,"",$F31/($F$36/12))</f>
        <v/>
      </c>
      <c r="H31" s="36">
        <f>IF(OR($F31=0,COUNT($B31:$D31)&lt;2),"",ROUND(STDEV($B31:$D31)/$F31,2))</f>
        <v/>
      </c>
      <c r="I31" s="37">
        <f>IF($G31="","",IF($H31&gt;0.7,"Irregular",IF($G31&gt;=1.2,"Forte",IF($G31&lt;=0.8,"Fraco","Normal"))))</f>
        <v/>
      </c>
    </row>
    <row r="32" ht="18" customHeight="1">
      <c r="A32" s="21" t="inlineStr">
        <is>
          <t>Setembro</t>
        </is>
      </c>
      <c r="B32" s="23">
        <f>'2023'!$C$90</f>
        <v/>
      </c>
      <c r="C32" s="23">
        <f>'2024'!$C$76</f>
        <v/>
      </c>
      <c r="D32" s="23">
        <f>'2025'!$C$83</f>
        <v/>
      </c>
      <c r="E32" s="23">
        <f>'2026'!$C$88</f>
        <v/>
      </c>
      <c r="F32" s="31">
        <f>ROUND(AVERAGE($B32:$D32),0)</f>
        <v/>
      </c>
      <c r="G32" s="35">
        <f>IF($F$36=0,"",$F32/($F$36/12))</f>
        <v/>
      </c>
      <c r="H32" s="36">
        <f>IF(OR($F32=0,COUNT($B32:$D32)&lt;2),"",ROUND(STDEV($B32:$D32)/$F32,2))</f>
        <v/>
      </c>
      <c r="I32" s="37">
        <f>IF($G32="","",IF($H32&gt;0.7,"Irregular",IF($G32&gt;=1.2,"Forte",IF($G32&lt;=0.8,"Fraco","Normal"))))</f>
        <v/>
      </c>
    </row>
    <row r="33" ht="18" customHeight="1">
      <c r="A33" s="21" t="inlineStr">
        <is>
          <t>Outubro</t>
        </is>
      </c>
      <c r="B33" s="23">
        <f>'2023'!$C$100</f>
        <v/>
      </c>
      <c r="C33" s="23">
        <f>'2024'!$C$84</f>
        <v/>
      </c>
      <c r="D33" s="23">
        <f>'2025'!$C$95</f>
        <v/>
      </c>
      <c r="E33" s="23">
        <f>'2026'!$C$93</f>
        <v/>
      </c>
      <c r="F33" s="31">
        <f>ROUND(AVERAGE($B33:$D33),0)</f>
        <v/>
      </c>
      <c r="G33" s="35">
        <f>IF($F$36=0,"",$F33/($F$36/12))</f>
        <v/>
      </c>
      <c r="H33" s="36">
        <f>IF(OR($F33=0,COUNT($B33:$D33)&lt;2),"",ROUND(STDEV($B33:$D33)/$F33,2))</f>
        <v/>
      </c>
      <c r="I33" s="37">
        <f>IF($G33="","",IF($H33&gt;0.7,"Irregular",IF($G33&gt;=1.2,"Forte",IF($G33&lt;=0.8,"Fraco","Normal"))))</f>
        <v/>
      </c>
    </row>
    <row r="34" ht="18" customHeight="1">
      <c r="A34" s="21" t="inlineStr">
        <is>
          <t>Novembro</t>
        </is>
      </c>
      <c r="B34" s="23">
        <f>'2023'!$C$112</f>
        <v/>
      </c>
      <c r="C34" s="23">
        <f>'2024'!$C$91</f>
        <v/>
      </c>
      <c r="D34" s="23">
        <f>'2025'!$C$100</f>
        <v/>
      </c>
      <c r="E34" s="23">
        <f>'2026'!$C$98</f>
        <v/>
      </c>
      <c r="F34" s="31">
        <f>ROUND(AVERAGE($B34:$D34),0)</f>
        <v/>
      </c>
      <c r="G34" s="35">
        <f>IF($F$36=0,"",$F34/($F$36/12))</f>
        <v/>
      </c>
      <c r="H34" s="36">
        <f>IF(OR($F34=0,COUNT($B34:$D34)&lt;2),"",ROUND(STDEV($B34:$D34)/$F34,2))</f>
        <v/>
      </c>
      <c r="I34" s="37">
        <f>IF($G34="","",IF($H34&gt;0.7,"Irregular",IF($G34&gt;=1.2,"Forte",IF($G34&lt;=0.8,"Fraco","Normal"))))</f>
        <v/>
      </c>
    </row>
    <row r="35" ht="18" customHeight="1">
      <c r="A35" s="21" t="inlineStr">
        <is>
          <t>Dezembro</t>
        </is>
      </c>
      <c r="B35" s="23">
        <f>'2023'!$C$119</f>
        <v/>
      </c>
      <c r="C35" s="23">
        <f>'2024'!$C$99</f>
        <v/>
      </c>
      <c r="D35" s="23">
        <f>'2025'!$C$106</f>
        <v/>
      </c>
      <c r="E35" s="23">
        <f>'2026'!$C$103</f>
        <v/>
      </c>
      <c r="F35" s="31">
        <f>ROUND(AVERAGE($B35:$D35),0)</f>
        <v/>
      </c>
      <c r="G35" s="35">
        <f>IF($F$36=0,"",$F35/($F$36/12))</f>
        <v/>
      </c>
      <c r="H35" s="36">
        <f>IF(OR($F35=0,COUNT($B35:$D35)&lt;2),"",ROUND(STDEV($B35:$D35)/$F35,2))</f>
        <v/>
      </c>
      <c r="I35" s="37">
        <f>IF($G35="","",IF($H35&gt;0.7,"Irregular",IF($G35&gt;=1.2,"Forte",IF($G35&lt;=0.8,"Fraco","Normal"))))</f>
        <v/>
      </c>
    </row>
    <row r="36" ht="20" customHeight="1">
      <c r="A36" s="33" t="inlineStr">
        <is>
          <t>TOTAL / MÉDIA</t>
        </is>
      </c>
      <c r="B36" s="34">
        <f>ROUND(SUM(B$24:B$35),0)</f>
        <v/>
      </c>
      <c r="C36" s="34">
        <f>ROUND(SUM(C$24:C$35),0)</f>
        <v/>
      </c>
      <c r="D36" s="34">
        <f>ROUND(SUM(D$24:D$35),0)</f>
        <v/>
      </c>
      <c r="E36" s="34">
        <f>ROUND(SUM(E$24:E$35),0)</f>
        <v/>
      </c>
      <c r="F36" s="34">
        <f>ROUND(SUM(F$24:F$35),0)</f>
        <v/>
      </c>
      <c r="G36" s="34" t="n"/>
      <c r="H36" s="34" t="n"/>
      <c r="I36" s="34" t="n"/>
    </row>
    <row r="38" ht="20" customHeight="1">
      <c r="A38" s="14" t="inlineStr">
        <is>
          <t xml:space="preserve">  CONCENTRAÇÃO DA CARTEIRA          o quanto o ano depende de poucos projetos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</row>
    <row r="39" ht="26" customHeight="1">
      <c r="A39" s="16" t="inlineStr">
        <is>
          <t>Ano</t>
        </is>
      </c>
      <c r="B39" s="16" t="inlineStr">
        <is>
          <t>Projetos</t>
        </is>
      </c>
      <c r="C39" s="16" t="inlineStr">
        <is>
          <t>Vendido</t>
        </is>
      </c>
      <c r="D39" s="16" t="inlineStr">
        <is>
          <t>Ticket médio</t>
        </is>
      </c>
      <c r="E39" s="16" t="inlineStr">
        <is>
          <t>Maior projeto</t>
        </is>
      </c>
      <c r="F39" s="16" t="inlineStr">
        <is>
          <t>% do maior</t>
        </is>
      </c>
      <c r="G39" s="16" t="inlineStr">
        <is>
          <t>Top 3</t>
        </is>
      </c>
      <c r="H39" s="16" t="inlineStr">
        <is>
          <t>% do top 3</t>
        </is>
      </c>
      <c r="I39" s="16" t="inlineStr">
        <is>
          <t>Leitura</t>
        </is>
      </c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6" t="inlineStr"/>
      <c r="R39" s="16" t="inlineStr"/>
      <c r="S39" s="16" t="inlineStr"/>
      <c r="T39" s="16" t="inlineStr"/>
      <c r="U39" s="16" t="inlineStr"/>
      <c r="V39" s="16" t="inlineStr"/>
    </row>
    <row r="40" ht="19" customHeight="1">
      <c r="A40" s="21" t="inlineStr">
        <is>
          <t>2026</t>
        </is>
      </c>
      <c r="B40" s="22">
        <f>COUNT('2026'!$Y$10:$Y$107)</f>
        <v/>
      </c>
      <c r="C40" s="23">
        <f>'2026'!$A$7</f>
        <v/>
      </c>
      <c r="D40" s="23">
        <f>IF(COUNT('2026'!$Y$10:$Y$107)=0,"",ROUND('2026'!$A$7/COUNT('2026'!$Y$10:$Y$107),0))</f>
        <v/>
      </c>
      <c r="E40" s="23">
        <f>IF(COUNT('2026'!$Y$10:$Y$107)=0,"",MAX('2026'!$Y$10:$Y$107))</f>
        <v/>
      </c>
      <c r="F40" s="32">
        <f>IF(OR(COUNT('2026'!$Y$10:$Y$107)=0,'2026'!$A$7=0),"",MAX('2026'!$Y$10:$Y$107)/'2026'!$A$7)</f>
        <v/>
      </c>
      <c r="G40" s="23">
        <f>IF(COUNT('2026'!$Y$10:$Y$107)&lt;3,"",ROUND(LARGE('2026'!$Y$10:$Y$107,1)+LARGE('2026'!$Y$10:$Y$107,2)+LARGE('2026'!$Y$10:$Y$107,3),0))</f>
        <v/>
      </c>
      <c r="H40" s="32">
        <f>IF(OR($G40="",'2026'!$A$7=0),"",$G40/'2026'!$A$7)</f>
        <v/>
      </c>
      <c r="I40" s="38">
        <f>IF($H40="","",IF($H40&gt;=0.45,"Muito concentrado",IF($H40&gt;=0.3,"Concentrado","Distribuído")))</f>
        <v/>
      </c>
    </row>
    <row r="41" ht="19" customHeight="1">
      <c r="A41" s="21" t="inlineStr">
        <is>
          <t>2025</t>
        </is>
      </c>
      <c r="B41" s="22">
        <f>COUNT('2025'!$Y$10:$Y$112)</f>
        <v/>
      </c>
      <c r="C41" s="23">
        <f>'2025'!$A$7</f>
        <v/>
      </c>
      <c r="D41" s="23">
        <f>IF(COUNT('2025'!$Y$10:$Y$112)=0,"",ROUND('2025'!$A$7/COUNT('2025'!$Y$10:$Y$112),0))</f>
        <v/>
      </c>
      <c r="E41" s="23">
        <f>IF(COUNT('2025'!$Y$10:$Y$112)=0,"",MAX('2025'!$Y$10:$Y$112))</f>
        <v/>
      </c>
      <c r="F41" s="32">
        <f>IF(OR(COUNT('2025'!$Y$10:$Y$112)=0,'2025'!$A$7=0),"",MAX('2025'!$Y$10:$Y$112)/'2025'!$A$7)</f>
        <v/>
      </c>
      <c r="G41" s="23">
        <f>IF(COUNT('2025'!$Y$10:$Y$112)&lt;3,"",ROUND(LARGE('2025'!$Y$10:$Y$112,1)+LARGE('2025'!$Y$10:$Y$112,2)+LARGE('2025'!$Y$10:$Y$112,3),0))</f>
        <v/>
      </c>
      <c r="H41" s="32">
        <f>IF(OR($G41="",'2025'!$A$7=0),"",$G41/'2025'!$A$7)</f>
        <v/>
      </c>
      <c r="I41" s="38">
        <f>IF($H41="","",IF($H41&gt;=0.45,"Muito concentrado",IF($H41&gt;=0.3,"Concentrado","Distribuído")))</f>
        <v/>
      </c>
    </row>
    <row r="42" ht="19" customHeight="1">
      <c r="A42" s="21" t="inlineStr">
        <is>
          <t>2024</t>
        </is>
      </c>
      <c r="B42" s="22">
        <f>COUNT('2024'!$Y$10:$Y$108)</f>
        <v/>
      </c>
      <c r="C42" s="23">
        <f>'2024'!$A$7</f>
        <v/>
      </c>
      <c r="D42" s="23">
        <f>IF(COUNT('2024'!$Y$10:$Y$108)=0,"",ROUND('2024'!$A$7/COUNT('2024'!$Y$10:$Y$108),0))</f>
        <v/>
      </c>
      <c r="E42" s="23">
        <f>IF(COUNT('2024'!$Y$10:$Y$108)=0,"",MAX('2024'!$Y$10:$Y$108))</f>
        <v/>
      </c>
      <c r="F42" s="32">
        <f>IF(OR(COUNT('2024'!$Y$10:$Y$108)=0,'2024'!$A$7=0),"",MAX('2024'!$Y$10:$Y$108)/'2024'!$A$7)</f>
        <v/>
      </c>
      <c r="G42" s="23">
        <f>IF(COUNT('2024'!$Y$10:$Y$108)&lt;3,"",ROUND(LARGE('2024'!$Y$10:$Y$108,1)+LARGE('2024'!$Y$10:$Y$108,2)+LARGE('2024'!$Y$10:$Y$108,3),0))</f>
        <v/>
      </c>
      <c r="H42" s="32">
        <f>IF(OR($G42="",'2024'!$A$7=0),"",$G42/'2024'!$A$7)</f>
        <v/>
      </c>
      <c r="I42" s="38">
        <f>IF($H42="","",IF($H42&gt;=0.45,"Muito concentrado",IF($H42&gt;=0.3,"Concentrado","Distribuído")))</f>
        <v/>
      </c>
    </row>
    <row r="43" ht="19" customHeight="1">
      <c r="A43" s="21" t="inlineStr">
        <is>
          <t>2023</t>
        </is>
      </c>
      <c r="B43" s="22">
        <f>COUNT('2023'!$Y$26:$Y$127)</f>
        <v/>
      </c>
      <c r="C43" s="23">
        <f>'2023'!$A$7</f>
        <v/>
      </c>
      <c r="D43" s="23">
        <f>IF(COUNT('2023'!$Y$26:$Y$127)=0,"",ROUND('2023'!$A$7/COUNT('2023'!$Y$26:$Y$127),0))</f>
        <v/>
      </c>
      <c r="E43" s="23">
        <f>IF(COUNT('2023'!$Y$26:$Y$127)=0,"",MAX('2023'!$Y$26:$Y$127))</f>
        <v/>
      </c>
      <c r="F43" s="32">
        <f>IF(OR(COUNT('2023'!$Y$26:$Y$127)=0,'2023'!$A$7=0),"",MAX('2023'!$Y$26:$Y$127)/'2023'!$A$7)</f>
        <v/>
      </c>
      <c r="G43" s="23">
        <f>IF(COUNT('2023'!$Y$26:$Y$127)&lt;3,"",ROUND(LARGE('2023'!$Y$26:$Y$127,1)+LARGE('2023'!$Y$26:$Y$127,2)+LARGE('2023'!$Y$26:$Y$127,3),0))</f>
        <v/>
      </c>
      <c r="H43" s="32">
        <f>IF(OR($G43="",'2023'!$A$7=0),"",$G43/'2023'!$A$7)</f>
        <v/>
      </c>
      <c r="I43" s="38">
        <f>IF($H43="","",IF($H43&gt;=0.45,"Muito concentrado",IF($H43&gt;=0.3,"Concentrado","Distribuído")))</f>
        <v/>
      </c>
    </row>
    <row r="46" ht="20" customHeight="1">
      <c r="A46" s="14" t="inlineStr">
        <is>
          <t xml:space="preserve">  LEITURA DO PADRÃO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</row>
    <row r="47" ht="30" customHeight="1">
      <c r="A47" s="30">
        <f>"Maior índice de vendas: "&amp;INDEX($A$24:$A$35,MATCH(MAX($G$24:$G$35),$G$24:$G$35,0))&amp;" ("&amp;TEXT(MAX($G$24:$G$35),"0.00")&amp;", classificado como "&amp;INDEX($I$24:$I$35,MATCH(MAX($G$24:$G$35),$G$24:$G$35,0))&amp;"). Menor índice: "&amp;INDEX($A$24:$A$35,MATCH(MIN($G$24:$G$35),$G$24:$G$35,0))&amp;" ("&amp;TEXT(MIN($G$24:$G$35),"0.00")&amp;")."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</row>
    <row r="48" ht="30" customHeight="1">
      <c r="A48" s="30">
        <f>"O mês de padrão MAIS CONFIÁVEL é "&amp;INDEX($A$24:$A$35,MATCH(MIN($H$24:$H$35),$H$24:$H$35,0))&amp;" — dispersão de apenas "&amp;TEXT(MIN($H$24:$H$35),"0.00")&amp;" entre os três anos, com índice "&amp;TEXT(INDEX($G$24:$G$35,MATCH(MIN($H$24:$H$35),$H$24:$H$35,0)),"0.00")&amp;". Esse é o único tipo de mês em que o índice vale como referência de planejamento."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 ht="30" customHeight="1">
      <c r="A49" s="30">
        <f>"Dos 12 meses, "&amp;COUNTIF($I$24:$I$35,"Irregular")&amp;" estão marcados como Irregular e "&amp;COUNTIF($I$24:$I$35,"Normal")&amp;" como Normal. Índice alto com dispersão alta não é sazonalidade: é um projeto grande que caiu naquele mês em um dos anos."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</row>
    <row r="50" ht="30" customHeight="1">
      <c r="A50" s="30">
        <f>"Caixa: o mês que historicamente mais traz dinheiro é "&amp;INDEX($A$8:$A$19,MATCH(MAX($G$8:$G$19),$G$8:$G$19,0))&amp;", com "&amp;TEXT(MAX($G$8:$G$19),"0%")&amp;" do caixa do ano. Repare que o mês de maior VENDA e o de maior CAIXA não coincidem — é o descasamento entre vender e receber."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</row>
    <row r="51" ht="8" customHeight="1"/>
    <row r="52" ht="58" customHeight="1">
      <c r="A52" s="39" t="inlineStr">
        <is>
          <t xml:space="preserve">  Ressalvas honestas sobre a sazonalidade: (1) a base tem três anos fechados — 2023, 2024 e 2025 — e três pontos por mês é pouco para afirmar padrão; trate o índice como sinal, não como previsão. (2) A operação começou em março de 2023, então janeiro e fevereiro daquele ano puxam a média para baixo. (3) Setembro de 2025 sozinho (R$ 572 mil, dois mega-projetos) distorce o mês inteiro — é por isso que a coluna Dispersão existe: quando ela passa de 0,70, a planilha marca o mês como Irregular. (4) 2026 aparece nas tabelas mas fica FORA do cálculo da média, porque o ano não fechou.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</row>
  </sheetData>
  <mergeCells count="13">
    <mergeCell ref="A2:V2"/>
    <mergeCell ref="A52:V52"/>
    <mergeCell ref="A49:V49"/>
    <mergeCell ref="A47:V47"/>
    <mergeCell ref="A1:V1"/>
    <mergeCell ref="A46:V46"/>
    <mergeCell ref="A6:V6"/>
    <mergeCell ref="A22:V22"/>
    <mergeCell ref="A50:V50"/>
    <mergeCell ref="A3:V3"/>
    <mergeCell ref="A4:V4"/>
    <mergeCell ref="A48:V48"/>
    <mergeCell ref="A38:V38"/>
  </mergeCells>
  <conditionalFormatting sqref="G8:G19">
    <cfRule type="expression" priority="1" dxfId="0">
      <formula>AND($G8&lt;&gt;"",$G8&gt;=0.11)</formula>
    </cfRule>
    <cfRule type="expression" priority="2" dxfId="2">
      <formula>AND($G8&lt;&gt;"",$G8&lt;=0.05)</formula>
    </cfRule>
  </conditionalFormatting>
  <conditionalFormatting sqref="I24:I35">
    <cfRule type="expression" priority="3" dxfId="0" stopIfTrue="1">
      <formula>$I24="Forte"</formula>
    </cfRule>
    <cfRule type="expression" priority="4" dxfId="2" stopIfTrue="1">
      <formula>$I24="Fraco"</formula>
    </cfRule>
    <cfRule type="expression" priority="5" dxfId="3" stopIfTrue="1">
      <formula>$I24="Irregular"</formula>
    </cfRule>
  </conditionalFormatting>
  <conditionalFormatting sqref="I40:I43">
    <cfRule type="expression" priority="6" dxfId="2" stopIfTrue="1">
      <formula>$I40="Muito concentrado"</formula>
    </cfRule>
    <cfRule type="expression" priority="7" dxfId="3" stopIfTrue="1">
      <formula>$I40="Concentrado"</formula>
    </cfRule>
    <cfRule type="expression" priority="8" dxfId="0" stopIfTrue="1">
      <formula>$I40="Distribuído"</formula>
    </cfRule>
  </conditionalFormatting>
  <pageMargins left="0.4" right="0.3" top="0.4" bottom="0.3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06"/>
  <sheetViews>
    <sheetView showGridLines="0" workbookViewId="0">
      <pane xSplit="8" ySplit="9" topLeftCell="I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26" customWidth="1" min="4" max="4"/>
    <col width="13" customWidth="1" min="5" max="5"/>
    <col width="14" customWidth="1" min="6" max="6"/>
    <col width="10" customWidth="1" min="7" max="7"/>
    <col width="16" customWidth="1" min="8" max="8"/>
    <col width="13" customWidth="1" min="9" max="9"/>
    <col width="11" customWidth="1" min="10" max="10"/>
    <col width="15" customWidth="1" min="11" max="11"/>
    <col width="13" customWidth="1" min="12" max="12"/>
    <col width="11" customWidth="1" min="13" max="13"/>
    <col width="15" customWidth="1" min="14" max="14"/>
    <col width="13" customWidth="1" min="15" max="15"/>
    <col width="11" customWidth="1" min="16" max="16"/>
    <col width="15" customWidth="1" min="17" max="17"/>
    <col width="13" customWidth="1" min="18" max="18"/>
    <col width="11" customWidth="1" min="19" max="19"/>
    <col width="15" customWidth="1" min="20" max="20"/>
    <col width="13" customWidth="1" min="21" max="21"/>
    <col width="11" customWidth="1" min="22" max="22"/>
    <col width="15" customWidth="1" min="23" max="23"/>
    <col hidden="1" width="3" customWidth="1" min="24" max="24"/>
    <col hidden="1" width="3" customWidth="1" min="25" max="2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8" customHeight="1">
      <c r="A3" s="4" t="inlineStr">
        <is>
          <t>CONTROLE DE PAGAMENTOS · 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 ht="17" customHeight="1">
      <c r="A4" s="6" t="inlineStr">
        <is>
          <t>Uma linha por projeto · fundo creme = você preenche · fundo cinza = calculado · Recebido, Saldo, % e Situação saem sozinhos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6" customHeight="1"/>
    <row r="6" ht="14" customHeight="1">
      <c r="A6" s="8" t="inlineStr">
        <is>
          <t>VENDIDO NO ANO</t>
        </is>
      </c>
      <c r="B6" s="9" t="n"/>
      <c r="C6" s="9" t="n"/>
      <c r="D6" s="8" t="inlineStr">
        <is>
          <t>RECEBIDO</t>
        </is>
      </c>
      <c r="E6" s="9" t="n"/>
      <c r="F6" s="8" t="inlineStr">
        <is>
          <t>A RECEBER</t>
        </is>
      </c>
      <c r="G6" s="9" t="n"/>
      <c r="H6" s="8" t="inlineStr">
        <is>
          <t>% RECEBIDO</t>
        </is>
      </c>
      <c r="I6" s="8" t="inlineStr">
        <is>
          <t>META DO ANO</t>
        </is>
      </c>
      <c r="J6" s="9" t="n"/>
      <c r="K6" s="9" t="n"/>
      <c r="L6" s="8" t="inlineStr">
        <is>
          <t>% DA META</t>
        </is>
      </c>
      <c r="M6" s="9" t="n"/>
      <c r="N6" s="9" t="n"/>
      <c r="O6" s="8" t="inlineStr">
        <is>
          <t>FALTA PARA A META</t>
        </is>
      </c>
      <c r="P6" s="9" t="n"/>
      <c r="Q6" s="9" t="n"/>
      <c r="R6" s="8" t="inlineStr">
        <is>
          <t>CONFERÊNCIA</t>
        </is>
      </c>
      <c r="S6" s="9" t="n"/>
      <c r="T6" s="9" t="n"/>
      <c r="U6" s="9" t="n"/>
      <c r="V6" s="9" t="n"/>
      <c r="W6" s="9" t="n"/>
    </row>
    <row r="7" ht="30" customHeight="1">
      <c r="A7" s="40">
        <f>ROUND(SUMPRODUCT((COUNTIF(Listas!$A$2:$A$15,$A$10:$A$106)=0)*$C$10:$C$106),2)</f>
        <v/>
      </c>
      <c r="B7" s="11" t="n"/>
      <c r="C7" s="11" t="n"/>
      <c r="D7" s="40">
        <f>ROUND(SUM($I$10:$I$106,$L$10:$L$106,$O$10:$O$106,$R$10:$R$106,$U$10:$U$106),2)</f>
        <v/>
      </c>
      <c r="E7" s="11" t="n"/>
      <c r="F7" s="40">
        <f>ROUND($A$7-$D$7,2)</f>
        <v/>
      </c>
      <c r="G7" s="11" t="n"/>
      <c r="H7" s="41">
        <f>IF($A$7=0,"",$D$7/$A$7)</f>
        <v/>
      </c>
      <c r="I7" s="42" t="n">
        <v>3000000</v>
      </c>
      <c r="J7" s="11" t="n"/>
      <c r="K7" s="11" t="n"/>
      <c r="L7" s="43">
        <f>IF(OR($I$7="",$I$7=0),"",$A$7/$I$7)</f>
        <v/>
      </c>
      <c r="M7" s="11" t="n"/>
      <c r="N7" s="11" t="n"/>
      <c r="O7" s="40">
        <f>IF(OR($I$7="",$I$7=0),"",MAX(0,$I$7-$A$7))</f>
        <v/>
      </c>
      <c r="P7" s="11" t="n"/>
      <c r="Q7" s="11" t="n"/>
      <c r="R7" s="44">
        <f>IF(ROUND(($C$10+$C$17+$C$27+$C$38+$C$49+$C$58+$C$69+$C$80+$C$88+$C$93+$C$98+$C$103)-$A$7,2)=0,"OK · os meses somam igual às linhas","DIVERGE em "&amp;TEXT(($C$10+$C$17+$C$27+$C$38+$C$49+$C$58+$C$69+$C$80+$C$88+$C$93+$C$98+$C$103)-$A$7,"R$ #,##0.00")&amp; " — confira se alguma linha ficou fora de um bloco de mês")</f>
        <v/>
      </c>
      <c r="S7" s="11" t="n"/>
      <c r="T7" s="11" t="n"/>
      <c r="U7" s="11" t="n"/>
      <c r="V7" s="11" t="n"/>
      <c r="W7" s="11" t="n"/>
    </row>
    <row r="8" ht="8" customHeight="1"/>
    <row r="9" ht="30" customHeight="1">
      <c r="A9" s="16" t="inlineStr">
        <is>
          <t>Cliente</t>
        </is>
      </c>
      <c r="B9" s="16" t="inlineStr">
        <is>
          <t>Projeto</t>
        </is>
      </c>
      <c r="C9" s="16" t="inlineStr">
        <is>
          <t>Investimento</t>
        </is>
      </c>
      <c r="D9" s="16" t="inlineStr">
        <is>
          <t>Forma de pagamento</t>
        </is>
      </c>
      <c r="E9" s="16" t="inlineStr">
        <is>
          <t>Recebido</t>
        </is>
      </c>
      <c r="F9" s="16" t="inlineStr">
        <is>
          <t>Saldo a receber</t>
        </is>
      </c>
      <c r="G9" s="16" t="inlineStr">
        <is>
          <t>% recebido</t>
        </is>
      </c>
      <c r="H9" s="16" t="inlineStr">
        <is>
          <t>Situação</t>
        </is>
      </c>
      <c r="I9" s="16" t="inlineStr">
        <is>
          <t>1º Pagt. (R$)</t>
        </is>
      </c>
      <c r="J9" s="16" t="inlineStr">
        <is>
          <t>Data</t>
        </is>
      </c>
      <c r="K9" s="16" t="inlineStr">
        <is>
          <t>Descrição</t>
        </is>
      </c>
      <c r="L9" s="16" t="inlineStr">
        <is>
          <t>2º Pagt. (R$)</t>
        </is>
      </c>
      <c r="M9" s="16" t="inlineStr">
        <is>
          <t>Data</t>
        </is>
      </c>
      <c r="N9" s="16" t="inlineStr">
        <is>
          <t>Descrição</t>
        </is>
      </c>
      <c r="O9" s="16" t="inlineStr">
        <is>
          <t>3º Pagt. (R$)</t>
        </is>
      </c>
      <c r="P9" s="16" t="inlineStr">
        <is>
          <t>Data</t>
        </is>
      </c>
      <c r="Q9" s="16" t="inlineStr">
        <is>
          <t>Descrição</t>
        </is>
      </c>
      <c r="R9" s="16" t="inlineStr">
        <is>
          <t>4º Pagt. (R$)</t>
        </is>
      </c>
      <c r="S9" s="16" t="inlineStr">
        <is>
          <t>Data</t>
        </is>
      </c>
      <c r="T9" s="16" t="inlineStr">
        <is>
          <t>Descrição</t>
        </is>
      </c>
      <c r="U9" s="16" t="inlineStr">
        <is>
          <t>5º Pagt. (R$)</t>
        </is>
      </c>
      <c r="V9" s="16" t="inlineStr">
        <is>
          <t>Data</t>
        </is>
      </c>
      <c r="W9" s="16" t="inlineStr">
        <is>
          <t>Descrição</t>
        </is>
      </c>
      <c r="X9" s="16" t="inlineStr">
        <is>
          <t>aux</t>
        </is>
      </c>
      <c r="Y9" s="16" t="inlineStr">
        <is>
          <t>aux2</t>
        </is>
      </c>
    </row>
    <row r="10" ht="20" customHeight="1">
      <c r="A10" s="33" t="inlineStr">
        <is>
          <t>Janeiro</t>
        </is>
      </c>
      <c r="B10" s="45" t="n"/>
      <c r="C10" s="46">
        <f>SUM(C11:C15)</f>
        <v/>
      </c>
      <c r="D10" s="45" t="n"/>
      <c r="E10" s="46">
        <f>SUM(E11:E15)</f>
        <v/>
      </c>
      <c r="F10" s="46">
        <f>SUM(F11:F15)</f>
        <v/>
      </c>
      <c r="G10" s="47">
        <f>IF(OR(C10="",C10=0),"",E10/C10)</f>
        <v/>
      </c>
      <c r="H10" s="48">
        <f>COUNT(C11:C15)&amp;" projeto(s)"</f>
        <v/>
      </c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</row>
    <row r="11" ht="17" customHeight="1">
      <c r="A11" s="49" t="inlineStr">
        <is>
          <t>Luiz</t>
        </is>
      </c>
      <c r="B11" s="49" t="inlineStr">
        <is>
          <t>casa completa</t>
        </is>
      </c>
      <c r="C11" s="50" t="n">
        <v>87680</v>
      </c>
      <c r="D11" s="49" t="inlineStr">
        <is>
          <t>10 vezes sem juros no cartao</t>
        </is>
      </c>
      <c r="E11" s="51">
        <f>IF($C11="","",ROUND(SUM(I11,L11,O11,R11,U11),2))</f>
        <v/>
      </c>
      <c r="F11" s="52">
        <f>IF($C11="","",ROUND($C11-$E11,2))</f>
        <v/>
      </c>
      <c r="G11" s="24">
        <f>IF(OR($C11="",$C11=0),"",$E11/$C11)</f>
        <v/>
      </c>
      <c r="H11" s="53">
        <f>IF($C11="","",IF($E11=0,"A receber",IF(ROUND($F11,2)=0,"Quitado",IF($F11&lt;0,"Recebido a mais","Parcial"))))</f>
        <v/>
      </c>
      <c r="I11" s="54" t="n">
        <v>87680</v>
      </c>
      <c r="J11" s="55" t="n">
        <v>46036</v>
      </c>
      <c r="K11" s="56" t="inlineStr">
        <is>
          <t>cartao</t>
        </is>
      </c>
      <c r="L11" s="54" t="n"/>
      <c r="M11" s="55" t="n"/>
      <c r="N11" s="56" t="n"/>
      <c r="O11" s="54" t="n"/>
      <c r="P11" s="55" t="n"/>
      <c r="Q11" s="56" t="n"/>
      <c r="R11" s="54" t="n"/>
      <c r="S11" s="55" t="n"/>
      <c r="T11" s="56" t="n"/>
      <c r="U11" s="54" t="n"/>
      <c r="V11" s="55" t="n"/>
      <c r="W11" s="56" t="n"/>
      <c r="X11" s="57">
        <f>IF($C11="","",$F11)</f>
        <v/>
      </c>
      <c r="Y11" s="57">
        <f>IF($C11="","",$C11)</f>
        <v/>
      </c>
    </row>
    <row r="12" ht="17" customHeight="1">
      <c r="A12" s="49" t="inlineStr">
        <is>
          <t>Raquel</t>
        </is>
      </c>
      <c r="B12" s="49" t="inlineStr">
        <is>
          <t>Quarto</t>
        </is>
      </c>
      <c r="C12" s="50" t="n">
        <v>22600</v>
      </c>
      <c r="D12" s="49" t="inlineStr">
        <is>
          <t>50% entrada + 5 vezes no cartao</t>
        </is>
      </c>
      <c r="E12" s="51">
        <f>IF($C12="","",ROUND(SUM(I12,L12,O12,R12,U12),2))</f>
        <v/>
      </c>
      <c r="F12" s="52">
        <f>IF($C12="","",ROUND($C12-$E12,2))</f>
        <v/>
      </c>
      <c r="G12" s="24">
        <f>IF(OR($C12="",$C12=0),"",$E12/$C12)</f>
        <v/>
      </c>
      <c r="H12" s="53">
        <f>IF($C12="","",IF($E12=0,"A receber",IF(ROUND($F12,2)=0,"Quitado",IF($F12&lt;0,"Recebido a mais","Parcial"))))</f>
        <v/>
      </c>
      <c r="I12" s="54" t="n">
        <v>11300</v>
      </c>
      <c r="J12" s="55" t="n">
        <v>46048</v>
      </c>
      <c r="K12" s="56" t="inlineStr">
        <is>
          <t>pix</t>
        </is>
      </c>
      <c r="L12" s="54" t="n">
        <v>11300</v>
      </c>
      <c r="M12" s="55" t="n">
        <v>46129</v>
      </c>
      <c r="N12" s="56" t="inlineStr">
        <is>
          <t>pix</t>
        </is>
      </c>
      <c r="O12" s="54" t="n"/>
      <c r="P12" s="55" t="n"/>
      <c r="Q12" s="56" t="n"/>
      <c r="R12" s="54" t="n"/>
      <c r="S12" s="55" t="n"/>
      <c r="T12" s="56" t="n"/>
      <c r="U12" s="54" t="n"/>
      <c r="V12" s="55" t="n"/>
      <c r="W12" s="56" t="n"/>
      <c r="X12" s="57">
        <f>IF($C12="","",$F12)</f>
        <v/>
      </c>
      <c r="Y12" s="57">
        <f>IF($C12="","",$C12)</f>
        <v/>
      </c>
    </row>
    <row r="13" ht="17" customHeight="1">
      <c r="A13" s="49" t="n"/>
      <c r="B13" s="49" t="n"/>
      <c r="C13" s="50" t="n"/>
      <c r="D13" s="49" t="n"/>
      <c r="E13" s="51">
        <f>IF($C13="","",ROUND(SUM(I13,L13,O13,R13,U13),2))</f>
        <v/>
      </c>
      <c r="F13" s="52">
        <f>IF($C13="","",ROUND($C13-$E13,2))</f>
        <v/>
      </c>
      <c r="G13" s="24">
        <f>IF(OR($C13="",$C13=0),"",$E13/$C13)</f>
        <v/>
      </c>
      <c r="H13" s="53">
        <f>IF($C13="","",IF($E13=0,"A receber",IF(ROUND($F13,2)=0,"Quitado",IF($F13&lt;0,"Recebido a mais","Parcial"))))</f>
        <v/>
      </c>
      <c r="I13" s="54" t="n"/>
      <c r="J13" s="55" t="n"/>
      <c r="K13" s="56" t="n"/>
      <c r="L13" s="54" t="n"/>
      <c r="M13" s="55" t="n"/>
      <c r="N13" s="56" t="n"/>
      <c r="O13" s="54" t="n"/>
      <c r="P13" s="55" t="n"/>
      <c r="Q13" s="56" t="n"/>
      <c r="R13" s="54" t="n"/>
      <c r="S13" s="55" t="n"/>
      <c r="T13" s="56" t="n"/>
      <c r="U13" s="54" t="n"/>
      <c r="V13" s="55" t="n"/>
      <c r="W13" s="56" t="n"/>
      <c r="X13" s="57">
        <f>IF($C13="","",$F13)</f>
        <v/>
      </c>
      <c r="Y13" s="57">
        <f>IF($C13="","",$C13)</f>
        <v/>
      </c>
    </row>
    <row r="14" ht="17" customHeight="1">
      <c r="A14" s="49" t="n"/>
      <c r="B14" s="49" t="n"/>
      <c r="C14" s="50" t="n"/>
      <c r="D14" s="49" t="n"/>
      <c r="E14" s="51">
        <f>IF($C14="","",ROUND(SUM(I14,L14,O14,R14,U14),2))</f>
        <v/>
      </c>
      <c r="F14" s="52">
        <f>IF($C14="","",ROUND($C14-$E14,2))</f>
        <v/>
      </c>
      <c r="G14" s="24">
        <f>IF(OR($C14="",$C14=0),"",$E14/$C14)</f>
        <v/>
      </c>
      <c r="H14" s="53">
        <f>IF($C14="","",IF($E14=0,"A receber",IF(ROUND($F14,2)=0,"Quitado",IF($F14&lt;0,"Recebido a mais","Parcial"))))</f>
        <v/>
      </c>
      <c r="I14" s="54" t="n"/>
      <c r="J14" s="55" t="n"/>
      <c r="K14" s="56" t="n"/>
      <c r="L14" s="54" t="n"/>
      <c r="M14" s="55" t="n"/>
      <c r="N14" s="56" t="n"/>
      <c r="O14" s="54" t="n"/>
      <c r="P14" s="55" t="n"/>
      <c r="Q14" s="56" t="n"/>
      <c r="R14" s="54" t="n"/>
      <c r="S14" s="55" t="n"/>
      <c r="T14" s="56" t="n"/>
      <c r="U14" s="54" t="n"/>
      <c r="V14" s="55" t="n"/>
      <c r="W14" s="56" t="n"/>
      <c r="X14" s="57">
        <f>IF($C14="","",$F14)</f>
        <v/>
      </c>
      <c r="Y14" s="57">
        <f>IF($C14="","",$C14)</f>
        <v/>
      </c>
    </row>
    <row r="15" ht="17" customHeight="1">
      <c r="A15" s="49" t="n"/>
      <c r="B15" s="49" t="n"/>
      <c r="C15" s="50" t="n"/>
      <c r="D15" s="49" t="n"/>
      <c r="E15" s="51">
        <f>IF($C15="","",ROUND(SUM(I15,L15,O15,R15,U15),2))</f>
        <v/>
      </c>
      <c r="F15" s="52">
        <f>IF($C15="","",ROUND($C15-$E15,2))</f>
        <v/>
      </c>
      <c r="G15" s="24">
        <f>IF(OR($C15="",$C15=0),"",$E15/$C15)</f>
        <v/>
      </c>
      <c r="H15" s="53">
        <f>IF($C15="","",IF($E15=0,"A receber",IF(ROUND($F15,2)=0,"Quitado",IF($F15&lt;0,"Recebido a mais","Parcial"))))</f>
        <v/>
      </c>
      <c r="I15" s="54" t="n"/>
      <c r="J15" s="55" t="n"/>
      <c r="K15" s="56" t="n"/>
      <c r="L15" s="54" t="n"/>
      <c r="M15" s="55" t="n"/>
      <c r="N15" s="56" t="n"/>
      <c r="O15" s="54" t="n"/>
      <c r="P15" s="55" t="n"/>
      <c r="Q15" s="56" t="n"/>
      <c r="R15" s="54" t="n"/>
      <c r="S15" s="55" t="n"/>
      <c r="T15" s="56" t="n"/>
      <c r="U15" s="54" t="n"/>
      <c r="V15" s="55" t="n"/>
      <c r="W15" s="56" t="n"/>
      <c r="X15" s="57">
        <f>IF($C15="","",$F15)</f>
        <v/>
      </c>
      <c r="Y15" s="57">
        <f>IF($C15="","",$C15)</f>
        <v/>
      </c>
    </row>
    <row r="16" ht="6" customHeight="1"/>
    <row r="17" ht="20" customHeight="1">
      <c r="A17" s="33" t="inlineStr">
        <is>
          <t>Fevereiro</t>
        </is>
      </c>
      <c r="B17" s="45" t="n"/>
      <c r="C17" s="46">
        <f>SUM(C18:C25)</f>
        <v/>
      </c>
      <c r="D17" s="45" t="n"/>
      <c r="E17" s="46">
        <f>SUM(E18:E25)</f>
        <v/>
      </c>
      <c r="F17" s="46">
        <f>SUM(F18:F25)</f>
        <v/>
      </c>
      <c r="G17" s="47">
        <f>IF(OR(C17="",C17=0),"",E17/C17)</f>
        <v/>
      </c>
      <c r="H17" s="48">
        <f>COUNT(C18:C25)&amp;" projeto(s)"</f>
        <v/>
      </c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</row>
    <row r="18" ht="17" customHeight="1">
      <c r="A18" s="49" t="inlineStr">
        <is>
          <t>Matheus</t>
        </is>
      </c>
      <c r="B18" s="49" t="inlineStr">
        <is>
          <t>Painel</t>
        </is>
      </c>
      <c r="C18" s="50" t="n">
        <v>9180</v>
      </c>
      <c r="D18" s="49" t="inlineStr">
        <is>
          <t>50% + 50%</t>
        </is>
      </c>
      <c r="E18" s="51">
        <f>IF($C18="","",ROUND(SUM(I18,L18,O18,R18,U18),2))</f>
        <v/>
      </c>
      <c r="F18" s="52">
        <f>IF($C18="","",ROUND($C18-$E18,2))</f>
        <v/>
      </c>
      <c r="G18" s="24">
        <f>IF(OR($C18="",$C18=0),"",$E18/$C18)</f>
        <v/>
      </c>
      <c r="H18" s="53">
        <f>IF($C18="","",IF($E18=0,"A receber",IF(ROUND($F18,2)=0,"Quitado",IF($F18&lt;0,"Recebido a mais","Parcial"))))</f>
        <v/>
      </c>
      <c r="I18" s="54" t="n">
        <v>4590</v>
      </c>
      <c r="J18" s="55" t="n">
        <v>46058</v>
      </c>
      <c r="K18" s="56" t="inlineStr">
        <is>
          <t>pix</t>
        </is>
      </c>
      <c r="L18" s="54" t="n">
        <v>4590</v>
      </c>
      <c r="M18" s="55" t="n">
        <v>46090</v>
      </c>
      <c r="N18" s="56" t="inlineStr">
        <is>
          <t>pix</t>
        </is>
      </c>
      <c r="O18" s="54" t="n"/>
      <c r="P18" s="55" t="n"/>
      <c r="Q18" s="56" t="n"/>
      <c r="R18" s="54" t="n"/>
      <c r="S18" s="55" t="n"/>
      <c r="T18" s="56" t="n"/>
      <c r="U18" s="54" t="n"/>
      <c r="V18" s="55" t="n"/>
      <c r="W18" s="56" t="n"/>
      <c r="X18" s="57">
        <f>IF($C18="","",$F18)</f>
        <v/>
      </c>
      <c r="Y18" s="57">
        <f>IF($C18="","",$C18)</f>
        <v/>
      </c>
    </row>
    <row r="19" ht="17" customHeight="1">
      <c r="A19" s="49" t="inlineStr">
        <is>
          <t>Bibiane</t>
        </is>
      </c>
      <c r="B19" s="49" t="inlineStr">
        <is>
          <t>Casa completa</t>
        </is>
      </c>
      <c r="C19" s="50" t="n">
        <v>68000</v>
      </c>
      <c r="D19" s="49" t="inlineStr">
        <is>
          <t>30 mil entrada + restante no final</t>
        </is>
      </c>
      <c r="E19" s="51">
        <f>IF($C19="","",ROUND(SUM(I19,L19,O19,R19,U19),2))</f>
        <v/>
      </c>
      <c r="F19" s="52">
        <f>IF($C19="","",ROUND($C19-$E19,2))</f>
        <v/>
      </c>
      <c r="G19" s="24">
        <f>IF(OR($C19="",$C19=0),"",$E19/$C19)</f>
        <v/>
      </c>
      <c r="H19" s="53">
        <f>IF($C19="","",IF($E19=0,"A receber",IF(ROUND($F19,2)=0,"Quitado",IF($F19&lt;0,"Recebido a mais","Parcial"))))</f>
        <v/>
      </c>
      <c r="I19" s="54" t="n">
        <v>30000</v>
      </c>
      <c r="J19" s="55" t="n">
        <v>46062</v>
      </c>
      <c r="K19" s="56" t="inlineStr">
        <is>
          <t>pix</t>
        </is>
      </c>
      <c r="L19" s="54" t="n">
        <v>10000</v>
      </c>
      <c r="M19" s="55" t="n">
        <v>46099</v>
      </c>
      <c r="N19" s="56" t="inlineStr">
        <is>
          <t>pix</t>
        </is>
      </c>
      <c r="O19" s="54" t="n">
        <v>10000</v>
      </c>
      <c r="P19" s="55" t="n">
        <v>46106</v>
      </c>
      <c r="Q19" s="56" t="inlineStr">
        <is>
          <t>pix</t>
        </is>
      </c>
      <c r="R19" s="54" t="n">
        <v>18000</v>
      </c>
      <c r="S19" s="55" t="n">
        <v>46140</v>
      </c>
      <c r="T19" s="56" t="inlineStr">
        <is>
          <t>pix</t>
        </is>
      </c>
      <c r="U19" s="54" t="n"/>
      <c r="V19" s="55" t="n"/>
      <c r="W19" s="56" t="n"/>
      <c r="X19" s="57">
        <f>IF($C19="","",$F19)</f>
        <v/>
      </c>
      <c r="Y19" s="57">
        <f>IF($C19="","",$C19)</f>
        <v/>
      </c>
    </row>
    <row r="20" ht="17" customHeight="1">
      <c r="A20" s="49" t="inlineStr">
        <is>
          <t>Bruna</t>
        </is>
      </c>
      <c r="B20" s="49" t="inlineStr">
        <is>
          <t>Quarto filha</t>
        </is>
      </c>
      <c r="C20" s="50" t="n">
        <v>10150</v>
      </c>
      <c r="D20" s="49" t="inlineStr">
        <is>
          <t>50% + 10vezes no cartao</t>
        </is>
      </c>
      <c r="E20" s="51">
        <f>IF($C20="","",ROUND(SUM(I20,L20,O20,R20,U20),2))</f>
        <v/>
      </c>
      <c r="F20" s="52">
        <f>IF($C20="","",ROUND($C20-$E20,2))</f>
        <v/>
      </c>
      <c r="G20" s="24">
        <f>IF(OR($C20="",$C20=0),"",$E20/$C20)</f>
        <v/>
      </c>
      <c r="H20" s="53">
        <f>IF($C20="","",IF($E20=0,"A receber",IF(ROUND($F20,2)=0,"Quitado",IF($F20&lt;0,"Recebido a mais","Parcial"))))</f>
        <v/>
      </c>
      <c r="I20" s="54" t="n">
        <v>5000</v>
      </c>
      <c r="J20" s="55" t="n">
        <v>46065</v>
      </c>
      <c r="K20" s="56" t="inlineStr">
        <is>
          <t>pix</t>
        </is>
      </c>
      <c r="L20" s="54" t="n">
        <v>5150</v>
      </c>
      <c r="M20" s="55" t="n">
        <v>46138</v>
      </c>
      <c r="N20" s="56" t="inlineStr">
        <is>
          <t>cartao</t>
        </is>
      </c>
      <c r="O20" s="54" t="n"/>
      <c r="P20" s="55" t="n"/>
      <c r="Q20" s="56" t="n"/>
      <c r="R20" s="54" t="n"/>
      <c r="S20" s="55" t="n"/>
      <c r="T20" s="56" t="n"/>
      <c r="U20" s="54" t="n"/>
      <c r="V20" s="55" t="n"/>
      <c r="W20" s="56" t="n"/>
      <c r="X20" s="57">
        <f>IF($C20="","",$F20)</f>
        <v/>
      </c>
      <c r="Y20" s="57">
        <f>IF($C20="","",$C20)</f>
        <v/>
      </c>
    </row>
    <row r="21" ht="17" customHeight="1">
      <c r="A21" s="49" t="inlineStr">
        <is>
          <t>Augusto</t>
        </is>
      </c>
      <c r="B21" s="49" t="inlineStr">
        <is>
          <t>Apt</t>
        </is>
      </c>
      <c r="C21" s="50" t="n">
        <v>90000</v>
      </c>
      <c r="D21" s="49" t="inlineStr">
        <is>
          <t>Entrada 70% + final de 30%</t>
        </is>
      </c>
      <c r="E21" s="51">
        <f>IF($C21="","",ROUND(SUM(I21,L21,O21,R21,U21),2))</f>
        <v/>
      </c>
      <c r="F21" s="52">
        <f>IF($C21="","",ROUND($C21-$E21,2))</f>
        <v/>
      </c>
      <c r="G21" s="24">
        <f>IF(OR($C21="",$C21=0),"",$E21/$C21)</f>
        <v/>
      </c>
      <c r="H21" s="53">
        <f>IF($C21="","",IF($E21=0,"A receber",IF(ROUND($F21,2)=0,"Quitado",IF($F21&lt;0,"Recebido a mais","Parcial"))))</f>
        <v/>
      </c>
      <c r="I21" s="54" t="n">
        <v>63000</v>
      </c>
      <c r="J21" s="55" t="n">
        <v>46072</v>
      </c>
      <c r="K21" s="56" t="inlineStr">
        <is>
          <t>pix</t>
        </is>
      </c>
      <c r="L21" s="54" t="n"/>
      <c r="M21" s="55" t="n"/>
      <c r="N21" s="56" t="n"/>
      <c r="O21" s="54" t="n"/>
      <c r="P21" s="55" t="n"/>
      <c r="Q21" s="56" t="n"/>
      <c r="R21" s="54" t="n"/>
      <c r="S21" s="55" t="n"/>
      <c r="T21" s="56" t="n"/>
      <c r="U21" s="54" t="n"/>
      <c r="V21" s="55" t="n"/>
      <c r="W21" s="56" t="n"/>
      <c r="X21" s="57">
        <f>IF($C21="","",$F21)</f>
        <v/>
      </c>
      <c r="Y21" s="57">
        <f>IF($C21="","",$C21)</f>
        <v/>
      </c>
    </row>
    <row r="22" ht="17" customHeight="1">
      <c r="A22" s="49" t="inlineStr">
        <is>
          <t>Sylvia</t>
        </is>
      </c>
      <c r="B22" s="49" t="inlineStr">
        <is>
          <t>painel e quarto filhas</t>
        </is>
      </c>
      <c r="C22" s="50" t="n">
        <v>24345</v>
      </c>
      <c r="D22" s="49" t="inlineStr">
        <is>
          <t>entrada de 30% + restante em 10 vz</t>
        </is>
      </c>
      <c r="E22" s="51">
        <f>IF($C22="","",ROUND(SUM(I22,L22,O22,R22,U22),2))</f>
        <v/>
      </c>
      <c r="F22" s="52">
        <f>IF($C22="","",ROUND($C22-$E22,2))</f>
        <v/>
      </c>
      <c r="G22" s="24">
        <f>IF(OR($C22="",$C22=0),"",$E22/$C22)</f>
        <v/>
      </c>
      <c r="H22" s="53">
        <f>IF($C22="","",IF($E22=0,"A receber",IF(ROUND($F22,2)=0,"Quitado",IF($F22&lt;0,"Recebido a mais","Parcial"))))</f>
        <v/>
      </c>
      <c r="I22" s="54" t="n">
        <v>17045</v>
      </c>
      <c r="J22" s="55" t="n">
        <v>46084</v>
      </c>
      <c r="K22" s="56" t="inlineStr">
        <is>
          <t>cartao</t>
        </is>
      </c>
      <c r="L22" s="54" t="n">
        <v>7300</v>
      </c>
      <c r="M22" s="55" t="n">
        <v>46093</v>
      </c>
      <c r="N22" s="56" t="inlineStr">
        <is>
          <t>pix</t>
        </is>
      </c>
      <c r="O22" s="54" t="n"/>
      <c r="P22" s="55" t="n"/>
      <c r="Q22" s="56" t="n"/>
      <c r="R22" s="54" t="n"/>
      <c r="S22" s="55" t="n"/>
      <c r="T22" s="56" t="n"/>
      <c r="U22" s="54" t="n"/>
      <c r="V22" s="55" t="n"/>
      <c r="W22" s="56" t="n"/>
      <c r="X22" s="57">
        <f>IF($C22="","",$F22)</f>
        <v/>
      </c>
      <c r="Y22" s="57">
        <f>IF($C22="","",$C22)</f>
        <v/>
      </c>
    </row>
    <row r="23" ht="17" customHeight="1">
      <c r="A23" s="49" t="n"/>
      <c r="B23" s="49" t="n"/>
      <c r="C23" s="50" t="n"/>
      <c r="D23" s="49" t="n"/>
      <c r="E23" s="51">
        <f>IF($C23="","",ROUND(SUM(I23,L23,O23,R23,U23),2))</f>
        <v/>
      </c>
      <c r="F23" s="52">
        <f>IF($C23="","",ROUND($C23-$E23,2))</f>
        <v/>
      </c>
      <c r="G23" s="24">
        <f>IF(OR($C23="",$C23=0),"",$E23/$C23)</f>
        <v/>
      </c>
      <c r="H23" s="53">
        <f>IF($C23="","",IF($E23=0,"A receber",IF(ROUND($F23,2)=0,"Quitado",IF($F23&lt;0,"Recebido a mais","Parcial"))))</f>
        <v/>
      </c>
      <c r="I23" s="54" t="n"/>
      <c r="J23" s="55" t="n"/>
      <c r="K23" s="56" t="n"/>
      <c r="L23" s="54" t="n"/>
      <c r="M23" s="55" t="n"/>
      <c r="N23" s="56" t="n"/>
      <c r="O23" s="54" t="n"/>
      <c r="P23" s="55" t="n"/>
      <c r="Q23" s="56" t="n"/>
      <c r="R23" s="54" t="n"/>
      <c r="S23" s="55" t="n"/>
      <c r="T23" s="56" t="n"/>
      <c r="U23" s="54" t="n"/>
      <c r="V23" s="55" t="n"/>
      <c r="W23" s="56" t="n"/>
      <c r="X23" s="57">
        <f>IF($C23="","",$F23)</f>
        <v/>
      </c>
      <c r="Y23" s="57">
        <f>IF($C23="","",$C23)</f>
        <v/>
      </c>
    </row>
    <row r="24" ht="17" customHeight="1">
      <c r="A24" s="49" t="n"/>
      <c r="B24" s="49" t="n"/>
      <c r="C24" s="50" t="n"/>
      <c r="D24" s="49" t="n"/>
      <c r="E24" s="51">
        <f>IF($C24="","",ROUND(SUM(I24,L24,O24,R24,U24),2))</f>
        <v/>
      </c>
      <c r="F24" s="52">
        <f>IF($C24="","",ROUND($C24-$E24,2))</f>
        <v/>
      </c>
      <c r="G24" s="24">
        <f>IF(OR($C24="",$C24=0),"",$E24/$C24)</f>
        <v/>
      </c>
      <c r="H24" s="53">
        <f>IF($C24="","",IF($E24=0,"A receber",IF(ROUND($F24,2)=0,"Quitado",IF($F24&lt;0,"Recebido a mais","Parcial"))))</f>
        <v/>
      </c>
      <c r="I24" s="54" t="n"/>
      <c r="J24" s="55" t="n"/>
      <c r="K24" s="56" t="n"/>
      <c r="L24" s="54" t="n"/>
      <c r="M24" s="55" t="n"/>
      <c r="N24" s="56" t="n"/>
      <c r="O24" s="54" t="n"/>
      <c r="P24" s="55" t="n"/>
      <c r="Q24" s="56" t="n"/>
      <c r="R24" s="54" t="n"/>
      <c r="S24" s="55" t="n"/>
      <c r="T24" s="56" t="n"/>
      <c r="U24" s="54" t="n"/>
      <c r="V24" s="55" t="n"/>
      <c r="W24" s="56" t="n"/>
      <c r="X24" s="57">
        <f>IF($C24="","",$F24)</f>
        <v/>
      </c>
      <c r="Y24" s="57">
        <f>IF($C24="","",$C24)</f>
        <v/>
      </c>
    </row>
    <row r="25" ht="17" customHeight="1">
      <c r="A25" s="49" t="n"/>
      <c r="B25" s="49" t="n"/>
      <c r="C25" s="50" t="n"/>
      <c r="D25" s="49" t="n"/>
      <c r="E25" s="51">
        <f>IF($C25="","",ROUND(SUM(I25,L25,O25,R25,U25),2))</f>
        <v/>
      </c>
      <c r="F25" s="52">
        <f>IF($C25="","",ROUND($C25-$E25,2))</f>
        <v/>
      </c>
      <c r="G25" s="24">
        <f>IF(OR($C25="",$C25=0),"",$E25/$C25)</f>
        <v/>
      </c>
      <c r="H25" s="53">
        <f>IF($C25="","",IF($E25=0,"A receber",IF(ROUND($F25,2)=0,"Quitado",IF($F25&lt;0,"Recebido a mais","Parcial"))))</f>
        <v/>
      </c>
      <c r="I25" s="54" t="n"/>
      <c r="J25" s="55" t="n"/>
      <c r="K25" s="56" t="n"/>
      <c r="L25" s="54" t="n"/>
      <c r="M25" s="55" t="n"/>
      <c r="N25" s="56" t="n"/>
      <c r="O25" s="54" t="n"/>
      <c r="P25" s="55" t="n"/>
      <c r="Q25" s="56" t="n"/>
      <c r="R25" s="54" t="n"/>
      <c r="S25" s="55" t="n"/>
      <c r="T25" s="56" t="n"/>
      <c r="U25" s="54" t="n"/>
      <c r="V25" s="55" t="n"/>
      <c r="W25" s="56" t="n"/>
      <c r="X25" s="57">
        <f>IF($C25="","",$F25)</f>
        <v/>
      </c>
      <c r="Y25" s="57">
        <f>IF($C25="","",$C25)</f>
        <v/>
      </c>
    </row>
    <row r="26" ht="6" customHeight="1"/>
    <row r="27" ht="20" customHeight="1">
      <c r="A27" s="33" t="inlineStr">
        <is>
          <t>Março</t>
        </is>
      </c>
      <c r="B27" s="45" t="n"/>
      <c r="C27" s="46">
        <f>SUM(C28:C36)</f>
        <v/>
      </c>
      <c r="D27" s="45" t="n"/>
      <c r="E27" s="46">
        <f>SUM(E28:E36)</f>
        <v/>
      </c>
      <c r="F27" s="46">
        <f>SUM(F28:F36)</f>
        <v/>
      </c>
      <c r="G27" s="47">
        <f>IF(OR(C27="",C27=0),"",E27/C27)</f>
        <v/>
      </c>
      <c r="H27" s="48">
        <f>COUNT(C28:C36)&amp;" projeto(s)"</f>
        <v/>
      </c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</row>
    <row r="28" ht="17" customHeight="1">
      <c r="A28" s="49" t="inlineStr">
        <is>
          <t>Rosemary</t>
        </is>
      </c>
      <c r="B28" s="49" t="inlineStr">
        <is>
          <t>Closet</t>
        </is>
      </c>
      <c r="C28" s="50" t="n">
        <v>15300</v>
      </c>
      <c r="D28" s="49" t="inlineStr">
        <is>
          <t>30% entrada + rest.  10x</t>
        </is>
      </c>
      <c r="E28" s="51">
        <f>IF($C28="","",ROUND(SUM(I28,L28,O28,R28,U28),2))</f>
        <v/>
      </c>
      <c r="F28" s="52">
        <f>IF($C28="","",ROUND($C28-$E28,2))</f>
        <v/>
      </c>
      <c r="G28" s="24">
        <f>IF(OR($C28="",$C28=0),"",$E28/$C28)</f>
        <v/>
      </c>
      <c r="H28" s="53">
        <f>IF($C28="","",IF($E28=0,"A receber",IF(ROUND($F28,2)=0,"Quitado",IF($F28&lt;0,"Recebido a mais","Parcial"))))</f>
        <v/>
      </c>
      <c r="I28" s="54" t="n">
        <v>11270</v>
      </c>
      <c r="J28" s="55" t="n">
        <v>46090</v>
      </c>
      <c r="K28" s="56" t="inlineStr">
        <is>
          <t>cartao</t>
        </is>
      </c>
      <c r="L28" s="54" t="n">
        <v>4030</v>
      </c>
      <c r="M28" s="55" t="n">
        <v>46090</v>
      </c>
      <c r="N28" s="56" t="inlineStr">
        <is>
          <t>dinheiro/pix</t>
        </is>
      </c>
      <c r="O28" s="54" t="n"/>
      <c r="P28" s="55" t="n"/>
      <c r="Q28" s="56" t="n"/>
      <c r="R28" s="54" t="n"/>
      <c r="S28" s="55" t="n"/>
      <c r="T28" s="56" t="n"/>
      <c r="U28" s="54" t="n"/>
      <c r="V28" s="55" t="n"/>
      <c r="W28" s="56" t="n"/>
      <c r="X28" s="57">
        <f>IF($C28="","",$F28)</f>
        <v/>
      </c>
      <c r="Y28" s="57">
        <f>IF($C28="","",$C28)</f>
        <v/>
      </c>
    </row>
    <row r="29" ht="17" customHeight="1">
      <c r="A29" s="49" t="inlineStr">
        <is>
          <t>Matheus</t>
        </is>
      </c>
      <c r="B29" s="49" t="inlineStr">
        <is>
          <t>Cozinha e lavanderia</t>
        </is>
      </c>
      <c r="C29" s="50" t="n">
        <v>22850</v>
      </c>
      <c r="D29" s="49" t="inlineStr">
        <is>
          <t>70% + 30%</t>
        </is>
      </c>
      <c r="E29" s="51">
        <f>IF($C29="","",ROUND(SUM(I29,L29,O29,R29,U29),2))</f>
        <v/>
      </c>
      <c r="F29" s="52">
        <f>IF($C29="","",ROUND($C29-$E29,2))</f>
        <v/>
      </c>
      <c r="G29" s="24">
        <f>IF(OR($C29="",$C29=0),"",$E29/$C29)</f>
        <v/>
      </c>
      <c r="H29" s="53">
        <f>IF($C29="","",IF($E29=0,"A receber",IF(ROUND($F29,2)=0,"Quitado",IF($F29&lt;0,"Recebido a mais","Parcial"))))</f>
        <v/>
      </c>
      <c r="I29" s="54" t="n">
        <v>16000</v>
      </c>
      <c r="J29" s="55" t="n">
        <v>46090</v>
      </c>
      <c r="K29" s="56" t="inlineStr">
        <is>
          <t>pix</t>
        </is>
      </c>
      <c r="L29" s="54" t="n">
        <v>3500</v>
      </c>
      <c r="M29" s="55" t="n">
        <v>46175</v>
      </c>
      <c r="N29" s="56" t="inlineStr">
        <is>
          <t>pix</t>
        </is>
      </c>
      <c r="O29" s="54" t="n">
        <v>3350</v>
      </c>
      <c r="P29" s="55" t="n">
        <v>46175</v>
      </c>
      <c r="Q29" s="56" t="n"/>
      <c r="R29" s="54" t="n"/>
      <c r="S29" s="55" t="n"/>
      <c r="T29" s="56" t="n"/>
      <c r="U29" s="54" t="n"/>
      <c r="V29" s="55" t="n"/>
      <c r="W29" s="56" t="n"/>
      <c r="X29" s="57">
        <f>IF($C29="","",$F29)</f>
        <v/>
      </c>
      <c r="Y29" s="57">
        <f>IF($C29="","",$C29)</f>
        <v/>
      </c>
    </row>
    <row r="30" ht="17" customHeight="1">
      <c r="A30" s="49" t="inlineStr">
        <is>
          <t>Isaias e Nubia</t>
        </is>
      </c>
      <c r="B30" s="49" t="inlineStr">
        <is>
          <t>Painel de Tv</t>
        </is>
      </c>
      <c r="C30" s="50" t="n">
        <v>16900</v>
      </c>
      <c r="D30" s="49" t="inlineStr">
        <is>
          <t>cartao + parcelas</t>
        </is>
      </c>
      <c r="E30" s="51">
        <f>IF($C30="","",ROUND(SUM(I30,L30,O30,R30,U30),2))</f>
        <v/>
      </c>
      <c r="F30" s="52">
        <f>IF($C30="","",ROUND($C30-$E30,2))</f>
        <v/>
      </c>
      <c r="G30" s="24">
        <f>IF(OR($C30="",$C30=0),"",$E30/$C30)</f>
        <v/>
      </c>
      <c r="H30" s="53">
        <f>IF($C30="","",IF($E30=0,"A receber",IF(ROUND($F30,2)=0,"Quitado",IF($F30&lt;0,"Recebido a mais","Parcial"))))</f>
        <v/>
      </c>
      <c r="I30" s="54" t="n">
        <v>8000</v>
      </c>
      <c r="J30" s="55" t="n">
        <v>46108</v>
      </c>
      <c r="K30" s="56" t="inlineStr">
        <is>
          <t>cartao</t>
        </is>
      </c>
      <c r="L30" s="54" t="n">
        <v>5000</v>
      </c>
      <c r="M30" s="55" t="n">
        <v>46157</v>
      </c>
      <c r="N30" s="56" t="inlineStr">
        <is>
          <t>pix</t>
        </is>
      </c>
      <c r="O30" s="54" t="n">
        <v>3900</v>
      </c>
      <c r="P30" s="55" t="n">
        <v>46179</v>
      </c>
      <c r="Q30" s="56" t="n"/>
      <c r="R30" s="54" t="n"/>
      <c r="S30" s="55" t="n"/>
      <c r="T30" s="56" t="n"/>
      <c r="U30" s="54" t="n"/>
      <c r="V30" s="55" t="n"/>
      <c r="W30" s="56" t="n"/>
      <c r="X30" s="57">
        <f>IF($C30="","",$F30)</f>
        <v/>
      </c>
      <c r="Y30" s="57">
        <f>IF($C30="","",$C30)</f>
        <v/>
      </c>
    </row>
    <row r="31" ht="17" customHeight="1">
      <c r="A31" s="49" t="inlineStr">
        <is>
          <t>Reginaldo</t>
        </is>
      </c>
      <c r="B31" s="49" t="inlineStr">
        <is>
          <t>Escritório</t>
        </is>
      </c>
      <c r="C31" s="50" t="n">
        <v>14530</v>
      </c>
      <c r="D31" s="49" t="inlineStr">
        <is>
          <t>entrada + 4v</t>
        </is>
      </c>
      <c r="E31" s="51">
        <f>IF($C31="","",ROUND(SUM(I31,L31,O31,R31,U31),2))</f>
        <v/>
      </c>
      <c r="F31" s="52">
        <f>IF($C31="","",ROUND($C31-$E31,2))</f>
        <v/>
      </c>
      <c r="G31" s="24">
        <f>IF(OR($C31="",$C31=0),"",$E31/$C31)</f>
        <v/>
      </c>
      <c r="H31" s="53">
        <f>IF($C31="","",IF($E31=0,"A receber",IF(ROUND($F31,2)=0,"Quitado",IF($F31&lt;0,"Recebido a mais","Parcial"))))</f>
        <v/>
      </c>
      <c r="I31" s="54" t="n">
        <v>7000</v>
      </c>
      <c r="J31" s="55" t="n">
        <v>46088</v>
      </c>
      <c r="K31" s="56" t="inlineStr">
        <is>
          <t>cartao</t>
        </is>
      </c>
      <c r="L31" s="54" t="n">
        <v>7530</v>
      </c>
      <c r="M31" s="55" t="n">
        <v>46203</v>
      </c>
      <c r="N31" s="56" t="n"/>
      <c r="O31" s="54" t="n"/>
      <c r="P31" s="55" t="n"/>
      <c r="Q31" s="56" t="n"/>
      <c r="R31" s="54" t="n"/>
      <c r="S31" s="55" t="n"/>
      <c r="T31" s="56" t="n"/>
      <c r="U31" s="54" t="n"/>
      <c r="V31" s="55" t="n"/>
      <c r="W31" s="56" t="n"/>
      <c r="X31" s="57">
        <f>IF($C31="","",$F31)</f>
        <v/>
      </c>
      <c r="Y31" s="57">
        <f>IF($C31="","",$C31)</f>
        <v/>
      </c>
    </row>
    <row r="32" ht="17" customHeight="1">
      <c r="A32" s="49" t="inlineStr">
        <is>
          <t>Marcelo Maciel</t>
        </is>
      </c>
      <c r="B32" s="49" t="inlineStr">
        <is>
          <t>consultorio</t>
        </is>
      </c>
      <c r="C32" s="50" t="n">
        <v>28880</v>
      </c>
      <c r="D32" s="49" t="inlineStr">
        <is>
          <t>70+30</t>
        </is>
      </c>
      <c r="E32" s="51">
        <f>IF($C32="","",ROUND(SUM(I32,L32,O32,R32,U32),2))</f>
        <v/>
      </c>
      <c r="F32" s="52">
        <f>IF($C32="","",ROUND($C32-$E32,2))</f>
        <v/>
      </c>
      <c r="G32" s="24">
        <f>IF(OR($C32="",$C32=0),"",$E32/$C32)</f>
        <v/>
      </c>
      <c r="H32" s="53">
        <f>IF($C32="","",IF($E32=0,"A receber",IF(ROUND($F32,2)=0,"Quitado",IF($F32&lt;0,"Recebido a mais","Parcial"))))</f>
        <v/>
      </c>
      <c r="I32" s="54" t="n">
        <v>20280</v>
      </c>
      <c r="J32" s="55" t="n">
        <v>46104</v>
      </c>
      <c r="K32" s="56" t="inlineStr">
        <is>
          <t>pix</t>
        </is>
      </c>
      <c r="L32" s="54" t="n">
        <v>8600</v>
      </c>
      <c r="M32" s="55" t="n">
        <v>46189</v>
      </c>
      <c r="N32" s="56" t="inlineStr">
        <is>
          <t>pix</t>
        </is>
      </c>
      <c r="O32" s="54" t="n"/>
      <c r="P32" s="55" t="n"/>
      <c r="Q32" s="56" t="n"/>
      <c r="R32" s="54" t="n"/>
      <c r="S32" s="55" t="n"/>
      <c r="T32" s="56" t="n"/>
      <c r="U32" s="54" t="n"/>
      <c r="V32" s="55" t="n"/>
      <c r="W32" s="56" t="n"/>
      <c r="X32" s="57">
        <f>IF($C32="","",$F32)</f>
        <v/>
      </c>
      <c r="Y32" s="57">
        <f>IF($C32="","",$C32)</f>
        <v/>
      </c>
    </row>
    <row r="33" ht="17" customHeight="1">
      <c r="A33" s="49" t="inlineStr">
        <is>
          <t>Maria</t>
        </is>
      </c>
      <c r="B33" s="49" t="inlineStr">
        <is>
          <t>Casa Vale dos Cristais</t>
        </is>
      </c>
      <c r="C33" s="50" t="n">
        <v>117738</v>
      </c>
      <c r="D33" s="49" t="inlineStr">
        <is>
          <t>50+50</t>
        </is>
      </c>
      <c r="E33" s="51">
        <f>IF($C33="","",ROUND(SUM(I33,L33,O33,R33,U33),2))</f>
        <v/>
      </c>
      <c r="F33" s="52">
        <f>IF($C33="","",ROUND($C33-$E33,2))</f>
        <v/>
      </c>
      <c r="G33" s="24">
        <f>IF(OR($C33="",$C33=0),"",$E33/$C33)</f>
        <v/>
      </c>
      <c r="H33" s="53">
        <f>IF($C33="","",IF($E33=0,"A receber",IF(ROUND($F33,2)=0,"Quitado",IF($F33&lt;0,"Recebido a mais","Parcial"))))</f>
        <v/>
      </c>
      <c r="I33" s="54" t="n"/>
      <c r="J33" s="55" t="n">
        <v>46112</v>
      </c>
      <c r="K33" s="56" t="inlineStr">
        <is>
          <t>pix</t>
        </is>
      </c>
      <c r="L33" s="54" t="n"/>
      <c r="M33" s="55" t="n"/>
      <c r="N33" s="56" t="n"/>
      <c r="O33" s="54" t="n"/>
      <c r="P33" s="55" t="n"/>
      <c r="Q33" s="56" t="n"/>
      <c r="R33" s="54" t="n"/>
      <c r="S33" s="55" t="n"/>
      <c r="T33" s="56" t="n"/>
      <c r="U33" s="54" t="n"/>
      <c r="V33" s="55" t="n"/>
      <c r="W33" s="56" t="n"/>
      <c r="X33" s="57">
        <f>IF($C33="","",$F33)</f>
        <v/>
      </c>
      <c r="Y33" s="57">
        <f>IF($C33="","",$C33)</f>
        <v/>
      </c>
    </row>
    <row r="34" ht="17" customHeight="1">
      <c r="A34" s="49" t="n"/>
      <c r="B34" s="49" t="n"/>
      <c r="C34" s="50" t="n"/>
      <c r="D34" s="49" t="n"/>
      <c r="E34" s="51">
        <f>IF($C34="","",ROUND(SUM(I34,L34,O34,R34,U34),2))</f>
        <v/>
      </c>
      <c r="F34" s="52">
        <f>IF($C34="","",ROUND($C34-$E34,2))</f>
        <v/>
      </c>
      <c r="G34" s="24">
        <f>IF(OR($C34="",$C34=0),"",$E34/$C34)</f>
        <v/>
      </c>
      <c r="H34" s="53">
        <f>IF($C34="","",IF($E34=0,"A receber",IF(ROUND($F34,2)=0,"Quitado",IF($F34&lt;0,"Recebido a mais","Parcial"))))</f>
        <v/>
      </c>
      <c r="I34" s="54" t="n"/>
      <c r="J34" s="55" t="n"/>
      <c r="K34" s="56" t="n"/>
      <c r="L34" s="54" t="n"/>
      <c r="M34" s="55" t="n"/>
      <c r="N34" s="56" t="n"/>
      <c r="O34" s="54" t="n"/>
      <c r="P34" s="55" t="n"/>
      <c r="Q34" s="56" t="n"/>
      <c r="R34" s="54" t="n"/>
      <c r="S34" s="55" t="n"/>
      <c r="T34" s="56" t="n"/>
      <c r="U34" s="54" t="n"/>
      <c r="V34" s="55" t="n"/>
      <c r="W34" s="56" t="n"/>
      <c r="X34" s="57">
        <f>IF($C34="","",$F34)</f>
        <v/>
      </c>
      <c r="Y34" s="57">
        <f>IF($C34="","",$C34)</f>
        <v/>
      </c>
    </row>
    <row r="35" ht="17" customHeight="1">
      <c r="A35" s="49" t="n"/>
      <c r="B35" s="49" t="n"/>
      <c r="C35" s="50" t="n"/>
      <c r="D35" s="49" t="n"/>
      <c r="E35" s="51">
        <f>IF($C35="","",ROUND(SUM(I35,L35,O35,R35,U35),2))</f>
        <v/>
      </c>
      <c r="F35" s="52">
        <f>IF($C35="","",ROUND($C35-$E35,2))</f>
        <v/>
      </c>
      <c r="G35" s="24">
        <f>IF(OR($C35="",$C35=0),"",$E35/$C35)</f>
        <v/>
      </c>
      <c r="H35" s="53">
        <f>IF($C35="","",IF($E35=0,"A receber",IF(ROUND($F35,2)=0,"Quitado",IF($F35&lt;0,"Recebido a mais","Parcial"))))</f>
        <v/>
      </c>
      <c r="I35" s="54" t="n"/>
      <c r="J35" s="55" t="n"/>
      <c r="K35" s="56" t="n"/>
      <c r="L35" s="54" t="n"/>
      <c r="M35" s="55" t="n"/>
      <c r="N35" s="56" t="n"/>
      <c r="O35" s="54" t="n"/>
      <c r="P35" s="55" t="n"/>
      <c r="Q35" s="56" t="n"/>
      <c r="R35" s="54" t="n"/>
      <c r="S35" s="55" t="n"/>
      <c r="T35" s="56" t="n"/>
      <c r="U35" s="54" t="n"/>
      <c r="V35" s="55" t="n"/>
      <c r="W35" s="56" t="n"/>
      <c r="X35" s="57">
        <f>IF($C35="","",$F35)</f>
        <v/>
      </c>
      <c r="Y35" s="57">
        <f>IF($C35="","",$C35)</f>
        <v/>
      </c>
    </row>
    <row r="36" ht="17" customHeight="1">
      <c r="A36" s="49" t="n"/>
      <c r="B36" s="49" t="n"/>
      <c r="C36" s="50" t="n"/>
      <c r="D36" s="49" t="n"/>
      <c r="E36" s="51">
        <f>IF($C36="","",ROUND(SUM(I36,L36,O36,R36,U36),2))</f>
        <v/>
      </c>
      <c r="F36" s="52">
        <f>IF($C36="","",ROUND($C36-$E36,2))</f>
        <v/>
      </c>
      <c r="G36" s="24">
        <f>IF(OR($C36="",$C36=0),"",$E36/$C36)</f>
        <v/>
      </c>
      <c r="H36" s="53">
        <f>IF($C36="","",IF($E36=0,"A receber",IF(ROUND($F36,2)=0,"Quitado",IF($F36&lt;0,"Recebido a mais","Parcial"))))</f>
        <v/>
      </c>
      <c r="I36" s="54" t="n"/>
      <c r="J36" s="55" t="n"/>
      <c r="K36" s="56" t="n"/>
      <c r="L36" s="54" t="n"/>
      <c r="M36" s="55" t="n"/>
      <c r="N36" s="56" t="n"/>
      <c r="O36" s="54" t="n"/>
      <c r="P36" s="55" t="n"/>
      <c r="Q36" s="56" t="n"/>
      <c r="R36" s="54" t="n"/>
      <c r="S36" s="55" t="n"/>
      <c r="T36" s="56" t="n"/>
      <c r="U36" s="54" t="n"/>
      <c r="V36" s="55" t="n"/>
      <c r="W36" s="56" t="n"/>
      <c r="X36" s="57">
        <f>IF($C36="","",$F36)</f>
        <v/>
      </c>
      <c r="Y36" s="57">
        <f>IF($C36="","",$C36)</f>
        <v/>
      </c>
    </row>
    <row r="37" ht="6" customHeight="1"/>
    <row r="38" ht="20" customHeight="1">
      <c r="A38" s="33" t="inlineStr">
        <is>
          <t>Abril</t>
        </is>
      </c>
      <c r="B38" s="45" t="n"/>
      <c r="C38" s="46">
        <f>SUM(C39:C47)</f>
        <v/>
      </c>
      <c r="D38" s="45" t="n"/>
      <c r="E38" s="46">
        <f>SUM(E39:E47)</f>
        <v/>
      </c>
      <c r="F38" s="46">
        <f>SUM(F39:F47)</f>
        <v/>
      </c>
      <c r="G38" s="47">
        <f>IF(OR(C38="",C38=0),"",E38/C38)</f>
        <v/>
      </c>
      <c r="H38" s="48">
        <f>COUNT(C39:C47)&amp;" projeto(s)"</f>
        <v/>
      </c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</row>
    <row r="39" ht="17" customHeight="1">
      <c r="A39" s="49" t="inlineStr">
        <is>
          <t>Gisele</t>
        </is>
      </c>
      <c r="B39" s="49" t="inlineStr">
        <is>
          <t>Cozinha</t>
        </is>
      </c>
      <c r="C39" s="50" t="n">
        <v>20300</v>
      </c>
      <c r="D39" s="49" t="inlineStr">
        <is>
          <t>50% + 50%</t>
        </is>
      </c>
      <c r="E39" s="51">
        <f>IF($C39="","",ROUND(SUM(I39,L39,O39,R39,U39),2))</f>
        <v/>
      </c>
      <c r="F39" s="52">
        <f>IF($C39="","",ROUND($C39-$E39,2))</f>
        <v/>
      </c>
      <c r="G39" s="24">
        <f>IF(OR($C39="",$C39=0),"",$E39/$C39)</f>
        <v/>
      </c>
      <c r="H39" s="53">
        <f>IF($C39="","",IF($E39=0,"A receber",IF(ROUND($F39,2)=0,"Quitado",IF($F39&lt;0,"Recebido a mais","Parcial"))))</f>
        <v/>
      </c>
      <c r="I39" s="54" t="n">
        <v>10000</v>
      </c>
      <c r="J39" s="55" t="n">
        <v>46128</v>
      </c>
      <c r="K39" s="56" t="inlineStr">
        <is>
          <t>especie</t>
        </is>
      </c>
      <c r="L39" s="54" t="n">
        <v>10300</v>
      </c>
      <c r="M39" s="55" t="n">
        <v>46171</v>
      </c>
      <c r="N39" s="56" t="inlineStr">
        <is>
          <t>pix</t>
        </is>
      </c>
      <c r="O39" s="54" t="n"/>
      <c r="P39" s="55" t="n"/>
      <c r="Q39" s="56" t="n"/>
      <c r="R39" s="54" t="n"/>
      <c r="S39" s="55" t="n"/>
      <c r="T39" s="56" t="n"/>
      <c r="U39" s="54" t="n"/>
      <c r="V39" s="55" t="n"/>
      <c r="W39" s="56" t="n"/>
      <c r="X39" s="57">
        <f>IF($C39="","",$F39)</f>
        <v/>
      </c>
      <c r="Y39" s="57">
        <f>IF($C39="","",$C39)</f>
        <v/>
      </c>
    </row>
    <row r="40" ht="17" customHeight="1">
      <c r="A40" s="49" t="inlineStr">
        <is>
          <t>Andre alphavillie</t>
        </is>
      </c>
      <c r="B40" s="49" t="inlineStr">
        <is>
          <t>casa</t>
        </is>
      </c>
      <c r="C40" s="50" t="n">
        <v>87000</v>
      </c>
      <c r="D40" s="49" t="inlineStr">
        <is>
          <t>investimento</t>
        </is>
      </c>
      <c r="E40" s="51">
        <f>IF($C40="","",ROUND(SUM(I40,L40,O40,R40,U40),2))</f>
        <v/>
      </c>
      <c r="F40" s="52">
        <f>IF($C40="","",ROUND($C40-$E40,2))</f>
        <v/>
      </c>
      <c r="G40" s="24">
        <f>IF(OR($C40="",$C40=0),"",$E40/$C40)</f>
        <v/>
      </c>
      <c r="H40" s="53">
        <f>IF($C40="","",IF($E40=0,"A receber",IF(ROUND($F40,2)=0,"Quitado",IF($F40&lt;0,"Recebido a mais","Parcial"))))</f>
        <v/>
      </c>
      <c r="I40" s="54" t="n"/>
      <c r="J40" s="55" t="n"/>
      <c r="K40" s="56" t="n"/>
      <c r="L40" s="54" t="n"/>
      <c r="M40" s="55" t="n"/>
      <c r="N40" s="56" t="n"/>
      <c r="O40" s="54" t="n"/>
      <c r="P40" s="55" t="n"/>
      <c r="Q40" s="56" t="n"/>
      <c r="R40" s="54" t="n"/>
      <c r="S40" s="55" t="n"/>
      <c r="T40" s="56" t="n"/>
      <c r="U40" s="54" t="n"/>
      <c r="V40" s="55" t="n"/>
      <c r="W40" s="56" t="n"/>
      <c r="X40" s="57">
        <f>IF($C40="","",$F40)</f>
        <v/>
      </c>
      <c r="Y40" s="57">
        <f>IF($C40="","",$C40)</f>
        <v/>
      </c>
    </row>
    <row r="41" ht="17" customHeight="1">
      <c r="A41" s="49" t="inlineStr">
        <is>
          <t>Yasmin</t>
        </is>
      </c>
      <c r="B41" s="49" t="inlineStr">
        <is>
          <t>cozinha</t>
        </is>
      </c>
      <c r="C41" s="50" t="n">
        <v>26000</v>
      </c>
      <c r="D41" s="49" t="inlineStr">
        <is>
          <t>70%+30%</t>
        </is>
      </c>
      <c r="E41" s="51">
        <f>IF($C41="","",ROUND(SUM(I41,L41,O41,R41,U41),2))</f>
        <v/>
      </c>
      <c r="F41" s="52">
        <f>IF($C41="","",ROUND($C41-$E41,2))</f>
        <v/>
      </c>
      <c r="G41" s="24">
        <f>IF(OR($C41="",$C41=0),"",$E41/$C41)</f>
        <v/>
      </c>
      <c r="H41" s="53">
        <f>IF($C41="","",IF($E41=0,"A receber",IF(ROUND($F41,2)=0,"Quitado",IF($F41&lt;0,"Recebido a mais","Parcial"))))</f>
        <v/>
      </c>
      <c r="I41" s="54" t="n">
        <v>18000</v>
      </c>
      <c r="J41" s="55" t="n">
        <v>46155</v>
      </c>
      <c r="K41" s="56" t="inlineStr">
        <is>
          <t>pix</t>
        </is>
      </c>
      <c r="L41" s="54" t="n"/>
      <c r="M41" s="55" t="n"/>
      <c r="N41" s="56" t="n"/>
      <c r="O41" s="54" t="n"/>
      <c r="P41" s="55" t="n"/>
      <c r="Q41" s="56" t="n"/>
      <c r="R41" s="54" t="n"/>
      <c r="S41" s="55" t="n"/>
      <c r="T41" s="56" t="n"/>
      <c r="U41" s="54" t="n"/>
      <c r="V41" s="55" t="n"/>
      <c r="W41" s="56" t="n"/>
      <c r="X41" s="57">
        <f>IF($C41="","",$F41)</f>
        <v/>
      </c>
      <c r="Y41" s="57">
        <f>IF($C41="","",$C41)</f>
        <v/>
      </c>
    </row>
    <row r="42" ht="17" customHeight="1">
      <c r="A42" s="49" t="inlineStr">
        <is>
          <t>Cristiane</t>
        </is>
      </c>
      <c r="B42" s="49" t="inlineStr">
        <is>
          <t>casa completa</t>
        </is>
      </c>
      <c r="C42" s="50" t="n">
        <v>94400</v>
      </c>
      <c r="D42" s="49" t="n"/>
      <c r="E42" s="51">
        <f>IF($C42="","",ROUND(SUM(I42,L42,O42,R42,U42),2))</f>
        <v/>
      </c>
      <c r="F42" s="52">
        <f>IF($C42="","",ROUND($C42-$E42,2))</f>
        <v/>
      </c>
      <c r="G42" s="24">
        <f>IF(OR($C42="",$C42=0),"",$E42/$C42)</f>
        <v/>
      </c>
      <c r="H42" s="53">
        <f>IF($C42="","",IF($E42=0,"A receber",IF(ROUND($F42,2)=0,"Quitado",IF($F42&lt;0,"Recebido a mais","Parcial"))))</f>
        <v/>
      </c>
      <c r="I42" s="54" t="n">
        <v>22500</v>
      </c>
      <c r="J42" s="55" t="n">
        <v>46147</v>
      </c>
      <c r="K42" s="56" t="inlineStr">
        <is>
          <t>pix</t>
        </is>
      </c>
      <c r="L42" s="54" t="n">
        <v>10000</v>
      </c>
      <c r="M42" s="55" t="n">
        <v>46202</v>
      </c>
      <c r="N42" s="56" t="inlineStr">
        <is>
          <t>pix</t>
        </is>
      </c>
      <c r="O42" s="54" t="n"/>
      <c r="P42" s="55" t="n"/>
      <c r="Q42" s="56" t="n"/>
      <c r="R42" s="54" t="n"/>
      <c r="S42" s="55" t="n"/>
      <c r="T42" s="56" t="n"/>
      <c r="U42" s="54" t="n"/>
      <c r="V42" s="55" t="n"/>
      <c r="W42" s="56" t="n"/>
      <c r="X42" s="57">
        <f>IF($C42="","",$F42)</f>
        <v/>
      </c>
      <c r="Y42" s="57">
        <f>IF($C42="","",$C42)</f>
        <v/>
      </c>
    </row>
    <row r="43" ht="17" customHeight="1">
      <c r="A43" s="49" t="inlineStr">
        <is>
          <t>Rejane</t>
        </is>
      </c>
      <c r="B43" s="49" t="inlineStr">
        <is>
          <t>Cozinha</t>
        </is>
      </c>
      <c r="C43" s="50" t="n">
        <v>35600</v>
      </c>
      <c r="D43" s="49" t="inlineStr">
        <is>
          <t>40%+9vz cartao</t>
        </is>
      </c>
      <c r="E43" s="51">
        <f>IF($C43="","",ROUND(SUM(I43,L43,O43,R43,U43),2))</f>
        <v/>
      </c>
      <c r="F43" s="52">
        <f>IF($C43="","",ROUND($C43-$E43,2))</f>
        <v/>
      </c>
      <c r="G43" s="24">
        <f>IF(OR($C43="",$C43=0),"",$E43/$C43)</f>
        <v/>
      </c>
      <c r="H43" s="53">
        <f>IF($C43="","",IF($E43=0,"A receber",IF(ROUND($F43,2)=0,"Quitado",IF($F43&lt;0,"Recebido a mais","Parcial"))))</f>
        <v/>
      </c>
      <c r="I43" s="54" t="n">
        <v>14240</v>
      </c>
      <c r="J43" s="55" t="n">
        <v>46136</v>
      </c>
      <c r="K43" s="56" t="inlineStr">
        <is>
          <t>pix</t>
        </is>
      </c>
      <c r="L43" s="54" t="n"/>
      <c r="M43" s="55" t="n"/>
      <c r="N43" s="56" t="n"/>
      <c r="O43" s="54" t="n"/>
      <c r="P43" s="55" t="n"/>
      <c r="Q43" s="56" t="n"/>
      <c r="R43" s="54" t="n"/>
      <c r="S43" s="55" t="n"/>
      <c r="T43" s="56" t="n"/>
      <c r="U43" s="54" t="n"/>
      <c r="V43" s="55" t="n"/>
      <c r="W43" s="56" t="n"/>
      <c r="X43" s="57">
        <f>IF($C43="","",$F43)</f>
        <v/>
      </c>
      <c r="Y43" s="57">
        <f>IF($C43="","",$C43)</f>
        <v/>
      </c>
    </row>
    <row r="44" ht="17" customHeight="1">
      <c r="A44" s="49" t="inlineStr">
        <is>
          <t>Leyde</t>
        </is>
      </c>
      <c r="B44" s="49" t="inlineStr">
        <is>
          <t>Sala e banheiro</t>
        </is>
      </c>
      <c r="C44" s="50" t="n">
        <v>9990</v>
      </c>
      <c r="D44" s="49" t="inlineStr">
        <is>
          <t>100% a vista</t>
        </is>
      </c>
      <c r="E44" s="51">
        <f>IF($C44="","",ROUND(SUM(I44,L44,O44,R44,U44),2))</f>
        <v/>
      </c>
      <c r="F44" s="52">
        <f>IF($C44="","",ROUND($C44-$E44,2))</f>
        <v/>
      </c>
      <c r="G44" s="24">
        <f>IF(OR($C44="",$C44=0),"",$E44/$C44)</f>
        <v/>
      </c>
      <c r="H44" s="53">
        <f>IF($C44="","",IF($E44=0,"A receber",IF(ROUND($F44,2)=0,"Quitado",IF($F44&lt;0,"Recebido a mais","Parcial"))))</f>
        <v/>
      </c>
      <c r="I44" s="54" t="n">
        <v>9990</v>
      </c>
      <c r="J44" s="55" t="n">
        <v>46133</v>
      </c>
      <c r="K44" s="56" t="inlineStr">
        <is>
          <t>pix</t>
        </is>
      </c>
      <c r="L44" s="54" t="n"/>
      <c r="M44" s="55" t="n"/>
      <c r="N44" s="56" t="n"/>
      <c r="O44" s="54" t="n"/>
      <c r="P44" s="55" t="n"/>
      <c r="Q44" s="56" t="n"/>
      <c r="R44" s="54" t="n"/>
      <c r="S44" s="55" t="n"/>
      <c r="T44" s="56" t="n"/>
      <c r="U44" s="54" t="n"/>
      <c r="V44" s="55" t="n"/>
      <c r="W44" s="56" t="n"/>
      <c r="X44" s="57">
        <f>IF($C44="","",$F44)</f>
        <v/>
      </c>
      <c r="Y44" s="57">
        <f>IF($C44="","",$C44)</f>
        <v/>
      </c>
    </row>
    <row r="45" ht="17" customHeight="1">
      <c r="A45" s="49" t="n"/>
      <c r="B45" s="49" t="n"/>
      <c r="C45" s="50" t="n"/>
      <c r="D45" s="49" t="n"/>
      <c r="E45" s="51">
        <f>IF($C45="","",ROUND(SUM(I45,L45,O45,R45,U45),2))</f>
        <v/>
      </c>
      <c r="F45" s="52">
        <f>IF($C45="","",ROUND($C45-$E45,2))</f>
        <v/>
      </c>
      <c r="G45" s="24">
        <f>IF(OR($C45="",$C45=0),"",$E45/$C45)</f>
        <v/>
      </c>
      <c r="H45" s="53">
        <f>IF($C45="","",IF($E45=0,"A receber",IF(ROUND($F45,2)=0,"Quitado",IF($F45&lt;0,"Recebido a mais","Parcial"))))</f>
        <v/>
      </c>
      <c r="I45" s="54" t="n"/>
      <c r="J45" s="55" t="n"/>
      <c r="K45" s="56" t="n"/>
      <c r="L45" s="54" t="n"/>
      <c r="M45" s="55" t="n"/>
      <c r="N45" s="56" t="n"/>
      <c r="O45" s="54" t="n"/>
      <c r="P45" s="55" t="n"/>
      <c r="Q45" s="56" t="n"/>
      <c r="R45" s="54" t="n"/>
      <c r="S45" s="55" t="n"/>
      <c r="T45" s="56" t="n"/>
      <c r="U45" s="54" t="n"/>
      <c r="V45" s="55" t="n"/>
      <c r="W45" s="56" t="n"/>
      <c r="X45" s="57">
        <f>IF($C45="","",$F45)</f>
        <v/>
      </c>
      <c r="Y45" s="57">
        <f>IF($C45="","",$C45)</f>
        <v/>
      </c>
    </row>
    <row r="46" ht="17" customHeight="1">
      <c r="A46" s="49" t="n"/>
      <c r="B46" s="49" t="n"/>
      <c r="C46" s="50" t="n"/>
      <c r="D46" s="49" t="n"/>
      <c r="E46" s="51">
        <f>IF($C46="","",ROUND(SUM(I46,L46,O46,R46,U46),2))</f>
        <v/>
      </c>
      <c r="F46" s="52">
        <f>IF($C46="","",ROUND($C46-$E46,2))</f>
        <v/>
      </c>
      <c r="G46" s="24">
        <f>IF(OR($C46="",$C46=0),"",$E46/$C46)</f>
        <v/>
      </c>
      <c r="H46" s="53">
        <f>IF($C46="","",IF($E46=0,"A receber",IF(ROUND($F46,2)=0,"Quitado",IF($F46&lt;0,"Recebido a mais","Parcial"))))</f>
        <v/>
      </c>
      <c r="I46" s="54" t="n"/>
      <c r="J46" s="55" t="n"/>
      <c r="K46" s="56" t="n"/>
      <c r="L46" s="54" t="n"/>
      <c r="M46" s="55" t="n"/>
      <c r="N46" s="56" t="n"/>
      <c r="O46" s="54" t="n"/>
      <c r="P46" s="55" t="n"/>
      <c r="Q46" s="56" t="n"/>
      <c r="R46" s="54" t="n"/>
      <c r="S46" s="55" t="n"/>
      <c r="T46" s="56" t="n"/>
      <c r="U46" s="54" t="n"/>
      <c r="V46" s="55" t="n"/>
      <c r="W46" s="56" t="n"/>
      <c r="X46" s="57">
        <f>IF($C46="","",$F46)</f>
        <v/>
      </c>
      <c r="Y46" s="57">
        <f>IF($C46="","",$C46)</f>
        <v/>
      </c>
    </row>
    <row r="47" ht="17" customHeight="1">
      <c r="A47" s="49" t="n"/>
      <c r="B47" s="49" t="n"/>
      <c r="C47" s="50" t="n"/>
      <c r="D47" s="49" t="n"/>
      <c r="E47" s="51">
        <f>IF($C47="","",ROUND(SUM(I47,L47,O47,R47,U47),2))</f>
        <v/>
      </c>
      <c r="F47" s="52">
        <f>IF($C47="","",ROUND($C47-$E47,2))</f>
        <v/>
      </c>
      <c r="G47" s="24">
        <f>IF(OR($C47="",$C47=0),"",$E47/$C47)</f>
        <v/>
      </c>
      <c r="H47" s="53">
        <f>IF($C47="","",IF($E47=0,"A receber",IF(ROUND($F47,2)=0,"Quitado",IF($F47&lt;0,"Recebido a mais","Parcial"))))</f>
        <v/>
      </c>
      <c r="I47" s="54" t="n"/>
      <c r="J47" s="55" t="n"/>
      <c r="K47" s="56" t="n"/>
      <c r="L47" s="54" t="n"/>
      <c r="M47" s="55" t="n"/>
      <c r="N47" s="56" t="n"/>
      <c r="O47" s="54" t="n"/>
      <c r="P47" s="55" t="n"/>
      <c r="Q47" s="56" t="n"/>
      <c r="R47" s="54" t="n"/>
      <c r="S47" s="55" t="n"/>
      <c r="T47" s="56" t="n"/>
      <c r="U47" s="54" t="n"/>
      <c r="V47" s="55" t="n"/>
      <c r="W47" s="56" t="n"/>
      <c r="X47" s="57">
        <f>IF($C47="","",$F47)</f>
        <v/>
      </c>
      <c r="Y47" s="57">
        <f>IF($C47="","",$C47)</f>
        <v/>
      </c>
    </row>
    <row r="48" ht="6" customHeight="1"/>
    <row r="49" ht="20" customHeight="1">
      <c r="A49" s="33" t="inlineStr">
        <is>
          <t>Maio</t>
        </is>
      </c>
      <c r="B49" s="45" t="n"/>
      <c r="C49" s="46">
        <f>SUM(C50:C56)</f>
        <v/>
      </c>
      <c r="D49" s="45" t="n"/>
      <c r="E49" s="46">
        <f>SUM(E50:E56)</f>
        <v/>
      </c>
      <c r="F49" s="46">
        <f>SUM(F50:F56)</f>
        <v/>
      </c>
      <c r="G49" s="47">
        <f>IF(OR(C49="",C49=0),"",E49/C49)</f>
        <v/>
      </c>
      <c r="H49" s="48">
        <f>COUNT(C50:C56)&amp;" projeto(s)"</f>
        <v/>
      </c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</row>
    <row r="50" ht="17" customHeight="1">
      <c r="A50" s="49" t="inlineStr">
        <is>
          <t>Daniel</t>
        </is>
      </c>
      <c r="B50" s="49" t="inlineStr">
        <is>
          <t>Escritorio</t>
        </is>
      </c>
      <c r="C50" s="50" t="n">
        <v>11200</v>
      </c>
      <c r="D50" s="49" t="inlineStr">
        <is>
          <t>30% + cartao</t>
        </is>
      </c>
      <c r="E50" s="51">
        <f>IF($C50="","",ROUND(SUM(I50,L50,O50,R50,U50),2))</f>
        <v/>
      </c>
      <c r="F50" s="52">
        <f>IF($C50="","",ROUND($C50-$E50,2))</f>
        <v/>
      </c>
      <c r="G50" s="24">
        <f>IF(OR($C50="",$C50=0),"",$E50/$C50)</f>
        <v/>
      </c>
      <c r="H50" s="53">
        <f>IF($C50="","",IF($E50=0,"A receber",IF(ROUND($F50,2)=0,"Quitado",IF($F50&lt;0,"Recebido a mais","Parcial"))))</f>
        <v/>
      </c>
      <c r="I50" s="54" t="n">
        <v>3360</v>
      </c>
      <c r="J50" s="55" t="n">
        <v>46154</v>
      </c>
      <c r="K50" s="56" t="inlineStr">
        <is>
          <t>pix</t>
        </is>
      </c>
      <c r="L50" s="54" t="n">
        <v>7840</v>
      </c>
      <c r="M50" s="55" t="n">
        <v>46155</v>
      </c>
      <c r="N50" s="56" t="inlineStr">
        <is>
          <t>cartao</t>
        </is>
      </c>
      <c r="O50" s="54" t="n"/>
      <c r="P50" s="55" t="n"/>
      <c r="Q50" s="56" t="n"/>
      <c r="R50" s="54" t="n"/>
      <c r="S50" s="55" t="n"/>
      <c r="T50" s="56" t="n"/>
      <c r="U50" s="54" t="n"/>
      <c r="V50" s="55" t="n"/>
      <c r="W50" s="56" t="n"/>
      <c r="X50" s="57">
        <f>IF($C50="","",$F50)</f>
        <v/>
      </c>
      <c r="Y50" s="57">
        <f>IF($C50="","",$C50)</f>
        <v/>
      </c>
    </row>
    <row r="51" ht="17" customHeight="1">
      <c r="A51" s="49" t="inlineStr">
        <is>
          <t>Marina Borges</t>
        </is>
      </c>
      <c r="B51" s="49" t="inlineStr">
        <is>
          <t>casa nova</t>
        </is>
      </c>
      <c r="C51" s="50" t="n">
        <v>25500</v>
      </c>
      <c r="D51" s="49" t="n"/>
      <c r="E51" s="51">
        <f>IF($C51="","",ROUND(SUM(I51,L51,O51,R51,U51),2))</f>
        <v/>
      </c>
      <c r="F51" s="52">
        <f>IF($C51="","",ROUND($C51-$E51,2))</f>
        <v/>
      </c>
      <c r="G51" s="24">
        <f>IF(OR($C51="",$C51=0),"",$E51/$C51)</f>
        <v/>
      </c>
      <c r="H51" s="53">
        <f>IF($C51="","",IF($E51=0,"A receber",IF(ROUND($F51,2)=0,"Quitado",IF($F51&lt;0,"Recebido a mais","Parcial"))))</f>
        <v/>
      </c>
      <c r="I51" s="54" t="n">
        <v>15500</v>
      </c>
      <c r="J51" s="55" t="n">
        <v>46167</v>
      </c>
      <c r="K51" s="56" t="inlineStr">
        <is>
          <t>pix</t>
        </is>
      </c>
      <c r="L51" s="54" t="n"/>
      <c r="M51" s="55" t="n"/>
      <c r="N51" s="56" t="n"/>
      <c r="O51" s="54" t="n"/>
      <c r="P51" s="55" t="n"/>
      <c r="Q51" s="56" t="n"/>
      <c r="R51" s="54" t="n"/>
      <c r="S51" s="55" t="n"/>
      <c r="T51" s="56" t="n"/>
      <c r="U51" s="54" t="n"/>
      <c r="V51" s="55" t="n"/>
      <c r="W51" s="56" t="n"/>
      <c r="X51" s="57">
        <f>IF($C51="","",$F51)</f>
        <v/>
      </c>
      <c r="Y51" s="57">
        <f>IF($C51="","",$C51)</f>
        <v/>
      </c>
    </row>
    <row r="52" ht="17" customHeight="1">
      <c r="A52" s="49" t="inlineStr">
        <is>
          <t>Maria - Vale dos cristais</t>
        </is>
      </c>
      <c r="B52" s="49" t="inlineStr">
        <is>
          <t>Painel hall garagem</t>
        </is>
      </c>
      <c r="C52" s="50" t="n">
        <v>18100</v>
      </c>
      <c r="D52" s="49" t="inlineStr">
        <is>
          <t>50% + 50%</t>
        </is>
      </c>
      <c r="E52" s="51">
        <f>IF($C52="","",ROUND(SUM(I52,L52,O52,R52,U52),2))</f>
        <v/>
      </c>
      <c r="F52" s="52">
        <f>IF($C52="","",ROUND($C52-$E52,2))</f>
        <v/>
      </c>
      <c r="G52" s="24">
        <f>IF(OR($C52="",$C52=0),"",$E52/$C52)</f>
        <v/>
      </c>
      <c r="H52" s="53">
        <f>IF($C52="","",IF($E52=0,"A receber",IF(ROUND($F52,2)=0,"Quitado",IF($F52&lt;0,"Recebido a mais","Parcial"))))</f>
        <v/>
      </c>
      <c r="I52" s="54" t="n">
        <v>9050</v>
      </c>
      <c r="J52" s="55" t="n">
        <v>46155</v>
      </c>
      <c r="K52" s="56" t="inlineStr">
        <is>
          <t>pix</t>
        </is>
      </c>
      <c r="L52" s="54" t="n"/>
      <c r="M52" s="55" t="n"/>
      <c r="N52" s="56" t="n"/>
      <c r="O52" s="54" t="n"/>
      <c r="P52" s="55" t="n"/>
      <c r="Q52" s="56" t="n"/>
      <c r="R52" s="54" t="n"/>
      <c r="S52" s="55" t="n"/>
      <c r="T52" s="56" t="n"/>
      <c r="U52" s="54" t="n"/>
      <c r="V52" s="55" t="n"/>
      <c r="W52" s="56" t="n"/>
      <c r="X52" s="57">
        <f>IF($C52="","",$F52)</f>
        <v/>
      </c>
      <c r="Y52" s="57">
        <f>IF($C52="","",$C52)</f>
        <v/>
      </c>
    </row>
    <row r="53" ht="17" customHeight="1">
      <c r="A53" s="49" t="inlineStr">
        <is>
          <t>Marcelo e Simony</t>
        </is>
      </c>
      <c r="B53" s="49" t="inlineStr">
        <is>
          <t>apt novo</t>
        </is>
      </c>
      <c r="C53" s="50" t="n">
        <v>34850</v>
      </c>
      <c r="D53" s="49" t="inlineStr">
        <is>
          <t>30% + 10vz cartao</t>
        </is>
      </c>
      <c r="E53" s="51">
        <f>IF($C53="","",ROUND(SUM(I53,L53,O53,R53,U53),2))</f>
        <v/>
      </c>
      <c r="F53" s="52">
        <f>IF($C53="","",ROUND($C53-$E53,2))</f>
        <v/>
      </c>
      <c r="G53" s="24">
        <f>IF(OR($C53="",$C53=0),"",$E53/$C53)</f>
        <v/>
      </c>
      <c r="H53" s="53">
        <f>IF($C53="","",IF($E53=0,"A receber",IF(ROUND($F53,2)=0,"Quitado",IF($F53&lt;0,"Recebido a mais","Parcial"))))</f>
        <v/>
      </c>
      <c r="I53" s="54" t="n">
        <v>13150</v>
      </c>
      <c r="J53" s="55" t="n">
        <v>46192</v>
      </c>
      <c r="K53" s="56" t="inlineStr">
        <is>
          <t>pix</t>
        </is>
      </c>
      <c r="L53" s="54" t="n"/>
      <c r="M53" s="55" t="n"/>
      <c r="N53" s="56" t="n"/>
      <c r="O53" s="54" t="n"/>
      <c r="P53" s="55" t="n"/>
      <c r="Q53" s="56" t="n"/>
      <c r="R53" s="54" t="n"/>
      <c r="S53" s="55" t="n"/>
      <c r="T53" s="56" t="n"/>
      <c r="U53" s="54" t="n"/>
      <c r="V53" s="55" t="n"/>
      <c r="W53" s="56" t="n"/>
      <c r="X53" s="57">
        <f>IF($C53="","",$F53)</f>
        <v/>
      </c>
      <c r="Y53" s="57">
        <f>IF($C53="","",$C53)</f>
        <v/>
      </c>
    </row>
    <row r="54" ht="17" customHeight="1">
      <c r="A54" s="49" t="n"/>
      <c r="B54" s="49" t="n"/>
      <c r="C54" s="50" t="n"/>
      <c r="D54" s="49" t="n"/>
      <c r="E54" s="51">
        <f>IF($C54="","",ROUND(SUM(I54,L54,O54,R54,U54),2))</f>
        <v/>
      </c>
      <c r="F54" s="52">
        <f>IF($C54="","",ROUND($C54-$E54,2))</f>
        <v/>
      </c>
      <c r="G54" s="24">
        <f>IF(OR($C54="",$C54=0),"",$E54/$C54)</f>
        <v/>
      </c>
      <c r="H54" s="53">
        <f>IF($C54="","",IF($E54=0,"A receber",IF(ROUND($F54,2)=0,"Quitado",IF($F54&lt;0,"Recebido a mais","Parcial"))))</f>
        <v/>
      </c>
      <c r="I54" s="54" t="n"/>
      <c r="J54" s="55" t="n"/>
      <c r="K54" s="56" t="n"/>
      <c r="L54" s="54" t="n"/>
      <c r="M54" s="55" t="n"/>
      <c r="N54" s="56" t="n"/>
      <c r="O54" s="54" t="n"/>
      <c r="P54" s="55" t="n"/>
      <c r="Q54" s="56" t="n"/>
      <c r="R54" s="54" t="n"/>
      <c r="S54" s="55" t="n"/>
      <c r="T54" s="56" t="n"/>
      <c r="U54" s="54" t="n"/>
      <c r="V54" s="55" t="n"/>
      <c r="W54" s="56" t="n"/>
      <c r="X54" s="57">
        <f>IF($C54="","",$F54)</f>
        <v/>
      </c>
      <c r="Y54" s="57">
        <f>IF($C54="","",$C54)</f>
        <v/>
      </c>
    </row>
    <row r="55" ht="17" customHeight="1">
      <c r="A55" s="49" t="n"/>
      <c r="B55" s="49" t="n"/>
      <c r="C55" s="50" t="n"/>
      <c r="D55" s="49" t="n"/>
      <c r="E55" s="51">
        <f>IF($C55="","",ROUND(SUM(I55,L55,O55,R55,U55),2))</f>
        <v/>
      </c>
      <c r="F55" s="52">
        <f>IF($C55="","",ROUND($C55-$E55,2))</f>
        <v/>
      </c>
      <c r="G55" s="24">
        <f>IF(OR($C55="",$C55=0),"",$E55/$C55)</f>
        <v/>
      </c>
      <c r="H55" s="53">
        <f>IF($C55="","",IF($E55=0,"A receber",IF(ROUND($F55,2)=0,"Quitado",IF($F55&lt;0,"Recebido a mais","Parcial"))))</f>
        <v/>
      </c>
      <c r="I55" s="54" t="n"/>
      <c r="J55" s="55" t="n"/>
      <c r="K55" s="56" t="n"/>
      <c r="L55" s="54" t="n"/>
      <c r="M55" s="55" t="n"/>
      <c r="N55" s="56" t="n"/>
      <c r="O55" s="54" t="n"/>
      <c r="P55" s="55" t="n"/>
      <c r="Q55" s="56" t="n"/>
      <c r="R55" s="54" t="n"/>
      <c r="S55" s="55" t="n"/>
      <c r="T55" s="56" t="n"/>
      <c r="U55" s="54" t="n"/>
      <c r="V55" s="55" t="n"/>
      <c r="W55" s="56" t="n"/>
      <c r="X55" s="57">
        <f>IF($C55="","",$F55)</f>
        <v/>
      </c>
      <c r="Y55" s="57">
        <f>IF($C55="","",$C55)</f>
        <v/>
      </c>
    </row>
    <row r="56" ht="17" customHeight="1">
      <c r="A56" s="49" t="n"/>
      <c r="B56" s="49" t="n"/>
      <c r="C56" s="50" t="n"/>
      <c r="D56" s="49" t="n"/>
      <c r="E56" s="51">
        <f>IF($C56="","",ROUND(SUM(I56,L56,O56,R56,U56),2))</f>
        <v/>
      </c>
      <c r="F56" s="52">
        <f>IF($C56="","",ROUND($C56-$E56,2))</f>
        <v/>
      </c>
      <c r="G56" s="24">
        <f>IF(OR($C56="",$C56=0),"",$E56/$C56)</f>
        <v/>
      </c>
      <c r="H56" s="53">
        <f>IF($C56="","",IF($E56=0,"A receber",IF(ROUND($F56,2)=0,"Quitado",IF($F56&lt;0,"Recebido a mais","Parcial"))))</f>
        <v/>
      </c>
      <c r="I56" s="54" t="n"/>
      <c r="J56" s="55" t="n"/>
      <c r="K56" s="56" t="n"/>
      <c r="L56" s="54" t="n"/>
      <c r="M56" s="55" t="n"/>
      <c r="N56" s="56" t="n"/>
      <c r="O56" s="54" t="n"/>
      <c r="P56" s="55" t="n"/>
      <c r="Q56" s="56" t="n"/>
      <c r="R56" s="54" t="n"/>
      <c r="S56" s="55" t="n"/>
      <c r="T56" s="56" t="n"/>
      <c r="U56" s="54" t="n"/>
      <c r="V56" s="55" t="n"/>
      <c r="W56" s="56" t="n"/>
      <c r="X56" s="57">
        <f>IF($C56="","",$F56)</f>
        <v/>
      </c>
      <c r="Y56" s="57">
        <f>IF($C56="","",$C56)</f>
        <v/>
      </c>
    </row>
    <row r="57" ht="6" customHeight="1"/>
    <row r="58" ht="20" customHeight="1">
      <c r="A58" s="33" t="inlineStr">
        <is>
          <t>Junho</t>
        </is>
      </c>
      <c r="B58" s="45" t="n"/>
      <c r="C58" s="46">
        <f>SUM(C59:C67)</f>
        <v/>
      </c>
      <c r="D58" s="45" t="n"/>
      <c r="E58" s="46">
        <f>SUM(E59:E67)</f>
        <v/>
      </c>
      <c r="F58" s="46">
        <f>SUM(F59:F67)</f>
        <v/>
      </c>
      <c r="G58" s="47">
        <f>IF(OR(C58="",C58=0),"",E58/C58)</f>
        <v/>
      </c>
      <c r="H58" s="48">
        <f>COUNT(C59:C67)&amp;" projeto(s)"</f>
        <v/>
      </c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</row>
    <row r="59" ht="17" customHeight="1">
      <c r="A59" s="49" t="inlineStr">
        <is>
          <t>Fabio</t>
        </is>
      </c>
      <c r="B59" s="49" t="inlineStr">
        <is>
          <t>consultorio</t>
        </is>
      </c>
      <c r="C59" s="50" t="n">
        <v>9200</v>
      </c>
      <c r="D59" s="49" t="inlineStr">
        <is>
          <t>50% + 50%</t>
        </is>
      </c>
      <c r="E59" s="51">
        <f>IF($C59="","",ROUND(SUM(I59,L59,O59,R59,U59),2))</f>
        <v/>
      </c>
      <c r="F59" s="52">
        <f>IF($C59="","",ROUND($C59-$E59,2))</f>
        <v/>
      </c>
      <c r="G59" s="24">
        <f>IF(OR($C59="",$C59=0),"",$E59/$C59)</f>
        <v/>
      </c>
      <c r="H59" s="53">
        <f>IF($C59="","",IF($E59=0,"A receber",IF(ROUND($F59,2)=0,"Quitado",IF($F59&lt;0,"Recebido a mais","Parcial"))))</f>
        <v/>
      </c>
      <c r="I59" s="54" t="n">
        <v>5000</v>
      </c>
      <c r="J59" s="55" t="n">
        <v>46175</v>
      </c>
      <c r="K59" s="56" t="inlineStr">
        <is>
          <t>pix</t>
        </is>
      </c>
      <c r="L59" s="54" t="n">
        <v>4200</v>
      </c>
      <c r="M59" s="55" t="n"/>
      <c r="N59" s="56" t="n"/>
      <c r="O59" s="54" t="n"/>
      <c r="P59" s="55" t="n"/>
      <c r="Q59" s="56" t="n"/>
      <c r="R59" s="54" t="n"/>
      <c r="S59" s="55" t="n"/>
      <c r="T59" s="56" t="n"/>
      <c r="U59" s="54" t="n"/>
      <c r="V59" s="55" t="n"/>
      <c r="W59" s="56" t="n"/>
      <c r="X59" s="57">
        <f>IF($C59="","",$F59)</f>
        <v/>
      </c>
      <c r="Y59" s="57">
        <f>IF($C59="","",$C59)</f>
        <v/>
      </c>
    </row>
    <row r="60" ht="17" customHeight="1">
      <c r="A60" s="49" t="inlineStr">
        <is>
          <t>Alexandrina</t>
        </is>
      </c>
      <c r="B60" s="49" t="inlineStr">
        <is>
          <t>lavanderia</t>
        </is>
      </c>
      <c r="C60" s="50" t="n">
        <v>4278</v>
      </c>
      <c r="D60" s="49" t="inlineStr">
        <is>
          <t>na entrega</t>
        </is>
      </c>
      <c r="E60" s="51">
        <f>IF($C60="","",ROUND(SUM(I60,L60,O60,R60,U60),2))</f>
        <v/>
      </c>
      <c r="F60" s="52">
        <f>IF($C60="","",ROUND($C60-$E60,2))</f>
        <v/>
      </c>
      <c r="G60" s="24">
        <f>IF(OR($C60="",$C60=0),"",$E60/$C60)</f>
        <v/>
      </c>
      <c r="H60" s="53">
        <f>IF($C60="","",IF($E60=0,"A receber",IF(ROUND($F60,2)=0,"Quitado",IF($F60&lt;0,"Recebido a mais","Parcial"))))</f>
        <v/>
      </c>
      <c r="I60" s="54" t="n">
        <v>2300</v>
      </c>
      <c r="J60" s="55" t="n">
        <v>46198</v>
      </c>
      <c r="K60" s="56" t="inlineStr">
        <is>
          <t>pix</t>
        </is>
      </c>
      <c r="L60" s="54" t="n"/>
      <c r="M60" s="55" t="n"/>
      <c r="N60" s="56" t="n"/>
      <c r="O60" s="54" t="n"/>
      <c r="P60" s="55" t="n"/>
      <c r="Q60" s="56" t="n"/>
      <c r="R60" s="54" t="n"/>
      <c r="S60" s="55" t="n"/>
      <c r="T60" s="56" t="n"/>
      <c r="U60" s="54" t="n"/>
      <c r="V60" s="55" t="n"/>
      <c r="W60" s="56" t="n"/>
      <c r="X60" s="57">
        <f>IF($C60="","",$F60)</f>
        <v/>
      </c>
      <c r="Y60" s="57">
        <f>IF($C60="","",$C60)</f>
        <v/>
      </c>
    </row>
    <row r="61" ht="17" customHeight="1">
      <c r="A61" s="49" t="inlineStr">
        <is>
          <t>Bernardo</t>
        </is>
      </c>
      <c r="B61" s="49" t="inlineStr">
        <is>
          <t>cozinha e banheiro</t>
        </is>
      </c>
      <c r="C61" s="50" t="n">
        <v>12900</v>
      </c>
      <c r="D61" s="49" t="n"/>
      <c r="E61" s="51">
        <f>IF($C61="","",ROUND(SUM(I61,L61,O61,R61,U61),2))</f>
        <v/>
      </c>
      <c r="F61" s="52">
        <f>IF($C61="","",ROUND($C61-$E61,2))</f>
        <v/>
      </c>
      <c r="G61" s="24">
        <f>IF(OR($C61="",$C61=0),"",$E61/$C61)</f>
        <v/>
      </c>
      <c r="H61" s="53">
        <f>IF($C61="","",IF($E61=0,"A receber",IF(ROUND($F61,2)=0,"Quitado",IF($F61&lt;0,"Recebido a mais","Parcial"))))</f>
        <v/>
      </c>
      <c r="I61" s="54" t="n">
        <v>3900</v>
      </c>
      <c r="J61" s="55" t="n">
        <v>46185</v>
      </c>
      <c r="K61" s="56" t="inlineStr">
        <is>
          <t>pix</t>
        </is>
      </c>
      <c r="L61" s="54" t="n"/>
      <c r="M61" s="55" t="n"/>
      <c r="N61" s="56" t="n"/>
      <c r="O61" s="54" t="n"/>
      <c r="P61" s="55" t="n"/>
      <c r="Q61" s="56" t="n"/>
      <c r="R61" s="54" t="n"/>
      <c r="S61" s="55" t="n"/>
      <c r="T61" s="56" t="n"/>
      <c r="U61" s="54" t="n"/>
      <c r="V61" s="55" t="n"/>
      <c r="W61" s="56" t="n"/>
      <c r="X61" s="57">
        <f>IF($C61="","",$F61)</f>
        <v/>
      </c>
      <c r="Y61" s="57">
        <f>IF($C61="","",$C61)</f>
        <v/>
      </c>
    </row>
    <row r="62" ht="17" customHeight="1">
      <c r="A62" s="49" t="inlineStr">
        <is>
          <t>Carla</t>
        </is>
      </c>
      <c r="B62" s="49" t="inlineStr">
        <is>
          <t>cozinha</t>
        </is>
      </c>
      <c r="C62" s="50" t="n">
        <v>27000</v>
      </c>
      <c r="D62" s="49" t="inlineStr">
        <is>
          <t>50% + 50%</t>
        </is>
      </c>
      <c r="E62" s="51">
        <f>IF($C62="","",ROUND(SUM(I62,L62,O62,R62,U62),2))</f>
        <v/>
      </c>
      <c r="F62" s="52">
        <f>IF($C62="","",ROUND($C62-$E62,2))</f>
        <v/>
      </c>
      <c r="G62" s="24">
        <f>IF(OR($C62="",$C62=0),"",$E62/$C62)</f>
        <v/>
      </c>
      <c r="H62" s="53">
        <f>IF($C62="","",IF($E62=0,"A receber",IF(ROUND($F62,2)=0,"Quitado",IF($F62&lt;0,"Recebido a mais","Parcial"))))</f>
        <v/>
      </c>
      <c r="I62" s="54" t="n">
        <v>13500</v>
      </c>
      <c r="J62" s="55" t="n">
        <v>46190</v>
      </c>
      <c r="K62" s="56" t="inlineStr">
        <is>
          <t>pix</t>
        </is>
      </c>
      <c r="L62" s="54" t="n"/>
      <c r="M62" s="55" t="n"/>
      <c r="N62" s="56" t="n"/>
      <c r="O62" s="54" t="n"/>
      <c r="P62" s="55" t="n"/>
      <c r="Q62" s="56" t="n"/>
      <c r="R62" s="54" t="n"/>
      <c r="S62" s="55" t="n"/>
      <c r="T62" s="56" t="n"/>
      <c r="U62" s="54" t="n"/>
      <c r="V62" s="55" t="n"/>
      <c r="W62" s="56" t="n"/>
      <c r="X62" s="57">
        <f>IF($C62="","",$F62)</f>
        <v/>
      </c>
      <c r="Y62" s="57">
        <f>IF($C62="","",$C62)</f>
        <v/>
      </c>
    </row>
    <row r="63" ht="17" customHeight="1">
      <c r="A63" s="49" t="inlineStr">
        <is>
          <t>Lucas Mello</t>
        </is>
      </c>
      <c r="B63" s="49" t="inlineStr">
        <is>
          <t>Casa</t>
        </is>
      </c>
      <c r="C63" s="50" t="n">
        <v>46000</v>
      </c>
      <c r="D63" s="49" t="inlineStr">
        <is>
          <t>50% + 50%</t>
        </is>
      </c>
      <c r="E63" s="51">
        <f>IF($C63="","",ROUND(SUM(I63,L63,O63,R63,U63),2))</f>
        <v/>
      </c>
      <c r="F63" s="52">
        <f>IF($C63="","",ROUND($C63-$E63,2))</f>
        <v/>
      </c>
      <c r="G63" s="24">
        <f>IF(OR($C63="",$C63=0),"",$E63/$C63)</f>
        <v/>
      </c>
      <c r="H63" s="53">
        <f>IF($C63="","",IF($E63=0,"A receber",IF(ROUND($F63,2)=0,"Quitado",IF($F63&lt;0,"Recebido a mais","Parcial"))))</f>
        <v/>
      </c>
      <c r="I63" s="54" t="n">
        <v>24000</v>
      </c>
      <c r="J63" s="55" t="n">
        <v>46184</v>
      </c>
      <c r="K63" s="56" t="inlineStr">
        <is>
          <t>pix</t>
        </is>
      </c>
      <c r="L63" s="54" t="n"/>
      <c r="M63" s="55" t="n"/>
      <c r="N63" s="56" t="n"/>
      <c r="O63" s="54" t="n"/>
      <c r="P63" s="55" t="n"/>
      <c r="Q63" s="56" t="n"/>
      <c r="R63" s="54" t="n"/>
      <c r="S63" s="55" t="n"/>
      <c r="T63" s="56" t="n"/>
      <c r="U63" s="54" t="n"/>
      <c r="V63" s="55" t="n"/>
      <c r="W63" s="56" t="n"/>
      <c r="X63" s="57">
        <f>IF($C63="","",$F63)</f>
        <v/>
      </c>
      <c r="Y63" s="57">
        <f>IF($C63="","",$C63)</f>
        <v/>
      </c>
    </row>
    <row r="64" ht="17" customHeight="1">
      <c r="A64" s="49" t="inlineStr">
        <is>
          <t>Luciana Rajao</t>
        </is>
      </c>
      <c r="B64" s="49" t="inlineStr">
        <is>
          <t>manutencoes</t>
        </is>
      </c>
      <c r="C64" s="50" t="n">
        <v>12000</v>
      </c>
      <c r="D64" s="49" t="inlineStr">
        <is>
          <t>boletos - 30/60/90</t>
        </is>
      </c>
      <c r="E64" s="51">
        <f>IF($C64="","",ROUND(SUM(I64,L64,O64,R64,U64),2))</f>
        <v/>
      </c>
      <c r="F64" s="52">
        <f>IF($C64="","",ROUND($C64-$E64,2))</f>
        <v/>
      </c>
      <c r="G64" s="24">
        <f>IF(OR($C64="",$C64=0),"",$E64/$C64)</f>
        <v/>
      </c>
      <c r="H64" s="53">
        <f>IF($C64="","",IF($E64=0,"A receber",IF(ROUND($F64,2)=0,"Quitado",IF($F64&lt;0,"Recebido a mais","Parcial"))))</f>
        <v/>
      </c>
      <c r="I64" s="54" t="n"/>
      <c r="J64" s="55" t="n"/>
      <c r="K64" s="56" t="n"/>
      <c r="L64" s="54" t="n"/>
      <c r="M64" s="55" t="n"/>
      <c r="N64" s="56" t="n"/>
      <c r="O64" s="54" t="n"/>
      <c r="P64" s="55" t="n"/>
      <c r="Q64" s="56" t="n"/>
      <c r="R64" s="54" t="n"/>
      <c r="S64" s="55" t="n"/>
      <c r="T64" s="56" t="n"/>
      <c r="U64" s="54" t="n"/>
      <c r="V64" s="55" t="n"/>
      <c r="W64" s="56" t="n"/>
      <c r="X64" s="57">
        <f>IF($C64="","",$F64)</f>
        <v/>
      </c>
      <c r="Y64" s="57">
        <f>IF($C64="","",$C64)</f>
        <v/>
      </c>
    </row>
    <row r="65" ht="17" customHeight="1">
      <c r="A65" s="49" t="n"/>
      <c r="B65" s="49" t="n"/>
      <c r="C65" s="50" t="n"/>
      <c r="D65" s="49" t="n"/>
      <c r="E65" s="51">
        <f>IF($C65="","",ROUND(SUM(I65,L65,O65,R65,U65),2))</f>
        <v/>
      </c>
      <c r="F65" s="52">
        <f>IF($C65="","",ROUND($C65-$E65,2))</f>
        <v/>
      </c>
      <c r="G65" s="24">
        <f>IF(OR($C65="",$C65=0),"",$E65/$C65)</f>
        <v/>
      </c>
      <c r="H65" s="53">
        <f>IF($C65="","",IF($E65=0,"A receber",IF(ROUND($F65,2)=0,"Quitado",IF($F65&lt;0,"Recebido a mais","Parcial"))))</f>
        <v/>
      </c>
      <c r="I65" s="54" t="n"/>
      <c r="J65" s="55" t="n"/>
      <c r="K65" s="56" t="n"/>
      <c r="L65" s="54" t="n"/>
      <c r="M65" s="55" t="n"/>
      <c r="N65" s="56" t="n"/>
      <c r="O65" s="54" t="n"/>
      <c r="P65" s="55" t="n"/>
      <c r="Q65" s="56" t="n"/>
      <c r="R65" s="54" t="n"/>
      <c r="S65" s="55" t="n"/>
      <c r="T65" s="56" t="n"/>
      <c r="U65" s="54" t="n"/>
      <c r="V65" s="55" t="n"/>
      <c r="W65" s="56" t="n"/>
      <c r="X65" s="57">
        <f>IF($C65="","",$F65)</f>
        <v/>
      </c>
      <c r="Y65" s="57">
        <f>IF($C65="","",$C65)</f>
        <v/>
      </c>
    </row>
    <row r="66" ht="17" customHeight="1">
      <c r="A66" s="49" t="n"/>
      <c r="B66" s="49" t="n"/>
      <c r="C66" s="50" t="n"/>
      <c r="D66" s="49" t="n"/>
      <c r="E66" s="51">
        <f>IF($C66="","",ROUND(SUM(I66,L66,O66,R66,U66),2))</f>
        <v/>
      </c>
      <c r="F66" s="52">
        <f>IF($C66="","",ROUND($C66-$E66,2))</f>
        <v/>
      </c>
      <c r="G66" s="24">
        <f>IF(OR($C66="",$C66=0),"",$E66/$C66)</f>
        <v/>
      </c>
      <c r="H66" s="53">
        <f>IF($C66="","",IF($E66=0,"A receber",IF(ROUND($F66,2)=0,"Quitado",IF($F66&lt;0,"Recebido a mais","Parcial"))))</f>
        <v/>
      </c>
      <c r="I66" s="54" t="n"/>
      <c r="J66" s="55" t="n"/>
      <c r="K66" s="56" t="n"/>
      <c r="L66" s="54" t="n"/>
      <c r="M66" s="55" t="n"/>
      <c r="N66" s="56" t="n"/>
      <c r="O66" s="54" t="n"/>
      <c r="P66" s="55" t="n"/>
      <c r="Q66" s="56" t="n"/>
      <c r="R66" s="54" t="n"/>
      <c r="S66" s="55" t="n"/>
      <c r="T66" s="56" t="n"/>
      <c r="U66" s="54" t="n"/>
      <c r="V66" s="55" t="n"/>
      <c r="W66" s="56" t="n"/>
      <c r="X66" s="57">
        <f>IF($C66="","",$F66)</f>
        <v/>
      </c>
      <c r="Y66" s="57">
        <f>IF($C66="","",$C66)</f>
        <v/>
      </c>
    </row>
    <row r="67" ht="17" customHeight="1">
      <c r="A67" s="49" t="n"/>
      <c r="B67" s="49" t="n"/>
      <c r="C67" s="50" t="n"/>
      <c r="D67" s="49" t="n"/>
      <c r="E67" s="51">
        <f>IF($C67="","",ROUND(SUM(I67,L67,O67,R67,U67),2))</f>
        <v/>
      </c>
      <c r="F67" s="52">
        <f>IF($C67="","",ROUND($C67-$E67,2))</f>
        <v/>
      </c>
      <c r="G67" s="24">
        <f>IF(OR($C67="",$C67=0),"",$E67/$C67)</f>
        <v/>
      </c>
      <c r="H67" s="53">
        <f>IF($C67="","",IF($E67=0,"A receber",IF(ROUND($F67,2)=0,"Quitado",IF($F67&lt;0,"Recebido a mais","Parcial"))))</f>
        <v/>
      </c>
      <c r="I67" s="54" t="n"/>
      <c r="J67" s="55" t="n"/>
      <c r="K67" s="56" t="n"/>
      <c r="L67" s="54" t="n"/>
      <c r="M67" s="55" t="n"/>
      <c r="N67" s="56" t="n"/>
      <c r="O67" s="54" t="n"/>
      <c r="P67" s="55" t="n"/>
      <c r="Q67" s="56" t="n"/>
      <c r="R67" s="54" t="n"/>
      <c r="S67" s="55" t="n"/>
      <c r="T67" s="56" t="n"/>
      <c r="U67" s="54" t="n"/>
      <c r="V67" s="55" t="n"/>
      <c r="W67" s="56" t="n"/>
      <c r="X67" s="57">
        <f>IF($C67="","",$F67)</f>
        <v/>
      </c>
      <c r="Y67" s="57">
        <f>IF($C67="","",$C67)</f>
        <v/>
      </c>
    </row>
    <row r="68" ht="6" customHeight="1"/>
    <row r="69" ht="20" customHeight="1">
      <c r="A69" s="33" t="inlineStr">
        <is>
          <t>Julho</t>
        </is>
      </c>
      <c r="B69" s="45" t="n"/>
      <c r="C69" s="46">
        <f>SUM(C70:C78)</f>
        <v/>
      </c>
      <c r="D69" s="45" t="n"/>
      <c r="E69" s="46">
        <f>SUM(E70:E78)</f>
        <v/>
      </c>
      <c r="F69" s="46">
        <f>SUM(F70:F78)</f>
        <v/>
      </c>
      <c r="G69" s="47">
        <f>IF(OR(C69="",C69=0),"",E69/C69)</f>
        <v/>
      </c>
      <c r="H69" s="48">
        <f>COUNT(C70:C78)&amp;" projeto(s)"</f>
        <v/>
      </c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</row>
    <row r="70" ht="17" customHeight="1">
      <c r="A70" s="49" t="inlineStr">
        <is>
          <t>Richard e Camila</t>
        </is>
      </c>
      <c r="B70" s="49" t="inlineStr">
        <is>
          <t>Roupeiro</t>
        </is>
      </c>
      <c r="C70" s="50" t="n">
        <v>19000</v>
      </c>
      <c r="D70" s="49" t="inlineStr">
        <is>
          <t>50% + 50+</t>
        </is>
      </c>
      <c r="E70" s="51">
        <f>IF($C70="","",ROUND(SUM(I70,L70,O70,R70,U70),2))</f>
        <v/>
      </c>
      <c r="F70" s="52">
        <f>IF($C70="","",ROUND($C70-$E70,2))</f>
        <v/>
      </c>
      <c r="G70" s="24">
        <f>IF(OR($C70="",$C70=0),"",$E70/$C70)</f>
        <v/>
      </c>
      <c r="H70" s="53">
        <f>IF($C70="","",IF($E70=0,"A receber",IF(ROUND($F70,2)=0,"Quitado",IF($F70&lt;0,"Recebido a mais","Parcial"))))</f>
        <v/>
      </c>
      <c r="I70" s="54" t="n"/>
      <c r="J70" s="55" t="n"/>
      <c r="K70" s="56" t="n"/>
      <c r="L70" s="54" t="n"/>
      <c r="M70" s="55" t="n"/>
      <c r="N70" s="56" t="n"/>
      <c r="O70" s="54" t="n"/>
      <c r="P70" s="55" t="n"/>
      <c r="Q70" s="56" t="n"/>
      <c r="R70" s="54" t="n"/>
      <c r="S70" s="55" t="n"/>
      <c r="T70" s="56" t="n"/>
      <c r="U70" s="54" t="n"/>
      <c r="V70" s="55" t="n"/>
      <c r="W70" s="56" t="n"/>
      <c r="X70" s="57">
        <f>IF($C70="","",$F70)</f>
        <v/>
      </c>
      <c r="Y70" s="57">
        <f>IF($C70="","",$C70)</f>
        <v/>
      </c>
    </row>
    <row r="71" ht="17" customHeight="1">
      <c r="A71" s="49" t="inlineStr">
        <is>
          <t>Ana Carolina</t>
        </is>
      </c>
      <c r="B71" s="49" t="inlineStr">
        <is>
          <t>Casa completa</t>
        </is>
      </c>
      <c r="C71" s="50" t="n">
        <v>108490</v>
      </c>
      <c r="D71" s="49" t="n"/>
      <c r="E71" s="51">
        <f>IF($C71="","",ROUND(SUM(I71,L71,O71,R71,U71),2))</f>
        <v/>
      </c>
      <c r="F71" s="52">
        <f>IF($C71="","",ROUND($C71-$E71,2))</f>
        <v/>
      </c>
      <c r="G71" s="24">
        <f>IF(OR($C71="",$C71=0),"",$E71/$C71)</f>
        <v/>
      </c>
      <c r="H71" s="53">
        <f>IF($C71="","",IF($E71=0,"A receber",IF(ROUND($F71,2)=0,"Quitado",IF($F71&lt;0,"Recebido a mais","Parcial"))))</f>
        <v/>
      </c>
      <c r="I71" s="54" t="n">
        <v>32550</v>
      </c>
      <c r="J71" s="55" t="n">
        <v>46210</v>
      </c>
      <c r="K71" s="56" t="inlineStr">
        <is>
          <t>pix</t>
        </is>
      </c>
      <c r="L71" s="54" t="n"/>
      <c r="M71" s="55" t="n"/>
      <c r="N71" s="56" t="n"/>
      <c r="O71" s="54" t="n"/>
      <c r="P71" s="55" t="n"/>
      <c r="Q71" s="56" t="n"/>
      <c r="R71" s="54" t="n"/>
      <c r="S71" s="55" t="n"/>
      <c r="T71" s="56" t="n"/>
      <c r="U71" s="54" t="n"/>
      <c r="V71" s="55" t="n"/>
      <c r="W71" s="56" t="n"/>
      <c r="X71" s="57">
        <f>IF($C71="","",$F71)</f>
        <v/>
      </c>
      <c r="Y71" s="57">
        <f>IF($C71="","",$C71)</f>
        <v/>
      </c>
    </row>
    <row r="72" ht="17" customHeight="1">
      <c r="A72" s="49" t="inlineStr">
        <is>
          <t>Tania</t>
        </is>
      </c>
      <c r="B72" s="49" t="inlineStr">
        <is>
          <t>quarto</t>
        </is>
      </c>
      <c r="C72" s="50" t="n">
        <v>8536</v>
      </c>
      <c r="D72" s="49" t="n"/>
      <c r="E72" s="51">
        <f>IF($C72="","",ROUND(SUM(I72,L72,O72,R72,U72),2))</f>
        <v/>
      </c>
      <c r="F72" s="52">
        <f>IF($C72="","",ROUND($C72-$E72,2))</f>
        <v/>
      </c>
      <c r="G72" s="24">
        <f>IF(OR($C72="",$C72=0),"",$E72/$C72)</f>
        <v/>
      </c>
      <c r="H72" s="53">
        <f>IF($C72="","",IF($E72=0,"A receber",IF(ROUND($F72,2)=0,"Quitado",IF($F72&lt;0,"Recebido a mais","Parcial"))))</f>
        <v/>
      </c>
      <c r="I72" s="54" t="n"/>
      <c r="J72" s="55" t="n"/>
      <c r="K72" s="56" t="n"/>
      <c r="L72" s="54" t="n"/>
      <c r="M72" s="55" t="n"/>
      <c r="N72" s="56" t="n"/>
      <c r="O72" s="54" t="n"/>
      <c r="P72" s="55" t="n"/>
      <c r="Q72" s="56" t="n"/>
      <c r="R72" s="54" t="n"/>
      <c r="S72" s="55" t="n"/>
      <c r="T72" s="56" t="n"/>
      <c r="U72" s="54" t="n"/>
      <c r="V72" s="55" t="n"/>
      <c r="W72" s="56" t="n"/>
      <c r="X72" s="57">
        <f>IF($C72="","",$F72)</f>
        <v/>
      </c>
      <c r="Y72" s="57">
        <f>IF($C72="","",$C72)</f>
        <v/>
      </c>
    </row>
    <row r="73" ht="17" customHeight="1">
      <c r="A73" s="49" t="inlineStr">
        <is>
          <t>Andrea</t>
        </is>
      </c>
      <c r="B73" s="49" t="inlineStr">
        <is>
          <t>Clinica dermatologia</t>
        </is>
      </c>
      <c r="C73" s="50" t="n">
        <v>47000</v>
      </c>
      <c r="D73" s="49" t="n"/>
      <c r="E73" s="51">
        <f>IF($C73="","",ROUND(SUM(I73,L73,O73,R73,U73),2))</f>
        <v/>
      </c>
      <c r="F73" s="52">
        <f>IF($C73="","",ROUND($C73-$E73,2))</f>
        <v/>
      </c>
      <c r="G73" s="24">
        <f>IF(OR($C73="",$C73=0),"",$E73/$C73)</f>
        <v/>
      </c>
      <c r="H73" s="53">
        <f>IF($C73="","",IF($E73=0,"A receber",IF(ROUND($F73,2)=0,"Quitado",IF($F73&lt;0,"Recebido a mais","Parcial"))))</f>
        <v/>
      </c>
      <c r="I73" s="54" t="n"/>
      <c r="J73" s="55" t="n"/>
      <c r="K73" s="56" t="n"/>
      <c r="L73" s="54" t="n"/>
      <c r="M73" s="55" t="n"/>
      <c r="N73" s="56" t="n"/>
      <c r="O73" s="54" t="n"/>
      <c r="P73" s="55" t="n"/>
      <c r="Q73" s="56" t="n"/>
      <c r="R73" s="54" t="n"/>
      <c r="S73" s="55" t="n"/>
      <c r="T73" s="56" t="n"/>
      <c r="U73" s="54" t="n"/>
      <c r="V73" s="55" t="n"/>
      <c r="W73" s="56" t="n"/>
      <c r="X73" s="57">
        <f>IF($C73="","",$F73)</f>
        <v/>
      </c>
      <c r="Y73" s="57">
        <f>IF($C73="","",$C73)</f>
        <v/>
      </c>
    </row>
    <row r="74" ht="17" customHeight="1">
      <c r="A74" s="49" t="inlineStr">
        <is>
          <t>Gisele</t>
        </is>
      </c>
      <c r="B74" s="49" t="inlineStr">
        <is>
          <t>Banheiro</t>
        </is>
      </c>
      <c r="C74" s="50" t="n">
        <v>13950</v>
      </c>
      <c r="D74" s="49" t="n"/>
      <c r="E74" s="51">
        <f>IF($C74="","",ROUND(SUM(I74,L74,O74,R74,U74),2))</f>
        <v/>
      </c>
      <c r="F74" s="52">
        <f>IF($C74="","",ROUND($C74-$E74,2))</f>
        <v/>
      </c>
      <c r="G74" s="24">
        <f>IF(OR($C74="",$C74=0),"",$E74/$C74)</f>
        <v/>
      </c>
      <c r="H74" s="53">
        <f>IF($C74="","",IF($E74=0,"A receber",IF(ROUND($F74,2)=0,"Quitado",IF($F74&lt;0,"Recebido a mais","Parcial"))))</f>
        <v/>
      </c>
      <c r="I74" s="54" t="n"/>
      <c r="J74" s="55" t="n"/>
      <c r="K74" s="56" t="n"/>
      <c r="L74" s="54" t="n"/>
      <c r="M74" s="55" t="n"/>
      <c r="N74" s="56" t="n"/>
      <c r="O74" s="54" t="n"/>
      <c r="P74" s="55" t="n"/>
      <c r="Q74" s="56" t="n"/>
      <c r="R74" s="54" t="n"/>
      <c r="S74" s="55" t="n"/>
      <c r="T74" s="56" t="n"/>
      <c r="U74" s="54" t="n"/>
      <c r="V74" s="55" t="n"/>
      <c r="W74" s="56" t="n"/>
      <c r="X74" s="57">
        <f>IF($C74="","",$F74)</f>
        <v/>
      </c>
      <c r="Y74" s="57">
        <f>IF($C74="","",$C74)</f>
        <v/>
      </c>
    </row>
    <row r="75" ht="17" customHeight="1">
      <c r="A75" s="49" t="inlineStr">
        <is>
          <t>Luiz adv</t>
        </is>
      </c>
      <c r="B75" s="49" t="inlineStr">
        <is>
          <t>roupeiro</t>
        </is>
      </c>
      <c r="C75" s="50" t="n">
        <v>5300</v>
      </c>
      <c r="D75" s="49" t="n"/>
      <c r="E75" s="51">
        <f>IF($C75="","",ROUND(SUM(I75,L75,O75,R75,U75),2))</f>
        <v/>
      </c>
      <c r="F75" s="52">
        <f>IF($C75="","",ROUND($C75-$E75,2))</f>
        <v/>
      </c>
      <c r="G75" s="24">
        <f>IF(OR($C75="",$C75=0),"",$E75/$C75)</f>
        <v/>
      </c>
      <c r="H75" s="53">
        <f>IF($C75="","",IF($E75=0,"A receber",IF(ROUND($F75,2)=0,"Quitado",IF($F75&lt;0,"Recebido a mais","Parcial"))))</f>
        <v/>
      </c>
      <c r="I75" s="54" t="n"/>
      <c r="J75" s="55" t="n"/>
      <c r="K75" s="56" t="n"/>
      <c r="L75" s="54" t="n"/>
      <c r="M75" s="55" t="n"/>
      <c r="N75" s="56" t="n"/>
      <c r="O75" s="54" t="n"/>
      <c r="P75" s="55" t="n"/>
      <c r="Q75" s="56" t="n"/>
      <c r="R75" s="54" t="n"/>
      <c r="S75" s="55" t="n"/>
      <c r="T75" s="56" t="n"/>
      <c r="U75" s="54" t="n"/>
      <c r="V75" s="55" t="n"/>
      <c r="W75" s="56" t="n"/>
      <c r="X75" s="57">
        <f>IF($C75="","",$F75)</f>
        <v/>
      </c>
      <c r="Y75" s="57">
        <f>IF($C75="","",$C75)</f>
        <v/>
      </c>
    </row>
    <row r="76" ht="17" customHeight="1">
      <c r="A76" s="49" t="n"/>
      <c r="B76" s="49" t="n"/>
      <c r="C76" s="50" t="n"/>
      <c r="D76" s="49" t="n"/>
      <c r="E76" s="51">
        <f>IF($C76="","",ROUND(SUM(I76,L76,O76,R76,U76),2))</f>
        <v/>
      </c>
      <c r="F76" s="52">
        <f>IF($C76="","",ROUND($C76-$E76,2))</f>
        <v/>
      </c>
      <c r="G76" s="24">
        <f>IF(OR($C76="",$C76=0),"",$E76/$C76)</f>
        <v/>
      </c>
      <c r="H76" s="53">
        <f>IF($C76="","",IF($E76=0,"A receber",IF(ROUND($F76,2)=0,"Quitado",IF($F76&lt;0,"Recebido a mais","Parcial"))))</f>
        <v/>
      </c>
      <c r="I76" s="54" t="n"/>
      <c r="J76" s="55" t="n"/>
      <c r="K76" s="56" t="n"/>
      <c r="L76" s="54" t="n"/>
      <c r="M76" s="55" t="n"/>
      <c r="N76" s="56" t="n"/>
      <c r="O76" s="54" t="n"/>
      <c r="P76" s="55" t="n"/>
      <c r="Q76" s="56" t="n"/>
      <c r="R76" s="54" t="n"/>
      <c r="S76" s="55" t="n"/>
      <c r="T76" s="56" t="n"/>
      <c r="U76" s="54" t="n"/>
      <c r="V76" s="55" t="n"/>
      <c r="W76" s="56" t="n"/>
      <c r="X76" s="57">
        <f>IF($C76="","",$F76)</f>
        <v/>
      </c>
      <c r="Y76" s="57">
        <f>IF($C76="","",$C76)</f>
        <v/>
      </c>
    </row>
    <row r="77" ht="17" customHeight="1">
      <c r="A77" s="49" t="n"/>
      <c r="B77" s="49" t="n"/>
      <c r="C77" s="50" t="n"/>
      <c r="D77" s="49" t="n"/>
      <c r="E77" s="51">
        <f>IF($C77="","",ROUND(SUM(I77,L77,O77,R77,U77),2))</f>
        <v/>
      </c>
      <c r="F77" s="52">
        <f>IF($C77="","",ROUND($C77-$E77,2))</f>
        <v/>
      </c>
      <c r="G77" s="24">
        <f>IF(OR($C77="",$C77=0),"",$E77/$C77)</f>
        <v/>
      </c>
      <c r="H77" s="53">
        <f>IF($C77="","",IF($E77=0,"A receber",IF(ROUND($F77,2)=0,"Quitado",IF($F77&lt;0,"Recebido a mais","Parcial"))))</f>
        <v/>
      </c>
      <c r="I77" s="54" t="n"/>
      <c r="J77" s="55" t="n"/>
      <c r="K77" s="56" t="n"/>
      <c r="L77" s="54" t="n"/>
      <c r="M77" s="55" t="n"/>
      <c r="N77" s="56" t="n"/>
      <c r="O77" s="54" t="n"/>
      <c r="P77" s="55" t="n"/>
      <c r="Q77" s="56" t="n"/>
      <c r="R77" s="54" t="n"/>
      <c r="S77" s="55" t="n"/>
      <c r="T77" s="56" t="n"/>
      <c r="U77" s="54" t="n"/>
      <c r="V77" s="55" t="n"/>
      <c r="W77" s="56" t="n"/>
      <c r="X77" s="57">
        <f>IF($C77="","",$F77)</f>
        <v/>
      </c>
      <c r="Y77" s="57">
        <f>IF($C77="","",$C77)</f>
        <v/>
      </c>
    </row>
    <row r="78" ht="17" customHeight="1">
      <c r="A78" s="49" t="n"/>
      <c r="B78" s="49" t="n"/>
      <c r="C78" s="50" t="n"/>
      <c r="D78" s="49" t="n"/>
      <c r="E78" s="51">
        <f>IF($C78="","",ROUND(SUM(I78,L78,O78,R78,U78),2))</f>
        <v/>
      </c>
      <c r="F78" s="52">
        <f>IF($C78="","",ROUND($C78-$E78,2))</f>
        <v/>
      </c>
      <c r="G78" s="24">
        <f>IF(OR($C78="",$C78=0),"",$E78/$C78)</f>
        <v/>
      </c>
      <c r="H78" s="53">
        <f>IF($C78="","",IF($E78=0,"A receber",IF(ROUND($F78,2)=0,"Quitado",IF($F78&lt;0,"Recebido a mais","Parcial"))))</f>
        <v/>
      </c>
      <c r="I78" s="54" t="n"/>
      <c r="J78" s="55" t="n"/>
      <c r="K78" s="56" t="n"/>
      <c r="L78" s="54" t="n"/>
      <c r="M78" s="55" t="n"/>
      <c r="N78" s="56" t="n"/>
      <c r="O78" s="54" t="n"/>
      <c r="P78" s="55" t="n"/>
      <c r="Q78" s="56" t="n"/>
      <c r="R78" s="54" t="n"/>
      <c r="S78" s="55" t="n"/>
      <c r="T78" s="56" t="n"/>
      <c r="U78" s="54" t="n"/>
      <c r="V78" s="55" t="n"/>
      <c r="W78" s="56" t="n"/>
      <c r="X78" s="57">
        <f>IF($C78="","",$F78)</f>
        <v/>
      </c>
      <c r="Y78" s="57">
        <f>IF($C78="","",$C78)</f>
        <v/>
      </c>
    </row>
    <row r="79" ht="6" customHeight="1"/>
    <row r="80" ht="20" customHeight="1">
      <c r="A80" s="33" t="inlineStr">
        <is>
          <t>Agosto</t>
        </is>
      </c>
      <c r="B80" s="45" t="n"/>
      <c r="C80" s="46">
        <f>SUM(C81:C86)</f>
        <v/>
      </c>
      <c r="D80" s="45" t="n"/>
      <c r="E80" s="46">
        <f>SUM(E81:E86)</f>
        <v/>
      </c>
      <c r="F80" s="46">
        <f>SUM(F81:F86)</f>
        <v/>
      </c>
      <c r="G80" s="47">
        <f>IF(OR(C80="",C80=0),"",E80/C80)</f>
        <v/>
      </c>
      <c r="H80" s="48">
        <f>COUNT(C81:C86)&amp;" projeto(s)"</f>
        <v/>
      </c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</row>
    <row r="81" ht="17" customHeight="1">
      <c r="A81" s="49" t="inlineStr">
        <is>
          <t>Jairo</t>
        </is>
      </c>
      <c r="B81" s="49" t="inlineStr">
        <is>
          <t>casa</t>
        </is>
      </c>
      <c r="C81" s="50" t="n">
        <v>63000</v>
      </c>
      <c r="D81" s="49" t="n"/>
      <c r="E81" s="51">
        <f>IF($C81="","",ROUND(SUM(I81,L81,O81,R81,U81),2))</f>
        <v/>
      </c>
      <c r="F81" s="52">
        <f>IF($C81="","",ROUND($C81-$E81,2))</f>
        <v/>
      </c>
      <c r="G81" s="24">
        <f>IF(OR($C81="",$C81=0),"",$E81/$C81)</f>
        <v/>
      </c>
      <c r="H81" s="53">
        <f>IF($C81="","",IF($E81=0,"A receber",IF(ROUND($F81,2)=0,"Quitado",IF($F81&lt;0,"Recebido a mais","Parcial"))))</f>
        <v/>
      </c>
      <c r="I81" s="54" t="n"/>
      <c r="J81" s="55" t="n"/>
      <c r="K81" s="56" t="n"/>
      <c r="L81" s="54" t="n"/>
      <c r="M81" s="55" t="n"/>
      <c r="N81" s="56" t="n"/>
      <c r="O81" s="54" t="n"/>
      <c r="P81" s="55" t="n"/>
      <c r="Q81" s="56" t="n"/>
      <c r="R81" s="54" t="n"/>
      <c r="S81" s="55" t="n"/>
      <c r="T81" s="56" t="n"/>
      <c r="U81" s="54" t="n"/>
      <c r="V81" s="55" t="n"/>
      <c r="W81" s="56" t="n"/>
      <c r="X81" s="57">
        <f>IF($C81="","",$F81)</f>
        <v/>
      </c>
      <c r="Y81" s="57">
        <f>IF($C81="","",$C81)</f>
        <v/>
      </c>
    </row>
    <row r="82" ht="17" customHeight="1">
      <c r="A82" s="49" t="inlineStr">
        <is>
          <t>Flavia</t>
        </is>
      </c>
      <c r="B82" s="49" t="inlineStr">
        <is>
          <t>hall</t>
        </is>
      </c>
      <c r="C82" s="50" t="n">
        <v>15000</v>
      </c>
      <c r="D82" s="49" t="n"/>
      <c r="E82" s="51">
        <f>IF($C82="","",ROUND(SUM(I82,L82,O82,R82,U82),2))</f>
        <v/>
      </c>
      <c r="F82" s="52">
        <f>IF($C82="","",ROUND($C82-$E82,2))</f>
        <v/>
      </c>
      <c r="G82" s="24">
        <f>IF(OR($C82="",$C82=0),"",$E82/$C82)</f>
        <v/>
      </c>
      <c r="H82" s="53">
        <f>IF($C82="","",IF($E82=0,"A receber",IF(ROUND($F82,2)=0,"Quitado",IF($F82&lt;0,"Recebido a mais","Parcial"))))</f>
        <v/>
      </c>
      <c r="I82" s="54" t="n"/>
      <c r="J82" s="55" t="n"/>
      <c r="K82" s="56" t="n"/>
      <c r="L82" s="54" t="n"/>
      <c r="M82" s="55" t="n"/>
      <c r="N82" s="56" t="n"/>
      <c r="O82" s="54" t="n"/>
      <c r="P82" s="55" t="n"/>
      <c r="Q82" s="56" t="n"/>
      <c r="R82" s="54" t="n"/>
      <c r="S82" s="55" t="n"/>
      <c r="T82" s="56" t="n"/>
      <c r="U82" s="54" t="n"/>
      <c r="V82" s="55" t="n"/>
      <c r="W82" s="56" t="n"/>
      <c r="X82" s="57">
        <f>IF($C82="","",$F82)</f>
        <v/>
      </c>
      <c r="Y82" s="57">
        <f>IF($C82="","",$C82)</f>
        <v/>
      </c>
    </row>
    <row r="83" ht="17" customHeight="1">
      <c r="A83" s="49" t="inlineStr">
        <is>
          <t>Luiz</t>
        </is>
      </c>
      <c r="B83" s="49" t="inlineStr">
        <is>
          <t>Escritorio</t>
        </is>
      </c>
      <c r="C83" s="50" t="n">
        <v>20000</v>
      </c>
      <c r="D83" s="49" t="n"/>
      <c r="E83" s="51">
        <f>IF($C83="","",ROUND(SUM(I83,L83,O83,R83,U83),2))</f>
        <v/>
      </c>
      <c r="F83" s="52">
        <f>IF($C83="","",ROUND($C83-$E83,2))</f>
        <v/>
      </c>
      <c r="G83" s="24">
        <f>IF(OR($C83="",$C83=0),"",$E83/$C83)</f>
        <v/>
      </c>
      <c r="H83" s="53">
        <f>IF($C83="","",IF($E83=0,"A receber",IF(ROUND($F83,2)=0,"Quitado",IF($F83&lt;0,"Recebido a mais","Parcial"))))</f>
        <v/>
      </c>
      <c r="I83" s="54" t="n"/>
      <c r="J83" s="55" t="n"/>
      <c r="K83" s="56" t="n"/>
      <c r="L83" s="54" t="n"/>
      <c r="M83" s="55" t="n"/>
      <c r="N83" s="56" t="n"/>
      <c r="O83" s="54" t="n"/>
      <c r="P83" s="55" t="n"/>
      <c r="Q83" s="56" t="n"/>
      <c r="R83" s="54" t="n"/>
      <c r="S83" s="55" t="n"/>
      <c r="T83" s="56" t="n"/>
      <c r="U83" s="54" t="n"/>
      <c r="V83" s="55" t="n"/>
      <c r="W83" s="56" t="n"/>
      <c r="X83" s="57">
        <f>IF($C83="","",$F83)</f>
        <v/>
      </c>
      <c r="Y83" s="57">
        <f>IF($C83="","",$C83)</f>
        <v/>
      </c>
    </row>
    <row r="84" ht="17" customHeight="1">
      <c r="A84" s="49" t="n"/>
      <c r="B84" s="49" t="n"/>
      <c r="C84" s="50" t="n"/>
      <c r="D84" s="49" t="n"/>
      <c r="E84" s="51">
        <f>IF($C84="","",ROUND(SUM(I84,L84,O84,R84,U84),2))</f>
        <v/>
      </c>
      <c r="F84" s="52">
        <f>IF($C84="","",ROUND($C84-$E84,2))</f>
        <v/>
      </c>
      <c r="G84" s="24">
        <f>IF(OR($C84="",$C84=0),"",$E84/$C84)</f>
        <v/>
      </c>
      <c r="H84" s="53">
        <f>IF($C84="","",IF($E84=0,"A receber",IF(ROUND($F84,2)=0,"Quitado",IF($F84&lt;0,"Recebido a mais","Parcial"))))</f>
        <v/>
      </c>
      <c r="I84" s="54" t="n"/>
      <c r="J84" s="55" t="n"/>
      <c r="K84" s="56" t="n"/>
      <c r="L84" s="54" t="n"/>
      <c r="M84" s="55" t="n"/>
      <c r="N84" s="56" t="n"/>
      <c r="O84" s="54" t="n"/>
      <c r="P84" s="55" t="n"/>
      <c r="Q84" s="56" t="n"/>
      <c r="R84" s="54" t="n"/>
      <c r="S84" s="55" t="n"/>
      <c r="T84" s="56" t="n"/>
      <c r="U84" s="54" t="n"/>
      <c r="V84" s="55" t="n"/>
      <c r="W84" s="56" t="n"/>
      <c r="X84" s="57">
        <f>IF($C84="","",$F84)</f>
        <v/>
      </c>
      <c r="Y84" s="57">
        <f>IF($C84="","",$C84)</f>
        <v/>
      </c>
    </row>
    <row r="85" ht="17" customHeight="1">
      <c r="A85" s="49" t="n"/>
      <c r="B85" s="49" t="n"/>
      <c r="C85" s="50" t="n"/>
      <c r="D85" s="49" t="n"/>
      <c r="E85" s="51">
        <f>IF($C85="","",ROUND(SUM(I85,L85,O85,R85,U85),2))</f>
        <v/>
      </c>
      <c r="F85" s="52">
        <f>IF($C85="","",ROUND($C85-$E85,2))</f>
        <v/>
      </c>
      <c r="G85" s="24">
        <f>IF(OR($C85="",$C85=0),"",$E85/$C85)</f>
        <v/>
      </c>
      <c r="H85" s="53">
        <f>IF($C85="","",IF($E85=0,"A receber",IF(ROUND($F85,2)=0,"Quitado",IF($F85&lt;0,"Recebido a mais","Parcial"))))</f>
        <v/>
      </c>
      <c r="I85" s="54" t="n"/>
      <c r="J85" s="55" t="n"/>
      <c r="K85" s="56" t="n"/>
      <c r="L85" s="54" t="n"/>
      <c r="M85" s="55" t="n"/>
      <c r="N85" s="56" t="n"/>
      <c r="O85" s="54" t="n"/>
      <c r="P85" s="55" t="n"/>
      <c r="Q85" s="56" t="n"/>
      <c r="R85" s="54" t="n"/>
      <c r="S85" s="55" t="n"/>
      <c r="T85" s="56" t="n"/>
      <c r="U85" s="54" t="n"/>
      <c r="V85" s="55" t="n"/>
      <c r="W85" s="56" t="n"/>
      <c r="X85" s="57">
        <f>IF($C85="","",$F85)</f>
        <v/>
      </c>
      <c r="Y85" s="57">
        <f>IF($C85="","",$C85)</f>
        <v/>
      </c>
    </row>
    <row r="86" ht="17" customHeight="1">
      <c r="A86" s="49" t="n"/>
      <c r="B86" s="49" t="n"/>
      <c r="C86" s="50" t="n"/>
      <c r="D86" s="49" t="n"/>
      <c r="E86" s="51">
        <f>IF($C86="","",ROUND(SUM(I86,L86,O86,R86,U86),2))</f>
        <v/>
      </c>
      <c r="F86" s="52">
        <f>IF($C86="","",ROUND($C86-$E86,2))</f>
        <v/>
      </c>
      <c r="G86" s="24">
        <f>IF(OR($C86="",$C86=0),"",$E86/$C86)</f>
        <v/>
      </c>
      <c r="H86" s="53">
        <f>IF($C86="","",IF($E86=0,"A receber",IF(ROUND($F86,2)=0,"Quitado",IF($F86&lt;0,"Recebido a mais","Parcial"))))</f>
        <v/>
      </c>
      <c r="I86" s="54" t="n"/>
      <c r="J86" s="55" t="n"/>
      <c r="K86" s="56" t="n"/>
      <c r="L86" s="54" t="n"/>
      <c r="M86" s="55" t="n"/>
      <c r="N86" s="56" t="n"/>
      <c r="O86" s="54" t="n"/>
      <c r="P86" s="55" t="n"/>
      <c r="Q86" s="56" t="n"/>
      <c r="R86" s="54" t="n"/>
      <c r="S86" s="55" t="n"/>
      <c r="T86" s="56" t="n"/>
      <c r="U86" s="54" t="n"/>
      <c r="V86" s="55" t="n"/>
      <c r="W86" s="56" t="n"/>
      <c r="X86" s="57">
        <f>IF($C86="","",$F86)</f>
        <v/>
      </c>
      <c r="Y86" s="57">
        <f>IF($C86="","",$C86)</f>
        <v/>
      </c>
    </row>
    <row r="87" ht="6" customHeight="1"/>
    <row r="88" ht="20" customHeight="1">
      <c r="A88" s="33" t="inlineStr">
        <is>
          <t>Setembro</t>
        </is>
      </c>
      <c r="B88" s="45" t="n"/>
      <c r="C88" s="46">
        <f>SUM(C89:C91)</f>
        <v/>
      </c>
      <c r="D88" s="45" t="n"/>
      <c r="E88" s="46">
        <f>SUM(E89:E91)</f>
        <v/>
      </c>
      <c r="F88" s="46">
        <f>SUM(F89:F91)</f>
        <v/>
      </c>
      <c r="G88" s="47">
        <f>IF(OR(C88="",C88=0),"",E88/C88)</f>
        <v/>
      </c>
      <c r="H88" s="48">
        <f>COUNT(C89:C91)&amp;" projeto(s)"</f>
        <v/>
      </c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</row>
    <row r="89" ht="17" customHeight="1">
      <c r="A89" s="49" t="n"/>
      <c r="B89" s="49" t="n"/>
      <c r="C89" s="50" t="n"/>
      <c r="D89" s="49" t="n"/>
      <c r="E89" s="51">
        <f>IF($C89="","",ROUND(SUM(I89,L89,O89,R89,U89),2))</f>
        <v/>
      </c>
      <c r="F89" s="52">
        <f>IF($C89="","",ROUND($C89-$E89,2))</f>
        <v/>
      </c>
      <c r="G89" s="24">
        <f>IF(OR($C89="",$C89=0),"",$E89/$C89)</f>
        <v/>
      </c>
      <c r="H89" s="53">
        <f>IF($C89="","",IF($E89=0,"A receber",IF(ROUND($F89,2)=0,"Quitado",IF($F89&lt;0,"Recebido a mais","Parcial"))))</f>
        <v/>
      </c>
      <c r="I89" s="54" t="n"/>
      <c r="J89" s="55" t="n"/>
      <c r="K89" s="56" t="n"/>
      <c r="L89" s="54" t="n"/>
      <c r="M89" s="55" t="n"/>
      <c r="N89" s="56" t="n"/>
      <c r="O89" s="54" t="n"/>
      <c r="P89" s="55" t="n"/>
      <c r="Q89" s="56" t="n"/>
      <c r="R89" s="54" t="n"/>
      <c r="S89" s="55" t="n"/>
      <c r="T89" s="56" t="n"/>
      <c r="U89" s="54" t="n"/>
      <c r="V89" s="55" t="n"/>
      <c r="W89" s="56" t="n"/>
      <c r="X89" s="57">
        <f>IF($C89="","",$F89)</f>
        <v/>
      </c>
      <c r="Y89" s="57">
        <f>IF($C89="","",$C89)</f>
        <v/>
      </c>
    </row>
    <row r="90" ht="17" customHeight="1">
      <c r="A90" s="49" t="n"/>
      <c r="B90" s="49" t="n"/>
      <c r="C90" s="50" t="n"/>
      <c r="D90" s="49" t="n"/>
      <c r="E90" s="51">
        <f>IF($C90="","",ROUND(SUM(I90,L90,O90,R90,U90),2))</f>
        <v/>
      </c>
      <c r="F90" s="52">
        <f>IF($C90="","",ROUND($C90-$E90,2))</f>
        <v/>
      </c>
      <c r="G90" s="24">
        <f>IF(OR($C90="",$C90=0),"",$E90/$C90)</f>
        <v/>
      </c>
      <c r="H90" s="53">
        <f>IF($C90="","",IF($E90=0,"A receber",IF(ROUND($F90,2)=0,"Quitado",IF($F90&lt;0,"Recebido a mais","Parcial"))))</f>
        <v/>
      </c>
      <c r="I90" s="54" t="n"/>
      <c r="J90" s="55" t="n"/>
      <c r="K90" s="56" t="n"/>
      <c r="L90" s="54" t="n"/>
      <c r="M90" s="55" t="n"/>
      <c r="N90" s="56" t="n"/>
      <c r="O90" s="54" t="n"/>
      <c r="P90" s="55" t="n"/>
      <c r="Q90" s="56" t="n"/>
      <c r="R90" s="54" t="n"/>
      <c r="S90" s="55" t="n"/>
      <c r="T90" s="56" t="n"/>
      <c r="U90" s="54" t="n"/>
      <c r="V90" s="55" t="n"/>
      <c r="W90" s="56" t="n"/>
      <c r="X90" s="57">
        <f>IF($C90="","",$F90)</f>
        <v/>
      </c>
      <c r="Y90" s="57">
        <f>IF($C90="","",$C90)</f>
        <v/>
      </c>
    </row>
    <row r="91" ht="17" customHeight="1">
      <c r="A91" s="49" t="n"/>
      <c r="B91" s="49" t="n"/>
      <c r="C91" s="50" t="n"/>
      <c r="D91" s="49" t="n"/>
      <c r="E91" s="51">
        <f>IF($C91="","",ROUND(SUM(I91,L91,O91,R91,U91),2))</f>
        <v/>
      </c>
      <c r="F91" s="52">
        <f>IF($C91="","",ROUND($C91-$E91,2))</f>
        <v/>
      </c>
      <c r="G91" s="24">
        <f>IF(OR($C91="",$C91=0),"",$E91/$C91)</f>
        <v/>
      </c>
      <c r="H91" s="53">
        <f>IF($C91="","",IF($E91=0,"A receber",IF(ROUND($F91,2)=0,"Quitado",IF($F91&lt;0,"Recebido a mais","Parcial"))))</f>
        <v/>
      </c>
      <c r="I91" s="54" t="n"/>
      <c r="J91" s="55" t="n"/>
      <c r="K91" s="56" t="n"/>
      <c r="L91" s="54" t="n"/>
      <c r="M91" s="55" t="n"/>
      <c r="N91" s="56" t="n"/>
      <c r="O91" s="54" t="n"/>
      <c r="P91" s="55" t="n"/>
      <c r="Q91" s="56" t="n"/>
      <c r="R91" s="54" t="n"/>
      <c r="S91" s="55" t="n"/>
      <c r="T91" s="56" t="n"/>
      <c r="U91" s="54" t="n"/>
      <c r="V91" s="55" t="n"/>
      <c r="W91" s="56" t="n"/>
      <c r="X91" s="57">
        <f>IF($C91="","",$F91)</f>
        <v/>
      </c>
      <c r="Y91" s="57">
        <f>IF($C91="","",$C91)</f>
        <v/>
      </c>
    </row>
    <row r="92" ht="6" customHeight="1"/>
    <row r="93" ht="20" customHeight="1">
      <c r="A93" s="33" t="inlineStr">
        <is>
          <t>Outubro</t>
        </is>
      </c>
      <c r="B93" s="45" t="n"/>
      <c r="C93" s="46">
        <f>SUM(C94:C96)</f>
        <v/>
      </c>
      <c r="D93" s="45" t="n"/>
      <c r="E93" s="46">
        <f>SUM(E94:E96)</f>
        <v/>
      </c>
      <c r="F93" s="46">
        <f>SUM(F94:F96)</f>
        <v/>
      </c>
      <c r="G93" s="47">
        <f>IF(OR(C93="",C93=0),"",E93/C93)</f>
        <v/>
      </c>
      <c r="H93" s="48">
        <f>COUNT(C94:C96)&amp;" projeto(s)"</f>
        <v/>
      </c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</row>
    <row r="94" ht="17" customHeight="1">
      <c r="A94" s="49" t="n"/>
      <c r="B94" s="49" t="n"/>
      <c r="C94" s="50" t="n"/>
      <c r="D94" s="49" t="n"/>
      <c r="E94" s="51">
        <f>IF($C94="","",ROUND(SUM(I94,L94,O94,R94,U94),2))</f>
        <v/>
      </c>
      <c r="F94" s="52">
        <f>IF($C94="","",ROUND($C94-$E94,2))</f>
        <v/>
      </c>
      <c r="G94" s="24">
        <f>IF(OR($C94="",$C94=0),"",$E94/$C94)</f>
        <v/>
      </c>
      <c r="H94" s="53">
        <f>IF($C94="","",IF($E94=0,"A receber",IF(ROUND($F94,2)=0,"Quitado",IF($F94&lt;0,"Recebido a mais","Parcial"))))</f>
        <v/>
      </c>
      <c r="I94" s="54" t="n"/>
      <c r="J94" s="55" t="n"/>
      <c r="K94" s="56" t="n"/>
      <c r="L94" s="54" t="n"/>
      <c r="M94" s="55" t="n"/>
      <c r="N94" s="56" t="n"/>
      <c r="O94" s="54" t="n"/>
      <c r="P94" s="55" t="n"/>
      <c r="Q94" s="56" t="n"/>
      <c r="R94" s="54" t="n"/>
      <c r="S94" s="55" t="n"/>
      <c r="T94" s="56" t="n"/>
      <c r="U94" s="54" t="n"/>
      <c r="V94" s="55" t="n"/>
      <c r="W94" s="56" t="n"/>
      <c r="X94" s="57">
        <f>IF($C94="","",$F94)</f>
        <v/>
      </c>
      <c r="Y94" s="57">
        <f>IF($C94="","",$C94)</f>
        <v/>
      </c>
    </row>
    <row r="95" ht="17" customHeight="1">
      <c r="A95" s="49" t="n"/>
      <c r="B95" s="49" t="n"/>
      <c r="C95" s="50" t="n"/>
      <c r="D95" s="49" t="n"/>
      <c r="E95" s="51">
        <f>IF($C95="","",ROUND(SUM(I95,L95,O95,R95,U95),2))</f>
        <v/>
      </c>
      <c r="F95" s="52">
        <f>IF($C95="","",ROUND($C95-$E95,2))</f>
        <v/>
      </c>
      <c r="G95" s="24">
        <f>IF(OR($C95="",$C95=0),"",$E95/$C95)</f>
        <v/>
      </c>
      <c r="H95" s="53">
        <f>IF($C95="","",IF($E95=0,"A receber",IF(ROUND($F95,2)=0,"Quitado",IF($F95&lt;0,"Recebido a mais","Parcial"))))</f>
        <v/>
      </c>
      <c r="I95" s="54" t="n"/>
      <c r="J95" s="55" t="n"/>
      <c r="K95" s="56" t="n"/>
      <c r="L95" s="54" t="n"/>
      <c r="M95" s="55" t="n"/>
      <c r="N95" s="56" t="n"/>
      <c r="O95" s="54" t="n"/>
      <c r="P95" s="55" t="n"/>
      <c r="Q95" s="56" t="n"/>
      <c r="R95" s="54" t="n"/>
      <c r="S95" s="55" t="n"/>
      <c r="T95" s="56" t="n"/>
      <c r="U95" s="54" t="n"/>
      <c r="V95" s="55" t="n"/>
      <c r="W95" s="56" t="n"/>
      <c r="X95" s="57">
        <f>IF($C95="","",$F95)</f>
        <v/>
      </c>
      <c r="Y95" s="57">
        <f>IF($C95="","",$C95)</f>
        <v/>
      </c>
    </row>
    <row r="96" ht="17" customHeight="1">
      <c r="A96" s="49" t="n"/>
      <c r="B96" s="49" t="n"/>
      <c r="C96" s="50" t="n"/>
      <c r="D96" s="49" t="n"/>
      <c r="E96" s="51">
        <f>IF($C96="","",ROUND(SUM(I96,L96,O96,R96,U96),2))</f>
        <v/>
      </c>
      <c r="F96" s="52">
        <f>IF($C96="","",ROUND($C96-$E96,2))</f>
        <v/>
      </c>
      <c r="G96" s="24">
        <f>IF(OR($C96="",$C96=0),"",$E96/$C96)</f>
        <v/>
      </c>
      <c r="H96" s="53">
        <f>IF($C96="","",IF($E96=0,"A receber",IF(ROUND($F96,2)=0,"Quitado",IF($F96&lt;0,"Recebido a mais","Parcial"))))</f>
        <v/>
      </c>
      <c r="I96" s="54" t="n"/>
      <c r="J96" s="55" t="n"/>
      <c r="K96" s="56" t="n"/>
      <c r="L96" s="54" t="n"/>
      <c r="M96" s="55" t="n"/>
      <c r="N96" s="56" t="n"/>
      <c r="O96" s="54" t="n"/>
      <c r="P96" s="55" t="n"/>
      <c r="Q96" s="56" t="n"/>
      <c r="R96" s="54" t="n"/>
      <c r="S96" s="55" t="n"/>
      <c r="T96" s="56" t="n"/>
      <c r="U96" s="54" t="n"/>
      <c r="V96" s="55" t="n"/>
      <c r="W96" s="56" t="n"/>
      <c r="X96" s="57">
        <f>IF($C96="","",$F96)</f>
        <v/>
      </c>
      <c r="Y96" s="57">
        <f>IF($C96="","",$C96)</f>
        <v/>
      </c>
    </row>
    <row r="97" ht="6" customHeight="1"/>
    <row r="98" ht="20" customHeight="1">
      <c r="A98" s="33" t="inlineStr">
        <is>
          <t>Novembro</t>
        </is>
      </c>
      <c r="B98" s="45" t="n"/>
      <c r="C98" s="46">
        <f>SUM(C99:C101)</f>
        <v/>
      </c>
      <c r="D98" s="45" t="n"/>
      <c r="E98" s="46">
        <f>SUM(E99:E101)</f>
        <v/>
      </c>
      <c r="F98" s="46">
        <f>SUM(F99:F101)</f>
        <v/>
      </c>
      <c r="G98" s="47">
        <f>IF(OR(C98="",C98=0),"",E98/C98)</f>
        <v/>
      </c>
      <c r="H98" s="48">
        <f>COUNT(C99:C101)&amp;" projeto(s)"</f>
        <v/>
      </c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</row>
    <row r="99" ht="17" customHeight="1">
      <c r="A99" s="49" t="n"/>
      <c r="B99" s="49" t="n"/>
      <c r="C99" s="50" t="n"/>
      <c r="D99" s="49" t="n"/>
      <c r="E99" s="51">
        <f>IF($C99="","",ROUND(SUM(I99,L99,O99,R99,U99),2))</f>
        <v/>
      </c>
      <c r="F99" s="52">
        <f>IF($C99="","",ROUND($C99-$E99,2))</f>
        <v/>
      </c>
      <c r="G99" s="24">
        <f>IF(OR($C99="",$C99=0),"",$E99/$C99)</f>
        <v/>
      </c>
      <c r="H99" s="53">
        <f>IF($C99="","",IF($E99=0,"A receber",IF(ROUND($F99,2)=0,"Quitado",IF($F99&lt;0,"Recebido a mais","Parcial"))))</f>
        <v/>
      </c>
      <c r="I99" s="54" t="n"/>
      <c r="J99" s="55" t="n"/>
      <c r="K99" s="56" t="n"/>
      <c r="L99" s="54" t="n"/>
      <c r="M99" s="55" t="n"/>
      <c r="N99" s="56" t="n"/>
      <c r="O99" s="54" t="n"/>
      <c r="P99" s="55" t="n"/>
      <c r="Q99" s="56" t="n"/>
      <c r="R99" s="54" t="n"/>
      <c r="S99" s="55" t="n"/>
      <c r="T99" s="56" t="n"/>
      <c r="U99" s="54" t="n"/>
      <c r="V99" s="55" t="n"/>
      <c r="W99" s="56" t="n"/>
      <c r="X99" s="57">
        <f>IF($C99="","",$F99)</f>
        <v/>
      </c>
      <c r="Y99" s="57">
        <f>IF($C99="","",$C99)</f>
        <v/>
      </c>
    </row>
    <row r="100" ht="17" customHeight="1">
      <c r="A100" s="49" t="n"/>
      <c r="B100" s="49" t="n"/>
      <c r="C100" s="50" t="n"/>
      <c r="D100" s="49" t="n"/>
      <c r="E100" s="51">
        <f>IF($C100="","",ROUND(SUM(I100,L100,O100,R100,U100),2))</f>
        <v/>
      </c>
      <c r="F100" s="52">
        <f>IF($C100="","",ROUND($C100-$E100,2))</f>
        <v/>
      </c>
      <c r="G100" s="24">
        <f>IF(OR($C100="",$C100=0),"",$E100/$C100)</f>
        <v/>
      </c>
      <c r="H100" s="53">
        <f>IF($C100="","",IF($E100=0,"A receber",IF(ROUND($F100,2)=0,"Quitado",IF($F100&lt;0,"Recebido a mais","Parcial"))))</f>
        <v/>
      </c>
      <c r="I100" s="54" t="n"/>
      <c r="J100" s="55" t="n"/>
      <c r="K100" s="56" t="n"/>
      <c r="L100" s="54" t="n"/>
      <c r="M100" s="55" t="n"/>
      <c r="N100" s="56" t="n"/>
      <c r="O100" s="54" t="n"/>
      <c r="P100" s="55" t="n"/>
      <c r="Q100" s="56" t="n"/>
      <c r="R100" s="54" t="n"/>
      <c r="S100" s="55" t="n"/>
      <c r="T100" s="56" t="n"/>
      <c r="U100" s="54" t="n"/>
      <c r="V100" s="55" t="n"/>
      <c r="W100" s="56" t="n"/>
      <c r="X100" s="57">
        <f>IF($C100="","",$F100)</f>
        <v/>
      </c>
      <c r="Y100" s="57">
        <f>IF($C100="","",$C100)</f>
        <v/>
      </c>
    </row>
    <row r="101" ht="17" customHeight="1">
      <c r="A101" s="49" t="n"/>
      <c r="B101" s="49" t="n"/>
      <c r="C101" s="50" t="n"/>
      <c r="D101" s="49" t="n"/>
      <c r="E101" s="51">
        <f>IF($C101="","",ROUND(SUM(I101,L101,O101,R101,U101),2))</f>
        <v/>
      </c>
      <c r="F101" s="52">
        <f>IF($C101="","",ROUND($C101-$E101,2))</f>
        <v/>
      </c>
      <c r="G101" s="24">
        <f>IF(OR($C101="",$C101=0),"",$E101/$C101)</f>
        <v/>
      </c>
      <c r="H101" s="53">
        <f>IF($C101="","",IF($E101=0,"A receber",IF(ROUND($F101,2)=0,"Quitado",IF($F101&lt;0,"Recebido a mais","Parcial"))))</f>
        <v/>
      </c>
      <c r="I101" s="54" t="n"/>
      <c r="J101" s="55" t="n"/>
      <c r="K101" s="56" t="n"/>
      <c r="L101" s="54" t="n"/>
      <c r="M101" s="55" t="n"/>
      <c r="N101" s="56" t="n"/>
      <c r="O101" s="54" t="n"/>
      <c r="P101" s="55" t="n"/>
      <c r="Q101" s="56" t="n"/>
      <c r="R101" s="54" t="n"/>
      <c r="S101" s="55" t="n"/>
      <c r="T101" s="56" t="n"/>
      <c r="U101" s="54" t="n"/>
      <c r="V101" s="55" t="n"/>
      <c r="W101" s="56" t="n"/>
      <c r="X101" s="57">
        <f>IF($C101="","",$F101)</f>
        <v/>
      </c>
      <c r="Y101" s="57">
        <f>IF($C101="","",$C101)</f>
        <v/>
      </c>
    </row>
    <row r="102" ht="6" customHeight="1"/>
    <row r="103" ht="20" customHeight="1">
      <c r="A103" s="33" t="inlineStr">
        <is>
          <t>Dezembro</t>
        </is>
      </c>
      <c r="B103" s="45" t="n"/>
      <c r="C103" s="46">
        <f>SUM(C104:C106)</f>
        <v/>
      </c>
      <c r="D103" s="45" t="n"/>
      <c r="E103" s="46">
        <f>SUM(E104:E106)</f>
        <v/>
      </c>
      <c r="F103" s="46">
        <f>SUM(F104:F106)</f>
        <v/>
      </c>
      <c r="G103" s="47">
        <f>IF(OR(C103="",C103=0),"",E103/C103)</f>
        <v/>
      </c>
      <c r="H103" s="48">
        <f>COUNT(C104:C106)&amp;" projeto(s)"</f>
        <v/>
      </c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</row>
    <row r="104" ht="17" customHeight="1">
      <c r="A104" s="49" t="n"/>
      <c r="B104" s="49" t="n"/>
      <c r="C104" s="50" t="n"/>
      <c r="D104" s="49" t="n"/>
      <c r="E104" s="51">
        <f>IF($C104="","",ROUND(SUM(I104,L104,O104,R104,U104),2))</f>
        <v/>
      </c>
      <c r="F104" s="52">
        <f>IF($C104="","",ROUND($C104-$E104,2))</f>
        <v/>
      </c>
      <c r="G104" s="24">
        <f>IF(OR($C104="",$C104=0),"",$E104/$C104)</f>
        <v/>
      </c>
      <c r="H104" s="53">
        <f>IF($C104="","",IF($E104=0,"A receber",IF(ROUND($F104,2)=0,"Quitado",IF($F104&lt;0,"Recebido a mais","Parcial"))))</f>
        <v/>
      </c>
      <c r="I104" s="54" t="n"/>
      <c r="J104" s="55" t="n"/>
      <c r="K104" s="56" t="n"/>
      <c r="L104" s="54" t="n"/>
      <c r="M104" s="55" t="n"/>
      <c r="N104" s="56" t="n"/>
      <c r="O104" s="54" t="n"/>
      <c r="P104" s="55" t="n"/>
      <c r="Q104" s="56" t="n"/>
      <c r="R104" s="54" t="n"/>
      <c r="S104" s="55" t="n"/>
      <c r="T104" s="56" t="n"/>
      <c r="U104" s="54" t="n"/>
      <c r="V104" s="55" t="n"/>
      <c r="W104" s="56" t="n"/>
      <c r="X104" s="57">
        <f>IF($C104="","",$F104)</f>
        <v/>
      </c>
      <c r="Y104" s="57">
        <f>IF($C104="","",$C104)</f>
        <v/>
      </c>
    </row>
    <row r="105" ht="17" customHeight="1">
      <c r="A105" s="49" t="n"/>
      <c r="B105" s="49" t="n"/>
      <c r="C105" s="50" t="n"/>
      <c r="D105" s="49" t="n"/>
      <c r="E105" s="51">
        <f>IF($C105="","",ROUND(SUM(I105,L105,O105,R105,U105),2))</f>
        <v/>
      </c>
      <c r="F105" s="52">
        <f>IF($C105="","",ROUND($C105-$E105,2))</f>
        <v/>
      </c>
      <c r="G105" s="24">
        <f>IF(OR($C105="",$C105=0),"",$E105/$C105)</f>
        <v/>
      </c>
      <c r="H105" s="53">
        <f>IF($C105="","",IF($E105=0,"A receber",IF(ROUND($F105,2)=0,"Quitado",IF($F105&lt;0,"Recebido a mais","Parcial"))))</f>
        <v/>
      </c>
      <c r="I105" s="54" t="n"/>
      <c r="J105" s="55" t="n"/>
      <c r="K105" s="56" t="n"/>
      <c r="L105" s="54" t="n"/>
      <c r="M105" s="55" t="n"/>
      <c r="N105" s="56" t="n"/>
      <c r="O105" s="54" t="n"/>
      <c r="P105" s="55" t="n"/>
      <c r="Q105" s="56" t="n"/>
      <c r="R105" s="54" t="n"/>
      <c r="S105" s="55" t="n"/>
      <c r="T105" s="56" t="n"/>
      <c r="U105" s="54" t="n"/>
      <c r="V105" s="55" t="n"/>
      <c r="W105" s="56" t="n"/>
      <c r="X105" s="57">
        <f>IF($C105="","",$F105)</f>
        <v/>
      </c>
      <c r="Y105" s="57">
        <f>IF($C105="","",$C105)</f>
        <v/>
      </c>
    </row>
    <row r="106" ht="17" customHeight="1">
      <c r="A106" s="49" t="n"/>
      <c r="B106" s="49" t="n"/>
      <c r="C106" s="50" t="n"/>
      <c r="D106" s="49" t="n"/>
      <c r="E106" s="51">
        <f>IF($C106="","",ROUND(SUM(I106,L106,O106,R106,U106),2))</f>
        <v/>
      </c>
      <c r="F106" s="52">
        <f>IF($C106="","",ROUND($C106-$E106,2))</f>
        <v/>
      </c>
      <c r="G106" s="24">
        <f>IF(OR($C106="",$C106=0),"",$E106/$C106)</f>
        <v/>
      </c>
      <c r="H106" s="53">
        <f>IF($C106="","",IF($E106=0,"A receber",IF(ROUND($F106,2)=0,"Quitado",IF($F106&lt;0,"Recebido a mais","Parcial"))))</f>
        <v/>
      </c>
      <c r="I106" s="54" t="n"/>
      <c r="J106" s="55" t="n"/>
      <c r="K106" s="56" t="n"/>
      <c r="L106" s="54" t="n"/>
      <c r="M106" s="55" t="n"/>
      <c r="N106" s="56" t="n"/>
      <c r="O106" s="54" t="n"/>
      <c r="P106" s="55" t="n"/>
      <c r="Q106" s="56" t="n"/>
      <c r="R106" s="54" t="n"/>
      <c r="S106" s="55" t="n"/>
      <c r="T106" s="56" t="n"/>
      <c r="U106" s="54" t="n"/>
      <c r="V106" s="55" t="n"/>
      <c r="W106" s="56" t="n"/>
      <c r="X106" s="57">
        <f>IF($C106="","",$F106)</f>
        <v/>
      </c>
      <c r="Y106" s="57">
        <f>IF($C106="","",$C106)</f>
        <v/>
      </c>
    </row>
    <row r="107" ht="6" customHeight="1"/>
  </sheetData>
  <mergeCells count="30">
    <mergeCell ref="R6:W6"/>
    <mergeCell ref="A2:Y2"/>
    <mergeCell ref="A98:B98"/>
    <mergeCell ref="A49:B49"/>
    <mergeCell ref="A103:B103"/>
    <mergeCell ref="F6:G6"/>
    <mergeCell ref="A88:B88"/>
    <mergeCell ref="A4:Y4"/>
    <mergeCell ref="F7:G7"/>
    <mergeCell ref="A69:B69"/>
    <mergeCell ref="D6:E6"/>
    <mergeCell ref="A80:B80"/>
    <mergeCell ref="A27:B27"/>
    <mergeCell ref="L6:N6"/>
    <mergeCell ref="I7:K7"/>
    <mergeCell ref="D7:E7"/>
    <mergeCell ref="A1:Y1"/>
    <mergeCell ref="O7:Q7"/>
    <mergeCell ref="A17:B17"/>
    <mergeCell ref="L7:N7"/>
    <mergeCell ref="I6:K6"/>
    <mergeCell ref="A38:B38"/>
    <mergeCell ref="O6:Q6"/>
    <mergeCell ref="A6:C6"/>
    <mergeCell ref="A10:B10"/>
    <mergeCell ref="A93:B93"/>
    <mergeCell ref="A7:C7"/>
    <mergeCell ref="A3:Y3"/>
    <mergeCell ref="A58:B58"/>
    <mergeCell ref="R7:W7"/>
  </mergeCells>
  <conditionalFormatting sqref="H10:H107">
    <cfRule type="expression" priority="1" dxfId="0" stopIfTrue="1">
      <formula>$H10="Quitado"</formula>
    </cfRule>
    <cfRule type="expression" priority="2" dxfId="3" stopIfTrue="1">
      <formula>$H10="Parcial"</formula>
    </cfRule>
    <cfRule type="expression" priority="3" dxfId="2" stopIfTrue="1">
      <formula>$H10="A receber"</formula>
    </cfRule>
    <cfRule type="expression" priority="4" dxfId="4" stopIfTrue="1">
      <formula>$H10="Recebido a mais"</formula>
    </cfRule>
  </conditionalFormatting>
  <conditionalFormatting sqref="F10:F107">
    <cfRule type="expression" priority="5" dxfId="5">
      <formula>AND($F10&lt;&gt;"",$F10&gt;0)</formula>
    </cfRule>
    <cfRule type="expression" priority="6" dxfId="4">
      <formula>AND($F10&lt;&gt;"",$F10&lt;0)</formula>
    </cfRule>
  </conditionalFormatting>
  <conditionalFormatting sqref="A10:D107">
    <cfRule type="expression" priority="7" dxfId="6">
      <formula>AND($C10&lt;&gt;"",$H10="A receber")</formula>
    </cfRule>
  </conditionalFormatting>
  <dataValidations count="6">
    <dataValidation sqref="D10:D107" showDropDown="0" showInputMessage="0" showErrorMessage="0" allowBlank="1" type="list">
      <formula1>=Listas!$B$2:$B$13</formula1>
    </dataValidation>
    <dataValidation sqref="K10:K107" showDropDown="0" showInputMessage="0" showErrorMessage="0" allowBlank="1" type="list">
      <formula1>=Listas!$B$2:$B$13</formula1>
    </dataValidation>
    <dataValidation sqref="N10:N107" showDropDown="0" showInputMessage="0" showErrorMessage="0" allowBlank="1" type="list">
      <formula1>=Listas!$B$2:$B$13</formula1>
    </dataValidation>
    <dataValidation sqref="Q10:Q107" showDropDown="0" showInputMessage="0" showErrorMessage="0" allowBlank="1" type="list">
      <formula1>=Listas!$B$2:$B$13</formula1>
    </dataValidation>
    <dataValidation sqref="T10:T107" showDropDown="0" showInputMessage="0" showErrorMessage="0" allowBlank="1" type="list">
      <formula1>=Listas!$B$2:$B$13</formula1>
    </dataValidation>
    <dataValidation sqref="W10:W107" showDropDown="0" showInputMessage="0" showErrorMessage="0" allowBlank="1" type="list">
      <formula1>=Listas!$B$2:$B$13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11"/>
  <sheetViews>
    <sheetView showGridLines="0" workbookViewId="0">
      <pane xSplit="8" ySplit="9" topLeftCell="I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26" customWidth="1" min="4" max="4"/>
    <col width="13" customWidth="1" min="5" max="5"/>
    <col width="14" customWidth="1" min="6" max="6"/>
    <col width="10" customWidth="1" min="7" max="7"/>
    <col width="16" customWidth="1" min="8" max="8"/>
    <col width="13" customWidth="1" min="9" max="9"/>
    <col width="11" customWidth="1" min="10" max="10"/>
    <col width="15" customWidth="1" min="11" max="11"/>
    <col width="13" customWidth="1" min="12" max="12"/>
    <col width="11" customWidth="1" min="13" max="13"/>
    <col width="15" customWidth="1" min="14" max="14"/>
    <col width="13" customWidth="1" min="15" max="15"/>
    <col width="11" customWidth="1" min="16" max="16"/>
    <col width="15" customWidth="1" min="17" max="17"/>
    <col width="13" customWidth="1" min="18" max="18"/>
    <col width="11" customWidth="1" min="19" max="19"/>
    <col width="15" customWidth="1" min="20" max="20"/>
    <col width="13" customWidth="1" min="21" max="21"/>
    <col width="11" customWidth="1" min="22" max="22"/>
    <col width="15" customWidth="1" min="23" max="23"/>
    <col hidden="1" width="3" customWidth="1" min="24" max="24"/>
    <col hidden="1" width="3" customWidth="1" min="25" max="2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8" customHeight="1">
      <c r="A3" s="4" t="inlineStr">
        <is>
          <t>CONTROLE DE PAGAMENTOS · 2025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 ht="17" customHeight="1">
      <c r="A4" s="6" t="inlineStr">
        <is>
          <t>Uma linha por projeto · fundo creme = você preenche · fundo cinza = calculado · Recebido, Saldo, % e Situação saem sozinhos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6" customHeight="1"/>
    <row r="6" ht="14" customHeight="1">
      <c r="A6" s="8" t="inlineStr">
        <is>
          <t>VENDIDO NO ANO</t>
        </is>
      </c>
      <c r="B6" s="9" t="n"/>
      <c r="C6" s="9" t="n"/>
      <c r="D6" s="8" t="inlineStr">
        <is>
          <t>RECEBIDO</t>
        </is>
      </c>
      <c r="E6" s="9" t="n"/>
      <c r="F6" s="8" t="inlineStr">
        <is>
          <t>A RECEBER</t>
        </is>
      </c>
      <c r="G6" s="9" t="n"/>
      <c r="H6" s="8" t="inlineStr">
        <is>
          <t>% RECEBIDO</t>
        </is>
      </c>
      <c r="I6" s="8" t="inlineStr">
        <is>
          <t>META DO ANO</t>
        </is>
      </c>
      <c r="J6" s="9" t="n"/>
      <c r="K6" s="9" t="n"/>
      <c r="L6" s="8" t="inlineStr">
        <is>
          <t>% DA META</t>
        </is>
      </c>
      <c r="M6" s="9" t="n"/>
      <c r="N6" s="9" t="n"/>
      <c r="O6" s="8" t="inlineStr">
        <is>
          <t>FALTA PARA A META</t>
        </is>
      </c>
      <c r="P6" s="9" t="n"/>
      <c r="Q6" s="9" t="n"/>
      <c r="R6" s="8" t="inlineStr">
        <is>
          <t>CONFERÊNCIA</t>
        </is>
      </c>
      <c r="S6" s="9" t="n"/>
      <c r="T6" s="9" t="n"/>
      <c r="U6" s="9" t="n"/>
      <c r="V6" s="9" t="n"/>
      <c r="W6" s="9" t="n"/>
    </row>
    <row r="7" ht="30" customHeight="1">
      <c r="A7" s="40">
        <f>ROUND(SUMPRODUCT((COUNTIF(Listas!$A$2:$A$15,$A$10:$A$111)=0)*$C$10:$C$111),2)</f>
        <v/>
      </c>
      <c r="B7" s="11" t="n"/>
      <c r="C7" s="11" t="n"/>
      <c r="D7" s="40">
        <f>ROUND(SUM($I$10:$I$111,$L$10:$L$111,$O$10:$O$111,$R$10:$R$111,$U$10:$U$111),2)</f>
        <v/>
      </c>
      <c r="E7" s="11" t="n"/>
      <c r="F7" s="40">
        <f>ROUND($A$7-$D$7,2)</f>
        <v/>
      </c>
      <c r="G7" s="11" t="n"/>
      <c r="H7" s="41">
        <f>IF($A$7=0,"",$D$7/$A$7)</f>
        <v/>
      </c>
      <c r="I7" s="42" t="n">
        <v>2000000</v>
      </c>
      <c r="J7" s="11" t="n"/>
      <c r="K7" s="11" t="n"/>
      <c r="L7" s="43">
        <f>IF(OR($I$7="",$I$7=0),"",$A$7/$I$7)</f>
        <v/>
      </c>
      <c r="M7" s="11" t="n"/>
      <c r="N7" s="11" t="n"/>
      <c r="O7" s="40">
        <f>IF(OR($I$7="",$I$7=0),"",MAX(0,$I$7-$A$7))</f>
        <v/>
      </c>
      <c r="P7" s="11" t="n"/>
      <c r="Q7" s="11" t="n"/>
      <c r="R7" s="44">
        <f>IF(ROUND(($C$10+$C$20+$C$29+$C$40+$C$51+$C$58+$C$69+$C$78+$C$83+$C$95+$C$100+$C$106)-$A$7,2)=0,"OK · os meses somam igual às linhas","DIVERGE em "&amp;TEXT(($C$10+$C$20+$C$29+$C$40+$C$51+$C$58+$C$69+$C$78+$C$83+$C$95+$C$100+$C$106)-$A$7,"R$ #,##0.00")&amp; " — confira se alguma linha ficou fora de um bloco de mês")</f>
        <v/>
      </c>
      <c r="S7" s="11" t="n"/>
      <c r="T7" s="11" t="n"/>
      <c r="U7" s="11" t="n"/>
      <c r="V7" s="11" t="n"/>
      <c r="W7" s="11" t="n"/>
    </row>
    <row r="8" ht="8" customHeight="1"/>
    <row r="9" ht="30" customHeight="1">
      <c r="A9" s="16" t="inlineStr">
        <is>
          <t>Cliente</t>
        </is>
      </c>
      <c r="B9" s="16" t="inlineStr">
        <is>
          <t>Projeto</t>
        </is>
      </c>
      <c r="C9" s="16" t="inlineStr">
        <is>
          <t>Investimento</t>
        </is>
      </c>
      <c r="D9" s="16" t="inlineStr">
        <is>
          <t>Forma de pagamento</t>
        </is>
      </c>
      <c r="E9" s="16" t="inlineStr">
        <is>
          <t>Recebido</t>
        </is>
      </c>
      <c r="F9" s="16" t="inlineStr">
        <is>
          <t>Saldo a receber</t>
        </is>
      </c>
      <c r="G9" s="16" t="inlineStr">
        <is>
          <t>% recebido</t>
        </is>
      </c>
      <c r="H9" s="16" t="inlineStr">
        <is>
          <t>Situação</t>
        </is>
      </c>
      <c r="I9" s="16" t="inlineStr">
        <is>
          <t>1º Pagt. (R$)</t>
        </is>
      </c>
      <c r="J9" s="16" t="inlineStr">
        <is>
          <t>Data</t>
        </is>
      </c>
      <c r="K9" s="16" t="inlineStr">
        <is>
          <t>Descrição</t>
        </is>
      </c>
      <c r="L9" s="16" t="inlineStr">
        <is>
          <t>2º Pagt. (R$)</t>
        </is>
      </c>
      <c r="M9" s="16" t="inlineStr">
        <is>
          <t>Data</t>
        </is>
      </c>
      <c r="N9" s="16" t="inlineStr">
        <is>
          <t>Descrição</t>
        </is>
      </c>
      <c r="O9" s="16" t="inlineStr">
        <is>
          <t>3º Pagt. (R$)</t>
        </is>
      </c>
      <c r="P9" s="16" t="inlineStr">
        <is>
          <t>Data</t>
        </is>
      </c>
      <c r="Q9" s="16" t="inlineStr">
        <is>
          <t>Descrição</t>
        </is>
      </c>
      <c r="R9" s="16" t="inlineStr">
        <is>
          <t>4º Pagt. (R$)</t>
        </is>
      </c>
      <c r="S9" s="16" t="inlineStr">
        <is>
          <t>Data</t>
        </is>
      </c>
      <c r="T9" s="16" t="inlineStr">
        <is>
          <t>Descrição</t>
        </is>
      </c>
      <c r="U9" s="16" t="inlineStr">
        <is>
          <t>5º Pagt. (R$)</t>
        </is>
      </c>
      <c r="V9" s="16" t="inlineStr">
        <is>
          <t>Data</t>
        </is>
      </c>
      <c r="W9" s="16" t="inlineStr">
        <is>
          <t>Descrição</t>
        </is>
      </c>
      <c r="X9" s="16" t="inlineStr">
        <is>
          <t>aux</t>
        </is>
      </c>
      <c r="Y9" s="16" t="inlineStr">
        <is>
          <t>aux2</t>
        </is>
      </c>
    </row>
    <row r="10" ht="20" customHeight="1">
      <c r="A10" s="33" t="inlineStr">
        <is>
          <t>Janeiro</t>
        </is>
      </c>
      <c r="B10" s="45" t="n"/>
      <c r="C10" s="46">
        <f>SUM(C11:C18)</f>
        <v/>
      </c>
      <c r="D10" s="45" t="n"/>
      <c r="E10" s="46">
        <f>SUM(E11:E18)</f>
        <v/>
      </c>
      <c r="F10" s="46">
        <f>SUM(F11:F18)</f>
        <v/>
      </c>
      <c r="G10" s="47">
        <f>IF(OR(C10="",C10=0),"",E10/C10)</f>
        <v/>
      </c>
      <c r="H10" s="48">
        <f>COUNT(C11:C18)&amp;" projeto(s)"</f>
        <v/>
      </c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</row>
    <row r="11" ht="17" customHeight="1">
      <c r="A11" s="49" t="inlineStr">
        <is>
          <t>Sirlei</t>
        </is>
      </c>
      <c r="B11" s="49" t="inlineStr">
        <is>
          <t>Closet</t>
        </is>
      </c>
      <c r="C11" s="50" t="n">
        <v>37800</v>
      </c>
      <c r="D11" s="49" t="n"/>
      <c r="E11" s="51">
        <f>IF($C11="","",ROUND(SUM(I11,L11,O11,R11,U11),2))</f>
        <v/>
      </c>
      <c r="F11" s="52">
        <f>IF($C11="","",ROUND($C11-$E11,2))</f>
        <v/>
      </c>
      <c r="G11" s="24">
        <f>IF(OR($C11="",$C11=0),"",$E11/$C11)</f>
        <v/>
      </c>
      <c r="H11" s="53">
        <f>IF($C11="","",IF($E11=0,"A receber",IF(ROUND($F11,2)=0,"Quitado",IF($F11&lt;0,"Recebido a mais","Parcial"))))</f>
        <v/>
      </c>
      <c r="I11" s="54" t="n">
        <v>20000</v>
      </c>
      <c r="J11" s="55" t="n"/>
      <c r="K11" s="56" t="n"/>
      <c r="L11" s="54" t="n">
        <v>17800</v>
      </c>
      <c r="M11" s="55" t="n"/>
      <c r="N11" s="56" t="n"/>
      <c r="O11" s="54" t="n"/>
      <c r="P11" s="55" t="n"/>
      <c r="Q11" s="56" t="n"/>
      <c r="R11" s="54" t="n"/>
      <c r="S11" s="55" t="n"/>
      <c r="T11" s="56" t="n"/>
      <c r="U11" s="54" t="n"/>
      <c r="V11" s="55" t="n"/>
      <c r="W11" s="56" t="n"/>
      <c r="X11" s="57">
        <f>IF($C11="","",$F11)</f>
        <v/>
      </c>
      <c r="Y11" s="57">
        <f>IF($C11="","",$C11)</f>
        <v/>
      </c>
    </row>
    <row r="12" ht="17" customHeight="1">
      <c r="A12" s="49" t="inlineStr">
        <is>
          <t>Tiago Matias</t>
        </is>
      </c>
      <c r="B12" s="49" t="inlineStr">
        <is>
          <t>Quarto filha</t>
        </is>
      </c>
      <c r="C12" s="50" t="n">
        <v>15000</v>
      </c>
      <c r="D12" s="49" t="n"/>
      <c r="E12" s="51">
        <f>IF($C12="","",ROUND(SUM(I12,L12,O12,R12,U12),2))</f>
        <v/>
      </c>
      <c r="F12" s="52">
        <f>IF($C12="","",ROUND($C12-$E12,2))</f>
        <v/>
      </c>
      <c r="G12" s="24">
        <f>IF(OR($C12="",$C12=0),"",$E12/$C12)</f>
        <v/>
      </c>
      <c r="H12" s="53">
        <f>IF($C12="","",IF($E12=0,"A receber",IF(ROUND($F12,2)=0,"Quitado",IF($F12&lt;0,"Recebido a mais","Parcial"))))</f>
        <v/>
      </c>
      <c r="I12" s="54" t="n">
        <v>7500</v>
      </c>
      <c r="J12" s="55" t="n"/>
      <c r="K12" s="56" t="n"/>
      <c r="L12" s="54" t="n">
        <v>7500</v>
      </c>
      <c r="M12" s="55" t="n"/>
      <c r="N12" s="56" t="n"/>
      <c r="O12" s="54" t="n"/>
      <c r="P12" s="55" t="n"/>
      <c r="Q12" s="56" t="n"/>
      <c r="R12" s="54" t="n"/>
      <c r="S12" s="55" t="n"/>
      <c r="T12" s="56" t="n"/>
      <c r="U12" s="54" t="n"/>
      <c r="V12" s="55" t="n"/>
      <c r="W12" s="56" t="n"/>
      <c r="X12" s="57">
        <f>IF($C12="","",$F12)</f>
        <v/>
      </c>
      <c r="Y12" s="57">
        <f>IF($C12="","",$C12)</f>
        <v/>
      </c>
    </row>
    <row r="13" ht="17" customHeight="1">
      <c r="A13" s="49" t="inlineStr">
        <is>
          <t>Adriano</t>
        </is>
      </c>
      <c r="B13" s="49" t="inlineStr">
        <is>
          <t>roupeiro e cozinha</t>
        </is>
      </c>
      <c r="C13" s="50" t="n">
        <v>11126</v>
      </c>
      <c r="D13" s="49" t="n"/>
      <c r="E13" s="51">
        <f>IF($C13="","",ROUND(SUM(I13,L13,O13,R13,U13),2))</f>
        <v/>
      </c>
      <c r="F13" s="52">
        <f>IF($C13="","",ROUND($C13-$E13,2))</f>
        <v/>
      </c>
      <c r="G13" s="24">
        <f>IF(OR($C13="",$C13=0),"",$E13/$C13)</f>
        <v/>
      </c>
      <c r="H13" s="53">
        <f>IF($C13="","",IF($E13=0,"A receber",IF(ROUND($F13,2)=0,"Quitado",IF($F13&lt;0,"Recebido a mais","Parcial"))))</f>
        <v/>
      </c>
      <c r="I13" s="54" t="n">
        <v>11126</v>
      </c>
      <c r="J13" s="55" t="n"/>
      <c r="K13" s="56" t="n"/>
      <c r="L13" s="54" t="n"/>
      <c r="M13" s="55" t="n"/>
      <c r="N13" s="56" t="n"/>
      <c r="O13" s="54" t="n"/>
      <c r="P13" s="55" t="n"/>
      <c r="Q13" s="56" t="n"/>
      <c r="R13" s="54" t="n"/>
      <c r="S13" s="55" t="n"/>
      <c r="T13" s="56" t="n"/>
      <c r="U13" s="54" t="n"/>
      <c r="V13" s="55" t="n"/>
      <c r="W13" s="56" t="n"/>
      <c r="X13" s="57">
        <f>IF($C13="","",$F13)</f>
        <v/>
      </c>
      <c r="Y13" s="57">
        <f>IF($C13="","",$C13)</f>
        <v/>
      </c>
    </row>
    <row r="14" ht="17" customHeight="1">
      <c r="A14" s="49" t="inlineStr">
        <is>
          <t>Eduardo</t>
        </is>
      </c>
      <c r="B14" s="49" t="inlineStr">
        <is>
          <t>roupeiro</t>
        </is>
      </c>
      <c r="C14" s="50" t="n">
        <v>5800</v>
      </c>
      <c r="D14" s="49" t="n"/>
      <c r="E14" s="51">
        <f>IF($C14="","",ROUND(SUM(I14,L14,O14,R14,U14),2))</f>
        <v/>
      </c>
      <c r="F14" s="52">
        <f>IF($C14="","",ROUND($C14-$E14,2))</f>
        <v/>
      </c>
      <c r="G14" s="24">
        <f>IF(OR($C14="",$C14=0),"",$E14/$C14)</f>
        <v/>
      </c>
      <c r="H14" s="53">
        <f>IF($C14="","",IF($E14=0,"A receber",IF(ROUND($F14,2)=0,"Quitado",IF($F14&lt;0,"Recebido a mais","Parcial"))))</f>
        <v/>
      </c>
      <c r="I14" s="54" t="n">
        <v>5800</v>
      </c>
      <c r="J14" s="55" t="n"/>
      <c r="K14" s="56" t="n"/>
      <c r="L14" s="54" t="n"/>
      <c r="M14" s="55" t="n"/>
      <c r="N14" s="56" t="n"/>
      <c r="O14" s="54" t="n"/>
      <c r="P14" s="55" t="n"/>
      <c r="Q14" s="56" t="n"/>
      <c r="R14" s="54" t="n"/>
      <c r="S14" s="55" t="n"/>
      <c r="T14" s="56" t="n"/>
      <c r="U14" s="54" t="n"/>
      <c r="V14" s="55" t="n"/>
      <c r="W14" s="56" t="n"/>
      <c r="X14" s="57">
        <f>IF($C14="","",$F14)</f>
        <v/>
      </c>
      <c r="Y14" s="57">
        <f>IF($C14="","",$C14)</f>
        <v/>
      </c>
    </row>
    <row r="15" ht="17" customHeight="1">
      <c r="A15" s="49" t="inlineStr">
        <is>
          <t>Shelf</t>
        </is>
      </c>
      <c r="B15" s="49" t="inlineStr">
        <is>
          <t>Loja completa</t>
        </is>
      </c>
      <c r="C15" s="50" t="n">
        <v>57000</v>
      </c>
      <c r="D15" s="49" t="n"/>
      <c r="E15" s="51">
        <f>IF($C15="","",ROUND(SUM(I15,L15,O15,R15,U15),2))</f>
        <v/>
      </c>
      <c r="F15" s="52">
        <f>IF($C15="","",ROUND($C15-$E15,2))</f>
        <v/>
      </c>
      <c r="G15" s="24">
        <f>IF(OR($C15="",$C15=0),"",$E15/$C15)</f>
        <v/>
      </c>
      <c r="H15" s="53">
        <f>IF($C15="","",IF($E15=0,"A receber",IF(ROUND($F15,2)=0,"Quitado",IF($F15&lt;0,"Recebido a mais","Parcial"))))</f>
        <v/>
      </c>
      <c r="I15" s="54" t="n">
        <v>28500</v>
      </c>
      <c r="J15" s="55" t="n"/>
      <c r="K15" s="56" t="n"/>
      <c r="L15" s="54" t="n">
        <v>28500</v>
      </c>
      <c r="M15" s="55" t="n"/>
      <c r="N15" s="56" t="n"/>
      <c r="O15" s="54" t="n"/>
      <c r="P15" s="55" t="n"/>
      <c r="Q15" s="56" t="n"/>
      <c r="R15" s="54" t="n"/>
      <c r="S15" s="55" t="n"/>
      <c r="T15" s="56" t="n"/>
      <c r="U15" s="54" t="n"/>
      <c r="V15" s="55" t="n"/>
      <c r="W15" s="56" t="n"/>
      <c r="X15" s="57">
        <f>IF($C15="","",$F15)</f>
        <v/>
      </c>
      <c r="Y15" s="57">
        <f>IF($C15="","",$C15)</f>
        <v/>
      </c>
    </row>
    <row r="16" ht="17" customHeight="1">
      <c r="A16" s="49" t="inlineStr">
        <is>
          <t>Matheus e Hanna</t>
        </is>
      </c>
      <c r="B16" s="49" t="inlineStr">
        <is>
          <t>Armario bancada</t>
        </is>
      </c>
      <c r="C16" s="50" t="n">
        <v>4600</v>
      </c>
      <c r="D16" s="49" t="n"/>
      <c r="E16" s="51">
        <f>IF($C16="","",ROUND(SUM(I16,L16,O16,R16,U16),2))</f>
        <v/>
      </c>
      <c r="F16" s="52">
        <f>IF($C16="","",ROUND($C16-$E16,2))</f>
        <v/>
      </c>
      <c r="G16" s="24">
        <f>IF(OR($C16="",$C16=0),"",$E16/$C16)</f>
        <v/>
      </c>
      <c r="H16" s="53">
        <f>IF($C16="","",IF($E16=0,"A receber",IF(ROUND($F16,2)=0,"Quitado",IF($F16&lt;0,"Recebido a mais","Parcial"))))</f>
        <v/>
      </c>
      <c r="I16" s="54" t="n">
        <v>4600</v>
      </c>
      <c r="J16" s="55" t="n"/>
      <c r="K16" s="56" t="n"/>
      <c r="L16" s="54" t="n"/>
      <c r="M16" s="55" t="n"/>
      <c r="N16" s="56" t="inlineStr">
        <is>
          <t>pix</t>
        </is>
      </c>
      <c r="O16" s="54" t="n"/>
      <c r="P16" s="55" t="n"/>
      <c r="Q16" s="56" t="n"/>
      <c r="R16" s="54" t="n"/>
      <c r="S16" s="55" t="n"/>
      <c r="T16" s="56" t="n"/>
      <c r="U16" s="54" t="n"/>
      <c r="V16" s="55" t="n"/>
      <c r="W16" s="56" t="n"/>
      <c r="X16" s="57">
        <f>IF($C16="","",$F16)</f>
        <v/>
      </c>
      <c r="Y16" s="57">
        <f>IF($C16="","",$C16)</f>
        <v/>
      </c>
    </row>
    <row r="17" ht="17" customHeight="1">
      <c r="A17" s="49" t="n"/>
      <c r="B17" s="49" t="n"/>
      <c r="C17" s="50" t="n"/>
      <c r="D17" s="49" t="n"/>
      <c r="E17" s="51">
        <f>IF($C17="","",ROUND(SUM(I17,L17,O17,R17,U17),2))</f>
        <v/>
      </c>
      <c r="F17" s="52">
        <f>IF($C17="","",ROUND($C17-$E17,2))</f>
        <v/>
      </c>
      <c r="G17" s="24">
        <f>IF(OR($C17="",$C17=0),"",$E17/$C17)</f>
        <v/>
      </c>
      <c r="H17" s="53">
        <f>IF($C17="","",IF($E17=0,"A receber",IF(ROUND($F17,2)=0,"Quitado",IF($F17&lt;0,"Recebido a mais","Parcial"))))</f>
        <v/>
      </c>
      <c r="I17" s="54" t="n"/>
      <c r="J17" s="55" t="n"/>
      <c r="K17" s="56" t="n"/>
      <c r="L17" s="54" t="n"/>
      <c r="M17" s="55" t="n"/>
      <c r="N17" s="56" t="n"/>
      <c r="O17" s="54" t="n"/>
      <c r="P17" s="55" t="n"/>
      <c r="Q17" s="56" t="n"/>
      <c r="R17" s="54" t="n"/>
      <c r="S17" s="55" t="n"/>
      <c r="T17" s="56" t="n"/>
      <c r="U17" s="54" t="n"/>
      <c r="V17" s="55" t="n"/>
      <c r="W17" s="56" t="n"/>
      <c r="X17" s="57">
        <f>IF($C17="","",$F17)</f>
        <v/>
      </c>
      <c r="Y17" s="57">
        <f>IF($C17="","",$C17)</f>
        <v/>
      </c>
    </row>
    <row r="18" ht="17" customHeight="1">
      <c r="A18" s="49" t="n"/>
      <c r="B18" s="49" t="n"/>
      <c r="C18" s="50" t="n"/>
      <c r="D18" s="49" t="n"/>
      <c r="E18" s="51">
        <f>IF($C18="","",ROUND(SUM(I18,L18,O18,R18,U18),2))</f>
        <v/>
      </c>
      <c r="F18" s="52">
        <f>IF($C18="","",ROUND($C18-$E18,2))</f>
        <v/>
      </c>
      <c r="G18" s="24">
        <f>IF(OR($C18="",$C18=0),"",$E18/$C18)</f>
        <v/>
      </c>
      <c r="H18" s="53">
        <f>IF($C18="","",IF($E18=0,"A receber",IF(ROUND($F18,2)=0,"Quitado",IF($F18&lt;0,"Recebido a mais","Parcial"))))</f>
        <v/>
      </c>
      <c r="I18" s="54" t="n"/>
      <c r="J18" s="55" t="n"/>
      <c r="K18" s="56" t="n"/>
      <c r="L18" s="54" t="n"/>
      <c r="M18" s="55" t="n"/>
      <c r="N18" s="56" t="n"/>
      <c r="O18" s="54" t="n"/>
      <c r="P18" s="55" t="n"/>
      <c r="Q18" s="56" t="n"/>
      <c r="R18" s="54" t="n"/>
      <c r="S18" s="55" t="n"/>
      <c r="T18" s="56" t="n"/>
      <c r="U18" s="54" t="n"/>
      <c r="V18" s="55" t="n"/>
      <c r="W18" s="56" t="n"/>
      <c r="X18" s="57">
        <f>IF($C18="","",$F18)</f>
        <v/>
      </c>
      <c r="Y18" s="57">
        <f>IF($C18="","",$C18)</f>
        <v/>
      </c>
    </row>
    <row r="19" ht="6" customHeight="1"/>
    <row r="20" ht="20" customHeight="1">
      <c r="A20" s="33" t="inlineStr">
        <is>
          <t>Fevereiro</t>
        </is>
      </c>
      <c r="B20" s="45" t="n"/>
      <c r="C20" s="46">
        <f>SUM(C21:C27)</f>
        <v/>
      </c>
      <c r="D20" s="45" t="n"/>
      <c r="E20" s="46">
        <f>SUM(E21:E27)</f>
        <v/>
      </c>
      <c r="F20" s="46">
        <f>SUM(F21:F27)</f>
        <v/>
      </c>
      <c r="G20" s="47">
        <f>IF(OR(C20="",C20=0),"",E20/C20)</f>
        <v/>
      </c>
      <c r="H20" s="48">
        <f>COUNT(C21:C27)&amp;" projeto(s)"</f>
        <v/>
      </c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</row>
    <row r="21" ht="17" customHeight="1">
      <c r="A21" s="49" t="inlineStr">
        <is>
          <t>Jessica Sollero</t>
        </is>
      </c>
      <c r="B21" s="49" t="inlineStr">
        <is>
          <t>Quarto filha</t>
        </is>
      </c>
      <c r="C21" s="50" t="n">
        <v>6200</v>
      </c>
      <c r="D21" s="49" t="n"/>
      <c r="E21" s="51">
        <f>IF($C21="","",ROUND(SUM(I21,L21,O21,R21,U21),2))</f>
        <v/>
      </c>
      <c r="F21" s="52">
        <f>IF($C21="","",ROUND($C21-$E21,2))</f>
        <v/>
      </c>
      <c r="G21" s="24">
        <f>IF(OR($C21="",$C21=0),"",$E21/$C21)</f>
        <v/>
      </c>
      <c r="H21" s="53">
        <f>IF($C21="","",IF($E21=0,"A receber",IF(ROUND($F21,2)=0,"Quitado",IF($F21&lt;0,"Recebido a mais","Parcial"))))</f>
        <v/>
      </c>
      <c r="I21" s="54" t="n">
        <v>6200</v>
      </c>
      <c r="J21" s="55" t="n"/>
      <c r="K21" s="56" t="n"/>
      <c r="L21" s="54" t="n"/>
      <c r="M21" s="55" t="n"/>
      <c r="N21" s="56" t="n"/>
      <c r="O21" s="54" t="n"/>
      <c r="P21" s="55" t="n"/>
      <c r="Q21" s="56" t="n"/>
      <c r="R21" s="54" t="n"/>
      <c r="S21" s="55" t="n"/>
      <c r="T21" s="56" t="n"/>
      <c r="U21" s="54" t="n"/>
      <c r="V21" s="55" t="n"/>
      <c r="W21" s="56" t="n"/>
      <c r="X21" s="57">
        <f>IF($C21="","",$F21)</f>
        <v/>
      </c>
      <c r="Y21" s="57">
        <f>IF($C21="","",$C21)</f>
        <v/>
      </c>
    </row>
    <row r="22" ht="17" customHeight="1">
      <c r="A22" s="49" t="inlineStr">
        <is>
          <t>Patricia</t>
        </is>
      </c>
      <c r="B22" s="49" t="inlineStr">
        <is>
          <t>Mesa lateral lamina</t>
        </is>
      </c>
      <c r="C22" s="50" t="n">
        <v>4850</v>
      </c>
      <c r="D22" s="49" t="n"/>
      <c r="E22" s="51">
        <f>IF($C22="","",ROUND(SUM(I22,L22,O22,R22,U22),2))</f>
        <v/>
      </c>
      <c r="F22" s="52">
        <f>IF($C22="","",ROUND($C22-$E22,2))</f>
        <v/>
      </c>
      <c r="G22" s="24">
        <f>IF(OR($C22="",$C22=0),"",$E22/$C22)</f>
        <v/>
      </c>
      <c r="H22" s="53">
        <f>IF($C22="","",IF($E22=0,"A receber",IF(ROUND($F22,2)=0,"Quitado",IF($F22&lt;0,"Recebido a mais","Parcial"))))</f>
        <v/>
      </c>
      <c r="I22" s="54" t="n">
        <v>2425</v>
      </c>
      <c r="J22" s="55" t="n"/>
      <c r="K22" s="56" t="n"/>
      <c r="L22" s="54" t="n">
        <v>2425</v>
      </c>
      <c r="M22" s="55" t="n"/>
      <c r="N22" s="56" t="n"/>
      <c r="O22" s="54" t="n"/>
      <c r="P22" s="55" t="n"/>
      <c r="Q22" s="56" t="n"/>
      <c r="R22" s="54" t="n"/>
      <c r="S22" s="55" t="n"/>
      <c r="T22" s="56" t="n"/>
      <c r="U22" s="54" t="n"/>
      <c r="V22" s="55" t="n"/>
      <c r="W22" s="56" t="n"/>
      <c r="X22" s="57">
        <f>IF($C22="","",$F22)</f>
        <v/>
      </c>
      <c r="Y22" s="57">
        <f>IF($C22="","",$C22)</f>
        <v/>
      </c>
    </row>
    <row r="23" ht="17" customHeight="1">
      <c r="A23" s="49" t="inlineStr">
        <is>
          <t>Vania</t>
        </is>
      </c>
      <c r="B23" s="49" t="inlineStr">
        <is>
          <t>Czinha</t>
        </is>
      </c>
      <c r="C23" s="50" t="n">
        <v>9170</v>
      </c>
      <c r="D23" s="49" t="n"/>
      <c r="E23" s="51">
        <f>IF($C23="","",ROUND(SUM(I23,L23,O23,R23,U23),2))</f>
        <v/>
      </c>
      <c r="F23" s="52">
        <f>IF($C23="","",ROUND($C23-$E23,2))</f>
        <v/>
      </c>
      <c r="G23" s="24">
        <f>IF(OR($C23="",$C23=0),"",$E23/$C23)</f>
        <v/>
      </c>
      <c r="H23" s="53">
        <f>IF($C23="","",IF($E23=0,"A receber",IF(ROUND($F23,2)=0,"Quitado",IF($F23&lt;0,"Recebido a mais","Parcial"))))</f>
        <v/>
      </c>
      <c r="I23" s="54" t="n">
        <v>9170</v>
      </c>
      <c r="J23" s="55" t="n"/>
      <c r="K23" s="56" t="n"/>
      <c r="L23" s="54" t="n"/>
      <c r="M23" s="55" t="n"/>
      <c r="N23" s="56" t="n"/>
      <c r="O23" s="54" t="n"/>
      <c r="P23" s="55" t="n"/>
      <c r="Q23" s="56" t="n"/>
      <c r="R23" s="54" t="n"/>
      <c r="S23" s="55" t="n"/>
      <c r="T23" s="56" t="n"/>
      <c r="U23" s="54" t="n"/>
      <c r="V23" s="55" t="n"/>
      <c r="W23" s="56" t="n"/>
      <c r="X23" s="57">
        <f>IF($C23="","",$F23)</f>
        <v/>
      </c>
      <c r="Y23" s="57">
        <f>IF($C23="","",$C23)</f>
        <v/>
      </c>
    </row>
    <row r="24" ht="17" customHeight="1">
      <c r="A24" s="49" t="inlineStr">
        <is>
          <t>Sirlei</t>
        </is>
      </c>
      <c r="B24" s="49" t="inlineStr">
        <is>
          <t>quartos e banheiros</t>
        </is>
      </c>
      <c r="C24" s="50" t="n">
        <v>22500</v>
      </c>
      <c r="D24" s="49" t="n"/>
      <c r="E24" s="51">
        <f>IF($C24="","",ROUND(SUM(I24,L24,O24,R24,U24),2))</f>
        <v/>
      </c>
      <c r="F24" s="52">
        <f>IF($C24="","",ROUND($C24-$E24,2))</f>
        <v/>
      </c>
      <c r="G24" s="24">
        <f>IF(OR($C24="",$C24=0),"",$E24/$C24)</f>
        <v/>
      </c>
      <c r="H24" s="53">
        <f>IF($C24="","",IF($E24=0,"A receber",IF(ROUND($F24,2)=0,"Quitado",IF($F24&lt;0,"Recebido a mais","Parcial"))))</f>
        <v/>
      </c>
      <c r="I24" s="54" t="n">
        <v>11250</v>
      </c>
      <c r="J24" s="55" t="n"/>
      <c r="K24" s="56" t="n"/>
      <c r="L24" s="54" t="n">
        <v>11250</v>
      </c>
      <c r="M24" s="55" t="n"/>
      <c r="N24" s="56" t="n"/>
      <c r="O24" s="54" t="n"/>
      <c r="P24" s="55" t="n"/>
      <c r="Q24" s="56" t="n"/>
      <c r="R24" s="54" t="n"/>
      <c r="S24" s="55" t="n"/>
      <c r="T24" s="56" t="n"/>
      <c r="U24" s="54" t="n"/>
      <c r="V24" s="55" t="n"/>
      <c r="W24" s="56" t="n"/>
      <c r="X24" s="57">
        <f>IF($C24="","",$F24)</f>
        <v/>
      </c>
      <c r="Y24" s="57">
        <f>IF($C24="","",$C24)</f>
        <v/>
      </c>
    </row>
    <row r="25" ht="17" customHeight="1">
      <c r="A25" s="49" t="inlineStr">
        <is>
          <t>Seal</t>
        </is>
      </c>
      <c r="B25" s="49" t="inlineStr">
        <is>
          <t>Bancada</t>
        </is>
      </c>
      <c r="C25" s="50" t="n">
        <v>3500</v>
      </c>
      <c r="D25" s="49" t="n"/>
      <c r="E25" s="51">
        <f>IF($C25="","",ROUND(SUM(I25,L25,O25,R25,U25),2))</f>
        <v/>
      </c>
      <c r="F25" s="52">
        <f>IF($C25="","",ROUND($C25-$E25,2))</f>
        <v/>
      </c>
      <c r="G25" s="24">
        <f>IF(OR($C25="",$C25=0),"",$E25/$C25)</f>
        <v/>
      </c>
      <c r="H25" s="53">
        <f>IF($C25="","",IF($E25=0,"A receber",IF(ROUND($F25,2)=0,"Quitado",IF($F25&lt;0,"Recebido a mais","Parcial"))))</f>
        <v/>
      </c>
      <c r="I25" s="54" t="n">
        <v>3500</v>
      </c>
      <c r="J25" s="55" t="n"/>
      <c r="K25" s="56" t="n"/>
      <c r="L25" s="54" t="n"/>
      <c r="M25" s="55" t="n"/>
      <c r="N25" s="56" t="n"/>
      <c r="O25" s="54" t="n"/>
      <c r="P25" s="55" t="n"/>
      <c r="Q25" s="56" t="n"/>
      <c r="R25" s="54" t="n"/>
      <c r="S25" s="55" t="n"/>
      <c r="T25" s="56" t="n"/>
      <c r="U25" s="54" t="n"/>
      <c r="V25" s="55" t="n"/>
      <c r="W25" s="56" t="n"/>
      <c r="X25" s="57">
        <f>IF($C25="","",$F25)</f>
        <v/>
      </c>
      <c r="Y25" s="57">
        <f>IF($C25="","",$C25)</f>
        <v/>
      </c>
    </row>
    <row r="26" ht="17" customHeight="1">
      <c r="A26" s="49" t="n"/>
      <c r="B26" s="49" t="n"/>
      <c r="C26" s="50" t="n"/>
      <c r="D26" s="49" t="n"/>
      <c r="E26" s="51">
        <f>IF($C26="","",ROUND(SUM(I26,L26,O26,R26,U26),2))</f>
        <v/>
      </c>
      <c r="F26" s="52">
        <f>IF($C26="","",ROUND($C26-$E26,2))</f>
        <v/>
      </c>
      <c r="G26" s="24">
        <f>IF(OR($C26="",$C26=0),"",$E26/$C26)</f>
        <v/>
      </c>
      <c r="H26" s="53">
        <f>IF($C26="","",IF($E26=0,"A receber",IF(ROUND($F26,2)=0,"Quitado",IF($F26&lt;0,"Recebido a mais","Parcial"))))</f>
        <v/>
      </c>
      <c r="I26" s="54" t="n"/>
      <c r="J26" s="55" t="n"/>
      <c r="K26" s="56" t="n"/>
      <c r="L26" s="54" t="n"/>
      <c r="M26" s="55" t="n"/>
      <c r="N26" s="56" t="n"/>
      <c r="O26" s="54" t="n"/>
      <c r="P26" s="55" t="n"/>
      <c r="Q26" s="56" t="n"/>
      <c r="R26" s="54" t="n"/>
      <c r="S26" s="55" t="n"/>
      <c r="T26" s="56" t="n"/>
      <c r="U26" s="54" t="n"/>
      <c r="V26" s="55" t="n"/>
      <c r="W26" s="56" t="n"/>
      <c r="X26" s="57">
        <f>IF($C26="","",$F26)</f>
        <v/>
      </c>
      <c r="Y26" s="57">
        <f>IF($C26="","",$C26)</f>
        <v/>
      </c>
    </row>
    <row r="27" ht="17" customHeight="1">
      <c r="A27" s="49" t="n"/>
      <c r="B27" s="49" t="n"/>
      <c r="C27" s="50" t="n"/>
      <c r="D27" s="49" t="n"/>
      <c r="E27" s="51">
        <f>IF($C27="","",ROUND(SUM(I27,L27,O27,R27,U27),2))</f>
        <v/>
      </c>
      <c r="F27" s="52">
        <f>IF($C27="","",ROUND($C27-$E27,2))</f>
        <v/>
      </c>
      <c r="G27" s="24">
        <f>IF(OR($C27="",$C27=0),"",$E27/$C27)</f>
        <v/>
      </c>
      <c r="H27" s="53">
        <f>IF($C27="","",IF($E27=0,"A receber",IF(ROUND($F27,2)=0,"Quitado",IF($F27&lt;0,"Recebido a mais","Parcial"))))</f>
        <v/>
      </c>
      <c r="I27" s="54" t="n"/>
      <c r="J27" s="55" t="n"/>
      <c r="K27" s="56" t="n"/>
      <c r="L27" s="54" t="n"/>
      <c r="M27" s="55" t="n"/>
      <c r="N27" s="56" t="n"/>
      <c r="O27" s="54" t="n"/>
      <c r="P27" s="55" t="n"/>
      <c r="Q27" s="56" t="n"/>
      <c r="R27" s="54" t="n"/>
      <c r="S27" s="55" t="n"/>
      <c r="T27" s="56" t="n"/>
      <c r="U27" s="54" t="n"/>
      <c r="V27" s="55" t="n"/>
      <c r="W27" s="56" t="n"/>
      <c r="X27" s="57">
        <f>IF($C27="","",$F27)</f>
        <v/>
      </c>
      <c r="Y27" s="57">
        <f>IF($C27="","",$C27)</f>
        <v/>
      </c>
    </row>
    <row r="28" ht="6" customHeight="1"/>
    <row r="29" ht="20" customHeight="1">
      <c r="A29" s="33" t="inlineStr">
        <is>
          <t>Março</t>
        </is>
      </c>
      <c r="B29" s="45" t="n"/>
      <c r="C29" s="46">
        <f>SUM(C30:C38)</f>
        <v/>
      </c>
      <c r="D29" s="45" t="n"/>
      <c r="E29" s="46">
        <f>SUM(E30:E38)</f>
        <v/>
      </c>
      <c r="F29" s="46">
        <f>SUM(F30:F38)</f>
        <v/>
      </c>
      <c r="G29" s="47">
        <f>IF(OR(C29="",C29=0),"",E29/C29)</f>
        <v/>
      </c>
      <c r="H29" s="48">
        <f>COUNT(C30:C38)&amp;" projeto(s)"</f>
        <v/>
      </c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</row>
    <row r="30" ht="17" customHeight="1">
      <c r="A30" s="49" t="inlineStr">
        <is>
          <t>Valeska</t>
        </is>
      </c>
      <c r="B30" s="49" t="inlineStr">
        <is>
          <t>quarto bebe, hospede e cab</t>
        </is>
      </c>
      <c r="C30" s="50" t="n">
        <v>20000</v>
      </c>
      <c r="D30" s="49" t="n"/>
      <c r="E30" s="51">
        <f>IF($C30="","",ROUND(SUM(I30,L30,O30,R30,U30),2))</f>
        <v/>
      </c>
      <c r="F30" s="52">
        <f>IF($C30="","",ROUND($C30-$E30,2))</f>
        <v/>
      </c>
      <c r="G30" s="24">
        <f>IF(OR($C30="",$C30=0),"",$E30/$C30)</f>
        <v/>
      </c>
      <c r="H30" s="53">
        <f>IF($C30="","",IF($E30=0,"A receber",IF(ROUND($F30,2)=0,"Quitado",IF($F30&lt;0,"Recebido a mais","Parcial"))))</f>
        <v/>
      </c>
      <c r="I30" s="54" t="n">
        <v>20000</v>
      </c>
      <c r="J30" s="55" t="n"/>
      <c r="K30" s="56" t="inlineStr">
        <is>
          <t>cartao e pix</t>
        </is>
      </c>
      <c r="L30" s="54" t="n"/>
      <c r="M30" s="55" t="n"/>
      <c r="N30" s="56" t="n"/>
      <c r="O30" s="54" t="n"/>
      <c r="P30" s="55" t="n"/>
      <c r="Q30" s="56" t="n"/>
      <c r="R30" s="54" t="n"/>
      <c r="S30" s="55" t="n"/>
      <c r="T30" s="56" t="n"/>
      <c r="U30" s="54" t="n"/>
      <c r="V30" s="55" t="n"/>
      <c r="W30" s="56" t="n"/>
      <c r="X30" s="57">
        <f>IF($C30="","",$F30)</f>
        <v/>
      </c>
      <c r="Y30" s="57">
        <f>IF($C30="","",$C30)</f>
        <v/>
      </c>
    </row>
    <row r="31" ht="17" customHeight="1">
      <c r="A31" s="49" t="inlineStr">
        <is>
          <t>Ana maria</t>
        </is>
      </c>
      <c r="B31" s="49" t="inlineStr">
        <is>
          <t>buffet</t>
        </is>
      </c>
      <c r="C31" s="50" t="n">
        <v>3150</v>
      </c>
      <c r="D31" s="49" t="n"/>
      <c r="E31" s="51">
        <f>IF($C31="","",ROUND(SUM(I31,L31,O31,R31,U31),2))</f>
        <v/>
      </c>
      <c r="F31" s="52">
        <f>IF($C31="","",ROUND($C31-$E31,2))</f>
        <v/>
      </c>
      <c r="G31" s="24">
        <f>IF(OR($C31="",$C31=0),"",$E31/$C31)</f>
        <v/>
      </c>
      <c r="H31" s="53">
        <f>IF($C31="","",IF($E31=0,"A receber",IF(ROUND($F31,2)=0,"Quitado",IF($F31&lt;0,"Recebido a mais","Parcial"))))</f>
        <v/>
      </c>
      <c r="I31" s="54" t="n">
        <v>485</v>
      </c>
      <c r="J31" s="55" t="n"/>
      <c r="K31" s="56" t="n"/>
      <c r="L31" s="54" t="n">
        <v>1300</v>
      </c>
      <c r="M31" s="55" t="n"/>
      <c r="N31" s="56" t="n"/>
      <c r="O31" s="54" t="n">
        <v>1365</v>
      </c>
      <c r="P31" s="55" t="n"/>
      <c r="Q31" s="56" t="n"/>
      <c r="R31" s="54" t="n"/>
      <c r="S31" s="55" t="n"/>
      <c r="T31" s="56" t="n"/>
      <c r="U31" s="54" t="n"/>
      <c r="V31" s="55" t="n"/>
      <c r="W31" s="56" t="n"/>
      <c r="X31" s="57">
        <f>IF($C31="","",$F31)</f>
        <v/>
      </c>
      <c r="Y31" s="57">
        <f>IF($C31="","",$C31)</f>
        <v/>
      </c>
    </row>
    <row r="32" ht="17" customHeight="1">
      <c r="A32" s="49" t="inlineStr">
        <is>
          <t>Ducarmo</t>
        </is>
      </c>
      <c r="B32" s="49" t="inlineStr">
        <is>
          <t>Cozinha e roupeiro</t>
        </is>
      </c>
      <c r="C32" s="50" t="n">
        <v>7800</v>
      </c>
      <c r="D32" s="49" t="n"/>
      <c r="E32" s="51">
        <f>IF($C32="","",ROUND(SUM(I32,L32,O32,R32,U32),2))</f>
        <v/>
      </c>
      <c r="F32" s="52">
        <f>IF($C32="","",ROUND($C32-$E32,2))</f>
        <v/>
      </c>
      <c r="G32" s="24">
        <f>IF(OR($C32="",$C32=0),"",$E32/$C32)</f>
        <v/>
      </c>
      <c r="H32" s="53">
        <f>IF($C32="","",IF($E32=0,"A receber",IF(ROUND($F32,2)=0,"Quitado",IF($F32&lt;0,"Recebido a mais","Parcial"))))</f>
        <v/>
      </c>
      <c r="I32" s="54" t="n">
        <v>3900</v>
      </c>
      <c r="J32" s="55" t="n"/>
      <c r="K32" s="56" t="n"/>
      <c r="L32" s="54" t="n">
        <v>3900</v>
      </c>
      <c r="M32" s="55" t="n"/>
      <c r="N32" s="56" t="n"/>
      <c r="O32" s="54" t="n"/>
      <c r="P32" s="55" t="n"/>
      <c r="Q32" s="56" t="n"/>
      <c r="R32" s="54" t="n"/>
      <c r="S32" s="55" t="n"/>
      <c r="T32" s="56" t="n"/>
      <c r="U32" s="54" t="n"/>
      <c r="V32" s="55" t="n"/>
      <c r="W32" s="56" t="n"/>
      <c r="X32" s="57">
        <f>IF($C32="","",$F32)</f>
        <v/>
      </c>
      <c r="Y32" s="57">
        <f>IF($C32="","",$C32)</f>
        <v/>
      </c>
    </row>
    <row r="33" ht="17" customHeight="1">
      <c r="A33" s="49" t="inlineStr">
        <is>
          <t>Sirlei</t>
        </is>
      </c>
      <c r="B33" s="49" t="inlineStr">
        <is>
          <t>Cabeceiras</t>
        </is>
      </c>
      <c r="C33" s="50" t="n">
        <v>16000</v>
      </c>
      <c r="D33" s="49" t="n"/>
      <c r="E33" s="51">
        <f>IF($C33="","",ROUND(SUM(I33,L33,O33,R33,U33),2))</f>
        <v/>
      </c>
      <c r="F33" s="52">
        <f>IF($C33="","",ROUND($C33-$E33,2))</f>
        <v/>
      </c>
      <c r="G33" s="24">
        <f>IF(OR($C33="",$C33=0),"",$E33/$C33)</f>
        <v/>
      </c>
      <c r="H33" s="53">
        <f>IF($C33="","",IF($E33=0,"A receber",IF(ROUND($F33,2)=0,"Quitado",IF($F33&lt;0,"Recebido a mais","Parcial"))))</f>
        <v/>
      </c>
      <c r="I33" s="54" t="n">
        <v>6000</v>
      </c>
      <c r="J33" s="55" t="n"/>
      <c r="K33" s="56" t="n"/>
      <c r="L33" s="54" t="n">
        <v>10000</v>
      </c>
      <c r="M33" s="55" t="n"/>
      <c r="N33" s="56" t="n"/>
      <c r="O33" s="54" t="n"/>
      <c r="P33" s="55" t="n"/>
      <c r="Q33" s="56" t="n"/>
      <c r="R33" s="54" t="n"/>
      <c r="S33" s="55" t="n"/>
      <c r="T33" s="56" t="n"/>
      <c r="U33" s="54" t="n"/>
      <c r="V33" s="55" t="n"/>
      <c r="W33" s="56" t="n"/>
      <c r="X33" s="57">
        <f>IF($C33="","",$F33)</f>
        <v/>
      </c>
      <c r="Y33" s="57">
        <f>IF($C33="","",$C33)</f>
        <v/>
      </c>
    </row>
    <row r="34" ht="17" customHeight="1">
      <c r="A34" s="49" t="inlineStr">
        <is>
          <t>Janaina</t>
        </is>
      </c>
      <c r="B34" s="49" t="inlineStr">
        <is>
          <t>bancadas e painel</t>
        </is>
      </c>
      <c r="C34" s="50" t="n">
        <v>4000</v>
      </c>
      <c r="D34" s="49" t="n"/>
      <c r="E34" s="51">
        <f>IF($C34="","",ROUND(SUM(I34,L34,O34,R34,U34),2))</f>
        <v/>
      </c>
      <c r="F34" s="52">
        <f>IF($C34="","",ROUND($C34-$E34,2))</f>
        <v/>
      </c>
      <c r="G34" s="24">
        <f>IF(OR($C34="",$C34=0),"",$E34/$C34)</f>
        <v/>
      </c>
      <c r="H34" s="53">
        <f>IF($C34="","",IF($E34=0,"A receber",IF(ROUND($F34,2)=0,"Quitado",IF($F34&lt;0,"Recebido a mais","Parcial"))))</f>
        <v/>
      </c>
      <c r="I34" s="54" t="n">
        <v>4000</v>
      </c>
      <c r="J34" s="55" t="n"/>
      <c r="K34" s="56" t="n"/>
      <c r="L34" s="54" t="n"/>
      <c r="M34" s="55" t="n"/>
      <c r="N34" s="56" t="n"/>
      <c r="O34" s="54" t="n"/>
      <c r="P34" s="55" t="n"/>
      <c r="Q34" s="56" t="n"/>
      <c r="R34" s="54" t="n"/>
      <c r="S34" s="55" t="n"/>
      <c r="T34" s="56" t="n"/>
      <c r="U34" s="54" t="n"/>
      <c r="V34" s="55" t="n"/>
      <c r="W34" s="56" t="n"/>
      <c r="X34" s="57">
        <f>IF($C34="","",$F34)</f>
        <v/>
      </c>
      <c r="Y34" s="57">
        <f>IF($C34="","",$C34)</f>
        <v/>
      </c>
    </row>
    <row r="35" ht="17" customHeight="1">
      <c r="A35" s="49" t="inlineStr">
        <is>
          <t>Sirlei</t>
        </is>
      </c>
      <c r="B35" s="49" t="inlineStr">
        <is>
          <t>Gourmet + paineis</t>
        </is>
      </c>
      <c r="C35" s="50" t="n">
        <v>31000</v>
      </c>
      <c r="D35" s="49" t="n"/>
      <c r="E35" s="51">
        <f>IF($C35="","",ROUND(SUM(I35,L35,O35,R35,U35),2))</f>
        <v/>
      </c>
      <c r="F35" s="52">
        <f>IF($C35="","",ROUND($C35-$E35,2))</f>
        <v/>
      </c>
      <c r="G35" s="24">
        <f>IF(OR($C35="",$C35=0),"",$E35/$C35)</f>
        <v/>
      </c>
      <c r="H35" s="53">
        <f>IF($C35="","",IF($E35=0,"A receber",IF(ROUND($F35,2)=0,"Quitado",IF($F35&lt;0,"Recebido a mais","Parcial"))))</f>
        <v/>
      </c>
      <c r="I35" s="54" t="n">
        <v>15500</v>
      </c>
      <c r="J35" s="55" t="n"/>
      <c r="K35" s="56" t="n"/>
      <c r="L35" s="54" t="n">
        <v>15500</v>
      </c>
      <c r="M35" s="55" t="n"/>
      <c r="N35" s="56" t="n"/>
      <c r="O35" s="54" t="n"/>
      <c r="P35" s="55" t="n"/>
      <c r="Q35" s="56" t="n"/>
      <c r="R35" s="54" t="n"/>
      <c r="S35" s="55" t="n"/>
      <c r="T35" s="56" t="n"/>
      <c r="U35" s="54" t="n"/>
      <c r="V35" s="55" t="n"/>
      <c r="W35" s="56" t="n"/>
      <c r="X35" s="57">
        <f>IF($C35="","",$F35)</f>
        <v/>
      </c>
      <c r="Y35" s="57">
        <f>IF($C35="","",$C35)</f>
        <v/>
      </c>
    </row>
    <row r="36" ht="17" customHeight="1">
      <c r="A36" s="49" t="inlineStr">
        <is>
          <t>Mirela</t>
        </is>
      </c>
      <c r="B36" s="49" t="inlineStr">
        <is>
          <t>Reforma</t>
        </is>
      </c>
      <c r="C36" s="50" t="n">
        <v>30000</v>
      </c>
      <c r="D36" s="49" t="n"/>
      <c r="E36" s="51">
        <f>IF($C36="","",ROUND(SUM(I36,L36,O36,R36,U36),2))</f>
        <v/>
      </c>
      <c r="F36" s="52">
        <f>IF($C36="","",ROUND($C36-$E36,2))</f>
        <v/>
      </c>
      <c r="G36" s="24">
        <f>IF(OR($C36="",$C36=0),"",$E36/$C36)</f>
        <v/>
      </c>
      <c r="H36" s="53">
        <f>IF($C36="","",IF($E36=0,"A receber",IF(ROUND($F36,2)=0,"Quitado",IF($F36&lt;0,"Recebido a mais","Parcial"))))</f>
        <v/>
      </c>
      <c r="I36" s="54" t="n">
        <v>15000</v>
      </c>
      <c r="J36" s="55" t="n"/>
      <c r="K36" s="56" t="n"/>
      <c r="L36" s="54" t="n">
        <v>10000</v>
      </c>
      <c r="M36" s="55" t="n">
        <v>45861</v>
      </c>
      <c r="N36" s="56" t="inlineStr">
        <is>
          <t>pix</t>
        </is>
      </c>
      <c r="O36" s="54" t="n">
        <v>5000</v>
      </c>
      <c r="P36" s="55" t="n"/>
      <c r="Q36" s="56" t="inlineStr">
        <is>
          <t>pix</t>
        </is>
      </c>
      <c r="R36" s="54" t="n"/>
      <c r="S36" s="55" t="n"/>
      <c r="T36" s="56" t="n"/>
      <c r="U36" s="54" t="n"/>
      <c r="V36" s="55" t="n"/>
      <c r="W36" s="56" t="n"/>
      <c r="X36" s="57">
        <f>IF($C36="","",$F36)</f>
        <v/>
      </c>
      <c r="Y36" s="57">
        <f>IF($C36="","",$C36)</f>
        <v/>
      </c>
    </row>
    <row r="37" ht="17" customHeight="1">
      <c r="A37" s="49" t="n"/>
      <c r="B37" s="49" t="n"/>
      <c r="C37" s="50" t="n"/>
      <c r="D37" s="49" t="n"/>
      <c r="E37" s="51">
        <f>IF($C37="","",ROUND(SUM(I37,L37,O37,R37,U37),2))</f>
        <v/>
      </c>
      <c r="F37" s="52">
        <f>IF($C37="","",ROUND($C37-$E37,2))</f>
        <v/>
      </c>
      <c r="G37" s="24">
        <f>IF(OR($C37="",$C37=0),"",$E37/$C37)</f>
        <v/>
      </c>
      <c r="H37" s="53">
        <f>IF($C37="","",IF($E37=0,"A receber",IF(ROUND($F37,2)=0,"Quitado",IF($F37&lt;0,"Recebido a mais","Parcial"))))</f>
        <v/>
      </c>
      <c r="I37" s="54" t="n"/>
      <c r="J37" s="55" t="n"/>
      <c r="K37" s="56" t="n"/>
      <c r="L37" s="54" t="n"/>
      <c r="M37" s="55" t="n"/>
      <c r="N37" s="56" t="n"/>
      <c r="O37" s="54" t="n"/>
      <c r="P37" s="55" t="n"/>
      <c r="Q37" s="56" t="n"/>
      <c r="R37" s="54" t="n"/>
      <c r="S37" s="55" t="n"/>
      <c r="T37" s="56" t="n"/>
      <c r="U37" s="54" t="n"/>
      <c r="V37" s="55" t="n"/>
      <c r="W37" s="56" t="n"/>
      <c r="X37" s="57">
        <f>IF($C37="","",$F37)</f>
        <v/>
      </c>
      <c r="Y37" s="57">
        <f>IF($C37="","",$C37)</f>
        <v/>
      </c>
    </row>
    <row r="38" ht="17" customHeight="1">
      <c r="A38" s="49" t="n"/>
      <c r="B38" s="49" t="n"/>
      <c r="C38" s="50" t="n"/>
      <c r="D38" s="49" t="n"/>
      <c r="E38" s="51">
        <f>IF($C38="","",ROUND(SUM(I38,L38,O38,R38,U38),2))</f>
        <v/>
      </c>
      <c r="F38" s="52">
        <f>IF($C38="","",ROUND($C38-$E38,2))</f>
        <v/>
      </c>
      <c r="G38" s="24">
        <f>IF(OR($C38="",$C38=0),"",$E38/$C38)</f>
        <v/>
      </c>
      <c r="H38" s="53">
        <f>IF($C38="","",IF($E38=0,"A receber",IF(ROUND($F38,2)=0,"Quitado",IF($F38&lt;0,"Recebido a mais","Parcial"))))</f>
        <v/>
      </c>
      <c r="I38" s="54" t="n"/>
      <c r="J38" s="55" t="n"/>
      <c r="K38" s="56" t="n"/>
      <c r="L38" s="54" t="n"/>
      <c r="M38" s="55" t="n"/>
      <c r="N38" s="56" t="n"/>
      <c r="O38" s="54" t="n"/>
      <c r="P38" s="55" t="n"/>
      <c r="Q38" s="56" t="n"/>
      <c r="R38" s="54" t="n"/>
      <c r="S38" s="55" t="n"/>
      <c r="T38" s="56" t="n"/>
      <c r="U38" s="54" t="n"/>
      <c r="V38" s="55" t="n"/>
      <c r="W38" s="56" t="n"/>
      <c r="X38" s="57">
        <f>IF($C38="","",$F38)</f>
        <v/>
      </c>
      <c r="Y38" s="57">
        <f>IF($C38="","",$C38)</f>
        <v/>
      </c>
    </row>
    <row r="39" ht="6" customHeight="1"/>
    <row r="40" ht="20" customHeight="1">
      <c r="A40" s="33" t="inlineStr">
        <is>
          <t>Abril</t>
        </is>
      </c>
      <c r="B40" s="45" t="n"/>
      <c r="C40" s="46">
        <f>SUM(C41:C49)</f>
        <v/>
      </c>
      <c r="D40" s="45" t="n"/>
      <c r="E40" s="46">
        <f>SUM(E41:E49)</f>
        <v/>
      </c>
      <c r="F40" s="46">
        <f>SUM(F41:F49)</f>
        <v/>
      </c>
      <c r="G40" s="47">
        <f>IF(OR(C40="",C40=0),"",E40/C40)</f>
        <v/>
      </c>
      <c r="H40" s="48">
        <f>COUNT(C41:C49)&amp;" projeto(s)"</f>
        <v/>
      </c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</row>
    <row r="41" ht="17" customHeight="1">
      <c r="A41" s="49" t="inlineStr">
        <is>
          <t>Seal</t>
        </is>
      </c>
      <c r="B41" s="49" t="inlineStr">
        <is>
          <t>Painel</t>
        </is>
      </c>
      <c r="C41" s="50" t="n">
        <v>12250</v>
      </c>
      <c r="D41" s="49" t="inlineStr">
        <is>
          <t>30 dias apos a nota</t>
        </is>
      </c>
      <c r="E41" s="51">
        <f>IF($C41="","",ROUND(SUM(I41,L41,O41,R41,U41),2))</f>
        <v/>
      </c>
      <c r="F41" s="52">
        <f>IF($C41="","",ROUND($C41-$E41,2))</f>
        <v/>
      </c>
      <c r="G41" s="24">
        <f>IF(OR($C41="",$C41=0),"",$E41/$C41)</f>
        <v/>
      </c>
      <c r="H41" s="53">
        <f>IF($C41="","",IF($E41=0,"A receber",IF(ROUND($F41,2)=0,"Quitado",IF($F41&lt;0,"Recebido a mais","Parcial"))))</f>
        <v/>
      </c>
      <c r="I41" s="54" t="n">
        <v>12250</v>
      </c>
      <c r="J41" s="55" t="n">
        <v>45791</v>
      </c>
      <c r="K41" s="56" t="inlineStr">
        <is>
          <t>pix</t>
        </is>
      </c>
      <c r="L41" s="54" t="n"/>
      <c r="M41" s="55" t="n"/>
      <c r="N41" s="56" t="n"/>
      <c r="O41" s="54" t="n"/>
      <c r="P41" s="55" t="n"/>
      <c r="Q41" s="56" t="n"/>
      <c r="R41" s="54" t="n"/>
      <c r="S41" s="55" t="n"/>
      <c r="T41" s="56" t="n"/>
      <c r="U41" s="54" t="n"/>
      <c r="V41" s="55" t="n"/>
      <c r="W41" s="56" t="n"/>
      <c r="X41" s="57">
        <f>IF($C41="","",$F41)</f>
        <v/>
      </c>
      <c r="Y41" s="57">
        <f>IF($C41="","",$C41)</f>
        <v/>
      </c>
    </row>
    <row r="42" ht="17" customHeight="1">
      <c r="A42" s="49" t="inlineStr">
        <is>
          <t>Savio</t>
        </is>
      </c>
      <c r="B42" s="49" t="inlineStr">
        <is>
          <t>Casa nova</t>
        </is>
      </c>
      <c r="C42" s="50" t="n">
        <v>64320</v>
      </c>
      <c r="D42" s="49" t="inlineStr">
        <is>
          <t>entrada + 20% + final no cartao</t>
        </is>
      </c>
      <c r="E42" s="51">
        <f>IF($C42="","",ROUND(SUM(I42,L42,O42,R42,U42),2))</f>
        <v/>
      </c>
      <c r="F42" s="52">
        <f>IF($C42="","",ROUND($C42-$E42,2))</f>
        <v/>
      </c>
      <c r="G42" s="24">
        <f>IF(OR($C42="",$C42=0),"",$E42/$C42)</f>
        <v/>
      </c>
      <c r="H42" s="53">
        <f>IF($C42="","",IF($E42=0,"A receber",IF(ROUND($F42,2)=0,"Quitado",IF($F42&lt;0,"Recebido a mais","Parcial"))))</f>
        <v/>
      </c>
      <c r="I42" s="54" t="n">
        <v>25700</v>
      </c>
      <c r="J42" s="55" t="n">
        <v>45769</v>
      </c>
      <c r="K42" s="56" t="inlineStr">
        <is>
          <t>pix</t>
        </is>
      </c>
      <c r="L42" s="54" t="n">
        <v>12800</v>
      </c>
      <c r="M42" s="55" t="n">
        <v>45817</v>
      </c>
      <c r="N42" s="56" t="inlineStr">
        <is>
          <t>pix</t>
        </is>
      </c>
      <c r="O42" s="54" t="n">
        <v>25820</v>
      </c>
      <c r="P42" s="55" t="n">
        <v>45832</v>
      </c>
      <c r="Q42" s="56" t="inlineStr">
        <is>
          <t>cartao</t>
        </is>
      </c>
      <c r="R42" s="54" t="n"/>
      <c r="S42" s="55" t="n"/>
      <c r="T42" s="56" t="n"/>
      <c r="U42" s="54" t="n"/>
      <c r="V42" s="55" t="n"/>
      <c r="W42" s="56" t="n"/>
      <c r="X42" s="57">
        <f>IF($C42="","",$F42)</f>
        <v/>
      </c>
      <c r="Y42" s="57">
        <f>IF($C42="","",$C42)</f>
        <v/>
      </c>
    </row>
    <row r="43" ht="17" customHeight="1">
      <c r="A43" s="49" t="inlineStr">
        <is>
          <t>Lucas Campara</t>
        </is>
      </c>
      <c r="B43" s="49" t="inlineStr">
        <is>
          <t>casa completa</t>
        </is>
      </c>
      <c r="C43" s="50" t="n">
        <v>45000</v>
      </c>
      <c r="D43" s="49" t="inlineStr">
        <is>
          <t>Entrada + final no cartao</t>
        </is>
      </c>
      <c r="E43" s="51">
        <f>IF($C43="","",ROUND(SUM(I43,L43,O43,R43,U43),2))</f>
        <v/>
      </c>
      <c r="F43" s="52">
        <f>IF($C43="","",ROUND($C43-$E43,2))</f>
        <v/>
      </c>
      <c r="G43" s="24">
        <f>IF(OR($C43="",$C43=0),"",$E43/$C43)</f>
        <v/>
      </c>
      <c r="H43" s="53">
        <f>IF($C43="","",IF($E43=0,"A receber",IF(ROUND($F43,2)=0,"Quitado",IF($F43&lt;0,"Recebido a mais","Parcial"))))</f>
        <v/>
      </c>
      <c r="I43" s="54" t="n">
        <v>22500</v>
      </c>
      <c r="J43" s="55" t="n">
        <v>45764</v>
      </c>
      <c r="K43" s="56" t="inlineStr">
        <is>
          <t>pix</t>
        </is>
      </c>
      <c r="L43" s="54" t="n">
        <v>11250</v>
      </c>
      <c r="M43" s="55" t="n">
        <v>45814</v>
      </c>
      <c r="N43" s="56" t="inlineStr">
        <is>
          <t>cartao</t>
        </is>
      </c>
      <c r="O43" s="54" t="n">
        <v>11250</v>
      </c>
      <c r="P43" s="55" t="n"/>
      <c r="Q43" s="56" t="inlineStr">
        <is>
          <t>pix</t>
        </is>
      </c>
      <c r="R43" s="54" t="n"/>
      <c r="S43" s="55" t="n"/>
      <c r="T43" s="56" t="n"/>
      <c r="U43" s="54" t="n"/>
      <c r="V43" s="55" t="n"/>
      <c r="W43" s="56" t="n"/>
      <c r="X43" s="57">
        <f>IF($C43="","",$F43)</f>
        <v/>
      </c>
      <c r="Y43" s="57">
        <f>IF($C43="","",$C43)</f>
        <v/>
      </c>
    </row>
    <row r="44" ht="17" customHeight="1">
      <c r="A44" s="49" t="inlineStr">
        <is>
          <t>Fabyola</t>
        </is>
      </c>
      <c r="B44" s="49" t="inlineStr">
        <is>
          <t>Loja</t>
        </is>
      </c>
      <c r="C44" s="50" t="n">
        <v>20250</v>
      </c>
      <c r="D44" s="49" t="inlineStr">
        <is>
          <t>Entrada + Cartao</t>
        </is>
      </c>
      <c r="E44" s="51">
        <f>IF($C44="","",ROUND(SUM(I44,L44,O44,R44,U44),2))</f>
        <v/>
      </c>
      <c r="F44" s="52">
        <f>IF($C44="","",ROUND($C44-$E44,2))</f>
        <v/>
      </c>
      <c r="G44" s="24">
        <f>IF(OR($C44="",$C44=0),"",$E44/$C44)</f>
        <v/>
      </c>
      <c r="H44" s="53">
        <f>IF($C44="","",IF($E44=0,"A receber",IF(ROUND($F44,2)=0,"Quitado",IF($F44&lt;0,"Recebido a mais","Parcial"))))</f>
        <v/>
      </c>
      <c r="I44" s="54" t="n">
        <v>12000</v>
      </c>
      <c r="J44" s="55" t="n"/>
      <c r="K44" s="56" t="inlineStr">
        <is>
          <t>cartao</t>
        </is>
      </c>
      <c r="L44" s="54" t="n">
        <v>8250</v>
      </c>
      <c r="M44" s="55" t="n">
        <v>45763</v>
      </c>
      <c r="N44" s="56" t="inlineStr">
        <is>
          <t>pix</t>
        </is>
      </c>
      <c r="O44" s="54" t="n"/>
      <c r="P44" s="55" t="n"/>
      <c r="Q44" s="56" t="n"/>
      <c r="R44" s="54" t="n"/>
      <c r="S44" s="55" t="n"/>
      <c r="T44" s="56" t="n"/>
      <c r="U44" s="54" t="n"/>
      <c r="V44" s="55" t="n"/>
      <c r="W44" s="56" t="n"/>
      <c r="X44" s="57">
        <f>IF($C44="","",$F44)</f>
        <v/>
      </c>
      <c r="Y44" s="57">
        <f>IF($C44="","",$C44)</f>
        <v/>
      </c>
    </row>
    <row r="45" ht="17" customHeight="1">
      <c r="A45" s="49" t="inlineStr">
        <is>
          <t>Theo</t>
        </is>
      </c>
      <c r="B45" s="49" t="inlineStr">
        <is>
          <t>Estante</t>
        </is>
      </c>
      <c r="C45" s="50" t="n">
        <v>3500</v>
      </c>
      <c r="D45" s="49" t="inlineStr">
        <is>
          <t>permuta</t>
        </is>
      </c>
      <c r="E45" s="51">
        <f>IF($C45="","",ROUND(SUM(I45,L45,O45,R45,U45),2))</f>
        <v/>
      </c>
      <c r="F45" s="52">
        <f>IF($C45="","",ROUND($C45-$E45,2))</f>
        <v/>
      </c>
      <c r="G45" s="24">
        <f>IF(OR($C45="",$C45=0),"",$E45/$C45)</f>
        <v/>
      </c>
      <c r="H45" s="53">
        <f>IF($C45="","",IF($E45=0,"A receber",IF(ROUND($F45,2)=0,"Quitado",IF($F45&lt;0,"Recebido a mais","Parcial"))))</f>
        <v/>
      </c>
      <c r="I45" s="54" t="n">
        <v>3500</v>
      </c>
      <c r="J45" s="55" t="n"/>
      <c r="K45" s="56" t="inlineStr">
        <is>
          <t>permuta</t>
        </is>
      </c>
      <c r="L45" s="54" t="n"/>
      <c r="M45" s="55" t="n"/>
      <c r="N45" s="56" t="n"/>
      <c r="O45" s="54" t="n"/>
      <c r="P45" s="55" t="n"/>
      <c r="Q45" s="56" t="n"/>
      <c r="R45" s="54" t="n"/>
      <c r="S45" s="55" t="n"/>
      <c r="T45" s="56" t="n"/>
      <c r="U45" s="54" t="n"/>
      <c r="V45" s="55" t="n"/>
      <c r="W45" s="56" t="n"/>
      <c r="X45" s="57">
        <f>IF($C45="","",$F45)</f>
        <v/>
      </c>
      <c r="Y45" s="57">
        <f>IF($C45="","",$C45)</f>
        <v/>
      </c>
    </row>
    <row r="46" ht="17" customHeight="1">
      <c r="A46" s="49" t="inlineStr">
        <is>
          <t>Graciane</t>
        </is>
      </c>
      <c r="B46" s="49" t="inlineStr">
        <is>
          <t>Escritorio</t>
        </is>
      </c>
      <c r="C46" s="50" t="n">
        <v>13800</v>
      </c>
      <c r="D46" s="49" t="inlineStr">
        <is>
          <t>a vista</t>
        </is>
      </c>
      <c r="E46" s="51">
        <f>IF($C46="","",ROUND(SUM(I46,L46,O46,R46,U46),2))</f>
        <v/>
      </c>
      <c r="F46" s="52">
        <f>IF($C46="","",ROUND($C46-$E46,2))</f>
        <v/>
      </c>
      <c r="G46" s="24">
        <f>IF(OR($C46="",$C46=0),"",$E46/$C46)</f>
        <v/>
      </c>
      <c r="H46" s="53">
        <f>IF($C46="","",IF($E46=0,"A receber",IF(ROUND($F46,2)=0,"Quitado",IF($F46&lt;0,"Recebido a mais","Parcial"))))</f>
        <v/>
      </c>
      <c r="I46" s="54" t="n">
        <v>13800</v>
      </c>
      <c r="J46" s="55" t="n">
        <v>45771</v>
      </c>
      <c r="K46" s="56" t="inlineStr">
        <is>
          <t>pix</t>
        </is>
      </c>
      <c r="L46" s="54" t="n"/>
      <c r="M46" s="55" t="n"/>
      <c r="N46" s="56" t="n"/>
      <c r="O46" s="54" t="n"/>
      <c r="P46" s="55" t="n"/>
      <c r="Q46" s="56" t="n"/>
      <c r="R46" s="54" t="n"/>
      <c r="S46" s="55" t="n"/>
      <c r="T46" s="56" t="n"/>
      <c r="U46" s="54" t="n"/>
      <c r="V46" s="55" t="n"/>
      <c r="W46" s="56" t="n"/>
      <c r="X46" s="57">
        <f>IF($C46="","",$F46)</f>
        <v/>
      </c>
      <c r="Y46" s="57">
        <f>IF($C46="","",$C46)</f>
        <v/>
      </c>
    </row>
    <row r="47" ht="17" customHeight="1">
      <c r="A47" s="49" t="inlineStr">
        <is>
          <t>Reinaldo</t>
        </is>
      </c>
      <c r="B47" s="49" t="inlineStr">
        <is>
          <t>Loja</t>
        </is>
      </c>
      <c r="C47" s="50" t="n">
        <v>20100</v>
      </c>
      <c r="D47" s="49" t="inlineStr">
        <is>
          <t>Parcelado</t>
        </is>
      </c>
      <c r="E47" s="51">
        <f>IF($C47="","",ROUND(SUM(I47,L47,O47,R47,U47),2))</f>
        <v/>
      </c>
      <c r="F47" s="52">
        <f>IF($C47="","",ROUND($C47-$E47,2))</f>
        <v/>
      </c>
      <c r="G47" s="24">
        <f>IF(OR($C47="",$C47=0),"",$E47/$C47)</f>
        <v/>
      </c>
      <c r="H47" s="53">
        <f>IF($C47="","",IF($E47=0,"A receber",IF(ROUND($F47,2)=0,"Quitado",IF($F47&lt;0,"Recebido a mais","Parcial"))))</f>
        <v/>
      </c>
      <c r="I47" s="54" t="n">
        <v>1000</v>
      </c>
      <c r="J47" s="55" t="n"/>
      <c r="K47" s="56" t="n"/>
      <c r="L47" s="54" t="n"/>
      <c r="M47" s="55" t="n"/>
      <c r="N47" s="56" t="n"/>
      <c r="O47" s="54" t="n"/>
      <c r="P47" s="55" t="n"/>
      <c r="Q47" s="56" t="n"/>
      <c r="R47" s="54" t="n"/>
      <c r="S47" s="55" t="n"/>
      <c r="T47" s="56" t="n"/>
      <c r="U47" s="54" t="n"/>
      <c r="V47" s="55" t="n"/>
      <c r="W47" s="56" t="n"/>
      <c r="X47" s="57">
        <f>IF($C47="","",$F47)</f>
        <v/>
      </c>
      <c r="Y47" s="57">
        <f>IF($C47="","",$C47)</f>
        <v/>
      </c>
    </row>
    <row r="48" ht="17" customHeight="1">
      <c r="A48" s="49" t="n"/>
      <c r="B48" s="49" t="n"/>
      <c r="C48" s="50" t="n"/>
      <c r="D48" s="49" t="n"/>
      <c r="E48" s="51">
        <f>IF($C48="","",ROUND(SUM(I48,L48,O48,R48,U48),2))</f>
        <v/>
      </c>
      <c r="F48" s="52">
        <f>IF($C48="","",ROUND($C48-$E48,2))</f>
        <v/>
      </c>
      <c r="G48" s="24">
        <f>IF(OR($C48="",$C48=0),"",$E48/$C48)</f>
        <v/>
      </c>
      <c r="H48" s="53">
        <f>IF($C48="","",IF($E48=0,"A receber",IF(ROUND($F48,2)=0,"Quitado",IF($F48&lt;0,"Recebido a mais","Parcial"))))</f>
        <v/>
      </c>
      <c r="I48" s="54" t="n"/>
      <c r="J48" s="55" t="n"/>
      <c r="K48" s="56" t="n"/>
      <c r="L48" s="54" t="n"/>
      <c r="M48" s="55" t="n"/>
      <c r="N48" s="56" t="n"/>
      <c r="O48" s="54" t="n"/>
      <c r="P48" s="55" t="n"/>
      <c r="Q48" s="56" t="n"/>
      <c r="R48" s="54" t="n"/>
      <c r="S48" s="55" t="n"/>
      <c r="T48" s="56" t="n"/>
      <c r="U48" s="54" t="n"/>
      <c r="V48" s="55" t="n"/>
      <c r="W48" s="56" t="n"/>
      <c r="X48" s="57">
        <f>IF($C48="","",$F48)</f>
        <v/>
      </c>
      <c r="Y48" s="57">
        <f>IF($C48="","",$C48)</f>
        <v/>
      </c>
    </row>
    <row r="49" ht="17" customHeight="1">
      <c r="A49" s="49" t="n"/>
      <c r="B49" s="49" t="n"/>
      <c r="C49" s="50" t="n"/>
      <c r="D49" s="49" t="n"/>
      <c r="E49" s="51">
        <f>IF($C49="","",ROUND(SUM(I49,L49,O49,R49,U49),2))</f>
        <v/>
      </c>
      <c r="F49" s="52">
        <f>IF($C49="","",ROUND($C49-$E49,2))</f>
        <v/>
      </c>
      <c r="G49" s="24">
        <f>IF(OR($C49="",$C49=0),"",$E49/$C49)</f>
        <v/>
      </c>
      <c r="H49" s="53">
        <f>IF($C49="","",IF($E49=0,"A receber",IF(ROUND($F49,2)=0,"Quitado",IF($F49&lt;0,"Recebido a mais","Parcial"))))</f>
        <v/>
      </c>
      <c r="I49" s="54" t="n"/>
      <c r="J49" s="55" t="n"/>
      <c r="K49" s="56" t="n"/>
      <c r="L49" s="54" t="n"/>
      <c r="M49" s="55" t="n"/>
      <c r="N49" s="56" t="n"/>
      <c r="O49" s="54" t="n"/>
      <c r="P49" s="55" t="n"/>
      <c r="Q49" s="56" t="n"/>
      <c r="R49" s="54" t="n"/>
      <c r="S49" s="55" t="n"/>
      <c r="T49" s="56" t="n"/>
      <c r="U49" s="54" t="n"/>
      <c r="V49" s="55" t="n"/>
      <c r="W49" s="56" t="n"/>
      <c r="X49" s="57">
        <f>IF($C49="","",$F49)</f>
        <v/>
      </c>
      <c r="Y49" s="57">
        <f>IF($C49="","",$C49)</f>
        <v/>
      </c>
    </row>
    <row r="50" ht="6" customHeight="1"/>
    <row r="51" ht="20" customHeight="1">
      <c r="A51" s="33" t="inlineStr">
        <is>
          <t>Maio</t>
        </is>
      </c>
      <c r="B51" s="45" t="n"/>
      <c r="C51" s="46">
        <f>SUM(C52:C56)</f>
        <v/>
      </c>
      <c r="D51" s="45" t="n"/>
      <c r="E51" s="46">
        <f>SUM(E52:E56)</f>
        <v/>
      </c>
      <c r="F51" s="46">
        <f>SUM(F52:F56)</f>
        <v/>
      </c>
      <c r="G51" s="47">
        <f>IF(OR(C51="",C51=0),"",E51/C51)</f>
        <v/>
      </c>
      <c r="H51" s="48">
        <f>COUNT(C52:C56)&amp;" projeto(s)"</f>
        <v/>
      </c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</row>
    <row r="52" ht="17" customHeight="1">
      <c r="A52" s="49" t="inlineStr">
        <is>
          <t>Sirley</t>
        </is>
      </c>
      <c r="B52" s="49" t="inlineStr">
        <is>
          <t>Lavanderia</t>
        </is>
      </c>
      <c r="C52" s="50" t="n">
        <v>2600</v>
      </c>
      <c r="D52" s="49" t="n"/>
      <c r="E52" s="51">
        <f>IF($C52="","",ROUND(SUM(I52,L52,O52,R52,U52),2))</f>
        <v/>
      </c>
      <c r="F52" s="52">
        <f>IF($C52="","",ROUND($C52-$E52,2))</f>
        <v/>
      </c>
      <c r="G52" s="24">
        <f>IF(OR($C52="",$C52=0),"",$E52/$C52)</f>
        <v/>
      </c>
      <c r="H52" s="53">
        <f>IF($C52="","",IF($E52=0,"A receber",IF(ROUND($F52,2)=0,"Quitado",IF($F52&lt;0,"Recebido a mais","Parcial"))))</f>
        <v/>
      </c>
      <c r="I52" s="54" t="n">
        <v>2600</v>
      </c>
      <c r="J52" s="55" t="n"/>
      <c r="K52" s="56" t="n"/>
      <c r="L52" s="54" t="n"/>
      <c r="M52" s="55" t="n"/>
      <c r="N52" s="56" t="n"/>
      <c r="O52" s="54" t="n"/>
      <c r="P52" s="55" t="n"/>
      <c r="Q52" s="56" t="n"/>
      <c r="R52" s="54" t="n"/>
      <c r="S52" s="55" t="n"/>
      <c r="T52" s="56" t="n"/>
      <c r="U52" s="54" t="n"/>
      <c r="V52" s="55" t="n"/>
      <c r="W52" s="56" t="n"/>
      <c r="X52" s="57">
        <f>IF($C52="","",$F52)</f>
        <v/>
      </c>
      <c r="Y52" s="57">
        <f>IF($C52="","",$C52)</f>
        <v/>
      </c>
    </row>
    <row r="53" ht="17" customHeight="1">
      <c r="A53" s="49" t="inlineStr">
        <is>
          <t>Leonidia</t>
        </is>
      </c>
      <c r="B53" s="49" t="inlineStr">
        <is>
          <t>Quarto filhos</t>
        </is>
      </c>
      <c r="C53" s="50" t="n">
        <v>8500</v>
      </c>
      <c r="D53" s="49" t="inlineStr">
        <is>
          <t>Entrada + restante no final</t>
        </is>
      </c>
      <c r="E53" s="51">
        <f>IF($C53="","",ROUND(SUM(I53,L53,O53,R53,U53),2))</f>
        <v/>
      </c>
      <c r="F53" s="52">
        <f>IF($C53="","",ROUND($C53-$E53,2))</f>
        <v/>
      </c>
      <c r="G53" s="24">
        <f>IF(OR($C53="",$C53=0),"",$E53/$C53)</f>
        <v/>
      </c>
      <c r="H53" s="53">
        <f>IF($C53="","",IF($E53=0,"A receber",IF(ROUND($F53,2)=0,"Quitado",IF($F53&lt;0,"Recebido a mais","Parcial"))))</f>
        <v/>
      </c>
      <c r="I53" s="54" t="n">
        <v>4500</v>
      </c>
      <c r="J53" s="55" t="n">
        <v>45786</v>
      </c>
      <c r="K53" s="56" t="inlineStr">
        <is>
          <t>pix</t>
        </is>
      </c>
      <c r="L53" s="54" t="n">
        <v>1000</v>
      </c>
      <c r="M53" s="55" t="n"/>
      <c r="N53" s="56" t="inlineStr">
        <is>
          <t>pix</t>
        </is>
      </c>
      <c r="O53" s="54" t="n">
        <v>1000</v>
      </c>
      <c r="P53" s="55" t="n">
        <v>45807</v>
      </c>
      <c r="Q53" s="56" t="inlineStr">
        <is>
          <t>pix</t>
        </is>
      </c>
      <c r="R53" s="54" t="n">
        <v>1000</v>
      </c>
      <c r="S53" s="55" t="n">
        <v>45821</v>
      </c>
      <c r="T53" s="56" t="inlineStr">
        <is>
          <t>pix</t>
        </is>
      </c>
      <c r="U53" s="54" t="n">
        <v>1000</v>
      </c>
      <c r="V53" s="55" t="n"/>
      <c r="W53" s="56" t="n"/>
      <c r="X53" s="57">
        <f>IF($C53="","",$F53)</f>
        <v/>
      </c>
      <c r="Y53" s="57">
        <f>IF($C53="","",$C53)</f>
        <v/>
      </c>
    </row>
    <row r="54" ht="17" customHeight="1">
      <c r="A54" s="49" t="inlineStr">
        <is>
          <t>Alexandrina</t>
        </is>
      </c>
      <c r="B54" s="49" t="inlineStr">
        <is>
          <t>Complemento painel + bancada</t>
        </is>
      </c>
      <c r="C54" s="50" t="n">
        <v>2250</v>
      </c>
      <c r="D54" s="49" t="inlineStr">
        <is>
          <t>A vista</t>
        </is>
      </c>
      <c r="E54" s="51">
        <f>IF($C54="","",ROUND(SUM(I54,L54,O54,R54,U54),2))</f>
        <v/>
      </c>
      <c r="F54" s="52">
        <f>IF($C54="","",ROUND($C54-$E54,2))</f>
        <v/>
      </c>
      <c r="G54" s="24">
        <f>IF(OR($C54="",$C54=0),"",$E54/$C54)</f>
        <v/>
      </c>
      <c r="H54" s="53">
        <f>IF($C54="","",IF($E54=0,"A receber",IF(ROUND($F54,2)=0,"Quitado",IF($F54&lt;0,"Recebido a mais","Parcial"))))</f>
        <v/>
      </c>
      <c r="I54" s="54" t="n">
        <v>1100</v>
      </c>
      <c r="J54" s="55" t="n">
        <v>45786</v>
      </c>
      <c r="K54" s="56" t="inlineStr">
        <is>
          <t>dinheiro</t>
        </is>
      </c>
      <c r="L54" s="54" t="n">
        <v>1150</v>
      </c>
      <c r="M54" s="55" t="n">
        <v>45833</v>
      </c>
      <c r="N54" s="56" t="inlineStr">
        <is>
          <t>dinheiro</t>
        </is>
      </c>
      <c r="O54" s="54" t="n"/>
      <c r="P54" s="55" t="n"/>
      <c r="Q54" s="56" t="n"/>
      <c r="R54" s="54" t="n"/>
      <c r="S54" s="55" t="n"/>
      <c r="T54" s="56" t="n"/>
      <c r="U54" s="54" t="n"/>
      <c r="V54" s="55" t="n"/>
      <c r="W54" s="56" t="n"/>
      <c r="X54" s="57">
        <f>IF($C54="","",$F54)</f>
        <v/>
      </c>
      <c r="Y54" s="57">
        <f>IF($C54="","",$C54)</f>
        <v/>
      </c>
    </row>
    <row r="55" ht="17" customHeight="1">
      <c r="A55" s="49" t="n"/>
      <c r="B55" s="49" t="n"/>
      <c r="C55" s="50" t="n"/>
      <c r="D55" s="49" t="n"/>
      <c r="E55" s="51">
        <f>IF($C55="","",ROUND(SUM(I55,L55,O55,R55,U55),2))</f>
        <v/>
      </c>
      <c r="F55" s="52">
        <f>IF($C55="","",ROUND($C55-$E55,2))</f>
        <v/>
      </c>
      <c r="G55" s="24">
        <f>IF(OR($C55="",$C55=0),"",$E55/$C55)</f>
        <v/>
      </c>
      <c r="H55" s="53">
        <f>IF($C55="","",IF($E55=0,"A receber",IF(ROUND($F55,2)=0,"Quitado",IF($F55&lt;0,"Recebido a mais","Parcial"))))</f>
        <v/>
      </c>
      <c r="I55" s="54" t="n"/>
      <c r="J55" s="55" t="n"/>
      <c r="K55" s="56" t="n"/>
      <c r="L55" s="54" t="n"/>
      <c r="M55" s="55" t="n"/>
      <c r="N55" s="56" t="n"/>
      <c r="O55" s="54" t="n"/>
      <c r="P55" s="55" t="n"/>
      <c r="Q55" s="56" t="n"/>
      <c r="R55" s="54" t="n"/>
      <c r="S55" s="55" t="n"/>
      <c r="T55" s="56" t="n"/>
      <c r="U55" s="54" t="n"/>
      <c r="V55" s="55" t="n"/>
      <c r="W55" s="56" t="n"/>
      <c r="X55" s="57">
        <f>IF($C55="","",$F55)</f>
        <v/>
      </c>
      <c r="Y55" s="57">
        <f>IF($C55="","",$C55)</f>
        <v/>
      </c>
    </row>
    <row r="56" ht="17" customHeight="1">
      <c r="A56" s="49" t="n"/>
      <c r="B56" s="49" t="n"/>
      <c r="C56" s="50" t="n"/>
      <c r="D56" s="49" t="n"/>
      <c r="E56" s="51">
        <f>IF($C56="","",ROUND(SUM(I56,L56,O56,R56,U56),2))</f>
        <v/>
      </c>
      <c r="F56" s="52">
        <f>IF($C56="","",ROUND($C56-$E56,2))</f>
        <v/>
      </c>
      <c r="G56" s="24">
        <f>IF(OR($C56="",$C56=0),"",$E56/$C56)</f>
        <v/>
      </c>
      <c r="H56" s="53">
        <f>IF($C56="","",IF($E56=0,"A receber",IF(ROUND($F56,2)=0,"Quitado",IF($F56&lt;0,"Recebido a mais","Parcial"))))</f>
        <v/>
      </c>
      <c r="I56" s="54" t="n"/>
      <c r="J56" s="55" t="n"/>
      <c r="K56" s="56" t="n"/>
      <c r="L56" s="54" t="n"/>
      <c r="M56" s="55" t="n"/>
      <c r="N56" s="56" t="n"/>
      <c r="O56" s="54" t="n"/>
      <c r="P56" s="55" t="n"/>
      <c r="Q56" s="56" t="n"/>
      <c r="R56" s="54" t="n"/>
      <c r="S56" s="55" t="n"/>
      <c r="T56" s="56" t="n"/>
      <c r="U56" s="54" t="n"/>
      <c r="V56" s="55" t="n"/>
      <c r="W56" s="56" t="n"/>
      <c r="X56" s="57">
        <f>IF($C56="","",$F56)</f>
        <v/>
      </c>
      <c r="Y56" s="57">
        <f>IF($C56="","",$C56)</f>
        <v/>
      </c>
    </row>
    <row r="57" ht="6" customHeight="1"/>
    <row r="58" ht="20" customHeight="1">
      <c r="A58" s="33" t="inlineStr">
        <is>
          <t>Junho</t>
        </is>
      </c>
      <c r="B58" s="45" t="n"/>
      <c r="C58" s="46">
        <f>SUM(C59:C67)</f>
        <v/>
      </c>
      <c r="D58" s="45" t="n"/>
      <c r="E58" s="46">
        <f>SUM(E59:E67)</f>
        <v/>
      </c>
      <c r="F58" s="46">
        <f>SUM(F59:F67)</f>
        <v/>
      </c>
      <c r="G58" s="47">
        <f>IF(OR(C58="",C58=0),"",E58/C58)</f>
        <v/>
      </c>
      <c r="H58" s="48">
        <f>COUNT(C59:C67)&amp;" projeto(s)"</f>
        <v/>
      </c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</row>
    <row r="59" ht="17" customHeight="1">
      <c r="A59" s="49" t="inlineStr">
        <is>
          <t>Regina</t>
        </is>
      </c>
      <c r="B59" s="49" t="inlineStr">
        <is>
          <t>Area gourmet  e lavanderia</t>
        </is>
      </c>
      <c r="C59" s="50" t="n">
        <v>26055</v>
      </c>
      <c r="D59" s="49" t="n"/>
      <c r="E59" s="51">
        <f>IF($C59="","",ROUND(SUM(I59,L59,O59,R59,U59),2))</f>
        <v/>
      </c>
      <c r="F59" s="52">
        <f>IF($C59="","",ROUND($C59-$E59,2))</f>
        <v/>
      </c>
      <c r="G59" s="24">
        <f>IF(OR($C59="",$C59=0),"",$E59/$C59)</f>
        <v/>
      </c>
      <c r="H59" s="53">
        <f>IF($C59="","",IF($E59=0,"A receber",IF(ROUND($F59,2)=0,"Quitado",IF($F59&lt;0,"Recebido a mais","Parcial"))))</f>
        <v/>
      </c>
      <c r="I59" s="54" t="n">
        <v>10422</v>
      </c>
      <c r="J59" s="55" t="n">
        <v>45812</v>
      </c>
      <c r="K59" s="56" t="inlineStr">
        <is>
          <t>PIX</t>
        </is>
      </c>
      <c r="L59" s="54" t="n">
        <v>15633</v>
      </c>
      <c r="M59" s="55" t="n">
        <v>45880</v>
      </c>
      <c r="N59" s="56" t="inlineStr">
        <is>
          <t>pix</t>
        </is>
      </c>
      <c r="O59" s="54" t="n"/>
      <c r="P59" s="55" t="n"/>
      <c r="Q59" s="56" t="n"/>
      <c r="R59" s="54" t="n"/>
      <c r="S59" s="55" t="n"/>
      <c r="T59" s="56" t="n"/>
      <c r="U59" s="54" t="n"/>
      <c r="V59" s="55" t="n"/>
      <c r="W59" s="56" t="n"/>
      <c r="X59" s="57">
        <f>IF($C59="","",$F59)</f>
        <v/>
      </c>
      <c r="Y59" s="57">
        <f>IF($C59="","",$C59)</f>
        <v/>
      </c>
    </row>
    <row r="60" ht="17" customHeight="1">
      <c r="A60" s="49" t="inlineStr">
        <is>
          <t>Graciene</t>
        </is>
      </c>
      <c r="B60" s="49" t="inlineStr">
        <is>
          <t>Area de convivencia</t>
        </is>
      </c>
      <c r="C60" s="50" t="n">
        <v>44000</v>
      </c>
      <c r="D60" s="49" t="n"/>
      <c r="E60" s="51">
        <f>IF($C60="","",ROUND(SUM(I60,L60,O60,R60,U60),2))</f>
        <v/>
      </c>
      <c r="F60" s="52">
        <f>IF($C60="","",ROUND($C60-$E60,2))</f>
        <v/>
      </c>
      <c r="G60" s="24">
        <f>IF(OR($C60="",$C60=0),"",$E60/$C60)</f>
        <v/>
      </c>
      <c r="H60" s="53">
        <f>IF($C60="","",IF($E60=0,"A receber",IF(ROUND($F60,2)=0,"Quitado",IF($F60&lt;0,"Recebido a mais","Parcial"))))</f>
        <v/>
      </c>
      <c r="I60" s="54" t="n">
        <v>22000</v>
      </c>
      <c r="J60" s="55" t="n">
        <v>45839</v>
      </c>
      <c r="K60" s="56" t="inlineStr">
        <is>
          <t>pix</t>
        </is>
      </c>
      <c r="L60" s="54" t="n">
        <v>22000</v>
      </c>
      <c r="M60" s="55" t="n">
        <v>45898</v>
      </c>
      <c r="N60" s="56" t="inlineStr">
        <is>
          <t>pix</t>
        </is>
      </c>
      <c r="O60" s="54" t="n"/>
      <c r="P60" s="55" t="n"/>
      <c r="Q60" s="56" t="n"/>
      <c r="R60" s="54" t="n"/>
      <c r="S60" s="55" t="n"/>
      <c r="T60" s="56" t="n"/>
      <c r="U60" s="54" t="n"/>
      <c r="V60" s="55" t="n"/>
      <c r="W60" s="56" t="n"/>
      <c r="X60" s="57">
        <f>IF($C60="","",$F60)</f>
        <v/>
      </c>
      <c r="Y60" s="57">
        <f>IF($C60="","",$C60)</f>
        <v/>
      </c>
    </row>
    <row r="61" ht="17" customHeight="1">
      <c r="A61" s="49" t="inlineStr">
        <is>
          <t>Consuelo</t>
        </is>
      </c>
      <c r="B61" s="49" t="inlineStr">
        <is>
          <t>rampa</t>
        </is>
      </c>
      <c r="C61" s="50" t="n">
        <v>1800</v>
      </c>
      <c r="D61" s="49" t="n"/>
      <c r="E61" s="51">
        <f>IF($C61="","",ROUND(SUM(I61,L61,O61,R61,U61),2))</f>
        <v/>
      </c>
      <c r="F61" s="52">
        <f>IF($C61="","",ROUND($C61-$E61,2))</f>
        <v/>
      </c>
      <c r="G61" s="24">
        <f>IF(OR($C61="",$C61=0),"",$E61/$C61)</f>
        <v/>
      </c>
      <c r="H61" s="53">
        <f>IF($C61="","",IF($E61=0,"A receber",IF(ROUND($F61,2)=0,"Quitado",IF($F61&lt;0,"Recebido a mais","Parcial"))))</f>
        <v/>
      </c>
      <c r="I61" s="54" t="n">
        <v>1800</v>
      </c>
      <c r="J61" s="55" t="n">
        <v>45840</v>
      </c>
      <c r="K61" s="56" t="inlineStr">
        <is>
          <t>pix</t>
        </is>
      </c>
      <c r="L61" s="54" t="n"/>
      <c r="M61" s="55" t="n"/>
      <c r="N61" s="56" t="n"/>
      <c r="O61" s="54" t="n"/>
      <c r="P61" s="55" t="n"/>
      <c r="Q61" s="56" t="n"/>
      <c r="R61" s="54" t="n"/>
      <c r="S61" s="55" t="n"/>
      <c r="T61" s="56" t="n"/>
      <c r="U61" s="54" t="n"/>
      <c r="V61" s="55" t="n"/>
      <c r="W61" s="56" t="n"/>
      <c r="X61" s="57">
        <f>IF($C61="","",$F61)</f>
        <v/>
      </c>
      <c r="Y61" s="57">
        <f>IF($C61="","",$C61)</f>
        <v/>
      </c>
    </row>
    <row r="62" ht="17" customHeight="1">
      <c r="A62" s="49" t="inlineStr">
        <is>
          <t>Irving</t>
        </is>
      </c>
      <c r="B62" s="49" t="inlineStr">
        <is>
          <t>Apt</t>
        </is>
      </c>
      <c r="C62" s="50" t="n">
        <v>27150</v>
      </c>
      <c r="D62" s="49" t="n"/>
      <c r="E62" s="51">
        <f>IF($C62="","",ROUND(SUM(I62,L62,O62,R62,U62),2))</f>
        <v/>
      </c>
      <c r="F62" s="52">
        <f>IF($C62="","",ROUND($C62-$E62,2))</f>
        <v/>
      </c>
      <c r="G62" s="24">
        <f>IF(OR($C62="",$C62=0),"",$E62/$C62)</f>
        <v/>
      </c>
      <c r="H62" s="53">
        <f>IF($C62="","",IF($E62=0,"A receber",IF(ROUND($F62,2)=0,"Quitado",IF($F62&lt;0,"Recebido a mais","Parcial"))))</f>
        <v/>
      </c>
      <c r="I62" s="54" t="n">
        <v>10800</v>
      </c>
      <c r="J62" s="55" t="n">
        <v>45825</v>
      </c>
      <c r="K62" s="56" t="inlineStr">
        <is>
          <t>pix</t>
        </is>
      </c>
      <c r="L62" s="54" t="n">
        <v>4905</v>
      </c>
      <c r="M62" s="55" t="n">
        <v>45911</v>
      </c>
      <c r="N62" s="56" t="inlineStr">
        <is>
          <t>pix</t>
        </is>
      </c>
      <c r="O62" s="54" t="n">
        <v>11445</v>
      </c>
      <c r="P62" s="55" t="n"/>
      <c r="Q62" s="56" t="n"/>
      <c r="R62" s="54" t="n"/>
      <c r="S62" s="55" t="n"/>
      <c r="T62" s="56" t="n"/>
      <c r="U62" s="54" t="n"/>
      <c r="V62" s="55" t="n"/>
      <c r="W62" s="56" t="n"/>
      <c r="X62" s="57">
        <f>IF($C62="","",$F62)</f>
        <v/>
      </c>
      <c r="Y62" s="57">
        <f>IF($C62="","",$C62)</f>
        <v/>
      </c>
    </row>
    <row r="63" ht="17" customHeight="1">
      <c r="A63" s="49" t="inlineStr">
        <is>
          <t>Valeska</t>
        </is>
      </c>
      <c r="B63" s="49" t="inlineStr">
        <is>
          <t>Adicionais</t>
        </is>
      </c>
      <c r="C63" s="50" t="n">
        <v>1850</v>
      </c>
      <c r="D63" s="49" t="n"/>
      <c r="E63" s="51">
        <f>IF($C63="","",ROUND(SUM(I63,L63,O63,R63,U63),2))</f>
        <v/>
      </c>
      <c r="F63" s="52">
        <f>IF($C63="","",ROUND($C63-$E63,2))</f>
        <v/>
      </c>
      <c r="G63" s="24">
        <f>IF(OR($C63="",$C63=0),"",$E63/$C63)</f>
        <v/>
      </c>
      <c r="H63" s="53">
        <f>IF($C63="","",IF($E63=0,"A receber",IF(ROUND($F63,2)=0,"Quitado",IF($F63&lt;0,"Recebido a mais","Parcial"))))</f>
        <v/>
      </c>
      <c r="I63" s="54" t="n">
        <v>1850</v>
      </c>
      <c r="J63" s="55" t="n"/>
      <c r="K63" s="56" t="n"/>
      <c r="L63" s="54" t="n"/>
      <c r="M63" s="55" t="n"/>
      <c r="N63" s="56" t="n"/>
      <c r="O63" s="54" t="n"/>
      <c r="P63" s="55" t="n"/>
      <c r="Q63" s="56" t="n"/>
      <c r="R63" s="54" t="n"/>
      <c r="S63" s="55" t="n"/>
      <c r="T63" s="56" t="n"/>
      <c r="U63" s="54" t="n"/>
      <c r="V63" s="55" t="n"/>
      <c r="W63" s="56" t="n"/>
      <c r="X63" s="57">
        <f>IF($C63="","",$F63)</f>
        <v/>
      </c>
      <c r="Y63" s="57">
        <f>IF($C63="","",$C63)</f>
        <v/>
      </c>
    </row>
    <row r="64" ht="17" customHeight="1">
      <c r="A64" s="49" t="inlineStr">
        <is>
          <t>Netinho</t>
        </is>
      </c>
      <c r="B64" s="49" t="inlineStr">
        <is>
          <t>Cozinha</t>
        </is>
      </c>
      <c r="C64" s="50" t="n">
        <v>4700</v>
      </c>
      <c r="D64" s="49" t="n"/>
      <c r="E64" s="51">
        <f>IF($C64="","",ROUND(SUM(I64,L64,O64,R64,U64),2))</f>
        <v/>
      </c>
      <c r="F64" s="52">
        <f>IF($C64="","",ROUND($C64-$E64,2))</f>
        <v/>
      </c>
      <c r="G64" s="24">
        <f>IF(OR($C64="",$C64=0),"",$E64/$C64)</f>
        <v/>
      </c>
      <c r="H64" s="53">
        <f>IF($C64="","",IF($E64=0,"A receber",IF(ROUND($F64,2)=0,"Quitado",IF($F64&lt;0,"Recebido a mais","Parcial"))))</f>
        <v/>
      </c>
      <c r="I64" s="54" t="n">
        <v>1900</v>
      </c>
      <c r="J64" s="55" t="n"/>
      <c r="K64" s="56" t="inlineStr">
        <is>
          <t>Carretos</t>
        </is>
      </c>
      <c r="L64" s="54" t="n">
        <v>1500</v>
      </c>
      <c r="M64" s="55" t="n"/>
      <c r="N64" s="56" t="n"/>
      <c r="O64" s="54" t="n">
        <v>1300</v>
      </c>
      <c r="P64" s="55" t="n"/>
      <c r="Q64" s="56" t="n"/>
      <c r="R64" s="54" t="n"/>
      <c r="S64" s="55" t="n"/>
      <c r="T64" s="56" t="n"/>
      <c r="U64" s="54" t="n"/>
      <c r="V64" s="55" t="n"/>
      <c r="W64" s="56" t="n"/>
      <c r="X64" s="57">
        <f>IF($C64="","",$F64)</f>
        <v/>
      </c>
      <c r="Y64" s="57">
        <f>IF($C64="","",$C64)</f>
        <v/>
      </c>
    </row>
    <row r="65" ht="17" customHeight="1">
      <c r="A65" s="49" t="inlineStr">
        <is>
          <t>Claudia - Dubal arq.</t>
        </is>
      </c>
      <c r="B65" s="49" t="inlineStr">
        <is>
          <t>Lavanderia + diversos</t>
        </is>
      </c>
      <c r="C65" s="50" t="n">
        <v>18540</v>
      </c>
      <c r="D65" s="49" t="n"/>
      <c r="E65" s="51">
        <f>IF($C65="","",ROUND(SUM(I65,L65,O65,R65,U65),2))</f>
        <v/>
      </c>
      <c r="F65" s="52">
        <f>IF($C65="","",ROUND($C65-$E65,2))</f>
        <v/>
      </c>
      <c r="G65" s="24">
        <f>IF(OR($C65="",$C65=0),"",$E65/$C65)</f>
        <v/>
      </c>
      <c r="H65" s="53">
        <f>IF($C65="","",IF($E65=0,"A receber",IF(ROUND($F65,2)=0,"Quitado",IF($F65&lt;0,"Recebido a mais","Parcial"))))</f>
        <v/>
      </c>
      <c r="I65" s="54" t="n">
        <v>9270</v>
      </c>
      <c r="J65" s="55" t="n">
        <v>45826</v>
      </c>
      <c r="K65" s="56" t="inlineStr">
        <is>
          <t>pix</t>
        </is>
      </c>
      <c r="L65" s="54" t="n">
        <v>9270</v>
      </c>
      <c r="M65" s="55" t="n"/>
      <c r="N65" s="56" t="n"/>
      <c r="O65" s="54" t="n"/>
      <c r="P65" s="55" t="n"/>
      <c r="Q65" s="56" t="n"/>
      <c r="R65" s="54" t="n"/>
      <c r="S65" s="55" t="n"/>
      <c r="T65" s="56" t="n"/>
      <c r="U65" s="54" t="n"/>
      <c r="V65" s="55" t="n"/>
      <c r="W65" s="56" t="n"/>
      <c r="X65" s="57">
        <f>IF($C65="","",$F65)</f>
        <v/>
      </c>
      <c r="Y65" s="57">
        <f>IF($C65="","",$C65)</f>
        <v/>
      </c>
    </row>
    <row r="66" ht="17" customHeight="1">
      <c r="A66" s="49" t="n"/>
      <c r="B66" s="49" t="n"/>
      <c r="C66" s="50" t="n"/>
      <c r="D66" s="49" t="n"/>
      <c r="E66" s="51">
        <f>IF($C66="","",ROUND(SUM(I66,L66,O66,R66,U66),2))</f>
        <v/>
      </c>
      <c r="F66" s="52">
        <f>IF($C66="","",ROUND($C66-$E66,2))</f>
        <v/>
      </c>
      <c r="G66" s="24">
        <f>IF(OR($C66="",$C66=0),"",$E66/$C66)</f>
        <v/>
      </c>
      <c r="H66" s="53">
        <f>IF($C66="","",IF($E66=0,"A receber",IF(ROUND($F66,2)=0,"Quitado",IF($F66&lt;0,"Recebido a mais","Parcial"))))</f>
        <v/>
      </c>
      <c r="I66" s="54" t="n"/>
      <c r="J66" s="55" t="n"/>
      <c r="K66" s="56" t="n"/>
      <c r="L66" s="54" t="n"/>
      <c r="M66" s="55" t="n"/>
      <c r="N66" s="56" t="n"/>
      <c r="O66" s="54" t="n"/>
      <c r="P66" s="55" t="n"/>
      <c r="Q66" s="56" t="n"/>
      <c r="R66" s="54" t="n"/>
      <c r="S66" s="55" t="n"/>
      <c r="T66" s="56" t="n"/>
      <c r="U66" s="54" t="n"/>
      <c r="V66" s="55" t="n"/>
      <c r="W66" s="56" t="n"/>
      <c r="X66" s="57">
        <f>IF($C66="","",$F66)</f>
        <v/>
      </c>
      <c r="Y66" s="57">
        <f>IF($C66="","",$C66)</f>
        <v/>
      </c>
    </row>
    <row r="67" ht="17" customHeight="1">
      <c r="A67" s="49" t="n"/>
      <c r="B67" s="49" t="n"/>
      <c r="C67" s="50" t="n"/>
      <c r="D67" s="49" t="n"/>
      <c r="E67" s="51">
        <f>IF($C67="","",ROUND(SUM(I67,L67,O67,R67,U67),2))</f>
        <v/>
      </c>
      <c r="F67" s="52">
        <f>IF($C67="","",ROUND($C67-$E67,2))</f>
        <v/>
      </c>
      <c r="G67" s="24">
        <f>IF(OR($C67="",$C67=0),"",$E67/$C67)</f>
        <v/>
      </c>
      <c r="H67" s="53">
        <f>IF($C67="","",IF($E67=0,"A receber",IF(ROUND($F67,2)=0,"Quitado",IF($F67&lt;0,"Recebido a mais","Parcial"))))</f>
        <v/>
      </c>
      <c r="I67" s="54" t="n"/>
      <c r="J67" s="55" t="n"/>
      <c r="K67" s="56" t="n"/>
      <c r="L67" s="54" t="n"/>
      <c r="M67" s="55" t="n"/>
      <c r="N67" s="56" t="n"/>
      <c r="O67" s="54" t="n"/>
      <c r="P67" s="55" t="n"/>
      <c r="Q67" s="56" t="n"/>
      <c r="R67" s="54" t="n"/>
      <c r="S67" s="55" t="n"/>
      <c r="T67" s="56" t="n"/>
      <c r="U67" s="54" t="n"/>
      <c r="V67" s="55" t="n"/>
      <c r="W67" s="56" t="n"/>
      <c r="X67" s="57">
        <f>IF($C67="","",$F67)</f>
        <v/>
      </c>
      <c r="Y67" s="57">
        <f>IF($C67="","",$C67)</f>
        <v/>
      </c>
    </row>
    <row r="68" ht="6" customHeight="1"/>
    <row r="69" ht="20" customHeight="1">
      <c r="A69" s="33" t="inlineStr">
        <is>
          <t>Julho</t>
        </is>
      </c>
      <c r="B69" s="45" t="n"/>
      <c r="C69" s="46">
        <f>SUM(C70:C76)</f>
        <v/>
      </c>
      <c r="D69" s="45" t="n"/>
      <c r="E69" s="46">
        <f>SUM(E70:E76)</f>
        <v/>
      </c>
      <c r="F69" s="46">
        <f>SUM(F70:F76)</f>
        <v/>
      </c>
      <c r="G69" s="47">
        <f>IF(OR(C69="",C69=0),"",E69/C69)</f>
        <v/>
      </c>
      <c r="H69" s="48">
        <f>COUNT(C70:C76)&amp;" projeto(s)"</f>
        <v/>
      </c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</row>
    <row r="70" ht="17" customHeight="1">
      <c r="A70" s="49" t="inlineStr">
        <is>
          <t>Tom Souto</t>
        </is>
      </c>
      <c r="B70" s="49" t="inlineStr">
        <is>
          <t>Stand oiapoque</t>
        </is>
      </c>
      <c r="C70" s="50" t="n">
        <v>8750</v>
      </c>
      <c r="D70" s="49" t="inlineStr">
        <is>
          <t>50% + 50%</t>
        </is>
      </c>
      <c r="E70" s="51">
        <f>IF($C70="","",ROUND(SUM(I70,L70,O70,R70,U70),2))</f>
        <v/>
      </c>
      <c r="F70" s="52">
        <f>IF($C70="","",ROUND($C70-$E70,2))</f>
        <v/>
      </c>
      <c r="G70" s="24">
        <f>IF(OR($C70="",$C70=0),"",$E70/$C70)</f>
        <v/>
      </c>
      <c r="H70" s="53">
        <f>IF($C70="","",IF($E70=0,"A receber",IF(ROUND($F70,2)=0,"Quitado",IF($F70&lt;0,"Recebido a mais","Parcial"))))</f>
        <v/>
      </c>
      <c r="I70" s="54" t="n">
        <v>4050</v>
      </c>
      <c r="J70" s="55" t="n">
        <v>45835</v>
      </c>
      <c r="K70" s="56" t="inlineStr">
        <is>
          <t>pix</t>
        </is>
      </c>
      <c r="L70" s="54" t="n">
        <v>4700</v>
      </c>
      <c r="M70" s="55" t="n">
        <v>45863</v>
      </c>
      <c r="N70" s="56" t="inlineStr">
        <is>
          <t>pix</t>
        </is>
      </c>
      <c r="O70" s="54" t="n"/>
      <c r="P70" s="55" t="n"/>
      <c r="Q70" s="56" t="n"/>
      <c r="R70" s="54" t="n"/>
      <c r="S70" s="55" t="n"/>
      <c r="T70" s="56" t="n"/>
      <c r="U70" s="54" t="n"/>
      <c r="V70" s="55" t="n"/>
      <c r="W70" s="56" t="n"/>
      <c r="X70" s="57">
        <f>IF($C70="","",$F70)</f>
        <v/>
      </c>
      <c r="Y70" s="57">
        <f>IF($C70="","",$C70)</f>
        <v/>
      </c>
    </row>
    <row r="71" ht="17" customHeight="1">
      <c r="A71" s="49" t="inlineStr">
        <is>
          <t>Debora</t>
        </is>
      </c>
      <c r="B71" s="49" t="inlineStr">
        <is>
          <t>Reforma apt</t>
        </is>
      </c>
      <c r="C71" s="50" t="n">
        <v>26350</v>
      </c>
      <c r="D71" s="49" t="inlineStr">
        <is>
          <t>50% + cartao ate 10 vezes</t>
        </is>
      </c>
      <c r="E71" s="51">
        <f>IF($C71="","",ROUND(SUM(I71,L71,O71,R71,U71),2))</f>
        <v/>
      </c>
      <c r="F71" s="52">
        <f>IF($C71="","",ROUND($C71-$E71,2))</f>
        <v/>
      </c>
      <c r="G71" s="24">
        <f>IF(OR($C71="",$C71=0),"",$E71/$C71)</f>
        <v/>
      </c>
      <c r="H71" s="53">
        <f>IF($C71="","",IF($E71=0,"A receber",IF(ROUND($F71,2)=0,"Quitado",IF($F71&lt;0,"Recebido a mais","Parcial"))))</f>
        <v/>
      </c>
      <c r="I71" s="54" t="n">
        <v>13175</v>
      </c>
      <c r="J71" s="55" t="n">
        <v>45862</v>
      </c>
      <c r="K71" s="56" t="inlineStr">
        <is>
          <t>pix</t>
        </is>
      </c>
      <c r="L71" s="54" t="n">
        <v>13175</v>
      </c>
      <c r="M71" s="55" t="n"/>
      <c r="N71" s="56" t="inlineStr">
        <is>
          <t>pix</t>
        </is>
      </c>
      <c r="O71" s="54" t="n"/>
      <c r="P71" s="55" t="n"/>
      <c r="Q71" s="56" t="n"/>
      <c r="R71" s="54" t="n"/>
      <c r="S71" s="55" t="n"/>
      <c r="T71" s="56" t="n"/>
      <c r="U71" s="54" t="n"/>
      <c r="V71" s="55" t="n"/>
      <c r="W71" s="56" t="n"/>
      <c r="X71" s="57">
        <f>IF($C71="","",$F71)</f>
        <v/>
      </c>
      <c r="Y71" s="57">
        <f>IF($C71="","",$C71)</f>
        <v/>
      </c>
    </row>
    <row r="72" ht="17" customHeight="1">
      <c r="A72" s="49" t="inlineStr">
        <is>
          <t>Vanual</t>
        </is>
      </c>
      <c r="B72" s="49" t="inlineStr">
        <is>
          <t>Casa completa</t>
        </is>
      </c>
      <c r="C72" s="50" t="n">
        <v>138580</v>
      </c>
      <c r="D72" s="49" t="inlineStr">
        <is>
          <t>Permuta + parcelas</t>
        </is>
      </c>
      <c r="E72" s="51">
        <f>IF($C72="","",ROUND(SUM(I72,L72,O72,R72,U72),2))</f>
        <v/>
      </c>
      <c r="F72" s="52">
        <f>IF($C72="","",ROUND($C72-$E72,2))</f>
        <v/>
      </c>
      <c r="G72" s="24">
        <f>IF(OR($C72="",$C72=0),"",$E72/$C72)</f>
        <v/>
      </c>
      <c r="H72" s="53">
        <f>IF($C72="","",IF($E72=0,"A receber",IF(ROUND($F72,2)=0,"Quitado",IF($F72&lt;0,"Recebido a mais","Parcial"))))</f>
        <v/>
      </c>
      <c r="I72" s="54" t="n">
        <v>41600</v>
      </c>
      <c r="J72" s="55" t="n">
        <v>45859</v>
      </c>
      <c r="K72" s="56" t="inlineStr">
        <is>
          <t>permuta</t>
        </is>
      </c>
      <c r="L72" s="54" t="n">
        <v>38000</v>
      </c>
      <c r="M72" s="55" t="n">
        <v>45859</v>
      </c>
      <c r="N72" s="56" t="inlineStr">
        <is>
          <t>pix</t>
        </is>
      </c>
      <c r="O72" s="54" t="n">
        <v>19660</v>
      </c>
      <c r="P72" s="55" t="n">
        <v>45952</v>
      </c>
      <c r="Q72" s="56" t="n"/>
      <c r="R72" s="54" t="n">
        <v>39320</v>
      </c>
      <c r="S72" s="55" t="n"/>
      <c r="T72" s="56" t="inlineStr">
        <is>
          <t>pix</t>
        </is>
      </c>
      <c r="U72" s="54" t="n"/>
      <c r="V72" s="55" t="n"/>
      <c r="W72" s="56" t="n"/>
      <c r="X72" s="57">
        <f>IF($C72="","",$F72)</f>
        <v/>
      </c>
      <c r="Y72" s="57">
        <f>IF($C72="","",$C72)</f>
        <v/>
      </c>
    </row>
    <row r="73" ht="17" customHeight="1">
      <c r="A73" s="49" t="inlineStr">
        <is>
          <t>Sirley</t>
        </is>
      </c>
      <c r="B73" s="49" t="inlineStr">
        <is>
          <t>Escritorio</t>
        </is>
      </c>
      <c r="C73" s="50" t="n">
        <v>7250</v>
      </c>
      <c r="D73" s="49" t="inlineStr">
        <is>
          <t>50%+50%</t>
        </is>
      </c>
      <c r="E73" s="51">
        <f>IF($C73="","",ROUND(SUM(I73,L73,O73,R73,U73),2))</f>
        <v/>
      </c>
      <c r="F73" s="52">
        <f>IF($C73="","",ROUND($C73-$E73,2))</f>
        <v/>
      </c>
      <c r="G73" s="24">
        <f>IF(OR($C73="",$C73=0),"",$E73/$C73)</f>
        <v/>
      </c>
      <c r="H73" s="53">
        <f>IF($C73="","",IF($E73=0,"A receber",IF(ROUND($F73,2)=0,"Quitado",IF($F73&lt;0,"Recebido a mais","Parcial"))))</f>
        <v/>
      </c>
      <c r="I73" s="54" t="n">
        <v>3750</v>
      </c>
      <c r="J73" s="55" t="n"/>
      <c r="K73" s="56" t="n"/>
      <c r="L73" s="54" t="n">
        <v>3500</v>
      </c>
      <c r="M73" s="55" t="n">
        <v>45896</v>
      </c>
      <c r="N73" s="56" t="inlineStr">
        <is>
          <t>pix</t>
        </is>
      </c>
      <c r="O73" s="54" t="n"/>
      <c r="P73" s="55" t="n"/>
      <c r="Q73" s="56" t="n"/>
      <c r="R73" s="54" t="n"/>
      <c r="S73" s="55" t="n"/>
      <c r="T73" s="56" t="n"/>
      <c r="U73" s="54" t="n"/>
      <c r="V73" s="55" t="n"/>
      <c r="W73" s="56" t="n"/>
      <c r="X73" s="57">
        <f>IF($C73="","",$F73)</f>
        <v/>
      </c>
      <c r="Y73" s="57">
        <f>IF($C73="","",$C73)</f>
        <v/>
      </c>
    </row>
    <row r="74" ht="17" customHeight="1">
      <c r="A74" s="49" t="inlineStr">
        <is>
          <t>Cristina</t>
        </is>
      </c>
      <c r="B74" s="49" t="inlineStr">
        <is>
          <t>Banho Casa</t>
        </is>
      </c>
      <c r="C74" s="50" t="n">
        <v>1450</v>
      </c>
      <c r="D74" s="49" t="inlineStr">
        <is>
          <t>50% + 50%</t>
        </is>
      </c>
      <c r="E74" s="51">
        <f>IF($C74="","",ROUND(SUM(I74,L74,O74,R74,U74),2))</f>
        <v/>
      </c>
      <c r="F74" s="52">
        <f>IF($C74="","",ROUND($C74-$E74,2))</f>
        <v/>
      </c>
      <c r="G74" s="24">
        <f>IF(OR($C74="",$C74=0),"",$E74/$C74)</f>
        <v/>
      </c>
      <c r="H74" s="53">
        <f>IF($C74="","",IF($E74=0,"A receber",IF(ROUND($F74,2)=0,"Quitado",IF($F74&lt;0,"Recebido a mais","Parcial"))))</f>
        <v/>
      </c>
      <c r="I74" s="54" t="n">
        <v>725</v>
      </c>
      <c r="J74" s="55" t="n">
        <v>45852</v>
      </c>
      <c r="K74" s="56" t="inlineStr">
        <is>
          <t>pix</t>
        </is>
      </c>
      <c r="L74" s="54" t="n">
        <v>725</v>
      </c>
      <c r="M74" s="55" t="n"/>
      <c r="N74" s="56" t="n"/>
      <c r="O74" s="54" t="n"/>
      <c r="P74" s="55" t="n"/>
      <c r="Q74" s="56" t="n"/>
      <c r="R74" s="54" t="n"/>
      <c r="S74" s="55" t="n"/>
      <c r="T74" s="56" t="n"/>
      <c r="U74" s="54" t="n"/>
      <c r="V74" s="55" t="n"/>
      <c r="W74" s="56" t="n"/>
      <c r="X74" s="57">
        <f>IF($C74="","",$F74)</f>
        <v/>
      </c>
      <c r="Y74" s="57">
        <f>IF($C74="","",$C74)</f>
        <v/>
      </c>
    </row>
    <row r="75" ht="17" customHeight="1">
      <c r="A75" s="49" t="n"/>
      <c r="B75" s="49" t="n"/>
      <c r="C75" s="50" t="n"/>
      <c r="D75" s="49" t="n"/>
      <c r="E75" s="51">
        <f>IF($C75="","",ROUND(SUM(I75,L75,O75,R75,U75),2))</f>
        <v/>
      </c>
      <c r="F75" s="52">
        <f>IF($C75="","",ROUND($C75-$E75,2))</f>
        <v/>
      </c>
      <c r="G75" s="24">
        <f>IF(OR($C75="",$C75=0),"",$E75/$C75)</f>
        <v/>
      </c>
      <c r="H75" s="53">
        <f>IF($C75="","",IF($E75=0,"A receber",IF(ROUND($F75,2)=0,"Quitado",IF($F75&lt;0,"Recebido a mais","Parcial"))))</f>
        <v/>
      </c>
      <c r="I75" s="54" t="n"/>
      <c r="J75" s="55" t="n"/>
      <c r="K75" s="56" t="n"/>
      <c r="L75" s="54" t="n"/>
      <c r="M75" s="55" t="n"/>
      <c r="N75" s="56" t="n"/>
      <c r="O75" s="54" t="n"/>
      <c r="P75" s="55" t="n"/>
      <c r="Q75" s="56" t="n"/>
      <c r="R75" s="54" t="n"/>
      <c r="S75" s="55" t="n"/>
      <c r="T75" s="56" t="n"/>
      <c r="U75" s="54" t="n"/>
      <c r="V75" s="55" t="n"/>
      <c r="W75" s="56" t="n"/>
      <c r="X75" s="57">
        <f>IF($C75="","",$F75)</f>
        <v/>
      </c>
      <c r="Y75" s="57">
        <f>IF($C75="","",$C75)</f>
        <v/>
      </c>
    </row>
    <row r="76" ht="17" customHeight="1">
      <c r="A76" s="49" t="n"/>
      <c r="B76" s="49" t="n"/>
      <c r="C76" s="50" t="n"/>
      <c r="D76" s="49" t="n"/>
      <c r="E76" s="51">
        <f>IF($C76="","",ROUND(SUM(I76,L76,O76,R76,U76),2))</f>
        <v/>
      </c>
      <c r="F76" s="52">
        <f>IF($C76="","",ROUND($C76-$E76,2))</f>
        <v/>
      </c>
      <c r="G76" s="24">
        <f>IF(OR($C76="",$C76=0),"",$E76/$C76)</f>
        <v/>
      </c>
      <c r="H76" s="53">
        <f>IF($C76="","",IF($E76=0,"A receber",IF(ROUND($F76,2)=0,"Quitado",IF($F76&lt;0,"Recebido a mais","Parcial"))))</f>
        <v/>
      </c>
      <c r="I76" s="54" t="n"/>
      <c r="J76" s="55" t="n"/>
      <c r="K76" s="56" t="n"/>
      <c r="L76" s="54" t="n"/>
      <c r="M76" s="55" t="n"/>
      <c r="N76" s="56" t="n"/>
      <c r="O76" s="54" t="n"/>
      <c r="P76" s="55" t="n"/>
      <c r="Q76" s="56" t="n"/>
      <c r="R76" s="54" t="n"/>
      <c r="S76" s="55" t="n"/>
      <c r="T76" s="56" t="n"/>
      <c r="U76" s="54" t="n"/>
      <c r="V76" s="55" t="n"/>
      <c r="W76" s="56" t="n"/>
      <c r="X76" s="57">
        <f>IF($C76="","",$F76)</f>
        <v/>
      </c>
      <c r="Y76" s="57">
        <f>IF($C76="","",$C76)</f>
        <v/>
      </c>
    </row>
    <row r="77" ht="6" customHeight="1"/>
    <row r="78" ht="20" customHeight="1">
      <c r="A78" s="33" t="inlineStr">
        <is>
          <t>Agosto</t>
        </is>
      </c>
      <c r="B78" s="45" t="n"/>
      <c r="C78" s="46">
        <f>SUM(C79:C81)</f>
        <v/>
      </c>
      <c r="D78" s="45" t="n"/>
      <c r="E78" s="46">
        <f>SUM(E79:E81)</f>
        <v/>
      </c>
      <c r="F78" s="46">
        <f>SUM(F79:F81)</f>
        <v/>
      </c>
      <c r="G78" s="47">
        <f>IF(OR(C78="",C78=0),"",E78/C78)</f>
        <v/>
      </c>
      <c r="H78" s="48">
        <f>COUNT(C79:C81)&amp;" projeto(s)"</f>
        <v/>
      </c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</row>
    <row r="79" ht="17" customHeight="1">
      <c r="A79" s="49" t="inlineStr">
        <is>
          <t>Reginaldo Sigma</t>
        </is>
      </c>
      <c r="B79" s="49" t="inlineStr">
        <is>
          <t>Area Gourmet e Lavanderia</t>
        </is>
      </c>
      <c r="C79" s="50" t="n">
        <v>15250</v>
      </c>
      <c r="D79" s="49" t="inlineStr">
        <is>
          <t>60% + 40%</t>
        </is>
      </c>
      <c r="E79" s="51">
        <f>IF($C79="","",ROUND(SUM(I79,L79,O79,R79,U79),2))</f>
        <v/>
      </c>
      <c r="F79" s="52">
        <f>IF($C79="","",ROUND($C79-$E79,2))</f>
        <v/>
      </c>
      <c r="G79" s="24">
        <f>IF(OR($C79="",$C79=0),"",$E79/$C79)</f>
        <v/>
      </c>
      <c r="H79" s="53">
        <f>IF($C79="","",IF($E79=0,"A receber",IF(ROUND($F79,2)=0,"Quitado",IF($F79&lt;0,"Recebido a mais","Parcial"))))</f>
        <v/>
      </c>
      <c r="I79" s="54" t="n">
        <v>9150</v>
      </c>
      <c r="J79" s="55" t="n">
        <v>45895</v>
      </c>
      <c r="K79" s="56" t="inlineStr">
        <is>
          <t>Cartao</t>
        </is>
      </c>
      <c r="L79" s="54" t="n">
        <v>6100</v>
      </c>
      <c r="M79" s="55" t="n">
        <v>45945</v>
      </c>
      <c r="N79" s="56" t="n"/>
      <c r="O79" s="54" t="n"/>
      <c r="P79" s="55" t="n"/>
      <c r="Q79" s="56" t="n"/>
      <c r="R79" s="54" t="n"/>
      <c r="S79" s="55" t="n"/>
      <c r="T79" s="56" t="n"/>
      <c r="U79" s="54" t="n"/>
      <c r="V79" s="55" t="n"/>
      <c r="W79" s="56" t="n"/>
      <c r="X79" s="57">
        <f>IF($C79="","",$F79)</f>
        <v/>
      </c>
      <c r="Y79" s="57">
        <f>IF($C79="","",$C79)</f>
        <v/>
      </c>
    </row>
    <row r="80" ht="17" customHeight="1">
      <c r="A80" s="49" t="n"/>
      <c r="B80" s="49" t="n"/>
      <c r="C80" s="50" t="n"/>
      <c r="D80" s="49" t="n"/>
      <c r="E80" s="51">
        <f>IF($C80="","",ROUND(SUM(I80,L80,O80,R80,U80),2))</f>
        <v/>
      </c>
      <c r="F80" s="52">
        <f>IF($C80="","",ROUND($C80-$E80,2))</f>
        <v/>
      </c>
      <c r="G80" s="24">
        <f>IF(OR($C80="",$C80=0),"",$E80/$C80)</f>
        <v/>
      </c>
      <c r="H80" s="53">
        <f>IF($C80="","",IF($E80=0,"A receber",IF(ROUND($F80,2)=0,"Quitado",IF($F80&lt;0,"Recebido a mais","Parcial"))))</f>
        <v/>
      </c>
      <c r="I80" s="54" t="n"/>
      <c r="J80" s="55" t="n"/>
      <c r="K80" s="56" t="n"/>
      <c r="L80" s="54" t="n"/>
      <c r="M80" s="55" t="n"/>
      <c r="N80" s="56" t="n"/>
      <c r="O80" s="54" t="n"/>
      <c r="P80" s="55" t="n"/>
      <c r="Q80" s="56" t="n"/>
      <c r="R80" s="54" t="n"/>
      <c r="S80" s="55" t="n"/>
      <c r="T80" s="56" t="n"/>
      <c r="U80" s="54" t="n"/>
      <c r="V80" s="55" t="n"/>
      <c r="W80" s="56" t="n"/>
      <c r="X80" s="57">
        <f>IF($C80="","",$F80)</f>
        <v/>
      </c>
      <c r="Y80" s="57">
        <f>IF($C80="","",$C80)</f>
        <v/>
      </c>
    </row>
    <row r="81" ht="17" customHeight="1">
      <c r="A81" s="49" t="n"/>
      <c r="B81" s="49" t="n"/>
      <c r="C81" s="50" t="n"/>
      <c r="D81" s="49" t="n"/>
      <c r="E81" s="51">
        <f>IF($C81="","",ROUND(SUM(I81,L81,O81,R81,U81),2))</f>
        <v/>
      </c>
      <c r="F81" s="52">
        <f>IF($C81="","",ROUND($C81-$E81,2))</f>
        <v/>
      </c>
      <c r="G81" s="24">
        <f>IF(OR($C81="",$C81=0),"",$E81/$C81)</f>
        <v/>
      </c>
      <c r="H81" s="53">
        <f>IF($C81="","",IF($E81=0,"A receber",IF(ROUND($F81,2)=0,"Quitado",IF($F81&lt;0,"Recebido a mais","Parcial"))))</f>
        <v/>
      </c>
      <c r="I81" s="54" t="n"/>
      <c r="J81" s="55" t="n"/>
      <c r="K81" s="56" t="n"/>
      <c r="L81" s="54" t="n"/>
      <c r="M81" s="55" t="n"/>
      <c r="N81" s="56" t="n"/>
      <c r="O81" s="54" t="n"/>
      <c r="P81" s="55" t="n"/>
      <c r="Q81" s="56" t="n"/>
      <c r="R81" s="54" t="n"/>
      <c r="S81" s="55" t="n"/>
      <c r="T81" s="56" t="n"/>
      <c r="U81" s="54" t="n"/>
      <c r="V81" s="55" t="n"/>
      <c r="W81" s="56" t="n"/>
      <c r="X81" s="57">
        <f>IF($C81="","",$F81)</f>
        <v/>
      </c>
      <c r="Y81" s="57">
        <f>IF($C81="","",$C81)</f>
        <v/>
      </c>
    </row>
    <row r="82" ht="6" customHeight="1"/>
    <row r="83" ht="20" customHeight="1">
      <c r="A83" s="33" t="inlineStr">
        <is>
          <t>Setembro</t>
        </is>
      </c>
      <c r="B83" s="45" t="n"/>
      <c r="C83" s="46">
        <f>SUM(C84:C93)</f>
        <v/>
      </c>
      <c r="D83" s="45" t="n"/>
      <c r="E83" s="46">
        <f>SUM(E84:E93)</f>
        <v/>
      </c>
      <c r="F83" s="46">
        <f>SUM(F84:F93)</f>
        <v/>
      </c>
      <c r="G83" s="47">
        <f>IF(OR(C83="",C83=0),"",E83/C83)</f>
        <v/>
      </c>
      <c r="H83" s="48">
        <f>COUNT(C84:C93)&amp;" projeto(s)"</f>
        <v/>
      </c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</row>
    <row r="84" ht="17" customHeight="1">
      <c r="A84" s="49" t="inlineStr">
        <is>
          <t>Rafael Monte Negro</t>
        </is>
      </c>
      <c r="B84" s="49" t="inlineStr">
        <is>
          <t>Valor fechado (60 mil)</t>
        </is>
      </c>
      <c r="C84" s="50" t="n">
        <v>240000</v>
      </c>
      <c r="D84" s="49" t="inlineStr">
        <is>
          <t>ficou pendente 13.000</t>
        </is>
      </c>
      <c r="E84" s="51">
        <f>IF($C84="","",ROUND(SUM(I84,L84,O84,R84,U84),2))</f>
        <v/>
      </c>
      <c r="F84" s="52">
        <f>IF($C84="","",ROUND($C84-$E84,2))</f>
        <v/>
      </c>
      <c r="G84" s="24">
        <f>IF(OR($C84="",$C84=0),"",$E84/$C84)</f>
        <v/>
      </c>
      <c r="H84" s="53">
        <f>IF($C84="","",IF($E84=0,"A receber",IF(ROUND($F84,2)=0,"Quitado",IF($F84&lt;0,"Recebido a mais","Parcial"))))</f>
        <v/>
      </c>
      <c r="I84" s="54" t="n">
        <v>180000</v>
      </c>
      <c r="J84" s="55" t="n"/>
      <c r="K84" s="56" t="n"/>
      <c r="L84" s="54" t="n">
        <v>10000</v>
      </c>
      <c r="M84" s="55" t="n">
        <v>45961</v>
      </c>
      <c r="N84" s="56" t="inlineStr">
        <is>
          <t>pix</t>
        </is>
      </c>
      <c r="O84" s="54" t="n">
        <v>10000</v>
      </c>
      <c r="P84" s="55" t="n"/>
      <c r="Q84" s="56" t="n"/>
      <c r="R84" s="54" t="n">
        <v>5000</v>
      </c>
      <c r="S84" s="55" t="n"/>
      <c r="T84" s="56" t="n"/>
      <c r="U84" s="54" t="n">
        <v>10000</v>
      </c>
      <c r="V84" s="55" t="n"/>
      <c r="W84" s="56" t="n"/>
      <c r="X84" s="57">
        <f>IF($C84="","",$F84)</f>
        <v/>
      </c>
      <c r="Y84" s="57">
        <f>IF($C84="","",$C84)</f>
        <v/>
      </c>
    </row>
    <row r="85" ht="17" customHeight="1">
      <c r="A85" s="49" t="inlineStr">
        <is>
          <t>Reginaldo Sigma</t>
        </is>
      </c>
      <c r="B85" s="49" t="inlineStr">
        <is>
          <t>Cozinha e sala</t>
        </is>
      </c>
      <c r="C85" s="50" t="n">
        <v>31500</v>
      </c>
      <c r="D85" s="49" t="n"/>
      <c r="E85" s="51">
        <f>IF($C85="","",ROUND(SUM(I85,L85,O85,R85,U85),2))</f>
        <v/>
      </c>
      <c r="F85" s="52">
        <f>IF($C85="","",ROUND($C85-$E85,2))</f>
        <v/>
      </c>
      <c r="G85" s="24">
        <f>IF(OR($C85="",$C85=0),"",$E85/$C85)</f>
        <v/>
      </c>
      <c r="H85" s="53">
        <f>IF($C85="","",IF($E85=0,"A receber",IF(ROUND($F85,2)=0,"Quitado",IF($F85&lt;0,"Recebido a mais","Parcial"))))</f>
        <v/>
      </c>
      <c r="I85" s="54" t="n">
        <v>16500</v>
      </c>
      <c r="J85" s="55" t="n"/>
      <c r="K85" s="56" t="inlineStr">
        <is>
          <t>cartao</t>
        </is>
      </c>
      <c r="L85" s="54" t="n">
        <v>10000</v>
      </c>
      <c r="M85" s="55" t="n"/>
      <c r="N85" s="56" t="inlineStr">
        <is>
          <t>cartao</t>
        </is>
      </c>
      <c r="O85" s="54" t="n">
        <v>5000</v>
      </c>
      <c r="P85" s="55" t="n">
        <v>46034</v>
      </c>
      <c r="Q85" s="56" t="inlineStr">
        <is>
          <t>cartao</t>
        </is>
      </c>
      <c r="R85" s="54" t="n"/>
      <c r="S85" s="55" t="n"/>
      <c r="T85" s="56" t="n"/>
      <c r="U85" s="54" t="n"/>
      <c r="V85" s="55" t="n"/>
      <c r="W85" s="56" t="n"/>
      <c r="X85" s="57">
        <f>IF($C85="","",$F85)</f>
        <v/>
      </c>
      <c r="Y85" s="57">
        <f>IF($C85="","",$C85)</f>
        <v/>
      </c>
    </row>
    <row r="86" ht="17" customHeight="1">
      <c r="A86" s="49" t="inlineStr">
        <is>
          <t>Wallace</t>
        </is>
      </c>
      <c r="B86" s="49" t="inlineStr">
        <is>
          <t>Casa completa</t>
        </is>
      </c>
      <c r="C86" s="50" t="n">
        <v>167000</v>
      </c>
      <c r="D86" s="49" t="n"/>
      <c r="E86" s="51">
        <f>IF($C86="","",ROUND(SUM(I86,L86,O86,R86,U86),2))</f>
        <v/>
      </c>
      <c r="F86" s="52">
        <f>IF($C86="","",ROUND($C86-$E86,2))</f>
        <v/>
      </c>
      <c r="G86" s="24">
        <f>IF(OR($C86="",$C86=0),"",$E86/$C86)</f>
        <v/>
      </c>
      <c r="H86" s="53">
        <f>IF($C86="","",IF($E86=0,"A receber",IF(ROUND($F86,2)=0,"Quitado",IF($F86&lt;0,"Recebido a mais","Parcial"))))</f>
        <v/>
      </c>
      <c r="I86" s="54" t="n">
        <v>70000</v>
      </c>
      <c r="J86" s="55" t="n">
        <v>45918</v>
      </c>
      <c r="K86" s="56" t="inlineStr">
        <is>
          <t>Carro</t>
        </is>
      </c>
      <c r="L86" s="54" t="n">
        <v>24000</v>
      </c>
      <c r="M86" s="55" t="n">
        <v>45917</v>
      </c>
      <c r="N86" s="56" t="inlineStr">
        <is>
          <t>pix</t>
        </is>
      </c>
      <c r="O86" s="54" t="n">
        <v>24000</v>
      </c>
      <c r="P86" s="55" t="n">
        <v>45954</v>
      </c>
      <c r="Q86" s="56" t="inlineStr">
        <is>
          <t>pix</t>
        </is>
      </c>
      <c r="R86" s="54" t="n">
        <v>29000</v>
      </c>
      <c r="S86" s="55" t="n"/>
      <c r="T86" s="56" t="inlineStr">
        <is>
          <t>pix · 2025-07-11 00:00:00</t>
        </is>
      </c>
      <c r="U86" s="54" t="n">
        <v>20000</v>
      </c>
      <c r="V86" s="55" t="n"/>
      <c r="W86" s="56" t="n"/>
      <c r="X86" s="57">
        <f>IF($C86="","",$F86)</f>
        <v/>
      </c>
      <c r="Y86" s="57">
        <f>IF($C86="","",$C86)</f>
        <v/>
      </c>
    </row>
    <row r="87" ht="17" customHeight="1">
      <c r="A87" s="49" t="inlineStr">
        <is>
          <t>Barbara</t>
        </is>
      </c>
      <c r="B87" s="49" t="inlineStr">
        <is>
          <t>Escritorio</t>
        </is>
      </c>
      <c r="C87" s="50" t="n">
        <v>18700</v>
      </c>
      <c r="D87" s="49" t="n"/>
      <c r="E87" s="51">
        <f>IF($C87="","",ROUND(SUM(I87,L87,O87,R87,U87),2))</f>
        <v/>
      </c>
      <c r="F87" s="52">
        <f>IF($C87="","",ROUND($C87-$E87,2))</f>
        <v/>
      </c>
      <c r="G87" s="24">
        <f>IF(OR($C87="",$C87=0),"",$E87/$C87)</f>
        <v/>
      </c>
      <c r="H87" s="53">
        <f>IF($C87="","",IF($E87=0,"A receber",IF(ROUND($F87,2)=0,"Quitado",IF($F87&lt;0,"Recebido a mais","Parcial"))))</f>
        <v/>
      </c>
      <c r="I87" s="54" t="n">
        <v>9350</v>
      </c>
      <c r="J87" s="55" t="n">
        <v>45913</v>
      </c>
      <c r="K87" s="56" t="inlineStr">
        <is>
          <t>cartao</t>
        </is>
      </c>
      <c r="L87" s="54" t="n">
        <v>3000</v>
      </c>
      <c r="M87" s="55" t="n">
        <v>45965</v>
      </c>
      <c r="N87" s="56" t="inlineStr">
        <is>
          <t>PIX</t>
        </is>
      </c>
      <c r="O87" s="54" t="n">
        <v>6350</v>
      </c>
      <c r="P87" s="55" t="n">
        <v>45942</v>
      </c>
      <c r="Q87" s="56" t="n"/>
      <c r="R87" s="54" t="n"/>
      <c r="S87" s="55" t="n"/>
      <c r="T87" s="56" t="n"/>
      <c r="U87" s="54" t="n"/>
      <c r="V87" s="55" t="n"/>
      <c r="W87" s="56" t="n"/>
      <c r="X87" s="57">
        <f>IF($C87="","",$F87)</f>
        <v/>
      </c>
      <c r="Y87" s="57">
        <f>IF($C87="","",$C87)</f>
        <v/>
      </c>
    </row>
    <row r="88" ht="17" customHeight="1">
      <c r="A88" s="49" t="inlineStr">
        <is>
          <t>Lucas campara</t>
        </is>
      </c>
      <c r="B88" s="49" t="inlineStr">
        <is>
          <t>Banheiros</t>
        </is>
      </c>
      <c r="C88" s="50" t="n">
        <v>2500</v>
      </c>
      <c r="D88" s="49" t="n"/>
      <c r="E88" s="51">
        <f>IF($C88="","",ROUND(SUM(I88,L88,O88,R88,U88),2))</f>
        <v/>
      </c>
      <c r="F88" s="52">
        <f>IF($C88="","",ROUND($C88-$E88,2))</f>
        <v/>
      </c>
      <c r="G88" s="24">
        <f>IF(OR($C88="",$C88=0),"",$E88/$C88)</f>
        <v/>
      </c>
      <c r="H88" s="53">
        <f>IF($C88="","",IF($E88=0,"A receber",IF(ROUND($F88,2)=0,"Quitado",IF($F88&lt;0,"Recebido a mais","Parcial"))))</f>
        <v/>
      </c>
      <c r="I88" s="54" t="n">
        <v>2500</v>
      </c>
      <c r="J88" s="55" t="n">
        <v>45918</v>
      </c>
      <c r="K88" s="56" t="inlineStr">
        <is>
          <t>pix</t>
        </is>
      </c>
      <c r="L88" s="54" t="n"/>
      <c r="M88" s="55" t="n"/>
      <c r="N88" s="56" t="n"/>
      <c r="O88" s="54" t="n"/>
      <c r="P88" s="55" t="n"/>
      <c r="Q88" s="56" t="n"/>
      <c r="R88" s="54" t="n"/>
      <c r="S88" s="55" t="n"/>
      <c r="T88" s="56" t="n"/>
      <c r="U88" s="54" t="n"/>
      <c r="V88" s="55" t="n"/>
      <c r="W88" s="56" t="n"/>
      <c r="X88" s="57">
        <f>IF($C88="","",$F88)</f>
        <v/>
      </c>
      <c r="Y88" s="57">
        <f>IF($C88="","",$C88)</f>
        <v/>
      </c>
    </row>
    <row r="89" ht="17" customHeight="1">
      <c r="A89" s="49" t="inlineStr">
        <is>
          <t>Claudia Salum</t>
        </is>
      </c>
      <c r="B89" s="49" t="inlineStr">
        <is>
          <t>Area de servico,banho, paineis</t>
        </is>
      </c>
      <c r="C89" s="50" t="n">
        <v>8450</v>
      </c>
      <c r="D89" s="49" t="n"/>
      <c r="E89" s="51">
        <f>IF($C89="","",ROUND(SUM(I89,L89,O89,R89,U89),2))</f>
        <v/>
      </c>
      <c r="F89" s="52">
        <f>IF($C89="","",ROUND($C89-$E89,2))</f>
        <v/>
      </c>
      <c r="G89" s="24">
        <f>IF(OR($C89="",$C89=0),"",$E89/$C89)</f>
        <v/>
      </c>
      <c r="H89" s="53">
        <f>IF($C89="","",IF($E89=0,"A receber",IF(ROUND($F89,2)=0,"Quitado",IF($F89&lt;0,"Recebido a mais","Parcial"))))</f>
        <v/>
      </c>
      <c r="I89" s="54" t="n">
        <v>4225</v>
      </c>
      <c r="J89" s="55" t="n">
        <v>45924</v>
      </c>
      <c r="K89" s="56" t="inlineStr">
        <is>
          <t>pix</t>
        </is>
      </c>
      <c r="L89" s="54" t="n">
        <v>4225</v>
      </c>
      <c r="M89" s="55" t="n">
        <v>45939</v>
      </c>
      <c r="N89" s="56" t="inlineStr">
        <is>
          <t>pix</t>
        </is>
      </c>
      <c r="O89" s="54" t="n"/>
      <c r="P89" s="55" t="n"/>
      <c r="Q89" s="56" t="n"/>
      <c r="R89" s="54" t="n"/>
      <c r="S89" s="55" t="n"/>
      <c r="T89" s="56" t="n"/>
      <c r="U89" s="54" t="n"/>
      <c r="V89" s="55" t="n"/>
      <c r="W89" s="56" t="n"/>
      <c r="X89" s="57">
        <f>IF($C89="","",$F89)</f>
        <v/>
      </c>
      <c r="Y89" s="57">
        <f>IF($C89="","",$C89)</f>
        <v/>
      </c>
    </row>
    <row r="90" ht="17" customHeight="1">
      <c r="A90" s="49" t="inlineStr">
        <is>
          <t>Isaias</t>
        </is>
      </c>
      <c r="B90" s="49" t="inlineStr">
        <is>
          <t>Painel social e cozinha</t>
        </is>
      </c>
      <c r="C90" s="50" t="n">
        <v>23700</v>
      </c>
      <c r="D90" s="49" t="n"/>
      <c r="E90" s="51">
        <f>IF($C90="","",ROUND(SUM(I90,L90,O90,R90,U90),2))</f>
        <v/>
      </c>
      <c r="F90" s="52">
        <f>IF($C90="","",ROUND($C90-$E90,2))</f>
        <v/>
      </c>
      <c r="G90" s="24">
        <f>IF(OR($C90="",$C90=0),"",$E90/$C90)</f>
        <v/>
      </c>
      <c r="H90" s="53">
        <f>IF($C90="","",IF($E90=0,"A receber",IF(ROUND($F90,2)=0,"Quitado",IF($F90&lt;0,"Recebido a mais","Parcial"))))</f>
        <v/>
      </c>
      <c r="I90" s="54" t="n">
        <v>10000</v>
      </c>
      <c r="J90" s="55" t="n">
        <v>45947</v>
      </c>
      <c r="K90" s="56" t="inlineStr">
        <is>
          <t>transferencia</t>
        </is>
      </c>
      <c r="L90" s="54" t="n">
        <v>5000</v>
      </c>
      <c r="M90" s="55" t="n">
        <v>45985</v>
      </c>
      <c r="N90" s="56" t="inlineStr">
        <is>
          <t>transferencia</t>
        </is>
      </c>
      <c r="O90" s="54" t="n">
        <v>8700</v>
      </c>
      <c r="P90" s="55" t="n">
        <v>45707</v>
      </c>
      <c r="Q90" s="56" t="inlineStr">
        <is>
          <t>pix</t>
        </is>
      </c>
      <c r="R90" s="54" t="n"/>
      <c r="S90" s="55" t="n"/>
      <c r="T90" s="56" t="n"/>
      <c r="U90" s="54" t="n"/>
      <c r="V90" s="55" t="n"/>
      <c r="W90" s="56" t="n"/>
      <c r="X90" s="57">
        <f>IF($C90="","",$F90)</f>
        <v/>
      </c>
      <c r="Y90" s="57">
        <f>IF($C90="","",$C90)</f>
        <v/>
      </c>
    </row>
    <row r="91" ht="17" customHeight="1">
      <c r="A91" s="49" t="inlineStr">
        <is>
          <t>Isabela</t>
        </is>
      </c>
      <c r="B91" s="49" t="inlineStr">
        <is>
          <t>Casa completa</t>
        </is>
      </c>
      <c r="C91" s="50" t="n">
        <v>81000</v>
      </c>
      <c r="D91" s="49" t="n"/>
      <c r="E91" s="51">
        <f>IF($C91="","",ROUND(SUM(I91,L91,O91,R91,U91),2))</f>
        <v/>
      </c>
      <c r="F91" s="52">
        <f>IF($C91="","",ROUND($C91-$E91,2))</f>
        <v/>
      </c>
      <c r="G91" s="24">
        <f>IF(OR($C91="",$C91=0),"",$E91/$C91)</f>
        <v/>
      </c>
      <c r="H91" s="53">
        <f>IF($C91="","",IF($E91=0,"A receber",IF(ROUND($F91,2)=0,"Quitado",IF($F91&lt;0,"Recebido a mais","Parcial"))))</f>
        <v/>
      </c>
      <c r="I91" s="54" t="n">
        <v>56700</v>
      </c>
      <c r="J91" s="55" t="n">
        <v>45937</v>
      </c>
      <c r="K91" s="56" t="inlineStr">
        <is>
          <t>pix</t>
        </is>
      </c>
      <c r="L91" s="54" t="n">
        <v>24300</v>
      </c>
      <c r="M91" s="55" t="n">
        <v>46071</v>
      </c>
      <c r="N91" s="56" t="inlineStr">
        <is>
          <t>pix</t>
        </is>
      </c>
      <c r="O91" s="54" t="n"/>
      <c r="P91" s="55" t="n"/>
      <c r="Q91" s="56" t="n"/>
      <c r="R91" s="54" t="n"/>
      <c r="S91" s="55" t="n"/>
      <c r="T91" s="56" t="n"/>
      <c r="U91" s="54" t="n"/>
      <c r="V91" s="55" t="n"/>
      <c r="W91" s="56" t="n"/>
      <c r="X91" s="57">
        <f>IF($C91="","",$F91)</f>
        <v/>
      </c>
      <c r="Y91" s="57">
        <f>IF($C91="","",$C91)</f>
        <v/>
      </c>
    </row>
    <row r="92" ht="17" customHeight="1">
      <c r="A92" s="49" t="n"/>
      <c r="B92" s="49" t="n"/>
      <c r="C92" s="50" t="n"/>
      <c r="D92" s="49" t="n"/>
      <c r="E92" s="51">
        <f>IF($C92="","",ROUND(SUM(I92,L92,O92,R92,U92),2))</f>
        <v/>
      </c>
      <c r="F92" s="52">
        <f>IF($C92="","",ROUND($C92-$E92,2))</f>
        <v/>
      </c>
      <c r="G92" s="24">
        <f>IF(OR($C92="",$C92=0),"",$E92/$C92)</f>
        <v/>
      </c>
      <c r="H92" s="53">
        <f>IF($C92="","",IF($E92=0,"A receber",IF(ROUND($F92,2)=0,"Quitado",IF($F92&lt;0,"Recebido a mais","Parcial"))))</f>
        <v/>
      </c>
      <c r="I92" s="54" t="n"/>
      <c r="J92" s="55" t="n"/>
      <c r="K92" s="56" t="n"/>
      <c r="L92" s="54" t="n"/>
      <c r="M92" s="55" t="n"/>
      <c r="N92" s="56" t="n"/>
      <c r="O92" s="54" t="n"/>
      <c r="P92" s="55" t="n"/>
      <c r="Q92" s="56" t="n"/>
      <c r="R92" s="54" t="n"/>
      <c r="S92" s="55" t="n"/>
      <c r="T92" s="56" t="n"/>
      <c r="U92" s="54" t="n"/>
      <c r="V92" s="55" t="n"/>
      <c r="W92" s="56" t="n"/>
      <c r="X92" s="57">
        <f>IF($C92="","",$F92)</f>
        <v/>
      </c>
      <c r="Y92" s="57">
        <f>IF($C92="","",$C92)</f>
        <v/>
      </c>
    </row>
    <row r="93" ht="17" customHeight="1">
      <c r="A93" s="49" t="n"/>
      <c r="B93" s="49" t="n"/>
      <c r="C93" s="50" t="n"/>
      <c r="D93" s="49" t="n"/>
      <c r="E93" s="51">
        <f>IF($C93="","",ROUND(SUM(I93,L93,O93,R93,U93),2))</f>
        <v/>
      </c>
      <c r="F93" s="52">
        <f>IF($C93="","",ROUND($C93-$E93,2))</f>
        <v/>
      </c>
      <c r="G93" s="24">
        <f>IF(OR($C93="",$C93=0),"",$E93/$C93)</f>
        <v/>
      </c>
      <c r="H93" s="53">
        <f>IF($C93="","",IF($E93=0,"A receber",IF(ROUND($F93,2)=0,"Quitado",IF($F93&lt;0,"Recebido a mais","Parcial"))))</f>
        <v/>
      </c>
      <c r="I93" s="54" t="n"/>
      <c r="J93" s="55" t="n"/>
      <c r="K93" s="56" t="n"/>
      <c r="L93" s="54" t="n"/>
      <c r="M93" s="55" t="n"/>
      <c r="N93" s="56" t="n"/>
      <c r="O93" s="54" t="n"/>
      <c r="P93" s="55" t="n"/>
      <c r="Q93" s="56" t="n"/>
      <c r="R93" s="54" t="n"/>
      <c r="S93" s="55" t="n"/>
      <c r="T93" s="56" t="n"/>
      <c r="U93" s="54" t="n"/>
      <c r="V93" s="55" t="n"/>
      <c r="W93" s="56" t="n"/>
      <c r="X93" s="57">
        <f>IF($C93="","",$F93)</f>
        <v/>
      </c>
      <c r="Y93" s="57">
        <f>IF($C93="","",$C93)</f>
        <v/>
      </c>
    </row>
    <row r="94" ht="6" customHeight="1"/>
    <row r="95" ht="20" customHeight="1">
      <c r="A95" s="33" t="inlineStr">
        <is>
          <t>Outubro</t>
        </is>
      </c>
      <c r="B95" s="45" t="n"/>
      <c r="C95" s="46">
        <f>SUM(C96:C98)</f>
        <v/>
      </c>
      <c r="D95" s="45" t="n"/>
      <c r="E95" s="46">
        <f>SUM(E96:E98)</f>
        <v/>
      </c>
      <c r="F95" s="46">
        <f>SUM(F96:F98)</f>
        <v/>
      </c>
      <c r="G95" s="47">
        <f>IF(OR(C95="",C95=0),"",E95/C95)</f>
        <v/>
      </c>
      <c r="H95" s="48">
        <f>COUNT(C96:C98)&amp;" projeto(s)"</f>
        <v/>
      </c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</row>
    <row r="96" ht="17" customHeight="1">
      <c r="A96" s="49" t="inlineStr">
        <is>
          <t>Cibele</t>
        </is>
      </c>
      <c r="B96" s="49" t="inlineStr">
        <is>
          <t>Quarto casal, solteiro e banhos</t>
        </is>
      </c>
      <c r="C96" s="50" t="n">
        <v>50000</v>
      </c>
      <c r="D96" s="49" t="n"/>
      <c r="E96" s="51">
        <f>IF($C96="","",ROUND(SUM(I96,L96,O96,R96,U96),2))</f>
        <v/>
      </c>
      <c r="F96" s="52">
        <f>IF($C96="","",ROUND($C96-$E96,2))</f>
        <v/>
      </c>
      <c r="G96" s="24">
        <f>IF(OR($C96="",$C96=0),"",$E96/$C96)</f>
        <v/>
      </c>
      <c r="H96" s="53">
        <f>IF($C96="","",IF($E96=0,"A receber",IF(ROUND($F96,2)=0,"Quitado",IF($F96&lt;0,"Recebido a mais","Parcial"))))</f>
        <v/>
      </c>
      <c r="I96" s="54" t="n">
        <v>25000</v>
      </c>
      <c r="J96" s="55" t="n">
        <v>45947</v>
      </c>
      <c r="K96" s="56" t="inlineStr">
        <is>
          <t>pix</t>
        </is>
      </c>
      <c r="L96" s="54" t="n">
        <v>12500</v>
      </c>
      <c r="M96" s="55" t="n">
        <v>46007</v>
      </c>
      <c r="N96" s="56" t="inlineStr">
        <is>
          <t>pix</t>
        </is>
      </c>
      <c r="O96" s="54" t="n">
        <v>12500</v>
      </c>
      <c r="P96" s="55" t="n">
        <v>46064</v>
      </c>
      <c r="Q96" s="56" t="inlineStr">
        <is>
          <t>pix</t>
        </is>
      </c>
      <c r="R96" s="54" t="n"/>
      <c r="S96" s="55" t="n"/>
      <c r="T96" s="56" t="n"/>
      <c r="U96" s="54" t="n"/>
      <c r="V96" s="55" t="n"/>
      <c r="W96" s="56" t="n"/>
      <c r="X96" s="57">
        <f>IF($C96="","",$F96)</f>
        <v/>
      </c>
      <c r="Y96" s="57">
        <f>IF($C96="","",$C96)</f>
        <v/>
      </c>
    </row>
    <row r="97" ht="17" customHeight="1">
      <c r="A97" s="49" t="n"/>
      <c r="B97" s="49" t="n"/>
      <c r="C97" s="50" t="n"/>
      <c r="D97" s="49" t="n"/>
      <c r="E97" s="51">
        <f>IF($C97="","",ROUND(SUM(I97,L97,O97,R97,U97),2))</f>
        <v/>
      </c>
      <c r="F97" s="52">
        <f>IF($C97="","",ROUND($C97-$E97,2))</f>
        <v/>
      </c>
      <c r="G97" s="24">
        <f>IF(OR($C97="",$C97=0),"",$E97/$C97)</f>
        <v/>
      </c>
      <c r="H97" s="53">
        <f>IF($C97="","",IF($E97=0,"A receber",IF(ROUND($F97,2)=0,"Quitado",IF($F97&lt;0,"Recebido a mais","Parcial"))))</f>
        <v/>
      </c>
      <c r="I97" s="54" t="n"/>
      <c r="J97" s="55" t="n"/>
      <c r="K97" s="56" t="n"/>
      <c r="L97" s="54" t="n"/>
      <c r="M97" s="55" t="n"/>
      <c r="N97" s="56" t="n"/>
      <c r="O97" s="54" t="n"/>
      <c r="P97" s="55" t="n"/>
      <c r="Q97" s="56" t="n"/>
      <c r="R97" s="54" t="n"/>
      <c r="S97" s="55" t="n"/>
      <c r="T97" s="56" t="n"/>
      <c r="U97" s="54" t="n"/>
      <c r="V97" s="55" t="n"/>
      <c r="W97" s="56" t="n"/>
      <c r="X97" s="57">
        <f>IF($C97="","",$F97)</f>
        <v/>
      </c>
      <c r="Y97" s="57">
        <f>IF($C97="","",$C97)</f>
        <v/>
      </c>
    </row>
    <row r="98" ht="17" customHeight="1">
      <c r="A98" s="49" t="n"/>
      <c r="B98" s="49" t="n"/>
      <c r="C98" s="50" t="n"/>
      <c r="D98" s="49" t="n"/>
      <c r="E98" s="51">
        <f>IF($C98="","",ROUND(SUM(I98,L98,O98,R98,U98),2))</f>
        <v/>
      </c>
      <c r="F98" s="52">
        <f>IF($C98="","",ROUND($C98-$E98,2))</f>
        <v/>
      </c>
      <c r="G98" s="24">
        <f>IF(OR($C98="",$C98=0),"",$E98/$C98)</f>
        <v/>
      </c>
      <c r="H98" s="53">
        <f>IF($C98="","",IF($E98=0,"A receber",IF(ROUND($F98,2)=0,"Quitado",IF($F98&lt;0,"Recebido a mais","Parcial"))))</f>
        <v/>
      </c>
      <c r="I98" s="54" t="n"/>
      <c r="J98" s="55" t="n"/>
      <c r="K98" s="56" t="n"/>
      <c r="L98" s="54" t="n"/>
      <c r="M98" s="55" t="n"/>
      <c r="N98" s="56" t="n"/>
      <c r="O98" s="54" t="n"/>
      <c r="P98" s="55" t="n"/>
      <c r="Q98" s="56" t="n"/>
      <c r="R98" s="54" t="n"/>
      <c r="S98" s="55" t="n"/>
      <c r="T98" s="56" t="n"/>
      <c r="U98" s="54" t="n"/>
      <c r="V98" s="55" t="n"/>
      <c r="W98" s="56" t="n"/>
      <c r="X98" s="57">
        <f>IF($C98="","",$F98)</f>
        <v/>
      </c>
      <c r="Y98" s="57">
        <f>IF($C98="","",$C98)</f>
        <v/>
      </c>
    </row>
    <row r="99" ht="6" customHeight="1"/>
    <row r="100" ht="20" customHeight="1">
      <c r="A100" s="33" t="inlineStr">
        <is>
          <t>Novembro</t>
        </is>
      </c>
      <c r="B100" s="45" t="n"/>
      <c r="C100" s="46">
        <f>SUM(C101:C104)</f>
        <v/>
      </c>
      <c r="D100" s="45" t="n"/>
      <c r="E100" s="46">
        <f>SUM(E101:E104)</f>
        <v/>
      </c>
      <c r="F100" s="46">
        <f>SUM(F101:F104)</f>
        <v/>
      </c>
      <c r="G100" s="47">
        <f>IF(OR(C100="",C100=0),"",E100/C100)</f>
        <v/>
      </c>
      <c r="H100" s="48">
        <f>COUNT(C101:C104)&amp;" projeto(s)"</f>
        <v/>
      </c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</row>
    <row r="101" ht="17" customHeight="1">
      <c r="A101" s="49" t="inlineStr">
        <is>
          <t>United airlines</t>
        </is>
      </c>
      <c r="B101" s="49" t="n"/>
      <c r="C101" s="50" t="n">
        <v>100500</v>
      </c>
      <c r="D101" s="49" t="n"/>
      <c r="E101" s="51">
        <f>IF($C101="","",ROUND(SUM(I101,L101,O101,R101,U101),2))</f>
        <v/>
      </c>
      <c r="F101" s="52">
        <f>IF($C101="","",ROUND($C101-$E101,2))</f>
        <v/>
      </c>
      <c r="G101" s="24">
        <f>IF(OR($C101="",$C101=0),"",$E101/$C101)</f>
        <v/>
      </c>
      <c r="H101" s="53">
        <f>IF($C101="","",IF($E101=0,"A receber",IF(ROUND($F101,2)=0,"Quitado",IF($F101&lt;0,"Recebido a mais","Parcial"))))</f>
        <v/>
      </c>
      <c r="I101" s="54" t="n">
        <v>50000</v>
      </c>
      <c r="J101" s="55" t="n"/>
      <c r="K101" s="56" t="inlineStr">
        <is>
          <t>Boleto</t>
        </is>
      </c>
      <c r="L101" s="54" t="n">
        <v>20000</v>
      </c>
      <c r="M101" s="55" t="n">
        <v>46093</v>
      </c>
      <c r="N101" s="56" t="inlineStr">
        <is>
          <t>boleto</t>
        </is>
      </c>
      <c r="O101" s="54" t="n">
        <v>30500</v>
      </c>
      <c r="P101" s="55" t="n">
        <v>46087</v>
      </c>
      <c r="Q101" s="56" t="inlineStr">
        <is>
          <t>boleto</t>
        </is>
      </c>
      <c r="R101" s="54" t="n"/>
      <c r="S101" s="55" t="n"/>
      <c r="T101" s="56" t="n"/>
      <c r="U101" s="54" t="n"/>
      <c r="V101" s="55" t="n"/>
      <c r="W101" s="56" t="n"/>
      <c r="X101" s="57">
        <f>IF($C101="","",$F101)</f>
        <v/>
      </c>
      <c r="Y101" s="57">
        <f>IF($C101="","",$C101)</f>
        <v/>
      </c>
    </row>
    <row r="102" ht="17" customHeight="1">
      <c r="A102" s="49" t="inlineStr">
        <is>
          <t>Jessica Sollero</t>
        </is>
      </c>
      <c r="B102" s="49" t="n"/>
      <c r="C102" s="50" t="n">
        <v>9500</v>
      </c>
      <c r="D102" s="49" t="n"/>
      <c r="E102" s="51">
        <f>IF($C102="","",ROUND(SUM(I102,L102,O102,R102,U102),2))</f>
        <v/>
      </c>
      <c r="F102" s="52">
        <f>IF($C102="","",ROUND($C102-$E102,2))</f>
        <v/>
      </c>
      <c r="G102" s="24">
        <f>IF(OR($C102="",$C102=0),"",$E102/$C102)</f>
        <v/>
      </c>
      <c r="H102" s="53">
        <f>IF($C102="","",IF($E102=0,"A receber",IF(ROUND($F102,2)=0,"Quitado",IF($F102&lt;0,"Recebido a mais","Parcial"))))</f>
        <v/>
      </c>
      <c r="I102" s="54" t="n">
        <v>9500</v>
      </c>
      <c r="J102" s="55" t="n"/>
      <c r="K102" s="56" t="n"/>
      <c r="L102" s="54" t="n"/>
      <c r="M102" s="55" t="n"/>
      <c r="N102" s="56" t="n"/>
      <c r="O102" s="54" t="n"/>
      <c r="P102" s="55" t="n"/>
      <c r="Q102" s="56" t="n"/>
      <c r="R102" s="54" t="n"/>
      <c r="S102" s="55" t="n"/>
      <c r="T102" s="56" t="n"/>
      <c r="U102" s="54" t="n"/>
      <c r="V102" s="55" t="n"/>
      <c r="W102" s="56" t="n"/>
      <c r="X102" s="57">
        <f>IF($C102="","",$F102)</f>
        <v/>
      </c>
      <c r="Y102" s="57">
        <f>IF($C102="","",$C102)</f>
        <v/>
      </c>
    </row>
    <row r="103" ht="17" customHeight="1">
      <c r="A103" s="49" t="n"/>
      <c r="B103" s="49" t="n"/>
      <c r="C103" s="50" t="n"/>
      <c r="D103" s="49" t="n"/>
      <c r="E103" s="51">
        <f>IF($C103="","",ROUND(SUM(I103,L103,O103,R103,U103),2))</f>
        <v/>
      </c>
      <c r="F103" s="52">
        <f>IF($C103="","",ROUND($C103-$E103,2))</f>
        <v/>
      </c>
      <c r="G103" s="24">
        <f>IF(OR($C103="",$C103=0),"",$E103/$C103)</f>
        <v/>
      </c>
      <c r="H103" s="53">
        <f>IF($C103="","",IF($E103=0,"A receber",IF(ROUND($F103,2)=0,"Quitado",IF($F103&lt;0,"Recebido a mais","Parcial"))))</f>
        <v/>
      </c>
      <c r="I103" s="54" t="n"/>
      <c r="J103" s="55" t="n"/>
      <c r="K103" s="56" t="n"/>
      <c r="L103" s="54" t="n"/>
      <c r="M103" s="55" t="n"/>
      <c r="N103" s="56" t="n"/>
      <c r="O103" s="54" t="n"/>
      <c r="P103" s="55" t="n"/>
      <c r="Q103" s="56" t="n"/>
      <c r="R103" s="54" t="n"/>
      <c r="S103" s="55" t="n"/>
      <c r="T103" s="56" t="n"/>
      <c r="U103" s="54" t="n"/>
      <c r="V103" s="55" t="n"/>
      <c r="W103" s="56" t="n"/>
      <c r="X103" s="57">
        <f>IF($C103="","",$F103)</f>
        <v/>
      </c>
      <c r="Y103" s="57">
        <f>IF($C103="","",$C103)</f>
        <v/>
      </c>
    </row>
    <row r="104" ht="17" customHeight="1">
      <c r="A104" s="49" t="n"/>
      <c r="B104" s="49" t="n"/>
      <c r="C104" s="50" t="n"/>
      <c r="D104" s="49" t="n"/>
      <c r="E104" s="51">
        <f>IF($C104="","",ROUND(SUM(I104,L104,O104,R104,U104),2))</f>
        <v/>
      </c>
      <c r="F104" s="52">
        <f>IF($C104="","",ROUND($C104-$E104,2))</f>
        <v/>
      </c>
      <c r="G104" s="24">
        <f>IF(OR($C104="",$C104=0),"",$E104/$C104)</f>
        <v/>
      </c>
      <c r="H104" s="53">
        <f>IF($C104="","",IF($E104=0,"A receber",IF(ROUND($F104,2)=0,"Quitado",IF($F104&lt;0,"Recebido a mais","Parcial"))))</f>
        <v/>
      </c>
      <c r="I104" s="54" t="n"/>
      <c r="J104" s="55" t="n"/>
      <c r="K104" s="56" t="n"/>
      <c r="L104" s="54" t="n"/>
      <c r="M104" s="55" t="n"/>
      <c r="N104" s="56" t="n"/>
      <c r="O104" s="54" t="n"/>
      <c r="P104" s="55" t="n"/>
      <c r="Q104" s="56" t="n"/>
      <c r="R104" s="54" t="n"/>
      <c r="S104" s="55" t="n"/>
      <c r="T104" s="56" t="n"/>
      <c r="U104" s="54" t="n"/>
      <c r="V104" s="55" t="n"/>
      <c r="W104" s="56" t="n"/>
      <c r="X104" s="57">
        <f>IF($C104="","",$F104)</f>
        <v/>
      </c>
      <c r="Y104" s="57">
        <f>IF($C104="","",$C104)</f>
        <v/>
      </c>
    </row>
    <row r="105" ht="6" customHeight="1"/>
    <row r="106" ht="20" customHeight="1">
      <c r="A106" s="33" t="inlineStr">
        <is>
          <t>Dezembro</t>
        </is>
      </c>
      <c r="B106" s="45" t="n"/>
      <c r="C106" s="46">
        <f>SUM(C107:C111)</f>
        <v/>
      </c>
      <c r="D106" s="45" t="n"/>
      <c r="E106" s="46">
        <f>SUM(E107:E111)</f>
        <v/>
      </c>
      <c r="F106" s="46">
        <f>SUM(F107:F111)</f>
        <v/>
      </c>
      <c r="G106" s="47">
        <f>IF(OR(C106="",C106=0),"",E106/C106)</f>
        <v/>
      </c>
      <c r="H106" s="48">
        <f>COUNT(C107:C111)&amp;" projeto(s)"</f>
        <v/>
      </c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</row>
    <row r="107" ht="17" customHeight="1">
      <c r="A107" s="49" t="inlineStr">
        <is>
          <t>Evandro</t>
        </is>
      </c>
      <c r="B107" s="49" t="n"/>
      <c r="C107" s="50" t="n">
        <v>12000</v>
      </c>
      <c r="D107" s="49" t="n"/>
      <c r="E107" s="51">
        <f>IF($C107="","",ROUND(SUM(I107,L107,O107,R107,U107),2))</f>
        <v/>
      </c>
      <c r="F107" s="52">
        <f>IF($C107="","",ROUND($C107-$E107,2))</f>
        <v/>
      </c>
      <c r="G107" s="24">
        <f>IF(OR($C107="",$C107=0),"",$E107/$C107)</f>
        <v/>
      </c>
      <c r="H107" s="53">
        <f>IF($C107="","",IF($E107=0,"A receber",IF(ROUND($F107,2)=0,"Quitado",IF($F107&lt;0,"Recebido a mais","Parcial"))))</f>
        <v/>
      </c>
      <c r="I107" s="54" t="n">
        <v>6500</v>
      </c>
      <c r="J107" s="55" t="n">
        <v>45992</v>
      </c>
      <c r="K107" s="56" t="inlineStr">
        <is>
          <t>pix</t>
        </is>
      </c>
      <c r="L107" s="54" t="n">
        <v>5500</v>
      </c>
      <c r="M107" s="55" t="n">
        <v>45685</v>
      </c>
      <c r="N107" s="56" t="inlineStr">
        <is>
          <t>pix</t>
        </is>
      </c>
      <c r="O107" s="54" t="n"/>
      <c r="P107" s="55" t="n"/>
      <c r="Q107" s="56" t="n"/>
      <c r="R107" s="54" t="n"/>
      <c r="S107" s="55" t="n"/>
      <c r="T107" s="56" t="n"/>
      <c r="U107" s="54" t="n"/>
      <c r="V107" s="55" t="n"/>
      <c r="W107" s="56" t="n"/>
      <c r="X107" s="57">
        <f>IF($C107="","",$F107)</f>
        <v/>
      </c>
      <c r="Y107" s="57">
        <f>IF($C107="","",$C107)</f>
        <v/>
      </c>
    </row>
    <row r="108" ht="17" customHeight="1">
      <c r="A108" s="49" t="inlineStr">
        <is>
          <t>Debora</t>
        </is>
      </c>
      <c r="B108" s="49" t="n"/>
      <c r="C108" s="50" t="n">
        <v>13000</v>
      </c>
      <c r="D108" s="49" t="n"/>
      <c r="E108" s="51">
        <f>IF($C108="","",ROUND(SUM(I108,L108,O108,R108,U108),2))</f>
        <v/>
      </c>
      <c r="F108" s="52">
        <f>IF($C108="","",ROUND($C108-$E108,2))</f>
        <v/>
      </c>
      <c r="G108" s="24">
        <f>IF(OR($C108="",$C108=0),"",$E108/$C108)</f>
        <v/>
      </c>
      <c r="H108" s="53">
        <f>IF($C108="","",IF($E108=0,"A receber",IF(ROUND($F108,2)=0,"Quitado",IF($F108&lt;0,"Recebido a mais","Parcial"))))</f>
        <v/>
      </c>
      <c r="I108" s="54" t="n">
        <v>6500</v>
      </c>
      <c r="J108" s="55" t="n">
        <v>46001</v>
      </c>
      <c r="K108" s="56" t="inlineStr">
        <is>
          <t>pix</t>
        </is>
      </c>
      <c r="L108" s="54" t="n">
        <v>6500</v>
      </c>
      <c r="M108" s="55" t="n">
        <v>45686</v>
      </c>
      <c r="N108" s="56" t="inlineStr">
        <is>
          <t>pix</t>
        </is>
      </c>
      <c r="O108" s="54" t="n"/>
      <c r="P108" s="55" t="n"/>
      <c r="Q108" s="56" t="n"/>
      <c r="R108" s="54" t="n"/>
      <c r="S108" s="55" t="n"/>
      <c r="T108" s="56" t="n"/>
      <c r="U108" s="54" t="n"/>
      <c r="V108" s="55" t="n"/>
      <c r="W108" s="56" t="n"/>
      <c r="X108" s="57">
        <f>IF($C108="","",$F108)</f>
        <v/>
      </c>
      <c r="Y108" s="57">
        <f>IF($C108="","",$C108)</f>
        <v/>
      </c>
    </row>
    <row r="109" ht="17" customHeight="1">
      <c r="A109" s="49" t="inlineStr">
        <is>
          <t>Netinho</t>
        </is>
      </c>
      <c r="B109" s="49" t="n"/>
      <c r="C109" s="50" t="n">
        <v>4850</v>
      </c>
      <c r="D109" s="49" t="n"/>
      <c r="E109" s="51">
        <f>IF($C109="","",ROUND(SUM(I109,L109,O109,R109,U109),2))</f>
        <v/>
      </c>
      <c r="F109" s="52">
        <f>IF($C109="","",ROUND($C109-$E109,2))</f>
        <v/>
      </c>
      <c r="G109" s="24">
        <f>IF(OR($C109="",$C109=0),"",$E109/$C109)</f>
        <v/>
      </c>
      <c r="H109" s="53">
        <f>IF($C109="","",IF($E109=0,"A receber",IF(ROUND($F109,2)=0,"Quitado",IF($F109&lt;0,"Recebido a mais","Parcial"))))</f>
        <v/>
      </c>
      <c r="I109" s="54" t="n">
        <v>4000</v>
      </c>
      <c r="J109" s="55" t="n"/>
      <c r="K109" s="56" t="inlineStr">
        <is>
          <t>permuta</t>
        </is>
      </c>
      <c r="L109" s="54" t="n">
        <v>850</v>
      </c>
      <c r="M109" s="55" t="n"/>
      <c r="N109" s="56" t="inlineStr">
        <is>
          <t>permuta</t>
        </is>
      </c>
      <c r="O109" s="54" t="n"/>
      <c r="P109" s="55" t="n"/>
      <c r="Q109" s="56" t="n"/>
      <c r="R109" s="54" t="n"/>
      <c r="S109" s="55" t="n"/>
      <c r="T109" s="56" t="n"/>
      <c r="U109" s="54" t="n"/>
      <c r="V109" s="55" t="n"/>
      <c r="W109" s="56" t="n"/>
      <c r="X109" s="57">
        <f>IF($C109="","",$F109)</f>
        <v/>
      </c>
      <c r="Y109" s="57">
        <f>IF($C109="","",$C109)</f>
        <v/>
      </c>
    </row>
    <row r="110" ht="17" customHeight="1">
      <c r="A110" s="49" t="n"/>
      <c r="B110" s="49" t="n"/>
      <c r="C110" s="50" t="n"/>
      <c r="D110" s="49" t="n"/>
      <c r="E110" s="51">
        <f>IF($C110="","",ROUND(SUM(I110,L110,O110,R110,U110),2))</f>
        <v/>
      </c>
      <c r="F110" s="52">
        <f>IF($C110="","",ROUND($C110-$E110,2))</f>
        <v/>
      </c>
      <c r="G110" s="24">
        <f>IF(OR($C110="",$C110=0),"",$E110/$C110)</f>
        <v/>
      </c>
      <c r="H110" s="53">
        <f>IF($C110="","",IF($E110=0,"A receber",IF(ROUND($F110,2)=0,"Quitado",IF($F110&lt;0,"Recebido a mais","Parcial"))))</f>
        <v/>
      </c>
      <c r="I110" s="54" t="n"/>
      <c r="J110" s="55" t="n"/>
      <c r="K110" s="56" t="n"/>
      <c r="L110" s="54" t="n"/>
      <c r="M110" s="55" t="n"/>
      <c r="N110" s="56" t="n"/>
      <c r="O110" s="54" t="n"/>
      <c r="P110" s="55" t="n"/>
      <c r="Q110" s="56" t="n"/>
      <c r="R110" s="54" t="n"/>
      <c r="S110" s="55" t="n"/>
      <c r="T110" s="56" t="n"/>
      <c r="U110" s="54" t="n"/>
      <c r="V110" s="55" t="n"/>
      <c r="W110" s="56" t="n"/>
      <c r="X110" s="57">
        <f>IF($C110="","",$F110)</f>
        <v/>
      </c>
      <c r="Y110" s="57">
        <f>IF($C110="","",$C110)</f>
        <v/>
      </c>
    </row>
    <row r="111" ht="17" customHeight="1">
      <c r="A111" s="49" t="n"/>
      <c r="B111" s="49" t="n"/>
      <c r="C111" s="50" t="n"/>
      <c r="D111" s="49" t="n"/>
      <c r="E111" s="51">
        <f>IF($C111="","",ROUND(SUM(I111,L111,O111,R111,U111),2))</f>
        <v/>
      </c>
      <c r="F111" s="52">
        <f>IF($C111="","",ROUND($C111-$E111,2))</f>
        <v/>
      </c>
      <c r="G111" s="24">
        <f>IF(OR($C111="",$C111=0),"",$E111/$C111)</f>
        <v/>
      </c>
      <c r="H111" s="53">
        <f>IF($C111="","",IF($E111=0,"A receber",IF(ROUND($F111,2)=0,"Quitado",IF($F111&lt;0,"Recebido a mais","Parcial"))))</f>
        <v/>
      </c>
      <c r="I111" s="54" t="n"/>
      <c r="J111" s="55" t="n"/>
      <c r="K111" s="56" t="n"/>
      <c r="L111" s="54" t="n"/>
      <c r="M111" s="55" t="n"/>
      <c r="N111" s="56" t="n"/>
      <c r="O111" s="54" t="n"/>
      <c r="P111" s="55" t="n"/>
      <c r="Q111" s="56" t="n"/>
      <c r="R111" s="54" t="n"/>
      <c r="S111" s="55" t="n"/>
      <c r="T111" s="56" t="n"/>
      <c r="U111" s="54" t="n"/>
      <c r="V111" s="55" t="n"/>
      <c r="W111" s="56" t="n"/>
      <c r="X111" s="57">
        <f>IF($C111="","",$F111)</f>
        <v/>
      </c>
      <c r="Y111" s="57">
        <f>IF($C111="","",$C111)</f>
        <v/>
      </c>
    </row>
    <row r="112" ht="6" customHeight="1"/>
  </sheetData>
  <mergeCells count="30">
    <mergeCell ref="R6:W6"/>
    <mergeCell ref="A2:Y2"/>
    <mergeCell ref="A51:B51"/>
    <mergeCell ref="F6:G6"/>
    <mergeCell ref="A4:Y4"/>
    <mergeCell ref="F7:G7"/>
    <mergeCell ref="A69:B69"/>
    <mergeCell ref="D6:E6"/>
    <mergeCell ref="A78:B78"/>
    <mergeCell ref="L6:N6"/>
    <mergeCell ref="I7:K7"/>
    <mergeCell ref="D7:E7"/>
    <mergeCell ref="A95:B95"/>
    <mergeCell ref="A1:Y1"/>
    <mergeCell ref="O7:Q7"/>
    <mergeCell ref="A106:B106"/>
    <mergeCell ref="L7:N7"/>
    <mergeCell ref="I6:K6"/>
    <mergeCell ref="A100:B100"/>
    <mergeCell ref="A20:B20"/>
    <mergeCell ref="A29:B29"/>
    <mergeCell ref="O6:Q6"/>
    <mergeCell ref="A6:C6"/>
    <mergeCell ref="A10:B10"/>
    <mergeCell ref="A40:B40"/>
    <mergeCell ref="A7:C7"/>
    <mergeCell ref="A3:Y3"/>
    <mergeCell ref="A58:B58"/>
    <mergeCell ref="R7:W7"/>
    <mergeCell ref="A83:B83"/>
  </mergeCells>
  <conditionalFormatting sqref="H10:H112">
    <cfRule type="expression" priority="1" dxfId="0" stopIfTrue="1">
      <formula>$H10="Quitado"</formula>
    </cfRule>
    <cfRule type="expression" priority="2" dxfId="3" stopIfTrue="1">
      <formula>$H10="Parcial"</formula>
    </cfRule>
    <cfRule type="expression" priority="3" dxfId="2" stopIfTrue="1">
      <formula>$H10="A receber"</formula>
    </cfRule>
    <cfRule type="expression" priority="4" dxfId="4" stopIfTrue="1">
      <formula>$H10="Recebido a mais"</formula>
    </cfRule>
  </conditionalFormatting>
  <conditionalFormatting sqref="F10:F112">
    <cfRule type="expression" priority="5" dxfId="5">
      <formula>AND($F10&lt;&gt;"",$F10&gt;0)</formula>
    </cfRule>
    <cfRule type="expression" priority="6" dxfId="4">
      <formula>AND($F10&lt;&gt;"",$F10&lt;0)</formula>
    </cfRule>
  </conditionalFormatting>
  <conditionalFormatting sqref="A10:D112">
    <cfRule type="expression" priority="7" dxfId="6">
      <formula>AND($C10&lt;&gt;"",$H10="A receber")</formula>
    </cfRule>
  </conditionalFormatting>
  <dataValidations count="6">
    <dataValidation sqref="D10:D112" showDropDown="0" showInputMessage="0" showErrorMessage="0" allowBlank="1" type="list">
      <formula1>=Listas!$B$2:$B$13</formula1>
    </dataValidation>
    <dataValidation sqref="K10:K112" showDropDown="0" showInputMessage="0" showErrorMessage="0" allowBlank="1" type="list">
      <formula1>=Listas!$B$2:$B$13</formula1>
    </dataValidation>
    <dataValidation sqref="N10:N112" showDropDown="0" showInputMessage="0" showErrorMessage="0" allowBlank="1" type="list">
      <formula1>=Listas!$B$2:$B$13</formula1>
    </dataValidation>
    <dataValidation sqref="Q10:Q112" showDropDown="0" showInputMessage="0" showErrorMessage="0" allowBlank="1" type="list">
      <formula1>=Listas!$B$2:$B$13</formula1>
    </dataValidation>
    <dataValidation sqref="T10:T112" showDropDown="0" showInputMessage="0" showErrorMessage="0" allowBlank="1" type="list">
      <formula1>=Listas!$B$2:$B$13</formula1>
    </dataValidation>
    <dataValidation sqref="W10:W112" showDropDown="0" showInputMessage="0" showErrorMessage="0" allowBlank="1" type="list">
      <formula1>=Listas!$B$2:$B$13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07"/>
  <sheetViews>
    <sheetView showGridLines="0" workbookViewId="0">
      <pane xSplit="8" ySplit="9" topLeftCell="I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26" customWidth="1" min="4" max="4"/>
    <col width="13" customWidth="1" min="5" max="5"/>
    <col width="14" customWidth="1" min="6" max="6"/>
    <col width="10" customWidth="1" min="7" max="7"/>
    <col width="16" customWidth="1" min="8" max="8"/>
    <col width="13" customWidth="1" min="9" max="9"/>
    <col width="11" customWidth="1" min="10" max="10"/>
    <col width="15" customWidth="1" min="11" max="11"/>
    <col width="13" customWidth="1" min="12" max="12"/>
    <col width="11" customWidth="1" min="13" max="13"/>
    <col width="15" customWidth="1" min="14" max="14"/>
    <col width="13" customWidth="1" min="15" max="15"/>
    <col width="11" customWidth="1" min="16" max="16"/>
    <col width="15" customWidth="1" min="17" max="17"/>
    <col width="13" customWidth="1" min="18" max="18"/>
    <col width="11" customWidth="1" min="19" max="19"/>
    <col width="15" customWidth="1" min="20" max="20"/>
    <col width="13" customWidth="1" min="21" max="21"/>
    <col width="11" customWidth="1" min="22" max="22"/>
    <col width="15" customWidth="1" min="23" max="23"/>
    <col hidden="1" width="3" customWidth="1" min="24" max="24"/>
    <col hidden="1" width="3" customWidth="1" min="25" max="2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8" customHeight="1">
      <c r="A3" s="4" t="inlineStr">
        <is>
          <t>CONTROLE DE PAGAMENTOS · 2024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 ht="17" customHeight="1">
      <c r="A4" s="6" t="inlineStr">
        <is>
          <t>Uma linha por projeto · fundo creme = você preenche · fundo cinza = calculado · Recebido, Saldo, % e Situação saem sozinhos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6" customHeight="1"/>
    <row r="6" ht="14" customHeight="1">
      <c r="A6" s="8" t="inlineStr">
        <is>
          <t>VENDIDO NO ANO</t>
        </is>
      </c>
      <c r="B6" s="9" t="n"/>
      <c r="C6" s="9" t="n"/>
      <c r="D6" s="8" t="inlineStr">
        <is>
          <t>RECEBIDO</t>
        </is>
      </c>
      <c r="E6" s="9" t="n"/>
      <c r="F6" s="8" t="inlineStr">
        <is>
          <t>A RECEBER</t>
        </is>
      </c>
      <c r="G6" s="9" t="n"/>
      <c r="H6" s="8" t="inlineStr">
        <is>
          <t>% RECEBIDO</t>
        </is>
      </c>
      <c r="I6" s="8" t="inlineStr">
        <is>
          <t>META DO ANO</t>
        </is>
      </c>
      <c r="J6" s="9" t="n"/>
      <c r="K6" s="9" t="n"/>
      <c r="L6" s="8" t="inlineStr">
        <is>
          <t>% DA META</t>
        </is>
      </c>
      <c r="M6" s="9" t="n"/>
      <c r="N6" s="9" t="n"/>
      <c r="O6" s="8" t="inlineStr">
        <is>
          <t>FALTA PARA A META</t>
        </is>
      </c>
      <c r="P6" s="9" t="n"/>
      <c r="Q6" s="9" t="n"/>
      <c r="R6" s="8" t="inlineStr">
        <is>
          <t>CONFERÊNCIA</t>
        </is>
      </c>
      <c r="S6" s="9" t="n"/>
      <c r="T6" s="9" t="n"/>
      <c r="U6" s="9" t="n"/>
      <c r="V6" s="9" t="n"/>
      <c r="W6" s="9" t="n"/>
    </row>
    <row r="7" ht="30" customHeight="1">
      <c r="A7" s="40">
        <f>ROUND(SUMPRODUCT((COUNTIF(Listas!$A$2:$A$15,$A$10:$A$107)=0)*$C$10:$C$107),2)</f>
        <v/>
      </c>
      <c r="B7" s="11" t="n"/>
      <c r="C7" s="11" t="n"/>
      <c r="D7" s="40">
        <f>ROUND(SUM($I$10:$I$107,$L$10:$L$107,$O$10:$O$107,$R$10:$R$107,$U$10:$U$107),2)</f>
        <v/>
      </c>
      <c r="E7" s="11" t="n"/>
      <c r="F7" s="40">
        <f>ROUND($A$7-$D$7,2)</f>
        <v/>
      </c>
      <c r="G7" s="11" t="n"/>
      <c r="H7" s="41">
        <f>IF($A$7=0,"",$D$7/$A$7)</f>
        <v/>
      </c>
      <c r="I7" s="42" t="n"/>
      <c r="J7" s="11" t="n"/>
      <c r="K7" s="11" t="n"/>
      <c r="L7" s="43">
        <f>IF(OR($I$7="",$I$7=0),"",$A$7/$I$7)</f>
        <v/>
      </c>
      <c r="M7" s="11" t="n"/>
      <c r="N7" s="11" t="n"/>
      <c r="O7" s="40">
        <f>IF(OR($I$7="",$I$7=0),"",MAX(0,$I$7-$A$7))</f>
        <v/>
      </c>
      <c r="P7" s="11" t="n"/>
      <c r="Q7" s="11" t="n"/>
      <c r="R7" s="44">
        <f>IF(ROUND(($C$10+$C$21+$C$35+$C$43+$C$49+$C$57+$C$63+$C$69+$C$76+$C$84+$C$91+$C$99)-$A$7,2)=0,"OK · os meses somam igual às linhas","DIVERGE em "&amp;TEXT(($C$10+$C$21+$C$35+$C$43+$C$49+$C$57+$C$63+$C$69+$C$76+$C$84+$C$91+$C$99)-$A$7,"R$ #,##0.00")&amp; " — confira se alguma linha ficou fora de um bloco de mês")</f>
        <v/>
      </c>
      <c r="S7" s="11" t="n"/>
      <c r="T7" s="11" t="n"/>
      <c r="U7" s="11" t="n"/>
      <c r="V7" s="11" t="n"/>
      <c r="W7" s="11" t="n"/>
    </row>
    <row r="8" ht="8" customHeight="1"/>
    <row r="9" ht="30" customHeight="1">
      <c r="A9" s="16" t="inlineStr">
        <is>
          <t>Cliente</t>
        </is>
      </c>
      <c r="B9" s="16" t="inlineStr">
        <is>
          <t>Projeto</t>
        </is>
      </c>
      <c r="C9" s="16" t="inlineStr">
        <is>
          <t>Investimento</t>
        </is>
      </c>
      <c r="D9" s="16" t="inlineStr">
        <is>
          <t>Forma de pagamento</t>
        </is>
      </c>
      <c r="E9" s="16" t="inlineStr">
        <is>
          <t>Recebido</t>
        </is>
      </c>
      <c r="F9" s="16" t="inlineStr">
        <is>
          <t>Saldo a receber</t>
        </is>
      </c>
      <c r="G9" s="16" t="inlineStr">
        <is>
          <t>% recebido</t>
        </is>
      </c>
      <c r="H9" s="16" t="inlineStr">
        <is>
          <t>Situação</t>
        </is>
      </c>
      <c r="I9" s="16" t="inlineStr">
        <is>
          <t>1º Pagt. (R$)</t>
        </is>
      </c>
      <c r="J9" s="16" t="inlineStr">
        <is>
          <t>Data</t>
        </is>
      </c>
      <c r="K9" s="16" t="inlineStr">
        <is>
          <t>Descrição</t>
        </is>
      </c>
      <c r="L9" s="16" t="inlineStr">
        <is>
          <t>2º Pagt. (R$)</t>
        </is>
      </c>
      <c r="M9" s="16" t="inlineStr">
        <is>
          <t>Data</t>
        </is>
      </c>
      <c r="N9" s="16" t="inlineStr">
        <is>
          <t>Descrição</t>
        </is>
      </c>
      <c r="O9" s="16" t="inlineStr">
        <is>
          <t>3º Pagt. (R$)</t>
        </is>
      </c>
      <c r="P9" s="16" t="inlineStr">
        <is>
          <t>Data</t>
        </is>
      </c>
      <c r="Q9" s="16" t="inlineStr">
        <is>
          <t>Descrição</t>
        </is>
      </c>
      <c r="R9" s="16" t="inlineStr">
        <is>
          <t>4º Pagt. (R$)</t>
        </is>
      </c>
      <c r="S9" s="16" t="inlineStr">
        <is>
          <t>Data</t>
        </is>
      </c>
      <c r="T9" s="16" t="inlineStr">
        <is>
          <t>Descrição</t>
        </is>
      </c>
      <c r="U9" s="16" t="inlineStr">
        <is>
          <t>5º Pagt. (R$)</t>
        </is>
      </c>
      <c r="V9" s="16" t="inlineStr">
        <is>
          <t>Data</t>
        </is>
      </c>
      <c r="W9" s="16" t="inlineStr">
        <is>
          <t>Descrição</t>
        </is>
      </c>
      <c r="X9" s="16" t="inlineStr">
        <is>
          <t>aux</t>
        </is>
      </c>
      <c r="Y9" s="16" t="inlineStr">
        <is>
          <t>aux2</t>
        </is>
      </c>
    </row>
    <row r="10" ht="20" customHeight="1">
      <c r="A10" s="33" t="inlineStr">
        <is>
          <t>Janeiro</t>
        </is>
      </c>
      <c r="B10" s="45" t="n"/>
      <c r="C10" s="46">
        <f>SUM(C11:C19)</f>
        <v/>
      </c>
      <c r="D10" s="45" t="n"/>
      <c r="E10" s="46">
        <f>SUM(E11:E19)</f>
        <v/>
      </c>
      <c r="F10" s="46">
        <f>SUM(F11:F19)</f>
        <v/>
      </c>
      <c r="G10" s="47">
        <f>IF(OR(C10="",C10=0),"",E10/C10)</f>
        <v/>
      </c>
      <c r="H10" s="48">
        <f>COUNT(C11:C19)&amp;" projeto(s)"</f>
        <v/>
      </c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</row>
    <row r="11" ht="17" customHeight="1">
      <c r="A11" s="49" t="inlineStr">
        <is>
          <t>Alexandre Rissio</t>
        </is>
      </c>
      <c r="B11" s="49" t="inlineStr">
        <is>
          <t>Painel (Monte Negro)</t>
        </is>
      </c>
      <c r="C11" s="50" t="n">
        <v>13000</v>
      </c>
      <c r="D11" s="49" t="n"/>
      <c r="E11" s="51">
        <f>IF($C11="","",ROUND(SUM(I11,L11,O11,R11,U11),2))</f>
        <v/>
      </c>
      <c r="F11" s="52">
        <f>IF($C11="","",ROUND($C11-$E11,2))</f>
        <v/>
      </c>
      <c r="G11" s="24">
        <f>IF(OR($C11="",$C11=0),"",$E11/$C11)</f>
        <v/>
      </c>
      <c r="H11" s="53">
        <f>IF($C11="","",IF($E11=0,"A receber",IF(ROUND($F11,2)=0,"Quitado",IF($F11&lt;0,"Recebido a mais","Parcial"))))</f>
        <v/>
      </c>
      <c r="I11" s="54" t="n">
        <v>5000</v>
      </c>
      <c r="J11" s="55" t="n">
        <v>45345</v>
      </c>
      <c r="K11" s="56" t="inlineStr">
        <is>
          <t>pix</t>
        </is>
      </c>
      <c r="L11" s="54" t="n">
        <v>8000</v>
      </c>
      <c r="M11" s="55" t="n">
        <v>45388</v>
      </c>
      <c r="N11" s="56" t="inlineStr">
        <is>
          <t>pix</t>
        </is>
      </c>
      <c r="O11" s="54" t="n"/>
      <c r="P11" s="55" t="n"/>
      <c r="Q11" s="56" t="n"/>
      <c r="R11" s="54" t="n"/>
      <c r="S11" s="55" t="n"/>
      <c r="T11" s="56" t="n"/>
      <c r="U11" s="54" t="n"/>
      <c r="V11" s="55" t="n"/>
      <c r="W11" s="56" t="n"/>
      <c r="X11" s="57">
        <f>IF($C11="","",$F11)</f>
        <v/>
      </c>
      <c r="Y11" s="57">
        <f>IF($C11="","",$C11)</f>
        <v/>
      </c>
    </row>
    <row r="12" ht="17" customHeight="1">
      <c r="A12" s="49" t="inlineStr">
        <is>
          <t>Angela</t>
        </is>
      </c>
      <c r="B12" s="49" t="inlineStr">
        <is>
          <t>reforma cozinha</t>
        </is>
      </c>
      <c r="C12" s="50" t="n">
        <v>8500</v>
      </c>
      <c r="D12" s="49" t="n"/>
      <c r="E12" s="51">
        <f>IF($C12="","",ROUND(SUM(I12,L12,O12,R12,U12),2))</f>
        <v/>
      </c>
      <c r="F12" s="52">
        <f>IF($C12="","",ROUND($C12-$E12,2))</f>
        <v/>
      </c>
      <c r="G12" s="24">
        <f>IF(OR($C12="",$C12=0),"",$E12/$C12)</f>
        <v/>
      </c>
      <c r="H12" s="53">
        <f>IF($C12="","",IF($E12=0,"A receber",IF(ROUND($F12,2)=0,"Quitado",IF($F12&lt;0,"Recebido a mais","Parcial"))))</f>
        <v/>
      </c>
      <c r="I12" s="54" t="n">
        <v>4250</v>
      </c>
      <c r="J12" s="55" t="n">
        <v>45306</v>
      </c>
      <c r="K12" s="56" t="inlineStr">
        <is>
          <t>Pix</t>
        </is>
      </c>
      <c r="L12" s="54" t="n">
        <v>4250</v>
      </c>
      <c r="M12" s="55" t="n">
        <v>45377</v>
      </c>
      <c r="N12" s="56" t="inlineStr">
        <is>
          <t>pix</t>
        </is>
      </c>
      <c r="O12" s="54" t="n"/>
      <c r="P12" s="55" t="n"/>
      <c r="Q12" s="56" t="n"/>
      <c r="R12" s="54" t="n"/>
      <c r="S12" s="55" t="n"/>
      <c r="T12" s="56" t="n"/>
      <c r="U12" s="54" t="n"/>
      <c r="V12" s="55" t="n"/>
      <c r="W12" s="56" t="n"/>
      <c r="X12" s="57">
        <f>IF($C12="","",$F12)</f>
        <v/>
      </c>
      <c r="Y12" s="57">
        <f>IF($C12="","",$C12)</f>
        <v/>
      </c>
    </row>
    <row r="13" ht="17" customHeight="1">
      <c r="A13" s="49" t="inlineStr">
        <is>
          <t>Bruna</t>
        </is>
      </c>
      <c r="B13" s="49" t="inlineStr">
        <is>
          <t>salao</t>
        </is>
      </c>
      <c r="C13" s="50" t="n">
        <v>11200</v>
      </c>
      <c r="D13" s="49" t="n"/>
      <c r="E13" s="51">
        <f>IF($C13="","",ROUND(SUM(I13,L13,O13,R13,U13),2))</f>
        <v/>
      </c>
      <c r="F13" s="52">
        <f>IF($C13="","",ROUND($C13-$E13,2))</f>
        <v/>
      </c>
      <c r="G13" s="24">
        <f>IF(OR($C13="",$C13=0),"",$E13/$C13)</f>
        <v/>
      </c>
      <c r="H13" s="53">
        <f>IF($C13="","",IF($E13=0,"A receber",IF(ROUND($F13,2)=0,"Quitado",IF($F13&lt;0,"Recebido a mais","Parcial"))))</f>
        <v/>
      </c>
      <c r="I13" s="54" t="n">
        <v>7840</v>
      </c>
      <c r="J13" s="55" t="n"/>
      <c r="K13" s="56" t="n"/>
      <c r="L13" s="54" t="n">
        <v>3360</v>
      </c>
      <c r="M13" s="55" t="n"/>
      <c r="N13" s="56" t="n"/>
      <c r="O13" s="54" t="n"/>
      <c r="P13" s="55" t="n"/>
      <c r="Q13" s="56" t="n"/>
      <c r="R13" s="54" t="n"/>
      <c r="S13" s="55" t="n"/>
      <c r="T13" s="56" t="n"/>
      <c r="U13" s="54" t="n"/>
      <c r="V13" s="55" t="n"/>
      <c r="W13" s="56" t="n"/>
      <c r="X13" s="57">
        <f>IF($C13="","",$F13)</f>
        <v/>
      </c>
      <c r="Y13" s="57">
        <f>IF($C13="","",$C13)</f>
        <v/>
      </c>
    </row>
    <row r="14" ht="17" customHeight="1">
      <c r="A14" s="49" t="inlineStr">
        <is>
          <t>Caroline</t>
        </is>
      </c>
      <c r="B14" s="49" t="inlineStr">
        <is>
          <t>sala de atendimento</t>
        </is>
      </c>
      <c r="C14" s="50" t="n">
        <v>6000</v>
      </c>
      <c r="D14" s="49" t="n"/>
      <c r="E14" s="51">
        <f>IF($C14="","",ROUND(SUM(I14,L14,O14,R14,U14),2))</f>
        <v/>
      </c>
      <c r="F14" s="52">
        <f>IF($C14="","",ROUND($C14-$E14,2))</f>
        <v/>
      </c>
      <c r="G14" s="24">
        <f>IF(OR($C14="",$C14=0),"",$E14/$C14)</f>
        <v/>
      </c>
      <c r="H14" s="53">
        <f>IF($C14="","",IF($E14=0,"A receber",IF(ROUND($F14,2)=0,"Quitado",IF($F14&lt;0,"Recebido a mais","Parcial"))))</f>
        <v/>
      </c>
      <c r="I14" s="54" t="n">
        <v>3000</v>
      </c>
      <c r="J14" s="55" t="n"/>
      <c r="K14" s="56" t="n"/>
      <c r="L14" s="54" t="n">
        <v>3000</v>
      </c>
      <c r="M14" s="55" t="n"/>
      <c r="N14" s="56" t="n"/>
      <c r="O14" s="54" t="n"/>
      <c r="P14" s="55" t="n"/>
      <c r="Q14" s="56" t="n"/>
      <c r="R14" s="54" t="n"/>
      <c r="S14" s="55" t="n"/>
      <c r="T14" s="56" t="n"/>
      <c r="U14" s="54" t="n"/>
      <c r="V14" s="55" t="n"/>
      <c r="W14" s="56" t="n"/>
      <c r="X14" s="57">
        <f>IF($C14="","",$F14)</f>
        <v/>
      </c>
      <c r="Y14" s="57">
        <f>IF($C14="","",$C14)</f>
        <v/>
      </c>
    </row>
    <row r="15" ht="17" customHeight="1">
      <c r="A15" s="49" t="inlineStr">
        <is>
          <t>Jairo</t>
        </is>
      </c>
      <c r="B15" s="49" t="inlineStr">
        <is>
          <t>cozinha</t>
        </is>
      </c>
      <c r="C15" s="50" t="n">
        <v>3500</v>
      </c>
      <c r="D15" s="49" t="n"/>
      <c r="E15" s="51">
        <f>IF($C15="","",ROUND(SUM(I15,L15,O15,R15,U15),2))</f>
        <v/>
      </c>
      <c r="F15" s="52">
        <f>IF($C15="","",ROUND($C15-$E15,2))</f>
        <v/>
      </c>
      <c r="G15" s="24">
        <f>IF(OR($C15="",$C15=0),"",$E15/$C15)</f>
        <v/>
      </c>
      <c r="H15" s="53">
        <f>IF($C15="","",IF($E15=0,"A receber",IF(ROUND($F15,2)=0,"Quitado",IF($F15&lt;0,"Recebido a mais","Parcial"))))</f>
        <v/>
      </c>
      <c r="I15" s="54" t="n">
        <v>2000</v>
      </c>
      <c r="J15" s="55" t="n"/>
      <c r="K15" s="56" t="inlineStr">
        <is>
          <t>pix</t>
        </is>
      </c>
      <c r="L15" s="54" t="n">
        <v>1500</v>
      </c>
      <c r="M15" s="55" t="n"/>
      <c r="N15" s="56" t="n"/>
      <c r="O15" s="54" t="n"/>
      <c r="P15" s="55" t="n"/>
      <c r="Q15" s="56" t="n"/>
      <c r="R15" s="54" t="n"/>
      <c r="S15" s="55" t="n"/>
      <c r="T15" s="56" t="n"/>
      <c r="U15" s="54" t="n"/>
      <c r="V15" s="55" t="n"/>
      <c r="W15" s="56" t="n"/>
      <c r="X15" s="57">
        <f>IF($C15="","",$F15)</f>
        <v/>
      </c>
      <c r="Y15" s="57">
        <f>IF($C15="","",$C15)</f>
        <v/>
      </c>
    </row>
    <row r="16" ht="17" customHeight="1">
      <c r="A16" s="49" t="inlineStr">
        <is>
          <t>Marco tulio</t>
        </is>
      </c>
      <c r="B16" s="49" t="inlineStr">
        <is>
          <t>Sala e escritorio (Monte Negro)</t>
        </is>
      </c>
      <c r="C16" s="50" t="n">
        <v>15000</v>
      </c>
      <c r="D16" s="49" t="n"/>
      <c r="E16" s="51">
        <f>IF($C16="","",ROUND(SUM(I16,L16,O16,R16,U16),2))</f>
        <v/>
      </c>
      <c r="F16" s="52">
        <f>IF($C16="","",ROUND($C16-$E16,2))</f>
        <v/>
      </c>
      <c r="G16" s="24">
        <f>IF(OR($C16="",$C16=0),"",$E16/$C16)</f>
        <v/>
      </c>
      <c r="H16" s="53">
        <f>IF($C16="","",IF($E16=0,"A receber",IF(ROUND($F16,2)=0,"Quitado",IF($F16&lt;0,"Recebido a mais","Parcial"))))</f>
        <v/>
      </c>
      <c r="I16" s="54" t="n">
        <v>3000</v>
      </c>
      <c r="J16" s="55" t="n"/>
      <c r="K16" s="56" t="n"/>
      <c r="L16" s="54" t="n">
        <v>4500</v>
      </c>
      <c r="M16" s="55" t="n">
        <v>45317</v>
      </c>
      <c r="N16" s="56" t="inlineStr">
        <is>
          <t>pix</t>
        </is>
      </c>
      <c r="O16" s="54" t="n">
        <v>800</v>
      </c>
      <c r="P16" s="55" t="n"/>
      <c r="Q16" s="56" t="n"/>
      <c r="R16" s="54" t="n">
        <v>6700</v>
      </c>
      <c r="S16" s="55" t="n"/>
      <c r="T16" s="56" t="inlineStr">
        <is>
          <t>pix</t>
        </is>
      </c>
      <c r="U16" s="54" t="n"/>
      <c r="V16" s="55" t="n"/>
      <c r="W16" s="56" t="n"/>
      <c r="X16" s="57">
        <f>IF($C16="","",$F16)</f>
        <v/>
      </c>
      <c r="Y16" s="57">
        <f>IF($C16="","",$C16)</f>
        <v/>
      </c>
    </row>
    <row r="17" ht="17" customHeight="1">
      <c r="A17" s="49" t="inlineStr">
        <is>
          <t>silvina</t>
        </is>
      </c>
      <c r="B17" s="49" t="inlineStr">
        <is>
          <t>cozinha e banheiro</t>
        </is>
      </c>
      <c r="C17" s="50" t="n">
        <v>13000</v>
      </c>
      <c r="D17" s="49" t="n"/>
      <c r="E17" s="51">
        <f>IF($C17="","",ROUND(SUM(I17,L17,O17,R17,U17),2))</f>
        <v/>
      </c>
      <c r="F17" s="52">
        <f>IF($C17="","",ROUND($C17-$E17,2))</f>
        <v/>
      </c>
      <c r="G17" s="24">
        <f>IF(OR($C17="",$C17=0),"",$E17/$C17)</f>
        <v/>
      </c>
      <c r="H17" s="53">
        <f>IF($C17="","",IF($E17=0,"A receber",IF(ROUND($F17,2)=0,"Quitado",IF($F17&lt;0,"Recebido a mais","Parcial"))))</f>
        <v/>
      </c>
      <c r="I17" s="54" t="n">
        <v>6000</v>
      </c>
      <c r="J17" s="55" t="n"/>
      <c r="K17" s="56" t="n"/>
      <c r="L17" s="54" t="n">
        <v>5000</v>
      </c>
      <c r="M17" s="55" t="n">
        <v>45458</v>
      </c>
      <c r="N17" s="56" t="inlineStr">
        <is>
          <t>pix</t>
        </is>
      </c>
      <c r="O17" s="54" t="n">
        <v>2000</v>
      </c>
      <c r="P17" s="55" t="n"/>
      <c r="Q17" s="56" t="n"/>
      <c r="R17" s="54" t="n"/>
      <c r="S17" s="55" t="n"/>
      <c r="T17" s="56" t="n"/>
      <c r="U17" s="54" t="n"/>
      <c r="V17" s="55" t="n"/>
      <c r="W17" s="56" t="n"/>
      <c r="X17" s="57">
        <f>IF($C17="","",$F17)</f>
        <v/>
      </c>
      <c r="Y17" s="57">
        <f>IF($C17="","",$C17)</f>
        <v/>
      </c>
    </row>
    <row r="18" ht="17" customHeight="1">
      <c r="A18" s="49" t="n"/>
      <c r="B18" s="49" t="n"/>
      <c r="C18" s="50" t="n"/>
      <c r="D18" s="49" t="n"/>
      <c r="E18" s="51">
        <f>IF($C18="","",ROUND(SUM(I18,L18,O18,R18,U18),2))</f>
        <v/>
      </c>
      <c r="F18" s="52">
        <f>IF($C18="","",ROUND($C18-$E18,2))</f>
        <v/>
      </c>
      <c r="G18" s="24">
        <f>IF(OR($C18="",$C18=0),"",$E18/$C18)</f>
        <v/>
      </c>
      <c r="H18" s="53">
        <f>IF($C18="","",IF($E18=0,"A receber",IF(ROUND($F18,2)=0,"Quitado",IF($F18&lt;0,"Recebido a mais","Parcial"))))</f>
        <v/>
      </c>
      <c r="I18" s="54" t="n"/>
      <c r="J18" s="55" t="n"/>
      <c r="K18" s="56" t="n"/>
      <c r="L18" s="54" t="n"/>
      <c r="M18" s="55" t="n"/>
      <c r="N18" s="56" t="n"/>
      <c r="O18" s="54" t="n"/>
      <c r="P18" s="55" t="n"/>
      <c r="Q18" s="56" t="n"/>
      <c r="R18" s="54" t="n"/>
      <c r="S18" s="55" t="n"/>
      <c r="T18" s="56" t="n"/>
      <c r="U18" s="54" t="n"/>
      <c r="V18" s="55" t="n"/>
      <c r="W18" s="56" t="n"/>
      <c r="X18" s="57">
        <f>IF($C18="","",$F18)</f>
        <v/>
      </c>
      <c r="Y18" s="57">
        <f>IF($C18="","",$C18)</f>
        <v/>
      </c>
    </row>
    <row r="19" ht="17" customHeight="1">
      <c r="A19" s="49" t="n"/>
      <c r="B19" s="49" t="n"/>
      <c r="C19" s="50" t="n"/>
      <c r="D19" s="49" t="n"/>
      <c r="E19" s="51">
        <f>IF($C19="","",ROUND(SUM(I19,L19,O19,R19,U19),2))</f>
        <v/>
      </c>
      <c r="F19" s="52">
        <f>IF($C19="","",ROUND($C19-$E19,2))</f>
        <v/>
      </c>
      <c r="G19" s="24">
        <f>IF(OR($C19="",$C19=0),"",$E19/$C19)</f>
        <v/>
      </c>
      <c r="H19" s="53">
        <f>IF($C19="","",IF($E19=0,"A receber",IF(ROUND($F19,2)=0,"Quitado",IF($F19&lt;0,"Recebido a mais","Parcial"))))</f>
        <v/>
      </c>
      <c r="I19" s="54" t="n"/>
      <c r="J19" s="55" t="n"/>
      <c r="K19" s="56" t="n"/>
      <c r="L19" s="54" t="n"/>
      <c r="M19" s="55" t="n"/>
      <c r="N19" s="56" t="n"/>
      <c r="O19" s="54" t="n"/>
      <c r="P19" s="55" t="n"/>
      <c r="Q19" s="56" t="n"/>
      <c r="R19" s="54" t="n"/>
      <c r="S19" s="55" t="n"/>
      <c r="T19" s="56" t="n"/>
      <c r="U19" s="54" t="n"/>
      <c r="V19" s="55" t="n"/>
      <c r="W19" s="56" t="n"/>
      <c r="X19" s="57">
        <f>IF($C19="","",$F19)</f>
        <v/>
      </c>
      <c r="Y19" s="57">
        <f>IF($C19="","",$C19)</f>
        <v/>
      </c>
    </row>
    <row r="20" ht="6" customHeight="1"/>
    <row r="21" ht="20" customHeight="1">
      <c r="A21" s="33" t="inlineStr">
        <is>
          <t>Fevereiro</t>
        </is>
      </c>
      <c r="B21" s="45" t="n"/>
      <c r="C21" s="46">
        <f>SUM(C22:C33)</f>
        <v/>
      </c>
      <c r="D21" s="45" t="n"/>
      <c r="E21" s="46">
        <f>SUM(E22:E33)</f>
        <v/>
      </c>
      <c r="F21" s="46">
        <f>SUM(F22:F33)</f>
        <v/>
      </c>
      <c r="G21" s="47">
        <f>IF(OR(C21="",C21=0),"",E21/C21)</f>
        <v/>
      </c>
      <c r="H21" s="48">
        <f>COUNT(C22:C33)&amp;" projeto(s)"</f>
        <v/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</row>
    <row r="22" ht="17" customHeight="1">
      <c r="A22" s="49" t="inlineStr">
        <is>
          <t>Jansen</t>
        </is>
      </c>
      <c r="B22" s="49" t="inlineStr">
        <is>
          <t>cozinha</t>
        </is>
      </c>
      <c r="C22" s="50" t="n">
        <v>14300</v>
      </c>
      <c r="D22" s="49" t="n"/>
      <c r="E22" s="51">
        <f>IF($C22="","",ROUND(SUM(I22,L22,O22,R22,U22),2))</f>
        <v/>
      </c>
      <c r="F22" s="52">
        <f>IF($C22="","",ROUND($C22-$E22,2))</f>
        <v/>
      </c>
      <c r="G22" s="24">
        <f>IF(OR($C22="",$C22=0),"",$E22/$C22)</f>
        <v/>
      </c>
      <c r="H22" s="53">
        <f>IF($C22="","",IF($E22=0,"A receber",IF(ROUND($F22,2)=0,"Quitado",IF($F22&lt;0,"Recebido a mais","Parcial"))))</f>
        <v/>
      </c>
      <c r="I22" s="54" t="n">
        <v>14300</v>
      </c>
      <c r="J22" s="55" t="n"/>
      <c r="K22" s="56" t="inlineStr">
        <is>
          <t>cartao</t>
        </is>
      </c>
      <c r="L22" s="54" t="n"/>
      <c r="M22" s="55" t="n"/>
      <c r="N22" s="56" t="n"/>
      <c r="O22" s="54" t="n"/>
      <c r="P22" s="55" t="n"/>
      <c r="Q22" s="56" t="n"/>
      <c r="R22" s="54" t="n"/>
      <c r="S22" s="55" t="n"/>
      <c r="T22" s="56" t="n"/>
      <c r="U22" s="54" t="n"/>
      <c r="V22" s="55" t="n"/>
      <c r="W22" s="56" t="n"/>
      <c r="X22" s="57">
        <f>IF($C22="","",$F22)</f>
        <v/>
      </c>
      <c r="Y22" s="57">
        <f>IF($C22="","",$C22)</f>
        <v/>
      </c>
    </row>
    <row r="23" ht="17" customHeight="1">
      <c r="A23" s="49" t="inlineStr">
        <is>
          <t>Angela</t>
        </is>
      </c>
      <c r="B23" s="49" t="inlineStr">
        <is>
          <t>complemento cozinha</t>
        </is>
      </c>
      <c r="C23" s="50" t="n">
        <v>3200</v>
      </c>
      <c r="D23" s="49" t="n"/>
      <c r="E23" s="51">
        <f>IF($C23="","",ROUND(SUM(I23,L23,O23,R23,U23),2))</f>
        <v/>
      </c>
      <c r="F23" s="52">
        <f>IF($C23="","",ROUND($C23-$E23,2))</f>
        <v/>
      </c>
      <c r="G23" s="24">
        <f>IF(OR($C23="",$C23=0),"",$E23/$C23)</f>
        <v/>
      </c>
      <c r="H23" s="53">
        <f>IF($C23="","",IF($E23=0,"A receber",IF(ROUND($F23,2)=0,"Quitado",IF($F23&lt;0,"Recebido a mais","Parcial"))))</f>
        <v/>
      </c>
      <c r="I23" s="54" t="n">
        <v>1600</v>
      </c>
      <c r="J23" s="55" t="n">
        <v>45327</v>
      </c>
      <c r="K23" s="56" t="inlineStr">
        <is>
          <t>pix</t>
        </is>
      </c>
      <c r="L23" s="54" t="n">
        <v>1600</v>
      </c>
      <c r="M23" s="55" t="n"/>
      <c r="N23" s="56" t="n"/>
      <c r="O23" s="54" t="n"/>
      <c r="P23" s="55" t="n"/>
      <c r="Q23" s="56" t="n"/>
      <c r="R23" s="54" t="n"/>
      <c r="S23" s="55" t="n"/>
      <c r="T23" s="56" t="n"/>
      <c r="U23" s="54" t="n"/>
      <c r="V23" s="55" t="n"/>
      <c r="W23" s="56" t="n"/>
      <c r="X23" s="57">
        <f>IF($C23="","",$F23)</f>
        <v/>
      </c>
      <c r="Y23" s="57">
        <f>IF($C23="","",$C23)</f>
        <v/>
      </c>
    </row>
    <row r="24" ht="17" customHeight="1">
      <c r="A24" s="49" t="inlineStr">
        <is>
          <t>Andrea</t>
        </is>
      </c>
      <c r="B24" s="49" t="inlineStr">
        <is>
          <t>Cozinha</t>
        </is>
      </c>
      <c r="C24" s="50" t="n">
        <v>25970</v>
      </c>
      <c r="D24" s="49" t="n"/>
      <c r="E24" s="51">
        <f>IF($C24="","",ROUND(SUM(I24,L24,O24,R24,U24),2))</f>
        <v/>
      </c>
      <c r="F24" s="52">
        <f>IF($C24="","",ROUND($C24-$E24,2))</f>
        <v/>
      </c>
      <c r="G24" s="24">
        <f>IF(OR($C24="",$C24=0),"",$E24/$C24)</f>
        <v/>
      </c>
      <c r="H24" s="53">
        <f>IF($C24="","",IF($E24=0,"A receber",IF(ROUND($F24,2)=0,"Quitado",IF($F24&lt;0,"Recebido a mais","Parcial"))))</f>
        <v/>
      </c>
      <c r="I24" s="54" t="n">
        <v>15500</v>
      </c>
      <c r="J24" s="55" t="n"/>
      <c r="K24" s="56" t="inlineStr">
        <is>
          <t>Pix</t>
        </is>
      </c>
      <c r="L24" s="54" t="n">
        <v>10470</v>
      </c>
      <c r="M24" s="55" t="n"/>
      <c r="N24" s="56" t="n"/>
      <c r="O24" s="54" t="n"/>
      <c r="P24" s="55" t="n"/>
      <c r="Q24" s="56" t="n"/>
      <c r="R24" s="54" t="n"/>
      <c r="S24" s="55" t="n"/>
      <c r="T24" s="56" t="n"/>
      <c r="U24" s="54" t="n"/>
      <c r="V24" s="55" t="n"/>
      <c r="W24" s="56" t="n"/>
      <c r="X24" s="57">
        <f>IF($C24="","",$F24)</f>
        <v/>
      </c>
      <c r="Y24" s="57">
        <f>IF($C24="","",$C24)</f>
        <v/>
      </c>
    </row>
    <row r="25" ht="17" customHeight="1">
      <c r="A25" s="49" t="inlineStr">
        <is>
          <t>Mirela</t>
        </is>
      </c>
      <c r="B25" s="49" t="inlineStr">
        <is>
          <t>Casa completa</t>
        </is>
      </c>
      <c r="C25" s="50" t="n">
        <v>141500</v>
      </c>
      <c r="D25" s="49" t="n"/>
      <c r="E25" s="51">
        <f>IF($C25="","",ROUND(SUM(I25,L25,O25,R25,U25),2))</f>
        <v/>
      </c>
      <c r="F25" s="52">
        <f>IF($C25="","",ROUND($C25-$E25,2))</f>
        <v/>
      </c>
      <c r="G25" s="24">
        <f>IF(OR($C25="",$C25=0),"",$E25/$C25)</f>
        <v/>
      </c>
      <c r="H25" s="53">
        <f>IF($C25="","",IF($E25=0,"A receber",IF(ROUND($F25,2)=0,"Quitado",IF($F25&lt;0,"Recebido a mais","Parcial"))))</f>
        <v/>
      </c>
      <c r="I25" s="54" t="n">
        <v>50000</v>
      </c>
      <c r="J25" s="55" t="n">
        <v>45339</v>
      </c>
      <c r="K25" s="56" t="inlineStr">
        <is>
          <t>pix</t>
        </is>
      </c>
      <c r="L25" s="54" t="n">
        <v>5500</v>
      </c>
      <c r="M25" s="55" t="n">
        <v>45340</v>
      </c>
      <c r="N25" s="56" t="inlineStr">
        <is>
          <t>pix</t>
        </is>
      </c>
      <c r="O25" s="54" t="n">
        <v>28000</v>
      </c>
      <c r="P25" s="55" t="n">
        <v>45356</v>
      </c>
      <c r="Q25" s="56" t="inlineStr">
        <is>
          <t>pix</t>
        </is>
      </c>
      <c r="R25" s="54" t="n">
        <v>58000</v>
      </c>
      <c r="S25" s="55" t="n"/>
      <c r="T25" s="56" t="n"/>
      <c r="U25" s="54" t="n"/>
      <c r="V25" s="55" t="n"/>
      <c r="W25" s="56" t="n"/>
      <c r="X25" s="57">
        <f>IF($C25="","",$F25)</f>
        <v/>
      </c>
      <c r="Y25" s="57">
        <f>IF($C25="","",$C25)</f>
        <v/>
      </c>
    </row>
    <row r="26" ht="17" customHeight="1">
      <c r="A26" s="49" t="inlineStr">
        <is>
          <t>Shirley</t>
        </is>
      </c>
      <c r="B26" s="49" t="inlineStr">
        <is>
          <t>cozinha, escritorio e corredor</t>
        </is>
      </c>
      <c r="C26" s="50" t="n">
        <v>48360</v>
      </c>
      <c r="D26" s="49" t="n"/>
      <c r="E26" s="51">
        <f>IF($C26="","",ROUND(SUM(I26,L26,O26,R26,U26),2))</f>
        <v/>
      </c>
      <c r="F26" s="52">
        <f>IF($C26="","",ROUND($C26-$E26,2))</f>
        <v/>
      </c>
      <c r="G26" s="24">
        <f>IF(OR($C26="",$C26=0),"",$E26/$C26)</f>
        <v/>
      </c>
      <c r="H26" s="53">
        <f>IF($C26="","",IF($E26=0,"A receber",IF(ROUND($F26,2)=0,"Quitado",IF($F26&lt;0,"Recebido a mais","Parcial"))))</f>
        <v/>
      </c>
      <c r="I26" s="54" t="n">
        <v>30000</v>
      </c>
      <c r="J26" s="55" t="n">
        <v>45325</v>
      </c>
      <c r="K26" s="56" t="inlineStr">
        <is>
          <t>pix</t>
        </is>
      </c>
      <c r="L26" s="54" t="n">
        <v>18360</v>
      </c>
      <c r="M26" s="55" t="n">
        <v>45410</v>
      </c>
      <c r="N26" s="56" t="inlineStr">
        <is>
          <t>pix</t>
        </is>
      </c>
      <c r="O26" s="54" t="n"/>
      <c r="P26" s="55" t="n"/>
      <c r="Q26" s="56" t="n"/>
      <c r="R26" s="54" t="n"/>
      <c r="S26" s="55" t="n"/>
      <c r="T26" s="56" t="n"/>
      <c r="U26" s="54" t="n"/>
      <c r="V26" s="55" t="n"/>
      <c r="W26" s="56" t="n"/>
      <c r="X26" s="57">
        <f>IF($C26="","",$F26)</f>
        <v/>
      </c>
      <c r="Y26" s="57">
        <f>IF($C26="","",$C26)</f>
        <v/>
      </c>
    </row>
    <row r="27" ht="17" customHeight="1">
      <c r="A27" s="49" t="inlineStr">
        <is>
          <t>Thiago</t>
        </is>
      </c>
      <c r="B27" s="49" t="inlineStr">
        <is>
          <t>Quarto filho</t>
        </is>
      </c>
      <c r="C27" s="50" t="n">
        <v>7950</v>
      </c>
      <c r="D27" s="49" t="n"/>
      <c r="E27" s="51">
        <f>IF($C27="","",ROUND(SUM(I27,L27,O27,R27,U27),2))</f>
        <v/>
      </c>
      <c r="F27" s="52">
        <f>IF($C27="","",ROUND($C27-$E27,2))</f>
        <v/>
      </c>
      <c r="G27" s="24">
        <f>IF(OR($C27="",$C27=0),"",$E27/$C27)</f>
        <v/>
      </c>
      <c r="H27" s="53">
        <f>IF($C27="","",IF($E27=0,"A receber",IF(ROUND($F27,2)=0,"Quitado",IF($F27&lt;0,"Recebido a mais","Parcial"))))</f>
        <v/>
      </c>
      <c r="I27" s="54" t="n">
        <v>1400</v>
      </c>
      <c r="J27" s="55" t="n"/>
      <c r="K27" s="56" t="n"/>
      <c r="L27" s="54" t="n">
        <v>6550</v>
      </c>
      <c r="M27" s="55" t="n">
        <v>45364</v>
      </c>
      <c r="N27" s="56" t="inlineStr">
        <is>
          <t>cartao</t>
        </is>
      </c>
      <c r="O27" s="54" t="n"/>
      <c r="P27" s="55" t="n"/>
      <c r="Q27" s="56" t="n"/>
      <c r="R27" s="54" t="n"/>
      <c r="S27" s="55" t="n"/>
      <c r="T27" s="56" t="n"/>
      <c r="U27" s="54" t="n"/>
      <c r="V27" s="55" t="n"/>
      <c r="W27" s="56" t="n"/>
      <c r="X27" s="57">
        <f>IF($C27="","",$F27)</f>
        <v/>
      </c>
      <c r="Y27" s="57">
        <f>IF($C27="","",$C27)</f>
        <v/>
      </c>
    </row>
    <row r="28" ht="17" customHeight="1">
      <c r="A28" s="49" t="inlineStr">
        <is>
          <t>Daniel</t>
        </is>
      </c>
      <c r="B28" s="49" t="inlineStr">
        <is>
          <t>Rack quarto</t>
        </is>
      </c>
      <c r="C28" s="50" t="n">
        <v>9700</v>
      </c>
      <c r="D28" s="49" t="n"/>
      <c r="E28" s="51">
        <f>IF($C28="","",ROUND(SUM(I28,L28,O28,R28,U28),2))</f>
        <v/>
      </c>
      <c r="F28" s="52">
        <f>IF($C28="","",ROUND($C28-$E28,2))</f>
        <v/>
      </c>
      <c r="G28" s="24">
        <f>IF(OR($C28="",$C28=0),"",$E28/$C28)</f>
        <v/>
      </c>
      <c r="H28" s="53">
        <f>IF($C28="","",IF($E28=0,"A receber",IF(ROUND($F28,2)=0,"Quitado",IF($F28&lt;0,"Recebido a mais","Parcial"))))</f>
        <v/>
      </c>
      <c r="I28" s="54" t="n">
        <v>3000</v>
      </c>
      <c r="J28" s="55" t="n">
        <v>45344</v>
      </c>
      <c r="K28" s="56" t="inlineStr">
        <is>
          <t>pix</t>
        </is>
      </c>
      <c r="L28" s="54" t="n">
        <v>6700</v>
      </c>
      <c r="M28" s="55" t="n">
        <v>45384</v>
      </c>
      <c r="N28" s="56" t="inlineStr">
        <is>
          <t>cartao</t>
        </is>
      </c>
      <c r="O28" s="54" t="n"/>
      <c r="P28" s="55" t="n"/>
      <c r="Q28" s="56" t="n"/>
      <c r="R28" s="54" t="n"/>
      <c r="S28" s="55" t="n"/>
      <c r="T28" s="56" t="n"/>
      <c r="U28" s="54" t="n"/>
      <c r="V28" s="55" t="n"/>
      <c r="W28" s="56" t="n"/>
      <c r="X28" s="57">
        <f>IF($C28="","",$F28)</f>
        <v/>
      </c>
      <c r="Y28" s="57">
        <f>IF($C28="","",$C28)</f>
        <v/>
      </c>
    </row>
    <row r="29" ht="17" customHeight="1">
      <c r="A29" s="49" t="inlineStr">
        <is>
          <t>Seal</t>
        </is>
      </c>
      <c r="B29" s="49" t="inlineStr">
        <is>
          <t>Painel e bancada</t>
        </is>
      </c>
      <c r="C29" s="50" t="n">
        <v>18800</v>
      </c>
      <c r="D29" s="49" t="n"/>
      <c r="E29" s="51">
        <f>IF($C29="","",ROUND(SUM(I29,L29,O29,R29,U29),2))</f>
        <v/>
      </c>
      <c r="F29" s="52">
        <f>IF($C29="","",ROUND($C29-$E29,2))</f>
        <v/>
      </c>
      <c r="G29" s="24">
        <f>IF(OR($C29="",$C29=0),"",$E29/$C29)</f>
        <v/>
      </c>
      <c r="H29" s="53">
        <f>IF($C29="","",IF($E29=0,"A receber",IF(ROUND($F29,2)=0,"Quitado",IF($F29&lt;0,"Recebido a mais","Parcial"))))</f>
        <v/>
      </c>
      <c r="I29" s="54" t="n">
        <v>18800</v>
      </c>
      <c r="J29" s="55" t="n"/>
      <c r="K29" s="56" t="inlineStr">
        <is>
          <t>ted</t>
        </is>
      </c>
      <c r="L29" s="54" t="n"/>
      <c r="M29" s="55" t="n"/>
      <c r="N29" s="56" t="n"/>
      <c r="O29" s="54" t="n"/>
      <c r="P29" s="55" t="n"/>
      <c r="Q29" s="56" t="n"/>
      <c r="R29" s="54" t="n"/>
      <c r="S29" s="55" t="n"/>
      <c r="T29" s="56" t="n"/>
      <c r="U29" s="54" t="n"/>
      <c r="V29" s="55" t="n"/>
      <c r="W29" s="56" t="n"/>
      <c r="X29" s="57">
        <f>IF($C29="","",$F29)</f>
        <v/>
      </c>
      <c r="Y29" s="57">
        <f>IF($C29="","",$C29)</f>
        <v/>
      </c>
    </row>
    <row r="30" ht="17" customHeight="1">
      <c r="A30" s="49" t="inlineStr">
        <is>
          <t>Marco Tulio</t>
        </is>
      </c>
      <c r="B30" s="49" t="inlineStr">
        <is>
          <t>Adega</t>
        </is>
      </c>
      <c r="C30" s="50" t="n">
        <v>3000</v>
      </c>
      <c r="D30" s="49" t="n"/>
      <c r="E30" s="51">
        <f>IF($C30="","",ROUND(SUM(I30,L30,O30,R30,U30),2))</f>
        <v/>
      </c>
      <c r="F30" s="52">
        <f>IF($C30="","",ROUND($C30-$E30,2))</f>
        <v/>
      </c>
      <c r="G30" s="24">
        <f>IF(OR($C30="",$C30=0),"",$E30/$C30)</f>
        <v/>
      </c>
      <c r="H30" s="53">
        <f>IF($C30="","",IF($E30=0,"A receber",IF(ROUND($F30,2)=0,"Quitado",IF($F30&lt;0,"Recebido a mais","Parcial"))))</f>
        <v/>
      </c>
      <c r="I30" s="54" t="n">
        <v>3000</v>
      </c>
      <c r="J30" s="55" t="n"/>
      <c r="K30" s="56" t="inlineStr">
        <is>
          <t>pix</t>
        </is>
      </c>
      <c r="L30" s="54" t="n"/>
      <c r="M30" s="55" t="n"/>
      <c r="N30" s="56" t="n"/>
      <c r="O30" s="54" t="n"/>
      <c r="P30" s="55" t="n"/>
      <c r="Q30" s="56" t="n"/>
      <c r="R30" s="54" t="n"/>
      <c r="S30" s="55" t="n"/>
      <c r="T30" s="56" t="n"/>
      <c r="U30" s="54" t="n"/>
      <c r="V30" s="55" t="n"/>
      <c r="W30" s="56" t="n"/>
      <c r="X30" s="57">
        <f>IF($C30="","",$F30)</f>
        <v/>
      </c>
      <c r="Y30" s="57">
        <f>IF($C30="","",$C30)</f>
        <v/>
      </c>
    </row>
    <row r="31" ht="17" customHeight="1">
      <c r="A31" s="49" t="inlineStr">
        <is>
          <t>Marco tulio</t>
        </is>
      </c>
      <c r="B31" s="49" t="inlineStr">
        <is>
          <t>Reforma escritorio</t>
        </is>
      </c>
      <c r="C31" s="50" t="n">
        <v>3000</v>
      </c>
      <c r="D31" s="49" t="n"/>
      <c r="E31" s="51">
        <f>IF($C31="","",ROUND(SUM(I31,L31,O31,R31,U31),2))</f>
        <v/>
      </c>
      <c r="F31" s="52">
        <f>IF($C31="","",ROUND($C31-$E31,2))</f>
        <v/>
      </c>
      <c r="G31" s="24">
        <f>IF(OR($C31="",$C31=0),"",$E31/$C31)</f>
        <v/>
      </c>
      <c r="H31" s="53">
        <f>IF($C31="","",IF($E31=0,"A receber",IF(ROUND($F31,2)=0,"Quitado",IF($F31&lt;0,"Recebido a mais","Parcial"))))</f>
        <v/>
      </c>
      <c r="I31" s="54" t="n">
        <v>3000</v>
      </c>
      <c r="J31" s="55" t="n"/>
      <c r="K31" s="56" t="inlineStr">
        <is>
          <t>pix</t>
        </is>
      </c>
      <c r="L31" s="54" t="n"/>
      <c r="M31" s="55" t="n"/>
      <c r="N31" s="56" t="n"/>
      <c r="O31" s="54" t="n"/>
      <c r="P31" s="55" t="n"/>
      <c r="Q31" s="56" t="n"/>
      <c r="R31" s="54" t="n"/>
      <c r="S31" s="55" t="n"/>
      <c r="T31" s="56" t="n"/>
      <c r="U31" s="54" t="n"/>
      <c r="V31" s="55" t="n"/>
      <c r="W31" s="56" t="n"/>
      <c r="X31" s="57">
        <f>IF($C31="","",$F31)</f>
        <v/>
      </c>
      <c r="Y31" s="57">
        <f>IF($C31="","",$C31)</f>
        <v/>
      </c>
    </row>
    <row r="32" ht="17" customHeight="1">
      <c r="A32" s="49" t="n"/>
      <c r="B32" s="49" t="n"/>
      <c r="C32" s="50" t="n"/>
      <c r="D32" s="49" t="n"/>
      <c r="E32" s="51">
        <f>IF($C32="","",ROUND(SUM(I32,L32,O32,R32,U32),2))</f>
        <v/>
      </c>
      <c r="F32" s="52">
        <f>IF($C32="","",ROUND($C32-$E32,2))</f>
        <v/>
      </c>
      <c r="G32" s="24">
        <f>IF(OR($C32="",$C32=0),"",$E32/$C32)</f>
        <v/>
      </c>
      <c r="H32" s="53">
        <f>IF($C32="","",IF($E32=0,"A receber",IF(ROUND($F32,2)=0,"Quitado",IF($F32&lt;0,"Recebido a mais","Parcial"))))</f>
        <v/>
      </c>
      <c r="I32" s="54" t="n"/>
      <c r="J32" s="55" t="n"/>
      <c r="K32" s="56" t="n"/>
      <c r="L32" s="54" t="n"/>
      <c r="M32" s="55" t="n"/>
      <c r="N32" s="56" t="n"/>
      <c r="O32" s="54" t="n"/>
      <c r="P32" s="55" t="n"/>
      <c r="Q32" s="56" t="n"/>
      <c r="R32" s="54" t="n"/>
      <c r="S32" s="55" t="n"/>
      <c r="T32" s="56" t="n"/>
      <c r="U32" s="54" t="n"/>
      <c r="V32" s="55" t="n"/>
      <c r="W32" s="56" t="n"/>
      <c r="X32" s="57">
        <f>IF($C32="","",$F32)</f>
        <v/>
      </c>
      <c r="Y32" s="57">
        <f>IF($C32="","",$C32)</f>
        <v/>
      </c>
    </row>
    <row r="33" ht="17" customHeight="1">
      <c r="A33" s="49" t="n"/>
      <c r="B33" s="49" t="n"/>
      <c r="C33" s="50" t="n"/>
      <c r="D33" s="49" t="n"/>
      <c r="E33" s="51">
        <f>IF($C33="","",ROUND(SUM(I33,L33,O33,R33,U33),2))</f>
        <v/>
      </c>
      <c r="F33" s="52">
        <f>IF($C33="","",ROUND($C33-$E33,2))</f>
        <v/>
      </c>
      <c r="G33" s="24">
        <f>IF(OR($C33="",$C33=0),"",$E33/$C33)</f>
        <v/>
      </c>
      <c r="H33" s="53">
        <f>IF($C33="","",IF($E33=0,"A receber",IF(ROUND($F33,2)=0,"Quitado",IF($F33&lt;0,"Recebido a mais","Parcial"))))</f>
        <v/>
      </c>
      <c r="I33" s="54" t="n"/>
      <c r="J33" s="55" t="n"/>
      <c r="K33" s="56" t="n"/>
      <c r="L33" s="54" t="n"/>
      <c r="M33" s="55" t="n"/>
      <c r="N33" s="56" t="n"/>
      <c r="O33" s="54" t="n"/>
      <c r="P33" s="55" t="n"/>
      <c r="Q33" s="56" t="n"/>
      <c r="R33" s="54" t="n"/>
      <c r="S33" s="55" t="n"/>
      <c r="T33" s="56" t="n"/>
      <c r="U33" s="54" t="n"/>
      <c r="V33" s="55" t="n"/>
      <c r="W33" s="56" t="n"/>
      <c r="X33" s="57">
        <f>IF($C33="","",$F33)</f>
        <v/>
      </c>
      <c r="Y33" s="57">
        <f>IF($C33="","",$C33)</f>
        <v/>
      </c>
    </row>
    <row r="34" ht="6" customHeight="1"/>
    <row r="35" ht="20" customHeight="1">
      <c r="A35" s="33" t="inlineStr">
        <is>
          <t>Março</t>
        </is>
      </c>
      <c r="B35" s="45" t="n"/>
      <c r="C35" s="46">
        <f>SUM(C36:C41)</f>
        <v/>
      </c>
      <c r="D35" s="45" t="n"/>
      <c r="E35" s="46">
        <f>SUM(E36:E41)</f>
        <v/>
      </c>
      <c r="F35" s="46">
        <f>SUM(F36:F41)</f>
        <v/>
      </c>
      <c r="G35" s="47">
        <f>IF(OR(C35="",C35=0),"",E35/C35)</f>
        <v/>
      </c>
      <c r="H35" s="48">
        <f>COUNT(C36:C41)&amp;" projeto(s)"</f>
        <v/>
      </c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</row>
    <row r="36" ht="17" customHeight="1">
      <c r="A36" s="49" t="inlineStr">
        <is>
          <t>Monte negro</t>
        </is>
      </c>
      <c r="B36" s="49" t="inlineStr">
        <is>
          <t>Casa completa</t>
        </is>
      </c>
      <c r="C36" s="50" t="n">
        <v>100000</v>
      </c>
      <c r="D36" s="49" t="inlineStr">
        <is>
          <t>parcelado</t>
        </is>
      </c>
      <c r="E36" s="51">
        <f>IF($C36="","",ROUND(SUM(I36,L36,O36,R36,U36),2))</f>
        <v/>
      </c>
      <c r="F36" s="52">
        <f>IF($C36="","",ROUND($C36-$E36,2))</f>
        <v/>
      </c>
      <c r="G36" s="24">
        <f>IF(OR($C36="",$C36=0),"",$E36/$C36)</f>
        <v/>
      </c>
      <c r="H36" s="53">
        <f>IF($C36="","",IF($E36=0,"A receber",IF(ROUND($F36,2)=0,"Quitado",IF($F36&lt;0,"Recebido a mais","Parcial"))))</f>
        <v/>
      </c>
      <c r="I36" s="54" t="n">
        <v>22200</v>
      </c>
      <c r="J36" s="55" t="n"/>
      <c r="K36" s="56" t="n"/>
      <c r="L36" s="54" t="n">
        <v>30000</v>
      </c>
      <c r="M36" s="55" t="n">
        <v>45511</v>
      </c>
      <c r="N36" s="56" t="inlineStr">
        <is>
          <t>pix</t>
        </is>
      </c>
      <c r="O36" s="54" t="n">
        <v>12800</v>
      </c>
      <c r="P36" s="55" t="n"/>
      <c r="Q36" s="56" t="inlineStr">
        <is>
          <t>material · palowa</t>
        </is>
      </c>
      <c r="R36" s="54" t="n">
        <v>10000</v>
      </c>
      <c r="S36" s="55" t="n"/>
      <c r="T36" s="56" t="inlineStr">
        <is>
          <t>pix</t>
        </is>
      </c>
      <c r="U36" s="54" t="n">
        <v>45000</v>
      </c>
      <c r="V36" s="55" t="n"/>
      <c r="W36" s="56" t="inlineStr">
        <is>
          <t>4 parcelas: 10.000 + 15.000 + 10.000 + 10.000 (19/08)</t>
        </is>
      </c>
      <c r="X36" s="57">
        <f>IF($C36="","",$F36)</f>
        <v/>
      </c>
      <c r="Y36" s="57">
        <f>IF($C36="","",$C36)</f>
        <v/>
      </c>
    </row>
    <row r="37" ht="17" customHeight="1">
      <c r="A37" s="49" t="inlineStr">
        <is>
          <t>Luciana Rajão</t>
        </is>
      </c>
      <c r="B37" s="49" t="inlineStr">
        <is>
          <t>cabeceira + diversos</t>
        </is>
      </c>
      <c r="C37" s="50" t="n">
        <v>9500</v>
      </c>
      <c r="D37" s="49" t="inlineStr">
        <is>
          <t>4 vezes cartao</t>
        </is>
      </c>
      <c r="E37" s="51">
        <f>IF($C37="","",ROUND(SUM(I37,L37,O37,R37,U37),2))</f>
        <v/>
      </c>
      <c r="F37" s="52">
        <f>IF($C37="","",ROUND($C37-$E37,2))</f>
        <v/>
      </c>
      <c r="G37" s="24">
        <f>IF(OR($C37="",$C37=0),"",$E37/$C37)</f>
        <v/>
      </c>
      <c r="H37" s="53">
        <f>IF($C37="","",IF($E37=0,"A receber",IF(ROUND($F37,2)=0,"Quitado",IF($F37&lt;0,"Recebido a mais","Parcial"))))</f>
        <v/>
      </c>
      <c r="I37" s="54" t="n">
        <v>9500</v>
      </c>
      <c r="J37" s="55" t="n"/>
      <c r="K37" s="56" t="inlineStr">
        <is>
          <t>cartao</t>
        </is>
      </c>
      <c r="L37" s="54" t="n"/>
      <c r="M37" s="55" t="n"/>
      <c r="N37" s="56" t="n"/>
      <c r="O37" s="54" t="n"/>
      <c r="P37" s="55" t="n"/>
      <c r="Q37" s="56" t="n"/>
      <c r="R37" s="54" t="n"/>
      <c r="S37" s="55" t="n"/>
      <c r="T37" s="56" t="n"/>
      <c r="U37" s="54" t="n"/>
      <c r="V37" s="55" t="n"/>
      <c r="W37" s="56" t="n"/>
      <c r="X37" s="57">
        <f>IF($C37="","",$F37)</f>
        <v/>
      </c>
      <c r="Y37" s="57">
        <f>IF($C37="","",$C37)</f>
        <v/>
      </c>
    </row>
    <row r="38" ht="17" customHeight="1">
      <c r="A38" s="49" t="inlineStr">
        <is>
          <t>Aline</t>
        </is>
      </c>
      <c r="B38" s="49" t="inlineStr">
        <is>
          <t>Cobertura</t>
        </is>
      </c>
      <c r="C38" s="50" t="n">
        <v>26000</v>
      </c>
      <c r="D38" s="49" t="inlineStr">
        <is>
          <t>entrada + restante</t>
        </is>
      </c>
      <c r="E38" s="51">
        <f>IF($C38="","",ROUND(SUM(I38,L38,O38,R38,U38),2))</f>
        <v/>
      </c>
      <c r="F38" s="52">
        <f>IF($C38="","",ROUND($C38-$E38,2))</f>
        <v/>
      </c>
      <c r="G38" s="24">
        <f>IF(OR($C38="",$C38=0),"",$E38/$C38)</f>
        <v/>
      </c>
      <c r="H38" s="53">
        <f>IF($C38="","",IF($E38=0,"A receber",IF(ROUND($F38,2)=0,"Quitado",IF($F38&lt;0,"Recebido a mais","Parcial"))))</f>
        <v/>
      </c>
      <c r="I38" s="54" t="n">
        <v>21000</v>
      </c>
      <c r="J38" s="55" t="n">
        <v>45378</v>
      </c>
      <c r="K38" s="56" t="inlineStr">
        <is>
          <t>pix</t>
        </is>
      </c>
      <c r="L38" s="54" t="n">
        <v>5000</v>
      </c>
      <c r="M38" s="55" t="n"/>
      <c r="N38" s="56" t="n"/>
      <c r="O38" s="54" t="n"/>
      <c r="P38" s="55" t="n"/>
      <c r="Q38" s="56" t="n"/>
      <c r="R38" s="54" t="n"/>
      <c r="S38" s="55" t="n"/>
      <c r="T38" s="56" t="n"/>
      <c r="U38" s="54" t="n"/>
      <c r="V38" s="55" t="n"/>
      <c r="W38" s="56" t="n"/>
      <c r="X38" s="57">
        <f>IF($C38="","",$F38)</f>
        <v/>
      </c>
      <c r="Y38" s="57">
        <f>IF($C38="","",$C38)</f>
        <v/>
      </c>
    </row>
    <row r="39" ht="17" customHeight="1">
      <c r="A39" s="49" t="inlineStr">
        <is>
          <t>Silvina</t>
        </is>
      </c>
      <c r="B39" s="49" t="inlineStr">
        <is>
          <t>Estante</t>
        </is>
      </c>
      <c r="C39" s="50" t="n">
        <v>6000</v>
      </c>
      <c r="D39" s="49" t="inlineStr">
        <is>
          <t>entrada + restante</t>
        </is>
      </c>
      <c r="E39" s="51">
        <f>IF($C39="","",ROUND(SUM(I39,L39,O39,R39,U39),2))</f>
        <v/>
      </c>
      <c r="F39" s="52">
        <f>IF($C39="","",ROUND($C39-$E39,2))</f>
        <v/>
      </c>
      <c r="G39" s="24">
        <f>IF(OR($C39="",$C39=0),"",$E39/$C39)</f>
        <v/>
      </c>
      <c r="H39" s="53">
        <f>IF($C39="","",IF($E39=0,"A receber",IF(ROUND($F39,2)=0,"Quitado",IF($F39&lt;0,"Recebido a mais","Parcial"))))</f>
        <v/>
      </c>
      <c r="I39" s="54" t="n">
        <v>3000</v>
      </c>
      <c r="J39" s="55" t="n">
        <v>45376</v>
      </c>
      <c r="K39" s="56" t="inlineStr">
        <is>
          <t>pix</t>
        </is>
      </c>
      <c r="L39" s="54" t="n">
        <v>500</v>
      </c>
      <c r="M39" s="55" t="n"/>
      <c r="N39" s="56" t="n"/>
      <c r="O39" s="54" t="n">
        <v>2500</v>
      </c>
      <c r="P39" s="55" t="n"/>
      <c r="Q39" s="56" t="n"/>
      <c r="R39" s="54" t="n"/>
      <c r="S39" s="55" t="n"/>
      <c r="T39" s="56" t="n"/>
      <c r="U39" s="54" t="n"/>
      <c r="V39" s="55" t="n"/>
      <c r="W39" s="56" t="n"/>
      <c r="X39" s="57">
        <f>IF($C39="","",$F39)</f>
        <v/>
      </c>
      <c r="Y39" s="57">
        <f>IF($C39="","",$C39)</f>
        <v/>
      </c>
    </row>
    <row r="40" ht="17" customHeight="1">
      <c r="A40" s="49" t="n"/>
      <c r="B40" s="49" t="n"/>
      <c r="C40" s="50" t="n"/>
      <c r="D40" s="49" t="n"/>
      <c r="E40" s="51">
        <f>IF($C40="","",ROUND(SUM(I40,L40,O40,R40,U40),2))</f>
        <v/>
      </c>
      <c r="F40" s="52">
        <f>IF($C40="","",ROUND($C40-$E40,2))</f>
        <v/>
      </c>
      <c r="G40" s="24">
        <f>IF(OR($C40="",$C40=0),"",$E40/$C40)</f>
        <v/>
      </c>
      <c r="H40" s="53">
        <f>IF($C40="","",IF($E40=0,"A receber",IF(ROUND($F40,2)=0,"Quitado",IF($F40&lt;0,"Recebido a mais","Parcial"))))</f>
        <v/>
      </c>
      <c r="I40" s="54" t="n"/>
      <c r="J40" s="55" t="n"/>
      <c r="K40" s="56" t="n"/>
      <c r="L40" s="54" t="n"/>
      <c r="M40" s="55" t="n"/>
      <c r="N40" s="56" t="n"/>
      <c r="O40" s="54" t="n"/>
      <c r="P40" s="55" t="n"/>
      <c r="Q40" s="56" t="n"/>
      <c r="R40" s="54" t="n"/>
      <c r="S40" s="55" t="n"/>
      <c r="T40" s="56" t="n"/>
      <c r="U40" s="54" t="n"/>
      <c r="V40" s="55" t="n"/>
      <c r="W40" s="56" t="n"/>
      <c r="X40" s="57">
        <f>IF($C40="","",$F40)</f>
        <v/>
      </c>
      <c r="Y40" s="57">
        <f>IF($C40="","",$C40)</f>
        <v/>
      </c>
    </row>
    <row r="41" ht="17" customHeight="1">
      <c r="A41" s="49" t="n"/>
      <c r="B41" s="49" t="n"/>
      <c r="C41" s="50" t="n"/>
      <c r="D41" s="49" t="n"/>
      <c r="E41" s="51">
        <f>IF($C41="","",ROUND(SUM(I41,L41,O41,R41,U41),2))</f>
        <v/>
      </c>
      <c r="F41" s="52">
        <f>IF($C41="","",ROUND($C41-$E41,2))</f>
        <v/>
      </c>
      <c r="G41" s="24">
        <f>IF(OR($C41="",$C41=0),"",$E41/$C41)</f>
        <v/>
      </c>
      <c r="H41" s="53">
        <f>IF($C41="","",IF($E41=0,"A receber",IF(ROUND($F41,2)=0,"Quitado",IF($F41&lt;0,"Recebido a mais","Parcial"))))</f>
        <v/>
      </c>
      <c r="I41" s="54" t="n"/>
      <c r="J41" s="55" t="n"/>
      <c r="K41" s="56" t="n"/>
      <c r="L41" s="54" t="n"/>
      <c r="M41" s="55" t="n"/>
      <c r="N41" s="56" t="n"/>
      <c r="O41" s="54" t="n"/>
      <c r="P41" s="55" t="n"/>
      <c r="Q41" s="56" t="n"/>
      <c r="R41" s="54" t="n"/>
      <c r="S41" s="55" t="n"/>
      <c r="T41" s="56" t="n"/>
      <c r="U41" s="54" t="n"/>
      <c r="V41" s="55" t="n"/>
      <c r="W41" s="56" t="n"/>
      <c r="X41" s="57">
        <f>IF($C41="","",$F41)</f>
        <v/>
      </c>
      <c r="Y41" s="57">
        <f>IF($C41="","",$C41)</f>
        <v/>
      </c>
    </row>
    <row r="42" ht="6" customHeight="1"/>
    <row r="43" ht="20" customHeight="1">
      <c r="A43" s="33" t="inlineStr">
        <is>
          <t>Abril</t>
        </is>
      </c>
      <c r="B43" s="45" t="n"/>
      <c r="C43" s="46">
        <f>SUM(C44:C47)</f>
        <v/>
      </c>
      <c r="D43" s="45" t="n"/>
      <c r="E43" s="46">
        <f>SUM(E44:E47)</f>
        <v/>
      </c>
      <c r="F43" s="46">
        <f>SUM(F44:F47)</f>
        <v/>
      </c>
      <c r="G43" s="47">
        <f>IF(OR(C43="",C43=0),"",E43/C43)</f>
        <v/>
      </c>
      <c r="H43" s="48">
        <f>COUNT(C44:C47)&amp;" projeto(s)"</f>
        <v/>
      </c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</row>
    <row r="44" ht="17" customHeight="1">
      <c r="A44" s="49" t="inlineStr">
        <is>
          <t>Ana</t>
        </is>
      </c>
      <c r="B44" s="49" t="inlineStr">
        <is>
          <t>quarto filho</t>
        </is>
      </c>
      <c r="C44" s="50" t="n">
        <v>10000</v>
      </c>
      <c r="D44" s="49" t="inlineStr">
        <is>
          <t>entrada + cartao</t>
        </is>
      </c>
      <c r="E44" s="51">
        <f>IF($C44="","",ROUND(SUM(I44,L44,O44,R44,U44),2))</f>
        <v/>
      </c>
      <c r="F44" s="52">
        <f>IF($C44="","",ROUND($C44-$E44,2))</f>
        <v/>
      </c>
      <c r="G44" s="24">
        <f>IF(OR($C44="",$C44=0),"",$E44/$C44)</f>
        <v/>
      </c>
      <c r="H44" s="53">
        <f>IF($C44="","",IF($E44=0,"A receber",IF(ROUND($F44,2)=0,"Quitado",IF($F44&lt;0,"Recebido a mais","Parcial"))))</f>
        <v/>
      </c>
      <c r="I44" s="54" t="n">
        <v>5000</v>
      </c>
      <c r="J44" s="55" t="n"/>
      <c r="K44" s="56" t="inlineStr">
        <is>
          <t>pix</t>
        </is>
      </c>
      <c r="L44" s="54" t="n">
        <v>5000</v>
      </c>
      <c r="M44" s="55" t="n">
        <v>45429</v>
      </c>
      <c r="N44" s="56" t="inlineStr">
        <is>
          <t>pix</t>
        </is>
      </c>
      <c r="O44" s="54" t="n"/>
      <c r="P44" s="55" t="n"/>
      <c r="Q44" s="56" t="n"/>
      <c r="R44" s="54" t="n"/>
      <c r="S44" s="55" t="n"/>
      <c r="T44" s="56" t="n"/>
      <c r="U44" s="54" t="n"/>
      <c r="V44" s="55" t="n"/>
      <c r="W44" s="56" t="n"/>
      <c r="X44" s="57">
        <f>IF($C44="","",$F44)</f>
        <v/>
      </c>
      <c r="Y44" s="57">
        <f>IF($C44="","",$C44)</f>
        <v/>
      </c>
    </row>
    <row r="45" ht="17" customHeight="1">
      <c r="A45" s="49" t="inlineStr">
        <is>
          <t>Ivana</t>
        </is>
      </c>
      <c r="B45" s="49" t="inlineStr">
        <is>
          <t>rack</t>
        </is>
      </c>
      <c r="C45" s="50" t="n">
        <v>2350</v>
      </c>
      <c r="D45" s="49" t="inlineStr">
        <is>
          <t>cartao</t>
        </is>
      </c>
      <c r="E45" s="51">
        <f>IF($C45="","",ROUND(SUM(I45,L45,O45,R45,U45),2))</f>
        <v/>
      </c>
      <c r="F45" s="52">
        <f>IF($C45="","",ROUND($C45-$E45,2))</f>
        <v/>
      </c>
      <c r="G45" s="24">
        <f>IF(OR($C45="",$C45=0),"",$E45/$C45)</f>
        <v/>
      </c>
      <c r="H45" s="53">
        <f>IF($C45="","",IF($E45=0,"A receber",IF(ROUND($F45,2)=0,"Quitado",IF($F45&lt;0,"Recebido a mais","Parcial"))))</f>
        <v/>
      </c>
      <c r="I45" s="54" t="n">
        <v>2350</v>
      </c>
      <c r="J45" s="55" t="n"/>
      <c r="K45" s="56" t="inlineStr">
        <is>
          <t>cartao</t>
        </is>
      </c>
      <c r="L45" s="54" t="n"/>
      <c r="M45" s="55" t="n"/>
      <c r="N45" s="56" t="n"/>
      <c r="O45" s="54" t="n"/>
      <c r="P45" s="55" t="n"/>
      <c r="Q45" s="56" t="n"/>
      <c r="R45" s="54" t="n"/>
      <c r="S45" s="55" t="n"/>
      <c r="T45" s="56" t="n"/>
      <c r="U45" s="54" t="n"/>
      <c r="V45" s="55" t="n"/>
      <c r="W45" s="56" t="n"/>
      <c r="X45" s="57">
        <f>IF($C45="","",$F45)</f>
        <v/>
      </c>
      <c r="Y45" s="57">
        <f>IF($C45="","",$C45)</f>
        <v/>
      </c>
    </row>
    <row r="46" ht="17" customHeight="1">
      <c r="A46" s="49" t="n"/>
      <c r="B46" s="49" t="n"/>
      <c r="C46" s="50" t="n"/>
      <c r="D46" s="49" t="n"/>
      <c r="E46" s="51">
        <f>IF($C46="","",ROUND(SUM(I46,L46,O46,R46,U46),2))</f>
        <v/>
      </c>
      <c r="F46" s="52">
        <f>IF($C46="","",ROUND($C46-$E46,2))</f>
        <v/>
      </c>
      <c r="G46" s="24">
        <f>IF(OR($C46="",$C46=0),"",$E46/$C46)</f>
        <v/>
      </c>
      <c r="H46" s="53">
        <f>IF($C46="","",IF($E46=0,"A receber",IF(ROUND($F46,2)=0,"Quitado",IF($F46&lt;0,"Recebido a mais","Parcial"))))</f>
        <v/>
      </c>
      <c r="I46" s="54" t="n"/>
      <c r="J46" s="55" t="n"/>
      <c r="K46" s="56" t="n"/>
      <c r="L46" s="54" t="n"/>
      <c r="M46" s="55" t="n"/>
      <c r="N46" s="56" t="n"/>
      <c r="O46" s="54" t="n"/>
      <c r="P46" s="55" t="n"/>
      <c r="Q46" s="56" t="n"/>
      <c r="R46" s="54" t="n"/>
      <c r="S46" s="55" t="n"/>
      <c r="T46" s="56" t="n"/>
      <c r="U46" s="54" t="n"/>
      <c r="V46" s="55" t="n"/>
      <c r="W46" s="56" t="n"/>
      <c r="X46" s="57">
        <f>IF($C46="","",$F46)</f>
        <v/>
      </c>
      <c r="Y46" s="57">
        <f>IF($C46="","",$C46)</f>
        <v/>
      </c>
    </row>
    <row r="47" ht="17" customHeight="1">
      <c r="A47" s="49" t="n"/>
      <c r="B47" s="49" t="n"/>
      <c r="C47" s="50" t="n"/>
      <c r="D47" s="49" t="n"/>
      <c r="E47" s="51">
        <f>IF($C47="","",ROUND(SUM(I47,L47,O47,R47,U47),2))</f>
        <v/>
      </c>
      <c r="F47" s="52">
        <f>IF($C47="","",ROUND($C47-$E47,2))</f>
        <v/>
      </c>
      <c r="G47" s="24">
        <f>IF(OR($C47="",$C47=0),"",$E47/$C47)</f>
        <v/>
      </c>
      <c r="H47" s="53">
        <f>IF($C47="","",IF($E47=0,"A receber",IF(ROUND($F47,2)=0,"Quitado",IF($F47&lt;0,"Recebido a mais","Parcial"))))</f>
        <v/>
      </c>
      <c r="I47" s="54" t="n"/>
      <c r="J47" s="55" t="n"/>
      <c r="K47" s="56" t="n"/>
      <c r="L47" s="54" t="n"/>
      <c r="M47" s="55" t="n"/>
      <c r="N47" s="56" t="n"/>
      <c r="O47" s="54" t="n"/>
      <c r="P47" s="55" t="n"/>
      <c r="Q47" s="56" t="n"/>
      <c r="R47" s="54" t="n"/>
      <c r="S47" s="55" t="n"/>
      <c r="T47" s="56" t="n"/>
      <c r="U47" s="54" t="n"/>
      <c r="V47" s="55" t="n"/>
      <c r="W47" s="56" t="n"/>
      <c r="X47" s="57">
        <f>IF($C47="","",$F47)</f>
        <v/>
      </c>
      <c r="Y47" s="57">
        <f>IF($C47="","",$C47)</f>
        <v/>
      </c>
    </row>
    <row r="48" ht="6" customHeight="1"/>
    <row r="49" ht="20" customHeight="1">
      <c r="A49" s="33" t="inlineStr">
        <is>
          <t>Maio</t>
        </is>
      </c>
      <c r="B49" s="45" t="n"/>
      <c r="C49" s="46">
        <f>SUM(C50:C55)</f>
        <v/>
      </c>
      <c r="D49" s="45" t="n"/>
      <c r="E49" s="46">
        <f>SUM(E50:E55)</f>
        <v/>
      </c>
      <c r="F49" s="46">
        <f>SUM(F50:F55)</f>
        <v/>
      </c>
      <c r="G49" s="47">
        <f>IF(OR(C49="",C49=0),"",E49/C49)</f>
        <v/>
      </c>
      <c r="H49" s="48">
        <f>COUNT(C50:C55)&amp;" projeto(s)"</f>
        <v/>
      </c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</row>
    <row r="50" ht="17" customHeight="1">
      <c r="A50" s="49" t="inlineStr">
        <is>
          <t>Aline</t>
        </is>
      </c>
      <c r="B50" s="49" t="inlineStr">
        <is>
          <t>Cabeceira</t>
        </is>
      </c>
      <c r="C50" s="50" t="n">
        <v>4300</v>
      </c>
      <c r="D50" s="49" t="inlineStr">
        <is>
          <t>entrada + restante</t>
        </is>
      </c>
      <c r="E50" s="51">
        <f>IF($C50="","",ROUND(SUM(I50,L50,O50,R50,U50),2))</f>
        <v/>
      </c>
      <c r="F50" s="52">
        <f>IF($C50="","",ROUND($C50-$E50,2))</f>
        <v/>
      </c>
      <c r="G50" s="24">
        <f>IF(OR($C50="",$C50=0),"",$E50/$C50)</f>
        <v/>
      </c>
      <c r="H50" s="53">
        <f>IF($C50="","",IF($E50=0,"A receber",IF(ROUND($F50,2)=0,"Quitado",IF($F50&lt;0,"Recebido a mais","Parcial"))))</f>
        <v/>
      </c>
      <c r="I50" s="54" t="n">
        <v>2580</v>
      </c>
      <c r="J50" s="55" t="n">
        <v>45423</v>
      </c>
      <c r="K50" s="56" t="inlineStr">
        <is>
          <t>pix</t>
        </is>
      </c>
      <c r="L50" s="54" t="n">
        <v>1720</v>
      </c>
      <c r="M50" s="55" t="n"/>
      <c r="N50" s="56" t="n"/>
      <c r="O50" s="54" t="n"/>
      <c r="P50" s="55" t="n"/>
      <c r="Q50" s="56" t="n"/>
      <c r="R50" s="54" t="n"/>
      <c r="S50" s="55" t="n"/>
      <c r="T50" s="56" t="n"/>
      <c r="U50" s="54" t="n"/>
      <c r="V50" s="55" t="n"/>
      <c r="W50" s="56" t="n"/>
      <c r="X50" s="57">
        <f>IF($C50="","",$F50)</f>
        <v/>
      </c>
      <c r="Y50" s="57">
        <f>IF($C50="","",$C50)</f>
        <v/>
      </c>
    </row>
    <row r="51" ht="17" customHeight="1">
      <c r="A51" s="49" t="inlineStr">
        <is>
          <t>Karlla</t>
        </is>
      </c>
      <c r="B51" s="49" t="inlineStr">
        <is>
          <t>Clinica</t>
        </is>
      </c>
      <c r="C51" s="50" t="n">
        <v>25300</v>
      </c>
      <c r="D51" s="49" t="inlineStr">
        <is>
          <t>Entrada + permuta</t>
        </is>
      </c>
      <c r="E51" s="51">
        <f>IF($C51="","",ROUND(SUM(I51,L51,O51,R51,U51),2))</f>
        <v/>
      </c>
      <c r="F51" s="52">
        <f>IF($C51="","",ROUND($C51-$E51,2))</f>
        <v/>
      </c>
      <c r="G51" s="24">
        <f>IF(OR($C51="",$C51=0),"",$E51/$C51)</f>
        <v/>
      </c>
      <c r="H51" s="53">
        <f>IF($C51="","",IF($E51=0,"A receber",IF(ROUND($F51,2)=0,"Quitado",IF($F51&lt;0,"Recebido a mais","Parcial"))))</f>
        <v/>
      </c>
      <c r="I51" s="54" t="n">
        <v>15300</v>
      </c>
      <c r="J51" s="55" t="n"/>
      <c r="K51" s="56" t="inlineStr">
        <is>
          <t>pix</t>
        </is>
      </c>
      <c r="L51" s="54" t="n">
        <v>10000</v>
      </c>
      <c r="M51" s="55" t="n"/>
      <c r="N51" s="56" t="n"/>
      <c r="O51" s="54" t="n"/>
      <c r="P51" s="55" t="n"/>
      <c r="Q51" s="56" t="n"/>
      <c r="R51" s="54" t="n"/>
      <c r="S51" s="55" t="n"/>
      <c r="T51" s="56" t="n"/>
      <c r="U51" s="54" t="n"/>
      <c r="V51" s="55" t="n"/>
      <c r="W51" s="56" t="n"/>
      <c r="X51" s="57">
        <f>IF($C51="","",$F51)</f>
        <v/>
      </c>
      <c r="Y51" s="57">
        <f>IF($C51="","",$C51)</f>
        <v/>
      </c>
    </row>
    <row r="52" ht="17" customHeight="1">
      <c r="A52" s="49" t="inlineStr">
        <is>
          <t>Richard</t>
        </is>
      </c>
      <c r="B52" s="49" t="inlineStr">
        <is>
          <t>Casa nova</t>
        </is>
      </c>
      <c r="C52" s="50" t="n">
        <v>101000</v>
      </c>
      <c r="D52" s="49" t="inlineStr">
        <is>
          <t>60% + 10% + 10% + 2cheques</t>
        </is>
      </c>
      <c r="E52" s="51">
        <f>IF($C52="","",ROUND(SUM(I52,L52,O52,R52,U52),2))</f>
        <v/>
      </c>
      <c r="F52" s="52">
        <f>IF($C52="","",ROUND($C52-$E52,2))</f>
        <v/>
      </c>
      <c r="G52" s="24">
        <f>IF(OR($C52="",$C52=0),"",$E52/$C52)</f>
        <v/>
      </c>
      <c r="H52" s="53">
        <f>IF($C52="","",IF($E52=0,"A receber",IF(ROUND($F52,2)=0,"Quitado",IF($F52&lt;0,"Recebido a mais","Parcial"))))</f>
        <v/>
      </c>
      <c r="I52" s="54" t="n">
        <v>61000</v>
      </c>
      <c r="J52" s="55" t="n">
        <v>45439</v>
      </c>
      <c r="K52" s="56" t="inlineStr">
        <is>
          <t>pix</t>
        </is>
      </c>
      <c r="L52" s="54" t="n">
        <v>10000</v>
      </c>
      <c r="M52" s="55" t="n">
        <v>45573</v>
      </c>
      <c r="N52" s="56" t="inlineStr">
        <is>
          <t>pix</t>
        </is>
      </c>
      <c r="O52" s="54" t="n">
        <v>10000</v>
      </c>
      <c r="P52" s="55" t="n"/>
      <c r="Q52" s="56" t="inlineStr">
        <is>
          <t>pix</t>
        </is>
      </c>
      <c r="R52" s="54" t="n">
        <v>20000</v>
      </c>
      <c r="S52" s="55" t="n">
        <v>45595</v>
      </c>
      <c r="T52" s="56" t="n"/>
      <c r="U52" s="54" t="n"/>
      <c r="V52" s="55" t="n"/>
      <c r="W52" s="56" t="n"/>
      <c r="X52" s="57">
        <f>IF($C52="","",$F52)</f>
        <v/>
      </c>
      <c r="Y52" s="57">
        <f>IF($C52="","",$C52)</f>
        <v/>
      </c>
    </row>
    <row r="53" ht="17" customHeight="1">
      <c r="A53" s="49" t="inlineStr">
        <is>
          <t>Andre Araujo</t>
        </is>
      </c>
      <c r="B53" s="49" t="inlineStr">
        <is>
          <t>quarto</t>
        </is>
      </c>
      <c r="C53" s="50" t="n">
        <v>18400</v>
      </c>
      <c r="D53" s="49" t="inlineStr">
        <is>
          <t>Entrada + permuta</t>
        </is>
      </c>
      <c r="E53" s="51">
        <f>IF($C53="","",ROUND(SUM(I53,L53,O53,R53,U53),2))</f>
        <v/>
      </c>
      <c r="F53" s="52">
        <f>IF($C53="","",ROUND($C53-$E53,2))</f>
        <v/>
      </c>
      <c r="G53" s="24">
        <f>IF(OR($C53="",$C53=0),"",$E53/$C53)</f>
        <v/>
      </c>
      <c r="H53" s="53">
        <f>IF($C53="","",IF($E53=0,"A receber",IF(ROUND($F53,2)=0,"Quitado",IF($F53&lt;0,"Recebido a mais","Parcial"))))</f>
        <v/>
      </c>
      <c r="I53" s="54" t="n">
        <v>11000</v>
      </c>
      <c r="J53" s="55" t="n"/>
      <c r="K53" s="56" t="inlineStr">
        <is>
          <t>cartao</t>
        </is>
      </c>
      <c r="L53" s="54" t="n">
        <v>7400</v>
      </c>
      <c r="M53" s="55" t="n"/>
      <c r="N53" s="56" t="inlineStr">
        <is>
          <t>permuta</t>
        </is>
      </c>
      <c r="O53" s="54" t="n"/>
      <c r="P53" s="55" t="n"/>
      <c r="Q53" s="56" t="n"/>
      <c r="R53" s="54" t="n"/>
      <c r="S53" s="55" t="n"/>
      <c r="T53" s="56" t="n"/>
      <c r="U53" s="54" t="n"/>
      <c r="V53" s="55" t="n"/>
      <c r="W53" s="56" t="n"/>
      <c r="X53" s="57">
        <f>IF($C53="","",$F53)</f>
        <v/>
      </c>
      <c r="Y53" s="57">
        <f>IF($C53="","",$C53)</f>
        <v/>
      </c>
    </row>
    <row r="54" ht="17" customHeight="1">
      <c r="A54" s="49" t="n"/>
      <c r="B54" s="49" t="n"/>
      <c r="C54" s="50" t="n"/>
      <c r="D54" s="49" t="n"/>
      <c r="E54" s="51">
        <f>IF($C54="","",ROUND(SUM(I54,L54,O54,R54,U54),2))</f>
        <v/>
      </c>
      <c r="F54" s="52">
        <f>IF($C54="","",ROUND($C54-$E54,2))</f>
        <v/>
      </c>
      <c r="G54" s="24">
        <f>IF(OR($C54="",$C54=0),"",$E54/$C54)</f>
        <v/>
      </c>
      <c r="H54" s="53">
        <f>IF($C54="","",IF($E54=0,"A receber",IF(ROUND($F54,2)=0,"Quitado",IF($F54&lt;0,"Recebido a mais","Parcial"))))</f>
        <v/>
      </c>
      <c r="I54" s="54" t="n"/>
      <c r="J54" s="55" t="n"/>
      <c r="K54" s="56" t="n"/>
      <c r="L54" s="54" t="n"/>
      <c r="M54" s="55" t="n"/>
      <c r="N54" s="56" t="n"/>
      <c r="O54" s="54" t="n"/>
      <c r="P54" s="55" t="n"/>
      <c r="Q54" s="56" t="n"/>
      <c r="R54" s="54" t="n"/>
      <c r="S54" s="55" t="n"/>
      <c r="T54" s="56" t="n"/>
      <c r="U54" s="54" t="n"/>
      <c r="V54" s="55" t="n"/>
      <c r="W54" s="56" t="n"/>
      <c r="X54" s="57">
        <f>IF($C54="","",$F54)</f>
        <v/>
      </c>
      <c r="Y54" s="57">
        <f>IF($C54="","",$C54)</f>
        <v/>
      </c>
    </row>
    <row r="55" ht="17" customHeight="1">
      <c r="A55" s="49" t="n"/>
      <c r="B55" s="49" t="n"/>
      <c r="C55" s="50" t="n"/>
      <c r="D55" s="49" t="n"/>
      <c r="E55" s="51">
        <f>IF($C55="","",ROUND(SUM(I55,L55,O55,R55,U55),2))</f>
        <v/>
      </c>
      <c r="F55" s="52">
        <f>IF($C55="","",ROUND($C55-$E55,2))</f>
        <v/>
      </c>
      <c r="G55" s="24">
        <f>IF(OR($C55="",$C55=0),"",$E55/$C55)</f>
        <v/>
      </c>
      <c r="H55" s="53">
        <f>IF($C55="","",IF($E55=0,"A receber",IF(ROUND($F55,2)=0,"Quitado",IF($F55&lt;0,"Recebido a mais","Parcial"))))</f>
        <v/>
      </c>
      <c r="I55" s="54" t="n"/>
      <c r="J55" s="55" t="n"/>
      <c r="K55" s="56" t="n"/>
      <c r="L55" s="54" t="n"/>
      <c r="M55" s="55" t="n"/>
      <c r="N55" s="56" t="n"/>
      <c r="O55" s="54" t="n"/>
      <c r="P55" s="55" t="n"/>
      <c r="Q55" s="56" t="n"/>
      <c r="R55" s="54" t="n"/>
      <c r="S55" s="55" t="n"/>
      <c r="T55" s="56" t="n"/>
      <c r="U55" s="54" t="n"/>
      <c r="V55" s="55" t="n"/>
      <c r="W55" s="56" t="n"/>
      <c r="X55" s="57">
        <f>IF($C55="","",$F55)</f>
        <v/>
      </c>
      <c r="Y55" s="57">
        <f>IF($C55="","",$C55)</f>
        <v/>
      </c>
    </row>
    <row r="56" ht="6" customHeight="1"/>
    <row r="57" ht="20" customHeight="1">
      <c r="A57" s="33" t="inlineStr">
        <is>
          <t>Junho</t>
        </is>
      </c>
      <c r="B57" s="45" t="n"/>
      <c r="C57" s="46">
        <f>SUM(C58:C61)</f>
        <v/>
      </c>
      <c r="D57" s="45" t="n"/>
      <c r="E57" s="46">
        <f>SUM(E58:E61)</f>
        <v/>
      </c>
      <c r="F57" s="46">
        <f>SUM(F58:F61)</f>
        <v/>
      </c>
      <c r="G57" s="47">
        <f>IF(OR(C57="",C57=0),"",E57/C57)</f>
        <v/>
      </c>
      <c r="H57" s="48">
        <f>COUNT(C58:C61)&amp;" projeto(s)"</f>
        <v/>
      </c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</row>
    <row r="58" ht="17" customHeight="1">
      <c r="A58" s="49" t="inlineStr">
        <is>
          <t>Sabrina</t>
        </is>
      </c>
      <c r="B58" s="49" t="inlineStr">
        <is>
          <t>Clinica estetica</t>
        </is>
      </c>
      <c r="C58" s="50" t="n">
        <v>27000</v>
      </c>
      <c r="D58" s="49" t="n"/>
      <c r="E58" s="51">
        <f>IF($C58="","",ROUND(SUM(I58,L58,O58,R58,U58),2))</f>
        <v/>
      </c>
      <c r="F58" s="52">
        <f>IF($C58="","",ROUND($C58-$E58,2))</f>
        <v/>
      </c>
      <c r="G58" s="24">
        <f>IF(OR($C58="",$C58=0),"",$E58/$C58)</f>
        <v/>
      </c>
      <c r="H58" s="53">
        <f>IF($C58="","",IF($E58=0,"A receber",IF(ROUND($F58,2)=0,"Quitado",IF($F58&lt;0,"Recebido a mais","Parcial"))))</f>
        <v/>
      </c>
      <c r="I58" s="54" t="n">
        <v>14500</v>
      </c>
      <c r="J58" s="55" t="n"/>
      <c r="K58" s="56" t="n"/>
      <c r="L58" s="54" t="n">
        <v>12500</v>
      </c>
      <c r="M58" s="55" t="n"/>
      <c r="N58" s="56" t="inlineStr">
        <is>
          <t>cartao</t>
        </is>
      </c>
      <c r="O58" s="54" t="n"/>
      <c r="P58" s="55" t="n"/>
      <c r="Q58" s="56" t="n"/>
      <c r="R58" s="54" t="n"/>
      <c r="S58" s="55" t="n"/>
      <c r="T58" s="56" t="n"/>
      <c r="U58" s="54" t="n"/>
      <c r="V58" s="55" t="n"/>
      <c r="W58" s="56" t="n"/>
      <c r="X58" s="57">
        <f>IF($C58="","",$F58)</f>
        <v/>
      </c>
      <c r="Y58" s="57">
        <f>IF($C58="","",$C58)</f>
        <v/>
      </c>
    </row>
    <row r="59" ht="17" customHeight="1">
      <c r="A59" s="49" t="inlineStr">
        <is>
          <t>Cheyene</t>
        </is>
      </c>
      <c r="B59" s="49" t="inlineStr">
        <is>
          <t>Roupeiro e desensa</t>
        </is>
      </c>
      <c r="C59" s="50" t="n">
        <v>10300</v>
      </c>
      <c r="D59" s="49" t="n"/>
      <c r="E59" s="51">
        <f>IF($C59="","",ROUND(SUM(I59,L59,O59,R59,U59),2))</f>
        <v/>
      </c>
      <c r="F59" s="52">
        <f>IF($C59="","",ROUND($C59-$E59,2))</f>
        <v/>
      </c>
      <c r="G59" s="24">
        <f>IF(OR($C59="",$C59=0),"",$E59/$C59)</f>
        <v/>
      </c>
      <c r="H59" s="53">
        <f>IF($C59="","",IF($E59=0,"A receber",IF(ROUND($F59,2)=0,"Quitado",IF($F59&lt;0,"Recebido a mais","Parcial"))))</f>
        <v/>
      </c>
      <c r="I59" s="54" t="n">
        <v>10300</v>
      </c>
      <c r="J59" s="55" t="n"/>
      <c r="K59" s="56" t="n"/>
      <c r="L59" s="54" t="n"/>
      <c r="M59" s="55" t="n"/>
      <c r="N59" s="56" t="n"/>
      <c r="O59" s="54" t="n"/>
      <c r="P59" s="55" t="n"/>
      <c r="Q59" s="56" t="n"/>
      <c r="R59" s="54" t="n"/>
      <c r="S59" s="55" t="n"/>
      <c r="T59" s="56" t="n"/>
      <c r="U59" s="54" t="n"/>
      <c r="V59" s="55" t="n"/>
      <c r="W59" s="56" t="n"/>
      <c r="X59" s="57">
        <f>IF($C59="","",$F59)</f>
        <v/>
      </c>
      <c r="Y59" s="57">
        <f>IF($C59="","",$C59)</f>
        <v/>
      </c>
    </row>
    <row r="60" ht="17" customHeight="1">
      <c r="A60" s="49" t="n"/>
      <c r="B60" s="49" t="n"/>
      <c r="C60" s="50" t="n"/>
      <c r="D60" s="49" t="n"/>
      <c r="E60" s="51">
        <f>IF($C60="","",ROUND(SUM(I60,L60,O60,R60,U60),2))</f>
        <v/>
      </c>
      <c r="F60" s="52">
        <f>IF($C60="","",ROUND($C60-$E60,2))</f>
        <v/>
      </c>
      <c r="G60" s="24">
        <f>IF(OR($C60="",$C60=0),"",$E60/$C60)</f>
        <v/>
      </c>
      <c r="H60" s="53">
        <f>IF($C60="","",IF($E60=0,"A receber",IF(ROUND($F60,2)=0,"Quitado",IF($F60&lt;0,"Recebido a mais","Parcial"))))</f>
        <v/>
      </c>
      <c r="I60" s="54" t="n"/>
      <c r="J60" s="55" t="n"/>
      <c r="K60" s="56" t="n"/>
      <c r="L60" s="54" t="n"/>
      <c r="M60" s="55" t="n"/>
      <c r="N60" s="56" t="n"/>
      <c r="O60" s="54" t="n"/>
      <c r="P60" s="55" t="n"/>
      <c r="Q60" s="56" t="n"/>
      <c r="R60" s="54" t="n"/>
      <c r="S60" s="55" t="n"/>
      <c r="T60" s="56" t="n"/>
      <c r="U60" s="54" t="n"/>
      <c r="V60" s="55" t="n"/>
      <c r="W60" s="56" t="n"/>
      <c r="X60" s="57">
        <f>IF($C60="","",$F60)</f>
        <v/>
      </c>
      <c r="Y60" s="57">
        <f>IF($C60="","",$C60)</f>
        <v/>
      </c>
    </row>
    <row r="61" ht="17" customHeight="1">
      <c r="A61" s="49" t="n"/>
      <c r="B61" s="49" t="n"/>
      <c r="C61" s="50" t="n"/>
      <c r="D61" s="49" t="n"/>
      <c r="E61" s="51">
        <f>IF($C61="","",ROUND(SUM(I61,L61,O61,R61,U61),2))</f>
        <v/>
      </c>
      <c r="F61" s="52">
        <f>IF($C61="","",ROUND($C61-$E61,2))</f>
        <v/>
      </c>
      <c r="G61" s="24">
        <f>IF(OR($C61="",$C61=0),"",$E61/$C61)</f>
        <v/>
      </c>
      <c r="H61" s="53">
        <f>IF($C61="","",IF($E61=0,"A receber",IF(ROUND($F61,2)=0,"Quitado",IF($F61&lt;0,"Recebido a mais","Parcial"))))</f>
        <v/>
      </c>
      <c r="I61" s="54" t="n"/>
      <c r="J61" s="55" t="n"/>
      <c r="K61" s="56" t="n"/>
      <c r="L61" s="54" t="n"/>
      <c r="M61" s="55" t="n"/>
      <c r="N61" s="56" t="n"/>
      <c r="O61" s="54" t="n"/>
      <c r="P61" s="55" t="n"/>
      <c r="Q61" s="56" t="n"/>
      <c r="R61" s="54" t="n"/>
      <c r="S61" s="55" t="n"/>
      <c r="T61" s="56" t="n"/>
      <c r="U61" s="54" t="n"/>
      <c r="V61" s="55" t="n"/>
      <c r="W61" s="56" t="n"/>
      <c r="X61" s="57">
        <f>IF($C61="","",$F61)</f>
        <v/>
      </c>
      <c r="Y61" s="57">
        <f>IF($C61="","",$C61)</f>
        <v/>
      </c>
    </row>
    <row r="62" ht="6" customHeight="1"/>
    <row r="63" ht="20" customHeight="1">
      <c r="A63" s="33" t="inlineStr">
        <is>
          <t>Julho</t>
        </is>
      </c>
      <c r="B63" s="45" t="n"/>
      <c r="C63" s="46">
        <f>SUM(C64:C67)</f>
        <v/>
      </c>
      <c r="D63" s="45" t="n"/>
      <c r="E63" s="46">
        <f>SUM(E64:E67)</f>
        <v/>
      </c>
      <c r="F63" s="46">
        <f>SUM(F64:F67)</f>
        <v/>
      </c>
      <c r="G63" s="47">
        <f>IF(OR(C63="",C63=0),"",E63/C63)</f>
        <v/>
      </c>
      <c r="H63" s="48">
        <f>COUNT(C64:C67)&amp;" projeto(s)"</f>
        <v/>
      </c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</row>
    <row r="64" ht="17" customHeight="1">
      <c r="A64" s="49" t="inlineStr">
        <is>
          <t>Paulo Felipe</t>
        </is>
      </c>
      <c r="B64" s="49" t="inlineStr">
        <is>
          <t>Sala de estar</t>
        </is>
      </c>
      <c r="C64" s="50" t="n">
        <v>12600</v>
      </c>
      <c r="D64" s="49" t="inlineStr">
        <is>
          <t>cartao + dinheiro</t>
        </is>
      </c>
      <c r="E64" s="51">
        <f>IF($C64="","",ROUND(SUM(I64,L64,O64,R64,U64),2))</f>
        <v/>
      </c>
      <c r="F64" s="52">
        <f>IF($C64="","",ROUND($C64-$E64,2))</f>
        <v/>
      </c>
      <c r="G64" s="24">
        <f>IF(OR($C64="",$C64=0),"",$E64/$C64)</f>
        <v/>
      </c>
      <c r="H64" s="53">
        <f>IF($C64="","",IF($E64=0,"A receber",IF(ROUND($F64,2)=0,"Quitado",IF($F64&lt;0,"Recebido a mais","Parcial"))))</f>
        <v/>
      </c>
      <c r="I64" s="54" t="n">
        <v>6000</v>
      </c>
      <c r="J64" s="55" t="n">
        <v>45491</v>
      </c>
      <c r="K64" s="56" t="inlineStr">
        <is>
          <t>cartao</t>
        </is>
      </c>
      <c r="L64" s="54" t="n">
        <v>5000</v>
      </c>
      <c r="M64" s="55" t="n">
        <v>45567</v>
      </c>
      <c r="N64" s="56" t="inlineStr">
        <is>
          <t>pix</t>
        </is>
      </c>
      <c r="O64" s="54" t="n">
        <v>1600</v>
      </c>
      <c r="P64" s="55" t="n"/>
      <c r="Q64" s="56" t="n"/>
      <c r="R64" s="54" t="n"/>
      <c r="S64" s="55" t="n"/>
      <c r="T64" s="56" t="n"/>
      <c r="U64" s="54" t="n"/>
      <c r="V64" s="55" t="n"/>
      <c r="W64" s="56" t="n"/>
      <c r="X64" s="57">
        <f>IF($C64="","",$F64)</f>
        <v/>
      </c>
      <c r="Y64" s="57">
        <f>IF($C64="","",$C64)</f>
        <v/>
      </c>
    </row>
    <row r="65" ht="17" customHeight="1">
      <c r="A65" s="49" t="inlineStr">
        <is>
          <t>Lester</t>
        </is>
      </c>
      <c r="B65" s="49" t="inlineStr">
        <is>
          <t>Escritorio e studio</t>
        </is>
      </c>
      <c r="C65" s="50" t="n">
        <v>37000</v>
      </c>
      <c r="D65" s="49" t="inlineStr">
        <is>
          <t>entrada+ final</t>
        </is>
      </c>
      <c r="E65" s="51">
        <f>IF($C65="","",ROUND(SUM(I65,L65,O65,R65,U65),2))</f>
        <v/>
      </c>
      <c r="F65" s="52">
        <f>IF($C65="","",ROUND($C65-$E65,2))</f>
        <v/>
      </c>
      <c r="G65" s="24">
        <f>IF(OR($C65="",$C65=0),"",$E65/$C65)</f>
        <v/>
      </c>
      <c r="H65" s="53">
        <f>IF($C65="","",IF($E65=0,"A receber",IF(ROUND($F65,2)=0,"Quitado",IF($F65&lt;0,"Recebido a mais","Parcial"))))</f>
        <v/>
      </c>
      <c r="I65" s="54" t="n">
        <v>9850</v>
      </c>
      <c r="J65" s="55" t="n">
        <v>45491</v>
      </c>
      <c r="K65" s="56" t="inlineStr">
        <is>
          <t>pix</t>
        </is>
      </c>
      <c r="L65" s="54" t="n">
        <v>7540</v>
      </c>
      <c r="M65" s="55" t="n">
        <v>45499</v>
      </c>
      <c r="N65" s="56" t="inlineStr">
        <is>
          <t>pix</t>
        </is>
      </c>
      <c r="O65" s="54" t="n">
        <v>10655</v>
      </c>
      <c r="P65" s="55" t="n">
        <v>45541</v>
      </c>
      <c r="Q65" s="56" t="inlineStr">
        <is>
          <t>pix</t>
        </is>
      </c>
      <c r="R65" s="54" t="n">
        <v>8955</v>
      </c>
      <c r="S65" s="55" t="n">
        <v>45577</v>
      </c>
      <c r="T65" s="56" t="n"/>
      <c r="U65" s="54" t="n"/>
      <c r="V65" s="55" t="n"/>
      <c r="W65" s="56" t="n"/>
      <c r="X65" s="57">
        <f>IF($C65="","",$F65)</f>
        <v/>
      </c>
      <c r="Y65" s="57">
        <f>IF($C65="","",$C65)</f>
        <v/>
      </c>
    </row>
    <row r="66" ht="17" customHeight="1">
      <c r="A66" s="49" t="n"/>
      <c r="B66" s="49" t="n"/>
      <c r="C66" s="50" t="n"/>
      <c r="D66" s="49" t="n"/>
      <c r="E66" s="51">
        <f>IF($C66="","",ROUND(SUM(I66,L66,O66,R66,U66),2))</f>
        <v/>
      </c>
      <c r="F66" s="52">
        <f>IF($C66="","",ROUND($C66-$E66,2))</f>
        <v/>
      </c>
      <c r="G66" s="24">
        <f>IF(OR($C66="",$C66=0),"",$E66/$C66)</f>
        <v/>
      </c>
      <c r="H66" s="53">
        <f>IF($C66="","",IF($E66=0,"A receber",IF(ROUND($F66,2)=0,"Quitado",IF($F66&lt;0,"Recebido a mais","Parcial"))))</f>
        <v/>
      </c>
      <c r="I66" s="54" t="n"/>
      <c r="J66" s="55" t="n"/>
      <c r="K66" s="56" t="n"/>
      <c r="L66" s="54" t="n"/>
      <c r="M66" s="55" t="n"/>
      <c r="N66" s="56" t="n"/>
      <c r="O66" s="54" t="n"/>
      <c r="P66" s="55" t="n"/>
      <c r="Q66" s="56" t="n"/>
      <c r="R66" s="54" t="n"/>
      <c r="S66" s="55" t="n"/>
      <c r="T66" s="56" t="n"/>
      <c r="U66" s="54" t="n"/>
      <c r="V66" s="55" t="n"/>
      <c r="W66" s="56" t="n"/>
      <c r="X66" s="57">
        <f>IF($C66="","",$F66)</f>
        <v/>
      </c>
      <c r="Y66" s="57">
        <f>IF($C66="","",$C66)</f>
        <v/>
      </c>
    </row>
    <row r="67" ht="17" customHeight="1">
      <c r="A67" s="49" t="n"/>
      <c r="B67" s="49" t="n"/>
      <c r="C67" s="50" t="n"/>
      <c r="D67" s="49" t="n"/>
      <c r="E67" s="51">
        <f>IF($C67="","",ROUND(SUM(I67,L67,O67,R67,U67),2))</f>
        <v/>
      </c>
      <c r="F67" s="52">
        <f>IF($C67="","",ROUND($C67-$E67,2))</f>
        <v/>
      </c>
      <c r="G67" s="24">
        <f>IF(OR($C67="",$C67=0),"",$E67/$C67)</f>
        <v/>
      </c>
      <c r="H67" s="53">
        <f>IF($C67="","",IF($E67=0,"A receber",IF(ROUND($F67,2)=0,"Quitado",IF($F67&lt;0,"Recebido a mais","Parcial"))))</f>
        <v/>
      </c>
      <c r="I67" s="54" t="n"/>
      <c r="J67" s="55" t="n"/>
      <c r="K67" s="56" t="n"/>
      <c r="L67" s="54" t="n"/>
      <c r="M67" s="55" t="n"/>
      <c r="N67" s="56" t="n"/>
      <c r="O67" s="54" t="n"/>
      <c r="P67" s="55" t="n"/>
      <c r="Q67" s="56" t="n"/>
      <c r="R67" s="54" t="n"/>
      <c r="S67" s="55" t="n"/>
      <c r="T67" s="56" t="n"/>
      <c r="U67" s="54" t="n"/>
      <c r="V67" s="55" t="n"/>
      <c r="W67" s="56" t="n"/>
      <c r="X67" s="57">
        <f>IF($C67="","",$F67)</f>
        <v/>
      </c>
      <c r="Y67" s="57">
        <f>IF($C67="","",$C67)</f>
        <v/>
      </c>
    </row>
    <row r="68" ht="6" customHeight="1"/>
    <row r="69" ht="20" customHeight="1">
      <c r="A69" s="33" t="inlineStr">
        <is>
          <t>Agosto</t>
        </is>
      </c>
      <c r="B69" s="45" t="n"/>
      <c r="C69" s="46">
        <f>SUM(C70:C74)</f>
        <v/>
      </c>
      <c r="D69" s="45" t="n"/>
      <c r="E69" s="46">
        <f>SUM(E70:E74)</f>
        <v/>
      </c>
      <c r="F69" s="46">
        <f>SUM(F70:F74)</f>
        <v/>
      </c>
      <c r="G69" s="47">
        <f>IF(OR(C69="",C69=0),"",E69/C69)</f>
        <v/>
      </c>
      <c r="H69" s="48">
        <f>COUNT(C70:C74)&amp;" projeto(s)"</f>
        <v/>
      </c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</row>
    <row r="70" ht="17" customHeight="1">
      <c r="A70" s="49" t="inlineStr">
        <is>
          <t>Marilene - Bruna</t>
        </is>
      </c>
      <c r="B70" s="49" t="inlineStr">
        <is>
          <t>Cozinha e Banheiro</t>
        </is>
      </c>
      <c r="C70" s="50" t="n">
        <v>25420</v>
      </c>
      <c r="D70" s="49" t="inlineStr">
        <is>
          <t>entrada + parcela + parcela</t>
        </is>
      </c>
      <c r="E70" s="51">
        <f>IF($C70="","",ROUND(SUM(I70,L70,O70,R70,U70),2))</f>
        <v/>
      </c>
      <c r="F70" s="52">
        <f>IF($C70="","",ROUND($C70-$E70,2))</f>
        <v/>
      </c>
      <c r="G70" s="24">
        <f>IF(OR($C70="",$C70=0),"",$E70/$C70)</f>
        <v/>
      </c>
      <c r="H70" s="53">
        <f>IF($C70="","",IF($E70=0,"A receber",IF(ROUND($F70,2)=0,"Quitado",IF($F70&lt;0,"Recebido a mais","Parcial"))))</f>
        <v/>
      </c>
      <c r="I70" s="54" t="n">
        <v>12550</v>
      </c>
      <c r="J70" s="55" t="n">
        <v>45574</v>
      </c>
      <c r="K70" s="56" t="inlineStr">
        <is>
          <t>pix</t>
        </is>
      </c>
      <c r="L70" s="54" t="n">
        <v>6435</v>
      </c>
      <c r="M70" s="55" t="n">
        <v>45562</v>
      </c>
      <c r="N70" s="56" t="inlineStr">
        <is>
          <t>pix</t>
        </is>
      </c>
      <c r="O70" s="54" t="n">
        <v>6435</v>
      </c>
      <c r="P70" s="55" t="n">
        <v>45591</v>
      </c>
      <c r="Q70" s="56" t="inlineStr">
        <is>
          <t>pix</t>
        </is>
      </c>
      <c r="R70" s="54" t="n"/>
      <c r="S70" s="55" t="n"/>
      <c r="T70" s="56" t="n"/>
      <c r="U70" s="54" t="n"/>
      <c r="V70" s="55" t="n"/>
      <c r="W70" s="56" t="n"/>
      <c r="X70" s="57">
        <f>IF($C70="","",$F70)</f>
        <v/>
      </c>
      <c r="Y70" s="57">
        <f>IF($C70="","",$C70)</f>
        <v/>
      </c>
    </row>
    <row r="71" ht="17" customHeight="1">
      <c r="A71" s="49" t="inlineStr">
        <is>
          <t>Monte Negro</t>
        </is>
      </c>
      <c r="B71" s="49" t="inlineStr">
        <is>
          <t>Paineis elevador</t>
        </is>
      </c>
      <c r="C71" s="50" t="n">
        <v>8000</v>
      </c>
      <c r="D71" s="49" t="n"/>
      <c r="E71" s="51">
        <f>IF($C71="","",ROUND(SUM(I71,L71,O71,R71,U71),2))</f>
        <v/>
      </c>
      <c r="F71" s="52">
        <f>IF($C71="","",ROUND($C71-$E71,2))</f>
        <v/>
      </c>
      <c r="G71" s="24">
        <f>IF(OR($C71="",$C71=0),"",$E71/$C71)</f>
        <v/>
      </c>
      <c r="H71" s="53">
        <f>IF($C71="","",IF($E71=0,"A receber",IF(ROUND($F71,2)=0,"Quitado",IF($F71&lt;0,"Recebido a mais","Parcial"))))</f>
        <v/>
      </c>
      <c r="I71" s="54" t="n">
        <v>8000</v>
      </c>
      <c r="J71" s="55" t="n"/>
      <c r="K71" s="56" t="n"/>
      <c r="L71" s="54" t="n"/>
      <c r="M71" s="55" t="n"/>
      <c r="N71" s="56" t="n"/>
      <c r="O71" s="54" t="n"/>
      <c r="P71" s="55" t="n"/>
      <c r="Q71" s="56" t="n"/>
      <c r="R71" s="54" t="n"/>
      <c r="S71" s="55" t="n"/>
      <c r="T71" s="56" t="n"/>
      <c r="U71" s="54" t="n"/>
      <c r="V71" s="55" t="n"/>
      <c r="W71" s="56" t="n"/>
      <c r="X71" s="57">
        <f>IF($C71="","",$F71)</f>
        <v/>
      </c>
      <c r="Y71" s="57">
        <f>IF($C71="","",$C71)</f>
        <v/>
      </c>
    </row>
    <row r="72" ht="17" customHeight="1">
      <c r="A72" s="49" t="inlineStr">
        <is>
          <t>Glauco</t>
        </is>
      </c>
      <c r="B72" s="49" t="inlineStr">
        <is>
          <t>Cozinha e Banheiro</t>
        </is>
      </c>
      <c r="C72" s="50" t="n">
        <v>1100</v>
      </c>
      <c r="D72" s="49" t="n"/>
      <c r="E72" s="51">
        <f>IF($C72="","",ROUND(SUM(I72,L72,O72,R72,U72),2))</f>
        <v/>
      </c>
      <c r="F72" s="52">
        <f>IF($C72="","",ROUND($C72-$E72,2))</f>
        <v/>
      </c>
      <c r="G72" s="24">
        <f>IF(OR($C72="",$C72=0),"",$E72/$C72)</f>
        <v/>
      </c>
      <c r="H72" s="53">
        <f>IF($C72="","",IF($E72=0,"A receber",IF(ROUND($F72,2)=0,"Quitado",IF($F72&lt;0,"Recebido a mais","Parcial"))))</f>
        <v/>
      </c>
      <c r="I72" s="54" t="n">
        <v>600</v>
      </c>
      <c r="J72" s="55" t="n">
        <v>45584</v>
      </c>
      <c r="K72" s="56" t="inlineStr">
        <is>
          <t>pix</t>
        </is>
      </c>
      <c r="L72" s="54" t="n">
        <v>500</v>
      </c>
      <c r="M72" s="55" t="n"/>
      <c r="N72" s="56" t="n"/>
      <c r="O72" s="54" t="n"/>
      <c r="P72" s="55" t="n"/>
      <c r="Q72" s="56" t="n"/>
      <c r="R72" s="54" t="n"/>
      <c r="S72" s="55" t="n"/>
      <c r="T72" s="56" t="n"/>
      <c r="U72" s="54" t="n"/>
      <c r="V72" s="55" t="n"/>
      <c r="W72" s="56" t="n"/>
      <c r="X72" s="57">
        <f>IF($C72="","",$F72)</f>
        <v/>
      </c>
      <c r="Y72" s="57">
        <f>IF($C72="","",$C72)</f>
        <v/>
      </c>
    </row>
    <row r="73" ht="17" customHeight="1">
      <c r="A73" s="49" t="n"/>
      <c r="B73" s="49" t="n"/>
      <c r="C73" s="50" t="n"/>
      <c r="D73" s="49" t="n"/>
      <c r="E73" s="51">
        <f>IF($C73="","",ROUND(SUM(I73,L73,O73,R73,U73),2))</f>
        <v/>
      </c>
      <c r="F73" s="52">
        <f>IF($C73="","",ROUND($C73-$E73,2))</f>
        <v/>
      </c>
      <c r="G73" s="24">
        <f>IF(OR($C73="",$C73=0),"",$E73/$C73)</f>
        <v/>
      </c>
      <c r="H73" s="53">
        <f>IF($C73="","",IF($E73=0,"A receber",IF(ROUND($F73,2)=0,"Quitado",IF($F73&lt;0,"Recebido a mais","Parcial"))))</f>
        <v/>
      </c>
      <c r="I73" s="54" t="n"/>
      <c r="J73" s="55" t="n"/>
      <c r="K73" s="56" t="n"/>
      <c r="L73" s="54" t="n"/>
      <c r="M73" s="55" t="n"/>
      <c r="N73" s="56" t="n"/>
      <c r="O73" s="54" t="n"/>
      <c r="P73" s="55" t="n"/>
      <c r="Q73" s="56" t="n"/>
      <c r="R73" s="54" t="n"/>
      <c r="S73" s="55" t="n"/>
      <c r="T73" s="56" t="n"/>
      <c r="U73" s="54" t="n"/>
      <c r="V73" s="55" t="n"/>
      <c r="W73" s="56" t="n"/>
      <c r="X73" s="57">
        <f>IF($C73="","",$F73)</f>
        <v/>
      </c>
      <c r="Y73" s="57">
        <f>IF($C73="","",$C73)</f>
        <v/>
      </c>
    </row>
    <row r="74" ht="17" customHeight="1">
      <c r="A74" s="49" t="n"/>
      <c r="B74" s="49" t="n"/>
      <c r="C74" s="50" t="n"/>
      <c r="D74" s="49" t="n"/>
      <c r="E74" s="51">
        <f>IF($C74="","",ROUND(SUM(I74,L74,O74,R74,U74),2))</f>
        <v/>
      </c>
      <c r="F74" s="52">
        <f>IF($C74="","",ROUND($C74-$E74,2))</f>
        <v/>
      </c>
      <c r="G74" s="24">
        <f>IF(OR($C74="",$C74=0),"",$E74/$C74)</f>
        <v/>
      </c>
      <c r="H74" s="53">
        <f>IF($C74="","",IF($E74=0,"A receber",IF(ROUND($F74,2)=0,"Quitado",IF($F74&lt;0,"Recebido a mais","Parcial"))))</f>
        <v/>
      </c>
      <c r="I74" s="54" t="n"/>
      <c r="J74" s="55" t="n"/>
      <c r="K74" s="56" t="n"/>
      <c r="L74" s="54" t="n"/>
      <c r="M74" s="55" t="n"/>
      <c r="N74" s="56" t="n"/>
      <c r="O74" s="54" t="n"/>
      <c r="P74" s="55" t="n"/>
      <c r="Q74" s="56" t="n"/>
      <c r="R74" s="54" t="n"/>
      <c r="S74" s="55" t="n"/>
      <c r="T74" s="56" t="n"/>
      <c r="U74" s="54" t="n"/>
      <c r="V74" s="55" t="n"/>
      <c r="W74" s="56" t="n"/>
      <c r="X74" s="57">
        <f>IF($C74="","",$F74)</f>
        <v/>
      </c>
      <c r="Y74" s="57">
        <f>IF($C74="","",$C74)</f>
        <v/>
      </c>
    </row>
    <row r="75" ht="6" customHeight="1"/>
    <row r="76" ht="20" customHeight="1">
      <c r="A76" s="33" t="inlineStr">
        <is>
          <t>Setembro</t>
        </is>
      </c>
      <c r="B76" s="45" t="n"/>
      <c r="C76" s="46">
        <f>SUM(C77:C82)</f>
        <v/>
      </c>
      <c r="D76" s="45" t="n"/>
      <c r="E76" s="46">
        <f>SUM(E77:E82)</f>
        <v/>
      </c>
      <c r="F76" s="46">
        <f>SUM(F77:F82)</f>
        <v/>
      </c>
      <c r="G76" s="47">
        <f>IF(OR(C76="",C76=0),"",E76/C76)</f>
        <v/>
      </c>
      <c r="H76" s="48">
        <f>COUNT(C77:C82)&amp;" projeto(s)"</f>
        <v/>
      </c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</row>
    <row r="77" ht="17" customHeight="1">
      <c r="A77" s="49" t="inlineStr">
        <is>
          <t>Daniel</t>
        </is>
      </c>
      <c r="B77" s="49" t="inlineStr">
        <is>
          <t>Quarto filho</t>
        </is>
      </c>
      <c r="C77" s="50" t="n">
        <v>7200</v>
      </c>
      <c r="D77" s="49" t="inlineStr">
        <is>
          <t>cartao em 6 vezes</t>
        </is>
      </c>
      <c r="E77" s="51">
        <f>IF($C77="","",ROUND(SUM(I77,L77,O77,R77,U77),2))</f>
        <v/>
      </c>
      <c r="F77" s="52">
        <f>IF($C77="","",ROUND($C77-$E77,2))</f>
        <v/>
      </c>
      <c r="G77" s="24">
        <f>IF(OR($C77="",$C77=0),"",$E77/$C77)</f>
        <v/>
      </c>
      <c r="H77" s="53">
        <f>IF($C77="","",IF($E77=0,"A receber",IF(ROUND($F77,2)=0,"Quitado",IF($F77&lt;0,"Recebido a mais","Parcial"))))</f>
        <v/>
      </c>
      <c r="I77" s="54" t="n">
        <v>7200</v>
      </c>
      <c r="J77" s="55" t="n"/>
      <c r="K77" s="56" t="n"/>
      <c r="L77" s="54" t="n"/>
      <c r="M77" s="55" t="n"/>
      <c r="N77" s="56" t="n"/>
      <c r="O77" s="54" t="n"/>
      <c r="P77" s="55" t="n"/>
      <c r="Q77" s="56" t="n"/>
      <c r="R77" s="54" t="n"/>
      <c r="S77" s="55" t="n"/>
      <c r="T77" s="56" t="n"/>
      <c r="U77" s="54" t="n"/>
      <c r="V77" s="55" t="n"/>
      <c r="W77" s="56" t="n"/>
      <c r="X77" s="57">
        <f>IF($C77="","",$F77)</f>
        <v/>
      </c>
      <c r="Y77" s="57">
        <f>IF($C77="","",$C77)</f>
        <v/>
      </c>
    </row>
    <row r="78" ht="17" customHeight="1">
      <c r="A78" s="49" t="inlineStr">
        <is>
          <t>Bruno</t>
        </is>
      </c>
      <c r="B78" s="49" t="inlineStr">
        <is>
          <t>Sala e cozinha</t>
        </is>
      </c>
      <c r="C78" s="50" t="n">
        <v>27450</v>
      </c>
      <c r="D78" s="49" t="inlineStr">
        <is>
          <t>60% + 40%</t>
        </is>
      </c>
      <c r="E78" s="51">
        <f>IF($C78="","",ROUND(SUM(I78,L78,O78,R78,U78),2))</f>
        <v/>
      </c>
      <c r="F78" s="52">
        <f>IF($C78="","",ROUND($C78-$E78,2))</f>
        <v/>
      </c>
      <c r="G78" s="24">
        <f>IF(OR($C78="",$C78=0),"",$E78/$C78)</f>
        <v/>
      </c>
      <c r="H78" s="53">
        <f>IF($C78="","",IF($E78=0,"A receber",IF(ROUND($F78,2)=0,"Quitado",IF($F78&lt;0,"Recebido a mais","Parcial"))))</f>
        <v/>
      </c>
      <c r="I78" s="54" t="n">
        <v>10000</v>
      </c>
      <c r="J78" s="55" t="n">
        <v>45553</v>
      </c>
      <c r="K78" s="56" t="inlineStr">
        <is>
          <t>pix</t>
        </is>
      </c>
      <c r="L78" s="54" t="n">
        <v>6450</v>
      </c>
      <c r="M78" s="55" t="n">
        <v>45554</v>
      </c>
      <c r="N78" s="56" t="inlineStr">
        <is>
          <t>pix</t>
        </is>
      </c>
      <c r="O78" s="54" t="n">
        <v>10000</v>
      </c>
      <c r="P78" s="55" t="n">
        <v>45602</v>
      </c>
      <c r="Q78" s="56" t="inlineStr">
        <is>
          <t>pix</t>
        </is>
      </c>
      <c r="R78" s="54" t="n">
        <v>1000</v>
      </c>
      <c r="S78" s="55" t="n"/>
      <c r="T78" s="56" t="n"/>
      <c r="U78" s="54" t="n"/>
      <c r="V78" s="55" t="n"/>
      <c r="W78" s="56" t="n"/>
      <c r="X78" s="57">
        <f>IF($C78="","",$F78)</f>
        <v/>
      </c>
      <c r="Y78" s="57">
        <f>IF($C78="","",$C78)</f>
        <v/>
      </c>
    </row>
    <row r="79" ht="17" customHeight="1">
      <c r="A79" s="49" t="inlineStr">
        <is>
          <t>Nilda</t>
        </is>
      </c>
      <c r="B79" s="49" t="inlineStr">
        <is>
          <t>Banheiros</t>
        </is>
      </c>
      <c r="C79" s="50" t="n">
        <v>5750</v>
      </c>
      <c r="D79" s="49" t="inlineStr">
        <is>
          <t>60% + 40%</t>
        </is>
      </c>
      <c r="E79" s="51">
        <f>IF($C79="","",ROUND(SUM(I79,L79,O79,R79,U79),2))</f>
        <v/>
      </c>
      <c r="F79" s="52">
        <f>IF($C79="","",ROUND($C79-$E79,2))</f>
        <v/>
      </c>
      <c r="G79" s="24">
        <f>IF(OR($C79="",$C79=0),"",$E79/$C79)</f>
        <v/>
      </c>
      <c r="H79" s="53">
        <f>IF($C79="","",IF($E79=0,"A receber",IF(ROUND($F79,2)=0,"Quitado",IF($F79&lt;0,"Recebido a mais","Parcial"))))</f>
        <v/>
      </c>
      <c r="I79" s="54" t="n">
        <v>3450</v>
      </c>
      <c r="J79" s="55" t="n">
        <v>45552</v>
      </c>
      <c r="K79" s="56" t="inlineStr">
        <is>
          <t>pix</t>
        </is>
      </c>
      <c r="L79" s="54" t="n">
        <v>2300</v>
      </c>
      <c r="M79" s="55" t="n">
        <v>45593</v>
      </c>
      <c r="N79" s="56" t="inlineStr">
        <is>
          <t>pix</t>
        </is>
      </c>
      <c r="O79" s="54" t="n"/>
      <c r="P79" s="55" t="n"/>
      <c r="Q79" s="56" t="n"/>
      <c r="R79" s="54" t="n"/>
      <c r="S79" s="55" t="n"/>
      <c r="T79" s="56" t="n"/>
      <c r="U79" s="54" t="n"/>
      <c r="V79" s="55" t="n"/>
      <c r="W79" s="56" t="n"/>
      <c r="X79" s="57">
        <f>IF($C79="","",$F79)</f>
        <v/>
      </c>
      <c r="Y79" s="57">
        <f>IF($C79="","",$C79)</f>
        <v/>
      </c>
    </row>
    <row r="80" ht="17" customHeight="1">
      <c r="A80" s="49" t="inlineStr">
        <is>
          <t>Norma</t>
        </is>
      </c>
      <c r="B80" s="49" t="inlineStr">
        <is>
          <t>Banheiros</t>
        </is>
      </c>
      <c r="C80" s="50" t="n">
        <v>2500</v>
      </c>
      <c r="D80" s="49" t="inlineStr">
        <is>
          <t>50%+50%</t>
        </is>
      </c>
      <c r="E80" s="51">
        <f>IF($C80="","",ROUND(SUM(I80,L80,O80,R80,U80),2))</f>
        <v/>
      </c>
      <c r="F80" s="52">
        <f>IF($C80="","",ROUND($C80-$E80,2))</f>
        <v/>
      </c>
      <c r="G80" s="24">
        <f>IF(OR($C80="",$C80=0),"",$E80/$C80)</f>
        <v/>
      </c>
      <c r="H80" s="53">
        <f>IF($C80="","",IF($E80=0,"A receber",IF(ROUND($F80,2)=0,"Quitado",IF($F80&lt;0,"Recebido a mais","Parcial"))))</f>
        <v/>
      </c>
      <c r="I80" s="54" t="n">
        <v>1250</v>
      </c>
      <c r="J80" s="55" t="n"/>
      <c r="K80" s="56" t="inlineStr">
        <is>
          <t>pix</t>
        </is>
      </c>
      <c r="L80" s="54" t="n">
        <v>1250</v>
      </c>
      <c r="M80" s="55" t="n">
        <v>45586</v>
      </c>
      <c r="N80" s="56" t="inlineStr">
        <is>
          <t>pix</t>
        </is>
      </c>
      <c r="O80" s="54" t="n"/>
      <c r="P80" s="55" t="n"/>
      <c r="Q80" s="56" t="n"/>
      <c r="R80" s="54" t="n"/>
      <c r="S80" s="55" t="n"/>
      <c r="T80" s="56" t="n"/>
      <c r="U80" s="54" t="n"/>
      <c r="V80" s="55" t="n"/>
      <c r="W80" s="56" t="n"/>
      <c r="X80" s="57">
        <f>IF($C80="","",$F80)</f>
        <v/>
      </c>
      <c r="Y80" s="57">
        <f>IF($C80="","",$C80)</f>
        <v/>
      </c>
    </row>
    <row r="81" ht="17" customHeight="1">
      <c r="A81" s="49" t="n"/>
      <c r="B81" s="49" t="n"/>
      <c r="C81" s="50" t="n"/>
      <c r="D81" s="49" t="n"/>
      <c r="E81" s="51">
        <f>IF($C81="","",ROUND(SUM(I81,L81,O81,R81,U81),2))</f>
        <v/>
      </c>
      <c r="F81" s="52">
        <f>IF($C81="","",ROUND($C81-$E81,2))</f>
        <v/>
      </c>
      <c r="G81" s="24">
        <f>IF(OR($C81="",$C81=0),"",$E81/$C81)</f>
        <v/>
      </c>
      <c r="H81" s="53">
        <f>IF($C81="","",IF($E81=0,"A receber",IF(ROUND($F81,2)=0,"Quitado",IF($F81&lt;0,"Recebido a mais","Parcial"))))</f>
        <v/>
      </c>
      <c r="I81" s="54" t="n"/>
      <c r="J81" s="55" t="n"/>
      <c r="K81" s="56" t="n"/>
      <c r="L81" s="54" t="n"/>
      <c r="M81" s="55" t="n"/>
      <c r="N81" s="56" t="n"/>
      <c r="O81" s="54" t="n"/>
      <c r="P81" s="55" t="n"/>
      <c r="Q81" s="56" t="n"/>
      <c r="R81" s="54" t="n"/>
      <c r="S81" s="55" t="n"/>
      <c r="T81" s="56" t="n"/>
      <c r="U81" s="54" t="n"/>
      <c r="V81" s="55" t="n"/>
      <c r="W81" s="56" t="n"/>
      <c r="X81" s="57">
        <f>IF($C81="","",$F81)</f>
        <v/>
      </c>
      <c r="Y81" s="57">
        <f>IF($C81="","",$C81)</f>
        <v/>
      </c>
    </row>
    <row r="82" ht="17" customHeight="1">
      <c r="A82" s="49" t="n"/>
      <c r="B82" s="49" t="n"/>
      <c r="C82" s="50" t="n"/>
      <c r="D82" s="49" t="n"/>
      <c r="E82" s="51">
        <f>IF($C82="","",ROUND(SUM(I82,L82,O82,R82,U82),2))</f>
        <v/>
      </c>
      <c r="F82" s="52">
        <f>IF($C82="","",ROUND($C82-$E82,2))</f>
        <v/>
      </c>
      <c r="G82" s="24">
        <f>IF(OR($C82="",$C82=0),"",$E82/$C82)</f>
        <v/>
      </c>
      <c r="H82" s="53">
        <f>IF($C82="","",IF($E82=0,"A receber",IF(ROUND($F82,2)=0,"Quitado",IF($F82&lt;0,"Recebido a mais","Parcial"))))</f>
        <v/>
      </c>
      <c r="I82" s="54" t="n"/>
      <c r="J82" s="55" t="n"/>
      <c r="K82" s="56" t="n"/>
      <c r="L82" s="54" t="n"/>
      <c r="M82" s="55" t="n"/>
      <c r="N82" s="56" t="n"/>
      <c r="O82" s="54" t="n"/>
      <c r="P82" s="55" t="n"/>
      <c r="Q82" s="56" t="n"/>
      <c r="R82" s="54" t="n"/>
      <c r="S82" s="55" t="n"/>
      <c r="T82" s="56" t="n"/>
      <c r="U82" s="54" t="n"/>
      <c r="V82" s="55" t="n"/>
      <c r="W82" s="56" t="n"/>
      <c r="X82" s="57">
        <f>IF($C82="","",$F82)</f>
        <v/>
      </c>
      <c r="Y82" s="57">
        <f>IF($C82="","",$C82)</f>
        <v/>
      </c>
    </row>
    <row r="83" ht="6" customHeight="1"/>
    <row r="84" ht="20" customHeight="1">
      <c r="A84" s="33" t="inlineStr">
        <is>
          <t>Outubro</t>
        </is>
      </c>
      <c r="B84" s="45" t="n"/>
      <c r="C84" s="46">
        <f>SUM(C85:C89)</f>
        <v/>
      </c>
      <c r="D84" s="45" t="n"/>
      <c r="E84" s="46">
        <f>SUM(E85:E89)</f>
        <v/>
      </c>
      <c r="F84" s="46">
        <f>SUM(F85:F89)</f>
        <v/>
      </c>
      <c r="G84" s="47">
        <f>IF(OR(C84="",C84=0),"",E84/C84)</f>
        <v/>
      </c>
      <c r="H84" s="48">
        <f>COUNT(C85:C89)&amp;" projeto(s)"</f>
        <v/>
      </c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</row>
    <row r="85" ht="17" customHeight="1">
      <c r="A85" s="49" t="inlineStr">
        <is>
          <t>Mayara</t>
        </is>
      </c>
      <c r="B85" s="49" t="inlineStr">
        <is>
          <t>Casa completa</t>
        </is>
      </c>
      <c r="C85" s="50" t="n">
        <v>84000</v>
      </c>
      <c r="D85" s="49" t="inlineStr">
        <is>
          <t>Entrada + 25 + 25</t>
        </is>
      </c>
      <c r="E85" s="51">
        <f>IF($C85="","",ROUND(SUM(I85,L85,O85,R85,U85),2))</f>
        <v/>
      </c>
      <c r="F85" s="52">
        <f>IF($C85="","",ROUND($C85-$E85,2))</f>
        <v/>
      </c>
      <c r="G85" s="24">
        <f>IF(OR($C85="",$C85=0),"",$E85/$C85)</f>
        <v/>
      </c>
      <c r="H85" s="53">
        <f>IF($C85="","",IF($E85=0,"A receber",IF(ROUND($F85,2)=0,"Quitado",IF($F85&lt;0,"Recebido a mais","Parcial"))))</f>
        <v/>
      </c>
      <c r="I85" s="54" t="n">
        <v>22000</v>
      </c>
      <c r="J85" s="55" t="n">
        <v>45594</v>
      </c>
      <c r="K85" s="56" t="inlineStr">
        <is>
          <t>pix</t>
        </is>
      </c>
      <c r="L85" s="54" t="n">
        <v>20000</v>
      </c>
      <c r="M85" s="55" t="n"/>
      <c r="N85" s="56" t="inlineStr">
        <is>
          <t>pix</t>
        </is>
      </c>
      <c r="O85" s="54" t="n">
        <v>40000</v>
      </c>
      <c r="P85" s="55" t="n"/>
      <c r="Q85" s="56" t="n"/>
      <c r="R85" s="54" t="n">
        <v>2000</v>
      </c>
      <c r="S85" s="55" t="n"/>
      <c r="T85" s="56" t="n"/>
      <c r="U85" s="54" t="n"/>
      <c r="V85" s="55" t="n"/>
      <c r="W85" s="56" t="n"/>
      <c r="X85" s="57">
        <f>IF($C85="","",$F85)</f>
        <v/>
      </c>
      <c r="Y85" s="57">
        <f>IF($C85="","",$C85)</f>
        <v/>
      </c>
    </row>
    <row r="86" ht="17" customHeight="1">
      <c r="A86" s="49" t="inlineStr">
        <is>
          <t>hospital orizonte</t>
        </is>
      </c>
      <c r="B86" s="49" t="inlineStr">
        <is>
          <t>hospital</t>
        </is>
      </c>
      <c r="C86" s="50" t="n">
        <v>2350</v>
      </c>
      <c r="D86" s="49" t="n"/>
      <c r="E86" s="51">
        <f>IF($C86="","",ROUND(SUM(I86,L86,O86,R86,U86),2))</f>
        <v/>
      </c>
      <c r="F86" s="52">
        <f>IF($C86="","",ROUND($C86-$E86,2))</f>
        <v/>
      </c>
      <c r="G86" s="24">
        <f>IF(OR($C86="",$C86=0),"",$E86/$C86)</f>
        <v/>
      </c>
      <c r="H86" s="53">
        <f>IF($C86="","",IF($E86=0,"A receber",IF(ROUND($F86,2)=0,"Quitado",IF($F86&lt;0,"Recebido a mais","Parcial"))))</f>
        <v/>
      </c>
      <c r="I86" s="54" t="n">
        <v>1175</v>
      </c>
      <c r="J86" s="55" t="n">
        <v>45590</v>
      </c>
      <c r="K86" s="56" t="inlineStr">
        <is>
          <t>pix</t>
        </is>
      </c>
      <c r="L86" s="54" t="n">
        <v>1175</v>
      </c>
      <c r="M86" s="55" t="n"/>
      <c r="N86" s="56" t="n"/>
      <c r="O86" s="54" t="n"/>
      <c r="P86" s="55" t="n"/>
      <c r="Q86" s="56" t="n"/>
      <c r="R86" s="54" t="n"/>
      <c r="S86" s="55" t="n"/>
      <c r="T86" s="56" t="n"/>
      <c r="U86" s="54" t="n"/>
      <c r="V86" s="55" t="n"/>
      <c r="W86" s="56" t="n"/>
      <c r="X86" s="57">
        <f>IF($C86="","",$F86)</f>
        <v/>
      </c>
      <c r="Y86" s="57">
        <f>IF($C86="","",$C86)</f>
        <v/>
      </c>
    </row>
    <row r="87" ht="17" customHeight="1">
      <c r="A87" s="49" t="inlineStr">
        <is>
          <t>Petrina</t>
        </is>
      </c>
      <c r="B87" s="49" t="inlineStr">
        <is>
          <t>Roupeiro</t>
        </is>
      </c>
      <c r="C87" s="50" t="n">
        <v>4000</v>
      </c>
      <c r="D87" s="49" t="inlineStr">
        <is>
          <t>2 vezes</t>
        </is>
      </c>
      <c r="E87" s="51">
        <f>IF($C87="","",ROUND(SUM(I87,L87,O87,R87,U87),2))</f>
        <v/>
      </c>
      <c r="F87" s="52">
        <f>IF($C87="","",ROUND($C87-$E87,2))</f>
        <v/>
      </c>
      <c r="G87" s="24">
        <f>IF(OR($C87="",$C87=0),"",$E87/$C87)</f>
        <v/>
      </c>
      <c r="H87" s="53">
        <f>IF($C87="","",IF($E87=0,"A receber",IF(ROUND($F87,2)=0,"Quitado",IF($F87&lt;0,"Recebido a mais","Parcial"))))</f>
        <v/>
      </c>
      <c r="I87" s="54" t="n">
        <v>4000</v>
      </c>
      <c r="J87" s="55" t="n"/>
      <c r="K87" s="56" t="n"/>
      <c r="L87" s="54" t="n"/>
      <c r="M87" s="55" t="n"/>
      <c r="N87" s="56" t="n"/>
      <c r="O87" s="54" t="n"/>
      <c r="P87" s="55" t="n"/>
      <c r="Q87" s="56" t="n"/>
      <c r="R87" s="54" t="n"/>
      <c r="S87" s="55" t="n"/>
      <c r="T87" s="56" t="n"/>
      <c r="U87" s="54" t="n"/>
      <c r="V87" s="55" t="n"/>
      <c r="W87" s="56" t="n"/>
      <c r="X87" s="57">
        <f>IF($C87="","",$F87)</f>
        <v/>
      </c>
      <c r="Y87" s="57">
        <f>IF($C87="","",$C87)</f>
        <v/>
      </c>
    </row>
    <row r="88" ht="17" customHeight="1">
      <c r="A88" s="49" t="n"/>
      <c r="B88" s="49" t="n"/>
      <c r="C88" s="50" t="n"/>
      <c r="D88" s="49" t="n"/>
      <c r="E88" s="51">
        <f>IF($C88="","",ROUND(SUM(I88,L88,O88,R88,U88),2))</f>
        <v/>
      </c>
      <c r="F88" s="52">
        <f>IF($C88="","",ROUND($C88-$E88,2))</f>
        <v/>
      </c>
      <c r="G88" s="24">
        <f>IF(OR($C88="",$C88=0),"",$E88/$C88)</f>
        <v/>
      </c>
      <c r="H88" s="53">
        <f>IF($C88="","",IF($E88=0,"A receber",IF(ROUND($F88,2)=0,"Quitado",IF($F88&lt;0,"Recebido a mais","Parcial"))))</f>
        <v/>
      </c>
      <c r="I88" s="54" t="n"/>
      <c r="J88" s="55" t="n"/>
      <c r="K88" s="56" t="n"/>
      <c r="L88" s="54" t="n"/>
      <c r="M88" s="55" t="n"/>
      <c r="N88" s="56" t="n"/>
      <c r="O88" s="54" t="n"/>
      <c r="P88" s="55" t="n"/>
      <c r="Q88" s="56" t="n"/>
      <c r="R88" s="54" t="n"/>
      <c r="S88" s="55" t="n"/>
      <c r="T88" s="56" t="n"/>
      <c r="U88" s="54" t="n"/>
      <c r="V88" s="55" t="n"/>
      <c r="W88" s="56" t="n"/>
      <c r="X88" s="57">
        <f>IF($C88="","",$F88)</f>
        <v/>
      </c>
      <c r="Y88" s="57">
        <f>IF($C88="","",$C88)</f>
        <v/>
      </c>
    </row>
    <row r="89" ht="17" customHeight="1">
      <c r="A89" s="49" t="n"/>
      <c r="B89" s="49" t="n"/>
      <c r="C89" s="50" t="n"/>
      <c r="D89" s="49" t="n"/>
      <c r="E89" s="51">
        <f>IF($C89="","",ROUND(SUM(I89,L89,O89,R89,U89),2))</f>
        <v/>
      </c>
      <c r="F89" s="52">
        <f>IF($C89="","",ROUND($C89-$E89,2))</f>
        <v/>
      </c>
      <c r="G89" s="24">
        <f>IF(OR($C89="",$C89=0),"",$E89/$C89)</f>
        <v/>
      </c>
      <c r="H89" s="53">
        <f>IF($C89="","",IF($E89=0,"A receber",IF(ROUND($F89,2)=0,"Quitado",IF($F89&lt;0,"Recebido a mais","Parcial"))))</f>
        <v/>
      </c>
      <c r="I89" s="54" t="n"/>
      <c r="J89" s="55" t="n"/>
      <c r="K89" s="56" t="n"/>
      <c r="L89" s="54" t="n"/>
      <c r="M89" s="55" t="n"/>
      <c r="N89" s="56" t="n"/>
      <c r="O89" s="54" t="n"/>
      <c r="P89" s="55" t="n"/>
      <c r="Q89" s="56" t="n"/>
      <c r="R89" s="54" t="n"/>
      <c r="S89" s="55" t="n"/>
      <c r="T89" s="56" t="n"/>
      <c r="U89" s="54" t="n"/>
      <c r="V89" s="55" t="n"/>
      <c r="W89" s="56" t="n"/>
      <c r="X89" s="57">
        <f>IF($C89="","",$F89)</f>
        <v/>
      </c>
      <c r="Y89" s="57">
        <f>IF($C89="","",$C89)</f>
        <v/>
      </c>
    </row>
    <row r="90" ht="6" customHeight="1"/>
    <row r="91" ht="20" customHeight="1">
      <c r="A91" s="33" t="inlineStr">
        <is>
          <t>Novembro</t>
        </is>
      </c>
      <c r="B91" s="45" t="n"/>
      <c r="C91" s="46">
        <f>SUM(C92:C97)</f>
        <v/>
      </c>
      <c r="D91" s="45" t="n"/>
      <c r="E91" s="46">
        <f>SUM(E92:E97)</f>
        <v/>
      </c>
      <c r="F91" s="46">
        <f>SUM(F92:F97)</f>
        <v/>
      </c>
      <c r="G91" s="47">
        <f>IF(OR(C91="",C91=0),"",E91/C91)</f>
        <v/>
      </c>
      <c r="H91" s="48">
        <f>COUNT(C92:C97)&amp;" projeto(s)"</f>
        <v/>
      </c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</row>
    <row r="92" ht="17" customHeight="1">
      <c r="A92" s="49" t="inlineStr">
        <is>
          <t>Lilian</t>
        </is>
      </c>
      <c r="B92" s="49" t="inlineStr">
        <is>
          <t>Cozinha</t>
        </is>
      </c>
      <c r="C92" s="50" t="n">
        <v>4000</v>
      </c>
      <c r="D92" s="49" t="inlineStr">
        <is>
          <t>50%+50%</t>
        </is>
      </c>
      <c r="E92" s="51">
        <f>IF($C92="","",ROUND(SUM(I92,L92,O92,R92,U92),2))</f>
        <v/>
      </c>
      <c r="F92" s="52">
        <f>IF($C92="","",ROUND($C92-$E92,2))</f>
        <v/>
      </c>
      <c r="G92" s="24">
        <f>IF(OR($C92="",$C92=0),"",$E92/$C92)</f>
        <v/>
      </c>
      <c r="H92" s="53">
        <f>IF($C92="","",IF($E92=0,"A receber",IF(ROUND($F92,2)=0,"Quitado",IF($F92&lt;0,"Recebido a mais","Parcial"))))</f>
        <v/>
      </c>
      <c r="I92" s="54" t="n">
        <v>2000</v>
      </c>
      <c r="J92" s="55" t="n">
        <v>45604</v>
      </c>
      <c r="K92" s="56" t="inlineStr">
        <is>
          <t>pix</t>
        </is>
      </c>
      <c r="L92" s="54" t="n">
        <v>2000</v>
      </c>
      <c r="M92" s="55" t="n"/>
      <c r="N92" s="56" t="n"/>
      <c r="O92" s="54" t="n"/>
      <c r="P92" s="55" t="n"/>
      <c r="Q92" s="56" t="n"/>
      <c r="R92" s="54" t="n"/>
      <c r="S92" s="55" t="n"/>
      <c r="T92" s="56" t="n"/>
      <c r="U92" s="54" t="n"/>
      <c r="V92" s="55" t="n"/>
      <c r="W92" s="56" t="n"/>
      <c r="X92" s="57">
        <f>IF($C92="","",$F92)</f>
        <v/>
      </c>
      <c r="Y92" s="57">
        <f>IF($C92="","",$C92)</f>
        <v/>
      </c>
    </row>
    <row r="93" ht="17" customHeight="1">
      <c r="A93" s="49" t="inlineStr">
        <is>
          <t>Debora</t>
        </is>
      </c>
      <c r="B93" s="49" t="inlineStr">
        <is>
          <t>Cama / cabeceira</t>
        </is>
      </c>
      <c r="C93" s="50" t="n">
        <v>3680</v>
      </c>
      <c r="D93" s="49" t="inlineStr">
        <is>
          <t>cartao</t>
        </is>
      </c>
      <c r="E93" s="51">
        <f>IF($C93="","",ROUND(SUM(I93,L93,O93,R93,U93),2))</f>
        <v/>
      </c>
      <c r="F93" s="52">
        <f>IF($C93="","",ROUND($C93-$E93,2))</f>
        <v/>
      </c>
      <c r="G93" s="24">
        <f>IF(OR($C93="",$C93=0),"",$E93/$C93)</f>
        <v/>
      </c>
      <c r="H93" s="53">
        <f>IF($C93="","",IF($E93=0,"A receber",IF(ROUND($F93,2)=0,"Quitado",IF($F93&lt;0,"Recebido a mais","Parcial"))))</f>
        <v/>
      </c>
      <c r="I93" s="54" t="n">
        <v>3680</v>
      </c>
      <c r="J93" s="55" t="n">
        <v>45610</v>
      </c>
      <c r="K93" s="56" t="inlineStr">
        <is>
          <t>cartao</t>
        </is>
      </c>
      <c r="L93" s="54" t="n"/>
      <c r="M93" s="55" t="n"/>
      <c r="N93" s="56" t="n"/>
      <c r="O93" s="54" t="n"/>
      <c r="P93" s="55" t="n"/>
      <c r="Q93" s="56" t="n"/>
      <c r="R93" s="54" t="n"/>
      <c r="S93" s="55" t="n"/>
      <c r="T93" s="56" t="n"/>
      <c r="U93" s="54" t="n"/>
      <c r="V93" s="55" t="n"/>
      <c r="W93" s="56" t="n"/>
      <c r="X93" s="57">
        <f>IF($C93="","",$F93)</f>
        <v/>
      </c>
      <c r="Y93" s="57">
        <f>IF($C93="","",$C93)</f>
        <v/>
      </c>
    </row>
    <row r="94" ht="17" customHeight="1">
      <c r="A94" s="49" t="inlineStr">
        <is>
          <t>Rafael</t>
        </is>
      </c>
      <c r="B94" s="49" t="inlineStr">
        <is>
          <t>cozinha</t>
        </is>
      </c>
      <c r="C94" s="50" t="n">
        <v>21950</v>
      </c>
      <c r="D94" s="49" t="inlineStr">
        <is>
          <t>entrada + 6vezes</t>
        </is>
      </c>
      <c r="E94" s="51">
        <f>IF($C94="","",ROUND(SUM(I94,L94,O94,R94,U94),2))</f>
        <v/>
      </c>
      <c r="F94" s="52">
        <f>IF($C94="","",ROUND($C94-$E94,2))</f>
        <v/>
      </c>
      <c r="G94" s="24">
        <f>IF(OR($C94="",$C94=0),"",$E94/$C94)</f>
        <v/>
      </c>
      <c r="H94" s="53">
        <f>IF($C94="","",IF($E94=0,"A receber",IF(ROUND($F94,2)=0,"Quitado",IF($F94&lt;0,"Recebido a mais","Parcial"))))</f>
        <v/>
      </c>
      <c r="I94" s="54" t="n">
        <v>13000</v>
      </c>
      <c r="J94" s="55" t="n">
        <v>45621</v>
      </c>
      <c r="K94" s="56" t="inlineStr">
        <is>
          <t>TED</t>
        </is>
      </c>
      <c r="L94" s="54" t="n">
        <v>8950</v>
      </c>
      <c r="M94" s="55" t="n"/>
      <c r="N94" s="56" t="n"/>
      <c r="O94" s="54" t="n"/>
      <c r="P94" s="55" t="n"/>
      <c r="Q94" s="56" t="n"/>
      <c r="R94" s="54" t="n"/>
      <c r="S94" s="55" t="n"/>
      <c r="T94" s="56" t="n"/>
      <c r="U94" s="54" t="n"/>
      <c r="V94" s="55" t="n"/>
      <c r="W94" s="56" t="n"/>
      <c r="X94" s="57">
        <f>IF($C94="","",$F94)</f>
        <v/>
      </c>
      <c r="Y94" s="57">
        <f>IF($C94="","",$C94)</f>
        <v/>
      </c>
    </row>
    <row r="95" ht="17" customHeight="1">
      <c r="A95" s="49" t="inlineStr">
        <is>
          <t>Regina</t>
        </is>
      </c>
      <c r="B95" s="49" t="inlineStr">
        <is>
          <t>quarto</t>
        </is>
      </c>
      <c r="C95" s="50" t="n">
        <v>16290</v>
      </c>
      <c r="D95" s="49" t="inlineStr">
        <is>
          <t>entrada + cartao</t>
        </is>
      </c>
      <c r="E95" s="51">
        <f>IF($C95="","",ROUND(SUM(I95,L95,O95,R95,U95),2))</f>
        <v/>
      </c>
      <c r="F95" s="52">
        <f>IF($C95="","",ROUND($C95-$E95,2))</f>
        <v/>
      </c>
      <c r="G95" s="24">
        <f>IF(OR($C95="",$C95=0),"",$E95/$C95)</f>
        <v/>
      </c>
      <c r="H95" s="53">
        <f>IF($C95="","",IF($E95=0,"A receber",IF(ROUND($F95,2)=0,"Quitado",IF($F95&lt;0,"Recebido a mais","Parcial"))))</f>
        <v/>
      </c>
      <c r="I95" s="54" t="n">
        <v>8000</v>
      </c>
      <c r="J95" s="55" t="n"/>
      <c r="K95" s="56" t="inlineStr">
        <is>
          <t>pix</t>
        </is>
      </c>
      <c r="L95" s="54" t="n">
        <v>8290</v>
      </c>
      <c r="M95" s="55" t="n"/>
      <c r="N95" s="56" t="n"/>
      <c r="O95" s="54" t="n"/>
      <c r="P95" s="55" t="n"/>
      <c r="Q95" s="56" t="n"/>
      <c r="R95" s="54" t="n"/>
      <c r="S95" s="55" t="n"/>
      <c r="T95" s="56" t="n"/>
      <c r="U95" s="54" t="n"/>
      <c r="V95" s="55" t="n"/>
      <c r="W95" s="56" t="n"/>
      <c r="X95" s="57">
        <f>IF($C95="","",$F95)</f>
        <v/>
      </c>
      <c r="Y95" s="57">
        <f>IF($C95="","",$C95)</f>
        <v/>
      </c>
    </row>
    <row r="96" ht="17" customHeight="1">
      <c r="A96" s="49" t="n"/>
      <c r="B96" s="49" t="n"/>
      <c r="C96" s="50" t="n"/>
      <c r="D96" s="49" t="n"/>
      <c r="E96" s="51">
        <f>IF($C96="","",ROUND(SUM(I96,L96,O96,R96,U96),2))</f>
        <v/>
      </c>
      <c r="F96" s="52">
        <f>IF($C96="","",ROUND($C96-$E96,2))</f>
        <v/>
      </c>
      <c r="G96" s="24">
        <f>IF(OR($C96="",$C96=0),"",$E96/$C96)</f>
        <v/>
      </c>
      <c r="H96" s="53">
        <f>IF($C96="","",IF($E96=0,"A receber",IF(ROUND($F96,2)=0,"Quitado",IF($F96&lt;0,"Recebido a mais","Parcial"))))</f>
        <v/>
      </c>
      <c r="I96" s="54" t="n"/>
      <c r="J96" s="55" t="n"/>
      <c r="K96" s="56" t="n"/>
      <c r="L96" s="54" t="n"/>
      <c r="M96" s="55" t="n"/>
      <c r="N96" s="56" t="n"/>
      <c r="O96" s="54" t="n"/>
      <c r="P96" s="55" t="n"/>
      <c r="Q96" s="56" t="n"/>
      <c r="R96" s="54" t="n"/>
      <c r="S96" s="55" t="n"/>
      <c r="T96" s="56" t="n"/>
      <c r="U96" s="54" t="n"/>
      <c r="V96" s="55" t="n"/>
      <c r="W96" s="56" t="n"/>
      <c r="X96" s="57">
        <f>IF($C96="","",$F96)</f>
        <v/>
      </c>
      <c r="Y96" s="57">
        <f>IF($C96="","",$C96)</f>
        <v/>
      </c>
    </row>
    <row r="97" ht="17" customHeight="1">
      <c r="A97" s="49" t="n"/>
      <c r="B97" s="49" t="n"/>
      <c r="C97" s="50" t="n"/>
      <c r="D97" s="49" t="n"/>
      <c r="E97" s="51">
        <f>IF($C97="","",ROUND(SUM(I97,L97,O97,R97,U97),2))</f>
        <v/>
      </c>
      <c r="F97" s="52">
        <f>IF($C97="","",ROUND($C97-$E97,2))</f>
        <v/>
      </c>
      <c r="G97" s="24">
        <f>IF(OR($C97="",$C97=0),"",$E97/$C97)</f>
        <v/>
      </c>
      <c r="H97" s="53">
        <f>IF($C97="","",IF($E97=0,"A receber",IF(ROUND($F97,2)=0,"Quitado",IF($F97&lt;0,"Recebido a mais","Parcial"))))</f>
        <v/>
      </c>
      <c r="I97" s="54" t="n"/>
      <c r="J97" s="55" t="n"/>
      <c r="K97" s="56" t="n"/>
      <c r="L97" s="54" t="n"/>
      <c r="M97" s="55" t="n"/>
      <c r="N97" s="56" t="n"/>
      <c r="O97" s="54" t="n"/>
      <c r="P97" s="55" t="n"/>
      <c r="Q97" s="56" t="n"/>
      <c r="R97" s="54" t="n"/>
      <c r="S97" s="55" t="n"/>
      <c r="T97" s="56" t="n"/>
      <c r="U97" s="54" t="n"/>
      <c r="V97" s="55" t="n"/>
      <c r="W97" s="56" t="n"/>
      <c r="X97" s="57">
        <f>IF($C97="","",$F97)</f>
        <v/>
      </c>
      <c r="Y97" s="57">
        <f>IF($C97="","",$C97)</f>
        <v/>
      </c>
    </row>
    <row r="98" ht="6" customHeight="1"/>
    <row r="99" ht="20" customHeight="1">
      <c r="A99" s="33" t="inlineStr">
        <is>
          <t>Dezembro</t>
        </is>
      </c>
      <c r="B99" s="45" t="n"/>
      <c r="C99" s="46">
        <f>SUM(C100:C107)</f>
        <v/>
      </c>
      <c r="D99" s="45" t="n"/>
      <c r="E99" s="46">
        <f>SUM(E100:E107)</f>
        <v/>
      </c>
      <c r="F99" s="46">
        <f>SUM(F100:F107)</f>
        <v/>
      </c>
      <c r="G99" s="47">
        <f>IF(OR(C99="",C99=0),"",E99/C99)</f>
        <v/>
      </c>
      <c r="H99" s="48">
        <f>COUNT(C100:C107)&amp;" projeto(s)"</f>
        <v/>
      </c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</row>
    <row r="100" ht="17" customHeight="1">
      <c r="A100" s="49" t="inlineStr">
        <is>
          <t>Alexandrina</t>
        </is>
      </c>
      <c r="B100" s="49" t="inlineStr">
        <is>
          <t>Quarto</t>
        </is>
      </c>
      <c r="C100" s="50" t="n">
        <v>26500</v>
      </c>
      <c r="D100" s="49" t="n"/>
      <c r="E100" s="51">
        <f>IF($C100="","",ROUND(SUM(I100,L100,O100,R100,U100),2))</f>
        <v/>
      </c>
      <c r="F100" s="52">
        <f>IF($C100="","",ROUND($C100-$E100,2))</f>
        <v/>
      </c>
      <c r="G100" s="24">
        <f>IF(OR($C100="",$C100=0),"",$E100/$C100)</f>
        <v/>
      </c>
      <c r="H100" s="53">
        <f>IF($C100="","",IF($E100=0,"A receber",IF(ROUND($F100,2)=0,"Quitado",IF($F100&lt;0,"Recebido a mais","Parcial"))))</f>
        <v/>
      </c>
      <c r="I100" s="54" t="n">
        <v>13000</v>
      </c>
      <c r="J100" s="55" t="n"/>
      <c r="K100" s="56" t="n"/>
      <c r="L100" s="54" t="n">
        <v>13500</v>
      </c>
      <c r="M100" s="55" t="n"/>
      <c r="N100" s="56" t="n"/>
      <c r="O100" s="54" t="n"/>
      <c r="P100" s="55" t="n"/>
      <c r="Q100" s="56" t="n"/>
      <c r="R100" s="54" t="n"/>
      <c r="S100" s="55" t="n"/>
      <c r="T100" s="56" t="n"/>
      <c r="U100" s="54" t="n"/>
      <c r="V100" s="55" t="n"/>
      <c r="W100" s="56" t="n"/>
      <c r="X100" s="57">
        <f>IF($C100="","",$F100)</f>
        <v/>
      </c>
      <c r="Y100" s="57">
        <f>IF($C100="","",$C100)</f>
        <v/>
      </c>
    </row>
    <row r="101" ht="17" customHeight="1">
      <c r="A101" s="49" t="inlineStr">
        <is>
          <t>Caroline</t>
        </is>
      </c>
      <c r="B101" s="49" t="inlineStr">
        <is>
          <t>Prateleiras</t>
        </is>
      </c>
      <c r="C101" s="50" t="n">
        <v>950</v>
      </c>
      <c r="D101" s="49" t="n"/>
      <c r="E101" s="51">
        <f>IF($C101="","",ROUND(SUM(I101,L101,O101,R101,U101),2))</f>
        <v/>
      </c>
      <c r="F101" s="52">
        <f>IF($C101="","",ROUND($C101-$E101,2))</f>
        <v/>
      </c>
      <c r="G101" s="24">
        <f>IF(OR($C101="",$C101=0),"",$E101/$C101)</f>
        <v/>
      </c>
      <c r="H101" s="53">
        <f>IF($C101="","",IF($E101=0,"A receber",IF(ROUND($F101,2)=0,"Quitado",IF($F101&lt;0,"Recebido a mais","Parcial"))))</f>
        <v/>
      </c>
      <c r="I101" s="54" t="n">
        <v>950</v>
      </c>
      <c r="J101" s="55" t="n"/>
      <c r="K101" s="56" t="n"/>
      <c r="L101" s="54" t="n"/>
      <c r="M101" s="55" t="n"/>
      <c r="N101" s="56" t="n"/>
      <c r="O101" s="54" t="n"/>
      <c r="P101" s="55" t="n"/>
      <c r="Q101" s="56" t="n"/>
      <c r="R101" s="54" t="n"/>
      <c r="S101" s="55" t="n"/>
      <c r="T101" s="56" t="n"/>
      <c r="U101" s="54" t="n"/>
      <c r="V101" s="55" t="n"/>
      <c r="W101" s="56" t="n"/>
      <c r="X101" s="57">
        <f>IF($C101="","",$F101)</f>
        <v/>
      </c>
      <c r="Y101" s="57">
        <f>IF($C101="","",$C101)</f>
        <v/>
      </c>
    </row>
    <row r="102" ht="17" customHeight="1">
      <c r="A102" s="49" t="inlineStr">
        <is>
          <t>Tiago</t>
        </is>
      </c>
      <c r="B102" s="49" t="inlineStr">
        <is>
          <t>Quarto e closet</t>
        </is>
      </c>
      <c r="C102" s="50" t="n">
        <v>80000</v>
      </c>
      <c r="D102" s="49" t="n"/>
      <c r="E102" s="51">
        <f>IF($C102="","",ROUND(SUM(I102,L102,O102,R102,U102),2))</f>
        <v/>
      </c>
      <c r="F102" s="52">
        <f>IF($C102="","",ROUND($C102-$E102,2))</f>
        <v/>
      </c>
      <c r="G102" s="24">
        <f>IF(OR($C102="",$C102=0),"",$E102/$C102)</f>
        <v/>
      </c>
      <c r="H102" s="53">
        <f>IF($C102="","",IF($E102=0,"A receber",IF(ROUND($F102,2)=0,"Quitado",IF($F102&lt;0,"Recebido a mais","Parcial"))))</f>
        <v/>
      </c>
      <c r="I102" s="54" t="n">
        <v>30000</v>
      </c>
      <c r="J102" s="55" t="n"/>
      <c r="K102" s="56" t="n"/>
      <c r="L102" s="54" t="n">
        <v>50000</v>
      </c>
      <c r="M102" s="55" t="n"/>
      <c r="N102" s="56" t="n"/>
      <c r="O102" s="54" t="n"/>
      <c r="P102" s="55" t="n"/>
      <c r="Q102" s="56" t="n"/>
      <c r="R102" s="54" t="n"/>
      <c r="S102" s="55" t="n"/>
      <c r="T102" s="56" t="n"/>
      <c r="U102" s="54" t="n"/>
      <c r="V102" s="55" t="n"/>
      <c r="W102" s="56" t="n"/>
      <c r="X102" s="57">
        <f>IF($C102="","",$F102)</f>
        <v/>
      </c>
      <c r="Y102" s="57">
        <f>IF($C102="","",$C102)</f>
        <v/>
      </c>
    </row>
    <row r="103" ht="17" customHeight="1">
      <c r="A103" s="49" t="inlineStr">
        <is>
          <t>Alexandrina</t>
        </is>
      </c>
      <c r="B103" s="49" t="inlineStr">
        <is>
          <t>Painel tv</t>
        </is>
      </c>
      <c r="C103" s="50" t="n">
        <v>7650</v>
      </c>
      <c r="D103" s="49" t="n"/>
      <c r="E103" s="51">
        <f>IF($C103="","",ROUND(SUM(I103,L103,O103,R103,U103),2))</f>
        <v/>
      </c>
      <c r="F103" s="52">
        <f>IF($C103="","",ROUND($C103-$E103,2))</f>
        <v/>
      </c>
      <c r="G103" s="24">
        <f>IF(OR($C103="",$C103=0),"",$E103/$C103)</f>
        <v/>
      </c>
      <c r="H103" s="53">
        <f>IF($C103="","",IF($E103=0,"A receber",IF(ROUND($F103,2)=0,"Quitado",IF($F103&lt;0,"Recebido a mais","Parcial"))))</f>
        <v/>
      </c>
      <c r="I103" s="54" t="n">
        <v>7650</v>
      </c>
      <c r="J103" s="55" t="n"/>
      <c r="K103" s="56" t="n"/>
      <c r="L103" s="54" t="n"/>
      <c r="M103" s="55" t="n"/>
      <c r="N103" s="56" t="n"/>
      <c r="O103" s="54" t="n"/>
      <c r="P103" s="55" t="n"/>
      <c r="Q103" s="56" t="n"/>
      <c r="R103" s="54" t="n"/>
      <c r="S103" s="55" t="n"/>
      <c r="T103" s="56" t="n"/>
      <c r="U103" s="54" t="n"/>
      <c r="V103" s="55" t="n"/>
      <c r="W103" s="56" t="n"/>
      <c r="X103" s="57">
        <f>IF($C103="","",$F103)</f>
        <v/>
      </c>
      <c r="Y103" s="57">
        <f>IF($C103="","",$C103)</f>
        <v/>
      </c>
    </row>
    <row r="104" ht="17" customHeight="1">
      <c r="A104" s="49" t="inlineStr">
        <is>
          <t>Wendel</t>
        </is>
      </c>
      <c r="B104" s="49" t="inlineStr">
        <is>
          <t>Expositor</t>
        </is>
      </c>
      <c r="C104" s="50" t="n">
        <v>3460</v>
      </c>
      <c r="D104" s="49" t="n"/>
      <c r="E104" s="51">
        <f>IF($C104="","",ROUND(SUM(I104,L104,O104,R104,U104),2))</f>
        <v/>
      </c>
      <c r="F104" s="52">
        <f>IF($C104="","",ROUND($C104-$E104,2))</f>
        <v/>
      </c>
      <c r="G104" s="24">
        <f>IF(OR($C104="",$C104=0),"",$E104/$C104)</f>
        <v/>
      </c>
      <c r="H104" s="53">
        <f>IF($C104="","",IF($E104=0,"A receber",IF(ROUND($F104,2)=0,"Quitado",IF($F104&lt;0,"Recebido a mais","Parcial"))))</f>
        <v/>
      </c>
      <c r="I104" s="54" t="n">
        <v>1725</v>
      </c>
      <c r="J104" s="55" t="n"/>
      <c r="K104" s="56" t="n"/>
      <c r="L104" s="54" t="n">
        <v>1735</v>
      </c>
      <c r="M104" s="55" t="n"/>
      <c r="N104" s="56" t="n"/>
      <c r="O104" s="54" t="n"/>
      <c r="P104" s="55" t="n"/>
      <c r="Q104" s="56" t="n"/>
      <c r="R104" s="54" t="n"/>
      <c r="S104" s="55" t="n"/>
      <c r="T104" s="56" t="n"/>
      <c r="U104" s="54" t="n"/>
      <c r="V104" s="55" t="n"/>
      <c r="W104" s="56" t="n"/>
      <c r="X104" s="57">
        <f>IF($C104="","",$F104)</f>
        <v/>
      </c>
      <c r="Y104" s="57">
        <f>IF($C104="","",$C104)</f>
        <v/>
      </c>
    </row>
    <row r="105" ht="17" customHeight="1">
      <c r="A105" s="49" t="inlineStr">
        <is>
          <t>Ana  (monte negro)</t>
        </is>
      </c>
      <c r="B105" s="49" t="inlineStr">
        <is>
          <t>Escritorio e paineis</t>
        </is>
      </c>
      <c r="C105" s="50" t="n">
        <v>5000</v>
      </c>
      <c r="D105" s="49" t="n"/>
      <c r="E105" s="51">
        <f>IF($C105="","",ROUND(SUM(I105,L105,O105,R105,U105),2))</f>
        <v/>
      </c>
      <c r="F105" s="52">
        <f>IF($C105="","",ROUND($C105-$E105,2))</f>
        <v/>
      </c>
      <c r="G105" s="24">
        <f>IF(OR($C105="",$C105=0),"",$E105/$C105)</f>
        <v/>
      </c>
      <c r="H105" s="53">
        <f>IF($C105="","",IF($E105=0,"A receber",IF(ROUND($F105,2)=0,"Quitado",IF($F105&lt;0,"Recebido a mais","Parcial"))))</f>
        <v/>
      </c>
      <c r="I105" s="54" t="n">
        <v>5000</v>
      </c>
      <c r="J105" s="55" t="n"/>
      <c r="K105" s="56" t="n"/>
      <c r="L105" s="54" t="n"/>
      <c r="M105" s="55" t="n"/>
      <c r="N105" s="56" t="n"/>
      <c r="O105" s="54" t="n"/>
      <c r="P105" s="55" t="n"/>
      <c r="Q105" s="56" t="n"/>
      <c r="R105" s="54" t="n"/>
      <c r="S105" s="55" t="n"/>
      <c r="T105" s="56" t="n"/>
      <c r="U105" s="54" t="n"/>
      <c r="V105" s="55" t="n"/>
      <c r="W105" s="56" t="n"/>
      <c r="X105" s="57">
        <f>IF($C105="","",$F105)</f>
        <v/>
      </c>
      <c r="Y105" s="57">
        <f>IF($C105="","",$C105)</f>
        <v/>
      </c>
    </row>
    <row r="106" ht="17" customHeight="1">
      <c r="A106" s="49" t="n"/>
      <c r="B106" s="49" t="n"/>
      <c r="C106" s="50" t="n"/>
      <c r="D106" s="49" t="n"/>
      <c r="E106" s="51">
        <f>IF($C106="","",ROUND(SUM(I106,L106,O106,R106,U106),2))</f>
        <v/>
      </c>
      <c r="F106" s="52">
        <f>IF($C106="","",ROUND($C106-$E106,2))</f>
        <v/>
      </c>
      <c r="G106" s="24">
        <f>IF(OR($C106="",$C106=0),"",$E106/$C106)</f>
        <v/>
      </c>
      <c r="H106" s="53">
        <f>IF($C106="","",IF($E106=0,"A receber",IF(ROUND($F106,2)=0,"Quitado",IF($F106&lt;0,"Recebido a mais","Parcial"))))</f>
        <v/>
      </c>
      <c r="I106" s="54" t="n"/>
      <c r="J106" s="55" t="n"/>
      <c r="K106" s="56" t="n"/>
      <c r="L106" s="54" t="n"/>
      <c r="M106" s="55" t="n"/>
      <c r="N106" s="56" t="n"/>
      <c r="O106" s="54" t="n"/>
      <c r="P106" s="55" t="n"/>
      <c r="Q106" s="56" t="n"/>
      <c r="R106" s="54" t="n"/>
      <c r="S106" s="55" t="n"/>
      <c r="T106" s="56" t="n"/>
      <c r="U106" s="54" t="n"/>
      <c r="V106" s="55" t="n"/>
      <c r="W106" s="56" t="n"/>
      <c r="X106" s="57">
        <f>IF($C106="","",$F106)</f>
        <v/>
      </c>
      <c r="Y106" s="57">
        <f>IF($C106="","",$C106)</f>
        <v/>
      </c>
    </row>
    <row r="107" ht="17" customHeight="1">
      <c r="A107" s="49" t="n"/>
      <c r="B107" s="49" t="n"/>
      <c r="C107" s="50" t="n"/>
      <c r="D107" s="49" t="n"/>
      <c r="E107" s="51">
        <f>IF($C107="","",ROUND(SUM(I107,L107,O107,R107,U107),2))</f>
        <v/>
      </c>
      <c r="F107" s="52">
        <f>IF($C107="","",ROUND($C107-$E107,2))</f>
        <v/>
      </c>
      <c r="G107" s="24">
        <f>IF(OR($C107="",$C107=0),"",$E107/$C107)</f>
        <v/>
      </c>
      <c r="H107" s="53">
        <f>IF($C107="","",IF($E107=0,"A receber",IF(ROUND($F107,2)=0,"Quitado",IF($F107&lt;0,"Recebido a mais","Parcial"))))</f>
        <v/>
      </c>
      <c r="I107" s="54" t="n"/>
      <c r="J107" s="55" t="n"/>
      <c r="K107" s="56" t="n"/>
      <c r="L107" s="54" t="n"/>
      <c r="M107" s="55" t="n"/>
      <c r="N107" s="56" t="n"/>
      <c r="O107" s="54" t="n"/>
      <c r="P107" s="55" t="n"/>
      <c r="Q107" s="56" t="n"/>
      <c r="R107" s="54" t="n"/>
      <c r="S107" s="55" t="n"/>
      <c r="T107" s="56" t="n"/>
      <c r="U107" s="54" t="n"/>
      <c r="V107" s="55" t="n"/>
      <c r="W107" s="56" t="n"/>
      <c r="X107" s="57">
        <f>IF($C107="","",$F107)</f>
        <v/>
      </c>
      <c r="Y107" s="57">
        <f>IF($C107="","",$C107)</f>
        <v/>
      </c>
    </row>
    <row r="108" ht="6" customHeight="1"/>
  </sheetData>
  <mergeCells count="30">
    <mergeCell ref="R6:W6"/>
    <mergeCell ref="A2:Y2"/>
    <mergeCell ref="A49:B49"/>
    <mergeCell ref="F6:G6"/>
    <mergeCell ref="A4:Y4"/>
    <mergeCell ref="F7:G7"/>
    <mergeCell ref="A69:B69"/>
    <mergeCell ref="D6:E6"/>
    <mergeCell ref="A99:B99"/>
    <mergeCell ref="A84:B84"/>
    <mergeCell ref="L6:N6"/>
    <mergeCell ref="I7:K7"/>
    <mergeCell ref="A21:B21"/>
    <mergeCell ref="D7:E7"/>
    <mergeCell ref="A57:B57"/>
    <mergeCell ref="A76:B76"/>
    <mergeCell ref="A1:Y1"/>
    <mergeCell ref="O7:Q7"/>
    <mergeCell ref="A91:B91"/>
    <mergeCell ref="L7:N7"/>
    <mergeCell ref="I6:K6"/>
    <mergeCell ref="A35:B35"/>
    <mergeCell ref="O6:Q6"/>
    <mergeCell ref="A43:B43"/>
    <mergeCell ref="A63:B63"/>
    <mergeCell ref="A6:C6"/>
    <mergeCell ref="A10:B10"/>
    <mergeCell ref="A7:C7"/>
    <mergeCell ref="A3:Y3"/>
    <mergeCell ref="R7:W7"/>
  </mergeCells>
  <conditionalFormatting sqref="H10:H108">
    <cfRule type="expression" priority="1" dxfId="0" stopIfTrue="1">
      <formula>$H10="Quitado"</formula>
    </cfRule>
    <cfRule type="expression" priority="2" dxfId="3" stopIfTrue="1">
      <formula>$H10="Parcial"</formula>
    </cfRule>
    <cfRule type="expression" priority="3" dxfId="2" stopIfTrue="1">
      <formula>$H10="A receber"</formula>
    </cfRule>
    <cfRule type="expression" priority="4" dxfId="4" stopIfTrue="1">
      <formula>$H10="Recebido a mais"</formula>
    </cfRule>
  </conditionalFormatting>
  <conditionalFormatting sqref="F10:F108">
    <cfRule type="expression" priority="5" dxfId="5">
      <formula>AND($F10&lt;&gt;"",$F10&gt;0)</formula>
    </cfRule>
    <cfRule type="expression" priority="6" dxfId="4">
      <formula>AND($F10&lt;&gt;"",$F10&lt;0)</formula>
    </cfRule>
  </conditionalFormatting>
  <conditionalFormatting sqref="A10:D108">
    <cfRule type="expression" priority="7" dxfId="6">
      <formula>AND($C10&lt;&gt;"",$H10="A receber")</formula>
    </cfRule>
  </conditionalFormatting>
  <dataValidations count="6">
    <dataValidation sqref="D10:D108" showDropDown="0" showInputMessage="0" showErrorMessage="0" allowBlank="1" type="list">
      <formula1>=Listas!$B$2:$B$13</formula1>
    </dataValidation>
    <dataValidation sqref="K10:K108" showDropDown="0" showInputMessage="0" showErrorMessage="0" allowBlank="1" type="list">
      <formula1>=Listas!$B$2:$B$13</formula1>
    </dataValidation>
    <dataValidation sqref="N10:N108" showDropDown="0" showInputMessage="0" showErrorMessage="0" allowBlank="1" type="list">
      <formula1>=Listas!$B$2:$B$13</formula1>
    </dataValidation>
    <dataValidation sqref="Q10:Q108" showDropDown="0" showInputMessage="0" showErrorMessage="0" allowBlank="1" type="list">
      <formula1>=Listas!$B$2:$B$13</formula1>
    </dataValidation>
    <dataValidation sqref="T10:T108" showDropDown="0" showInputMessage="0" showErrorMessage="0" allowBlank="1" type="list">
      <formula1>=Listas!$B$2:$B$13</formula1>
    </dataValidation>
    <dataValidation sqref="W10:W108" showDropDown="0" showInputMessage="0" showErrorMessage="0" allowBlank="1" type="list">
      <formula1>=Listas!$B$2:$B$13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26"/>
  <sheetViews>
    <sheetView showGridLines="0" workbookViewId="0">
      <pane xSplit="8" ySplit="9" topLeftCell="I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26" customWidth="1" min="4" max="4"/>
    <col width="13" customWidth="1" min="5" max="5"/>
    <col width="14" customWidth="1" min="6" max="6"/>
    <col width="10" customWidth="1" min="7" max="7"/>
    <col width="16" customWidth="1" min="8" max="8"/>
    <col width="13" customWidth="1" min="9" max="9"/>
    <col width="11" customWidth="1" min="10" max="10"/>
    <col width="15" customWidth="1" min="11" max="11"/>
    <col width="13" customWidth="1" min="12" max="12"/>
    <col width="11" customWidth="1" min="13" max="13"/>
    <col width="15" customWidth="1" min="14" max="14"/>
    <col width="13" customWidth="1" min="15" max="15"/>
    <col width="11" customWidth="1" min="16" max="16"/>
    <col width="15" customWidth="1" min="17" max="17"/>
    <col width="13" customWidth="1" min="18" max="18"/>
    <col width="11" customWidth="1" min="19" max="19"/>
    <col width="15" customWidth="1" min="20" max="20"/>
    <col width="13" customWidth="1" min="21" max="21"/>
    <col width="11" customWidth="1" min="22" max="22"/>
    <col width="15" customWidth="1" min="23" max="23"/>
    <col hidden="1" width="3" customWidth="1" min="24" max="24"/>
    <col hidden="1" width="3" customWidth="1" min="25" max="2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8" customHeight="1">
      <c r="A3" s="4" t="inlineStr">
        <is>
          <t>CONTROLE DE PAGAMENTOS · 2023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 ht="17" customHeight="1">
      <c r="A4" s="6" t="inlineStr">
        <is>
          <t>Uma linha por projeto · fundo creme = você preenche · fundo cinza = calculado · Recebido, Saldo, % e Situação saem sozinhos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6" customHeight="1"/>
    <row r="6" ht="14" customHeight="1">
      <c r="A6" s="8" t="inlineStr">
        <is>
          <t>VENDIDO NO ANO</t>
        </is>
      </c>
      <c r="B6" s="9" t="n"/>
      <c r="C6" s="9" t="n"/>
      <c r="D6" s="8" t="inlineStr">
        <is>
          <t>RECEBIDO</t>
        </is>
      </c>
      <c r="E6" s="9" t="n"/>
      <c r="F6" s="8" t="inlineStr">
        <is>
          <t>A RECEBER</t>
        </is>
      </c>
      <c r="G6" s="9" t="n"/>
      <c r="H6" s="8" t="inlineStr">
        <is>
          <t>% RECEBIDO</t>
        </is>
      </c>
      <c r="I6" s="8" t="inlineStr">
        <is>
          <t>META DO ANO</t>
        </is>
      </c>
      <c r="J6" s="9" t="n"/>
      <c r="K6" s="9" t="n"/>
      <c r="L6" s="8" t="inlineStr">
        <is>
          <t>% DA META</t>
        </is>
      </c>
      <c r="M6" s="9" t="n"/>
      <c r="N6" s="9" t="n"/>
      <c r="O6" s="8" t="inlineStr">
        <is>
          <t>FALTA PARA A META</t>
        </is>
      </c>
      <c r="P6" s="9" t="n"/>
      <c r="Q6" s="9" t="n"/>
      <c r="R6" s="8" t="inlineStr">
        <is>
          <t>CONFERÊNCIA</t>
        </is>
      </c>
      <c r="S6" s="9" t="n"/>
      <c r="T6" s="9" t="n"/>
      <c r="U6" s="9" t="n"/>
      <c r="V6" s="9" t="n"/>
      <c r="W6" s="9" t="n"/>
    </row>
    <row r="7" ht="30" customHeight="1">
      <c r="A7" s="40">
        <f>ROUND(SUMPRODUCT((COUNTIF(Listas!$A$2:$A$15,$A$26:$A$126)=0)*$C$26:$C$126),2)</f>
        <v/>
      </c>
      <c r="B7" s="11" t="n"/>
      <c r="C7" s="11" t="n"/>
      <c r="D7" s="40">
        <f>ROUND(SUM($I$26:$I$126,$L$26:$L$126,$O$26:$O$126,$R$26:$R$126,$U$26:$U$126),2)</f>
        <v/>
      </c>
      <c r="E7" s="11" t="n"/>
      <c r="F7" s="40">
        <f>ROUND($A$7-$D$7,2)</f>
        <v/>
      </c>
      <c r="G7" s="11" t="n"/>
      <c r="H7" s="41">
        <f>IF($A$7=0,"",$D$7/$A$7)</f>
        <v/>
      </c>
      <c r="I7" s="42" t="n"/>
      <c r="J7" s="11" t="n"/>
      <c r="K7" s="11" t="n"/>
      <c r="L7" s="43">
        <f>IF(OR($I$7="",$I$7=0),"",$A$7/$I$7)</f>
        <v/>
      </c>
      <c r="M7" s="11" t="n"/>
      <c r="N7" s="11" t="n"/>
      <c r="O7" s="40">
        <f>IF(OR($I$7="",$I$7=0),"",MAX(0,$I$7-$A$7))</f>
        <v/>
      </c>
      <c r="P7" s="11" t="n"/>
      <c r="Q7" s="11" t="n"/>
      <c r="R7" s="44">
        <f>IF(ROUND(($C$26+$C$33+$C$37+$C$49+$C$55+$C$63+$C$75+$C$81+$C$90+$C$100+$C$112+$C$119)-$A$7,2)=0,"OK · os meses somam igual às linhas","DIVERGE em "&amp;TEXT(($C$26+$C$33+$C$37+$C$49+$C$55+$C$63+$C$75+$C$81+$C$90+$C$100+$C$112+$C$119)-$A$7,"R$ #,##0.00")&amp; " — confira se alguma linha ficou fora de um bloco de mês")</f>
        <v/>
      </c>
      <c r="S7" s="11" t="n"/>
      <c r="T7" s="11" t="n"/>
      <c r="U7" s="11" t="n"/>
      <c r="V7" s="11" t="n"/>
      <c r="W7" s="11" t="n"/>
    </row>
    <row r="8" ht="8" customHeight="1"/>
    <row r="9" ht="30" customHeight="1">
      <c r="A9" s="16" t="inlineStr">
        <is>
          <t>Cliente</t>
        </is>
      </c>
      <c r="B9" s="16" t="inlineStr">
        <is>
          <t>Projeto</t>
        </is>
      </c>
      <c r="C9" s="16" t="inlineStr">
        <is>
          <t>Investimento</t>
        </is>
      </c>
      <c r="D9" s="16" t="inlineStr">
        <is>
          <t>Forma de pagamento</t>
        </is>
      </c>
      <c r="E9" s="16" t="inlineStr">
        <is>
          <t>Recebido</t>
        </is>
      </c>
      <c r="F9" s="16" t="inlineStr">
        <is>
          <t>Saldo a receber</t>
        </is>
      </c>
      <c r="G9" s="16" t="inlineStr">
        <is>
          <t>% recebido</t>
        </is>
      </c>
      <c r="H9" s="16" t="inlineStr">
        <is>
          <t>Situação</t>
        </is>
      </c>
      <c r="I9" s="16" t="inlineStr">
        <is>
          <t>1º Pagt. (R$)</t>
        </is>
      </c>
      <c r="J9" s="16" t="inlineStr">
        <is>
          <t>Data</t>
        </is>
      </c>
      <c r="K9" s="16" t="inlineStr">
        <is>
          <t>Descrição</t>
        </is>
      </c>
      <c r="L9" s="16" t="inlineStr">
        <is>
          <t>2º Pagt. (R$)</t>
        </is>
      </c>
      <c r="M9" s="16" t="inlineStr">
        <is>
          <t>Data</t>
        </is>
      </c>
      <c r="N9" s="16" t="inlineStr">
        <is>
          <t>Descrição</t>
        </is>
      </c>
      <c r="O9" s="16" t="inlineStr">
        <is>
          <t>3º Pagt. (R$)</t>
        </is>
      </c>
      <c r="P9" s="16" t="inlineStr">
        <is>
          <t>Data</t>
        </is>
      </c>
      <c r="Q9" s="16" t="inlineStr">
        <is>
          <t>Descrição</t>
        </is>
      </c>
      <c r="R9" s="16" t="inlineStr">
        <is>
          <t>4º Pagt. (R$)</t>
        </is>
      </c>
      <c r="S9" s="16" t="inlineStr">
        <is>
          <t>Data</t>
        </is>
      </c>
      <c r="T9" s="16" t="inlineStr">
        <is>
          <t>Descrição</t>
        </is>
      </c>
      <c r="U9" s="16" t="inlineStr">
        <is>
          <t>5º Pagt. (R$)</t>
        </is>
      </c>
      <c r="V9" s="16" t="inlineStr">
        <is>
          <t>Data</t>
        </is>
      </c>
      <c r="W9" s="16" t="inlineStr">
        <is>
          <t>Descrição</t>
        </is>
      </c>
      <c r="X9" s="16" t="inlineStr">
        <is>
          <t>aux</t>
        </is>
      </c>
      <c r="Y9" s="16" t="inlineStr">
        <is>
          <t>aux2</t>
        </is>
      </c>
    </row>
    <row r="10" ht="20" customHeight="1">
      <c r="A10" s="33" t="inlineStr">
        <is>
          <t>Anterior (2022)</t>
        </is>
      </c>
      <c r="B10" s="45" t="n"/>
      <c r="C10" s="46">
        <f>SUM(C11:C24)</f>
        <v/>
      </c>
      <c r="D10" s="45" t="n"/>
      <c r="E10" s="46">
        <f>SUM(E11:E24)</f>
        <v/>
      </c>
      <c r="F10" s="46">
        <f>SUM(F11:F24)</f>
        <v/>
      </c>
      <c r="G10" s="47">
        <f>IF(OR(C10="",C10=0),"",E10/C10)</f>
        <v/>
      </c>
      <c r="H10" s="48">
        <f>COUNT(C11:C24)&amp;" projeto(s)"</f>
        <v/>
      </c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</row>
    <row r="11" ht="17" customHeight="1">
      <c r="A11" s="49" t="inlineStr">
        <is>
          <t>Bárbara</t>
        </is>
      </c>
      <c r="B11" s="49" t="inlineStr">
        <is>
          <t>Closet, prateleiras, cabeceira</t>
        </is>
      </c>
      <c r="C11" s="50" t="n">
        <v>22000</v>
      </c>
      <c r="D11" s="49" t="inlineStr">
        <is>
          <t>50 + 50</t>
        </is>
      </c>
      <c r="E11" s="51">
        <f>IF($C11="","",ROUND(SUM(I11,L11,O11,R11,U11),2))</f>
        <v/>
      </c>
      <c r="F11" s="52">
        <f>IF($C11="","",ROUND($C11-$E11,2))</f>
        <v/>
      </c>
      <c r="G11" s="24">
        <f>IF(OR($C11="",$C11=0),"",$E11/$C11)</f>
        <v/>
      </c>
      <c r="H11" s="53">
        <f>IF($C11="","",IF($E11=0,"A receber",IF(ROUND($F11,2)=0,"Quitado",IF($F11&lt;0,"Recebido a mais","Parcial"))))</f>
        <v/>
      </c>
      <c r="I11" s="54" t="n">
        <v>9500</v>
      </c>
      <c r="J11" s="55" t="n">
        <v>44842</v>
      </c>
      <c r="K11" s="56" t="inlineStr">
        <is>
          <t>pix</t>
        </is>
      </c>
      <c r="L11" s="54" t="n">
        <v>1500</v>
      </c>
      <c r="M11" s="55" t="n"/>
      <c r="N11" s="56" t="inlineStr">
        <is>
          <t>pix</t>
        </is>
      </c>
      <c r="O11" s="54" t="n">
        <v>11000</v>
      </c>
      <c r="P11" s="55" t="n">
        <v>45258</v>
      </c>
      <c r="Q11" s="56" t="inlineStr">
        <is>
          <t>pix</t>
        </is>
      </c>
      <c r="R11" s="54" t="n"/>
      <c r="S11" s="55" t="n"/>
      <c r="T11" s="56" t="n"/>
      <c r="U11" s="54" t="n"/>
      <c r="V11" s="55" t="n"/>
      <c r="W11" s="56" t="n"/>
      <c r="X11" s="57">
        <f>IF($C11="","",$F11)</f>
        <v/>
      </c>
      <c r="Y11" s="57">
        <f>IF($C11="","",$C11)</f>
        <v/>
      </c>
    </row>
    <row r="12" ht="17" customHeight="1">
      <c r="A12" s="49" t="inlineStr">
        <is>
          <t>Marina</t>
        </is>
      </c>
      <c r="B12" s="49" t="inlineStr">
        <is>
          <t>Home office</t>
        </is>
      </c>
      <c r="C12" s="50" t="n">
        <v>10500</v>
      </c>
      <c r="D12" s="49" t="inlineStr">
        <is>
          <t>50 + 50</t>
        </is>
      </c>
      <c r="E12" s="51">
        <f>IF($C12="","",ROUND(SUM(I12,L12,O12,R12,U12),2))</f>
        <v/>
      </c>
      <c r="F12" s="52">
        <f>IF($C12="","",ROUND($C12-$E12,2))</f>
        <v/>
      </c>
      <c r="G12" s="24">
        <f>IF(OR($C12="",$C12=0),"",$E12/$C12)</f>
        <v/>
      </c>
      <c r="H12" s="53">
        <f>IF($C12="","",IF($E12=0,"A receber",IF(ROUND($F12,2)=0,"Quitado",IF($F12&lt;0,"Recebido a mais","Parcial"))))</f>
        <v/>
      </c>
      <c r="I12" s="54" t="n">
        <v>5250</v>
      </c>
      <c r="J12" s="55" t="n">
        <v>45195</v>
      </c>
      <c r="K12" s="56" t="inlineStr">
        <is>
          <t>pix</t>
        </is>
      </c>
      <c r="L12" s="54" t="n">
        <v>5250</v>
      </c>
      <c r="M12" s="55" t="n">
        <v>45230</v>
      </c>
      <c r="N12" s="56" t="inlineStr">
        <is>
          <t>pix</t>
        </is>
      </c>
      <c r="O12" s="54" t="n"/>
      <c r="P12" s="55" t="n"/>
      <c r="Q12" s="56" t="n"/>
      <c r="R12" s="54" t="n"/>
      <c r="S12" s="55" t="n"/>
      <c r="T12" s="56" t="n"/>
      <c r="U12" s="54" t="n"/>
      <c r="V12" s="55" t="n"/>
      <c r="W12" s="56" t="n"/>
      <c r="X12" s="57">
        <f>IF($C12="","",$F12)</f>
        <v/>
      </c>
      <c r="Y12" s="57">
        <f>IF($C12="","",$C12)</f>
        <v/>
      </c>
    </row>
    <row r="13" ht="17" customHeight="1">
      <c r="A13" s="49" t="inlineStr">
        <is>
          <t>Raquel</t>
        </is>
      </c>
      <c r="B13" s="49" t="inlineStr">
        <is>
          <t>Cozinha - 4.500</t>
        </is>
      </c>
      <c r="C13" s="50" t="n">
        <v>4050</v>
      </c>
      <c r="D13" s="49" t="inlineStr">
        <is>
          <t>12 vezes</t>
        </is>
      </c>
      <c r="E13" s="51">
        <f>IF($C13="","",ROUND(SUM(I13,L13,O13,R13,U13),2))</f>
        <v/>
      </c>
      <c r="F13" s="52">
        <f>IF($C13="","",ROUND($C13-$E13,2))</f>
        <v/>
      </c>
      <c r="G13" s="24">
        <f>IF(OR($C13="",$C13=0),"",$E13/$C13)</f>
        <v/>
      </c>
      <c r="H13" s="53">
        <f>IF($C13="","",IF($E13=0,"A receber",IF(ROUND($F13,2)=0,"Quitado",IF($F13&lt;0,"Recebido a mais","Parcial"))))</f>
        <v/>
      </c>
      <c r="I13" s="54" t="n">
        <v>4050</v>
      </c>
      <c r="J13" s="55" t="n"/>
      <c r="K13" s="56" t="inlineStr">
        <is>
          <t>Cartão</t>
        </is>
      </c>
      <c r="L13" s="54" t="n"/>
      <c r="M13" s="55" t="n"/>
      <c r="N13" s="56" t="n"/>
      <c r="O13" s="54" t="n"/>
      <c r="P13" s="55" t="n"/>
      <c r="Q13" s="56" t="n"/>
      <c r="R13" s="54" t="n"/>
      <c r="S13" s="55" t="n"/>
      <c r="T13" s="56" t="n"/>
      <c r="U13" s="54" t="n"/>
      <c r="V13" s="55" t="n"/>
      <c r="W13" s="56" t="n"/>
      <c r="X13" s="57">
        <f>IF($C13="","",$F13)</f>
        <v/>
      </c>
      <c r="Y13" s="57">
        <f>IF($C13="","",$C13)</f>
        <v/>
      </c>
    </row>
    <row r="14" ht="17" customHeight="1">
      <c r="A14" s="49" t="inlineStr">
        <is>
          <t>Carlos Eduardo</t>
        </is>
      </c>
      <c r="B14" s="49" t="inlineStr">
        <is>
          <t>Cozinha</t>
        </is>
      </c>
      <c r="C14" s="50" t="n">
        <v>11400</v>
      </c>
      <c r="D14" s="49" t="inlineStr">
        <is>
          <t>60 + 40</t>
        </is>
      </c>
      <c r="E14" s="51">
        <f>IF($C14="","",ROUND(SUM(I14,L14,O14,R14,U14),2))</f>
        <v/>
      </c>
      <c r="F14" s="52">
        <f>IF($C14="","",ROUND($C14-$E14,2))</f>
        <v/>
      </c>
      <c r="G14" s="24">
        <f>IF(OR($C14="",$C14=0),"",$E14/$C14)</f>
        <v/>
      </c>
      <c r="H14" s="53">
        <f>IF($C14="","",IF($E14=0,"A receber",IF(ROUND($F14,2)=0,"Quitado",IF($F14&lt;0,"Recebido a mais","Parcial"))))</f>
        <v/>
      </c>
      <c r="I14" s="54" t="n">
        <v>6800</v>
      </c>
      <c r="J14" s="55" t="n">
        <v>44837</v>
      </c>
      <c r="K14" s="56" t="inlineStr">
        <is>
          <t>pix</t>
        </is>
      </c>
      <c r="L14" s="54" t="n">
        <v>4600</v>
      </c>
      <c r="M14" s="55" t="n"/>
      <c r="N14" s="56" t="inlineStr">
        <is>
          <t>pix</t>
        </is>
      </c>
      <c r="O14" s="54" t="n"/>
      <c r="P14" s="55" t="n"/>
      <c r="Q14" s="56" t="n"/>
      <c r="R14" s="54" t="n"/>
      <c r="S14" s="55" t="n"/>
      <c r="T14" s="56" t="n"/>
      <c r="U14" s="54" t="n"/>
      <c r="V14" s="55" t="n"/>
      <c r="W14" s="56" t="n"/>
      <c r="X14" s="57">
        <f>IF($C14="","",$F14)</f>
        <v/>
      </c>
      <c r="Y14" s="57">
        <f>IF($C14="","",$C14)</f>
        <v/>
      </c>
    </row>
    <row r="15" ht="17" customHeight="1">
      <c r="A15" s="49" t="inlineStr">
        <is>
          <t>Seeal telecon</t>
        </is>
      </c>
      <c r="B15" s="49" t="inlineStr">
        <is>
          <t>Sala de reunião</t>
        </is>
      </c>
      <c r="C15" s="50" t="n">
        <v>25000</v>
      </c>
      <c r="D15" s="49" t="inlineStr">
        <is>
          <t>a vista</t>
        </is>
      </c>
      <c r="E15" s="51">
        <f>IF($C15="","",ROUND(SUM(I15,L15,O15,R15,U15),2))</f>
        <v/>
      </c>
      <c r="F15" s="52">
        <f>IF($C15="","",ROUND($C15-$E15,2))</f>
        <v/>
      </c>
      <c r="G15" s="24">
        <f>IF(OR($C15="",$C15=0),"",$E15/$C15)</f>
        <v/>
      </c>
      <c r="H15" s="53">
        <f>IF($C15="","",IF($E15=0,"A receber",IF(ROUND($F15,2)=0,"Quitado",IF($F15&lt;0,"Recebido a mais","Parcial"))))</f>
        <v/>
      </c>
      <c r="I15" s="54" t="n">
        <v>25000</v>
      </c>
      <c r="J15" s="55" t="n">
        <v>44868</v>
      </c>
      <c r="K15" s="56" t="inlineStr">
        <is>
          <t>transferencia</t>
        </is>
      </c>
      <c r="L15" s="54" t="n"/>
      <c r="M15" s="55" t="n"/>
      <c r="N15" s="56" t="n"/>
      <c r="O15" s="54" t="n"/>
      <c r="P15" s="55" t="n"/>
      <c r="Q15" s="56" t="n"/>
      <c r="R15" s="54" t="n"/>
      <c r="S15" s="55" t="n"/>
      <c r="T15" s="56" t="n"/>
      <c r="U15" s="54" t="n"/>
      <c r="V15" s="55" t="n"/>
      <c r="W15" s="56" t="n"/>
      <c r="X15" s="57">
        <f>IF($C15="","",$F15)</f>
        <v/>
      </c>
      <c r="Y15" s="57">
        <f>IF($C15="","",$C15)</f>
        <v/>
      </c>
    </row>
    <row r="16" ht="17" customHeight="1">
      <c r="A16" s="49" t="inlineStr">
        <is>
          <t>Anderson</t>
        </is>
      </c>
      <c r="B16" s="49" t="inlineStr">
        <is>
          <t>Cozinha e banheiros - 2800</t>
        </is>
      </c>
      <c r="C16" s="50" t="n">
        <v>2600</v>
      </c>
      <c r="D16" s="49" t="inlineStr">
        <is>
          <t>4 vezes cartao</t>
        </is>
      </c>
      <c r="E16" s="51">
        <f>IF($C16="","",ROUND(SUM(I16,L16,O16,R16,U16),2))</f>
        <v/>
      </c>
      <c r="F16" s="52">
        <f>IF($C16="","",ROUND($C16-$E16,2))</f>
        <v/>
      </c>
      <c r="G16" s="24">
        <f>IF(OR($C16="",$C16=0),"",$E16/$C16)</f>
        <v/>
      </c>
      <c r="H16" s="53">
        <f>IF($C16="","",IF($E16=0,"A receber",IF(ROUND($F16,2)=0,"Quitado",IF($F16&lt;0,"Recebido a mais","Parcial"))))</f>
        <v/>
      </c>
      <c r="I16" s="54" t="n">
        <v>1680</v>
      </c>
      <c r="J16" s="55" t="n">
        <v>45163</v>
      </c>
      <c r="K16" s="56" t="inlineStr">
        <is>
          <t>cartao</t>
        </is>
      </c>
      <c r="L16" s="54" t="n">
        <v>920</v>
      </c>
      <c r="M16" s="55" t="n"/>
      <c r="N16" s="56" t="inlineStr">
        <is>
          <t>cartao</t>
        </is>
      </c>
      <c r="O16" s="54" t="n"/>
      <c r="P16" s="55" t="n"/>
      <c r="Q16" s="56" t="n"/>
      <c r="R16" s="54" t="n"/>
      <c r="S16" s="55" t="n"/>
      <c r="T16" s="56" t="n"/>
      <c r="U16" s="54" t="n"/>
      <c r="V16" s="55" t="n"/>
      <c r="W16" s="56" t="n"/>
      <c r="X16" s="57">
        <f>IF($C16="","",$F16)</f>
        <v/>
      </c>
      <c r="Y16" s="57">
        <f>IF($C16="","",$C16)</f>
        <v/>
      </c>
    </row>
    <row r="17" ht="17" customHeight="1">
      <c r="A17" s="49" t="inlineStr">
        <is>
          <t>Otávio</t>
        </is>
      </c>
      <c r="B17" s="49" t="inlineStr">
        <is>
          <t>Casa completa - 95.000</t>
        </is>
      </c>
      <c r="C17" s="50" t="n">
        <v>90000</v>
      </c>
      <c r="D17" s="49" t="inlineStr">
        <is>
          <t>cartao + cheque</t>
        </is>
      </c>
      <c r="E17" s="51">
        <f>IF($C17="","",ROUND(SUM(I17,L17,O17,R17,U17),2))</f>
        <v/>
      </c>
      <c r="F17" s="52">
        <f>IF($C17="","",ROUND($C17-$E17,2))</f>
        <v/>
      </c>
      <c r="G17" s="24">
        <f>IF(OR($C17="",$C17=0),"",$E17/$C17)</f>
        <v/>
      </c>
      <c r="H17" s="53">
        <f>IF($C17="","",IF($E17=0,"A receber",IF(ROUND($F17,2)=0,"Quitado",IF($F17&lt;0,"Recebido a mais","Parcial"))))</f>
        <v/>
      </c>
      <c r="I17" s="54" t="n">
        <v>50000</v>
      </c>
      <c r="J17" s="55" t="n">
        <v>44816</v>
      </c>
      <c r="K17" s="56" t="inlineStr">
        <is>
          <t>cartao mad.</t>
        </is>
      </c>
      <c r="L17" s="54" t="n">
        <v>20000</v>
      </c>
      <c r="M17" s="55" t="n">
        <v>44869</v>
      </c>
      <c r="N17" s="56" t="inlineStr">
        <is>
          <t>pix</t>
        </is>
      </c>
      <c r="O17" s="54" t="n">
        <v>5000</v>
      </c>
      <c r="P17" s="55" t="n">
        <v>45247</v>
      </c>
      <c r="Q17" s="56" t="inlineStr">
        <is>
          <t>cartao madereira</t>
        </is>
      </c>
      <c r="R17" s="54" t="n">
        <v>13000</v>
      </c>
      <c r="S17" s="55" t="n"/>
      <c r="T17" s="56" t="inlineStr">
        <is>
          <t>cartao</t>
        </is>
      </c>
      <c r="U17" s="54" t="n">
        <v>2000</v>
      </c>
      <c r="V17" s="55" t="n"/>
      <c r="W17" s="56" t="n"/>
      <c r="X17" s="57">
        <f>IF($C17="","",$F17)</f>
        <v/>
      </c>
      <c r="Y17" s="57">
        <f>IF($C17="","",$C17)</f>
        <v/>
      </c>
    </row>
    <row r="18" ht="17" customHeight="1">
      <c r="A18" s="49" t="inlineStr">
        <is>
          <t>Maria José</t>
        </is>
      </c>
      <c r="B18" s="49" t="inlineStr">
        <is>
          <t>Closet e multiuso</t>
        </is>
      </c>
      <c r="C18" s="50" t="n">
        <v>16850</v>
      </c>
      <c r="D18" s="49" t="inlineStr">
        <is>
          <t>50+50</t>
        </is>
      </c>
      <c r="E18" s="51">
        <f>IF($C18="","",ROUND(SUM(I18,L18,O18,R18,U18),2))</f>
        <v/>
      </c>
      <c r="F18" s="52">
        <f>IF($C18="","",ROUND($C18-$E18,2))</f>
        <v/>
      </c>
      <c r="G18" s="24">
        <f>IF(OR($C18="",$C18=0),"",$E18/$C18)</f>
        <v/>
      </c>
      <c r="H18" s="53">
        <f>IF($C18="","",IF($E18=0,"A receber",IF(ROUND($F18,2)=0,"Quitado",IF($F18&lt;0,"Recebido a mais","Parcial"))))</f>
        <v/>
      </c>
      <c r="I18" s="54" t="n">
        <v>4000</v>
      </c>
      <c r="J18" s="55" t="n">
        <v>45218</v>
      </c>
      <c r="K18" s="56" t="inlineStr">
        <is>
          <t>pix</t>
        </is>
      </c>
      <c r="L18" s="54" t="n">
        <v>4550</v>
      </c>
      <c r="M18" s="55" t="n">
        <v>45223</v>
      </c>
      <c r="N18" s="56" t="inlineStr">
        <is>
          <t>pix</t>
        </is>
      </c>
      <c r="O18" s="54" t="n">
        <v>8300</v>
      </c>
      <c r="P18" s="55" t="n"/>
      <c r="Q18" s="56" t="inlineStr">
        <is>
          <t>pix</t>
        </is>
      </c>
      <c r="R18" s="54" t="n"/>
      <c r="S18" s="55" t="n"/>
      <c r="T18" s="56" t="n"/>
      <c r="U18" s="54" t="n"/>
      <c r="V18" s="55" t="n"/>
      <c r="W18" s="56" t="n"/>
      <c r="X18" s="57">
        <f>IF($C18="","",$F18)</f>
        <v/>
      </c>
      <c r="Y18" s="57">
        <f>IF($C18="","",$C18)</f>
        <v/>
      </c>
    </row>
    <row r="19" ht="17" customHeight="1">
      <c r="A19" s="49" t="inlineStr">
        <is>
          <t>Cláudia</t>
        </is>
      </c>
      <c r="B19" s="49" t="inlineStr">
        <is>
          <t>Armario livros</t>
        </is>
      </c>
      <c r="C19" s="50" t="n">
        <v>2500</v>
      </c>
      <c r="D19" s="49" t="inlineStr">
        <is>
          <t>50+50</t>
        </is>
      </c>
      <c r="E19" s="51">
        <f>IF($C19="","",ROUND(SUM(I19,L19,O19,R19,U19),2))</f>
        <v/>
      </c>
      <c r="F19" s="52">
        <f>IF($C19="","",ROUND($C19-$E19,2))</f>
        <v/>
      </c>
      <c r="G19" s="24">
        <f>IF(OR($C19="",$C19=0),"",$E19/$C19)</f>
        <v/>
      </c>
      <c r="H19" s="53">
        <f>IF($C19="","",IF($E19=0,"A receber",IF(ROUND($F19,2)=0,"Quitado",IF($F19&lt;0,"Recebido a mais","Parcial"))))</f>
        <v/>
      </c>
      <c r="I19" s="54" t="n">
        <v>1250</v>
      </c>
      <c r="J19" s="55" t="n">
        <v>44869</v>
      </c>
      <c r="K19" s="56" t="inlineStr">
        <is>
          <t>pix+especie</t>
        </is>
      </c>
      <c r="L19" s="54" t="n">
        <v>1250</v>
      </c>
      <c r="M19" s="55" t="n">
        <v>44876</v>
      </c>
      <c r="N19" s="56" t="inlineStr">
        <is>
          <t>pix</t>
        </is>
      </c>
      <c r="O19" s="54" t="n"/>
      <c r="P19" s="55" t="n"/>
      <c r="Q19" s="56" t="n"/>
      <c r="R19" s="54" t="n"/>
      <c r="S19" s="55" t="n"/>
      <c r="T19" s="56" t="n"/>
      <c r="U19" s="54" t="n"/>
      <c r="V19" s="55" t="n"/>
      <c r="W19" s="56" t="n"/>
      <c r="X19" s="57">
        <f>IF($C19="","",$F19)</f>
        <v/>
      </c>
      <c r="Y19" s="57">
        <f>IF($C19="","",$C19)</f>
        <v/>
      </c>
    </row>
    <row r="20" ht="17" customHeight="1">
      <c r="A20" s="49" t="inlineStr">
        <is>
          <t>Cristiane</t>
        </is>
      </c>
      <c r="B20" s="49" t="inlineStr">
        <is>
          <t>porta de espelho</t>
        </is>
      </c>
      <c r="C20" s="50" t="n">
        <v>3700</v>
      </c>
      <c r="D20" s="49" t="inlineStr">
        <is>
          <t>1k ent + 5vz cartao</t>
        </is>
      </c>
      <c r="E20" s="51">
        <f>IF($C20="","",ROUND(SUM(I20,L20,O20,R20,U20),2))</f>
        <v/>
      </c>
      <c r="F20" s="52">
        <f>IF($C20="","",ROUND($C20-$E20,2))</f>
        <v/>
      </c>
      <c r="G20" s="24">
        <f>IF(OR($C20="",$C20=0),"",$E20/$C20)</f>
        <v/>
      </c>
      <c r="H20" s="53">
        <f>IF($C20="","",IF($E20=0,"A receber",IF(ROUND($F20,2)=0,"Quitado",IF($F20&lt;0,"Recebido a mais","Parcial"))))</f>
        <v/>
      </c>
      <c r="I20" s="54" t="n">
        <v>1000</v>
      </c>
      <c r="J20" s="55" t="n"/>
      <c r="K20" s="56" t="inlineStr">
        <is>
          <t>pix</t>
        </is>
      </c>
      <c r="L20" s="54" t="n">
        <v>2700</v>
      </c>
      <c r="M20" s="55" t="n"/>
      <c r="N20" s="56" t="inlineStr">
        <is>
          <t>23.0 · cartao</t>
        </is>
      </c>
      <c r="O20" s="54" t="n"/>
      <c r="P20" s="55" t="n"/>
      <c r="Q20" s="56" t="n"/>
      <c r="R20" s="54" t="n"/>
      <c r="S20" s="55" t="n"/>
      <c r="T20" s="56" t="n"/>
      <c r="U20" s="54" t="n"/>
      <c r="V20" s="55" t="n"/>
      <c r="W20" s="56" t="n"/>
      <c r="X20" s="57">
        <f>IF($C20="","",$F20)</f>
        <v/>
      </c>
      <c r="Y20" s="57">
        <f>IF($C20="","",$C20)</f>
        <v/>
      </c>
    </row>
    <row r="21" ht="17" customHeight="1">
      <c r="A21" s="49" t="inlineStr">
        <is>
          <t>Alberto</t>
        </is>
      </c>
      <c r="B21" s="49" t="inlineStr">
        <is>
          <t>Apt inteiro</t>
        </is>
      </c>
      <c r="C21" s="50" t="n">
        <v>82000</v>
      </c>
      <c r="D21" s="49" t="inlineStr">
        <is>
          <t>entrada mais 3 vezes</t>
        </is>
      </c>
      <c r="E21" s="51">
        <f>IF($C21="","",ROUND(SUM(I21,L21,O21,R21,U21),2))</f>
        <v/>
      </c>
      <c r="F21" s="52">
        <f>IF($C21="","",ROUND($C21-$E21,2))</f>
        <v/>
      </c>
      <c r="G21" s="24">
        <f>IF(OR($C21="",$C21=0),"",$E21/$C21)</f>
        <v/>
      </c>
      <c r="H21" s="53">
        <f>IF($C21="","",IF($E21=0,"A receber",IF(ROUND($F21,2)=0,"Quitado",IF($F21&lt;0,"Recebido a mais","Parcial"))))</f>
        <v/>
      </c>
      <c r="I21" s="54" t="n">
        <v>22000</v>
      </c>
      <c r="J21" s="55" t="n">
        <v>45255</v>
      </c>
      <c r="K21" s="56" t="inlineStr">
        <is>
          <t>pix</t>
        </is>
      </c>
      <c r="L21" s="54" t="n">
        <v>20000</v>
      </c>
      <c r="M21" s="55" t="n">
        <v>45252</v>
      </c>
      <c r="N21" s="56" t="inlineStr">
        <is>
          <t>pix</t>
        </is>
      </c>
      <c r="O21" s="54" t="n">
        <v>20000</v>
      </c>
      <c r="P21" s="55" t="n"/>
      <c r="Q21" s="56" t="n"/>
      <c r="R21" s="54" t="n">
        <v>5000</v>
      </c>
      <c r="S21" s="55" t="n"/>
      <c r="T21" s="56" t="inlineStr">
        <is>
          <t>PIX</t>
        </is>
      </c>
      <c r="U21" s="54" t="n">
        <v>15000</v>
      </c>
      <c r="V21" s="55" t="n"/>
      <c r="W21" s="56" t="n"/>
      <c r="X21" s="57">
        <f>IF($C21="","",$F21)</f>
        <v/>
      </c>
      <c r="Y21" s="57">
        <f>IF($C21="","",$C21)</f>
        <v/>
      </c>
    </row>
    <row r="22" ht="17" customHeight="1">
      <c r="A22" s="49" t="inlineStr">
        <is>
          <t>andre</t>
        </is>
      </c>
      <c r="B22" s="49" t="inlineStr">
        <is>
          <t>diversos</t>
        </is>
      </c>
      <c r="C22" s="50" t="n">
        <v>4000</v>
      </c>
      <c r="D22" s="49" t="n"/>
      <c r="E22" s="51">
        <f>IF($C22="","",ROUND(SUM(I22,L22,O22,R22,U22),2))</f>
        <v/>
      </c>
      <c r="F22" s="52">
        <f>IF($C22="","",ROUND($C22-$E22,2))</f>
        <v/>
      </c>
      <c r="G22" s="24">
        <f>IF(OR($C22="",$C22=0),"",$E22/$C22)</f>
        <v/>
      </c>
      <c r="H22" s="53">
        <f>IF($C22="","",IF($E22=0,"A receber",IF(ROUND($F22,2)=0,"Quitado",IF($F22&lt;0,"Recebido a mais","Parcial"))))</f>
        <v/>
      </c>
      <c r="I22" s="54" t="n">
        <v>4000</v>
      </c>
      <c r="J22" s="55" t="n"/>
      <c r="K22" s="56" t="inlineStr">
        <is>
          <t>pix</t>
        </is>
      </c>
      <c r="L22" s="54" t="n"/>
      <c r="M22" s="55" t="n"/>
      <c r="N22" s="56" t="n"/>
      <c r="O22" s="54" t="n"/>
      <c r="P22" s="55" t="n"/>
      <c r="Q22" s="56" t="n"/>
      <c r="R22" s="54" t="n"/>
      <c r="S22" s="55" t="n"/>
      <c r="T22" s="56" t="n"/>
      <c r="U22" s="54" t="n"/>
      <c r="V22" s="55" t="n"/>
      <c r="W22" s="56" t="n"/>
      <c r="X22" s="57">
        <f>IF($C22="","",$F22)</f>
        <v/>
      </c>
      <c r="Y22" s="57">
        <f>IF($C22="","",$C22)</f>
        <v/>
      </c>
    </row>
    <row r="23" ht="17" customHeight="1">
      <c r="A23" s="49" t="n"/>
      <c r="B23" s="49" t="n"/>
      <c r="C23" s="50" t="n"/>
      <c r="D23" s="49" t="n"/>
      <c r="E23" s="51">
        <f>IF($C23="","",ROUND(SUM(I23,L23,O23,R23,U23),2))</f>
        <v/>
      </c>
      <c r="F23" s="52">
        <f>IF($C23="","",ROUND($C23-$E23,2))</f>
        <v/>
      </c>
      <c r="G23" s="24">
        <f>IF(OR($C23="",$C23=0),"",$E23/$C23)</f>
        <v/>
      </c>
      <c r="H23" s="53">
        <f>IF($C23="","",IF($E23=0,"A receber",IF(ROUND($F23,2)=0,"Quitado",IF($F23&lt;0,"Recebido a mais","Parcial"))))</f>
        <v/>
      </c>
      <c r="I23" s="54" t="n"/>
      <c r="J23" s="55" t="n"/>
      <c r="K23" s="56" t="n"/>
      <c r="L23" s="54" t="n"/>
      <c r="M23" s="55" t="n"/>
      <c r="N23" s="56" t="n"/>
      <c r="O23" s="54" t="n"/>
      <c r="P23" s="55" t="n"/>
      <c r="Q23" s="56" t="n"/>
      <c r="R23" s="54" t="n"/>
      <c r="S23" s="55" t="n"/>
      <c r="T23" s="56" t="n"/>
      <c r="U23" s="54" t="n"/>
      <c r="V23" s="55" t="n"/>
      <c r="W23" s="56" t="n"/>
      <c r="X23" s="57">
        <f>IF($C23="","",$F23)</f>
        <v/>
      </c>
      <c r="Y23" s="57">
        <f>IF($C23="","",$C23)</f>
        <v/>
      </c>
    </row>
    <row r="24" ht="17" customHeight="1">
      <c r="A24" s="49" t="n"/>
      <c r="B24" s="49" t="n"/>
      <c r="C24" s="50" t="n"/>
      <c r="D24" s="49" t="n"/>
      <c r="E24" s="51">
        <f>IF($C24="","",ROUND(SUM(I24,L24,O24,R24,U24),2))</f>
        <v/>
      </c>
      <c r="F24" s="52">
        <f>IF($C24="","",ROUND($C24-$E24,2))</f>
        <v/>
      </c>
      <c r="G24" s="24">
        <f>IF(OR($C24="",$C24=0),"",$E24/$C24)</f>
        <v/>
      </c>
      <c r="H24" s="53">
        <f>IF($C24="","",IF($E24=0,"A receber",IF(ROUND($F24,2)=0,"Quitado",IF($F24&lt;0,"Recebido a mais","Parcial"))))</f>
        <v/>
      </c>
      <c r="I24" s="54" t="n"/>
      <c r="J24" s="55" t="n"/>
      <c r="K24" s="56" t="n"/>
      <c r="L24" s="54" t="n"/>
      <c r="M24" s="55" t="n"/>
      <c r="N24" s="56" t="n"/>
      <c r="O24" s="54" t="n"/>
      <c r="P24" s="55" t="n"/>
      <c r="Q24" s="56" t="n"/>
      <c r="R24" s="54" t="n"/>
      <c r="S24" s="55" t="n"/>
      <c r="T24" s="56" t="n"/>
      <c r="U24" s="54" t="n"/>
      <c r="V24" s="55" t="n"/>
      <c r="W24" s="56" t="n"/>
      <c r="X24" s="57">
        <f>IF($C24="","",$F24)</f>
        <v/>
      </c>
      <c r="Y24" s="57">
        <f>IF($C24="","",$C24)</f>
        <v/>
      </c>
    </row>
    <row r="25" ht="6" customHeight="1"/>
    <row r="26" ht="20" customHeight="1">
      <c r="A26" s="33" t="inlineStr">
        <is>
          <t>Janeiro</t>
        </is>
      </c>
      <c r="B26" s="45" t="n"/>
      <c r="C26" s="46">
        <f>SUM(C27:C31)</f>
        <v/>
      </c>
      <c r="D26" s="45" t="n"/>
      <c r="E26" s="46">
        <f>SUM(E27:E31)</f>
        <v/>
      </c>
      <c r="F26" s="46">
        <f>SUM(F27:F31)</f>
        <v/>
      </c>
      <c r="G26" s="47">
        <f>IF(OR(C26="",C26=0),"",E26/C26)</f>
        <v/>
      </c>
      <c r="H26" s="48">
        <f>COUNT(C27:C31)&amp;" projeto(s)"</f>
        <v/>
      </c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</row>
    <row r="27" ht="17" customHeight="1">
      <c r="A27" s="49" t="inlineStr">
        <is>
          <t>Heide</t>
        </is>
      </c>
      <c r="B27" s="49" t="inlineStr">
        <is>
          <t>cozinha</t>
        </is>
      </c>
      <c r="C27" s="50" t="n">
        <v>8000</v>
      </c>
      <c r="D27" s="49" t="n"/>
      <c r="E27" s="51">
        <f>IF($C27="","",ROUND(SUM(I27,L27,O27,R27,U27),2))</f>
        <v/>
      </c>
      <c r="F27" s="52">
        <f>IF($C27="","",ROUND($C27-$E27,2))</f>
        <v/>
      </c>
      <c r="G27" s="24">
        <f>IF(OR($C27="",$C27=0),"",$E27/$C27)</f>
        <v/>
      </c>
      <c r="H27" s="53">
        <f>IF($C27="","",IF($E27=0,"A receber",IF(ROUND($F27,2)=0,"Quitado",IF($F27&lt;0,"Recebido a mais","Parcial"))))</f>
        <v/>
      </c>
      <c r="I27" s="54" t="n">
        <v>4000</v>
      </c>
      <c r="J27" s="55" t="n">
        <v>44936</v>
      </c>
      <c r="K27" s="56" t="inlineStr">
        <is>
          <t>pix</t>
        </is>
      </c>
      <c r="L27" s="54" t="n">
        <v>4000</v>
      </c>
      <c r="M27" s="55" t="n"/>
      <c r="N27" s="56" t="n"/>
      <c r="O27" s="54" t="n"/>
      <c r="P27" s="55" t="n"/>
      <c r="Q27" s="56" t="n"/>
      <c r="R27" s="54" t="n"/>
      <c r="S27" s="55" t="n"/>
      <c r="T27" s="56" t="n"/>
      <c r="U27" s="54" t="n"/>
      <c r="V27" s="55" t="n"/>
      <c r="W27" s="56" t="n"/>
      <c r="X27" s="57">
        <f>IF($C27="","",$F27)</f>
        <v/>
      </c>
      <c r="Y27" s="57">
        <f>IF($C27="","",$C27)</f>
        <v/>
      </c>
    </row>
    <row r="28" ht="17" customHeight="1">
      <c r="A28" s="49" t="inlineStr">
        <is>
          <t>recuperaçao</t>
        </is>
      </c>
      <c r="B28" s="49" t="inlineStr">
        <is>
          <t>escaninho</t>
        </is>
      </c>
      <c r="C28" s="50" t="n">
        <v>3600</v>
      </c>
      <c r="D28" s="49" t="inlineStr">
        <is>
          <t>cartao</t>
        </is>
      </c>
      <c r="E28" s="51">
        <f>IF($C28="","",ROUND(SUM(I28,L28,O28,R28,U28),2))</f>
        <v/>
      </c>
      <c r="F28" s="52">
        <f>IF($C28="","",ROUND($C28-$E28,2))</f>
        <v/>
      </c>
      <c r="G28" s="24">
        <f>IF(OR($C28="",$C28=0),"",$E28/$C28)</f>
        <v/>
      </c>
      <c r="H28" s="53">
        <f>IF($C28="","",IF($E28=0,"A receber",IF(ROUND($F28,2)=0,"Quitado",IF($F28&lt;0,"Recebido a mais","Parcial"))))</f>
        <v/>
      </c>
      <c r="I28" s="54" t="n">
        <v>1800</v>
      </c>
      <c r="J28" s="55" t="n"/>
      <c r="K28" s="56" t="inlineStr">
        <is>
          <t>cartao</t>
        </is>
      </c>
      <c r="L28" s="54" t="n">
        <v>1800</v>
      </c>
      <c r="M28" s="55" t="n"/>
      <c r="N28" s="56" t="n"/>
      <c r="O28" s="54" t="n"/>
      <c r="P28" s="55" t="n"/>
      <c r="Q28" s="56" t="n"/>
      <c r="R28" s="54" t="n"/>
      <c r="S28" s="55" t="n"/>
      <c r="T28" s="56" t="n"/>
      <c r="U28" s="54" t="n"/>
      <c r="V28" s="55" t="n"/>
      <c r="W28" s="56" t="n"/>
      <c r="X28" s="57">
        <f>IF($C28="","",$F28)</f>
        <v/>
      </c>
      <c r="Y28" s="57">
        <f>IF($C28="","",$C28)</f>
        <v/>
      </c>
    </row>
    <row r="29" ht="17" customHeight="1">
      <c r="A29" s="49" t="inlineStr">
        <is>
          <t>carol</t>
        </is>
      </c>
      <c r="B29" s="49" t="inlineStr">
        <is>
          <t>quarto</t>
        </is>
      </c>
      <c r="C29" s="50" t="n">
        <v>8500</v>
      </c>
      <c r="D29" s="49" t="inlineStr">
        <is>
          <t>pix</t>
        </is>
      </c>
      <c r="E29" s="51">
        <f>IF($C29="","",ROUND(SUM(I29,L29,O29,R29,U29),2))</f>
        <v/>
      </c>
      <c r="F29" s="52">
        <f>IF($C29="","",ROUND($C29-$E29,2))</f>
        <v/>
      </c>
      <c r="G29" s="24">
        <f>IF(OR($C29="",$C29=0),"",$E29/$C29)</f>
        <v/>
      </c>
      <c r="H29" s="53">
        <f>IF($C29="","",IF($E29=0,"A receber",IF(ROUND($F29,2)=0,"Quitado",IF($F29&lt;0,"Recebido a mais","Parcial"))))</f>
        <v/>
      </c>
      <c r="I29" s="54" t="n">
        <v>4000</v>
      </c>
      <c r="J29" s="55" t="n"/>
      <c r="K29" s="56" t="n"/>
      <c r="L29" s="54" t="n">
        <v>4500</v>
      </c>
      <c r="M29" s="55" t="n"/>
      <c r="N29" s="56" t="n"/>
      <c r="O29" s="54" t="n"/>
      <c r="P29" s="55" t="n"/>
      <c r="Q29" s="56" t="n"/>
      <c r="R29" s="54" t="n"/>
      <c r="S29" s="55" t="n"/>
      <c r="T29" s="56" t="n"/>
      <c r="U29" s="54" t="n"/>
      <c r="V29" s="55" t="n"/>
      <c r="W29" s="56" t="n"/>
      <c r="X29" s="57">
        <f>IF($C29="","",$F29)</f>
        <v/>
      </c>
      <c r="Y29" s="57">
        <f>IF($C29="","",$C29)</f>
        <v/>
      </c>
    </row>
    <row r="30" ht="17" customHeight="1">
      <c r="A30" s="49" t="n"/>
      <c r="B30" s="49" t="n"/>
      <c r="C30" s="50" t="n"/>
      <c r="D30" s="49" t="n"/>
      <c r="E30" s="51">
        <f>IF($C30="","",ROUND(SUM(I30,L30,O30,R30,U30),2))</f>
        <v/>
      </c>
      <c r="F30" s="52">
        <f>IF($C30="","",ROUND($C30-$E30,2))</f>
        <v/>
      </c>
      <c r="G30" s="24">
        <f>IF(OR($C30="",$C30=0),"",$E30/$C30)</f>
        <v/>
      </c>
      <c r="H30" s="53">
        <f>IF($C30="","",IF($E30=0,"A receber",IF(ROUND($F30,2)=0,"Quitado",IF($F30&lt;0,"Recebido a mais","Parcial"))))</f>
        <v/>
      </c>
      <c r="I30" s="54" t="n"/>
      <c r="J30" s="55" t="n"/>
      <c r="K30" s="56" t="n"/>
      <c r="L30" s="54" t="n"/>
      <c r="M30" s="55" t="n"/>
      <c r="N30" s="56" t="n"/>
      <c r="O30" s="54" t="n"/>
      <c r="P30" s="55" t="n"/>
      <c r="Q30" s="56" t="n"/>
      <c r="R30" s="54" t="n"/>
      <c r="S30" s="55" t="n"/>
      <c r="T30" s="56" t="n"/>
      <c r="U30" s="54" t="n"/>
      <c r="V30" s="55" t="n"/>
      <c r="W30" s="56" t="n"/>
      <c r="X30" s="57">
        <f>IF($C30="","",$F30)</f>
        <v/>
      </c>
      <c r="Y30" s="57">
        <f>IF($C30="","",$C30)</f>
        <v/>
      </c>
    </row>
    <row r="31" ht="17" customHeight="1">
      <c r="A31" s="49" t="n"/>
      <c r="B31" s="49" t="n"/>
      <c r="C31" s="50" t="n"/>
      <c r="D31" s="49" t="n"/>
      <c r="E31" s="51">
        <f>IF($C31="","",ROUND(SUM(I31,L31,O31,R31,U31),2))</f>
        <v/>
      </c>
      <c r="F31" s="52">
        <f>IF($C31="","",ROUND($C31-$E31,2))</f>
        <v/>
      </c>
      <c r="G31" s="24">
        <f>IF(OR($C31="",$C31=0),"",$E31/$C31)</f>
        <v/>
      </c>
      <c r="H31" s="53">
        <f>IF($C31="","",IF($E31=0,"A receber",IF(ROUND($F31,2)=0,"Quitado",IF($F31&lt;0,"Recebido a mais","Parcial"))))</f>
        <v/>
      </c>
      <c r="I31" s="54" t="n"/>
      <c r="J31" s="55" t="n"/>
      <c r="K31" s="56" t="n"/>
      <c r="L31" s="54" t="n"/>
      <c r="M31" s="55" t="n"/>
      <c r="N31" s="56" t="n"/>
      <c r="O31" s="54" t="n"/>
      <c r="P31" s="55" t="n"/>
      <c r="Q31" s="56" t="n"/>
      <c r="R31" s="54" t="n"/>
      <c r="S31" s="55" t="n"/>
      <c r="T31" s="56" t="n"/>
      <c r="U31" s="54" t="n"/>
      <c r="V31" s="55" t="n"/>
      <c r="W31" s="56" t="n"/>
      <c r="X31" s="57">
        <f>IF($C31="","",$F31)</f>
        <v/>
      </c>
      <c r="Y31" s="57">
        <f>IF($C31="","",$C31)</f>
        <v/>
      </c>
    </row>
    <row r="32" ht="6" customHeight="1"/>
    <row r="33" ht="20" customHeight="1">
      <c r="A33" s="33" t="inlineStr">
        <is>
          <t>Fevereiro</t>
        </is>
      </c>
      <c r="B33" s="45" t="n"/>
      <c r="C33" s="46">
        <f>SUM(C34:C35)</f>
        <v/>
      </c>
      <c r="D33" s="45" t="n"/>
      <c r="E33" s="46">
        <f>SUM(E34:E35)</f>
        <v/>
      </c>
      <c r="F33" s="46">
        <f>SUM(F34:F35)</f>
        <v/>
      </c>
      <c r="G33" s="47">
        <f>IF(OR(C33="",C33=0),"",E33/C33)</f>
        <v/>
      </c>
      <c r="H33" s="48">
        <f>COUNT(C34:C35)&amp;" projeto(s)"</f>
        <v/>
      </c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</row>
    <row r="34" ht="17" customHeight="1">
      <c r="A34" s="49" t="n"/>
      <c r="B34" s="49" t="n"/>
      <c r="C34" s="50" t="n"/>
      <c r="D34" s="49" t="n"/>
      <c r="E34" s="51">
        <f>IF($C34="","",ROUND(SUM(I34,L34,O34,R34,U34),2))</f>
        <v/>
      </c>
      <c r="F34" s="52">
        <f>IF($C34="","",ROUND($C34-$E34,2))</f>
        <v/>
      </c>
      <c r="G34" s="24">
        <f>IF(OR($C34="",$C34=0),"",$E34/$C34)</f>
        <v/>
      </c>
      <c r="H34" s="53">
        <f>IF($C34="","",IF($E34=0,"A receber",IF(ROUND($F34,2)=0,"Quitado",IF($F34&lt;0,"Recebido a mais","Parcial"))))</f>
        <v/>
      </c>
      <c r="I34" s="54" t="n"/>
      <c r="J34" s="55" t="n"/>
      <c r="K34" s="56" t="n"/>
      <c r="L34" s="54" t="n"/>
      <c r="M34" s="55" t="n"/>
      <c r="N34" s="56" t="n"/>
      <c r="O34" s="54" t="n"/>
      <c r="P34" s="55" t="n"/>
      <c r="Q34" s="56" t="n"/>
      <c r="R34" s="54" t="n"/>
      <c r="S34" s="55" t="n"/>
      <c r="T34" s="56" t="n"/>
      <c r="U34" s="54" t="n"/>
      <c r="V34" s="55" t="n"/>
      <c r="W34" s="56" t="n"/>
      <c r="X34" s="57">
        <f>IF($C34="","",$F34)</f>
        <v/>
      </c>
      <c r="Y34" s="57">
        <f>IF($C34="","",$C34)</f>
        <v/>
      </c>
    </row>
    <row r="35" ht="17" customHeight="1">
      <c r="A35" s="49" t="n"/>
      <c r="B35" s="49" t="n"/>
      <c r="C35" s="50" t="n"/>
      <c r="D35" s="49" t="n"/>
      <c r="E35" s="51">
        <f>IF($C35="","",ROUND(SUM(I35,L35,O35,R35,U35),2))</f>
        <v/>
      </c>
      <c r="F35" s="52">
        <f>IF($C35="","",ROUND($C35-$E35,2))</f>
        <v/>
      </c>
      <c r="G35" s="24">
        <f>IF(OR($C35="",$C35=0),"",$E35/$C35)</f>
        <v/>
      </c>
      <c r="H35" s="53">
        <f>IF($C35="","",IF($E35=0,"A receber",IF(ROUND($F35,2)=0,"Quitado",IF($F35&lt;0,"Recebido a mais","Parcial"))))</f>
        <v/>
      </c>
      <c r="I35" s="54" t="n"/>
      <c r="J35" s="55" t="n"/>
      <c r="K35" s="56" t="n"/>
      <c r="L35" s="54" t="n"/>
      <c r="M35" s="55" t="n"/>
      <c r="N35" s="56" t="n"/>
      <c r="O35" s="54" t="n"/>
      <c r="P35" s="55" t="n"/>
      <c r="Q35" s="56" t="n"/>
      <c r="R35" s="54" t="n"/>
      <c r="S35" s="55" t="n"/>
      <c r="T35" s="56" t="n"/>
      <c r="U35" s="54" t="n"/>
      <c r="V35" s="55" t="n"/>
      <c r="W35" s="56" t="n"/>
      <c r="X35" s="57">
        <f>IF($C35="","",$F35)</f>
        <v/>
      </c>
      <c r="Y35" s="57">
        <f>IF($C35="","",$C35)</f>
        <v/>
      </c>
    </row>
    <row r="36" ht="6" customHeight="1"/>
    <row r="37" ht="20" customHeight="1">
      <c r="A37" s="33" t="inlineStr">
        <is>
          <t>Março</t>
        </is>
      </c>
      <c r="B37" s="45" t="n"/>
      <c r="C37" s="46">
        <f>SUM(C38:C47)</f>
        <v/>
      </c>
      <c r="D37" s="45" t="n"/>
      <c r="E37" s="46">
        <f>SUM(E38:E47)</f>
        <v/>
      </c>
      <c r="F37" s="46">
        <f>SUM(F38:F47)</f>
        <v/>
      </c>
      <c r="G37" s="47">
        <f>IF(OR(C37="",C37=0),"",E37/C37)</f>
        <v/>
      </c>
      <c r="H37" s="48">
        <f>COUNT(C38:C47)&amp;" projeto(s)"</f>
        <v/>
      </c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</row>
    <row r="38" ht="17" customHeight="1">
      <c r="A38" s="49" t="inlineStr">
        <is>
          <t>Mayara</t>
        </is>
      </c>
      <c r="B38" s="49" t="inlineStr">
        <is>
          <t>cozinha</t>
        </is>
      </c>
      <c r="C38" s="50" t="n">
        <v>13500</v>
      </c>
      <c r="D38" s="49" t="n"/>
      <c r="E38" s="51">
        <f>IF($C38="","",ROUND(SUM(I38,L38,O38,R38,U38),2))</f>
        <v/>
      </c>
      <c r="F38" s="52">
        <f>IF($C38="","",ROUND($C38-$E38,2))</f>
        <v/>
      </c>
      <c r="G38" s="24">
        <f>IF(OR($C38="",$C38=0),"",$E38/$C38)</f>
        <v/>
      </c>
      <c r="H38" s="53">
        <f>IF($C38="","",IF($E38=0,"A receber",IF(ROUND($F38,2)=0,"Quitado",IF($F38&lt;0,"Recebido a mais","Parcial"))))</f>
        <v/>
      </c>
      <c r="I38" s="54" t="n">
        <v>7000</v>
      </c>
      <c r="J38" s="55" t="n"/>
      <c r="K38" s="56" t="inlineStr">
        <is>
          <t>dinheiro</t>
        </is>
      </c>
      <c r="L38" s="54" t="n">
        <v>6500</v>
      </c>
      <c r="M38" s="55" t="n"/>
      <c r="N38" s="56" t="inlineStr">
        <is>
          <t>pix</t>
        </is>
      </c>
      <c r="O38" s="54" t="n"/>
      <c r="P38" s="55" t="n"/>
      <c r="Q38" s="56" t="n"/>
      <c r="R38" s="54" t="n"/>
      <c r="S38" s="55" t="n"/>
      <c r="T38" s="56" t="n"/>
      <c r="U38" s="54" t="n"/>
      <c r="V38" s="55" t="n"/>
      <c r="W38" s="56" t="n"/>
      <c r="X38" s="57">
        <f>IF($C38="","",$F38)</f>
        <v/>
      </c>
      <c r="Y38" s="57">
        <f>IF($C38="","",$C38)</f>
        <v/>
      </c>
    </row>
    <row r="39" ht="17" customHeight="1">
      <c r="A39" s="49" t="inlineStr">
        <is>
          <t>Seal telecom</t>
        </is>
      </c>
      <c r="B39" s="49" t="inlineStr">
        <is>
          <t>painel</t>
        </is>
      </c>
      <c r="C39" s="50" t="n">
        <v>16600</v>
      </c>
      <c r="D39" s="49" t="n"/>
      <c r="E39" s="51">
        <f>IF($C39="","",ROUND(SUM(I39,L39,O39,R39,U39),2))</f>
        <v/>
      </c>
      <c r="F39" s="52">
        <f>IF($C39="","",ROUND($C39-$E39,2))</f>
        <v/>
      </c>
      <c r="G39" s="24">
        <f>IF(OR($C39="",$C39=0),"",$E39/$C39)</f>
        <v/>
      </c>
      <c r="H39" s="53">
        <f>IF($C39="","",IF($E39=0,"A receber",IF(ROUND($F39,2)=0,"Quitado",IF($F39&lt;0,"Recebido a mais","Parcial"))))</f>
        <v/>
      </c>
      <c r="I39" s="54" t="n">
        <v>16600</v>
      </c>
      <c r="J39" s="55" t="n">
        <v>45050</v>
      </c>
      <c r="K39" s="56" t="inlineStr">
        <is>
          <t>pix</t>
        </is>
      </c>
      <c r="L39" s="54" t="n"/>
      <c r="M39" s="55" t="n"/>
      <c r="N39" s="56" t="n"/>
      <c r="O39" s="54" t="n"/>
      <c r="P39" s="55" t="n"/>
      <c r="Q39" s="56" t="n"/>
      <c r="R39" s="54" t="n"/>
      <c r="S39" s="55" t="n"/>
      <c r="T39" s="56" t="n"/>
      <c r="U39" s="54" t="n"/>
      <c r="V39" s="55" t="n"/>
      <c r="W39" s="56" t="n"/>
      <c r="X39" s="57">
        <f>IF($C39="","",$F39)</f>
        <v/>
      </c>
      <c r="Y39" s="57">
        <f>IF($C39="","",$C39)</f>
        <v/>
      </c>
    </row>
    <row r="40" ht="17" customHeight="1">
      <c r="A40" s="49" t="inlineStr">
        <is>
          <t>Daniela</t>
        </is>
      </c>
      <c r="B40" s="49" t="inlineStr">
        <is>
          <t>porta + mesa</t>
        </is>
      </c>
      <c r="C40" s="50" t="n">
        <v>7800</v>
      </c>
      <c r="D40" s="49" t="n"/>
      <c r="E40" s="51">
        <f>IF($C40="","",ROUND(SUM(I40,L40,O40,R40,U40),2))</f>
        <v/>
      </c>
      <c r="F40" s="52">
        <f>IF($C40="","",ROUND($C40-$E40,2))</f>
        <v/>
      </c>
      <c r="G40" s="24">
        <f>IF(OR($C40="",$C40=0),"",$E40/$C40)</f>
        <v/>
      </c>
      <c r="H40" s="53">
        <f>IF($C40="","",IF($E40=0,"A receber",IF(ROUND($F40,2)=0,"Quitado",IF($F40&lt;0,"Recebido a mais","Parcial"))))</f>
        <v/>
      </c>
      <c r="I40" s="54" t="n">
        <v>2100</v>
      </c>
      <c r="J40" s="55" t="n"/>
      <c r="K40" s="56" t="inlineStr">
        <is>
          <t>dinheiro e pix</t>
        </is>
      </c>
      <c r="L40" s="54" t="n">
        <v>2160</v>
      </c>
      <c r="M40" s="55" t="n"/>
      <c r="N40" s="56" t="n"/>
      <c r="O40" s="54" t="n">
        <v>3540</v>
      </c>
      <c r="P40" s="55" t="n"/>
      <c r="Q40" s="56" t="inlineStr">
        <is>
          <t>cartao</t>
        </is>
      </c>
      <c r="R40" s="54" t="n"/>
      <c r="S40" s="55" t="n"/>
      <c r="T40" s="56" t="n"/>
      <c r="U40" s="54" t="n"/>
      <c r="V40" s="55" t="n"/>
      <c r="W40" s="56" t="n"/>
      <c r="X40" s="57">
        <f>IF($C40="","",$F40)</f>
        <v/>
      </c>
      <c r="Y40" s="57">
        <f>IF($C40="","",$C40)</f>
        <v/>
      </c>
    </row>
    <row r="41" ht="17" customHeight="1">
      <c r="A41" s="49" t="inlineStr">
        <is>
          <t>Camila</t>
        </is>
      </c>
      <c r="B41" s="49" t="inlineStr">
        <is>
          <t>suite</t>
        </is>
      </c>
      <c r="C41" s="50" t="n">
        <v>24300</v>
      </c>
      <c r="D41" s="49" t="n"/>
      <c r="E41" s="51">
        <f>IF($C41="","",ROUND(SUM(I41,L41,O41,R41,U41),2))</f>
        <v/>
      </c>
      <c r="F41" s="52">
        <f>IF($C41="","",ROUND($C41-$E41,2))</f>
        <v/>
      </c>
      <c r="G41" s="24">
        <f>IF(OR($C41="",$C41=0),"",$E41/$C41)</f>
        <v/>
      </c>
      <c r="H41" s="53">
        <f>IF($C41="","",IF($E41=0,"A receber",IF(ROUND($F41,2)=0,"Quitado",IF($F41&lt;0,"Recebido a mais","Parcial"))))</f>
        <v/>
      </c>
      <c r="I41" s="54" t="n">
        <v>12150</v>
      </c>
      <c r="J41" s="55" t="n"/>
      <c r="K41" s="56" t="inlineStr">
        <is>
          <t>pix</t>
        </is>
      </c>
      <c r="L41" s="54" t="n">
        <v>5000</v>
      </c>
      <c r="M41" s="55" t="n"/>
      <c r="N41" s="56" t="n"/>
      <c r="O41" s="54" t="n">
        <v>7150</v>
      </c>
      <c r="P41" s="55" t="n">
        <v>45063</v>
      </c>
      <c r="Q41" s="56" t="inlineStr">
        <is>
          <t>pix</t>
        </is>
      </c>
      <c r="R41" s="54" t="n"/>
      <c r="S41" s="55" t="n"/>
      <c r="T41" s="56" t="n"/>
      <c r="U41" s="54" t="n"/>
      <c r="V41" s="55" t="n"/>
      <c r="W41" s="56" t="n"/>
      <c r="X41" s="57">
        <f>IF($C41="","",$F41)</f>
        <v/>
      </c>
      <c r="Y41" s="57">
        <f>IF($C41="","",$C41)</f>
        <v/>
      </c>
    </row>
    <row r="42" ht="17" customHeight="1">
      <c r="A42" s="49" t="inlineStr">
        <is>
          <t>Leticia</t>
        </is>
      </c>
      <c r="B42" s="49" t="inlineStr">
        <is>
          <t>loja</t>
        </is>
      </c>
      <c r="C42" s="50" t="n">
        <v>32850</v>
      </c>
      <c r="D42" s="49" t="n"/>
      <c r="E42" s="51">
        <f>IF($C42="","",ROUND(SUM(I42,L42,O42,R42,U42),2))</f>
        <v/>
      </c>
      <c r="F42" s="52">
        <f>IF($C42="","",ROUND($C42-$E42,2))</f>
        <v/>
      </c>
      <c r="G42" s="24">
        <f>IF(OR($C42="",$C42=0),"",$E42/$C42)</f>
        <v/>
      </c>
      <c r="H42" s="53">
        <f>IF($C42="","",IF($E42=0,"A receber",IF(ROUND($F42,2)=0,"Quitado",IF($F42&lt;0,"Recebido a mais","Parcial"))))</f>
        <v/>
      </c>
      <c r="I42" s="54" t="n">
        <v>17000</v>
      </c>
      <c r="J42" s="55" t="n"/>
      <c r="K42" s="56" t="inlineStr">
        <is>
          <t>pix</t>
        </is>
      </c>
      <c r="L42" s="54" t="n">
        <v>15850</v>
      </c>
      <c r="M42" s="55" t="n"/>
      <c r="N42" s="56" t="n"/>
      <c r="O42" s="54" t="n"/>
      <c r="P42" s="55" t="n"/>
      <c r="Q42" s="56" t="n"/>
      <c r="R42" s="54" t="n"/>
      <c r="S42" s="55" t="n"/>
      <c r="T42" s="56" t="n"/>
      <c r="U42" s="54" t="n"/>
      <c r="V42" s="55" t="n"/>
      <c r="W42" s="56" t="n"/>
      <c r="X42" s="57">
        <f>IF($C42="","",$F42)</f>
        <v/>
      </c>
      <c r="Y42" s="57">
        <f>IF($C42="","",$C42)</f>
        <v/>
      </c>
    </row>
    <row r="43" ht="17" customHeight="1">
      <c r="A43" s="49" t="inlineStr">
        <is>
          <t>Carlito</t>
        </is>
      </c>
      <c r="B43" s="49" t="inlineStr">
        <is>
          <t>sala + cozinha + quarto</t>
        </is>
      </c>
      <c r="C43" s="50" t="n">
        <v>29000</v>
      </c>
      <c r="D43" s="49" t="n"/>
      <c r="E43" s="51">
        <f>IF($C43="","",ROUND(SUM(I43,L43,O43,R43,U43),2))</f>
        <v/>
      </c>
      <c r="F43" s="52">
        <f>IF($C43="","",ROUND($C43-$E43,2))</f>
        <v/>
      </c>
      <c r="G43" s="24">
        <f>IF(OR($C43="",$C43=0),"",$E43/$C43)</f>
        <v/>
      </c>
      <c r="H43" s="53">
        <f>IF($C43="","",IF($E43=0,"A receber",IF(ROUND($F43,2)=0,"Quitado",IF($F43&lt;0,"Recebido a mais","Parcial"))))</f>
        <v/>
      </c>
      <c r="I43" s="54" t="n">
        <v>20000</v>
      </c>
      <c r="J43" s="55" t="n"/>
      <c r="K43" s="56" t="inlineStr">
        <is>
          <t>dinheiro</t>
        </is>
      </c>
      <c r="L43" s="54" t="n">
        <v>7000</v>
      </c>
      <c r="M43" s="55" t="n"/>
      <c r="N43" s="56" t="inlineStr">
        <is>
          <t>pix</t>
        </is>
      </c>
      <c r="O43" s="54" t="n">
        <v>2000</v>
      </c>
      <c r="P43" s="55" t="n"/>
      <c r="Q43" s="56" t="n"/>
      <c r="R43" s="54" t="n"/>
      <c r="S43" s="55" t="n"/>
      <c r="T43" s="56" t="n"/>
      <c r="U43" s="54" t="n"/>
      <c r="V43" s="55" t="n"/>
      <c r="W43" s="56" t="n"/>
      <c r="X43" s="57">
        <f>IF($C43="","",$F43)</f>
        <v/>
      </c>
      <c r="Y43" s="57">
        <f>IF($C43="","",$C43)</f>
        <v/>
      </c>
    </row>
    <row r="44" ht="17" customHeight="1">
      <c r="A44" s="49" t="inlineStr">
        <is>
          <t>Hugo</t>
        </is>
      </c>
      <c r="B44" s="49" t="inlineStr">
        <is>
          <t>quarto hospede</t>
        </is>
      </c>
      <c r="C44" s="50" t="n">
        <v>3000</v>
      </c>
      <c r="D44" s="49" t="n"/>
      <c r="E44" s="51">
        <f>IF($C44="","",ROUND(SUM(I44,L44,O44,R44,U44),2))</f>
        <v/>
      </c>
      <c r="F44" s="52">
        <f>IF($C44="","",ROUND($C44-$E44,2))</f>
        <v/>
      </c>
      <c r="G44" s="24">
        <f>IF(OR($C44="",$C44=0),"",$E44/$C44)</f>
        <v/>
      </c>
      <c r="H44" s="53">
        <f>IF($C44="","",IF($E44=0,"A receber",IF(ROUND($F44,2)=0,"Quitado",IF($F44&lt;0,"Recebido a mais","Parcial"))))</f>
        <v/>
      </c>
      <c r="I44" s="54" t="n">
        <v>3000</v>
      </c>
      <c r="J44" s="55" t="n"/>
      <c r="K44" s="56" t="inlineStr">
        <is>
          <t>dinheiro + cheque</t>
        </is>
      </c>
      <c r="L44" s="54" t="n"/>
      <c r="M44" s="55" t="n"/>
      <c r="N44" s="56" t="n"/>
      <c r="O44" s="54" t="n"/>
      <c r="P44" s="55" t="n"/>
      <c r="Q44" s="56" t="n"/>
      <c r="R44" s="54" t="n"/>
      <c r="S44" s="55" t="n"/>
      <c r="T44" s="56" t="n"/>
      <c r="U44" s="54" t="n"/>
      <c r="V44" s="55" t="n"/>
      <c r="W44" s="56" t="n"/>
      <c r="X44" s="57">
        <f>IF($C44="","",$F44)</f>
        <v/>
      </c>
      <c r="Y44" s="57">
        <f>IF($C44="","",$C44)</f>
        <v/>
      </c>
    </row>
    <row r="45" ht="17" customHeight="1">
      <c r="A45" s="49" t="inlineStr">
        <is>
          <t>Jennyfer</t>
        </is>
      </c>
      <c r="B45" s="49" t="inlineStr">
        <is>
          <t>balcao</t>
        </is>
      </c>
      <c r="C45" s="50" t="n">
        <v>3500</v>
      </c>
      <c r="D45" s="49" t="n"/>
      <c r="E45" s="51">
        <f>IF($C45="","",ROUND(SUM(I45,L45,O45,R45,U45),2))</f>
        <v/>
      </c>
      <c r="F45" s="52">
        <f>IF($C45="","",ROUND($C45-$E45,2))</f>
        <v/>
      </c>
      <c r="G45" s="24">
        <f>IF(OR($C45="",$C45=0),"",$E45/$C45)</f>
        <v/>
      </c>
      <c r="H45" s="53">
        <f>IF($C45="","",IF($E45=0,"A receber",IF(ROUND($F45,2)=0,"Quitado",IF($F45&lt;0,"Recebido a mais","Parcial"))))</f>
        <v/>
      </c>
      <c r="I45" s="54" t="n">
        <v>1750</v>
      </c>
      <c r="J45" s="55" t="n"/>
      <c r="K45" s="56" t="n"/>
      <c r="L45" s="54" t="n">
        <v>1750</v>
      </c>
      <c r="M45" s="55" t="n"/>
      <c r="N45" s="56" t="n"/>
      <c r="O45" s="54" t="n"/>
      <c r="P45" s="55" t="n"/>
      <c r="Q45" s="56" t="n"/>
      <c r="R45" s="54" t="n"/>
      <c r="S45" s="55" t="n"/>
      <c r="T45" s="56" t="n"/>
      <c r="U45" s="54" t="n"/>
      <c r="V45" s="55" t="n"/>
      <c r="W45" s="56" t="n"/>
      <c r="X45" s="57">
        <f>IF($C45="","",$F45)</f>
        <v/>
      </c>
      <c r="Y45" s="57">
        <f>IF($C45="","",$C45)</f>
        <v/>
      </c>
    </row>
    <row r="46" ht="17" customHeight="1">
      <c r="A46" s="49" t="n"/>
      <c r="B46" s="49" t="n"/>
      <c r="C46" s="50" t="n"/>
      <c r="D46" s="49" t="n"/>
      <c r="E46" s="51">
        <f>IF($C46="","",ROUND(SUM(I46,L46,O46,R46,U46),2))</f>
        <v/>
      </c>
      <c r="F46" s="52">
        <f>IF($C46="","",ROUND($C46-$E46,2))</f>
        <v/>
      </c>
      <c r="G46" s="24">
        <f>IF(OR($C46="",$C46=0),"",$E46/$C46)</f>
        <v/>
      </c>
      <c r="H46" s="53">
        <f>IF($C46="","",IF($E46=0,"A receber",IF(ROUND($F46,2)=0,"Quitado",IF($F46&lt;0,"Recebido a mais","Parcial"))))</f>
        <v/>
      </c>
      <c r="I46" s="54" t="n"/>
      <c r="J46" s="55" t="n"/>
      <c r="K46" s="56" t="n"/>
      <c r="L46" s="54" t="n"/>
      <c r="M46" s="55" t="n"/>
      <c r="N46" s="56" t="n"/>
      <c r="O46" s="54" t="n"/>
      <c r="P46" s="55" t="n"/>
      <c r="Q46" s="56" t="n"/>
      <c r="R46" s="54" t="n"/>
      <c r="S46" s="55" t="n"/>
      <c r="T46" s="56" t="n"/>
      <c r="U46" s="54" t="n"/>
      <c r="V46" s="55" t="n"/>
      <c r="W46" s="56" t="n"/>
      <c r="X46" s="57">
        <f>IF($C46="","",$F46)</f>
        <v/>
      </c>
      <c r="Y46" s="57">
        <f>IF($C46="","",$C46)</f>
        <v/>
      </c>
    </row>
    <row r="47" ht="17" customHeight="1">
      <c r="A47" s="49" t="n"/>
      <c r="B47" s="49" t="n"/>
      <c r="C47" s="50" t="n"/>
      <c r="D47" s="49" t="n"/>
      <c r="E47" s="51">
        <f>IF($C47="","",ROUND(SUM(I47,L47,O47,R47,U47),2))</f>
        <v/>
      </c>
      <c r="F47" s="52">
        <f>IF($C47="","",ROUND($C47-$E47,2))</f>
        <v/>
      </c>
      <c r="G47" s="24">
        <f>IF(OR($C47="",$C47=0),"",$E47/$C47)</f>
        <v/>
      </c>
      <c r="H47" s="53">
        <f>IF($C47="","",IF($E47=0,"A receber",IF(ROUND($F47,2)=0,"Quitado",IF($F47&lt;0,"Recebido a mais","Parcial"))))</f>
        <v/>
      </c>
      <c r="I47" s="54" t="n"/>
      <c r="J47" s="55" t="n"/>
      <c r="K47" s="56" t="n"/>
      <c r="L47" s="54" t="n"/>
      <c r="M47" s="55" t="n"/>
      <c r="N47" s="56" t="n"/>
      <c r="O47" s="54" t="n"/>
      <c r="P47" s="55" t="n"/>
      <c r="Q47" s="56" t="n"/>
      <c r="R47" s="54" t="n"/>
      <c r="S47" s="55" t="n"/>
      <c r="T47" s="56" t="n"/>
      <c r="U47" s="54" t="n"/>
      <c r="V47" s="55" t="n"/>
      <c r="W47" s="56" t="n"/>
      <c r="X47" s="57">
        <f>IF($C47="","",$F47)</f>
        <v/>
      </c>
      <c r="Y47" s="57">
        <f>IF($C47="","",$C47)</f>
        <v/>
      </c>
    </row>
    <row r="48" ht="6" customHeight="1"/>
    <row r="49" ht="20" customHeight="1">
      <c r="A49" s="33" t="inlineStr">
        <is>
          <t>Abril</t>
        </is>
      </c>
      <c r="B49" s="45" t="n"/>
      <c r="C49" s="46">
        <f>SUM(C50:C53)</f>
        <v/>
      </c>
      <c r="D49" s="45" t="n"/>
      <c r="E49" s="46">
        <f>SUM(E50:E53)</f>
        <v/>
      </c>
      <c r="F49" s="46">
        <f>SUM(F50:F53)</f>
        <v/>
      </c>
      <c r="G49" s="47">
        <f>IF(OR(C49="",C49=0),"",E49/C49)</f>
        <v/>
      </c>
      <c r="H49" s="48">
        <f>COUNT(C50:C53)&amp;" projeto(s)"</f>
        <v/>
      </c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</row>
    <row r="50" ht="17" customHeight="1">
      <c r="A50" s="49" t="inlineStr">
        <is>
          <t>Mayara</t>
        </is>
      </c>
      <c r="B50" s="49" t="inlineStr">
        <is>
          <t>cristaleira</t>
        </is>
      </c>
      <c r="C50" s="50" t="n">
        <v>5500</v>
      </c>
      <c r="D50" s="49" t="n"/>
      <c r="E50" s="51">
        <f>IF($C50="","",ROUND(SUM(I50,L50,O50,R50,U50),2))</f>
        <v/>
      </c>
      <c r="F50" s="52">
        <f>IF($C50="","",ROUND($C50-$E50,2))</f>
        <v/>
      </c>
      <c r="G50" s="24">
        <f>IF(OR($C50="",$C50=0),"",$E50/$C50)</f>
        <v/>
      </c>
      <c r="H50" s="53">
        <f>IF($C50="","",IF($E50=0,"A receber",IF(ROUND($F50,2)=0,"Quitado",IF($F50&lt;0,"Recebido a mais","Parcial"))))</f>
        <v/>
      </c>
      <c r="I50" s="54" t="n">
        <v>2500</v>
      </c>
      <c r="J50" s="55" t="n"/>
      <c r="K50" s="56" t="inlineStr">
        <is>
          <t>pix</t>
        </is>
      </c>
      <c r="L50" s="54" t="n">
        <v>1000</v>
      </c>
      <c r="M50" s="55" t="n"/>
      <c r="N50" s="56" t="inlineStr">
        <is>
          <t>pix</t>
        </is>
      </c>
      <c r="O50" s="54" t="n">
        <v>1000</v>
      </c>
      <c r="P50" s="55" t="n"/>
      <c r="Q50" s="56" t="inlineStr">
        <is>
          <t>pix</t>
        </is>
      </c>
      <c r="R50" s="54" t="n">
        <v>1000</v>
      </c>
      <c r="S50" s="55" t="n"/>
      <c r="T50" s="56" t="n"/>
      <c r="U50" s="54" t="n"/>
      <c r="V50" s="55" t="n"/>
      <c r="W50" s="56" t="n"/>
      <c r="X50" s="57">
        <f>IF($C50="","",$F50)</f>
        <v/>
      </c>
      <c r="Y50" s="57">
        <f>IF($C50="","",$C50)</f>
        <v/>
      </c>
    </row>
    <row r="51" ht="17" customHeight="1">
      <c r="A51" s="49" t="inlineStr">
        <is>
          <t>Rafael</t>
        </is>
      </c>
      <c r="B51" s="49" t="inlineStr">
        <is>
          <t>Baias</t>
        </is>
      </c>
      <c r="C51" s="50" t="n">
        <v>9000</v>
      </c>
      <c r="D51" s="49" t="inlineStr">
        <is>
          <t>pix</t>
        </is>
      </c>
      <c r="E51" s="51">
        <f>IF($C51="","",ROUND(SUM(I51,L51,O51,R51,U51),2))</f>
        <v/>
      </c>
      <c r="F51" s="52">
        <f>IF($C51="","",ROUND($C51-$E51,2))</f>
        <v/>
      </c>
      <c r="G51" s="24">
        <f>IF(OR($C51="",$C51=0),"",$E51/$C51)</f>
        <v/>
      </c>
      <c r="H51" s="53">
        <f>IF($C51="","",IF($E51=0,"A receber",IF(ROUND($F51,2)=0,"Quitado",IF($F51&lt;0,"Recebido a mais","Parcial"))))</f>
        <v/>
      </c>
      <c r="I51" s="54" t="n">
        <v>5400</v>
      </c>
      <c r="J51" s="55" t="n">
        <v>45029</v>
      </c>
      <c r="K51" s="56" t="inlineStr">
        <is>
          <t>pix</t>
        </is>
      </c>
      <c r="L51" s="54" t="n">
        <v>3600</v>
      </c>
      <c r="M51" s="55" t="n"/>
      <c r="N51" s="56" t="inlineStr">
        <is>
          <t>pix</t>
        </is>
      </c>
      <c r="O51" s="54" t="n"/>
      <c r="P51" s="55" t="n"/>
      <c r="Q51" s="56" t="n"/>
      <c r="R51" s="54" t="n"/>
      <c r="S51" s="55" t="n"/>
      <c r="T51" s="56" t="n"/>
      <c r="U51" s="54" t="n"/>
      <c r="V51" s="55" t="n"/>
      <c r="W51" s="56" t="n"/>
      <c r="X51" s="57">
        <f>IF($C51="","",$F51)</f>
        <v/>
      </c>
      <c r="Y51" s="57">
        <f>IF($C51="","",$C51)</f>
        <v/>
      </c>
    </row>
    <row r="52" ht="17" customHeight="1">
      <c r="A52" s="49" t="n"/>
      <c r="B52" s="49" t="n"/>
      <c r="C52" s="50" t="n"/>
      <c r="D52" s="49" t="n"/>
      <c r="E52" s="51">
        <f>IF($C52="","",ROUND(SUM(I52,L52,O52,R52,U52),2))</f>
        <v/>
      </c>
      <c r="F52" s="52">
        <f>IF($C52="","",ROUND($C52-$E52,2))</f>
        <v/>
      </c>
      <c r="G52" s="24">
        <f>IF(OR($C52="",$C52=0),"",$E52/$C52)</f>
        <v/>
      </c>
      <c r="H52" s="53">
        <f>IF($C52="","",IF($E52=0,"A receber",IF(ROUND($F52,2)=0,"Quitado",IF($F52&lt;0,"Recebido a mais","Parcial"))))</f>
        <v/>
      </c>
      <c r="I52" s="54" t="n"/>
      <c r="J52" s="55" t="n"/>
      <c r="K52" s="56" t="n"/>
      <c r="L52" s="54" t="n"/>
      <c r="M52" s="55" t="n"/>
      <c r="N52" s="56" t="n"/>
      <c r="O52" s="54" t="n"/>
      <c r="P52" s="55" t="n"/>
      <c r="Q52" s="56" t="n"/>
      <c r="R52" s="54" t="n"/>
      <c r="S52" s="55" t="n"/>
      <c r="T52" s="56" t="n"/>
      <c r="U52" s="54" t="n"/>
      <c r="V52" s="55" t="n"/>
      <c r="W52" s="56" t="n"/>
      <c r="X52" s="57">
        <f>IF($C52="","",$F52)</f>
        <v/>
      </c>
      <c r="Y52" s="57">
        <f>IF($C52="","",$C52)</f>
        <v/>
      </c>
    </row>
    <row r="53" ht="17" customHeight="1">
      <c r="A53" s="49" t="n"/>
      <c r="B53" s="49" t="n"/>
      <c r="C53" s="50" t="n"/>
      <c r="D53" s="49" t="n"/>
      <c r="E53" s="51">
        <f>IF($C53="","",ROUND(SUM(I53,L53,O53,R53,U53),2))</f>
        <v/>
      </c>
      <c r="F53" s="52">
        <f>IF($C53="","",ROUND($C53-$E53,2))</f>
        <v/>
      </c>
      <c r="G53" s="24">
        <f>IF(OR($C53="",$C53=0),"",$E53/$C53)</f>
        <v/>
      </c>
      <c r="H53" s="53">
        <f>IF($C53="","",IF($E53=0,"A receber",IF(ROUND($F53,2)=0,"Quitado",IF($F53&lt;0,"Recebido a mais","Parcial"))))</f>
        <v/>
      </c>
      <c r="I53" s="54" t="n"/>
      <c r="J53" s="55" t="n"/>
      <c r="K53" s="56" t="n"/>
      <c r="L53" s="54" t="n"/>
      <c r="M53" s="55" t="n"/>
      <c r="N53" s="56" t="n"/>
      <c r="O53" s="54" t="n"/>
      <c r="P53" s="55" t="n"/>
      <c r="Q53" s="56" t="n"/>
      <c r="R53" s="54" t="n"/>
      <c r="S53" s="55" t="n"/>
      <c r="T53" s="56" t="n"/>
      <c r="U53" s="54" t="n"/>
      <c r="V53" s="55" t="n"/>
      <c r="W53" s="56" t="n"/>
      <c r="X53" s="57">
        <f>IF($C53="","",$F53)</f>
        <v/>
      </c>
      <c r="Y53" s="57">
        <f>IF($C53="","",$C53)</f>
        <v/>
      </c>
    </row>
    <row r="54" ht="6" customHeight="1"/>
    <row r="55" ht="20" customHeight="1">
      <c r="A55" s="33" t="inlineStr">
        <is>
          <t>Maio</t>
        </is>
      </c>
      <c r="B55" s="45" t="n"/>
      <c r="C55" s="46">
        <f>SUM(C56:C61)</f>
        <v/>
      </c>
      <c r="D55" s="45" t="n"/>
      <c r="E55" s="46">
        <f>SUM(E56:E61)</f>
        <v/>
      </c>
      <c r="F55" s="46">
        <f>SUM(F56:F61)</f>
        <v/>
      </c>
      <c r="G55" s="47">
        <f>IF(OR(C55="",C55=0),"",E55/C55)</f>
        <v/>
      </c>
      <c r="H55" s="48">
        <f>COUNT(C56:C61)&amp;" projeto(s)"</f>
        <v/>
      </c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</row>
    <row r="56" ht="17" customHeight="1">
      <c r="A56" s="49" t="inlineStr">
        <is>
          <t>Daniel</t>
        </is>
      </c>
      <c r="B56" s="49" t="inlineStr">
        <is>
          <t>Cozinha</t>
        </is>
      </c>
      <c r="C56" s="50" t="n">
        <v>9400</v>
      </c>
      <c r="D56" s="49" t="n"/>
      <c r="E56" s="51">
        <f>IF($C56="","",ROUND(SUM(I56,L56,O56,R56,U56),2))</f>
        <v/>
      </c>
      <c r="F56" s="52">
        <f>IF($C56="","",ROUND($C56-$E56,2))</f>
        <v/>
      </c>
      <c r="G56" s="24">
        <f>IF(OR($C56="",$C56=0),"",$E56/$C56)</f>
        <v/>
      </c>
      <c r="H56" s="53">
        <f>IF($C56="","",IF($E56=0,"A receber",IF(ROUND($F56,2)=0,"Quitado",IF($F56&lt;0,"Recebido a mais","Parcial"))))</f>
        <v/>
      </c>
      <c r="I56" s="54" t="n">
        <v>3750</v>
      </c>
      <c r="J56" s="55" t="n">
        <v>45049</v>
      </c>
      <c r="K56" s="56" t="inlineStr">
        <is>
          <t>pix</t>
        </is>
      </c>
      <c r="L56" s="54" t="n">
        <v>5650</v>
      </c>
      <c r="M56" s="55" t="n">
        <v>45096</v>
      </c>
      <c r="N56" s="56" t="inlineStr">
        <is>
          <t>cartao</t>
        </is>
      </c>
      <c r="O56" s="54" t="n"/>
      <c r="P56" s="55" t="n"/>
      <c r="Q56" s="56" t="n"/>
      <c r="R56" s="54" t="n"/>
      <c r="S56" s="55" t="n"/>
      <c r="T56" s="56" t="n"/>
      <c r="U56" s="54" t="n"/>
      <c r="V56" s="55" t="n"/>
      <c r="W56" s="56" t="n"/>
      <c r="X56" s="57">
        <f>IF($C56="","",$F56)</f>
        <v/>
      </c>
      <c r="Y56" s="57">
        <f>IF($C56="","",$C56)</f>
        <v/>
      </c>
    </row>
    <row r="57" ht="17" customHeight="1">
      <c r="A57" s="49" t="inlineStr">
        <is>
          <t>Seal telecom</t>
        </is>
      </c>
      <c r="B57" s="49" t="inlineStr">
        <is>
          <t>suporte retorno</t>
        </is>
      </c>
      <c r="C57" s="50" t="n">
        <v>1700</v>
      </c>
      <c r="D57" s="49" t="n"/>
      <c r="E57" s="51">
        <f>IF($C57="","",ROUND(SUM(I57,L57,O57,R57,U57),2))</f>
        <v/>
      </c>
      <c r="F57" s="52">
        <f>IF($C57="","",ROUND($C57-$E57,2))</f>
        <v/>
      </c>
      <c r="G57" s="24">
        <f>IF(OR($C57="",$C57=0),"",$E57/$C57)</f>
        <v/>
      </c>
      <c r="H57" s="53">
        <f>IF($C57="","",IF($E57=0,"A receber",IF(ROUND($F57,2)=0,"Quitado",IF($F57&lt;0,"Recebido a mais","Parcial"))))</f>
        <v/>
      </c>
      <c r="I57" s="54" t="n">
        <v>1700</v>
      </c>
      <c r="J57" s="55" t="n"/>
      <c r="K57" s="56" t="inlineStr">
        <is>
          <t>pix</t>
        </is>
      </c>
      <c r="L57" s="54" t="n"/>
      <c r="M57" s="55" t="n"/>
      <c r="N57" s="56" t="n"/>
      <c r="O57" s="54" t="n"/>
      <c r="P57" s="55" t="n"/>
      <c r="Q57" s="56" t="n"/>
      <c r="R57" s="54" t="n"/>
      <c r="S57" s="55" t="n"/>
      <c r="T57" s="56" t="n"/>
      <c r="U57" s="54" t="n"/>
      <c r="V57" s="55" t="n"/>
      <c r="W57" s="56" t="n"/>
      <c r="X57" s="57">
        <f>IF($C57="","",$F57)</f>
        <v/>
      </c>
      <c r="Y57" s="57">
        <f>IF($C57="","",$C57)</f>
        <v/>
      </c>
    </row>
    <row r="58" ht="17" customHeight="1">
      <c r="A58" s="49" t="inlineStr">
        <is>
          <t>Barbara Martins</t>
        </is>
      </c>
      <c r="B58" s="49" t="inlineStr">
        <is>
          <t>Painel tv</t>
        </is>
      </c>
      <c r="C58" s="50" t="n">
        <v>7500</v>
      </c>
      <c r="D58" s="49" t="n"/>
      <c r="E58" s="51">
        <f>IF($C58="","",ROUND(SUM(I58,L58,O58,R58,U58),2))</f>
        <v/>
      </c>
      <c r="F58" s="52">
        <f>IF($C58="","",ROUND($C58-$E58,2))</f>
        <v/>
      </c>
      <c r="G58" s="24">
        <f>IF(OR($C58="",$C58=0),"",$E58/$C58)</f>
        <v/>
      </c>
      <c r="H58" s="53">
        <f>IF($C58="","",IF($E58=0,"A receber",IF(ROUND($F58,2)=0,"Quitado",IF($F58&lt;0,"Recebido a mais","Parcial"))))</f>
        <v/>
      </c>
      <c r="I58" s="54" t="n">
        <v>4000</v>
      </c>
      <c r="J58" s="55" t="n">
        <v>45051</v>
      </c>
      <c r="K58" s="56" t="inlineStr">
        <is>
          <t>pix</t>
        </is>
      </c>
      <c r="L58" s="54" t="n">
        <v>3500</v>
      </c>
      <c r="M58" s="55" t="n"/>
      <c r="N58" s="56" t="n"/>
      <c r="O58" s="54" t="n"/>
      <c r="P58" s="55" t="n"/>
      <c r="Q58" s="56" t="n"/>
      <c r="R58" s="54" t="n"/>
      <c r="S58" s="55" t="n"/>
      <c r="T58" s="56" t="n"/>
      <c r="U58" s="54" t="n"/>
      <c r="V58" s="55" t="n"/>
      <c r="W58" s="56" t="n"/>
      <c r="X58" s="57">
        <f>IF($C58="","",$F58)</f>
        <v/>
      </c>
      <c r="Y58" s="57">
        <f>IF($C58="","",$C58)</f>
        <v/>
      </c>
    </row>
    <row r="59" ht="17" customHeight="1">
      <c r="A59" s="49" t="inlineStr">
        <is>
          <t>tiago lele</t>
        </is>
      </c>
      <c r="B59" s="49" t="inlineStr">
        <is>
          <t>lavanderia e gourmet</t>
        </is>
      </c>
      <c r="C59" s="50" t="n">
        <v>4500</v>
      </c>
      <c r="D59" s="49" t="n"/>
      <c r="E59" s="51">
        <f>IF($C59="","",ROUND(SUM(I59,L59,O59,R59,U59),2))</f>
        <v/>
      </c>
      <c r="F59" s="52">
        <f>IF($C59="","",ROUND($C59-$E59,2))</f>
        <v/>
      </c>
      <c r="G59" s="24">
        <f>IF(OR($C59="",$C59=0),"",$E59/$C59)</f>
        <v/>
      </c>
      <c r="H59" s="53">
        <f>IF($C59="","",IF($E59=0,"A receber",IF(ROUND($F59,2)=0,"Quitado",IF($F59&lt;0,"Recebido a mais","Parcial"))))</f>
        <v/>
      </c>
      <c r="I59" s="54" t="n">
        <v>4500</v>
      </c>
      <c r="J59" s="55" t="n"/>
      <c r="K59" s="56" t="inlineStr">
        <is>
          <t>cartao</t>
        </is>
      </c>
      <c r="L59" s="54" t="n"/>
      <c r="M59" s="55" t="n"/>
      <c r="N59" s="56" t="n"/>
      <c r="O59" s="54" t="n"/>
      <c r="P59" s="55" t="n"/>
      <c r="Q59" s="56" t="n"/>
      <c r="R59" s="54" t="n"/>
      <c r="S59" s="55" t="n"/>
      <c r="T59" s="56" t="n"/>
      <c r="U59" s="54" t="n"/>
      <c r="V59" s="55" t="n"/>
      <c r="W59" s="56" t="n"/>
      <c r="X59" s="57">
        <f>IF($C59="","",$F59)</f>
        <v/>
      </c>
      <c r="Y59" s="57">
        <f>IF($C59="","",$C59)</f>
        <v/>
      </c>
    </row>
    <row r="60" ht="17" customHeight="1">
      <c r="A60" s="49" t="n"/>
      <c r="B60" s="49" t="n"/>
      <c r="C60" s="50" t="n"/>
      <c r="D60" s="49" t="n"/>
      <c r="E60" s="51">
        <f>IF($C60="","",ROUND(SUM(I60,L60,O60,R60,U60),2))</f>
        <v/>
      </c>
      <c r="F60" s="52">
        <f>IF($C60="","",ROUND($C60-$E60,2))</f>
        <v/>
      </c>
      <c r="G60" s="24">
        <f>IF(OR($C60="",$C60=0),"",$E60/$C60)</f>
        <v/>
      </c>
      <c r="H60" s="53">
        <f>IF($C60="","",IF($E60=0,"A receber",IF(ROUND($F60,2)=0,"Quitado",IF($F60&lt;0,"Recebido a mais","Parcial"))))</f>
        <v/>
      </c>
      <c r="I60" s="54" t="n"/>
      <c r="J60" s="55" t="n"/>
      <c r="K60" s="56" t="n"/>
      <c r="L60" s="54" t="n"/>
      <c r="M60" s="55" t="n"/>
      <c r="N60" s="56" t="n"/>
      <c r="O60" s="54" t="n"/>
      <c r="P60" s="55" t="n"/>
      <c r="Q60" s="56" t="n"/>
      <c r="R60" s="54" t="n"/>
      <c r="S60" s="55" t="n"/>
      <c r="T60" s="56" t="n"/>
      <c r="U60" s="54" t="n"/>
      <c r="V60" s="55" t="n"/>
      <c r="W60" s="56" t="n"/>
      <c r="X60" s="57">
        <f>IF($C60="","",$F60)</f>
        <v/>
      </c>
      <c r="Y60" s="57">
        <f>IF($C60="","",$C60)</f>
        <v/>
      </c>
    </row>
    <row r="61" ht="17" customHeight="1">
      <c r="A61" s="49" t="n"/>
      <c r="B61" s="49" t="n"/>
      <c r="C61" s="50" t="n"/>
      <c r="D61" s="49" t="n"/>
      <c r="E61" s="51">
        <f>IF($C61="","",ROUND(SUM(I61,L61,O61,R61,U61),2))</f>
        <v/>
      </c>
      <c r="F61" s="52">
        <f>IF($C61="","",ROUND($C61-$E61,2))</f>
        <v/>
      </c>
      <c r="G61" s="24">
        <f>IF(OR($C61="",$C61=0),"",$E61/$C61)</f>
        <v/>
      </c>
      <c r="H61" s="53">
        <f>IF($C61="","",IF($E61=0,"A receber",IF(ROUND($F61,2)=0,"Quitado",IF($F61&lt;0,"Recebido a mais","Parcial"))))</f>
        <v/>
      </c>
      <c r="I61" s="54" t="n"/>
      <c r="J61" s="55" t="n"/>
      <c r="K61" s="56" t="n"/>
      <c r="L61" s="54" t="n"/>
      <c r="M61" s="55" t="n"/>
      <c r="N61" s="56" t="n"/>
      <c r="O61" s="54" t="n"/>
      <c r="P61" s="55" t="n"/>
      <c r="Q61" s="56" t="n"/>
      <c r="R61" s="54" t="n"/>
      <c r="S61" s="55" t="n"/>
      <c r="T61" s="56" t="n"/>
      <c r="U61" s="54" t="n"/>
      <c r="V61" s="55" t="n"/>
      <c r="W61" s="56" t="n"/>
      <c r="X61" s="57">
        <f>IF($C61="","",$F61)</f>
        <v/>
      </c>
      <c r="Y61" s="57">
        <f>IF($C61="","",$C61)</f>
        <v/>
      </c>
    </row>
    <row r="62" ht="6" customHeight="1"/>
    <row r="63" ht="20" customHeight="1">
      <c r="A63" s="33" t="inlineStr">
        <is>
          <t>Junho</t>
        </is>
      </c>
      <c r="B63" s="45" t="n"/>
      <c r="C63" s="46">
        <f>SUM(C64:C73)</f>
        <v/>
      </c>
      <c r="D63" s="45" t="n"/>
      <c r="E63" s="46">
        <f>SUM(E64:E73)</f>
        <v/>
      </c>
      <c r="F63" s="46">
        <f>SUM(F64:F73)</f>
        <v/>
      </c>
      <c r="G63" s="47">
        <f>IF(OR(C63="",C63=0),"",E63/C63)</f>
        <v/>
      </c>
      <c r="H63" s="48">
        <f>COUNT(C64:C73)&amp;" projeto(s)"</f>
        <v/>
      </c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</row>
    <row r="64" ht="17" customHeight="1">
      <c r="A64" s="49" t="inlineStr">
        <is>
          <t>Apt terezinha</t>
        </is>
      </c>
      <c r="B64" s="49" t="inlineStr">
        <is>
          <t>Apt completo</t>
        </is>
      </c>
      <c r="C64" s="50" t="n">
        <v>57300</v>
      </c>
      <c r="D64" s="49" t="n"/>
      <c r="E64" s="51">
        <f>IF($C64="","",ROUND(SUM(I64,L64,O64,R64,U64),2))</f>
        <v/>
      </c>
      <c r="F64" s="52">
        <f>IF($C64="","",ROUND($C64-$E64,2))</f>
        <v/>
      </c>
      <c r="G64" s="24">
        <f>IF(OR($C64="",$C64=0),"",$E64/$C64)</f>
        <v/>
      </c>
      <c r="H64" s="53">
        <f>IF($C64="","",IF($E64=0,"A receber",IF(ROUND($F64,2)=0,"Quitado",IF($F64&lt;0,"Recebido a mais","Parcial"))))</f>
        <v/>
      </c>
      <c r="I64" s="54" t="n">
        <v>34380</v>
      </c>
      <c r="J64" s="55" t="n"/>
      <c r="K64" s="56" t="inlineStr">
        <is>
          <t>pix</t>
        </is>
      </c>
      <c r="L64" s="54" t="n">
        <v>22920</v>
      </c>
      <c r="M64" s="55" t="n">
        <v>45134</v>
      </c>
      <c r="N64" s="56" t="inlineStr">
        <is>
          <t>pix</t>
        </is>
      </c>
      <c r="O64" s="54" t="n"/>
      <c r="P64" s="55" t="n"/>
      <c r="Q64" s="56" t="n"/>
      <c r="R64" s="54" t="n"/>
      <c r="S64" s="55" t="n"/>
      <c r="T64" s="56" t="n"/>
      <c r="U64" s="54" t="n"/>
      <c r="V64" s="55" t="n"/>
      <c r="W64" s="56" t="n"/>
      <c r="X64" s="57">
        <f>IF($C64="","",$F64)</f>
        <v/>
      </c>
      <c r="Y64" s="57">
        <f>IF($C64="","",$C64)</f>
        <v/>
      </c>
    </row>
    <row r="65" ht="17" customHeight="1">
      <c r="A65" s="49" t="inlineStr">
        <is>
          <t>Jessica</t>
        </is>
      </c>
      <c r="B65" s="49" t="inlineStr">
        <is>
          <t>barzinho</t>
        </is>
      </c>
      <c r="C65" s="50" t="n">
        <v>5000</v>
      </c>
      <c r="D65" s="49" t="n"/>
      <c r="E65" s="51">
        <f>IF($C65="","",ROUND(SUM(I65,L65,O65,R65,U65),2))</f>
        <v/>
      </c>
      <c r="F65" s="52">
        <f>IF($C65="","",ROUND($C65-$E65,2))</f>
        <v/>
      </c>
      <c r="G65" s="24">
        <f>IF(OR($C65="",$C65=0),"",$E65/$C65)</f>
        <v/>
      </c>
      <c r="H65" s="53">
        <f>IF($C65="","",IF($E65=0,"A receber",IF(ROUND($F65,2)=0,"Quitado",IF($F65&lt;0,"Recebido a mais","Parcial"))))</f>
        <v/>
      </c>
      <c r="I65" s="54" t="n">
        <v>5000</v>
      </c>
      <c r="J65" s="55" t="n"/>
      <c r="K65" s="56" t="inlineStr">
        <is>
          <t>cartao</t>
        </is>
      </c>
      <c r="L65" s="54" t="n"/>
      <c r="M65" s="55" t="n"/>
      <c r="N65" s="56" t="n"/>
      <c r="O65" s="54" t="n"/>
      <c r="P65" s="55" t="n"/>
      <c r="Q65" s="56" t="n"/>
      <c r="R65" s="54" t="n"/>
      <c r="S65" s="55" t="n"/>
      <c r="T65" s="56" t="n"/>
      <c r="U65" s="54" t="n"/>
      <c r="V65" s="55" t="n"/>
      <c r="W65" s="56" t="n"/>
      <c r="X65" s="57">
        <f>IF($C65="","",$F65)</f>
        <v/>
      </c>
      <c r="Y65" s="57">
        <f>IF($C65="","",$C65)</f>
        <v/>
      </c>
    </row>
    <row r="66" ht="17" customHeight="1">
      <c r="A66" s="49" t="inlineStr">
        <is>
          <t>Roberta</t>
        </is>
      </c>
      <c r="B66" s="49" t="inlineStr">
        <is>
          <t>prateleiras</t>
        </is>
      </c>
      <c r="C66" s="50" t="n">
        <v>800</v>
      </c>
      <c r="D66" s="49" t="n"/>
      <c r="E66" s="51">
        <f>IF($C66="","",ROUND(SUM(I66,L66,O66,R66,U66),2))</f>
        <v/>
      </c>
      <c r="F66" s="52">
        <f>IF($C66="","",ROUND($C66-$E66,2))</f>
        <v/>
      </c>
      <c r="G66" s="24">
        <f>IF(OR($C66="",$C66=0),"",$E66/$C66)</f>
        <v/>
      </c>
      <c r="H66" s="53">
        <f>IF($C66="","",IF($E66=0,"A receber",IF(ROUND($F66,2)=0,"Quitado",IF($F66&lt;0,"Recebido a mais","Parcial"))))</f>
        <v/>
      </c>
      <c r="I66" s="54" t="n">
        <v>800</v>
      </c>
      <c r="J66" s="55" t="n"/>
      <c r="K66" s="56" t="n"/>
      <c r="L66" s="54" t="n"/>
      <c r="M66" s="55" t="n"/>
      <c r="N66" s="56" t="n"/>
      <c r="O66" s="54" t="n"/>
      <c r="P66" s="55" t="n"/>
      <c r="Q66" s="56" t="n"/>
      <c r="R66" s="54" t="n"/>
      <c r="S66" s="55" t="n"/>
      <c r="T66" s="56" t="n"/>
      <c r="U66" s="54" t="n"/>
      <c r="V66" s="55" t="n"/>
      <c r="W66" s="56" t="n"/>
      <c r="X66" s="57">
        <f>IF($C66="","",$F66)</f>
        <v/>
      </c>
      <c r="Y66" s="57">
        <f>IF($C66="","",$C66)</f>
        <v/>
      </c>
    </row>
    <row r="67" ht="17" customHeight="1">
      <c r="A67" s="49" t="inlineStr">
        <is>
          <t>Valeska</t>
        </is>
      </c>
      <c r="B67" s="49" t="inlineStr">
        <is>
          <t>roupeiro</t>
        </is>
      </c>
      <c r="C67" s="50" t="n">
        <v>16000</v>
      </c>
      <c r="D67" s="49" t="n"/>
      <c r="E67" s="51">
        <f>IF($C67="","",ROUND(SUM(I67,L67,O67,R67,U67),2))</f>
        <v/>
      </c>
      <c r="F67" s="52">
        <f>IF($C67="","",ROUND($C67-$E67,2))</f>
        <v/>
      </c>
      <c r="G67" s="24">
        <f>IF(OR($C67="",$C67=0),"",$E67/$C67)</f>
        <v/>
      </c>
      <c r="H67" s="53">
        <f>IF($C67="","",IF($E67=0,"A receber",IF(ROUND($F67,2)=0,"Quitado",IF($F67&lt;0,"Recebido a mais","Parcial"))))</f>
        <v/>
      </c>
      <c r="I67" s="54" t="n">
        <v>16000</v>
      </c>
      <c r="J67" s="55" t="n"/>
      <c r="K67" s="56" t="n"/>
      <c r="L67" s="54" t="n"/>
      <c r="M67" s="55" t="n"/>
      <c r="N67" s="56" t="n"/>
      <c r="O67" s="54" t="n"/>
      <c r="P67" s="55" t="n"/>
      <c r="Q67" s="56" t="n"/>
      <c r="R67" s="54" t="n"/>
      <c r="S67" s="55" t="n"/>
      <c r="T67" s="56" t="n"/>
      <c r="U67" s="54" t="n"/>
      <c r="V67" s="55" t="n"/>
      <c r="W67" s="56" t="n"/>
      <c r="X67" s="57">
        <f>IF($C67="","",$F67)</f>
        <v/>
      </c>
      <c r="Y67" s="57">
        <f>IF($C67="","",$C67)</f>
        <v/>
      </c>
    </row>
    <row r="68" ht="17" customHeight="1">
      <c r="A68" s="49" t="inlineStr">
        <is>
          <t>Alberto</t>
        </is>
      </c>
      <c r="B68" s="49" t="inlineStr">
        <is>
          <t>Lavanderia</t>
        </is>
      </c>
      <c r="C68" s="50" t="n">
        <v>7500</v>
      </c>
      <c r="D68" s="49" t="n"/>
      <c r="E68" s="51">
        <f>IF($C68="","",ROUND(SUM(I68,L68,O68,R68,U68),2))</f>
        <v/>
      </c>
      <c r="F68" s="52">
        <f>IF($C68="","",ROUND($C68-$E68,2))</f>
        <v/>
      </c>
      <c r="G68" s="24">
        <f>IF(OR($C68="",$C68=0),"",$E68/$C68)</f>
        <v/>
      </c>
      <c r="H68" s="53">
        <f>IF($C68="","",IF($E68=0,"A receber",IF(ROUND($F68,2)=0,"Quitado",IF($F68&lt;0,"Recebido a mais","Parcial"))))</f>
        <v/>
      </c>
      <c r="I68" s="54" t="n">
        <v>5500</v>
      </c>
      <c r="J68" s="55" t="n"/>
      <c r="K68" s="56" t="n"/>
      <c r="L68" s="54" t="n">
        <v>2000</v>
      </c>
      <c r="M68" s="55" t="n"/>
      <c r="N68" s="56" t="n"/>
      <c r="O68" s="54" t="n"/>
      <c r="P68" s="55" t="n"/>
      <c r="Q68" s="56" t="n"/>
      <c r="R68" s="54" t="n"/>
      <c r="S68" s="55" t="n"/>
      <c r="T68" s="56" t="n"/>
      <c r="U68" s="54" t="n"/>
      <c r="V68" s="55" t="n"/>
      <c r="W68" s="56" t="n"/>
      <c r="X68" s="57">
        <f>IF($C68="","",$F68)</f>
        <v/>
      </c>
      <c r="Y68" s="57">
        <f>IF($C68="","",$C68)</f>
        <v/>
      </c>
    </row>
    <row r="69" ht="17" customHeight="1">
      <c r="A69" s="49" t="inlineStr">
        <is>
          <t>Denise</t>
        </is>
      </c>
      <c r="B69" s="49" t="inlineStr">
        <is>
          <t>Roupeiros e cozinha</t>
        </is>
      </c>
      <c r="C69" s="50" t="n">
        <v>41300</v>
      </c>
      <c r="D69" s="49" t="n"/>
      <c r="E69" s="51">
        <f>IF($C69="","",ROUND(SUM(I69,L69,O69,R69,U69),2))</f>
        <v/>
      </c>
      <c r="F69" s="52">
        <f>IF($C69="","",ROUND($C69-$E69,2))</f>
        <v/>
      </c>
      <c r="G69" s="24">
        <f>IF(OR($C69="",$C69=0),"",$E69/$C69)</f>
        <v/>
      </c>
      <c r="H69" s="53">
        <f>IF($C69="","",IF($E69=0,"A receber",IF(ROUND($F69,2)=0,"Quitado",IF($F69&lt;0,"Recebido a mais","Parcial"))))</f>
        <v/>
      </c>
      <c r="I69" s="54" t="n">
        <v>29000</v>
      </c>
      <c r="J69" s="55" t="n"/>
      <c r="K69" s="56" t="n"/>
      <c r="L69" s="54" t="n">
        <v>12300</v>
      </c>
      <c r="M69" s="55" t="n"/>
      <c r="N69" s="56" t="n"/>
      <c r="O69" s="54" t="n"/>
      <c r="P69" s="55" t="n"/>
      <c r="Q69" s="56" t="n"/>
      <c r="R69" s="54" t="n"/>
      <c r="S69" s="55" t="n"/>
      <c r="T69" s="56" t="n"/>
      <c r="U69" s="54" t="n"/>
      <c r="V69" s="55" t="n"/>
      <c r="W69" s="56" t="n"/>
      <c r="X69" s="57">
        <f>IF($C69="","",$F69)</f>
        <v/>
      </c>
      <c r="Y69" s="57">
        <f>IF($C69="","",$C69)</f>
        <v/>
      </c>
    </row>
    <row r="70" ht="17" customHeight="1">
      <c r="A70" s="49" t="inlineStr">
        <is>
          <t>Indianara</t>
        </is>
      </c>
      <c r="B70" s="49" t="inlineStr">
        <is>
          <t>Estante</t>
        </is>
      </c>
      <c r="C70" s="50" t="n">
        <v>8000</v>
      </c>
      <c r="D70" s="49" t="n"/>
      <c r="E70" s="51">
        <f>IF($C70="","",ROUND(SUM(I70,L70,O70,R70,U70),2))</f>
        <v/>
      </c>
      <c r="F70" s="52">
        <f>IF($C70="","",ROUND($C70-$E70,2))</f>
        <v/>
      </c>
      <c r="G70" s="24">
        <f>IF(OR($C70="",$C70=0),"",$E70/$C70)</f>
        <v/>
      </c>
      <c r="H70" s="53">
        <f>IF($C70="","",IF($E70=0,"A receber",IF(ROUND($F70,2)=0,"Quitado",IF($F70&lt;0,"Recebido a mais","Parcial"))))</f>
        <v/>
      </c>
      <c r="I70" s="54" t="n">
        <v>3000</v>
      </c>
      <c r="J70" s="55" t="n"/>
      <c r="K70" s="56" t="n"/>
      <c r="L70" s="54" t="n">
        <v>2500</v>
      </c>
      <c r="M70" s="55" t="n">
        <v>45133</v>
      </c>
      <c r="N70" s="56" t="inlineStr">
        <is>
          <t>pix</t>
        </is>
      </c>
      <c r="O70" s="54" t="n">
        <v>2500</v>
      </c>
      <c r="P70" s="55" t="n"/>
      <c r="Q70" s="56" t="n"/>
      <c r="R70" s="54" t="n"/>
      <c r="S70" s="55" t="n"/>
      <c r="T70" s="56" t="n"/>
      <c r="U70" s="54" t="n"/>
      <c r="V70" s="55" t="n"/>
      <c r="W70" s="56" t="n"/>
      <c r="X70" s="57">
        <f>IF($C70="","",$F70)</f>
        <v/>
      </c>
      <c r="Y70" s="57">
        <f>IF($C70="","",$C70)</f>
        <v/>
      </c>
    </row>
    <row r="71" ht="17" customHeight="1">
      <c r="A71" s="49" t="inlineStr">
        <is>
          <t>Daniel</t>
        </is>
      </c>
      <c r="B71" s="49" t="inlineStr">
        <is>
          <t>cozinha</t>
        </is>
      </c>
      <c r="C71" s="50" t="n">
        <v>2200</v>
      </c>
      <c r="D71" s="49" t="n"/>
      <c r="E71" s="51">
        <f>IF($C71="","",ROUND(SUM(I71,L71,O71,R71,U71),2))</f>
        <v/>
      </c>
      <c r="F71" s="52">
        <f>IF($C71="","",ROUND($C71-$E71,2))</f>
        <v/>
      </c>
      <c r="G71" s="24">
        <f>IF(OR($C71="",$C71=0),"",$E71/$C71)</f>
        <v/>
      </c>
      <c r="H71" s="53">
        <f>IF($C71="","",IF($E71=0,"A receber",IF(ROUND($F71,2)=0,"Quitado",IF($F71&lt;0,"Recebido a mais","Parcial"))))</f>
        <v/>
      </c>
      <c r="I71" s="54" t="n">
        <v>2200</v>
      </c>
      <c r="J71" s="55" t="n"/>
      <c r="K71" s="56" t="inlineStr">
        <is>
          <t>cartao</t>
        </is>
      </c>
      <c r="L71" s="54" t="n"/>
      <c r="M71" s="55" t="n"/>
      <c r="N71" s="56" t="inlineStr">
        <is>
          <t>meta - 150k</t>
        </is>
      </c>
      <c r="O71" s="54" t="n"/>
      <c r="P71" s="55" t="n"/>
      <c r="Q71" s="56" t="inlineStr">
        <is>
          <t>meta - 150k</t>
        </is>
      </c>
      <c r="R71" s="54" t="n"/>
      <c r="S71" s="55" t="n"/>
      <c r="T71" s="56" t="n"/>
      <c r="U71" s="54" t="n"/>
      <c r="V71" s="55" t="n"/>
      <c r="W71" s="56" t="n"/>
      <c r="X71" s="57">
        <f>IF($C71="","",$F71)</f>
        <v/>
      </c>
      <c r="Y71" s="57">
        <f>IF($C71="","",$C71)</f>
        <v/>
      </c>
    </row>
    <row r="72" ht="17" customHeight="1">
      <c r="A72" s="49" t="n"/>
      <c r="B72" s="49" t="n"/>
      <c r="C72" s="50" t="n"/>
      <c r="D72" s="49" t="n"/>
      <c r="E72" s="51">
        <f>IF($C72="","",ROUND(SUM(I72,L72,O72,R72,U72),2))</f>
        <v/>
      </c>
      <c r="F72" s="52">
        <f>IF($C72="","",ROUND($C72-$E72,2))</f>
        <v/>
      </c>
      <c r="G72" s="24">
        <f>IF(OR($C72="",$C72=0),"",$E72/$C72)</f>
        <v/>
      </c>
      <c r="H72" s="53">
        <f>IF($C72="","",IF($E72=0,"A receber",IF(ROUND($F72,2)=0,"Quitado",IF($F72&lt;0,"Recebido a mais","Parcial"))))</f>
        <v/>
      </c>
      <c r="I72" s="54" t="n"/>
      <c r="J72" s="55" t="n"/>
      <c r="K72" s="56" t="n"/>
      <c r="L72" s="54" t="n"/>
      <c r="M72" s="55" t="n"/>
      <c r="N72" s="56" t="n"/>
      <c r="O72" s="54" t="n"/>
      <c r="P72" s="55" t="n"/>
      <c r="Q72" s="56" t="n"/>
      <c r="R72" s="54" t="n"/>
      <c r="S72" s="55" t="n"/>
      <c r="T72" s="56" t="n"/>
      <c r="U72" s="54" t="n"/>
      <c r="V72" s="55" t="n"/>
      <c r="W72" s="56" t="n"/>
      <c r="X72" s="57">
        <f>IF($C72="","",$F72)</f>
        <v/>
      </c>
      <c r="Y72" s="57">
        <f>IF($C72="","",$C72)</f>
        <v/>
      </c>
    </row>
    <row r="73" ht="17" customHeight="1">
      <c r="A73" s="49" t="n"/>
      <c r="B73" s="49" t="n"/>
      <c r="C73" s="50" t="n"/>
      <c r="D73" s="49" t="n"/>
      <c r="E73" s="51">
        <f>IF($C73="","",ROUND(SUM(I73,L73,O73,R73,U73),2))</f>
        <v/>
      </c>
      <c r="F73" s="52">
        <f>IF($C73="","",ROUND($C73-$E73,2))</f>
        <v/>
      </c>
      <c r="G73" s="24">
        <f>IF(OR($C73="",$C73=0),"",$E73/$C73)</f>
        <v/>
      </c>
      <c r="H73" s="53">
        <f>IF($C73="","",IF($E73=0,"A receber",IF(ROUND($F73,2)=0,"Quitado",IF($F73&lt;0,"Recebido a mais","Parcial"))))</f>
        <v/>
      </c>
      <c r="I73" s="54" t="n"/>
      <c r="J73" s="55" t="n"/>
      <c r="K73" s="56" t="n"/>
      <c r="L73" s="54" t="n"/>
      <c r="M73" s="55" t="n"/>
      <c r="N73" s="56" t="n"/>
      <c r="O73" s="54" t="n"/>
      <c r="P73" s="55" t="n"/>
      <c r="Q73" s="56" t="n"/>
      <c r="R73" s="54" t="n"/>
      <c r="S73" s="55" t="n"/>
      <c r="T73" s="56" t="n"/>
      <c r="U73" s="54" t="n"/>
      <c r="V73" s="55" t="n"/>
      <c r="W73" s="56" t="n"/>
      <c r="X73" s="57">
        <f>IF($C73="","",$F73)</f>
        <v/>
      </c>
      <c r="Y73" s="57">
        <f>IF($C73="","",$C73)</f>
        <v/>
      </c>
    </row>
    <row r="74" ht="6" customHeight="1"/>
    <row r="75" ht="20" customHeight="1">
      <c r="A75" s="33" t="inlineStr">
        <is>
          <t>Julho</t>
        </is>
      </c>
      <c r="B75" s="45" t="n"/>
      <c r="C75" s="46">
        <f>SUM(C76:C79)</f>
        <v/>
      </c>
      <c r="D75" s="45" t="n"/>
      <c r="E75" s="46">
        <f>SUM(E76:E79)</f>
        <v/>
      </c>
      <c r="F75" s="46">
        <f>SUM(F76:F79)</f>
        <v/>
      </c>
      <c r="G75" s="47">
        <f>IF(OR(C75="",C75=0),"",E75/C75)</f>
        <v/>
      </c>
      <c r="H75" s="48">
        <f>COUNT(C76:C79)&amp;" projeto(s)"</f>
        <v/>
      </c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</row>
    <row r="76" ht="17" customHeight="1">
      <c r="A76" s="49" t="inlineStr">
        <is>
          <t>Denise</t>
        </is>
      </c>
      <c r="B76" s="49" t="inlineStr">
        <is>
          <t>Banheiros</t>
        </is>
      </c>
      <c r="C76" s="50" t="n">
        <v>2800</v>
      </c>
      <c r="D76" s="49" t="n"/>
      <c r="E76" s="51">
        <f>IF($C76="","",ROUND(SUM(I76,L76,O76,R76,U76),2))</f>
        <v/>
      </c>
      <c r="F76" s="52">
        <f>IF($C76="","",ROUND($C76-$E76,2))</f>
        <v/>
      </c>
      <c r="G76" s="24">
        <f>IF(OR($C76="",$C76=0),"",$E76/$C76)</f>
        <v/>
      </c>
      <c r="H76" s="53">
        <f>IF($C76="","",IF($E76=0,"A receber",IF(ROUND($F76,2)=0,"Quitado",IF($F76&lt;0,"Recebido a mais","Parcial"))))</f>
        <v/>
      </c>
      <c r="I76" s="54" t="n">
        <v>2800</v>
      </c>
      <c r="J76" s="55" t="n"/>
      <c r="K76" s="56" t="n"/>
      <c r="L76" s="54" t="n"/>
      <c r="M76" s="55" t="n"/>
      <c r="N76" s="56" t="n"/>
      <c r="O76" s="54" t="n"/>
      <c r="P76" s="55" t="n"/>
      <c r="Q76" s="56" t="n"/>
      <c r="R76" s="54" t="n"/>
      <c r="S76" s="55" t="n"/>
      <c r="T76" s="56" t="n"/>
      <c r="U76" s="54" t="n"/>
      <c r="V76" s="55" t="n"/>
      <c r="W76" s="56" t="n"/>
      <c r="X76" s="57">
        <f>IF($C76="","",$F76)</f>
        <v/>
      </c>
      <c r="Y76" s="57">
        <f>IF($C76="","",$C76)</f>
        <v/>
      </c>
    </row>
    <row r="77" ht="17" customHeight="1">
      <c r="A77" s="49" t="inlineStr">
        <is>
          <t>Mayara</t>
        </is>
      </c>
      <c r="B77" s="49" t="inlineStr">
        <is>
          <t>Prateleiras</t>
        </is>
      </c>
      <c r="C77" s="50" t="n">
        <v>800</v>
      </c>
      <c r="D77" s="49" t="n"/>
      <c r="E77" s="51">
        <f>IF($C77="","",ROUND(SUM(I77,L77,O77,R77,U77),2))</f>
        <v/>
      </c>
      <c r="F77" s="52">
        <f>IF($C77="","",ROUND($C77-$E77,2))</f>
        <v/>
      </c>
      <c r="G77" s="24">
        <f>IF(OR($C77="",$C77=0),"",$E77/$C77)</f>
        <v/>
      </c>
      <c r="H77" s="53">
        <f>IF($C77="","",IF($E77=0,"A receber",IF(ROUND($F77,2)=0,"Quitado",IF($F77&lt;0,"Recebido a mais","Parcial"))))</f>
        <v/>
      </c>
      <c r="I77" s="54" t="n">
        <v>800</v>
      </c>
      <c r="J77" s="55" t="n"/>
      <c r="K77" s="56" t="n"/>
      <c r="L77" s="54" t="n"/>
      <c r="M77" s="55" t="n"/>
      <c r="N77" s="56" t="n"/>
      <c r="O77" s="54" t="n"/>
      <c r="P77" s="55" t="n"/>
      <c r="Q77" s="56" t="n"/>
      <c r="R77" s="54" t="n"/>
      <c r="S77" s="55" t="n"/>
      <c r="T77" s="56" t="n"/>
      <c r="U77" s="54" t="n"/>
      <c r="V77" s="55" t="n"/>
      <c r="W77" s="56" t="n"/>
      <c r="X77" s="57">
        <f>IF($C77="","",$F77)</f>
        <v/>
      </c>
      <c r="Y77" s="57">
        <f>IF($C77="","",$C77)</f>
        <v/>
      </c>
    </row>
    <row r="78" ht="17" customHeight="1">
      <c r="A78" s="49" t="n"/>
      <c r="B78" s="49" t="n"/>
      <c r="C78" s="50" t="n"/>
      <c r="D78" s="49" t="n"/>
      <c r="E78" s="51">
        <f>IF($C78="","",ROUND(SUM(I78,L78,O78,R78,U78),2))</f>
        <v/>
      </c>
      <c r="F78" s="52">
        <f>IF($C78="","",ROUND($C78-$E78,2))</f>
        <v/>
      </c>
      <c r="G78" s="24">
        <f>IF(OR($C78="",$C78=0),"",$E78/$C78)</f>
        <v/>
      </c>
      <c r="H78" s="53">
        <f>IF($C78="","",IF($E78=0,"A receber",IF(ROUND($F78,2)=0,"Quitado",IF($F78&lt;0,"Recebido a mais","Parcial"))))</f>
        <v/>
      </c>
      <c r="I78" s="54" t="n"/>
      <c r="J78" s="55" t="n"/>
      <c r="K78" s="56" t="n"/>
      <c r="L78" s="54" t="n"/>
      <c r="M78" s="55" t="n"/>
      <c r="N78" s="56" t="n"/>
      <c r="O78" s="54" t="n"/>
      <c r="P78" s="55" t="n"/>
      <c r="Q78" s="56" t="n"/>
      <c r="R78" s="54" t="n"/>
      <c r="S78" s="55" t="n"/>
      <c r="T78" s="56" t="n"/>
      <c r="U78" s="54" t="n"/>
      <c r="V78" s="55" t="n"/>
      <c r="W78" s="56" t="n"/>
      <c r="X78" s="57">
        <f>IF($C78="","",$F78)</f>
        <v/>
      </c>
      <c r="Y78" s="57">
        <f>IF($C78="","",$C78)</f>
        <v/>
      </c>
    </row>
    <row r="79" ht="17" customHeight="1">
      <c r="A79" s="49" t="n"/>
      <c r="B79" s="49" t="n"/>
      <c r="C79" s="50" t="n"/>
      <c r="D79" s="49" t="n"/>
      <c r="E79" s="51">
        <f>IF($C79="","",ROUND(SUM(I79,L79,O79,R79,U79),2))</f>
        <v/>
      </c>
      <c r="F79" s="52">
        <f>IF($C79="","",ROUND($C79-$E79,2))</f>
        <v/>
      </c>
      <c r="G79" s="24">
        <f>IF(OR($C79="",$C79=0),"",$E79/$C79)</f>
        <v/>
      </c>
      <c r="H79" s="53">
        <f>IF($C79="","",IF($E79=0,"A receber",IF(ROUND($F79,2)=0,"Quitado",IF($F79&lt;0,"Recebido a mais","Parcial"))))</f>
        <v/>
      </c>
      <c r="I79" s="54" t="n"/>
      <c r="J79" s="55" t="n"/>
      <c r="K79" s="56" t="n"/>
      <c r="L79" s="54" t="n"/>
      <c r="M79" s="55" t="n"/>
      <c r="N79" s="56" t="n"/>
      <c r="O79" s="54" t="n"/>
      <c r="P79" s="55" t="n"/>
      <c r="Q79" s="56" t="n"/>
      <c r="R79" s="54" t="n"/>
      <c r="S79" s="55" t="n"/>
      <c r="T79" s="56" t="n"/>
      <c r="U79" s="54" t="n"/>
      <c r="V79" s="55" t="n"/>
      <c r="W79" s="56" t="n"/>
      <c r="X79" s="57">
        <f>IF($C79="","",$F79)</f>
        <v/>
      </c>
      <c r="Y79" s="57">
        <f>IF($C79="","",$C79)</f>
        <v/>
      </c>
    </row>
    <row r="80" ht="6" customHeight="1"/>
    <row r="81" ht="20" customHeight="1">
      <c r="A81" s="33" t="inlineStr">
        <is>
          <t>Agosto</t>
        </is>
      </c>
      <c r="B81" s="45" t="n"/>
      <c r="C81" s="46">
        <f>SUM(C82:C88)</f>
        <v/>
      </c>
      <c r="D81" s="45" t="n"/>
      <c r="E81" s="46">
        <f>SUM(E82:E88)</f>
        <v/>
      </c>
      <c r="F81" s="46">
        <f>SUM(F82:F88)</f>
        <v/>
      </c>
      <c r="G81" s="47">
        <f>IF(OR(C81="",C81=0),"",E81/C81)</f>
        <v/>
      </c>
      <c r="H81" s="48">
        <f>COUNT(C82:C88)&amp;" projeto(s)"</f>
        <v/>
      </c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</row>
    <row r="82" ht="17" customHeight="1">
      <c r="A82" s="49" t="inlineStr">
        <is>
          <t>Vagner</t>
        </is>
      </c>
      <c r="B82" s="49" t="inlineStr">
        <is>
          <t>quarto filho</t>
        </is>
      </c>
      <c r="C82" s="50" t="n">
        <v>12000</v>
      </c>
      <c r="D82" s="49" t="inlineStr">
        <is>
          <t>entrada + parcelas</t>
        </is>
      </c>
      <c r="E82" s="51">
        <f>IF($C82="","",ROUND(SUM(I82,L82,O82,R82,U82),2))</f>
        <v/>
      </c>
      <c r="F82" s="52">
        <f>IF($C82="","",ROUND($C82-$E82,2))</f>
        <v/>
      </c>
      <c r="G82" s="24">
        <f>IF(OR($C82="",$C82=0),"",$E82/$C82)</f>
        <v/>
      </c>
      <c r="H82" s="53">
        <f>IF($C82="","",IF($E82=0,"A receber",IF(ROUND($F82,2)=0,"Quitado",IF($F82&lt;0,"Recebido a mais","Parcial"))))</f>
        <v/>
      </c>
      <c r="I82" s="54" t="n">
        <v>6000</v>
      </c>
      <c r="J82" s="55" t="n">
        <v>45152</v>
      </c>
      <c r="K82" s="56" t="inlineStr">
        <is>
          <t>pix</t>
        </is>
      </c>
      <c r="L82" s="54" t="n">
        <v>6000</v>
      </c>
      <c r="M82" s="55" t="n"/>
      <c r="N82" s="56" t="n"/>
      <c r="O82" s="54" t="n"/>
      <c r="P82" s="55" t="n"/>
      <c r="Q82" s="56" t="n"/>
      <c r="R82" s="54" t="n"/>
      <c r="S82" s="55" t="n"/>
      <c r="T82" s="56" t="n"/>
      <c r="U82" s="54" t="n"/>
      <c r="V82" s="55" t="n"/>
      <c r="W82" s="56" t="n"/>
      <c r="X82" s="57">
        <f>IF($C82="","",$F82)</f>
        <v/>
      </c>
      <c r="Y82" s="57">
        <f>IF($C82="","",$C82)</f>
        <v/>
      </c>
    </row>
    <row r="83" ht="17" customHeight="1">
      <c r="A83" s="49" t="inlineStr">
        <is>
          <t>Carlito (mae)</t>
        </is>
      </c>
      <c r="B83" s="49" t="inlineStr">
        <is>
          <t>Quarto solteiro</t>
        </is>
      </c>
      <c r="C83" s="50" t="n">
        <v>12650</v>
      </c>
      <c r="D83" s="49" t="inlineStr">
        <is>
          <t>entrada + parcelas</t>
        </is>
      </c>
      <c r="E83" s="51">
        <f>IF($C83="","",ROUND(SUM(I83,L83,O83,R83,U83),2))</f>
        <v/>
      </c>
      <c r="F83" s="52">
        <f>IF($C83="","",ROUND($C83-$E83,2))</f>
        <v/>
      </c>
      <c r="G83" s="24">
        <f>IF(OR($C83="",$C83=0),"",$E83/$C83)</f>
        <v/>
      </c>
      <c r="H83" s="53">
        <f>IF($C83="","",IF($E83=0,"A receber",IF(ROUND($F83,2)=0,"Quitado",IF($F83&lt;0,"Recebido a mais","Parcial"))))</f>
        <v/>
      </c>
      <c r="I83" s="54" t="n">
        <v>3000</v>
      </c>
      <c r="J83" s="55" t="n">
        <v>45153</v>
      </c>
      <c r="K83" s="56" t="inlineStr">
        <is>
          <t>pix</t>
        </is>
      </c>
      <c r="L83" s="54" t="n">
        <v>5650</v>
      </c>
      <c r="M83" s="55" t="n"/>
      <c r="N83" s="56" t="n"/>
      <c r="O83" s="54" t="n">
        <v>4000</v>
      </c>
      <c r="P83" s="55" t="n"/>
      <c r="Q83" s="56" t="n"/>
      <c r="R83" s="54" t="n"/>
      <c r="S83" s="55" t="n"/>
      <c r="T83" s="56" t="n"/>
      <c r="U83" s="54" t="n"/>
      <c r="V83" s="55" t="n"/>
      <c r="W83" s="56" t="n"/>
      <c r="X83" s="57">
        <f>IF($C83="","",$F83)</f>
        <v/>
      </c>
      <c r="Y83" s="57">
        <f>IF($C83="","",$C83)</f>
        <v/>
      </c>
    </row>
    <row r="84" ht="17" customHeight="1">
      <c r="A84" s="49" t="inlineStr">
        <is>
          <t>Raissa</t>
        </is>
      </c>
      <c r="B84" s="49" t="inlineStr">
        <is>
          <t>Consultório</t>
        </is>
      </c>
      <c r="C84" s="50" t="n">
        <v>10000</v>
      </c>
      <c r="D84" s="49" t="inlineStr">
        <is>
          <t>cartão</t>
        </is>
      </c>
      <c r="E84" s="51">
        <f>IF($C84="","",ROUND(SUM(I84,L84,O84,R84,U84),2))</f>
        <v/>
      </c>
      <c r="F84" s="52">
        <f>IF($C84="","",ROUND($C84-$E84,2))</f>
        <v/>
      </c>
      <c r="G84" s="24">
        <f>IF(OR($C84="",$C84=0),"",$E84/$C84)</f>
        <v/>
      </c>
      <c r="H84" s="53">
        <f>IF($C84="","",IF($E84=0,"A receber",IF(ROUND($F84,2)=0,"Quitado",IF($F84&lt;0,"Recebido a mais","Parcial"))))</f>
        <v/>
      </c>
      <c r="I84" s="54" t="n">
        <v>10000</v>
      </c>
      <c r="J84" s="55" t="n"/>
      <c r="K84" s="56" t="inlineStr">
        <is>
          <t>cartao</t>
        </is>
      </c>
      <c r="L84" s="54" t="n"/>
      <c r="M84" s="55" t="n"/>
      <c r="N84" s="56" t="n"/>
      <c r="O84" s="54" t="n"/>
      <c r="P84" s="55" t="n"/>
      <c r="Q84" s="56" t="n"/>
      <c r="R84" s="54" t="n"/>
      <c r="S84" s="55" t="n"/>
      <c r="T84" s="56" t="n"/>
      <c r="U84" s="54" t="n"/>
      <c r="V84" s="55" t="n"/>
      <c r="W84" s="56" t="n"/>
      <c r="X84" s="57">
        <f>IF($C84="","",$F84)</f>
        <v/>
      </c>
      <c r="Y84" s="57">
        <f>IF($C84="","",$C84)</f>
        <v/>
      </c>
    </row>
    <row r="85" ht="17" customHeight="1">
      <c r="A85" s="49" t="inlineStr">
        <is>
          <t>Ricardo - Trocks</t>
        </is>
      </c>
      <c r="B85" s="49" t="inlineStr">
        <is>
          <t>Auto escola</t>
        </is>
      </c>
      <c r="C85" s="50" t="n">
        <v>8000</v>
      </c>
      <c r="D85" s="49" t="inlineStr">
        <is>
          <t>entrada + Kz</t>
        </is>
      </c>
      <c r="E85" s="51">
        <f>IF($C85="","",ROUND(SUM(I85,L85,O85,R85,U85),2))</f>
        <v/>
      </c>
      <c r="F85" s="52">
        <f>IF($C85="","",ROUND($C85-$E85,2))</f>
        <v/>
      </c>
      <c r="G85" s="24">
        <f>IF(OR($C85="",$C85=0),"",$E85/$C85)</f>
        <v/>
      </c>
      <c r="H85" s="53">
        <f>IF($C85="","",IF($E85=0,"A receber",IF(ROUND($F85,2)=0,"Quitado",IF($F85&lt;0,"Recebido a mais","Parcial"))))</f>
        <v/>
      </c>
      <c r="I85" s="54" t="n">
        <v>4000</v>
      </c>
      <c r="J85" s="55" t="n"/>
      <c r="K85" s="56" t="inlineStr">
        <is>
          <t>cartão</t>
        </is>
      </c>
      <c r="L85" s="54" t="n">
        <v>4000</v>
      </c>
      <c r="M85" s="55" t="n"/>
      <c r="N85" s="56" t="n"/>
      <c r="O85" s="54" t="n"/>
      <c r="P85" s="55" t="n"/>
      <c r="Q85" s="56" t="n"/>
      <c r="R85" s="54" t="n"/>
      <c r="S85" s="55" t="n"/>
      <c r="T85" s="56" t="n"/>
      <c r="U85" s="54" t="n"/>
      <c r="V85" s="55" t="n"/>
      <c r="W85" s="56" t="n"/>
      <c r="X85" s="57">
        <f>IF($C85="","",$F85)</f>
        <v/>
      </c>
      <c r="Y85" s="57">
        <f>IF($C85="","",$C85)</f>
        <v/>
      </c>
    </row>
    <row r="86" ht="17" customHeight="1">
      <c r="A86" s="49" t="inlineStr">
        <is>
          <t>Pedro Clemilson</t>
        </is>
      </c>
      <c r="B86" s="49" t="inlineStr">
        <is>
          <t>Roupeiro</t>
        </is>
      </c>
      <c r="C86" s="50" t="n">
        <v>5300</v>
      </c>
      <c r="D86" s="49" t="inlineStr">
        <is>
          <t>Entrada + final</t>
        </is>
      </c>
      <c r="E86" s="51">
        <f>IF($C86="","",ROUND(SUM(I86,L86,O86,R86,U86),2))</f>
        <v/>
      </c>
      <c r="F86" s="52">
        <f>IF($C86="","",ROUND($C86-$E86,2))</f>
        <v/>
      </c>
      <c r="G86" s="24">
        <f>IF(OR($C86="",$C86=0),"",$E86/$C86)</f>
        <v/>
      </c>
      <c r="H86" s="53">
        <f>IF($C86="","",IF($E86=0,"A receber",IF(ROUND($F86,2)=0,"Quitado",IF($F86&lt;0,"Recebido a mais","Parcial"))))</f>
        <v/>
      </c>
      <c r="I86" s="54" t="n">
        <v>2500</v>
      </c>
      <c r="J86" s="55" t="n"/>
      <c r="K86" s="56" t="inlineStr">
        <is>
          <t>pix</t>
        </is>
      </c>
      <c r="L86" s="54" t="n">
        <v>2800</v>
      </c>
      <c r="M86" s="55" t="n"/>
      <c r="N86" s="56" t="n"/>
      <c r="O86" s="54" t="n"/>
      <c r="P86" s="55" t="n"/>
      <c r="Q86" s="56" t="n"/>
      <c r="R86" s="54" t="n"/>
      <c r="S86" s="55" t="n"/>
      <c r="T86" s="56" t="n"/>
      <c r="U86" s="54" t="n"/>
      <c r="V86" s="55" t="n"/>
      <c r="W86" s="56" t="n"/>
      <c r="X86" s="57">
        <f>IF($C86="","",$F86)</f>
        <v/>
      </c>
      <c r="Y86" s="57">
        <f>IF($C86="","",$C86)</f>
        <v/>
      </c>
    </row>
    <row r="87" ht="17" customHeight="1">
      <c r="A87" s="49" t="n"/>
      <c r="B87" s="49" t="n"/>
      <c r="C87" s="50" t="n"/>
      <c r="D87" s="49" t="n"/>
      <c r="E87" s="51">
        <f>IF($C87="","",ROUND(SUM(I87,L87,O87,R87,U87),2))</f>
        <v/>
      </c>
      <c r="F87" s="52">
        <f>IF($C87="","",ROUND($C87-$E87,2))</f>
        <v/>
      </c>
      <c r="G87" s="24">
        <f>IF(OR($C87="",$C87=0),"",$E87/$C87)</f>
        <v/>
      </c>
      <c r="H87" s="53">
        <f>IF($C87="","",IF($E87=0,"A receber",IF(ROUND($F87,2)=0,"Quitado",IF($F87&lt;0,"Recebido a mais","Parcial"))))</f>
        <v/>
      </c>
      <c r="I87" s="54" t="n"/>
      <c r="J87" s="55" t="n"/>
      <c r="K87" s="56" t="n"/>
      <c r="L87" s="54" t="n"/>
      <c r="M87" s="55" t="n"/>
      <c r="N87" s="56" t="n"/>
      <c r="O87" s="54" t="n"/>
      <c r="P87" s="55" t="n"/>
      <c r="Q87" s="56" t="n"/>
      <c r="R87" s="54" t="n"/>
      <c r="S87" s="55" t="n"/>
      <c r="T87" s="56" t="n"/>
      <c r="U87" s="54" t="n"/>
      <c r="V87" s="55" t="n"/>
      <c r="W87" s="56" t="n"/>
      <c r="X87" s="57">
        <f>IF($C87="","",$F87)</f>
        <v/>
      </c>
      <c r="Y87" s="57">
        <f>IF($C87="","",$C87)</f>
        <v/>
      </c>
    </row>
    <row r="88" ht="17" customHeight="1">
      <c r="A88" s="49" t="n"/>
      <c r="B88" s="49" t="n"/>
      <c r="C88" s="50" t="n"/>
      <c r="D88" s="49" t="n"/>
      <c r="E88" s="51">
        <f>IF($C88="","",ROUND(SUM(I88,L88,O88,R88,U88),2))</f>
        <v/>
      </c>
      <c r="F88" s="52">
        <f>IF($C88="","",ROUND($C88-$E88,2))</f>
        <v/>
      </c>
      <c r="G88" s="24">
        <f>IF(OR($C88="",$C88=0),"",$E88/$C88)</f>
        <v/>
      </c>
      <c r="H88" s="53">
        <f>IF($C88="","",IF($E88=0,"A receber",IF(ROUND($F88,2)=0,"Quitado",IF($F88&lt;0,"Recebido a mais","Parcial"))))</f>
        <v/>
      </c>
      <c r="I88" s="54" t="n"/>
      <c r="J88" s="55" t="n"/>
      <c r="K88" s="56" t="n"/>
      <c r="L88" s="54" t="n"/>
      <c r="M88" s="55" t="n"/>
      <c r="N88" s="56" t="n"/>
      <c r="O88" s="54" t="n"/>
      <c r="P88" s="55" t="n"/>
      <c r="Q88" s="56" t="n"/>
      <c r="R88" s="54" t="n"/>
      <c r="S88" s="55" t="n"/>
      <c r="T88" s="56" t="n"/>
      <c r="U88" s="54" t="n"/>
      <c r="V88" s="55" t="n"/>
      <c r="W88" s="56" t="n"/>
      <c r="X88" s="57">
        <f>IF($C88="","",$F88)</f>
        <v/>
      </c>
      <c r="Y88" s="57">
        <f>IF($C88="","",$C88)</f>
        <v/>
      </c>
    </row>
    <row r="89" ht="6" customHeight="1"/>
    <row r="90" ht="20" customHeight="1">
      <c r="A90" s="33" t="inlineStr">
        <is>
          <t>Setembro</t>
        </is>
      </c>
      <c r="B90" s="45" t="n"/>
      <c r="C90" s="46">
        <f>SUM(C91:C98)</f>
        <v/>
      </c>
      <c r="D90" s="45" t="n"/>
      <c r="E90" s="46">
        <f>SUM(E91:E98)</f>
        <v/>
      </c>
      <c r="F90" s="46">
        <f>SUM(F91:F98)</f>
        <v/>
      </c>
      <c r="G90" s="47">
        <f>IF(OR(C90="",C90=0),"",E90/C90)</f>
        <v/>
      </c>
      <c r="H90" s="48">
        <f>COUNT(C91:C98)&amp;" projeto(s)"</f>
        <v/>
      </c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</row>
    <row r="91" ht="17" customHeight="1">
      <c r="A91" s="49" t="inlineStr">
        <is>
          <t>Marina Borges</t>
        </is>
      </c>
      <c r="B91" s="49" t="inlineStr">
        <is>
          <t>Homeoffice</t>
        </is>
      </c>
      <c r="C91" s="50" t="n">
        <v>3550</v>
      </c>
      <c r="D91" s="49" t="inlineStr">
        <is>
          <t>entrada+25%+25%</t>
        </is>
      </c>
      <c r="E91" s="51">
        <f>IF($C91="","",ROUND(SUM(I91,L91,O91,R91,U91),2))</f>
        <v/>
      </c>
      <c r="F91" s="52">
        <f>IF($C91="","",ROUND($C91-$E91,2))</f>
        <v/>
      </c>
      <c r="G91" s="24">
        <f>IF(OR($C91="",$C91=0),"",$E91/$C91)</f>
        <v/>
      </c>
      <c r="H91" s="53">
        <f>IF($C91="","",IF($E91=0,"A receber",IF(ROUND($F91,2)=0,"Quitado",IF($F91&lt;0,"Recebido a mais","Parcial"))))</f>
        <v/>
      </c>
      <c r="I91" s="54" t="n">
        <v>1755</v>
      </c>
      <c r="J91" s="55" t="n">
        <v>45174</v>
      </c>
      <c r="K91" s="56" t="inlineStr">
        <is>
          <t>pix</t>
        </is>
      </c>
      <c r="L91" s="54" t="n">
        <v>1795</v>
      </c>
      <c r="M91" s="55" t="n"/>
      <c r="N91" s="56" t="n"/>
      <c r="O91" s="54" t="n"/>
      <c r="P91" s="55" t="n"/>
      <c r="Q91" s="56" t="n"/>
      <c r="R91" s="54" t="n"/>
      <c r="S91" s="55" t="n"/>
      <c r="T91" s="56" t="n"/>
      <c r="U91" s="54" t="n"/>
      <c r="V91" s="55" t="n"/>
      <c r="W91" s="56" t="n"/>
      <c r="X91" s="57">
        <f>IF($C91="","",$F91)</f>
        <v/>
      </c>
      <c r="Y91" s="57">
        <f>IF($C91="","",$C91)</f>
        <v/>
      </c>
    </row>
    <row r="92" ht="17" customHeight="1">
      <c r="A92" s="49" t="inlineStr">
        <is>
          <t>Gustavo</t>
        </is>
      </c>
      <c r="B92" s="49" t="inlineStr">
        <is>
          <t>Lojas</t>
        </is>
      </c>
      <c r="C92" s="50" t="n">
        <v>4500</v>
      </c>
      <c r="D92" s="49" t="inlineStr">
        <is>
          <t>em ate 10 vezes sem juros</t>
        </is>
      </c>
      <c r="E92" s="51">
        <f>IF($C92="","",ROUND(SUM(I92,L92,O92,R92,U92),2))</f>
        <v/>
      </c>
      <c r="F92" s="52">
        <f>IF($C92="","",ROUND($C92-$E92,2))</f>
        <v/>
      </c>
      <c r="G92" s="24">
        <f>IF(OR($C92="",$C92=0),"",$E92/$C92)</f>
        <v/>
      </c>
      <c r="H92" s="53">
        <f>IF($C92="","",IF($E92=0,"A receber",IF(ROUND($F92,2)=0,"Quitado",IF($F92&lt;0,"Recebido a mais","Parcial"))))</f>
        <v/>
      </c>
      <c r="I92" s="54" t="n">
        <v>2225</v>
      </c>
      <c r="J92" s="55" t="n">
        <v>45176</v>
      </c>
      <c r="K92" s="56" t="inlineStr">
        <is>
          <t>pix</t>
        </is>
      </c>
      <c r="L92" s="54" t="n">
        <v>2275</v>
      </c>
      <c r="M92" s="55" t="n"/>
      <c r="N92" s="56" t="n"/>
      <c r="O92" s="54" t="n"/>
      <c r="P92" s="55" t="n"/>
      <c r="Q92" s="56" t="n"/>
      <c r="R92" s="54" t="n"/>
      <c r="S92" s="55" t="n"/>
      <c r="T92" s="56" t="n"/>
      <c r="U92" s="54" t="n"/>
      <c r="V92" s="55" t="n"/>
      <c r="W92" s="56" t="n"/>
      <c r="X92" s="57">
        <f>IF($C92="","",$F92)</f>
        <v/>
      </c>
      <c r="Y92" s="57">
        <f>IF($C92="","",$C92)</f>
        <v/>
      </c>
    </row>
    <row r="93" ht="17" customHeight="1">
      <c r="A93" s="49" t="inlineStr">
        <is>
          <t>Fabiana</t>
        </is>
      </c>
      <c r="B93" s="49" t="inlineStr">
        <is>
          <t>Sala</t>
        </is>
      </c>
      <c r="C93" s="50" t="n">
        <v>11340</v>
      </c>
      <c r="D93" s="49" t="inlineStr">
        <is>
          <t>6 vezes</t>
        </is>
      </c>
      <c r="E93" s="51">
        <f>IF($C93="","",ROUND(SUM(I93,L93,O93,R93,U93),2))</f>
        <v/>
      </c>
      <c r="F93" s="52">
        <f>IF($C93="","",ROUND($C93-$E93,2))</f>
        <v/>
      </c>
      <c r="G93" s="24">
        <f>IF(OR($C93="",$C93=0),"",$E93/$C93)</f>
        <v/>
      </c>
      <c r="H93" s="53">
        <f>IF($C93="","",IF($E93=0,"A receber",IF(ROUND($F93,2)=0,"Quitado",IF($F93&lt;0,"Recebido a mais","Parcial"))))</f>
        <v/>
      </c>
      <c r="I93" s="54" t="n">
        <v>11340</v>
      </c>
      <c r="J93" s="55" t="n"/>
      <c r="K93" s="56" t="inlineStr">
        <is>
          <t>cartao</t>
        </is>
      </c>
      <c r="L93" s="54" t="n"/>
      <c r="M93" s="55" t="n"/>
      <c r="N93" s="56" t="n"/>
      <c r="O93" s="54" t="n"/>
      <c r="P93" s="55" t="n"/>
      <c r="Q93" s="56" t="n"/>
      <c r="R93" s="54" t="n"/>
      <c r="S93" s="55" t="n"/>
      <c r="T93" s="56" t="n"/>
      <c r="U93" s="54" t="n"/>
      <c r="V93" s="55" t="n"/>
      <c r="W93" s="56" t="n"/>
      <c r="X93" s="57">
        <f>IF($C93="","",$F93)</f>
        <v/>
      </c>
      <c r="Y93" s="57">
        <f>IF($C93="","",$C93)</f>
        <v/>
      </c>
    </row>
    <row r="94" ht="17" customHeight="1">
      <c r="A94" s="49" t="inlineStr">
        <is>
          <t>Alef</t>
        </is>
      </c>
      <c r="B94" s="49" t="inlineStr">
        <is>
          <t>Lojas</t>
        </is>
      </c>
      <c r="C94" s="50" t="n">
        <v>13000</v>
      </c>
      <c r="D94" s="49" t="inlineStr">
        <is>
          <t>entrada + cartao</t>
        </is>
      </c>
      <c r="E94" s="51">
        <f>IF($C94="","",ROUND(SUM(I94,L94,O94,R94,U94),2))</f>
        <v/>
      </c>
      <c r="F94" s="52">
        <f>IF($C94="","",ROUND($C94-$E94,2))</f>
        <v/>
      </c>
      <c r="G94" s="24">
        <f>IF(OR($C94="",$C94=0),"",$E94/$C94)</f>
        <v/>
      </c>
      <c r="H94" s="53">
        <f>IF($C94="","",IF($E94=0,"A receber",IF(ROUND($F94,2)=0,"Quitado",IF($F94&lt;0,"Recebido a mais","Parcial"))))</f>
        <v/>
      </c>
      <c r="I94" s="54" t="n">
        <v>8000</v>
      </c>
      <c r="J94" s="55" t="n"/>
      <c r="K94" s="56" t="inlineStr">
        <is>
          <t>pix</t>
        </is>
      </c>
      <c r="L94" s="54" t="n">
        <v>5000</v>
      </c>
      <c r="M94" s="55" t="n"/>
      <c r="N94" s="56" t="n"/>
      <c r="O94" s="54" t="n"/>
      <c r="P94" s="55" t="n"/>
      <c r="Q94" s="56" t="n"/>
      <c r="R94" s="54" t="n"/>
      <c r="S94" s="55" t="n"/>
      <c r="T94" s="56" t="n"/>
      <c r="U94" s="54" t="n"/>
      <c r="V94" s="55" t="n"/>
      <c r="W94" s="56" t="n"/>
      <c r="X94" s="57">
        <f>IF($C94="","",$F94)</f>
        <v/>
      </c>
      <c r="Y94" s="57">
        <f>IF($C94="","",$C94)</f>
        <v/>
      </c>
    </row>
    <row r="95" ht="17" customHeight="1">
      <c r="A95" s="49" t="inlineStr">
        <is>
          <t>Eloah</t>
        </is>
      </c>
      <c r="B95" s="49" t="inlineStr">
        <is>
          <t>Balcao e prateleira</t>
        </is>
      </c>
      <c r="C95" s="50" t="n">
        <v>2800</v>
      </c>
      <c r="D95" s="49" t="inlineStr">
        <is>
          <t>cartao 10v</t>
        </is>
      </c>
      <c r="E95" s="51">
        <f>IF($C95="","",ROUND(SUM(I95,L95,O95,R95,U95),2))</f>
        <v/>
      </c>
      <c r="F95" s="52">
        <f>IF($C95="","",ROUND($C95-$E95,2))</f>
        <v/>
      </c>
      <c r="G95" s="24">
        <f>IF(OR($C95="",$C95=0),"",$E95/$C95)</f>
        <v/>
      </c>
      <c r="H95" s="53">
        <f>IF($C95="","",IF($E95=0,"A receber",IF(ROUND($F95,2)=0,"Quitado",IF($F95&lt;0,"Recebido a mais","Parcial"))))</f>
        <v/>
      </c>
      <c r="I95" s="54" t="n">
        <v>2800</v>
      </c>
      <c r="J95" s="55" t="n">
        <v>45191</v>
      </c>
      <c r="K95" s="56" t="inlineStr">
        <is>
          <t>cartao</t>
        </is>
      </c>
      <c r="L95" s="54" t="n"/>
      <c r="M95" s="55" t="n"/>
      <c r="N95" s="56" t="n"/>
      <c r="O95" s="54" t="n"/>
      <c r="P95" s="55" t="n"/>
      <c r="Q95" s="56" t="n"/>
      <c r="R95" s="54" t="n"/>
      <c r="S95" s="55" t="n"/>
      <c r="T95" s="56" t="n"/>
      <c r="U95" s="54" t="n"/>
      <c r="V95" s="55" t="n"/>
      <c r="W95" s="56" t="n"/>
      <c r="X95" s="57">
        <f>IF($C95="","",$F95)</f>
        <v/>
      </c>
      <c r="Y95" s="57">
        <f>IF($C95="","",$C95)</f>
        <v/>
      </c>
    </row>
    <row r="96" ht="17" customHeight="1">
      <c r="A96" s="49" t="inlineStr">
        <is>
          <t>patricia</t>
        </is>
      </c>
      <c r="B96" s="49" t="inlineStr">
        <is>
          <t>sala e cozinha</t>
        </is>
      </c>
      <c r="C96" s="50" t="n">
        <v>28000</v>
      </c>
      <c r="D96" s="49" t="inlineStr">
        <is>
          <t>entrada + cartao</t>
        </is>
      </c>
      <c r="E96" s="51">
        <f>IF($C96="","",ROUND(SUM(I96,L96,O96,R96,U96),2))</f>
        <v/>
      </c>
      <c r="F96" s="52">
        <f>IF($C96="","",ROUND($C96-$E96,2))</f>
        <v/>
      </c>
      <c r="G96" s="24">
        <f>IF(OR($C96="",$C96=0),"",$E96/$C96)</f>
        <v/>
      </c>
      <c r="H96" s="53">
        <f>IF($C96="","",IF($E96=0,"A receber",IF(ROUND($F96,2)=0,"Quitado",IF($F96&lt;0,"Recebido a mais","Parcial"))))</f>
        <v/>
      </c>
      <c r="I96" s="54" t="n">
        <v>16200</v>
      </c>
      <c r="J96" s="55" t="n"/>
      <c r="K96" s="56" t="n"/>
      <c r="L96" s="54" t="n">
        <v>11800</v>
      </c>
      <c r="M96" s="55" t="n"/>
      <c r="N96" s="56" t="n"/>
      <c r="O96" s="54" t="n"/>
      <c r="P96" s="55" t="n"/>
      <c r="Q96" s="56" t="n"/>
      <c r="R96" s="54" t="n"/>
      <c r="S96" s="55" t="n"/>
      <c r="T96" s="56" t="n"/>
      <c r="U96" s="54" t="n"/>
      <c r="V96" s="55" t="n"/>
      <c r="W96" s="56" t="n"/>
      <c r="X96" s="57">
        <f>IF($C96="","",$F96)</f>
        <v/>
      </c>
      <c r="Y96" s="57">
        <f>IF($C96="","",$C96)</f>
        <v/>
      </c>
    </row>
    <row r="97" ht="17" customHeight="1">
      <c r="A97" s="49" t="n"/>
      <c r="B97" s="49" t="n"/>
      <c r="C97" s="50" t="n"/>
      <c r="D97" s="49" t="n"/>
      <c r="E97" s="51">
        <f>IF($C97="","",ROUND(SUM(I97,L97,O97,R97,U97),2))</f>
        <v/>
      </c>
      <c r="F97" s="52">
        <f>IF($C97="","",ROUND($C97-$E97,2))</f>
        <v/>
      </c>
      <c r="G97" s="24">
        <f>IF(OR($C97="",$C97=0),"",$E97/$C97)</f>
        <v/>
      </c>
      <c r="H97" s="53">
        <f>IF($C97="","",IF($E97=0,"A receber",IF(ROUND($F97,2)=0,"Quitado",IF($F97&lt;0,"Recebido a mais","Parcial"))))</f>
        <v/>
      </c>
      <c r="I97" s="54" t="n"/>
      <c r="J97" s="55" t="n"/>
      <c r="K97" s="56" t="n"/>
      <c r="L97" s="54" t="n"/>
      <c r="M97" s="55" t="n"/>
      <c r="N97" s="56" t="n"/>
      <c r="O97" s="54" t="n"/>
      <c r="P97" s="55" t="n"/>
      <c r="Q97" s="56" t="n"/>
      <c r="R97" s="54" t="n"/>
      <c r="S97" s="55" t="n"/>
      <c r="T97" s="56" t="n"/>
      <c r="U97" s="54" t="n"/>
      <c r="V97" s="55" t="n"/>
      <c r="W97" s="56" t="n"/>
      <c r="X97" s="57">
        <f>IF($C97="","",$F97)</f>
        <v/>
      </c>
      <c r="Y97" s="57">
        <f>IF($C97="","",$C97)</f>
        <v/>
      </c>
    </row>
    <row r="98" ht="17" customHeight="1">
      <c r="A98" s="49" t="n"/>
      <c r="B98" s="49" t="n"/>
      <c r="C98" s="50" t="n"/>
      <c r="D98" s="49" t="n"/>
      <c r="E98" s="51">
        <f>IF($C98="","",ROUND(SUM(I98,L98,O98,R98,U98),2))</f>
        <v/>
      </c>
      <c r="F98" s="52">
        <f>IF($C98="","",ROUND($C98-$E98,2))</f>
        <v/>
      </c>
      <c r="G98" s="24">
        <f>IF(OR($C98="",$C98=0),"",$E98/$C98)</f>
        <v/>
      </c>
      <c r="H98" s="53">
        <f>IF($C98="","",IF($E98=0,"A receber",IF(ROUND($F98,2)=0,"Quitado",IF($F98&lt;0,"Recebido a mais","Parcial"))))</f>
        <v/>
      </c>
      <c r="I98" s="54" t="n"/>
      <c r="J98" s="55" t="n"/>
      <c r="K98" s="56" t="n"/>
      <c r="L98" s="54" t="n"/>
      <c r="M98" s="55" t="n"/>
      <c r="N98" s="56" t="n"/>
      <c r="O98" s="54" t="n"/>
      <c r="P98" s="55" t="n"/>
      <c r="Q98" s="56" t="n"/>
      <c r="R98" s="54" t="n"/>
      <c r="S98" s="55" t="n"/>
      <c r="T98" s="56" t="n"/>
      <c r="U98" s="54" t="n"/>
      <c r="V98" s="55" t="n"/>
      <c r="W98" s="56" t="n"/>
      <c r="X98" s="57">
        <f>IF($C98="","",$F98)</f>
        <v/>
      </c>
      <c r="Y98" s="57">
        <f>IF($C98="","",$C98)</f>
        <v/>
      </c>
    </row>
    <row r="99" ht="6" customHeight="1"/>
    <row r="100" ht="20" customHeight="1">
      <c r="A100" s="33" t="inlineStr">
        <is>
          <t>Outubro</t>
        </is>
      </c>
      <c r="B100" s="45" t="n"/>
      <c r="C100" s="46">
        <f>SUM(C101:C110)</f>
        <v/>
      </c>
      <c r="D100" s="45" t="n"/>
      <c r="E100" s="46">
        <f>SUM(E101:E110)</f>
        <v/>
      </c>
      <c r="F100" s="46">
        <f>SUM(F101:F110)</f>
        <v/>
      </c>
      <c r="G100" s="47">
        <f>IF(OR(C100="",C100=0),"",E100/C100)</f>
        <v/>
      </c>
      <c r="H100" s="48">
        <f>COUNT(C101:C110)&amp;" projeto(s)"</f>
        <v/>
      </c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</row>
    <row r="101" ht="17" customHeight="1">
      <c r="A101" s="49" t="inlineStr">
        <is>
          <t>Paulo</t>
        </is>
      </c>
      <c r="B101" s="49" t="inlineStr">
        <is>
          <t>Apt</t>
        </is>
      </c>
      <c r="C101" s="50" t="n">
        <v>30000</v>
      </c>
      <c r="D101" s="49" t="inlineStr">
        <is>
          <t>entrada + cartao</t>
        </is>
      </c>
      <c r="E101" s="51">
        <f>IF($C101="","",ROUND(SUM(I101,L101,O101,R101,U101),2))</f>
        <v/>
      </c>
      <c r="F101" s="52">
        <f>IF($C101="","",ROUND($C101-$E101,2))</f>
        <v/>
      </c>
      <c r="G101" s="24">
        <f>IF(OR($C101="",$C101=0),"",$E101/$C101)</f>
        <v/>
      </c>
      <c r="H101" s="53">
        <f>IF($C101="","",IF($E101=0,"A receber",IF(ROUND($F101,2)=0,"Quitado",IF($F101&lt;0,"Recebido a mais","Parcial"))))</f>
        <v/>
      </c>
      <c r="I101" s="54" t="n">
        <v>11000</v>
      </c>
      <c r="J101" s="55" t="n">
        <v>45202</v>
      </c>
      <c r="K101" s="56" t="inlineStr">
        <is>
          <t>cartao</t>
        </is>
      </c>
      <c r="L101" s="54" t="n">
        <v>9000</v>
      </c>
      <c r="M101" s="55" t="n"/>
      <c r="N101" s="56" t="n"/>
      <c r="O101" s="54" t="n">
        <v>5000</v>
      </c>
      <c r="P101" s="55" t="n"/>
      <c r="Q101" s="56" t="n"/>
      <c r="R101" s="54" t="n">
        <v>3000</v>
      </c>
      <c r="S101" s="55" t="n">
        <v>45511</v>
      </c>
      <c r="T101" s="56" t="inlineStr">
        <is>
          <t>cartao</t>
        </is>
      </c>
      <c r="U101" s="54" t="n">
        <v>2000</v>
      </c>
      <c r="V101" s="55" t="n"/>
      <c r="W101" s="56" t="inlineStr">
        <is>
          <t>cartao</t>
        </is>
      </c>
      <c r="X101" s="57">
        <f>IF($C101="","",$F101)</f>
        <v/>
      </c>
      <c r="Y101" s="57">
        <f>IF($C101="","",$C101)</f>
        <v/>
      </c>
    </row>
    <row r="102" ht="17" customHeight="1">
      <c r="A102" s="49" t="inlineStr">
        <is>
          <t>Nilda</t>
        </is>
      </c>
      <c r="B102" s="49" t="inlineStr">
        <is>
          <t>quarto casal, aparador, despensa</t>
        </is>
      </c>
      <c r="C102" s="50" t="n">
        <v>13200</v>
      </c>
      <c r="D102" s="49" t="inlineStr">
        <is>
          <t>cartao</t>
        </is>
      </c>
      <c r="E102" s="51">
        <f>IF($C102="","",ROUND(SUM(I102,L102,O102,R102,U102),2))</f>
        <v/>
      </c>
      <c r="F102" s="52">
        <f>IF($C102="","",ROUND($C102-$E102,2))</f>
        <v/>
      </c>
      <c r="G102" s="24">
        <f>IF(OR($C102="",$C102=0),"",$E102/$C102)</f>
        <v/>
      </c>
      <c r="H102" s="53">
        <f>IF($C102="","",IF($E102=0,"A receber",IF(ROUND($F102,2)=0,"Quitado",IF($F102&lt;0,"Recebido a mais","Parcial"))))</f>
        <v/>
      </c>
      <c r="I102" s="54" t="n">
        <v>13200</v>
      </c>
      <c r="J102" s="55" t="n"/>
      <c r="K102" s="56" t="inlineStr">
        <is>
          <t>cartao</t>
        </is>
      </c>
      <c r="L102" s="54" t="n"/>
      <c r="M102" s="55" t="n"/>
      <c r="N102" s="56" t="n"/>
      <c r="O102" s="54" t="n"/>
      <c r="P102" s="55" t="n"/>
      <c r="Q102" s="56" t="n"/>
      <c r="R102" s="54" t="n"/>
      <c r="S102" s="55" t="n"/>
      <c r="T102" s="56" t="n"/>
      <c r="U102" s="54" t="n"/>
      <c r="V102" s="55" t="n"/>
      <c r="W102" s="56" t="n"/>
      <c r="X102" s="57">
        <f>IF($C102="","",$F102)</f>
        <v/>
      </c>
      <c r="Y102" s="57">
        <f>IF($C102="","",$C102)</f>
        <v/>
      </c>
    </row>
    <row r="103" ht="17" customHeight="1">
      <c r="A103" s="49" t="inlineStr">
        <is>
          <t>Alexandrina</t>
        </is>
      </c>
      <c r="B103" s="49" t="inlineStr">
        <is>
          <t>cozinha</t>
        </is>
      </c>
      <c r="C103" s="50" t="n">
        <v>26750</v>
      </c>
      <c r="D103" s="49" t="inlineStr">
        <is>
          <t>transferencia</t>
        </is>
      </c>
      <c r="E103" s="51">
        <f>IF($C103="","",ROUND(SUM(I103,L103,O103,R103,U103),2))</f>
        <v/>
      </c>
      <c r="F103" s="52">
        <f>IF($C103="","",ROUND($C103-$E103,2))</f>
        <v/>
      </c>
      <c r="G103" s="24">
        <f>IF(OR($C103="",$C103=0),"",$E103/$C103)</f>
        <v/>
      </c>
      <c r="H103" s="53">
        <f>IF($C103="","",IF($E103=0,"A receber",IF(ROUND($F103,2)=0,"Quitado",IF($F103&lt;0,"Recebido a mais","Parcial"))))</f>
        <v/>
      </c>
      <c r="I103" s="54" t="n">
        <v>12800</v>
      </c>
      <c r="J103" s="55" t="n"/>
      <c r="K103" s="56" t="inlineStr">
        <is>
          <t>pix</t>
        </is>
      </c>
      <c r="L103" s="54" t="n">
        <v>3000</v>
      </c>
      <c r="M103" s="55" t="n"/>
      <c r="N103" s="56" t="n"/>
      <c r="O103" s="54" t="n">
        <v>10950</v>
      </c>
      <c r="P103" s="55" t="n"/>
      <c r="Q103" s="56" t="n"/>
      <c r="R103" s="54" t="n"/>
      <c r="S103" s="55" t="n"/>
      <c r="T103" s="56" t="n"/>
      <c r="U103" s="54" t="n"/>
      <c r="V103" s="55" t="n"/>
      <c r="W103" s="56" t="n"/>
      <c r="X103" s="57">
        <f>IF($C103="","",$F103)</f>
        <v/>
      </c>
      <c r="Y103" s="57">
        <f>IF($C103="","",$C103)</f>
        <v/>
      </c>
    </row>
    <row r="104" ht="17" customHeight="1">
      <c r="A104" s="49" t="inlineStr">
        <is>
          <t>Cecilia</t>
        </is>
      </c>
      <c r="B104" s="49" t="inlineStr">
        <is>
          <t>apt completo</t>
        </is>
      </c>
      <c r="C104" s="50" t="n">
        <v>83800</v>
      </c>
      <c r="D104" s="49" t="inlineStr">
        <is>
          <t>transferencia</t>
        </is>
      </c>
      <c r="E104" s="51">
        <f>IF($C104="","",ROUND(SUM(I104,L104,O104,R104,U104),2))</f>
        <v/>
      </c>
      <c r="F104" s="52">
        <f>IF($C104="","",ROUND($C104-$E104,2))</f>
        <v/>
      </c>
      <c r="G104" s="24">
        <f>IF(OR($C104="",$C104=0),"",$E104/$C104)</f>
        <v/>
      </c>
      <c r="H104" s="53">
        <f>IF($C104="","",IF($E104=0,"A receber",IF(ROUND($F104,2)=0,"Quitado",IF($F104&lt;0,"Recebido a mais","Parcial"))))</f>
        <v/>
      </c>
      <c r="I104" s="54" t="n">
        <v>33520</v>
      </c>
      <c r="J104" s="55" t="n"/>
      <c r="K104" s="56" t="inlineStr">
        <is>
          <t>pix</t>
        </is>
      </c>
      <c r="L104" s="54" t="n">
        <v>25140</v>
      </c>
      <c r="M104" s="55" t="n"/>
      <c r="N104" s="56" t="n"/>
      <c r="O104" s="54" t="n">
        <v>5000</v>
      </c>
      <c r="P104" s="55" t="n"/>
      <c r="Q104" s="56" t="n"/>
      <c r="R104" s="54" t="n">
        <v>20140</v>
      </c>
      <c r="S104" s="55" t="n"/>
      <c r="T104" s="56" t="n"/>
      <c r="U104" s="54" t="n"/>
      <c r="V104" s="55" t="n"/>
      <c r="W104" s="56" t="n"/>
      <c r="X104" s="57">
        <f>IF($C104="","",$F104)</f>
        <v/>
      </c>
      <c r="Y104" s="57">
        <f>IF($C104="","",$C104)</f>
        <v/>
      </c>
    </row>
    <row r="105" ht="17" customHeight="1">
      <c r="A105" s="49" t="inlineStr">
        <is>
          <t>Fernanda trocks</t>
        </is>
      </c>
      <c r="B105" s="49" t="inlineStr">
        <is>
          <t>auto escola</t>
        </is>
      </c>
      <c r="C105" s="50" t="n">
        <v>8300</v>
      </c>
      <c r="D105" s="49" t="inlineStr">
        <is>
          <t>permuta</t>
        </is>
      </c>
      <c r="E105" s="51">
        <f>IF($C105="","",ROUND(SUM(I105,L105,O105,R105,U105),2))</f>
        <v/>
      </c>
      <c r="F105" s="52">
        <f>IF($C105="","",ROUND($C105-$E105,2))</f>
        <v/>
      </c>
      <c r="G105" s="24">
        <f>IF(OR($C105="",$C105=0),"",$E105/$C105)</f>
        <v/>
      </c>
      <c r="H105" s="53">
        <f>IF($C105="","",IF($E105=0,"A receber",IF(ROUND($F105,2)=0,"Quitado",IF($F105&lt;0,"Recebido a mais","Parcial"))))</f>
        <v/>
      </c>
      <c r="I105" s="54" t="n">
        <v>8300</v>
      </c>
      <c r="J105" s="55" t="n"/>
      <c r="K105" s="56" t="inlineStr">
        <is>
          <t>kz</t>
        </is>
      </c>
      <c r="L105" s="54" t="n"/>
      <c r="M105" s="55" t="n"/>
      <c r="N105" s="56" t="n"/>
      <c r="O105" s="54" t="n"/>
      <c r="P105" s="55" t="n"/>
      <c r="Q105" s="56" t="n"/>
      <c r="R105" s="54" t="n"/>
      <c r="S105" s="55" t="n"/>
      <c r="T105" s="56" t="n"/>
      <c r="U105" s="54" t="n"/>
      <c r="V105" s="55" t="n"/>
      <c r="W105" s="56" t="n"/>
      <c r="X105" s="57">
        <f>IF($C105="","",$F105)</f>
        <v/>
      </c>
      <c r="Y105" s="57">
        <f>IF($C105="","",$C105)</f>
        <v/>
      </c>
    </row>
    <row r="106" ht="17" customHeight="1">
      <c r="A106" s="49" t="inlineStr">
        <is>
          <t>Mario</t>
        </is>
      </c>
      <c r="B106" s="49" t="inlineStr">
        <is>
          <t>quarto casal</t>
        </is>
      </c>
      <c r="C106" s="50" t="n">
        <v>10974</v>
      </c>
      <c r="D106" s="49" t="inlineStr">
        <is>
          <t>dinheiro e permuta</t>
        </is>
      </c>
      <c r="E106" s="51">
        <f>IF($C106="","",ROUND(SUM(I106,L106,O106,R106,U106),2))</f>
        <v/>
      </c>
      <c r="F106" s="52">
        <f>IF($C106="","",ROUND($C106-$E106,2))</f>
        <v/>
      </c>
      <c r="G106" s="24">
        <f>IF(OR($C106="",$C106=0),"",$E106/$C106)</f>
        <v/>
      </c>
      <c r="H106" s="53">
        <f>IF($C106="","",IF($E106=0,"A receber",IF(ROUND($F106,2)=0,"Quitado",IF($F106&lt;0,"Recebido a mais","Parcial"))))</f>
        <v/>
      </c>
      <c r="I106" s="54" t="n">
        <v>3637</v>
      </c>
      <c r="J106" s="55" t="n"/>
      <c r="K106" s="56" t="inlineStr">
        <is>
          <t>pix</t>
        </is>
      </c>
      <c r="L106" s="54" t="n">
        <v>3750</v>
      </c>
      <c r="M106" s="55" t="n"/>
      <c r="N106" s="56" t="n"/>
      <c r="O106" s="54" t="n">
        <v>3587</v>
      </c>
      <c r="P106" s="55" t="n"/>
      <c r="Q106" s="56" t="n"/>
      <c r="R106" s="54" t="n"/>
      <c r="S106" s="55" t="n"/>
      <c r="T106" s="56" t="n"/>
      <c r="U106" s="54" t="n"/>
      <c r="V106" s="55" t="n"/>
      <c r="W106" s="56" t="n"/>
      <c r="X106" s="57">
        <f>IF($C106="","",$F106)</f>
        <v/>
      </c>
      <c r="Y106" s="57">
        <f>IF($C106="","",$C106)</f>
        <v/>
      </c>
    </row>
    <row r="107" ht="17" customHeight="1">
      <c r="A107" s="49" t="inlineStr">
        <is>
          <t>Eduardo DBC</t>
        </is>
      </c>
      <c r="B107" s="49" t="inlineStr">
        <is>
          <t>armario pia</t>
        </is>
      </c>
      <c r="C107" s="50" t="n">
        <v>900</v>
      </c>
      <c r="D107" s="49" t="inlineStr">
        <is>
          <t>permuta</t>
        </is>
      </c>
      <c r="E107" s="51">
        <f>IF($C107="","",ROUND(SUM(I107,L107,O107,R107,U107),2))</f>
        <v/>
      </c>
      <c r="F107" s="52">
        <f>IF($C107="","",ROUND($C107-$E107,2))</f>
        <v/>
      </c>
      <c r="G107" s="24">
        <f>IF(OR($C107="",$C107=0),"",$E107/$C107)</f>
        <v/>
      </c>
      <c r="H107" s="53">
        <f>IF($C107="","",IF($E107=0,"A receber",IF(ROUND($F107,2)=0,"Quitado",IF($F107&lt;0,"Recebido a mais","Parcial"))))</f>
        <v/>
      </c>
      <c r="I107" s="54" t="n">
        <v>900</v>
      </c>
      <c r="J107" s="55" t="n"/>
      <c r="K107" s="56" t="n"/>
      <c r="L107" s="54" t="n"/>
      <c r="M107" s="55" t="n"/>
      <c r="N107" s="56" t="n"/>
      <c r="O107" s="54" t="n"/>
      <c r="P107" s="55" t="n"/>
      <c r="Q107" s="56" t="n"/>
      <c r="R107" s="54" t="n"/>
      <c r="S107" s="55" t="n"/>
      <c r="T107" s="56" t="n"/>
      <c r="U107" s="54" t="n"/>
      <c r="V107" s="55" t="n"/>
      <c r="W107" s="56" t="n"/>
      <c r="X107" s="57">
        <f>IF($C107="","",$F107)</f>
        <v/>
      </c>
      <c r="Y107" s="57">
        <f>IF($C107="","",$C107)</f>
        <v/>
      </c>
    </row>
    <row r="108" ht="17" customHeight="1">
      <c r="A108" s="49" t="inlineStr">
        <is>
          <t>Pedro</t>
        </is>
      </c>
      <c r="B108" s="49" t="inlineStr">
        <is>
          <t>Cozinha</t>
        </is>
      </c>
      <c r="C108" s="50" t="n">
        <v>7000</v>
      </c>
      <c r="D108" s="49" t="inlineStr">
        <is>
          <t>dinheiro</t>
        </is>
      </c>
      <c r="E108" s="51">
        <f>IF($C108="","",ROUND(SUM(I108,L108,O108,R108,U108),2))</f>
        <v/>
      </c>
      <c r="F108" s="52">
        <f>IF($C108="","",ROUND($C108-$E108,2))</f>
        <v/>
      </c>
      <c r="G108" s="24">
        <f>IF(OR($C108="",$C108=0),"",$E108/$C108)</f>
        <v/>
      </c>
      <c r="H108" s="53">
        <f>IF($C108="","",IF($E108=0,"A receber",IF(ROUND($F108,2)=0,"Quitado",IF($F108&lt;0,"Recebido a mais","Parcial"))))</f>
        <v/>
      </c>
      <c r="I108" s="54" t="n">
        <v>4000</v>
      </c>
      <c r="J108" s="55" t="n"/>
      <c r="K108" s="56" t="inlineStr">
        <is>
          <t>pix</t>
        </is>
      </c>
      <c r="L108" s="54" t="n">
        <v>3000</v>
      </c>
      <c r="M108" s="55" t="n"/>
      <c r="N108" s="56" t="n"/>
      <c r="O108" s="54" t="n"/>
      <c r="P108" s="55" t="n"/>
      <c r="Q108" s="56" t="n"/>
      <c r="R108" s="54" t="n"/>
      <c r="S108" s="55" t="n"/>
      <c r="T108" s="56" t="n"/>
      <c r="U108" s="54" t="n"/>
      <c r="V108" s="55" t="n"/>
      <c r="W108" s="56" t="n"/>
      <c r="X108" s="57">
        <f>IF($C108="","",$F108)</f>
        <v/>
      </c>
      <c r="Y108" s="57">
        <f>IF($C108="","",$C108)</f>
        <v/>
      </c>
    </row>
    <row r="109" ht="17" customHeight="1">
      <c r="A109" s="49" t="n"/>
      <c r="B109" s="49" t="n"/>
      <c r="C109" s="50" t="n"/>
      <c r="D109" s="49" t="n"/>
      <c r="E109" s="51">
        <f>IF($C109="","",ROUND(SUM(I109,L109,O109,R109,U109),2))</f>
        <v/>
      </c>
      <c r="F109" s="52">
        <f>IF($C109="","",ROUND($C109-$E109,2))</f>
        <v/>
      </c>
      <c r="G109" s="24">
        <f>IF(OR($C109="",$C109=0),"",$E109/$C109)</f>
        <v/>
      </c>
      <c r="H109" s="53">
        <f>IF($C109="","",IF($E109=0,"A receber",IF(ROUND($F109,2)=0,"Quitado",IF($F109&lt;0,"Recebido a mais","Parcial"))))</f>
        <v/>
      </c>
      <c r="I109" s="54" t="n"/>
      <c r="J109" s="55" t="n"/>
      <c r="K109" s="56" t="n"/>
      <c r="L109" s="54" t="n"/>
      <c r="M109" s="55" t="n"/>
      <c r="N109" s="56" t="n"/>
      <c r="O109" s="54" t="n"/>
      <c r="P109" s="55" t="n"/>
      <c r="Q109" s="56" t="n"/>
      <c r="R109" s="54" t="n"/>
      <c r="S109" s="55" t="n"/>
      <c r="T109" s="56" t="n"/>
      <c r="U109" s="54" t="n"/>
      <c r="V109" s="55" t="n"/>
      <c r="W109" s="56" t="n"/>
      <c r="X109" s="57">
        <f>IF($C109="","",$F109)</f>
        <v/>
      </c>
      <c r="Y109" s="57">
        <f>IF($C109="","",$C109)</f>
        <v/>
      </c>
    </row>
    <row r="110" ht="17" customHeight="1">
      <c r="A110" s="49" t="n"/>
      <c r="B110" s="49" t="n"/>
      <c r="C110" s="50" t="n"/>
      <c r="D110" s="49" t="n"/>
      <c r="E110" s="51">
        <f>IF($C110="","",ROUND(SUM(I110,L110,O110,R110,U110),2))</f>
        <v/>
      </c>
      <c r="F110" s="52">
        <f>IF($C110="","",ROUND($C110-$E110,2))</f>
        <v/>
      </c>
      <c r="G110" s="24">
        <f>IF(OR($C110="",$C110=0),"",$E110/$C110)</f>
        <v/>
      </c>
      <c r="H110" s="53">
        <f>IF($C110="","",IF($E110=0,"A receber",IF(ROUND($F110,2)=0,"Quitado",IF($F110&lt;0,"Recebido a mais","Parcial"))))</f>
        <v/>
      </c>
      <c r="I110" s="54" t="n"/>
      <c r="J110" s="55" t="n"/>
      <c r="K110" s="56" t="n"/>
      <c r="L110" s="54" t="n"/>
      <c r="M110" s="55" t="n"/>
      <c r="N110" s="56" t="n"/>
      <c r="O110" s="54" t="n"/>
      <c r="P110" s="55" t="n"/>
      <c r="Q110" s="56" t="n"/>
      <c r="R110" s="54" t="n"/>
      <c r="S110" s="55" t="n"/>
      <c r="T110" s="56" t="n"/>
      <c r="U110" s="54" t="n"/>
      <c r="V110" s="55" t="n"/>
      <c r="W110" s="56" t="n"/>
      <c r="X110" s="57">
        <f>IF($C110="","",$F110)</f>
        <v/>
      </c>
      <c r="Y110" s="57">
        <f>IF($C110="","",$C110)</f>
        <v/>
      </c>
    </row>
    <row r="111" ht="6" customHeight="1"/>
    <row r="112" ht="20" customHeight="1">
      <c r="A112" s="33" t="inlineStr">
        <is>
          <t>Novembro</t>
        </is>
      </c>
      <c r="B112" s="45" t="n"/>
      <c r="C112" s="46">
        <f>SUM(C113:C117)</f>
        <v/>
      </c>
      <c r="D112" s="45" t="n"/>
      <c r="E112" s="46">
        <f>SUM(E113:E117)</f>
        <v/>
      </c>
      <c r="F112" s="46">
        <f>SUM(F113:F117)</f>
        <v/>
      </c>
      <c r="G112" s="47">
        <f>IF(OR(C112="",C112=0),"",E112/C112)</f>
        <v/>
      </c>
      <c r="H112" s="48">
        <f>COUNT(C113:C117)&amp;" projeto(s)"</f>
        <v/>
      </c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</row>
    <row r="113" ht="17" customHeight="1">
      <c r="A113" s="49" t="inlineStr">
        <is>
          <t>Igor</t>
        </is>
      </c>
      <c r="B113" s="49" t="inlineStr">
        <is>
          <t>Closet</t>
        </is>
      </c>
      <c r="C113" s="50" t="n">
        <v>11500</v>
      </c>
      <c r="D113" s="49" t="inlineStr">
        <is>
          <t>a vista</t>
        </is>
      </c>
      <c r="E113" s="51">
        <f>IF($C113="","",ROUND(SUM(I113,L113,O113,R113,U113),2))</f>
        <v/>
      </c>
      <c r="F113" s="52">
        <f>IF($C113="","",ROUND($C113-$E113,2))</f>
        <v/>
      </c>
      <c r="G113" s="24">
        <f>IF(OR($C113="",$C113=0),"",$E113/$C113)</f>
        <v/>
      </c>
      <c r="H113" s="53">
        <f>IF($C113="","",IF($E113=0,"A receber",IF(ROUND($F113,2)=0,"Quitado",IF($F113&lt;0,"Recebido a mais","Parcial"))))</f>
        <v/>
      </c>
      <c r="I113" s="54" t="n">
        <v>5750</v>
      </c>
      <c r="J113" s="55" t="n"/>
      <c r="K113" s="56" t="inlineStr">
        <is>
          <t>pix</t>
        </is>
      </c>
      <c r="L113" s="54" t="n">
        <v>5750</v>
      </c>
      <c r="M113" s="55" t="n"/>
      <c r="N113" s="56" t="n"/>
      <c r="O113" s="54" t="n"/>
      <c r="P113" s="55" t="n"/>
      <c r="Q113" s="56" t="n"/>
      <c r="R113" s="54" t="n"/>
      <c r="S113" s="55" t="n"/>
      <c r="T113" s="56" t="n"/>
      <c r="U113" s="54" t="n"/>
      <c r="V113" s="55" t="n"/>
      <c r="W113" s="56" t="n"/>
      <c r="X113" s="57">
        <f>IF($C113="","",$F113)</f>
        <v/>
      </c>
      <c r="Y113" s="57">
        <f>IF($C113="","",$C113)</f>
        <v/>
      </c>
    </row>
    <row r="114" ht="17" customHeight="1">
      <c r="A114" s="49" t="inlineStr">
        <is>
          <t>Boulevard</t>
        </is>
      </c>
      <c r="B114" s="49" t="inlineStr">
        <is>
          <t>mesas</t>
        </is>
      </c>
      <c r="C114" s="50" t="n">
        <v>8500</v>
      </c>
      <c r="D114" s="49" t="inlineStr">
        <is>
          <t>parcelado</t>
        </is>
      </c>
      <c r="E114" s="51">
        <f>IF($C114="","",ROUND(SUM(I114,L114,O114,R114,U114),2))</f>
        <v/>
      </c>
      <c r="F114" s="52">
        <f>IF($C114="","",ROUND($C114-$E114,2))</f>
        <v/>
      </c>
      <c r="G114" s="24">
        <f>IF(OR($C114="",$C114=0),"",$E114/$C114)</f>
        <v/>
      </c>
      <c r="H114" s="53">
        <f>IF($C114="","",IF($E114=0,"A receber",IF(ROUND($F114,2)=0,"Quitado",IF($F114&lt;0,"Recebido a mais","Parcial"))))</f>
        <v/>
      </c>
      <c r="I114" s="54" t="n">
        <v>3000</v>
      </c>
      <c r="J114" s="55" t="n"/>
      <c r="K114" s="56" t="n"/>
      <c r="L114" s="54" t="n">
        <v>5500</v>
      </c>
      <c r="M114" s="55" t="n"/>
      <c r="N114" s="56" t="n"/>
      <c r="O114" s="54" t="n"/>
      <c r="P114" s="55" t="n"/>
      <c r="Q114" s="56" t="n"/>
      <c r="R114" s="54" t="n"/>
      <c r="S114" s="55" t="n"/>
      <c r="T114" s="56" t="n"/>
      <c r="U114" s="54" t="n"/>
      <c r="V114" s="55" t="n"/>
      <c r="W114" s="56" t="n"/>
      <c r="X114" s="57">
        <f>IF($C114="","",$F114)</f>
        <v/>
      </c>
      <c r="Y114" s="57">
        <f>IF($C114="","",$C114)</f>
        <v/>
      </c>
    </row>
    <row r="115" ht="17" customHeight="1">
      <c r="A115" s="49" t="inlineStr">
        <is>
          <t>Seal</t>
        </is>
      </c>
      <c r="B115" s="49" t="inlineStr">
        <is>
          <t>painel video wal</t>
        </is>
      </c>
      <c r="C115" s="50" t="n">
        <v>11500</v>
      </c>
      <c r="D115" s="49" t="inlineStr">
        <is>
          <t>a vista</t>
        </is>
      </c>
      <c r="E115" s="51">
        <f>IF($C115="","",ROUND(SUM(I115,L115,O115,R115,U115),2))</f>
        <v/>
      </c>
      <c r="F115" s="52">
        <f>IF($C115="","",ROUND($C115-$E115,2))</f>
        <v/>
      </c>
      <c r="G115" s="24">
        <f>IF(OR($C115="",$C115=0),"",$E115/$C115)</f>
        <v/>
      </c>
      <c r="H115" s="53">
        <f>IF($C115="","",IF($E115=0,"A receber",IF(ROUND($F115,2)=0,"Quitado",IF($F115&lt;0,"Recebido a mais","Parcial"))))</f>
        <v/>
      </c>
      <c r="I115" s="54" t="n">
        <v>11500</v>
      </c>
      <c r="J115" s="55" t="n"/>
      <c r="K115" s="56" t="n"/>
      <c r="L115" s="54" t="n"/>
      <c r="M115" s="55" t="n"/>
      <c r="N115" s="56" t="n"/>
      <c r="O115" s="54" t="n"/>
      <c r="P115" s="55" t="n"/>
      <c r="Q115" s="56" t="n"/>
      <c r="R115" s="54" t="n"/>
      <c r="S115" s="55" t="n"/>
      <c r="T115" s="56" t="n"/>
      <c r="U115" s="54" t="n"/>
      <c r="V115" s="55" t="n"/>
      <c r="W115" s="56" t="n"/>
      <c r="X115" s="57">
        <f>IF($C115="","",$F115)</f>
        <v/>
      </c>
      <c r="Y115" s="57">
        <f>IF($C115="","",$C115)</f>
        <v/>
      </c>
    </row>
    <row r="116" ht="17" customHeight="1">
      <c r="A116" s="49" t="n"/>
      <c r="B116" s="49" t="n"/>
      <c r="C116" s="50" t="n"/>
      <c r="D116" s="49" t="n"/>
      <c r="E116" s="51">
        <f>IF($C116="","",ROUND(SUM(I116,L116,O116,R116,U116),2))</f>
        <v/>
      </c>
      <c r="F116" s="52">
        <f>IF($C116="","",ROUND($C116-$E116,2))</f>
        <v/>
      </c>
      <c r="G116" s="24">
        <f>IF(OR($C116="",$C116=0),"",$E116/$C116)</f>
        <v/>
      </c>
      <c r="H116" s="53">
        <f>IF($C116="","",IF($E116=0,"A receber",IF(ROUND($F116,2)=0,"Quitado",IF($F116&lt;0,"Recebido a mais","Parcial"))))</f>
        <v/>
      </c>
      <c r="I116" s="54" t="n"/>
      <c r="J116" s="55" t="n"/>
      <c r="K116" s="56" t="n"/>
      <c r="L116" s="54" t="n"/>
      <c r="M116" s="55" t="n"/>
      <c r="N116" s="56" t="n"/>
      <c r="O116" s="54" t="n"/>
      <c r="P116" s="55" t="n"/>
      <c r="Q116" s="56" t="n"/>
      <c r="R116" s="54" t="n"/>
      <c r="S116" s="55" t="n"/>
      <c r="T116" s="56" t="n"/>
      <c r="U116" s="54" t="n"/>
      <c r="V116" s="55" t="n"/>
      <c r="W116" s="56" t="n"/>
      <c r="X116" s="57">
        <f>IF($C116="","",$F116)</f>
        <v/>
      </c>
      <c r="Y116" s="57">
        <f>IF($C116="","",$C116)</f>
        <v/>
      </c>
    </row>
    <row r="117" ht="17" customHeight="1">
      <c r="A117" s="49" t="n"/>
      <c r="B117" s="49" t="n"/>
      <c r="C117" s="50" t="n"/>
      <c r="D117" s="49" t="n"/>
      <c r="E117" s="51">
        <f>IF($C117="","",ROUND(SUM(I117,L117,O117,R117,U117),2))</f>
        <v/>
      </c>
      <c r="F117" s="52">
        <f>IF($C117="","",ROUND($C117-$E117,2))</f>
        <v/>
      </c>
      <c r="G117" s="24">
        <f>IF(OR($C117="",$C117=0),"",$E117/$C117)</f>
        <v/>
      </c>
      <c r="H117" s="53">
        <f>IF($C117="","",IF($E117=0,"A receber",IF(ROUND($F117,2)=0,"Quitado",IF($F117&lt;0,"Recebido a mais","Parcial"))))</f>
        <v/>
      </c>
      <c r="I117" s="54" t="n"/>
      <c r="J117" s="55" t="n"/>
      <c r="K117" s="56" t="n"/>
      <c r="L117" s="54" t="n"/>
      <c r="M117" s="55" t="n"/>
      <c r="N117" s="56" t="n"/>
      <c r="O117" s="54" t="n"/>
      <c r="P117" s="55" t="n"/>
      <c r="Q117" s="56" t="n"/>
      <c r="R117" s="54" t="n"/>
      <c r="S117" s="55" t="n"/>
      <c r="T117" s="56" t="n"/>
      <c r="U117" s="54" t="n"/>
      <c r="V117" s="55" t="n"/>
      <c r="W117" s="56" t="n"/>
      <c r="X117" s="57">
        <f>IF($C117="","",$F117)</f>
        <v/>
      </c>
      <c r="Y117" s="57">
        <f>IF($C117="","",$C117)</f>
        <v/>
      </c>
    </row>
    <row r="118" ht="6" customHeight="1"/>
    <row r="119" ht="20" customHeight="1">
      <c r="A119" s="33" t="inlineStr">
        <is>
          <t>Dezembro</t>
        </is>
      </c>
      <c r="B119" s="45" t="n"/>
      <c r="C119" s="46">
        <f>SUM(C120:C126)</f>
        <v/>
      </c>
      <c r="D119" s="45" t="n"/>
      <c r="E119" s="46">
        <f>SUM(E120:E126)</f>
        <v/>
      </c>
      <c r="F119" s="46">
        <f>SUM(F120:F126)</f>
        <v/>
      </c>
      <c r="G119" s="47">
        <f>IF(OR(C119="",C119=0),"",E119/C119)</f>
        <v/>
      </c>
      <c r="H119" s="48">
        <f>COUNT(C120:C126)&amp;" projeto(s)"</f>
        <v/>
      </c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</row>
    <row r="120" ht="17" customHeight="1">
      <c r="A120" s="49" t="n"/>
      <c r="B120" s="49" t="inlineStr">
        <is>
          <t>Pergolado Banheiro</t>
        </is>
      </c>
      <c r="C120" s="50" t="n">
        <v>5500</v>
      </c>
      <c r="D120" s="49" t="n"/>
      <c r="E120" s="51">
        <f>IF($C120="","",ROUND(SUM(I120,L120,O120,R120,U120),2))</f>
        <v/>
      </c>
      <c r="F120" s="52">
        <f>IF($C120="","",ROUND($C120-$E120,2))</f>
        <v/>
      </c>
      <c r="G120" s="24">
        <f>IF(OR($C120="",$C120=0),"",$E120/$C120)</f>
        <v/>
      </c>
      <c r="H120" s="53">
        <f>IF($C120="","",IF($E120=0,"A receber",IF(ROUND($F120,2)=0,"Quitado",IF($F120&lt;0,"Recebido a mais","Parcial"))))</f>
        <v/>
      </c>
      <c r="I120" s="54" t="n">
        <v>2750</v>
      </c>
      <c r="J120" s="55" t="n"/>
      <c r="K120" s="56" t="n"/>
      <c r="L120" s="54" t="n">
        <v>2750</v>
      </c>
      <c r="M120" s="55" t="n"/>
      <c r="N120" s="56" t="n"/>
      <c r="O120" s="54" t="n"/>
      <c r="P120" s="55" t="n"/>
      <c r="Q120" s="56" t="n"/>
      <c r="R120" s="54" t="n"/>
      <c r="S120" s="55" t="n"/>
      <c r="T120" s="56" t="n"/>
      <c r="U120" s="54" t="n"/>
      <c r="V120" s="55" t="n"/>
      <c r="W120" s="56" t="n"/>
      <c r="X120" s="57">
        <f>IF($C120="","",$F120)</f>
        <v/>
      </c>
      <c r="Y120" s="57">
        <f>IF($C120="","",$C120)</f>
        <v/>
      </c>
    </row>
    <row r="121" ht="17" customHeight="1">
      <c r="A121" s="49" t="inlineStr">
        <is>
          <t>Raphaela</t>
        </is>
      </c>
      <c r="B121" s="49" t="inlineStr">
        <is>
          <t>cozinha + sapateira</t>
        </is>
      </c>
      <c r="C121" s="50" t="n">
        <v>6500</v>
      </c>
      <c r="D121" s="49" t="inlineStr">
        <is>
          <t>a vista</t>
        </is>
      </c>
      <c r="E121" s="51">
        <f>IF($C121="","",ROUND(SUM(I121,L121,O121,R121,U121),2))</f>
        <v/>
      </c>
      <c r="F121" s="52">
        <f>IF($C121="","",ROUND($C121-$E121,2))</f>
        <v/>
      </c>
      <c r="G121" s="24">
        <f>IF(OR($C121="",$C121=0),"",$E121/$C121)</f>
        <v/>
      </c>
      <c r="H121" s="53">
        <f>IF($C121="","",IF($E121=0,"A receber",IF(ROUND($F121,2)=0,"Quitado",IF($F121&lt;0,"Recebido a mais","Parcial"))))</f>
        <v/>
      </c>
      <c r="I121" s="54" t="n">
        <v>6500</v>
      </c>
      <c r="J121" s="55" t="n"/>
      <c r="K121" s="56" t="inlineStr">
        <is>
          <t>pix</t>
        </is>
      </c>
      <c r="L121" s="54" t="n"/>
      <c r="M121" s="55" t="n"/>
      <c r="N121" s="56" t="n"/>
      <c r="O121" s="54" t="n"/>
      <c r="P121" s="55" t="n"/>
      <c r="Q121" s="56" t="n"/>
      <c r="R121" s="54" t="n"/>
      <c r="S121" s="55" t="n"/>
      <c r="T121" s="56" t="n"/>
      <c r="U121" s="54" t="n"/>
      <c r="V121" s="55" t="n"/>
      <c r="W121" s="56" t="n"/>
      <c r="X121" s="57">
        <f>IF($C121="","",$F121)</f>
        <v/>
      </c>
      <c r="Y121" s="57">
        <f>IF($C121="","",$C121)</f>
        <v/>
      </c>
    </row>
    <row r="122" ht="17" customHeight="1">
      <c r="A122" s="49" t="inlineStr">
        <is>
          <t>Denise</t>
        </is>
      </c>
      <c r="B122" s="49" t="inlineStr">
        <is>
          <t>Roupeiros</t>
        </is>
      </c>
      <c r="C122" s="50" t="n">
        <v>28000</v>
      </c>
      <c r="D122" s="49" t="inlineStr">
        <is>
          <t>a vista</t>
        </is>
      </c>
      <c r="E122" s="51">
        <f>IF($C122="","",ROUND(SUM(I122,L122,O122,R122,U122),2))</f>
        <v/>
      </c>
      <c r="F122" s="52">
        <f>IF($C122="","",ROUND($C122-$E122,2))</f>
        <v/>
      </c>
      <c r="G122" s="24">
        <f>IF(OR($C122="",$C122=0),"",$E122/$C122)</f>
        <v/>
      </c>
      <c r="H122" s="53">
        <f>IF($C122="","",IF($E122=0,"A receber",IF(ROUND($F122,2)=0,"Quitado",IF($F122&lt;0,"Recebido a mais","Parcial"))))</f>
        <v/>
      </c>
      <c r="I122" s="54" t="n">
        <v>20000</v>
      </c>
      <c r="J122" s="55" t="n"/>
      <c r="K122" s="56" t="inlineStr">
        <is>
          <t>pix</t>
        </is>
      </c>
      <c r="L122" s="54" t="n">
        <v>8000</v>
      </c>
      <c r="M122" s="55" t="n"/>
      <c r="N122" s="56" t="n"/>
      <c r="O122" s="54" t="n"/>
      <c r="P122" s="55" t="n"/>
      <c r="Q122" s="56" t="n"/>
      <c r="R122" s="54" t="n"/>
      <c r="S122" s="55" t="n"/>
      <c r="T122" s="56" t="n"/>
      <c r="U122" s="54" t="n"/>
      <c r="V122" s="55" t="n"/>
      <c r="W122" s="56" t="n"/>
      <c r="X122" s="57">
        <f>IF($C122="","",$F122)</f>
        <v/>
      </c>
      <c r="Y122" s="57">
        <f>IF($C122="","",$C122)</f>
        <v/>
      </c>
    </row>
    <row r="123" ht="17" customHeight="1">
      <c r="A123" s="49" t="inlineStr">
        <is>
          <t>Criacoes gisele</t>
        </is>
      </c>
      <c r="B123" s="49" t="inlineStr">
        <is>
          <t>Diamond Mall</t>
        </is>
      </c>
      <c r="C123" s="50" t="n">
        <v>11100</v>
      </c>
      <c r="D123" s="49" t="inlineStr">
        <is>
          <t>30% + 70%</t>
        </is>
      </c>
      <c r="E123" s="51">
        <f>IF($C123="","",ROUND(SUM(I123,L123,O123,R123,U123),2))</f>
        <v/>
      </c>
      <c r="F123" s="52">
        <f>IF($C123="","",ROUND($C123-$E123,2))</f>
        <v/>
      </c>
      <c r="G123" s="24">
        <f>IF(OR($C123="",$C123=0),"",$E123/$C123)</f>
        <v/>
      </c>
      <c r="H123" s="53">
        <f>IF($C123="","",IF($E123=0,"A receber",IF(ROUND($F123,2)=0,"Quitado",IF($F123&lt;0,"Recebido a mais","Parcial"))))</f>
        <v/>
      </c>
      <c r="I123" s="54" t="n">
        <v>3500</v>
      </c>
      <c r="J123" s="55" t="n"/>
      <c r="K123" s="56" t="n"/>
      <c r="L123" s="54" t="n">
        <v>4000</v>
      </c>
      <c r="M123" s="55" t="n"/>
      <c r="N123" s="56" t="inlineStr">
        <is>
          <t>pix</t>
        </is>
      </c>
      <c r="O123" s="54" t="n">
        <v>3600</v>
      </c>
      <c r="P123" s="55" t="n"/>
      <c r="Q123" s="56" t="n"/>
      <c r="R123" s="54" t="n"/>
      <c r="S123" s="55" t="n"/>
      <c r="T123" s="56" t="n"/>
      <c r="U123" s="54" t="n"/>
      <c r="V123" s="55" t="n"/>
      <c r="W123" s="56" t="n"/>
      <c r="X123" s="57">
        <f>IF($C123="","",$F123)</f>
        <v/>
      </c>
      <c r="Y123" s="57">
        <f>IF($C123="","",$C123)</f>
        <v/>
      </c>
    </row>
    <row r="124" ht="17" customHeight="1">
      <c r="A124" s="49" t="inlineStr">
        <is>
          <t>Shirley</t>
        </is>
      </c>
      <c r="B124" s="49" t="inlineStr">
        <is>
          <t>Banheiros</t>
        </is>
      </c>
      <c r="C124" s="50" t="n">
        <v>6270</v>
      </c>
      <c r="D124" s="49" t="inlineStr">
        <is>
          <t>50% + 50%</t>
        </is>
      </c>
      <c r="E124" s="51">
        <f>IF($C124="","",ROUND(SUM(I124,L124,O124,R124,U124),2))</f>
        <v/>
      </c>
      <c r="F124" s="52">
        <f>IF($C124="","",ROUND($C124-$E124,2))</f>
        <v/>
      </c>
      <c r="G124" s="24">
        <f>IF(OR($C124="",$C124=0),"",$E124/$C124)</f>
        <v/>
      </c>
      <c r="H124" s="53">
        <f>IF($C124="","",IF($E124=0,"A receber",IF(ROUND($F124,2)=0,"Quitado",IF($F124&lt;0,"Recebido a mais","Parcial"))))</f>
        <v/>
      </c>
      <c r="I124" s="54" t="n">
        <v>3135</v>
      </c>
      <c r="J124" s="55" t="n"/>
      <c r="K124" s="56" t="n"/>
      <c r="L124" s="54" t="n">
        <v>3135</v>
      </c>
      <c r="M124" s="55" t="n"/>
      <c r="N124" s="56" t="n"/>
      <c r="O124" s="54" t="n"/>
      <c r="P124" s="55" t="n"/>
      <c r="Q124" s="56" t="n"/>
      <c r="R124" s="54" t="n"/>
      <c r="S124" s="55" t="n"/>
      <c r="T124" s="56" t="n"/>
      <c r="U124" s="54" t="n"/>
      <c r="V124" s="55" t="n"/>
      <c r="W124" s="56" t="n"/>
      <c r="X124" s="57">
        <f>IF($C124="","",$F124)</f>
        <v/>
      </c>
      <c r="Y124" s="57">
        <f>IF($C124="","",$C124)</f>
        <v/>
      </c>
    </row>
    <row r="125" ht="17" customHeight="1">
      <c r="A125" s="49" t="n"/>
      <c r="B125" s="49" t="n"/>
      <c r="C125" s="50" t="n"/>
      <c r="D125" s="49" t="n"/>
      <c r="E125" s="51">
        <f>IF($C125="","",ROUND(SUM(I125,L125,O125,R125,U125),2))</f>
        <v/>
      </c>
      <c r="F125" s="52">
        <f>IF($C125="","",ROUND($C125-$E125,2))</f>
        <v/>
      </c>
      <c r="G125" s="24">
        <f>IF(OR($C125="",$C125=0),"",$E125/$C125)</f>
        <v/>
      </c>
      <c r="H125" s="53">
        <f>IF($C125="","",IF($E125=0,"A receber",IF(ROUND($F125,2)=0,"Quitado",IF($F125&lt;0,"Recebido a mais","Parcial"))))</f>
        <v/>
      </c>
      <c r="I125" s="54" t="n"/>
      <c r="J125" s="55" t="n"/>
      <c r="K125" s="56" t="n"/>
      <c r="L125" s="54" t="n"/>
      <c r="M125" s="55" t="n"/>
      <c r="N125" s="56" t="n"/>
      <c r="O125" s="54" t="n"/>
      <c r="P125" s="55" t="n"/>
      <c r="Q125" s="56" t="n"/>
      <c r="R125" s="54" t="n"/>
      <c r="S125" s="55" t="n"/>
      <c r="T125" s="56" t="n"/>
      <c r="U125" s="54" t="n"/>
      <c r="V125" s="55" t="n"/>
      <c r="W125" s="56" t="n"/>
      <c r="X125" s="57">
        <f>IF($C125="","",$F125)</f>
        <v/>
      </c>
      <c r="Y125" s="57">
        <f>IF($C125="","",$C125)</f>
        <v/>
      </c>
    </row>
    <row r="126" ht="17" customHeight="1">
      <c r="A126" s="49" t="n"/>
      <c r="B126" s="49" t="n"/>
      <c r="C126" s="50" t="n"/>
      <c r="D126" s="49" t="n"/>
      <c r="E126" s="51">
        <f>IF($C126="","",ROUND(SUM(I126,L126,O126,R126,U126),2))</f>
        <v/>
      </c>
      <c r="F126" s="52">
        <f>IF($C126="","",ROUND($C126-$E126,2))</f>
        <v/>
      </c>
      <c r="G126" s="24">
        <f>IF(OR($C126="",$C126=0),"",$E126/$C126)</f>
        <v/>
      </c>
      <c r="H126" s="53">
        <f>IF($C126="","",IF($E126=0,"A receber",IF(ROUND($F126,2)=0,"Quitado",IF($F126&lt;0,"Recebido a mais","Parcial"))))</f>
        <v/>
      </c>
      <c r="I126" s="54" t="n"/>
      <c r="J126" s="55" t="n"/>
      <c r="K126" s="56" t="n"/>
      <c r="L126" s="54" t="n"/>
      <c r="M126" s="55" t="n"/>
      <c r="N126" s="56" t="n"/>
      <c r="O126" s="54" t="n"/>
      <c r="P126" s="55" t="n"/>
      <c r="Q126" s="56" t="n"/>
      <c r="R126" s="54" t="n"/>
      <c r="S126" s="55" t="n"/>
      <c r="T126" s="56" t="n"/>
      <c r="U126" s="54" t="n"/>
      <c r="V126" s="55" t="n"/>
      <c r="W126" s="56" t="n"/>
      <c r="X126" s="57">
        <f>IF($C126="","",$F126)</f>
        <v/>
      </c>
      <c r="Y126" s="57">
        <f>IF($C126="","",$C126)</f>
        <v/>
      </c>
    </row>
    <row r="127" ht="6" customHeight="1"/>
  </sheetData>
  <mergeCells count="31">
    <mergeCell ref="R6:W6"/>
    <mergeCell ref="A2:Y2"/>
    <mergeCell ref="A49:B49"/>
    <mergeCell ref="F6:G6"/>
    <mergeCell ref="A119:B119"/>
    <mergeCell ref="A4:Y4"/>
    <mergeCell ref="F7:G7"/>
    <mergeCell ref="D6:E6"/>
    <mergeCell ref="A90:B90"/>
    <mergeCell ref="A37:B37"/>
    <mergeCell ref="A75:B75"/>
    <mergeCell ref="L6:N6"/>
    <mergeCell ref="I7:K7"/>
    <mergeCell ref="A55:B55"/>
    <mergeCell ref="A26:B26"/>
    <mergeCell ref="D7:E7"/>
    <mergeCell ref="A33:B33"/>
    <mergeCell ref="A1:Y1"/>
    <mergeCell ref="O7:Q7"/>
    <mergeCell ref="L7:N7"/>
    <mergeCell ref="I6:K6"/>
    <mergeCell ref="A100:B100"/>
    <mergeCell ref="O6:Q6"/>
    <mergeCell ref="A81:B81"/>
    <mergeCell ref="A112:B112"/>
    <mergeCell ref="A63:B63"/>
    <mergeCell ref="A6:C6"/>
    <mergeCell ref="A10:B10"/>
    <mergeCell ref="A7:C7"/>
    <mergeCell ref="A3:Y3"/>
    <mergeCell ref="R7:W7"/>
  </mergeCells>
  <conditionalFormatting sqref="H10:H127">
    <cfRule type="expression" priority="1" dxfId="0" stopIfTrue="1">
      <formula>$H10="Quitado"</formula>
    </cfRule>
    <cfRule type="expression" priority="2" dxfId="3" stopIfTrue="1">
      <formula>$H10="Parcial"</formula>
    </cfRule>
    <cfRule type="expression" priority="3" dxfId="2" stopIfTrue="1">
      <formula>$H10="A receber"</formula>
    </cfRule>
    <cfRule type="expression" priority="4" dxfId="4" stopIfTrue="1">
      <formula>$H10="Recebido a mais"</formula>
    </cfRule>
  </conditionalFormatting>
  <conditionalFormatting sqref="F10:F127">
    <cfRule type="expression" priority="5" dxfId="5">
      <formula>AND($F10&lt;&gt;"",$F10&gt;0)</formula>
    </cfRule>
    <cfRule type="expression" priority="6" dxfId="4">
      <formula>AND($F10&lt;&gt;"",$F10&lt;0)</formula>
    </cfRule>
  </conditionalFormatting>
  <conditionalFormatting sqref="A10:D127">
    <cfRule type="expression" priority="7" dxfId="6">
      <formula>AND($C10&lt;&gt;"",$H10="A receber")</formula>
    </cfRule>
  </conditionalFormatting>
  <dataValidations count="6">
    <dataValidation sqref="D10:D127" showDropDown="0" showInputMessage="0" showErrorMessage="0" allowBlank="1" type="list">
      <formula1>=Listas!$B$2:$B$13</formula1>
    </dataValidation>
    <dataValidation sqref="K10:K127" showDropDown="0" showInputMessage="0" showErrorMessage="0" allowBlank="1" type="list">
      <formula1>=Listas!$B$2:$B$13</formula1>
    </dataValidation>
    <dataValidation sqref="N10:N127" showDropDown="0" showInputMessage="0" showErrorMessage="0" allowBlank="1" type="list">
      <formula1>=Listas!$B$2:$B$13</formula1>
    </dataValidation>
    <dataValidation sqref="Q10:Q127" showDropDown="0" showInputMessage="0" showErrorMessage="0" allowBlank="1" type="list">
      <formula1>=Listas!$B$2:$B$13</formula1>
    </dataValidation>
    <dataValidation sqref="T10:T127" showDropDown="0" showInputMessage="0" showErrorMessage="0" allowBlank="1" type="list">
      <formula1>=Listas!$B$2:$B$13</formula1>
    </dataValidation>
    <dataValidation sqref="W10:W127" showDropDown="0" showInputMessage="0" showErrorMessage="0" allowBlank="1" type="list">
      <formula1>=Listas!$B$2:$B$13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" customWidth="1" min="3" max="3"/>
    <col width="18" customWidth="1" min="4" max="4"/>
  </cols>
  <sheetData>
    <row r="1" ht="26" customHeight="1">
      <c r="A1" s="1" t="inlineStr">
        <is>
          <t>VALVIC MARCENARIA</t>
        </is>
      </c>
      <c r="B1" s="2" t="n"/>
      <c r="C1" s="2" t="n"/>
      <c r="D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</row>
    <row r="3" ht="28" customHeight="1">
      <c r="A3" s="4" t="inlineStr">
        <is>
          <t>GESTÃO DO APORTE DO WALTON</t>
        </is>
      </c>
      <c r="B3" s="5" t="n"/>
      <c r="C3" s="5" t="n"/>
      <c r="D3" s="5" t="n"/>
    </row>
    <row r="4" ht="17" customHeight="1">
      <c r="A4" s="6" t="inlineStr">
        <is>
          <t>Entradas, saídas para caixa e investimentos · saldo calculado</t>
        </is>
      </c>
      <c r="B4" s="7" t="n"/>
      <c r="C4" s="7" t="n"/>
      <c r="D4" s="7" t="n"/>
    </row>
    <row r="5" ht="6" customHeight="1"/>
    <row r="6" ht="20" customHeight="1">
      <c r="A6" s="14" t="inlineStr">
        <is>
          <t xml:space="preserve">  ENTRADAS</t>
        </is>
      </c>
      <c r="B6" s="15" t="n"/>
      <c r="C6" s="15" t="n"/>
      <c r="D6" s="15" t="n"/>
    </row>
    <row r="7" ht="17" customHeight="1">
      <c r="A7" s="58" t="n">
        <v>107000</v>
      </c>
      <c r="B7" s="49" t="inlineStr">
        <is>
          <t>Terrasa Engenharia</t>
        </is>
      </c>
    </row>
    <row r="8" ht="17" customHeight="1">
      <c r="A8" s="58" t="n">
        <v>132860</v>
      </c>
      <c r="B8" s="49" t="inlineStr">
        <is>
          <t>Terrasa Engenharia</t>
        </is>
      </c>
    </row>
    <row r="9" ht="17" customHeight="1">
      <c r="A9" s="59" t="n"/>
      <c r="B9" s="60" t="n"/>
    </row>
    <row r="10" ht="17" customHeight="1">
      <c r="A10" s="59" t="n"/>
      <c r="B10" s="60" t="n"/>
    </row>
    <row r="11" ht="17" customHeight="1">
      <c r="A11" s="59" t="n"/>
      <c r="B11" s="60" t="n"/>
    </row>
    <row r="12" ht="20" customHeight="1">
      <c r="A12" s="61">
        <f>ROUND(SUM(A7:A11),2)</f>
        <v/>
      </c>
      <c r="B12" s="62" t="inlineStr">
        <is>
          <t>Total · entradas</t>
        </is>
      </c>
    </row>
    <row r="14" ht="20" customHeight="1">
      <c r="A14" s="14" t="inlineStr">
        <is>
          <t xml:space="preserve">  SAÍDAS</t>
        </is>
      </c>
      <c r="B14" s="15" t="n"/>
      <c r="C14" s="15" t="n"/>
      <c r="D14" s="15" t="n"/>
    </row>
    <row r="15" ht="17" customHeight="1">
      <c r="A15" s="58" t="n">
        <v>21000</v>
      </c>
      <c r="B15" s="49" t="inlineStr">
        <is>
          <t>fluxo de caixa Valvic</t>
        </is>
      </c>
    </row>
    <row r="16" ht="17" customHeight="1">
      <c r="A16" s="58" t="n">
        <v>11000</v>
      </c>
      <c r="B16" s="49" t="inlineStr">
        <is>
          <t>fluxo de caixa Valvic</t>
        </is>
      </c>
    </row>
    <row r="17" ht="17" customHeight="1">
      <c r="A17" s="58" t="n">
        <v>7000</v>
      </c>
      <c r="B17" s="49" t="inlineStr">
        <is>
          <t>fluxo de caixa Valvic</t>
        </is>
      </c>
    </row>
    <row r="18" ht="17" customHeight="1">
      <c r="A18" s="58" t="n">
        <v>20000</v>
      </c>
      <c r="B18" s="49" t="inlineStr">
        <is>
          <t>fluxo de caixa Valvic</t>
        </is>
      </c>
    </row>
    <row r="19" ht="17" customHeight="1">
      <c r="A19" s="58" t="n">
        <v>1400</v>
      </c>
      <c r="B19" s="49" t="inlineStr">
        <is>
          <t>fluxo de caixa Valvic</t>
        </is>
      </c>
    </row>
    <row r="20" ht="17" customHeight="1">
      <c r="A20" s="58" t="n">
        <v>10000</v>
      </c>
      <c r="B20" s="49" t="inlineStr">
        <is>
          <t>fluxo de caixa Valvic</t>
        </is>
      </c>
    </row>
    <row r="21" ht="17" customHeight="1">
      <c r="A21" s="58" t="n">
        <v>6520</v>
      </c>
      <c r="B21" s="49" t="inlineStr">
        <is>
          <t>fluxo de caixa Valvic</t>
        </is>
      </c>
    </row>
    <row r="22" ht="17" customHeight="1">
      <c r="A22" s="58" t="n">
        <v>20000</v>
      </c>
      <c r="B22" s="49" t="inlineStr">
        <is>
          <t>fluxo de caixa Valvic</t>
        </is>
      </c>
    </row>
    <row r="23" ht="17" customHeight="1">
      <c r="A23" s="58" t="n">
        <v>9225</v>
      </c>
      <c r="B23" s="49" t="inlineStr">
        <is>
          <t>fluxo de caixa Valvic</t>
        </is>
      </c>
    </row>
    <row r="24" ht="17" customHeight="1">
      <c r="A24" s="58" t="n">
        <v>533</v>
      </c>
      <c r="B24" s="49" t="inlineStr">
        <is>
          <t>fluxo de caixa Valvic</t>
        </is>
      </c>
    </row>
    <row r="25" ht="17" customHeight="1">
      <c r="A25" s="59" t="n"/>
      <c r="B25" s="60" t="n"/>
    </row>
    <row r="26" ht="17" customHeight="1">
      <c r="A26" s="59" t="n"/>
      <c r="B26" s="60" t="n"/>
    </row>
    <row r="27" ht="17" customHeight="1">
      <c r="A27" s="59" t="n"/>
      <c r="B27" s="60" t="n"/>
    </row>
    <row r="28" ht="20" customHeight="1">
      <c r="A28" s="61">
        <f>ROUND(SUM(A15:A27),2)</f>
        <v/>
      </c>
      <c r="B28" s="62" t="inlineStr">
        <is>
          <t>Total · saídas</t>
        </is>
      </c>
    </row>
    <row r="30" ht="20" customHeight="1">
      <c r="A30" s="14" t="inlineStr">
        <is>
          <t xml:space="preserve">  INVESTIMENTOS</t>
        </is>
      </c>
      <c r="B30" s="15" t="n"/>
      <c r="C30" s="15" t="n"/>
      <c r="D30" s="15" t="n"/>
    </row>
    <row r="31" ht="17" customHeight="1">
      <c r="A31" s="58" t="n">
        <v>70000</v>
      </c>
      <c r="B31" s="49" t="inlineStr">
        <is>
          <t>Entradas máquinas Gibem</t>
        </is>
      </c>
    </row>
    <row r="32" ht="17" customHeight="1">
      <c r="A32" s="58" t="n">
        <v>3960</v>
      </c>
      <c r="B32" s="49" t="inlineStr">
        <is>
          <t>entrada Upmob</t>
        </is>
      </c>
    </row>
    <row r="33" ht="17" customHeight="1">
      <c r="A33" s="58" t="n">
        <v>14099</v>
      </c>
      <c r="B33" s="49" t="inlineStr">
        <is>
          <t xml:space="preserve">Ferramentas equipe </t>
        </is>
      </c>
    </row>
    <row r="34" ht="17" customHeight="1">
      <c r="A34" s="58" t="n">
        <v>707</v>
      </c>
      <c r="B34" s="49" t="inlineStr">
        <is>
          <t xml:space="preserve">Ferramentas equipe </t>
        </is>
      </c>
    </row>
    <row r="35" ht="17" customHeight="1">
      <c r="A35" s="58" t="n">
        <v>212</v>
      </c>
      <c r="B35" s="49" t="inlineStr">
        <is>
          <t xml:space="preserve">Ferramentas equipe </t>
        </is>
      </c>
    </row>
    <row r="36" ht="17" customHeight="1">
      <c r="A36" s="58" t="n">
        <v>502</v>
      </c>
      <c r="B36" s="49" t="inlineStr">
        <is>
          <t xml:space="preserve">Ferramentas equipe </t>
        </is>
      </c>
    </row>
    <row r="37" ht="17" customHeight="1">
      <c r="A37" s="58" t="n">
        <v>3702</v>
      </c>
      <c r="B37" s="49" t="inlineStr">
        <is>
          <t>Computador</t>
        </is>
      </c>
    </row>
    <row r="38" ht="17" customHeight="1">
      <c r="A38" s="59" t="n"/>
      <c r="B38" s="60" t="n"/>
    </row>
    <row r="39" ht="17" customHeight="1">
      <c r="A39" s="59" t="n"/>
      <c r="B39" s="60" t="n"/>
    </row>
    <row r="40" ht="17" customHeight="1">
      <c r="A40" s="59" t="n"/>
      <c r="B40" s="60" t="n"/>
    </row>
    <row r="41" ht="20" customHeight="1">
      <c r="A41" s="61">
        <f>ROUND(SUM(A31:A40),2)</f>
        <v/>
      </c>
      <c r="B41" s="62" t="inlineStr">
        <is>
          <t>Total · investimentos</t>
        </is>
      </c>
    </row>
    <row r="43" ht="28" customHeight="1">
      <c r="A43" s="63">
        <f>ROUND(A12-A28-A41,2)</f>
        <v/>
      </c>
      <c r="B43" s="64" t="inlineStr">
        <is>
          <t>SALDO DO APORTE  ·  entradas − saídas − investimentos</t>
        </is>
      </c>
      <c r="C43" s="2" t="n"/>
      <c r="D43" s="2" t="n"/>
    </row>
  </sheetData>
  <mergeCells count="7">
    <mergeCell ref="A1:D1"/>
    <mergeCell ref="A6:D6"/>
    <mergeCell ref="A4:D4"/>
    <mergeCell ref="A3:D3"/>
    <mergeCell ref="A30:D30"/>
    <mergeCell ref="A2:D2"/>
    <mergeCell ref="A14:D14"/>
  </mergeCells>
  <pageMargins left="0.4" right="0.3" top="0.4" bottom="0.3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</cols>
  <sheetData>
    <row r="1" ht="26" customHeight="1">
      <c r="A1" s="1" t="inlineStr">
        <is>
          <t>VALVIC MARCENARIA</t>
        </is>
      </c>
      <c r="B1" s="2" t="n"/>
      <c r="C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</row>
    <row r="3" ht="28" customHeight="1">
      <c r="A3" s="4" t="inlineStr">
        <is>
          <t>CONTROLE DE CRÉDITO · SAMUEL</t>
        </is>
      </c>
      <c r="B3" s="5" t="n"/>
      <c r="C3" s="5" t="n"/>
    </row>
    <row r="4" ht="17" customHeight="1">
      <c r="A4" s="6" t="inlineStr">
        <is>
          <t>Lançamentos e saldo acumulado</t>
        </is>
      </c>
      <c r="B4" s="7" t="n"/>
      <c r="C4" s="7" t="n"/>
    </row>
    <row r="5" ht="6" customHeight="1"/>
    <row r="6" ht="26" customHeight="1">
      <c r="A6" s="16" t="inlineStr">
        <is>
          <t>Data</t>
        </is>
      </c>
      <c r="B6" s="16" t="inlineStr">
        <is>
          <t>Valor (R$)</t>
        </is>
      </c>
      <c r="C6" s="16" t="inlineStr">
        <is>
          <t>Observação</t>
        </is>
      </c>
    </row>
    <row r="7" ht="17" customHeight="1">
      <c r="A7" s="65" t="n">
        <v>46120</v>
      </c>
      <c r="B7" s="54" t="n">
        <v>100</v>
      </c>
      <c r="C7" s="66" t="n"/>
    </row>
    <row r="8" ht="17" customHeight="1">
      <c r="A8" s="65" t="n">
        <v>46124</v>
      </c>
      <c r="B8" s="54" t="n">
        <v>100</v>
      </c>
      <c r="C8" s="66" t="n"/>
    </row>
    <row r="9" ht="17" customHeight="1">
      <c r="A9" s="65" t="n">
        <v>46147</v>
      </c>
      <c r="B9" s="54" t="n">
        <v>100</v>
      </c>
      <c r="C9" s="66" t="n"/>
    </row>
    <row r="10" ht="17" customHeight="1">
      <c r="A10" s="65" t="n"/>
      <c r="B10" s="54" t="n"/>
      <c r="C10" s="66" t="n"/>
    </row>
    <row r="11" ht="17" customHeight="1">
      <c r="A11" s="65" t="n"/>
      <c r="B11" s="54" t="n"/>
      <c r="C11" s="66" t="n"/>
    </row>
    <row r="12" ht="17" customHeight="1">
      <c r="A12" s="65" t="n"/>
      <c r="B12" s="54" t="n"/>
      <c r="C12" s="66" t="n"/>
    </row>
    <row r="13" ht="17" customHeight="1">
      <c r="A13" s="65" t="n"/>
      <c r="B13" s="54" t="n"/>
      <c r="C13" s="66" t="n"/>
    </row>
    <row r="14" ht="17" customHeight="1">
      <c r="A14" s="65" t="n"/>
      <c r="B14" s="54" t="n"/>
      <c r="C14" s="66" t="n"/>
    </row>
    <row r="15" ht="17" customHeight="1">
      <c r="A15" s="65" t="n"/>
      <c r="B15" s="54" t="n"/>
      <c r="C15" s="66" t="n"/>
    </row>
    <row r="16" ht="17" customHeight="1">
      <c r="A16" s="65" t="n"/>
      <c r="B16" s="54" t="n"/>
      <c r="C16" s="66" t="n"/>
    </row>
    <row r="17" ht="17" customHeight="1">
      <c r="A17" s="65" t="n"/>
      <c r="B17" s="54" t="n"/>
      <c r="C17" s="66" t="n"/>
    </row>
    <row r="18" ht="17" customHeight="1">
      <c r="A18" s="65" t="n"/>
      <c r="B18" s="54" t="n"/>
      <c r="C18" s="66" t="n"/>
    </row>
    <row r="19" ht="17" customHeight="1">
      <c r="A19" s="65" t="n"/>
      <c r="B19" s="54" t="n"/>
      <c r="C19" s="66" t="n"/>
    </row>
    <row r="20" ht="17" customHeight="1">
      <c r="A20" s="65" t="n"/>
      <c r="B20" s="54" t="n"/>
      <c r="C20" s="66" t="n"/>
    </row>
    <row r="21" ht="17" customHeight="1">
      <c r="A21" s="65" t="n"/>
      <c r="B21" s="54" t="n"/>
      <c r="C21" s="66" t="n"/>
    </row>
    <row r="22" ht="24" customHeight="1">
      <c r="A22" s="33" t="inlineStr">
        <is>
          <t>TOTAL ACUMULADO</t>
        </is>
      </c>
      <c r="B22" s="67">
        <f>ROUND(SUM(B7:B21),2)</f>
        <v/>
      </c>
      <c r="C22" s="45" t="n"/>
    </row>
  </sheetData>
  <mergeCells count="4">
    <mergeCell ref="A1:C1"/>
    <mergeCell ref="A4:C4"/>
    <mergeCell ref="A3:C3"/>
    <mergeCell ref="A2:C2"/>
  </mergeCells>
  <pageMargins left="0.4" right="0.3" top="0.4" bottom="0.3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86" customWidth="1" min="4" max="4"/>
  </cols>
  <sheetData>
    <row r="1">
      <c r="A1" s="68" t="inlineStr">
        <is>
          <t>Linhas divisoras</t>
        </is>
      </c>
      <c r="B1" s="68" t="inlineStr">
        <is>
          <t>Forma de pagamento</t>
        </is>
      </c>
      <c r="D1" s="68" t="inlineStr">
        <is>
          <t>Para que servem</t>
        </is>
      </c>
    </row>
    <row r="2" ht="30" customHeight="1">
      <c r="A2" s="69" t="inlineStr">
        <is>
          <t>Janeiro</t>
        </is>
      </c>
      <c r="B2" s="69" t="inlineStr">
        <is>
          <t>pix</t>
        </is>
      </c>
      <c r="D2" s="70" t="inlineStr">
        <is>
          <t>Coluna A — os rótulos das linhas divisoras. É por esta lista que as abas de ano sabem quais linhas são de mês e quais são de projeto ao somar o total.</t>
        </is>
      </c>
    </row>
    <row r="3" ht="30" customHeight="1">
      <c r="A3" s="69" t="inlineStr">
        <is>
          <t>Fevereiro</t>
        </is>
      </c>
      <c r="B3" s="69" t="inlineStr">
        <is>
          <t>cartão</t>
        </is>
      </c>
      <c r="D3" s="70" t="inlineStr">
        <is>
          <t>NÃO renomeie os meses nem mude a ordem: o total do ano deixa de fechar.</t>
        </is>
      </c>
    </row>
    <row r="4" ht="30" customHeight="1">
      <c r="A4" s="69" t="inlineStr">
        <is>
          <t>Março</t>
        </is>
      </c>
      <c r="B4" s="69" t="inlineStr">
        <is>
          <t>dinheiro</t>
        </is>
      </c>
      <c r="D4" s="70" t="inlineStr">
        <is>
          <t>Coluna B — alimenta os menus de Forma de pagamento e de Descrição. Pode acrescentar itens no fim da coluna.</t>
        </is>
      </c>
    </row>
    <row r="5">
      <c r="A5" s="69" t="inlineStr">
        <is>
          <t>Abril</t>
        </is>
      </c>
      <c r="B5" s="69" t="inlineStr">
        <is>
          <t>espécie</t>
        </is>
      </c>
    </row>
    <row r="6">
      <c r="A6" s="69" t="inlineStr">
        <is>
          <t>Maio</t>
        </is>
      </c>
      <c r="B6" s="69" t="inlineStr">
        <is>
          <t>boleto</t>
        </is>
      </c>
    </row>
    <row r="7">
      <c r="A7" s="69" t="inlineStr">
        <is>
          <t>Junho</t>
        </is>
      </c>
      <c r="B7" s="69" t="inlineStr">
        <is>
          <t>transferência</t>
        </is>
      </c>
    </row>
    <row r="8">
      <c r="A8" s="69" t="inlineStr">
        <is>
          <t>Julho</t>
        </is>
      </c>
      <c r="B8" s="69" t="inlineStr">
        <is>
          <t>ted</t>
        </is>
      </c>
    </row>
    <row r="9">
      <c r="A9" s="69" t="inlineStr">
        <is>
          <t>Agosto</t>
        </is>
      </c>
      <c r="B9" s="69" t="inlineStr">
        <is>
          <t>cheque</t>
        </is>
      </c>
    </row>
    <row r="10">
      <c r="A10" s="69" t="inlineStr">
        <is>
          <t>Setembro</t>
        </is>
      </c>
      <c r="B10" s="69" t="inlineStr">
        <is>
          <t>permuta</t>
        </is>
      </c>
    </row>
    <row r="11">
      <c r="A11" s="69" t="inlineStr">
        <is>
          <t>Outubro</t>
        </is>
      </c>
      <c r="B11" s="69" t="inlineStr">
        <is>
          <t>material</t>
        </is>
      </c>
    </row>
    <row r="12">
      <c r="A12" s="69" t="inlineStr">
        <is>
          <t>Novembro</t>
        </is>
      </c>
      <c r="B12" s="69" t="inlineStr">
        <is>
          <t>depósito</t>
        </is>
      </c>
    </row>
    <row r="13">
      <c r="A13" s="69" t="inlineStr">
        <is>
          <t>Dezembro</t>
        </is>
      </c>
      <c r="B13" s="69" t="inlineStr">
        <is>
          <t>pix + cartão</t>
        </is>
      </c>
    </row>
    <row r="14">
      <c r="A14" s="69" t="inlineStr">
        <is>
          <t>Anterior (2022)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6" customWidth="1" min="4" max="4"/>
    <col width="26" customWidth="1" min="5" max="5"/>
    <col width="12" customWidth="1" min="6" max="6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</row>
    <row r="3" ht="28" customHeight="1">
      <c r="A3" s="4" t="inlineStr">
        <is>
          <t>NOTAS DE MIGRAÇÃO</t>
        </is>
      </c>
      <c r="B3" s="5" t="n"/>
      <c r="C3" s="5" t="n"/>
      <c r="D3" s="5" t="n"/>
      <c r="E3" s="5" t="n"/>
      <c r="F3" s="5" t="n"/>
    </row>
    <row r="4" ht="17" customHeight="1">
      <c r="A4" s="6" t="inlineStr">
        <is>
          <t>O que foi corrigido ao reconstruir a planilha · leia antes de usar</t>
        </is>
      </c>
      <c r="B4" s="7" t="n"/>
      <c r="C4" s="7" t="n"/>
      <c r="D4" s="7" t="n"/>
      <c r="E4" s="7" t="n"/>
      <c r="F4" s="7" t="n"/>
    </row>
    <row r="6" ht="20" customHeight="1">
      <c r="A6" s="14" t="inlineStr">
        <is>
          <t xml:space="preserve">  O PROBLEMA DAS DATAS — A CORREÇÃO MAIS IMPORTANTE</t>
        </is>
      </c>
      <c r="B6" s="15" t="n"/>
      <c r="C6" s="15" t="n"/>
      <c r="D6" s="15" t="n"/>
      <c r="E6" s="15" t="n"/>
      <c r="F6" s="15" t="n"/>
    </row>
    <row r="7" ht="4" customHeight="1"/>
    <row r="8" ht="20" customHeight="1">
      <c r="A8" s="71" t="inlineStr">
        <is>
          <t xml:space="preserve">   67 datas estavam com o dia e o mês trocados. Um pagamento de 5 de fevereiro estava gravado como 2 de maio.</t>
        </is>
      </c>
    </row>
    <row r="9" ht="30" customHeight="1">
      <c r="A9" s="71" t="inlineStr">
        <is>
          <t xml:space="preserve">   A causa: em algum momento o arquivo foi editado por uma ferramenta configurada em inglês, que lê "05/02" como 5 de fevereiro invertido — mês 05, dia 02.</t>
        </is>
      </c>
    </row>
    <row r="10" ht="44" customHeight="1">
      <c r="A10" s="71" t="inlineStr">
        <is>
          <t xml:space="preserve">   A prova é que a separação é perfeita nas quatro abas: TODAS as 67 células que viraram data tinham dia e mês menores ou iguais a 12 (as únicas que a ferramenta conseguia inverter), e TODAS as 113 que ficaram como texto tinham o primeiro número maior que 12 (as que ela não conseguia). Nenhuma exceção nos dois sentidos.</t>
        </is>
      </c>
    </row>
    <row r="11" ht="30" customHeight="1">
      <c r="A11" s="71" t="inlineStr">
        <is>
          <t xml:space="preserve">   Foram corrigidas as 67 datas invertidas e convertidas em data de verdade as 112 que estavam como texto — agora dá para ordenar, filtrar e somar por período.</t>
        </is>
      </c>
    </row>
    <row r="12" ht="30" customHeight="1">
      <c r="A12" s="71" t="inlineStr">
        <is>
          <t xml:space="preserve">   Uma única não pôde ser recuperada: "23.0" na linha 17 de 2023 (Cristiane). Ficou em branco, com o texto original na Descrição.</t>
        </is>
      </c>
    </row>
    <row r="13" ht="8" customHeight="1"/>
    <row r="14" ht="20" customHeight="1">
      <c r="A14" s="14" t="inlineStr">
        <is>
          <t xml:space="preserve">  O QUE MAIS FOI ARRUMADO</t>
        </is>
      </c>
      <c r="B14" s="15" t="n"/>
      <c r="C14" s="15" t="n"/>
      <c r="D14" s="15" t="n"/>
      <c r="E14" s="15" t="n"/>
      <c r="F14" s="15" t="n"/>
    </row>
    <row r="15" ht="4" customHeight="1"/>
    <row r="16" ht="30" customHeight="1">
      <c r="A16" s="71" t="inlineStr">
        <is>
          <t xml:space="preserve">   10 células da coluna Data continham na verdade a forma de pagamento ("pix", "material", "permuta"). O texto foi movido para a Descrição.</t>
        </is>
      </c>
    </row>
    <row r="17" ht="30" customHeight="1">
      <c r="A17" s="71" t="inlineStr">
        <is>
          <t xml:space="preserve">   A coluna que se chamava "Status atual" era, na verdade, o saldo a receber. Passou a se chamar Saldo a receber, e ganhou ao lado o % recebido e uma Situação (Quitado, Parcial, A receber, Recebido a mais) com cor.</t>
        </is>
      </c>
    </row>
    <row r="18" ht="30" customHeight="1">
      <c r="A18" s="71" t="inlineStr">
        <is>
          <t xml:space="preserve">   A fórmula do saldo era =SUM(C10-H10-L10-...), que devolvia o valor do contrato mesmo em linha vazia. Agora fica em branco quando não há projeto.</t>
        </is>
      </c>
    </row>
    <row r="19" ht="44" customHeight="1">
      <c r="A19" s="71" t="inlineStr">
        <is>
          <t xml:space="preserve">   O total do ano era uma lista fixa de células (=SUM(C9,C13,C20...)) que passava a somar errado assim que alguém inserisse uma linha. Agora é calculado sobre todas as linhas de projeto, e existe uma CONFERÊNCIA no topo que avisa se alguma linha ficou fora de um bloco de mês.</t>
        </is>
      </c>
    </row>
    <row r="20" ht="30" customHeight="1">
      <c r="A20" s="71" t="inlineStr">
        <is>
          <t xml:space="preserve">   A "Meta mensal" era a meta anual dividida por 7 — um número que mudava sozinho. Saiu. No lugar entraram % da meta e quanto falta para a meta.</t>
        </is>
      </c>
    </row>
    <row r="21" ht="20" customHeight="1">
      <c r="A21" s="71" t="inlineStr">
        <is>
          <t xml:space="preserve">   Colunas vazias de separação foram removidas: a planilha foi de 33 para 23 colunas, sem perder nada.</t>
        </is>
      </c>
    </row>
    <row r="22" ht="20" customHeight="1">
      <c r="A22" s="71" t="inlineStr">
        <is>
          <t xml:space="preserve">   Cada bloco de mês ganhou linhas de sobra em branco, para lançar projeto novo sem precisar inserir linha.</t>
        </is>
      </c>
    </row>
    <row r="23" ht="8" customHeight="1"/>
    <row r="24" ht="20" customHeight="1">
      <c r="A24" s="14" t="inlineStr">
        <is>
          <t xml:space="preserve">  DIVERGÊNCIAS QUE VOCÊ PRECISA RESOLVER</t>
        </is>
      </c>
      <c r="B24" s="15" t="n"/>
      <c r="C24" s="15" t="n"/>
      <c r="D24" s="15" t="n"/>
      <c r="E24" s="15" t="n"/>
      <c r="F24" s="15" t="n"/>
    </row>
    <row r="25" ht="4" customHeight="1"/>
    <row r="26" ht="30" customHeight="1">
      <c r="A26" s="71" t="inlineStr">
        <is>
          <t xml:space="preserve">   Monte Negro (2024, casa completa, contrato de R$ 100.000): existem 7 pagamentos lançados em linhas soltas somando R$ 97.800, mais R$ 22.200 no segundo bloco — total de R$ 120.000 contra um contrato de R$ 100.000.</t>
        </is>
      </c>
    </row>
    <row r="27" ht="30" customHeight="1">
      <c r="A27" s="71" t="inlineStr">
        <is>
          <t xml:space="preserve">   A fórmula original somava só as 5 primeiras linhas (=SUM(H33:H37) = R$ 77.800), o que fechava exatamente os R$ 100.000. Ou seja: dois pagamentos de R$ 10.000 foram lançados depois e nunca entraram na conta.</t>
        </is>
      </c>
    </row>
    <row r="28" ht="44" customHeight="1">
      <c r="A28" s="71" t="inlineStr">
        <is>
          <t xml:space="preserve">   Trouxe os sete pagamentos, porque apagar dinheiro recebido é pior do que mostrar a inconsistência. O projeto aparece como "Recebido a mais" e o ano de 2024 fecha com saldo negativo de R$ 20.000. Decida: o contrato subiu, ou esses lançamentos são de outro projeto?</t>
        </is>
      </c>
    </row>
    <row r="29" ht="30" customHeight="1">
      <c r="A29" s="71" t="inlineStr">
        <is>
          <t xml:space="preserve">   Os 12 projetos que estavam no topo da aba 2023, antes de Janeiro, são contratos de 2022 ainda em cobrança. Ficaram num bloco chamado "Anterior (2022)" e continuam FORA do total de 2023, como já era no original.</t>
        </is>
      </c>
    </row>
    <row r="30" ht="8" customHeight="1"/>
    <row r="31" ht="20" customHeight="1">
      <c r="A31" s="14" t="inlineStr">
        <is>
          <t xml:space="preserve">  O QUE NÃO MUDOU</t>
        </is>
      </c>
      <c r="B31" s="15" t="n"/>
      <c r="C31" s="15" t="n"/>
      <c r="D31" s="15" t="n"/>
      <c r="E31" s="15" t="n"/>
      <c r="F31" s="15" t="n"/>
    </row>
    <row r="32" ht="4" customHeight="1"/>
    <row r="33" ht="30" customHeight="1">
      <c r="A33" s="71" t="inlineStr">
        <is>
          <t xml:space="preserve">   Um projeto por linha, os pagamentos à direita, uma aba por ano, cinco pagamentos por projeto — igual ao que vocês já usam.</t>
        </is>
      </c>
    </row>
    <row r="34" ht="20" customHeight="1">
      <c r="A34" s="71" t="inlineStr">
        <is>
          <t xml:space="preserve">   Nenhum valor de contrato ou de pagamento foi alterado. O que mudou foi data, posição de texto e fórmula.</t>
        </is>
      </c>
    </row>
    <row r="35" ht="30" customHeight="1">
      <c r="A35" s="71" t="inlineStr">
        <is>
          <t xml:space="preserve">   Cliente, Projeto, Investimento e Forma de pagamento continuam sendo digitados à mão, nas mesmas quatro primeiras colunas.</t>
        </is>
      </c>
    </row>
    <row r="36" ht="8" customHeight="1"/>
    <row r="37" ht="26" customHeight="1">
      <c r="A37" s="72" t="inlineStr">
        <is>
          <t xml:space="preserve">   O arquivo original foi preservado. Esta planilha é gerada por gerar-controle-pagamentos.py — edite o script, nunca o .xlsx.</t>
        </is>
      </c>
      <c r="B37" s="7" t="n"/>
      <c r="C37" s="7" t="n"/>
      <c r="D37" s="7" t="n"/>
      <c r="E37" s="7" t="n"/>
      <c r="F37" s="7" t="n"/>
    </row>
  </sheetData>
  <mergeCells count="28">
    <mergeCell ref="A16:F16"/>
    <mergeCell ref="A37:F37"/>
    <mergeCell ref="A27:F27"/>
    <mergeCell ref="A12:F12"/>
    <mergeCell ref="A18:F18"/>
    <mergeCell ref="A3:F3"/>
    <mergeCell ref="A21:F21"/>
    <mergeCell ref="A26:F26"/>
    <mergeCell ref="A2:F2"/>
    <mergeCell ref="A33:F33"/>
    <mergeCell ref="A14:F14"/>
    <mergeCell ref="A8:F8"/>
    <mergeCell ref="A22:F22"/>
    <mergeCell ref="A17:F17"/>
    <mergeCell ref="A35:F35"/>
    <mergeCell ref="A4:F4"/>
    <mergeCell ref="A20:F20"/>
    <mergeCell ref="A29:F29"/>
    <mergeCell ref="A10:F10"/>
    <mergeCell ref="A28:F28"/>
    <mergeCell ref="A19:F19"/>
    <mergeCell ref="A9:F9"/>
    <mergeCell ref="A31:F31"/>
    <mergeCell ref="A34:F34"/>
    <mergeCell ref="A24:F24"/>
    <mergeCell ref="A11:F11"/>
    <mergeCell ref="A1:F1"/>
    <mergeCell ref="A6:F6"/>
  </mergeCells>
  <pageMargins left="0.4" right="0.3" top="0.4" bottom="0.3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2026-08-14T20:16:49Z</dcterms:created>
  <dcterms:modified xsi:type="dcterms:W3CDTF">2026-08-14T20:16:51Z</dcterms:modified>
</cp:coreProperties>
</file>