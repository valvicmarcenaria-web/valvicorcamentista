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ornecedores" sheetId="2" state="visible" r:id="rId2"/>
    <sheet name="Compras" sheetId="3" state="visible" r:id="rId3"/>
    <sheet name="Ocorrências" sheetId="4" state="visible" r:id="rId4"/>
    <sheet name="Ficha do Fornecedor" sheetId="5" state="visible" r:id="rId5"/>
    <sheet name="Listas" sheetId="6" state="visible" r:id="rId6"/>
  </sheets>
  <definedNames>
    <definedName name="_xlnm.Print_Area" localSheetId="0">'Dashboard'!$A$1:$L$43</definedName>
    <definedName name="_xlnm._FilterDatabase" localSheetId="1" hidden="1">'Fornecedores'!$A$6:$Y$66</definedName>
    <definedName name="_xlnm.Print_Area" localSheetId="1">'Fornecedores'!$A$1:$Y$66</definedName>
    <definedName name="_xlnm._FilterDatabase" localSheetId="2" hidden="1">'Compras'!$A$6:$K$306</definedName>
    <definedName name="_xlnm.Print_Area" localSheetId="2">'Compras'!$A$1:$K$306</definedName>
    <definedName name="_xlnm._FilterDatabase" localSheetId="3" hidden="1">'Ocorrências'!$A$6:$J$156</definedName>
    <definedName name="_xlnm.Print_Area" localSheetId="3">'Ocorrências'!$A$1:$J$156</definedName>
    <definedName name="_xlnm.Print_Area" localSheetId="4">'Ficha do Fornecedor'!$A$1:$F$40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R$ #,##0"/>
    <numFmt numFmtId="166" formatCode="0.0%"/>
    <numFmt numFmtId="167" formatCode="R$ #,##0.00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1B2733"/>
      <sz val="10"/>
    </font>
    <font>
      <name val="Arial"/>
      <color rgb="001B2733"/>
      <sz val="9"/>
    </font>
    <font>
      <name val="Arial"/>
      <b val="1"/>
      <color rgb="0016314F"/>
      <sz val="10"/>
    </font>
    <font>
      <name val="Arial"/>
      <i val="1"/>
      <color rgb="006C7785"/>
      <sz val="8"/>
    </font>
    <font>
      <name val="Arial"/>
      <b val="1"/>
      <color rgb="000E2038"/>
      <sz val="9"/>
    </font>
    <font>
      <name val="Arial"/>
      <color rgb="0041505D"/>
      <sz val="8.5"/>
    </font>
    <font>
      <name val="Arial"/>
      <b val="1"/>
      <color rgb="00FFFFFF"/>
      <sz val="13"/>
    </font>
    <font>
      <name val="Arial"/>
      <color rgb="009FB0C4"/>
      <sz val="8"/>
    </font>
    <font>
      <name val="Arial"/>
      <b val="1"/>
      <color rgb="00FFFFFF"/>
      <sz val="15"/>
    </font>
    <font>
      <name val="Arial"/>
      <i val="1"/>
      <color rgb="007A5B17"/>
      <sz val="8.5"/>
    </font>
    <font>
      <name val="Arial"/>
      <b val="1"/>
      <color rgb="00FFFFFF"/>
      <sz val="8.5"/>
    </font>
    <font>
      <name val="Arial"/>
      <color rgb="0016314F"/>
      <sz val="9"/>
    </font>
    <font>
      <name val="Arial"/>
      <b val="1"/>
      <color rgb="00FFFFFF"/>
      <sz val="9.5"/>
    </font>
    <font>
      <name val="Arial"/>
      <b val="1"/>
      <color rgb="00D8BD80"/>
      <sz val="9.5"/>
    </font>
    <font>
      <name val="Arial"/>
      <color rgb="0041505D"/>
      <sz val="9"/>
    </font>
    <font>
      <name val="Arial"/>
      <b val="1"/>
      <color rgb="006C7785"/>
      <sz val="8"/>
    </font>
    <font>
      <name val="Arial"/>
      <b val="1"/>
      <color rgb="000E2038"/>
      <sz val="18"/>
    </font>
    <font>
      <name val="Arial"/>
      <b val="1"/>
      <color rgb="002F5D8C"/>
      <sz val="18"/>
    </font>
    <font>
      <name val="Arial"/>
      <b val="1"/>
      <color rgb="00B0413F"/>
      <sz val="18"/>
    </font>
    <font>
      <name val="Arial"/>
      <b val="1"/>
      <color rgb="00B57A16"/>
      <sz val="18"/>
    </font>
    <font>
      <name val="Arial"/>
      <b val="1"/>
      <color rgb="002F7D4F"/>
      <sz val="18"/>
    </font>
    <font>
      <name val="Arial"/>
      <b val="1"/>
      <color rgb="000E2038"/>
      <sz val="8"/>
    </font>
    <font>
      <name val="Arial"/>
      <color rgb="000E2038"/>
      <sz val="9"/>
    </font>
    <font>
      <name val="Arial"/>
      <b val="1"/>
      <color rgb="00D8BD80"/>
      <sz val="9"/>
    </font>
    <font>
      <name val="Arial"/>
      <b val="1"/>
      <color rgb="006C7785"/>
      <sz val="9"/>
    </font>
    <font>
      <name val="Arial"/>
      <b val="1"/>
      <color rgb="000E2038"/>
      <sz val="13"/>
    </font>
    <font>
      <name val="Arial"/>
      <b val="1"/>
      <color rgb="000E2038"/>
      <sz val="15"/>
    </font>
    <font>
      <name val="Arial"/>
      <b val="1"/>
      <color rgb="000E2038"/>
      <sz val="10.5"/>
    </font>
    <font>
      <name val="Arial"/>
      <b val="1"/>
      <color rgb="0016314F"/>
      <sz val="12"/>
    </font>
    <font>
      <name val="Arial"/>
      <color rgb="0033414F"/>
      <sz val="10"/>
    </font>
  </fonts>
  <fills count="9">
    <fill>
      <patternFill/>
    </fill>
    <fill>
      <patternFill patternType="gray125"/>
    </fill>
    <fill>
      <patternFill patternType="solid">
        <fgColor rgb="0016314F"/>
      </patternFill>
    </fill>
    <fill>
      <patternFill patternType="solid">
        <fgColor rgb="00FFF9E3"/>
      </patternFill>
    </fill>
    <fill>
      <patternFill patternType="solid">
        <fgColor rgb="000E2038"/>
      </patternFill>
    </fill>
    <fill>
      <patternFill patternType="solid">
        <fgColor rgb="00F6EDD6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FDFBF6"/>
      </patternFill>
    </fill>
  </fills>
  <borders count="9">
    <border>
      <left/>
      <right/>
      <top/>
      <bottom/>
      <diagonal/>
    </border>
    <border>
      <bottom style="thin">
        <color rgb="00DFDACD"/>
      </bottom>
    </border>
    <border>
      <left style="thin">
        <color rgb="0016314F"/>
      </left>
      <right style="thin">
        <color rgb="0016314F"/>
      </right>
      <bottom style="medium">
        <color rgb="00C2A05A"/>
      </bottom>
    </border>
    <border>
      <left style="thin">
        <color rgb="00E8E3D8"/>
      </left>
      <right style="thin">
        <color rgb="00E8E3D8"/>
      </right>
      <bottom style="thin">
        <color rgb="00E8E3D8"/>
      </bottom>
    </border>
    <border>
      <bottom style="medium">
        <color rgb="00C2A05A"/>
      </bottom>
    </border>
    <border>
      <left style="medium">
        <color rgb="00C2A05A"/>
      </left>
      <right style="thin">
        <color rgb="00E8E3D8"/>
      </right>
      <top style="thin">
        <color rgb="00E8E3D8"/>
      </top>
    </border>
    <border>
      <left style="medium">
        <color rgb="00C2A05A"/>
      </left>
      <right style="thin">
        <color rgb="00E8E3D8"/>
      </right>
      <bottom style="thin">
        <color rgb="00E8E3D8"/>
      </bottom>
    </border>
    <border>
      <bottom style="thin">
        <color rgb="00C2A05A"/>
      </bottom>
    </border>
    <border>
      <left style="thin">
        <color rgb="00E8E3D8"/>
      </left>
      <right style="thin">
        <color rgb="00E8E3D8"/>
      </right>
      <top style="thin">
        <color rgb="00E8E3D8"/>
      </top>
      <bottom style="thin">
        <color rgb="00E8E3D8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vertical="center" indent="1"/>
    </xf>
    <xf numFmtId="0" fontId="11" fillId="5" borderId="0" applyAlignment="1" pivotButton="0" quotePrefix="0" xfId="0">
      <alignment horizontal="left" vertical="center" indent="1"/>
    </xf>
    <xf numFmtId="0" fontId="6" fillId="5" borderId="4" applyAlignment="1" pivotButton="0" quotePrefix="0" xfId="0">
      <alignment horizontal="left" vertical="center"/>
    </xf>
    <xf numFmtId="0" fontId="17" fillId="7" borderId="5" applyAlignment="1" pivotButton="0" quotePrefix="0" xfId="0">
      <alignment horizontal="left" vertical="center" indent="1"/>
    </xf>
    <xf numFmtId="3" fontId="18" fillId="7" borderId="6" applyAlignment="1" pivotButton="0" quotePrefix="0" xfId="0">
      <alignment horizontal="left" vertical="center" indent="1"/>
    </xf>
    <xf numFmtId="165" fontId="18" fillId="7" borderId="6" applyAlignment="1" pivotButton="0" quotePrefix="0" xfId="0">
      <alignment horizontal="left" vertical="center" indent="1"/>
    </xf>
    <xf numFmtId="3" fontId="19" fillId="7" borderId="6" applyAlignment="1" pivotButton="0" quotePrefix="0" xfId="0">
      <alignment horizontal="left" vertical="center" indent="1"/>
    </xf>
    <xf numFmtId="3" fontId="20" fillId="7" borderId="6" applyAlignment="1" pivotButton="0" quotePrefix="0" xfId="0">
      <alignment horizontal="left" vertical="center" indent="1"/>
    </xf>
    <xf numFmtId="166" fontId="20" fillId="7" borderId="6" applyAlignment="1" pivotButton="0" quotePrefix="0" xfId="0">
      <alignment horizontal="left" vertical="center" indent="1"/>
    </xf>
    <xf numFmtId="166" fontId="21" fillId="7" borderId="6" applyAlignment="1" pivotButton="0" quotePrefix="0" xfId="0">
      <alignment horizontal="left" vertical="center" indent="1"/>
    </xf>
    <xf numFmtId="3" fontId="22" fillId="7" borderId="6" applyAlignment="1" pivotButton="0" quotePrefix="0" xfId="0">
      <alignment horizontal="left" vertical="center" indent="1"/>
    </xf>
    <xf numFmtId="2" fontId="22" fillId="7" borderId="6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left" vertical="center"/>
    </xf>
    <xf numFmtId="0" fontId="23" fillId="5" borderId="7" applyAlignment="1" pivotButton="0" quotePrefix="0" xfId="0">
      <alignment horizontal="left" vertical="center"/>
    </xf>
    <xf numFmtId="0" fontId="23" fillId="5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13" fillId="0" borderId="1" applyAlignment="1" pivotButton="0" quotePrefix="0" xfId="0">
      <alignment horizontal="center" vertical="center"/>
    </xf>
    <xf numFmtId="165" fontId="24" fillId="0" borderId="1" applyAlignment="1" pivotButton="0" quotePrefix="0" xfId="0">
      <alignment horizontal="right" vertical="center"/>
    </xf>
    <xf numFmtId="3" fontId="24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left" vertical="center" indent="1"/>
    </xf>
    <xf numFmtId="3" fontId="25" fillId="4" borderId="0" applyAlignment="1" pivotButton="0" quotePrefix="0" xfId="0">
      <alignment horizontal="center" vertical="center"/>
    </xf>
    <xf numFmtId="165" fontId="25" fillId="4" borderId="0" applyAlignment="1" pivotButton="0" quotePrefix="0" xfId="0">
      <alignment horizontal="right" vertical="center"/>
    </xf>
    <xf numFmtId="3" fontId="25" fillId="4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2" fillId="2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165" fontId="13" fillId="6" borderId="3" applyAlignment="1" pivotButton="0" quotePrefix="0" xfId="0">
      <alignment horizontal="center" vertical="center"/>
    </xf>
    <xf numFmtId="166" fontId="13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9" fontId="13" fillId="6" borderId="3" applyAlignment="1" pivotButton="0" quotePrefix="0" xfId="0">
      <alignment horizontal="center" vertical="center"/>
    </xf>
    <xf numFmtId="2" fontId="13" fillId="6" borderId="3" applyAlignment="1" pivotButton="0" quotePrefix="0" xfId="0">
      <alignment horizontal="center" vertical="center"/>
    </xf>
    <xf numFmtId="164" fontId="13" fillId="6" borderId="3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/>
    </xf>
    <xf numFmtId="0" fontId="0" fillId="4" borderId="0" pivotButton="0" quotePrefix="0" xfId="0"/>
    <xf numFmtId="165" fontId="15" fillId="4" borderId="0" applyAlignment="1" pivotButton="0" quotePrefix="0" xfId="0">
      <alignment horizontal="center" vertical="center"/>
    </xf>
    <xf numFmtId="9" fontId="15" fillId="4" borderId="0" applyAlignment="1" pivotButton="0" quotePrefix="0" xfId="0">
      <alignment horizontal="center" vertical="center"/>
    </xf>
    <xf numFmtId="3" fontId="15" fillId="4" borderId="0" applyAlignment="1" pivotButton="0" quotePrefix="0" xfId="0">
      <alignment horizontal="center" vertical="center"/>
    </xf>
    <xf numFmtId="166" fontId="15" fillId="4" borderId="0" applyAlignment="1" pivotButton="0" quotePrefix="0" xfId="0">
      <alignment horizontal="center" vertical="center"/>
    </xf>
    <xf numFmtId="0" fontId="6" fillId="5" borderId="0" pivotButton="0" quotePrefix="0" xfId="0"/>
    <xf numFmtId="0" fontId="16" fillId="0" borderId="0" pivotButton="0" quotePrefix="0" xfId="0"/>
    <xf numFmtId="164" fontId="3" fillId="3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left" vertical="center"/>
    </xf>
    <xf numFmtId="167" fontId="3" fillId="3" borderId="3" applyAlignment="1" pivotButton="0" quotePrefix="0" xfId="0">
      <alignment horizontal="center" vertical="center"/>
    </xf>
    <xf numFmtId="0" fontId="26" fillId="0" borderId="0" pivotButton="0" quotePrefix="0" xfId="0"/>
    <xf numFmtId="0" fontId="27" fillId="3" borderId="4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2" fontId="30" fillId="0" borderId="1" applyAlignment="1" pivotButton="0" quotePrefix="0" xfId="0">
      <alignment horizontal="left" vertical="center"/>
    </xf>
    <xf numFmtId="165" fontId="30" fillId="0" borderId="1" applyAlignment="1" pivotButton="0" quotePrefix="0" xfId="0">
      <alignment horizontal="left" vertical="center"/>
    </xf>
    <xf numFmtId="166" fontId="30" fillId="0" borderId="1" applyAlignment="1" pivotButton="0" quotePrefix="0" xfId="0">
      <alignment horizontal="left" vertical="center"/>
    </xf>
    <xf numFmtId="3" fontId="30" fillId="0" borderId="1" applyAlignment="1" pivotButton="0" quotePrefix="0" xfId="0">
      <alignment horizontal="left" vertical="center"/>
    </xf>
    <xf numFmtId="9" fontId="30" fillId="0" borderId="1" applyAlignment="1" pivotButton="0" quotePrefix="0" xfId="0">
      <alignment horizontal="left" vertical="center"/>
    </xf>
    <xf numFmtId="164" fontId="30" fillId="0" borderId="1" applyAlignment="1" pivotButton="0" quotePrefix="0" xfId="0">
      <alignment horizontal="left" vertical="center"/>
    </xf>
    <xf numFmtId="0" fontId="31" fillId="8" borderId="8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B0413F"/>
        <sz val="9"/>
      </font>
      <fill>
        <patternFill patternType="solid">
          <fgColor rgb="00FDF0EF"/>
        </patternFill>
      </fill>
    </dxf>
    <dxf>
      <font>
        <name val="Arial"/>
        <b val="1"/>
        <color rgb="00B57A16"/>
        <sz val="9"/>
      </font>
      <fill>
        <patternFill patternType="solid">
          <fgColor rgb="00FCF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Valvic</author>
  </authors>
  <commentList>
    <comment ref="R6" authorId="0" shapeId="0">
      <text>
        <t>Percentual do valor comprado no período que foi com este fornecedor.
Acima de 40% fica destacado — é concentração que vira risco.</t>
      </text>
    </comment>
    <comment ref="W6" authorId="0" shapeId="0">
      <text>
        <t>Score = (Preço×35% + Atendimento×35% + Qualidade×30%) × (1 − índice de problemas).
Só aparece quando as três notas estiverem preenchidas.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4" customWidth="1" min="5" max="5"/>
    <col width="26" customWidth="1" min="6" max="6"/>
    <col width="15" customWidth="1" min="7" max="7"/>
    <col width="15" customWidth="1" min="8" max="8"/>
    <col width="4" customWidth="1" min="9" max="9"/>
    <col width="26" customWidth="1" min="10" max="10"/>
    <col width="14" customWidth="1" min="11" max="11"/>
    <col width="14" customWidth="1" min="12" max="12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PAINEL DE FORNECEDORES</t>
        </is>
      </c>
    </row>
    <row r="4" ht="17" customHeight="1">
      <c r="A4" s="4" t="inlineStr">
        <is>
          <t>Tudo calculado a partir das abas Fornecedores, Compras e Ocorrências · período controlado na aba Listas</t>
        </is>
      </c>
    </row>
    <row r="6" ht="20" customHeight="1">
      <c r="A6" s="5" t="inlineStr">
        <is>
          <t xml:space="preserve">  POSIÇÃO DO PERÍODO</t>
        </is>
      </c>
    </row>
    <row r="8" ht="17" customHeight="1">
      <c r="B8" s="6" t="inlineStr">
        <is>
          <t>FORNECEDORES CADASTRADOS</t>
        </is>
      </c>
      <c r="F8" s="6" t="inlineStr">
        <is>
          <t>COMPRAS NO PERÍODO</t>
        </is>
      </c>
      <c r="J8" s="6" t="inlineStr">
        <is>
          <t>Nº DE COMPRAS</t>
        </is>
      </c>
    </row>
    <row r="9" ht="30" customHeight="1">
      <c r="B9" s="7">
        <f>COUNTIF(Fornecedores!$A$7:$A$66,"?*")</f>
        <v/>
      </c>
      <c r="F9" s="8">
        <f>SUM(Fornecedores!$Q$7:$Q$66)</f>
        <v/>
      </c>
      <c r="J9" s="9">
        <f>SUM(Fornecedores!$S$7:$S$66)</f>
        <v/>
      </c>
    </row>
    <row r="11" ht="17" customHeight="1">
      <c r="B11" s="6" t="inlineStr">
        <is>
          <t>OCORRÊNCIAS REGISTRADAS</t>
        </is>
      </c>
      <c r="F11" s="6" t="inlineStr">
        <is>
          <t>ÍNDICE DE PROBLEMAS GERAL</t>
        </is>
      </c>
      <c r="J11" s="6" t="inlineStr">
        <is>
          <t>MAIOR CONCENTRAÇÃO</t>
        </is>
      </c>
    </row>
    <row r="12" ht="30" customHeight="1">
      <c r="B12" s="10">
        <f>SUM(Fornecedores!$T$7:$T$66)</f>
        <v/>
      </c>
      <c r="F12" s="11">
        <f>IF(SUM(Fornecedores!$S$7:$S$66)=0,"",SUM(Fornecedores!$T$7:$T$66)/SUM(Fornecedores!$S$7:$S$66))</f>
        <v/>
      </c>
      <c r="J12" s="12">
        <f>IF(SUM(Fornecedores!$Q$7:$Q$66)=0,"",MAX(Fornecedores!$R$7:$R$66))</f>
        <v/>
      </c>
    </row>
    <row r="14" ht="17" customHeight="1">
      <c r="B14" s="6" t="inlineStr">
        <is>
          <t>FORNECEDORES ATIVOS</t>
        </is>
      </c>
      <c r="F14" s="6" t="inlineStr">
        <is>
          <t>SCORE MÉDIO DA BASE</t>
        </is>
      </c>
      <c r="J14" s="6" t="inlineStr">
        <is>
          <t>FORNECEDORES RESTRITOS OU BLOQUEADOS</t>
        </is>
      </c>
    </row>
    <row r="15" ht="30" customHeight="1">
      <c r="B15" s="13">
        <f>COUNTIF(Fornecedores!$M$7:$M$66,"Ativo")+COUNTIF(Fornecedores!$M$7:$M$66,"Preferencial")</f>
        <v/>
      </c>
      <c r="F15" s="14">
        <f>IF(COUNT(Fornecedores!$W$7:$W$66)=0,"",ROUND(AVERAGE(Fornecedores!$W$7:$W$66),2))</f>
        <v/>
      </c>
      <c r="J15" s="10">
        <f>COUNTIF(Fornecedores!$M$7:$M$66,"Restrito")+COUNTIF(Fornecedores!$M$7:$M$66,"Bloqueado")</f>
        <v/>
      </c>
    </row>
    <row r="17" ht="20" customHeight="1">
      <c r="A17" s="5" t="inlineStr">
        <is>
          <t xml:space="preserve">  ONDE O DINHEIRO ESTÁ INDO</t>
        </is>
      </c>
    </row>
    <row r="19" ht="19" customHeight="1">
      <c r="B19" s="15" t="inlineStr">
        <is>
          <t xml:space="preserve">  POR SEGMENTO</t>
        </is>
      </c>
      <c r="F19" s="15" t="inlineStr">
        <is>
          <t xml:space="preserve">  POR SITUAÇÃO</t>
        </is>
      </c>
      <c r="J19" s="15" t="inlineStr">
        <is>
          <t xml:space="preserve">  OCORRÊNCIAS POR TIPO</t>
        </is>
      </c>
    </row>
    <row r="20">
      <c r="B20" s="16" t="inlineStr"/>
      <c r="C20" s="17" t="inlineStr">
        <is>
          <t>Fornec.</t>
        </is>
      </c>
      <c r="D20" s="17" t="inlineStr">
        <is>
          <t>Compras</t>
        </is>
      </c>
      <c r="F20" s="16" t="inlineStr"/>
      <c r="G20" s="17" t="inlineStr">
        <is>
          <t>Fornec.</t>
        </is>
      </c>
      <c r="H20" s="17" t="inlineStr">
        <is>
          <t>Compras</t>
        </is>
      </c>
      <c r="J20" s="16" t="inlineStr"/>
      <c r="K20" s="17" t="inlineStr">
        <is>
          <t>Total</t>
        </is>
      </c>
      <c r="L20" s="17" t="inlineStr">
        <is>
          <t>Graves</t>
        </is>
      </c>
    </row>
    <row r="21" ht="17" customHeight="1">
      <c r="B21" s="18" t="inlineStr">
        <is>
          <t>Chapas e madeiras</t>
        </is>
      </c>
      <c r="C21" s="19">
        <f>COUNTIF(Fornecedores!$C$7:$C$66,$B21)</f>
        <v/>
      </c>
      <c r="D21" s="20">
        <f>SUMIF(Fornecedores!$C$7:$C$66,$B21,Fornecedores!$Q$7:$Q$66)</f>
        <v/>
      </c>
      <c r="F21" s="18" t="inlineStr">
        <is>
          <t>Ativo</t>
        </is>
      </c>
      <c r="G21" s="19">
        <f>COUNTIF(Fornecedores!$M$7:$M$66,$F21)</f>
        <v/>
      </c>
      <c r="H21" s="20">
        <f>SUMIF(Fornecedores!$M$7:$M$66,$F21,Fornecedores!$Q$7:$Q$66)</f>
        <v/>
      </c>
      <c r="J21" s="18" t="inlineStr">
        <is>
          <t>Atraso na entrega</t>
        </is>
      </c>
      <c r="K21" s="19">
        <f>COUNTIF(Ocorrências!$E$7:$E$156,$J21)</f>
        <v/>
      </c>
      <c r="L21" s="21">
        <f>COUNTIFS(Ocorrências!$E$7:$E$156,$J21,Ocorrências!$F$7:$F$156,"Alta")</f>
        <v/>
      </c>
    </row>
    <row r="22" ht="17" customHeight="1">
      <c r="B22" s="18" t="inlineStr">
        <is>
          <t>Ferragens e acessórios</t>
        </is>
      </c>
      <c r="C22" s="19">
        <f>COUNTIF(Fornecedores!$C$7:$C$66,$B22)</f>
        <v/>
      </c>
      <c r="D22" s="20">
        <f>SUMIF(Fornecedores!$C$7:$C$66,$B22,Fornecedores!$Q$7:$Q$66)</f>
        <v/>
      </c>
      <c r="F22" s="18" t="inlineStr">
        <is>
          <t>Em avaliação</t>
        </is>
      </c>
      <c r="G22" s="19">
        <f>COUNTIF(Fornecedores!$M$7:$M$66,$F22)</f>
        <v/>
      </c>
      <c r="H22" s="20">
        <f>SUMIF(Fornecedores!$M$7:$M$66,$F22,Fornecedores!$Q$7:$Q$66)</f>
        <v/>
      </c>
      <c r="J22" s="18" t="inlineStr">
        <is>
          <t>Item errado</t>
        </is>
      </c>
      <c r="K22" s="19">
        <f>COUNTIF(Ocorrências!$E$7:$E$156,$J22)</f>
        <v/>
      </c>
      <c r="L22" s="21">
        <f>COUNTIFS(Ocorrências!$E$7:$E$156,$J22,Ocorrências!$F$7:$F$156,"Alta")</f>
        <v/>
      </c>
    </row>
    <row r="23" ht="17" customHeight="1">
      <c r="B23" s="18" t="inlineStr">
        <is>
          <t>Fitas de borda</t>
        </is>
      </c>
      <c r="C23" s="19">
        <f>COUNTIF(Fornecedores!$C$7:$C$66,$B23)</f>
        <v/>
      </c>
      <c r="D23" s="20">
        <f>SUMIF(Fornecedores!$C$7:$C$66,$B23,Fornecedores!$Q$7:$Q$66)</f>
        <v/>
      </c>
      <c r="F23" s="18" t="inlineStr">
        <is>
          <t>Preferencial</t>
        </is>
      </c>
      <c r="G23" s="19">
        <f>COUNTIF(Fornecedores!$M$7:$M$66,$F23)</f>
        <v/>
      </c>
      <c r="H23" s="20">
        <f>SUMIF(Fornecedores!$M$7:$M$66,$F23,Fornecedores!$Q$7:$Q$66)</f>
        <v/>
      </c>
      <c r="J23" s="18" t="inlineStr">
        <is>
          <t>Quantidade divergente</t>
        </is>
      </c>
      <c r="K23" s="19">
        <f>COUNTIF(Ocorrências!$E$7:$E$156,$J23)</f>
        <v/>
      </c>
      <c r="L23" s="21">
        <f>COUNTIFS(Ocorrências!$E$7:$E$156,$J23,Ocorrências!$F$7:$F$156,"Alta")</f>
        <v/>
      </c>
    </row>
    <row r="24" ht="17" customHeight="1">
      <c r="B24" s="18" t="inlineStr">
        <is>
          <t>Colas e adesivos</t>
        </is>
      </c>
      <c r="C24" s="19">
        <f>COUNTIF(Fornecedores!$C$7:$C$66,$B24)</f>
        <v/>
      </c>
      <c r="D24" s="20">
        <f>SUMIF(Fornecedores!$C$7:$C$66,$B24,Fornecedores!$Q$7:$Q$66)</f>
        <v/>
      </c>
      <c r="F24" s="18" t="inlineStr">
        <is>
          <t>Restrito</t>
        </is>
      </c>
      <c r="G24" s="19">
        <f>COUNTIF(Fornecedores!$M$7:$M$66,$F24)</f>
        <v/>
      </c>
      <c r="H24" s="20">
        <f>SUMIF(Fornecedores!$M$7:$M$66,$F24,Fornecedores!$Q$7:$Q$66)</f>
        <v/>
      </c>
      <c r="J24" s="18" t="inlineStr">
        <is>
          <t>Avaria no transporte</t>
        </is>
      </c>
      <c r="K24" s="19">
        <f>COUNTIF(Ocorrências!$E$7:$E$156,$J24)</f>
        <v/>
      </c>
      <c r="L24" s="21">
        <f>COUNTIFS(Ocorrências!$E$7:$E$156,$J24,Ocorrências!$F$7:$F$156,"Alta")</f>
        <v/>
      </c>
    </row>
    <row r="25" ht="17" customHeight="1">
      <c r="B25" s="18" t="inlineStr">
        <is>
          <t>Iluminação</t>
        </is>
      </c>
      <c r="C25" s="19">
        <f>COUNTIF(Fornecedores!$C$7:$C$66,$B25)</f>
        <v/>
      </c>
      <c r="D25" s="20">
        <f>SUMIF(Fornecedores!$C$7:$C$66,$B25,Fornecedores!$Q$7:$Q$66)</f>
        <v/>
      </c>
      <c r="F25" s="18" t="inlineStr">
        <is>
          <t>Bloqueado</t>
        </is>
      </c>
      <c r="G25" s="19">
        <f>COUNTIF(Fornecedores!$M$7:$M$66,$F25)</f>
        <v/>
      </c>
      <c r="H25" s="20">
        <f>SUMIF(Fornecedores!$M$7:$M$66,$F25,Fornecedores!$Q$7:$Q$66)</f>
        <v/>
      </c>
      <c r="J25" s="18" t="inlineStr">
        <is>
          <t>Qualidade abaixo do padrão</t>
        </is>
      </c>
      <c r="K25" s="19">
        <f>COUNTIF(Ocorrências!$E$7:$E$156,$J25)</f>
        <v/>
      </c>
      <c r="L25" s="21">
        <f>COUNTIFS(Ocorrências!$E$7:$E$156,$J25,Ocorrências!$F$7:$F$156,"Alta")</f>
        <v/>
      </c>
    </row>
    <row r="26" ht="17" customHeight="1">
      <c r="B26" s="18" t="inlineStr">
        <is>
          <t>Vidros e espelhos</t>
        </is>
      </c>
      <c r="C26" s="19">
        <f>COUNTIF(Fornecedores!$C$7:$C$66,$B26)</f>
        <v/>
      </c>
      <c r="D26" s="20">
        <f>SUMIF(Fornecedores!$C$7:$C$66,$B26,Fornecedores!$Q$7:$Q$66)</f>
        <v/>
      </c>
      <c r="F26" s="18" t="inlineStr">
        <is>
          <t>Inativo</t>
        </is>
      </c>
      <c r="G26" s="19">
        <f>COUNTIF(Fornecedores!$M$7:$M$66,$F26)</f>
        <v/>
      </c>
      <c r="H26" s="20">
        <f>SUMIF(Fornecedores!$M$7:$M$66,$F26,Fornecedores!$Q$7:$Q$66)</f>
        <v/>
      </c>
      <c r="J26" s="18" t="inlineStr">
        <is>
          <t>Cobrança indevida</t>
        </is>
      </c>
      <c r="K26" s="19">
        <f>COUNTIF(Ocorrências!$E$7:$E$156,$J26)</f>
        <v/>
      </c>
      <c r="L26" s="21">
        <f>COUNTIFS(Ocorrências!$E$7:$E$156,$J26,Ocorrências!$F$7:$F$156,"Alta")</f>
        <v/>
      </c>
    </row>
    <row r="27" ht="17" customHeight="1">
      <c r="B27" s="18" t="inlineStr">
        <is>
          <t>Pedras e superfícies</t>
        </is>
      </c>
      <c r="C27" s="19">
        <f>COUNTIF(Fornecedores!$C$7:$C$66,$B27)</f>
        <v/>
      </c>
      <c r="D27" s="20">
        <f>SUMIF(Fornecedores!$C$7:$C$66,$B27,Fornecedores!$Q$7:$Q$66)</f>
        <v/>
      </c>
      <c r="J27" s="18" t="inlineStr">
        <is>
          <t>Nota fiscal incorreta</t>
        </is>
      </c>
      <c r="K27" s="19">
        <f>COUNTIF(Ocorrências!$E$7:$E$156,$J27)</f>
        <v/>
      </c>
      <c r="L27" s="21">
        <f>COUNTIFS(Ocorrências!$E$7:$E$156,$J27,Ocorrências!$F$7:$F$156,"Alta")</f>
        <v/>
      </c>
    </row>
    <row r="28" ht="17" customHeight="1">
      <c r="B28" s="18" t="inlineStr">
        <is>
          <t>Tintas e acabamentos</t>
        </is>
      </c>
      <c r="C28" s="19">
        <f>COUNTIF(Fornecedores!$C$7:$C$66,$B28)</f>
        <v/>
      </c>
      <c r="D28" s="20">
        <f>SUMIF(Fornecedores!$C$7:$C$66,$B28,Fornecedores!$Q$7:$Q$66)</f>
        <v/>
      </c>
      <c r="J28" s="18" t="inlineStr">
        <is>
          <t>Falta de retorno do vendedor</t>
        </is>
      </c>
      <c r="K28" s="19">
        <f>COUNTIF(Ocorrências!$E$7:$E$156,$J28)</f>
        <v/>
      </c>
      <c r="L28" s="21">
        <f>COUNTIFS(Ocorrências!$E$7:$E$156,$J28,Ocorrências!$F$7:$F$156,"Alta")</f>
        <v/>
      </c>
    </row>
    <row r="29" ht="17" customHeight="1">
      <c r="B29" s="18" t="inlineStr">
        <is>
          <t>Ferramentas e consumíveis</t>
        </is>
      </c>
      <c r="C29" s="19">
        <f>COUNTIF(Fornecedores!$C$7:$C$66,$B29)</f>
        <v/>
      </c>
      <c r="D29" s="20">
        <f>SUMIF(Fornecedores!$C$7:$C$66,$B29,Fornecedores!$Q$7:$Q$66)</f>
        <v/>
      </c>
      <c r="J29" s="18" t="inlineStr">
        <is>
          <t>Outro</t>
        </is>
      </c>
      <c r="K29" s="19">
        <f>COUNTIF(Ocorrências!$E$7:$E$156,$J29)</f>
        <v/>
      </c>
      <c r="L29" s="21">
        <f>COUNTIFS(Ocorrências!$E$7:$E$156,$J29,Ocorrências!$F$7:$F$156,"Alta")</f>
        <v/>
      </c>
    </row>
    <row r="30" ht="17" customHeight="1">
      <c r="B30" s="18" t="inlineStr">
        <is>
          <t>Serviços terceirizados</t>
        </is>
      </c>
      <c r="C30" s="19">
        <f>COUNTIF(Fornecedores!$C$7:$C$66,$B30)</f>
        <v/>
      </c>
      <c r="D30" s="20">
        <f>SUMIF(Fornecedores!$C$7:$C$66,$B30,Fornecedores!$Q$7:$Q$66)</f>
        <v/>
      </c>
    </row>
    <row r="31" ht="17" customHeight="1">
      <c r="B31" s="18" t="inlineStr">
        <is>
          <t>Máquinas e equipamentos</t>
        </is>
      </c>
      <c r="C31" s="19">
        <f>COUNTIF(Fornecedores!$C$7:$C$66,$B31)</f>
        <v/>
      </c>
      <c r="D31" s="20">
        <f>SUMIF(Fornecedores!$C$7:$C$66,$B31,Fornecedores!$Q$7:$Q$66)</f>
        <v/>
      </c>
    </row>
    <row r="32" ht="17" customHeight="1">
      <c r="B32" s="18" t="inlineStr">
        <is>
          <t>Logística e transporte</t>
        </is>
      </c>
      <c r="C32" s="19">
        <f>COUNTIF(Fornecedores!$C$7:$C$66,$B32)</f>
        <v/>
      </c>
      <c r="D32" s="20">
        <f>SUMIF(Fornecedores!$C$7:$C$66,$B32,Fornecedores!$Q$7:$Q$66)</f>
        <v/>
      </c>
    </row>
    <row r="33" ht="17" customHeight="1">
      <c r="B33" s="18" t="inlineStr">
        <is>
          <t>Outros</t>
        </is>
      </c>
      <c r="C33" s="19">
        <f>COUNTIF(Fornecedores!$C$7:$C$66,$B33)</f>
        <v/>
      </c>
      <c r="D33" s="20">
        <f>SUMIF(Fornecedores!$C$7:$C$66,$B33,Fornecedores!$Q$7:$Q$66)</f>
        <v/>
      </c>
    </row>
    <row r="34" ht="19" customHeight="1">
      <c r="B34" s="22" t="inlineStr">
        <is>
          <t>Total</t>
        </is>
      </c>
      <c r="C34" s="23">
        <f>SUM(C21:C33)</f>
        <v/>
      </c>
      <c r="D34" s="24">
        <f>SUM(D21:D33)</f>
        <v/>
      </c>
      <c r="F34" s="22" t="inlineStr">
        <is>
          <t>Total</t>
        </is>
      </c>
      <c r="G34" s="23">
        <f>SUM(G21:G26)</f>
        <v/>
      </c>
      <c r="H34" s="24">
        <f>SUM(H21:H26)</f>
        <v/>
      </c>
      <c r="J34" s="22" t="inlineStr">
        <is>
          <t>Total</t>
        </is>
      </c>
      <c r="K34" s="23">
        <f>SUM(K21:K29)</f>
        <v/>
      </c>
      <c r="L34" s="25">
        <f>SUM(L21:L29)</f>
        <v/>
      </c>
    </row>
    <row r="36" ht="20" customHeight="1">
      <c r="A36" s="5" t="inlineStr">
        <is>
          <t xml:space="preserve">  COMO LER ESTE PAINEL</t>
        </is>
      </c>
    </row>
    <row r="38" ht="16" customHeight="1">
      <c r="B38" s="26" t="inlineStr">
        <is>
          <t>•  Nada aqui é digitado — tudo vem das abas Fornecedores, Compras e Ocorrências.</t>
        </is>
      </c>
    </row>
    <row r="39" ht="16" customHeight="1">
      <c r="B39" s="26" t="inlineStr">
        <is>
          <t>•  O período de análise é definido pelas duas datas na aba Listas. Mudou lá, muda tudo aqui.</t>
        </is>
      </c>
    </row>
    <row r="40" ht="16" customHeight="1">
      <c r="B40" s="26" t="inlineStr">
        <is>
          <t>•  "Maior concentração" é o percentual de compra do fornecedor mais forte. Acima de 40%, a dependência já é um risco de negociação e de abastecimento.</t>
        </is>
      </c>
    </row>
    <row r="41" ht="16" customHeight="1">
      <c r="B41" s="26" t="inlineStr">
        <is>
          <t>•  O índice de problemas é ocorrências dividido por compras — é medida, não impressão. Um fornecedor barato com 30% de problemas custa caro.</t>
        </is>
      </c>
    </row>
    <row r="42" ht="16" customHeight="1">
      <c r="B42" s="26" t="inlineStr">
        <is>
          <t>•  Preço, atendimento e qualidade continuam sendo julgamento seu; o score apenas combina esse julgamento com o histórico real.</t>
        </is>
      </c>
    </row>
  </sheetData>
  <mergeCells count="33">
    <mergeCell ref="B11:D11"/>
    <mergeCell ref="B14:D14"/>
    <mergeCell ref="B8:D8"/>
    <mergeCell ref="F8:H8"/>
    <mergeCell ref="J9:L9"/>
    <mergeCell ref="A3:L3"/>
    <mergeCell ref="J11:L11"/>
    <mergeCell ref="A2:L2"/>
    <mergeCell ref="B19:D19"/>
    <mergeCell ref="B39:L39"/>
    <mergeCell ref="B9:D9"/>
    <mergeCell ref="B42:L42"/>
    <mergeCell ref="A17:L17"/>
    <mergeCell ref="F9:H9"/>
    <mergeCell ref="J12:L12"/>
    <mergeCell ref="B15:D15"/>
    <mergeCell ref="A4:L4"/>
    <mergeCell ref="F14:H14"/>
    <mergeCell ref="B38:L38"/>
    <mergeCell ref="J8:L8"/>
    <mergeCell ref="F11:H11"/>
    <mergeCell ref="B40:L40"/>
    <mergeCell ref="J14:L14"/>
    <mergeCell ref="F19:H19"/>
    <mergeCell ref="J19:L19"/>
    <mergeCell ref="A1:L1"/>
    <mergeCell ref="A36:L36"/>
    <mergeCell ref="A6:L6"/>
    <mergeCell ref="F12:H12"/>
    <mergeCell ref="B12:D12"/>
    <mergeCell ref="F15:H15"/>
    <mergeCell ref="B41:L41"/>
    <mergeCell ref="J15:L15"/>
  </mergeCells>
  <pageMargins left="0.45" right="0.35" top="0.4" bottom="0.3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7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0" customWidth="1" min="4" max="4"/>
    <col width="20" customWidth="1" min="5" max="5"/>
    <col width="20" customWidth="1" min="6" max="6"/>
    <col width="20" customWidth="1" min="7" max="7"/>
    <col width="26" customWidth="1" min="8" max="8"/>
    <col width="26" customWidth="1" min="9" max="9"/>
    <col width="14" customWidth="1" min="10" max="10"/>
    <col width="22" customWidth="1" min="11" max="11"/>
    <col width="16" customWidth="1" min="12" max="12"/>
    <col width="14" customWidth="1" min="13" max="13"/>
    <col width="11" customWidth="1" min="14" max="14"/>
    <col width="13" customWidth="1" min="15" max="15"/>
    <col width="12" customWidth="1" min="16" max="16"/>
    <col width="17" customWidth="1" min="17" max="17"/>
    <col width="11" customWidth="1" min="18" max="18"/>
    <col width="11" customWidth="1" min="19" max="19"/>
    <col width="11" customWidth="1" min="20" max="20"/>
    <col width="13" customWidth="1" min="21" max="21"/>
    <col width="13" customWidth="1" min="22" max="22"/>
    <col width="11" customWidth="1" min="23" max="23"/>
    <col width="13" customWidth="1" min="24" max="24"/>
    <col width="44" customWidth="1" min="25" max="25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GESTÃO DE FORNECEDORES</t>
        </is>
      </c>
    </row>
    <row r="4" ht="17" customHeight="1">
      <c r="A4" s="4" t="inlineStr">
        <is>
          <t>Cadastro único · fundo creme = preencher · fundo cinza-azulado = calculado a partir das abas Compras e Ocorrências</t>
        </is>
      </c>
    </row>
    <row r="6" ht="32" customHeight="1">
      <c r="A6" s="27" t="inlineStr">
        <is>
          <t>Código</t>
        </is>
      </c>
      <c r="B6" s="27" t="inlineStr">
        <is>
          <t>Empresa</t>
        </is>
      </c>
      <c r="C6" s="27" t="inlineStr">
        <is>
          <t>Segmento</t>
        </is>
      </c>
      <c r="D6" s="27" t="inlineStr">
        <is>
          <t>Insumos que fornece</t>
        </is>
      </c>
      <c r="E6" s="27" t="inlineStr">
        <is>
          <t>CNPJ</t>
        </is>
      </c>
      <c r="F6" s="27" t="inlineStr">
        <is>
          <t>Vendedor</t>
        </is>
      </c>
      <c r="G6" s="27" t="inlineStr">
        <is>
          <t>Contato / WhatsApp</t>
        </is>
      </c>
      <c r="H6" s="27" t="inlineStr">
        <is>
          <t>E-mail</t>
        </is>
      </c>
      <c r="I6" s="27" t="inlineStr">
        <is>
          <t>Chave PIX</t>
        </is>
      </c>
      <c r="J6" s="27" t="inlineStr">
        <is>
          <t>Tipo da chave</t>
        </is>
      </c>
      <c r="K6" s="27" t="inlineStr">
        <is>
          <t>Métodos de pagamento</t>
        </is>
      </c>
      <c r="L6" s="27" t="inlineStr">
        <is>
          <t>Condição padrão</t>
        </is>
      </c>
      <c r="M6" s="27" t="inlineStr">
        <is>
          <t>Situação</t>
        </is>
      </c>
      <c r="N6" s="27" t="inlineStr">
        <is>
          <t>Preço (1–5)</t>
        </is>
      </c>
      <c r="O6" s="27" t="inlineStr">
        <is>
          <t>Atendimento (1–5)</t>
        </is>
      </c>
      <c r="P6" s="27" t="inlineStr">
        <is>
          <t>Qualidade (1–5)</t>
        </is>
      </c>
      <c r="Q6" s="27" t="inlineStr">
        <is>
          <t>Compras no período</t>
        </is>
      </c>
      <c r="R6" s="27" t="inlineStr">
        <is>
          <t>% de compra</t>
        </is>
      </c>
      <c r="S6" s="27" t="inlineStr">
        <is>
          <t>Nº de compras</t>
        </is>
      </c>
      <c r="T6" s="27" t="inlineStr">
        <is>
          <t>Ocorrências</t>
        </is>
      </c>
      <c r="U6" s="27" t="inlineStr">
        <is>
          <t>Índice de problemas</t>
        </is>
      </c>
      <c r="V6" s="27" t="inlineStr">
        <is>
          <t>Entregas no prazo</t>
        </is>
      </c>
      <c r="W6" s="27" t="inlineStr">
        <is>
          <t>Score geral</t>
        </is>
      </c>
      <c r="X6" s="27" t="inlineStr">
        <is>
          <t>Última compra</t>
        </is>
      </c>
      <c r="Y6" s="27" t="inlineStr">
        <is>
          <t>Pontos de atenção</t>
        </is>
      </c>
    </row>
    <row r="7" ht="22" customHeight="1">
      <c r="A7" s="28" t="inlineStr">
        <is>
          <t>FOR-001</t>
        </is>
      </c>
      <c r="B7" s="29" t="inlineStr">
        <is>
          <t>MADEGEM — Comércio de Madeiras Ltda</t>
        </is>
      </c>
      <c r="C7" s="30" t="inlineStr">
        <is>
          <t>Chapas e madeiras</t>
        </is>
      </c>
      <c r="D7" s="30" t="inlineStr">
        <is>
          <t>MDF, MDP, compensado, chapas cruas e revestidas</t>
        </is>
      </c>
      <c r="E7" s="31" t="n"/>
      <c r="F7" s="30" t="n"/>
      <c r="G7" s="31" t="n"/>
      <c r="H7" s="30" t="n"/>
      <c r="I7" s="30" t="n"/>
      <c r="J7" s="31" t="n"/>
      <c r="K7" s="30" t="n"/>
      <c r="L7" s="30" t="n"/>
      <c r="M7" s="30" t="inlineStr">
        <is>
          <t>Ativo</t>
        </is>
      </c>
      <c r="N7" s="31" t="n"/>
      <c r="O7" s="31" t="n"/>
      <c r="P7" s="31" t="n"/>
      <c r="Q7" s="32">
        <f>SUMIFS(Compras!$F$7:$F$306,Compras!$B$7:$B$306,$A7,Compras!$A$7:$A$306,"&gt;="&amp;Listas!$L$2,Compras!$A$7:$A$306,"&lt;="&amp;Listas!$L$3)</f>
        <v/>
      </c>
      <c r="R7" s="33">
        <f>IF($Q$67=0,"",$Q7/$Q$67)</f>
        <v/>
      </c>
      <c r="S7" s="34">
        <f>COUNTIFS(Compras!$B$7:$B$306,$A7,Compras!$A$7:$A$306,"&gt;="&amp;Listas!$L$2,Compras!$A$7:$A$306,"&lt;="&amp;Listas!$L$3)</f>
        <v/>
      </c>
      <c r="T7" s="34">
        <f>COUNTIFS(Ocorrências!$B$7:$B$156,$A7,Ocorrências!$A$7:$A$156,"&gt;="&amp;Listas!$L$2,Ocorrências!$A$7:$A$156,"&lt;="&amp;Listas!$L$3)</f>
        <v/>
      </c>
      <c r="U7" s="33">
        <f>IF($S7=0,"",$T7/$S7)</f>
        <v/>
      </c>
      <c r="V7" s="35">
        <f>IF(COUNTIFS(Compras!$B$7:$B$306,$A7,Compras!$I$7:$I$306,"Sim",Compras!$A$7:$A$306,"&gt;="&amp;Listas!$L$2,Compras!$A$7:$A$306,"&lt;="&amp;Listas!$L$3)+COUNTIFS(Compras!$B$7:$B$306,$A7,Compras!$I$7:$I$306,"Não",Compras!$A$7:$A$306,"&gt;="&amp;Listas!$L$2,Compras!$A$7:$A$306,"&lt;="&amp;Listas!$L$3)=0,"",COUNTIFS(Compras!$B$7:$B$306,$A7,Compras!$I$7:$I$306,"Sim",Compras!$A$7:$A$306,"&gt;="&amp;Listas!$L$2,Compras!$A$7:$A$306,"&lt;="&amp;Listas!$L$3)/(COUNTIFS(Compras!$B$7:$B$306,$A7,Compras!$I$7:$I$306,"Sim",Compras!$A$7:$A$306,"&gt;="&amp;Listas!$L$2,Compras!$A$7:$A$306,"&lt;="&amp;Listas!$L$3)+COUNTIFS(Compras!$B$7:$B$306,$A7,Compras!$I$7:$I$306,"Não",Compras!$A$7:$A$306,"&gt;="&amp;Listas!$L$2,Compras!$A$7:$A$306,"&lt;="&amp;Listas!$L$3)))</f>
        <v/>
      </c>
      <c r="W7" s="36">
        <f>IF(COUNT($N7:$P7)&lt;3,"",ROUND(($N7*0.35+$O7*0.35+$P7*0.3)*(1-IF($U7="",0,$U7)),2))</f>
        <v/>
      </c>
      <c r="X7" s="37">
        <f>IF($S7=0,"",SUMPRODUCT(MAX((Compras!$B$7:$B$306=$A7)*Compras!$A$7:$A$306)))</f>
        <v/>
      </c>
      <c r="Y7" s="30" t="n"/>
    </row>
    <row r="8" ht="22" customHeight="1">
      <c r="A8" s="28" t="inlineStr">
        <is>
          <t>FOR-002</t>
        </is>
      </c>
      <c r="B8" s="29" t="inlineStr">
        <is>
          <t>Bigfer</t>
        </is>
      </c>
      <c r="C8" s="30" t="inlineStr">
        <is>
          <t>Ferragens e acessórios</t>
        </is>
      </c>
      <c r="D8" s="30" t="inlineStr">
        <is>
          <t>Ferragens, corrediças, dobradiças, puxadores</t>
        </is>
      </c>
      <c r="E8" s="31" t="n"/>
      <c r="F8" s="30" t="n"/>
      <c r="G8" s="31" t="n"/>
      <c r="H8" s="30" t="n"/>
      <c r="I8" s="30" t="n"/>
      <c r="J8" s="31" t="n"/>
      <c r="K8" s="30" t="n"/>
      <c r="L8" s="30" t="n"/>
      <c r="M8" s="30" t="inlineStr">
        <is>
          <t>Ativo</t>
        </is>
      </c>
      <c r="N8" s="31" t="n"/>
      <c r="O8" s="31" t="n"/>
      <c r="P8" s="31" t="n"/>
      <c r="Q8" s="32">
        <f>SUMIFS(Compras!$F$7:$F$306,Compras!$B$7:$B$306,$A8,Compras!$A$7:$A$306,"&gt;="&amp;Listas!$L$2,Compras!$A$7:$A$306,"&lt;="&amp;Listas!$L$3)</f>
        <v/>
      </c>
      <c r="R8" s="33">
        <f>IF($Q$67=0,"",$Q8/$Q$67)</f>
        <v/>
      </c>
      <c r="S8" s="34">
        <f>COUNTIFS(Compras!$B$7:$B$306,$A8,Compras!$A$7:$A$306,"&gt;="&amp;Listas!$L$2,Compras!$A$7:$A$306,"&lt;="&amp;Listas!$L$3)</f>
        <v/>
      </c>
      <c r="T8" s="34">
        <f>COUNTIFS(Ocorrências!$B$7:$B$156,$A8,Ocorrências!$A$7:$A$156,"&gt;="&amp;Listas!$L$2,Ocorrências!$A$7:$A$156,"&lt;="&amp;Listas!$L$3)</f>
        <v/>
      </c>
      <c r="U8" s="33">
        <f>IF($S8=0,"",$T8/$S8)</f>
        <v/>
      </c>
      <c r="V8" s="35">
        <f>IF(COUNTIFS(Compras!$B$7:$B$306,$A8,Compras!$I$7:$I$306,"Sim",Compras!$A$7:$A$306,"&gt;="&amp;Listas!$L$2,Compras!$A$7:$A$306,"&lt;="&amp;Listas!$L$3)+COUNTIFS(Compras!$B$7:$B$306,$A8,Compras!$I$7:$I$306,"Não",Compras!$A$7:$A$306,"&gt;="&amp;Listas!$L$2,Compras!$A$7:$A$306,"&lt;="&amp;Listas!$L$3)=0,"",COUNTIFS(Compras!$B$7:$B$306,$A8,Compras!$I$7:$I$306,"Sim",Compras!$A$7:$A$306,"&gt;="&amp;Listas!$L$2,Compras!$A$7:$A$306,"&lt;="&amp;Listas!$L$3)/(COUNTIFS(Compras!$B$7:$B$306,$A8,Compras!$I$7:$I$306,"Sim",Compras!$A$7:$A$306,"&gt;="&amp;Listas!$L$2,Compras!$A$7:$A$306,"&lt;="&amp;Listas!$L$3)+COUNTIFS(Compras!$B$7:$B$306,$A8,Compras!$I$7:$I$306,"Não",Compras!$A$7:$A$306,"&gt;="&amp;Listas!$L$2,Compras!$A$7:$A$306,"&lt;="&amp;Listas!$L$3)))</f>
        <v/>
      </c>
      <c r="W8" s="36">
        <f>IF(COUNT($N8:$P8)&lt;3,"",ROUND(($N8*0.35+$O8*0.35+$P8*0.3)*(1-IF($U8="",0,$U8)),2))</f>
        <v/>
      </c>
      <c r="X8" s="37">
        <f>IF($S8=0,"",SUMPRODUCT(MAX((Compras!$B$7:$B$306=$A8)*Compras!$A$7:$A$306)))</f>
        <v/>
      </c>
      <c r="Y8" s="30" t="n"/>
    </row>
    <row r="9" ht="22" customHeight="1">
      <c r="A9" s="28" t="inlineStr">
        <is>
          <t>FOR-003</t>
        </is>
      </c>
      <c r="B9" s="29" t="inlineStr">
        <is>
          <t>JR Ferragens</t>
        </is>
      </c>
      <c r="C9" s="30" t="inlineStr">
        <is>
          <t>Ferragens e acessórios</t>
        </is>
      </c>
      <c r="D9" s="30" t="inlineStr">
        <is>
          <t>Ferragens em geral e acessórios de montagem</t>
        </is>
      </c>
      <c r="E9" s="31" t="n"/>
      <c r="F9" s="30" t="n"/>
      <c r="G9" s="31" t="n"/>
      <c r="H9" s="30" t="n"/>
      <c r="I9" s="30" t="n"/>
      <c r="J9" s="31" t="n"/>
      <c r="K9" s="30" t="n"/>
      <c r="L9" s="30" t="n"/>
      <c r="M9" s="30" t="inlineStr">
        <is>
          <t>Ativo</t>
        </is>
      </c>
      <c r="N9" s="31" t="n"/>
      <c r="O9" s="31" t="n"/>
      <c r="P9" s="31" t="n"/>
      <c r="Q9" s="32">
        <f>SUMIFS(Compras!$F$7:$F$306,Compras!$B$7:$B$306,$A9,Compras!$A$7:$A$306,"&gt;="&amp;Listas!$L$2,Compras!$A$7:$A$306,"&lt;="&amp;Listas!$L$3)</f>
        <v/>
      </c>
      <c r="R9" s="33">
        <f>IF($Q$67=0,"",$Q9/$Q$67)</f>
        <v/>
      </c>
      <c r="S9" s="34">
        <f>COUNTIFS(Compras!$B$7:$B$306,$A9,Compras!$A$7:$A$306,"&gt;="&amp;Listas!$L$2,Compras!$A$7:$A$306,"&lt;="&amp;Listas!$L$3)</f>
        <v/>
      </c>
      <c r="T9" s="34">
        <f>COUNTIFS(Ocorrências!$B$7:$B$156,$A9,Ocorrências!$A$7:$A$156,"&gt;="&amp;Listas!$L$2,Ocorrências!$A$7:$A$156,"&lt;="&amp;Listas!$L$3)</f>
        <v/>
      </c>
      <c r="U9" s="33">
        <f>IF($S9=0,"",$T9/$S9)</f>
        <v/>
      </c>
      <c r="V9" s="35">
        <f>IF(COUNTIFS(Compras!$B$7:$B$306,$A9,Compras!$I$7:$I$306,"Sim",Compras!$A$7:$A$306,"&gt;="&amp;Listas!$L$2,Compras!$A$7:$A$306,"&lt;="&amp;Listas!$L$3)+COUNTIFS(Compras!$B$7:$B$306,$A9,Compras!$I$7:$I$306,"Não",Compras!$A$7:$A$306,"&gt;="&amp;Listas!$L$2,Compras!$A$7:$A$306,"&lt;="&amp;Listas!$L$3)=0,"",COUNTIFS(Compras!$B$7:$B$306,$A9,Compras!$I$7:$I$306,"Sim",Compras!$A$7:$A$306,"&gt;="&amp;Listas!$L$2,Compras!$A$7:$A$306,"&lt;="&amp;Listas!$L$3)/(COUNTIFS(Compras!$B$7:$B$306,$A9,Compras!$I$7:$I$306,"Sim",Compras!$A$7:$A$306,"&gt;="&amp;Listas!$L$2,Compras!$A$7:$A$306,"&lt;="&amp;Listas!$L$3)+COUNTIFS(Compras!$B$7:$B$306,$A9,Compras!$I$7:$I$306,"Não",Compras!$A$7:$A$306,"&gt;="&amp;Listas!$L$2,Compras!$A$7:$A$306,"&lt;="&amp;Listas!$L$3)))</f>
        <v/>
      </c>
      <c r="W9" s="36">
        <f>IF(COUNT($N9:$P9)&lt;3,"",ROUND(($N9*0.35+$O9*0.35+$P9*0.3)*(1-IF($U9="",0,$U9)),2))</f>
        <v/>
      </c>
      <c r="X9" s="37">
        <f>IF($S9=0,"",SUMPRODUCT(MAX((Compras!$B$7:$B$306=$A9)*Compras!$A$7:$A$306)))</f>
        <v/>
      </c>
      <c r="Y9" s="30" t="n"/>
    </row>
    <row r="10" ht="22" customHeight="1">
      <c r="A10" s="28" t="inlineStr">
        <is>
          <t>FOR-004</t>
        </is>
      </c>
      <c r="B10" s="29" t="inlineStr">
        <is>
          <t>MGV Distribuidora de Ferragens e Parafusos</t>
        </is>
      </c>
      <c r="C10" s="30" t="inlineStr">
        <is>
          <t>Ferragens e acessórios</t>
        </is>
      </c>
      <c r="D10" s="30" t="inlineStr">
        <is>
          <t>Parafusos, buchas, fixadores e ferragens</t>
        </is>
      </c>
      <c r="E10" s="31" t="n"/>
      <c r="F10" s="30" t="n"/>
      <c r="G10" s="31" t="n"/>
      <c r="H10" s="30" t="n"/>
      <c r="I10" s="30" t="n"/>
      <c r="J10" s="31" t="n"/>
      <c r="K10" s="30" t="n"/>
      <c r="L10" s="30" t="n"/>
      <c r="M10" s="30" t="inlineStr">
        <is>
          <t>Ativo</t>
        </is>
      </c>
      <c r="N10" s="31" t="n"/>
      <c r="O10" s="31" t="n"/>
      <c r="P10" s="31" t="n"/>
      <c r="Q10" s="32">
        <f>SUMIFS(Compras!$F$7:$F$306,Compras!$B$7:$B$306,$A10,Compras!$A$7:$A$306,"&gt;="&amp;Listas!$L$2,Compras!$A$7:$A$306,"&lt;="&amp;Listas!$L$3)</f>
        <v/>
      </c>
      <c r="R10" s="33">
        <f>IF($Q$67=0,"",$Q10/$Q$67)</f>
        <v/>
      </c>
      <c r="S10" s="34">
        <f>COUNTIFS(Compras!$B$7:$B$306,$A10,Compras!$A$7:$A$306,"&gt;="&amp;Listas!$L$2,Compras!$A$7:$A$306,"&lt;="&amp;Listas!$L$3)</f>
        <v/>
      </c>
      <c r="T10" s="34">
        <f>COUNTIFS(Ocorrências!$B$7:$B$156,$A10,Ocorrências!$A$7:$A$156,"&gt;="&amp;Listas!$L$2,Ocorrências!$A$7:$A$156,"&lt;="&amp;Listas!$L$3)</f>
        <v/>
      </c>
      <c r="U10" s="33">
        <f>IF($S10=0,"",$T10/$S10)</f>
        <v/>
      </c>
      <c r="V10" s="35">
        <f>IF(COUNTIFS(Compras!$B$7:$B$306,$A10,Compras!$I$7:$I$306,"Sim",Compras!$A$7:$A$306,"&gt;="&amp;Listas!$L$2,Compras!$A$7:$A$306,"&lt;="&amp;Listas!$L$3)+COUNTIFS(Compras!$B$7:$B$306,$A10,Compras!$I$7:$I$306,"Não",Compras!$A$7:$A$306,"&gt;="&amp;Listas!$L$2,Compras!$A$7:$A$306,"&lt;="&amp;Listas!$L$3)=0,"",COUNTIFS(Compras!$B$7:$B$306,$A10,Compras!$I$7:$I$306,"Sim",Compras!$A$7:$A$306,"&gt;="&amp;Listas!$L$2,Compras!$A$7:$A$306,"&lt;="&amp;Listas!$L$3)/(COUNTIFS(Compras!$B$7:$B$306,$A10,Compras!$I$7:$I$306,"Sim",Compras!$A$7:$A$306,"&gt;="&amp;Listas!$L$2,Compras!$A$7:$A$306,"&lt;="&amp;Listas!$L$3)+COUNTIFS(Compras!$B$7:$B$306,$A10,Compras!$I$7:$I$306,"Não",Compras!$A$7:$A$306,"&gt;="&amp;Listas!$L$2,Compras!$A$7:$A$306,"&lt;="&amp;Listas!$L$3)))</f>
        <v/>
      </c>
      <c r="W10" s="36">
        <f>IF(COUNT($N10:$P10)&lt;3,"",ROUND(($N10*0.35+$O10*0.35+$P10*0.3)*(1-IF($U10="",0,$U10)),2))</f>
        <v/>
      </c>
      <c r="X10" s="37">
        <f>IF($S10=0,"",SUMPRODUCT(MAX((Compras!$B$7:$B$306=$A10)*Compras!$A$7:$A$306)))</f>
        <v/>
      </c>
      <c r="Y10" s="30" t="n"/>
    </row>
    <row r="11" ht="22" customHeight="1">
      <c r="A11" s="28" t="inlineStr">
        <is>
          <t>FOR-005</t>
        </is>
      </c>
      <c r="B11" s="29" t="inlineStr">
        <is>
          <t>Ferragens Ipê</t>
        </is>
      </c>
      <c r="C11" s="30" t="inlineStr">
        <is>
          <t>Ferragens e acessórios</t>
        </is>
      </c>
      <c r="D11" s="30" t="inlineStr">
        <is>
          <t>Ferragens e acessórios diversos</t>
        </is>
      </c>
      <c r="E11" s="31" t="n"/>
      <c r="F11" s="30" t="n"/>
      <c r="G11" s="31" t="n"/>
      <c r="H11" s="30" t="n"/>
      <c r="I11" s="30" t="n"/>
      <c r="J11" s="31" t="n"/>
      <c r="K11" s="30" t="n"/>
      <c r="L11" s="30" t="n"/>
      <c r="M11" s="30" t="inlineStr">
        <is>
          <t>Ativo</t>
        </is>
      </c>
      <c r="N11" s="31" t="n"/>
      <c r="O11" s="31" t="n"/>
      <c r="P11" s="31" t="n"/>
      <c r="Q11" s="32">
        <f>SUMIFS(Compras!$F$7:$F$306,Compras!$B$7:$B$306,$A11,Compras!$A$7:$A$306,"&gt;="&amp;Listas!$L$2,Compras!$A$7:$A$306,"&lt;="&amp;Listas!$L$3)</f>
        <v/>
      </c>
      <c r="R11" s="33">
        <f>IF($Q$67=0,"",$Q11/$Q$67)</f>
        <v/>
      </c>
      <c r="S11" s="34">
        <f>COUNTIFS(Compras!$B$7:$B$306,$A11,Compras!$A$7:$A$306,"&gt;="&amp;Listas!$L$2,Compras!$A$7:$A$306,"&lt;="&amp;Listas!$L$3)</f>
        <v/>
      </c>
      <c r="T11" s="34">
        <f>COUNTIFS(Ocorrências!$B$7:$B$156,$A11,Ocorrências!$A$7:$A$156,"&gt;="&amp;Listas!$L$2,Ocorrências!$A$7:$A$156,"&lt;="&amp;Listas!$L$3)</f>
        <v/>
      </c>
      <c r="U11" s="33">
        <f>IF($S11=0,"",$T11/$S11)</f>
        <v/>
      </c>
      <c r="V11" s="35">
        <f>IF(COUNTIFS(Compras!$B$7:$B$306,$A11,Compras!$I$7:$I$306,"Sim",Compras!$A$7:$A$306,"&gt;="&amp;Listas!$L$2,Compras!$A$7:$A$306,"&lt;="&amp;Listas!$L$3)+COUNTIFS(Compras!$B$7:$B$306,$A11,Compras!$I$7:$I$306,"Não",Compras!$A$7:$A$306,"&gt;="&amp;Listas!$L$2,Compras!$A$7:$A$306,"&lt;="&amp;Listas!$L$3)=0,"",COUNTIFS(Compras!$B$7:$B$306,$A11,Compras!$I$7:$I$306,"Sim",Compras!$A$7:$A$306,"&gt;="&amp;Listas!$L$2,Compras!$A$7:$A$306,"&lt;="&amp;Listas!$L$3)/(COUNTIFS(Compras!$B$7:$B$306,$A11,Compras!$I$7:$I$306,"Sim",Compras!$A$7:$A$306,"&gt;="&amp;Listas!$L$2,Compras!$A$7:$A$306,"&lt;="&amp;Listas!$L$3)+COUNTIFS(Compras!$B$7:$B$306,$A11,Compras!$I$7:$I$306,"Não",Compras!$A$7:$A$306,"&gt;="&amp;Listas!$L$2,Compras!$A$7:$A$306,"&lt;="&amp;Listas!$L$3)))</f>
        <v/>
      </c>
      <c r="W11" s="36">
        <f>IF(COUNT($N11:$P11)&lt;3,"",ROUND(($N11*0.35+$O11*0.35+$P11*0.3)*(1-IF($U11="",0,$U11)),2))</f>
        <v/>
      </c>
      <c r="X11" s="37">
        <f>IF($S11=0,"",SUMPRODUCT(MAX((Compras!$B$7:$B$306=$A11)*Compras!$A$7:$A$306)))</f>
        <v/>
      </c>
      <c r="Y11" s="30" t="n"/>
    </row>
    <row r="12" ht="22" customHeight="1">
      <c r="A12" s="31" t="n"/>
      <c r="B12" s="30" t="n"/>
      <c r="C12" s="30" t="n"/>
      <c r="D12" s="30" t="n"/>
      <c r="E12" s="31" t="n"/>
      <c r="F12" s="30" t="n"/>
      <c r="G12" s="31" t="n"/>
      <c r="H12" s="30" t="n"/>
      <c r="I12" s="30" t="n"/>
      <c r="J12" s="31" t="n"/>
      <c r="K12" s="30" t="n"/>
      <c r="L12" s="30" t="n"/>
      <c r="M12" s="30" t="n"/>
      <c r="N12" s="31" t="n"/>
      <c r="O12" s="31" t="n"/>
      <c r="P12" s="31" t="n"/>
      <c r="Q12" s="32">
        <f>SUMIFS(Compras!$F$7:$F$306,Compras!$B$7:$B$306,$A12,Compras!$A$7:$A$306,"&gt;="&amp;Listas!$L$2,Compras!$A$7:$A$306,"&lt;="&amp;Listas!$L$3)</f>
        <v/>
      </c>
      <c r="R12" s="33">
        <f>IF($Q$67=0,"",$Q12/$Q$67)</f>
        <v/>
      </c>
      <c r="S12" s="34">
        <f>COUNTIFS(Compras!$B$7:$B$306,$A12,Compras!$A$7:$A$306,"&gt;="&amp;Listas!$L$2,Compras!$A$7:$A$306,"&lt;="&amp;Listas!$L$3)</f>
        <v/>
      </c>
      <c r="T12" s="34">
        <f>COUNTIFS(Ocorrências!$B$7:$B$156,$A12,Ocorrências!$A$7:$A$156,"&gt;="&amp;Listas!$L$2,Ocorrências!$A$7:$A$156,"&lt;="&amp;Listas!$L$3)</f>
        <v/>
      </c>
      <c r="U12" s="33">
        <f>IF($S12=0,"",$T12/$S12)</f>
        <v/>
      </c>
      <c r="V12" s="35">
        <f>IF(COUNTIFS(Compras!$B$7:$B$306,$A12,Compras!$I$7:$I$306,"Sim",Compras!$A$7:$A$306,"&gt;="&amp;Listas!$L$2,Compras!$A$7:$A$306,"&lt;="&amp;Listas!$L$3)+COUNTIFS(Compras!$B$7:$B$306,$A12,Compras!$I$7:$I$306,"Não",Compras!$A$7:$A$306,"&gt;="&amp;Listas!$L$2,Compras!$A$7:$A$306,"&lt;="&amp;Listas!$L$3)=0,"",COUNTIFS(Compras!$B$7:$B$306,$A12,Compras!$I$7:$I$306,"Sim",Compras!$A$7:$A$306,"&gt;="&amp;Listas!$L$2,Compras!$A$7:$A$306,"&lt;="&amp;Listas!$L$3)/(COUNTIFS(Compras!$B$7:$B$306,$A12,Compras!$I$7:$I$306,"Sim",Compras!$A$7:$A$306,"&gt;="&amp;Listas!$L$2,Compras!$A$7:$A$306,"&lt;="&amp;Listas!$L$3)+COUNTIFS(Compras!$B$7:$B$306,$A12,Compras!$I$7:$I$306,"Não",Compras!$A$7:$A$306,"&gt;="&amp;Listas!$L$2,Compras!$A$7:$A$306,"&lt;="&amp;Listas!$L$3)))</f>
        <v/>
      </c>
      <c r="W12" s="36">
        <f>IF(COUNT($N12:$P12)&lt;3,"",ROUND(($N12*0.35+$O12*0.35+$P12*0.3)*(1-IF($U12="",0,$U12)),2))</f>
        <v/>
      </c>
      <c r="X12" s="37">
        <f>IF($S12=0,"",SUMPRODUCT(MAX((Compras!$B$7:$B$306=$A12)*Compras!$A$7:$A$306)))</f>
        <v/>
      </c>
      <c r="Y12" s="30" t="n"/>
    </row>
    <row r="13" ht="22" customHeight="1">
      <c r="A13" s="31" t="n"/>
      <c r="B13" s="30" t="n"/>
      <c r="C13" s="30" t="n"/>
      <c r="D13" s="30" t="n"/>
      <c r="E13" s="31" t="n"/>
      <c r="F13" s="30" t="n"/>
      <c r="G13" s="31" t="n"/>
      <c r="H13" s="30" t="n"/>
      <c r="I13" s="30" t="n"/>
      <c r="J13" s="31" t="n"/>
      <c r="K13" s="30" t="n"/>
      <c r="L13" s="30" t="n"/>
      <c r="M13" s="30" t="n"/>
      <c r="N13" s="31" t="n"/>
      <c r="O13" s="31" t="n"/>
      <c r="P13" s="31" t="n"/>
      <c r="Q13" s="32">
        <f>SUMIFS(Compras!$F$7:$F$306,Compras!$B$7:$B$306,$A13,Compras!$A$7:$A$306,"&gt;="&amp;Listas!$L$2,Compras!$A$7:$A$306,"&lt;="&amp;Listas!$L$3)</f>
        <v/>
      </c>
      <c r="R13" s="33">
        <f>IF($Q$67=0,"",$Q13/$Q$67)</f>
        <v/>
      </c>
      <c r="S13" s="34">
        <f>COUNTIFS(Compras!$B$7:$B$306,$A13,Compras!$A$7:$A$306,"&gt;="&amp;Listas!$L$2,Compras!$A$7:$A$306,"&lt;="&amp;Listas!$L$3)</f>
        <v/>
      </c>
      <c r="T13" s="34">
        <f>COUNTIFS(Ocorrências!$B$7:$B$156,$A13,Ocorrências!$A$7:$A$156,"&gt;="&amp;Listas!$L$2,Ocorrências!$A$7:$A$156,"&lt;="&amp;Listas!$L$3)</f>
        <v/>
      </c>
      <c r="U13" s="33">
        <f>IF($S13=0,"",$T13/$S13)</f>
        <v/>
      </c>
      <c r="V13" s="35">
        <f>IF(COUNTIFS(Compras!$B$7:$B$306,$A13,Compras!$I$7:$I$306,"Sim",Compras!$A$7:$A$306,"&gt;="&amp;Listas!$L$2,Compras!$A$7:$A$306,"&lt;="&amp;Listas!$L$3)+COUNTIFS(Compras!$B$7:$B$306,$A13,Compras!$I$7:$I$306,"Não",Compras!$A$7:$A$306,"&gt;="&amp;Listas!$L$2,Compras!$A$7:$A$306,"&lt;="&amp;Listas!$L$3)=0,"",COUNTIFS(Compras!$B$7:$B$306,$A13,Compras!$I$7:$I$306,"Sim",Compras!$A$7:$A$306,"&gt;="&amp;Listas!$L$2,Compras!$A$7:$A$306,"&lt;="&amp;Listas!$L$3)/(COUNTIFS(Compras!$B$7:$B$306,$A13,Compras!$I$7:$I$306,"Sim",Compras!$A$7:$A$306,"&gt;="&amp;Listas!$L$2,Compras!$A$7:$A$306,"&lt;="&amp;Listas!$L$3)+COUNTIFS(Compras!$B$7:$B$306,$A13,Compras!$I$7:$I$306,"Não",Compras!$A$7:$A$306,"&gt;="&amp;Listas!$L$2,Compras!$A$7:$A$306,"&lt;="&amp;Listas!$L$3)))</f>
        <v/>
      </c>
      <c r="W13" s="36">
        <f>IF(COUNT($N13:$P13)&lt;3,"",ROUND(($N13*0.35+$O13*0.35+$P13*0.3)*(1-IF($U13="",0,$U13)),2))</f>
        <v/>
      </c>
      <c r="X13" s="37">
        <f>IF($S13=0,"",SUMPRODUCT(MAX((Compras!$B$7:$B$306=$A13)*Compras!$A$7:$A$306)))</f>
        <v/>
      </c>
      <c r="Y13" s="30" t="n"/>
    </row>
    <row r="14" ht="22" customHeight="1">
      <c r="A14" s="31" t="n"/>
      <c r="B14" s="30" t="n"/>
      <c r="C14" s="30" t="n"/>
      <c r="D14" s="30" t="n"/>
      <c r="E14" s="31" t="n"/>
      <c r="F14" s="30" t="n"/>
      <c r="G14" s="31" t="n"/>
      <c r="H14" s="30" t="n"/>
      <c r="I14" s="30" t="n"/>
      <c r="J14" s="31" t="n"/>
      <c r="K14" s="30" t="n"/>
      <c r="L14" s="30" t="n"/>
      <c r="M14" s="30" t="n"/>
      <c r="N14" s="31" t="n"/>
      <c r="O14" s="31" t="n"/>
      <c r="P14" s="31" t="n"/>
      <c r="Q14" s="32">
        <f>SUMIFS(Compras!$F$7:$F$306,Compras!$B$7:$B$306,$A14,Compras!$A$7:$A$306,"&gt;="&amp;Listas!$L$2,Compras!$A$7:$A$306,"&lt;="&amp;Listas!$L$3)</f>
        <v/>
      </c>
      <c r="R14" s="33">
        <f>IF($Q$67=0,"",$Q14/$Q$67)</f>
        <v/>
      </c>
      <c r="S14" s="34">
        <f>COUNTIFS(Compras!$B$7:$B$306,$A14,Compras!$A$7:$A$306,"&gt;="&amp;Listas!$L$2,Compras!$A$7:$A$306,"&lt;="&amp;Listas!$L$3)</f>
        <v/>
      </c>
      <c r="T14" s="34">
        <f>COUNTIFS(Ocorrências!$B$7:$B$156,$A14,Ocorrências!$A$7:$A$156,"&gt;="&amp;Listas!$L$2,Ocorrências!$A$7:$A$156,"&lt;="&amp;Listas!$L$3)</f>
        <v/>
      </c>
      <c r="U14" s="33">
        <f>IF($S14=0,"",$T14/$S14)</f>
        <v/>
      </c>
      <c r="V14" s="35">
        <f>IF(COUNTIFS(Compras!$B$7:$B$306,$A14,Compras!$I$7:$I$306,"Sim",Compras!$A$7:$A$306,"&gt;="&amp;Listas!$L$2,Compras!$A$7:$A$306,"&lt;="&amp;Listas!$L$3)+COUNTIFS(Compras!$B$7:$B$306,$A14,Compras!$I$7:$I$306,"Não",Compras!$A$7:$A$306,"&gt;="&amp;Listas!$L$2,Compras!$A$7:$A$306,"&lt;="&amp;Listas!$L$3)=0,"",COUNTIFS(Compras!$B$7:$B$306,$A14,Compras!$I$7:$I$306,"Sim",Compras!$A$7:$A$306,"&gt;="&amp;Listas!$L$2,Compras!$A$7:$A$306,"&lt;="&amp;Listas!$L$3)/(COUNTIFS(Compras!$B$7:$B$306,$A14,Compras!$I$7:$I$306,"Sim",Compras!$A$7:$A$306,"&gt;="&amp;Listas!$L$2,Compras!$A$7:$A$306,"&lt;="&amp;Listas!$L$3)+COUNTIFS(Compras!$B$7:$B$306,$A14,Compras!$I$7:$I$306,"Não",Compras!$A$7:$A$306,"&gt;="&amp;Listas!$L$2,Compras!$A$7:$A$306,"&lt;="&amp;Listas!$L$3)))</f>
        <v/>
      </c>
      <c r="W14" s="36">
        <f>IF(COUNT($N14:$P14)&lt;3,"",ROUND(($N14*0.35+$O14*0.35+$P14*0.3)*(1-IF($U14="",0,$U14)),2))</f>
        <v/>
      </c>
      <c r="X14" s="37">
        <f>IF($S14=0,"",SUMPRODUCT(MAX((Compras!$B$7:$B$306=$A14)*Compras!$A$7:$A$306)))</f>
        <v/>
      </c>
      <c r="Y14" s="30" t="n"/>
    </row>
    <row r="15" ht="22" customHeight="1">
      <c r="A15" s="31" t="n"/>
      <c r="B15" s="30" t="n"/>
      <c r="C15" s="30" t="n"/>
      <c r="D15" s="30" t="n"/>
      <c r="E15" s="31" t="n"/>
      <c r="F15" s="30" t="n"/>
      <c r="G15" s="31" t="n"/>
      <c r="H15" s="30" t="n"/>
      <c r="I15" s="30" t="n"/>
      <c r="J15" s="31" t="n"/>
      <c r="K15" s="30" t="n"/>
      <c r="L15" s="30" t="n"/>
      <c r="M15" s="30" t="n"/>
      <c r="N15" s="31" t="n"/>
      <c r="O15" s="31" t="n"/>
      <c r="P15" s="31" t="n"/>
      <c r="Q15" s="32">
        <f>SUMIFS(Compras!$F$7:$F$306,Compras!$B$7:$B$306,$A15,Compras!$A$7:$A$306,"&gt;="&amp;Listas!$L$2,Compras!$A$7:$A$306,"&lt;="&amp;Listas!$L$3)</f>
        <v/>
      </c>
      <c r="R15" s="33">
        <f>IF($Q$67=0,"",$Q15/$Q$67)</f>
        <v/>
      </c>
      <c r="S15" s="34">
        <f>COUNTIFS(Compras!$B$7:$B$306,$A15,Compras!$A$7:$A$306,"&gt;="&amp;Listas!$L$2,Compras!$A$7:$A$306,"&lt;="&amp;Listas!$L$3)</f>
        <v/>
      </c>
      <c r="T15" s="34">
        <f>COUNTIFS(Ocorrências!$B$7:$B$156,$A15,Ocorrências!$A$7:$A$156,"&gt;="&amp;Listas!$L$2,Ocorrências!$A$7:$A$156,"&lt;="&amp;Listas!$L$3)</f>
        <v/>
      </c>
      <c r="U15" s="33">
        <f>IF($S15=0,"",$T15/$S15)</f>
        <v/>
      </c>
      <c r="V15" s="35">
        <f>IF(COUNTIFS(Compras!$B$7:$B$306,$A15,Compras!$I$7:$I$306,"Sim",Compras!$A$7:$A$306,"&gt;="&amp;Listas!$L$2,Compras!$A$7:$A$306,"&lt;="&amp;Listas!$L$3)+COUNTIFS(Compras!$B$7:$B$306,$A15,Compras!$I$7:$I$306,"Não",Compras!$A$7:$A$306,"&gt;="&amp;Listas!$L$2,Compras!$A$7:$A$306,"&lt;="&amp;Listas!$L$3)=0,"",COUNTIFS(Compras!$B$7:$B$306,$A15,Compras!$I$7:$I$306,"Sim",Compras!$A$7:$A$306,"&gt;="&amp;Listas!$L$2,Compras!$A$7:$A$306,"&lt;="&amp;Listas!$L$3)/(COUNTIFS(Compras!$B$7:$B$306,$A15,Compras!$I$7:$I$306,"Sim",Compras!$A$7:$A$306,"&gt;="&amp;Listas!$L$2,Compras!$A$7:$A$306,"&lt;="&amp;Listas!$L$3)+COUNTIFS(Compras!$B$7:$B$306,$A15,Compras!$I$7:$I$306,"Não",Compras!$A$7:$A$306,"&gt;="&amp;Listas!$L$2,Compras!$A$7:$A$306,"&lt;="&amp;Listas!$L$3)))</f>
        <v/>
      </c>
      <c r="W15" s="36">
        <f>IF(COUNT($N15:$P15)&lt;3,"",ROUND(($N15*0.35+$O15*0.35+$P15*0.3)*(1-IF($U15="",0,$U15)),2))</f>
        <v/>
      </c>
      <c r="X15" s="37">
        <f>IF($S15=0,"",SUMPRODUCT(MAX((Compras!$B$7:$B$306=$A15)*Compras!$A$7:$A$306)))</f>
        <v/>
      </c>
      <c r="Y15" s="30" t="n"/>
    </row>
    <row r="16" ht="22" customHeight="1">
      <c r="A16" s="31" t="n"/>
      <c r="B16" s="30" t="n"/>
      <c r="C16" s="30" t="n"/>
      <c r="D16" s="30" t="n"/>
      <c r="E16" s="31" t="n"/>
      <c r="F16" s="30" t="n"/>
      <c r="G16" s="31" t="n"/>
      <c r="H16" s="30" t="n"/>
      <c r="I16" s="30" t="n"/>
      <c r="J16" s="31" t="n"/>
      <c r="K16" s="30" t="n"/>
      <c r="L16" s="30" t="n"/>
      <c r="M16" s="30" t="n"/>
      <c r="N16" s="31" t="n"/>
      <c r="O16" s="31" t="n"/>
      <c r="P16" s="31" t="n"/>
      <c r="Q16" s="32">
        <f>SUMIFS(Compras!$F$7:$F$306,Compras!$B$7:$B$306,$A16,Compras!$A$7:$A$306,"&gt;="&amp;Listas!$L$2,Compras!$A$7:$A$306,"&lt;="&amp;Listas!$L$3)</f>
        <v/>
      </c>
      <c r="R16" s="33">
        <f>IF($Q$67=0,"",$Q16/$Q$67)</f>
        <v/>
      </c>
      <c r="S16" s="34">
        <f>COUNTIFS(Compras!$B$7:$B$306,$A16,Compras!$A$7:$A$306,"&gt;="&amp;Listas!$L$2,Compras!$A$7:$A$306,"&lt;="&amp;Listas!$L$3)</f>
        <v/>
      </c>
      <c r="T16" s="34">
        <f>COUNTIFS(Ocorrências!$B$7:$B$156,$A16,Ocorrências!$A$7:$A$156,"&gt;="&amp;Listas!$L$2,Ocorrências!$A$7:$A$156,"&lt;="&amp;Listas!$L$3)</f>
        <v/>
      </c>
      <c r="U16" s="33">
        <f>IF($S16=0,"",$T16/$S16)</f>
        <v/>
      </c>
      <c r="V16" s="35">
        <f>IF(COUNTIFS(Compras!$B$7:$B$306,$A16,Compras!$I$7:$I$306,"Sim",Compras!$A$7:$A$306,"&gt;="&amp;Listas!$L$2,Compras!$A$7:$A$306,"&lt;="&amp;Listas!$L$3)+COUNTIFS(Compras!$B$7:$B$306,$A16,Compras!$I$7:$I$306,"Não",Compras!$A$7:$A$306,"&gt;="&amp;Listas!$L$2,Compras!$A$7:$A$306,"&lt;="&amp;Listas!$L$3)=0,"",COUNTIFS(Compras!$B$7:$B$306,$A16,Compras!$I$7:$I$306,"Sim",Compras!$A$7:$A$306,"&gt;="&amp;Listas!$L$2,Compras!$A$7:$A$306,"&lt;="&amp;Listas!$L$3)/(COUNTIFS(Compras!$B$7:$B$306,$A16,Compras!$I$7:$I$306,"Sim",Compras!$A$7:$A$306,"&gt;="&amp;Listas!$L$2,Compras!$A$7:$A$306,"&lt;="&amp;Listas!$L$3)+COUNTIFS(Compras!$B$7:$B$306,$A16,Compras!$I$7:$I$306,"Não",Compras!$A$7:$A$306,"&gt;="&amp;Listas!$L$2,Compras!$A$7:$A$306,"&lt;="&amp;Listas!$L$3)))</f>
        <v/>
      </c>
      <c r="W16" s="36">
        <f>IF(COUNT($N16:$P16)&lt;3,"",ROUND(($N16*0.35+$O16*0.35+$P16*0.3)*(1-IF($U16="",0,$U16)),2))</f>
        <v/>
      </c>
      <c r="X16" s="37">
        <f>IF($S16=0,"",SUMPRODUCT(MAX((Compras!$B$7:$B$306=$A16)*Compras!$A$7:$A$306)))</f>
        <v/>
      </c>
      <c r="Y16" s="30" t="n"/>
    </row>
    <row r="17" ht="22" customHeight="1">
      <c r="A17" s="31" t="n"/>
      <c r="B17" s="30" t="n"/>
      <c r="C17" s="30" t="n"/>
      <c r="D17" s="30" t="n"/>
      <c r="E17" s="31" t="n"/>
      <c r="F17" s="30" t="n"/>
      <c r="G17" s="31" t="n"/>
      <c r="H17" s="30" t="n"/>
      <c r="I17" s="30" t="n"/>
      <c r="J17" s="31" t="n"/>
      <c r="K17" s="30" t="n"/>
      <c r="L17" s="30" t="n"/>
      <c r="M17" s="30" t="n"/>
      <c r="N17" s="31" t="n"/>
      <c r="O17" s="31" t="n"/>
      <c r="P17" s="31" t="n"/>
      <c r="Q17" s="32">
        <f>SUMIFS(Compras!$F$7:$F$306,Compras!$B$7:$B$306,$A17,Compras!$A$7:$A$306,"&gt;="&amp;Listas!$L$2,Compras!$A$7:$A$306,"&lt;="&amp;Listas!$L$3)</f>
        <v/>
      </c>
      <c r="R17" s="33">
        <f>IF($Q$67=0,"",$Q17/$Q$67)</f>
        <v/>
      </c>
      <c r="S17" s="34">
        <f>COUNTIFS(Compras!$B$7:$B$306,$A17,Compras!$A$7:$A$306,"&gt;="&amp;Listas!$L$2,Compras!$A$7:$A$306,"&lt;="&amp;Listas!$L$3)</f>
        <v/>
      </c>
      <c r="T17" s="34">
        <f>COUNTIFS(Ocorrências!$B$7:$B$156,$A17,Ocorrências!$A$7:$A$156,"&gt;="&amp;Listas!$L$2,Ocorrências!$A$7:$A$156,"&lt;="&amp;Listas!$L$3)</f>
        <v/>
      </c>
      <c r="U17" s="33">
        <f>IF($S17=0,"",$T17/$S17)</f>
        <v/>
      </c>
      <c r="V17" s="35">
        <f>IF(COUNTIFS(Compras!$B$7:$B$306,$A17,Compras!$I$7:$I$306,"Sim",Compras!$A$7:$A$306,"&gt;="&amp;Listas!$L$2,Compras!$A$7:$A$306,"&lt;="&amp;Listas!$L$3)+COUNTIFS(Compras!$B$7:$B$306,$A17,Compras!$I$7:$I$306,"Não",Compras!$A$7:$A$306,"&gt;="&amp;Listas!$L$2,Compras!$A$7:$A$306,"&lt;="&amp;Listas!$L$3)=0,"",COUNTIFS(Compras!$B$7:$B$306,$A17,Compras!$I$7:$I$306,"Sim",Compras!$A$7:$A$306,"&gt;="&amp;Listas!$L$2,Compras!$A$7:$A$306,"&lt;="&amp;Listas!$L$3)/(COUNTIFS(Compras!$B$7:$B$306,$A17,Compras!$I$7:$I$306,"Sim",Compras!$A$7:$A$306,"&gt;="&amp;Listas!$L$2,Compras!$A$7:$A$306,"&lt;="&amp;Listas!$L$3)+COUNTIFS(Compras!$B$7:$B$306,$A17,Compras!$I$7:$I$306,"Não",Compras!$A$7:$A$306,"&gt;="&amp;Listas!$L$2,Compras!$A$7:$A$306,"&lt;="&amp;Listas!$L$3)))</f>
        <v/>
      </c>
      <c r="W17" s="36">
        <f>IF(COUNT($N17:$P17)&lt;3,"",ROUND(($N17*0.35+$O17*0.35+$P17*0.3)*(1-IF($U17="",0,$U17)),2))</f>
        <v/>
      </c>
      <c r="X17" s="37">
        <f>IF($S17=0,"",SUMPRODUCT(MAX((Compras!$B$7:$B$306=$A17)*Compras!$A$7:$A$306)))</f>
        <v/>
      </c>
      <c r="Y17" s="30" t="n"/>
    </row>
    <row r="18" ht="22" customHeight="1">
      <c r="A18" s="31" t="n"/>
      <c r="B18" s="30" t="n"/>
      <c r="C18" s="30" t="n"/>
      <c r="D18" s="30" t="n"/>
      <c r="E18" s="31" t="n"/>
      <c r="F18" s="30" t="n"/>
      <c r="G18" s="31" t="n"/>
      <c r="H18" s="30" t="n"/>
      <c r="I18" s="30" t="n"/>
      <c r="J18" s="31" t="n"/>
      <c r="K18" s="30" t="n"/>
      <c r="L18" s="30" t="n"/>
      <c r="M18" s="30" t="n"/>
      <c r="N18" s="31" t="n"/>
      <c r="O18" s="31" t="n"/>
      <c r="P18" s="31" t="n"/>
      <c r="Q18" s="32">
        <f>SUMIFS(Compras!$F$7:$F$306,Compras!$B$7:$B$306,$A18,Compras!$A$7:$A$306,"&gt;="&amp;Listas!$L$2,Compras!$A$7:$A$306,"&lt;="&amp;Listas!$L$3)</f>
        <v/>
      </c>
      <c r="R18" s="33">
        <f>IF($Q$67=0,"",$Q18/$Q$67)</f>
        <v/>
      </c>
      <c r="S18" s="34">
        <f>COUNTIFS(Compras!$B$7:$B$306,$A18,Compras!$A$7:$A$306,"&gt;="&amp;Listas!$L$2,Compras!$A$7:$A$306,"&lt;="&amp;Listas!$L$3)</f>
        <v/>
      </c>
      <c r="T18" s="34">
        <f>COUNTIFS(Ocorrências!$B$7:$B$156,$A18,Ocorrências!$A$7:$A$156,"&gt;="&amp;Listas!$L$2,Ocorrências!$A$7:$A$156,"&lt;="&amp;Listas!$L$3)</f>
        <v/>
      </c>
      <c r="U18" s="33">
        <f>IF($S18=0,"",$T18/$S18)</f>
        <v/>
      </c>
      <c r="V18" s="35">
        <f>IF(COUNTIFS(Compras!$B$7:$B$306,$A18,Compras!$I$7:$I$306,"Sim",Compras!$A$7:$A$306,"&gt;="&amp;Listas!$L$2,Compras!$A$7:$A$306,"&lt;="&amp;Listas!$L$3)+COUNTIFS(Compras!$B$7:$B$306,$A18,Compras!$I$7:$I$306,"Não",Compras!$A$7:$A$306,"&gt;="&amp;Listas!$L$2,Compras!$A$7:$A$306,"&lt;="&amp;Listas!$L$3)=0,"",COUNTIFS(Compras!$B$7:$B$306,$A18,Compras!$I$7:$I$306,"Sim",Compras!$A$7:$A$306,"&gt;="&amp;Listas!$L$2,Compras!$A$7:$A$306,"&lt;="&amp;Listas!$L$3)/(COUNTIFS(Compras!$B$7:$B$306,$A18,Compras!$I$7:$I$306,"Sim",Compras!$A$7:$A$306,"&gt;="&amp;Listas!$L$2,Compras!$A$7:$A$306,"&lt;="&amp;Listas!$L$3)+COUNTIFS(Compras!$B$7:$B$306,$A18,Compras!$I$7:$I$306,"Não",Compras!$A$7:$A$306,"&gt;="&amp;Listas!$L$2,Compras!$A$7:$A$306,"&lt;="&amp;Listas!$L$3)))</f>
        <v/>
      </c>
      <c r="W18" s="36">
        <f>IF(COUNT($N18:$P18)&lt;3,"",ROUND(($N18*0.35+$O18*0.35+$P18*0.3)*(1-IF($U18="",0,$U18)),2))</f>
        <v/>
      </c>
      <c r="X18" s="37">
        <f>IF($S18=0,"",SUMPRODUCT(MAX((Compras!$B$7:$B$306=$A18)*Compras!$A$7:$A$306)))</f>
        <v/>
      </c>
      <c r="Y18" s="30" t="n"/>
    </row>
    <row r="19" ht="22" customHeight="1">
      <c r="A19" s="31" t="n"/>
      <c r="B19" s="30" t="n"/>
      <c r="C19" s="30" t="n"/>
      <c r="D19" s="30" t="n"/>
      <c r="E19" s="31" t="n"/>
      <c r="F19" s="30" t="n"/>
      <c r="G19" s="31" t="n"/>
      <c r="H19" s="30" t="n"/>
      <c r="I19" s="30" t="n"/>
      <c r="J19" s="31" t="n"/>
      <c r="K19" s="30" t="n"/>
      <c r="L19" s="30" t="n"/>
      <c r="M19" s="30" t="n"/>
      <c r="N19" s="31" t="n"/>
      <c r="O19" s="31" t="n"/>
      <c r="P19" s="31" t="n"/>
      <c r="Q19" s="32">
        <f>SUMIFS(Compras!$F$7:$F$306,Compras!$B$7:$B$306,$A19,Compras!$A$7:$A$306,"&gt;="&amp;Listas!$L$2,Compras!$A$7:$A$306,"&lt;="&amp;Listas!$L$3)</f>
        <v/>
      </c>
      <c r="R19" s="33">
        <f>IF($Q$67=0,"",$Q19/$Q$67)</f>
        <v/>
      </c>
      <c r="S19" s="34">
        <f>COUNTIFS(Compras!$B$7:$B$306,$A19,Compras!$A$7:$A$306,"&gt;="&amp;Listas!$L$2,Compras!$A$7:$A$306,"&lt;="&amp;Listas!$L$3)</f>
        <v/>
      </c>
      <c r="T19" s="34">
        <f>COUNTIFS(Ocorrências!$B$7:$B$156,$A19,Ocorrências!$A$7:$A$156,"&gt;="&amp;Listas!$L$2,Ocorrências!$A$7:$A$156,"&lt;="&amp;Listas!$L$3)</f>
        <v/>
      </c>
      <c r="U19" s="33">
        <f>IF($S19=0,"",$T19/$S19)</f>
        <v/>
      </c>
      <c r="V19" s="35">
        <f>IF(COUNTIFS(Compras!$B$7:$B$306,$A19,Compras!$I$7:$I$306,"Sim",Compras!$A$7:$A$306,"&gt;="&amp;Listas!$L$2,Compras!$A$7:$A$306,"&lt;="&amp;Listas!$L$3)+COUNTIFS(Compras!$B$7:$B$306,$A19,Compras!$I$7:$I$306,"Não",Compras!$A$7:$A$306,"&gt;="&amp;Listas!$L$2,Compras!$A$7:$A$306,"&lt;="&amp;Listas!$L$3)=0,"",COUNTIFS(Compras!$B$7:$B$306,$A19,Compras!$I$7:$I$306,"Sim",Compras!$A$7:$A$306,"&gt;="&amp;Listas!$L$2,Compras!$A$7:$A$306,"&lt;="&amp;Listas!$L$3)/(COUNTIFS(Compras!$B$7:$B$306,$A19,Compras!$I$7:$I$306,"Sim",Compras!$A$7:$A$306,"&gt;="&amp;Listas!$L$2,Compras!$A$7:$A$306,"&lt;="&amp;Listas!$L$3)+COUNTIFS(Compras!$B$7:$B$306,$A19,Compras!$I$7:$I$306,"Não",Compras!$A$7:$A$306,"&gt;="&amp;Listas!$L$2,Compras!$A$7:$A$306,"&lt;="&amp;Listas!$L$3)))</f>
        <v/>
      </c>
      <c r="W19" s="36">
        <f>IF(COUNT($N19:$P19)&lt;3,"",ROUND(($N19*0.35+$O19*0.35+$P19*0.3)*(1-IF($U19="",0,$U19)),2))</f>
        <v/>
      </c>
      <c r="X19" s="37">
        <f>IF($S19=0,"",SUMPRODUCT(MAX((Compras!$B$7:$B$306=$A19)*Compras!$A$7:$A$306)))</f>
        <v/>
      </c>
      <c r="Y19" s="30" t="n"/>
    </row>
    <row r="20" ht="22" customHeight="1">
      <c r="A20" s="31" t="n"/>
      <c r="B20" s="30" t="n"/>
      <c r="C20" s="30" t="n"/>
      <c r="D20" s="30" t="n"/>
      <c r="E20" s="31" t="n"/>
      <c r="F20" s="30" t="n"/>
      <c r="G20" s="31" t="n"/>
      <c r="H20" s="30" t="n"/>
      <c r="I20" s="30" t="n"/>
      <c r="J20" s="31" t="n"/>
      <c r="K20" s="30" t="n"/>
      <c r="L20" s="30" t="n"/>
      <c r="M20" s="30" t="n"/>
      <c r="N20" s="31" t="n"/>
      <c r="O20" s="31" t="n"/>
      <c r="P20" s="31" t="n"/>
      <c r="Q20" s="32">
        <f>SUMIFS(Compras!$F$7:$F$306,Compras!$B$7:$B$306,$A20,Compras!$A$7:$A$306,"&gt;="&amp;Listas!$L$2,Compras!$A$7:$A$306,"&lt;="&amp;Listas!$L$3)</f>
        <v/>
      </c>
      <c r="R20" s="33">
        <f>IF($Q$67=0,"",$Q20/$Q$67)</f>
        <v/>
      </c>
      <c r="S20" s="34">
        <f>COUNTIFS(Compras!$B$7:$B$306,$A20,Compras!$A$7:$A$306,"&gt;="&amp;Listas!$L$2,Compras!$A$7:$A$306,"&lt;="&amp;Listas!$L$3)</f>
        <v/>
      </c>
      <c r="T20" s="34">
        <f>COUNTIFS(Ocorrências!$B$7:$B$156,$A20,Ocorrências!$A$7:$A$156,"&gt;="&amp;Listas!$L$2,Ocorrências!$A$7:$A$156,"&lt;="&amp;Listas!$L$3)</f>
        <v/>
      </c>
      <c r="U20" s="33">
        <f>IF($S20=0,"",$T20/$S20)</f>
        <v/>
      </c>
      <c r="V20" s="35">
        <f>IF(COUNTIFS(Compras!$B$7:$B$306,$A20,Compras!$I$7:$I$306,"Sim",Compras!$A$7:$A$306,"&gt;="&amp;Listas!$L$2,Compras!$A$7:$A$306,"&lt;="&amp;Listas!$L$3)+COUNTIFS(Compras!$B$7:$B$306,$A20,Compras!$I$7:$I$306,"Não",Compras!$A$7:$A$306,"&gt;="&amp;Listas!$L$2,Compras!$A$7:$A$306,"&lt;="&amp;Listas!$L$3)=0,"",COUNTIFS(Compras!$B$7:$B$306,$A20,Compras!$I$7:$I$306,"Sim",Compras!$A$7:$A$306,"&gt;="&amp;Listas!$L$2,Compras!$A$7:$A$306,"&lt;="&amp;Listas!$L$3)/(COUNTIFS(Compras!$B$7:$B$306,$A20,Compras!$I$7:$I$306,"Sim",Compras!$A$7:$A$306,"&gt;="&amp;Listas!$L$2,Compras!$A$7:$A$306,"&lt;="&amp;Listas!$L$3)+COUNTIFS(Compras!$B$7:$B$306,$A20,Compras!$I$7:$I$306,"Não",Compras!$A$7:$A$306,"&gt;="&amp;Listas!$L$2,Compras!$A$7:$A$306,"&lt;="&amp;Listas!$L$3)))</f>
        <v/>
      </c>
      <c r="W20" s="36">
        <f>IF(COUNT($N20:$P20)&lt;3,"",ROUND(($N20*0.35+$O20*0.35+$P20*0.3)*(1-IF($U20="",0,$U20)),2))</f>
        <v/>
      </c>
      <c r="X20" s="37">
        <f>IF($S20=0,"",SUMPRODUCT(MAX((Compras!$B$7:$B$306=$A20)*Compras!$A$7:$A$306)))</f>
        <v/>
      </c>
      <c r="Y20" s="30" t="n"/>
    </row>
    <row r="21" ht="22" customHeight="1">
      <c r="A21" s="31" t="n"/>
      <c r="B21" s="30" t="n"/>
      <c r="C21" s="30" t="n"/>
      <c r="D21" s="30" t="n"/>
      <c r="E21" s="31" t="n"/>
      <c r="F21" s="30" t="n"/>
      <c r="G21" s="31" t="n"/>
      <c r="H21" s="30" t="n"/>
      <c r="I21" s="30" t="n"/>
      <c r="J21" s="31" t="n"/>
      <c r="K21" s="30" t="n"/>
      <c r="L21" s="30" t="n"/>
      <c r="M21" s="30" t="n"/>
      <c r="N21" s="31" t="n"/>
      <c r="O21" s="31" t="n"/>
      <c r="P21" s="31" t="n"/>
      <c r="Q21" s="32">
        <f>SUMIFS(Compras!$F$7:$F$306,Compras!$B$7:$B$306,$A21,Compras!$A$7:$A$306,"&gt;="&amp;Listas!$L$2,Compras!$A$7:$A$306,"&lt;="&amp;Listas!$L$3)</f>
        <v/>
      </c>
      <c r="R21" s="33">
        <f>IF($Q$67=0,"",$Q21/$Q$67)</f>
        <v/>
      </c>
      <c r="S21" s="34">
        <f>COUNTIFS(Compras!$B$7:$B$306,$A21,Compras!$A$7:$A$306,"&gt;="&amp;Listas!$L$2,Compras!$A$7:$A$306,"&lt;="&amp;Listas!$L$3)</f>
        <v/>
      </c>
      <c r="T21" s="34">
        <f>COUNTIFS(Ocorrências!$B$7:$B$156,$A21,Ocorrências!$A$7:$A$156,"&gt;="&amp;Listas!$L$2,Ocorrências!$A$7:$A$156,"&lt;="&amp;Listas!$L$3)</f>
        <v/>
      </c>
      <c r="U21" s="33">
        <f>IF($S21=0,"",$T21/$S21)</f>
        <v/>
      </c>
      <c r="V21" s="35">
        <f>IF(COUNTIFS(Compras!$B$7:$B$306,$A21,Compras!$I$7:$I$306,"Sim",Compras!$A$7:$A$306,"&gt;="&amp;Listas!$L$2,Compras!$A$7:$A$306,"&lt;="&amp;Listas!$L$3)+COUNTIFS(Compras!$B$7:$B$306,$A21,Compras!$I$7:$I$306,"Não",Compras!$A$7:$A$306,"&gt;="&amp;Listas!$L$2,Compras!$A$7:$A$306,"&lt;="&amp;Listas!$L$3)=0,"",COUNTIFS(Compras!$B$7:$B$306,$A21,Compras!$I$7:$I$306,"Sim",Compras!$A$7:$A$306,"&gt;="&amp;Listas!$L$2,Compras!$A$7:$A$306,"&lt;="&amp;Listas!$L$3)/(COUNTIFS(Compras!$B$7:$B$306,$A21,Compras!$I$7:$I$306,"Sim",Compras!$A$7:$A$306,"&gt;="&amp;Listas!$L$2,Compras!$A$7:$A$306,"&lt;="&amp;Listas!$L$3)+COUNTIFS(Compras!$B$7:$B$306,$A21,Compras!$I$7:$I$306,"Não",Compras!$A$7:$A$306,"&gt;="&amp;Listas!$L$2,Compras!$A$7:$A$306,"&lt;="&amp;Listas!$L$3)))</f>
        <v/>
      </c>
      <c r="W21" s="36">
        <f>IF(COUNT($N21:$P21)&lt;3,"",ROUND(($N21*0.35+$O21*0.35+$P21*0.3)*(1-IF($U21="",0,$U21)),2))</f>
        <v/>
      </c>
      <c r="X21" s="37">
        <f>IF($S21=0,"",SUMPRODUCT(MAX((Compras!$B$7:$B$306=$A21)*Compras!$A$7:$A$306)))</f>
        <v/>
      </c>
      <c r="Y21" s="30" t="n"/>
    </row>
    <row r="22" ht="22" customHeight="1">
      <c r="A22" s="31" t="n"/>
      <c r="B22" s="30" t="n"/>
      <c r="C22" s="30" t="n"/>
      <c r="D22" s="30" t="n"/>
      <c r="E22" s="31" t="n"/>
      <c r="F22" s="30" t="n"/>
      <c r="G22" s="31" t="n"/>
      <c r="H22" s="30" t="n"/>
      <c r="I22" s="30" t="n"/>
      <c r="J22" s="31" t="n"/>
      <c r="K22" s="30" t="n"/>
      <c r="L22" s="30" t="n"/>
      <c r="M22" s="30" t="n"/>
      <c r="N22" s="31" t="n"/>
      <c r="O22" s="31" t="n"/>
      <c r="P22" s="31" t="n"/>
      <c r="Q22" s="32">
        <f>SUMIFS(Compras!$F$7:$F$306,Compras!$B$7:$B$306,$A22,Compras!$A$7:$A$306,"&gt;="&amp;Listas!$L$2,Compras!$A$7:$A$306,"&lt;="&amp;Listas!$L$3)</f>
        <v/>
      </c>
      <c r="R22" s="33">
        <f>IF($Q$67=0,"",$Q22/$Q$67)</f>
        <v/>
      </c>
      <c r="S22" s="34">
        <f>COUNTIFS(Compras!$B$7:$B$306,$A22,Compras!$A$7:$A$306,"&gt;="&amp;Listas!$L$2,Compras!$A$7:$A$306,"&lt;="&amp;Listas!$L$3)</f>
        <v/>
      </c>
      <c r="T22" s="34">
        <f>COUNTIFS(Ocorrências!$B$7:$B$156,$A22,Ocorrências!$A$7:$A$156,"&gt;="&amp;Listas!$L$2,Ocorrências!$A$7:$A$156,"&lt;="&amp;Listas!$L$3)</f>
        <v/>
      </c>
      <c r="U22" s="33">
        <f>IF($S22=0,"",$T22/$S22)</f>
        <v/>
      </c>
      <c r="V22" s="35">
        <f>IF(COUNTIFS(Compras!$B$7:$B$306,$A22,Compras!$I$7:$I$306,"Sim",Compras!$A$7:$A$306,"&gt;="&amp;Listas!$L$2,Compras!$A$7:$A$306,"&lt;="&amp;Listas!$L$3)+COUNTIFS(Compras!$B$7:$B$306,$A22,Compras!$I$7:$I$306,"Não",Compras!$A$7:$A$306,"&gt;="&amp;Listas!$L$2,Compras!$A$7:$A$306,"&lt;="&amp;Listas!$L$3)=0,"",COUNTIFS(Compras!$B$7:$B$306,$A22,Compras!$I$7:$I$306,"Sim",Compras!$A$7:$A$306,"&gt;="&amp;Listas!$L$2,Compras!$A$7:$A$306,"&lt;="&amp;Listas!$L$3)/(COUNTIFS(Compras!$B$7:$B$306,$A22,Compras!$I$7:$I$306,"Sim",Compras!$A$7:$A$306,"&gt;="&amp;Listas!$L$2,Compras!$A$7:$A$306,"&lt;="&amp;Listas!$L$3)+COUNTIFS(Compras!$B$7:$B$306,$A22,Compras!$I$7:$I$306,"Não",Compras!$A$7:$A$306,"&gt;="&amp;Listas!$L$2,Compras!$A$7:$A$306,"&lt;="&amp;Listas!$L$3)))</f>
        <v/>
      </c>
      <c r="W22" s="36">
        <f>IF(COUNT($N22:$P22)&lt;3,"",ROUND(($N22*0.35+$O22*0.35+$P22*0.3)*(1-IF($U22="",0,$U22)),2))</f>
        <v/>
      </c>
      <c r="X22" s="37">
        <f>IF($S22=0,"",SUMPRODUCT(MAX((Compras!$B$7:$B$306=$A22)*Compras!$A$7:$A$306)))</f>
        <v/>
      </c>
      <c r="Y22" s="30" t="n"/>
    </row>
    <row r="23" ht="22" customHeight="1">
      <c r="A23" s="31" t="n"/>
      <c r="B23" s="30" t="n"/>
      <c r="C23" s="30" t="n"/>
      <c r="D23" s="30" t="n"/>
      <c r="E23" s="31" t="n"/>
      <c r="F23" s="30" t="n"/>
      <c r="G23" s="31" t="n"/>
      <c r="H23" s="30" t="n"/>
      <c r="I23" s="30" t="n"/>
      <c r="J23" s="31" t="n"/>
      <c r="K23" s="30" t="n"/>
      <c r="L23" s="30" t="n"/>
      <c r="M23" s="30" t="n"/>
      <c r="N23" s="31" t="n"/>
      <c r="O23" s="31" t="n"/>
      <c r="P23" s="31" t="n"/>
      <c r="Q23" s="32">
        <f>SUMIFS(Compras!$F$7:$F$306,Compras!$B$7:$B$306,$A23,Compras!$A$7:$A$306,"&gt;="&amp;Listas!$L$2,Compras!$A$7:$A$306,"&lt;="&amp;Listas!$L$3)</f>
        <v/>
      </c>
      <c r="R23" s="33">
        <f>IF($Q$67=0,"",$Q23/$Q$67)</f>
        <v/>
      </c>
      <c r="S23" s="34">
        <f>COUNTIFS(Compras!$B$7:$B$306,$A23,Compras!$A$7:$A$306,"&gt;="&amp;Listas!$L$2,Compras!$A$7:$A$306,"&lt;="&amp;Listas!$L$3)</f>
        <v/>
      </c>
      <c r="T23" s="34">
        <f>COUNTIFS(Ocorrências!$B$7:$B$156,$A23,Ocorrências!$A$7:$A$156,"&gt;="&amp;Listas!$L$2,Ocorrências!$A$7:$A$156,"&lt;="&amp;Listas!$L$3)</f>
        <v/>
      </c>
      <c r="U23" s="33">
        <f>IF($S23=0,"",$T23/$S23)</f>
        <v/>
      </c>
      <c r="V23" s="35">
        <f>IF(COUNTIFS(Compras!$B$7:$B$306,$A23,Compras!$I$7:$I$306,"Sim",Compras!$A$7:$A$306,"&gt;="&amp;Listas!$L$2,Compras!$A$7:$A$306,"&lt;="&amp;Listas!$L$3)+COUNTIFS(Compras!$B$7:$B$306,$A23,Compras!$I$7:$I$306,"Não",Compras!$A$7:$A$306,"&gt;="&amp;Listas!$L$2,Compras!$A$7:$A$306,"&lt;="&amp;Listas!$L$3)=0,"",COUNTIFS(Compras!$B$7:$B$306,$A23,Compras!$I$7:$I$306,"Sim",Compras!$A$7:$A$306,"&gt;="&amp;Listas!$L$2,Compras!$A$7:$A$306,"&lt;="&amp;Listas!$L$3)/(COUNTIFS(Compras!$B$7:$B$306,$A23,Compras!$I$7:$I$306,"Sim",Compras!$A$7:$A$306,"&gt;="&amp;Listas!$L$2,Compras!$A$7:$A$306,"&lt;="&amp;Listas!$L$3)+COUNTIFS(Compras!$B$7:$B$306,$A23,Compras!$I$7:$I$306,"Não",Compras!$A$7:$A$306,"&gt;="&amp;Listas!$L$2,Compras!$A$7:$A$306,"&lt;="&amp;Listas!$L$3)))</f>
        <v/>
      </c>
      <c r="W23" s="36">
        <f>IF(COUNT($N23:$P23)&lt;3,"",ROUND(($N23*0.35+$O23*0.35+$P23*0.3)*(1-IF($U23="",0,$U23)),2))</f>
        <v/>
      </c>
      <c r="X23" s="37">
        <f>IF($S23=0,"",SUMPRODUCT(MAX((Compras!$B$7:$B$306=$A23)*Compras!$A$7:$A$306)))</f>
        <v/>
      </c>
      <c r="Y23" s="30" t="n"/>
    </row>
    <row r="24" ht="22" customHeight="1">
      <c r="A24" s="31" t="n"/>
      <c r="B24" s="30" t="n"/>
      <c r="C24" s="30" t="n"/>
      <c r="D24" s="30" t="n"/>
      <c r="E24" s="31" t="n"/>
      <c r="F24" s="30" t="n"/>
      <c r="G24" s="31" t="n"/>
      <c r="H24" s="30" t="n"/>
      <c r="I24" s="30" t="n"/>
      <c r="J24" s="31" t="n"/>
      <c r="K24" s="30" t="n"/>
      <c r="L24" s="30" t="n"/>
      <c r="M24" s="30" t="n"/>
      <c r="N24" s="31" t="n"/>
      <c r="O24" s="31" t="n"/>
      <c r="P24" s="31" t="n"/>
      <c r="Q24" s="32">
        <f>SUMIFS(Compras!$F$7:$F$306,Compras!$B$7:$B$306,$A24,Compras!$A$7:$A$306,"&gt;="&amp;Listas!$L$2,Compras!$A$7:$A$306,"&lt;="&amp;Listas!$L$3)</f>
        <v/>
      </c>
      <c r="R24" s="33">
        <f>IF($Q$67=0,"",$Q24/$Q$67)</f>
        <v/>
      </c>
      <c r="S24" s="34">
        <f>COUNTIFS(Compras!$B$7:$B$306,$A24,Compras!$A$7:$A$306,"&gt;="&amp;Listas!$L$2,Compras!$A$7:$A$306,"&lt;="&amp;Listas!$L$3)</f>
        <v/>
      </c>
      <c r="T24" s="34">
        <f>COUNTIFS(Ocorrências!$B$7:$B$156,$A24,Ocorrências!$A$7:$A$156,"&gt;="&amp;Listas!$L$2,Ocorrências!$A$7:$A$156,"&lt;="&amp;Listas!$L$3)</f>
        <v/>
      </c>
      <c r="U24" s="33">
        <f>IF($S24=0,"",$T24/$S24)</f>
        <v/>
      </c>
      <c r="V24" s="35">
        <f>IF(COUNTIFS(Compras!$B$7:$B$306,$A24,Compras!$I$7:$I$306,"Sim",Compras!$A$7:$A$306,"&gt;="&amp;Listas!$L$2,Compras!$A$7:$A$306,"&lt;="&amp;Listas!$L$3)+COUNTIFS(Compras!$B$7:$B$306,$A24,Compras!$I$7:$I$306,"Não",Compras!$A$7:$A$306,"&gt;="&amp;Listas!$L$2,Compras!$A$7:$A$306,"&lt;="&amp;Listas!$L$3)=0,"",COUNTIFS(Compras!$B$7:$B$306,$A24,Compras!$I$7:$I$306,"Sim",Compras!$A$7:$A$306,"&gt;="&amp;Listas!$L$2,Compras!$A$7:$A$306,"&lt;="&amp;Listas!$L$3)/(COUNTIFS(Compras!$B$7:$B$306,$A24,Compras!$I$7:$I$306,"Sim",Compras!$A$7:$A$306,"&gt;="&amp;Listas!$L$2,Compras!$A$7:$A$306,"&lt;="&amp;Listas!$L$3)+COUNTIFS(Compras!$B$7:$B$306,$A24,Compras!$I$7:$I$306,"Não",Compras!$A$7:$A$306,"&gt;="&amp;Listas!$L$2,Compras!$A$7:$A$306,"&lt;="&amp;Listas!$L$3)))</f>
        <v/>
      </c>
      <c r="W24" s="36">
        <f>IF(COUNT($N24:$P24)&lt;3,"",ROUND(($N24*0.35+$O24*0.35+$P24*0.3)*(1-IF($U24="",0,$U24)),2))</f>
        <v/>
      </c>
      <c r="X24" s="37">
        <f>IF($S24=0,"",SUMPRODUCT(MAX((Compras!$B$7:$B$306=$A24)*Compras!$A$7:$A$306)))</f>
        <v/>
      </c>
      <c r="Y24" s="30" t="n"/>
    </row>
    <row r="25" ht="22" customHeight="1">
      <c r="A25" s="31" t="n"/>
      <c r="B25" s="30" t="n"/>
      <c r="C25" s="30" t="n"/>
      <c r="D25" s="30" t="n"/>
      <c r="E25" s="31" t="n"/>
      <c r="F25" s="30" t="n"/>
      <c r="G25" s="31" t="n"/>
      <c r="H25" s="30" t="n"/>
      <c r="I25" s="30" t="n"/>
      <c r="J25" s="31" t="n"/>
      <c r="K25" s="30" t="n"/>
      <c r="L25" s="30" t="n"/>
      <c r="M25" s="30" t="n"/>
      <c r="N25" s="31" t="n"/>
      <c r="O25" s="31" t="n"/>
      <c r="P25" s="31" t="n"/>
      <c r="Q25" s="32">
        <f>SUMIFS(Compras!$F$7:$F$306,Compras!$B$7:$B$306,$A25,Compras!$A$7:$A$306,"&gt;="&amp;Listas!$L$2,Compras!$A$7:$A$306,"&lt;="&amp;Listas!$L$3)</f>
        <v/>
      </c>
      <c r="R25" s="33">
        <f>IF($Q$67=0,"",$Q25/$Q$67)</f>
        <v/>
      </c>
      <c r="S25" s="34">
        <f>COUNTIFS(Compras!$B$7:$B$306,$A25,Compras!$A$7:$A$306,"&gt;="&amp;Listas!$L$2,Compras!$A$7:$A$306,"&lt;="&amp;Listas!$L$3)</f>
        <v/>
      </c>
      <c r="T25" s="34">
        <f>COUNTIFS(Ocorrências!$B$7:$B$156,$A25,Ocorrências!$A$7:$A$156,"&gt;="&amp;Listas!$L$2,Ocorrências!$A$7:$A$156,"&lt;="&amp;Listas!$L$3)</f>
        <v/>
      </c>
      <c r="U25" s="33">
        <f>IF($S25=0,"",$T25/$S25)</f>
        <v/>
      </c>
      <c r="V25" s="35">
        <f>IF(COUNTIFS(Compras!$B$7:$B$306,$A25,Compras!$I$7:$I$306,"Sim",Compras!$A$7:$A$306,"&gt;="&amp;Listas!$L$2,Compras!$A$7:$A$306,"&lt;="&amp;Listas!$L$3)+COUNTIFS(Compras!$B$7:$B$306,$A25,Compras!$I$7:$I$306,"Não",Compras!$A$7:$A$306,"&gt;="&amp;Listas!$L$2,Compras!$A$7:$A$306,"&lt;="&amp;Listas!$L$3)=0,"",COUNTIFS(Compras!$B$7:$B$306,$A25,Compras!$I$7:$I$306,"Sim",Compras!$A$7:$A$306,"&gt;="&amp;Listas!$L$2,Compras!$A$7:$A$306,"&lt;="&amp;Listas!$L$3)/(COUNTIFS(Compras!$B$7:$B$306,$A25,Compras!$I$7:$I$306,"Sim",Compras!$A$7:$A$306,"&gt;="&amp;Listas!$L$2,Compras!$A$7:$A$306,"&lt;="&amp;Listas!$L$3)+COUNTIFS(Compras!$B$7:$B$306,$A25,Compras!$I$7:$I$306,"Não",Compras!$A$7:$A$306,"&gt;="&amp;Listas!$L$2,Compras!$A$7:$A$306,"&lt;="&amp;Listas!$L$3)))</f>
        <v/>
      </c>
      <c r="W25" s="36">
        <f>IF(COUNT($N25:$P25)&lt;3,"",ROUND(($N25*0.35+$O25*0.35+$P25*0.3)*(1-IF($U25="",0,$U25)),2))</f>
        <v/>
      </c>
      <c r="X25" s="37">
        <f>IF($S25=0,"",SUMPRODUCT(MAX((Compras!$B$7:$B$306=$A25)*Compras!$A$7:$A$306)))</f>
        <v/>
      </c>
      <c r="Y25" s="30" t="n"/>
    </row>
    <row r="26" ht="22" customHeight="1">
      <c r="A26" s="31" t="n"/>
      <c r="B26" s="30" t="n"/>
      <c r="C26" s="30" t="n"/>
      <c r="D26" s="30" t="n"/>
      <c r="E26" s="31" t="n"/>
      <c r="F26" s="30" t="n"/>
      <c r="G26" s="31" t="n"/>
      <c r="H26" s="30" t="n"/>
      <c r="I26" s="30" t="n"/>
      <c r="J26" s="31" t="n"/>
      <c r="K26" s="30" t="n"/>
      <c r="L26" s="30" t="n"/>
      <c r="M26" s="30" t="n"/>
      <c r="N26" s="31" t="n"/>
      <c r="O26" s="31" t="n"/>
      <c r="P26" s="31" t="n"/>
      <c r="Q26" s="32">
        <f>SUMIFS(Compras!$F$7:$F$306,Compras!$B$7:$B$306,$A26,Compras!$A$7:$A$306,"&gt;="&amp;Listas!$L$2,Compras!$A$7:$A$306,"&lt;="&amp;Listas!$L$3)</f>
        <v/>
      </c>
      <c r="R26" s="33">
        <f>IF($Q$67=0,"",$Q26/$Q$67)</f>
        <v/>
      </c>
      <c r="S26" s="34">
        <f>COUNTIFS(Compras!$B$7:$B$306,$A26,Compras!$A$7:$A$306,"&gt;="&amp;Listas!$L$2,Compras!$A$7:$A$306,"&lt;="&amp;Listas!$L$3)</f>
        <v/>
      </c>
      <c r="T26" s="34">
        <f>COUNTIFS(Ocorrências!$B$7:$B$156,$A26,Ocorrências!$A$7:$A$156,"&gt;="&amp;Listas!$L$2,Ocorrências!$A$7:$A$156,"&lt;="&amp;Listas!$L$3)</f>
        <v/>
      </c>
      <c r="U26" s="33">
        <f>IF($S26=0,"",$T26/$S26)</f>
        <v/>
      </c>
      <c r="V26" s="35">
        <f>IF(COUNTIFS(Compras!$B$7:$B$306,$A26,Compras!$I$7:$I$306,"Sim",Compras!$A$7:$A$306,"&gt;="&amp;Listas!$L$2,Compras!$A$7:$A$306,"&lt;="&amp;Listas!$L$3)+COUNTIFS(Compras!$B$7:$B$306,$A26,Compras!$I$7:$I$306,"Não",Compras!$A$7:$A$306,"&gt;="&amp;Listas!$L$2,Compras!$A$7:$A$306,"&lt;="&amp;Listas!$L$3)=0,"",COUNTIFS(Compras!$B$7:$B$306,$A26,Compras!$I$7:$I$306,"Sim",Compras!$A$7:$A$306,"&gt;="&amp;Listas!$L$2,Compras!$A$7:$A$306,"&lt;="&amp;Listas!$L$3)/(COUNTIFS(Compras!$B$7:$B$306,$A26,Compras!$I$7:$I$306,"Sim",Compras!$A$7:$A$306,"&gt;="&amp;Listas!$L$2,Compras!$A$7:$A$306,"&lt;="&amp;Listas!$L$3)+COUNTIFS(Compras!$B$7:$B$306,$A26,Compras!$I$7:$I$306,"Não",Compras!$A$7:$A$306,"&gt;="&amp;Listas!$L$2,Compras!$A$7:$A$306,"&lt;="&amp;Listas!$L$3)))</f>
        <v/>
      </c>
      <c r="W26" s="36">
        <f>IF(COUNT($N26:$P26)&lt;3,"",ROUND(($N26*0.35+$O26*0.35+$P26*0.3)*(1-IF($U26="",0,$U26)),2))</f>
        <v/>
      </c>
      <c r="X26" s="37">
        <f>IF($S26=0,"",SUMPRODUCT(MAX((Compras!$B$7:$B$306=$A26)*Compras!$A$7:$A$306)))</f>
        <v/>
      </c>
      <c r="Y26" s="30" t="n"/>
    </row>
    <row r="27" ht="22" customHeight="1">
      <c r="A27" s="31" t="n"/>
      <c r="B27" s="30" t="n"/>
      <c r="C27" s="30" t="n"/>
      <c r="D27" s="30" t="n"/>
      <c r="E27" s="31" t="n"/>
      <c r="F27" s="30" t="n"/>
      <c r="G27" s="31" t="n"/>
      <c r="H27" s="30" t="n"/>
      <c r="I27" s="30" t="n"/>
      <c r="J27" s="31" t="n"/>
      <c r="K27" s="30" t="n"/>
      <c r="L27" s="30" t="n"/>
      <c r="M27" s="30" t="n"/>
      <c r="N27" s="31" t="n"/>
      <c r="O27" s="31" t="n"/>
      <c r="P27" s="31" t="n"/>
      <c r="Q27" s="32">
        <f>SUMIFS(Compras!$F$7:$F$306,Compras!$B$7:$B$306,$A27,Compras!$A$7:$A$306,"&gt;="&amp;Listas!$L$2,Compras!$A$7:$A$306,"&lt;="&amp;Listas!$L$3)</f>
        <v/>
      </c>
      <c r="R27" s="33">
        <f>IF($Q$67=0,"",$Q27/$Q$67)</f>
        <v/>
      </c>
      <c r="S27" s="34">
        <f>COUNTIFS(Compras!$B$7:$B$306,$A27,Compras!$A$7:$A$306,"&gt;="&amp;Listas!$L$2,Compras!$A$7:$A$306,"&lt;="&amp;Listas!$L$3)</f>
        <v/>
      </c>
      <c r="T27" s="34">
        <f>COUNTIFS(Ocorrências!$B$7:$B$156,$A27,Ocorrências!$A$7:$A$156,"&gt;="&amp;Listas!$L$2,Ocorrências!$A$7:$A$156,"&lt;="&amp;Listas!$L$3)</f>
        <v/>
      </c>
      <c r="U27" s="33">
        <f>IF($S27=0,"",$T27/$S27)</f>
        <v/>
      </c>
      <c r="V27" s="35">
        <f>IF(COUNTIFS(Compras!$B$7:$B$306,$A27,Compras!$I$7:$I$306,"Sim",Compras!$A$7:$A$306,"&gt;="&amp;Listas!$L$2,Compras!$A$7:$A$306,"&lt;="&amp;Listas!$L$3)+COUNTIFS(Compras!$B$7:$B$306,$A27,Compras!$I$7:$I$306,"Não",Compras!$A$7:$A$306,"&gt;="&amp;Listas!$L$2,Compras!$A$7:$A$306,"&lt;="&amp;Listas!$L$3)=0,"",COUNTIFS(Compras!$B$7:$B$306,$A27,Compras!$I$7:$I$306,"Sim",Compras!$A$7:$A$306,"&gt;="&amp;Listas!$L$2,Compras!$A$7:$A$306,"&lt;="&amp;Listas!$L$3)/(COUNTIFS(Compras!$B$7:$B$306,$A27,Compras!$I$7:$I$306,"Sim",Compras!$A$7:$A$306,"&gt;="&amp;Listas!$L$2,Compras!$A$7:$A$306,"&lt;="&amp;Listas!$L$3)+COUNTIFS(Compras!$B$7:$B$306,$A27,Compras!$I$7:$I$306,"Não",Compras!$A$7:$A$306,"&gt;="&amp;Listas!$L$2,Compras!$A$7:$A$306,"&lt;="&amp;Listas!$L$3)))</f>
        <v/>
      </c>
      <c r="W27" s="36">
        <f>IF(COUNT($N27:$P27)&lt;3,"",ROUND(($N27*0.35+$O27*0.35+$P27*0.3)*(1-IF($U27="",0,$U27)),2))</f>
        <v/>
      </c>
      <c r="X27" s="37">
        <f>IF($S27=0,"",SUMPRODUCT(MAX((Compras!$B$7:$B$306=$A27)*Compras!$A$7:$A$306)))</f>
        <v/>
      </c>
      <c r="Y27" s="30" t="n"/>
    </row>
    <row r="28" ht="22" customHeight="1">
      <c r="A28" s="31" t="n"/>
      <c r="B28" s="30" t="n"/>
      <c r="C28" s="30" t="n"/>
      <c r="D28" s="30" t="n"/>
      <c r="E28" s="31" t="n"/>
      <c r="F28" s="30" t="n"/>
      <c r="G28" s="31" t="n"/>
      <c r="H28" s="30" t="n"/>
      <c r="I28" s="30" t="n"/>
      <c r="J28" s="31" t="n"/>
      <c r="K28" s="30" t="n"/>
      <c r="L28" s="30" t="n"/>
      <c r="M28" s="30" t="n"/>
      <c r="N28" s="31" t="n"/>
      <c r="O28" s="31" t="n"/>
      <c r="P28" s="31" t="n"/>
      <c r="Q28" s="32">
        <f>SUMIFS(Compras!$F$7:$F$306,Compras!$B$7:$B$306,$A28,Compras!$A$7:$A$306,"&gt;="&amp;Listas!$L$2,Compras!$A$7:$A$306,"&lt;="&amp;Listas!$L$3)</f>
        <v/>
      </c>
      <c r="R28" s="33">
        <f>IF($Q$67=0,"",$Q28/$Q$67)</f>
        <v/>
      </c>
      <c r="S28" s="34">
        <f>COUNTIFS(Compras!$B$7:$B$306,$A28,Compras!$A$7:$A$306,"&gt;="&amp;Listas!$L$2,Compras!$A$7:$A$306,"&lt;="&amp;Listas!$L$3)</f>
        <v/>
      </c>
      <c r="T28" s="34">
        <f>COUNTIFS(Ocorrências!$B$7:$B$156,$A28,Ocorrências!$A$7:$A$156,"&gt;="&amp;Listas!$L$2,Ocorrências!$A$7:$A$156,"&lt;="&amp;Listas!$L$3)</f>
        <v/>
      </c>
      <c r="U28" s="33">
        <f>IF($S28=0,"",$T28/$S28)</f>
        <v/>
      </c>
      <c r="V28" s="35">
        <f>IF(COUNTIFS(Compras!$B$7:$B$306,$A28,Compras!$I$7:$I$306,"Sim",Compras!$A$7:$A$306,"&gt;="&amp;Listas!$L$2,Compras!$A$7:$A$306,"&lt;="&amp;Listas!$L$3)+COUNTIFS(Compras!$B$7:$B$306,$A28,Compras!$I$7:$I$306,"Não",Compras!$A$7:$A$306,"&gt;="&amp;Listas!$L$2,Compras!$A$7:$A$306,"&lt;="&amp;Listas!$L$3)=0,"",COUNTIFS(Compras!$B$7:$B$306,$A28,Compras!$I$7:$I$306,"Sim",Compras!$A$7:$A$306,"&gt;="&amp;Listas!$L$2,Compras!$A$7:$A$306,"&lt;="&amp;Listas!$L$3)/(COUNTIFS(Compras!$B$7:$B$306,$A28,Compras!$I$7:$I$306,"Sim",Compras!$A$7:$A$306,"&gt;="&amp;Listas!$L$2,Compras!$A$7:$A$306,"&lt;="&amp;Listas!$L$3)+COUNTIFS(Compras!$B$7:$B$306,$A28,Compras!$I$7:$I$306,"Não",Compras!$A$7:$A$306,"&gt;="&amp;Listas!$L$2,Compras!$A$7:$A$306,"&lt;="&amp;Listas!$L$3)))</f>
        <v/>
      </c>
      <c r="W28" s="36">
        <f>IF(COUNT($N28:$P28)&lt;3,"",ROUND(($N28*0.35+$O28*0.35+$P28*0.3)*(1-IF($U28="",0,$U28)),2))</f>
        <v/>
      </c>
      <c r="X28" s="37">
        <f>IF($S28=0,"",SUMPRODUCT(MAX((Compras!$B$7:$B$306=$A28)*Compras!$A$7:$A$306)))</f>
        <v/>
      </c>
      <c r="Y28" s="30" t="n"/>
    </row>
    <row r="29" ht="22" customHeight="1">
      <c r="A29" s="31" t="n"/>
      <c r="B29" s="30" t="n"/>
      <c r="C29" s="30" t="n"/>
      <c r="D29" s="30" t="n"/>
      <c r="E29" s="31" t="n"/>
      <c r="F29" s="30" t="n"/>
      <c r="G29" s="31" t="n"/>
      <c r="H29" s="30" t="n"/>
      <c r="I29" s="30" t="n"/>
      <c r="J29" s="31" t="n"/>
      <c r="K29" s="30" t="n"/>
      <c r="L29" s="30" t="n"/>
      <c r="M29" s="30" t="n"/>
      <c r="N29" s="31" t="n"/>
      <c r="O29" s="31" t="n"/>
      <c r="P29" s="31" t="n"/>
      <c r="Q29" s="32">
        <f>SUMIFS(Compras!$F$7:$F$306,Compras!$B$7:$B$306,$A29,Compras!$A$7:$A$306,"&gt;="&amp;Listas!$L$2,Compras!$A$7:$A$306,"&lt;="&amp;Listas!$L$3)</f>
        <v/>
      </c>
      <c r="R29" s="33">
        <f>IF($Q$67=0,"",$Q29/$Q$67)</f>
        <v/>
      </c>
      <c r="S29" s="34">
        <f>COUNTIFS(Compras!$B$7:$B$306,$A29,Compras!$A$7:$A$306,"&gt;="&amp;Listas!$L$2,Compras!$A$7:$A$306,"&lt;="&amp;Listas!$L$3)</f>
        <v/>
      </c>
      <c r="T29" s="34">
        <f>COUNTIFS(Ocorrências!$B$7:$B$156,$A29,Ocorrências!$A$7:$A$156,"&gt;="&amp;Listas!$L$2,Ocorrências!$A$7:$A$156,"&lt;="&amp;Listas!$L$3)</f>
        <v/>
      </c>
      <c r="U29" s="33">
        <f>IF($S29=0,"",$T29/$S29)</f>
        <v/>
      </c>
      <c r="V29" s="35">
        <f>IF(COUNTIFS(Compras!$B$7:$B$306,$A29,Compras!$I$7:$I$306,"Sim",Compras!$A$7:$A$306,"&gt;="&amp;Listas!$L$2,Compras!$A$7:$A$306,"&lt;="&amp;Listas!$L$3)+COUNTIFS(Compras!$B$7:$B$306,$A29,Compras!$I$7:$I$306,"Não",Compras!$A$7:$A$306,"&gt;="&amp;Listas!$L$2,Compras!$A$7:$A$306,"&lt;="&amp;Listas!$L$3)=0,"",COUNTIFS(Compras!$B$7:$B$306,$A29,Compras!$I$7:$I$306,"Sim",Compras!$A$7:$A$306,"&gt;="&amp;Listas!$L$2,Compras!$A$7:$A$306,"&lt;="&amp;Listas!$L$3)/(COUNTIFS(Compras!$B$7:$B$306,$A29,Compras!$I$7:$I$306,"Sim",Compras!$A$7:$A$306,"&gt;="&amp;Listas!$L$2,Compras!$A$7:$A$306,"&lt;="&amp;Listas!$L$3)+COUNTIFS(Compras!$B$7:$B$306,$A29,Compras!$I$7:$I$306,"Não",Compras!$A$7:$A$306,"&gt;="&amp;Listas!$L$2,Compras!$A$7:$A$306,"&lt;="&amp;Listas!$L$3)))</f>
        <v/>
      </c>
      <c r="W29" s="36">
        <f>IF(COUNT($N29:$P29)&lt;3,"",ROUND(($N29*0.35+$O29*0.35+$P29*0.3)*(1-IF($U29="",0,$U29)),2))</f>
        <v/>
      </c>
      <c r="X29" s="37">
        <f>IF($S29=0,"",SUMPRODUCT(MAX((Compras!$B$7:$B$306=$A29)*Compras!$A$7:$A$306)))</f>
        <v/>
      </c>
      <c r="Y29" s="30" t="n"/>
    </row>
    <row r="30" ht="22" customHeight="1">
      <c r="A30" s="31" t="n"/>
      <c r="B30" s="30" t="n"/>
      <c r="C30" s="30" t="n"/>
      <c r="D30" s="30" t="n"/>
      <c r="E30" s="31" t="n"/>
      <c r="F30" s="30" t="n"/>
      <c r="G30" s="31" t="n"/>
      <c r="H30" s="30" t="n"/>
      <c r="I30" s="30" t="n"/>
      <c r="J30" s="31" t="n"/>
      <c r="K30" s="30" t="n"/>
      <c r="L30" s="30" t="n"/>
      <c r="M30" s="30" t="n"/>
      <c r="N30" s="31" t="n"/>
      <c r="O30" s="31" t="n"/>
      <c r="P30" s="31" t="n"/>
      <c r="Q30" s="32">
        <f>SUMIFS(Compras!$F$7:$F$306,Compras!$B$7:$B$306,$A30,Compras!$A$7:$A$306,"&gt;="&amp;Listas!$L$2,Compras!$A$7:$A$306,"&lt;="&amp;Listas!$L$3)</f>
        <v/>
      </c>
      <c r="R30" s="33">
        <f>IF($Q$67=0,"",$Q30/$Q$67)</f>
        <v/>
      </c>
      <c r="S30" s="34">
        <f>COUNTIFS(Compras!$B$7:$B$306,$A30,Compras!$A$7:$A$306,"&gt;="&amp;Listas!$L$2,Compras!$A$7:$A$306,"&lt;="&amp;Listas!$L$3)</f>
        <v/>
      </c>
      <c r="T30" s="34">
        <f>COUNTIFS(Ocorrências!$B$7:$B$156,$A30,Ocorrências!$A$7:$A$156,"&gt;="&amp;Listas!$L$2,Ocorrências!$A$7:$A$156,"&lt;="&amp;Listas!$L$3)</f>
        <v/>
      </c>
      <c r="U30" s="33">
        <f>IF($S30=0,"",$T30/$S30)</f>
        <v/>
      </c>
      <c r="V30" s="35">
        <f>IF(COUNTIFS(Compras!$B$7:$B$306,$A30,Compras!$I$7:$I$306,"Sim",Compras!$A$7:$A$306,"&gt;="&amp;Listas!$L$2,Compras!$A$7:$A$306,"&lt;="&amp;Listas!$L$3)+COUNTIFS(Compras!$B$7:$B$306,$A30,Compras!$I$7:$I$306,"Não",Compras!$A$7:$A$306,"&gt;="&amp;Listas!$L$2,Compras!$A$7:$A$306,"&lt;="&amp;Listas!$L$3)=0,"",COUNTIFS(Compras!$B$7:$B$306,$A30,Compras!$I$7:$I$306,"Sim",Compras!$A$7:$A$306,"&gt;="&amp;Listas!$L$2,Compras!$A$7:$A$306,"&lt;="&amp;Listas!$L$3)/(COUNTIFS(Compras!$B$7:$B$306,$A30,Compras!$I$7:$I$306,"Sim",Compras!$A$7:$A$306,"&gt;="&amp;Listas!$L$2,Compras!$A$7:$A$306,"&lt;="&amp;Listas!$L$3)+COUNTIFS(Compras!$B$7:$B$306,$A30,Compras!$I$7:$I$306,"Não",Compras!$A$7:$A$306,"&gt;="&amp;Listas!$L$2,Compras!$A$7:$A$306,"&lt;="&amp;Listas!$L$3)))</f>
        <v/>
      </c>
      <c r="W30" s="36">
        <f>IF(COUNT($N30:$P30)&lt;3,"",ROUND(($N30*0.35+$O30*0.35+$P30*0.3)*(1-IF($U30="",0,$U30)),2))</f>
        <v/>
      </c>
      <c r="X30" s="37">
        <f>IF($S30=0,"",SUMPRODUCT(MAX((Compras!$B$7:$B$306=$A30)*Compras!$A$7:$A$306)))</f>
        <v/>
      </c>
      <c r="Y30" s="30" t="n"/>
    </row>
    <row r="31" ht="22" customHeight="1">
      <c r="A31" s="31" t="n"/>
      <c r="B31" s="30" t="n"/>
      <c r="C31" s="30" t="n"/>
      <c r="D31" s="30" t="n"/>
      <c r="E31" s="31" t="n"/>
      <c r="F31" s="30" t="n"/>
      <c r="G31" s="31" t="n"/>
      <c r="H31" s="30" t="n"/>
      <c r="I31" s="30" t="n"/>
      <c r="J31" s="31" t="n"/>
      <c r="K31" s="30" t="n"/>
      <c r="L31" s="30" t="n"/>
      <c r="M31" s="30" t="n"/>
      <c r="N31" s="31" t="n"/>
      <c r="O31" s="31" t="n"/>
      <c r="P31" s="31" t="n"/>
      <c r="Q31" s="32">
        <f>SUMIFS(Compras!$F$7:$F$306,Compras!$B$7:$B$306,$A31,Compras!$A$7:$A$306,"&gt;="&amp;Listas!$L$2,Compras!$A$7:$A$306,"&lt;="&amp;Listas!$L$3)</f>
        <v/>
      </c>
      <c r="R31" s="33">
        <f>IF($Q$67=0,"",$Q31/$Q$67)</f>
        <v/>
      </c>
      <c r="S31" s="34">
        <f>COUNTIFS(Compras!$B$7:$B$306,$A31,Compras!$A$7:$A$306,"&gt;="&amp;Listas!$L$2,Compras!$A$7:$A$306,"&lt;="&amp;Listas!$L$3)</f>
        <v/>
      </c>
      <c r="T31" s="34">
        <f>COUNTIFS(Ocorrências!$B$7:$B$156,$A31,Ocorrências!$A$7:$A$156,"&gt;="&amp;Listas!$L$2,Ocorrências!$A$7:$A$156,"&lt;="&amp;Listas!$L$3)</f>
        <v/>
      </c>
      <c r="U31" s="33">
        <f>IF($S31=0,"",$T31/$S31)</f>
        <v/>
      </c>
      <c r="V31" s="35">
        <f>IF(COUNTIFS(Compras!$B$7:$B$306,$A31,Compras!$I$7:$I$306,"Sim",Compras!$A$7:$A$306,"&gt;="&amp;Listas!$L$2,Compras!$A$7:$A$306,"&lt;="&amp;Listas!$L$3)+COUNTIFS(Compras!$B$7:$B$306,$A31,Compras!$I$7:$I$306,"Não",Compras!$A$7:$A$306,"&gt;="&amp;Listas!$L$2,Compras!$A$7:$A$306,"&lt;="&amp;Listas!$L$3)=0,"",COUNTIFS(Compras!$B$7:$B$306,$A31,Compras!$I$7:$I$306,"Sim",Compras!$A$7:$A$306,"&gt;="&amp;Listas!$L$2,Compras!$A$7:$A$306,"&lt;="&amp;Listas!$L$3)/(COUNTIFS(Compras!$B$7:$B$306,$A31,Compras!$I$7:$I$306,"Sim",Compras!$A$7:$A$306,"&gt;="&amp;Listas!$L$2,Compras!$A$7:$A$306,"&lt;="&amp;Listas!$L$3)+COUNTIFS(Compras!$B$7:$B$306,$A31,Compras!$I$7:$I$306,"Não",Compras!$A$7:$A$306,"&gt;="&amp;Listas!$L$2,Compras!$A$7:$A$306,"&lt;="&amp;Listas!$L$3)))</f>
        <v/>
      </c>
      <c r="W31" s="36">
        <f>IF(COUNT($N31:$P31)&lt;3,"",ROUND(($N31*0.35+$O31*0.35+$P31*0.3)*(1-IF($U31="",0,$U31)),2))</f>
        <v/>
      </c>
      <c r="X31" s="37">
        <f>IF($S31=0,"",SUMPRODUCT(MAX((Compras!$B$7:$B$306=$A31)*Compras!$A$7:$A$306)))</f>
        <v/>
      </c>
      <c r="Y31" s="30" t="n"/>
    </row>
    <row r="32" ht="22" customHeight="1">
      <c r="A32" s="31" t="n"/>
      <c r="B32" s="30" t="n"/>
      <c r="C32" s="30" t="n"/>
      <c r="D32" s="30" t="n"/>
      <c r="E32" s="31" t="n"/>
      <c r="F32" s="30" t="n"/>
      <c r="G32" s="31" t="n"/>
      <c r="H32" s="30" t="n"/>
      <c r="I32" s="30" t="n"/>
      <c r="J32" s="31" t="n"/>
      <c r="K32" s="30" t="n"/>
      <c r="L32" s="30" t="n"/>
      <c r="M32" s="30" t="n"/>
      <c r="N32" s="31" t="n"/>
      <c r="O32" s="31" t="n"/>
      <c r="P32" s="31" t="n"/>
      <c r="Q32" s="32">
        <f>SUMIFS(Compras!$F$7:$F$306,Compras!$B$7:$B$306,$A32,Compras!$A$7:$A$306,"&gt;="&amp;Listas!$L$2,Compras!$A$7:$A$306,"&lt;="&amp;Listas!$L$3)</f>
        <v/>
      </c>
      <c r="R32" s="33">
        <f>IF($Q$67=0,"",$Q32/$Q$67)</f>
        <v/>
      </c>
      <c r="S32" s="34">
        <f>COUNTIFS(Compras!$B$7:$B$306,$A32,Compras!$A$7:$A$306,"&gt;="&amp;Listas!$L$2,Compras!$A$7:$A$306,"&lt;="&amp;Listas!$L$3)</f>
        <v/>
      </c>
      <c r="T32" s="34">
        <f>COUNTIFS(Ocorrências!$B$7:$B$156,$A32,Ocorrências!$A$7:$A$156,"&gt;="&amp;Listas!$L$2,Ocorrências!$A$7:$A$156,"&lt;="&amp;Listas!$L$3)</f>
        <v/>
      </c>
      <c r="U32" s="33">
        <f>IF($S32=0,"",$T32/$S32)</f>
        <v/>
      </c>
      <c r="V32" s="35">
        <f>IF(COUNTIFS(Compras!$B$7:$B$306,$A32,Compras!$I$7:$I$306,"Sim",Compras!$A$7:$A$306,"&gt;="&amp;Listas!$L$2,Compras!$A$7:$A$306,"&lt;="&amp;Listas!$L$3)+COUNTIFS(Compras!$B$7:$B$306,$A32,Compras!$I$7:$I$306,"Não",Compras!$A$7:$A$306,"&gt;="&amp;Listas!$L$2,Compras!$A$7:$A$306,"&lt;="&amp;Listas!$L$3)=0,"",COUNTIFS(Compras!$B$7:$B$306,$A32,Compras!$I$7:$I$306,"Sim",Compras!$A$7:$A$306,"&gt;="&amp;Listas!$L$2,Compras!$A$7:$A$306,"&lt;="&amp;Listas!$L$3)/(COUNTIFS(Compras!$B$7:$B$306,$A32,Compras!$I$7:$I$306,"Sim",Compras!$A$7:$A$306,"&gt;="&amp;Listas!$L$2,Compras!$A$7:$A$306,"&lt;="&amp;Listas!$L$3)+COUNTIFS(Compras!$B$7:$B$306,$A32,Compras!$I$7:$I$306,"Não",Compras!$A$7:$A$306,"&gt;="&amp;Listas!$L$2,Compras!$A$7:$A$306,"&lt;="&amp;Listas!$L$3)))</f>
        <v/>
      </c>
      <c r="W32" s="36">
        <f>IF(COUNT($N32:$P32)&lt;3,"",ROUND(($N32*0.35+$O32*0.35+$P32*0.3)*(1-IF($U32="",0,$U32)),2))</f>
        <v/>
      </c>
      <c r="X32" s="37">
        <f>IF($S32=0,"",SUMPRODUCT(MAX((Compras!$B$7:$B$306=$A32)*Compras!$A$7:$A$306)))</f>
        <v/>
      </c>
      <c r="Y32" s="30" t="n"/>
    </row>
    <row r="33" ht="22" customHeight="1">
      <c r="A33" s="31" t="n"/>
      <c r="B33" s="30" t="n"/>
      <c r="C33" s="30" t="n"/>
      <c r="D33" s="30" t="n"/>
      <c r="E33" s="31" t="n"/>
      <c r="F33" s="30" t="n"/>
      <c r="G33" s="31" t="n"/>
      <c r="H33" s="30" t="n"/>
      <c r="I33" s="30" t="n"/>
      <c r="J33" s="31" t="n"/>
      <c r="K33" s="30" t="n"/>
      <c r="L33" s="30" t="n"/>
      <c r="M33" s="30" t="n"/>
      <c r="N33" s="31" t="n"/>
      <c r="O33" s="31" t="n"/>
      <c r="P33" s="31" t="n"/>
      <c r="Q33" s="32">
        <f>SUMIFS(Compras!$F$7:$F$306,Compras!$B$7:$B$306,$A33,Compras!$A$7:$A$306,"&gt;="&amp;Listas!$L$2,Compras!$A$7:$A$306,"&lt;="&amp;Listas!$L$3)</f>
        <v/>
      </c>
      <c r="R33" s="33">
        <f>IF($Q$67=0,"",$Q33/$Q$67)</f>
        <v/>
      </c>
      <c r="S33" s="34">
        <f>COUNTIFS(Compras!$B$7:$B$306,$A33,Compras!$A$7:$A$306,"&gt;="&amp;Listas!$L$2,Compras!$A$7:$A$306,"&lt;="&amp;Listas!$L$3)</f>
        <v/>
      </c>
      <c r="T33" s="34">
        <f>COUNTIFS(Ocorrências!$B$7:$B$156,$A33,Ocorrências!$A$7:$A$156,"&gt;="&amp;Listas!$L$2,Ocorrências!$A$7:$A$156,"&lt;="&amp;Listas!$L$3)</f>
        <v/>
      </c>
      <c r="U33" s="33">
        <f>IF($S33=0,"",$T33/$S33)</f>
        <v/>
      </c>
      <c r="V33" s="35">
        <f>IF(COUNTIFS(Compras!$B$7:$B$306,$A33,Compras!$I$7:$I$306,"Sim",Compras!$A$7:$A$306,"&gt;="&amp;Listas!$L$2,Compras!$A$7:$A$306,"&lt;="&amp;Listas!$L$3)+COUNTIFS(Compras!$B$7:$B$306,$A33,Compras!$I$7:$I$306,"Não",Compras!$A$7:$A$306,"&gt;="&amp;Listas!$L$2,Compras!$A$7:$A$306,"&lt;="&amp;Listas!$L$3)=0,"",COUNTIFS(Compras!$B$7:$B$306,$A33,Compras!$I$7:$I$306,"Sim",Compras!$A$7:$A$306,"&gt;="&amp;Listas!$L$2,Compras!$A$7:$A$306,"&lt;="&amp;Listas!$L$3)/(COUNTIFS(Compras!$B$7:$B$306,$A33,Compras!$I$7:$I$306,"Sim",Compras!$A$7:$A$306,"&gt;="&amp;Listas!$L$2,Compras!$A$7:$A$306,"&lt;="&amp;Listas!$L$3)+COUNTIFS(Compras!$B$7:$B$306,$A33,Compras!$I$7:$I$306,"Não",Compras!$A$7:$A$306,"&gt;="&amp;Listas!$L$2,Compras!$A$7:$A$306,"&lt;="&amp;Listas!$L$3)))</f>
        <v/>
      </c>
      <c r="W33" s="36">
        <f>IF(COUNT($N33:$P33)&lt;3,"",ROUND(($N33*0.35+$O33*0.35+$P33*0.3)*(1-IF($U33="",0,$U33)),2))</f>
        <v/>
      </c>
      <c r="X33" s="37">
        <f>IF($S33=0,"",SUMPRODUCT(MAX((Compras!$B$7:$B$306=$A33)*Compras!$A$7:$A$306)))</f>
        <v/>
      </c>
      <c r="Y33" s="30" t="n"/>
    </row>
    <row r="34" ht="22" customHeight="1">
      <c r="A34" s="31" t="n"/>
      <c r="B34" s="30" t="n"/>
      <c r="C34" s="30" t="n"/>
      <c r="D34" s="30" t="n"/>
      <c r="E34" s="31" t="n"/>
      <c r="F34" s="30" t="n"/>
      <c r="G34" s="31" t="n"/>
      <c r="H34" s="30" t="n"/>
      <c r="I34" s="30" t="n"/>
      <c r="J34" s="31" t="n"/>
      <c r="K34" s="30" t="n"/>
      <c r="L34" s="30" t="n"/>
      <c r="M34" s="30" t="n"/>
      <c r="N34" s="31" t="n"/>
      <c r="O34" s="31" t="n"/>
      <c r="P34" s="31" t="n"/>
      <c r="Q34" s="32">
        <f>SUMIFS(Compras!$F$7:$F$306,Compras!$B$7:$B$306,$A34,Compras!$A$7:$A$306,"&gt;="&amp;Listas!$L$2,Compras!$A$7:$A$306,"&lt;="&amp;Listas!$L$3)</f>
        <v/>
      </c>
      <c r="R34" s="33">
        <f>IF($Q$67=0,"",$Q34/$Q$67)</f>
        <v/>
      </c>
      <c r="S34" s="34">
        <f>COUNTIFS(Compras!$B$7:$B$306,$A34,Compras!$A$7:$A$306,"&gt;="&amp;Listas!$L$2,Compras!$A$7:$A$306,"&lt;="&amp;Listas!$L$3)</f>
        <v/>
      </c>
      <c r="T34" s="34">
        <f>COUNTIFS(Ocorrências!$B$7:$B$156,$A34,Ocorrências!$A$7:$A$156,"&gt;="&amp;Listas!$L$2,Ocorrências!$A$7:$A$156,"&lt;="&amp;Listas!$L$3)</f>
        <v/>
      </c>
      <c r="U34" s="33">
        <f>IF($S34=0,"",$T34/$S34)</f>
        <v/>
      </c>
      <c r="V34" s="35">
        <f>IF(COUNTIFS(Compras!$B$7:$B$306,$A34,Compras!$I$7:$I$306,"Sim",Compras!$A$7:$A$306,"&gt;="&amp;Listas!$L$2,Compras!$A$7:$A$306,"&lt;="&amp;Listas!$L$3)+COUNTIFS(Compras!$B$7:$B$306,$A34,Compras!$I$7:$I$306,"Não",Compras!$A$7:$A$306,"&gt;="&amp;Listas!$L$2,Compras!$A$7:$A$306,"&lt;="&amp;Listas!$L$3)=0,"",COUNTIFS(Compras!$B$7:$B$306,$A34,Compras!$I$7:$I$306,"Sim",Compras!$A$7:$A$306,"&gt;="&amp;Listas!$L$2,Compras!$A$7:$A$306,"&lt;="&amp;Listas!$L$3)/(COUNTIFS(Compras!$B$7:$B$306,$A34,Compras!$I$7:$I$306,"Sim",Compras!$A$7:$A$306,"&gt;="&amp;Listas!$L$2,Compras!$A$7:$A$306,"&lt;="&amp;Listas!$L$3)+COUNTIFS(Compras!$B$7:$B$306,$A34,Compras!$I$7:$I$306,"Não",Compras!$A$7:$A$306,"&gt;="&amp;Listas!$L$2,Compras!$A$7:$A$306,"&lt;="&amp;Listas!$L$3)))</f>
        <v/>
      </c>
      <c r="W34" s="36">
        <f>IF(COUNT($N34:$P34)&lt;3,"",ROUND(($N34*0.35+$O34*0.35+$P34*0.3)*(1-IF($U34="",0,$U34)),2))</f>
        <v/>
      </c>
      <c r="X34" s="37">
        <f>IF($S34=0,"",SUMPRODUCT(MAX((Compras!$B$7:$B$306=$A34)*Compras!$A$7:$A$306)))</f>
        <v/>
      </c>
      <c r="Y34" s="30" t="n"/>
    </row>
    <row r="35" ht="22" customHeight="1">
      <c r="A35" s="31" t="n"/>
      <c r="B35" s="30" t="n"/>
      <c r="C35" s="30" t="n"/>
      <c r="D35" s="30" t="n"/>
      <c r="E35" s="31" t="n"/>
      <c r="F35" s="30" t="n"/>
      <c r="G35" s="31" t="n"/>
      <c r="H35" s="30" t="n"/>
      <c r="I35" s="30" t="n"/>
      <c r="J35" s="31" t="n"/>
      <c r="K35" s="30" t="n"/>
      <c r="L35" s="30" t="n"/>
      <c r="M35" s="30" t="n"/>
      <c r="N35" s="31" t="n"/>
      <c r="O35" s="31" t="n"/>
      <c r="P35" s="31" t="n"/>
      <c r="Q35" s="32">
        <f>SUMIFS(Compras!$F$7:$F$306,Compras!$B$7:$B$306,$A35,Compras!$A$7:$A$306,"&gt;="&amp;Listas!$L$2,Compras!$A$7:$A$306,"&lt;="&amp;Listas!$L$3)</f>
        <v/>
      </c>
      <c r="R35" s="33">
        <f>IF($Q$67=0,"",$Q35/$Q$67)</f>
        <v/>
      </c>
      <c r="S35" s="34">
        <f>COUNTIFS(Compras!$B$7:$B$306,$A35,Compras!$A$7:$A$306,"&gt;="&amp;Listas!$L$2,Compras!$A$7:$A$306,"&lt;="&amp;Listas!$L$3)</f>
        <v/>
      </c>
      <c r="T35" s="34">
        <f>COUNTIFS(Ocorrências!$B$7:$B$156,$A35,Ocorrências!$A$7:$A$156,"&gt;="&amp;Listas!$L$2,Ocorrências!$A$7:$A$156,"&lt;="&amp;Listas!$L$3)</f>
        <v/>
      </c>
      <c r="U35" s="33">
        <f>IF($S35=0,"",$T35/$S35)</f>
        <v/>
      </c>
      <c r="V35" s="35">
        <f>IF(COUNTIFS(Compras!$B$7:$B$306,$A35,Compras!$I$7:$I$306,"Sim",Compras!$A$7:$A$306,"&gt;="&amp;Listas!$L$2,Compras!$A$7:$A$306,"&lt;="&amp;Listas!$L$3)+COUNTIFS(Compras!$B$7:$B$306,$A35,Compras!$I$7:$I$306,"Não",Compras!$A$7:$A$306,"&gt;="&amp;Listas!$L$2,Compras!$A$7:$A$306,"&lt;="&amp;Listas!$L$3)=0,"",COUNTIFS(Compras!$B$7:$B$306,$A35,Compras!$I$7:$I$306,"Sim",Compras!$A$7:$A$306,"&gt;="&amp;Listas!$L$2,Compras!$A$7:$A$306,"&lt;="&amp;Listas!$L$3)/(COUNTIFS(Compras!$B$7:$B$306,$A35,Compras!$I$7:$I$306,"Sim",Compras!$A$7:$A$306,"&gt;="&amp;Listas!$L$2,Compras!$A$7:$A$306,"&lt;="&amp;Listas!$L$3)+COUNTIFS(Compras!$B$7:$B$306,$A35,Compras!$I$7:$I$306,"Não",Compras!$A$7:$A$306,"&gt;="&amp;Listas!$L$2,Compras!$A$7:$A$306,"&lt;="&amp;Listas!$L$3)))</f>
        <v/>
      </c>
      <c r="W35" s="36">
        <f>IF(COUNT($N35:$P35)&lt;3,"",ROUND(($N35*0.35+$O35*0.35+$P35*0.3)*(1-IF($U35="",0,$U35)),2))</f>
        <v/>
      </c>
      <c r="X35" s="37">
        <f>IF($S35=0,"",SUMPRODUCT(MAX((Compras!$B$7:$B$306=$A35)*Compras!$A$7:$A$306)))</f>
        <v/>
      </c>
      <c r="Y35" s="30" t="n"/>
    </row>
    <row r="36" ht="22" customHeight="1">
      <c r="A36" s="31" t="n"/>
      <c r="B36" s="30" t="n"/>
      <c r="C36" s="30" t="n"/>
      <c r="D36" s="30" t="n"/>
      <c r="E36" s="31" t="n"/>
      <c r="F36" s="30" t="n"/>
      <c r="G36" s="31" t="n"/>
      <c r="H36" s="30" t="n"/>
      <c r="I36" s="30" t="n"/>
      <c r="J36" s="31" t="n"/>
      <c r="K36" s="30" t="n"/>
      <c r="L36" s="30" t="n"/>
      <c r="M36" s="30" t="n"/>
      <c r="N36" s="31" t="n"/>
      <c r="O36" s="31" t="n"/>
      <c r="P36" s="31" t="n"/>
      <c r="Q36" s="32">
        <f>SUMIFS(Compras!$F$7:$F$306,Compras!$B$7:$B$306,$A36,Compras!$A$7:$A$306,"&gt;="&amp;Listas!$L$2,Compras!$A$7:$A$306,"&lt;="&amp;Listas!$L$3)</f>
        <v/>
      </c>
      <c r="R36" s="33">
        <f>IF($Q$67=0,"",$Q36/$Q$67)</f>
        <v/>
      </c>
      <c r="S36" s="34">
        <f>COUNTIFS(Compras!$B$7:$B$306,$A36,Compras!$A$7:$A$306,"&gt;="&amp;Listas!$L$2,Compras!$A$7:$A$306,"&lt;="&amp;Listas!$L$3)</f>
        <v/>
      </c>
      <c r="T36" s="34">
        <f>COUNTIFS(Ocorrências!$B$7:$B$156,$A36,Ocorrências!$A$7:$A$156,"&gt;="&amp;Listas!$L$2,Ocorrências!$A$7:$A$156,"&lt;="&amp;Listas!$L$3)</f>
        <v/>
      </c>
      <c r="U36" s="33">
        <f>IF($S36=0,"",$T36/$S36)</f>
        <v/>
      </c>
      <c r="V36" s="35">
        <f>IF(COUNTIFS(Compras!$B$7:$B$306,$A36,Compras!$I$7:$I$306,"Sim",Compras!$A$7:$A$306,"&gt;="&amp;Listas!$L$2,Compras!$A$7:$A$306,"&lt;="&amp;Listas!$L$3)+COUNTIFS(Compras!$B$7:$B$306,$A36,Compras!$I$7:$I$306,"Não",Compras!$A$7:$A$306,"&gt;="&amp;Listas!$L$2,Compras!$A$7:$A$306,"&lt;="&amp;Listas!$L$3)=0,"",COUNTIFS(Compras!$B$7:$B$306,$A36,Compras!$I$7:$I$306,"Sim",Compras!$A$7:$A$306,"&gt;="&amp;Listas!$L$2,Compras!$A$7:$A$306,"&lt;="&amp;Listas!$L$3)/(COUNTIFS(Compras!$B$7:$B$306,$A36,Compras!$I$7:$I$306,"Sim",Compras!$A$7:$A$306,"&gt;="&amp;Listas!$L$2,Compras!$A$7:$A$306,"&lt;="&amp;Listas!$L$3)+COUNTIFS(Compras!$B$7:$B$306,$A36,Compras!$I$7:$I$306,"Não",Compras!$A$7:$A$306,"&gt;="&amp;Listas!$L$2,Compras!$A$7:$A$306,"&lt;="&amp;Listas!$L$3)))</f>
        <v/>
      </c>
      <c r="W36" s="36">
        <f>IF(COUNT($N36:$P36)&lt;3,"",ROUND(($N36*0.35+$O36*0.35+$P36*0.3)*(1-IF($U36="",0,$U36)),2))</f>
        <v/>
      </c>
      <c r="X36" s="37">
        <f>IF($S36=0,"",SUMPRODUCT(MAX((Compras!$B$7:$B$306=$A36)*Compras!$A$7:$A$306)))</f>
        <v/>
      </c>
      <c r="Y36" s="30" t="n"/>
    </row>
    <row r="37" ht="22" customHeight="1">
      <c r="A37" s="31" t="n"/>
      <c r="B37" s="30" t="n"/>
      <c r="C37" s="30" t="n"/>
      <c r="D37" s="30" t="n"/>
      <c r="E37" s="31" t="n"/>
      <c r="F37" s="30" t="n"/>
      <c r="G37" s="31" t="n"/>
      <c r="H37" s="30" t="n"/>
      <c r="I37" s="30" t="n"/>
      <c r="J37" s="31" t="n"/>
      <c r="K37" s="30" t="n"/>
      <c r="L37" s="30" t="n"/>
      <c r="M37" s="30" t="n"/>
      <c r="N37" s="31" t="n"/>
      <c r="O37" s="31" t="n"/>
      <c r="P37" s="31" t="n"/>
      <c r="Q37" s="32">
        <f>SUMIFS(Compras!$F$7:$F$306,Compras!$B$7:$B$306,$A37,Compras!$A$7:$A$306,"&gt;="&amp;Listas!$L$2,Compras!$A$7:$A$306,"&lt;="&amp;Listas!$L$3)</f>
        <v/>
      </c>
      <c r="R37" s="33">
        <f>IF($Q$67=0,"",$Q37/$Q$67)</f>
        <v/>
      </c>
      <c r="S37" s="34">
        <f>COUNTIFS(Compras!$B$7:$B$306,$A37,Compras!$A$7:$A$306,"&gt;="&amp;Listas!$L$2,Compras!$A$7:$A$306,"&lt;="&amp;Listas!$L$3)</f>
        <v/>
      </c>
      <c r="T37" s="34">
        <f>COUNTIFS(Ocorrências!$B$7:$B$156,$A37,Ocorrências!$A$7:$A$156,"&gt;="&amp;Listas!$L$2,Ocorrências!$A$7:$A$156,"&lt;="&amp;Listas!$L$3)</f>
        <v/>
      </c>
      <c r="U37" s="33">
        <f>IF($S37=0,"",$T37/$S37)</f>
        <v/>
      </c>
      <c r="V37" s="35">
        <f>IF(COUNTIFS(Compras!$B$7:$B$306,$A37,Compras!$I$7:$I$306,"Sim",Compras!$A$7:$A$306,"&gt;="&amp;Listas!$L$2,Compras!$A$7:$A$306,"&lt;="&amp;Listas!$L$3)+COUNTIFS(Compras!$B$7:$B$306,$A37,Compras!$I$7:$I$306,"Não",Compras!$A$7:$A$306,"&gt;="&amp;Listas!$L$2,Compras!$A$7:$A$306,"&lt;="&amp;Listas!$L$3)=0,"",COUNTIFS(Compras!$B$7:$B$306,$A37,Compras!$I$7:$I$306,"Sim",Compras!$A$7:$A$306,"&gt;="&amp;Listas!$L$2,Compras!$A$7:$A$306,"&lt;="&amp;Listas!$L$3)/(COUNTIFS(Compras!$B$7:$B$306,$A37,Compras!$I$7:$I$306,"Sim",Compras!$A$7:$A$306,"&gt;="&amp;Listas!$L$2,Compras!$A$7:$A$306,"&lt;="&amp;Listas!$L$3)+COUNTIFS(Compras!$B$7:$B$306,$A37,Compras!$I$7:$I$306,"Não",Compras!$A$7:$A$306,"&gt;="&amp;Listas!$L$2,Compras!$A$7:$A$306,"&lt;="&amp;Listas!$L$3)))</f>
        <v/>
      </c>
      <c r="W37" s="36">
        <f>IF(COUNT($N37:$P37)&lt;3,"",ROUND(($N37*0.35+$O37*0.35+$P37*0.3)*(1-IF($U37="",0,$U37)),2))</f>
        <v/>
      </c>
      <c r="X37" s="37">
        <f>IF($S37=0,"",SUMPRODUCT(MAX((Compras!$B$7:$B$306=$A37)*Compras!$A$7:$A$306)))</f>
        <v/>
      </c>
      <c r="Y37" s="30" t="n"/>
    </row>
    <row r="38" ht="22" customHeight="1">
      <c r="A38" s="31" t="n"/>
      <c r="B38" s="30" t="n"/>
      <c r="C38" s="30" t="n"/>
      <c r="D38" s="30" t="n"/>
      <c r="E38" s="31" t="n"/>
      <c r="F38" s="30" t="n"/>
      <c r="G38" s="31" t="n"/>
      <c r="H38" s="30" t="n"/>
      <c r="I38" s="30" t="n"/>
      <c r="J38" s="31" t="n"/>
      <c r="K38" s="30" t="n"/>
      <c r="L38" s="30" t="n"/>
      <c r="M38" s="30" t="n"/>
      <c r="N38" s="31" t="n"/>
      <c r="O38" s="31" t="n"/>
      <c r="P38" s="31" t="n"/>
      <c r="Q38" s="32">
        <f>SUMIFS(Compras!$F$7:$F$306,Compras!$B$7:$B$306,$A38,Compras!$A$7:$A$306,"&gt;="&amp;Listas!$L$2,Compras!$A$7:$A$306,"&lt;="&amp;Listas!$L$3)</f>
        <v/>
      </c>
      <c r="R38" s="33">
        <f>IF($Q$67=0,"",$Q38/$Q$67)</f>
        <v/>
      </c>
      <c r="S38" s="34">
        <f>COUNTIFS(Compras!$B$7:$B$306,$A38,Compras!$A$7:$A$306,"&gt;="&amp;Listas!$L$2,Compras!$A$7:$A$306,"&lt;="&amp;Listas!$L$3)</f>
        <v/>
      </c>
      <c r="T38" s="34">
        <f>COUNTIFS(Ocorrências!$B$7:$B$156,$A38,Ocorrências!$A$7:$A$156,"&gt;="&amp;Listas!$L$2,Ocorrências!$A$7:$A$156,"&lt;="&amp;Listas!$L$3)</f>
        <v/>
      </c>
      <c r="U38" s="33">
        <f>IF($S38=0,"",$T38/$S38)</f>
        <v/>
      </c>
      <c r="V38" s="35">
        <f>IF(COUNTIFS(Compras!$B$7:$B$306,$A38,Compras!$I$7:$I$306,"Sim",Compras!$A$7:$A$306,"&gt;="&amp;Listas!$L$2,Compras!$A$7:$A$306,"&lt;="&amp;Listas!$L$3)+COUNTIFS(Compras!$B$7:$B$306,$A38,Compras!$I$7:$I$306,"Não",Compras!$A$7:$A$306,"&gt;="&amp;Listas!$L$2,Compras!$A$7:$A$306,"&lt;="&amp;Listas!$L$3)=0,"",COUNTIFS(Compras!$B$7:$B$306,$A38,Compras!$I$7:$I$306,"Sim",Compras!$A$7:$A$306,"&gt;="&amp;Listas!$L$2,Compras!$A$7:$A$306,"&lt;="&amp;Listas!$L$3)/(COUNTIFS(Compras!$B$7:$B$306,$A38,Compras!$I$7:$I$306,"Sim",Compras!$A$7:$A$306,"&gt;="&amp;Listas!$L$2,Compras!$A$7:$A$306,"&lt;="&amp;Listas!$L$3)+COUNTIFS(Compras!$B$7:$B$306,$A38,Compras!$I$7:$I$306,"Não",Compras!$A$7:$A$306,"&gt;="&amp;Listas!$L$2,Compras!$A$7:$A$306,"&lt;="&amp;Listas!$L$3)))</f>
        <v/>
      </c>
      <c r="W38" s="36">
        <f>IF(COUNT($N38:$P38)&lt;3,"",ROUND(($N38*0.35+$O38*0.35+$P38*0.3)*(1-IF($U38="",0,$U38)),2))</f>
        <v/>
      </c>
      <c r="X38" s="37">
        <f>IF($S38=0,"",SUMPRODUCT(MAX((Compras!$B$7:$B$306=$A38)*Compras!$A$7:$A$306)))</f>
        <v/>
      </c>
      <c r="Y38" s="30" t="n"/>
    </row>
    <row r="39" ht="22" customHeight="1">
      <c r="A39" s="31" t="n"/>
      <c r="B39" s="30" t="n"/>
      <c r="C39" s="30" t="n"/>
      <c r="D39" s="30" t="n"/>
      <c r="E39" s="31" t="n"/>
      <c r="F39" s="30" t="n"/>
      <c r="G39" s="31" t="n"/>
      <c r="H39" s="30" t="n"/>
      <c r="I39" s="30" t="n"/>
      <c r="J39" s="31" t="n"/>
      <c r="K39" s="30" t="n"/>
      <c r="L39" s="30" t="n"/>
      <c r="M39" s="30" t="n"/>
      <c r="N39" s="31" t="n"/>
      <c r="O39" s="31" t="n"/>
      <c r="P39" s="31" t="n"/>
      <c r="Q39" s="32">
        <f>SUMIFS(Compras!$F$7:$F$306,Compras!$B$7:$B$306,$A39,Compras!$A$7:$A$306,"&gt;="&amp;Listas!$L$2,Compras!$A$7:$A$306,"&lt;="&amp;Listas!$L$3)</f>
        <v/>
      </c>
      <c r="R39" s="33">
        <f>IF($Q$67=0,"",$Q39/$Q$67)</f>
        <v/>
      </c>
      <c r="S39" s="34">
        <f>COUNTIFS(Compras!$B$7:$B$306,$A39,Compras!$A$7:$A$306,"&gt;="&amp;Listas!$L$2,Compras!$A$7:$A$306,"&lt;="&amp;Listas!$L$3)</f>
        <v/>
      </c>
      <c r="T39" s="34">
        <f>COUNTIFS(Ocorrências!$B$7:$B$156,$A39,Ocorrências!$A$7:$A$156,"&gt;="&amp;Listas!$L$2,Ocorrências!$A$7:$A$156,"&lt;="&amp;Listas!$L$3)</f>
        <v/>
      </c>
      <c r="U39" s="33">
        <f>IF($S39=0,"",$T39/$S39)</f>
        <v/>
      </c>
      <c r="V39" s="35">
        <f>IF(COUNTIFS(Compras!$B$7:$B$306,$A39,Compras!$I$7:$I$306,"Sim",Compras!$A$7:$A$306,"&gt;="&amp;Listas!$L$2,Compras!$A$7:$A$306,"&lt;="&amp;Listas!$L$3)+COUNTIFS(Compras!$B$7:$B$306,$A39,Compras!$I$7:$I$306,"Não",Compras!$A$7:$A$306,"&gt;="&amp;Listas!$L$2,Compras!$A$7:$A$306,"&lt;="&amp;Listas!$L$3)=0,"",COUNTIFS(Compras!$B$7:$B$306,$A39,Compras!$I$7:$I$306,"Sim",Compras!$A$7:$A$306,"&gt;="&amp;Listas!$L$2,Compras!$A$7:$A$306,"&lt;="&amp;Listas!$L$3)/(COUNTIFS(Compras!$B$7:$B$306,$A39,Compras!$I$7:$I$306,"Sim",Compras!$A$7:$A$306,"&gt;="&amp;Listas!$L$2,Compras!$A$7:$A$306,"&lt;="&amp;Listas!$L$3)+COUNTIFS(Compras!$B$7:$B$306,$A39,Compras!$I$7:$I$306,"Não",Compras!$A$7:$A$306,"&gt;="&amp;Listas!$L$2,Compras!$A$7:$A$306,"&lt;="&amp;Listas!$L$3)))</f>
        <v/>
      </c>
      <c r="W39" s="36">
        <f>IF(COUNT($N39:$P39)&lt;3,"",ROUND(($N39*0.35+$O39*0.35+$P39*0.3)*(1-IF($U39="",0,$U39)),2))</f>
        <v/>
      </c>
      <c r="X39" s="37">
        <f>IF($S39=0,"",SUMPRODUCT(MAX((Compras!$B$7:$B$306=$A39)*Compras!$A$7:$A$306)))</f>
        <v/>
      </c>
      <c r="Y39" s="30" t="n"/>
    </row>
    <row r="40" ht="22" customHeight="1">
      <c r="A40" s="31" t="n"/>
      <c r="B40" s="30" t="n"/>
      <c r="C40" s="30" t="n"/>
      <c r="D40" s="30" t="n"/>
      <c r="E40" s="31" t="n"/>
      <c r="F40" s="30" t="n"/>
      <c r="G40" s="31" t="n"/>
      <c r="H40" s="30" t="n"/>
      <c r="I40" s="30" t="n"/>
      <c r="J40" s="31" t="n"/>
      <c r="K40" s="30" t="n"/>
      <c r="L40" s="30" t="n"/>
      <c r="M40" s="30" t="n"/>
      <c r="N40" s="31" t="n"/>
      <c r="O40" s="31" t="n"/>
      <c r="P40" s="31" t="n"/>
      <c r="Q40" s="32">
        <f>SUMIFS(Compras!$F$7:$F$306,Compras!$B$7:$B$306,$A40,Compras!$A$7:$A$306,"&gt;="&amp;Listas!$L$2,Compras!$A$7:$A$306,"&lt;="&amp;Listas!$L$3)</f>
        <v/>
      </c>
      <c r="R40" s="33">
        <f>IF($Q$67=0,"",$Q40/$Q$67)</f>
        <v/>
      </c>
      <c r="S40" s="34">
        <f>COUNTIFS(Compras!$B$7:$B$306,$A40,Compras!$A$7:$A$306,"&gt;="&amp;Listas!$L$2,Compras!$A$7:$A$306,"&lt;="&amp;Listas!$L$3)</f>
        <v/>
      </c>
      <c r="T40" s="34">
        <f>COUNTIFS(Ocorrências!$B$7:$B$156,$A40,Ocorrências!$A$7:$A$156,"&gt;="&amp;Listas!$L$2,Ocorrências!$A$7:$A$156,"&lt;="&amp;Listas!$L$3)</f>
        <v/>
      </c>
      <c r="U40" s="33">
        <f>IF($S40=0,"",$T40/$S40)</f>
        <v/>
      </c>
      <c r="V40" s="35">
        <f>IF(COUNTIFS(Compras!$B$7:$B$306,$A40,Compras!$I$7:$I$306,"Sim",Compras!$A$7:$A$306,"&gt;="&amp;Listas!$L$2,Compras!$A$7:$A$306,"&lt;="&amp;Listas!$L$3)+COUNTIFS(Compras!$B$7:$B$306,$A40,Compras!$I$7:$I$306,"Não",Compras!$A$7:$A$306,"&gt;="&amp;Listas!$L$2,Compras!$A$7:$A$306,"&lt;="&amp;Listas!$L$3)=0,"",COUNTIFS(Compras!$B$7:$B$306,$A40,Compras!$I$7:$I$306,"Sim",Compras!$A$7:$A$306,"&gt;="&amp;Listas!$L$2,Compras!$A$7:$A$306,"&lt;="&amp;Listas!$L$3)/(COUNTIFS(Compras!$B$7:$B$306,$A40,Compras!$I$7:$I$306,"Sim",Compras!$A$7:$A$306,"&gt;="&amp;Listas!$L$2,Compras!$A$7:$A$306,"&lt;="&amp;Listas!$L$3)+COUNTIFS(Compras!$B$7:$B$306,$A40,Compras!$I$7:$I$306,"Não",Compras!$A$7:$A$306,"&gt;="&amp;Listas!$L$2,Compras!$A$7:$A$306,"&lt;="&amp;Listas!$L$3)))</f>
        <v/>
      </c>
      <c r="W40" s="36">
        <f>IF(COUNT($N40:$P40)&lt;3,"",ROUND(($N40*0.35+$O40*0.35+$P40*0.3)*(1-IF($U40="",0,$U40)),2))</f>
        <v/>
      </c>
      <c r="X40" s="37">
        <f>IF($S40=0,"",SUMPRODUCT(MAX((Compras!$B$7:$B$306=$A40)*Compras!$A$7:$A$306)))</f>
        <v/>
      </c>
      <c r="Y40" s="30" t="n"/>
    </row>
    <row r="41" ht="22" customHeight="1">
      <c r="A41" s="31" t="n"/>
      <c r="B41" s="30" t="n"/>
      <c r="C41" s="30" t="n"/>
      <c r="D41" s="30" t="n"/>
      <c r="E41" s="31" t="n"/>
      <c r="F41" s="30" t="n"/>
      <c r="G41" s="31" t="n"/>
      <c r="H41" s="30" t="n"/>
      <c r="I41" s="30" t="n"/>
      <c r="J41" s="31" t="n"/>
      <c r="K41" s="30" t="n"/>
      <c r="L41" s="30" t="n"/>
      <c r="M41" s="30" t="n"/>
      <c r="N41" s="31" t="n"/>
      <c r="O41" s="31" t="n"/>
      <c r="P41" s="31" t="n"/>
      <c r="Q41" s="32">
        <f>SUMIFS(Compras!$F$7:$F$306,Compras!$B$7:$B$306,$A41,Compras!$A$7:$A$306,"&gt;="&amp;Listas!$L$2,Compras!$A$7:$A$306,"&lt;="&amp;Listas!$L$3)</f>
        <v/>
      </c>
      <c r="R41" s="33">
        <f>IF($Q$67=0,"",$Q41/$Q$67)</f>
        <v/>
      </c>
      <c r="S41" s="34">
        <f>COUNTIFS(Compras!$B$7:$B$306,$A41,Compras!$A$7:$A$306,"&gt;="&amp;Listas!$L$2,Compras!$A$7:$A$306,"&lt;="&amp;Listas!$L$3)</f>
        <v/>
      </c>
      <c r="T41" s="34">
        <f>COUNTIFS(Ocorrências!$B$7:$B$156,$A41,Ocorrências!$A$7:$A$156,"&gt;="&amp;Listas!$L$2,Ocorrências!$A$7:$A$156,"&lt;="&amp;Listas!$L$3)</f>
        <v/>
      </c>
      <c r="U41" s="33">
        <f>IF($S41=0,"",$T41/$S41)</f>
        <v/>
      </c>
      <c r="V41" s="35">
        <f>IF(COUNTIFS(Compras!$B$7:$B$306,$A41,Compras!$I$7:$I$306,"Sim",Compras!$A$7:$A$306,"&gt;="&amp;Listas!$L$2,Compras!$A$7:$A$306,"&lt;="&amp;Listas!$L$3)+COUNTIFS(Compras!$B$7:$B$306,$A41,Compras!$I$7:$I$306,"Não",Compras!$A$7:$A$306,"&gt;="&amp;Listas!$L$2,Compras!$A$7:$A$306,"&lt;="&amp;Listas!$L$3)=0,"",COUNTIFS(Compras!$B$7:$B$306,$A41,Compras!$I$7:$I$306,"Sim",Compras!$A$7:$A$306,"&gt;="&amp;Listas!$L$2,Compras!$A$7:$A$306,"&lt;="&amp;Listas!$L$3)/(COUNTIFS(Compras!$B$7:$B$306,$A41,Compras!$I$7:$I$306,"Sim",Compras!$A$7:$A$306,"&gt;="&amp;Listas!$L$2,Compras!$A$7:$A$306,"&lt;="&amp;Listas!$L$3)+COUNTIFS(Compras!$B$7:$B$306,$A41,Compras!$I$7:$I$306,"Não",Compras!$A$7:$A$306,"&gt;="&amp;Listas!$L$2,Compras!$A$7:$A$306,"&lt;="&amp;Listas!$L$3)))</f>
        <v/>
      </c>
      <c r="W41" s="36">
        <f>IF(COUNT($N41:$P41)&lt;3,"",ROUND(($N41*0.35+$O41*0.35+$P41*0.3)*(1-IF($U41="",0,$U41)),2))</f>
        <v/>
      </c>
      <c r="X41" s="37">
        <f>IF($S41=0,"",SUMPRODUCT(MAX((Compras!$B$7:$B$306=$A41)*Compras!$A$7:$A$306)))</f>
        <v/>
      </c>
      <c r="Y41" s="30" t="n"/>
    </row>
    <row r="42" ht="22" customHeight="1">
      <c r="A42" s="31" t="n"/>
      <c r="B42" s="30" t="n"/>
      <c r="C42" s="30" t="n"/>
      <c r="D42" s="30" t="n"/>
      <c r="E42" s="31" t="n"/>
      <c r="F42" s="30" t="n"/>
      <c r="G42" s="31" t="n"/>
      <c r="H42" s="30" t="n"/>
      <c r="I42" s="30" t="n"/>
      <c r="J42" s="31" t="n"/>
      <c r="K42" s="30" t="n"/>
      <c r="L42" s="30" t="n"/>
      <c r="M42" s="30" t="n"/>
      <c r="N42" s="31" t="n"/>
      <c r="O42" s="31" t="n"/>
      <c r="P42" s="31" t="n"/>
      <c r="Q42" s="32">
        <f>SUMIFS(Compras!$F$7:$F$306,Compras!$B$7:$B$306,$A42,Compras!$A$7:$A$306,"&gt;="&amp;Listas!$L$2,Compras!$A$7:$A$306,"&lt;="&amp;Listas!$L$3)</f>
        <v/>
      </c>
      <c r="R42" s="33">
        <f>IF($Q$67=0,"",$Q42/$Q$67)</f>
        <v/>
      </c>
      <c r="S42" s="34">
        <f>COUNTIFS(Compras!$B$7:$B$306,$A42,Compras!$A$7:$A$306,"&gt;="&amp;Listas!$L$2,Compras!$A$7:$A$306,"&lt;="&amp;Listas!$L$3)</f>
        <v/>
      </c>
      <c r="T42" s="34">
        <f>COUNTIFS(Ocorrências!$B$7:$B$156,$A42,Ocorrências!$A$7:$A$156,"&gt;="&amp;Listas!$L$2,Ocorrências!$A$7:$A$156,"&lt;="&amp;Listas!$L$3)</f>
        <v/>
      </c>
      <c r="U42" s="33">
        <f>IF($S42=0,"",$T42/$S42)</f>
        <v/>
      </c>
      <c r="V42" s="35">
        <f>IF(COUNTIFS(Compras!$B$7:$B$306,$A42,Compras!$I$7:$I$306,"Sim",Compras!$A$7:$A$306,"&gt;="&amp;Listas!$L$2,Compras!$A$7:$A$306,"&lt;="&amp;Listas!$L$3)+COUNTIFS(Compras!$B$7:$B$306,$A42,Compras!$I$7:$I$306,"Não",Compras!$A$7:$A$306,"&gt;="&amp;Listas!$L$2,Compras!$A$7:$A$306,"&lt;="&amp;Listas!$L$3)=0,"",COUNTIFS(Compras!$B$7:$B$306,$A42,Compras!$I$7:$I$306,"Sim",Compras!$A$7:$A$306,"&gt;="&amp;Listas!$L$2,Compras!$A$7:$A$306,"&lt;="&amp;Listas!$L$3)/(COUNTIFS(Compras!$B$7:$B$306,$A42,Compras!$I$7:$I$306,"Sim",Compras!$A$7:$A$306,"&gt;="&amp;Listas!$L$2,Compras!$A$7:$A$306,"&lt;="&amp;Listas!$L$3)+COUNTIFS(Compras!$B$7:$B$306,$A42,Compras!$I$7:$I$306,"Não",Compras!$A$7:$A$306,"&gt;="&amp;Listas!$L$2,Compras!$A$7:$A$306,"&lt;="&amp;Listas!$L$3)))</f>
        <v/>
      </c>
      <c r="W42" s="36">
        <f>IF(COUNT($N42:$P42)&lt;3,"",ROUND(($N42*0.35+$O42*0.35+$P42*0.3)*(1-IF($U42="",0,$U42)),2))</f>
        <v/>
      </c>
      <c r="X42" s="37">
        <f>IF($S42=0,"",SUMPRODUCT(MAX((Compras!$B$7:$B$306=$A42)*Compras!$A$7:$A$306)))</f>
        <v/>
      </c>
      <c r="Y42" s="30" t="n"/>
    </row>
    <row r="43" ht="22" customHeight="1">
      <c r="A43" s="31" t="n"/>
      <c r="B43" s="30" t="n"/>
      <c r="C43" s="30" t="n"/>
      <c r="D43" s="30" t="n"/>
      <c r="E43" s="31" t="n"/>
      <c r="F43" s="30" t="n"/>
      <c r="G43" s="31" t="n"/>
      <c r="H43" s="30" t="n"/>
      <c r="I43" s="30" t="n"/>
      <c r="J43" s="31" t="n"/>
      <c r="K43" s="30" t="n"/>
      <c r="L43" s="30" t="n"/>
      <c r="M43" s="30" t="n"/>
      <c r="N43" s="31" t="n"/>
      <c r="O43" s="31" t="n"/>
      <c r="P43" s="31" t="n"/>
      <c r="Q43" s="32">
        <f>SUMIFS(Compras!$F$7:$F$306,Compras!$B$7:$B$306,$A43,Compras!$A$7:$A$306,"&gt;="&amp;Listas!$L$2,Compras!$A$7:$A$306,"&lt;="&amp;Listas!$L$3)</f>
        <v/>
      </c>
      <c r="R43" s="33">
        <f>IF($Q$67=0,"",$Q43/$Q$67)</f>
        <v/>
      </c>
      <c r="S43" s="34">
        <f>COUNTIFS(Compras!$B$7:$B$306,$A43,Compras!$A$7:$A$306,"&gt;="&amp;Listas!$L$2,Compras!$A$7:$A$306,"&lt;="&amp;Listas!$L$3)</f>
        <v/>
      </c>
      <c r="T43" s="34">
        <f>COUNTIFS(Ocorrências!$B$7:$B$156,$A43,Ocorrências!$A$7:$A$156,"&gt;="&amp;Listas!$L$2,Ocorrências!$A$7:$A$156,"&lt;="&amp;Listas!$L$3)</f>
        <v/>
      </c>
      <c r="U43" s="33">
        <f>IF($S43=0,"",$T43/$S43)</f>
        <v/>
      </c>
      <c r="V43" s="35">
        <f>IF(COUNTIFS(Compras!$B$7:$B$306,$A43,Compras!$I$7:$I$306,"Sim",Compras!$A$7:$A$306,"&gt;="&amp;Listas!$L$2,Compras!$A$7:$A$306,"&lt;="&amp;Listas!$L$3)+COUNTIFS(Compras!$B$7:$B$306,$A43,Compras!$I$7:$I$306,"Não",Compras!$A$7:$A$306,"&gt;="&amp;Listas!$L$2,Compras!$A$7:$A$306,"&lt;="&amp;Listas!$L$3)=0,"",COUNTIFS(Compras!$B$7:$B$306,$A43,Compras!$I$7:$I$306,"Sim",Compras!$A$7:$A$306,"&gt;="&amp;Listas!$L$2,Compras!$A$7:$A$306,"&lt;="&amp;Listas!$L$3)/(COUNTIFS(Compras!$B$7:$B$306,$A43,Compras!$I$7:$I$306,"Sim",Compras!$A$7:$A$306,"&gt;="&amp;Listas!$L$2,Compras!$A$7:$A$306,"&lt;="&amp;Listas!$L$3)+COUNTIFS(Compras!$B$7:$B$306,$A43,Compras!$I$7:$I$306,"Não",Compras!$A$7:$A$306,"&gt;="&amp;Listas!$L$2,Compras!$A$7:$A$306,"&lt;="&amp;Listas!$L$3)))</f>
        <v/>
      </c>
      <c r="W43" s="36">
        <f>IF(COUNT($N43:$P43)&lt;3,"",ROUND(($N43*0.35+$O43*0.35+$P43*0.3)*(1-IF($U43="",0,$U43)),2))</f>
        <v/>
      </c>
      <c r="X43" s="37">
        <f>IF($S43=0,"",SUMPRODUCT(MAX((Compras!$B$7:$B$306=$A43)*Compras!$A$7:$A$306)))</f>
        <v/>
      </c>
      <c r="Y43" s="30" t="n"/>
    </row>
    <row r="44" ht="22" customHeight="1">
      <c r="A44" s="31" t="n"/>
      <c r="B44" s="30" t="n"/>
      <c r="C44" s="30" t="n"/>
      <c r="D44" s="30" t="n"/>
      <c r="E44" s="31" t="n"/>
      <c r="F44" s="30" t="n"/>
      <c r="G44" s="31" t="n"/>
      <c r="H44" s="30" t="n"/>
      <c r="I44" s="30" t="n"/>
      <c r="J44" s="31" t="n"/>
      <c r="K44" s="30" t="n"/>
      <c r="L44" s="30" t="n"/>
      <c r="M44" s="30" t="n"/>
      <c r="N44" s="31" t="n"/>
      <c r="O44" s="31" t="n"/>
      <c r="P44" s="31" t="n"/>
      <c r="Q44" s="32">
        <f>SUMIFS(Compras!$F$7:$F$306,Compras!$B$7:$B$306,$A44,Compras!$A$7:$A$306,"&gt;="&amp;Listas!$L$2,Compras!$A$7:$A$306,"&lt;="&amp;Listas!$L$3)</f>
        <v/>
      </c>
      <c r="R44" s="33">
        <f>IF($Q$67=0,"",$Q44/$Q$67)</f>
        <v/>
      </c>
      <c r="S44" s="34">
        <f>COUNTIFS(Compras!$B$7:$B$306,$A44,Compras!$A$7:$A$306,"&gt;="&amp;Listas!$L$2,Compras!$A$7:$A$306,"&lt;="&amp;Listas!$L$3)</f>
        <v/>
      </c>
      <c r="T44" s="34">
        <f>COUNTIFS(Ocorrências!$B$7:$B$156,$A44,Ocorrências!$A$7:$A$156,"&gt;="&amp;Listas!$L$2,Ocorrências!$A$7:$A$156,"&lt;="&amp;Listas!$L$3)</f>
        <v/>
      </c>
      <c r="U44" s="33">
        <f>IF($S44=0,"",$T44/$S44)</f>
        <v/>
      </c>
      <c r="V44" s="35">
        <f>IF(COUNTIFS(Compras!$B$7:$B$306,$A44,Compras!$I$7:$I$306,"Sim",Compras!$A$7:$A$306,"&gt;="&amp;Listas!$L$2,Compras!$A$7:$A$306,"&lt;="&amp;Listas!$L$3)+COUNTIFS(Compras!$B$7:$B$306,$A44,Compras!$I$7:$I$306,"Não",Compras!$A$7:$A$306,"&gt;="&amp;Listas!$L$2,Compras!$A$7:$A$306,"&lt;="&amp;Listas!$L$3)=0,"",COUNTIFS(Compras!$B$7:$B$306,$A44,Compras!$I$7:$I$306,"Sim",Compras!$A$7:$A$306,"&gt;="&amp;Listas!$L$2,Compras!$A$7:$A$306,"&lt;="&amp;Listas!$L$3)/(COUNTIFS(Compras!$B$7:$B$306,$A44,Compras!$I$7:$I$306,"Sim",Compras!$A$7:$A$306,"&gt;="&amp;Listas!$L$2,Compras!$A$7:$A$306,"&lt;="&amp;Listas!$L$3)+COUNTIFS(Compras!$B$7:$B$306,$A44,Compras!$I$7:$I$306,"Não",Compras!$A$7:$A$306,"&gt;="&amp;Listas!$L$2,Compras!$A$7:$A$306,"&lt;="&amp;Listas!$L$3)))</f>
        <v/>
      </c>
      <c r="W44" s="36">
        <f>IF(COUNT($N44:$P44)&lt;3,"",ROUND(($N44*0.35+$O44*0.35+$P44*0.3)*(1-IF($U44="",0,$U44)),2))</f>
        <v/>
      </c>
      <c r="X44" s="37">
        <f>IF($S44=0,"",SUMPRODUCT(MAX((Compras!$B$7:$B$306=$A44)*Compras!$A$7:$A$306)))</f>
        <v/>
      </c>
      <c r="Y44" s="30" t="n"/>
    </row>
    <row r="45" ht="22" customHeight="1">
      <c r="A45" s="31" t="n"/>
      <c r="B45" s="30" t="n"/>
      <c r="C45" s="30" t="n"/>
      <c r="D45" s="30" t="n"/>
      <c r="E45" s="31" t="n"/>
      <c r="F45" s="30" t="n"/>
      <c r="G45" s="31" t="n"/>
      <c r="H45" s="30" t="n"/>
      <c r="I45" s="30" t="n"/>
      <c r="J45" s="31" t="n"/>
      <c r="K45" s="30" t="n"/>
      <c r="L45" s="30" t="n"/>
      <c r="M45" s="30" t="n"/>
      <c r="N45" s="31" t="n"/>
      <c r="O45" s="31" t="n"/>
      <c r="P45" s="31" t="n"/>
      <c r="Q45" s="32">
        <f>SUMIFS(Compras!$F$7:$F$306,Compras!$B$7:$B$306,$A45,Compras!$A$7:$A$306,"&gt;="&amp;Listas!$L$2,Compras!$A$7:$A$306,"&lt;="&amp;Listas!$L$3)</f>
        <v/>
      </c>
      <c r="R45" s="33">
        <f>IF($Q$67=0,"",$Q45/$Q$67)</f>
        <v/>
      </c>
      <c r="S45" s="34">
        <f>COUNTIFS(Compras!$B$7:$B$306,$A45,Compras!$A$7:$A$306,"&gt;="&amp;Listas!$L$2,Compras!$A$7:$A$306,"&lt;="&amp;Listas!$L$3)</f>
        <v/>
      </c>
      <c r="T45" s="34">
        <f>COUNTIFS(Ocorrências!$B$7:$B$156,$A45,Ocorrências!$A$7:$A$156,"&gt;="&amp;Listas!$L$2,Ocorrências!$A$7:$A$156,"&lt;="&amp;Listas!$L$3)</f>
        <v/>
      </c>
      <c r="U45" s="33">
        <f>IF($S45=0,"",$T45/$S45)</f>
        <v/>
      </c>
      <c r="V45" s="35">
        <f>IF(COUNTIFS(Compras!$B$7:$B$306,$A45,Compras!$I$7:$I$306,"Sim",Compras!$A$7:$A$306,"&gt;="&amp;Listas!$L$2,Compras!$A$7:$A$306,"&lt;="&amp;Listas!$L$3)+COUNTIFS(Compras!$B$7:$B$306,$A45,Compras!$I$7:$I$306,"Não",Compras!$A$7:$A$306,"&gt;="&amp;Listas!$L$2,Compras!$A$7:$A$306,"&lt;="&amp;Listas!$L$3)=0,"",COUNTIFS(Compras!$B$7:$B$306,$A45,Compras!$I$7:$I$306,"Sim",Compras!$A$7:$A$306,"&gt;="&amp;Listas!$L$2,Compras!$A$7:$A$306,"&lt;="&amp;Listas!$L$3)/(COUNTIFS(Compras!$B$7:$B$306,$A45,Compras!$I$7:$I$306,"Sim",Compras!$A$7:$A$306,"&gt;="&amp;Listas!$L$2,Compras!$A$7:$A$306,"&lt;="&amp;Listas!$L$3)+COUNTIFS(Compras!$B$7:$B$306,$A45,Compras!$I$7:$I$306,"Não",Compras!$A$7:$A$306,"&gt;="&amp;Listas!$L$2,Compras!$A$7:$A$306,"&lt;="&amp;Listas!$L$3)))</f>
        <v/>
      </c>
      <c r="W45" s="36">
        <f>IF(COUNT($N45:$P45)&lt;3,"",ROUND(($N45*0.35+$O45*0.35+$P45*0.3)*(1-IF($U45="",0,$U45)),2))</f>
        <v/>
      </c>
      <c r="X45" s="37">
        <f>IF($S45=0,"",SUMPRODUCT(MAX((Compras!$B$7:$B$306=$A45)*Compras!$A$7:$A$306)))</f>
        <v/>
      </c>
      <c r="Y45" s="30" t="n"/>
    </row>
    <row r="46" ht="22" customHeight="1">
      <c r="A46" s="31" t="n"/>
      <c r="B46" s="30" t="n"/>
      <c r="C46" s="30" t="n"/>
      <c r="D46" s="30" t="n"/>
      <c r="E46" s="31" t="n"/>
      <c r="F46" s="30" t="n"/>
      <c r="G46" s="31" t="n"/>
      <c r="H46" s="30" t="n"/>
      <c r="I46" s="30" t="n"/>
      <c r="J46" s="31" t="n"/>
      <c r="K46" s="30" t="n"/>
      <c r="L46" s="30" t="n"/>
      <c r="M46" s="30" t="n"/>
      <c r="N46" s="31" t="n"/>
      <c r="O46" s="31" t="n"/>
      <c r="P46" s="31" t="n"/>
      <c r="Q46" s="32">
        <f>SUMIFS(Compras!$F$7:$F$306,Compras!$B$7:$B$306,$A46,Compras!$A$7:$A$306,"&gt;="&amp;Listas!$L$2,Compras!$A$7:$A$306,"&lt;="&amp;Listas!$L$3)</f>
        <v/>
      </c>
      <c r="R46" s="33">
        <f>IF($Q$67=0,"",$Q46/$Q$67)</f>
        <v/>
      </c>
      <c r="S46" s="34">
        <f>COUNTIFS(Compras!$B$7:$B$306,$A46,Compras!$A$7:$A$306,"&gt;="&amp;Listas!$L$2,Compras!$A$7:$A$306,"&lt;="&amp;Listas!$L$3)</f>
        <v/>
      </c>
      <c r="T46" s="34">
        <f>COUNTIFS(Ocorrências!$B$7:$B$156,$A46,Ocorrências!$A$7:$A$156,"&gt;="&amp;Listas!$L$2,Ocorrências!$A$7:$A$156,"&lt;="&amp;Listas!$L$3)</f>
        <v/>
      </c>
      <c r="U46" s="33">
        <f>IF($S46=0,"",$T46/$S46)</f>
        <v/>
      </c>
      <c r="V46" s="35">
        <f>IF(COUNTIFS(Compras!$B$7:$B$306,$A46,Compras!$I$7:$I$306,"Sim",Compras!$A$7:$A$306,"&gt;="&amp;Listas!$L$2,Compras!$A$7:$A$306,"&lt;="&amp;Listas!$L$3)+COUNTIFS(Compras!$B$7:$B$306,$A46,Compras!$I$7:$I$306,"Não",Compras!$A$7:$A$306,"&gt;="&amp;Listas!$L$2,Compras!$A$7:$A$306,"&lt;="&amp;Listas!$L$3)=0,"",COUNTIFS(Compras!$B$7:$B$306,$A46,Compras!$I$7:$I$306,"Sim",Compras!$A$7:$A$306,"&gt;="&amp;Listas!$L$2,Compras!$A$7:$A$306,"&lt;="&amp;Listas!$L$3)/(COUNTIFS(Compras!$B$7:$B$306,$A46,Compras!$I$7:$I$306,"Sim",Compras!$A$7:$A$306,"&gt;="&amp;Listas!$L$2,Compras!$A$7:$A$306,"&lt;="&amp;Listas!$L$3)+COUNTIFS(Compras!$B$7:$B$306,$A46,Compras!$I$7:$I$306,"Não",Compras!$A$7:$A$306,"&gt;="&amp;Listas!$L$2,Compras!$A$7:$A$306,"&lt;="&amp;Listas!$L$3)))</f>
        <v/>
      </c>
      <c r="W46" s="36">
        <f>IF(COUNT($N46:$P46)&lt;3,"",ROUND(($N46*0.35+$O46*0.35+$P46*0.3)*(1-IF($U46="",0,$U46)),2))</f>
        <v/>
      </c>
      <c r="X46" s="37">
        <f>IF($S46=0,"",SUMPRODUCT(MAX((Compras!$B$7:$B$306=$A46)*Compras!$A$7:$A$306)))</f>
        <v/>
      </c>
      <c r="Y46" s="30" t="n"/>
    </row>
    <row r="47" ht="22" customHeight="1">
      <c r="A47" s="31" t="n"/>
      <c r="B47" s="30" t="n"/>
      <c r="C47" s="30" t="n"/>
      <c r="D47" s="30" t="n"/>
      <c r="E47" s="31" t="n"/>
      <c r="F47" s="30" t="n"/>
      <c r="G47" s="31" t="n"/>
      <c r="H47" s="30" t="n"/>
      <c r="I47" s="30" t="n"/>
      <c r="J47" s="31" t="n"/>
      <c r="K47" s="30" t="n"/>
      <c r="L47" s="30" t="n"/>
      <c r="M47" s="30" t="n"/>
      <c r="N47" s="31" t="n"/>
      <c r="O47" s="31" t="n"/>
      <c r="P47" s="31" t="n"/>
      <c r="Q47" s="32">
        <f>SUMIFS(Compras!$F$7:$F$306,Compras!$B$7:$B$306,$A47,Compras!$A$7:$A$306,"&gt;="&amp;Listas!$L$2,Compras!$A$7:$A$306,"&lt;="&amp;Listas!$L$3)</f>
        <v/>
      </c>
      <c r="R47" s="33">
        <f>IF($Q$67=0,"",$Q47/$Q$67)</f>
        <v/>
      </c>
      <c r="S47" s="34">
        <f>COUNTIFS(Compras!$B$7:$B$306,$A47,Compras!$A$7:$A$306,"&gt;="&amp;Listas!$L$2,Compras!$A$7:$A$306,"&lt;="&amp;Listas!$L$3)</f>
        <v/>
      </c>
      <c r="T47" s="34">
        <f>COUNTIFS(Ocorrências!$B$7:$B$156,$A47,Ocorrências!$A$7:$A$156,"&gt;="&amp;Listas!$L$2,Ocorrências!$A$7:$A$156,"&lt;="&amp;Listas!$L$3)</f>
        <v/>
      </c>
      <c r="U47" s="33">
        <f>IF($S47=0,"",$T47/$S47)</f>
        <v/>
      </c>
      <c r="V47" s="35">
        <f>IF(COUNTIFS(Compras!$B$7:$B$306,$A47,Compras!$I$7:$I$306,"Sim",Compras!$A$7:$A$306,"&gt;="&amp;Listas!$L$2,Compras!$A$7:$A$306,"&lt;="&amp;Listas!$L$3)+COUNTIFS(Compras!$B$7:$B$306,$A47,Compras!$I$7:$I$306,"Não",Compras!$A$7:$A$306,"&gt;="&amp;Listas!$L$2,Compras!$A$7:$A$306,"&lt;="&amp;Listas!$L$3)=0,"",COUNTIFS(Compras!$B$7:$B$306,$A47,Compras!$I$7:$I$306,"Sim",Compras!$A$7:$A$306,"&gt;="&amp;Listas!$L$2,Compras!$A$7:$A$306,"&lt;="&amp;Listas!$L$3)/(COUNTIFS(Compras!$B$7:$B$306,$A47,Compras!$I$7:$I$306,"Sim",Compras!$A$7:$A$306,"&gt;="&amp;Listas!$L$2,Compras!$A$7:$A$306,"&lt;="&amp;Listas!$L$3)+COUNTIFS(Compras!$B$7:$B$306,$A47,Compras!$I$7:$I$306,"Não",Compras!$A$7:$A$306,"&gt;="&amp;Listas!$L$2,Compras!$A$7:$A$306,"&lt;="&amp;Listas!$L$3)))</f>
        <v/>
      </c>
      <c r="W47" s="36">
        <f>IF(COUNT($N47:$P47)&lt;3,"",ROUND(($N47*0.35+$O47*0.35+$P47*0.3)*(1-IF($U47="",0,$U47)),2))</f>
        <v/>
      </c>
      <c r="X47" s="37">
        <f>IF($S47=0,"",SUMPRODUCT(MAX((Compras!$B$7:$B$306=$A47)*Compras!$A$7:$A$306)))</f>
        <v/>
      </c>
      <c r="Y47" s="30" t="n"/>
    </row>
    <row r="48" ht="22" customHeight="1">
      <c r="A48" s="31" t="n"/>
      <c r="B48" s="30" t="n"/>
      <c r="C48" s="30" t="n"/>
      <c r="D48" s="30" t="n"/>
      <c r="E48" s="31" t="n"/>
      <c r="F48" s="30" t="n"/>
      <c r="G48" s="31" t="n"/>
      <c r="H48" s="30" t="n"/>
      <c r="I48" s="30" t="n"/>
      <c r="J48" s="31" t="n"/>
      <c r="K48" s="30" t="n"/>
      <c r="L48" s="30" t="n"/>
      <c r="M48" s="30" t="n"/>
      <c r="N48" s="31" t="n"/>
      <c r="O48" s="31" t="n"/>
      <c r="P48" s="31" t="n"/>
      <c r="Q48" s="32">
        <f>SUMIFS(Compras!$F$7:$F$306,Compras!$B$7:$B$306,$A48,Compras!$A$7:$A$306,"&gt;="&amp;Listas!$L$2,Compras!$A$7:$A$306,"&lt;="&amp;Listas!$L$3)</f>
        <v/>
      </c>
      <c r="R48" s="33">
        <f>IF($Q$67=0,"",$Q48/$Q$67)</f>
        <v/>
      </c>
      <c r="S48" s="34">
        <f>COUNTIFS(Compras!$B$7:$B$306,$A48,Compras!$A$7:$A$306,"&gt;="&amp;Listas!$L$2,Compras!$A$7:$A$306,"&lt;="&amp;Listas!$L$3)</f>
        <v/>
      </c>
      <c r="T48" s="34">
        <f>COUNTIFS(Ocorrências!$B$7:$B$156,$A48,Ocorrências!$A$7:$A$156,"&gt;="&amp;Listas!$L$2,Ocorrências!$A$7:$A$156,"&lt;="&amp;Listas!$L$3)</f>
        <v/>
      </c>
      <c r="U48" s="33">
        <f>IF($S48=0,"",$T48/$S48)</f>
        <v/>
      </c>
      <c r="V48" s="35">
        <f>IF(COUNTIFS(Compras!$B$7:$B$306,$A48,Compras!$I$7:$I$306,"Sim",Compras!$A$7:$A$306,"&gt;="&amp;Listas!$L$2,Compras!$A$7:$A$306,"&lt;="&amp;Listas!$L$3)+COUNTIFS(Compras!$B$7:$B$306,$A48,Compras!$I$7:$I$306,"Não",Compras!$A$7:$A$306,"&gt;="&amp;Listas!$L$2,Compras!$A$7:$A$306,"&lt;="&amp;Listas!$L$3)=0,"",COUNTIFS(Compras!$B$7:$B$306,$A48,Compras!$I$7:$I$306,"Sim",Compras!$A$7:$A$306,"&gt;="&amp;Listas!$L$2,Compras!$A$7:$A$306,"&lt;="&amp;Listas!$L$3)/(COUNTIFS(Compras!$B$7:$B$306,$A48,Compras!$I$7:$I$306,"Sim",Compras!$A$7:$A$306,"&gt;="&amp;Listas!$L$2,Compras!$A$7:$A$306,"&lt;="&amp;Listas!$L$3)+COUNTIFS(Compras!$B$7:$B$306,$A48,Compras!$I$7:$I$306,"Não",Compras!$A$7:$A$306,"&gt;="&amp;Listas!$L$2,Compras!$A$7:$A$306,"&lt;="&amp;Listas!$L$3)))</f>
        <v/>
      </c>
      <c r="W48" s="36">
        <f>IF(COUNT($N48:$P48)&lt;3,"",ROUND(($N48*0.35+$O48*0.35+$P48*0.3)*(1-IF($U48="",0,$U48)),2))</f>
        <v/>
      </c>
      <c r="X48" s="37">
        <f>IF($S48=0,"",SUMPRODUCT(MAX((Compras!$B$7:$B$306=$A48)*Compras!$A$7:$A$306)))</f>
        <v/>
      </c>
      <c r="Y48" s="30" t="n"/>
    </row>
    <row r="49" ht="22" customHeight="1">
      <c r="A49" s="31" t="n"/>
      <c r="B49" s="30" t="n"/>
      <c r="C49" s="30" t="n"/>
      <c r="D49" s="30" t="n"/>
      <c r="E49" s="31" t="n"/>
      <c r="F49" s="30" t="n"/>
      <c r="G49" s="31" t="n"/>
      <c r="H49" s="30" t="n"/>
      <c r="I49" s="30" t="n"/>
      <c r="J49" s="31" t="n"/>
      <c r="K49" s="30" t="n"/>
      <c r="L49" s="30" t="n"/>
      <c r="M49" s="30" t="n"/>
      <c r="N49" s="31" t="n"/>
      <c r="O49" s="31" t="n"/>
      <c r="P49" s="31" t="n"/>
      <c r="Q49" s="32">
        <f>SUMIFS(Compras!$F$7:$F$306,Compras!$B$7:$B$306,$A49,Compras!$A$7:$A$306,"&gt;="&amp;Listas!$L$2,Compras!$A$7:$A$306,"&lt;="&amp;Listas!$L$3)</f>
        <v/>
      </c>
      <c r="R49" s="33">
        <f>IF($Q$67=0,"",$Q49/$Q$67)</f>
        <v/>
      </c>
      <c r="S49" s="34">
        <f>COUNTIFS(Compras!$B$7:$B$306,$A49,Compras!$A$7:$A$306,"&gt;="&amp;Listas!$L$2,Compras!$A$7:$A$306,"&lt;="&amp;Listas!$L$3)</f>
        <v/>
      </c>
      <c r="T49" s="34">
        <f>COUNTIFS(Ocorrências!$B$7:$B$156,$A49,Ocorrências!$A$7:$A$156,"&gt;="&amp;Listas!$L$2,Ocorrências!$A$7:$A$156,"&lt;="&amp;Listas!$L$3)</f>
        <v/>
      </c>
      <c r="U49" s="33">
        <f>IF($S49=0,"",$T49/$S49)</f>
        <v/>
      </c>
      <c r="V49" s="35">
        <f>IF(COUNTIFS(Compras!$B$7:$B$306,$A49,Compras!$I$7:$I$306,"Sim",Compras!$A$7:$A$306,"&gt;="&amp;Listas!$L$2,Compras!$A$7:$A$306,"&lt;="&amp;Listas!$L$3)+COUNTIFS(Compras!$B$7:$B$306,$A49,Compras!$I$7:$I$306,"Não",Compras!$A$7:$A$306,"&gt;="&amp;Listas!$L$2,Compras!$A$7:$A$306,"&lt;="&amp;Listas!$L$3)=0,"",COUNTIFS(Compras!$B$7:$B$306,$A49,Compras!$I$7:$I$306,"Sim",Compras!$A$7:$A$306,"&gt;="&amp;Listas!$L$2,Compras!$A$7:$A$306,"&lt;="&amp;Listas!$L$3)/(COUNTIFS(Compras!$B$7:$B$306,$A49,Compras!$I$7:$I$306,"Sim",Compras!$A$7:$A$306,"&gt;="&amp;Listas!$L$2,Compras!$A$7:$A$306,"&lt;="&amp;Listas!$L$3)+COUNTIFS(Compras!$B$7:$B$306,$A49,Compras!$I$7:$I$306,"Não",Compras!$A$7:$A$306,"&gt;="&amp;Listas!$L$2,Compras!$A$7:$A$306,"&lt;="&amp;Listas!$L$3)))</f>
        <v/>
      </c>
      <c r="W49" s="36">
        <f>IF(COUNT($N49:$P49)&lt;3,"",ROUND(($N49*0.35+$O49*0.35+$P49*0.3)*(1-IF($U49="",0,$U49)),2))</f>
        <v/>
      </c>
      <c r="X49" s="37">
        <f>IF($S49=0,"",SUMPRODUCT(MAX((Compras!$B$7:$B$306=$A49)*Compras!$A$7:$A$306)))</f>
        <v/>
      </c>
      <c r="Y49" s="30" t="n"/>
    </row>
    <row r="50" ht="22" customHeight="1">
      <c r="A50" s="31" t="n"/>
      <c r="B50" s="30" t="n"/>
      <c r="C50" s="30" t="n"/>
      <c r="D50" s="30" t="n"/>
      <c r="E50" s="31" t="n"/>
      <c r="F50" s="30" t="n"/>
      <c r="G50" s="31" t="n"/>
      <c r="H50" s="30" t="n"/>
      <c r="I50" s="30" t="n"/>
      <c r="J50" s="31" t="n"/>
      <c r="K50" s="30" t="n"/>
      <c r="L50" s="30" t="n"/>
      <c r="M50" s="30" t="n"/>
      <c r="N50" s="31" t="n"/>
      <c r="O50" s="31" t="n"/>
      <c r="P50" s="31" t="n"/>
      <c r="Q50" s="32">
        <f>SUMIFS(Compras!$F$7:$F$306,Compras!$B$7:$B$306,$A50,Compras!$A$7:$A$306,"&gt;="&amp;Listas!$L$2,Compras!$A$7:$A$306,"&lt;="&amp;Listas!$L$3)</f>
        <v/>
      </c>
      <c r="R50" s="33">
        <f>IF($Q$67=0,"",$Q50/$Q$67)</f>
        <v/>
      </c>
      <c r="S50" s="34">
        <f>COUNTIFS(Compras!$B$7:$B$306,$A50,Compras!$A$7:$A$306,"&gt;="&amp;Listas!$L$2,Compras!$A$7:$A$306,"&lt;="&amp;Listas!$L$3)</f>
        <v/>
      </c>
      <c r="T50" s="34">
        <f>COUNTIFS(Ocorrências!$B$7:$B$156,$A50,Ocorrências!$A$7:$A$156,"&gt;="&amp;Listas!$L$2,Ocorrências!$A$7:$A$156,"&lt;="&amp;Listas!$L$3)</f>
        <v/>
      </c>
      <c r="U50" s="33">
        <f>IF($S50=0,"",$T50/$S50)</f>
        <v/>
      </c>
      <c r="V50" s="35">
        <f>IF(COUNTIFS(Compras!$B$7:$B$306,$A50,Compras!$I$7:$I$306,"Sim",Compras!$A$7:$A$306,"&gt;="&amp;Listas!$L$2,Compras!$A$7:$A$306,"&lt;="&amp;Listas!$L$3)+COUNTIFS(Compras!$B$7:$B$306,$A50,Compras!$I$7:$I$306,"Não",Compras!$A$7:$A$306,"&gt;="&amp;Listas!$L$2,Compras!$A$7:$A$306,"&lt;="&amp;Listas!$L$3)=0,"",COUNTIFS(Compras!$B$7:$B$306,$A50,Compras!$I$7:$I$306,"Sim",Compras!$A$7:$A$306,"&gt;="&amp;Listas!$L$2,Compras!$A$7:$A$306,"&lt;="&amp;Listas!$L$3)/(COUNTIFS(Compras!$B$7:$B$306,$A50,Compras!$I$7:$I$306,"Sim",Compras!$A$7:$A$306,"&gt;="&amp;Listas!$L$2,Compras!$A$7:$A$306,"&lt;="&amp;Listas!$L$3)+COUNTIFS(Compras!$B$7:$B$306,$A50,Compras!$I$7:$I$306,"Não",Compras!$A$7:$A$306,"&gt;="&amp;Listas!$L$2,Compras!$A$7:$A$306,"&lt;="&amp;Listas!$L$3)))</f>
        <v/>
      </c>
      <c r="W50" s="36">
        <f>IF(COUNT($N50:$P50)&lt;3,"",ROUND(($N50*0.35+$O50*0.35+$P50*0.3)*(1-IF($U50="",0,$U50)),2))</f>
        <v/>
      </c>
      <c r="X50" s="37">
        <f>IF($S50=0,"",SUMPRODUCT(MAX((Compras!$B$7:$B$306=$A50)*Compras!$A$7:$A$306)))</f>
        <v/>
      </c>
      <c r="Y50" s="30" t="n"/>
    </row>
    <row r="51" ht="22" customHeight="1">
      <c r="A51" s="31" t="n"/>
      <c r="B51" s="30" t="n"/>
      <c r="C51" s="30" t="n"/>
      <c r="D51" s="30" t="n"/>
      <c r="E51" s="31" t="n"/>
      <c r="F51" s="30" t="n"/>
      <c r="G51" s="31" t="n"/>
      <c r="H51" s="30" t="n"/>
      <c r="I51" s="30" t="n"/>
      <c r="J51" s="31" t="n"/>
      <c r="K51" s="30" t="n"/>
      <c r="L51" s="30" t="n"/>
      <c r="M51" s="30" t="n"/>
      <c r="N51" s="31" t="n"/>
      <c r="O51" s="31" t="n"/>
      <c r="P51" s="31" t="n"/>
      <c r="Q51" s="32">
        <f>SUMIFS(Compras!$F$7:$F$306,Compras!$B$7:$B$306,$A51,Compras!$A$7:$A$306,"&gt;="&amp;Listas!$L$2,Compras!$A$7:$A$306,"&lt;="&amp;Listas!$L$3)</f>
        <v/>
      </c>
      <c r="R51" s="33">
        <f>IF($Q$67=0,"",$Q51/$Q$67)</f>
        <v/>
      </c>
      <c r="S51" s="34">
        <f>COUNTIFS(Compras!$B$7:$B$306,$A51,Compras!$A$7:$A$306,"&gt;="&amp;Listas!$L$2,Compras!$A$7:$A$306,"&lt;="&amp;Listas!$L$3)</f>
        <v/>
      </c>
      <c r="T51" s="34">
        <f>COUNTIFS(Ocorrências!$B$7:$B$156,$A51,Ocorrências!$A$7:$A$156,"&gt;="&amp;Listas!$L$2,Ocorrências!$A$7:$A$156,"&lt;="&amp;Listas!$L$3)</f>
        <v/>
      </c>
      <c r="U51" s="33">
        <f>IF($S51=0,"",$T51/$S51)</f>
        <v/>
      </c>
      <c r="V51" s="35">
        <f>IF(COUNTIFS(Compras!$B$7:$B$306,$A51,Compras!$I$7:$I$306,"Sim",Compras!$A$7:$A$306,"&gt;="&amp;Listas!$L$2,Compras!$A$7:$A$306,"&lt;="&amp;Listas!$L$3)+COUNTIFS(Compras!$B$7:$B$306,$A51,Compras!$I$7:$I$306,"Não",Compras!$A$7:$A$306,"&gt;="&amp;Listas!$L$2,Compras!$A$7:$A$306,"&lt;="&amp;Listas!$L$3)=0,"",COUNTIFS(Compras!$B$7:$B$306,$A51,Compras!$I$7:$I$306,"Sim",Compras!$A$7:$A$306,"&gt;="&amp;Listas!$L$2,Compras!$A$7:$A$306,"&lt;="&amp;Listas!$L$3)/(COUNTIFS(Compras!$B$7:$B$306,$A51,Compras!$I$7:$I$306,"Sim",Compras!$A$7:$A$306,"&gt;="&amp;Listas!$L$2,Compras!$A$7:$A$306,"&lt;="&amp;Listas!$L$3)+COUNTIFS(Compras!$B$7:$B$306,$A51,Compras!$I$7:$I$306,"Não",Compras!$A$7:$A$306,"&gt;="&amp;Listas!$L$2,Compras!$A$7:$A$306,"&lt;="&amp;Listas!$L$3)))</f>
        <v/>
      </c>
      <c r="W51" s="36">
        <f>IF(COUNT($N51:$P51)&lt;3,"",ROUND(($N51*0.35+$O51*0.35+$P51*0.3)*(1-IF($U51="",0,$U51)),2))</f>
        <v/>
      </c>
      <c r="X51" s="37">
        <f>IF($S51=0,"",SUMPRODUCT(MAX((Compras!$B$7:$B$306=$A51)*Compras!$A$7:$A$306)))</f>
        <v/>
      </c>
      <c r="Y51" s="30" t="n"/>
    </row>
    <row r="52" ht="22" customHeight="1">
      <c r="A52" s="31" t="n"/>
      <c r="B52" s="30" t="n"/>
      <c r="C52" s="30" t="n"/>
      <c r="D52" s="30" t="n"/>
      <c r="E52" s="31" t="n"/>
      <c r="F52" s="30" t="n"/>
      <c r="G52" s="31" t="n"/>
      <c r="H52" s="30" t="n"/>
      <c r="I52" s="30" t="n"/>
      <c r="J52" s="31" t="n"/>
      <c r="K52" s="30" t="n"/>
      <c r="L52" s="30" t="n"/>
      <c r="M52" s="30" t="n"/>
      <c r="N52" s="31" t="n"/>
      <c r="O52" s="31" t="n"/>
      <c r="P52" s="31" t="n"/>
      <c r="Q52" s="32">
        <f>SUMIFS(Compras!$F$7:$F$306,Compras!$B$7:$B$306,$A52,Compras!$A$7:$A$306,"&gt;="&amp;Listas!$L$2,Compras!$A$7:$A$306,"&lt;="&amp;Listas!$L$3)</f>
        <v/>
      </c>
      <c r="R52" s="33">
        <f>IF($Q$67=0,"",$Q52/$Q$67)</f>
        <v/>
      </c>
      <c r="S52" s="34">
        <f>COUNTIFS(Compras!$B$7:$B$306,$A52,Compras!$A$7:$A$306,"&gt;="&amp;Listas!$L$2,Compras!$A$7:$A$306,"&lt;="&amp;Listas!$L$3)</f>
        <v/>
      </c>
      <c r="T52" s="34">
        <f>COUNTIFS(Ocorrências!$B$7:$B$156,$A52,Ocorrências!$A$7:$A$156,"&gt;="&amp;Listas!$L$2,Ocorrências!$A$7:$A$156,"&lt;="&amp;Listas!$L$3)</f>
        <v/>
      </c>
      <c r="U52" s="33">
        <f>IF($S52=0,"",$T52/$S52)</f>
        <v/>
      </c>
      <c r="V52" s="35">
        <f>IF(COUNTIFS(Compras!$B$7:$B$306,$A52,Compras!$I$7:$I$306,"Sim",Compras!$A$7:$A$306,"&gt;="&amp;Listas!$L$2,Compras!$A$7:$A$306,"&lt;="&amp;Listas!$L$3)+COUNTIFS(Compras!$B$7:$B$306,$A52,Compras!$I$7:$I$306,"Não",Compras!$A$7:$A$306,"&gt;="&amp;Listas!$L$2,Compras!$A$7:$A$306,"&lt;="&amp;Listas!$L$3)=0,"",COUNTIFS(Compras!$B$7:$B$306,$A52,Compras!$I$7:$I$306,"Sim",Compras!$A$7:$A$306,"&gt;="&amp;Listas!$L$2,Compras!$A$7:$A$306,"&lt;="&amp;Listas!$L$3)/(COUNTIFS(Compras!$B$7:$B$306,$A52,Compras!$I$7:$I$306,"Sim",Compras!$A$7:$A$306,"&gt;="&amp;Listas!$L$2,Compras!$A$7:$A$306,"&lt;="&amp;Listas!$L$3)+COUNTIFS(Compras!$B$7:$B$306,$A52,Compras!$I$7:$I$306,"Não",Compras!$A$7:$A$306,"&gt;="&amp;Listas!$L$2,Compras!$A$7:$A$306,"&lt;="&amp;Listas!$L$3)))</f>
        <v/>
      </c>
      <c r="W52" s="36">
        <f>IF(COUNT($N52:$P52)&lt;3,"",ROUND(($N52*0.35+$O52*0.35+$P52*0.3)*(1-IF($U52="",0,$U52)),2))</f>
        <v/>
      </c>
      <c r="X52" s="37">
        <f>IF($S52=0,"",SUMPRODUCT(MAX((Compras!$B$7:$B$306=$A52)*Compras!$A$7:$A$306)))</f>
        <v/>
      </c>
      <c r="Y52" s="30" t="n"/>
    </row>
    <row r="53" ht="22" customHeight="1">
      <c r="A53" s="31" t="n"/>
      <c r="B53" s="30" t="n"/>
      <c r="C53" s="30" t="n"/>
      <c r="D53" s="30" t="n"/>
      <c r="E53" s="31" t="n"/>
      <c r="F53" s="30" t="n"/>
      <c r="G53" s="31" t="n"/>
      <c r="H53" s="30" t="n"/>
      <c r="I53" s="30" t="n"/>
      <c r="J53" s="31" t="n"/>
      <c r="K53" s="30" t="n"/>
      <c r="L53" s="30" t="n"/>
      <c r="M53" s="30" t="n"/>
      <c r="N53" s="31" t="n"/>
      <c r="O53" s="31" t="n"/>
      <c r="P53" s="31" t="n"/>
      <c r="Q53" s="32">
        <f>SUMIFS(Compras!$F$7:$F$306,Compras!$B$7:$B$306,$A53,Compras!$A$7:$A$306,"&gt;="&amp;Listas!$L$2,Compras!$A$7:$A$306,"&lt;="&amp;Listas!$L$3)</f>
        <v/>
      </c>
      <c r="R53" s="33">
        <f>IF($Q$67=0,"",$Q53/$Q$67)</f>
        <v/>
      </c>
      <c r="S53" s="34">
        <f>COUNTIFS(Compras!$B$7:$B$306,$A53,Compras!$A$7:$A$306,"&gt;="&amp;Listas!$L$2,Compras!$A$7:$A$306,"&lt;="&amp;Listas!$L$3)</f>
        <v/>
      </c>
      <c r="T53" s="34">
        <f>COUNTIFS(Ocorrências!$B$7:$B$156,$A53,Ocorrências!$A$7:$A$156,"&gt;="&amp;Listas!$L$2,Ocorrências!$A$7:$A$156,"&lt;="&amp;Listas!$L$3)</f>
        <v/>
      </c>
      <c r="U53" s="33">
        <f>IF($S53=0,"",$T53/$S53)</f>
        <v/>
      </c>
      <c r="V53" s="35">
        <f>IF(COUNTIFS(Compras!$B$7:$B$306,$A53,Compras!$I$7:$I$306,"Sim",Compras!$A$7:$A$306,"&gt;="&amp;Listas!$L$2,Compras!$A$7:$A$306,"&lt;="&amp;Listas!$L$3)+COUNTIFS(Compras!$B$7:$B$306,$A53,Compras!$I$7:$I$306,"Não",Compras!$A$7:$A$306,"&gt;="&amp;Listas!$L$2,Compras!$A$7:$A$306,"&lt;="&amp;Listas!$L$3)=0,"",COUNTIFS(Compras!$B$7:$B$306,$A53,Compras!$I$7:$I$306,"Sim",Compras!$A$7:$A$306,"&gt;="&amp;Listas!$L$2,Compras!$A$7:$A$306,"&lt;="&amp;Listas!$L$3)/(COUNTIFS(Compras!$B$7:$B$306,$A53,Compras!$I$7:$I$306,"Sim",Compras!$A$7:$A$306,"&gt;="&amp;Listas!$L$2,Compras!$A$7:$A$306,"&lt;="&amp;Listas!$L$3)+COUNTIFS(Compras!$B$7:$B$306,$A53,Compras!$I$7:$I$306,"Não",Compras!$A$7:$A$306,"&gt;="&amp;Listas!$L$2,Compras!$A$7:$A$306,"&lt;="&amp;Listas!$L$3)))</f>
        <v/>
      </c>
      <c r="W53" s="36">
        <f>IF(COUNT($N53:$P53)&lt;3,"",ROUND(($N53*0.35+$O53*0.35+$P53*0.3)*(1-IF($U53="",0,$U53)),2))</f>
        <v/>
      </c>
      <c r="X53" s="37">
        <f>IF($S53=0,"",SUMPRODUCT(MAX((Compras!$B$7:$B$306=$A53)*Compras!$A$7:$A$306)))</f>
        <v/>
      </c>
      <c r="Y53" s="30" t="n"/>
    </row>
    <row r="54" ht="22" customHeight="1">
      <c r="A54" s="31" t="n"/>
      <c r="B54" s="30" t="n"/>
      <c r="C54" s="30" t="n"/>
      <c r="D54" s="30" t="n"/>
      <c r="E54" s="31" t="n"/>
      <c r="F54" s="30" t="n"/>
      <c r="G54" s="31" t="n"/>
      <c r="H54" s="30" t="n"/>
      <c r="I54" s="30" t="n"/>
      <c r="J54" s="31" t="n"/>
      <c r="K54" s="30" t="n"/>
      <c r="L54" s="30" t="n"/>
      <c r="M54" s="30" t="n"/>
      <c r="N54" s="31" t="n"/>
      <c r="O54" s="31" t="n"/>
      <c r="P54" s="31" t="n"/>
      <c r="Q54" s="32">
        <f>SUMIFS(Compras!$F$7:$F$306,Compras!$B$7:$B$306,$A54,Compras!$A$7:$A$306,"&gt;="&amp;Listas!$L$2,Compras!$A$7:$A$306,"&lt;="&amp;Listas!$L$3)</f>
        <v/>
      </c>
      <c r="R54" s="33">
        <f>IF($Q$67=0,"",$Q54/$Q$67)</f>
        <v/>
      </c>
      <c r="S54" s="34">
        <f>COUNTIFS(Compras!$B$7:$B$306,$A54,Compras!$A$7:$A$306,"&gt;="&amp;Listas!$L$2,Compras!$A$7:$A$306,"&lt;="&amp;Listas!$L$3)</f>
        <v/>
      </c>
      <c r="T54" s="34">
        <f>COUNTIFS(Ocorrências!$B$7:$B$156,$A54,Ocorrências!$A$7:$A$156,"&gt;="&amp;Listas!$L$2,Ocorrências!$A$7:$A$156,"&lt;="&amp;Listas!$L$3)</f>
        <v/>
      </c>
      <c r="U54" s="33">
        <f>IF($S54=0,"",$T54/$S54)</f>
        <v/>
      </c>
      <c r="V54" s="35">
        <f>IF(COUNTIFS(Compras!$B$7:$B$306,$A54,Compras!$I$7:$I$306,"Sim",Compras!$A$7:$A$306,"&gt;="&amp;Listas!$L$2,Compras!$A$7:$A$306,"&lt;="&amp;Listas!$L$3)+COUNTIFS(Compras!$B$7:$B$306,$A54,Compras!$I$7:$I$306,"Não",Compras!$A$7:$A$306,"&gt;="&amp;Listas!$L$2,Compras!$A$7:$A$306,"&lt;="&amp;Listas!$L$3)=0,"",COUNTIFS(Compras!$B$7:$B$306,$A54,Compras!$I$7:$I$306,"Sim",Compras!$A$7:$A$306,"&gt;="&amp;Listas!$L$2,Compras!$A$7:$A$306,"&lt;="&amp;Listas!$L$3)/(COUNTIFS(Compras!$B$7:$B$306,$A54,Compras!$I$7:$I$306,"Sim",Compras!$A$7:$A$306,"&gt;="&amp;Listas!$L$2,Compras!$A$7:$A$306,"&lt;="&amp;Listas!$L$3)+COUNTIFS(Compras!$B$7:$B$306,$A54,Compras!$I$7:$I$306,"Não",Compras!$A$7:$A$306,"&gt;="&amp;Listas!$L$2,Compras!$A$7:$A$306,"&lt;="&amp;Listas!$L$3)))</f>
        <v/>
      </c>
      <c r="W54" s="36">
        <f>IF(COUNT($N54:$P54)&lt;3,"",ROUND(($N54*0.35+$O54*0.35+$P54*0.3)*(1-IF($U54="",0,$U54)),2))</f>
        <v/>
      </c>
      <c r="X54" s="37">
        <f>IF($S54=0,"",SUMPRODUCT(MAX((Compras!$B$7:$B$306=$A54)*Compras!$A$7:$A$306)))</f>
        <v/>
      </c>
      <c r="Y54" s="30" t="n"/>
    </row>
    <row r="55" ht="22" customHeight="1">
      <c r="A55" s="31" t="n"/>
      <c r="B55" s="30" t="n"/>
      <c r="C55" s="30" t="n"/>
      <c r="D55" s="30" t="n"/>
      <c r="E55" s="31" t="n"/>
      <c r="F55" s="30" t="n"/>
      <c r="G55" s="31" t="n"/>
      <c r="H55" s="30" t="n"/>
      <c r="I55" s="30" t="n"/>
      <c r="J55" s="31" t="n"/>
      <c r="K55" s="30" t="n"/>
      <c r="L55" s="30" t="n"/>
      <c r="M55" s="30" t="n"/>
      <c r="N55" s="31" t="n"/>
      <c r="O55" s="31" t="n"/>
      <c r="P55" s="31" t="n"/>
      <c r="Q55" s="32">
        <f>SUMIFS(Compras!$F$7:$F$306,Compras!$B$7:$B$306,$A55,Compras!$A$7:$A$306,"&gt;="&amp;Listas!$L$2,Compras!$A$7:$A$306,"&lt;="&amp;Listas!$L$3)</f>
        <v/>
      </c>
      <c r="R55" s="33">
        <f>IF($Q$67=0,"",$Q55/$Q$67)</f>
        <v/>
      </c>
      <c r="S55" s="34">
        <f>COUNTIFS(Compras!$B$7:$B$306,$A55,Compras!$A$7:$A$306,"&gt;="&amp;Listas!$L$2,Compras!$A$7:$A$306,"&lt;="&amp;Listas!$L$3)</f>
        <v/>
      </c>
      <c r="T55" s="34">
        <f>COUNTIFS(Ocorrências!$B$7:$B$156,$A55,Ocorrências!$A$7:$A$156,"&gt;="&amp;Listas!$L$2,Ocorrências!$A$7:$A$156,"&lt;="&amp;Listas!$L$3)</f>
        <v/>
      </c>
      <c r="U55" s="33">
        <f>IF($S55=0,"",$T55/$S55)</f>
        <v/>
      </c>
      <c r="V55" s="35">
        <f>IF(COUNTIFS(Compras!$B$7:$B$306,$A55,Compras!$I$7:$I$306,"Sim",Compras!$A$7:$A$306,"&gt;="&amp;Listas!$L$2,Compras!$A$7:$A$306,"&lt;="&amp;Listas!$L$3)+COUNTIFS(Compras!$B$7:$B$306,$A55,Compras!$I$7:$I$306,"Não",Compras!$A$7:$A$306,"&gt;="&amp;Listas!$L$2,Compras!$A$7:$A$306,"&lt;="&amp;Listas!$L$3)=0,"",COUNTIFS(Compras!$B$7:$B$306,$A55,Compras!$I$7:$I$306,"Sim",Compras!$A$7:$A$306,"&gt;="&amp;Listas!$L$2,Compras!$A$7:$A$306,"&lt;="&amp;Listas!$L$3)/(COUNTIFS(Compras!$B$7:$B$306,$A55,Compras!$I$7:$I$306,"Sim",Compras!$A$7:$A$306,"&gt;="&amp;Listas!$L$2,Compras!$A$7:$A$306,"&lt;="&amp;Listas!$L$3)+COUNTIFS(Compras!$B$7:$B$306,$A55,Compras!$I$7:$I$306,"Não",Compras!$A$7:$A$306,"&gt;="&amp;Listas!$L$2,Compras!$A$7:$A$306,"&lt;="&amp;Listas!$L$3)))</f>
        <v/>
      </c>
      <c r="W55" s="36">
        <f>IF(COUNT($N55:$P55)&lt;3,"",ROUND(($N55*0.35+$O55*0.35+$P55*0.3)*(1-IF($U55="",0,$U55)),2))</f>
        <v/>
      </c>
      <c r="X55" s="37">
        <f>IF($S55=0,"",SUMPRODUCT(MAX((Compras!$B$7:$B$306=$A55)*Compras!$A$7:$A$306)))</f>
        <v/>
      </c>
      <c r="Y55" s="30" t="n"/>
    </row>
    <row r="56" ht="22" customHeight="1">
      <c r="A56" s="31" t="n"/>
      <c r="B56" s="30" t="n"/>
      <c r="C56" s="30" t="n"/>
      <c r="D56" s="30" t="n"/>
      <c r="E56" s="31" t="n"/>
      <c r="F56" s="30" t="n"/>
      <c r="G56" s="31" t="n"/>
      <c r="H56" s="30" t="n"/>
      <c r="I56" s="30" t="n"/>
      <c r="J56" s="31" t="n"/>
      <c r="K56" s="30" t="n"/>
      <c r="L56" s="30" t="n"/>
      <c r="M56" s="30" t="n"/>
      <c r="N56" s="31" t="n"/>
      <c r="O56" s="31" t="n"/>
      <c r="P56" s="31" t="n"/>
      <c r="Q56" s="32">
        <f>SUMIFS(Compras!$F$7:$F$306,Compras!$B$7:$B$306,$A56,Compras!$A$7:$A$306,"&gt;="&amp;Listas!$L$2,Compras!$A$7:$A$306,"&lt;="&amp;Listas!$L$3)</f>
        <v/>
      </c>
      <c r="R56" s="33">
        <f>IF($Q$67=0,"",$Q56/$Q$67)</f>
        <v/>
      </c>
      <c r="S56" s="34">
        <f>COUNTIFS(Compras!$B$7:$B$306,$A56,Compras!$A$7:$A$306,"&gt;="&amp;Listas!$L$2,Compras!$A$7:$A$306,"&lt;="&amp;Listas!$L$3)</f>
        <v/>
      </c>
      <c r="T56" s="34">
        <f>COUNTIFS(Ocorrências!$B$7:$B$156,$A56,Ocorrências!$A$7:$A$156,"&gt;="&amp;Listas!$L$2,Ocorrências!$A$7:$A$156,"&lt;="&amp;Listas!$L$3)</f>
        <v/>
      </c>
      <c r="U56" s="33">
        <f>IF($S56=0,"",$T56/$S56)</f>
        <v/>
      </c>
      <c r="V56" s="35">
        <f>IF(COUNTIFS(Compras!$B$7:$B$306,$A56,Compras!$I$7:$I$306,"Sim",Compras!$A$7:$A$306,"&gt;="&amp;Listas!$L$2,Compras!$A$7:$A$306,"&lt;="&amp;Listas!$L$3)+COUNTIFS(Compras!$B$7:$B$306,$A56,Compras!$I$7:$I$306,"Não",Compras!$A$7:$A$306,"&gt;="&amp;Listas!$L$2,Compras!$A$7:$A$306,"&lt;="&amp;Listas!$L$3)=0,"",COUNTIFS(Compras!$B$7:$B$306,$A56,Compras!$I$7:$I$306,"Sim",Compras!$A$7:$A$306,"&gt;="&amp;Listas!$L$2,Compras!$A$7:$A$306,"&lt;="&amp;Listas!$L$3)/(COUNTIFS(Compras!$B$7:$B$306,$A56,Compras!$I$7:$I$306,"Sim",Compras!$A$7:$A$306,"&gt;="&amp;Listas!$L$2,Compras!$A$7:$A$306,"&lt;="&amp;Listas!$L$3)+COUNTIFS(Compras!$B$7:$B$306,$A56,Compras!$I$7:$I$306,"Não",Compras!$A$7:$A$306,"&gt;="&amp;Listas!$L$2,Compras!$A$7:$A$306,"&lt;="&amp;Listas!$L$3)))</f>
        <v/>
      </c>
      <c r="W56" s="36">
        <f>IF(COUNT($N56:$P56)&lt;3,"",ROUND(($N56*0.35+$O56*0.35+$P56*0.3)*(1-IF($U56="",0,$U56)),2))</f>
        <v/>
      </c>
      <c r="X56" s="37">
        <f>IF($S56=0,"",SUMPRODUCT(MAX((Compras!$B$7:$B$306=$A56)*Compras!$A$7:$A$306)))</f>
        <v/>
      </c>
      <c r="Y56" s="30" t="n"/>
    </row>
    <row r="57" ht="22" customHeight="1">
      <c r="A57" s="31" t="n"/>
      <c r="B57" s="30" t="n"/>
      <c r="C57" s="30" t="n"/>
      <c r="D57" s="30" t="n"/>
      <c r="E57" s="31" t="n"/>
      <c r="F57" s="30" t="n"/>
      <c r="G57" s="31" t="n"/>
      <c r="H57" s="30" t="n"/>
      <c r="I57" s="30" t="n"/>
      <c r="J57" s="31" t="n"/>
      <c r="K57" s="30" t="n"/>
      <c r="L57" s="30" t="n"/>
      <c r="M57" s="30" t="n"/>
      <c r="N57" s="31" t="n"/>
      <c r="O57" s="31" t="n"/>
      <c r="P57" s="31" t="n"/>
      <c r="Q57" s="32">
        <f>SUMIFS(Compras!$F$7:$F$306,Compras!$B$7:$B$306,$A57,Compras!$A$7:$A$306,"&gt;="&amp;Listas!$L$2,Compras!$A$7:$A$306,"&lt;="&amp;Listas!$L$3)</f>
        <v/>
      </c>
      <c r="R57" s="33">
        <f>IF($Q$67=0,"",$Q57/$Q$67)</f>
        <v/>
      </c>
      <c r="S57" s="34">
        <f>COUNTIFS(Compras!$B$7:$B$306,$A57,Compras!$A$7:$A$306,"&gt;="&amp;Listas!$L$2,Compras!$A$7:$A$306,"&lt;="&amp;Listas!$L$3)</f>
        <v/>
      </c>
      <c r="T57" s="34">
        <f>COUNTIFS(Ocorrências!$B$7:$B$156,$A57,Ocorrências!$A$7:$A$156,"&gt;="&amp;Listas!$L$2,Ocorrências!$A$7:$A$156,"&lt;="&amp;Listas!$L$3)</f>
        <v/>
      </c>
      <c r="U57" s="33">
        <f>IF($S57=0,"",$T57/$S57)</f>
        <v/>
      </c>
      <c r="V57" s="35">
        <f>IF(COUNTIFS(Compras!$B$7:$B$306,$A57,Compras!$I$7:$I$306,"Sim",Compras!$A$7:$A$306,"&gt;="&amp;Listas!$L$2,Compras!$A$7:$A$306,"&lt;="&amp;Listas!$L$3)+COUNTIFS(Compras!$B$7:$B$306,$A57,Compras!$I$7:$I$306,"Não",Compras!$A$7:$A$306,"&gt;="&amp;Listas!$L$2,Compras!$A$7:$A$306,"&lt;="&amp;Listas!$L$3)=0,"",COUNTIFS(Compras!$B$7:$B$306,$A57,Compras!$I$7:$I$306,"Sim",Compras!$A$7:$A$306,"&gt;="&amp;Listas!$L$2,Compras!$A$7:$A$306,"&lt;="&amp;Listas!$L$3)/(COUNTIFS(Compras!$B$7:$B$306,$A57,Compras!$I$7:$I$306,"Sim",Compras!$A$7:$A$306,"&gt;="&amp;Listas!$L$2,Compras!$A$7:$A$306,"&lt;="&amp;Listas!$L$3)+COUNTIFS(Compras!$B$7:$B$306,$A57,Compras!$I$7:$I$306,"Não",Compras!$A$7:$A$306,"&gt;="&amp;Listas!$L$2,Compras!$A$7:$A$306,"&lt;="&amp;Listas!$L$3)))</f>
        <v/>
      </c>
      <c r="W57" s="36">
        <f>IF(COUNT($N57:$P57)&lt;3,"",ROUND(($N57*0.35+$O57*0.35+$P57*0.3)*(1-IF($U57="",0,$U57)),2))</f>
        <v/>
      </c>
      <c r="X57" s="37">
        <f>IF($S57=0,"",SUMPRODUCT(MAX((Compras!$B$7:$B$306=$A57)*Compras!$A$7:$A$306)))</f>
        <v/>
      </c>
      <c r="Y57" s="30" t="n"/>
    </row>
    <row r="58" ht="22" customHeight="1">
      <c r="A58" s="31" t="n"/>
      <c r="B58" s="30" t="n"/>
      <c r="C58" s="30" t="n"/>
      <c r="D58" s="30" t="n"/>
      <c r="E58" s="31" t="n"/>
      <c r="F58" s="30" t="n"/>
      <c r="G58" s="31" t="n"/>
      <c r="H58" s="30" t="n"/>
      <c r="I58" s="30" t="n"/>
      <c r="J58" s="31" t="n"/>
      <c r="K58" s="30" t="n"/>
      <c r="L58" s="30" t="n"/>
      <c r="M58" s="30" t="n"/>
      <c r="N58" s="31" t="n"/>
      <c r="O58" s="31" t="n"/>
      <c r="P58" s="31" t="n"/>
      <c r="Q58" s="32">
        <f>SUMIFS(Compras!$F$7:$F$306,Compras!$B$7:$B$306,$A58,Compras!$A$7:$A$306,"&gt;="&amp;Listas!$L$2,Compras!$A$7:$A$306,"&lt;="&amp;Listas!$L$3)</f>
        <v/>
      </c>
      <c r="R58" s="33">
        <f>IF($Q$67=0,"",$Q58/$Q$67)</f>
        <v/>
      </c>
      <c r="S58" s="34">
        <f>COUNTIFS(Compras!$B$7:$B$306,$A58,Compras!$A$7:$A$306,"&gt;="&amp;Listas!$L$2,Compras!$A$7:$A$306,"&lt;="&amp;Listas!$L$3)</f>
        <v/>
      </c>
      <c r="T58" s="34">
        <f>COUNTIFS(Ocorrências!$B$7:$B$156,$A58,Ocorrências!$A$7:$A$156,"&gt;="&amp;Listas!$L$2,Ocorrências!$A$7:$A$156,"&lt;="&amp;Listas!$L$3)</f>
        <v/>
      </c>
      <c r="U58" s="33">
        <f>IF($S58=0,"",$T58/$S58)</f>
        <v/>
      </c>
      <c r="V58" s="35">
        <f>IF(COUNTIFS(Compras!$B$7:$B$306,$A58,Compras!$I$7:$I$306,"Sim",Compras!$A$7:$A$306,"&gt;="&amp;Listas!$L$2,Compras!$A$7:$A$306,"&lt;="&amp;Listas!$L$3)+COUNTIFS(Compras!$B$7:$B$306,$A58,Compras!$I$7:$I$306,"Não",Compras!$A$7:$A$306,"&gt;="&amp;Listas!$L$2,Compras!$A$7:$A$306,"&lt;="&amp;Listas!$L$3)=0,"",COUNTIFS(Compras!$B$7:$B$306,$A58,Compras!$I$7:$I$306,"Sim",Compras!$A$7:$A$306,"&gt;="&amp;Listas!$L$2,Compras!$A$7:$A$306,"&lt;="&amp;Listas!$L$3)/(COUNTIFS(Compras!$B$7:$B$306,$A58,Compras!$I$7:$I$306,"Sim",Compras!$A$7:$A$306,"&gt;="&amp;Listas!$L$2,Compras!$A$7:$A$306,"&lt;="&amp;Listas!$L$3)+COUNTIFS(Compras!$B$7:$B$306,$A58,Compras!$I$7:$I$306,"Não",Compras!$A$7:$A$306,"&gt;="&amp;Listas!$L$2,Compras!$A$7:$A$306,"&lt;="&amp;Listas!$L$3)))</f>
        <v/>
      </c>
      <c r="W58" s="36">
        <f>IF(COUNT($N58:$P58)&lt;3,"",ROUND(($N58*0.35+$O58*0.35+$P58*0.3)*(1-IF($U58="",0,$U58)),2))</f>
        <v/>
      </c>
      <c r="X58" s="37">
        <f>IF($S58=0,"",SUMPRODUCT(MAX((Compras!$B$7:$B$306=$A58)*Compras!$A$7:$A$306)))</f>
        <v/>
      </c>
      <c r="Y58" s="30" t="n"/>
    </row>
    <row r="59" ht="22" customHeight="1">
      <c r="A59" s="31" t="n"/>
      <c r="B59" s="30" t="n"/>
      <c r="C59" s="30" t="n"/>
      <c r="D59" s="30" t="n"/>
      <c r="E59" s="31" t="n"/>
      <c r="F59" s="30" t="n"/>
      <c r="G59" s="31" t="n"/>
      <c r="H59" s="30" t="n"/>
      <c r="I59" s="30" t="n"/>
      <c r="J59" s="31" t="n"/>
      <c r="K59" s="30" t="n"/>
      <c r="L59" s="30" t="n"/>
      <c r="M59" s="30" t="n"/>
      <c r="N59" s="31" t="n"/>
      <c r="O59" s="31" t="n"/>
      <c r="P59" s="31" t="n"/>
      <c r="Q59" s="32">
        <f>SUMIFS(Compras!$F$7:$F$306,Compras!$B$7:$B$306,$A59,Compras!$A$7:$A$306,"&gt;="&amp;Listas!$L$2,Compras!$A$7:$A$306,"&lt;="&amp;Listas!$L$3)</f>
        <v/>
      </c>
      <c r="R59" s="33">
        <f>IF($Q$67=0,"",$Q59/$Q$67)</f>
        <v/>
      </c>
      <c r="S59" s="34">
        <f>COUNTIFS(Compras!$B$7:$B$306,$A59,Compras!$A$7:$A$306,"&gt;="&amp;Listas!$L$2,Compras!$A$7:$A$306,"&lt;="&amp;Listas!$L$3)</f>
        <v/>
      </c>
      <c r="T59" s="34">
        <f>COUNTIFS(Ocorrências!$B$7:$B$156,$A59,Ocorrências!$A$7:$A$156,"&gt;="&amp;Listas!$L$2,Ocorrências!$A$7:$A$156,"&lt;="&amp;Listas!$L$3)</f>
        <v/>
      </c>
      <c r="U59" s="33">
        <f>IF($S59=0,"",$T59/$S59)</f>
        <v/>
      </c>
      <c r="V59" s="35">
        <f>IF(COUNTIFS(Compras!$B$7:$B$306,$A59,Compras!$I$7:$I$306,"Sim",Compras!$A$7:$A$306,"&gt;="&amp;Listas!$L$2,Compras!$A$7:$A$306,"&lt;="&amp;Listas!$L$3)+COUNTIFS(Compras!$B$7:$B$306,$A59,Compras!$I$7:$I$306,"Não",Compras!$A$7:$A$306,"&gt;="&amp;Listas!$L$2,Compras!$A$7:$A$306,"&lt;="&amp;Listas!$L$3)=0,"",COUNTIFS(Compras!$B$7:$B$306,$A59,Compras!$I$7:$I$306,"Sim",Compras!$A$7:$A$306,"&gt;="&amp;Listas!$L$2,Compras!$A$7:$A$306,"&lt;="&amp;Listas!$L$3)/(COUNTIFS(Compras!$B$7:$B$306,$A59,Compras!$I$7:$I$306,"Sim",Compras!$A$7:$A$306,"&gt;="&amp;Listas!$L$2,Compras!$A$7:$A$306,"&lt;="&amp;Listas!$L$3)+COUNTIFS(Compras!$B$7:$B$306,$A59,Compras!$I$7:$I$306,"Não",Compras!$A$7:$A$306,"&gt;="&amp;Listas!$L$2,Compras!$A$7:$A$306,"&lt;="&amp;Listas!$L$3)))</f>
        <v/>
      </c>
      <c r="W59" s="36">
        <f>IF(COUNT($N59:$P59)&lt;3,"",ROUND(($N59*0.35+$O59*0.35+$P59*0.3)*(1-IF($U59="",0,$U59)),2))</f>
        <v/>
      </c>
      <c r="X59" s="37">
        <f>IF($S59=0,"",SUMPRODUCT(MAX((Compras!$B$7:$B$306=$A59)*Compras!$A$7:$A$306)))</f>
        <v/>
      </c>
      <c r="Y59" s="30" t="n"/>
    </row>
    <row r="60" ht="22" customHeight="1">
      <c r="A60" s="31" t="n"/>
      <c r="B60" s="30" t="n"/>
      <c r="C60" s="30" t="n"/>
      <c r="D60" s="30" t="n"/>
      <c r="E60" s="31" t="n"/>
      <c r="F60" s="30" t="n"/>
      <c r="G60" s="31" t="n"/>
      <c r="H60" s="30" t="n"/>
      <c r="I60" s="30" t="n"/>
      <c r="J60" s="31" t="n"/>
      <c r="K60" s="30" t="n"/>
      <c r="L60" s="30" t="n"/>
      <c r="M60" s="30" t="n"/>
      <c r="N60" s="31" t="n"/>
      <c r="O60" s="31" t="n"/>
      <c r="P60" s="31" t="n"/>
      <c r="Q60" s="32">
        <f>SUMIFS(Compras!$F$7:$F$306,Compras!$B$7:$B$306,$A60,Compras!$A$7:$A$306,"&gt;="&amp;Listas!$L$2,Compras!$A$7:$A$306,"&lt;="&amp;Listas!$L$3)</f>
        <v/>
      </c>
      <c r="R60" s="33">
        <f>IF($Q$67=0,"",$Q60/$Q$67)</f>
        <v/>
      </c>
      <c r="S60" s="34">
        <f>COUNTIFS(Compras!$B$7:$B$306,$A60,Compras!$A$7:$A$306,"&gt;="&amp;Listas!$L$2,Compras!$A$7:$A$306,"&lt;="&amp;Listas!$L$3)</f>
        <v/>
      </c>
      <c r="T60" s="34">
        <f>COUNTIFS(Ocorrências!$B$7:$B$156,$A60,Ocorrências!$A$7:$A$156,"&gt;="&amp;Listas!$L$2,Ocorrências!$A$7:$A$156,"&lt;="&amp;Listas!$L$3)</f>
        <v/>
      </c>
      <c r="U60" s="33">
        <f>IF($S60=0,"",$T60/$S60)</f>
        <v/>
      </c>
      <c r="V60" s="35">
        <f>IF(COUNTIFS(Compras!$B$7:$B$306,$A60,Compras!$I$7:$I$306,"Sim",Compras!$A$7:$A$306,"&gt;="&amp;Listas!$L$2,Compras!$A$7:$A$306,"&lt;="&amp;Listas!$L$3)+COUNTIFS(Compras!$B$7:$B$306,$A60,Compras!$I$7:$I$306,"Não",Compras!$A$7:$A$306,"&gt;="&amp;Listas!$L$2,Compras!$A$7:$A$306,"&lt;="&amp;Listas!$L$3)=0,"",COUNTIFS(Compras!$B$7:$B$306,$A60,Compras!$I$7:$I$306,"Sim",Compras!$A$7:$A$306,"&gt;="&amp;Listas!$L$2,Compras!$A$7:$A$306,"&lt;="&amp;Listas!$L$3)/(COUNTIFS(Compras!$B$7:$B$306,$A60,Compras!$I$7:$I$306,"Sim",Compras!$A$7:$A$306,"&gt;="&amp;Listas!$L$2,Compras!$A$7:$A$306,"&lt;="&amp;Listas!$L$3)+COUNTIFS(Compras!$B$7:$B$306,$A60,Compras!$I$7:$I$306,"Não",Compras!$A$7:$A$306,"&gt;="&amp;Listas!$L$2,Compras!$A$7:$A$306,"&lt;="&amp;Listas!$L$3)))</f>
        <v/>
      </c>
      <c r="W60" s="36">
        <f>IF(COUNT($N60:$P60)&lt;3,"",ROUND(($N60*0.35+$O60*0.35+$P60*0.3)*(1-IF($U60="",0,$U60)),2))</f>
        <v/>
      </c>
      <c r="X60" s="37">
        <f>IF($S60=0,"",SUMPRODUCT(MAX((Compras!$B$7:$B$306=$A60)*Compras!$A$7:$A$306)))</f>
        <v/>
      </c>
      <c r="Y60" s="30" t="n"/>
    </row>
    <row r="61" ht="22" customHeight="1">
      <c r="A61" s="31" t="n"/>
      <c r="B61" s="30" t="n"/>
      <c r="C61" s="30" t="n"/>
      <c r="D61" s="30" t="n"/>
      <c r="E61" s="31" t="n"/>
      <c r="F61" s="30" t="n"/>
      <c r="G61" s="31" t="n"/>
      <c r="H61" s="30" t="n"/>
      <c r="I61" s="30" t="n"/>
      <c r="J61" s="31" t="n"/>
      <c r="K61" s="30" t="n"/>
      <c r="L61" s="30" t="n"/>
      <c r="M61" s="30" t="n"/>
      <c r="N61" s="31" t="n"/>
      <c r="O61" s="31" t="n"/>
      <c r="P61" s="31" t="n"/>
      <c r="Q61" s="32">
        <f>SUMIFS(Compras!$F$7:$F$306,Compras!$B$7:$B$306,$A61,Compras!$A$7:$A$306,"&gt;="&amp;Listas!$L$2,Compras!$A$7:$A$306,"&lt;="&amp;Listas!$L$3)</f>
        <v/>
      </c>
      <c r="R61" s="33">
        <f>IF($Q$67=0,"",$Q61/$Q$67)</f>
        <v/>
      </c>
      <c r="S61" s="34">
        <f>COUNTIFS(Compras!$B$7:$B$306,$A61,Compras!$A$7:$A$306,"&gt;="&amp;Listas!$L$2,Compras!$A$7:$A$306,"&lt;="&amp;Listas!$L$3)</f>
        <v/>
      </c>
      <c r="T61" s="34">
        <f>COUNTIFS(Ocorrências!$B$7:$B$156,$A61,Ocorrências!$A$7:$A$156,"&gt;="&amp;Listas!$L$2,Ocorrências!$A$7:$A$156,"&lt;="&amp;Listas!$L$3)</f>
        <v/>
      </c>
      <c r="U61" s="33">
        <f>IF($S61=0,"",$T61/$S61)</f>
        <v/>
      </c>
      <c r="V61" s="35">
        <f>IF(COUNTIFS(Compras!$B$7:$B$306,$A61,Compras!$I$7:$I$306,"Sim",Compras!$A$7:$A$306,"&gt;="&amp;Listas!$L$2,Compras!$A$7:$A$306,"&lt;="&amp;Listas!$L$3)+COUNTIFS(Compras!$B$7:$B$306,$A61,Compras!$I$7:$I$306,"Não",Compras!$A$7:$A$306,"&gt;="&amp;Listas!$L$2,Compras!$A$7:$A$306,"&lt;="&amp;Listas!$L$3)=0,"",COUNTIFS(Compras!$B$7:$B$306,$A61,Compras!$I$7:$I$306,"Sim",Compras!$A$7:$A$306,"&gt;="&amp;Listas!$L$2,Compras!$A$7:$A$306,"&lt;="&amp;Listas!$L$3)/(COUNTIFS(Compras!$B$7:$B$306,$A61,Compras!$I$7:$I$306,"Sim",Compras!$A$7:$A$306,"&gt;="&amp;Listas!$L$2,Compras!$A$7:$A$306,"&lt;="&amp;Listas!$L$3)+COUNTIFS(Compras!$B$7:$B$306,$A61,Compras!$I$7:$I$306,"Não",Compras!$A$7:$A$306,"&gt;="&amp;Listas!$L$2,Compras!$A$7:$A$306,"&lt;="&amp;Listas!$L$3)))</f>
        <v/>
      </c>
      <c r="W61" s="36">
        <f>IF(COUNT($N61:$P61)&lt;3,"",ROUND(($N61*0.35+$O61*0.35+$P61*0.3)*(1-IF($U61="",0,$U61)),2))</f>
        <v/>
      </c>
      <c r="X61" s="37">
        <f>IF($S61=0,"",SUMPRODUCT(MAX((Compras!$B$7:$B$306=$A61)*Compras!$A$7:$A$306)))</f>
        <v/>
      </c>
      <c r="Y61" s="30" t="n"/>
    </row>
    <row r="62" ht="22" customHeight="1">
      <c r="A62" s="31" t="n"/>
      <c r="B62" s="30" t="n"/>
      <c r="C62" s="30" t="n"/>
      <c r="D62" s="30" t="n"/>
      <c r="E62" s="31" t="n"/>
      <c r="F62" s="30" t="n"/>
      <c r="G62" s="31" t="n"/>
      <c r="H62" s="30" t="n"/>
      <c r="I62" s="30" t="n"/>
      <c r="J62" s="31" t="n"/>
      <c r="K62" s="30" t="n"/>
      <c r="L62" s="30" t="n"/>
      <c r="M62" s="30" t="n"/>
      <c r="N62" s="31" t="n"/>
      <c r="O62" s="31" t="n"/>
      <c r="P62" s="31" t="n"/>
      <c r="Q62" s="32">
        <f>SUMIFS(Compras!$F$7:$F$306,Compras!$B$7:$B$306,$A62,Compras!$A$7:$A$306,"&gt;="&amp;Listas!$L$2,Compras!$A$7:$A$306,"&lt;="&amp;Listas!$L$3)</f>
        <v/>
      </c>
      <c r="R62" s="33">
        <f>IF($Q$67=0,"",$Q62/$Q$67)</f>
        <v/>
      </c>
      <c r="S62" s="34">
        <f>COUNTIFS(Compras!$B$7:$B$306,$A62,Compras!$A$7:$A$306,"&gt;="&amp;Listas!$L$2,Compras!$A$7:$A$306,"&lt;="&amp;Listas!$L$3)</f>
        <v/>
      </c>
      <c r="T62" s="34">
        <f>COUNTIFS(Ocorrências!$B$7:$B$156,$A62,Ocorrências!$A$7:$A$156,"&gt;="&amp;Listas!$L$2,Ocorrências!$A$7:$A$156,"&lt;="&amp;Listas!$L$3)</f>
        <v/>
      </c>
      <c r="U62" s="33">
        <f>IF($S62=0,"",$T62/$S62)</f>
        <v/>
      </c>
      <c r="V62" s="35">
        <f>IF(COUNTIFS(Compras!$B$7:$B$306,$A62,Compras!$I$7:$I$306,"Sim",Compras!$A$7:$A$306,"&gt;="&amp;Listas!$L$2,Compras!$A$7:$A$306,"&lt;="&amp;Listas!$L$3)+COUNTIFS(Compras!$B$7:$B$306,$A62,Compras!$I$7:$I$306,"Não",Compras!$A$7:$A$306,"&gt;="&amp;Listas!$L$2,Compras!$A$7:$A$306,"&lt;="&amp;Listas!$L$3)=0,"",COUNTIFS(Compras!$B$7:$B$306,$A62,Compras!$I$7:$I$306,"Sim",Compras!$A$7:$A$306,"&gt;="&amp;Listas!$L$2,Compras!$A$7:$A$306,"&lt;="&amp;Listas!$L$3)/(COUNTIFS(Compras!$B$7:$B$306,$A62,Compras!$I$7:$I$306,"Sim",Compras!$A$7:$A$306,"&gt;="&amp;Listas!$L$2,Compras!$A$7:$A$306,"&lt;="&amp;Listas!$L$3)+COUNTIFS(Compras!$B$7:$B$306,$A62,Compras!$I$7:$I$306,"Não",Compras!$A$7:$A$306,"&gt;="&amp;Listas!$L$2,Compras!$A$7:$A$306,"&lt;="&amp;Listas!$L$3)))</f>
        <v/>
      </c>
      <c r="W62" s="36">
        <f>IF(COUNT($N62:$P62)&lt;3,"",ROUND(($N62*0.35+$O62*0.35+$P62*0.3)*(1-IF($U62="",0,$U62)),2))</f>
        <v/>
      </c>
      <c r="X62" s="37">
        <f>IF($S62=0,"",SUMPRODUCT(MAX((Compras!$B$7:$B$306=$A62)*Compras!$A$7:$A$306)))</f>
        <v/>
      </c>
      <c r="Y62" s="30" t="n"/>
    </row>
    <row r="63" ht="22" customHeight="1">
      <c r="A63" s="31" t="n"/>
      <c r="B63" s="30" t="n"/>
      <c r="C63" s="30" t="n"/>
      <c r="D63" s="30" t="n"/>
      <c r="E63" s="31" t="n"/>
      <c r="F63" s="30" t="n"/>
      <c r="G63" s="31" t="n"/>
      <c r="H63" s="30" t="n"/>
      <c r="I63" s="30" t="n"/>
      <c r="J63" s="31" t="n"/>
      <c r="K63" s="30" t="n"/>
      <c r="L63" s="30" t="n"/>
      <c r="M63" s="30" t="n"/>
      <c r="N63" s="31" t="n"/>
      <c r="O63" s="31" t="n"/>
      <c r="P63" s="31" t="n"/>
      <c r="Q63" s="32">
        <f>SUMIFS(Compras!$F$7:$F$306,Compras!$B$7:$B$306,$A63,Compras!$A$7:$A$306,"&gt;="&amp;Listas!$L$2,Compras!$A$7:$A$306,"&lt;="&amp;Listas!$L$3)</f>
        <v/>
      </c>
      <c r="R63" s="33">
        <f>IF($Q$67=0,"",$Q63/$Q$67)</f>
        <v/>
      </c>
      <c r="S63" s="34">
        <f>COUNTIFS(Compras!$B$7:$B$306,$A63,Compras!$A$7:$A$306,"&gt;="&amp;Listas!$L$2,Compras!$A$7:$A$306,"&lt;="&amp;Listas!$L$3)</f>
        <v/>
      </c>
      <c r="T63" s="34">
        <f>COUNTIFS(Ocorrências!$B$7:$B$156,$A63,Ocorrências!$A$7:$A$156,"&gt;="&amp;Listas!$L$2,Ocorrências!$A$7:$A$156,"&lt;="&amp;Listas!$L$3)</f>
        <v/>
      </c>
      <c r="U63" s="33">
        <f>IF($S63=0,"",$T63/$S63)</f>
        <v/>
      </c>
      <c r="V63" s="35">
        <f>IF(COUNTIFS(Compras!$B$7:$B$306,$A63,Compras!$I$7:$I$306,"Sim",Compras!$A$7:$A$306,"&gt;="&amp;Listas!$L$2,Compras!$A$7:$A$306,"&lt;="&amp;Listas!$L$3)+COUNTIFS(Compras!$B$7:$B$306,$A63,Compras!$I$7:$I$306,"Não",Compras!$A$7:$A$306,"&gt;="&amp;Listas!$L$2,Compras!$A$7:$A$306,"&lt;="&amp;Listas!$L$3)=0,"",COUNTIFS(Compras!$B$7:$B$306,$A63,Compras!$I$7:$I$306,"Sim",Compras!$A$7:$A$306,"&gt;="&amp;Listas!$L$2,Compras!$A$7:$A$306,"&lt;="&amp;Listas!$L$3)/(COUNTIFS(Compras!$B$7:$B$306,$A63,Compras!$I$7:$I$306,"Sim",Compras!$A$7:$A$306,"&gt;="&amp;Listas!$L$2,Compras!$A$7:$A$306,"&lt;="&amp;Listas!$L$3)+COUNTIFS(Compras!$B$7:$B$306,$A63,Compras!$I$7:$I$306,"Não",Compras!$A$7:$A$306,"&gt;="&amp;Listas!$L$2,Compras!$A$7:$A$306,"&lt;="&amp;Listas!$L$3)))</f>
        <v/>
      </c>
      <c r="W63" s="36">
        <f>IF(COUNT($N63:$P63)&lt;3,"",ROUND(($N63*0.35+$O63*0.35+$P63*0.3)*(1-IF($U63="",0,$U63)),2))</f>
        <v/>
      </c>
      <c r="X63" s="37">
        <f>IF($S63=0,"",SUMPRODUCT(MAX((Compras!$B$7:$B$306=$A63)*Compras!$A$7:$A$306)))</f>
        <v/>
      </c>
      <c r="Y63" s="30" t="n"/>
    </row>
    <row r="64" ht="22" customHeight="1">
      <c r="A64" s="31" t="n"/>
      <c r="B64" s="30" t="n"/>
      <c r="C64" s="30" t="n"/>
      <c r="D64" s="30" t="n"/>
      <c r="E64" s="31" t="n"/>
      <c r="F64" s="30" t="n"/>
      <c r="G64" s="31" t="n"/>
      <c r="H64" s="30" t="n"/>
      <c r="I64" s="30" t="n"/>
      <c r="J64" s="31" t="n"/>
      <c r="K64" s="30" t="n"/>
      <c r="L64" s="30" t="n"/>
      <c r="M64" s="30" t="n"/>
      <c r="N64" s="31" t="n"/>
      <c r="O64" s="31" t="n"/>
      <c r="P64" s="31" t="n"/>
      <c r="Q64" s="32">
        <f>SUMIFS(Compras!$F$7:$F$306,Compras!$B$7:$B$306,$A64,Compras!$A$7:$A$306,"&gt;="&amp;Listas!$L$2,Compras!$A$7:$A$306,"&lt;="&amp;Listas!$L$3)</f>
        <v/>
      </c>
      <c r="R64" s="33">
        <f>IF($Q$67=0,"",$Q64/$Q$67)</f>
        <v/>
      </c>
      <c r="S64" s="34">
        <f>COUNTIFS(Compras!$B$7:$B$306,$A64,Compras!$A$7:$A$306,"&gt;="&amp;Listas!$L$2,Compras!$A$7:$A$306,"&lt;="&amp;Listas!$L$3)</f>
        <v/>
      </c>
      <c r="T64" s="34">
        <f>COUNTIFS(Ocorrências!$B$7:$B$156,$A64,Ocorrências!$A$7:$A$156,"&gt;="&amp;Listas!$L$2,Ocorrências!$A$7:$A$156,"&lt;="&amp;Listas!$L$3)</f>
        <v/>
      </c>
      <c r="U64" s="33">
        <f>IF($S64=0,"",$T64/$S64)</f>
        <v/>
      </c>
      <c r="V64" s="35">
        <f>IF(COUNTIFS(Compras!$B$7:$B$306,$A64,Compras!$I$7:$I$306,"Sim",Compras!$A$7:$A$306,"&gt;="&amp;Listas!$L$2,Compras!$A$7:$A$306,"&lt;="&amp;Listas!$L$3)+COUNTIFS(Compras!$B$7:$B$306,$A64,Compras!$I$7:$I$306,"Não",Compras!$A$7:$A$306,"&gt;="&amp;Listas!$L$2,Compras!$A$7:$A$306,"&lt;="&amp;Listas!$L$3)=0,"",COUNTIFS(Compras!$B$7:$B$306,$A64,Compras!$I$7:$I$306,"Sim",Compras!$A$7:$A$306,"&gt;="&amp;Listas!$L$2,Compras!$A$7:$A$306,"&lt;="&amp;Listas!$L$3)/(COUNTIFS(Compras!$B$7:$B$306,$A64,Compras!$I$7:$I$306,"Sim",Compras!$A$7:$A$306,"&gt;="&amp;Listas!$L$2,Compras!$A$7:$A$306,"&lt;="&amp;Listas!$L$3)+COUNTIFS(Compras!$B$7:$B$306,$A64,Compras!$I$7:$I$306,"Não",Compras!$A$7:$A$306,"&gt;="&amp;Listas!$L$2,Compras!$A$7:$A$306,"&lt;="&amp;Listas!$L$3)))</f>
        <v/>
      </c>
      <c r="W64" s="36">
        <f>IF(COUNT($N64:$P64)&lt;3,"",ROUND(($N64*0.35+$O64*0.35+$P64*0.3)*(1-IF($U64="",0,$U64)),2))</f>
        <v/>
      </c>
      <c r="X64" s="37">
        <f>IF($S64=0,"",SUMPRODUCT(MAX((Compras!$B$7:$B$306=$A64)*Compras!$A$7:$A$306)))</f>
        <v/>
      </c>
      <c r="Y64" s="30" t="n"/>
    </row>
    <row r="65" ht="22" customHeight="1">
      <c r="A65" s="31" t="n"/>
      <c r="B65" s="30" t="n"/>
      <c r="C65" s="30" t="n"/>
      <c r="D65" s="30" t="n"/>
      <c r="E65" s="31" t="n"/>
      <c r="F65" s="30" t="n"/>
      <c r="G65" s="31" t="n"/>
      <c r="H65" s="30" t="n"/>
      <c r="I65" s="30" t="n"/>
      <c r="J65" s="31" t="n"/>
      <c r="K65" s="30" t="n"/>
      <c r="L65" s="30" t="n"/>
      <c r="M65" s="30" t="n"/>
      <c r="N65" s="31" t="n"/>
      <c r="O65" s="31" t="n"/>
      <c r="P65" s="31" t="n"/>
      <c r="Q65" s="32">
        <f>SUMIFS(Compras!$F$7:$F$306,Compras!$B$7:$B$306,$A65,Compras!$A$7:$A$306,"&gt;="&amp;Listas!$L$2,Compras!$A$7:$A$306,"&lt;="&amp;Listas!$L$3)</f>
        <v/>
      </c>
      <c r="R65" s="33">
        <f>IF($Q$67=0,"",$Q65/$Q$67)</f>
        <v/>
      </c>
      <c r="S65" s="34">
        <f>COUNTIFS(Compras!$B$7:$B$306,$A65,Compras!$A$7:$A$306,"&gt;="&amp;Listas!$L$2,Compras!$A$7:$A$306,"&lt;="&amp;Listas!$L$3)</f>
        <v/>
      </c>
      <c r="T65" s="34">
        <f>COUNTIFS(Ocorrências!$B$7:$B$156,$A65,Ocorrências!$A$7:$A$156,"&gt;="&amp;Listas!$L$2,Ocorrências!$A$7:$A$156,"&lt;="&amp;Listas!$L$3)</f>
        <v/>
      </c>
      <c r="U65" s="33">
        <f>IF($S65=0,"",$T65/$S65)</f>
        <v/>
      </c>
      <c r="V65" s="35">
        <f>IF(COUNTIFS(Compras!$B$7:$B$306,$A65,Compras!$I$7:$I$306,"Sim",Compras!$A$7:$A$306,"&gt;="&amp;Listas!$L$2,Compras!$A$7:$A$306,"&lt;="&amp;Listas!$L$3)+COUNTIFS(Compras!$B$7:$B$306,$A65,Compras!$I$7:$I$306,"Não",Compras!$A$7:$A$306,"&gt;="&amp;Listas!$L$2,Compras!$A$7:$A$306,"&lt;="&amp;Listas!$L$3)=0,"",COUNTIFS(Compras!$B$7:$B$306,$A65,Compras!$I$7:$I$306,"Sim",Compras!$A$7:$A$306,"&gt;="&amp;Listas!$L$2,Compras!$A$7:$A$306,"&lt;="&amp;Listas!$L$3)/(COUNTIFS(Compras!$B$7:$B$306,$A65,Compras!$I$7:$I$306,"Sim",Compras!$A$7:$A$306,"&gt;="&amp;Listas!$L$2,Compras!$A$7:$A$306,"&lt;="&amp;Listas!$L$3)+COUNTIFS(Compras!$B$7:$B$306,$A65,Compras!$I$7:$I$306,"Não",Compras!$A$7:$A$306,"&gt;="&amp;Listas!$L$2,Compras!$A$7:$A$306,"&lt;="&amp;Listas!$L$3)))</f>
        <v/>
      </c>
      <c r="W65" s="36">
        <f>IF(COUNT($N65:$P65)&lt;3,"",ROUND(($N65*0.35+$O65*0.35+$P65*0.3)*(1-IF($U65="",0,$U65)),2))</f>
        <v/>
      </c>
      <c r="X65" s="37">
        <f>IF($S65=0,"",SUMPRODUCT(MAX((Compras!$B$7:$B$306=$A65)*Compras!$A$7:$A$306)))</f>
        <v/>
      </c>
      <c r="Y65" s="30" t="n"/>
    </row>
    <row r="66" ht="22" customHeight="1">
      <c r="A66" s="31" t="n"/>
      <c r="B66" s="30" t="n"/>
      <c r="C66" s="30" t="n"/>
      <c r="D66" s="30" t="n"/>
      <c r="E66" s="31" t="n"/>
      <c r="F66" s="30" t="n"/>
      <c r="G66" s="31" t="n"/>
      <c r="H66" s="30" t="n"/>
      <c r="I66" s="30" t="n"/>
      <c r="J66" s="31" t="n"/>
      <c r="K66" s="30" t="n"/>
      <c r="L66" s="30" t="n"/>
      <c r="M66" s="30" t="n"/>
      <c r="N66" s="31" t="n"/>
      <c r="O66" s="31" t="n"/>
      <c r="P66" s="31" t="n"/>
      <c r="Q66" s="32">
        <f>SUMIFS(Compras!$F$7:$F$306,Compras!$B$7:$B$306,$A66,Compras!$A$7:$A$306,"&gt;="&amp;Listas!$L$2,Compras!$A$7:$A$306,"&lt;="&amp;Listas!$L$3)</f>
        <v/>
      </c>
      <c r="R66" s="33">
        <f>IF($Q$67=0,"",$Q66/$Q$67)</f>
        <v/>
      </c>
      <c r="S66" s="34">
        <f>COUNTIFS(Compras!$B$7:$B$306,$A66,Compras!$A$7:$A$306,"&gt;="&amp;Listas!$L$2,Compras!$A$7:$A$306,"&lt;="&amp;Listas!$L$3)</f>
        <v/>
      </c>
      <c r="T66" s="34">
        <f>COUNTIFS(Ocorrências!$B$7:$B$156,$A66,Ocorrências!$A$7:$A$156,"&gt;="&amp;Listas!$L$2,Ocorrências!$A$7:$A$156,"&lt;="&amp;Listas!$L$3)</f>
        <v/>
      </c>
      <c r="U66" s="33">
        <f>IF($S66=0,"",$T66/$S66)</f>
        <v/>
      </c>
      <c r="V66" s="35">
        <f>IF(COUNTIFS(Compras!$B$7:$B$306,$A66,Compras!$I$7:$I$306,"Sim",Compras!$A$7:$A$306,"&gt;="&amp;Listas!$L$2,Compras!$A$7:$A$306,"&lt;="&amp;Listas!$L$3)+COUNTIFS(Compras!$B$7:$B$306,$A66,Compras!$I$7:$I$306,"Não",Compras!$A$7:$A$306,"&gt;="&amp;Listas!$L$2,Compras!$A$7:$A$306,"&lt;="&amp;Listas!$L$3)=0,"",COUNTIFS(Compras!$B$7:$B$306,$A66,Compras!$I$7:$I$306,"Sim",Compras!$A$7:$A$306,"&gt;="&amp;Listas!$L$2,Compras!$A$7:$A$306,"&lt;="&amp;Listas!$L$3)/(COUNTIFS(Compras!$B$7:$B$306,$A66,Compras!$I$7:$I$306,"Sim",Compras!$A$7:$A$306,"&gt;="&amp;Listas!$L$2,Compras!$A$7:$A$306,"&lt;="&amp;Listas!$L$3)+COUNTIFS(Compras!$B$7:$B$306,$A66,Compras!$I$7:$I$306,"Não",Compras!$A$7:$A$306,"&gt;="&amp;Listas!$L$2,Compras!$A$7:$A$306,"&lt;="&amp;Listas!$L$3)))</f>
        <v/>
      </c>
      <c r="W66" s="36">
        <f>IF(COUNT($N66:$P66)&lt;3,"",ROUND(($N66*0.35+$O66*0.35+$P66*0.3)*(1-IF($U66="",0,$U66)),2))</f>
        <v/>
      </c>
      <c r="X66" s="37">
        <f>IF($S66=0,"",SUMPRODUCT(MAX((Compras!$B$7:$B$306=$A66)*Compras!$A$7:$A$306)))</f>
        <v/>
      </c>
      <c r="Y66" s="30" t="n"/>
    </row>
    <row r="67" ht="22" customHeight="1">
      <c r="A67" s="38" t="inlineStr">
        <is>
          <t xml:space="preserve">   TOTAL DO PERÍODO</t>
        </is>
      </c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40">
        <f>SUM(Q7:Q66)</f>
        <v/>
      </c>
      <c r="R67" s="41">
        <f>IF($Q$67=0,"",1)</f>
        <v/>
      </c>
      <c r="S67" s="42">
        <f>SUM(S7:S66)</f>
        <v/>
      </c>
      <c r="T67" s="42">
        <f>SUM(T7:T66)</f>
        <v/>
      </c>
      <c r="U67" s="43">
        <f>IF($S$67=0,"",$T$67/$S$67)</f>
        <v/>
      </c>
      <c r="V67" s="39" t="n"/>
      <c r="W67" s="39" t="n"/>
      <c r="X67" s="39" t="n"/>
      <c r="Y67" s="39" t="n"/>
    </row>
    <row r="69">
      <c r="A69" s="44" t="inlineStr">
        <is>
          <t>COMO USAR ESTA ABA</t>
        </is>
      </c>
    </row>
    <row r="70">
      <c r="A70" s="45" t="inlineStr">
        <is>
          <t>1.  Células de fundo creme são de preenchimento manual. As de fundo cinza-azulado são calculadas — não editar.</t>
        </is>
      </c>
    </row>
    <row r="71">
      <c r="A71" s="45" t="inlineStr">
        <is>
          <t>2.  Preço, Atendimento e Qualidade são notas de 1 a 5 que você atribui. Todo o resto é medido a partir dos lançamentos.</t>
        </is>
      </c>
    </row>
    <row r="72">
      <c r="A72" s="45" t="inlineStr">
        <is>
          <t>3.  % de compra, índice de problemas, entregas no prazo e última compra saem das abas Compras e Ocorrências.</t>
        </is>
      </c>
    </row>
    <row r="73">
      <c r="A73" s="45" t="inlineStr">
        <is>
          <t>4.  O período de análise é controlado por duas datas na aba Listas — mude lá e o painel inteiro se recorta.</t>
        </is>
      </c>
    </row>
    <row r="74">
      <c r="A74" s="45" t="inlineStr">
        <is>
          <t>5.  Concentração acima de 40% num único fornecedor fica destacada em âmbar. Índice de problemas acima de 20%, em vermelho.</t>
        </is>
      </c>
    </row>
  </sheetData>
  <autoFilter ref="A6:Y66"/>
  <mergeCells count="11">
    <mergeCell ref="A70:H70"/>
    <mergeCell ref="A2:Y2"/>
    <mergeCell ref="A69:H69"/>
    <mergeCell ref="A73:H73"/>
    <mergeCell ref="A71:H71"/>
    <mergeCell ref="A67:P67"/>
    <mergeCell ref="A72:H72"/>
    <mergeCell ref="A1:Y1"/>
    <mergeCell ref="A4:Y4"/>
    <mergeCell ref="A3:Y3"/>
    <mergeCell ref="A74:H74"/>
  </mergeCells>
  <conditionalFormatting sqref="W7:W66">
    <cfRule type="colorScale" priority="1">
      <colorScale>
        <cfvo type="num" val="1"/>
        <cfvo type="num" val="3"/>
        <cfvo type="num" val="5"/>
        <color rgb="00F5C6C4"/>
        <color rgb="00FDF3D0"/>
        <color rgb="00CBE7D5"/>
      </colorScale>
    </cfRule>
  </conditionalFormatting>
  <conditionalFormatting sqref="U7:U66">
    <cfRule type="cellIs" priority="2" operator="greaterThanOrEqual" dxfId="0">
      <formula>0.2</formula>
    </cfRule>
  </conditionalFormatting>
  <conditionalFormatting sqref="R7:R66">
    <cfRule type="cellIs" priority="3" operator="greaterThanOrEqual" dxfId="1">
      <formula>0.4</formula>
    </cfRule>
  </conditionalFormatting>
  <dataValidations count="8">
    <dataValidation sqref="C7:C66" showDropDown="0" showInputMessage="0" showErrorMessage="0" allowBlank="1" type="list">
      <formula1>=Listas!$A$2:$A$14</formula1>
    </dataValidation>
    <dataValidation sqref="J7:J66" showDropDown="0" showInputMessage="0" showErrorMessage="0" allowBlank="1" type="list">
      <formula1>=Listas!$E$2:$E$6</formula1>
    </dataValidation>
    <dataValidation sqref="K7:K66" showDropDown="0" showInputMessage="0" showErrorMessage="0" allowBlank="1" type="list">
      <formula1>=Listas!$B$2:$B$9</formula1>
    </dataValidation>
    <dataValidation sqref="L7:L66" showDropDown="0" showInputMessage="0" showErrorMessage="0" allowBlank="1" type="list">
      <formula1>=Listas!$C$2:$C$10</formula1>
    </dataValidation>
    <dataValidation sqref="M7:M66" showDropDown="0" showInputMessage="0" showErrorMessage="0" allowBlank="1" type="list">
      <formula1>=Listas!$D$2:$D$7</formula1>
    </dataValidation>
    <dataValidation sqref="N7:N66" showDropDown="0" showInputMessage="0" showErrorMessage="0" allowBlank="1" type="list">
      <formula1>=Listas!$I$2:$I$6</formula1>
    </dataValidation>
    <dataValidation sqref="O7:O66" showDropDown="0" showInputMessage="0" showErrorMessage="0" allowBlank="1" type="list">
      <formula1>=Listas!$I$2:$I$6</formula1>
    </dataValidation>
    <dataValidation sqref="P7:P66" showDropDown="0" showInputMessage="0" showErrorMessage="0" allowBlank="1" type="list">
      <formula1>=Listas!$I$2:$I$6</formula1>
    </dataValidation>
  </dataValidations>
  <pageMargins left="0.45" right="0.35" top="0.4" bottom="0.35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0" customWidth="1" min="4" max="4"/>
    <col width="26" customWidth="1" min="5" max="5"/>
    <col width="15" customWidth="1" min="6" max="6"/>
    <col width="15" customWidth="1" min="7" max="7"/>
    <col width="15" customWidth="1" min="8" max="8"/>
    <col width="11" customWidth="1" min="9" max="9"/>
    <col width="22" customWidth="1" min="10" max="10"/>
    <col width="40" customWidth="1" min="11" max="11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COMPRAS</t>
        </is>
      </c>
    </row>
    <row r="4" ht="17" customHeight="1">
      <c r="A4" s="4" t="inlineStr">
        <is>
          <t>Uma linha por compra · é daqui que saem o volume, o percentual e a pontualidade de cada fornecedor</t>
        </is>
      </c>
    </row>
    <row r="6" ht="32" customHeight="1">
      <c r="A6" s="27" t="inlineStr">
        <is>
          <t>Data</t>
        </is>
      </c>
      <c r="B6" s="27" t="inlineStr">
        <is>
          <t>Cód. fornecedor</t>
        </is>
      </c>
      <c r="C6" s="27" t="inlineStr">
        <is>
          <t>Fornecedor</t>
        </is>
      </c>
      <c r="D6" s="27" t="inlineStr">
        <is>
          <t>Nota fiscal / pedido</t>
        </is>
      </c>
      <c r="E6" s="27" t="inlineStr">
        <is>
          <t>Projeto ou obra</t>
        </is>
      </c>
      <c r="F6" s="27" t="inlineStr">
        <is>
          <t>Valor</t>
        </is>
      </c>
      <c r="G6" s="27" t="inlineStr">
        <is>
          <t>Prazo prometido</t>
        </is>
      </c>
      <c r="H6" s="27" t="inlineStr">
        <is>
          <t>Data de entrega</t>
        </is>
      </c>
      <c r="I6" s="27" t="inlineStr">
        <is>
          <t>No prazo?</t>
        </is>
      </c>
      <c r="J6" s="27" t="inlineStr">
        <is>
          <t>Forma de pagamento</t>
        </is>
      </c>
      <c r="K6" s="27" t="inlineStr">
        <is>
          <t>Observações</t>
        </is>
      </c>
    </row>
    <row r="7" ht="20" customHeight="1">
      <c r="A7" s="46" t="n"/>
      <c r="B7" s="31" t="n"/>
      <c r="C7" s="47">
        <f>IFERROR(INDEX(Fornecedores!$B$7:$B$66,MATCH($B7,Fornecedores!$A$7:$A$66,0)),"")</f>
        <v/>
      </c>
      <c r="D7" s="30" t="n"/>
      <c r="E7" s="30" t="n"/>
      <c r="F7" s="48" t="n"/>
      <c r="G7" s="46" t="n"/>
      <c r="H7" s="46" t="n"/>
      <c r="I7" s="34">
        <f>IF(OR($G7="",$H7=""),"",IF($H7&lt;=$G7,"Sim","Não"))</f>
        <v/>
      </c>
      <c r="J7" s="30" t="n"/>
      <c r="K7" s="30" t="n"/>
    </row>
    <row r="8" ht="20" customHeight="1">
      <c r="A8" s="46" t="n"/>
      <c r="B8" s="31" t="n"/>
      <c r="C8" s="47">
        <f>IFERROR(INDEX(Fornecedores!$B$7:$B$66,MATCH($B8,Fornecedores!$A$7:$A$66,0)),"")</f>
        <v/>
      </c>
      <c r="D8" s="30" t="n"/>
      <c r="E8" s="30" t="n"/>
      <c r="F8" s="48" t="n"/>
      <c r="G8" s="46" t="n"/>
      <c r="H8" s="46" t="n"/>
      <c r="I8" s="34">
        <f>IF(OR($G8="",$H8=""),"",IF($H8&lt;=$G8,"Sim","Não"))</f>
        <v/>
      </c>
      <c r="J8" s="30" t="n"/>
      <c r="K8" s="30" t="n"/>
    </row>
    <row r="9" ht="20" customHeight="1">
      <c r="A9" s="46" t="n"/>
      <c r="B9" s="31" t="n"/>
      <c r="C9" s="47">
        <f>IFERROR(INDEX(Fornecedores!$B$7:$B$66,MATCH($B9,Fornecedores!$A$7:$A$66,0)),"")</f>
        <v/>
      </c>
      <c r="D9" s="30" t="n"/>
      <c r="E9" s="30" t="n"/>
      <c r="F9" s="48" t="n"/>
      <c r="G9" s="46" t="n"/>
      <c r="H9" s="46" t="n"/>
      <c r="I9" s="34">
        <f>IF(OR($G9="",$H9=""),"",IF($H9&lt;=$G9,"Sim","Não"))</f>
        <v/>
      </c>
      <c r="J9" s="30" t="n"/>
      <c r="K9" s="30" t="n"/>
    </row>
    <row r="10" ht="20" customHeight="1">
      <c r="A10" s="46" t="n"/>
      <c r="B10" s="31" t="n"/>
      <c r="C10" s="47">
        <f>IFERROR(INDEX(Fornecedores!$B$7:$B$66,MATCH($B10,Fornecedores!$A$7:$A$66,0)),"")</f>
        <v/>
      </c>
      <c r="D10" s="30" t="n"/>
      <c r="E10" s="30" t="n"/>
      <c r="F10" s="48" t="n"/>
      <c r="G10" s="46" t="n"/>
      <c r="H10" s="46" t="n"/>
      <c r="I10" s="34">
        <f>IF(OR($G10="",$H10=""),"",IF($H10&lt;=$G10,"Sim","Não"))</f>
        <v/>
      </c>
      <c r="J10" s="30" t="n"/>
      <c r="K10" s="30" t="n"/>
    </row>
    <row r="11" ht="20" customHeight="1">
      <c r="A11" s="46" t="n"/>
      <c r="B11" s="31" t="n"/>
      <c r="C11" s="47">
        <f>IFERROR(INDEX(Fornecedores!$B$7:$B$66,MATCH($B11,Fornecedores!$A$7:$A$66,0)),"")</f>
        <v/>
      </c>
      <c r="D11" s="30" t="n"/>
      <c r="E11" s="30" t="n"/>
      <c r="F11" s="48" t="n"/>
      <c r="G11" s="46" t="n"/>
      <c r="H11" s="46" t="n"/>
      <c r="I11" s="34">
        <f>IF(OR($G11="",$H11=""),"",IF($H11&lt;=$G11,"Sim","Não"))</f>
        <v/>
      </c>
      <c r="J11" s="30" t="n"/>
      <c r="K11" s="30" t="n"/>
    </row>
    <row r="12" ht="20" customHeight="1">
      <c r="A12" s="46" t="n"/>
      <c r="B12" s="31" t="n"/>
      <c r="C12" s="47">
        <f>IFERROR(INDEX(Fornecedores!$B$7:$B$66,MATCH($B12,Fornecedores!$A$7:$A$66,0)),"")</f>
        <v/>
      </c>
      <c r="D12" s="30" t="n"/>
      <c r="E12" s="30" t="n"/>
      <c r="F12" s="48" t="n"/>
      <c r="G12" s="46" t="n"/>
      <c r="H12" s="46" t="n"/>
      <c r="I12" s="34">
        <f>IF(OR($G12="",$H12=""),"",IF($H12&lt;=$G12,"Sim","Não"))</f>
        <v/>
      </c>
      <c r="J12" s="30" t="n"/>
      <c r="K12" s="30" t="n"/>
    </row>
    <row r="13" ht="20" customHeight="1">
      <c r="A13" s="46" t="n"/>
      <c r="B13" s="31" t="n"/>
      <c r="C13" s="47">
        <f>IFERROR(INDEX(Fornecedores!$B$7:$B$66,MATCH($B13,Fornecedores!$A$7:$A$66,0)),"")</f>
        <v/>
      </c>
      <c r="D13" s="30" t="n"/>
      <c r="E13" s="30" t="n"/>
      <c r="F13" s="48" t="n"/>
      <c r="G13" s="46" t="n"/>
      <c r="H13" s="46" t="n"/>
      <c r="I13" s="34">
        <f>IF(OR($G13="",$H13=""),"",IF($H13&lt;=$G13,"Sim","Não"))</f>
        <v/>
      </c>
      <c r="J13" s="30" t="n"/>
      <c r="K13" s="30" t="n"/>
    </row>
    <row r="14" ht="20" customHeight="1">
      <c r="A14" s="46" t="n"/>
      <c r="B14" s="31" t="n"/>
      <c r="C14" s="47">
        <f>IFERROR(INDEX(Fornecedores!$B$7:$B$66,MATCH($B14,Fornecedores!$A$7:$A$66,0)),"")</f>
        <v/>
      </c>
      <c r="D14" s="30" t="n"/>
      <c r="E14" s="30" t="n"/>
      <c r="F14" s="48" t="n"/>
      <c r="G14" s="46" t="n"/>
      <c r="H14" s="46" t="n"/>
      <c r="I14" s="34">
        <f>IF(OR($G14="",$H14=""),"",IF($H14&lt;=$G14,"Sim","Não"))</f>
        <v/>
      </c>
      <c r="J14" s="30" t="n"/>
      <c r="K14" s="30" t="n"/>
    </row>
    <row r="15" ht="20" customHeight="1">
      <c r="A15" s="46" t="n"/>
      <c r="B15" s="31" t="n"/>
      <c r="C15" s="47">
        <f>IFERROR(INDEX(Fornecedores!$B$7:$B$66,MATCH($B15,Fornecedores!$A$7:$A$66,0)),"")</f>
        <v/>
      </c>
      <c r="D15" s="30" t="n"/>
      <c r="E15" s="30" t="n"/>
      <c r="F15" s="48" t="n"/>
      <c r="G15" s="46" t="n"/>
      <c r="H15" s="46" t="n"/>
      <c r="I15" s="34">
        <f>IF(OR($G15="",$H15=""),"",IF($H15&lt;=$G15,"Sim","Não"))</f>
        <v/>
      </c>
      <c r="J15" s="30" t="n"/>
      <c r="K15" s="30" t="n"/>
    </row>
    <row r="16" ht="20" customHeight="1">
      <c r="A16" s="46" t="n"/>
      <c r="B16" s="31" t="n"/>
      <c r="C16" s="47">
        <f>IFERROR(INDEX(Fornecedores!$B$7:$B$66,MATCH($B16,Fornecedores!$A$7:$A$66,0)),"")</f>
        <v/>
      </c>
      <c r="D16" s="30" t="n"/>
      <c r="E16" s="30" t="n"/>
      <c r="F16" s="48" t="n"/>
      <c r="G16" s="46" t="n"/>
      <c r="H16" s="46" t="n"/>
      <c r="I16" s="34">
        <f>IF(OR($G16="",$H16=""),"",IF($H16&lt;=$G16,"Sim","Não"))</f>
        <v/>
      </c>
      <c r="J16" s="30" t="n"/>
      <c r="K16" s="30" t="n"/>
    </row>
    <row r="17" ht="20" customHeight="1">
      <c r="A17" s="46" t="n"/>
      <c r="B17" s="31" t="n"/>
      <c r="C17" s="47">
        <f>IFERROR(INDEX(Fornecedores!$B$7:$B$66,MATCH($B17,Fornecedores!$A$7:$A$66,0)),"")</f>
        <v/>
      </c>
      <c r="D17" s="30" t="n"/>
      <c r="E17" s="30" t="n"/>
      <c r="F17" s="48" t="n"/>
      <c r="G17" s="46" t="n"/>
      <c r="H17" s="46" t="n"/>
      <c r="I17" s="34">
        <f>IF(OR($G17="",$H17=""),"",IF($H17&lt;=$G17,"Sim","Não"))</f>
        <v/>
      </c>
      <c r="J17" s="30" t="n"/>
      <c r="K17" s="30" t="n"/>
    </row>
    <row r="18" ht="20" customHeight="1">
      <c r="A18" s="46" t="n"/>
      <c r="B18" s="31" t="n"/>
      <c r="C18" s="47">
        <f>IFERROR(INDEX(Fornecedores!$B$7:$B$66,MATCH($B18,Fornecedores!$A$7:$A$66,0)),"")</f>
        <v/>
      </c>
      <c r="D18" s="30" t="n"/>
      <c r="E18" s="30" t="n"/>
      <c r="F18" s="48" t="n"/>
      <c r="G18" s="46" t="n"/>
      <c r="H18" s="46" t="n"/>
      <c r="I18" s="34">
        <f>IF(OR($G18="",$H18=""),"",IF($H18&lt;=$G18,"Sim","Não"))</f>
        <v/>
      </c>
      <c r="J18" s="30" t="n"/>
      <c r="K18" s="30" t="n"/>
    </row>
    <row r="19" ht="20" customHeight="1">
      <c r="A19" s="46" t="n"/>
      <c r="B19" s="31" t="n"/>
      <c r="C19" s="47">
        <f>IFERROR(INDEX(Fornecedores!$B$7:$B$66,MATCH($B19,Fornecedores!$A$7:$A$66,0)),"")</f>
        <v/>
      </c>
      <c r="D19" s="30" t="n"/>
      <c r="E19" s="30" t="n"/>
      <c r="F19" s="48" t="n"/>
      <c r="G19" s="46" t="n"/>
      <c r="H19" s="46" t="n"/>
      <c r="I19" s="34">
        <f>IF(OR($G19="",$H19=""),"",IF($H19&lt;=$G19,"Sim","Não"))</f>
        <v/>
      </c>
      <c r="J19" s="30" t="n"/>
      <c r="K19" s="30" t="n"/>
    </row>
    <row r="20" ht="20" customHeight="1">
      <c r="A20" s="46" t="n"/>
      <c r="B20" s="31" t="n"/>
      <c r="C20" s="47">
        <f>IFERROR(INDEX(Fornecedores!$B$7:$B$66,MATCH($B20,Fornecedores!$A$7:$A$66,0)),"")</f>
        <v/>
      </c>
      <c r="D20" s="30" t="n"/>
      <c r="E20" s="30" t="n"/>
      <c r="F20" s="48" t="n"/>
      <c r="G20" s="46" t="n"/>
      <c r="H20" s="46" t="n"/>
      <c r="I20" s="34">
        <f>IF(OR($G20="",$H20=""),"",IF($H20&lt;=$G20,"Sim","Não"))</f>
        <v/>
      </c>
      <c r="J20" s="30" t="n"/>
      <c r="K20" s="30" t="n"/>
    </row>
    <row r="21" ht="20" customHeight="1">
      <c r="A21" s="46" t="n"/>
      <c r="B21" s="31" t="n"/>
      <c r="C21" s="47">
        <f>IFERROR(INDEX(Fornecedores!$B$7:$B$66,MATCH($B21,Fornecedores!$A$7:$A$66,0)),"")</f>
        <v/>
      </c>
      <c r="D21" s="30" t="n"/>
      <c r="E21" s="30" t="n"/>
      <c r="F21" s="48" t="n"/>
      <c r="G21" s="46" t="n"/>
      <c r="H21" s="46" t="n"/>
      <c r="I21" s="34">
        <f>IF(OR($G21="",$H21=""),"",IF($H21&lt;=$G21,"Sim","Não"))</f>
        <v/>
      </c>
      <c r="J21" s="30" t="n"/>
      <c r="K21" s="30" t="n"/>
    </row>
    <row r="22" ht="20" customHeight="1">
      <c r="A22" s="46" t="n"/>
      <c r="B22" s="31" t="n"/>
      <c r="C22" s="47">
        <f>IFERROR(INDEX(Fornecedores!$B$7:$B$66,MATCH($B22,Fornecedores!$A$7:$A$66,0)),"")</f>
        <v/>
      </c>
      <c r="D22" s="30" t="n"/>
      <c r="E22" s="30" t="n"/>
      <c r="F22" s="48" t="n"/>
      <c r="G22" s="46" t="n"/>
      <c r="H22" s="46" t="n"/>
      <c r="I22" s="34">
        <f>IF(OR($G22="",$H22=""),"",IF($H22&lt;=$G22,"Sim","Não"))</f>
        <v/>
      </c>
      <c r="J22" s="30" t="n"/>
      <c r="K22" s="30" t="n"/>
    </row>
    <row r="23" ht="20" customHeight="1">
      <c r="A23" s="46" t="n"/>
      <c r="B23" s="31" t="n"/>
      <c r="C23" s="47">
        <f>IFERROR(INDEX(Fornecedores!$B$7:$B$66,MATCH($B23,Fornecedores!$A$7:$A$66,0)),"")</f>
        <v/>
      </c>
      <c r="D23" s="30" t="n"/>
      <c r="E23" s="30" t="n"/>
      <c r="F23" s="48" t="n"/>
      <c r="G23" s="46" t="n"/>
      <c r="H23" s="46" t="n"/>
      <c r="I23" s="34">
        <f>IF(OR($G23="",$H23=""),"",IF($H23&lt;=$G23,"Sim","Não"))</f>
        <v/>
      </c>
      <c r="J23" s="30" t="n"/>
      <c r="K23" s="30" t="n"/>
    </row>
    <row r="24" ht="20" customHeight="1">
      <c r="A24" s="46" t="n"/>
      <c r="B24" s="31" t="n"/>
      <c r="C24" s="47">
        <f>IFERROR(INDEX(Fornecedores!$B$7:$B$66,MATCH($B24,Fornecedores!$A$7:$A$66,0)),"")</f>
        <v/>
      </c>
      <c r="D24" s="30" t="n"/>
      <c r="E24" s="30" t="n"/>
      <c r="F24" s="48" t="n"/>
      <c r="G24" s="46" t="n"/>
      <c r="H24" s="46" t="n"/>
      <c r="I24" s="34">
        <f>IF(OR($G24="",$H24=""),"",IF($H24&lt;=$G24,"Sim","Não"))</f>
        <v/>
      </c>
      <c r="J24" s="30" t="n"/>
      <c r="K24" s="30" t="n"/>
    </row>
    <row r="25" ht="20" customHeight="1">
      <c r="A25" s="46" t="n"/>
      <c r="B25" s="31" t="n"/>
      <c r="C25" s="47">
        <f>IFERROR(INDEX(Fornecedores!$B$7:$B$66,MATCH($B25,Fornecedores!$A$7:$A$66,0)),"")</f>
        <v/>
      </c>
      <c r="D25" s="30" t="n"/>
      <c r="E25" s="30" t="n"/>
      <c r="F25" s="48" t="n"/>
      <c r="G25" s="46" t="n"/>
      <c r="H25" s="46" t="n"/>
      <c r="I25" s="34">
        <f>IF(OR($G25="",$H25=""),"",IF($H25&lt;=$G25,"Sim","Não"))</f>
        <v/>
      </c>
      <c r="J25" s="30" t="n"/>
      <c r="K25" s="30" t="n"/>
    </row>
    <row r="26" ht="20" customHeight="1">
      <c r="A26" s="46" t="n"/>
      <c r="B26" s="31" t="n"/>
      <c r="C26" s="47">
        <f>IFERROR(INDEX(Fornecedores!$B$7:$B$66,MATCH($B26,Fornecedores!$A$7:$A$66,0)),"")</f>
        <v/>
      </c>
      <c r="D26" s="30" t="n"/>
      <c r="E26" s="30" t="n"/>
      <c r="F26" s="48" t="n"/>
      <c r="G26" s="46" t="n"/>
      <c r="H26" s="46" t="n"/>
      <c r="I26" s="34">
        <f>IF(OR($G26="",$H26=""),"",IF($H26&lt;=$G26,"Sim","Não"))</f>
        <v/>
      </c>
      <c r="J26" s="30" t="n"/>
      <c r="K26" s="30" t="n"/>
    </row>
    <row r="27" ht="20" customHeight="1">
      <c r="A27" s="46" t="n"/>
      <c r="B27" s="31" t="n"/>
      <c r="C27" s="47">
        <f>IFERROR(INDEX(Fornecedores!$B$7:$B$66,MATCH($B27,Fornecedores!$A$7:$A$66,0)),"")</f>
        <v/>
      </c>
      <c r="D27" s="30" t="n"/>
      <c r="E27" s="30" t="n"/>
      <c r="F27" s="48" t="n"/>
      <c r="G27" s="46" t="n"/>
      <c r="H27" s="46" t="n"/>
      <c r="I27" s="34">
        <f>IF(OR($G27="",$H27=""),"",IF($H27&lt;=$G27,"Sim","Não"))</f>
        <v/>
      </c>
      <c r="J27" s="30" t="n"/>
      <c r="K27" s="30" t="n"/>
    </row>
    <row r="28" ht="20" customHeight="1">
      <c r="A28" s="46" t="n"/>
      <c r="B28" s="31" t="n"/>
      <c r="C28" s="47">
        <f>IFERROR(INDEX(Fornecedores!$B$7:$B$66,MATCH($B28,Fornecedores!$A$7:$A$66,0)),"")</f>
        <v/>
      </c>
      <c r="D28" s="30" t="n"/>
      <c r="E28" s="30" t="n"/>
      <c r="F28" s="48" t="n"/>
      <c r="G28" s="46" t="n"/>
      <c r="H28" s="46" t="n"/>
      <c r="I28" s="34">
        <f>IF(OR($G28="",$H28=""),"",IF($H28&lt;=$G28,"Sim","Não"))</f>
        <v/>
      </c>
      <c r="J28" s="30" t="n"/>
      <c r="K28" s="30" t="n"/>
    </row>
    <row r="29" ht="20" customHeight="1">
      <c r="A29" s="46" t="n"/>
      <c r="B29" s="31" t="n"/>
      <c r="C29" s="47">
        <f>IFERROR(INDEX(Fornecedores!$B$7:$B$66,MATCH($B29,Fornecedores!$A$7:$A$66,0)),"")</f>
        <v/>
      </c>
      <c r="D29" s="30" t="n"/>
      <c r="E29" s="30" t="n"/>
      <c r="F29" s="48" t="n"/>
      <c r="G29" s="46" t="n"/>
      <c r="H29" s="46" t="n"/>
      <c r="I29" s="34">
        <f>IF(OR($G29="",$H29=""),"",IF($H29&lt;=$G29,"Sim","Não"))</f>
        <v/>
      </c>
      <c r="J29" s="30" t="n"/>
      <c r="K29" s="30" t="n"/>
    </row>
    <row r="30" ht="20" customHeight="1">
      <c r="A30" s="46" t="n"/>
      <c r="B30" s="31" t="n"/>
      <c r="C30" s="47">
        <f>IFERROR(INDEX(Fornecedores!$B$7:$B$66,MATCH($B30,Fornecedores!$A$7:$A$66,0)),"")</f>
        <v/>
      </c>
      <c r="D30" s="30" t="n"/>
      <c r="E30" s="30" t="n"/>
      <c r="F30" s="48" t="n"/>
      <c r="G30" s="46" t="n"/>
      <c r="H30" s="46" t="n"/>
      <c r="I30" s="34">
        <f>IF(OR($G30="",$H30=""),"",IF($H30&lt;=$G30,"Sim","Não"))</f>
        <v/>
      </c>
      <c r="J30" s="30" t="n"/>
      <c r="K30" s="30" t="n"/>
    </row>
    <row r="31" ht="20" customHeight="1">
      <c r="A31" s="46" t="n"/>
      <c r="B31" s="31" t="n"/>
      <c r="C31" s="47">
        <f>IFERROR(INDEX(Fornecedores!$B$7:$B$66,MATCH($B31,Fornecedores!$A$7:$A$66,0)),"")</f>
        <v/>
      </c>
      <c r="D31" s="30" t="n"/>
      <c r="E31" s="30" t="n"/>
      <c r="F31" s="48" t="n"/>
      <c r="G31" s="46" t="n"/>
      <c r="H31" s="46" t="n"/>
      <c r="I31" s="34">
        <f>IF(OR($G31="",$H31=""),"",IF($H31&lt;=$G31,"Sim","Não"))</f>
        <v/>
      </c>
      <c r="J31" s="30" t="n"/>
      <c r="K31" s="30" t="n"/>
    </row>
    <row r="32" ht="20" customHeight="1">
      <c r="A32" s="46" t="n"/>
      <c r="B32" s="31" t="n"/>
      <c r="C32" s="47">
        <f>IFERROR(INDEX(Fornecedores!$B$7:$B$66,MATCH($B32,Fornecedores!$A$7:$A$66,0)),"")</f>
        <v/>
      </c>
      <c r="D32" s="30" t="n"/>
      <c r="E32" s="30" t="n"/>
      <c r="F32" s="48" t="n"/>
      <c r="G32" s="46" t="n"/>
      <c r="H32" s="46" t="n"/>
      <c r="I32" s="34">
        <f>IF(OR($G32="",$H32=""),"",IF($H32&lt;=$G32,"Sim","Não"))</f>
        <v/>
      </c>
      <c r="J32" s="30" t="n"/>
      <c r="K32" s="30" t="n"/>
    </row>
    <row r="33" ht="20" customHeight="1">
      <c r="A33" s="46" t="n"/>
      <c r="B33" s="31" t="n"/>
      <c r="C33" s="47">
        <f>IFERROR(INDEX(Fornecedores!$B$7:$B$66,MATCH($B33,Fornecedores!$A$7:$A$66,0)),"")</f>
        <v/>
      </c>
      <c r="D33" s="30" t="n"/>
      <c r="E33" s="30" t="n"/>
      <c r="F33" s="48" t="n"/>
      <c r="G33" s="46" t="n"/>
      <c r="H33" s="46" t="n"/>
      <c r="I33" s="34">
        <f>IF(OR($G33="",$H33=""),"",IF($H33&lt;=$G33,"Sim","Não"))</f>
        <v/>
      </c>
      <c r="J33" s="30" t="n"/>
      <c r="K33" s="30" t="n"/>
    </row>
    <row r="34" ht="20" customHeight="1">
      <c r="A34" s="46" t="n"/>
      <c r="B34" s="31" t="n"/>
      <c r="C34" s="47">
        <f>IFERROR(INDEX(Fornecedores!$B$7:$B$66,MATCH($B34,Fornecedores!$A$7:$A$66,0)),"")</f>
        <v/>
      </c>
      <c r="D34" s="30" t="n"/>
      <c r="E34" s="30" t="n"/>
      <c r="F34" s="48" t="n"/>
      <c r="G34" s="46" t="n"/>
      <c r="H34" s="46" t="n"/>
      <c r="I34" s="34">
        <f>IF(OR($G34="",$H34=""),"",IF($H34&lt;=$G34,"Sim","Não"))</f>
        <v/>
      </c>
      <c r="J34" s="30" t="n"/>
      <c r="K34" s="30" t="n"/>
    </row>
    <row r="35" ht="20" customHeight="1">
      <c r="A35" s="46" t="n"/>
      <c r="B35" s="31" t="n"/>
      <c r="C35" s="47">
        <f>IFERROR(INDEX(Fornecedores!$B$7:$B$66,MATCH($B35,Fornecedores!$A$7:$A$66,0)),"")</f>
        <v/>
      </c>
      <c r="D35" s="30" t="n"/>
      <c r="E35" s="30" t="n"/>
      <c r="F35" s="48" t="n"/>
      <c r="G35" s="46" t="n"/>
      <c r="H35" s="46" t="n"/>
      <c r="I35" s="34">
        <f>IF(OR($G35="",$H35=""),"",IF($H35&lt;=$G35,"Sim","Não"))</f>
        <v/>
      </c>
      <c r="J35" s="30" t="n"/>
      <c r="K35" s="30" t="n"/>
    </row>
    <row r="36" ht="20" customHeight="1">
      <c r="A36" s="46" t="n"/>
      <c r="B36" s="31" t="n"/>
      <c r="C36" s="47">
        <f>IFERROR(INDEX(Fornecedores!$B$7:$B$66,MATCH($B36,Fornecedores!$A$7:$A$66,0)),"")</f>
        <v/>
      </c>
      <c r="D36" s="30" t="n"/>
      <c r="E36" s="30" t="n"/>
      <c r="F36" s="48" t="n"/>
      <c r="G36" s="46" t="n"/>
      <c r="H36" s="46" t="n"/>
      <c r="I36" s="34">
        <f>IF(OR($G36="",$H36=""),"",IF($H36&lt;=$G36,"Sim","Não"))</f>
        <v/>
      </c>
      <c r="J36" s="30" t="n"/>
      <c r="K36" s="30" t="n"/>
    </row>
    <row r="37" ht="20" customHeight="1">
      <c r="A37" s="46" t="n"/>
      <c r="B37" s="31" t="n"/>
      <c r="C37" s="47">
        <f>IFERROR(INDEX(Fornecedores!$B$7:$B$66,MATCH($B37,Fornecedores!$A$7:$A$66,0)),"")</f>
        <v/>
      </c>
      <c r="D37" s="30" t="n"/>
      <c r="E37" s="30" t="n"/>
      <c r="F37" s="48" t="n"/>
      <c r="G37" s="46" t="n"/>
      <c r="H37" s="46" t="n"/>
      <c r="I37" s="34">
        <f>IF(OR($G37="",$H37=""),"",IF($H37&lt;=$G37,"Sim","Não"))</f>
        <v/>
      </c>
      <c r="J37" s="30" t="n"/>
      <c r="K37" s="30" t="n"/>
    </row>
    <row r="38" ht="20" customHeight="1">
      <c r="A38" s="46" t="n"/>
      <c r="B38" s="31" t="n"/>
      <c r="C38" s="47">
        <f>IFERROR(INDEX(Fornecedores!$B$7:$B$66,MATCH($B38,Fornecedores!$A$7:$A$66,0)),"")</f>
        <v/>
      </c>
      <c r="D38" s="30" t="n"/>
      <c r="E38" s="30" t="n"/>
      <c r="F38" s="48" t="n"/>
      <c r="G38" s="46" t="n"/>
      <c r="H38" s="46" t="n"/>
      <c r="I38" s="34">
        <f>IF(OR($G38="",$H38=""),"",IF($H38&lt;=$G38,"Sim","Não"))</f>
        <v/>
      </c>
      <c r="J38" s="30" t="n"/>
      <c r="K38" s="30" t="n"/>
    </row>
    <row r="39" ht="20" customHeight="1">
      <c r="A39" s="46" t="n"/>
      <c r="B39" s="31" t="n"/>
      <c r="C39" s="47">
        <f>IFERROR(INDEX(Fornecedores!$B$7:$B$66,MATCH($B39,Fornecedores!$A$7:$A$66,0)),"")</f>
        <v/>
      </c>
      <c r="D39" s="30" t="n"/>
      <c r="E39" s="30" t="n"/>
      <c r="F39" s="48" t="n"/>
      <c r="G39" s="46" t="n"/>
      <c r="H39" s="46" t="n"/>
      <c r="I39" s="34">
        <f>IF(OR($G39="",$H39=""),"",IF($H39&lt;=$G39,"Sim","Não"))</f>
        <v/>
      </c>
      <c r="J39" s="30" t="n"/>
      <c r="K39" s="30" t="n"/>
    </row>
    <row r="40" ht="20" customHeight="1">
      <c r="A40" s="46" t="n"/>
      <c r="B40" s="31" t="n"/>
      <c r="C40" s="47">
        <f>IFERROR(INDEX(Fornecedores!$B$7:$B$66,MATCH($B40,Fornecedores!$A$7:$A$66,0)),"")</f>
        <v/>
      </c>
      <c r="D40" s="30" t="n"/>
      <c r="E40" s="30" t="n"/>
      <c r="F40" s="48" t="n"/>
      <c r="G40" s="46" t="n"/>
      <c r="H40" s="46" t="n"/>
      <c r="I40" s="34">
        <f>IF(OR($G40="",$H40=""),"",IF($H40&lt;=$G40,"Sim","Não"))</f>
        <v/>
      </c>
      <c r="J40" s="30" t="n"/>
      <c r="K40" s="30" t="n"/>
    </row>
    <row r="41" ht="20" customHeight="1">
      <c r="A41" s="46" t="n"/>
      <c r="B41" s="31" t="n"/>
      <c r="C41" s="47">
        <f>IFERROR(INDEX(Fornecedores!$B$7:$B$66,MATCH($B41,Fornecedores!$A$7:$A$66,0)),"")</f>
        <v/>
      </c>
      <c r="D41" s="30" t="n"/>
      <c r="E41" s="30" t="n"/>
      <c r="F41" s="48" t="n"/>
      <c r="G41" s="46" t="n"/>
      <c r="H41" s="46" t="n"/>
      <c r="I41" s="34">
        <f>IF(OR($G41="",$H41=""),"",IF($H41&lt;=$G41,"Sim","Não"))</f>
        <v/>
      </c>
      <c r="J41" s="30" t="n"/>
      <c r="K41" s="30" t="n"/>
    </row>
    <row r="42" ht="20" customHeight="1">
      <c r="A42" s="46" t="n"/>
      <c r="B42" s="31" t="n"/>
      <c r="C42" s="47">
        <f>IFERROR(INDEX(Fornecedores!$B$7:$B$66,MATCH($B42,Fornecedores!$A$7:$A$66,0)),"")</f>
        <v/>
      </c>
      <c r="D42" s="30" t="n"/>
      <c r="E42" s="30" t="n"/>
      <c r="F42" s="48" t="n"/>
      <c r="G42" s="46" t="n"/>
      <c r="H42" s="46" t="n"/>
      <c r="I42" s="34">
        <f>IF(OR($G42="",$H42=""),"",IF($H42&lt;=$G42,"Sim","Não"))</f>
        <v/>
      </c>
      <c r="J42" s="30" t="n"/>
      <c r="K42" s="30" t="n"/>
    </row>
    <row r="43" ht="20" customHeight="1">
      <c r="A43" s="46" t="n"/>
      <c r="B43" s="31" t="n"/>
      <c r="C43" s="47">
        <f>IFERROR(INDEX(Fornecedores!$B$7:$B$66,MATCH($B43,Fornecedores!$A$7:$A$66,0)),"")</f>
        <v/>
      </c>
      <c r="D43" s="30" t="n"/>
      <c r="E43" s="30" t="n"/>
      <c r="F43" s="48" t="n"/>
      <c r="G43" s="46" t="n"/>
      <c r="H43" s="46" t="n"/>
      <c r="I43" s="34">
        <f>IF(OR($G43="",$H43=""),"",IF($H43&lt;=$G43,"Sim","Não"))</f>
        <v/>
      </c>
      <c r="J43" s="30" t="n"/>
      <c r="K43" s="30" t="n"/>
    </row>
    <row r="44" ht="20" customHeight="1">
      <c r="A44" s="46" t="n"/>
      <c r="B44" s="31" t="n"/>
      <c r="C44" s="47">
        <f>IFERROR(INDEX(Fornecedores!$B$7:$B$66,MATCH($B44,Fornecedores!$A$7:$A$66,0)),"")</f>
        <v/>
      </c>
      <c r="D44" s="30" t="n"/>
      <c r="E44" s="30" t="n"/>
      <c r="F44" s="48" t="n"/>
      <c r="G44" s="46" t="n"/>
      <c r="H44" s="46" t="n"/>
      <c r="I44" s="34">
        <f>IF(OR($G44="",$H44=""),"",IF($H44&lt;=$G44,"Sim","Não"))</f>
        <v/>
      </c>
      <c r="J44" s="30" t="n"/>
      <c r="K44" s="30" t="n"/>
    </row>
    <row r="45" ht="20" customHeight="1">
      <c r="A45" s="46" t="n"/>
      <c r="B45" s="31" t="n"/>
      <c r="C45" s="47">
        <f>IFERROR(INDEX(Fornecedores!$B$7:$B$66,MATCH($B45,Fornecedores!$A$7:$A$66,0)),"")</f>
        <v/>
      </c>
      <c r="D45" s="30" t="n"/>
      <c r="E45" s="30" t="n"/>
      <c r="F45" s="48" t="n"/>
      <c r="G45" s="46" t="n"/>
      <c r="H45" s="46" t="n"/>
      <c r="I45" s="34">
        <f>IF(OR($G45="",$H45=""),"",IF($H45&lt;=$G45,"Sim","Não"))</f>
        <v/>
      </c>
      <c r="J45" s="30" t="n"/>
      <c r="K45" s="30" t="n"/>
    </row>
    <row r="46" ht="20" customHeight="1">
      <c r="A46" s="46" t="n"/>
      <c r="B46" s="31" t="n"/>
      <c r="C46" s="47">
        <f>IFERROR(INDEX(Fornecedores!$B$7:$B$66,MATCH($B46,Fornecedores!$A$7:$A$66,0)),"")</f>
        <v/>
      </c>
      <c r="D46" s="30" t="n"/>
      <c r="E46" s="30" t="n"/>
      <c r="F46" s="48" t="n"/>
      <c r="G46" s="46" t="n"/>
      <c r="H46" s="46" t="n"/>
      <c r="I46" s="34">
        <f>IF(OR($G46="",$H46=""),"",IF($H46&lt;=$G46,"Sim","Não"))</f>
        <v/>
      </c>
      <c r="J46" s="30" t="n"/>
      <c r="K46" s="30" t="n"/>
    </row>
    <row r="47" ht="20" customHeight="1">
      <c r="A47" s="46" t="n"/>
      <c r="B47" s="31" t="n"/>
      <c r="C47" s="47">
        <f>IFERROR(INDEX(Fornecedores!$B$7:$B$66,MATCH($B47,Fornecedores!$A$7:$A$66,0)),"")</f>
        <v/>
      </c>
      <c r="D47" s="30" t="n"/>
      <c r="E47" s="30" t="n"/>
      <c r="F47" s="48" t="n"/>
      <c r="G47" s="46" t="n"/>
      <c r="H47" s="46" t="n"/>
      <c r="I47" s="34">
        <f>IF(OR($G47="",$H47=""),"",IF($H47&lt;=$G47,"Sim","Não"))</f>
        <v/>
      </c>
      <c r="J47" s="30" t="n"/>
      <c r="K47" s="30" t="n"/>
    </row>
    <row r="48" ht="20" customHeight="1">
      <c r="A48" s="46" t="n"/>
      <c r="B48" s="31" t="n"/>
      <c r="C48" s="47">
        <f>IFERROR(INDEX(Fornecedores!$B$7:$B$66,MATCH($B48,Fornecedores!$A$7:$A$66,0)),"")</f>
        <v/>
      </c>
      <c r="D48" s="30" t="n"/>
      <c r="E48" s="30" t="n"/>
      <c r="F48" s="48" t="n"/>
      <c r="G48" s="46" t="n"/>
      <c r="H48" s="46" t="n"/>
      <c r="I48" s="34">
        <f>IF(OR($G48="",$H48=""),"",IF($H48&lt;=$G48,"Sim","Não"))</f>
        <v/>
      </c>
      <c r="J48" s="30" t="n"/>
      <c r="K48" s="30" t="n"/>
    </row>
    <row r="49" ht="20" customHeight="1">
      <c r="A49" s="46" t="n"/>
      <c r="B49" s="31" t="n"/>
      <c r="C49" s="47">
        <f>IFERROR(INDEX(Fornecedores!$B$7:$B$66,MATCH($B49,Fornecedores!$A$7:$A$66,0)),"")</f>
        <v/>
      </c>
      <c r="D49" s="30" t="n"/>
      <c r="E49" s="30" t="n"/>
      <c r="F49" s="48" t="n"/>
      <c r="G49" s="46" t="n"/>
      <c r="H49" s="46" t="n"/>
      <c r="I49" s="34">
        <f>IF(OR($G49="",$H49=""),"",IF($H49&lt;=$G49,"Sim","Não"))</f>
        <v/>
      </c>
      <c r="J49" s="30" t="n"/>
      <c r="K49" s="30" t="n"/>
    </row>
    <row r="50" ht="20" customHeight="1">
      <c r="A50" s="46" t="n"/>
      <c r="B50" s="31" t="n"/>
      <c r="C50" s="47">
        <f>IFERROR(INDEX(Fornecedores!$B$7:$B$66,MATCH($B50,Fornecedores!$A$7:$A$66,0)),"")</f>
        <v/>
      </c>
      <c r="D50" s="30" t="n"/>
      <c r="E50" s="30" t="n"/>
      <c r="F50" s="48" t="n"/>
      <c r="G50" s="46" t="n"/>
      <c r="H50" s="46" t="n"/>
      <c r="I50" s="34">
        <f>IF(OR($G50="",$H50=""),"",IF($H50&lt;=$G50,"Sim","Não"))</f>
        <v/>
      </c>
      <c r="J50" s="30" t="n"/>
      <c r="K50" s="30" t="n"/>
    </row>
    <row r="51" ht="20" customHeight="1">
      <c r="A51" s="46" t="n"/>
      <c r="B51" s="31" t="n"/>
      <c r="C51" s="47">
        <f>IFERROR(INDEX(Fornecedores!$B$7:$B$66,MATCH($B51,Fornecedores!$A$7:$A$66,0)),"")</f>
        <v/>
      </c>
      <c r="D51" s="30" t="n"/>
      <c r="E51" s="30" t="n"/>
      <c r="F51" s="48" t="n"/>
      <c r="G51" s="46" t="n"/>
      <c r="H51" s="46" t="n"/>
      <c r="I51" s="34">
        <f>IF(OR($G51="",$H51=""),"",IF($H51&lt;=$G51,"Sim","Não"))</f>
        <v/>
      </c>
      <c r="J51" s="30" t="n"/>
      <c r="K51" s="30" t="n"/>
    </row>
    <row r="52" ht="20" customHeight="1">
      <c r="A52" s="46" t="n"/>
      <c r="B52" s="31" t="n"/>
      <c r="C52" s="47">
        <f>IFERROR(INDEX(Fornecedores!$B$7:$B$66,MATCH($B52,Fornecedores!$A$7:$A$66,0)),"")</f>
        <v/>
      </c>
      <c r="D52" s="30" t="n"/>
      <c r="E52" s="30" t="n"/>
      <c r="F52" s="48" t="n"/>
      <c r="G52" s="46" t="n"/>
      <c r="H52" s="46" t="n"/>
      <c r="I52" s="34">
        <f>IF(OR($G52="",$H52=""),"",IF($H52&lt;=$G52,"Sim","Não"))</f>
        <v/>
      </c>
      <c r="J52" s="30" t="n"/>
      <c r="K52" s="30" t="n"/>
    </row>
    <row r="53" ht="20" customHeight="1">
      <c r="A53" s="46" t="n"/>
      <c r="B53" s="31" t="n"/>
      <c r="C53" s="47">
        <f>IFERROR(INDEX(Fornecedores!$B$7:$B$66,MATCH($B53,Fornecedores!$A$7:$A$66,0)),"")</f>
        <v/>
      </c>
      <c r="D53" s="30" t="n"/>
      <c r="E53" s="30" t="n"/>
      <c r="F53" s="48" t="n"/>
      <c r="G53" s="46" t="n"/>
      <c r="H53" s="46" t="n"/>
      <c r="I53" s="34">
        <f>IF(OR($G53="",$H53=""),"",IF($H53&lt;=$G53,"Sim","Não"))</f>
        <v/>
      </c>
      <c r="J53" s="30" t="n"/>
      <c r="K53" s="30" t="n"/>
    </row>
    <row r="54" ht="20" customHeight="1">
      <c r="A54" s="46" t="n"/>
      <c r="B54" s="31" t="n"/>
      <c r="C54" s="47">
        <f>IFERROR(INDEX(Fornecedores!$B$7:$B$66,MATCH($B54,Fornecedores!$A$7:$A$66,0)),"")</f>
        <v/>
      </c>
      <c r="D54" s="30" t="n"/>
      <c r="E54" s="30" t="n"/>
      <c r="F54" s="48" t="n"/>
      <c r="G54" s="46" t="n"/>
      <c r="H54" s="46" t="n"/>
      <c r="I54" s="34">
        <f>IF(OR($G54="",$H54=""),"",IF($H54&lt;=$G54,"Sim","Não"))</f>
        <v/>
      </c>
      <c r="J54" s="30" t="n"/>
      <c r="K54" s="30" t="n"/>
    </row>
    <row r="55" ht="20" customHeight="1">
      <c r="A55" s="46" t="n"/>
      <c r="B55" s="31" t="n"/>
      <c r="C55" s="47">
        <f>IFERROR(INDEX(Fornecedores!$B$7:$B$66,MATCH($B55,Fornecedores!$A$7:$A$66,0)),"")</f>
        <v/>
      </c>
      <c r="D55" s="30" t="n"/>
      <c r="E55" s="30" t="n"/>
      <c r="F55" s="48" t="n"/>
      <c r="G55" s="46" t="n"/>
      <c r="H55" s="46" t="n"/>
      <c r="I55" s="34">
        <f>IF(OR($G55="",$H55=""),"",IF($H55&lt;=$G55,"Sim","Não"))</f>
        <v/>
      </c>
      <c r="J55" s="30" t="n"/>
      <c r="K55" s="30" t="n"/>
    </row>
    <row r="56" ht="20" customHeight="1">
      <c r="A56" s="46" t="n"/>
      <c r="B56" s="31" t="n"/>
      <c r="C56" s="47">
        <f>IFERROR(INDEX(Fornecedores!$B$7:$B$66,MATCH($B56,Fornecedores!$A$7:$A$66,0)),"")</f>
        <v/>
      </c>
      <c r="D56" s="30" t="n"/>
      <c r="E56" s="30" t="n"/>
      <c r="F56" s="48" t="n"/>
      <c r="G56" s="46" t="n"/>
      <c r="H56" s="46" t="n"/>
      <c r="I56" s="34">
        <f>IF(OR($G56="",$H56=""),"",IF($H56&lt;=$G56,"Sim","Não"))</f>
        <v/>
      </c>
      <c r="J56" s="30" t="n"/>
      <c r="K56" s="30" t="n"/>
    </row>
    <row r="57" ht="20" customHeight="1">
      <c r="A57" s="46" t="n"/>
      <c r="B57" s="31" t="n"/>
      <c r="C57" s="47">
        <f>IFERROR(INDEX(Fornecedores!$B$7:$B$66,MATCH($B57,Fornecedores!$A$7:$A$66,0)),"")</f>
        <v/>
      </c>
      <c r="D57" s="30" t="n"/>
      <c r="E57" s="30" t="n"/>
      <c r="F57" s="48" t="n"/>
      <c r="G57" s="46" t="n"/>
      <c r="H57" s="46" t="n"/>
      <c r="I57" s="34">
        <f>IF(OR($G57="",$H57=""),"",IF($H57&lt;=$G57,"Sim","Não"))</f>
        <v/>
      </c>
      <c r="J57" s="30" t="n"/>
      <c r="K57" s="30" t="n"/>
    </row>
    <row r="58" ht="20" customHeight="1">
      <c r="A58" s="46" t="n"/>
      <c r="B58" s="31" t="n"/>
      <c r="C58" s="47">
        <f>IFERROR(INDEX(Fornecedores!$B$7:$B$66,MATCH($B58,Fornecedores!$A$7:$A$66,0)),"")</f>
        <v/>
      </c>
      <c r="D58" s="30" t="n"/>
      <c r="E58" s="30" t="n"/>
      <c r="F58" s="48" t="n"/>
      <c r="G58" s="46" t="n"/>
      <c r="H58" s="46" t="n"/>
      <c r="I58" s="34">
        <f>IF(OR($G58="",$H58=""),"",IF($H58&lt;=$G58,"Sim","Não"))</f>
        <v/>
      </c>
      <c r="J58" s="30" t="n"/>
      <c r="K58" s="30" t="n"/>
    </row>
    <row r="59" ht="20" customHeight="1">
      <c r="A59" s="46" t="n"/>
      <c r="B59" s="31" t="n"/>
      <c r="C59" s="47">
        <f>IFERROR(INDEX(Fornecedores!$B$7:$B$66,MATCH($B59,Fornecedores!$A$7:$A$66,0)),"")</f>
        <v/>
      </c>
      <c r="D59" s="30" t="n"/>
      <c r="E59" s="30" t="n"/>
      <c r="F59" s="48" t="n"/>
      <c r="G59" s="46" t="n"/>
      <c r="H59" s="46" t="n"/>
      <c r="I59" s="34">
        <f>IF(OR($G59="",$H59=""),"",IF($H59&lt;=$G59,"Sim","Não"))</f>
        <v/>
      </c>
      <c r="J59" s="30" t="n"/>
      <c r="K59" s="30" t="n"/>
    </row>
    <row r="60" ht="20" customHeight="1">
      <c r="A60" s="46" t="n"/>
      <c r="B60" s="31" t="n"/>
      <c r="C60" s="47">
        <f>IFERROR(INDEX(Fornecedores!$B$7:$B$66,MATCH($B60,Fornecedores!$A$7:$A$66,0)),"")</f>
        <v/>
      </c>
      <c r="D60" s="30" t="n"/>
      <c r="E60" s="30" t="n"/>
      <c r="F60" s="48" t="n"/>
      <c r="G60" s="46" t="n"/>
      <c r="H60" s="46" t="n"/>
      <c r="I60" s="34">
        <f>IF(OR($G60="",$H60=""),"",IF($H60&lt;=$G60,"Sim","Não"))</f>
        <v/>
      </c>
      <c r="J60" s="30" t="n"/>
      <c r="K60" s="30" t="n"/>
    </row>
    <row r="61" ht="20" customHeight="1">
      <c r="A61" s="46" t="n"/>
      <c r="B61" s="31" t="n"/>
      <c r="C61" s="47">
        <f>IFERROR(INDEX(Fornecedores!$B$7:$B$66,MATCH($B61,Fornecedores!$A$7:$A$66,0)),"")</f>
        <v/>
      </c>
      <c r="D61" s="30" t="n"/>
      <c r="E61" s="30" t="n"/>
      <c r="F61" s="48" t="n"/>
      <c r="G61" s="46" t="n"/>
      <c r="H61" s="46" t="n"/>
      <c r="I61" s="34">
        <f>IF(OR($G61="",$H61=""),"",IF($H61&lt;=$G61,"Sim","Não"))</f>
        <v/>
      </c>
      <c r="J61" s="30" t="n"/>
      <c r="K61" s="30" t="n"/>
    </row>
    <row r="62" ht="20" customHeight="1">
      <c r="A62" s="46" t="n"/>
      <c r="B62" s="31" t="n"/>
      <c r="C62" s="47">
        <f>IFERROR(INDEX(Fornecedores!$B$7:$B$66,MATCH($B62,Fornecedores!$A$7:$A$66,0)),"")</f>
        <v/>
      </c>
      <c r="D62" s="30" t="n"/>
      <c r="E62" s="30" t="n"/>
      <c r="F62" s="48" t="n"/>
      <c r="G62" s="46" t="n"/>
      <c r="H62" s="46" t="n"/>
      <c r="I62" s="34">
        <f>IF(OR($G62="",$H62=""),"",IF($H62&lt;=$G62,"Sim","Não"))</f>
        <v/>
      </c>
      <c r="J62" s="30" t="n"/>
      <c r="K62" s="30" t="n"/>
    </row>
    <row r="63" ht="20" customHeight="1">
      <c r="A63" s="46" t="n"/>
      <c r="B63" s="31" t="n"/>
      <c r="C63" s="47">
        <f>IFERROR(INDEX(Fornecedores!$B$7:$B$66,MATCH($B63,Fornecedores!$A$7:$A$66,0)),"")</f>
        <v/>
      </c>
      <c r="D63" s="30" t="n"/>
      <c r="E63" s="30" t="n"/>
      <c r="F63" s="48" t="n"/>
      <c r="G63" s="46" t="n"/>
      <c r="H63" s="46" t="n"/>
      <c r="I63" s="34">
        <f>IF(OR($G63="",$H63=""),"",IF($H63&lt;=$G63,"Sim","Não"))</f>
        <v/>
      </c>
      <c r="J63" s="30" t="n"/>
      <c r="K63" s="30" t="n"/>
    </row>
    <row r="64" ht="20" customHeight="1">
      <c r="A64" s="46" t="n"/>
      <c r="B64" s="31" t="n"/>
      <c r="C64" s="47">
        <f>IFERROR(INDEX(Fornecedores!$B$7:$B$66,MATCH($B64,Fornecedores!$A$7:$A$66,0)),"")</f>
        <v/>
      </c>
      <c r="D64" s="30" t="n"/>
      <c r="E64" s="30" t="n"/>
      <c r="F64" s="48" t="n"/>
      <c r="G64" s="46" t="n"/>
      <c r="H64" s="46" t="n"/>
      <c r="I64" s="34">
        <f>IF(OR($G64="",$H64=""),"",IF($H64&lt;=$G64,"Sim","Não"))</f>
        <v/>
      </c>
      <c r="J64" s="30" t="n"/>
      <c r="K64" s="30" t="n"/>
    </row>
    <row r="65" ht="20" customHeight="1">
      <c r="A65" s="46" t="n"/>
      <c r="B65" s="31" t="n"/>
      <c r="C65" s="47">
        <f>IFERROR(INDEX(Fornecedores!$B$7:$B$66,MATCH($B65,Fornecedores!$A$7:$A$66,0)),"")</f>
        <v/>
      </c>
      <c r="D65" s="30" t="n"/>
      <c r="E65" s="30" t="n"/>
      <c r="F65" s="48" t="n"/>
      <c r="G65" s="46" t="n"/>
      <c r="H65" s="46" t="n"/>
      <c r="I65" s="34">
        <f>IF(OR($G65="",$H65=""),"",IF($H65&lt;=$G65,"Sim","Não"))</f>
        <v/>
      </c>
      <c r="J65" s="30" t="n"/>
      <c r="K65" s="30" t="n"/>
    </row>
    <row r="66" ht="20" customHeight="1">
      <c r="A66" s="46" t="n"/>
      <c r="B66" s="31" t="n"/>
      <c r="C66" s="47">
        <f>IFERROR(INDEX(Fornecedores!$B$7:$B$66,MATCH($B66,Fornecedores!$A$7:$A$66,0)),"")</f>
        <v/>
      </c>
      <c r="D66" s="30" t="n"/>
      <c r="E66" s="30" t="n"/>
      <c r="F66" s="48" t="n"/>
      <c r="G66" s="46" t="n"/>
      <c r="H66" s="46" t="n"/>
      <c r="I66" s="34">
        <f>IF(OR($G66="",$H66=""),"",IF($H66&lt;=$G66,"Sim","Não"))</f>
        <v/>
      </c>
      <c r="J66" s="30" t="n"/>
      <c r="K66" s="30" t="n"/>
    </row>
    <row r="67" ht="20" customHeight="1">
      <c r="A67" s="46" t="n"/>
      <c r="B67" s="31" t="n"/>
      <c r="C67" s="47">
        <f>IFERROR(INDEX(Fornecedores!$B$7:$B$66,MATCH($B67,Fornecedores!$A$7:$A$66,0)),"")</f>
        <v/>
      </c>
      <c r="D67" s="30" t="n"/>
      <c r="E67" s="30" t="n"/>
      <c r="F67" s="48" t="n"/>
      <c r="G67" s="46" t="n"/>
      <c r="H67" s="46" t="n"/>
      <c r="I67" s="34">
        <f>IF(OR($G67="",$H67=""),"",IF($H67&lt;=$G67,"Sim","Não"))</f>
        <v/>
      </c>
      <c r="J67" s="30" t="n"/>
      <c r="K67" s="30" t="n"/>
    </row>
    <row r="68" ht="20" customHeight="1">
      <c r="A68" s="46" t="n"/>
      <c r="B68" s="31" t="n"/>
      <c r="C68" s="47">
        <f>IFERROR(INDEX(Fornecedores!$B$7:$B$66,MATCH($B68,Fornecedores!$A$7:$A$66,0)),"")</f>
        <v/>
      </c>
      <c r="D68" s="30" t="n"/>
      <c r="E68" s="30" t="n"/>
      <c r="F68" s="48" t="n"/>
      <c r="G68" s="46" t="n"/>
      <c r="H68" s="46" t="n"/>
      <c r="I68" s="34">
        <f>IF(OR($G68="",$H68=""),"",IF($H68&lt;=$G68,"Sim","Não"))</f>
        <v/>
      </c>
      <c r="J68" s="30" t="n"/>
      <c r="K68" s="30" t="n"/>
    </row>
    <row r="69" ht="20" customHeight="1">
      <c r="A69" s="46" t="n"/>
      <c r="B69" s="31" t="n"/>
      <c r="C69" s="47">
        <f>IFERROR(INDEX(Fornecedores!$B$7:$B$66,MATCH($B69,Fornecedores!$A$7:$A$66,0)),"")</f>
        <v/>
      </c>
      <c r="D69" s="30" t="n"/>
      <c r="E69" s="30" t="n"/>
      <c r="F69" s="48" t="n"/>
      <c r="G69" s="46" t="n"/>
      <c r="H69" s="46" t="n"/>
      <c r="I69" s="34">
        <f>IF(OR($G69="",$H69=""),"",IF($H69&lt;=$G69,"Sim","Não"))</f>
        <v/>
      </c>
      <c r="J69" s="30" t="n"/>
      <c r="K69" s="30" t="n"/>
    </row>
    <row r="70" ht="20" customHeight="1">
      <c r="A70" s="46" t="n"/>
      <c r="B70" s="31" t="n"/>
      <c r="C70" s="47">
        <f>IFERROR(INDEX(Fornecedores!$B$7:$B$66,MATCH($B70,Fornecedores!$A$7:$A$66,0)),"")</f>
        <v/>
      </c>
      <c r="D70" s="30" t="n"/>
      <c r="E70" s="30" t="n"/>
      <c r="F70" s="48" t="n"/>
      <c r="G70" s="46" t="n"/>
      <c r="H70" s="46" t="n"/>
      <c r="I70" s="34">
        <f>IF(OR($G70="",$H70=""),"",IF($H70&lt;=$G70,"Sim","Não"))</f>
        <v/>
      </c>
      <c r="J70" s="30" t="n"/>
      <c r="K70" s="30" t="n"/>
    </row>
    <row r="71" ht="20" customHeight="1">
      <c r="A71" s="46" t="n"/>
      <c r="B71" s="31" t="n"/>
      <c r="C71" s="47">
        <f>IFERROR(INDEX(Fornecedores!$B$7:$B$66,MATCH($B71,Fornecedores!$A$7:$A$66,0)),"")</f>
        <v/>
      </c>
      <c r="D71" s="30" t="n"/>
      <c r="E71" s="30" t="n"/>
      <c r="F71" s="48" t="n"/>
      <c r="G71" s="46" t="n"/>
      <c r="H71" s="46" t="n"/>
      <c r="I71" s="34">
        <f>IF(OR($G71="",$H71=""),"",IF($H71&lt;=$G71,"Sim","Não"))</f>
        <v/>
      </c>
      <c r="J71" s="30" t="n"/>
      <c r="K71" s="30" t="n"/>
    </row>
    <row r="72" ht="20" customHeight="1">
      <c r="A72" s="46" t="n"/>
      <c r="B72" s="31" t="n"/>
      <c r="C72" s="47">
        <f>IFERROR(INDEX(Fornecedores!$B$7:$B$66,MATCH($B72,Fornecedores!$A$7:$A$66,0)),"")</f>
        <v/>
      </c>
      <c r="D72" s="30" t="n"/>
      <c r="E72" s="30" t="n"/>
      <c r="F72" s="48" t="n"/>
      <c r="G72" s="46" t="n"/>
      <c r="H72" s="46" t="n"/>
      <c r="I72" s="34">
        <f>IF(OR($G72="",$H72=""),"",IF($H72&lt;=$G72,"Sim","Não"))</f>
        <v/>
      </c>
      <c r="J72" s="30" t="n"/>
      <c r="K72" s="30" t="n"/>
    </row>
    <row r="73" ht="20" customHeight="1">
      <c r="A73" s="46" t="n"/>
      <c r="B73" s="31" t="n"/>
      <c r="C73" s="47">
        <f>IFERROR(INDEX(Fornecedores!$B$7:$B$66,MATCH($B73,Fornecedores!$A$7:$A$66,0)),"")</f>
        <v/>
      </c>
      <c r="D73" s="30" t="n"/>
      <c r="E73" s="30" t="n"/>
      <c r="F73" s="48" t="n"/>
      <c r="G73" s="46" t="n"/>
      <c r="H73" s="46" t="n"/>
      <c r="I73" s="34">
        <f>IF(OR($G73="",$H73=""),"",IF($H73&lt;=$G73,"Sim","Não"))</f>
        <v/>
      </c>
      <c r="J73" s="30" t="n"/>
      <c r="K73" s="30" t="n"/>
    </row>
    <row r="74" ht="20" customHeight="1">
      <c r="A74" s="46" t="n"/>
      <c r="B74" s="31" t="n"/>
      <c r="C74" s="47">
        <f>IFERROR(INDEX(Fornecedores!$B$7:$B$66,MATCH($B74,Fornecedores!$A$7:$A$66,0)),"")</f>
        <v/>
      </c>
      <c r="D74" s="30" t="n"/>
      <c r="E74" s="30" t="n"/>
      <c r="F74" s="48" t="n"/>
      <c r="G74" s="46" t="n"/>
      <c r="H74" s="46" t="n"/>
      <c r="I74" s="34">
        <f>IF(OR($G74="",$H74=""),"",IF($H74&lt;=$G74,"Sim","Não"))</f>
        <v/>
      </c>
      <c r="J74" s="30" t="n"/>
      <c r="K74" s="30" t="n"/>
    </row>
    <row r="75" ht="20" customHeight="1">
      <c r="A75" s="46" t="n"/>
      <c r="B75" s="31" t="n"/>
      <c r="C75" s="47">
        <f>IFERROR(INDEX(Fornecedores!$B$7:$B$66,MATCH($B75,Fornecedores!$A$7:$A$66,0)),"")</f>
        <v/>
      </c>
      <c r="D75" s="30" t="n"/>
      <c r="E75" s="30" t="n"/>
      <c r="F75" s="48" t="n"/>
      <c r="G75" s="46" t="n"/>
      <c r="H75" s="46" t="n"/>
      <c r="I75" s="34">
        <f>IF(OR($G75="",$H75=""),"",IF($H75&lt;=$G75,"Sim","Não"))</f>
        <v/>
      </c>
      <c r="J75" s="30" t="n"/>
      <c r="K75" s="30" t="n"/>
    </row>
    <row r="76" ht="20" customHeight="1">
      <c r="A76" s="46" t="n"/>
      <c r="B76" s="31" t="n"/>
      <c r="C76" s="47">
        <f>IFERROR(INDEX(Fornecedores!$B$7:$B$66,MATCH($B76,Fornecedores!$A$7:$A$66,0)),"")</f>
        <v/>
      </c>
      <c r="D76" s="30" t="n"/>
      <c r="E76" s="30" t="n"/>
      <c r="F76" s="48" t="n"/>
      <c r="G76" s="46" t="n"/>
      <c r="H76" s="46" t="n"/>
      <c r="I76" s="34">
        <f>IF(OR($G76="",$H76=""),"",IF($H76&lt;=$G76,"Sim","Não"))</f>
        <v/>
      </c>
      <c r="J76" s="30" t="n"/>
      <c r="K76" s="30" t="n"/>
    </row>
    <row r="77" ht="20" customHeight="1">
      <c r="A77" s="46" t="n"/>
      <c r="B77" s="31" t="n"/>
      <c r="C77" s="47">
        <f>IFERROR(INDEX(Fornecedores!$B$7:$B$66,MATCH($B77,Fornecedores!$A$7:$A$66,0)),"")</f>
        <v/>
      </c>
      <c r="D77" s="30" t="n"/>
      <c r="E77" s="30" t="n"/>
      <c r="F77" s="48" t="n"/>
      <c r="G77" s="46" t="n"/>
      <c r="H77" s="46" t="n"/>
      <c r="I77" s="34">
        <f>IF(OR($G77="",$H77=""),"",IF($H77&lt;=$G77,"Sim","Não"))</f>
        <v/>
      </c>
      <c r="J77" s="30" t="n"/>
      <c r="K77" s="30" t="n"/>
    </row>
    <row r="78" ht="20" customHeight="1">
      <c r="A78" s="46" t="n"/>
      <c r="B78" s="31" t="n"/>
      <c r="C78" s="47">
        <f>IFERROR(INDEX(Fornecedores!$B$7:$B$66,MATCH($B78,Fornecedores!$A$7:$A$66,0)),"")</f>
        <v/>
      </c>
      <c r="D78" s="30" t="n"/>
      <c r="E78" s="30" t="n"/>
      <c r="F78" s="48" t="n"/>
      <c r="G78" s="46" t="n"/>
      <c r="H78" s="46" t="n"/>
      <c r="I78" s="34">
        <f>IF(OR($G78="",$H78=""),"",IF($H78&lt;=$G78,"Sim","Não"))</f>
        <v/>
      </c>
      <c r="J78" s="30" t="n"/>
      <c r="K78" s="30" t="n"/>
    </row>
    <row r="79" ht="20" customHeight="1">
      <c r="A79" s="46" t="n"/>
      <c r="B79" s="31" t="n"/>
      <c r="C79" s="47">
        <f>IFERROR(INDEX(Fornecedores!$B$7:$B$66,MATCH($B79,Fornecedores!$A$7:$A$66,0)),"")</f>
        <v/>
      </c>
      <c r="D79" s="30" t="n"/>
      <c r="E79" s="30" t="n"/>
      <c r="F79" s="48" t="n"/>
      <c r="G79" s="46" t="n"/>
      <c r="H79" s="46" t="n"/>
      <c r="I79" s="34">
        <f>IF(OR($G79="",$H79=""),"",IF($H79&lt;=$G79,"Sim","Não"))</f>
        <v/>
      </c>
      <c r="J79" s="30" t="n"/>
      <c r="K79" s="30" t="n"/>
    </row>
    <row r="80" ht="20" customHeight="1">
      <c r="A80" s="46" t="n"/>
      <c r="B80" s="31" t="n"/>
      <c r="C80" s="47">
        <f>IFERROR(INDEX(Fornecedores!$B$7:$B$66,MATCH($B80,Fornecedores!$A$7:$A$66,0)),"")</f>
        <v/>
      </c>
      <c r="D80" s="30" t="n"/>
      <c r="E80" s="30" t="n"/>
      <c r="F80" s="48" t="n"/>
      <c r="G80" s="46" t="n"/>
      <c r="H80" s="46" t="n"/>
      <c r="I80" s="34">
        <f>IF(OR($G80="",$H80=""),"",IF($H80&lt;=$G80,"Sim","Não"))</f>
        <v/>
      </c>
      <c r="J80" s="30" t="n"/>
      <c r="K80" s="30" t="n"/>
    </row>
    <row r="81" ht="20" customHeight="1">
      <c r="A81" s="46" t="n"/>
      <c r="B81" s="31" t="n"/>
      <c r="C81" s="47">
        <f>IFERROR(INDEX(Fornecedores!$B$7:$B$66,MATCH($B81,Fornecedores!$A$7:$A$66,0)),"")</f>
        <v/>
      </c>
      <c r="D81" s="30" t="n"/>
      <c r="E81" s="30" t="n"/>
      <c r="F81" s="48" t="n"/>
      <c r="G81" s="46" t="n"/>
      <c r="H81" s="46" t="n"/>
      <c r="I81" s="34">
        <f>IF(OR($G81="",$H81=""),"",IF($H81&lt;=$G81,"Sim","Não"))</f>
        <v/>
      </c>
      <c r="J81" s="30" t="n"/>
      <c r="K81" s="30" t="n"/>
    </row>
    <row r="82" ht="20" customHeight="1">
      <c r="A82" s="46" t="n"/>
      <c r="B82" s="31" t="n"/>
      <c r="C82" s="47">
        <f>IFERROR(INDEX(Fornecedores!$B$7:$B$66,MATCH($B82,Fornecedores!$A$7:$A$66,0)),"")</f>
        <v/>
      </c>
      <c r="D82" s="30" t="n"/>
      <c r="E82" s="30" t="n"/>
      <c r="F82" s="48" t="n"/>
      <c r="G82" s="46" t="n"/>
      <c r="H82" s="46" t="n"/>
      <c r="I82" s="34">
        <f>IF(OR($G82="",$H82=""),"",IF($H82&lt;=$G82,"Sim","Não"))</f>
        <v/>
      </c>
      <c r="J82" s="30" t="n"/>
      <c r="K82" s="30" t="n"/>
    </row>
    <row r="83" ht="20" customHeight="1">
      <c r="A83" s="46" t="n"/>
      <c r="B83" s="31" t="n"/>
      <c r="C83" s="47">
        <f>IFERROR(INDEX(Fornecedores!$B$7:$B$66,MATCH($B83,Fornecedores!$A$7:$A$66,0)),"")</f>
        <v/>
      </c>
      <c r="D83" s="30" t="n"/>
      <c r="E83" s="30" t="n"/>
      <c r="F83" s="48" t="n"/>
      <c r="G83" s="46" t="n"/>
      <c r="H83" s="46" t="n"/>
      <c r="I83" s="34">
        <f>IF(OR($G83="",$H83=""),"",IF($H83&lt;=$G83,"Sim","Não"))</f>
        <v/>
      </c>
      <c r="J83" s="30" t="n"/>
      <c r="K83" s="30" t="n"/>
    </row>
    <row r="84" ht="20" customHeight="1">
      <c r="A84" s="46" t="n"/>
      <c r="B84" s="31" t="n"/>
      <c r="C84" s="47">
        <f>IFERROR(INDEX(Fornecedores!$B$7:$B$66,MATCH($B84,Fornecedores!$A$7:$A$66,0)),"")</f>
        <v/>
      </c>
      <c r="D84" s="30" t="n"/>
      <c r="E84" s="30" t="n"/>
      <c r="F84" s="48" t="n"/>
      <c r="G84" s="46" t="n"/>
      <c r="H84" s="46" t="n"/>
      <c r="I84" s="34">
        <f>IF(OR($G84="",$H84=""),"",IF($H84&lt;=$G84,"Sim","Não"))</f>
        <v/>
      </c>
      <c r="J84" s="30" t="n"/>
      <c r="K84" s="30" t="n"/>
    </row>
    <row r="85" ht="20" customHeight="1">
      <c r="A85" s="46" t="n"/>
      <c r="B85" s="31" t="n"/>
      <c r="C85" s="47">
        <f>IFERROR(INDEX(Fornecedores!$B$7:$B$66,MATCH($B85,Fornecedores!$A$7:$A$66,0)),"")</f>
        <v/>
      </c>
      <c r="D85" s="30" t="n"/>
      <c r="E85" s="30" t="n"/>
      <c r="F85" s="48" t="n"/>
      <c r="G85" s="46" t="n"/>
      <c r="H85" s="46" t="n"/>
      <c r="I85" s="34">
        <f>IF(OR($G85="",$H85=""),"",IF($H85&lt;=$G85,"Sim","Não"))</f>
        <v/>
      </c>
      <c r="J85" s="30" t="n"/>
      <c r="K85" s="30" t="n"/>
    </row>
    <row r="86" ht="20" customHeight="1">
      <c r="A86" s="46" t="n"/>
      <c r="B86" s="31" t="n"/>
      <c r="C86" s="47">
        <f>IFERROR(INDEX(Fornecedores!$B$7:$B$66,MATCH($B86,Fornecedores!$A$7:$A$66,0)),"")</f>
        <v/>
      </c>
      <c r="D86" s="30" t="n"/>
      <c r="E86" s="30" t="n"/>
      <c r="F86" s="48" t="n"/>
      <c r="G86" s="46" t="n"/>
      <c r="H86" s="46" t="n"/>
      <c r="I86" s="34">
        <f>IF(OR($G86="",$H86=""),"",IF($H86&lt;=$G86,"Sim","Não"))</f>
        <v/>
      </c>
      <c r="J86" s="30" t="n"/>
      <c r="K86" s="30" t="n"/>
    </row>
    <row r="87" ht="20" customHeight="1">
      <c r="A87" s="46" t="n"/>
      <c r="B87" s="31" t="n"/>
      <c r="C87" s="47">
        <f>IFERROR(INDEX(Fornecedores!$B$7:$B$66,MATCH($B87,Fornecedores!$A$7:$A$66,0)),"")</f>
        <v/>
      </c>
      <c r="D87" s="30" t="n"/>
      <c r="E87" s="30" t="n"/>
      <c r="F87" s="48" t="n"/>
      <c r="G87" s="46" t="n"/>
      <c r="H87" s="46" t="n"/>
      <c r="I87" s="34">
        <f>IF(OR($G87="",$H87=""),"",IF($H87&lt;=$G87,"Sim","Não"))</f>
        <v/>
      </c>
      <c r="J87" s="30" t="n"/>
      <c r="K87" s="30" t="n"/>
    </row>
    <row r="88" ht="20" customHeight="1">
      <c r="A88" s="46" t="n"/>
      <c r="B88" s="31" t="n"/>
      <c r="C88" s="47">
        <f>IFERROR(INDEX(Fornecedores!$B$7:$B$66,MATCH($B88,Fornecedores!$A$7:$A$66,0)),"")</f>
        <v/>
      </c>
      <c r="D88" s="30" t="n"/>
      <c r="E88" s="30" t="n"/>
      <c r="F88" s="48" t="n"/>
      <c r="G88" s="46" t="n"/>
      <c r="H88" s="46" t="n"/>
      <c r="I88" s="34">
        <f>IF(OR($G88="",$H88=""),"",IF($H88&lt;=$G88,"Sim","Não"))</f>
        <v/>
      </c>
      <c r="J88" s="30" t="n"/>
      <c r="K88" s="30" t="n"/>
    </row>
    <row r="89" ht="20" customHeight="1">
      <c r="A89" s="46" t="n"/>
      <c r="B89" s="31" t="n"/>
      <c r="C89" s="47">
        <f>IFERROR(INDEX(Fornecedores!$B$7:$B$66,MATCH($B89,Fornecedores!$A$7:$A$66,0)),"")</f>
        <v/>
      </c>
      <c r="D89" s="30" t="n"/>
      <c r="E89" s="30" t="n"/>
      <c r="F89" s="48" t="n"/>
      <c r="G89" s="46" t="n"/>
      <c r="H89" s="46" t="n"/>
      <c r="I89" s="34">
        <f>IF(OR($G89="",$H89=""),"",IF($H89&lt;=$G89,"Sim","Não"))</f>
        <v/>
      </c>
      <c r="J89" s="30" t="n"/>
      <c r="K89" s="30" t="n"/>
    </row>
    <row r="90" ht="20" customHeight="1">
      <c r="A90" s="46" t="n"/>
      <c r="B90" s="31" t="n"/>
      <c r="C90" s="47">
        <f>IFERROR(INDEX(Fornecedores!$B$7:$B$66,MATCH($B90,Fornecedores!$A$7:$A$66,0)),"")</f>
        <v/>
      </c>
      <c r="D90" s="30" t="n"/>
      <c r="E90" s="30" t="n"/>
      <c r="F90" s="48" t="n"/>
      <c r="G90" s="46" t="n"/>
      <c r="H90" s="46" t="n"/>
      <c r="I90" s="34">
        <f>IF(OR($G90="",$H90=""),"",IF($H90&lt;=$G90,"Sim","Não"))</f>
        <v/>
      </c>
      <c r="J90" s="30" t="n"/>
      <c r="K90" s="30" t="n"/>
    </row>
    <row r="91" ht="20" customHeight="1">
      <c r="A91" s="46" t="n"/>
      <c r="B91" s="31" t="n"/>
      <c r="C91" s="47">
        <f>IFERROR(INDEX(Fornecedores!$B$7:$B$66,MATCH($B91,Fornecedores!$A$7:$A$66,0)),"")</f>
        <v/>
      </c>
      <c r="D91" s="30" t="n"/>
      <c r="E91" s="30" t="n"/>
      <c r="F91" s="48" t="n"/>
      <c r="G91" s="46" t="n"/>
      <c r="H91" s="46" t="n"/>
      <c r="I91" s="34">
        <f>IF(OR($G91="",$H91=""),"",IF($H91&lt;=$G91,"Sim","Não"))</f>
        <v/>
      </c>
      <c r="J91" s="30" t="n"/>
      <c r="K91" s="30" t="n"/>
    </row>
    <row r="92" ht="20" customHeight="1">
      <c r="A92" s="46" t="n"/>
      <c r="B92" s="31" t="n"/>
      <c r="C92" s="47">
        <f>IFERROR(INDEX(Fornecedores!$B$7:$B$66,MATCH($B92,Fornecedores!$A$7:$A$66,0)),"")</f>
        <v/>
      </c>
      <c r="D92" s="30" t="n"/>
      <c r="E92" s="30" t="n"/>
      <c r="F92" s="48" t="n"/>
      <c r="G92" s="46" t="n"/>
      <c r="H92" s="46" t="n"/>
      <c r="I92" s="34">
        <f>IF(OR($G92="",$H92=""),"",IF($H92&lt;=$G92,"Sim","Não"))</f>
        <v/>
      </c>
      <c r="J92" s="30" t="n"/>
      <c r="K92" s="30" t="n"/>
    </row>
    <row r="93" ht="20" customHeight="1">
      <c r="A93" s="46" t="n"/>
      <c r="B93" s="31" t="n"/>
      <c r="C93" s="47">
        <f>IFERROR(INDEX(Fornecedores!$B$7:$B$66,MATCH($B93,Fornecedores!$A$7:$A$66,0)),"")</f>
        <v/>
      </c>
      <c r="D93" s="30" t="n"/>
      <c r="E93" s="30" t="n"/>
      <c r="F93" s="48" t="n"/>
      <c r="G93" s="46" t="n"/>
      <c r="H93" s="46" t="n"/>
      <c r="I93" s="34">
        <f>IF(OR($G93="",$H93=""),"",IF($H93&lt;=$G93,"Sim","Não"))</f>
        <v/>
      </c>
      <c r="J93" s="30" t="n"/>
      <c r="K93" s="30" t="n"/>
    </row>
    <row r="94" ht="20" customHeight="1">
      <c r="A94" s="46" t="n"/>
      <c r="B94" s="31" t="n"/>
      <c r="C94" s="47">
        <f>IFERROR(INDEX(Fornecedores!$B$7:$B$66,MATCH($B94,Fornecedores!$A$7:$A$66,0)),"")</f>
        <v/>
      </c>
      <c r="D94" s="30" t="n"/>
      <c r="E94" s="30" t="n"/>
      <c r="F94" s="48" t="n"/>
      <c r="G94" s="46" t="n"/>
      <c r="H94" s="46" t="n"/>
      <c r="I94" s="34">
        <f>IF(OR($G94="",$H94=""),"",IF($H94&lt;=$G94,"Sim","Não"))</f>
        <v/>
      </c>
      <c r="J94" s="30" t="n"/>
      <c r="K94" s="30" t="n"/>
    </row>
    <row r="95" ht="20" customHeight="1">
      <c r="A95" s="46" t="n"/>
      <c r="B95" s="31" t="n"/>
      <c r="C95" s="47">
        <f>IFERROR(INDEX(Fornecedores!$B$7:$B$66,MATCH($B95,Fornecedores!$A$7:$A$66,0)),"")</f>
        <v/>
      </c>
      <c r="D95" s="30" t="n"/>
      <c r="E95" s="30" t="n"/>
      <c r="F95" s="48" t="n"/>
      <c r="G95" s="46" t="n"/>
      <c r="H95" s="46" t="n"/>
      <c r="I95" s="34">
        <f>IF(OR($G95="",$H95=""),"",IF($H95&lt;=$G95,"Sim","Não"))</f>
        <v/>
      </c>
      <c r="J95" s="30" t="n"/>
      <c r="K95" s="30" t="n"/>
    </row>
    <row r="96" ht="20" customHeight="1">
      <c r="A96" s="46" t="n"/>
      <c r="B96" s="31" t="n"/>
      <c r="C96" s="47">
        <f>IFERROR(INDEX(Fornecedores!$B$7:$B$66,MATCH($B96,Fornecedores!$A$7:$A$66,0)),"")</f>
        <v/>
      </c>
      <c r="D96" s="30" t="n"/>
      <c r="E96" s="30" t="n"/>
      <c r="F96" s="48" t="n"/>
      <c r="G96" s="46" t="n"/>
      <c r="H96" s="46" t="n"/>
      <c r="I96" s="34">
        <f>IF(OR($G96="",$H96=""),"",IF($H96&lt;=$G96,"Sim","Não"))</f>
        <v/>
      </c>
      <c r="J96" s="30" t="n"/>
      <c r="K96" s="30" t="n"/>
    </row>
    <row r="97" ht="20" customHeight="1">
      <c r="A97" s="46" t="n"/>
      <c r="B97" s="31" t="n"/>
      <c r="C97" s="47">
        <f>IFERROR(INDEX(Fornecedores!$B$7:$B$66,MATCH($B97,Fornecedores!$A$7:$A$66,0)),"")</f>
        <v/>
      </c>
      <c r="D97" s="30" t="n"/>
      <c r="E97" s="30" t="n"/>
      <c r="F97" s="48" t="n"/>
      <c r="G97" s="46" t="n"/>
      <c r="H97" s="46" t="n"/>
      <c r="I97" s="34">
        <f>IF(OR($G97="",$H97=""),"",IF($H97&lt;=$G97,"Sim","Não"))</f>
        <v/>
      </c>
      <c r="J97" s="30" t="n"/>
      <c r="K97" s="30" t="n"/>
    </row>
    <row r="98" ht="20" customHeight="1">
      <c r="A98" s="46" t="n"/>
      <c r="B98" s="31" t="n"/>
      <c r="C98" s="47">
        <f>IFERROR(INDEX(Fornecedores!$B$7:$B$66,MATCH($B98,Fornecedores!$A$7:$A$66,0)),"")</f>
        <v/>
      </c>
      <c r="D98" s="30" t="n"/>
      <c r="E98" s="30" t="n"/>
      <c r="F98" s="48" t="n"/>
      <c r="G98" s="46" t="n"/>
      <c r="H98" s="46" t="n"/>
      <c r="I98" s="34">
        <f>IF(OR($G98="",$H98=""),"",IF($H98&lt;=$G98,"Sim","Não"))</f>
        <v/>
      </c>
      <c r="J98" s="30" t="n"/>
      <c r="K98" s="30" t="n"/>
    </row>
    <row r="99" ht="20" customHeight="1">
      <c r="A99" s="46" t="n"/>
      <c r="B99" s="31" t="n"/>
      <c r="C99" s="47">
        <f>IFERROR(INDEX(Fornecedores!$B$7:$B$66,MATCH($B99,Fornecedores!$A$7:$A$66,0)),"")</f>
        <v/>
      </c>
      <c r="D99" s="30" t="n"/>
      <c r="E99" s="30" t="n"/>
      <c r="F99" s="48" t="n"/>
      <c r="G99" s="46" t="n"/>
      <c r="H99" s="46" t="n"/>
      <c r="I99" s="34">
        <f>IF(OR($G99="",$H99=""),"",IF($H99&lt;=$G99,"Sim","Não"))</f>
        <v/>
      </c>
      <c r="J99" s="30" t="n"/>
      <c r="K99" s="30" t="n"/>
    </row>
    <row r="100" ht="20" customHeight="1">
      <c r="A100" s="46" t="n"/>
      <c r="B100" s="31" t="n"/>
      <c r="C100" s="47">
        <f>IFERROR(INDEX(Fornecedores!$B$7:$B$66,MATCH($B100,Fornecedores!$A$7:$A$66,0)),"")</f>
        <v/>
      </c>
      <c r="D100" s="30" t="n"/>
      <c r="E100" s="30" t="n"/>
      <c r="F100" s="48" t="n"/>
      <c r="G100" s="46" t="n"/>
      <c r="H100" s="46" t="n"/>
      <c r="I100" s="34">
        <f>IF(OR($G100="",$H100=""),"",IF($H100&lt;=$G100,"Sim","Não"))</f>
        <v/>
      </c>
      <c r="J100" s="30" t="n"/>
      <c r="K100" s="30" t="n"/>
    </row>
    <row r="101" ht="20" customHeight="1">
      <c r="A101" s="46" t="n"/>
      <c r="B101" s="31" t="n"/>
      <c r="C101" s="47">
        <f>IFERROR(INDEX(Fornecedores!$B$7:$B$66,MATCH($B101,Fornecedores!$A$7:$A$66,0)),"")</f>
        <v/>
      </c>
      <c r="D101" s="30" t="n"/>
      <c r="E101" s="30" t="n"/>
      <c r="F101" s="48" t="n"/>
      <c r="G101" s="46" t="n"/>
      <c r="H101" s="46" t="n"/>
      <c r="I101" s="34">
        <f>IF(OR($G101="",$H101=""),"",IF($H101&lt;=$G101,"Sim","Não"))</f>
        <v/>
      </c>
      <c r="J101" s="30" t="n"/>
      <c r="K101" s="30" t="n"/>
    </row>
    <row r="102" ht="20" customHeight="1">
      <c r="A102" s="46" t="n"/>
      <c r="B102" s="31" t="n"/>
      <c r="C102" s="47">
        <f>IFERROR(INDEX(Fornecedores!$B$7:$B$66,MATCH($B102,Fornecedores!$A$7:$A$66,0)),"")</f>
        <v/>
      </c>
      <c r="D102" s="30" t="n"/>
      <c r="E102" s="30" t="n"/>
      <c r="F102" s="48" t="n"/>
      <c r="G102" s="46" t="n"/>
      <c r="H102" s="46" t="n"/>
      <c r="I102" s="34">
        <f>IF(OR($G102="",$H102=""),"",IF($H102&lt;=$G102,"Sim","Não"))</f>
        <v/>
      </c>
      <c r="J102" s="30" t="n"/>
      <c r="K102" s="30" t="n"/>
    </row>
    <row r="103" ht="20" customHeight="1">
      <c r="A103" s="46" t="n"/>
      <c r="B103" s="31" t="n"/>
      <c r="C103" s="47">
        <f>IFERROR(INDEX(Fornecedores!$B$7:$B$66,MATCH($B103,Fornecedores!$A$7:$A$66,0)),"")</f>
        <v/>
      </c>
      <c r="D103" s="30" t="n"/>
      <c r="E103" s="30" t="n"/>
      <c r="F103" s="48" t="n"/>
      <c r="G103" s="46" t="n"/>
      <c r="H103" s="46" t="n"/>
      <c r="I103" s="34">
        <f>IF(OR($G103="",$H103=""),"",IF($H103&lt;=$G103,"Sim","Não"))</f>
        <v/>
      </c>
      <c r="J103" s="30" t="n"/>
      <c r="K103" s="30" t="n"/>
    </row>
    <row r="104" ht="20" customHeight="1">
      <c r="A104" s="46" t="n"/>
      <c r="B104" s="31" t="n"/>
      <c r="C104" s="47">
        <f>IFERROR(INDEX(Fornecedores!$B$7:$B$66,MATCH($B104,Fornecedores!$A$7:$A$66,0)),"")</f>
        <v/>
      </c>
      <c r="D104" s="30" t="n"/>
      <c r="E104" s="30" t="n"/>
      <c r="F104" s="48" t="n"/>
      <c r="G104" s="46" t="n"/>
      <c r="H104" s="46" t="n"/>
      <c r="I104" s="34">
        <f>IF(OR($G104="",$H104=""),"",IF($H104&lt;=$G104,"Sim","Não"))</f>
        <v/>
      </c>
      <c r="J104" s="30" t="n"/>
      <c r="K104" s="30" t="n"/>
    </row>
    <row r="105" ht="20" customHeight="1">
      <c r="A105" s="46" t="n"/>
      <c r="B105" s="31" t="n"/>
      <c r="C105" s="47">
        <f>IFERROR(INDEX(Fornecedores!$B$7:$B$66,MATCH($B105,Fornecedores!$A$7:$A$66,0)),"")</f>
        <v/>
      </c>
      <c r="D105" s="30" t="n"/>
      <c r="E105" s="30" t="n"/>
      <c r="F105" s="48" t="n"/>
      <c r="G105" s="46" t="n"/>
      <c r="H105" s="46" t="n"/>
      <c r="I105" s="34">
        <f>IF(OR($G105="",$H105=""),"",IF($H105&lt;=$G105,"Sim","Não"))</f>
        <v/>
      </c>
      <c r="J105" s="30" t="n"/>
      <c r="K105" s="30" t="n"/>
    </row>
    <row r="106" ht="20" customHeight="1">
      <c r="A106" s="46" t="n"/>
      <c r="B106" s="31" t="n"/>
      <c r="C106" s="47">
        <f>IFERROR(INDEX(Fornecedores!$B$7:$B$66,MATCH($B106,Fornecedores!$A$7:$A$66,0)),"")</f>
        <v/>
      </c>
      <c r="D106" s="30" t="n"/>
      <c r="E106" s="30" t="n"/>
      <c r="F106" s="48" t="n"/>
      <c r="G106" s="46" t="n"/>
      <c r="H106" s="46" t="n"/>
      <c r="I106" s="34">
        <f>IF(OR($G106="",$H106=""),"",IF($H106&lt;=$G106,"Sim","Não"))</f>
        <v/>
      </c>
      <c r="J106" s="30" t="n"/>
      <c r="K106" s="30" t="n"/>
    </row>
    <row r="107" ht="20" customHeight="1">
      <c r="A107" s="46" t="n"/>
      <c r="B107" s="31" t="n"/>
      <c r="C107" s="47">
        <f>IFERROR(INDEX(Fornecedores!$B$7:$B$66,MATCH($B107,Fornecedores!$A$7:$A$66,0)),"")</f>
        <v/>
      </c>
      <c r="D107" s="30" t="n"/>
      <c r="E107" s="30" t="n"/>
      <c r="F107" s="48" t="n"/>
      <c r="G107" s="46" t="n"/>
      <c r="H107" s="46" t="n"/>
      <c r="I107" s="34">
        <f>IF(OR($G107="",$H107=""),"",IF($H107&lt;=$G107,"Sim","Não"))</f>
        <v/>
      </c>
      <c r="J107" s="30" t="n"/>
      <c r="K107" s="30" t="n"/>
    </row>
    <row r="108" ht="20" customHeight="1">
      <c r="A108" s="46" t="n"/>
      <c r="B108" s="31" t="n"/>
      <c r="C108" s="47">
        <f>IFERROR(INDEX(Fornecedores!$B$7:$B$66,MATCH($B108,Fornecedores!$A$7:$A$66,0)),"")</f>
        <v/>
      </c>
      <c r="D108" s="30" t="n"/>
      <c r="E108" s="30" t="n"/>
      <c r="F108" s="48" t="n"/>
      <c r="G108" s="46" t="n"/>
      <c r="H108" s="46" t="n"/>
      <c r="I108" s="34">
        <f>IF(OR($G108="",$H108=""),"",IF($H108&lt;=$G108,"Sim","Não"))</f>
        <v/>
      </c>
      <c r="J108" s="30" t="n"/>
      <c r="K108" s="30" t="n"/>
    </row>
    <row r="109" ht="20" customHeight="1">
      <c r="A109" s="46" t="n"/>
      <c r="B109" s="31" t="n"/>
      <c r="C109" s="47">
        <f>IFERROR(INDEX(Fornecedores!$B$7:$B$66,MATCH($B109,Fornecedores!$A$7:$A$66,0)),"")</f>
        <v/>
      </c>
      <c r="D109" s="30" t="n"/>
      <c r="E109" s="30" t="n"/>
      <c r="F109" s="48" t="n"/>
      <c r="G109" s="46" t="n"/>
      <c r="H109" s="46" t="n"/>
      <c r="I109" s="34">
        <f>IF(OR($G109="",$H109=""),"",IF($H109&lt;=$G109,"Sim","Não"))</f>
        <v/>
      </c>
      <c r="J109" s="30" t="n"/>
      <c r="K109" s="30" t="n"/>
    </row>
    <row r="110" ht="20" customHeight="1">
      <c r="A110" s="46" t="n"/>
      <c r="B110" s="31" t="n"/>
      <c r="C110" s="47">
        <f>IFERROR(INDEX(Fornecedores!$B$7:$B$66,MATCH($B110,Fornecedores!$A$7:$A$66,0)),"")</f>
        <v/>
      </c>
      <c r="D110" s="30" t="n"/>
      <c r="E110" s="30" t="n"/>
      <c r="F110" s="48" t="n"/>
      <c r="G110" s="46" t="n"/>
      <c r="H110" s="46" t="n"/>
      <c r="I110" s="34">
        <f>IF(OR($G110="",$H110=""),"",IF($H110&lt;=$G110,"Sim","Não"))</f>
        <v/>
      </c>
      <c r="J110" s="30" t="n"/>
      <c r="K110" s="30" t="n"/>
    </row>
    <row r="111" ht="20" customHeight="1">
      <c r="A111" s="46" t="n"/>
      <c r="B111" s="31" t="n"/>
      <c r="C111" s="47">
        <f>IFERROR(INDEX(Fornecedores!$B$7:$B$66,MATCH($B111,Fornecedores!$A$7:$A$66,0)),"")</f>
        <v/>
      </c>
      <c r="D111" s="30" t="n"/>
      <c r="E111" s="30" t="n"/>
      <c r="F111" s="48" t="n"/>
      <c r="G111" s="46" t="n"/>
      <c r="H111" s="46" t="n"/>
      <c r="I111" s="34">
        <f>IF(OR($G111="",$H111=""),"",IF($H111&lt;=$G111,"Sim","Não"))</f>
        <v/>
      </c>
      <c r="J111" s="30" t="n"/>
      <c r="K111" s="30" t="n"/>
    </row>
    <row r="112" ht="20" customHeight="1">
      <c r="A112" s="46" t="n"/>
      <c r="B112" s="31" t="n"/>
      <c r="C112" s="47">
        <f>IFERROR(INDEX(Fornecedores!$B$7:$B$66,MATCH($B112,Fornecedores!$A$7:$A$66,0)),"")</f>
        <v/>
      </c>
      <c r="D112" s="30" t="n"/>
      <c r="E112" s="30" t="n"/>
      <c r="F112" s="48" t="n"/>
      <c r="G112" s="46" t="n"/>
      <c r="H112" s="46" t="n"/>
      <c r="I112" s="34">
        <f>IF(OR($G112="",$H112=""),"",IF($H112&lt;=$G112,"Sim","Não"))</f>
        <v/>
      </c>
      <c r="J112" s="30" t="n"/>
      <c r="K112" s="30" t="n"/>
    </row>
    <row r="113" ht="20" customHeight="1">
      <c r="A113" s="46" t="n"/>
      <c r="B113" s="31" t="n"/>
      <c r="C113" s="47">
        <f>IFERROR(INDEX(Fornecedores!$B$7:$B$66,MATCH($B113,Fornecedores!$A$7:$A$66,0)),"")</f>
        <v/>
      </c>
      <c r="D113" s="30" t="n"/>
      <c r="E113" s="30" t="n"/>
      <c r="F113" s="48" t="n"/>
      <c r="G113" s="46" t="n"/>
      <c r="H113" s="46" t="n"/>
      <c r="I113" s="34">
        <f>IF(OR($G113="",$H113=""),"",IF($H113&lt;=$G113,"Sim","Não"))</f>
        <v/>
      </c>
      <c r="J113" s="30" t="n"/>
      <c r="K113" s="30" t="n"/>
    </row>
    <row r="114" ht="20" customHeight="1">
      <c r="A114" s="46" t="n"/>
      <c r="B114" s="31" t="n"/>
      <c r="C114" s="47">
        <f>IFERROR(INDEX(Fornecedores!$B$7:$B$66,MATCH($B114,Fornecedores!$A$7:$A$66,0)),"")</f>
        <v/>
      </c>
      <c r="D114" s="30" t="n"/>
      <c r="E114" s="30" t="n"/>
      <c r="F114" s="48" t="n"/>
      <c r="G114" s="46" t="n"/>
      <c r="H114" s="46" t="n"/>
      <c r="I114" s="34">
        <f>IF(OR($G114="",$H114=""),"",IF($H114&lt;=$G114,"Sim","Não"))</f>
        <v/>
      </c>
      <c r="J114" s="30" t="n"/>
      <c r="K114" s="30" t="n"/>
    </row>
    <row r="115" ht="20" customHeight="1">
      <c r="A115" s="46" t="n"/>
      <c r="B115" s="31" t="n"/>
      <c r="C115" s="47">
        <f>IFERROR(INDEX(Fornecedores!$B$7:$B$66,MATCH($B115,Fornecedores!$A$7:$A$66,0)),"")</f>
        <v/>
      </c>
      <c r="D115" s="30" t="n"/>
      <c r="E115" s="30" t="n"/>
      <c r="F115" s="48" t="n"/>
      <c r="G115" s="46" t="n"/>
      <c r="H115" s="46" t="n"/>
      <c r="I115" s="34">
        <f>IF(OR($G115="",$H115=""),"",IF($H115&lt;=$G115,"Sim","Não"))</f>
        <v/>
      </c>
      <c r="J115" s="30" t="n"/>
      <c r="K115" s="30" t="n"/>
    </row>
    <row r="116" ht="20" customHeight="1">
      <c r="A116" s="46" t="n"/>
      <c r="B116" s="31" t="n"/>
      <c r="C116" s="47">
        <f>IFERROR(INDEX(Fornecedores!$B$7:$B$66,MATCH($B116,Fornecedores!$A$7:$A$66,0)),"")</f>
        <v/>
      </c>
      <c r="D116" s="30" t="n"/>
      <c r="E116" s="30" t="n"/>
      <c r="F116" s="48" t="n"/>
      <c r="G116" s="46" t="n"/>
      <c r="H116" s="46" t="n"/>
      <c r="I116" s="34">
        <f>IF(OR($G116="",$H116=""),"",IF($H116&lt;=$G116,"Sim","Não"))</f>
        <v/>
      </c>
      <c r="J116" s="30" t="n"/>
      <c r="K116" s="30" t="n"/>
    </row>
    <row r="117" ht="20" customHeight="1">
      <c r="A117" s="46" t="n"/>
      <c r="B117" s="31" t="n"/>
      <c r="C117" s="47">
        <f>IFERROR(INDEX(Fornecedores!$B$7:$B$66,MATCH($B117,Fornecedores!$A$7:$A$66,0)),"")</f>
        <v/>
      </c>
      <c r="D117" s="30" t="n"/>
      <c r="E117" s="30" t="n"/>
      <c r="F117" s="48" t="n"/>
      <c r="G117" s="46" t="n"/>
      <c r="H117" s="46" t="n"/>
      <c r="I117" s="34">
        <f>IF(OR($G117="",$H117=""),"",IF($H117&lt;=$G117,"Sim","Não"))</f>
        <v/>
      </c>
      <c r="J117" s="30" t="n"/>
      <c r="K117" s="30" t="n"/>
    </row>
    <row r="118" ht="20" customHeight="1">
      <c r="A118" s="46" t="n"/>
      <c r="B118" s="31" t="n"/>
      <c r="C118" s="47">
        <f>IFERROR(INDEX(Fornecedores!$B$7:$B$66,MATCH($B118,Fornecedores!$A$7:$A$66,0)),"")</f>
        <v/>
      </c>
      <c r="D118" s="30" t="n"/>
      <c r="E118" s="30" t="n"/>
      <c r="F118" s="48" t="n"/>
      <c r="G118" s="46" t="n"/>
      <c r="H118" s="46" t="n"/>
      <c r="I118" s="34">
        <f>IF(OR($G118="",$H118=""),"",IF($H118&lt;=$G118,"Sim","Não"))</f>
        <v/>
      </c>
      <c r="J118" s="30" t="n"/>
      <c r="K118" s="30" t="n"/>
    </row>
    <row r="119" ht="20" customHeight="1">
      <c r="A119" s="46" t="n"/>
      <c r="B119" s="31" t="n"/>
      <c r="C119" s="47">
        <f>IFERROR(INDEX(Fornecedores!$B$7:$B$66,MATCH($B119,Fornecedores!$A$7:$A$66,0)),"")</f>
        <v/>
      </c>
      <c r="D119" s="30" t="n"/>
      <c r="E119" s="30" t="n"/>
      <c r="F119" s="48" t="n"/>
      <c r="G119" s="46" t="n"/>
      <c r="H119" s="46" t="n"/>
      <c r="I119" s="34">
        <f>IF(OR($G119="",$H119=""),"",IF($H119&lt;=$G119,"Sim","Não"))</f>
        <v/>
      </c>
      <c r="J119" s="30" t="n"/>
      <c r="K119" s="30" t="n"/>
    </row>
    <row r="120" ht="20" customHeight="1">
      <c r="A120" s="46" t="n"/>
      <c r="B120" s="31" t="n"/>
      <c r="C120" s="47">
        <f>IFERROR(INDEX(Fornecedores!$B$7:$B$66,MATCH($B120,Fornecedores!$A$7:$A$66,0)),"")</f>
        <v/>
      </c>
      <c r="D120" s="30" t="n"/>
      <c r="E120" s="30" t="n"/>
      <c r="F120" s="48" t="n"/>
      <c r="G120" s="46" t="n"/>
      <c r="H120" s="46" t="n"/>
      <c r="I120" s="34">
        <f>IF(OR($G120="",$H120=""),"",IF($H120&lt;=$G120,"Sim","Não"))</f>
        <v/>
      </c>
      <c r="J120" s="30" t="n"/>
      <c r="K120" s="30" t="n"/>
    </row>
    <row r="121" ht="20" customHeight="1">
      <c r="A121" s="46" t="n"/>
      <c r="B121" s="31" t="n"/>
      <c r="C121" s="47">
        <f>IFERROR(INDEX(Fornecedores!$B$7:$B$66,MATCH($B121,Fornecedores!$A$7:$A$66,0)),"")</f>
        <v/>
      </c>
      <c r="D121" s="30" t="n"/>
      <c r="E121" s="30" t="n"/>
      <c r="F121" s="48" t="n"/>
      <c r="G121" s="46" t="n"/>
      <c r="H121" s="46" t="n"/>
      <c r="I121" s="34">
        <f>IF(OR($G121="",$H121=""),"",IF($H121&lt;=$G121,"Sim","Não"))</f>
        <v/>
      </c>
      <c r="J121" s="30" t="n"/>
      <c r="K121" s="30" t="n"/>
    </row>
    <row r="122" ht="20" customHeight="1">
      <c r="A122" s="46" t="n"/>
      <c r="B122" s="31" t="n"/>
      <c r="C122" s="47">
        <f>IFERROR(INDEX(Fornecedores!$B$7:$B$66,MATCH($B122,Fornecedores!$A$7:$A$66,0)),"")</f>
        <v/>
      </c>
      <c r="D122" s="30" t="n"/>
      <c r="E122" s="30" t="n"/>
      <c r="F122" s="48" t="n"/>
      <c r="G122" s="46" t="n"/>
      <c r="H122" s="46" t="n"/>
      <c r="I122" s="34">
        <f>IF(OR($G122="",$H122=""),"",IF($H122&lt;=$G122,"Sim","Não"))</f>
        <v/>
      </c>
      <c r="J122" s="30" t="n"/>
      <c r="K122" s="30" t="n"/>
    </row>
    <row r="123" ht="20" customHeight="1">
      <c r="A123" s="46" t="n"/>
      <c r="B123" s="31" t="n"/>
      <c r="C123" s="47">
        <f>IFERROR(INDEX(Fornecedores!$B$7:$B$66,MATCH($B123,Fornecedores!$A$7:$A$66,0)),"")</f>
        <v/>
      </c>
      <c r="D123" s="30" t="n"/>
      <c r="E123" s="30" t="n"/>
      <c r="F123" s="48" t="n"/>
      <c r="G123" s="46" t="n"/>
      <c r="H123" s="46" t="n"/>
      <c r="I123" s="34">
        <f>IF(OR($G123="",$H123=""),"",IF($H123&lt;=$G123,"Sim","Não"))</f>
        <v/>
      </c>
      <c r="J123" s="30" t="n"/>
      <c r="K123" s="30" t="n"/>
    </row>
    <row r="124" ht="20" customHeight="1">
      <c r="A124" s="46" t="n"/>
      <c r="B124" s="31" t="n"/>
      <c r="C124" s="47">
        <f>IFERROR(INDEX(Fornecedores!$B$7:$B$66,MATCH($B124,Fornecedores!$A$7:$A$66,0)),"")</f>
        <v/>
      </c>
      <c r="D124" s="30" t="n"/>
      <c r="E124" s="30" t="n"/>
      <c r="F124" s="48" t="n"/>
      <c r="G124" s="46" t="n"/>
      <c r="H124" s="46" t="n"/>
      <c r="I124" s="34">
        <f>IF(OR($G124="",$H124=""),"",IF($H124&lt;=$G124,"Sim","Não"))</f>
        <v/>
      </c>
      <c r="J124" s="30" t="n"/>
      <c r="K124" s="30" t="n"/>
    </row>
    <row r="125" ht="20" customHeight="1">
      <c r="A125" s="46" t="n"/>
      <c r="B125" s="31" t="n"/>
      <c r="C125" s="47">
        <f>IFERROR(INDEX(Fornecedores!$B$7:$B$66,MATCH($B125,Fornecedores!$A$7:$A$66,0)),"")</f>
        <v/>
      </c>
      <c r="D125" s="30" t="n"/>
      <c r="E125" s="30" t="n"/>
      <c r="F125" s="48" t="n"/>
      <c r="G125" s="46" t="n"/>
      <c r="H125" s="46" t="n"/>
      <c r="I125" s="34">
        <f>IF(OR($G125="",$H125=""),"",IF($H125&lt;=$G125,"Sim","Não"))</f>
        <v/>
      </c>
      <c r="J125" s="30" t="n"/>
      <c r="K125" s="30" t="n"/>
    </row>
    <row r="126" ht="20" customHeight="1">
      <c r="A126" s="46" t="n"/>
      <c r="B126" s="31" t="n"/>
      <c r="C126" s="47">
        <f>IFERROR(INDEX(Fornecedores!$B$7:$B$66,MATCH($B126,Fornecedores!$A$7:$A$66,0)),"")</f>
        <v/>
      </c>
      <c r="D126" s="30" t="n"/>
      <c r="E126" s="30" t="n"/>
      <c r="F126" s="48" t="n"/>
      <c r="G126" s="46" t="n"/>
      <c r="H126" s="46" t="n"/>
      <c r="I126" s="34">
        <f>IF(OR($G126="",$H126=""),"",IF($H126&lt;=$G126,"Sim","Não"))</f>
        <v/>
      </c>
      <c r="J126" s="30" t="n"/>
      <c r="K126" s="30" t="n"/>
    </row>
    <row r="127" ht="20" customHeight="1">
      <c r="A127" s="46" t="n"/>
      <c r="B127" s="31" t="n"/>
      <c r="C127" s="47">
        <f>IFERROR(INDEX(Fornecedores!$B$7:$B$66,MATCH($B127,Fornecedores!$A$7:$A$66,0)),"")</f>
        <v/>
      </c>
      <c r="D127" s="30" t="n"/>
      <c r="E127" s="30" t="n"/>
      <c r="F127" s="48" t="n"/>
      <c r="G127" s="46" t="n"/>
      <c r="H127" s="46" t="n"/>
      <c r="I127" s="34">
        <f>IF(OR($G127="",$H127=""),"",IF($H127&lt;=$G127,"Sim","Não"))</f>
        <v/>
      </c>
      <c r="J127" s="30" t="n"/>
      <c r="K127" s="30" t="n"/>
    </row>
    <row r="128" ht="20" customHeight="1">
      <c r="A128" s="46" t="n"/>
      <c r="B128" s="31" t="n"/>
      <c r="C128" s="47">
        <f>IFERROR(INDEX(Fornecedores!$B$7:$B$66,MATCH($B128,Fornecedores!$A$7:$A$66,0)),"")</f>
        <v/>
      </c>
      <c r="D128" s="30" t="n"/>
      <c r="E128" s="30" t="n"/>
      <c r="F128" s="48" t="n"/>
      <c r="G128" s="46" t="n"/>
      <c r="H128" s="46" t="n"/>
      <c r="I128" s="34">
        <f>IF(OR($G128="",$H128=""),"",IF($H128&lt;=$G128,"Sim","Não"))</f>
        <v/>
      </c>
      <c r="J128" s="30" t="n"/>
      <c r="K128" s="30" t="n"/>
    </row>
    <row r="129" ht="20" customHeight="1">
      <c r="A129" s="46" t="n"/>
      <c r="B129" s="31" t="n"/>
      <c r="C129" s="47">
        <f>IFERROR(INDEX(Fornecedores!$B$7:$B$66,MATCH($B129,Fornecedores!$A$7:$A$66,0)),"")</f>
        <v/>
      </c>
      <c r="D129" s="30" t="n"/>
      <c r="E129" s="30" t="n"/>
      <c r="F129" s="48" t="n"/>
      <c r="G129" s="46" t="n"/>
      <c r="H129" s="46" t="n"/>
      <c r="I129" s="34">
        <f>IF(OR($G129="",$H129=""),"",IF($H129&lt;=$G129,"Sim","Não"))</f>
        <v/>
      </c>
      <c r="J129" s="30" t="n"/>
      <c r="K129" s="30" t="n"/>
    </row>
    <row r="130" ht="20" customHeight="1">
      <c r="A130" s="46" t="n"/>
      <c r="B130" s="31" t="n"/>
      <c r="C130" s="47">
        <f>IFERROR(INDEX(Fornecedores!$B$7:$B$66,MATCH($B130,Fornecedores!$A$7:$A$66,0)),"")</f>
        <v/>
      </c>
      <c r="D130" s="30" t="n"/>
      <c r="E130" s="30" t="n"/>
      <c r="F130" s="48" t="n"/>
      <c r="G130" s="46" t="n"/>
      <c r="H130" s="46" t="n"/>
      <c r="I130" s="34">
        <f>IF(OR($G130="",$H130=""),"",IF($H130&lt;=$G130,"Sim","Não"))</f>
        <v/>
      </c>
      <c r="J130" s="30" t="n"/>
      <c r="K130" s="30" t="n"/>
    </row>
    <row r="131" ht="20" customHeight="1">
      <c r="A131" s="46" t="n"/>
      <c r="B131" s="31" t="n"/>
      <c r="C131" s="47">
        <f>IFERROR(INDEX(Fornecedores!$B$7:$B$66,MATCH($B131,Fornecedores!$A$7:$A$66,0)),"")</f>
        <v/>
      </c>
      <c r="D131" s="30" t="n"/>
      <c r="E131" s="30" t="n"/>
      <c r="F131" s="48" t="n"/>
      <c r="G131" s="46" t="n"/>
      <c r="H131" s="46" t="n"/>
      <c r="I131" s="34">
        <f>IF(OR($G131="",$H131=""),"",IF($H131&lt;=$G131,"Sim","Não"))</f>
        <v/>
      </c>
      <c r="J131" s="30" t="n"/>
      <c r="K131" s="30" t="n"/>
    </row>
    <row r="132" ht="20" customHeight="1">
      <c r="A132" s="46" t="n"/>
      <c r="B132" s="31" t="n"/>
      <c r="C132" s="47">
        <f>IFERROR(INDEX(Fornecedores!$B$7:$B$66,MATCH($B132,Fornecedores!$A$7:$A$66,0)),"")</f>
        <v/>
      </c>
      <c r="D132" s="30" t="n"/>
      <c r="E132" s="30" t="n"/>
      <c r="F132" s="48" t="n"/>
      <c r="G132" s="46" t="n"/>
      <c r="H132" s="46" t="n"/>
      <c r="I132" s="34">
        <f>IF(OR($G132="",$H132=""),"",IF($H132&lt;=$G132,"Sim","Não"))</f>
        <v/>
      </c>
      <c r="J132" s="30" t="n"/>
      <c r="K132" s="30" t="n"/>
    </row>
    <row r="133" ht="20" customHeight="1">
      <c r="A133" s="46" t="n"/>
      <c r="B133" s="31" t="n"/>
      <c r="C133" s="47">
        <f>IFERROR(INDEX(Fornecedores!$B$7:$B$66,MATCH($B133,Fornecedores!$A$7:$A$66,0)),"")</f>
        <v/>
      </c>
      <c r="D133" s="30" t="n"/>
      <c r="E133" s="30" t="n"/>
      <c r="F133" s="48" t="n"/>
      <c r="G133" s="46" t="n"/>
      <c r="H133" s="46" t="n"/>
      <c r="I133" s="34">
        <f>IF(OR($G133="",$H133=""),"",IF($H133&lt;=$G133,"Sim","Não"))</f>
        <v/>
      </c>
      <c r="J133" s="30" t="n"/>
      <c r="K133" s="30" t="n"/>
    </row>
    <row r="134" ht="20" customHeight="1">
      <c r="A134" s="46" t="n"/>
      <c r="B134" s="31" t="n"/>
      <c r="C134" s="47">
        <f>IFERROR(INDEX(Fornecedores!$B$7:$B$66,MATCH($B134,Fornecedores!$A$7:$A$66,0)),"")</f>
        <v/>
      </c>
      <c r="D134" s="30" t="n"/>
      <c r="E134" s="30" t="n"/>
      <c r="F134" s="48" t="n"/>
      <c r="G134" s="46" t="n"/>
      <c r="H134" s="46" t="n"/>
      <c r="I134" s="34">
        <f>IF(OR($G134="",$H134=""),"",IF($H134&lt;=$G134,"Sim","Não"))</f>
        <v/>
      </c>
      <c r="J134" s="30" t="n"/>
      <c r="K134" s="30" t="n"/>
    </row>
    <row r="135" ht="20" customHeight="1">
      <c r="A135" s="46" t="n"/>
      <c r="B135" s="31" t="n"/>
      <c r="C135" s="47">
        <f>IFERROR(INDEX(Fornecedores!$B$7:$B$66,MATCH($B135,Fornecedores!$A$7:$A$66,0)),"")</f>
        <v/>
      </c>
      <c r="D135" s="30" t="n"/>
      <c r="E135" s="30" t="n"/>
      <c r="F135" s="48" t="n"/>
      <c r="G135" s="46" t="n"/>
      <c r="H135" s="46" t="n"/>
      <c r="I135" s="34">
        <f>IF(OR($G135="",$H135=""),"",IF($H135&lt;=$G135,"Sim","Não"))</f>
        <v/>
      </c>
      <c r="J135" s="30" t="n"/>
      <c r="K135" s="30" t="n"/>
    </row>
    <row r="136" ht="20" customHeight="1">
      <c r="A136" s="46" t="n"/>
      <c r="B136" s="31" t="n"/>
      <c r="C136" s="47">
        <f>IFERROR(INDEX(Fornecedores!$B$7:$B$66,MATCH($B136,Fornecedores!$A$7:$A$66,0)),"")</f>
        <v/>
      </c>
      <c r="D136" s="30" t="n"/>
      <c r="E136" s="30" t="n"/>
      <c r="F136" s="48" t="n"/>
      <c r="G136" s="46" t="n"/>
      <c r="H136" s="46" t="n"/>
      <c r="I136" s="34">
        <f>IF(OR($G136="",$H136=""),"",IF($H136&lt;=$G136,"Sim","Não"))</f>
        <v/>
      </c>
      <c r="J136" s="30" t="n"/>
      <c r="K136" s="30" t="n"/>
    </row>
    <row r="137" ht="20" customHeight="1">
      <c r="A137" s="46" t="n"/>
      <c r="B137" s="31" t="n"/>
      <c r="C137" s="47">
        <f>IFERROR(INDEX(Fornecedores!$B$7:$B$66,MATCH($B137,Fornecedores!$A$7:$A$66,0)),"")</f>
        <v/>
      </c>
      <c r="D137" s="30" t="n"/>
      <c r="E137" s="30" t="n"/>
      <c r="F137" s="48" t="n"/>
      <c r="G137" s="46" t="n"/>
      <c r="H137" s="46" t="n"/>
      <c r="I137" s="34">
        <f>IF(OR($G137="",$H137=""),"",IF($H137&lt;=$G137,"Sim","Não"))</f>
        <v/>
      </c>
      <c r="J137" s="30" t="n"/>
      <c r="K137" s="30" t="n"/>
    </row>
    <row r="138" ht="20" customHeight="1">
      <c r="A138" s="46" t="n"/>
      <c r="B138" s="31" t="n"/>
      <c r="C138" s="47">
        <f>IFERROR(INDEX(Fornecedores!$B$7:$B$66,MATCH($B138,Fornecedores!$A$7:$A$66,0)),"")</f>
        <v/>
      </c>
      <c r="D138" s="30" t="n"/>
      <c r="E138" s="30" t="n"/>
      <c r="F138" s="48" t="n"/>
      <c r="G138" s="46" t="n"/>
      <c r="H138" s="46" t="n"/>
      <c r="I138" s="34">
        <f>IF(OR($G138="",$H138=""),"",IF($H138&lt;=$G138,"Sim","Não"))</f>
        <v/>
      </c>
      <c r="J138" s="30" t="n"/>
      <c r="K138" s="30" t="n"/>
    </row>
    <row r="139" ht="20" customHeight="1">
      <c r="A139" s="46" t="n"/>
      <c r="B139" s="31" t="n"/>
      <c r="C139" s="47">
        <f>IFERROR(INDEX(Fornecedores!$B$7:$B$66,MATCH($B139,Fornecedores!$A$7:$A$66,0)),"")</f>
        <v/>
      </c>
      <c r="D139" s="30" t="n"/>
      <c r="E139" s="30" t="n"/>
      <c r="F139" s="48" t="n"/>
      <c r="G139" s="46" t="n"/>
      <c r="H139" s="46" t="n"/>
      <c r="I139" s="34">
        <f>IF(OR($G139="",$H139=""),"",IF($H139&lt;=$G139,"Sim","Não"))</f>
        <v/>
      </c>
      <c r="J139" s="30" t="n"/>
      <c r="K139" s="30" t="n"/>
    </row>
    <row r="140" ht="20" customHeight="1">
      <c r="A140" s="46" t="n"/>
      <c r="B140" s="31" t="n"/>
      <c r="C140" s="47">
        <f>IFERROR(INDEX(Fornecedores!$B$7:$B$66,MATCH($B140,Fornecedores!$A$7:$A$66,0)),"")</f>
        <v/>
      </c>
      <c r="D140" s="30" t="n"/>
      <c r="E140" s="30" t="n"/>
      <c r="F140" s="48" t="n"/>
      <c r="G140" s="46" t="n"/>
      <c r="H140" s="46" t="n"/>
      <c r="I140" s="34">
        <f>IF(OR($G140="",$H140=""),"",IF($H140&lt;=$G140,"Sim","Não"))</f>
        <v/>
      </c>
      <c r="J140" s="30" t="n"/>
      <c r="K140" s="30" t="n"/>
    </row>
    <row r="141" ht="20" customHeight="1">
      <c r="A141" s="46" t="n"/>
      <c r="B141" s="31" t="n"/>
      <c r="C141" s="47">
        <f>IFERROR(INDEX(Fornecedores!$B$7:$B$66,MATCH($B141,Fornecedores!$A$7:$A$66,0)),"")</f>
        <v/>
      </c>
      <c r="D141" s="30" t="n"/>
      <c r="E141" s="30" t="n"/>
      <c r="F141" s="48" t="n"/>
      <c r="G141" s="46" t="n"/>
      <c r="H141" s="46" t="n"/>
      <c r="I141" s="34">
        <f>IF(OR($G141="",$H141=""),"",IF($H141&lt;=$G141,"Sim","Não"))</f>
        <v/>
      </c>
      <c r="J141" s="30" t="n"/>
      <c r="K141" s="30" t="n"/>
    </row>
    <row r="142" ht="20" customHeight="1">
      <c r="A142" s="46" t="n"/>
      <c r="B142" s="31" t="n"/>
      <c r="C142" s="47">
        <f>IFERROR(INDEX(Fornecedores!$B$7:$B$66,MATCH($B142,Fornecedores!$A$7:$A$66,0)),"")</f>
        <v/>
      </c>
      <c r="D142" s="30" t="n"/>
      <c r="E142" s="30" t="n"/>
      <c r="F142" s="48" t="n"/>
      <c r="G142" s="46" t="n"/>
      <c r="H142" s="46" t="n"/>
      <c r="I142" s="34">
        <f>IF(OR($G142="",$H142=""),"",IF($H142&lt;=$G142,"Sim","Não"))</f>
        <v/>
      </c>
      <c r="J142" s="30" t="n"/>
      <c r="K142" s="30" t="n"/>
    </row>
    <row r="143" ht="20" customHeight="1">
      <c r="A143" s="46" t="n"/>
      <c r="B143" s="31" t="n"/>
      <c r="C143" s="47">
        <f>IFERROR(INDEX(Fornecedores!$B$7:$B$66,MATCH($B143,Fornecedores!$A$7:$A$66,0)),"")</f>
        <v/>
      </c>
      <c r="D143" s="30" t="n"/>
      <c r="E143" s="30" t="n"/>
      <c r="F143" s="48" t="n"/>
      <c r="G143" s="46" t="n"/>
      <c r="H143" s="46" t="n"/>
      <c r="I143" s="34">
        <f>IF(OR($G143="",$H143=""),"",IF($H143&lt;=$G143,"Sim","Não"))</f>
        <v/>
      </c>
      <c r="J143" s="30" t="n"/>
      <c r="K143" s="30" t="n"/>
    </row>
    <row r="144" ht="20" customHeight="1">
      <c r="A144" s="46" t="n"/>
      <c r="B144" s="31" t="n"/>
      <c r="C144" s="47">
        <f>IFERROR(INDEX(Fornecedores!$B$7:$B$66,MATCH($B144,Fornecedores!$A$7:$A$66,0)),"")</f>
        <v/>
      </c>
      <c r="D144" s="30" t="n"/>
      <c r="E144" s="30" t="n"/>
      <c r="F144" s="48" t="n"/>
      <c r="G144" s="46" t="n"/>
      <c r="H144" s="46" t="n"/>
      <c r="I144" s="34">
        <f>IF(OR($G144="",$H144=""),"",IF($H144&lt;=$G144,"Sim","Não"))</f>
        <v/>
      </c>
      <c r="J144" s="30" t="n"/>
      <c r="K144" s="30" t="n"/>
    </row>
    <row r="145" ht="20" customHeight="1">
      <c r="A145" s="46" t="n"/>
      <c r="B145" s="31" t="n"/>
      <c r="C145" s="47">
        <f>IFERROR(INDEX(Fornecedores!$B$7:$B$66,MATCH($B145,Fornecedores!$A$7:$A$66,0)),"")</f>
        <v/>
      </c>
      <c r="D145" s="30" t="n"/>
      <c r="E145" s="30" t="n"/>
      <c r="F145" s="48" t="n"/>
      <c r="G145" s="46" t="n"/>
      <c r="H145" s="46" t="n"/>
      <c r="I145" s="34">
        <f>IF(OR($G145="",$H145=""),"",IF($H145&lt;=$G145,"Sim","Não"))</f>
        <v/>
      </c>
      <c r="J145" s="30" t="n"/>
      <c r="K145" s="30" t="n"/>
    </row>
    <row r="146" ht="20" customHeight="1">
      <c r="A146" s="46" t="n"/>
      <c r="B146" s="31" t="n"/>
      <c r="C146" s="47">
        <f>IFERROR(INDEX(Fornecedores!$B$7:$B$66,MATCH($B146,Fornecedores!$A$7:$A$66,0)),"")</f>
        <v/>
      </c>
      <c r="D146" s="30" t="n"/>
      <c r="E146" s="30" t="n"/>
      <c r="F146" s="48" t="n"/>
      <c r="G146" s="46" t="n"/>
      <c r="H146" s="46" t="n"/>
      <c r="I146" s="34">
        <f>IF(OR($G146="",$H146=""),"",IF($H146&lt;=$G146,"Sim","Não"))</f>
        <v/>
      </c>
      <c r="J146" s="30" t="n"/>
      <c r="K146" s="30" t="n"/>
    </row>
    <row r="147" ht="20" customHeight="1">
      <c r="A147" s="46" t="n"/>
      <c r="B147" s="31" t="n"/>
      <c r="C147" s="47">
        <f>IFERROR(INDEX(Fornecedores!$B$7:$B$66,MATCH($B147,Fornecedores!$A$7:$A$66,0)),"")</f>
        <v/>
      </c>
      <c r="D147" s="30" t="n"/>
      <c r="E147" s="30" t="n"/>
      <c r="F147" s="48" t="n"/>
      <c r="G147" s="46" t="n"/>
      <c r="H147" s="46" t="n"/>
      <c r="I147" s="34">
        <f>IF(OR($G147="",$H147=""),"",IF($H147&lt;=$G147,"Sim","Não"))</f>
        <v/>
      </c>
      <c r="J147" s="30" t="n"/>
      <c r="K147" s="30" t="n"/>
    </row>
    <row r="148" ht="20" customHeight="1">
      <c r="A148" s="46" t="n"/>
      <c r="B148" s="31" t="n"/>
      <c r="C148" s="47">
        <f>IFERROR(INDEX(Fornecedores!$B$7:$B$66,MATCH($B148,Fornecedores!$A$7:$A$66,0)),"")</f>
        <v/>
      </c>
      <c r="D148" s="30" t="n"/>
      <c r="E148" s="30" t="n"/>
      <c r="F148" s="48" t="n"/>
      <c r="G148" s="46" t="n"/>
      <c r="H148" s="46" t="n"/>
      <c r="I148" s="34">
        <f>IF(OR($G148="",$H148=""),"",IF($H148&lt;=$G148,"Sim","Não"))</f>
        <v/>
      </c>
      <c r="J148" s="30" t="n"/>
      <c r="K148" s="30" t="n"/>
    </row>
    <row r="149" ht="20" customHeight="1">
      <c r="A149" s="46" t="n"/>
      <c r="B149" s="31" t="n"/>
      <c r="C149" s="47">
        <f>IFERROR(INDEX(Fornecedores!$B$7:$B$66,MATCH($B149,Fornecedores!$A$7:$A$66,0)),"")</f>
        <v/>
      </c>
      <c r="D149" s="30" t="n"/>
      <c r="E149" s="30" t="n"/>
      <c r="F149" s="48" t="n"/>
      <c r="G149" s="46" t="n"/>
      <c r="H149" s="46" t="n"/>
      <c r="I149" s="34">
        <f>IF(OR($G149="",$H149=""),"",IF($H149&lt;=$G149,"Sim","Não"))</f>
        <v/>
      </c>
      <c r="J149" s="30" t="n"/>
      <c r="K149" s="30" t="n"/>
    </row>
    <row r="150" ht="20" customHeight="1">
      <c r="A150" s="46" t="n"/>
      <c r="B150" s="31" t="n"/>
      <c r="C150" s="47">
        <f>IFERROR(INDEX(Fornecedores!$B$7:$B$66,MATCH($B150,Fornecedores!$A$7:$A$66,0)),"")</f>
        <v/>
      </c>
      <c r="D150" s="30" t="n"/>
      <c r="E150" s="30" t="n"/>
      <c r="F150" s="48" t="n"/>
      <c r="G150" s="46" t="n"/>
      <c r="H150" s="46" t="n"/>
      <c r="I150" s="34">
        <f>IF(OR($G150="",$H150=""),"",IF($H150&lt;=$G150,"Sim","Não"))</f>
        <v/>
      </c>
      <c r="J150" s="30" t="n"/>
      <c r="K150" s="30" t="n"/>
    </row>
    <row r="151" ht="20" customHeight="1">
      <c r="A151" s="46" t="n"/>
      <c r="B151" s="31" t="n"/>
      <c r="C151" s="47">
        <f>IFERROR(INDEX(Fornecedores!$B$7:$B$66,MATCH($B151,Fornecedores!$A$7:$A$66,0)),"")</f>
        <v/>
      </c>
      <c r="D151" s="30" t="n"/>
      <c r="E151" s="30" t="n"/>
      <c r="F151" s="48" t="n"/>
      <c r="G151" s="46" t="n"/>
      <c r="H151" s="46" t="n"/>
      <c r="I151" s="34">
        <f>IF(OR($G151="",$H151=""),"",IF($H151&lt;=$G151,"Sim","Não"))</f>
        <v/>
      </c>
      <c r="J151" s="30" t="n"/>
      <c r="K151" s="30" t="n"/>
    </row>
    <row r="152" ht="20" customHeight="1">
      <c r="A152" s="46" t="n"/>
      <c r="B152" s="31" t="n"/>
      <c r="C152" s="47">
        <f>IFERROR(INDEX(Fornecedores!$B$7:$B$66,MATCH($B152,Fornecedores!$A$7:$A$66,0)),"")</f>
        <v/>
      </c>
      <c r="D152" s="30" t="n"/>
      <c r="E152" s="30" t="n"/>
      <c r="F152" s="48" t="n"/>
      <c r="G152" s="46" t="n"/>
      <c r="H152" s="46" t="n"/>
      <c r="I152" s="34">
        <f>IF(OR($G152="",$H152=""),"",IF($H152&lt;=$G152,"Sim","Não"))</f>
        <v/>
      </c>
      <c r="J152" s="30" t="n"/>
      <c r="K152" s="30" t="n"/>
    </row>
    <row r="153" ht="20" customHeight="1">
      <c r="A153" s="46" t="n"/>
      <c r="B153" s="31" t="n"/>
      <c r="C153" s="47">
        <f>IFERROR(INDEX(Fornecedores!$B$7:$B$66,MATCH($B153,Fornecedores!$A$7:$A$66,0)),"")</f>
        <v/>
      </c>
      <c r="D153" s="30" t="n"/>
      <c r="E153" s="30" t="n"/>
      <c r="F153" s="48" t="n"/>
      <c r="G153" s="46" t="n"/>
      <c r="H153" s="46" t="n"/>
      <c r="I153" s="34">
        <f>IF(OR($G153="",$H153=""),"",IF($H153&lt;=$G153,"Sim","Não"))</f>
        <v/>
      </c>
      <c r="J153" s="30" t="n"/>
      <c r="K153" s="30" t="n"/>
    </row>
    <row r="154" ht="20" customHeight="1">
      <c r="A154" s="46" t="n"/>
      <c r="B154" s="31" t="n"/>
      <c r="C154" s="47">
        <f>IFERROR(INDEX(Fornecedores!$B$7:$B$66,MATCH($B154,Fornecedores!$A$7:$A$66,0)),"")</f>
        <v/>
      </c>
      <c r="D154" s="30" t="n"/>
      <c r="E154" s="30" t="n"/>
      <c r="F154" s="48" t="n"/>
      <c r="G154" s="46" t="n"/>
      <c r="H154" s="46" t="n"/>
      <c r="I154" s="34">
        <f>IF(OR($G154="",$H154=""),"",IF($H154&lt;=$G154,"Sim","Não"))</f>
        <v/>
      </c>
      <c r="J154" s="30" t="n"/>
      <c r="K154" s="30" t="n"/>
    </row>
    <row r="155" ht="20" customHeight="1">
      <c r="A155" s="46" t="n"/>
      <c r="B155" s="31" t="n"/>
      <c r="C155" s="47">
        <f>IFERROR(INDEX(Fornecedores!$B$7:$B$66,MATCH($B155,Fornecedores!$A$7:$A$66,0)),"")</f>
        <v/>
      </c>
      <c r="D155" s="30" t="n"/>
      <c r="E155" s="30" t="n"/>
      <c r="F155" s="48" t="n"/>
      <c r="G155" s="46" t="n"/>
      <c r="H155" s="46" t="n"/>
      <c r="I155" s="34">
        <f>IF(OR($G155="",$H155=""),"",IF($H155&lt;=$G155,"Sim","Não"))</f>
        <v/>
      </c>
      <c r="J155" s="30" t="n"/>
      <c r="K155" s="30" t="n"/>
    </row>
    <row r="156" ht="20" customHeight="1">
      <c r="A156" s="46" t="n"/>
      <c r="B156" s="31" t="n"/>
      <c r="C156" s="47">
        <f>IFERROR(INDEX(Fornecedores!$B$7:$B$66,MATCH($B156,Fornecedores!$A$7:$A$66,0)),"")</f>
        <v/>
      </c>
      <c r="D156" s="30" t="n"/>
      <c r="E156" s="30" t="n"/>
      <c r="F156" s="48" t="n"/>
      <c r="G156" s="46" t="n"/>
      <c r="H156" s="46" t="n"/>
      <c r="I156" s="34">
        <f>IF(OR($G156="",$H156=""),"",IF($H156&lt;=$G156,"Sim","Não"))</f>
        <v/>
      </c>
      <c r="J156" s="30" t="n"/>
      <c r="K156" s="30" t="n"/>
    </row>
    <row r="157" ht="20" customHeight="1">
      <c r="A157" s="46" t="n"/>
      <c r="B157" s="31" t="n"/>
      <c r="C157" s="47">
        <f>IFERROR(INDEX(Fornecedores!$B$7:$B$66,MATCH($B157,Fornecedores!$A$7:$A$66,0)),"")</f>
        <v/>
      </c>
      <c r="D157" s="30" t="n"/>
      <c r="E157" s="30" t="n"/>
      <c r="F157" s="48" t="n"/>
      <c r="G157" s="46" t="n"/>
      <c r="H157" s="46" t="n"/>
      <c r="I157" s="34">
        <f>IF(OR($G157="",$H157=""),"",IF($H157&lt;=$G157,"Sim","Não"))</f>
        <v/>
      </c>
      <c r="J157" s="30" t="n"/>
      <c r="K157" s="30" t="n"/>
    </row>
    <row r="158" ht="20" customHeight="1">
      <c r="A158" s="46" t="n"/>
      <c r="B158" s="31" t="n"/>
      <c r="C158" s="47">
        <f>IFERROR(INDEX(Fornecedores!$B$7:$B$66,MATCH($B158,Fornecedores!$A$7:$A$66,0)),"")</f>
        <v/>
      </c>
      <c r="D158" s="30" t="n"/>
      <c r="E158" s="30" t="n"/>
      <c r="F158" s="48" t="n"/>
      <c r="G158" s="46" t="n"/>
      <c r="H158" s="46" t="n"/>
      <c r="I158" s="34">
        <f>IF(OR($G158="",$H158=""),"",IF($H158&lt;=$G158,"Sim","Não"))</f>
        <v/>
      </c>
      <c r="J158" s="30" t="n"/>
      <c r="K158" s="30" t="n"/>
    </row>
    <row r="159" ht="20" customHeight="1">
      <c r="A159" s="46" t="n"/>
      <c r="B159" s="31" t="n"/>
      <c r="C159" s="47">
        <f>IFERROR(INDEX(Fornecedores!$B$7:$B$66,MATCH($B159,Fornecedores!$A$7:$A$66,0)),"")</f>
        <v/>
      </c>
      <c r="D159" s="30" t="n"/>
      <c r="E159" s="30" t="n"/>
      <c r="F159" s="48" t="n"/>
      <c r="G159" s="46" t="n"/>
      <c r="H159" s="46" t="n"/>
      <c r="I159" s="34">
        <f>IF(OR($G159="",$H159=""),"",IF($H159&lt;=$G159,"Sim","Não"))</f>
        <v/>
      </c>
      <c r="J159" s="30" t="n"/>
      <c r="K159" s="30" t="n"/>
    </row>
    <row r="160" ht="20" customHeight="1">
      <c r="A160" s="46" t="n"/>
      <c r="B160" s="31" t="n"/>
      <c r="C160" s="47">
        <f>IFERROR(INDEX(Fornecedores!$B$7:$B$66,MATCH($B160,Fornecedores!$A$7:$A$66,0)),"")</f>
        <v/>
      </c>
      <c r="D160" s="30" t="n"/>
      <c r="E160" s="30" t="n"/>
      <c r="F160" s="48" t="n"/>
      <c r="G160" s="46" t="n"/>
      <c r="H160" s="46" t="n"/>
      <c r="I160" s="34">
        <f>IF(OR($G160="",$H160=""),"",IF($H160&lt;=$G160,"Sim","Não"))</f>
        <v/>
      </c>
      <c r="J160" s="30" t="n"/>
      <c r="K160" s="30" t="n"/>
    </row>
    <row r="161" ht="20" customHeight="1">
      <c r="A161" s="46" t="n"/>
      <c r="B161" s="31" t="n"/>
      <c r="C161" s="47">
        <f>IFERROR(INDEX(Fornecedores!$B$7:$B$66,MATCH($B161,Fornecedores!$A$7:$A$66,0)),"")</f>
        <v/>
      </c>
      <c r="D161" s="30" t="n"/>
      <c r="E161" s="30" t="n"/>
      <c r="F161" s="48" t="n"/>
      <c r="G161" s="46" t="n"/>
      <c r="H161" s="46" t="n"/>
      <c r="I161" s="34">
        <f>IF(OR($G161="",$H161=""),"",IF($H161&lt;=$G161,"Sim","Não"))</f>
        <v/>
      </c>
      <c r="J161" s="30" t="n"/>
      <c r="K161" s="30" t="n"/>
    </row>
    <row r="162" ht="20" customHeight="1">
      <c r="A162" s="46" t="n"/>
      <c r="B162" s="31" t="n"/>
      <c r="C162" s="47">
        <f>IFERROR(INDEX(Fornecedores!$B$7:$B$66,MATCH($B162,Fornecedores!$A$7:$A$66,0)),"")</f>
        <v/>
      </c>
      <c r="D162" s="30" t="n"/>
      <c r="E162" s="30" t="n"/>
      <c r="F162" s="48" t="n"/>
      <c r="G162" s="46" t="n"/>
      <c r="H162" s="46" t="n"/>
      <c r="I162" s="34">
        <f>IF(OR($G162="",$H162=""),"",IF($H162&lt;=$G162,"Sim","Não"))</f>
        <v/>
      </c>
      <c r="J162" s="30" t="n"/>
      <c r="K162" s="30" t="n"/>
    </row>
    <row r="163" ht="20" customHeight="1">
      <c r="A163" s="46" t="n"/>
      <c r="B163" s="31" t="n"/>
      <c r="C163" s="47">
        <f>IFERROR(INDEX(Fornecedores!$B$7:$B$66,MATCH($B163,Fornecedores!$A$7:$A$66,0)),"")</f>
        <v/>
      </c>
      <c r="D163" s="30" t="n"/>
      <c r="E163" s="30" t="n"/>
      <c r="F163" s="48" t="n"/>
      <c r="G163" s="46" t="n"/>
      <c r="H163" s="46" t="n"/>
      <c r="I163" s="34">
        <f>IF(OR($G163="",$H163=""),"",IF($H163&lt;=$G163,"Sim","Não"))</f>
        <v/>
      </c>
      <c r="J163" s="30" t="n"/>
      <c r="K163" s="30" t="n"/>
    </row>
    <row r="164" ht="20" customHeight="1">
      <c r="A164" s="46" t="n"/>
      <c r="B164" s="31" t="n"/>
      <c r="C164" s="47">
        <f>IFERROR(INDEX(Fornecedores!$B$7:$B$66,MATCH($B164,Fornecedores!$A$7:$A$66,0)),"")</f>
        <v/>
      </c>
      <c r="D164" s="30" t="n"/>
      <c r="E164" s="30" t="n"/>
      <c r="F164" s="48" t="n"/>
      <c r="G164" s="46" t="n"/>
      <c r="H164" s="46" t="n"/>
      <c r="I164" s="34">
        <f>IF(OR($G164="",$H164=""),"",IF($H164&lt;=$G164,"Sim","Não"))</f>
        <v/>
      </c>
      <c r="J164" s="30" t="n"/>
      <c r="K164" s="30" t="n"/>
    </row>
    <row r="165" ht="20" customHeight="1">
      <c r="A165" s="46" t="n"/>
      <c r="B165" s="31" t="n"/>
      <c r="C165" s="47">
        <f>IFERROR(INDEX(Fornecedores!$B$7:$B$66,MATCH($B165,Fornecedores!$A$7:$A$66,0)),"")</f>
        <v/>
      </c>
      <c r="D165" s="30" t="n"/>
      <c r="E165" s="30" t="n"/>
      <c r="F165" s="48" t="n"/>
      <c r="G165" s="46" t="n"/>
      <c r="H165" s="46" t="n"/>
      <c r="I165" s="34">
        <f>IF(OR($G165="",$H165=""),"",IF($H165&lt;=$G165,"Sim","Não"))</f>
        <v/>
      </c>
      <c r="J165" s="30" t="n"/>
      <c r="K165" s="30" t="n"/>
    </row>
    <row r="166" ht="20" customHeight="1">
      <c r="A166" s="46" t="n"/>
      <c r="B166" s="31" t="n"/>
      <c r="C166" s="47">
        <f>IFERROR(INDEX(Fornecedores!$B$7:$B$66,MATCH($B166,Fornecedores!$A$7:$A$66,0)),"")</f>
        <v/>
      </c>
      <c r="D166" s="30" t="n"/>
      <c r="E166" s="30" t="n"/>
      <c r="F166" s="48" t="n"/>
      <c r="G166" s="46" t="n"/>
      <c r="H166" s="46" t="n"/>
      <c r="I166" s="34">
        <f>IF(OR($G166="",$H166=""),"",IF($H166&lt;=$G166,"Sim","Não"))</f>
        <v/>
      </c>
      <c r="J166" s="30" t="n"/>
      <c r="K166" s="30" t="n"/>
    </row>
    <row r="167" ht="20" customHeight="1">
      <c r="A167" s="46" t="n"/>
      <c r="B167" s="31" t="n"/>
      <c r="C167" s="47">
        <f>IFERROR(INDEX(Fornecedores!$B$7:$B$66,MATCH($B167,Fornecedores!$A$7:$A$66,0)),"")</f>
        <v/>
      </c>
      <c r="D167" s="30" t="n"/>
      <c r="E167" s="30" t="n"/>
      <c r="F167" s="48" t="n"/>
      <c r="G167" s="46" t="n"/>
      <c r="H167" s="46" t="n"/>
      <c r="I167" s="34">
        <f>IF(OR($G167="",$H167=""),"",IF($H167&lt;=$G167,"Sim","Não"))</f>
        <v/>
      </c>
      <c r="J167" s="30" t="n"/>
      <c r="K167" s="30" t="n"/>
    </row>
    <row r="168" ht="20" customHeight="1">
      <c r="A168" s="46" t="n"/>
      <c r="B168" s="31" t="n"/>
      <c r="C168" s="47">
        <f>IFERROR(INDEX(Fornecedores!$B$7:$B$66,MATCH($B168,Fornecedores!$A$7:$A$66,0)),"")</f>
        <v/>
      </c>
      <c r="D168" s="30" t="n"/>
      <c r="E168" s="30" t="n"/>
      <c r="F168" s="48" t="n"/>
      <c r="G168" s="46" t="n"/>
      <c r="H168" s="46" t="n"/>
      <c r="I168" s="34">
        <f>IF(OR($G168="",$H168=""),"",IF($H168&lt;=$G168,"Sim","Não"))</f>
        <v/>
      </c>
      <c r="J168" s="30" t="n"/>
      <c r="K168" s="30" t="n"/>
    </row>
    <row r="169" ht="20" customHeight="1">
      <c r="A169" s="46" t="n"/>
      <c r="B169" s="31" t="n"/>
      <c r="C169" s="47">
        <f>IFERROR(INDEX(Fornecedores!$B$7:$B$66,MATCH($B169,Fornecedores!$A$7:$A$66,0)),"")</f>
        <v/>
      </c>
      <c r="D169" s="30" t="n"/>
      <c r="E169" s="30" t="n"/>
      <c r="F169" s="48" t="n"/>
      <c r="G169" s="46" t="n"/>
      <c r="H169" s="46" t="n"/>
      <c r="I169" s="34">
        <f>IF(OR($G169="",$H169=""),"",IF($H169&lt;=$G169,"Sim","Não"))</f>
        <v/>
      </c>
      <c r="J169" s="30" t="n"/>
      <c r="K169" s="30" t="n"/>
    </row>
    <row r="170" ht="20" customHeight="1">
      <c r="A170" s="46" t="n"/>
      <c r="B170" s="31" t="n"/>
      <c r="C170" s="47">
        <f>IFERROR(INDEX(Fornecedores!$B$7:$B$66,MATCH($B170,Fornecedores!$A$7:$A$66,0)),"")</f>
        <v/>
      </c>
      <c r="D170" s="30" t="n"/>
      <c r="E170" s="30" t="n"/>
      <c r="F170" s="48" t="n"/>
      <c r="G170" s="46" t="n"/>
      <c r="H170" s="46" t="n"/>
      <c r="I170" s="34">
        <f>IF(OR($G170="",$H170=""),"",IF($H170&lt;=$G170,"Sim","Não"))</f>
        <v/>
      </c>
      <c r="J170" s="30" t="n"/>
      <c r="K170" s="30" t="n"/>
    </row>
    <row r="171" ht="20" customHeight="1">
      <c r="A171" s="46" t="n"/>
      <c r="B171" s="31" t="n"/>
      <c r="C171" s="47">
        <f>IFERROR(INDEX(Fornecedores!$B$7:$B$66,MATCH($B171,Fornecedores!$A$7:$A$66,0)),"")</f>
        <v/>
      </c>
      <c r="D171" s="30" t="n"/>
      <c r="E171" s="30" t="n"/>
      <c r="F171" s="48" t="n"/>
      <c r="G171" s="46" t="n"/>
      <c r="H171" s="46" t="n"/>
      <c r="I171" s="34">
        <f>IF(OR($G171="",$H171=""),"",IF($H171&lt;=$G171,"Sim","Não"))</f>
        <v/>
      </c>
      <c r="J171" s="30" t="n"/>
      <c r="K171" s="30" t="n"/>
    </row>
    <row r="172" ht="20" customHeight="1">
      <c r="A172" s="46" t="n"/>
      <c r="B172" s="31" t="n"/>
      <c r="C172" s="47">
        <f>IFERROR(INDEX(Fornecedores!$B$7:$B$66,MATCH($B172,Fornecedores!$A$7:$A$66,0)),"")</f>
        <v/>
      </c>
      <c r="D172" s="30" t="n"/>
      <c r="E172" s="30" t="n"/>
      <c r="F172" s="48" t="n"/>
      <c r="G172" s="46" t="n"/>
      <c r="H172" s="46" t="n"/>
      <c r="I172" s="34">
        <f>IF(OR($G172="",$H172=""),"",IF($H172&lt;=$G172,"Sim","Não"))</f>
        <v/>
      </c>
      <c r="J172" s="30" t="n"/>
      <c r="K172" s="30" t="n"/>
    </row>
    <row r="173" ht="20" customHeight="1">
      <c r="A173" s="46" t="n"/>
      <c r="B173" s="31" t="n"/>
      <c r="C173" s="47">
        <f>IFERROR(INDEX(Fornecedores!$B$7:$B$66,MATCH($B173,Fornecedores!$A$7:$A$66,0)),"")</f>
        <v/>
      </c>
      <c r="D173" s="30" t="n"/>
      <c r="E173" s="30" t="n"/>
      <c r="F173" s="48" t="n"/>
      <c r="G173" s="46" t="n"/>
      <c r="H173" s="46" t="n"/>
      <c r="I173" s="34">
        <f>IF(OR($G173="",$H173=""),"",IF($H173&lt;=$G173,"Sim","Não"))</f>
        <v/>
      </c>
      <c r="J173" s="30" t="n"/>
      <c r="K173" s="30" t="n"/>
    </row>
    <row r="174" ht="20" customHeight="1">
      <c r="A174" s="46" t="n"/>
      <c r="B174" s="31" t="n"/>
      <c r="C174" s="47">
        <f>IFERROR(INDEX(Fornecedores!$B$7:$B$66,MATCH($B174,Fornecedores!$A$7:$A$66,0)),"")</f>
        <v/>
      </c>
      <c r="D174" s="30" t="n"/>
      <c r="E174" s="30" t="n"/>
      <c r="F174" s="48" t="n"/>
      <c r="G174" s="46" t="n"/>
      <c r="H174" s="46" t="n"/>
      <c r="I174" s="34">
        <f>IF(OR($G174="",$H174=""),"",IF($H174&lt;=$G174,"Sim","Não"))</f>
        <v/>
      </c>
      <c r="J174" s="30" t="n"/>
      <c r="K174" s="30" t="n"/>
    </row>
    <row r="175" ht="20" customHeight="1">
      <c r="A175" s="46" t="n"/>
      <c r="B175" s="31" t="n"/>
      <c r="C175" s="47">
        <f>IFERROR(INDEX(Fornecedores!$B$7:$B$66,MATCH($B175,Fornecedores!$A$7:$A$66,0)),"")</f>
        <v/>
      </c>
      <c r="D175" s="30" t="n"/>
      <c r="E175" s="30" t="n"/>
      <c r="F175" s="48" t="n"/>
      <c r="G175" s="46" t="n"/>
      <c r="H175" s="46" t="n"/>
      <c r="I175" s="34">
        <f>IF(OR($G175="",$H175=""),"",IF($H175&lt;=$G175,"Sim","Não"))</f>
        <v/>
      </c>
      <c r="J175" s="30" t="n"/>
      <c r="K175" s="30" t="n"/>
    </row>
    <row r="176" ht="20" customHeight="1">
      <c r="A176" s="46" t="n"/>
      <c r="B176" s="31" t="n"/>
      <c r="C176" s="47">
        <f>IFERROR(INDEX(Fornecedores!$B$7:$B$66,MATCH($B176,Fornecedores!$A$7:$A$66,0)),"")</f>
        <v/>
      </c>
      <c r="D176" s="30" t="n"/>
      <c r="E176" s="30" t="n"/>
      <c r="F176" s="48" t="n"/>
      <c r="G176" s="46" t="n"/>
      <c r="H176" s="46" t="n"/>
      <c r="I176" s="34">
        <f>IF(OR($G176="",$H176=""),"",IF($H176&lt;=$G176,"Sim","Não"))</f>
        <v/>
      </c>
      <c r="J176" s="30" t="n"/>
      <c r="K176" s="30" t="n"/>
    </row>
    <row r="177" ht="20" customHeight="1">
      <c r="A177" s="46" t="n"/>
      <c r="B177" s="31" t="n"/>
      <c r="C177" s="47">
        <f>IFERROR(INDEX(Fornecedores!$B$7:$B$66,MATCH($B177,Fornecedores!$A$7:$A$66,0)),"")</f>
        <v/>
      </c>
      <c r="D177" s="30" t="n"/>
      <c r="E177" s="30" t="n"/>
      <c r="F177" s="48" t="n"/>
      <c r="G177" s="46" t="n"/>
      <c r="H177" s="46" t="n"/>
      <c r="I177" s="34">
        <f>IF(OR($G177="",$H177=""),"",IF($H177&lt;=$G177,"Sim","Não"))</f>
        <v/>
      </c>
      <c r="J177" s="30" t="n"/>
      <c r="K177" s="30" t="n"/>
    </row>
    <row r="178" ht="20" customHeight="1">
      <c r="A178" s="46" t="n"/>
      <c r="B178" s="31" t="n"/>
      <c r="C178" s="47">
        <f>IFERROR(INDEX(Fornecedores!$B$7:$B$66,MATCH($B178,Fornecedores!$A$7:$A$66,0)),"")</f>
        <v/>
      </c>
      <c r="D178" s="30" t="n"/>
      <c r="E178" s="30" t="n"/>
      <c r="F178" s="48" t="n"/>
      <c r="G178" s="46" t="n"/>
      <c r="H178" s="46" t="n"/>
      <c r="I178" s="34">
        <f>IF(OR($G178="",$H178=""),"",IF($H178&lt;=$G178,"Sim","Não"))</f>
        <v/>
      </c>
      <c r="J178" s="30" t="n"/>
      <c r="K178" s="30" t="n"/>
    </row>
    <row r="179" ht="20" customHeight="1">
      <c r="A179" s="46" t="n"/>
      <c r="B179" s="31" t="n"/>
      <c r="C179" s="47">
        <f>IFERROR(INDEX(Fornecedores!$B$7:$B$66,MATCH($B179,Fornecedores!$A$7:$A$66,0)),"")</f>
        <v/>
      </c>
      <c r="D179" s="30" t="n"/>
      <c r="E179" s="30" t="n"/>
      <c r="F179" s="48" t="n"/>
      <c r="G179" s="46" t="n"/>
      <c r="H179" s="46" t="n"/>
      <c r="I179" s="34">
        <f>IF(OR($G179="",$H179=""),"",IF($H179&lt;=$G179,"Sim","Não"))</f>
        <v/>
      </c>
      <c r="J179" s="30" t="n"/>
      <c r="K179" s="30" t="n"/>
    </row>
    <row r="180" ht="20" customHeight="1">
      <c r="A180" s="46" t="n"/>
      <c r="B180" s="31" t="n"/>
      <c r="C180" s="47">
        <f>IFERROR(INDEX(Fornecedores!$B$7:$B$66,MATCH($B180,Fornecedores!$A$7:$A$66,0)),"")</f>
        <v/>
      </c>
      <c r="D180" s="30" t="n"/>
      <c r="E180" s="30" t="n"/>
      <c r="F180" s="48" t="n"/>
      <c r="G180" s="46" t="n"/>
      <c r="H180" s="46" t="n"/>
      <c r="I180" s="34">
        <f>IF(OR($G180="",$H180=""),"",IF($H180&lt;=$G180,"Sim","Não"))</f>
        <v/>
      </c>
      <c r="J180" s="30" t="n"/>
      <c r="K180" s="30" t="n"/>
    </row>
    <row r="181" ht="20" customHeight="1">
      <c r="A181" s="46" t="n"/>
      <c r="B181" s="31" t="n"/>
      <c r="C181" s="47">
        <f>IFERROR(INDEX(Fornecedores!$B$7:$B$66,MATCH($B181,Fornecedores!$A$7:$A$66,0)),"")</f>
        <v/>
      </c>
      <c r="D181" s="30" t="n"/>
      <c r="E181" s="30" t="n"/>
      <c r="F181" s="48" t="n"/>
      <c r="G181" s="46" t="n"/>
      <c r="H181" s="46" t="n"/>
      <c r="I181" s="34">
        <f>IF(OR($G181="",$H181=""),"",IF($H181&lt;=$G181,"Sim","Não"))</f>
        <v/>
      </c>
      <c r="J181" s="30" t="n"/>
      <c r="K181" s="30" t="n"/>
    </row>
    <row r="182" ht="20" customHeight="1">
      <c r="A182" s="46" t="n"/>
      <c r="B182" s="31" t="n"/>
      <c r="C182" s="47">
        <f>IFERROR(INDEX(Fornecedores!$B$7:$B$66,MATCH($B182,Fornecedores!$A$7:$A$66,0)),"")</f>
        <v/>
      </c>
      <c r="D182" s="30" t="n"/>
      <c r="E182" s="30" t="n"/>
      <c r="F182" s="48" t="n"/>
      <c r="G182" s="46" t="n"/>
      <c r="H182" s="46" t="n"/>
      <c r="I182" s="34">
        <f>IF(OR($G182="",$H182=""),"",IF($H182&lt;=$G182,"Sim","Não"))</f>
        <v/>
      </c>
      <c r="J182" s="30" t="n"/>
      <c r="K182" s="30" t="n"/>
    </row>
    <row r="183" ht="20" customHeight="1">
      <c r="A183" s="46" t="n"/>
      <c r="B183" s="31" t="n"/>
      <c r="C183" s="47">
        <f>IFERROR(INDEX(Fornecedores!$B$7:$B$66,MATCH($B183,Fornecedores!$A$7:$A$66,0)),"")</f>
        <v/>
      </c>
      <c r="D183" s="30" t="n"/>
      <c r="E183" s="30" t="n"/>
      <c r="F183" s="48" t="n"/>
      <c r="G183" s="46" t="n"/>
      <c r="H183" s="46" t="n"/>
      <c r="I183" s="34">
        <f>IF(OR($G183="",$H183=""),"",IF($H183&lt;=$G183,"Sim","Não"))</f>
        <v/>
      </c>
      <c r="J183" s="30" t="n"/>
      <c r="K183" s="30" t="n"/>
    </row>
    <row r="184" ht="20" customHeight="1">
      <c r="A184" s="46" t="n"/>
      <c r="B184" s="31" t="n"/>
      <c r="C184" s="47">
        <f>IFERROR(INDEX(Fornecedores!$B$7:$B$66,MATCH($B184,Fornecedores!$A$7:$A$66,0)),"")</f>
        <v/>
      </c>
      <c r="D184" s="30" t="n"/>
      <c r="E184" s="30" t="n"/>
      <c r="F184" s="48" t="n"/>
      <c r="G184" s="46" t="n"/>
      <c r="H184" s="46" t="n"/>
      <c r="I184" s="34">
        <f>IF(OR($G184="",$H184=""),"",IF($H184&lt;=$G184,"Sim","Não"))</f>
        <v/>
      </c>
      <c r="J184" s="30" t="n"/>
      <c r="K184" s="30" t="n"/>
    </row>
    <row r="185" ht="20" customHeight="1">
      <c r="A185" s="46" t="n"/>
      <c r="B185" s="31" t="n"/>
      <c r="C185" s="47">
        <f>IFERROR(INDEX(Fornecedores!$B$7:$B$66,MATCH($B185,Fornecedores!$A$7:$A$66,0)),"")</f>
        <v/>
      </c>
      <c r="D185" s="30" t="n"/>
      <c r="E185" s="30" t="n"/>
      <c r="F185" s="48" t="n"/>
      <c r="G185" s="46" t="n"/>
      <c r="H185" s="46" t="n"/>
      <c r="I185" s="34">
        <f>IF(OR($G185="",$H185=""),"",IF($H185&lt;=$G185,"Sim","Não"))</f>
        <v/>
      </c>
      <c r="J185" s="30" t="n"/>
      <c r="K185" s="30" t="n"/>
    </row>
    <row r="186" ht="20" customHeight="1">
      <c r="A186" s="46" t="n"/>
      <c r="B186" s="31" t="n"/>
      <c r="C186" s="47">
        <f>IFERROR(INDEX(Fornecedores!$B$7:$B$66,MATCH($B186,Fornecedores!$A$7:$A$66,0)),"")</f>
        <v/>
      </c>
      <c r="D186" s="30" t="n"/>
      <c r="E186" s="30" t="n"/>
      <c r="F186" s="48" t="n"/>
      <c r="G186" s="46" t="n"/>
      <c r="H186" s="46" t="n"/>
      <c r="I186" s="34">
        <f>IF(OR($G186="",$H186=""),"",IF($H186&lt;=$G186,"Sim","Não"))</f>
        <v/>
      </c>
      <c r="J186" s="30" t="n"/>
      <c r="K186" s="30" t="n"/>
    </row>
    <row r="187" ht="20" customHeight="1">
      <c r="A187" s="46" t="n"/>
      <c r="B187" s="31" t="n"/>
      <c r="C187" s="47">
        <f>IFERROR(INDEX(Fornecedores!$B$7:$B$66,MATCH($B187,Fornecedores!$A$7:$A$66,0)),"")</f>
        <v/>
      </c>
      <c r="D187" s="30" t="n"/>
      <c r="E187" s="30" t="n"/>
      <c r="F187" s="48" t="n"/>
      <c r="G187" s="46" t="n"/>
      <c r="H187" s="46" t="n"/>
      <c r="I187" s="34">
        <f>IF(OR($G187="",$H187=""),"",IF($H187&lt;=$G187,"Sim","Não"))</f>
        <v/>
      </c>
      <c r="J187" s="30" t="n"/>
      <c r="K187" s="30" t="n"/>
    </row>
    <row r="188" ht="20" customHeight="1">
      <c r="A188" s="46" t="n"/>
      <c r="B188" s="31" t="n"/>
      <c r="C188" s="47">
        <f>IFERROR(INDEX(Fornecedores!$B$7:$B$66,MATCH($B188,Fornecedores!$A$7:$A$66,0)),"")</f>
        <v/>
      </c>
      <c r="D188" s="30" t="n"/>
      <c r="E188" s="30" t="n"/>
      <c r="F188" s="48" t="n"/>
      <c r="G188" s="46" t="n"/>
      <c r="H188" s="46" t="n"/>
      <c r="I188" s="34">
        <f>IF(OR($G188="",$H188=""),"",IF($H188&lt;=$G188,"Sim","Não"))</f>
        <v/>
      </c>
      <c r="J188" s="30" t="n"/>
      <c r="K188" s="30" t="n"/>
    </row>
    <row r="189" ht="20" customHeight="1">
      <c r="A189" s="46" t="n"/>
      <c r="B189" s="31" t="n"/>
      <c r="C189" s="47">
        <f>IFERROR(INDEX(Fornecedores!$B$7:$B$66,MATCH($B189,Fornecedores!$A$7:$A$66,0)),"")</f>
        <v/>
      </c>
      <c r="D189" s="30" t="n"/>
      <c r="E189" s="30" t="n"/>
      <c r="F189" s="48" t="n"/>
      <c r="G189" s="46" t="n"/>
      <c r="H189" s="46" t="n"/>
      <c r="I189" s="34">
        <f>IF(OR($G189="",$H189=""),"",IF($H189&lt;=$G189,"Sim","Não"))</f>
        <v/>
      </c>
      <c r="J189" s="30" t="n"/>
      <c r="K189" s="30" t="n"/>
    </row>
    <row r="190" ht="20" customHeight="1">
      <c r="A190" s="46" t="n"/>
      <c r="B190" s="31" t="n"/>
      <c r="C190" s="47">
        <f>IFERROR(INDEX(Fornecedores!$B$7:$B$66,MATCH($B190,Fornecedores!$A$7:$A$66,0)),"")</f>
        <v/>
      </c>
      <c r="D190" s="30" t="n"/>
      <c r="E190" s="30" t="n"/>
      <c r="F190" s="48" t="n"/>
      <c r="G190" s="46" t="n"/>
      <c r="H190" s="46" t="n"/>
      <c r="I190" s="34">
        <f>IF(OR($G190="",$H190=""),"",IF($H190&lt;=$G190,"Sim","Não"))</f>
        <v/>
      </c>
      <c r="J190" s="30" t="n"/>
      <c r="K190" s="30" t="n"/>
    </row>
    <row r="191" ht="20" customHeight="1">
      <c r="A191" s="46" t="n"/>
      <c r="B191" s="31" t="n"/>
      <c r="C191" s="47">
        <f>IFERROR(INDEX(Fornecedores!$B$7:$B$66,MATCH($B191,Fornecedores!$A$7:$A$66,0)),"")</f>
        <v/>
      </c>
      <c r="D191" s="30" t="n"/>
      <c r="E191" s="30" t="n"/>
      <c r="F191" s="48" t="n"/>
      <c r="G191" s="46" t="n"/>
      <c r="H191" s="46" t="n"/>
      <c r="I191" s="34">
        <f>IF(OR($G191="",$H191=""),"",IF($H191&lt;=$G191,"Sim","Não"))</f>
        <v/>
      </c>
      <c r="J191" s="30" t="n"/>
      <c r="K191" s="30" t="n"/>
    </row>
    <row r="192" ht="20" customHeight="1">
      <c r="A192" s="46" t="n"/>
      <c r="B192" s="31" t="n"/>
      <c r="C192" s="47">
        <f>IFERROR(INDEX(Fornecedores!$B$7:$B$66,MATCH($B192,Fornecedores!$A$7:$A$66,0)),"")</f>
        <v/>
      </c>
      <c r="D192" s="30" t="n"/>
      <c r="E192" s="30" t="n"/>
      <c r="F192" s="48" t="n"/>
      <c r="G192" s="46" t="n"/>
      <c r="H192" s="46" t="n"/>
      <c r="I192" s="34">
        <f>IF(OR($G192="",$H192=""),"",IF($H192&lt;=$G192,"Sim","Não"))</f>
        <v/>
      </c>
      <c r="J192" s="30" t="n"/>
      <c r="K192" s="30" t="n"/>
    </row>
    <row r="193" ht="20" customHeight="1">
      <c r="A193" s="46" t="n"/>
      <c r="B193" s="31" t="n"/>
      <c r="C193" s="47">
        <f>IFERROR(INDEX(Fornecedores!$B$7:$B$66,MATCH($B193,Fornecedores!$A$7:$A$66,0)),"")</f>
        <v/>
      </c>
      <c r="D193" s="30" t="n"/>
      <c r="E193" s="30" t="n"/>
      <c r="F193" s="48" t="n"/>
      <c r="G193" s="46" t="n"/>
      <c r="H193" s="46" t="n"/>
      <c r="I193" s="34">
        <f>IF(OR($G193="",$H193=""),"",IF($H193&lt;=$G193,"Sim","Não"))</f>
        <v/>
      </c>
      <c r="J193" s="30" t="n"/>
      <c r="K193" s="30" t="n"/>
    </row>
    <row r="194" ht="20" customHeight="1">
      <c r="A194" s="46" t="n"/>
      <c r="B194" s="31" t="n"/>
      <c r="C194" s="47">
        <f>IFERROR(INDEX(Fornecedores!$B$7:$B$66,MATCH($B194,Fornecedores!$A$7:$A$66,0)),"")</f>
        <v/>
      </c>
      <c r="D194" s="30" t="n"/>
      <c r="E194" s="30" t="n"/>
      <c r="F194" s="48" t="n"/>
      <c r="G194" s="46" t="n"/>
      <c r="H194" s="46" t="n"/>
      <c r="I194" s="34">
        <f>IF(OR($G194="",$H194=""),"",IF($H194&lt;=$G194,"Sim","Não"))</f>
        <v/>
      </c>
      <c r="J194" s="30" t="n"/>
      <c r="K194" s="30" t="n"/>
    </row>
    <row r="195" ht="20" customHeight="1">
      <c r="A195" s="46" t="n"/>
      <c r="B195" s="31" t="n"/>
      <c r="C195" s="47">
        <f>IFERROR(INDEX(Fornecedores!$B$7:$B$66,MATCH($B195,Fornecedores!$A$7:$A$66,0)),"")</f>
        <v/>
      </c>
      <c r="D195" s="30" t="n"/>
      <c r="E195" s="30" t="n"/>
      <c r="F195" s="48" t="n"/>
      <c r="G195" s="46" t="n"/>
      <c r="H195" s="46" t="n"/>
      <c r="I195" s="34">
        <f>IF(OR($G195="",$H195=""),"",IF($H195&lt;=$G195,"Sim","Não"))</f>
        <v/>
      </c>
      <c r="J195" s="30" t="n"/>
      <c r="K195" s="30" t="n"/>
    </row>
    <row r="196" ht="20" customHeight="1">
      <c r="A196" s="46" t="n"/>
      <c r="B196" s="31" t="n"/>
      <c r="C196" s="47">
        <f>IFERROR(INDEX(Fornecedores!$B$7:$B$66,MATCH($B196,Fornecedores!$A$7:$A$66,0)),"")</f>
        <v/>
      </c>
      <c r="D196" s="30" t="n"/>
      <c r="E196" s="30" t="n"/>
      <c r="F196" s="48" t="n"/>
      <c r="G196" s="46" t="n"/>
      <c r="H196" s="46" t="n"/>
      <c r="I196" s="34">
        <f>IF(OR($G196="",$H196=""),"",IF($H196&lt;=$G196,"Sim","Não"))</f>
        <v/>
      </c>
      <c r="J196" s="30" t="n"/>
      <c r="K196" s="30" t="n"/>
    </row>
    <row r="197" ht="20" customHeight="1">
      <c r="A197" s="46" t="n"/>
      <c r="B197" s="31" t="n"/>
      <c r="C197" s="47">
        <f>IFERROR(INDEX(Fornecedores!$B$7:$B$66,MATCH($B197,Fornecedores!$A$7:$A$66,0)),"")</f>
        <v/>
      </c>
      <c r="D197" s="30" t="n"/>
      <c r="E197" s="30" t="n"/>
      <c r="F197" s="48" t="n"/>
      <c r="G197" s="46" t="n"/>
      <c r="H197" s="46" t="n"/>
      <c r="I197" s="34">
        <f>IF(OR($G197="",$H197=""),"",IF($H197&lt;=$G197,"Sim","Não"))</f>
        <v/>
      </c>
      <c r="J197" s="30" t="n"/>
      <c r="K197" s="30" t="n"/>
    </row>
    <row r="198" ht="20" customHeight="1">
      <c r="A198" s="46" t="n"/>
      <c r="B198" s="31" t="n"/>
      <c r="C198" s="47">
        <f>IFERROR(INDEX(Fornecedores!$B$7:$B$66,MATCH($B198,Fornecedores!$A$7:$A$66,0)),"")</f>
        <v/>
      </c>
      <c r="D198" s="30" t="n"/>
      <c r="E198" s="30" t="n"/>
      <c r="F198" s="48" t="n"/>
      <c r="G198" s="46" t="n"/>
      <c r="H198" s="46" t="n"/>
      <c r="I198" s="34">
        <f>IF(OR($G198="",$H198=""),"",IF($H198&lt;=$G198,"Sim","Não"))</f>
        <v/>
      </c>
      <c r="J198" s="30" t="n"/>
      <c r="K198" s="30" t="n"/>
    </row>
    <row r="199" ht="20" customHeight="1">
      <c r="A199" s="46" t="n"/>
      <c r="B199" s="31" t="n"/>
      <c r="C199" s="47">
        <f>IFERROR(INDEX(Fornecedores!$B$7:$B$66,MATCH($B199,Fornecedores!$A$7:$A$66,0)),"")</f>
        <v/>
      </c>
      <c r="D199" s="30" t="n"/>
      <c r="E199" s="30" t="n"/>
      <c r="F199" s="48" t="n"/>
      <c r="G199" s="46" t="n"/>
      <c r="H199" s="46" t="n"/>
      <c r="I199" s="34">
        <f>IF(OR($G199="",$H199=""),"",IF($H199&lt;=$G199,"Sim","Não"))</f>
        <v/>
      </c>
      <c r="J199" s="30" t="n"/>
      <c r="K199" s="30" t="n"/>
    </row>
    <row r="200" ht="20" customHeight="1">
      <c r="A200" s="46" t="n"/>
      <c r="B200" s="31" t="n"/>
      <c r="C200" s="47">
        <f>IFERROR(INDEX(Fornecedores!$B$7:$B$66,MATCH($B200,Fornecedores!$A$7:$A$66,0)),"")</f>
        <v/>
      </c>
      <c r="D200" s="30" t="n"/>
      <c r="E200" s="30" t="n"/>
      <c r="F200" s="48" t="n"/>
      <c r="G200" s="46" t="n"/>
      <c r="H200" s="46" t="n"/>
      <c r="I200" s="34">
        <f>IF(OR($G200="",$H200=""),"",IF($H200&lt;=$G200,"Sim","Não"))</f>
        <v/>
      </c>
      <c r="J200" s="30" t="n"/>
      <c r="K200" s="30" t="n"/>
    </row>
    <row r="201" ht="20" customHeight="1">
      <c r="A201" s="46" t="n"/>
      <c r="B201" s="31" t="n"/>
      <c r="C201" s="47">
        <f>IFERROR(INDEX(Fornecedores!$B$7:$B$66,MATCH($B201,Fornecedores!$A$7:$A$66,0)),"")</f>
        <v/>
      </c>
      <c r="D201" s="30" t="n"/>
      <c r="E201" s="30" t="n"/>
      <c r="F201" s="48" t="n"/>
      <c r="G201" s="46" t="n"/>
      <c r="H201" s="46" t="n"/>
      <c r="I201" s="34">
        <f>IF(OR($G201="",$H201=""),"",IF($H201&lt;=$G201,"Sim","Não"))</f>
        <v/>
      </c>
      <c r="J201" s="30" t="n"/>
      <c r="K201" s="30" t="n"/>
    </row>
    <row r="202" ht="20" customHeight="1">
      <c r="A202" s="46" t="n"/>
      <c r="B202" s="31" t="n"/>
      <c r="C202" s="47">
        <f>IFERROR(INDEX(Fornecedores!$B$7:$B$66,MATCH($B202,Fornecedores!$A$7:$A$66,0)),"")</f>
        <v/>
      </c>
      <c r="D202" s="30" t="n"/>
      <c r="E202" s="30" t="n"/>
      <c r="F202" s="48" t="n"/>
      <c r="G202" s="46" t="n"/>
      <c r="H202" s="46" t="n"/>
      <c r="I202" s="34">
        <f>IF(OR($G202="",$H202=""),"",IF($H202&lt;=$G202,"Sim","Não"))</f>
        <v/>
      </c>
      <c r="J202" s="30" t="n"/>
      <c r="K202" s="30" t="n"/>
    </row>
    <row r="203" ht="20" customHeight="1">
      <c r="A203" s="46" t="n"/>
      <c r="B203" s="31" t="n"/>
      <c r="C203" s="47">
        <f>IFERROR(INDEX(Fornecedores!$B$7:$B$66,MATCH($B203,Fornecedores!$A$7:$A$66,0)),"")</f>
        <v/>
      </c>
      <c r="D203" s="30" t="n"/>
      <c r="E203" s="30" t="n"/>
      <c r="F203" s="48" t="n"/>
      <c r="G203" s="46" t="n"/>
      <c r="H203" s="46" t="n"/>
      <c r="I203" s="34">
        <f>IF(OR($G203="",$H203=""),"",IF($H203&lt;=$G203,"Sim","Não"))</f>
        <v/>
      </c>
      <c r="J203" s="30" t="n"/>
      <c r="K203" s="30" t="n"/>
    </row>
    <row r="204" ht="20" customHeight="1">
      <c r="A204" s="46" t="n"/>
      <c r="B204" s="31" t="n"/>
      <c r="C204" s="47">
        <f>IFERROR(INDEX(Fornecedores!$B$7:$B$66,MATCH($B204,Fornecedores!$A$7:$A$66,0)),"")</f>
        <v/>
      </c>
      <c r="D204" s="30" t="n"/>
      <c r="E204" s="30" t="n"/>
      <c r="F204" s="48" t="n"/>
      <c r="G204" s="46" t="n"/>
      <c r="H204" s="46" t="n"/>
      <c r="I204" s="34">
        <f>IF(OR($G204="",$H204=""),"",IF($H204&lt;=$G204,"Sim","Não"))</f>
        <v/>
      </c>
      <c r="J204" s="30" t="n"/>
      <c r="K204" s="30" t="n"/>
    </row>
    <row r="205" ht="20" customHeight="1">
      <c r="A205" s="46" t="n"/>
      <c r="B205" s="31" t="n"/>
      <c r="C205" s="47">
        <f>IFERROR(INDEX(Fornecedores!$B$7:$B$66,MATCH($B205,Fornecedores!$A$7:$A$66,0)),"")</f>
        <v/>
      </c>
      <c r="D205" s="30" t="n"/>
      <c r="E205" s="30" t="n"/>
      <c r="F205" s="48" t="n"/>
      <c r="G205" s="46" t="n"/>
      <c r="H205" s="46" t="n"/>
      <c r="I205" s="34">
        <f>IF(OR($G205="",$H205=""),"",IF($H205&lt;=$G205,"Sim","Não"))</f>
        <v/>
      </c>
      <c r="J205" s="30" t="n"/>
      <c r="K205" s="30" t="n"/>
    </row>
    <row r="206" ht="20" customHeight="1">
      <c r="A206" s="46" t="n"/>
      <c r="B206" s="31" t="n"/>
      <c r="C206" s="47">
        <f>IFERROR(INDEX(Fornecedores!$B$7:$B$66,MATCH($B206,Fornecedores!$A$7:$A$66,0)),"")</f>
        <v/>
      </c>
      <c r="D206" s="30" t="n"/>
      <c r="E206" s="30" t="n"/>
      <c r="F206" s="48" t="n"/>
      <c r="G206" s="46" t="n"/>
      <c r="H206" s="46" t="n"/>
      <c r="I206" s="34">
        <f>IF(OR($G206="",$H206=""),"",IF($H206&lt;=$G206,"Sim","Não"))</f>
        <v/>
      </c>
      <c r="J206" s="30" t="n"/>
      <c r="K206" s="30" t="n"/>
    </row>
    <row r="207" ht="20" customHeight="1">
      <c r="A207" s="46" t="n"/>
      <c r="B207" s="31" t="n"/>
      <c r="C207" s="47">
        <f>IFERROR(INDEX(Fornecedores!$B$7:$B$66,MATCH($B207,Fornecedores!$A$7:$A$66,0)),"")</f>
        <v/>
      </c>
      <c r="D207" s="30" t="n"/>
      <c r="E207" s="30" t="n"/>
      <c r="F207" s="48" t="n"/>
      <c r="G207" s="46" t="n"/>
      <c r="H207" s="46" t="n"/>
      <c r="I207" s="34">
        <f>IF(OR($G207="",$H207=""),"",IF($H207&lt;=$G207,"Sim","Não"))</f>
        <v/>
      </c>
      <c r="J207" s="30" t="n"/>
      <c r="K207" s="30" t="n"/>
    </row>
    <row r="208" ht="20" customHeight="1">
      <c r="A208" s="46" t="n"/>
      <c r="B208" s="31" t="n"/>
      <c r="C208" s="47">
        <f>IFERROR(INDEX(Fornecedores!$B$7:$B$66,MATCH($B208,Fornecedores!$A$7:$A$66,0)),"")</f>
        <v/>
      </c>
      <c r="D208" s="30" t="n"/>
      <c r="E208" s="30" t="n"/>
      <c r="F208" s="48" t="n"/>
      <c r="G208" s="46" t="n"/>
      <c r="H208" s="46" t="n"/>
      <c r="I208" s="34">
        <f>IF(OR($G208="",$H208=""),"",IF($H208&lt;=$G208,"Sim","Não"))</f>
        <v/>
      </c>
      <c r="J208" s="30" t="n"/>
      <c r="K208" s="30" t="n"/>
    </row>
    <row r="209" ht="20" customHeight="1">
      <c r="A209" s="46" t="n"/>
      <c r="B209" s="31" t="n"/>
      <c r="C209" s="47">
        <f>IFERROR(INDEX(Fornecedores!$B$7:$B$66,MATCH($B209,Fornecedores!$A$7:$A$66,0)),"")</f>
        <v/>
      </c>
      <c r="D209" s="30" t="n"/>
      <c r="E209" s="30" t="n"/>
      <c r="F209" s="48" t="n"/>
      <c r="G209" s="46" t="n"/>
      <c r="H209" s="46" t="n"/>
      <c r="I209" s="34">
        <f>IF(OR($G209="",$H209=""),"",IF($H209&lt;=$G209,"Sim","Não"))</f>
        <v/>
      </c>
      <c r="J209" s="30" t="n"/>
      <c r="K209" s="30" t="n"/>
    </row>
    <row r="210" ht="20" customHeight="1">
      <c r="A210" s="46" t="n"/>
      <c r="B210" s="31" t="n"/>
      <c r="C210" s="47">
        <f>IFERROR(INDEX(Fornecedores!$B$7:$B$66,MATCH($B210,Fornecedores!$A$7:$A$66,0)),"")</f>
        <v/>
      </c>
      <c r="D210" s="30" t="n"/>
      <c r="E210" s="30" t="n"/>
      <c r="F210" s="48" t="n"/>
      <c r="G210" s="46" t="n"/>
      <c r="H210" s="46" t="n"/>
      <c r="I210" s="34">
        <f>IF(OR($G210="",$H210=""),"",IF($H210&lt;=$G210,"Sim","Não"))</f>
        <v/>
      </c>
      <c r="J210" s="30" t="n"/>
      <c r="K210" s="30" t="n"/>
    </row>
    <row r="211" ht="20" customHeight="1">
      <c r="A211" s="46" t="n"/>
      <c r="B211" s="31" t="n"/>
      <c r="C211" s="47">
        <f>IFERROR(INDEX(Fornecedores!$B$7:$B$66,MATCH($B211,Fornecedores!$A$7:$A$66,0)),"")</f>
        <v/>
      </c>
      <c r="D211" s="30" t="n"/>
      <c r="E211" s="30" t="n"/>
      <c r="F211" s="48" t="n"/>
      <c r="G211" s="46" t="n"/>
      <c r="H211" s="46" t="n"/>
      <c r="I211" s="34">
        <f>IF(OR($G211="",$H211=""),"",IF($H211&lt;=$G211,"Sim","Não"))</f>
        <v/>
      </c>
      <c r="J211" s="30" t="n"/>
      <c r="K211" s="30" t="n"/>
    </row>
    <row r="212" ht="20" customHeight="1">
      <c r="A212" s="46" t="n"/>
      <c r="B212" s="31" t="n"/>
      <c r="C212" s="47">
        <f>IFERROR(INDEX(Fornecedores!$B$7:$B$66,MATCH($B212,Fornecedores!$A$7:$A$66,0)),"")</f>
        <v/>
      </c>
      <c r="D212" s="30" t="n"/>
      <c r="E212" s="30" t="n"/>
      <c r="F212" s="48" t="n"/>
      <c r="G212" s="46" t="n"/>
      <c r="H212" s="46" t="n"/>
      <c r="I212" s="34">
        <f>IF(OR($G212="",$H212=""),"",IF($H212&lt;=$G212,"Sim","Não"))</f>
        <v/>
      </c>
      <c r="J212" s="30" t="n"/>
      <c r="K212" s="30" t="n"/>
    </row>
    <row r="213" ht="20" customHeight="1">
      <c r="A213" s="46" t="n"/>
      <c r="B213" s="31" t="n"/>
      <c r="C213" s="47">
        <f>IFERROR(INDEX(Fornecedores!$B$7:$B$66,MATCH($B213,Fornecedores!$A$7:$A$66,0)),"")</f>
        <v/>
      </c>
      <c r="D213" s="30" t="n"/>
      <c r="E213" s="30" t="n"/>
      <c r="F213" s="48" t="n"/>
      <c r="G213" s="46" t="n"/>
      <c r="H213" s="46" t="n"/>
      <c r="I213" s="34">
        <f>IF(OR($G213="",$H213=""),"",IF($H213&lt;=$G213,"Sim","Não"))</f>
        <v/>
      </c>
      <c r="J213" s="30" t="n"/>
      <c r="K213" s="30" t="n"/>
    </row>
    <row r="214" ht="20" customHeight="1">
      <c r="A214" s="46" t="n"/>
      <c r="B214" s="31" t="n"/>
      <c r="C214" s="47">
        <f>IFERROR(INDEX(Fornecedores!$B$7:$B$66,MATCH($B214,Fornecedores!$A$7:$A$66,0)),"")</f>
        <v/>
      </c>
      <c r="D214" s="30" t="n"/>
      <c r="E214" s="30" t="n"/>
      <c r="F214" s="48" t="n"/>
      <c r="G214" s="46" t="n"/>
      <c r="H214" s="46" t="n"/>
      <c r="I214" s="34">
        <f>IF(OR($G214="",$H214=""),"",IF($H214&lt;=$G214,"Sim","Não"))</f>
        <v/>
      </c>
      <c r="J214" s="30" t="n"/>
      <c r="K214" s="30" t="n"/>
    </row>
    <row r="215" ht="20" customHeight="1">
      <c r="A215" s="46" t="n"/>
      <c r="B215" s="31" t="n"/>
      <c r="C215" s="47">
        <f>IFERROR(INDEX(Fornecedores!$B$7:$B$66,MATCH($B215,Fornecedores!$A$7:$A$66,0)),"")</f>
        <v/>
      </c>
      <c r="D215" s="30" t="n"/>
      <c r="E215" s="30" t="n"/>
      <c r="F215" s="48" t="n"/>
      <c r="G215" s="46" t="n"/>
      <c r="H215" s="46" t="n"/>
      <c r="I215" s="34">
        <f>IF(OR($G215="",$H215=""),"",IF($H215&lt;=$G215,"Sim","Não"))</f>
        <v/>
      </c>
      <c r="J215" s="30" t="n"/>
      <c r="K215" s="30" t="n"/>
    </row>
    <row r="216" ht="20" customHeight="1">
      <c r="A216" s="46" t="n"/>
      <c r="B216" s="31" t="n"/>
      <c r="C216" s="47">
        <f>IFERROR(INDEX(Fornecedores!$B$7:$B$66,MATCH($B216,Fornecedores!$A$7:$A$66,0)),"")</f>
        <v/>
      </c>
      <c r="D216" s="30" t="n"/>
      <c r="E216" s="30" t="n"/>
      <c r="F216" s="48" t="n"/>
      <c r="G216" s="46" t="n"/>
      <c r="H216" s="46" t="n"/>
      <c r="I216" s="34">
        <f>IF(OR($G216="",$H216=""),"",IF($H216&lt;=$G216,"Sim","Não"))</f>
        <v/>
      </c>
      <c r="J216" s="30" t="n"/>
      <c r="K216" s="30" t="n"/>
    </row>
    <row r="217" ht="20" customHeight="1">
      <c r="A217" s="46" t="n"/>
      <c r="B217" s="31" t="n"/>
      <c r="C217" s="47">
        <f>IFERROR(INDEX(Fornecedores!$B$7:$B$66,MATCH($B217,Fornecedores!$A$7:$A$66,0)),"")</f>
        <v/>
      </c>
      <c r="D217" s="30" t="n"/>
      <c r="E217" s="30" t="n"/>
      <c r="F217" s="48" t="n"/>
      <c r="G217" s="46" t="n"/>
      <c r="H217" s="46" t="n"/>
      <c r="I217" s="34">
        <f>IF(OR($G217="",$H217=""),"",IF($H217&lt;=$G217,"Sim","Não"))</f>
        <v/>
      </c>
      <c r="J217" s="30" t="n"/>
      <c r="K217" s="30" t="n"/>
    </row>
    <row r="218" ht="20" customHeight="1">
      <c r="A218" s="46" t="n"/>
      <c r="B218" s="31" t="n"/>
      <c r="C218" s="47">
        <f>IFERROR(INDEX(Fornecedores!$B$7:$B$66,MATCH($B218,Fornecedores!$A$7:$A$66,0)),"")</f>
        <v/>
      </c>
      <c r="D218" s="30" t="n"/>
      <c r="E218" s="30" t="n"/>
      <c r="F218" s="48" t="n"/>
      <c r="G218" s="46" t="n"/>
      <c r="H218" s="46" t="n"/>
      <c r="I218" s="34">
        <f>IF(OR($G218="",$H218=""),"",IF($H218&lt;=$G218,"Sim","Não"))</f>
        <v/>
      </c>
      <c r="J218" s="30" t="n"/>
      <c r="K218" s="30" t="n"/>
    </row>
    <row r="219" ht="20" customHeight="1">
      <c r="A219" s="46" t="n"/>
      <c r="B219" s="31" t="n"/>
      <c r="C219" s="47">
        <f>IFERROR(INDEX(Fornecedores!$B$7:$B$66,MATCH($B219,Fornecedores!$A$7:$A$66,0)),"")</f>
        <v/>
      </c>
      <c r="D219" s="30" t="n"/>
      <c r="E219" s="30" t="n"/>
      <c r="F219" s="48" t="n"/>
      <c r="G219" s="46" t="n"/>
      <c r="H219" s="46" t="n"/>
      <c r="I219" s="34">
        <f>IF(OR($G219="",$H219=""),"",IF($H219&lt;=$G219,"Sim","Não"))</f>
        <v/>
      </c>
      <c r="J219" s="30" t="n"/>
      <c r="K219" s="30" t="n"/>
    </row>
    <row r="220" ht="20" customHeight="1">
      <c r="A220" s="46" t="n"/>
      <c r="B220" s="31" t="n"/>
      <c r="C220" s="47">
        <f>IFERROR(INDEX(Fornecedores!$B$7:$B$66,MATCH($B220,Fornecedores!$A$7:$A$66,0)),"")</f>
        <v/>
      </c>
      <c r="D220" s="30" t="n"/>
      <c r="E220" s="30" t="n"/>
      <c r="F220" s="48" t="n"/>
      <c r="G220" s="46" t="n"/>
      <c r="H220" s="46" t="n"/>
      <c r="I220" s="34">
        <f>IF(OR($G220="",$H220=""),"",IF($H220&lt;=$G220,"Sim","Não"))</f>
        <v/>
      </c>
      <c r="J220" s="30" t="n"/>
      <c r="K220" s="30" t="n"/>
    </row>
    <row r="221" ht="20" customHeight="1">
      <c r="A221" s="46" t="n"/>
      <c r="B221" s="31" t="n"/>
      <c r="C221" s="47">
        <f>IFERROR(INDEX(Fornecedores!$B$7:$B$66,MATCH($B221,Fornecedores!$A$7:$A$66,0)),"")</f>
        <v/>
      </c>
      <c r="D221" s="30" t="n"/>
      <c r="E221" s="30" t="n"/>
      <c r="F221" s="48" t="n"/>
      <c r="G221" s="46" t="n"/>
      <c r="H221" s="46" t="n"/>
      <c r="I221" s="34">
        <f>IF(OR($G221="",$H221=""),"",IF($H221&lt;=$G221,"Sim","Não"))</f>
        <v/>
      </c>
      <c r="J221" s="30" t="n"/>
      <c r="K221" s="30" t="n"/>
    </row>
    <row r="222" ht="20" customHeight="1">
      <c r="A222" s="46" t="n"/>
      <c r="B222" s="31" t="n"/>
      <c r="C222" s="47">
        <f>IFERROR(INDEX(Fornecedores!$B$7:$B$66,MATCH($B222,Fornecedores!$A$7:$A$66,0)),"")</f>
        <v/>
      </c>
      <c r="D222" s="30" t="n"/>
      <c r="E222" s="30" t="n"/>
      <c r="F222" s="48" t="n"/>
      <c r="G222" s="46" t="n"/>
      <c r="H222" s="46" t="n"/>
      <c r="I222" s="34">
        <f>IF(OR($G222="",$H222=""),"",IF($H222&lt;=$G222,"Sim","Não"))</f>
        <v/>
      </c>
      <c r="J222" s="30" t="n"/>
      <c r="K222" s="30" t="n"/>
    </row>
    <row r="223" ht="20" customHeight="1">
      <c r="A223" s="46" t="n"/>
      <c r="B223" s="31" t="n"/>
      <c r="C223" s="47">
        <f>IFERROR(INDEX(Fornecedores!$B$7:$B$66,MATCH($B223,Fornecedores!$A$7:$A$66,0)),"")</f>
        <v/>
      </c>
      <c r="D223" s="30" t="n"/>
      <c r="E223" s="30" t="n"/>
      <c r="F223" s="48" t="n"/>
      <c r="G223" s="46" t="n"/>
      <c r="H223" s="46" t="n"/>
      <c r="I223" s="34">
        <f>IF(OR($G223="",$H223=""),"",IF($H223&lt;=$G223,"Sim","Não"))</f>
        <v/>
      </c>
      <c r="J223" s="30" t="n"/>
      <c r="K223" s="30" t="n"/>
    </row>
    <row r="224" ht="20" customHeight="1">
      <c r="A224" s="46" t="n"/>
      <c r="B224" s="31" t="n"/>
      <c r="C224" s="47">
        <f>IFERROR(INDEX(Fornecedores!$B$7:$B$66,MATCH($B224,Fornecedores!$A$7:$A$66,0)),"")</f>
        <v/>
      </c>
      <c r="D224" s="30" t="n"/>
      <c r="E224" s="30" t="n"/>
      <c r="F224" s="48" t="n"/>
      <c r="G224" s="46" t="n"/>
      <c r="H224" s="46" t="n"/>
      <c r="I224" s="34">
        <f>IF(OR($G224="",$H224=""),"",IF($H224&lt;=$G224,"Sim","Não"))</f>
        <v/>
      </c>
      <c r="J224" s="30" t="n"/>
      <c r="K224" s="30" t="n"/>
    </row>
    <row r="225" ht="20" customHeight="1">
      <c r="A225" s="46" t="n"/>
      <c r="B225" s="31" t="n"/>
      <c r="C225" s="47">
        <f>IFERROR(INDEX(Fornecedores!$B$7:$B$66,MATCH($B225,Fornecedores!$A$7:$A$66,0)),"")</f>
        <v/>
      </c>
      <c r="D225" s="30" t="n"/>
      <c r="E225" s="30" t="n"/>
      <c r="F225" s="48" t="n"/>
      <c r="G225" s="46" t="n"/>
      <c r="H225" s="46" t="n"/>
      <c r="I225" s="34">
        <f>IF(OR($G225="",$H225=""),"",IF($H225&lt;=$G225,"Sim","Não"))</f>
        <v/>
      </c>
      <c r="J225" s="30" t="n"/>
      <c r="K225" s="30" t="n"/>
    </row>
    <row r="226" ht="20" customHeight="1">
      <c r="A226" s="46" t="n"/>
      <c r="B226" s="31" t="n"/>
      <c r="C226" s="47">
        <f>IFERROR(INDEX(Fornecedores!$B$7:$B$66,MATCH($B226,Fornecedores!$A$7:$A$66,0)),"")</f>
        <v/>
      </c>
      <c r="D226" s="30" t="n"/>
      <c r="E226" s="30" t="n"/>
      <c r="F226" s="48" t="n"/>
      <c r="G226" s="46" t="n"/>
      <c r="H226" s="46" t="n"/>
      <c r="I226" s="34">
        <f>IF(OR($G226="",$H226=""),"",IF($H226&lt;=$G226,"Sim","Não"))</f>
        <v/>
      </c>
      <c r="J226" s="30" t="n"/>
      <c r="K226" s="30" t="n"/>
    </row>
    <row r="227" ht="20" customHeight="1">
      <c r="A227" s="46" t="n"/>
      <c r="B227" s="31" t="n"/>
      <c r="C227" s="47">
        <f>IFERROR(INDEX(Fornecedores!$B$7:$B$66,MATCH($B227,Fornecedores!$A$7:$A$66,0)),"")</f>
        <v/>
      </c>
      <c r="D227" s="30" t="n"/>
      <c r="E227" s="30" t="n"/>
      <c r="F227" s="48" t="n"/>
      <c r="G227" s="46" t="n"/>
      <c r="H227" s="46" t="n"/>
      <c r="I227" s="34">
        <f>IF(OR($G227="",$H227=""),"",IF($H227&lt;=$G227,"Sim","Não"))</f>
        <v/>
      </c>
      <c r="J227" s="30" t="n"/>
      <c r="K227" s="30" t="n"/>
    </row>
    <row r="228" ht="20" customHeight="1">
      <c r="A228" s="46" t="n"/>
      <c r="B228" s="31" t="n"/>
      <c r="C228" s="47">
        <f>IFERROR(INDEX(Fornecedores!$B$7:$B$66,MATCH($B228,Fornecedores!$A$7:$A$66,0)),"")</f>
        <v/>
      </c>
      <c r="D228" s="30" t="n"/>
      <c r="E228" s="30" t="n"/>
      <c r="F228" s="48" t="n"/>
      <c r="G228" s="46" t="n"/>
      <c r="H228" s="46" t="n"/>
      <c r="I228" s="34">
        <f>IF(OR($G228="",$H228=""),"",IF($H228&lt;=$G228,"Sim","Não"))</f>
        <v/>
      </c>
      <c r="J228" s="30" t="n"/>
      <c r="K228" s="30" t="n"/>
    </row>
    <row r="229" ht="20" customHeight="1">
      <c r="A229" s="46" t="n"/>
      <c r="B229" s="31" t="n"/>
      <c r="C229" s="47">
        <f>IFERROR(INDEX(Fornecedores!$B$7:$B$66,MATCH($B229,Fornecedores!$A$7:$A$66,0)),"")</f>
        <v/>
      </c>
      <c r="D229" s="30" t="n"/>
      <c r="E229" s="30" t="n"/>
      <c r="F229" s="48" t="n"/>
      <c r="G229" s="46" t="n"/>
      <c r="H229" s="46" t="n"/>
      <c r="I229" s="34">
        <f>IF(OR($G229="",$H229=""),"",IF($H229&lt;=$G229,"Sim","Não"))</f>
        <v/>
      </c>
      <c r="J229" s="30" t="n"/>
      <c r="K229" s="30" t="n"/>
    </row>
    <row r="230" ht="20" customHeight="1">
      <c r="A230" s="46" t="n"/>
      <c r="B230" s="31" t="n"/>
      <c r="C230" s="47">
        <f>IFERROR(INDEX(Fornecedores!$B$7:$B$66,MATCH($B230,Fornecedores!$A$7:$A$66,0)),"")</f>
        <v/>
      </c>
      <c r="D230" s="30" t="n"/>
      <c r="E230" s="30" t="n"/>
      <c r="F230" s="48" t="n"/>
      <c r="G230" s="46" t="n"/>
      <c r="H230" s="46" t="n"/>
      <c r="I230" s="34">
        <f>IF(OR($G230="",$H230=""),"",IF($H230&lt;=$G230,"Sim","Não"))</f>
        <v/>
      </c>
      <c r="J230" s="30" t="n"/>
      <c r="K230" s="30" t="n"/>
    </row>
    <row r="231" ht="20" customHeight="1">
      <c r="A231" s="46" t="n"/>
      <c r="B231" s="31" t="n"/>
      <c r="C231" s="47">
        <f>IFERROR(INDEX(Fornecedores!$B$7:$B$66,MATCH($B231,Fornecedores!$A$7:$A$66,0)),"")</f>
        <v/>
      </c>
      <c r="D231" s="30" t="n"/>
      <c r="E231" s="30" t="n"/>
      <c r="F231" s="48" t="n"/>
      <c r="G231" s="46" t="n"/>
      <c r="H231" s="46" t="n"/>
      <c r="I231" s="34">
        <f>IF(OR($G231="",$H231=""),"",IF($H231&lt;=$G231,"Sim","Não"))</f>
        <v/>
      </c>
      <c r="J231" s="30" t="n"/>
      <c r="K231" s="30" t="n"/>
    </row>
    <row r="232" ht="20" customHeight="1">
      <c r="A232" s="46" t="n"/>
      <c r="B232" s="31" t="n"/>
      <c r="C232" s="47">
        <f>IFERROR(INDEX(Fornecedores!$B$7:$B$66,MATCH($B232,Fornecedores!$A$7:$A$66,0)),"")</f>
        <v/>
      </c>
      <c r="D232" s="30" t="n"/>
      <c r="E232" s="30" t="n"/>
      <c r="F232" s="48" t="n"/>
      <c r="G232" s="46" t="n"/>
      <c r="H232" s="46" t="n"/>
      <c r="I232" s="34">
        <f>IF(OR($G232="",$H232=""),"",IF($H232&lt;=$G232,"Sim","Não"))</f>
        <v/>
      </c>
      <c r="J232" s="30" t="n"/>
      <c r="K232" s="30" t="n"/>
    </row>
    <row r="233" ht="20" customHeight="1">
      <c r="A233" s="46" t="n"/>
      <c r="B233" s="31" t="n"/>
      <c r="C233" s="47">
        <f>IFERROR(INDEX(Fornecedores!$B$7:$B$66,MATCH($B233,Fornecedores!$A$7:$A$66,0)),"")</f>
        <v/>
      </c>
      <c r="D233" s="30" t="n"/>
      <c r="E233" s="30" t="n"/>
      <c r="F233" s="48" t="n"/>
      <c r="G233" s="46" t="n"/>
      <c r="H233" s="46" t="n"/>
      <c r="I233" s="34">
        <f>IF(OR($G233="",$H233=""),"",IF($H233&lt;=$G233,"Sim","Não"))</f>
        <v/>
      </c>
      <c r="J233" s="30" t="n"/>
      <c r="K233" s="30" t="n"/>
    </row>
    <row r="234" ht="20" customHeight="1">
      <c r="A234" s="46" t="n"/>
      <c r="B234" s="31" t="n"/>
      <c r="C234" s="47">
        <f>IFERROR(INDEX(Fornecedores!$B$7:$B$66,MATCH($B234,Fornecedores!$A$7:$A$66,0)),"")</f>
        <v/>
      </c>
      <c r="D234" s="30" t="n"/>
      <c r="E234" s="30" t="n"/>
      <c r="F234" s="48" t="n"/>
      <c r="G234" s="46" t="n"/>
      <c r="H234" s="46" t="n"/>
      <c r="I234" s="34">
        <f>IF(OR($G234="",$H234=""),"",IF($H234&lt;=$G234,"Sim","Não"))</f>
        <v/>
      </c>
      <c r="J234" s="30" t="n"/>
      <c r="K234" s="30" t="n"/>
    </row>
    <row r="235" ht="20" customHeight="1">
      <c r="A235" s="46" t="n"/>
      <c r="B235" s="31" t="n"/>
      <c r="C235" s="47">
        <f>IFERROR(INDEX(Fornecedores!$B$7:$B$66,MATCH($B235,Fornecedores!$A$7:$A$66,0)),"")</f>
        <v/>
      </c>
      <c r="D235" s="30" t="n"/>
      <c r="E235" s="30" t="n"/>
      <c r="F235" s="48" t="n"/>
      <c r="G235" s="46" t="n"/>
      <c r="H235" s="46" t="n"/>
      <c r="I235" s="34">
        <f>IF(OR($G235="",$H235=""),"",IF($H235&lt;=$G235,"Sim","Não"))</f>
        <v/>
      </c>
      <c r="J235" s="30" t="n"/>
      <c r="K235" s="30" t="n"/>
    </row>
    <row r="236" ht="20" customHeight="1">
      <c r="A236" s="46" t="n"/>
      <c r="B236" s="31" t="n"/>
      <c r="C236" s="47">
        <f>IFERROR(INDEX(Fornecedores!$B$7:$B$66,MATCH($B236,Fornecedores!$A$7:$A$66,0)),"")</f>
        <v/>
      </c>
      <c r="D236" s="30" t="n"/>
      <c r="E236" s="30" t="n"/>
      <c r="F236" s="48" t="n"/>
      <c r="G236" s="46" t="n"/>
      <c r="H236" s="46" t="n"/>
      <c r="I236" s="34">
        <f>IF(OR($G236="",$H236=""),"",IF($H236&lt;=$G236,"Sim","Não"))</f>
        <v/>
      </c>
      <c r="J236" s="30" t="n"/>
      <c r="K236" s="30" t="n"/>
    </row>
    <row r="237" ht="20" customHeight="1">
      <c r="A237" s="46" t="n"/>
      <c r="B237" s="31" t="n"/>
      <c r="C237" s="47">
        <f>IFERROR(INDEX(Fornecedores!$B$7:$B$66,MATCH($B237,Fornecedores!$A$7:$A$66,0)),"")</f>
        <v/>
      </c>
      <c r="D237" s="30" t="n"/>
      <c r="E237" s="30" t="n"/>
      <c r="F237" s="48" t="n"/>
      <c r="G237" s="46" t="n"/>
      <c r="H237" s="46" t="n"/>
      <c r="I237" s="34">
        <f>IF(OR($G237="",$H237=""),"",IF($H237&lt;=$G237,"Sim","Não"))</f>
        <v/>
      </c>
      <c r="J237" s="30" t="n"/>
      <c r="K237" s="30" t="n"/>
    </row>
    <row r="238" ht="20" customHeight="1">
      <c r="A238" s="46" t="n"/>
      <c r="B238" s="31" t="n"/>
      <c r="C238" s="47">
        <f>IFERROR(INDEX(Fornecedores!$B$7:$B$66,MATCH($B238,Fornecedores!$A$7:$A$66,0)),"")</f>
        <v/>
      </c>
      <c r="D238" s="30" t="n"/>
      <c r="E238" s="30" t="n"/>
      <c r="F238" s="48" t="n"/>
      <c r="G238" s="46" t="n"/>
      <c r="H238" s="46" t="n"/>
      <c r="I238" s="34">
        <f>IF(OR($G238="",$H238=""),"",IF($H238&lt;=$G238,"Sim","Não"))</f>
        <v/>
      </c>
      <c r="J238" s="30" t="n"/>
      <c r="K238" s="30" t="n"/>
    </row>
    <row r="239" ht="20" customHeight="1">
      <c r="A239" s="46" t="n"/>
      <c r="B239" s="31" t="n"/>
      <c r="C239" s="47">
        <f>IFERROR(INDEX(Fornecedores!$B$7:$B$66,MATCH($B239,Fornecedores!$A$7:$A$66,0)),"")</f>
        <v/>
      </c>
      <c r="D239" s="30" t="n"/>
      <c r="E239" s="30" t="n"/>
      <c r="F239" s="48" t="n"/>
      <c r="G239" s="46" t="n"/>
      <c r="H239" s="46" t="n"/>
      <c r="I239" s="34">
        <f>IF(OR($G239="",$H239=""),"",IF($H239&lt;=$G239,"Sim","Não"))</f>
        <v/>
      </c>
      <c r="J239" s="30" t="n"/>
      <c r="K239" s="30" t="n"/>
    </row>
    <row r="240" ht="20" customHeight="1">
      <c r="A240" s="46" t="n"/>
      <c r="B240" s="31" t="n"/>
      <c r="C240" s="47">
        <f>IFERROR(INDEX(Fornecedores!$B$7:$B$66,MATCH($B240,Fornecedores!$A$7:$A$66,0)),"")</f>
        <v/>
      </c>
      <c r="D240" s="30" t="n"/>
      <c r="E240" s="30" t="n"/>
      <c r="F240" s="48" t="n"/>
      <c r="G240" s="46" t="n"/>
      <c r="H240" s="46" t="n"/>
      <c r="I240" s="34">
        <f>IF(OR($G240="",$H240=""),"",IF($H240&lt;=$G240,"Sim","Não"))</f>
        <v/>
      </c>
      <c r="J240" s="30" t="n"/>
      <c r="K240" s="30" t="n"/>
    </row>
    <row r="241" ht="20" customHeight="1">
      <c r="A241" s="46" t="n"/>
      <c r="B241" s="31" t="n"/>
      <c r="C241" s="47">
        <f>IFERROR(INDEX(Fornecedores!$B$7:$B$66,MATCH($B241,Fornecedores!$A$7:$A$66,0)),"")</f>
        <v/>
      </c>
      <c r="D241" s="30" t="n"/>
      <c r="E241" s="30" t="n"/>
      <c r="F241" s="48" t="n"/>
      <c r="G241" s="46" t="n"/>
      <c r="H241" s="46" t="n"/>
      <c r="I241" s="34">
        <f>IF(OR($G241="",$H241=""),"",IF($H241&lt;=$G241,"Sim","Não"))</f>
        <v/>
      </c>
      <c r="J241" s="30" t="n"/>
      <c r="K241" s="30" t="n"/>
    </row>
    <row r="242" ht="20" customHeight="1">
      <c r="A242" s="46" t="n"/>
      <c r="B242" s="31" t="n"/>
      <c r="C242" s="47">
        <f>IFERROR(INDEX(Fornecedores!$B$7:$B$66,MATCH($B242,Fornecedores!$A$7:$A$66,0)),"")</f>
        <v/>
      </c>
      <c r="D242" s="30" t="n"/>
      <c r="E242" s="30" t="n"/>
      <c r="F242" s="48" t="n"/>
      <c r="G242" s="46" t="n"/>
      <c r="H242" s="46" t="n"/>
      <c r="I242" s="34">
        <f>IF(OR($G242="",$H242=""),"",IF($H242&lt;=$G242,"Sim","Não"))</f>
        <v/>
      </c>
      <c r="J242" s="30" t="n"/>
      <c r="K242" s="30" t="n"/>
    </row>
    <row r="243" ht="20" customHeight="1">
      <c r="A243" s="46" t="n"/>
      <c r="B243" s="31" t="n"/>
      <c r="C243" s="47">
        <f>IFERROR(INDEX(Fornecedores!$B$7:$B$66,MATCH($B243,Fornecedores!$A$7:$A$66,0)),"")</f>
        <v/>
      </c>
      <c r="D243" s="30" t="n"/>
      <c r="E243" s="30" t="n"/>
      <c r="F243" s="48" t="n"/>
      <c r="G243" s="46" t="n"/>
      <c r="H243" s="46" t="n"/>
      <c r="I243" s="34">
        <f>IF(OR($G243="",$H243=""),"",IF($H243&lt;=$G243,"Sim","Não"))</f>
        <v/>
      </c>
      <c r="J243" s="30" t="n"/>
      <c r="K243" s="30" t="n"/>
    </row>
    <row r="244" ht="20" customHeight="1">
      <c r="A244" s="46" t="n"/>
      <c r="B244" s="31" t="n"/>
      <c r="C244" s="47">
        <f>IFERROR(INDEX(Fornecedores!$B$7:$B$66,MATCH($B244,Fornecedores!$A$7:$A$66,0)),"")</f>
        <v/>
      </c>
      <c r="D244" s="30" t="n"/>
      <c r="E244" s="30" t="n"/>
      <c r="F244" s="48" t="n"/>
      <c r="G244" s="46" t="n"/>
      <c r="H244" s="46" t="n"/>
      <c r="I244" s="34">
        <f>IF(OR($G244="",$H244=""),"",IF($H244&lt;=$G244,"Sim","Não"))</f>
        <v/>
      </c>
      <c r="J244" s="30" t="n"/>
      <c r="K244" s="30" t="n"/>
    </row>
    <row r="245" ht="20" customHeight="1">
      <c r="A245" s="46" t="n"/>
      <c r="B245" s="31" t="n"/>
      <c r="C245" s="47">
        <f>IFERROR(INDEX(Fornecedores!$B$7:$B$66,MATCH($B245,Fornecedores!$A$7:$A$66,0)),"")</f>
        <v/>
      </c>
      <c r="D245" s="30" t="n"/>
      <c r="E245" s="30" t="n"/>
      <c r="F245" s="48" t="n"/>
      <c r="G245" s="46" t="n"/>
      <c r="H245" s="46" t="n"/>
      <c r="I245" s="34">
        <f>IF(OR($G245="",$H245=""),"",IF($H245&lt;=$G245,"Sim","Não"))</f>
        <v/>
      </c>
      <c r="J245" s="30" t="n"/>
      <c r="K245" s="30" t="n"/>
    </row>
    <row r="246" ht="20" customHeight="1">
      <c r="A246" s="46" t="n"/>
      <c r="B246" s="31" t="n"/>
      <c r="C246" s="47">
        <f>IFERROR(INDEX(Fornecedores!$B$7:$B$66,MATCH($B246,Fornecedores!$A$7:$A$66,0)),"")</f>
        <v/>
      </c>
      <c r="D246" s="30" t="n"/>
      <c r="E246" s="30" t="n"/>
      <c r="F246" s="48" t="n"/>
      <c r="G246" s="46" t="n"/>
      <c r="H246" s="46" t="n"/>
      <c r="I246" s="34">
        <f>IF(OR($G246="",$H246=""),"",IF($H246&lt;=$G246,"Sim","Não"))</f>
        <v/>
      </c>
      <c r="J246" s="30" t="n"/>
      <c r="K246" s="30" t="n"/>
    </row>
    <row r="247" ht="20" customHeight="1">
      <c r="A247" s="46" t="n"/>
      <c r="B247" s="31" t="n"/>
      <c r="C247" s="47">
        <f>IFERROR(INDEX(Fornecedores!$B$7:$B$66,MATCH($B247,Fornecedores!$A$7:$A$66,0)),"")</f>
        <v/>
      </c>
      <c r="D247" s="30" t="n"/>
      <c r="E247" s="30" t="n"/>
      <c r="F247" s="48" t="n"/>
      <c r="G247" s="46" t="n"/>
      <c r="H247" s="46" t="n"/>
      <c r="I247" s="34">
        <f>IF(OR($G247="",$H247=""),"",IF($H247&lt;=$G247,"Sim","Não"))</f>
        <v/>
      </c>
      <c r="J247" s="30" t="n"/>
      <c r="K247" s="30" t="n"/>
    </row>
    <row r="248" ht="20" customHeight="1">
      <c r="A248" s="46" t="n"/>
      <c r="B248" s="31" t="n"/>
      <c r="C248" s="47">
        <f>IFERROR(INDEX(Fornecedores!$B$7:$B$66,MATCH($B248,Fornecedores!$A$7:$A$66,0)),"")</f>
        <v/>
      </c>
      <c r="D248" s="30" t="n"/>
      <c r="E248" s="30" t="n"/>
      <c r="F248" s="48" t="n"/>
      <c r="G248" s="46" t="n"/>
      <c r="H248" s="46" t="n"/>
      <c r="I248" s="34">
        <f>IF(OR($G248="",$H248=""),"",IF($H248&lt;=$G248,"Sim","Não"))</f>
        <v/>
      </c>
      <c r="J248" s="30" t="n"/>
      <c r="K248" s="30" t="n"/>
    </row>
    <row r="249" ht="20" customHeight="1">
      <c r="A249" s="46" t="n"/>
      <c r="B249" s="31" t="n"/>
      <c r="C249" s="47">
        <f>IFERROR(INDEX(Fornecedores!$B$7:$B$66,MATCH($B249,Fornecedores!$A$7:$A$66,0)),"")</f>
        <v/>
      </c>
      <c r="D249" s="30" t="n"/>
      <c r="E249" s="30" t="n"/>
      <c r="F249" s="48" t="n"/>
      <c r="G249" s="46" t="n"/>
      <c r="H249" s="46" t="n"/>
      <c r="I249" s="34">
        <f>IF(OR($G249="",$H249=""),"",IF($H249&lt;=$G249,"Sim","Não"))</f>
        <v/>
      </c>
      <c r="J249" s="30" t="n"/>
      <c r="K249" s="30" t="n"/>
    </row>
    <row r="250" ht="20" customHeight="1">
      <c r="A250" s="46" t="n"/>
      <c r="B250" s="31" t="n"/>
      <c r="C250" s="47">
        <f>IFERROR(INDEX(Fornecedores!$B$7:$B$66,MATCH($B250,Fornecedores!$A$7:$A$66,0)),"")</f>
        <v/>
      </c>
      <c r="D250" s="30" t="n"/>
      <c r="E250" s="30" t="n"/>
      <c r="F250" s="48" t="n"/>
      <c r="G250" s="46" t="n"/>
      <c r="H250" s="46" t="n"/>
      <c r="I250" s="34">
        <f>IF(OR($G250="",$H250=""),"",IF($H250&lt;=$G250,"Sim","Não"))</f>
        <v/>
      </c>
      <c r="J250" s="30" t="n"/>
      <c r="K250" s="30" t="n"/>
    </row>
    <row r="251" ht="20" customHeight="1">
      <c r="A251" s="46" t="n"/>
      <c r="B251" s="31" t="n"/>
      <c r="C251" s="47">
        <f>IFERROR(INDEX(Fornecedores!$B$7:$B$66,MATCH($B251,Fornecedores!$A$7:$A$66,0)),"")</f>
        <v/>
      </c>
      <c r="D251" s="30" t="n"/>
      <c r="E251" s="30" t="n"/>
      <c r="F251" s="48" t="n"/>
      <c r="G251" s="46" t="n"/>
      <c r="H251" s="46" t="n"/>
      <c r="I251" s="34">
        <f>IF(OR($G251="",$H251=""),"",IF($H251&lt;=$G251,"Sim","Não"))</f>
        <v/>
      </c>
      <c r="J251" s="30" t="n"/>
      <c r="K251" s="30" t="n"/>
    </row>
    <row r="252" ht="20" customHeight="1">
      <c r="A252" s="46" t="n"/>
      <c r="B252" s="31" t="n"/>
      <c r="C252" s="47">
        <f>IFERROR(INDEX(Fornecedores!$B$7:$B$66,MATCH($B252,Fornecedores!$A$7:$A$66,0)),"")</f>
        <v/>
      </c>
      <c r="D252" s="30" t="n"/>
      <c r="E252" s="30" t="n"/>
      <c r="F252" s="48" t="n"/>
      <c r="G252" s="46" t="n"/>
      <c r="H252" s="46" t="n"/>
      <c r="I252" s="34">
        <f>IF(OR($G252="",$H252=""),"",IF($H252&lt;=$G252,"Sim","Não"))</f>
        <v/>
      </c>
      <c r="J252" s="30" t="n"/>
      <c r="K252" s="30" t="n"/>
    </row>
    <row r="253" ht="20" customHeight="1">
      <c r="A253" s="46" t="n"/>
      <c r="B253" s="31" t="n"/>
      <c r="C253" s="47">
        <f>IFERROR(INDEX(Fornecedores!$B$7:$B$66,MATCH($B253,Fornecedores!$A$7:$A$66,0)),"")</f>
        <v/>
      </c>
      <c r="D253" s="30" t="n"/>
      <c r="E253" s="30" t="n"/>
      <c r="F253" s="48" t="n"/>
      <c r="G253" s="46" t="n"/>
      <c r="H253" s="46" t="n"/>
      <c r="I253" s="34">
        <f>IF(OR($G253="",$H253=""),"",IF($H253&lt;=$G253,"Sim","Não"))</f>
        <v/>
      </c>
      <c r="J253" s="30" t="n"/>
      <c r="K253" s="30" t="n"/>
    </row>
    <row r="254" ht="20" customHeight="1">
      <c r="A254" s="46" t="n"/>
      <c r="B254" s="31" t="n"/>
      <c r="C254" s="47">
        <f>IFERROR(INDEX(Fornecedores!$B$7:$B$66,MATCH($B254,Fornecedores!$A$7:$A$66,0)),"")</f>
        <v/>
      </c>
      <c r="D254" s="30" t="n"/>
      <c r="E254" s="30" t="n"/>
      <c r="F254" s="48" t="n"/>
      <c r="G254" s="46" t="n"/>
      <c r="H254" s="46" t="n"/>
      <c r="I254" s="34">
        <f>IF(OR($G254="",$H254=""),"",IF($H254&lt;=$G254,"Sim","Não"))</f>
        <v/>
      </c>
      <c r="J254" s="30" t="n"/>
      <c r="K254" s="30" t="n"/>
    </row>
    <row r="255" ht="20" customHeight="1">
      <c r="A255" s="46" t="n"/>
      <c r="B255" s="31" t="n"/>
      <c r="C255" s="47">
        <f>IFERROR(INDEX(Fornecedores!$B$7:$B$66,MATCH($B255,Fornecedores!$A$7:$A$66,0)),"")</f>
        <v/>
      </c>
      <c r="D255" s="30" t="n"/>
      <c r="E255" s="30" t="n"/>
      <c r="F255" s="48" t="n"/>
      <c r="G255" s="46" t="n"/>
      <c r="H255" s="46" t="n"/>
      <c r="I255" s="34">
        <f>IF(OR($G255="",$H255=""),"",IF($H255&lt;=$G255,"Sim","Não"))</f>
        <v/>
      </c>
      <c r="J255" s="30" t="n"/>
      <c r="K255" s="30" t="n"/>
    </row>
    <row r="256" ht="20" customHeight="1">
      <c r="A256" s="46" t="n"/>
      <c r="B256" s="31" t="n"/>
      <c r="C256" s="47">
        <f>IFERROR(INDEX(Fornecedores!$B$7:$B$66,MATCH($B256,Fornecedores!$A$7:$A$66,0)),"")</f>
        <v/>
      </c>
      <c r="D256" s="30" t="n"/>
      <c r="E256" s="30" t="n"/>
      <c r="F256" s="48" t="n"/>
      <c r="G256" s="46" t="n"/>
      <c r="H256" s="46" t="n"/>
      <c r="I256" s="34">
        <f>IF(OR($G256="",$H256=""),"",IF($H256&lt;=$G256,"Sim","Não"))</f>
        <v/>
      </c>
      <c r="J256" s="30" t="n"/>
      <c r="K256" s="30" t="n"/>
    </row>
    <row r="257" ht="20" customHeight="1">
      <c r="A257" s="46" t="n"/>
      <c r="B257" s="31" t="n"/>
      <c r="C257" s="47">
        <f>IFERROR(INDEX(Fornecedores!$B$7:$B$66,MATCH($B257,Fornecedores!$A$7:$A$66,0)),"")</f>
        <v/>
      </c>
      <c r="D257" s="30" t="n"/>
      <c r="E257" s="30" t="n"/>
      <c r="F257" s="48" t="n"/>
      <c r="G257" s="46" t="n"/>
      <c r="H257" s="46" t="n"/>
      <c r="I257" s="34">
        <f>IF(OR($G257="",$H257=""),"",IF($H257&lt;=$G257,"Sim","Não"))</f>
        <v/>
      </c>
      <c r="J257" s="30" t="n"/>
      <c r="K257" s="30" t="n"/>
    </row>
    <row r="258" ht="20" customHeight="1">
      <c r="A258" s="46" t="n"/>
      <c r="B258" s="31" t="n"/>
      <c r="C258" s="47">
        <f>IFERROR(INDEX(Fornecedores!$B$7:$B$66,MATCH($B258,Fornecedores!$A$7:$A$66,0)),"")</f>
        <v/>
      </c>
      <c r="D258" s="30" t="n"/>
      <c r="E258" s="30" t="n"/>
      <c r="F258" s="48" t="n"/>
      <c r="G258" s="46" t="n"/>
      <c r="H258" s="46" t="n"/>
      <c r="I258" s="34">
        <f>IF(OR($G258="",$H258=""),"",IF($H258&lt;=$G258,"Sim","Não"))</f>
        <v/>
      </c>
      <c r="J258" s="30" t="n"/>
      <c r="K258" s="30" t="n"/>
    </row>
    <row r="259" ht="20" customHeight="1">
      <c r="A259" s="46" t="n"/>
      <c r="B259" s="31" t="n"/>
      <c r="C259" s="47">
        <f>IFERROR(INDEX(Fornecedores!$B$7:$B$66,MATCH($B259,Fornecedores!$A$7:$A$66,0)),"")</f>
        <v/>
      </c>
      <c r="D259" s="30" t="n"/>
      <c r="E259" s="30" t="n"/>
      <c r="F259" s="48" t="n"/>
      <c r="G259" s="46" t="n"/>
      <c r="H259" s="46" t="n"/>
      <c r="I259" s="34">
        <f>IF(OR($G259="",$H259=""),"",IF($H259&lt;=$G259,"Sim","Não"))</f>
        <v/>
      </c>
      <c r="J259" s="30" t="n"/>
      <c r="K259" s="30" t="n"/>
    </row>
    <row r="260" ht="20" customHeight="1">
      <c r="A260" s="46" t="n"/>
      <c r="B260" s="31" t="n"/>
      <c r="C260" s="47">
        <f>IFERROR(INDEX(Fornecedores!$B$7:$B$66,MATCH($B260,Fornecedores!$A$7:$A$66,0)),"")</f>
        <v/>
      </c>
      <c r="D260" s="30" t="n"/>
      <c r="E260" s="30" t="n"/>
      <c r="F260" s="48" t="n"/>
      <c r="G260" s="46" t="n"/>
      <c r="H260" s="46" t="n"/>
      <c r="I260" s="34">
        <f>IF(OR($G260="",$H260=""),"",IF($H260&lt;=$G260,"Sim","Não"))</f>
        <v/>
      </c>
      <c r="J260" s="30" t="n"/>
      <c r="K260" s="30" t="n"/>
    </row>
    <row r="261" ht="20" customHeight="1">
      <c r="A261" s="46" t="n"/>
      <c r="B261" s="31" t="n"/>
      <c r="C261" s="47">
        <f>IFERROR(INDEX(Fornecedores!$B$7:$B$66,MATCH($B261,Fornecedores!$A$7:$A$66,0)),"")</f>
        <v/>
      </c>
      <c r="D261" s="30" t="n"/>
      <c r="E261" s="30" t="n"/>
      <c r="F261" s="48" t="n"/>
      <c r="G261" s="46" t="n"/>
      <c r="H261" s="46" t="n"/>
      <c r="I261" s="34">
        <f>IF(OR($G261="",$H261=""),"",IF($H261&lt;=$G261,"Sim","Não"))</f>
        <v/>
      </c>
      <c r="J261" s="30" t="n"/>
      <c r="K261" s="30" t="n"/>
    </row>
    <row r="262" ht="20" customHeight="1">
      <c r="A262" s="46" t="n"/>
      <c r="B262" s="31" t="n"/>
      <c r="C262" s="47">
        <f>IFERROR(INDEX(Fornecedores!$B$7:$B$66,MATCH($B262,Fornecedores!$A$7:$A$66,0)),"")</f>
        <v/>
      </c>
      <c r="D262" s="30" t="n"/>
      <c r="E262" s="30" t="n"/>
      <c r="F262" s="48" t="n"/>
      <c r="G262" s="46" t="n"/>
      <c r="H262" s="46" t="n"/>
      <c r="I262" s="34">
        <f>IF(OR($G262="",$H262=""),"",IF($H262&lt;=$G262,"Sim","Não"))</f>
        <v/>
      </c>
      <c r="J262" s="30" t="n"/>
      <c r="K262" s="30" t="n"/>
    </row>
    <row r="263" ht="20" customHeight="1">
      <c r="A263" s="46" t="n"/>
      <c r="B263" s="31" t="n"/>
      <c r="C263" s="47">
        <f>IFERROR(INDEX(Fornecedores!$B$7:$B$66,MATCH($B263,Fornecedores!$A$7:$A$66,0)),"")</f>
        <v/>
      </c>
      <c r="D263" s="30" t="n"/>
      <c r="E263" s="30" t="n"/>
      <c r="F263" s="48" t="n"/>
      <c r="G263" s="46" t="n"/>
      <c r="H263" s="46" t="n"/>
      <c r="I263" s="34">
        <f>IF(OR($G263="",$H263=""),"",IF($H263&lt;=$G263,"Sim","Não"))</f>
        <v/>
      </c>
      <c r="J263" s="30" t="n"/>
      <c r="K263" s="30" t="n"/>
    </row>
    <row r="264" ht="20" customHeight="1">
      <c r="A264" s="46" t="n"/>
      <c r="B264" s="31" t="n"/>
      <c r="C264" s="47">
        <f>IFERROR(INDEX(Fornecedores!$B$7:$B$66,MATCH($B264,Fornecedores!$A$7:$A$66,0)),"")</f>
        <v/>
      </c>
      <c r="D264" s="30" t="n"/>
      <c r="E264" s="30" t="n"/>
      <c r="F264" s="48" t="n"/>
      <c r="G264" s="46" t="n"/>
      <c r="H264" s="46" t="n"/>
      <c r="I264" s="34">
        <f>IF(OR($G264="",$H264=""),"",IF($H264&lt;=$G264,"Sim","Não"))</f>
        <v/>
      </c>
      <c r="J264" s="30" t="n"/>
      <c r="K264" s="30" t="n"/>
    </row>
    <row r="265" ht="20" customHeight="1">
      <c r="A265" s="46" t="n"/>
      <c r="B265" s="31" t="n"/>
      <c r="C265" s="47">
        <f>IFERROR(INDEX(Fornecedores!$B$7:$B$66,MATCH($B265,Fornecedores!$A$7:$A$66,0)),"")</f>
        <v/>
      </c>
      <c r="D265" s="30" t="n"/>
      <c r="E265" s="30" t="n"/>
      <c r="F265" s="48" t="n"/>
      <c r="G265" s="46" t="n"/>
      <c r="H265" s="46" t="n"/>
      <c r="I265" s="34">
        <f>IF(OR($G265="",$H265=""),"",IF($H265&lt;=$G265,"Sim","Não"))</f>
        <v/>
      </c>
      <c r="J265" s="30" t="n"/>
      <c r="K265" s="30" t="n"/>
    </row>
    <row r="266" ht="20" customHeight="1">
      <c r="A266" s="46" t="n"/>
      <c r="B266" s="31" t="n"/>
      <c r="C266" s="47">
        <f>IFERROR(INDEX(Fornecedores!$B$7:$B$66,MATCH($B266,Fornecedores!$A$7:$A$66,0)),"")</f>
        <v/>
      </c>
      <c r="D266" s="30" t="n"/>
      <c r="E266" s="30" t="n"/>
      <c r="F266" s="48" t="n"/>
      <c r="G266" s="46" t="n"/>
      <c r="H266" s="46" t="n"/>
      <c r="I266" s="34">
        <f>IF(OR($G266="",$H266=""),"",IF($H266&lt;=$G266,"Sim","Não"))</f>
        <v/>
      </c>
      <c r="J266" s="30" t="n"/>
      <c r="K266" s="30" t="n"/>
    </row>
    <row r="267" ht="20" customHeight="1">
      <c r="A267" s="46" t="n"/>
      <c r="B267" s="31" t="n"/>
      <c r="C267" s="47">
        <f>IFERROR(INDEX(Fornecedores!$B$7:$B$66,MATCH($B267,Fornecedores!$A$7:$A$66,0)),"")</f>
        <v/>
      </c>
      <c r="D267" s="30" t="n"/>
      <c r="E267" s="30" t="n"/>
      <c r="F267" s="48" t="n"/>
      <c r="G267" s="46" t="n"/>
      <c r="H267" s="46" t="n"/>
      <c r="I267" s="34">
        <f>IF(OR($G267="",$H267=""),"",IF($H267&lt;=$G267,"Sim","Não"))</f>
        <v/>
      </c>
      <c r="J267" s="30" t="n"/>
      <c r="K267" s="30" t="n"/>
    </row>
    <row r="268" ht="20" customHeight="1">
      <c r="A268" s="46" t="n"/>
      <c r="B268" s="31" t="n"/>
      <c r="C268" s="47">
        <f>IFERROR(INDEX(Fornecedores!$B$7:$B$66,MATCH($B268,Fornecedores!$A$7:$A$66,0)),"")</f>
        <v/>
      </c>
      <c r="D268" s="30" t="n"/>
      <c r="E268" s="30" t="n"/>
      <c r="F268" s="48" t="n"/>
      <c r="G268" s="46" t="n"/>
      <c r="H268" s="46" t="n"/>
      <c r="I268" s="34">
        <f>IF(OR($G268="",$H268=""),"",IF($H268&lt;=$G268,"Sim","Não"))</f>
        <v/>
      </c>
      <c r="J268" s="30" t="n"/>
      <c r="K268" s="30" t="n"/>
    </row>
    <row r="269" ht="20" customHeight="1">
      <c r="A269" s="46" t="n"/>
      <c r="B269" s="31" t="n"/>
      <c r="C269" s="47">
        <f>IFERROR(INDEX(Fornecedores!$B$7:$B$66,MATCH($B269,Fornecedores!$A$7:$A$66,0)),"")</f>
        <v/>
      </c>
      <c r="D269" s="30" t="n"/>
      <c r="E269" s="30" t="n"/>
      <c r="F269" s="48" t="n"/>
      <c r="G269" s="46" t="n"/>
      <c r="H269" s="46" t="n"/>
      <c r="I269" s="34">
        <f>IF(OR($G269="",$H269=""),"",IF($H269&lt;=$G269,"Sim","Não"))</f>
        <v/>
      </c>
      <c r="J269" s="30" t="n"/>
      <c r="K269" s="30" t="n"/>
    </row>
    <row r="270" ht="20" customHeight="1">
      <c r="A270" s="46" t="n"/>
      <c r="B270" s="31" t="n"/>
      <c r="C270" s="47">
        <f>IFERROR(INDEX(Fornecedores!$B$7:$B$66,MATCH($B270,Fornecedores!$A$7:$A$66,0)),"")</f>
        <v/>
      </c>
      <c r="D270" s="30" t="n"/>
      <c r="E270" s="30" t="n"/>
      <c r="F270" s="48" t="n"/>
      <c r="G270" s="46" t="n"/>
      <c r="H270" s="46" t="n"/>
      <c r="I270" s="34">
        <f>IF(OR($G270="",$H270=""),"",IF($H270&lt;=$G270,"Sim","Não"))</f>
        <v/>
      </c>
      <c r="J270" s="30" t="n"/>
      <c r="K270" s="30" t="n"/>
    </row>
    <row r="271" ht="20" customHeight="1">
      <c r="A271" s="46" t="n"/>
      <c r="B271" s="31" t="n"/>
      <c r="C271" s="47">
        <f>IFERROR(INDEX(Fornecedores!$B$7:$B$66,MATCH($B271,Fornecedores!$A$7:$A$66,0)),"")</f>
        <v/>
      </c>
      <c r="D271" s="30" t="n"/>
      <c r="E271" s="30" t="n"/>
      <c r="F271" s="48" t="n"/>
      <c r="G271" s="46" t="n"/>
      <c r="H271" s="46" t="n"/>
      <c r="I271" s="34">
        <f>IF(OR($G271="",$H271=""),"",IF($H271&lt;=$G271,"Sim","Não"))</f>
        <v/>
      </c>
      <c r="J271" s="30" t="n"/>
      <c r="K271" s="30" t="n"/>
    </row>
    <row r="272" ht="20" customHeight="1">
      <c r="A272" s="46" t="n"/>
      <c r="B272" s="31" t="n"/>
      <c r="C272" s="47">
        <f>IFERROR(INDEX(Fornecedores!$B$7:$B$66,MATCH($B272,Fornecedores!$A$7:$A$66,0)),"")</f>
        <v/>
      </c>
      <c r="D272" s="30" t="n"/>
      <c r="E272" s="30" t="n"/>
      <c r="F272" s="48" t="n"/>
      <c r="G272" s="46" t="n"/>
      <c r="H272" s="46" t="n"/>
      <c r="I272" s="34">
        <f>IF(OR($G272="",$H272=""),"",IF($H272&lt;=$G272,"Sim","Não"))</f>
        <v/>
      </c>
      <c r="J272" s="30" t="n"/>
      <c r="K272" s="30" t="n"/>
    </row>
    <row r="273" ht="20" customHeight="1">
      <c r="A273" s="46" t="n"/>
      <c r="B273" s="31" t="n"/>
      <c r="C273" s="47">
        <f>IFERROR(INDEX(Fornecedores!$B$7:$B$66,MATCH($B273,Fornecedores!$A$7:$A$66,0)),"")</f>
        <v/>
      </c>
      <c r="D273" s="30" t="n"/>
      <c r="E273" s="30" t="n"/>
      <c r="F273" s="48" t="n"/>
      <c r="G273" s="46" t="n"/>
      <c r="H273" s="46" t="n"/>
      <c r="I273" s="34">
        <f>IF(OR($G273="",$H273=""),"",IF($H273&lt;=$G273,"Sim","Não"))</f>
        <v/>
      </c>
      <c r="J273" s="30" t="n"/>
      <c r="K273" s="30" t="n"/>
    </row>
    <row r="274" ht="20" customHeight="1">
      <c r="A274" s="46" t="n"/>
      <c r="B274" s="31" t="n"/>
      <c r="C274" s="47">
        <f>IFERROR(INDEX(Fornecedores!$B$7:$B$66,MATCH($B274,Fornecedores!$A$7:$A$66,0)),"")</f>
        <v/>
      </c>
      <c r="D274" s="30" t="n"/>
      <c r="E274" s="30" t="n"/>
      <c r="F274" s="48" t="n"/>
      <c r="G274" s="46" t="n"/>
      <c r="H274" s="46" t="n"/>
      <c r="I274" s="34">
        <f>IF(OR($G274="",$H274=""),"",IF($H274&lt;=$G274,"Sim","Não"))</f>
        <v/>
      </c>
      <c r="J274" s="30" t="n"/>
      <c r="K274" s="30" t="n"/>
    </row>
    <row r="275" ht="20" customHeight="1">
      <c r="A275" s="46" t="n"/>
      <c r="B275" s="31" t="n"/>
      <c r="C275" s="47">
        <f>IFERROR(INDEX(Fornecedores!$B$7:$B$66,MATCH($B275,Fornecedores!$A$7:$A$66,0)),"")</f>
        <v/>
      </c>
      <c r="D275" s="30" t="n"/>
      <c r="E275" s="30" t="n"/>
      <c r="F275" s="48" t="n"/>
      <c r="G275" s="46" t="n"/>
      <c r="H275" s="46" t="n"/>
      <c r="I275" s="34">
        <f>IF(OR($G275="",$H275=""),"",IF($H275&lt;=$G275,"Sim","Não"))</f>
        <v/>
      </c>
      <c r="J275" s="30" t="n"/>
      <c r="K275" s="30" t="n"/>
    </row>
    <row r="276" ht="20" customHeight="1">
      <c r="A276" s="46" t="n"/>
      <c r="B276" s="31" t="n"/>
      <c r="C276" s="47">
        <f>IFERROR(INDEX(Fornecedores!$B$7:$B$66,MATCH($B276,Fornecedores!$A$7:$A$66,0)),"")</f>
        <v/>
      </c>
      <c r="D276" s="30" t="n"/>
      <c r="E276" s="30" t="n"/>
      <c r="F276" s="48" t="n"/>
      <c r="G276" s="46" t="n"/>
      <c r="H276" s="46" t="n"/>
      <c r="I276" s="34">
        <f>IF(OR($G276="",$H276=""),"",IF($H276&lt;=$G276,"Sim","Não"))</f>
        <v/>
      </c>
      <c r="J276" s="30" t="n"/>
      <c r="K276" s="30" t="n"/>
    </row>
    <row r="277" ht="20" customHeight="1">
      <c r="A277" s="46" t="n"/>
      <c r="B277" s="31" t="n"/>
      <c r="C277" s="47">
        <f>IFERROR(INDEX(Fornecedores!$B$7:$B$66,MATCH($B277,Fornecedores!$A$7:$A$66,0)),"")</f>
        <v/>
      </c>
      <c r="D277" s="30" t="n"/>
      <c r="E277" s="30" t="n"/>
      <c r="F277" s="48" t="n"/>
      <c r="G277" s="46" t="n"/>
      <c r="H277" s="46" t="n"/>
      <c r="I277" s="34">
        <f>IF(OR($G277="",$H277=""),"",IF($H277&lt;=$G277,"Sim","Não"))</f>
        <v/>
      </c>
      <c r="J277" s="30" t="n"/>
      <c r="K277" s="30" t="n"/>
    </row>
    <row r="278" ht="20" customHeight="1">
      <c r="A278" s="46" t="n"/>
      <c r="B278" s="31" t="n"/>
      <c r="C278" s="47">
        <f>IFERROR(INDEX(Fornecedores!$B$7:$B$66,MATCH($B278,Fornecedores!$A$7:$A$66,0)),"")</f>
        <v/>
      </c>
      <c r="D278" s="30" t="n"/>
      <c r="E278" s="30" t="n"/>
      <c r="F278" s="48" t="n"/>
      <c r="G278" s="46" t="n"/>
      <c r="H278" s="46" t="n"/>
      <c r="I278" s="34">
        <f>IF(OR($G278="",$H278=""),"",IF($H278&lt;=$G278,"Sim","Não"))</f>
        <v/>
      </c>
      <c r="J278" s="30" t="n"/>
      <c r="K278" s="30" t="n"/>
    </row>
    <row r="279" ht="20" customHeight="1">
      <c r="A279" s="46" t="n"/>
      <c r="B279" s="31" t="n"/>
      <c r="C279" s="47">
        <f>IFERROR(INDEX(Fornecedores!$B$7:$B$66,MATCH($B279,Fornecedores!$A$7:$A$66,0)),"")</f>
        <v/>
      </c>
      <c r="D279" s="30" t="n"/>
      <c r="E279" s="30" t="n"/>
      <c r="F279" s="48" t="n"/>
      <c r="G279" s="46" t="n"/>
      <c r="H279" s="46" t="n"/>
      <c r="I279" s="34">
        <f>IF(OR($G279="",$H279=""),"",IF($H279&lt;=$G279,"Sim","Não"))</f>
        <v/>
      </c>
      <c r="J279" s="30" t="n"/>
      <c r="K279" s="30" t="n"/>
    </row>
    <row r="280" ht="20" customHeight="1">
      <c r="A280" s="46" t="n"/>
      <c r="B280" s="31" t="n"/>
      <c r="C280" s="47">
        <f>IFERROR(INDEX(Fornecedores!$B$7:$B$66,MATCH($B280,Fornecedores!$A$7:$A$66,0)),"")</f>
        <v/>
      </c>
      <c r="D280" s="30" t="n"/>
      <c r="E280" s="30" t="n"/>
      <c r="F280" s="48" t="n"/>
      <c r="G280" s="46" t="n"/>
      <c r="H280" s="46" t="n"/>
      <c r="I280" s="34">
        <f>IF(OR($G280="",$H280=""),"",IF($H280&lt;=$G280,"Sim","Não"))</f>
        <v/>
      </c>
      <c r="J280" s="30" t="n"/>
      <c r="K280" s="30" t="n"/>
    </row>
    <row r="281" ht="20" customHeight="1">
      <c r="A281" s="46" t="n"/>
      <c r="B281" s="31" t="n"/>
      <c r="C281" s="47">
        <f>IFERROR(INDEX(Fornecedores!$B$7:$B$66,MATCH($B281,Fornecedores!$A$7:$A$66,0)),"")</f>
        <v/>
      </c>
      <c r="D281" s="30" t="n"/>
      <c r="E281" s="30" t="n"/>
      <c r="F281" s="48" t="n"/>
      <c r="G281" s="46" t="n"/>
      <c r="H281" s="46" t="n"/>
      <c r="I281" s="34">
        <f>IF(OR($G281="",$H281=""),"",IF($H281&lt;=$G281,"Sim","Não"))</f>
        <v/>
      </c>
      <c r="J281" s="30" t="n"/>
      <c r="K281" s="30" t="n"/>
    </row>
    <row r="282" ht="20" customHeight="1">
      <c r="A282" s="46" t="n"/>
      <c r="B282" s="31" t="n"/>
      <c r="C282" s="47">
        <f>IFERROR(INDEX(Fornecedores!$B$7:$B$66,MATCH($B282,Fornecedores!$A$7:$A$66,0)),"")</f>
        <v/>
      </c>
      <c r="D282" s="30" t="n"/>
      <c r="E282" s="30" t="n"/>
      <c r="F282" s="48" t="n"/>
      <c r="G282" s="46" t="n"/>
      <c r="H282" s="46" t="n"/>
      <c r="I282" s="34">
        <f>IF(OR($G282="",$H282=""),"",IF($H282&lt;=$G282,"Sim","Não"))</f>
        <v/>
      </c>
      <c r="J282" s="30" t="n"/>
      <c r="K282" s="30" t="n"/>
    </row>
    <row r="283" ht="20" customHeight="1">
      <c r="A283" s="46" t="n"/>
      <c r="B283" s="31" t="n"/>
      <c r="C283" s="47">
        <f>IFERROR(INDEX(Fornecedores!$B$7:$B$66,MATCH($B283,Fornecedores!$A$7:$A$66,0)),"")</f>
        <v/>
      </c>
      <c r="D283" s="30" t="n"/>
      <c r="E283" s="30" t="n"/>
      <c r="F283" s="48" t="n"/>
      <c r="G283" s="46" t="n"/>
      <c r="H283" s="46" t="n"/>
      <c r="I283" s="34">
        <f>IF(OR($G283="",$H283=""),"",IF($H283&lt;=$G283,"Sim","Não"))</f>
        <v/>
      </c>
      <c r="J283" s="30" t="n"/>
      <c r="K283" s="30" t="n"/>
    </row>
    <row r="284" ht="20" customHeight="1">
      <c r="A284" s="46" t="n"/>
      <c r="B284" s="31" t="n"/>
      <c r="C284" s="47">
        <f>IFERROR(INDEX(Fornecedores!$B$7:$B$66,MATCH($B284,Fornecedores!$A$7:$A$66,0)),"")</f>
        <v/>
      </c>
      <c r="D284" s="30" t="n"/>
      <c r="E284" s="30" t="n"/>
      <c r="F284" s="48" t="n"/>
      <c r="G284" s="46" t="n"/>
      <c r="H284" s="46" t="n"/>
      <c r="I284" s="34">
        <f>IF(OR($G284="",$H284=""),"",IF($H284&lt;=$G284,"Sim","Não"))</f>
        <v/>
      </c>
      <c r="J284" s="30" t="n"/>
      <c r="K284" s="30" t="n"/>
    </row>
    <row r="285" ht="20" customHeight="1">
      <c r="A285" s="46" t="n"/>
      <c r="B285" s="31" t="n"/>
      <c r="C285" s="47">
        <f>IFERROR(INDEX(Fornecedores!$B$7:$B$66,MATCH($B285,Fornecedores!$A$7:$A$66,0)),"")</f>
        <v/>
      </c>
      <c r="D285" s="30" t="n"/>
      <c r="E285" s="30" t="n"/>
      <c r="F285" s="48" t="n"/>
      <c r="G285" s="46" t="n"/>
      <c r="H285" s="46" t="n"/>
      <c r="I285" s="34">
        <f>IF(OR($G285="",$H285=""),"",IF($H285&lt;=$G285,"Sim","Não"))</f>
        <v/>
      </c>
      <c r="J285" s="30" t="n"/>
      <c r="K285" s="30" t="n"/>
    </row>
    <row r="286" ht="20" customHeight="1">
      <c r="A286" s="46" t="n"/>
      <c r="B286" s="31" t="n"/>
      <c r="C286" s="47">
        <f>IFERROR(INDEX(Fornecedores!$B$7:$B$66,MATCH($B286,Fornecedores!$A$7:$A$66,0)),"")</f>
        <v/>
      </c>
      <c r="D286" s="30" t="n"/>
      <c r="E286" s="30" t="n"/>
      <c r="F286" s="48" t="n"/>
      <c r="G286" s="46" t="n"/>
      <c r="H286" s="46" t="n"/>
      <c r="I286" s="34">
        <f>IF(OR($G286="",$H286=""),"",IF($H286&lt;=$G286,"Sim","Não"))</f>
        <v/>
      </c>
      <c r="J286" s="30" t="n"/>
      <c r="K286" s="30" t="n"/>
    </row>
    <row r="287" ht="20" customHeight="1">
      <c r="A287" s="46" t="n"/>
      <c r="B287" s="31" t="n"/>
      <c r="C287" s="47">
        <f>IFERROR(INDEX(Fornecedores!$B$7:$B$66,MATCH($B287,Fornecedores!$A$7:$A$66,0)),"")</f>
        <v/>
      </c>
      <c r="D287" s="30" t="n"/>
      <c r="E287" s="30" t="n"/>
      <c r="F287" s="48" t="n"/>
      <c r="G287" s="46" t="n"/>
      <c r="H287" s="46" t="n"/>
      <c r="I287" s="34">
        <f>IF(OR($G287="",$H287=""),"",IF($H287&lt;=$G287,"Sim","Não"))</f>
        <v/>
      </c>
      <c r="J287" s="30" t="n"/>
      <c r="K287" s="30" t="n"/>
    </row>
    <row r="288" ht="20" customHeight="1">
      <c r="A288" s="46" t="n"/>
      <c r="B288" s="31" t="n"/>
      <c r="C288" s="47">
        <f>IFERROR(INDEX(Fornecedores!$B$7:$B$66,MATCH($B288,Fornecedores!$A$7:$A$66,0)),"")</f>
        <v/>
      </c>
      <c r="D288" s="30" t="n"/>
      <c r="E288" s="30" t="n"/>
      <c r="F288" s="48" t="n"/>
      <c r="G288" s="46" t="n"/>
      <c r="H288" s="46" t="n"/>
      <c r="I288" s="34">
        <f>IF(OR($G288="",$H288=""),"",IF($H288&lt;=$G288,"Sim","Não"))</f>
        <v/>
      </c>
      <c r="J288" s="30" t="n"/>
      <c r="K288" s="30" t="n"/>
    </row>
    <row r="289" ht="20" customHeight="1">
      <c r="A289" s="46" t="n"/>
      <c r="B289" s="31" t="n"/>
      <c r="C289" s="47">
        <f>IFERROR(INDEX(Fornecedores!$B$7:$B$66,MATCH($B289,Fornecedores!$A$7:$A$66,0)),"")</f>
        <v/>
      </c>
      <c r="D289" s="30" t="n"/>
      <c r="E289" s="30" t="n"/>
      <c r="F289" s="48" t="n"/>
      <c r="G289" s="46" t="n"/>
      <c r="H289" s="46" t="n"/>
      <c r="I289" s="34">
        <f>IF(OR($G289="",$H289=""),"",IF($H289&lt;=$G289,"Sim","Não"))</f>
        <v/>
      </c>
      <c r="J289" s="30" t="n"/>
      <c r="K289" s="30" t="n"/>
    </row>
    <row r="290" ht="20" customHeight="1">
      <c r="A290" s="46" t="n"/>
      <c r="B290" s="31" t="n"/>
      <c r="C290" s="47">
        <f>IFERROR(INDEX(Fornecedores!$B$7:$B$66,MATCH($B290,Fornecedores!$A$7:$A$66,0)),"")</f>
        <v/>
      </c>
      <c r="D290" s="30" t="n"/>
      <c r="E290" s="30" t="n"/>
      <c r="F290" s="48" t="n"/>
      <c r="G290" s="46" t="n"/>
      <c r="H290" s="46" t="n"/>
      <c r="I290" s="34">
        <f>IF(OR($G290="",$H290=""),"",IF($H290&lt;=$G290,"Sim","Não"))</f>
        <v/>
      </c>
      <c r="J290" s="30" t="n"/>
      <c r="K290" s="30" t="n"/>
    </row>
    <row r="291" ht="20" customHeight="1">
      <c r="A291" s="46" t="n"/>
      <c r="B291" s="31" t="n"/>
      <c r="C291" s="47">
        <f>IFERROR(INDEX(Fornecedores!$B$7:$B$66,MATCH($B291,Fornecedores!$A$7:$A$66,0)),"")</f>
        <v/>
      </c>
      <c r="D291" s="30" t="n"/>
      <c r="E291" s="30" t="n"/>
      <c r="F291" s="48" t="n"/>
      <c r="G291" s="46" t="n"/>
      <c r="H291" s="46" t="n"/>
      <c r="I291" s="34">
        <f>IF(OR($G291="",$H291=""),"",IF($H291&lt;=$G291,"Sim","Não"))</f>
        <v/>
      </c>
      <c r="J291" s="30" t="n"/>
      <c r="K291" s="30" t="n"/>
    </row>
    <row r="292" ht="20" customHeight="1">
      <c r="A292" s="46" t="n"/>
      <c r="B292" s="31" t="n"/>
      <c r="C292" s="47">
        <f>IFERROR(INDEX(Fornecedores!$B$7:$B$66,MATCH($B292,Fornecedores!$A$7:$A$66,0)),"")</f>
        <v/>
      </c>
      <c r="D292" s="30" t="n"/>
      <c r="E292" s="30" t="n"/>
      <c r="F292" s="48" t="n"/>
      <c r="G292" s="46" t="n"/>
      <c r="H292" s="46" t="n"/>
      <c r="I292" s="34">
        <f>IF(OR($G292="",$H292=""),"",IF($H292&lt;=$G292,"Sim","Não"))</f>
        <v/>
      </c>
      <c r="J292" s="30" t="n"/>
      <c r="K292" s="30" t="n"/>
    </row>
    <row r="293" ht="20" customHeight="1">
      <c r="A293" s="46" t="n"/>
      <c r="B293" s="31" t="n"/>
      <c r="C293" s="47">
        <f>IFERROR(INDEX(Fornecedores!$B$7:$B$66,MATCH($B293,Fornecedores!$A$7:$A$66,0)),"")</f>
        <v/>
      </c>
      <c r="D293" s="30" t="n"/>
      <c r="E293" s="30" t="n"/>
      <c r="F293" s="48" t="n"/>
      <c r="G293" s="46" t="n"/>
      <c r="H293" s="46" t="n"/>
      <c r="I293" s="34">
        <f>IF(OR($G293="",$H293=""),"",IF($H293&lt;=$G293,"Sim","Não"))</f>
        <v/>
      </c>
      <c r="J293" s="30" t="n"/>
      <c r="K293" s="30" t="n"/>
    </row>
    <row r="294" ht="20" customHeight="1">
      <c r="A294" s="46" t="n"/>
      <c r="B294" s="31" t="n"/>
      <c r="C294" s="47">
        <f>IFERROR(INDEX(Fornecedores!$B$7:$B$66,MATCH($B294,Fornecedores!$A$7:$A$66,0)),"")</f>
        <v/>
      </c>
      <c r="D294" s="30" t="n"/>
      <c r="E294" s="30" t="n"/>
      <c r="F294" s="48" t="n"/>
      <c r="G294" s="46" t="n"/>
      <c r="H294" s="46" t="n"/>
      <c r="I294" s="34">
        <f>IF(OR($G294="",$H294=""),"",IF($H294&lt;=$G294,"Sim","Não"))</f>
        <v/>
      </c>
      <c r="J294" s="30" t="n"/>
      <c r="K294" s="30" t="n"/>
    </row>
    <row r="295" ht="20" customHeight="1">
      <c r="A295" s="46" t="n"/>
      <c r="B295" s="31" t="n"/>
      <c r="C295" s="47">
        <f>IFERROR(INDEX(Fornecedores!$B$7:$B$66,MATCH($B295,Fornecedores!$A$7:$A$66,0)),"")</f>
        <v/>
      </c>
      <c r="D295" s="30" t="n"/>
      <c r="E295" s="30" t="n"/>
      <c r="F295" s="48" t="n"/>
      <c r="G295" s="46" t="n"/>
      <c r="H295" s="46" t="n"/>
      <c r="I295" s="34">
        <f>IF(OR($G295="",$H295=""),"",IF($H295&lt;=$G295,"Sim","Não"))</f>
        <v/>
      </c>
      <c r="J295" s="30" t="n"/>
      <c r="K295" s="30" t="n"/>
    </row>
    <row r="296" ht="20" customHeight="1">
      <c r="A296" s="46" t="n"/>
      <c r="B296" s="31" t="n"/>
      <c r="C296" s="47">
        <f>IFERROR(INDEX(Fornecedores!$B$7:$B$66,MATCH($B296,Fornecedores!$A$7:$A$66,0)),"")</f>
        <v/>
      </c>
      <c r="D296" s="30" t="n"/>
      <c r="E296" s="30" t="n"/>
      <c r="F296" s="48" t="n"/>
      <c r="G296" s="46" t="n"/>
      <c r="H296" s="46" t="n"/>
      <c r="I296" s="34">
        <f>IF(OR($G296="",$H296=""),"",IF($H296&lt;=$G296,"Sim","Não"))</f>
        <v/>
      </c>
      <c r="J296" s="30" t="n"/>
      <c r="K296" s="30" t="n"/>
    </row>
    <row r="297" ht="20" customHeight="1">
      <c r="A297" s="46" t="n"/>
      <c r="B297" s="31" t="n"/>
      <c r="C297" s="47">
        <f>IFERROR(INDEX(Fornecedores!$B$7:$B$66,MATCH($B297,Fornecedores!$A$7:$A$66,0)),"")</f>
        <v/>
      </c>
      <c r="D297" s="30" t="n"/>
      <c r="E297" s="30" t="n"/>
      <c r="F297" s="48" t="n"/>
      <c r="G297" s="46" t="n"/>
      <c r="H297" s="46" t="n"/>
      <c r="I297" s="34">
        <f>IF(OR($G297="",$H297=""),"",IF($H297&lt;=$G297,"Sim","Não"))</f>
        <v/>
      </c>
      <c r="J297" s="30" t="n"/>
      <c r="K297" s="30" t="n"/>
    </row>
    <row r="298" ht="20" customHeight="1">
      <c r="A298" s="46" t="n"/>
      <c r="B298" s="31" t="n"/>
      <c r="C298" s="47">
        <f>IFERROR(INDEX(Fornecedores!$B$7:$B$66,MATCH($B298,Fornecedores!$A$7:$A$66,0)),"")</f>
        <v/>
      </c>
      <c r="D298" s="30" t="n"/>
      <c r="E298" s="30" t="n"/>
      <c r="F298" s="48" t="n"/>
      <c r="G298" s="46" t="n"/>
      <c r="H298" s="46" t="n"/>
      <c r="I298" s="34">
        <f>IF(OR($G298="",$H298=""),"",IF($H298&lt;=$G298,"Sim","Não"))</f>
        <v/>
      </c>
      <c r="J298" s="30" t="n"/>
      <c r="K298" s="30" t="n"/>
    </row>
    <row r="299" ht="20" customHeight="1">
      <c r="A299" s="46" t="n"/>
      <c r="B299" s="31" t="n"/>
      <c r="C299" s="47">
        <f>IFERROR(INDEX(Fornecedores!$B$7:$B$66,MATCH($B299,Fornecedores!$A$7:$A$66,0)),"")</f>
        <v/>
      </c>
      <c r="D299" s="30" t="n"/>
      <c r="E299" s="30" t="n"/>
      <c r="F299" s="48" t="n"/>
      <c r="G299" s="46" t="n"/>
      <c r="H299" s="46" t="n"/>
      <c r="I299" s="34">
        <f>IF(OR($G299="",$H299=""),"",IF($H299&lt;=$G299,"Sim","Não"))</f>
        <v/>
      </c>
      <c r="J299" s="30" t="n"/>
      <c r="K299" s="30" t="n"/>
    </row>
    <row r="300" ht="20" customHeight="1">
      <c r="A300" s="46" t="n"/>
      <c r="B300" s="31" t="n"/>
      <c r="C300" s="47">
        <f>IFERROR(INDEX(Fornecedores!$B$7:$B$66,MATCH($B300,Fornecedores!$A$7:$A$66,0)),"")</f>
        <v/>
      </c>
      <c r="D300" s="30" t="n"/>
      <c r="E300" s="30" t="n"/>
      <c r="F300" s="48" t="n"/>
      <c r="G300" s="46" t="n"/>
      <c r="H300" s="46" t="n"/>
      <c r="I300" s="34">
        <f>IF(OR($G300="",$H300=""),"",IF($H300&lt;=$G300,"Sim","Não"))</f>
        <v/>
      </c>
      <c r="J300" s="30" t="n"/>
      <c r="K300" s="30" t="n"/>
    </row>
    <row r="301" ht="20" customHeight="1">
      <c r="A301" s="46" t="n"/>
      <c r="B301" s="31" t="n"/>
      <c r="C301" s="47">
        <f>IFERROR(INDEX(Fornecedores!$B$7:$B$66,MATCH($B301,Fornecedores!$A$7:$A$66,0)),"")</f>
        <v/>
      </c>
      <c r="D301" s="30" t="n"/>
      <c r="E301" s="30" t="n"/>
      <c r="F301" s="48" t="n"/>
      <c r="G301" s="46" t="n"/>
      <c r="H301" s="46" t="n"/>
      <c r="I301" s="34">
        <f>IF(OR($G301="",$H301=""),"",IF($H301&lt;=$G301,"Sim","Não"))</f>
        <v/>
      </c>
      <c r="J301" s="30" t="n"/>
      <c r="K301" s="30" t="n"/>
    </row>
    <row r="302" ht="20" customHeight="1">
      <c r="A302" s="46" t="n"/>
      <c r="B302" s="31" t="n"/>
      <c r="C302" s="47">
        <f>IFERROR(INDEX(Fornecedores!$B$7:$B$66,MATCH($B302,Fornecedores!$A$7:$A$66,0)),"")</f>
        <v/>
      </c>
      <c r="D302" s="30" t="n"/>
      <c r="E302" s="30" t="n"/>
      <c r="F302" s="48" t="n"/>
      <c r="G302" s="46" t="n"/>
      <c r="H302" s="46" t="n"/>
      <c r="I302" s="34">
        <f>IF(OR($G302="",$H302=""),"",IF($H302&lt;=$G302,"Sim","Não"))</f>
        <v/>
      </c>
      <c r="J302" s="30" t="n"/>
      <c r="K302" s="30" t="n"/>
    </row>
    <row r="303" ht="20" customHeight="1">
      <c r="A303" s="46" t="n"/>
      <c r="B303" s="31" t="n"/>
      <c r="C303" s="47">
        <f>IFERROR(INDEX(Fornecedores!$B$7:$B$66,MATCH($B303,Fornecedores!$A$7:$A$66,0)),"")</f>
        <v/>
      </c>
      <c r="D303" s="30" t="n"/>
      <c r="E303" s="30" t="n"/>
      <c r="F303" s="48" t="n"/>
      <c r="G303" s="46" t="n"/>
      <c r="H303" s="46" t="n"/>
      <c r="I303" s="34">
        <f>IF(OR($G303="",$H303=""),"",IF($H303&lt;=$G303,"Sim","Não"))</f>
        <v/>
      </c>
      <c r="J303" s="30" t="n"/>
      <c r="K303" s="30" t="n"/>
    </row>
    <row r="304" ht="20" customHeight="1">
      <c r="A304" s="46" t="n"/>
      <c r="B304" s="31" t="n"/>
      <c r="C304" s="47">
        <f>IFERROR(INDEX(Fornecedores!$B$7:$B$66,MATCH($B304,Fornecedores!$A$7:$A$66,0)),"")</f>
        <v/>
      </c>
      <c r="D304" s="30" t="n"/>
      <c r="E304" s="30" t="n"/>
      <c r="F304" s="48" t="n"/>
      <c r="G304" s="46" t="n"/>
      <c r="H304" s="46" t="n"/>
      <c r="I304" s="34">
        <f>IF(OR($G304="",$H304=""),"",IF($H304&lt;=$G304,"Sim","Não"))</f>
        <v/>
      </c>
      <c r="J304" s="30" t="n"/>
      <c r="K304" s="30" t="n"/>
    </row>
    <row r="305" ht="20" customHeight="1">
      <c r="A305" s="46" t="n"/>
      <c r="B305" s="31" t="n"/>
      <c r="C305" s="47">
        <f>IFERROR(INDEX(Fornecedores!$B$7:$B$66,MATCH($B305,Fornecedores!$A$7:$A$66,0)),"")</f>
        <v/>
      </c>
      <c r="D305" s="30" t="n"/>
      <c r="E305" s="30" t="n"/>
      <c r="F305" s="48" t="n"/>
      <c r="G305" s="46" t="n"/>
      <c r="H305" s="46" t="n"/>
      <c r="I305" s="34">
        <f>IF(OR($G305="",$H305=""),"",IF($H305&lt;=$G305,"Sim","Não"))</f>
        <v/>
      </c>
      <c r="J305" s="30" t="n"/>
      <c r="K305" s="30" t="n"/>
    </row>
    <row r="306" ht="20" customHeight="1">
      <c r="A306" s="46" t="n"/>
      <c r="B306" s="31" t="n"/>
      <c r="C306" s="47">
        <f>IFERROR(INDEX(Fornecedores!$B$7:$B$66,MATCH($B306,Fornecedores!$A$7:$A$66,0)),"")</f>
        <v/>
      </c>
      <c r="D306" s="30" t="n"/>
      <c r="E306" s="30" t="n"/>
      <c r="F306" s="48" t="n"/>
      <c r="G306" s="46" t="n"/>
      <c r="H306" s="46" t="n"/>
      <c r="I306" s="34">
        <f>IF(OR($G306="",$H306=""),"",IF($H306&lt;=$G306,"Sim","Não"))</f>
        <v/>
      </c>
      <c r="J306" s="30" t="n"/>
      <c r="K306" s="30" t="n"/>
    </row>
  </sheetData>
  <autoFilter ref="A6:K306"/>
  <mergeCells count="4">
    <mergeCell ref="A2:K2"/>
    <mergeCell ref="A1:K1"/>
    <mergeCell ref="A4:K4"/>
    <mergeCell ref="A3:K3"/>
  </mergeCells>
  <conditionalFormatting sqref="I7:I306">
    <cfRule type="cellIs" priority="1" operator="equal" dxfId="0">
      <formula>"Não"</formula>
    </cfRule>
  </conditionalFormatting>
  <dataValidations count="2">
    <dataValidation sqref="B7:B306" showDropDown="0" showInputMessage="0" showErrorMessage="0" allowBlank="1" type="list">
      <formula1>=Fornecedores!$A$7:$A$66</formula1>
    </dataValidation>
    <dataValidation sqref="J7:J306" showDropDown="0" showInputMessage="0" showErrorMessage="0" allowBlank="1" type="list">
      <formula1>=Listas!$B$2:$B$9</formula1>
    </dataValidation>
  </dataValidations>
  <pageMargins left="0.45" right="0.35" top="0.4" bottom="0.3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20" customWidth="1" min="4" max="4"/>
    <col width="28" customWidth="1" min="5" max="5"/>
    <col width="12" customWidth="1" min="6" max="6"/>
    <col width="46" customWidth="1" min="7" max="7"/>
    <col width="40" customWidth="1" min="8" max="8"/>
    <col width="12" customWidth="1" min="9" max="9"/>
    <col width="14" customWidth="1" min="10" max="10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OCORRÊNCIAS</t>
        </is>
      </c>
    </row>
    <row r="4" ht="17" customHeight="1">
      <c r="A4" s="4" t="inlineStr">
        <is>
          <t>Todo problema registrado aqui alimenta o índice de problemas do fornecedor</t>
        </is>
      </c>
    </row>
    <row r="6" ht="32" customHeight="1">
      <c r="A6" s="27" t="inlineStr">
        <is>
          <t>Data</t>
        </is>
      </c>
      <c r="B6" s="27" t="inlineStr">
        <is>
          <t>Cód. fornecedor</t>
        </is>
      </c>
      <c r="C6" s="27" t="inlineStr">
        <is>
          <t>Fornecedor</t>
        </is>
      </c>
      <c r="D6" s="27" t="inlineStr">
        <is>
          <t>Nota fiscal / pedido</t>
        </is>
      </c>
      <c r="E6" s="27" t="inlineStr">
        <is>
          <t>Tipo de ocorrência</t>
        </is>
      </c>
      <c r="F6" s="27" t="inlineStr">
        <is>
          <t>Gravidade</t>
        </is>
      </c>
      <c r="G6" s="27" t="inlineStr">
        <is>
          <t>O que aconteceu</t>
        </is>
      </c>
      <c r="H6" s="27" t="inlineStr">
        <is>
          <t>Providência tomada</t>
        </is>
      </c>
      <c r="I6" s="27" t="inlineStr">
        <is>
          <t>Resolvido?</t>
        </is>
      </c>
      <c r="J6" s="27" t="inlineStr">
        <is>
          <t>Data da solução</t>
        </is>
      </c>
    </row>
    <row r="7" ht="20" customHeight="1">
      <c r="A7" s="46" t="n"/>
      <c r="B7" s="31" t="n"/>
      <c r="C7" s="47">
        <f>IFERROR(INDEX(Fornecedores!$B$7:$B$66,MATCH($B7,Fornecedores!$A$7:$A$66,0)),"")</f>
        <v/>
      </c>
      <c r="D7" s="30" t="n"/>
      <c r="E7" s="30" t="n"/>
      <c r="F7" s="31" t="n"/>
      <c r="G7" s="30" t="n"/>
      <c r="H7" s="30" t="n"/>
      <c r="I7" s="31" t="n"/>
      <c r="J7" s="46" t="n"/>
    </row>
    <row r="8" ht="20" customHeight="1">
      <c r="A8" s="46" t="n"/>
      <c r="B8" s="31" t="n"/>
      <c r="C8" s="47">
        <f>IFERROR(INDEX(Fornecedores!$B$7:$B$66,MATCH($B8,Fornecedores!$A$7:$A$66,0)),"")</f>
        <v/>
      </c>
      <c r="D8" s="30" t="n"/>
      <c r="E8" s="30" t="n"/>
      <c r="F8" s="31" t="n"/>
      <c r="G8" s="30" t="n"/>
      <c r="H8" s="30" t="n"/>
      <c r="I8" s="31" t="n"/>
      <c r="J8" s="46" t="n"/>
    </row>
    <row r="9" ht="20" customHeight="1">
      <c r="A9" s="46" t="n"/>
      <c r="B9" s="31" t="n"/>
      <c r="C9" s="47">
        <f>IFERROR(INDEX(Fornecedores!$B$7:$B$66,MATCH($B9,Fornecedores!$A$7:$A$66,0)),"")</f>
        <v/>
      </c>
      <c r="D9" s="30" t="n"/>
      <c r="E9" s="30" t="n"/>
      <c r="F9" s="31" t="n"/>
      <c r="G9" s="30" t="n"/>
      <c r="H9" s="30" t="n"/>
      <c r="I9" s="31" t="n"/>
      <c r="J9" s="46" t="n"/>
    </row>
    <row r="10" ht="20" customHeight="1">
      <c r="A10" s="46" t="n"/>
      <c r="B10" s="31" t="n"/>
      <c r="C10" s="47">
        <f>IFERROR(INDEX(Fornecedores!$B$7:$B$66,MATCH($B10,Fornecedores!$A$7:$A$66,0)),"")</f>
        <v/>
      </c>
      <c r="D10" s="30" t="n"/>
      <c r="E10" s="30" t="n"/>
      <c r="F10" s="31" t="n"/>
      <c r="G10" s="30" t="n"/>
      <c r="H10" s="30" t="n"/>
      <c r="I10" s="31" t="n"/>
      <c r="J10" s="46" t="n"/>
    </row>
    <row r="11" ht="20" customHeight="1">
      <c r="A11" s="46" t="n"/>
      <c r="B11" s="31" t="n"/>
      <c r="C11" s="47">
        <f>IFERROR(INDEX(Fornecedores!$B$7:$B$66,MATCH($B11,Fornecedores!$A$7:$A$66,0)),"")</f>
        <v/>
      </c>
      <c r="D11" s="30" t="n"/>
      <c r="E11" s="30" t="n"/>
      <c r="F11" s="31" t="n"/>
      <c r="G11" s="30" t="n"/>
      <c r="H11" s="30" t="n"/>
      <c r="I11" s="31" t="n"/>
      <c r="J11" s="46" t="n"/>
    </row>
    <row r="12" ht="20" customHeight="1">
      <c r="A12" s="46" t="n"/>
      <c r="B12" s="31" t="n"/>
      <c r="C12" s="47">
        <f>IFERROR(INDEX(Fornecedores!$B$7:$B$66,MATCH($B12,Fornecedores!$A$7:$A$66,0)),"")</f>
        <v/>
      </c>
      <c r="D12" s="30" t="n"/>
      <c r="E12" s="30" t="n"/>
      <c r="F12" s="31" t="n"/>
      <c r="G12" s="30" t="n"/>
      <c r="H12" s="30" t="n"/>
      <c r="I12" s="31" t="n"/>
      <c r="J12" s="46" t="n"/>
    </row>
    <row r="13" ht="20" customHeight="1">
      <c r="A13" s="46" t="n"/>
      <c r="B13" s="31" t="n"/>
      <c r="C13" s="47">
        <f>IFERROR(INDEX(Fornecedores!$B$7:$B$66,MATCH($B13,Fornecedores!$A$7:$A$66,0)),"")</f>
        <v/>
      </c>
      <c r="D13" s="30" t="n"/>
      <c r="E13" s="30" t="n"/>
      <c r="F13" s="31" t="n"/>
      <c r="G13" s="30" t="n"/>
      <c r="H13" s="30" t="n"/>
      <c r="I13" s="31" t="n"/>
      <c r="J13" s="46" t="n"/>
    </row>
    <row r="14" ht="20" customHeight="1">
      <c r="A14" s="46" t="n"/>
      <c r="B14" s="31" t="n"/>
      <c r="C14" s="47">
        <f>IFERROR(INDEX(Fornecedores!$B$7:$B$66,MATCH($B14,Fornecedores!$A$7:$A$66,0)),"")</f>
        <v/>
      </c>
      <c r="D14" s="30" t="n"/>
      <c r="E14" s="30" t="n"/>
      <c r="F14" s="31" t="n"/>
      <c r="G14" s="30" t="n"/>
      <c r="H14" s="30" t="n"/>
      <c r="I14" s="31" t="n"/>
      <c r="J14" s="46" t="n"/>
    </row>
    <row r="15" ht="20" customHeight="1">
      <c r="A15" s="46" t="n"/>
      <c r="B15" s="31" t="n"/>
      <c r="C15" s="47">
        <f>IFERROR(INDEX(Fornecedores!$B$7:$B$66,MATCH($B15,Fornecedores!$A$7:$A$66,0)),"")</f>
        <v/>
      </c>
      <c r="D15" s="30" t="n"/>
      <c r="E15" s="30" t="n"/>
      <c r="F15" s="31" t="n"/>
      <c r="G15" s="30" t="n"/>
      <c r="H15" s="30" t="n"/>
      <c r="I15" s="31" t="n"/>
      <c r="J15" s="46" t="n"/>
    </row>
    <row r="16" ht="20" customHeight="1">
      <c r="A16" s="46" t="n"/>
      <c r="B16" s="31" t="n"/>
      <c r="C16" s="47">
        <f>IFERROR(INDEX(Fornecedores!$B$7:$B$66,MATCH($B16,Fornecedores!$A$7:$A$66,0)),"")</f>
        <v/>
      </c>
      <c r="D16" s="30" t="n"/>
      <c r="E16" s="30" t="n"/>
      <c r="F16" s="31" t="n"/>
      <c r="G16" s="30" t="n"/>
      <c r="H16" s="30" t="n"/>
      <c r="I16" s="31" t="n"/>
      <c r="J16" s="46" t="n"/>
    </row>
    <row r="17" ht="20" customHeight="1">
      <c r="A17" s="46" t="n"/>
      <c r="B17" s="31" t="n"/>
      <c r="C17" s="47">
        <f>IFERROR(INDEX(Fornecedores!$B$7:$B$66,MATCH($B17,Fornecedores!$A$7:$A$66,0)),"")</f>
        <v/>
      </c>
      <c r="D17" s="30" t="n"/>
      <c r="E17" s="30" t="n"/>
      <c r="F17" s="31" t="n"/>
      <c r="G17" s="30" t="n"/>
      <c r="H17" s="30" t="n"/>
      <c r="I17" s="31" t="n"/>
      <c r="J17" s="46" t="n"/>
    </row>
    <row r="18" ht="20" customHeight="1">
      <c r="A18" s="46" t="n"/>
      <c r="B18" s="31" t="n"/>
      <c r="C18" s="47">
        <f>IFERROR(INDEX(Fornecedores!$B$7:$B$66,MATCH($B18,Fornecedores!$A$7:$A$66,0)),"")</f>
        <v/>
      </c>
      <c r="D18" s="30" t="n"/>
      <c r="E18" s="30" t="n"/>
      <c r="F18" s="31" t="n"/>
      <c r="G18" s="30" t="n"/>
      <c r="H18" s="30" t="n"/>
      <c r="I18" s="31" t="n"/>
      <c r="J18" s="46" t="n"/>
    </row>
    <row r="19" ht="20" customHeight="1">
      <c r="A19" s="46" t="n"/>
      <c r="B19" s="31" t="n"/>
      <c r="C19" s="47">
        <f>IFERROR(INDEX(Fornecedores!$B$7:$B$66,MATCH($B19,Fornecedores!$A$7:$A$66,0)),"")</f>
        <v/>
      </c>
      <c r="D19" s="30" t="n"/>
      <c r="E19" s="30" t="n"/>
      <c r="F19" s="31" t="n"/>
      <c r="G19" s="30" t="n"/>
      <c r="H19" s="30" t="n"/>
      <c r="I19" s="31" t="n"/>
      <c r="J19" s="46" t="n"/>
    </row>
    <row r="20" ht="20" customHeight="1">
      <c r="A20" s="46" t="n"/>
      <c r="B20" s="31" t="n"/>
      <c r="C20" s="47">
        <f>IFERROR(INDEX(Fornecedores!$B$7:$B$66,MATCH($B20,Fornecedores!$A$7:$A$66,0)),"")</f>
        <v/>
      </c>
      <c r="D20" s="30" t="n"/>
      <c r="E20" s="30" t="n"/>
      <c r="F20" s="31" t="n"/>
      <c r="G20" s="30" t="n"/>
      <c r="H20" s="30" t="n"/>
      <c r="I20" s="31" t="n"/>
      <c r="J20" s="46" t="n"/>
    </row>
    <row r="21" ht="20" customHeight="1">
      <c r="A21" s="46" t="n"/>
      <c r="B21" s="31" t="n"/>
      <c r="C21" s="47">
        <f>IFERROR(INDEX(Fornecedores!$B$7:$B$66,MATCH($B21,Fornecedores!$A$7:$A$66,0)),"")</f>
        <v/>
      </c>
      <c r="D21" s="30" t="n"/>
      <c r="E21" s="30" t="n"/>
      <c r="F21" s="31" t="n"/>
      <c r="G21" s="30" t="n"/>
      <c r="H21" s="30" t="n"/>
      <c r="I21" s="31" t="n"/>
      <c r="J21" s="46" t="n"/>
    </row>
    <row r="22" ht="20" customHeight="1">
      <c r="A22" s="46" t="n"/>
      <c r="B22" s="31" t="n"/>
      <c r="C22" s="47">
        <f>IFERROR(INDEX(Fornecedores!$B$7:$B$66,MATCH($B22,Fornecedores!$A$7:$A$66,0)),"")</f>
        <v/>
      </c>
      <c r="D22" s="30" t="n"/>
      <c r="E22" s="30" t="n"/>
      <c r="F22" s="31" t="n"/>
      <c r="G22" s="30" t="n"/>
      <c r="H22" s="30" t="n"/>
      <c r="I22" s="31" t="n"/>
      <c r="J22" s="46" t="n"/>
    </row>
    <row r="23" ht="20" customHeight="1">
      <c r="A23" s="46" t="n"/>
      <c r="B23" s="31" t="n"/>
      <c r="C23" s="47">
        <f>IFERROR(INDEX(Fornecedores!$B$7:$B$66,MATCH($B23,Fornecedores!$A$7:$A$66,0)),"")</f>
        <v/>
      </c>
      <c r="D23" s="30" t="n"/>
      <c r="E23" s="30" t="n"/>
      <c r="F23" s="31" t="n"/>
      <c r="G23" s="30" t="n"/>
      <c r="H23" s="30" t="n"/>
      <c r="I23" s="31" t="n"/>
      <c r="J23" s="46" t="n"/>
    </row>
    <row r="24" ht="20" customHeight="1">
      <c r="A24" s="46" t="n"/>
      <c r="B24" s="31" t="n"/>
      <c r="C24" s="47">
        <f>IFERROR(INDEX(Fornecedores!$B$7:$B$66,MATCH($B24,Fornecedores!$A$7:$A$66,0)),"")</f>
        <v/>
      </c>
      <c r="D24" s="30" t="n"/>
      <c r="E24" s="30" t="n"/>
      <c r="F24" s="31" t="n"/>
      <c r="G24" s="30" t="n"/>
      <c r="H24" s="30" t="n"/>
      <c r="I24" s="31" t="n"/>
      <c r="J24" s="46" t="n"/>
    </row>
    <row r="25" ht="20" customHeight="1">
      <c r="A25" s="46" t="n"/>
      <c r="B25" s="31" t="n"/>
      <c r="C25" s="47">
        <f>IFERROR(INDEX(Fornecedores!$B$7:$B$66,MATCH($B25,Fornecedores!$A$7:$A$66,0)),"")</f>
        <v/>
      </c>
      <c r="D25" s="30" t="n"/>
      <c r="E25" s="30" t="n"/>
      <c r="F25" s="31" t="n"/>
      <c r="G25" s="30" t="n"/>
      <c r="H25" s="30" t="n"/>
      <c r="I25" s="31" t="n"/>
      <c r="J25" s="46" t="n"/>
    </row>
    <row r="26" ht="20" customHeight="1">
      <c r="A26" s="46" t="n"/>
      <c r="B26" s="31" t="n"/>
      <c r="C26" s="47">
        <f>IFERROR(INDEX(Fornecedores!$B$7:$B$66,MATCH($B26,Fornecedores!$A$7:$A$66,0)),"")</f>
        <v/>
      </c>
      <c r="D26" s="30" t="n"/>
      <c r="E26" s="30" t="n"/>
      <c r="F26" s="31" t="n"/>
      <c r="G26" s="30" t="n"/>
      <c r="H26" s="30" t="n"/>
      <c r="I26" s="31" t="n"/>
      <c r="J26" s="46" t="n"/>
    </row>
    <row r="27" ht="20" customHeight="1">
      <c r="A27" s="46" t="n"/>
      <c r="B27" s="31" t="n"/>
      <c r="C27" s="47">
        <f>IFERROR(INDEX(Fornecedores!$B$7:$B$66,MATCH($B27,Fornecedores!$A$7:$A$66,0)),"")</f>
        <v/>
      </c>
      <c r="D27" s="30" t="n"/>
      <c r="E27" s="30" t="n"/>
      <c r="F27" s="31" t="n"/>
      <c r="G27" s="30" t="n"/>
      <c r="H27" s="30" t="n"/>
      <c r="I27" s="31" t="n"/>
      <c r="J27" s="46" t="n"/>
    </row>
    <row r="28" ht="20" customHeight="1">
      <c r="A28" s="46" t="n"/>
      <c r="B28" s="31" t="n"/>
      <c r="C28" s="47">
        <f>IFERROR(INDEX(Fornecedores!$B$7:$B$66,MATCH($B28,Fornecedores!$A$7:$A$66,0)),"")</f>
        <v/>
      </c>
      <c r="D28" s="30" t="n"/>
      <c r="E28" s="30" t="n"/>
      <c r="F28" s="31" t="n"/>
      <c r="G28" s="30" t="n"/>
      <c r="H28" s="30" t="n"/>
      <c r="I28" s="31" t="n"/>
      <c r="J28" s="46" t="n"/>
    </row>
    <row r="29" ht="20" customHeight="1">
      <c r="A29" s="46" t="n"/>
      <c r="B29" s="31" t="n"/>
      <c r="C29" s="47">
        <f>IFERROR(INDEX(Fornecedores!$B$7:$B$66,MATCH($B29,Fornecedores!$A$7:$A$66,0)),"")</f>
        <v/>
      </c>
      <c r="D29" s="30" t="n"/>
      <c r="E29" s="30" t="n"/>
      <c r="F29" s="31" t="n"/>
      <c r="G29" s="30" t="n"/>
      <c r="H29" s="30" t="n"/>
      <c r="I29" s="31" t="n"/>
      <c r="J29" s="46" t="n"/>
    </row>
    <row r="30" ht="20" customHeight="1">
      <c r="A30" s="46" t="n"/>
      <c r="B30" s="31" t="n"/>
      <c r="C30" s="47">
        <f>IFERROR(INDEX(Fornecedores!$B$7:$B$66,MATCH($B30,Fornecedores!$A$7:$A$66,0)),"")</f>
        <v/>
      </c>
      <c r="D30" s="30" t="n"/>
      <c r="E30" s="30" t="n"/>
      <c r="F30" s="31" t="n"/>
      <c r="G30" s="30" t="n"/>
      <c r="H30" s="30" t="n"/>
      <c r="I30" s="31" t="n"/>
      <c r="J30" s="46" t="n"/>
    </row>
    <row r="31" ht="20" customHeight="1">
      <c r="A31" s="46" t="n"/>
      <c r="B31" s="31" t="n"/>
      <c r="C31" s="47">
        <f>IFERROR(INDEX(Fornecedores!$B$7:$B$66,MATCH($B31,Fornecedores!$A$7:$A$66,0)),"")</f>
        <v/>
      </c>
      <c r="D31" s="30" t="n"/>
      <c r="E31" s="30" t="n"/>
      <c r="F31" s="31" t="n"/>
      <c r="G31" s="30" t="n"/>
      <c r="H31" s="30" t="n"/>
      <c r="I31" s="31" t="n"/>
      <c r="J31" s="46" t="n"/>
    </row>
    <row r="32" ht="20" customHeight="1">
      <c r="A32" s="46" t="n"/>
      <c r="B32" s="31" t="n"/>
      <c r="C32" s="47">
        <f>IFERROR(INDEX(Fornecedores!$B$7:$B$66,MATCH($B32,Fornecedores!$A$7:$A$66,0)),"")</f>
        <v/>
      </c>
      <c r="D32" s="30" t="n"/>
      <c r="E32" s="30" t="n"/>
      <c r="F32" s="31" t="n"/>
      <c r="G32" s="30" t="n"/>
      <c r="H32" s="30" t="n"/>
      <c r="I32" s="31" t="n"/>
      <c r="J32" s="46" t="n"/>
    </row>
    <row r="33" ht="20" customHeight="1">
      <c r="A33" s="46" t="n"/>
      <c r="B33" s="31" t="n"/>
      <c r="C33" s="47">
        <f>IFERROR(INDEX(Fornecedores!$B$7:$B$66,MATCH($B33,Fornecedores!$A$7:$A$66,0)),"")</f>
        <v/>
      </c>
      <c r="D33" s="30" t="n"/>
      <c r="E33" s="30" t="n"/>
      <c r="F33" s="31" t="n"/>
      <c r="G33" s="30" t="n"/>
      <c r="H33" s="30" t="n"/>
      <c r="I33" s="31" t="n"/>
      <c r="J33" s="46" t="n"/>
    </row>
    <row r="34" ht="20" customHeight="1">
      <c r="A34" s="46" t="n"/>
      <c r="B34" s="31" t="n"/>
      <c r="C34" s="47">
        <f>IFERROR(INDEX(Fornecedores!$B$7:$B$66,MATCH($B34,Fornecedores!$A$7:$A$66,0)),"")</f>
        <v/>
      </c>
      <c r="D34" s="30" t="n"/>
      <c r="E34" s="30" t="n"/>
      <c r="F34" s="31" t="n"/>
      <c r="G34" s="30" t="n"/>
      <c r="H34" s="30" t="n"/>
      <c r="I34" s="31" t="n"/>
      <c r="J34" s="46" t="n"/>
    </row>
    <row r="35" ht="20" customHeight="1">
      <c r="A35" s="46" t="n"/>
      <c r="B35" s="31" t="n"/>
      <c r="C35" s="47">
        <f>IFERROR(INDEX(Fornecedores!$B$7:$B$66,MATCH($B35,Fornecedores!$A$7:$A$66,0)),"")</f>
        <v/>
      </c>
      <c r="D35" s="30" t="n"/>
      <c r="E35" s="30" t="n"/>
      <c r="F35" s="31" t="n"/>
      <c r="G35" s="30" t="n"/>
      <c r="H35" s="30" t="n"/>
      <c r="I35" s="31" t="n"/>
      <c r="J35" s="46" t="n"/>
    </row>
    <row r="36" ht="20" customHeight="1">
      <c r="A36" s="46" t="n"/>
      <c r="B36" s="31" t="n"/>
      <c r="C36" s="47">
        <f>IFERROR(INDEX(Fornecedores!$B$7:$B$66,MATCH($B36,Fornecedores!$A$7:$A$66,0)),"")</f>
        <v/>
      </c>
      <c r="D36" s="30" t="n"/>
      <c r="E36" s="30" t="n"/>
      <c r="F36" s="31" t="n"/>
      <c r="G36" s="30" t="n"/>
      <c r="H36" s="30" t="n"/>
      <c r="I36" s="31" t="n"/>
      <c r="J36" s="46" t="n"/>
    </row>
    <row r="37" ht="20" customHeight="1">
      <c r="A37" s="46" t="n"/>
      <c r="B37" s="31" t="n"/>
      <c r="C37" s="47">
        <f>IFERROR(INDEX(Fornecedores!$B$7:$B$66,MATCH($B37,Fornecedores!$A$7:$A$66,0)),"")</f>
        <v/>
      </c>
      <c r="D37" s="30" t="n"/>
      <c r="E37" s="30" t="n"/>
      <c r="F37" s="31" t="n"/>
      <c r="G37" s="30" t="n"/>
      <c r="H37" s="30" t="n"/>
      <c r="I37" s="31" t="n"/>
      <c r="J37" s="46" t="n"/>
    </row>
    <row r="38" ht="20" customHeight="1">
      <c r="A38" s="46" t="n"/>
      <c r="B38" s="31" t="n"/>
      <c r="C38" s="47">
        <f>IFERROR(INDEX(Fornecedores!$B$7:$B$66,MATCH($B38,Fornecedores!$A$7:$A$66,0)),"")</f>
        <v/>
      </c>
      <c r="D38" s="30" t="n"/>
      <c r="E38" s="30" t="n"/>
      <c r="F38" s="31" t="n"/>
      <c r="G38" s="30" t="n"/>
      <c r="H38" s="30" t="n"/>
      <c r="I38" s="31" t="n"/>
      <c r="J38" s="46" t="n"/>
    </row>
    <row r="39" ht="20" customHeight="1">
      <c r="A39" s="46" t="n"/>
      <c r="B39" s="31" t="n"/>
      <c r="C39" s="47">
        <f>IFERROR(INDEX(Fornecedores!$B$7:$B$66,MATCH($B39,Fornecedores!$A$7:$A$66,0)),"")</f>
        <v/>
      </c>
      <c r="D39" s="30" t="n"/>
      <c r="E39" s="30" t="n"/>
      <c r="F39" s="31" t="n"/>
      <c r="G39" s="30" t="n"/>
      <c r="H39" s="30" t="n"/>
      <c r="I39" s="31" t="n"/>
      <c r="J39" s="46" t="n"/>
    </row>
    <row r="40" ht="20" customHeight="1">
      <c r="A40" s="46" t="n"/>
      <c r="B40" s="31" t="n"/>
      <c r="C40" s="47">
        <f>IFERROR(INDEX(Fornecedores!$B$7:$B$66,MATCH($B40,Fornecedores!$A$7:$A$66,0)),"")</f>
        <v/>
      </c>
      <c r="D40" s="30" t="n"/>
      <c r="E40" s="30" t="n"/>
      <c r="F40" s="31" t="n"/>
      <c r="G40" s="30" t="n"/>
      <c r="H40" s="30" t="n"/>
      <c r="I40" s="31" t="n"/>
      <c r="J40" s="46" t="n"/>
    </row>
    <row r="41" ht="20" customHeight="1">
      <c r="A41" s="46" t="n"/>
      <c r="B41" s="31" t="n"/>
      <c r="C41" s="47">
        <f>IFERROR(INDEX(Fornecedores!$B$7:$B$66,MATCH($B41,Fornecedores!$A$7:$A$66,0)),"")</f>
        <v/>
      </c>
      <c r="D41" s="30" t="n"/>
      <c r="E41" s="30" t="n"/>
      <c r="F41" s="31" t="n"/>
      <c r="G41" s="30" t="n"/>
      <c r="H41" s="30" t="n"/>
      <c r="I41" s="31" t="n"/>
      <c r="J41" s="46" t="n"/>
    </row>
    <row r="42" ht="20" customHeight="1">
      <c r="A42" s="46" t="n"/>
      <c r="B42" s="31" t="n"/>
      <c r="C42" s="47">
        <f>IFERROR(INDEX(Fornecedores!$B$7:$B$66,MATCH($B42,Fornecedores!$A$7:$A$66,0)),"")</f>
        <v/>
      </c>
      <c r="D42" s="30" t="n"/>
      <c r="E42" s="30" t="n"/>
      <c r="F42" s="31" t="n"/>
      <c r="G42" s="30" t="n"/>
      <c r="H42" s="30" t="n"/>
      <c r="I42" s="31" t="n"/>
      <c r="J42" s="46" t="n"/>
    </row>
    <row r="43" ht="20" customHeight="1">
      <c r="A43" s="46" t="n"/>
      <c r="B43" s="31" t="n"/>
      <c r="C43" s="47">
        <f>IFERROR(INDEX(Fornecedores!$B$7:$B$66,MATCH($B43,Fornecedores!$A$7:$A$66,0)),"")</f>
        <v/>
      </c>
      <c r="D43" s="30" t="n"/>
      <c r="E43" s="30" t="n"/>
      <c r="F43" s="31" t="n"/>
      <c r="G43" s="30" t="n"/>
      <c r="H43" s="30" t="n"/>
      <c r="I43" s="31" t="n"/>
      <c r="J43" s="46" t="n"/>
    </row>
    <row r="44" ht="20" customHeight="1">
      <c r="A44" s="46" t="n"/>
      <c r="B44" s="31" t="n"/>
      <c r="C44" s="47">
        <f>IFERROR(INDEX(Fornecedores!$B$7:$B$66,MATCH($B44,Fornecedores!$A$7:$A$66,0)),"")</f>
        <v/>
      </c>
      <c r="D44" s="30" t="n"/>
      <c r="E44" s="30" t="n"/>
      <c r="F44" s="31" t="n"/>
      <c r="G44" s="30" t="n"/>
      <c r="H44" s="30" t="n"/>
      <c r="I44" s="31" t="n"/>
      <c r="J44" s="46" t="n"/>
    </row>
    <row r="45" ht="20" customHeight="1">
      <c r="A45" s="46" t="n"/>
      <c r="B45" s="31" t="n"/>
      <c r="C45" s="47">
        <f>IFERROR(INDEX(Fornecedores!$B$7:$B$66,MATCH($B45,Fornecedores!$A$7:$A$66,0)),"")</f>
        <v/>
      </c>
      <c r="D45" s="30" t="n"/>
      <c r="E45" s="30" t="n"/>
      <c r="F45" s="31" t="n"/>
      <c r="G45" s="30" t="n"/>
      <c r="H45" s="30" t="n"/>
      <c r="I45" s="31" t="n"/>
      <c r="J45" s="46" t="n"/>
    </row>
    <row r="46" ht="20" customHeight="1">
      <c r="A46" s="46" t="n"/>
      <c r="B46" s="31" t="n"/>
      <c r="C46" s="47">
        <f>IFERROR(INDEX(Fornecedores!$B$7:$B$66,MATCH($B46,Fornecedores!$A$7:$A$66,0)),"")</f>
        <v/>
      </c>
      <c r="D46" s="30" t="n"/>
      <c r="E46" s="30" t="n"/>
      <c r="F46" s="31" t="n"/>
      <c r="G46" s="30" t="n"/>
      <c r="H46" s="30" t="n"/>
      <c r="I46" s="31" t="n"/>
      <c r="J46" s="46" t="n"/>
    </row>
    <row r="47" ht="20" customHeight="1">
      <c r="A47" s="46" t="n"/>
      <c r="B47" s="31" t="n"/>
      <c r="C47" s="47">
        <f>IFERROR(INDEX(Fornecedores!$B$7:$B$66,MATCH($B47,Fornecedores!$A$7:$A$66,0)),"")</f>
        <v/>
      </c>
      <c r="D47" s="30" t="n"/>
      <c r="E47" s="30" t="n"/>
      <c r="F47" s="31" t="n"/>
      <c r="G47" s="30" t="n"/>
      <c r="H47" s="30" t="n"/>
      <c r="I47" s="31" t="n"/>
      <c r="J47" s="46" t="n"/>
    </row>
    <row r="48" ht="20" customHeight="1">
      <c r="A48" s="46" t="n"/>
      <c r="B48" s="31" t="n"/>
      <c r="C48" s="47">
        <f>IFERROR(INDEX(Fornecedores!$B$7:$B$66,MATCH($B48,Fornecedores!$A$7:$A$66,0)),"")</f>
        <v/>
      </c>
      <c r="D48" s="30" t="n"/>
      <c r="E48" s="30" t="n"/>
      <c r="F48" s="31" t="n"/>
      <c r="G48" s="30" t="n"/>
      <c r="H48" s="30" t="n"/>
      <c r="I48" s="31" t="n"/>
      <c r="J48" s="46" t="n"/>
    </row>
    <row r="49" ht="20" customHeight="1">
      <c r="A49" s="46" t="n"/>
      <c r="B49" s="31" t="n"/>
      <c r="C49" s="47">
        <f>IFERROR(INDEX(Fornecedores!$B$7:$B$66,MATCH($B49,Fornecedores!$A$7:$A$66,0)),"")</f>
        <v/>
      </c>
      <c r="D49" s="30" t="n"/>
      <c r="E49" s="30" t="n"/>
      <c r="F49" s="31" t="n"/>
      <c r="G49" s="30" t="n"/>
      <c r="H49" s="30" t="n"/>
      <c r="I49" s="31" t="n"/>
      <c r="J49" s="46" t="n"/>
    </row>
    <row r="50" ht="20" customHeight="1">
      <c r="A50" s="46" t="n"/>
      <c r="B50" s="31" t="n"/>
      <c r="C50" s="47">
        <f>IFERROR(INDEX(Fornecedores!$B$7:$B$66,MATCH($B50,Fornecedores!$A$7:$A$66,0)),"")</f>
        <v/>
      </c>
      <c r="D50" s="30" t="n"/>
      <c r="E50" s="30" t="n"/>
      <c r="F50" s="31" t="n"/>
      <c r="G50" s="30" t="n"/>
      <c r="H50" s="30" t="n"/>
      <c r="I50" s="31" t="n"/>
      <c r="J50" s="46" t="n"/>
    </row>
    <row r="51" ht="20" customHeight="1">
      <c r="A51" s="46" t="n"/>
      <c r="B51" s="31" t="n"/>
      <c r="C51" s="47">
        <f>IFERROR(INDEX(Fornecedores!$B$7:$B$66,MATCH($B51,Fornecedores!$A$7:$A$66,0)),"")</f>
        <v/>
      </c>
      <c r="D51" s="30" t="n"/>
      <c r="E51" s="30" t="n"/>
      <c r="F51" s="31" t="n"/>
      <c r="G51" s="30" t="n"/>
      <c r="H51" s="30" t="n"/>
      <c r="I51" s="31" t="n"/>
      <c r="J51" s="46" t="n"/>
    </row>
    <row r="52" ht="20" customHeight="1">
      <c r="A52" s="46" t="n"/>
      <c r="B52" s="31" t="n"/>
      <c r="C52" s="47">
        <f>IFERROR(INDEX(Fornecedores!$B$7:$B$66,MATCH($B52,Fornecedores!$A$7:$A$66,0)),"")</f>
        <v/>
      </c>
      <c r="D52" s="30" t="n"/>
      <c r="E52" s="30" t="n"/>
      <c r="F52" s="31" t="n"/>
      <c r="G52" s="30" t="n"/>
      <c r="H52" s="30" t="n"/>
      <c r="I52" s="31" t="n"/>
      <c r="J52" s="46" t="n"/>
    </row>
    <row r="53" ht="20" customHeight="1">
      <c r="A53" s="46" t="n"/>
      <c r="B53" s="31" t="n"/>
      <c r="C53" s="47">
        <f>IFERROR(INDEX(Fornecedores!$B$7:$B$66,MATCH($B53,Fornecedores!$A$7:$A$66,0)),"")</f>
        <v/>
      </c>
      <c r="D53" s="30" t="n"/>
      <c r="E53" s="30" t="n"/>
      <c r="F53" s="31" t="n"/>
      <c r="G53" s="30" t="n"/>
      <c r="H53" s="30" t="n"/>
      <c r="I53" s="31" t="n"/>
      <c r="J53" s="46" t="n"/>
    </row>
    <row r="54" ht="20" customHeight="1">
      <c r="A54" s="46" t="n"/>
      <c r="B54" s="31" t="n"/>
      <c r="C54" s="47">
        <f>IFERROR(INDEX(Fornecedores!$B$7:$B$66,MATCH($B54,Fornecedores!$A$7:$A$66,0)),"")</f>
        <v/>
      </c>
      <c r="D54" s="30" t="n"/>
      <c r="E54" s="30" t="n"/>
      <c r="F54" s="31" t="n"/>
      <c r="G54" s="30" t="n"/>
      <c r="H54" s="30" t="n"/>
      <c r="I54" s="31" t="n"/>
      <c r="J54" s="46" t="n"/>
    </row>
    <row r="55" ht="20" customHeight="1">
      <c r="A55" s="46" t="n"/>
      <c r="B55" s="31" t="n"/>
      <c r="C55" s="47">
        <f>IFERROR(INDEX(Fornecedores!$B$7:$B$66,MATCH($B55,Fornecedores!$A$7:$A$66,0)),"")</f>
        <v/>
      </c>
      <c r="D55" s="30" t="n"/>
      <c r="E55" s="30" t="n"/>
      <c r="F55" s="31" t="n"/>
      <c r="G55" s="30" t="n"/>
      <c r="H55" s="30" t="n"/>
      <c r="I55" s="31" t="n"/>
      <c r="J55" s="46" t="n"/>
    </row>
    <row r="56" ht="20" customHeight="1">
      <c r="A56" s="46" t="n"/>
      <c r="B56" s="31" t="n"/>
      <c r="C56" s="47">
        <f>IFERROR(INDEX(Fornecedores!$B$7:$B$66,MATCH($B56,Fornecedores!$A$7:$A$66,0)),"")</f>
        <v/>
      </c>
      <c r="D56" s="30" t="n"/>
      <c r="E56" s="30" t="n"/>
      <c r="F56" s="31" t="n"/>
      <c r="G56" s="30" t="n"/>
      <c r="H56" s="30" t="n"/>
      <c r="I56" s="31" t="n"/>
      <c r="J56" s="46" t="n"/>
    </row>
    <row r="57" ht="20" customHeight="1">
      <c r="A57" s="46" t="n"/>
      <c r="B57" s="31" t="n"/>
      <c r="C57" s="47">
        <f>IFERROR(INDEX(Fornecedores!$B$7:$B$66,MATCH($B57,Fornecedores!$A$7:$A$66,0)),"")</f>
        <v/>
      </c>
      <c r="D57" s="30" t="n"/>
      <c r="E57" s="30" t="n"/>
      <c r="F57" s="31" t="n"/>
      <c r="G57" s="30" t="n"/>
      <c r="H57" s="30" t="n"/>
      <c r="I57" s="31" t="n"/>
      <c r="J57" s="46" t="n"/>
    </row>
    <row r="58" ht="20" customHeight="1">
      <c r="A58" s="46" t="n"/>
      <c r="B58" s="31" t="n"/>
      <c r="C58" s="47">
        <f>IFERROR(INDEX(Fornecedores!$B$7:$B$66,MATCH($B58,Fornecedores!$A$7:$A$66,0)),"")</f>
        <v/>
      </c>
      <c r="D58" s="30" t="n"/>
      <c r="E58" s="30" t="n"/>
      <c r="F58" s="31" t="n"/>
      <c r="G58" s="30" t="n"/>
      <c r="H58" s="30" t="n"/>
      <c r="I58" s="31" t="n"/>
      <c r="J58" s="46" t="n"/>
    </row>
    <row r="59" ht="20" customHeight="1">
      <c r="A59" s="46" t="n"/>
      <c r="B59" s="31" t="n"/>
      <c r="C59" s="47">
        <f>IFERROR(INDEX(Fornecedores!$B$7:$B$66,MATCH($B59,Fornecedores!$A$7:$A$66,0)),"")</f>
        <v/>
      </c>
      <c r="D59" s="30" t="n"/>
      <c r="E59" s="30" t="n"/>
      <c r="F59" s="31" t="n"/>
      <c r="G59" s="30" t="n"/>
      <c r="H59" s="30" t="n"/>
      <c r="I59" s="31" t="n"/>
      <c r="J59" s="46" t="n"/>
    </row>
    <row r="60" ht="20" customHeight="1">
      <c r="A60" s="46" t="n"/>
      <c r="B60" s="31" t="n"/>
      <c r="C60" s="47">
        <f>IFERROR(INDEX(Fornecedores!$B$7:$B$66,MATCH($B60,Fornecedores!$A$7:$A$66,0)),"")</f>
        <v/>
      </c>
      <c r="D60" s="30" t="n"/>
      <c r="E60" s="30" t="n"/>
      <c r="F60" s="31" t="n"/>
      <c r="G60" s="30" t="n"/>
      <c r="H60" s="30" t="n"/>
      <c r="I60" s="31" t="n"/>
      <c r="J60" s="46" t="n"/>
    </row>
    <row r="61" ht="20" customHeight="1">
      <c r="A61" s="46" t="n"/>
      <c r="B61" s="31" t="n"/>
      <c r="C61" s="47">
        <f>IFERROR(INDEX(Fornecedores!$B$7:$B$66,MATCH($B61,Fornecedores!$A$7:$A$66,0)),"")</f>
        <v/>
      </c>
      <c r="D61" s="30" t="n"/>
      <c r="E61" s="30" t="n"/>
      <c r="F61" s="31" t="n"/>
      <c r="G61" s="30" t="n"/>
      <c r="H61" s="30" t="n"/>
      <c r="I61" s="31" t="n"/>
      <c r="J61" s="46" t="n"/>
    </row>
    <row r="62" ht="20" customHeight="1">
      <c r="A62" s="46" t="n"/>
      <c r="B62" s="31" t="n"/>
      <c r="C62" s="47">
        <f>IFERROR(INDEX(Fornecedores!$B$7:$B$66,MATCH($B62,Fornecedores!$A$7:$A$66,0)),"")</f>
        <v/>
      </c>
      <c r="D62" s="30" t="n"/>
      <c r="E62" s="30" t="n"/>
      <c r="F62" s="31" t="n"/>
      <c r="G62" s="30" t="n"/>
      <c r="H62" s="30" t="n"/>
      <c r="I62" s="31" t="n"/>
      <c r="J62" s="46" t="n"/>
    </row>
    <row r="63" ht="20" customHeight="1">
      <c r="A63" s="46" t="n"/>
      <c r="B63" s="31" t="n"/>
      <c r="C63" s="47">
        <f>IFERROR(INDEX(Fornecedores!$B$7:$B$66,MATCH($B63,Fornecedores!$A$7:$A$66,0)),"")</f>
        <v/>
      </c>
      <c r="D63" s="30" t="n"/>
      <c r="E63" s="30" t="n"/>
      <c r="F63" s="31" t="n"/>
      <c r="G63" s="30" t="n"/>
      <c r="H63" s="30" t="n"/>
      <c r="I63" s="31" t="n"/>
      <c r="J63" s="46" t="n"/>
    </row>
    <row r="64" ht="20" customHeight="1">
      <c r="A64" s="46" t="n"/>
      <c r="B64" s="31" t="n"/>
      <c r="C64" s="47">
        <f>IFERROR(INDEX(Fornecedores!$B$7:$B$66,MATCH($B64,Fornecedores!$A$7:$A$66,0)),"")</f>
        <v/>
      </c>
      <c r="D64" s="30" t="n"/>
      <c r="E64" s="30" t="n"/>
      <c r="F64" s="31" t="n"/>
      <c r="G64" s="30" t="n"/>
      <c r="H64" s="30" t="n"/>
      <c r="I64" s="31" t="n"/>
      <c r="J64" s="46" t="n"/>
    </row>
    <row r="65" ht="20" customHeight="1">
      <c r="A65" s="46" t="n"/>
      <c r="B65" s="31" t="n"/>
      <c r="C65" s="47">
        <f>IFERROR(INDEX(Fornecedores!$B$7:$B$66,MATCH($B65,Fornecedores!$A$7:$A$66,0)),"")</f>
        <v/>
      </c>
      <c r="D65" s="30" t="n"/>
      <c r="E65" s="30" t="n"/>
      <c r="F65" s="31" t="n"/>
      <c r="G65" s="30" t="n"/>
      <c r="H65" s="30" t="n"/>
      <c r="I65" s="31" t="n"/>
      <c r="J65" s="46" t="n"/>
    </row>
    <row r="66" ht="20" customHeight="1">
      <c r="A66" s="46" t="n"/>
      <c r="B66" s="31" t="n"/>
      <c r="C66" s="47">
        <f>IFERROR(INDEX(Fornecedores!$B$7:$B$66,MATCH($B66,Fornecedores!$A$7:$A$66,0)),"")</f>
        <v/>
      </c>
      <c r="D66" s="30" t="n"/>
      <c r="E66" s="30" t="n"/>
      <c r="F66" s="31" t="n"/>
      <c r="G66" s="30" t="n"/>
      <c r="H66" s="30" t="n"/>
      <c r="I66" s="31" t="n"/>
      <c r="J66" s="46" t="n"/>
    </row>
    <row r="67" ht="20" customHeight="1">
      <c r="A67" s="46" t="n"/>
      <c r="B67" s="31" t="n"/>
      <c r="C67" s="47">
        <f>IFERROR(INDEX(Fornecedores!$B$7:$B$66,MATCH($B67,Fornecedores!$A$7:$A$66,0)),"")</f>
        <v/>
      </c>
      <c r="D67" s="30" t="n"/>
      <c r="E67" s="30" t="n"/>
      <c r="F67" s="31" t="n"/>
      <c r="G67" s="30" t="n"/>
      <c r="H67" s="30" t="n"/>
      <c r="I67" s="31" t="n"/>
      <c r="J67" s="46" t="n"/>
    </row>
    <row r="68" ht="20" customHeight="1">
      <c r="A68" s="46" t="n"/>
      <c r="B68" s="31" t="n"/>
      <c r="C68" s="47">
        <f>IFERROR(INDEX(Fornecedores!$B$7:$B$66,MATCH($B68,Fornecedores!$A$7:$A$66,0)),"")</f>
        <v/>
      </c>
      <c r="D68" s="30" t="n"/>
      <c r="E68" s="30" t="n"/>
      <c r="F68" s="31" t="n"/>
      <c r="G68" s="30" t="n"/>
      <c r="H68" s="30" t="n"/>
      <c r="I68" s="31" t="n"/>
      <c r="J68" s="46" t="n"/>
    </row>
    <row r="69" ht="20" customHeight="1">
      <c r="A69" s="46" t="n"/>
      <c r="B69" s="31" t="n"/>
      <c r="C69" s="47">
        <f>IFERROR(INDEX(Fornecedores!$B$7:$B$66,MATCH($B69,Fornecedores!$A$7:$A$66,0)),"")</f>
        <v/>
      </c>
      <c r="D69" s="30" t="n"/>
      <c r="E69" s="30" t="n"/>
      <c r="F69" s="31" t="n"/>
      <c r="G69" s="30" t="n"/>
      <c r="H69" s="30" t="n"/>
      <c r="I69" s="31" t="n"/>
      <c r="J69" s="46" t="n"/>
    </row>
    <row r="70" ht="20" customHeight="1">
      <c r="A70" s="46" t="n"/>
      <c r="B70" s="31" t="n"/>
      <c r="C70" s="47">
        <f>IFERROR(INDEX(Fornecedores!$B$7:$B$66,MATCH($B70,Fornecedores!$A$7:$A$66,0)),"")</f>
        <v/>
      </c>
      <c r="D70" s="30" t="n"/>
      <c r="E70" s="30" t="n"/>
      <c r="F70" s="31" t="n"/>
      <c r="G70" s="30" t="n"/>
      <c r="H70" s="30" t="n"/>
      <c r="I70" s="31" t="n"/>
      <c r="J70" s="46" t="n"/>
    </row>
    <row r="71" ht="20" customHeight="1">
      <c r="A71" s="46" t="n"/>
      <c r="B71" s="31" t="n"/>
      <c r="C71" s="47">
        <f>IFERROR(INDEX(Fornecedores!$B$7:$B$66,MATCH($B71,Fornecedores!$A$7:$A$66,0)),"")</f>
        <v/>
      </c>
      <c r="D71" s="30" t="n"/>
      <c r="E71" s="30" t="n"/>
      <c r="F71" s="31" t="n"/>
      <c r="G71" s="30" t="n"/>
      <c r="H71" s="30" t="n"/>
      <c r="I71" s="31" t="n"/>
      <c r="J71" s="46" t="n"/>
    </row>
    <row r="72" ht="20" customHeight="1">
      <c r="A72" s="46" t="n"/>
      <c r="B72" s="31" t="n"/>
      <c r="C72" s="47">
        <f>IFERROR(INDEX(Fornecedores!$B$7:$B$66,MATCH($B72,Fornecedores!$A$7:$A$66,0)),"")</f>
        <v/>
      </c>
      <c r="D72" s="30" t="n"/>
      <c r="E72" s="30" t="n"/>
      <c r="F72" s="31" t="n"/>
      <c r="G72" s="30" t="n"/>
      <c r="H72" s="30" t="n"/>
      <c r="I72" s="31" t="n"/>
      <c r="J72" s="46" t="n"/>
    </row>
    <row r="73" ht="20" customHeight="1">
      <c r="A73" s="46" t="n"/>
      <c r="B73" s="31" t="n"/>
      <c r="C73" s="47">
        <f>IFERROR(INDEX(Fornecedores!$B$7:$B$66,MATCH($B73,Fornecedores!$A$7:$A$66,0)),"")</f>
        <v/>
      </c>
      <c r="D73" s="30" t="n"/>
      <c r="E73" s="30" t="n"/>
      <c r="F73" s="31" t="n"/>
      <c r="G73" s="30" t="n"/>
      <c r="H73" s="30" t="n"/>
      <c r="I73" s="31" t="n"/>
      <c r="J73" s="46" t="n"/>
    </row>
    <row r="74" ht="20" customHeight="1">
      <c r="A74" s="46" t="n"/>
      <c r="B74" s="31" t="n"/>
      <c r="C74" s="47">
        <f>IFERROR(INDEX(Fornecedores!$B$7:$B$66,MATCH($B74,Fornecedores!$A$7:$A$66,0)),"")</f>
        <v/>
      </c>
      <c r="D74" s="30" t="n"/>
      <c r="E74" s="30" t="n"/>
      <c r="F74" s="31" t="n"/>
      <c r="G74" s="30" t="n"/>
      <c r="H74" s="30" t="n"/>
      <c r="I74" s="31" t="n"/>
      <c r="J74" s="46" t="n"/>
    </row>
    <row r="75" ht="20" customHeight="1">
      <c r="A75" s="46" t="n"/>
      <c r="B75" s="31" t="n"/>
      <c r="C75" s="47">
        <f>IFERROR(INDEX(Fornecedores!$B$7:$B$66,MATCH($B75,Fornecedores!$A$7:$A$66,0)),"")</f>
        <v/>
      </c>
      <c r="D75" s="30" t="n"/>
      <c r="E75" s="30" t="n"/>
      <c r="F75" s="31" t="n"/>
      <c r="G75" s="30" t="n"/>
      <c r="H75" s="30" t="n"/>
      <c r="I75" s="31" t="n"/>
      <c r="J75" s="46" t="n"/>
    </row>
    <row r="76" ht="20" customHeight="1">
      <c r="A76" s="46" t="n"/>
      <c r="B76" s="31" t="n"/>
      <c r="C76" s="47">
        <f>IFERROR(INDEX(Fornecedores!$B$7:$B$66,MATCH($B76,Fornecedores!$A$7:$A$66,0)),"")</f>
        <v/>
      </c>
      <c r="D76" s="30" t="n"/>
      <c r="E76" s="30" t="n"/>
      <c r="F76" s="31" t="n"/>
      <c r="G76" s="30" t="n"/>
      <c r="H76" s="30" t="n"/>
      <c r="I76" s="31" t="n"/>
      <c r="J76" s="46" t="n"/>
    </row>
    <row r="77" ht="20" customHeight="1">
      <c r="A77" s="46" t="n"/>
      <c r="B77" s="31" t="n"/>
      <c r="C77" s="47">
        <f>IFERROR(INDEX(Fornecedores!$B$7:$B$66,MATCH($B77,Fornecedores!$A$7:$A$66,0)),"")</f>
        <v/>
      </c>
      <c r="D77" s="30" t="n"/>
      <c r="E77" s="30" t="n"/>
      <c r="F77" s="31" t="n"/>
      <c r="G77" s="30" t="n"/>
      <c r="H77" s="30" t="n"/>
      <c r="I77" s="31" t="n"/>
      <c r="J77" s="46" t="n"/>
    </row>
    <row r="78" ht="20" customHeight="1">
      <c r="A78" s="46" t="n"/>
      <c r="B78" s="31" t="n"/>
      <c r="C78" s="47">
        <f>IFERROR(INDEX(Fornecedores!$B$7:$B$66,MATCH($B78,Fornecedores!$A$7:$A$66,0)),"")</f>
        <v/>
      </c>
      <c r="D78" s="30" t="n"/>
      <c r="E78" s="30" t="n"/>
      <c r="F78" s="31" t="n"/>
      <c r="G78" s="30" t="n"/>
      <c r="H78" s="30" t="n"/>
      <c r="I78" s="31" t="n"/>
      <c r="J78" s="46" t="n"/>
    </row>
    <row r="79" ht="20" customHeight="1">
      <c r="A79" s="46" t="n"/>
      <c r="B79" s="31" t="n"/>
      <c r="C79" s="47">
        <f>IFERROR(INDEX(Fornecedores!$B$7:$B$66,MATCH($B79,Fornecedores!$A$7:$A$66,0)),"")</f>
        <v/>
      </c>
      <c r="D79" s="30" t="n"/>
      <c r="E79" s="30" t="n"/>
      <c r="F79" s="31" t="n"/>
      <c r="G79" s="30" t="n"/>
      <c r="H79" s="30" t="n"/>
      <c r="I79" s="31" t="n"/>
      <c r="J79" s="46" t="n"/>
    </row>
    <row r="80" ht="20" customHeight="1">
      <c r="A80" s="46" t="n"/>
      <c r="B80" s="31" t="n"/>
      <c r="C80" s="47">
        <f>IFERROR(INDEX(Fornecedores!$B$7:$B$66,MATCH($B80,Fornecedores!$A$7:$A$66,0)),"")</f>
        <v/>
      </c>
      <c r="D80" s="30" t="n"/>
      <c r="E80" s="30" t="n"/>
      <c r="F80" s="31" t="n"/>
      <c r="G80" s="30" t="n"/>
      <c r="H80" s="30" t="n"/>
      <c r="I80" s="31" t="n"/>
      <c r="J80" s="46" t="n"/>
    </row>
    <row r="81" ht="20" customHeight="1">
      <c r="A81" s="46" t="n"/>
      <c r="B81" s="31" t="n"/>
      <c r="C81" s="47">
        <f>IFERROR(INDEX(Fornecedores!$B$7:$B$66,MATCH($B81,Fornecedores!$A$7:$A$66,0)),"")</f>
        <v/>
      </c>
      <c r="D81" s="30" t="n"/>
      <c r="E81" s="30" t="n"/>
      <c r="F81" s="31" t="n"/>
      <c r="G81" s="30" t="n"/>
      <c r="H81" s="30" t="n"/>
      <c r="I81" s="31" t="n"/>
      <c r="J81" s="46" t="n"/>
    </row>
    <row r="82" ht="20" customHeight="1">
      <c r="A82" s="46" t="n"/>
      <c r="B82" s="31" t="n"/>
      <c r="C82" s="47">
        <f>IFERROR(INDEX(Fornecedores!$B$7:$B$66,MATCH($B82,Fornecedores!$A$7:$A$66,0)),"")</f>
        <v/>
      </c>
      <c r="D82" s="30" t="n"/>
      <c r="E82" s="30" t="n"/>
      <c r="F82" s="31" t="n"/>
      <c r="G82" s="30" t="n"/>
      <c r="H82" s="30" t="n"/>
      <c r="I82" s="31" t="n"/>
      <c r="J82" s="46" t="n"/>
    </row>
    <row r="83" ht="20" customHeight="1">
      <c r="A83" s="46" t="n"/>
      <c r="B83" s="31" t="n"/>
      <c r="C83" s="47">
        <f>IFERROR(INDEX(Fornecedores!$B$7:$B$66,MATCH($B83,Fornecedores!$A$7:$A$66,0)),"")</f>
        <v/>
      </c>
      <c r="D83" s="30" t="n"/>
      <c r="E83" s="30" t="n"/>
      <c r="F83" s="31" t="n"/>
      <c r="G83" s="30" t="n"/>
      <c r="H83" s="30" t="n"/>
      <c r="I83" s="31" t="n"/>
      <c r="J83" s="46" t="n"/>
    </row>
    <row r="84" ht="20" customHeight="1">
      <c r="A84" s="46" t="n"/>
      <c r="B84" s="31" t="n"/>
      <c r="C84" s="47">
        <f>IFERROR(INDEX(Fornecedores!$B$7:$B$66,MATCH($B84,Fornecedores!$A$7:$A$66,0)),"")</f>
        <v/>
      </c>
      <c r="D84" s="30" t="n"/>
      <c r="E84" s="30" t="n"/>
      <c r="F84" s="31" t="n"/>
      <c r="G84" s="30" t="n"/>
      <c r="H84" s="30" t="n"/>
      <c r="I84" s="31" t="n"/>
      <c r="J84" s="46" t="n"/>
    </row>
    <row r="85" ht="20" customHeight="1">
      <c r="A85" s="46" t="n"/>
      <c r="B85" s="31" t="n"/>
      <c r="C85" s="47">
        <f>IFERROR(INDEX(Fornecedores!$B$7:$B$66,MATCH($B85,Fornecedores!$A$7:$A$66,0)),"")</f>
        <v/>
      </c>
      <c r="D85" s="30" t="n"/>
      <c r="E85" s="30" t="n"/>
      <c r="F85" s="31" t="n"/>
      <c r="G85" s="30" t="n"/>
      <c r="H85" s="30" t="n"/>
      <c r="I85" s="31" t="n"/>
      <c r="J85" s="46" t="n"/>
    </row>
    <row r="86" ht="20" customHeight="1">
      <c r="A86" s="46" t="n"/>
      <c r="B86" s="31" t="n"/>
      <c r="C86" s="47">
        <f>IFERROR(INDEX(Fornecedores!$B$7:$B$66,MATCH($B86,Fornecedores!$A$7:$A$66,0)),"")</f>
        <v/>
      </c>
      <c r="D86" s="30" t="n"/>
      <c r="E86" s="30" t="n"/>
      <c r="F86" s="31" t="n"/>
      <c r="G86" s="30" t="n"/>
      <c r="H86" s="30" t="n"/>
      <c r="I86" s="31" t="n"/>
      <c r="J86" s="46" t="n"/>
    </row>
    <row r="87" ht="20" customHeight="1">
      <c r="A87" s="46" t="n"/>
      <c r="B87" s="31" t="n"/>
      <c r="C87" s="47">
        <f>IFERROR(INDEX(Fornecedores!$B$7:$B$66,MATCH($B87,Fornecedores!$A$7:$A$66,0)),"")</f>
        <v/>
      </c>
      <c r="D87" s="30" t="n"/>
      <c r="E87" s="30" t="n"/>
      <c r="F87" s="31" t="n"/>
      <c r="G87" s="30" t="n"/>
      <c r="H87" s="30" t="n"/>
      <c r="I87" s="31" t="n"/>
      <c r="J87" s="46" t="n"/>
    </row>
    <row r="88" ht="20" customHeight="1">
      <c r="A88" s="46" t="n"/>
      <c r="B88" s="31" t="n"/>
      <c r="C88" s="47">
        <f>IFERROR(INDEX(Fornecedores!$B$7:$B$66,MATCH($B88,Fornecedores!$A$7:$A$66,0)),"")</f>
        <v/>
      </c>
      <c r="D88" s="30" t="n"/>
      <c r="E88" s="30" t="n"/>
      <c r="F88" s="31" t="n"/>
      <c r="G88" s="30" t="n"/>
      <c r="H88" s="30" t="n"/>
      <c r="I88" s="31" t="n"/>
      <c r="J88" s="46" t="n"/>
    </row>
    <row r="89" ht="20" customHeight="1">
      <c r="A89" s="46" t="n"/>
      <c r="B89" s="31" t="n"/>
      <c r="C89" s="47">
        <f>IFERROR(INDEX(Fornecedores!$B$7:$B$66,MATCH($B89,Fornecedores!$A$7:$A$66,0)),"")</f>
        <v/>
      </c>
      <c r="D89" s="30" t="n"/>
      <c r="E89" s="30" t="n"/>
      <c r="F89" s="31" t="n"/>
      <c r="G89" s="30" t="n"/>
      <c r="H89" s="30" t="n"/>
      <c r="I89" s="31" t="n"/>
      <c r="J89" s="46" t="n"/>
    </row>
    <row r="90" ht="20" customHeight="1">
      <c r="A90" s="46" t="n"/>
      <c r="B90" s="31" t="n"/>
      <c r="C90" s="47">
        <f>IFERROR(INDEX(Fornecedores!$B$7:$B$66,MATCH($B90,Fornecedores!$A$7:$A$66,0)),"")</f>
        <v/>
      </c>
      <c r="D90" s="30" t="n"/>
      <c r="E90" s="30" t="n"/>
      <c r="F90" s="31" t="n"/>
      <c r="G90" s="30" t="n"/>
      <c r="H90" s="30" t="n"/>
      <c r="I90" s="31" t="n"/>
      <c r="J90" s="46" t="n"/>
    </row>
    <row r="91" ht="20" customHeight="1">
      <c r="A91" s="46" t="n"/>
      <c r="B91" s="31" t="n"/>
      <c r="C91" s="47">
        <f>IFERROR(INDEX(Fornecedores!$B$7:$B$66,MATCH($B91,Fornecedores!$A$7:$A$66,0)),"")</f>
        <v/>
      </c>
      <c r="D91" s="30" t="n"/>
      <c r="E91" s="30" t="n"/>
      <c r="F91" s="31" t="n"/>
      <c r="G91" s="30" t="n"/>
      <c r="H91" s="30" t="n"/>
      <c r="I91" s="31" t="n"/>
      <c r="J91" s="46" t="n"/>
    </row>
    <row r="92" ht="20" customHeight="1">
      <c r="A92" s="46" t="n"/>
      <c r="B92" s="31" t="n"/>
      <c r="C92" s="47">
        <f>IFERROR(INDEX(Fornecedores!$B$7:$B$66,MATCH($B92,Fornecedores!$A$7:$A$66,0)),"")</f>
        <v/>
      </c>
      <c r="D92" s="30" t="n"/>
      <c r="E92" s="30" t="n"/>
      <c r="F92" s="31" t="n"/>
      <c r="G92" s="30" t="n"/>
      <c r="H92" s="30" t="n"/>
      <c r="I92" s="31" t="n"/>
      <c r="J92" s="46" t="n"/>
    </row>
    <row r="93" ht="20" customHeight="1">
      <c r="A93" s="46" t="n"/>
      <c r="B93" s="31" t="n"/>
      <c r="C93" s="47">
        <f>IFERROR(INDEX(Fornecedores!$B$7:$B$66,MATCH($B93,Fornecedores!$A$7:$A$66,0)),"")</f>
        <v/>
      </c>
      <c r="D93" s="30" t="n"/>
      <c r="E93" s="30" t="n"/>
      <c r="F93" s="31" t="n"/>
      <c r="G93" s="30" t="n"/>
      <c r="H93" s="30" t="n"/>
      <c r="I93" s="31" t="n"/>
      <c r="J93" s="46" t="n"/>
    </row>
    <row r="94" ht="20" customHeight="1">
      <c r="A94" s="46" t="n"/>
      <c r="B94" s="31" t="n"/>
      <c r="C94" s="47">
        <f>IFERROR(INDEX(Fornecedores!$B$7:$B$66,MATCH($B94,Fornecedores!$A$7:$A$66,0)),"")</f>
        <v/>
      </c>
      <c r="D94" s="30" t="n"/>
      <c r="E94" s="30" t="n"/>
      <c r="F94" s="31" t="n"/>
      <c r="G94" s="30" t="n"/>
      <c r="H94" s="30" t="n"/>
      <c r="I94" s="31" t="n"/>
      <c r="J94" s="46" t="n"/>
    </row>
    <row r="95" ht="20" customHeight="1">
      <c r="A95" s="46" t="n"/>
      <c r="B95" s="31" t="n"/>
      <c r="C95" s="47">
        <f>IFERROR(INDEX(Fornecedores!$B$7:$B$66,MATCH($B95,Fornecedores!$A$7:$A$66,0)),"")</f>
        <v/>
      </c>
      <c r="D95" s="30" t="n"/>
      <c r="E95" s="30" t="n"/>
      <c r="F95" s="31" t="n"/>
      <c r="G95" s="30" t="n"/>
      <c r="H95" s="30" t="n"/>
      <c r="I95" s="31" t="n"/>
      <c r="J95" s="46" t="n"/>
    </row>
    <row r="96" ht="20" customHeight="1">
      <c r="A96" s="46" t="n"/>
      <c r="B96" s="31" t="n"/>
      <c r="C96" s="47">
        <f>IFERROR(INDEX(Fornecedores!$B$7:$B$66,MATCH($B96,Fornecedores!$A$7:$A$66,0)),"")</f>
        <v/>
      </c>
      <c r="D96" s="30" t="n"/>
      <c r="E96" s="30" t="n"/>
      <c r="F96" s="31" t="n"/>
      <c r="G96" s="30" t="n"/>
      <c r="H96" s="30" t="n"/>
      <c r="I96" s="31" t="n"/>
      <c r="J96" s="46" t="n"/>
    </row>
    <row r="97" ht="20" customHeight="1">
      <c r="A97" s="46" t="n"/>
      <c r="B97" s="31" t="n"/>
      <c r="C97" s="47">
        <f>IFERROR(INDEX(Fornecedores!$B$7:$B$66,MATCH($B97,Fornecedores!$A$7:$A$66,0)),"")</f>
        <v/>
      </c>
      <c r="D97" s="30" t="n"/>
      <c r="E97" s="30" t="n"/>
      <c r="F97" s="31" t="n"/>
      <c r="G97" s="30" t="n"/>
      <c r="H97" s="30" t="n"/>
      <c r="I97" s="31" t="n"/>
      <c r="J97" s="46" t="n"/>
    </row>
    <row r="98" ht="20" customHeight="1">
      <c r="A98" s="46" t="n"/>
      <c r="B98" s="31" t="n"/>
      <c r="C98" s="47">
        <f>IFERROR(INDEX(Fornecedores!$B$7:$B$66,MATCH($B98,Fornecedores!$A$7:$A$66,0)),"")</f>
        <v/>
      </c>
      <c r="D98" s="30" t="n"/>
      <c r="E98" s="30" t="n"/>
      <c r="F98" s="31" t="n"/>
      <c r="G98" s="30" t="n"/>
      <c r="H98" s="30" t="n"/>
      <c r="I98" s="31" t="n"/>
      <c r="J98" s="46" t="n"/>
    </row>
    <row r="99" ht="20" customHeight="1">
      <c r="A99" s="46" t="n"/>
      <c r="B99" s="31" t="n"/>
      <c r="C99" s="47">
        <f>IFERROR(INDEX(Fornecedores!$B$7:$B$66,MATCH($B99,Fornecedores!$A$7:$A$66,0)),"")</f>
        <v/>
      </c>
      <c r="D99" s="30" t="n"/>
      <c r="E99" s="30" t="n"/>
      <c r="F99" s="31" t="n"/>
      <c r="G99" s="30" t="n"/>
      <c r="H99" s="30" t="n"/>
      <c r="I99" s="31" t="n"/>
      <c r="J99" s="46" t="n"/>
    </row>
    <row r="100" ht="20" customHeight="1">
      <c r="A100" s="46" t="n"/>
      <c r="B100" s="31" t="n"/>
      <c r="C100" s="47">
        <f>IFERROR(INDEX(Fornecedores!$B$7:$B$66,MATCH($B100,Fornecedores!$A$7:$A$66,0)),"")</f>
        <v/>
      </c>
      <c r="D100" s="30" t="n"/>
      <c r="E100" s="30" t="n"/>
      <c r="F100" s="31" t="n"/>
      <c r="G100" s="30" t="n"/>
      <c r="H100" s="30" t="n"/>
      <c r="I100" s="31" t="n"/>
      <c r="J100" s="46" t="n"/>
    </row>
    <row r="101" ht="20" customHeight="1">
      <c r="A101" s="46" t="n"/>
      <c r="B101" s="31" t="n"/>
      <c r="C101" s="47">
        <f>IFERROR(INDEX(Fornecedores!$B$7:$B$66,MATCH($B101,Fornecedores!$A$7:$A$66,0)),"")</f>
        <v/>
      </c>
      <c r="D101" s="30" t="n"/>
      <c r="E101" s="30" t="n"/>
      <c r="F101" s="31" t="n"/>
      <c r="G101" s="30" t="n"/>
      <c r="H101" s="30" t="n"/>
      <c r="I101" s="31" t="n"/>
      <c r="J101" s="46" t="n"/>
    </row>
    <row r="102" ht="20" customHeight="1">
      <c r="A102" s="46" t="n"/>
      <c r="B102" s="31" t="n"/>
      <c r="C102" s="47">
        <f>IFERROR(INDEX(Fornecedores!$B$7:$B$66,MATCH($B102,Fornecedores!$A$7:$A$66,0)),"")</f>
        <v/>
      </c>
      <c r="D102" s="30" t="n"/>
      <c r="E102" s="30" t="n"/>
      <c r="F102" s="31" t="n"/>
      <c r="G102" s="30" t="n"/>
      <c r="H102" s="30" t="n"/>
      <c r="I102" s="31" t="n"/>
      <c r="J102" s="46" t="n"/>
    </row>
    <row r="103" ht="20" customHeight="1">
      <c r="A103" s="46" t="n"/>
      <c r="B103" s="31" t="n"/>
      <c r="C103" s="47">
        <f>IFERROR(INDEX(Fornecedores!$B$7:$B$66,MATCH($B103,Fornecedores!$A$7:$A$66,0)),"")</f>
        <v/>
      </c>
      <c r="D103" s="30" t="n"/>
      <c r="E103" s="30" t="n"/>
      <c r="F103" s="31" t="n"/>
      <c r="G103" s="30" t="n"/>
      <c r="H103" s="30" t="n"/>
      <c r="I103" s="31" t="n"/>
      <c r="J103" s="46" t="n"/>
    </row>
    <row r="104" ht="20" customHeight="1">
      <c r="A104" s="46" t="n"/>
      <c r="B104" s="31" t="n"/>
      <c r="C104" s="47">
        <f>IFERROR(INDEX(Fornecedores!$B$7:$B$66,MATCH($B104,Fornecedores!$A$7:$A$66,0)),"")</f>
        <v/>
      </c>
      <c r="D104" s="30" t="n"/>
      <c r="E104" s="30" t="n"/>
      <c r="F104" s="31" t="n"/>
      <c r="G104" s="30" t="n"/>
      <c r="H104" s="30" t="n"/>
      <c r="I104" s="31" t="n"/>
      <c r="J104" s="46" t="n"/>
    </row>
    <row r="105" ht="20" customHeight="1">
      <c r="A105" s="46" t="n"/>
      <c r="B105" s="31" t="n"/>
      <c r="C105" s="47">
        <f>IFERROR(INDEX(Fornecedores!$B$7:$B$66,MATCH($B105,Fornecedores!$A$7:$A$66,0)),"")</f>
        <v/>
      </c>
      <c r="D105" s="30" t="n"/>
      <c r="E105" s="30" t="n"/>
      <c r="F105" s="31" t="n"/>
      <c r="G105" s="30" t="n"/>
      <c r="H105" s="30" t="n"/>
      <c r="I105" s="31" t="n"/>
      <c r="J105" s="46" t="n"/>
    </row>
    <row r="106" ht="20" customHeight="1">
      <c r="A106" s="46" t="n"/>
      <c r="B106" s="31" t="n"/>
      <c r="C106" s="47">
        <f>IFERROR(INDEX(Fornecedores!$B$7:$B$66,MATCH($B106,Fornecedores!$A$7:$A$66,0)),"")</f>
        <v/>
      </c>
      <c r="D106" s="30" t="n"/>
      <c r="E106" s="30" t="n"/>
      <c r="F106" s="31" t="n"/>
      <c r="G106" s="30" t="n"/>
      <c r="H106" s="30" t="n"/>
      <c r="I106" s="31" t="n"/>
      <c r="J106" s="46" t="n"/>
    </row>
    <row r="107" ht="20" customHeight="1">
      <c r="A107" s="46" t="n"/>
      <c r="B107" s="31" t="n"/>
      <c r="C107" s="47">
        <f>IFERROR(INDEX(Fornecedores!$B$7:$B$66,MATCH($B107,Fornecedores!$A$7:$A$66,0)),"")</f>
        <v/>
      </c>
      <c r="D107" s="30" t="n"/>
      <c r="E107" s="30" t="n"/>
      <c r="F107" s="31" t="n"/>
      <c r="G107" s="30" t="n"/>
      <c r="H107" s="30" t="n"/>
      <c r="I107" s="31" t="n"/>
      <c r="J107" s="46" t="n"/>
    </row>
    <row r="108" ht="20" customHeight="1">
      <c r="A108" s="46" t="n"/>
      <c r="B108" s="31" t="n"/>
      <c r="C108" s="47">
        <f>IFERROR(INDEX(Fornecedores!$B$7:$B$66,MATCH($B108,Fornecedores!$A$7:$A$66,0)),"")</f>
        <v/>
      </c>
      <c r="D108" s="30" t="n"/>
      <c r="E108" s="30" t="n"/>
      <c r="F108" s="31" t="n"/>
      <c r="G108" s="30" t="n"/>
      <c r="H108" s="30" t="n"/>
      <c r="I108" s="31" t="n"/>
      <c r="J108" s="46" t="n"/>
    </row>
    <row r="109" ht="20" customHeight="1">
      <c r="A109" s="46" t="n"/>
      <c r="B109" s="31" t="n"/>
      <c r="C109" s="47">
        <f>IFERROR(INDEX(Fornecedores!$B$7:$B$66,MATCH($B109,Fornecedores!$A$7:$A$66,0)),"")</f>
        <v/>
      </c>
      <c r="D109" s="30" t="n"/>
      <c r="E109" s="30" t="n"/>
      <c r="F109" s="31" t="n"/>
      <c r="G109" s="30" t="n"/>
      <c r="H109" s="30" t="n"/>
      <c r="I109" s="31" t="n"/>
      <c r="J109" s="46" t="n"/>
    </row>
    <row r="110" ht="20" customHeight="1">
      <c r="A110" s="46" t="n"/>
      <c r="B110" s="31" t="n"/>
      <c r="C110" s="47">
        <f>IFERROR(INDEX(Fornecedores!$B$7:$B$66,MATCH($B110,Fornecedores!$A$7:$A$66,0)),"")</f>
        <v/>
      </c>
      <c r="D110" s="30" t="n"/>
      <c r="E110" s="30" t="n"/>
      <c r="F110" s="31" t="n"/>
      <c r="G110" s="30" t="n"/>
      <c r="H110" s="30" t="n"/>
      <c r="I110" s="31" t="n"/>
      <c r="J110" s="46" t="n"/>
    </row>
    <row r="111" ht="20" customHeight="1">
      <c r="A111" s="46" t="n"/>
      <c r="B111" s="31" t="n"/>
      <c r="C111" s="47">
        <f>IFERROR(INDEX(Fornecedores!$B$7:$B$66,MATCH($B111,Fornecedores!$A$7:$A$66,0)),"")</f>
        <v/>
      </c>
      <c r="D111" s="30" t="n"/>
      <c r="E111" s="30" t="n"/>
      <c r="F111" s="31" t="n"/>
      <c r="G111" s="30" t="n"/>
      <c r="H111" s="30" t="n"/>
      <c r="I111" s="31" t="n"/>
      <c r="J111" s="46" t="n"/>
    </row>
    <row r="112" ht="20" customHeight="1">
      <c r="A112" s="46" t="n"/>
      <c r="B112" s="31" t="n"/>
      <c r="C112" s="47">
        <f>IFERROR(INDEX(Fornecedores!$B$7:$B$66,MATCH($B112,Fornecedores!$A$7:$A$66,0)),"")</f>
        <v/>
      </c>
      <c r="D112" s="30" t="n"/>
      <c r="E112" s="30" t="n"/>
      <c r="F112" s="31" t="n"/>
      <c r="G112" s="30" t="n"/>
      <c r="H112" s="30" t="n"/>
      <c r="I112" s="31" t="n"/>
      <c r="J112" s="46" t="n"/>
    </row>
    <row r="113" ht="20" customHeight="1">
      <c r="A113" s="46" t="n"/>
      <c r="B113" s="31" t="n"/>
      <c r="C113" s="47">
        <f>IFERROR(INDEX(Fornecedores!$B$7:$B$66,MATCH($B113,Fornecedores!$A$7:$A$66,0)),"")</f>
        <v/>
      </c>
      <c r="D113" s="30" t="n"/>
      <c r="E113" s="30" t="n"/>
      <c r="F113" s="31" t="n"/>
      <c r="G113" s="30" t="n"/>
      <c r="H113" s="30" t="n"/>
      <c r="I113" s="31" t="n"/>
      <c r="J113" s="46" t="n"/>
    </row>
    <row r="114" ht="20" customHeight="1">
      <c r="A114" s="46" t="n"/>
      <c r="B114" s="31" t="n"/>
      <c r="C114" s="47">
        <f>IFERROR(INDEX(Fornecedores!$B$7:$B$66,MATCH($B114,Fornecedores!$A$7:$A$66,0)),"")</f>
        <v/>
      </c>
      <c r="D114" s="30" t="n"/>
      <c r="E114" s="30" t="n"/>
      <c r="F114" s="31" t="n"/>
      <c r="G114" s="30" t="n"/>
      <c r="H114" s="30" t="n"/>
      <c r="I114" s="31" t="n"/>
      <c r="J114" s="46" t="n"/>
    </row>
    <row r="115" ht="20" customHeight="1">
      <c r="A115" s="46" t="n"/>
      <c r="B115" s="31" t="n"/>
      <c r="C115" s="47">
        <f>IFERROR(INDEX(Fornecedores!$B$7:$B$66,MATCH($B115,Fornecedores!$A$7:$A$66,0)),"")</f>
        <v/>
      </c>
      <c r="D115" s="30" t="n"/>
      <c r="E115" s="30" t="n"/>
      <c r="F115" s="31" t="n"/>
      <c r="G115" s="30" t="n"/>
      <c r="H115" s="30" t="n"/>
      <c r="I115" s="31" t="n"/>
      <c r="J115" s="46" t="n"/>
    </row>
    <row r="116" ht="20" customHeight="1">
      <c r="A116" s="46" t="n"/>
      <c r="B116" s="31" t="n"/>
      <c r="C116" s="47">
        <f>IFERROR(INDEX(Fornecedores!$B$7:$B$66,MATCH($B116,Fornecedores!$A$7:$A$66,0)),"")</f>
        <v/>
      </c>
      <c r="D116" s="30" t="n"/>
      <c r="E116" s="30" t="n"/>
      <c r="F116" s="31" t="n"/>
      <c r="G116" s="30" t="n"/>
      <c r="H116" s="30" t="n"/>
      <c r="I116" s="31" t="n"/>
      <c r="J116" s="46" t="n"/>
    </row>
    <row r="117" ht="20" customHeight="1">
      <c r="A117" s="46" t="n"/>
      <c r="B117" s="31" t="n"/>
      <c r="C117" s="47">
        <f>IFERROR(INDEX(Fornecedores!$B$7:$B$66,MATCH($B117,Fornecedores!$A$7:$A$66,0)),"")</f>
        <v/>
      </c>
      <c r="D117" s="30" t="n"/>
      <c r="E117" s="30" t="n"/>
      <c r="F117" s="31" t="n"/>
      <c r="G117" s="30" t="n"/>
      <c r="H117" s="30" t="n"/>
      <c r="I117" s="31" t="n"/>
      <c r="J117" s="46" t="n"/>
    </row>
    <row r="118" ht="20" customHeight="1">
      <c r="A118" s="46" t="n"/>
      <c r="B118" s="31" t="n"/>
      <c r="C118" s="47">
        <f>IFERROR(INDEX(Fornecedores!$B$7:$B$66,MATCH($B118,Fornecedores!$A$7:$A$66,0)),"")</f>
        <v/>
      </c>
      <c r="D118" s="30" t="n"/>
      <c r="E118" s="30" t="n"/>
      <c r="F118" s="31" t="n"/>
      <c r="G118" s="30" t="n"/>
      <c r="H118" s="30" t="n"/>
      <c r="I118" s="31" t="n"/>
      <c r="J118" s="46" t="n"/>
    </row>
    <row r="119" ht="20" customHeight="1">
      <c r="A119" s="46" t="n"/>
      <c r="B119" s="31" t="n"/>
      <c r="C119" s="47">
        <f>IFERROR(INDEX(Fornecedores!$B$7:$B$66,MATCH($B119,Fornecedores!$A$7:$A$66,0)),"")</f>
        <v/>
      </c>
      <c r="D119" s="30" t="n"/>
      <c r="E119" s="30" t="n"/>
      <c r="F119" s="31" t="n"/>
      <c r="G119" s="30" t="n"/>
      <c r="H119" s="30" t="n"/>
      <c r="I119" s="31" t="n"/>
      <c r="J119" s="46" t="n"/>
    </row>
    <row r="120" ht="20" customHeight="1">
      <c r="A120" s="46" t="n"/>
      <c r="B120" s="31" t="n"/>
      <c r="C120" s="47">
        <f>IFERROR(INDEX(Fornecedores!$B$7:$B$66,MATCH($B120,Fornecedores!$A$7:$A$66,0)),"")</f>
        <v/>
      </c>
      <c r="D120" s="30" t="n"/>
      <c r="E120" s="30" t="n"/>
      <c r="F120" s="31" t="n"/>
      <c r="G120" s="30" t="n"/>
      <c r="H120" s="30" t="n"/>
      <c r="I120" s="31" t="n"/>
      <c r="J120" s="46" t="n"/>
    </row>
    <row r="121" ht="20" customHeight="1">
      <c r="A121" s="46" t="n"/>
      <c r="B121" s="31" t="n"/>
      <c r="C121" s="47">
        <f>IFERROR(INDEX(Fornecedores!$B$7:$B$66,MATCH($B121,Fornecedores!$A$7:$A$66,0)),"")</f>
        <v/>
      </c>
      <c r="D121" s="30" t="n"/>
      <c r="E121" s="30" t="n"/>
      <c r="F121" s="31" t="n"/>
      <c r="G121" s="30" t="n"/>
      <c r="H121" s="30" t="n"/>
      <c r="I121" s="31" t="n"/>
      <c r="J121" s="46" t="n"/>
    </row>
    <row r="122" ht="20" customHeight="1">
      <c r="A122" s="46" t="n"/>
      <c r="B122" s="31" t="n"/>
      <c r="C122" s="47">
        <f>IFERROR(INDEX(Fornecedores!$B$7:$B$66,MATCH($B122,Fornecedores!$A$7:$A$66,0)),"")</f>
        <v/>
      </c>
      <c r="D122" s="30" t="n"/>
      <c r="E122" s="30" t="n"/>
      <c r="F122" s="31" t="n"/>
      <c r="G122" s="30" t="n"/>
      <c r="H122" s="30" t="n"/>
      <c r="I122" s="31" t="n"/>
      <c r="J122" s="46" t="n"/>
    </row>
    <row r="123" ht="20" customHeight="1">
      <c r="A123" s="46" t="n"/>
      <c r="B123" s="31" t="n"/>
      <c r="C123" s="47">
        <f>IFERROR(INDEX(Fornecedores!$B$7:$B$66,MATCH($B123,Fornecedores!$A$7:$A$66,0)),"")</f>
        <v/>
      </c>
      <c r="D123" s="30" t="n"/>
      <c r="E123" s="30" t="n"/>
      <c r="F123" s="31" t="n"/>
      <c r="G123" s="30" t="n"/>
      <c r="H123" s="30" t="n"/>
      <c r="I123" s="31" t="n"/>
      <c r="J123" s="46" t="n"/>
    </row>
    <row r="124" ht="20" customHeight="1">
      <c r="A124" s="46" t="n"/>
      <c r="B124" s="31" t="n"/>
      <c r="C124" s="47">
        <f>IFERROR(INDEX(Fornecedores!$B$7:$B$66,MATCH($B124,Fornecedores!$A$7:$A$66,0)),"")</f>
        <v/>
      </c>
      <c r="D124" s="30" t="n"/>
      <c r="E124" s="30" t="n"/>
      <c r="F124" s="31" t="n"/>
      <c r="G124" s="30" t="n"/>
      <c r="H124" s="30" t="n"/>
      <c r="I124" s="31" t="n"/>
      <c r="J124" s="46" t="n"/>
    </row>
    <row r="125" ht="20" customHeight="1">
      <c r="A125" s="46" t="n"/>
      <c r="B125" s="31" t="n"/>
      <c r="C125" s="47">
        <f>IFERROR(INDEX(Fornecedores!$B$7:$B$66,MATCH($B125,Fornecedores!$A$7:$A$66,0)),"")</f>
        <v/>
      </c>
      <c r="D125" s="30" t="n"/>
      <c r="E125" s="30" t="n"/>
      <c r="F125" s="31" t="n"/>
      <c r="G125" s="30" t="n"/>
      <c r="H125" s="30" t="n"/>
      <c r="I125" s="31" t="n"/>
      <c r="J125" s="46" t="n"/>
    </row>
    <row r="126" ht="20" customHeight="1">
      <c r="A126" s="46" t="n"/>
      <c r="B126" s="31" t="n"/>
      <c r="C126" s="47">
        <f>IFERROR(INDEX(Fornecedores!$B$7:$B$66,MATCH($B126,Fornecedores!$A$7:$A$66,0)),"")</f>
        <v/>
      </c>
      <c r="D126" s="30" t="n"/>
      <c r="E126" s="30" t="n"/>
      <c r="F126" s="31" t="n"/>
      <c r="G126" s="30" t="n"/>
      <c r="H126" s="30" t="n"/>
      <c r="I126" s="31" t="n"/>
      <c r="J126" s="46" t="n"/>
    </row>
    <row r="127" ht="20" customHeight="1">
      <c r="A127" s="46" t="n"/>
      <c r="B127" s="31" t="n"/>
      <c r="C127" s="47">
        <f>IFERROR(INDEX(Fornecedores!$B$7:$B$66,MATCH($B127,Fornecedores!$A$7:$A$66,0)),"")</f>
        <v/>
      </c>
      <c r="D127" s="30" t="n"/>
      <c r="E127" s="30" t="n"/>
      <c r="F127" s="31" t="n"/>
      <c r="G127" s="30" t="n"/>
      <c r="H127" s="30" t="n"/>
      <c r="I127" s="31" t="n"/>
      <c r="J127" s="46" t="n"/>
    </row>
    <row r="128" ht="20" customHeight="1">
      <c r="A128" s="46" t="n"/>
      <c r="B128" s="31" t="n"/>
      <c r="C128" s="47">
        <f>IFERROR(INDEX(Fornecedores!$B$7:$B$66,MATCH($B128,Fornecedores!$A$7:$A$66,0)),"")</f>
        <v/>
      </c>
      <c r="D128" s="30" t="n"/>
      <c r="E128" s="30" t="n"/>
      <c r="F128" s="31" t="n"/>
      <c r="G128" s="30" t="n"/>
      <c r="H128" s="30" t="n"/>
      <c r="I128" s="31" t="n"/>
      <c r="J128" s="46" t="n"/>
    </row>
    <row r="129" ht="20" customHeight="1">
      <c r="A129" s="46" t="n"/>
      <c r="B129" s="31" t="n"/>
      <c r="C129" s="47">
        <f>IFERROR(INDEX(Fornecedores!$B$7:$B$66,MATCH($B129,Fornecedores!$A$7:$A$66,0)),"")</f>
        <v/>
      </c>
      <c r="D129" s="30" t="n"/>
      <c r="E129" s="30" t="n"/>
      <c r="F129" s="31" t="n"/>
      <c r="G129" s="30" t="n"/>
      <c r="H129" s="30" t="n"/>
      <c r="I129" s="31" t="n"/>
      <c r="J129" s="46" t="n"/>
    </row>
    <row r="130" ht="20" customHeight="1">
      <c r="A130" s="46" t="n"/>
      <c r="B130" s="31" t="n"/>
      <c r="C130" s="47">
        <f>IFERROR(INDEX(Fornecedores!$B$7:$B$66,MATCH($B130,Fornecedores!$A$7:$A$66,0)),"")</f>
        <v/>
      </c>
      <c r="D130" s="30" t="n"/>
      <c r="E130" s="30" t="n"/>
      <c r="F130" s="31" t="n"/>
      <c r="G130" s="30" t="n"/>
      <c r="H130" s="30" t="n"/>
      <c r="I130" s="31" t="n"/>
      <c r="J130" s="46" t="n"/>
    </row>
    <row r="131" ht="20" customHeight="1">
      <c r="A131" s="46" t="n"/>
      <c r="B131" s="31" t="n"/>
      <c r="C131" s="47">
        <f>IFERROR(INDEX(Fornecedores!$B$7:$B$66,MATCH($B131,Fornecedores!$A$7:$A$66,0)),"")</f>
        <v/>
      </c>
      <c r="D131" s="30" t="n"/>
      <c r="E131" s="30" t="n"/>
      <c r="F131" s="31" t="n"/>
      <c r="G131" s="30" t="n"/>
      <c r="H131" s="30" t="n"/>
      <c r="I131" s="31" t="n"/>
      <c r="J131" s="46" t="n"/>
    </row>
    <row r="132" ht="20" customHeight="1">
      <c r="A132" s="46" t="n"/>
      <c r="B132" s="31" t="n"/>
      <c r="C132" s="47">
        <f>IFERROR(INDEX(Fornecedores!$B$7:$B$66,MATCH($B132,Fornecedores!$A$7:$A$66,0)),"")</f>
        <v/>
      </c>
      <c r="D132" s="30" t="n"/>
      <c r="E132" s="30" t="n"/>
      <c r="F132" s="31" t="n"/>
      <c r="G132" s="30" t="n"/>
      <c r="H132" s="30" t="n"/>
      <c r="I132" s="31" t="n"/>
      <c r="J132" s="46" t="n"/>
    </row>
    <row r="133" ht="20" customHeight="1">
      <c r="A133" s="46" t="n"/>
      <c r="B133" s="31" t="n"/>
      <c r="C133" s="47">
        <f>IFERROR(INDEX(Fornecedores!$B$7:$B$66,MATCH($B133,Fornecedores!$A$7:$A$66,0)),"")</f>
        <v/>
      </c>
      <c r="D133" s="30" t="n"/>
      <c r="E133" s="30" t="n"/>
      <c r="F133" s="31" t="n"/>
      <c r="G133" s="30" t="n"/>
      <c r="H133" s="30" t="n"/>
      <c r="I133" s="31" t="n"/>
      <c r="J133" s="46" t="n"/>
    </row>
    <row r="134" ht="20" customHeight="1">
      <c r="A134" s="46" t="n"/>
      <c r="B134" s="31" t="n"/>
      <c r="C134" s="47">
        <f>IFERROR(INDEX(Fornecedores!$B$7:$B$66,MATCH($B134,Fornecedores!$A$7:$A$66,0)),"")</f>
        <v/>
      </c>
      <c r="D134" s="30" t="n"/>
      <c r="E134" s="30" t="n"/>
      <c r="F134" s="31" t="n"/>
      <c r="G134" s="30" t="n"/>
      <c r="H134" s="30" t="n"/>
      <c r="I134" s="31" t="n"/>
      <c r="J134" s="46" t="n"/>
    </row>
    <row r="135" ht="20" customHeight="1">
      <c r="A135" s="46" t="n"/>
      <c r="B135" s="31" t="n"/>
      <c r="C135" s="47">
        <f>IFERROR(INDEX(Fornecedores!$B$7:$B$66,MATCH($B135,Fornecedores!$A$7:$A$66,0)),"")</f>
        <v/>
      </c>
      <c r="D135" s="30" t="n"/>
      <c r="E135" s="30" t="n"/>
      <c r="F135" s="31" t="n"/>
      <c r="G135" s="30" t="n"/>
      <c r="H135" s="30" t="n"/>
      <c r="I135" s="31" t="n"/>
      <c r="J135" s="46" t="n"/>
    </row>
    <row r="136" ht="20" customHeight="1">
      <c r="A136" s="46" t="n"/>
      <c r="B136" s="31" t="n"/>
      <c r="C136" s="47">
        <f>IFERROR(INDEX(Fornecedores!$B$7:$B$66,MATCH($B136,Fornecedores!$A$7:$A$66,0)),"")</f>
        <v/>
      </c>
      <c r="D136" s="30" t="n"/>
      <c r="E136" s="30" t="n"/>
      <c r="F136" s="31" t="n"/>
      <c r="G136" s="30" t="n"/>
      <c r="H136" s="30" t="n"/>
      <c r="I136" s="31" t="n"/>
      <c r="J136" s="46" t="n"/>
    </row>
    <row r="137" ht="20" customHeight="1">
      <c r="A137" s="46" t="n"/>
      <c r="B137" s="31" t="n"/>
      <c r="C137" s="47">
        <f>IFERROR(INDEX(Fornecedores!$B$7:$B$66,MATCH($B137,Fornecedores!$A$7:$A$66,0)),"")</f>
        <v/>
      </c>
      <c r="D137" s="30" t="n"/>
      <c r="E137" s="30" t="n"/>
      <c r="F137" s="31" t="n"/>
      <c r="G137" s="30" t="n"/>
      <c r="H137" s="30" t="n"/>
      <c r="I137" s="31" t="n"/>
      <c r="J137" s="46" t="n"/>
    </row>
    <row r="138" ht="20" customHeight="1">
      <c r="A138" s="46" t="n"/>
      <c r="B138" s="31" t="n"/>
      <c r="C138" s="47">
        <f>IFERROR(INDEX(Fornecedores!$B$7:$B$66,MATCH($B138,Fornecedores!$A$7:$A$66,0)),"")</f>
        <v/>
      </c>
      <c r="D138" s="30" t="n"/>
      <c r="E138" s="30" t="n"/>
      <c r="F138" s="31" t="n"/>
      <c r="G138" s="30" t="n"/>
      <c r="H138" s="30" t="n"/>
      <c r="I138" s="31" t="n"/>
      <c r="J138" s="46" t="n"/>
    </row>
    <row r="139" ht="20" customHeight="1">
      <c r="A139" s="46" t="n"/>
      <c r="B139" s="31" t="n"/>
      <c r="C139" s="47">
        <f>IFERROR(INDEX(Fornecedores!$B$7:$B$66,MATCH($B139,Fornecedores!$A$7:$A$66,0)),"")</f>
        <v/>
      </c>
      <c r="D139" s="30" t="n"/>
      <c r="E139" s="30" t="n"/>
      <c r="F139" s="31" t="n"/>
      <c r="G139" s="30" t="n"/>
      <c r="H139" s="30" t="n"/>
      <c r="I139" s="31" t="n"/>
      <c r="J139" s="46" t="n"/>
    </row>
    <row r="140" ht="20" customHeight="1">
      <c r="A140" s="46" t="n"/>
      <c r="B140" s="31" t="n"/>
      <c r="C140" s="47">
        <f>IFERROR(INDEX(Fornecedores!$B$7:$B$66,MATCH($B140,Fornecedores!$A$7:$A$66,0)),"")</f>
        <v/>
      </c>
      <c r="D140" s="30" t="n"/>
      <c r="E140" s="30" t="n"/>
      <c r="F140" s="31" t="n"/>
      <c r="G140" s="30" t="n"/>
      <c r="H140" s="30" t="n"/>
      <c r="I140" s="31" t="n"/>
      <c r="J140" s="46" t="n"/>
    </row>
    <row r="141" ht="20" customHeight="1">
      <c r="A141" s="46" t="n"/>
      <c r="B141" s="31" t="n"/>
      <c r="C141" s="47">
        <f>IFERROR(INDEX(Fornecedores!$B$7:$B$66,MATCH($B141,Fornecedores!$A$7:$A$66,0)),"")</f>
        <v/>
      </c>
      <c r="D141" s="30" t="n"/>
      <c r="E141" s="30" t="n"/>
      <c r="F141" s="31" t="n"/>
      <c r="G141" s="30" t="n"/>
      <c r="H141" s="30" t="n"/>
      <c r="I141" s="31" t="n"/>
      <c r="J141" s="46" t="n"/>
    </row>
    <row r="142" ht="20" customHeight="1">
      <c r="A142" s="46" t="n"/>
      <c r="B142" s="31" t="n"/>
      <c r="C142" s="47">
        <f>IFERROR(INDEX(Fornecedores!$B$7:$B$66,MATCH($B142,Fornecedores!$A$7:$A$66,0)),"")</f>
        <v/>
      </c>
      <c r="D142" s="30" t="n"/>
      <c r="E142" s="30" t="n"/>
      <c r="F142" s="31" t="n"/>
      <c r="G142" s="30" t="n"/>
      <c r="H142" s="30" t="n"/>
      <c r="I142" s="31" t="n"/>
      <c r="J142" s="46" t="n"/>
    </row>
    <row r="143" ht="20" customHeight="1">
      <c r="A143" s="46" t="n"/>
      <c r="B143" s="31" t="n"/>
      <c r="C143" s="47">
        <f>IFERROR(INDEX(Fornecedores!$B$7:$B$66,MATCH($B143,Fornecedores!$A$7:$A$66,0)),"")</f>
        <v/>
      </c>
      <c r="D143" s="30" t="n"/>
      <c r="E143" s="30" t="n"/>
      <c r="F143" s="31" t="n"/>
      <c r="G143" s="30" t="n"/>
      <c r="H143" s="30" t="n"/>
      <c r="I143" s="31" t="n"/>
      <c r="J143" s="46" t="n"/>
    </row>
    <row r="144" ht="20" customHeight="1">
      <c r="A144" s="46" t="n"/>
      <c r="B144" s="31" t="n"/>
      <c r="C144" s="47">
        <f>IFERROR(INDEX(Fornecedores!$B$7:$B$66,MATCH($B144,Fornecedores!$A$7:$A$66,0)),"")</f>
        <v/>
      </c>
      <c r="D144" s="30" t="n"/>
      <c r="E144" s="30" t="n"/>
      <c r="F144" s="31" t="n"/>
      <c r="G144" s="30" t="n"/>
      <c r="H144" s="30" t="n"/>
      <c r="I144" s="31" t="n"/>
      <c r="J144" s="46" t="n"/>
    </row>
    <row r="145" ht="20" customHeight="1">
      <c r="A145" s="46" t="n"/>
      <c r="B145" s="31" t="n"/>
      <c r="C145" s="47">
        <f>IFERROR(INDEX(Fornecedores!$B$7:$B$66,MATCH($B145,Fornecedores!$A$7:$A$66,0)),"")</f>
        <v/>
      </c>
      <c r="D145" s="30" t="n"/>
      <c r="E145" s="30" t="n"/>
      <c r="F145" s="31" t="n"/>
      <c r="G145" s="30" t="n"/>
      <c r="H145" s="30" t="n"/>
      <c r="I145" s="31" t="n"/>
      <c r="J145" s="46" t="n"/>
    </row>
    <row r="146" ht="20" customHeight="1">
      <c r="A146" s="46" t="n"/>
      <c r="B146" s="31" t="n"/>
      <c r="C146" s="47">
        <f>IFERROR(INDEX(Fornecedores!$B$7:$B$66,MATCH($B146,Fornecedores!$A$7:$A$66,0)),"")</f>
        <v/>
      </c>
      <c r="D146" s="30" t="n"/>
      <c r="E146" s="30" t="n"/>
      <c r="F146" s="31" t="n"/>
      <c r="G146" s="30" t="n"/>
      <c r="H146" s="30" t="n"/>
      <c r="I146" s="31" t="n"/>
      <c r="J146" s="46" t="n"/>
    </row>
    <row r="147" ht="20" customHeight="1">
      <c r="A147" s="46" t="n"/>
      <c r="B147" s="31" t="n"/>
      <c r="C147" s="47">
        <f>IFERROR(INDEX(Fornecedores!$B$7:$B$66,MATCH($B147,Fornecedores!$A$7:$A$66,0)),"")</f>
        <v/>
      </c>
      <c r="D147" s="30" t="n"/>
      <c r="E147" s="30" t="n"/>
      <c r="F147" s="31" t="n"/>
      <c r="G147" s="30" t="n"/>
      <c r="H147" s="30" t="n"/>
      <c r="I147" s="31" t="n"/>
      <c r="J147" s="46" t="n"/>
    </row>
    <row r="148" ht="20" customHeight="1">
      <c r="A148" s="46" t="n"/>
      <c r="B148" s="31" t="n"/>
      <c r="C148" s="47">
        <f>IFERROR(INDEX(Fornecedores!$B$7:$B$66,MATCH($B148,Fornecedores!$A$7:$A$66,0)),"")</f>
        <v/>
      </c>
      <c r="D148" s="30" t="n"/>
      <c r="E148" s="30" t="n"/>
      <c r="F148" s="31" t="n"/>
      <c r="G148" s="30" t="n"/>
      <c r="H148" s="30" t="n"/>
      <c r="I148" s="31" t="n"/>
      <c r="J148" s="46" t="n"/>
    </row>
    <row r="149" ht="20" customHeight="1">
      <c r="A149" s="46" t="n"/>
      <c r="B149" s="31" t="n"/>
      <c r="C149" s="47">
        <f>IFERROR(INDEX(Fornecedores!$B$7:$B$66,MATCH($B149,Fornecedores!$A$7:$A$66,0)),"")</f>
        <v/>
      </c>
      <c r="D149" s="30" t="n"/>
      <c r="E149" s="30" t="n"/>
      <c r="F149" s="31" t="n"/>
      <c r="G149" s="30" t="n"/>
      <c r="H149" s="30" t="n"/>
      <c r="I149" s="31" t="n"/>
      <c r="J149" s="46" t="n"/>
    </row>
    <row r="150" ht="20" customHeight="1">
      <c r="A150" s="46" t="n"/>
      <c r="B150" s="31" t="n"/>
      <c r="C150" s="47">
        <f>IFERROR(INDEX(Fornecedores!$B$7:$B$66,MATCH($B150,Fornecedores!$A$7:$A$66,0)),"")</f>
        <v/>
      </c>
      <c r="D150" s="30" t="n"/>
      <c r="E150" s="30" t="n"/>
      <c r="F150" s="31" t="n"/>
      <c r="G150" s="30" t="n"/>
      <c r="H150" s="30" t="n"/>
      <c r="I150" s="31" t="n"/>
      <c r="J150" s="46" t="n"/>
    </row>
    <row r="151" ht="20" customHeight="1">
      <c r="A151" s="46" t="n"/>
      <c r="B151" s="31" t="n"/>
      <c r="C151" s="47">
        <f>IFERROR(INDEX(Fornecedores!$B$7:$B$66,MATCH($B151,Fornecedores!$A$7:$A$66,0)),"")</f>
        <v/>
      </c>
      <c r="D151" s="30" t="n"/>
      <c r="E151" s="30" t="n"/>
      <c r="F151" s="31" t="n"/>
      <c r="G151" s="30" t="n"/>
      <c r="H151" s="30" t="n"/>
      <c r="I151" s="31" t="n"/>
      <c r="J151" s="46" t="n"/>
    </row>
    <row r="152" ht="20" customHeight="1">
      <c r="A152" s="46" t="n"/>
      <c r="B152" s="31" t="n"/>
      <c r="C152" s="47">
        <f>IFERROR(INDEX(Fornecedores!$B$7:$B$66,MATCH($B152,Fornecedores!$A$7:$A$66,0)),"")</f>
        <v/>
      </c>
      <c r="D152" s="30" t="n"/>
      <c r="E152" s="30" t="n"/>
      <c r="F152" s="31" t="n"/>
      <c r="G152" s="30" t="n"/>
      <c r="H152" s="30" t="n"/>
      <c r="I152" s="31" t="n"/>
      <c r="J152" s="46" t="n"/>
    </row>
    <row r="153" ht="20" customHeight="1">
      <c r="A153" s="46" t="n"/>
      <c r="B153" s="31" t="n"/>
      <c r="C153" s="47">
        <f>IFERROR(INDEX(Fornecedores!$B$7:$B$66,MATCH($B153,Fornecedores!$A$7:$A$66,0)),"")</f>
        <v/>
      </c>
      <c r="D153" s="30" t="n"/>
      <c r="E153" s="30" t="n"/>
      <c r="F153" s="31" t="n"/>
      <c r="G153" s="30" t="n"/>
      <c r="H153" s="30" t="n"/>
      <c r="I153" s="31" t="n"/>
      <c r="J153" s="46" t="n"/>
    </row>
    <row r="154" ht="20" customHeight="1">
      <c r="A154" s="46" t="n"/>
      <c r="B154" s="31" t="n"/>
      <c r="C154" s="47">
        <f>IFERROR(INDEX(Fornecedores!$B$7:$B$66,MATCH($B154,Fornecedores!$A$7:$A$66,0)),"")</f>
        <v/>
      </c>
      <c r="D154" s="30" t="n"/>
      <c r="E154" s="30" t="n"/>
      <c r="F154" s="31" t="n"/>
      <c r="G154" s="30" t="n"/>
      <c r="H154" s="30" t="n"/>
      <c r="I154" s="31" t="n"/>
      <c r="J154" s="46" t="n"/>
    </row>
    <row r="155" ht="20" customHeight="1">
      <c r="A155" s="46" t="n"/>
      <c r="B155" s="31" t="n"/>
      <c r="C155" s="47">
        <f>IFERROR(INDEX(Fornecedores!$B$7:$B$66,MATCH($B155,Fornecedores!$A$7:$A$66,0)),"")</f>
        <v/>
      </c>
      <c r="D155" s="30" t="n"/>
      <c r="E155" s="30" t="n"/>
      <c r="F155" s="31" t="n"/>
      <c r="G155" s="30" t="n"/>
      <c r="H155" s="30" t="n"/>
      <c r="I155" s="31" t="n"/>
      <c r="J155" s="46" t="n"/>
    </row>
    <row r="156" ht="20" customHeight="1">
      <c r="A156" s="46" t="n"/>
      <c r="B156" s="31" t="n"/>
      <c r="C156" s="47">
        <f>IFERROR(INDEX(Fornecedores!$B$7:$B$66,MATCH($B156,Fornecedores!$A$7:$A$66,0)),"")</f>
        <v/>
      </c>
      <c r="D156" s="30" t="n"/>
      <c r="E156" s="30" t="n"/>
      <c r="F156" s="31" t="n"/>
      <c r="G156" s="30" t="n"/>
      <c r="H156" s="30" t="n"/>
      <c r="I156" s="31" t="n"/>
      <c r="J156" s="46" t="n"/>
    </row>
  </sheetData>
  <autoFilter ref="A6:J156"/>
  <mergeCells count="4">
    <mergeCell ref="A1:J1"/>
    <mergeCell ref="A4:J4"/>
    <mergeCell ref="A3:J3"/>
    <mergeCell ref="A2:J2"/>
  </mergeCells>
  <conditionalFormatting sqref="F7:F156">
    <cfRule type="cellIs" priority="1" operator="equal" dxfId="0">
      <formula>"Alta"</formula>
    </cfRule>
  </conditionalFormatting>
  <dataValidations count="4">
    <dataValidation sqref="B7:B156" showDropDown="0" showInputMessage="0" showErrorMessage="0" allowBlank="1" type="list">
      <formula1>=Fornecedores!$A$7:$A$66</formula1>
    </dataValidation>
    <dataValidation sqref="E7:E156" showDropDown="0" showInputMessage="0" showErrorMessage="0" allowBlank="1" type="list">
      <formula1>=Listas!$F$2:$F$10</formula1>
    </dataValidation>
    <dataValidation sqref="F7:F156" showDropDown="0" showInputMessage="0" showErrorMessage="0" allowBlank="1" type="list">
      <formula1>=Listas!$G$2:$G$4</formula1>
    </dataValidation>
    <dataValidation sqref="I7:I156" showDropDown="0" showInputMessage="0" showErrorMessage="0" allowBlank="1" type="list">
      <formula1>=Listas!$H$2:$H$3</formula1>
    </dataValidation>
  </dataValidations>
  <pageMargins left="0.45" right="0.35" top="0.4" bottom="0.3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FICHA DO FORNECEDOR</t>
        </is>
      </c>
    </row>
    <row r="4" ht="17" customHeight="1">
      <c r="A4" s="4" t="inlineStr">
        <is>
          <t>Escolha o código no campo abaixo — todo o restante é preenchido sozinho</t>
        </is>
      </c>
    </row>
    <row r="6" ht="20" customHeight="1">
      <c r="A6" s="5" t="inlineStr">
        <is>
          <t xml:space="preserve">  FORNECEDOR</t>
        </is>
      </c>
    </row>
    <row r="7" ht="30" customHeight="1">
      <c r="A7" s="49" t="inlineStr">
        <is>
          <t>Código</t>
        </is>
      </c>
      <c r="B7" s="50" t="inlineStr">
        <is>
          <t>FOR-001</t>
        </is>
      </c>
      <c r="C7" s="51">
        <f>IFERROR(INDEX(Fornecedores!$B$7:$B$66,MATCH($B$7,Fornecedores!$A$7:$A$66,0)),"— código não encontrado —")</f>
        <v/>
      </c>
    </row>
    <row r="9" ht="20" customHeight="1">
      <c r="A9" s="5" t="inlineStr">
        <is>
          <t xml:space="preserve">  IDENTIFICAÇÃO</t>
        </is>
      </c>
    </row>
    <row r="10" ht="21" customHeight="1">
      <c r="A10" s="49" t="inlineStr">
        <is>
          <t>Segmento</t>
        </is>
      </c>
      <c r="B10" s="52">
        <f>IFERROR(INDEX(Fornecedores!$C$7:$C$66,MATCH($B$7,Fornecedores!$A$7:$A$66,0)),"")</f>
        <v/>
      </c>
    </row>
    <row r="11" ht="21" customHeight="1">
      <c r="A11" s="49" t="inlineStr">
        <is>
          <t>Insumos que fornece</t>
        </is>
      </c>
      <c r="B11" s="52">
        <f>IFERROR(INDEX(Fornecedores!$D$7:$D$66,MATCH($B$7,Fornecedores!$A$7:$A$66,0)),"")</f>
        <v/>
      </c>
    </row>
    <row r="12" ht="21" customHeight="1">
      <c r="A12" s="49" t="inlineStr">
        <is>
          <t>CNPJ</t>
        </is>
      </c>
      <c r="B12" s="52">
        <f>IFERROR(INDEX(Fornecedores!$E$7:$E$66,MATCH($B$7,Fornecedores!$A$7:$A$66,0)),"")</f>
        <v/>
      </c>
    </row>
    <row r="13" ht="21" customHeight="1">
      <c r="A13" s="49" t="inlineStr">
        <is>
          <t>Situação</t>
        </is>
      </c>
      <c r="B13" s="52">
        <f>IFERROR(INDEX(Fornecedores!$M$7:$M$66,MATCH($B$7,Fornecedores!$A$7:$A$66,0)),"")</f>
        <v/>
      </c>
    </row>
    <row r="15" ht="20" customHeight="1">
      <c r="A15" s="5" t="inlineStr">
        <is>
          <t xml:space="preserve">  CONTATO</t>
        </is>
      </c>
    </row>
    <row r="16" ht="21" customHeight="1">
      <c r="A16" s="49" t="inlineStr">
        <is>
          <t>Vendedor</t>
        </is>
      </c>
      <c r="B16" s="52">
        <f>IFERROR(INDEX(Fornecedores!$F$7:$F$66,MATCH($B$7,Fornecedores!$A$7:$A$66,0)),"")</f>
        <v/>
      </c>
    </row>
    <row r="17" ht="21" customHeight="1">
      <c r="A17" s="49" t="inlineStr">
        <is>
          <t>Contato / WhatsApp</t>
        </is>
      </c>
      <c r="B17" s="52">
        <f>IFERROR(INDEX(Fornecedores!$G$7:$G$66,MATCH($B$7,Fornecedores!$A$7:$A$66,0)),"")</f>
        <v/>
      </c>
    </row>
    <row r="18" ht="21" customHeight="1">
      <c r="A18" s="49" t="inlineStr">
        <is>
          <t>E-mail</t>
        </is>
      </c>
      <c r="B18" s="52">
        <f>IFERROR(INDEX(Fornecedores!$H$7:$H$66,MATCH($B$7,Fornecedores!$A$7:$A$66,0)),"")</f>
        <v/>
      </c>
    </row>
    <row r="20" ht="20" customHeight="1">
      <c r="A20" s="5" t="inlineStr">
        <is>
          <t xml:space="preserve">  PAGAMENTO</t>
        </is>
      </c>
    </row>
    <row r="21" ht="21" customHeight="1">
      <c r="A21" s="49" t="inlineStr">
        <is>
          <t>Chave PIX</t>
        </is>
      </c>
      <c r="B21" s="52">
        <f>IFERROR(INDEX(Fornecedores!$I$7:$I$66,MATCH($B$7,Fornecedores!$A$7:$A$66,0)),"")</f>
        <v/>
      </c>
    </row>
    <row r="22" ht="21" customHeight="1">
      <c r="A22" s="49" t="inlineStr">
        <is>
          <t>Tipo da chave</t>
        </is>
      </c>
      <c r="B22" s="52">
        <f>IFERROR(INDEX(Fornecedores!$J$7:$J$66,MATCH($B$7,Fornecedores!$A$7:$A$66,0)),"")</f>
        <v/>
      </c>
    </row>
    <row r="23" ht="21" customHeight="1">
      <c r="A23" s="49" t="inlineStr">
        <is>
          <t>Métodos aceitos</t>
        </is>
      </c>
      <c r="B23" s="52">
        <f>IFERROR(INDEX(Fornecedores!$K$7:$K$66,MATCH($B$7,Fornecedores!$A$7:$A$66,0)),"")</f>
        <v/>
      </c>
    </row>
    <row r="24" ht="21" customHeight="1">
      <c r="A24" s="49" t="inlineStr">
        <is>
          <t>Condição padrão</t>
        </is>
      </c>
      <c r="B24" s="52">
        <f>IFERROR(INDEX(Fornecedores!$L$7:$L$66,MATCH($B$7,Fornecedores!$A$7:$A$66,0)),"")</f>
        <v/>
      </c>
    </row>
    <row r="26" ht="20" customHeight="1">
      <c r="A26" s="5" t="inlineStr">
        <is>
          <t xml:space="preserve">  AVALIAÇÃO E HISTÓRICO          notas de 1 a 5 · demais números medidos no período</t>
        </is>
      </c>
    </row>
    <row r="27" ht="23" customHeight="1">
      <c r="A27" s="53" t="inlineStr">
        <is>
          <t>Preço</t>
        </is>
      </c>
      <c r="B27" s="54">
        <f>IFERROR(INDEX(Fornecedores!$N$7:$N$66,MATCH($B$7,Fornecedores!$A$7:$A$66,0)),"")</f>
        <v/>
      </c>
      <c r="D27" s="53" t="inlineStr">
        <is>
          <t>Atendimento</t>
        </is>
      </c>
      <c r="E27" s="54">
        <f>IFERROR(INDEX(Fornecedores!$O$7:$O$66,MATCH($B$7,Fornecedores!$A$7:$A$66,0)),"")</f>
        <v/>
      </c>
    </row>
    <row r="28" ht="23" customHeight="1">
      <c r="A28" s="53" t="inlineStr">
        <is>
          <t>Qualidade</t>
        </is>
      </c>
      <c r="B28" s="54">
        <f>IFERROR(INDEX(Fornecedores!$P$7:$P$66,MATCH($B$7,Fornecedores!$A$7:$A$66,0)),"")</f>
        <v/>
      </c>
      <c r="D28" s="53" t="inlineStr">
        <is>
          <t>Score geral</t>
        </is>
      </c>
      <c r="E28" s="54">
        <f>IFERROR(INDEX(Fornecedores!$W$7:$W$66,MATCH($B$7,Fornecedores!$A$7:$A$66,0)),"")</f>
        <v/>
      </c>
    </row>
    <row r="29" ht="23" customHeight="1">
      <c r="A29" s="53" t="inlineStr">
        <is>
          <t>Compras no período</t>
        </is>
      </c>
      <c r="B29" s="55">
        <f>IFERROR(INDEX(Fornecedores!$Q$7:$Q$66,MATCH($B$7,Fornecedores!$A$7:$A$66,0)),"")</f>
        <v/>
      </c>
      <c r="D29" s="53" t="inlineStr">
        <is>
          <t>% de compra</t>
        </is>
      </c>
      <c r="E29" s="56">
        <f>IFERROR(INDEX(Fornecedores!$R$7:$R$66,MATCH($B$7,Fornecedores!$A$7:$A$66,0)),"")</f>
        <v/>
      </c>
    </row>
    <row r="30" ht="23" customHeight="1">
      <c r="A30" s="53" t="inlineStr">
        <is>
          <t>Nº de compras</t>
        </is>
      </c>
      <c r="B30" s="57">
        <f>IFERROR(INDEX(Fornecedores!$S$7:$S$66,MATCH($B$7,Fornecedores!$A$7:$A$66,0)),"")</f>
        <v/>
      </c>
      <c r="D30" s="53" t="inlineStr">
        <is>
          <t>Ocorrências</t>
        </is>
      </c>
      <c r="E30" s="57">
        <f>IFERROR(INDEX(Fornecedores!$T$7:$T$66,MATCH($B$7,Fornecedores!$A$7:$A$66,0)),"")</f>
        <v/>
      </c>
    </row>
    <row r="31" ht="23" customHeight="1">
      <c r="A31" s="53" t="inlineStr">
        <is>
          <t>Índice de problemas</t>
        </is>
      </c>
      <c r="B31" s="56">
        <f>IFERROR(INDEX(Fornecedores!$U$7:$U$66,MATCH($B$7,Fornecedores!$A$7:$A$66,0)),"")</f>
        <v/>
      </c>
      <c r="D31" s="53" t="inlineStr">
        <is>
          <t>Entregas no prazo</t>
        </is>
      </c>
      <c r="E31" s="58">
        <f>IFERROR(INDEX(Fornecedores!$V$7:$V$66,MATCH($B$7,Fornecedores!$A$7:$A$66,0)),"")</f>
        <v/>
      </c>
    </row>
    <row r="32" ht="23" customHeight="1">
      <c r="A32" s="53" t="inlineStr">
        <is>
          <t>Última compra</t>
        </is>
      </c>
      <c r="B32" s="59">
        <f>IFERROR(INDEX(Fornecedores!$X$7:$X$66,MATCH($B$7,Fornecedores!$A$7:$A$66,0)),"")</f>
        <v/>
      </c>
    </row>
    <row r="34" ht="20" customHeight="1">
      <c r="A34" s="5" t="inlineStr">
        <is>
          <t xml:space="preserve">  PONTOS DE ATENÇÃO</t>
        </is>
      </c>
    </row>
    <row r="35" ht="20" customHeight="1">
      <c r="A35" s="60">
        <f>IFERROR(INDEX(Fornecedores!$Y$7:$Y$66,MATCH($B$7,Fornecedores!$A$7:$A$66,0)),"")</f>
        <v/>
      </c>
    </row>
    <row r="36" ht="20" customHeight="1"/>
    <row r="37" ht="20" customHeight="1"/>
    <row r="38" ht="20" customHeight="1"/>
    <row r="40">
      <c r="A40" s="61" t="inlineStr">
        <is>
          <t>Ficha gerada a partir do cadastro de fornecedores · os indicadores refletem o período definido na aba Listas.</t>
        </is>
      </c>
    </row>
  </sheetData>
  <mergeCells count="35">
    <mergeCell ref="B16:F16"/>
    <mergeCell ref="C7:F7"/>
    <mergeCell ref="B22:F22"/>
    <mergeCell ref="B31:C31"/>
    <mergeCell ref="A3:F3"/>
    <mergeCell ref="A26:F26"/>
    <mergeCell ref="B27:C27"/>
    <mergeCell ref="B18:F18"/>
    <mergeCell ref="B21:F21"/>
    <mergeCell ref="A2:F2"/>
    <mergeCell ref="B12:F12"/>
    <mergeCell ref="A35:F38"/>
    <mergeCell ref="E29:F29"/>
    <mergeCell ref="B11:F11"/>
    <mergeCell ref="E28:F28"/>
    <mergeCell ref="B23:F23"/>
    <mergeCell ref="A4:F4"/>
    <mergeCell ref="A20:F20"/>
    <mergeCell ref="B17:F17"/>
    <mergeCell ref="E31:F31"/>
    <mergeCell ref="B13:F13"/>
    <mergeCell ref="E30:F30"/>
    <mergeCell ref="B29:C29"/>
    <mergeCell ref="B10:F10"/>
    <mergeCell ref="A9:F9"/>
    <mergeCell ref="B28:C28"/>
    <mergeCell ref="E27:F27"/>
    <mergeCell ref="A34:F34"/>
    <mergeCell ref="A40:F40"/>
    <mergeCell ref="A15:F15"/>
    <mergeCell ref="B30:C30"/>
    <mergeCell ref="B24:F24"/>
    <mergeCell ref="A1:F1"/>
    <mergeCell ref="A6:F6"/>
    <mergeCell ref="B32:C32"/>
  </mergeCells>
  <dataValidations count="1">
    <dataValidation sqref="B7" showDropDown="0" showInputMessage="0" showErrorMessage="0" allowBlank="1" type="list">
      <formula1>=Fornecedores!$A$7:$A$66</formula1>
    </dataValidation>
  </dataValidations>
  <pageMargins left="0.45" right="0.35" top="0.4" bottom="0.35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6" customWidth="1" min="4" max="4"/>
    <col width="20" customWidth="1" min="5" max="5"/>
    <col width="30" customWidth="1" min="6" max="6"/>
    <col width="14" customWidth="1" min="7" max="7"/>
    <col width="12" customWidth="1" min="8" max="8"/>
    <col width="14" customWidth="1" min="9" max="9"/>
    <col width="30" customWidth="1" min="11" max="11"/>
    <col width="16" customWidth="1" min="12" max="12"/>
  </cols>
  <sheetData>
    <row r="1">
      <c r="A1" s="62" t="inlineStr">
        <is>
          <t>Segmento</t>
        </is>
      </c>
      <c r="B1" s="62" t="inlineStr">
        <is>
          <t>Método de pagamento</t>
        </is>
      </c>
      <c r="C1" s="62" t="inlineStr">
        <is>
          <t>Condição de pagamento</t>
        </is>
      </c>
      <c r="D1" s="62" t="inlineStr">
        <is>
          <t>Situação</t>
        </is>
      </c>
      <c r="E1" s="62" t="inlineStr">
        <is>
          <t>Tipo de chave PIX</t>
        </is>
      </c>
      <c r="F1" s="62" t="inlineStr">
        <is>
          <t>Tipo de ocorrência</t>
        </is>
      </c>
      <c r="G1" s="62" t="inlineStr">
        <is>
          <t>Gravidade</t>
        </is>
      </c>
      <c r="H1" s="62" t="inlineStr">
        <is>
          <t>Sim / Não</t>
        </is>
      </c>
      <c r="I1" s="62" t="inlineStr">
        <is>
          <t>Nota (1 a 5)</t>
        </is>
      </c>
      <c r="K1" s="62" t="inlineStr">
        <is>
          <t>Período de análise</t>
        </is>
      </c>
    </row>
    <row r="2">
      <c r="A2" s="63" t="inlineStr">
        <is>
          <t>Chapas e madeiras</t>
        </is>
      </c>
      <c r="B2" s="63" t="inlineStr">
        <is>
          <t>PIX</t>
        </is>
      </c>
      <c r="C2" s="63" t="inlineStr">
        <is>
          <t>À vista</t>
        </is>
      </c>
      <c r="D2" s="63" t="inlineStr">
        <is>
          <t>Ativo</t>
        </is>
      </c>
      <c r="E2" s="63" t="inlineStr">
        <is>
          <t>CNPJ</t>
        </is>
      </c>
      <c r="F2" s="63" t="inlineStr">
        <is>
          <t>Atraso na entrega</t>
        </is>
      </c>
      <c r="G2" s="63" t="inlineStr">
        <is>
          <t>Baixa</t>
        </is>
      </c>
      <c r="H2" s="63" t="inlineStr">
        <is>
          <t>Sim</t>
        </is>
      </c>
      <c r="I2" s="63" t="n">
        <v>1</v>
      </c>
      <c r="K2" s="64" t="inlineStr">
        <is>
          <t>Data inicial</t>
        </is>
      </c>
      <c r="L2" s="65">
        <f>DATE(YEAR(TODAY()),1,1)</f>
        <v/>
      </c>
    </row>
    <row r="3">
      <c r="A3" s="63" t="inlineStr">
        <is>
          <t>Ferragens e acessórios</t>
        </is>
      </c>
      <c r="B3" s="63" t="inlineStr">
        <is>
          <t>Boleto</t>
        </is>
      </c>
      <c r="C3" s="63" t="inlineStr">
        <is>
          <t>7 dias</t>
        </is>
      </c>
      <c r="D3" s="63" t="inlineStr">
        <is>
          <t>Em avaliação</t>
        </is>
      </c>
      <c r="E3" s="63" t="inlineStr">
        <is>
          <t>CPF</t>
        </is>
      </c>
      <c r="F3" s="63" t="inlineStr">
        <is>
          <t>Item errado</t>
        </is>
      </c>
      <c r="G3" s="63" t="inlineStr">
        <is>
          <t>Média</t>
        </is>
      </c>
      <c r="H3" s="63" t="inlineStr">
        <is>
          <t>Não</t>
        </is>
      </c>
      <c r="I3" s="63" t="n">
        <v>2</v>
      </c>
      <c r="K3" s="64" t="inlineStr">
        <is>
          <t>Data final</t>
        </is>
      </c>
      <c r="L3" s="65">
        <f>TODAY()</f>
        <v/>
      </c>
    </row>
    <row r="4">
      <c r="A4" s="63" t="inlineStr">
        <is>
          <t>Fitas de borda</t>
        </is>
      </c>
      <c r="B4" s="63" t="inlineStr">
        <is>
          <t>Cartão de crédito</t>
        </is>
      </c>
      <c r="C4" s="63" t="inlineStr">
        <is>
          <t>14 dias</t>
        </is>
      </c>
      <c r="D4" s="63" t="inlineStr">
        <is>
          <t>Preferencial</t>
        </is>
      </c>
      <c r="E4" s="63" t="inlineStr">
        <is>
          <t>Telefone</t>
        </is>
      </c>
      <c r="F4" s="63" t="inlineStr">
        <is>
          <t>Quantidade divergente</t>
        </is>
      </c>
      <c r="G4" s="63" t="inlineStr">
        <is>
          <t>Alta</t>
        </is>
      </c>
      <c r="I4" s="63" t="n">
        <v>3</v>
      </c>
    </row>
    <row r="5">
      <c r="A5" s="63" t="inlineStr">
        <is>
          <t>Colas e adesivos</t>
        </is>
      </c>
      <c r="B5" s="63" t="inlineStr">
        <is>
          <t>Transferência</t>
        </is>
      </c>
      <c r="C5" s="63" t="inlineStr">
        <is>
          <t>28 dias</t>
        </is>
      </c>
      <c r="D5" s="63" t="inlineStr">
        <is>
          <t>Restrito</t>
        </is>
      </c>
      <c r="E5" s="63" t="inlineStr">
        <is>
          <t>E-mail</t>
        </is>
      </c>
      <c r="F5" s="63" t="inlineStr">
        <is>
          <t>Avaria no transporte</t>
        </is>
      </c>
      <c r="I5" s="63" t="n">
        <v>4</v>
      </c>
      <c r="K5" s="66" t="inlineStr">
        <is>
          <t>Altere estas duas datas para recortar o período de todo o painel.</t>
        </is>
      </c>
    </row>
    <row r="6">
      <c r="A6" s="63" t="inlineStr">
        <is>
          <t>Iluminação</t>
        </is>
      </c>
      <c r="B6" s="63" t="inlineStr">
        <is>
          <t>Dinheiro</t>
        </is>
      </c>
      <c r="C6" s="63" t="inlineStr">
        <is>
          <t>30 dias</t>
        </is>
      </c>
      <c r="D6" s="63" t="inlineStr">
        <is>
          <t>Bloqueado</t>
        </is>
      </c>
      <c r="E6" s="63" t="inlineStr">
        <is>
          <t>Chave aleatória</t>
        </is>
      </c>
      <c r="F6" s="63" t="inlineStr">
        <is>
          <t>Qualidade abaixo do padrão</t>
        </is>
      </c>
      <c r="I6" s="63" t="n">
        <v>5</v>
      </c>
    </row>
    <row r="7">
      <c r="A7" s="63" t="inlineStr">
        <is>
          <t>Vidros e espelhos</t>
        </is>
      </c>
      <c r="B7" s="63" t="inlineStr">
        <is>
          <t>PIX ou boleto</t>
        </is>
      </c>
      <c r="C7" s="63" t="inlineStr">
        <is>
          <t>30/60</t>
        </is>
      </c>
      <c r="D7" s="63" t="inlineStr">
        <is>
          <t>Inativo</t>
        </is>
      </c>
      <c r="F7" s="63" t="inlineStr">
        <is>
          <t>Cobrança indevida</t>
        </is>
      </c>
      <c r="K7" s="67" t="inlineStr">
        <is>
          <t>Como o score é calculado</t>
        </is>
      </c>
    </row>
    <row r="8">
      <c r="A8" s="63" t="inlineStr">
        <is>
          <t>Pedras e superfícies</t>
        </is>
      </c>
      <c r="B8" s="63" t="inlineStr">
        <is>
          <t>Boleto ou cartão</t>
        </is>
      </c>
      <c r="C8" s="63" t="inlineStr">
        <is>
          <t>30/60/90</t>
        </is>
      </c>
      <c r="F8" s="63" t="inlineStr">
        <is>
          <t>Nota fiscal incorreta</t>
        </is>
      </c>
      <c r="K8" s="68" t="inlineStr">
        <is>
          <t>Score = (Preço × 35% + Atendimento × 35% + Qualidade × 30%) × (1 − índice de problemas)</t>
        </is>
      </c>
    </row>
    <row r="9">
      <c r="A9" s="63" t="inlineStr">
        <is>
          <t>Tintas e acabamentos</t>
        </is>
      </c>
      <c r="B9" s="63" t="inlineStr">
        <is>
          <t>Diversos</t>
        </is>
      </c>
      <c r="C9" s="63" t="inlineStr">
        <is>
          <t>Parcelado no cartão</t>
        </is>
      </c>
      <c r="F9" s="63" t="inlineStr">
        <is>
          <t>Falta de retorno do vendedor</t>
        </is>
      </c>
      <c r="K9" s="68" t="inlineStr">
        <is>
          <t>As três notas são de 1 a 5 e você atribui. O índice de problemas é medido, não opinado.</t>
        </is>
      </c>
    </row>
    <row r="10">
      <c r="A10" s="63" t="inlineStr">
        <is>
          <t>Ferramentas e consumíveis</t>
        </is>
      </c>
      <c r="C10" s="63" t="inlineStr">
        <is>
          <t>A combinar</t>
        </is>
      </c>
      <c r="F10" s="63" t="inlineStr">
        <is>
          <t>Outro</t>
        </is>
      </c>
      <c r="K10" s="68" t="inlineStr">
        <is>
          <t>Um fornecedor nota 5 em tudo com 20% de problemas cai para 4,00 — o histórico pesa.</t>
        </is>
      </c>
    </row>
    <row r="11">
      <c r="A11" s="63" t="inlineStr">
        <is>
          <t>Serviços terceirizados</t>
        </is>
      </c>
    </row>
    <row r="12">
      <c r="A12" s="63" t="inlineStr">
        <is>
          <t>Máquinas e equipamentos</t>
        </is>
      </c>
    </row>
    <row r="13">
      <c r="A13" s="63" t="inlineStr">
        <is>
          <t>Logística e transporte</t>
        </is>
      </c>
    </row>
    <row r="14">
      <c r="A14" s="63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2026-08-13T19:20:46Z</dcterms:created>
  <dcterms:modified xsi:type="dcterms:W3CDTF">2026-08-13T19:20:46Z</dcterms:modified>
</cp:coreProperties>
</file>