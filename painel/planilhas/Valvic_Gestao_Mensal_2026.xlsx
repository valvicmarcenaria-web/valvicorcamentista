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rojetos" sheetId="2" state="visible" r:id="rId2"/>
    <sheet name="Ambientes" sheetId="3" state="visible" r:id="rId3"/>
    <sheet name="Faturamento" sheetId="4" state="visible" r:id="rId4"/>
    <sheet name="Compras" sheetId="5" state="visible" r:id="rId5"/>
    <sheet name="Custo Fixo" sheetId="6" state="visible" r:id="rId6"/>
    <sheet name="Jan" sheetId="7" state="visible" r:id="rId7"/>
    <sheet name="Fev" sheetId="8" state="visible" r:id="rId8"/>
    <sheet name="Mar" sheetId="9" state="visible" r:id="rId9"/>
    <sheet name="Abr" sheetId="10" state="visible" r:id="rId10"/>
    <sheet name="Mai" sheetId="11" state="visible" r:id="rId11"/>
    <sheet name="Jun" sheetId="12" state="visible" r:id="rId12"/>
    <sheet name="Jul" sheetId="13" state="visible" r:id="rId13"/>
    <sheet name="Ago" sheetId="14" state="visible" r:id="rId14"/>
    <sheet name="Set" sheetId="15" state="visible" r:id="rId15"/>
    <sheet name="Out" sheetId="16" state="visible" r:id="rId16"/>
    <sheet name="Nov" sheetId="17" state="visible" r:id="rId17"/>
    <sheet name="Dez" sheetId="18" state="visible" r:id="rId18"/>
    <sheet name="Ano 2026" sheetId="19" state="visible" r:id="rId19"/>
    <sheet name="List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00D8BD80"/>
      <sz val="13"/>
    </font>
    <font>
      <name val="Calibri"/>
      <i val="1"/>
      <color rgb="0016314F"/>
      <sz val="9"/>
    </font>
    <font>
      <name val="Calibri"/>
      <b val="1"/>
      <color rgb="00D8BD80"/>
      <sz val="9"/>
    </font>
    <font>
      <name val="Calibri"/>
      <b val="1"/>
      <color rgb="000E2038"/>
      <sz val="10"/>
    </font>
    <font>
      <name val="Calibri"/>
      <color rgb="001B2733"/>
      <sz val="10"/>
    </font>
    <font>
      <name val="Calibri"/>
      <b val="1"/>
      <color rgb="00B0413F"/>
      <sz val="10"/>
    </font>
    <font>
      <name val="Calibri"/>
      <i val="1"/>
      <color rgb="006C7785"/>
      <sz val="10"/>
    </font>
    <font>
      <name val="Calibri"/>
      <b val="1"/>
      <color rgb="0016314F"/>
      <sz val="10"/>
    </font>
    <font>
      <name val="Calibri"/>
      <b val="1"/>
      <color rgb="00FFFFFF"/>
      <sz val="9"/>
    </font>
    <font>
      <name val="Calibri"/>
      <i val="1"/>
      <color rgb="0016314F"/>
      <sz val="10"/>
    </font>
    <font>
      <name val="Calibri"/>
      <b val="1"/>
      <color rgb="00D8BD80"/>
      <sz val="8"/>
    </font>
    <font>
      <name val="Calibri"/>
      <b val="1"/>
      <color rgb="00FFFFFF"/>
      <sz val="18"/>
    </font>
    <font>
      <name val="Calibri"/>
      <color rgb="00C6CFDA"/>
      <sz val="8"/>
    </font>
    <font>
      <name val="Calibri"/>
      <b val="1"/>
      <color rgb="000E2038"/>
      <sz val="9"/>
    </font>
    <font>
      <name val="Calibri"/>
      <i val="1"/>
      <color rgb="006C7785"/>
      <sz val="8"/>
    </font>
    <font>
      <name val="Calibri"/>
      <b val="1"/>
      <color rgb="006B4E8C"/>
      <sz val="13"/>
    </font>
    <font>
      <name val="Calibri"/>
      <color rgb="006C7785"/>
      <sz val="8"/>
    </font>
    <font>
      <name val="Calibri"/>
      <b val="1"/>
      <color rgb="002F5D8C"/>
      <sz val="13"/>
    </font>
    <font>
      <name val="Calibri"/>
      <b val="1"/>
      <color rgb="002F7D4F"/>
      <sz val="13"/>
    </font>
    <font>
      <name val="Calibri"/>
      <b val="1"/>
      <color rgb="00B0413F"/>
      <sz val="13"/>
    </font>
    <font>
      <name val="Calibri"/>
      <color rgb="0016314F"/>
      <sz val="10"/>
    </font>
    <font>
      <name val="Calibri"/>
      <b val="1"/>
      <color rgb="00D8BD80"/>
      <sz val="10"/>
    </font>
    <font>
      <name val="Calibri"/>
      <i val="1"/>
      <color rgb="002F5D8C"/>
      <sz val="10"/>
    </font>
    <font>
      <name val="Calibri"/>
      <i val="1"/>
      <color rgb="006C7785"/>
      <sz val="9"/>
    </font>
  </fonts>
  <fills count="15">
    <fill>
      <patternFill/>
    </fill>
    <fill>
      <patternFill patternType="gray125"/>
    </fill>
    <fill>
      <patternFill patternType="solid">
        <fgColor rgb="000E2038"/>
      </patternFill>
    </fill>
    <fill>
      <patternFill patternType="solid">
        <fgColor rgb="00F6EDD6"/>
      </patternFill>
    </fill>
    <fill>
      <patternFill patternType="solid">
        <fgColor rgb="00B0413F"/>
      </patternFill>
    </fill>
    <fill>
      <patternFill patternType="solid">
        <fgColor rgb="002F5D8C"/>
      </patternFill>
    </fill>
    <fill>
      <patternFill patternType="solid">
        <fgColor rgb="00FFFDF6"/>
      </patternFill>
    </fill>
    <fill>
      <patternFill patternType="solid">
        <fgColor rgb="00EAF1F8"/>
      </patternFill>
    </fill>
    <fill>
      <patternFill patternType="solid">
        <fgColor rgb="006B4E8C"/>
      </patternFill>
    </fill>
    <fill>
      <patternFill patternType="solid">
        <fgColor rgb="0016314F"/>
      </patternFill>
    </fill>
    <fill>
      <patternFill patternType="solid">
        <fgColor rgb="00FFFFFF"/>
      </patternFill>
    </fill>
    <fill>
      <patternFill patternType="solid">
        <fgColor rgb="00F7F9FB"/>
      </patternFill>
    </fill>
    <fill>
      <patternFill patternType="solid">
        <fgColor rgb="00EDF3F9"/>
      </patternFill>
    </fill>
    <fill>
      <patternFill patternType="solid">
        <fgColor rgb="00F7FAFD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6DBE2"/>
      </left>
      <right style="thin">
        <color rgb="00D6DBE2"/>
      </right>
      <top style="thin">
        <color rgb="00D6DBE2"/>
      </top>
      <bottom style="thin">
        <color rgb="00D6DBE2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164" fontId="5" fillId="6" borderId="1" pivotButton="0" quotePrefix="0" xfId="0"/>
    <xf numFmtId="164" fontId="10" fillId="7" borderId="1" pivotButton="0" quotePrefix="0" xfId="0"/>
    <xf numFmtId="0" fontId="10" fillId="7" borderId="1" pivotButton="0" quotePrefix="0" xfId="0"/>
    <xf numFmtId="0" fontId="8" fillId="7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4" fontId="12" fillId="8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/>
    </xf>
    <xf numFmtId="0" fontId="13" fillId="8" borderId="0" applyAlignment="1" pivotButton="0" quotePrefix="0" xfId="0">
      <alignment horizontal="center" vertical="top"/>
    </xf>
    <xf numFmtId="0" fontId="3" fillId="9" borderId="0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wrapText="1"/>
    </xf>
    <xf numFmtId="164" fontId="16" fillId="7" borderId="1" applyAlignment="1" pivotButton="0" quotePrefix="0" xfId="0">
      <alignment horizontal="center" vertical="center"/>
    </xf>
    <xf numFmtId="164" fontId="18" fillId="7" borderId="1" applyAlignment="1" pivotButton="0" quotePrefix="0" xfId="0">
      <alignment horizontal="center" vertical="center"/>
    </xf>
    <xf numFmtId="165" fontId="19" fillId="7" borderId="1" applyAlignment="1" pivotButton="0" quotePrefix="0" xfId="0">
      <alignment horizontal="center" vertical="center"/>
    </xf>
    <xf numFmtId="164" fontId="20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top" wrapText="1"/>
    </xf>
    <xf numFmtId="0" fontId="21" fillId="10" borderId="1" pivotButton="0" quotePrefix="0" xfId="0"/>
    <xf numFmtId="164" fontId="21" fillId="10" borderId="1" pivotButton="0" quotePrefix="0" xfId="0"/>
    <xf numFmtId="0" fontId="21" fillId="11" borderId="1" pivotButton="0" quotePrefix="0" xfId="0"/>
    <xf numFmtId="164" fontId="21" fillId="11" borderId="1" pivotButton="0" quotePrefix="0" xfId="0"/>
    <xf numFmtId="0" fontId="22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indent="1"/>
    </xf>
    <xf numFmtId="164" fontId="5" fillId="10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23" fillId="12" borderId="1" applyAlignment="1" pivotButton="0" quotePrefix="0" xfId="0">
      <alignment vertical="center" indent="1"/>
    </xf>
    <xf numFmtId="164" fontId="23" fillId="13" borderId="1" applyAlignment="1" pivotButton="0" quotePrefix="0" xfId="0">
      <alignment horizontal="right"/>
    </xf>
    <xf numFmtId="165" fontId="23" fillId="1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2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5" fillId="14" borderId="1" pivotButton="0" quotePrefix="0" xfId="0"/>
    <xf numFmtId="0" fontId="5" fillId="10" borderId="1" pivotButton="0" quotePrefix="0" xfId="0"/>
  </cellXfs>
  <cellStyles count="1">
    <cellStyle name="Normal" xfId="0" builtinId="0" hidden="0"/>
  </cellStyles>
  <dxfs count="1">
    <dxf>
      <font>
        <b val="1"/>
        <color rgb="00B0413F"/>
      </font>
      <fill>
        <patternFill patternType="solid">
          <fgColor rgb="00FBE3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A05A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32" customWidth="1" min="4" max="4"/>
    <col width="20" customWidth="1" min="5" max="5"/>
    <col width="20" customWidth="1" min="6" max="6"/>
  </cols>
  <sheetData>
    <row r="1" ht="26" customHeight="1">
      <c r="A1" s="1" t="inlineStr">
        <is>
          <t>VALVIC MARCENARIA   ·   GESTÃO MENSAL 2026 — COMO USAR</t>
        </is>
      </c>
    </row>
    <row r="2" ht="18" customHeight="1">
      <c r="A2" s="2" t="inlineStr">
        <is>
          <t>Leia uma vez. As definições daqui é que impedem o número de mudar conforme quem preenche.</t>
        </is>
      </c>
    </row>
    <row r="4" ht="20" customHeight="1">
      <c r="B4" s="3" t="inlineStr">
        <is>
          <t>O QUE ESTA PLANILHA RESPONDE</t>
        </is>
      </c>
    </row>
    <row r="5" ht="30" customHeight="1">
      <c r="B5" s="4" t="inlineStr">
        <is>
          <t>A pergunta do Walton</t>
        </is>
      </c>
      <c r="C5" s="5" t="inlineStr">
        <is>
          <t>O que aconteceu na empresa em cada mês, em regime de competência: quanto se vendeu, quanto de material virou móvel, quanto se fabricou, quanto se instalou e quanto se faturou.</t>
        </is>
      </c>
    </row>
    <row r="6" ht="40" customHeight="1">
      <c r="B6" s="6" t="inlineStr">
        <is>
          <t>O que ela NÃO responde</t>
        </is>
      </c>
      <c r="C6" s="5" t="inlineStr">
        <is>
          <t>Se o dinheiro entrou na conta. Isto é competência, não caixa — o mesmo mês dá números bem diferentes pelos dois critérios. As colunas de recebimento e de parcelas já existem para o dia em que o Walton pedir a visão de caixa.</t>
        </is>
      </c>
    </row>
    <row r="8" ht="20" customHeight="1">
      <c r="B8" s="3" t="inlineStr">
        <is>
          <t>AS DEFINIÇÕES — QUANDO CADA COISA CONTA</t>
        </is>
      </c>
    </row>
    <row r="9" ht="28" customHeight="1">
      <c r="B9" s="4" t="inlineStr">
        <is>
          <t>R$ vendido</t>
        </is>
      </c>
      <c r="C9" s="5" t="inlineStr">
        <is>
          <t>No mês da assinatura do contrato. Vale pelo projeto inteiro.</t>
        </is>
      </c>
      <c r="D9" s="7" t="inlineStr">
        <is>
          <t>aba Projetos</t>
        </is>
      </c>
    </row>
    <row r="10" ht="28" customHeight="1">
      <c r="B10" s="4" t="inlineStr">
        <is>
          <t>Material comprado</t>
        </is>
      </c>
      <c r="C10" s="5" t="inlineStr">
        <is>
          <t>No mês da compra, pelo valor cheio — parcelamento não divide o valor, porque parcela é caixa e não competência.</t>
        </is>
      </c>
      <c r="D10" s="7" t="inlineStr">
        <is>
          <t>aba Compras</t>
        </is>
      </c>
    </row>
    <row r="11" ht="28" customHeight="1">
      <c r="B11" s="4" t="inlineStr">
        <is>
          <t>R$ fabricado</t>
        </is>
      </c>
      <c r="C11" s="5" t="inlineStr">
        <is>
          <t>No mês em que o ambiente é liberado no portão da fábrica, conferido (POP-01). Ambiente que atravessa o mês conta inteiro no mês em que ficou pronto.</t>
        </is>
      </c>
      <c r="D11" s="7" t="inlineStr">
        <is>
          <t>aba Ambientes</t>
        </is>
      </c>
    </row>
    <row r="12" ht="28" customHeight="1">
      <c r="B12" s="4" t="inlineStr">
        <is>
          <t>Material aplicado</t>
        </is>
      </c>
      <c r="C12" s="5" t="inlineStr">
        <is>
          <t>Junto com o R$ fabricado: o material de um ambiente conta no mês em que aquele ambiente ficou pronto.</t>
        </is>
      </c>
      <c r="D12" s="7" t="inlineStr">
        <is>
          <t>calculado</t>
        </is>
      </c>
    </row>
    <row r="13" ht="28" customHeight="1">
      <c r="B13" s="4" t="inlineStr">
        <is>
          <t>R$ instalado</t>
        </is>
      </c>
      <c r="C13" s="5" t="inlineStr">
        <is>
          <t>No mês em que o ambiente é montado e aceito pelo cliente.</t>
        </is>
      </c>
      <c r="D13" s="7" t="inlineStr">
        <is>
          <t>aba Ambientes</t>
        </is>
      </c>
    </row>
    <row r="14" ht="28" customHeight="1">
      <c r="B14" s="4" t="inlineStr">
        <is>
          <t>R$ faturado</t>
        </is>
      </c>
      <c r="C14" s="5" t="inlineStr">
        <is>
          <t>No mês da emissão da nota. Segue o contrato, não a entrega.</t>
        </is>
      </c>
      <c r="D14" s="7" t="inlineStr">
        <is>
          <t>aba Faturamento</t>
        </is>
      </c>
    </row>
    <row r="15" ht="28" customHeight="1">
      <c r="B15" s="4" t="inlineStr">
        <is>
          <t>Custo fixo</t>
        </is>
      </c>
      <c r="C15" s="5" t="inlineStr">
        <is>
          <t>Na competência do mês: folha, estrutura e frota.</t>
        </is>
      </c>
      <c r="D15" s="7" t="inlineStr">
        <is>
          <t>aba Custo Fixo</t>
        </is>
      </c>
    </row>
    <row r="17" ht="20" customHeight="1">
      <c r="B17" s="3" t="inlineStr">
        <is>
          <t>COMO SE PREENCHE</t>
        </is>
      </c>
    </row>
    <row r="18" ht="30" customHeight="1">
      <c r="B18" s="8" t="inlineStr">
        <is>
          <t>Passo 1</t>
        </is>
      </c>
      <c r="C18" s="5" t="inlineStr">
        <is>
          <t>Cadastre o contrato em Projetos: nome, valor e o mês da venda.</t>
        </is>
      </c>
    </row>
    <row r="19" ht="30" customHeight="1">
      <c r="B19" s="8" t="inlineStr">
        <is>
          <t>Passo 2</t>
        </is>
      </c>
      <c r="C19" s="5" t="inlineStr">
        <is>
          <t>Quebre o projeto em ambientes na aba Ambientes, com o valor de cada um. A soma tem de fechar com o contrato — a coluna Confere avisa quando não fecha.</t>
        </is>
      </c>
    </row>
    <row r="20" ht="30" customHeight="1">
      <c r="B20" s="8" t="inlineStr">
        <is>
          <t>Passo 3</t>
        </is>
      </c>
      <c r="C20" s="5" t="inlineStr">
        <is>
          <t>Conforme a obra anda, marque o Mês fabricado e o Mês instalado de cada ambiente. É só isso que move o R$ fabricado, o R$ instalado e o material aplicado.</t>
        </is>
      </c>
    </row>
    <row r="21" ht="30" customHeight="1">
      <c r="B21" s="8" t="inlineStr">
        <is>
          <t>Passo 4</t>
        </is>
      </c>
      <c r="C21" s="5" t="inlineStr">
        <is>
          <t>Lance as compras em Compras, uma linha por nota, com o projeto. Compra que não é de projeto nenhum (fita, cola, parafuso, ferramenta) fica com o projeto em branco e vira material de uso geral.</t>
        </is>
      </c>
    </row>
    <row r="22" ht="30" customHeight="1">
      <c r="B22" s="8" t="inlineStr">
        <is>
          <t>Passo 5</t>
        </is>
      </c>
      <c r="C22" s="5" t="inlineStr">
        <is>
          <t>Lance as notas em Faturamento e o custo fixo do mês em Custo Fixo.</t>
        </is>
      </c>
    </row>
    <row r="23" ht="30" customHeight="1">
      <c r="B23" s="8" t="inlineStr">
        <is>
          <t>Passo 6</t>
        </is>
      </c>
      <c r="C23" s="5" t="inlineStr">
        <is>
          <t>As lâminas de Jan a Dez e a de Ano 2026 se calculam sozinhas. Não digite nada nelas.</t>
        </is>
      </c>
    </row>
    <row r="25" ht="20" customHeight="1">
      <c r="B25" s="9" t="inlineStr">
        <is>
          <t>O QUE CUIDAR</t>
        </is>
      </c>
    </row>
    <row r="26" ht="32" customHeight="1">
      <c r="C26" s="5" t="inlineStr">
        <is>
          <t>•  Fundo creme é onde se digita. Fundo azul-claro é calculado — não digite por cima, a fórmula se perde.</t>
        </is>
      </c>
    </row>
    <row r="27" ht="32" customHeight="1">
      <c r="C27" s="5" t="inlineStr">
        <is>
          <t>•  O nome do projeto tem de ser escrito igual nas quatro abas. Se sair diferente, a coluna Aviso em Ambientes acende e a soma do projeto não fecha.</t>
        </is>
      </c>
    </row>
    <row r="28" ht="32" customHeight="1">
      <c r="C28" s="5" t="inlineStr">
        <is>
          <t>•  O rateio do material por valor é aproximação: cozinha consome mais material por real que um home. No total do mês se compensa. Quando você souber o material real de um ambiente, informe na coluna Material apurado — o rateio passa a se aplicar só ao que sobrou.</t>
        </is>
      </c>
    </row>
    <row r="29" ht="32" customHeight="1">
      <c r="C29" s="5" t="inlineStr">
        <is>
          <t>•  Ambiente grande demais para caber num mês se quebra em dois ambientes. Não lance percentual: seria trazer de volta a estimativa que o lançamento por ambiente veio resolver.</t>
        </is>
      </c>
    </row>
    <row r="30" ht="32" customHeight="1">
      <c r="C30" s="5" t="inlineStr">
        <is>
          <t>•  Quem informa que o ambiente ficou pronto e que foi aceito precisa ter nome. Sem dono, a planilha desatualiza em três semanas e vira ficção.</t>
        </is>
      </c>
    </row>
  </sheetData>
  <mergeCells count="6">
    <mergeCell ref="B4:F4"/>
    <mergeCell ref="A2:F2"/>
    <mergeCell ref="A1:F1"/>
    <mergeCell ref="B25:F25"/>
    <mergeCell ref="B8:F8"/>
    <mergeCell ref="B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8" customWidth="1" min="4" max="4"/>
    <col width="15" customWidth="1" min="5" max="5"/>
    <col width="16" customWidth="1" min="6" max="6"/>
    <col width="22" customWidth="1" min="7" max="7"/>
    <col hidden="1" width="8" customWidth="1" min="8" max="8"/>
  </cols>
  <sheetData>
    <row r="1" ht="26" customHeight="1">
      <c r="A1" s="1" t="inlineStr">
        <is>
          <t>VALVIC MARCENARIA   ·   PROJETOS — um contrato por linha</t>
        </is>
      </c>
    </row>
    <row r="2" ht="18" customHeight="1">
      <c r="A2" s="2" t="inlineStr">
        <is>
          <t>Só o que identifica e o valor. O detalhe vai para a aba Ambientes.</t>
        </is>
      </c>
    </row>
    <row r="3" ht="30" customHeight="1">
      <c r="A3" s="10" t="inlineStr">
        <is>
          <t>Projeto</t>
        </is>
      </c>
      <c r="B3" s="10" t="inlineStr">
        <is>
          <t>Valor do contrato</t>
        </is>
      </c>
      <c r="C3" s="10" t="inlineStr">
        <is>
          <t>Mês da venda</t>
        </is>
      </c>
      <c r="D3" s="10" t="inlineStr">
        <is>
          <t>Origem / vendedor</t>
        </is>
      </c>
      <c r="E3" s="10" t="inlineStr">
        <is>
          <t>Status</t>
        </is>
      </c>
      <c r="F3" s="11" t="inlineStr">
        <is>
          <t>Σ ambientes</t>
        </is>
      </c>
      <c r="G3" s="11" t="inlineStr">
        <is>
          <t>Confere?</t>
        </is>
      </c>
      <c r="H3" s="11" t="inlineStr">
        <is>
          <t>nº mês</t>
        </is>
      </c>
    </row>
    <row r="4">
      <c r="A4" s="12" t="n"/>
      <c r="B4" s="13" t="n"/>
      <c r="C4" s="12" t="n"/>
      <c r="D4" s="12" t="n"/>
      <c r="E4" s="12" t="n"/>
      <c r="F4" s="14">
        <f>IF($A4="","",SUMIF(Ambientes!$A:$A,$A4,Ambientes!$C:$C))</f>
        <v/>
      </c>
      <c r="G4" s="15">
        <f>IF($A4="","",IF($B4="","informe o valor do contrato",IF(ABS($B4-$F4)&lt;1,"OK","difere em "&amp;TEXT($B4-$F4,"R$ #,##0"))))</f>
        <v/>
      </c>
      <c r="H4" s="15">
        <f>IF($C4="","",IFERROR(MATCH($C4,Listas!$A$4:$A$15,0),""))</f>
        <v/>
      </c>
    </row>
    <row r="5">
      <c r="A5" s="12" t="n"/>
      <c r="B5" s="13" t="n"/>
      <c r="C5" s="12" t="n"/>
      <c r="D5" s="12" t="n"/>
      <c r="E5" s="12" t="n"/>
      <c r="F5" s="14">
        <f>IF($A5="","",SUMIF(Ambientes!$A:$A,$A5,Ambientes!$C:$C))</f>
        <v/>
      </c>
      <c r="G5" s="15">
        <f>IF($A5="","",IF($B5="","informe o valor do contrato",IF(ABS($B5-$F5)&lt;1,"OK","difere em "&amp;TEXT($B5-$F5,"R$ #,##0"))))</f>
        <v/>
      </c>
      <c r="H5" s="15">
        <f>IF($C5="","",IFERROR(MATCH($C5,Listas!$A$4:$A$15,0),""))</f>
        <v/>
      </c>
    </row>
    <row r="6">
      <c r="A6" s="12" t="n"/>
      <c r="B6" s="13" t="n"/>
      <c r="C6" s="12" t="n"/>
      <c r="D6" s="12" t="n"/>
      <c r="E6" s="12" t="n"/>
      <c r="F6" s="14">
        <f>IF($A6="","",SUMIF(Ambientes!$A:$A,$A6,Ambientes!$C:$C))</f>
        <v/>
      </c>
      <c r="G6" s="15">
        <f>IF($A6="","",IF($B6="","informe o valor do contrato",IF(ABS($B6-$F6)&lt;1,"OK","difere em "&amp;TEXT($B6-$F6,"R$ #,##0"))))</f>
        <v/>
      </c>
      <c r="H6" s="15">
        <f>IF($C6="","",IFERROR(MATCH($C6,Listas!$A$4:$A$15,0),""))</f>
        <v/>
      </c>
    </row>
    <row r="7">
      <c r="A7" s="12" t="n"/>
      <c r="B7" s="13" t="n"/>
      <c r="C7" s="12" t="n"/>
      <c r="D7" s="12" t="n"/>
      <c r="E7" s="12" t="n"/>
      <c r="F7" s="14">
        <f>IF($A7="","",SUMIF(Ambientes!$A:$A,$A7,Ambientes!$C:$C))</f>
        <v/>
      </c>
      <c r="G7" s="15">
        <f>IF($A7="","",IF($B7="","informe o valor do contrato",IF(ABS($B7-$F7)&lt;1,"OK","difere em "&amp;TEXT($B7-$F7,"R$ #,##0"))))</f>
        <v/>
      </c>
      <c r="H7" s="15">
        <f>IF($C7="","",IFERROR(MATCH($C7,Listas!$A$4:$A$15,0),""))</f>
        <v/>
      </c>
    </row>
    <row r="8">
      <c r="A8" s="12" t="n"/>
      <c r="B8" s="13" t="n"/>
      <c r="C8" s="12" t="n"/>
      <c r="D8" s="12" t="n"/>
      <c r="E8" s="12" t="n"/>
      <c r="F8" s="14">
        <f>IF($A8="","",SUMIF(Ambientes!$A:$A,$A8,Ambientes!$C:$C))</f>
        <v/>
      </c>
      <c r="G8" s="15">
        <f>IF($A8="","",IF($B8="","informe o valor do contrato",IF(ABS($B8-$F8)&lt;1,"OK","difere em "&amp;TEXT($B8-$F8,"R$ #,##0"))))</f>
        <v/>
      </c>
      <c r="H8" s="15">
        <f>IF($C8="","",IFERROR(MATCH($C8,Listas!$A$4:$A$15,0),""))</f>
        <v/>
      </c>
    </row>
    <row r="9">
      <c r="A9" s="12" t="n"/>
      <c r="B9" s="13" t="n"/>
      <c r="C9" s="12" t="n"/>
      <c r="D9" s="12" t="n"/>
      <c r="E9" s="12" t="n"/>
      <c r="F9" s="14">
        <f>IF($A9="","",SUMIF(Ambientes!$A:$A,$A9,Ambientes!$C:$C))</f>
        <v/>
      </c>
      <c r="G9" s="15">
        <f>IF($A9="","",IF($B9="","informe o valor do contrato",IF(ABS($B9-$F9)&lt;1,"OK","difere em "&amp;TEXT($B9-$F9,"R$ #,##0"))))</f>
        <v/>
      </c>
      <c r="H9" s="15">
        <f>IF($C9="","",IFERROR(MATCH($C9,Listas!$A$4:$A$15,0),""))</f>
        <v/>
      </c>
    </row>
    <row r="10">
      <c r="A10" s="12" t="n"/>
      <c r="B10" s="13" t="n"/>
      <c r="C10" s="12" t="n"/>
      <c r="D10" s="12" t="n"/>
      <c r="E10" s="12" t="n"/>
      <c r="F10" s="14">
        <f>IF($A10="","",SUMIF(Ambientes!$A:$A,$A10,Ambientes!$C:$C))</f>
        <v/>
      </c>
      <c r="G10" s="15">
        <f>IF($A10="","",IF($B10="","informe o valor do contrato",IF(ABS($B10-$F10)&lt;1,"OK","difere em "&amp;TEXT($B10-$F10,"R$ #,##0"))))</f>
        <v/>
      </c>
      <c r="H10" s="15">
        <f>IF($C10="","",IFERROR(MATCH($C10,Listas!$A$4:$A$15,0),""))</f>
        <v/>
      </c>
    </row>
    <row r="11">
      <c r="A11" s="12" t="n"/>
      <c r="B11" s="13" t="n"/>
      <c r="C11" s="12" t="n"/>
      <c r="D11" s="12" t="n"/>
      <c r="E11" s="12" t="n"/>
      <c r="F11" s="14">
        <f>IF($A11="","",SUMIF(Ambientes!$A:$A,$A11,Ambientes!$C:$C))</f>
        <v/>
      </c>
      <c r="G11" s="15">
        <f>IF($A11="","",IF($B11="","informe o valor do contrato",IF(ABS($B11-$F11)&lt;1,"OK","difere em "&amp;TEXT($B11-$F11,"R$ #,##0"))))</f>
        <v/>
      </c>
      <c r="H11" s="15">
        <f>IF($C11="","",IFERROR(MATCH($C11,Listas!$A$4:$A$15,0),""))</f>
        <v/>
      </c>
    </row>
    <row r="12">
      <c r="A12" s="12" t="n"/>
      <c r="B12" s="13" t="n"/>
      <c r="C12" s="12" t="n"/>
      <c r="D12" s="12" t="n"/>
      <c r="E12" s="12" t="n"/>
      <c r="F12" s="14">
        <f>IF($A12="","",SUMIF(Ambientes!$A:$A,$A12,Ambientes!$C:$C))</f>
        <v/>
      </c>
      <c r="G12" s="15">
        <f>IF($A12="","",IF($B12="","informe o valor do contrato",IF(ABS($B12-$F12)&lt;1,"OK","difere em "&amp;TEXT($B12-$F12,"R$ #,##0"))))</f>
        <v/>
      </c>
      <c r="H12" s="15">
        <f>IF($C12="","",IFERROR(MATCH($C12,Listas!$A$4:$A$15,0),""))</f>
        <v/>
      </c>
    </row>
    <row r="13">
      <c r="A13" s="12" t="n"/>
      <c r="B13" s="13" t="n"/>
      <c r="C13" s="12" t="n"/>
      <c r="D13" s="12" t="n"/>
      <c r="E13" s="12" t="n"/>
      <c r="F13" s="14">
        <f>IF($A13="","",SUMIF(Ambientes!$A:$A,$A13,Ambientes!$C:$C))</f>
        <v/>
      </c>
      <c r="G13" s="15">
        <f>IF($A13="","",IF($B13="","informe o valor do contrato",IF(ABS($B13-$F13)&lt;1,"OK","difere em "&amp;TEXT($B13-$F13,"R$ #,##0"))))</f>
        <v/>
      </c>
      <c r="H13" s="15">
        <f>IF($C13="","",IFERROR(MATCH($C13,Listas!$A$4:$A$15,0),""))</f>
        <v/>
      </c>
    </row>
    <row r="14">
      <c r="A14" s="12" t="n"/>
      <c r="B14" s="13" t="n"/>
      <c r="C14" s="12" t="n"/>
      <c r="D14" s="12" t="n"/>
      <c r="E14" s="12" t="n"/>
      <c r="F14" s="14">
        <f>IF($A14="","",SUMIF(Ambientes!$A:$A,$A14,Ambientes!$C:$C))</f>
        <v/>
      </c>
      <c r="G14" s="15">
        <f>IF($A14="","",IF($B14="","informe o valor do contrato",IF(ABS($B14-$F14)&lt;1,"OK","difere em "&amp;TEXT($B14-$F14,"R$ #,##0"))))</f>
        <v/>
      </c>
      <c r="H14" s="15">
        <f>IF($C14="","",IFERROR(MATCH($C14,Listas!$A$4:$A$15,0),""))</f>
        <v/>
      </c>
    </row>
    <row r="15">
      <c r="A15" s="12" t="n"/>
      <c r="B15" s="13" t="n"/>
      <c r="C15" s="12" t="n"/>
      <c r="D15" s="12" t="n"/>
      <c r="E15" s="12" t="n"/>
      <c r="F15" s="14">
        <f>IF($A15="","",SUMIF(Ambientes!$A:$A,$A15,Ambientes!$C:$C))</f>
        <v/>
      </c>
      <c r="G15" s="15">
        <f>IF($A15="","",IF($B15="","informe o valor do contrato",IF(ABS($B15-$F15)&lt;1,"OK","difere em "&amp;TEXT($B15-$F15,"R$ #,##0"))))</f>
        <v/>
      </c>
      <c r="H15" s="15">
        <f>IF($C15="","",IFERROR(MATCH($C15,Listas!$A$4:$A$15,0),""))</f>
        <v/>
      </c>
    </row>
    <row r="16">
      <c r="A16" s="12" t="n"/>
      <c r="B16" s="13" t="n"/>
      <c r="C16" s="12" t="n"/>
      <c r="D16" s="12" t="n"/>
      <c r="E16" s="12" t="n"/>
      <c r="F16" s="14">
        <f>IF($A16="","",SUMIF(Ambientes!$A:$A,$A16,Ambientes!$C:$C))</f>
        <v/>
      </c>
      <c r="G16" s="15">
        <f>IF($A16="","",IF($B16="","informe o valor do contrato",IF(ABS($B16-$F16)&lt;1,"OK","difere em "&amp;TEXT($B16-$F16,"R$ #,##0"))))</f>
        <v/>
      </c>
      <c r="H16" s="15">
        <f>IF($C16="","",IFERROR(MATCH($C16,Listas!$A$4:$A$15,0),""))</f>
        <v/>
      </c>
    </row>
    <row r="17">
      <c r="A17" s="12" t="n"/>
      <c r="B17" s="13" t="n"/>
      <c r="C17" s="12" t="n"/>
      <c r="D17" s="12" t="n"/>
      <c r="E17" s="12" t="n"/>
      <c r="F17" s="14">
        <f>IF($A17="","",SUMIF(Ambientes!$A:$A,$A17,Ambientes!$C:$C))</f>
        <v/>
      </c>
      <c r="G17" s="15">
        <f>IF($A17="","",IF($B17="","informe o valor do contrato",IF(ABS($B17-$F17)&lt;1,"OK","difere em "&amp;TEXT($B17-$F17,"R$ #,##0"))))</f>
        <v/>
      </c>
      <c r="H17" s="15">
        <f>IF($C17="","",IFERROR(MATCH($C17,Listas!$A$4:$A$15,0),""))</f>
        <v/>
      </c>
    </row>
    <row r="18">
      <c r="A18" s="12" t="n"/>
      <c r="B18" s="13" t="n"/>
      <c r="C18" s="12" t="n"/>
      <c r="D18" s="12" t="n"/>
      <c r="E18" s="12" t="n"/>
      <c r="F18" s="14">
        <f>IF($A18="","",SUMIF(Ambientes!$A:$A,$A18,Ambientes!$C:$C))</f>
        <v/>
      </c>
      <c r="G18" s="15">
        <f>IF($A18="","",IF($B18="","informe o valor do contrato",IF(ABS($B18-$F18)&lt;1,"OK","difere em "&amp;TEXT($B18-$F18,"R$ #,##0"))))</f>
        <v/>
      </c>
      <c r="H18" s="15">
        <f>IF($C18="","",IFERROR(MATCH($C18,Listas!$A$4:$A$15,0),""))</f>
        <v/>
      </c>
    </row>
    <row r="19">
      <c r="A19" s="12" t="n"/>
      <c r="B19" s="13" t="n"/>
      <c r="C19" s="12" t="n"/>
      <c r="D19" s="12" t="n"/>
      <c r="E19" s="12" t="n"/>
      <c r="F19" s="14">
        <f>IF($A19="","",SUMIF(Ambientes!$A:$A,$A19,Ambientes!$C:$C))</f>
        <v/>
      </c>
      <c r="G19" s="15">
        <f>IF($A19="","",IF($B19="","informe o valor do contrato",IF(ABS($B19-$F19)&lt;1,"OK","difere em "&amp;TEXT($B19-$F19,"R$ #,##0"))))</f>
        <v/>
      </c>
      <c r="H19" s="15">
        <f>IF($C19="","",IFERROR(MATCH($C19,Listas!$A$4:$A$15,0),""))</f>
        <v/>
      </c>
    </row>
    <row r="20">
      <c r="A20" s="12" t="n"/>
      <c r="B20" s="13" t="n"/>
      <c r="C20" s="12" t="n"/>
      <c r="D20" s="12" t="n"/>
      <c r="E20" s="12" t="n"/>
      <c r="F20" s="14">
        <f>IF($A20="","",SUMIF(Ambientes!$A:$A,$A20,Ambientes!$C:$C))</f>
        <v/>
      </c>
      <c r="G20" s="15">
        <f>IF($A20="","",IF($B20="","informe o valor do contrato",IF(ABS($B20-$F20)&lt;1,"OK","difere em "&amp;TEXT($B20-$F20,"R$ #,##0"))))</f>
        <v/>
      </c>
      <c r="H20" s="15">
        <f>IF($C20="","",IFERROR(MATCH($C20,Listas!$A$4:$A$15,0),""))</f>
        <v/>
      </c>
    </row>
    <row r="21">
      <c r="A21" s="12" t="n"/>
      <c r="B21" s="13" t="n"/>
      <c r="C21" s="12" t="n"/>
      <c r="D21" s="12" t="n"/>
      <c r="E21" s="12" t="n"/>
      <c r="F21" s="14">
        <f>IF($A21="","",SUMIF(Ambientes!$A:$A,$A21,Ambientes!$C:$C))</f>
        <v/>
      </c>
      <c r="G21" s="15">
        <f>IF($A21="","",IF($B21="","informe o valor do contrato",IF(ABS($B21-$F21)&lt;1,"OK","difere em "&amp;TEXT($B21-$F21,"R$ #,##0"))))</f>
        <v/>
      </c>
      <c r="H21" s="15">
        <f>IF($C21="","",IFERROR(MATCH($C21,Listas!$A$4:$A$15,0),""))</f>
        <v/>
      </c>
    </row>
    <row r="22">
      <c r="A22" s="12" t="n"/>
      <c r="B22" s="13" t="n"/>
      <c r="C22" s="12" t="n"/>
      <c r="D22" s="12" t="n"/>
      <c r="E22" s="12" t="n"/>
      <c r="F22" s="14">
        <f>IF($A22="","",SUMIF(Ambientes!$A:$A,$A22,Ambientes!$C:$C))</f>
        <v/>
      </c>
      <c r="G22" s="15">
        <f>IF($A22="","",IF($B22="","informe o valor do contrato",IF(ABS($B22-$F22)&lt;1,"OK","difere em "&amp;TEXT($B22-$F22,"R$ #,##0"))))</f>
        <v/>
      </c>
      <c r="H22" s="15">
        <f>IF($C22="","",IFERROR(MATCH($C22,Listas!$A$4:$A$15,0),""))</f>
        <v/>
      </c>
    </row>
    <row r="23">
      <c r="A23" s="12" t="n"/>
      <c r="B23" s="13" t="n"/>
      <c r="C23" s="12" t="n"/>
      <c r="D23" s="12" t="n"/>
      <c r="E23" s="12" t="n"/>
      <c r="F23" s="14">
        <f>IF($A23="","",SUMIF(Ambientes!$A:$A,$A23,Ambientes!$C:$C))</f>
        <v/>
      </c>
      <c r="G23" s="15">
        <f>IF($A23="","",IF($B23="","informe o valor do contrato",IF(ABS($B23-$F23)&lt;1,"OK","difere em "&amp;TEXT($B23-$F23,"R$ #,##0"))))</f>
        <v/>
      </c>
      <c r="H23" s="15">
        <f>IF($C23="","",IFERROR(MATCH($C23,Listas!$A$4:$A$15,0),""))</f>
        <v/>
      </c>
    </row>
    <row r="24">
      <c r="A24" s="12" t="n"/>
      <c r="B24" s="13" t="n"/>
      <c r="C24" s="12" t="n"/>
      <c r="D24" s="12" t="n"/>
      <c r="E24" s="12" t="n"/>
      <c r="F24" s="14">
        <f>IF($A24="","",SUMIF(Ambientes!$A:$A,$A24,Ambientes!$C:$C))</f>
        <v/>
      </c>
      <c r="G24" s="15">
        <f>IF($A24="","",IF($B24="","informe o valor do contrato",IF(ABS($B24-$F24)&lt;1,"OK","difere em "&amp;TEXT($B24-$F24,"R$ #,##0"))))</f>
        <v/>
      </c>
      <c r="H24" s="15">
        <f>IF($C24="","",IFERROR(MATCH($C24,Listas!$A$4:$A$15,0),""))</f>
        <v/>
      </c>
    </row>
    <row r="25">
      <c r="A25" s="12" t="n"/>
      <c r="B25" s="13" t="n"/>
      <c r="C25" s="12" t="n"/>
      <c r="D25" s="12" t="n"/>
      <c r="E25" s="12" t="n"/>
      <c r="F25" s="14">
        <f>IF($A25="","",SUMIF(Ambientes!$A:$A,$A25,Ambientes!$C:$C))</f>
        <v/>
      </c>
      <c r="G25" s="15">
        <f>IF($A25="","",IF($B25="","informe o valor do contrato",IF(ABS($B25-$F25)&lt;1,"OK","difere em "&amp;TEXT($B25-$F25,"R$ #,##0"))))</f>
        <v/>
      </c>
      <c r="H25" s="15">
        <f>IF($C25="","",IFERROR(MATCH($C25,Listas!$A$4:$A$15,0),""))</f>
        <v/>
      </c>
    </row>
    <row r="26">
      <c r="A26" s="12" t="n"/>
      <c r="B26" s="13" t="n"/>
      <c r="C26" s="12" t="n"/>
      <c r="D26" s="12" t="n"/>
      <c r="E26" s="12" t="n"/>
      <c r="F26" s="14">
        <f>IF($A26="","",SUMIF(Ambientes!$A:$A,$A26,Ambientes!$C:$C))</f>
        <v/>
      </c>
      <c r="G26" s="15">
        <f>IF($A26="","",IF($B26="","informe o valor do contrato",IF(ABS($B26-$F26)&lt;1,"OK","difere em "&amp;TEXT($B26-$F26,"R$ #,##0"))))</f>
        <v/>
      </c>
      <c r="H26" s="15">
        <f>IF($C26="","",IFERROR(MATCH($C26,Listas!$A$4:$A$15,0),""))</f>
        <v/>
      </c>
    </row>
    <row r="27">
      <c r="A27" s="12" t="n"/>
      <c r="B27" s="13" t="n"/>
      <c r="C27" s="12" t="n"/>
      <c r="D27" s="12" t="n"/>
      <c r="E27" s="12" t="n"/>
      <c r="F27" s="14">
        <f>IF($A27="","",SUMIF(Ambientes!$A:$A,$A27,Ambientes!$C:$C))</f>
        <v/>
      </c>
      <c r="G27" s="15">
        <f>IF($A27="","",IF($B27="","informe o valor do contrato",IF(ABS($B27-$F27)&lt;1,"OK","difere em "&amp;TEXT($B27-$F27,"R$ #,##0"))))</f>
        <v/>
      </c>
      <c r="H27" s="15">
        <f>IF($C27="","",IFERROR(MATCH($C27,Listas!$A$4:$A$15,0),""))</f>
        <v/>
      </c>
    </row>
    <row r="28">
      <c r="A28" s="12" t="n"/>
      <c r="B28" s="13" t="n"/>
      <c r="C28" s="12" t="n"/>
      <c r="D28" s="12" t="n"/>
      <c r="E28" s="12" t="n"/>
      <c r="F28" s="14">
        <f>IF($A28="","",SUMIF(Ambientes!$A:$A,$A28,Ambientes!$C:$C))</f>
        <v/>
      </c>
      <c r="G28" s="15">
        <f>IF($A28="","",IF($B28="","informe o valor do contrato",IF(ABS($B28-$F28)&lt;1,"OK","difere em "&amp;TEXT($B28-$F28,"R$ #,##0"))))</f>
        <v/>
      </c>
      <c r="H28" s="15">
        <f>IF($C28="","",IFERROR(MATCH($C28,Listas!$A$4:$A$15,0),""))</f>
        <v/>
      </c>
    </row>
    <row r="29">
      <c r="A29" s="12" t="n"/>
      <c r="B29" s="13" t="n"/>
      <c r="C29" s="12" t="n"/>
      <c r="D29" s="12" t="n"/>
      <c r="E29" s="12" t="n"/>
      <c r="F29" s="14">
        <f>IF($A29="","",SUMIF(Ambientes!$A:$A,$A29,Ambientes!$C:$C))</f>
        <v/>
      </c>
      <c r="G29" s="15">
        <f>IF($A29="","",IF($B29="","informe o valor do contrato",IF(ABS($B29-$F29)&lt;1,"OK","difere em "&amp;TEXT($B29-$F29,"R$ #,##0"))))</f>
        <v/>
      </c>
      <c r="H29" s="15">
        <f>IF($C29="","",IFERROR(MATCH($C29,Listas!$A$4:$A$15,0),""))</f>
        <v/>
      </c>
    </row>
    <row r="30">
      <c r="A30" s="12" t="n"/>
      <c r="B30" s="13" t="n"/>
      <c r="C30" s="12" t="n"/>
      <c r="D30" s="12" t="n"/>
      <c r="E30" s="12" t="n"/>
      <c r="F30" s="14">
        <f>IF($A30="","",SUMIF(Ambientes!$A:$A,$A30,Ambientes!$C:$C))</f>
        <v/>
      </c>
      <c r="G30" s="15">
        <f>IF($A30="","",IF($B30="","informe o valor do contrato",IF(ABS($B30-$F30)&lt;1,"OK","difere em "&amp;TEXT($B30-$F30,"R$ #,##0"))))</f>
        <v/>
      </c>
      <c r="H30" s="15">
        <f>IF($C30="","",IFERROR(MATCH($C30,Listas!$A$4:$A$15,0),""))</f>
        <v/>
      </c>
    </row>
    <row r="31">
      <c r="A31" s="12" t="n"/>
      <c r="B31" s="13" t="n"/>
      <c r="C31" s="12" t="n"/>
      <c r="D31" s="12" t="n"/>
      <c r="E31" s="12" t="n"/>
      <c r="F31" s="14">
        <f>IF($A31="","",SUMIF(Ambientes!$A:$A,$A31,Ambientes!$C:$C))</f>
        <v/>
      </c>
      <c r="G31" s="15">
        <f>IF($A31="","",IF($B31="","informe o valor do contrato",IF(ABS($B31-$F31)&lt;1,"OK","difere em "&amp;TEXT($B31-$F31,"R$ #,##0"))))</f>
        <v/>
      </c>
      <c r="H31" s="15">
        <f>IF($C31="","",IFERROR(MATCH($C31,Listas!$A$4:$A$15,0),""))</f>
        <v/>
      </c>
    </row>
    <row r="32">
      <c r="A32" s="12" t="n"/>
      <c r="B32" s="13" t="n"/>
      <c r="C32" s="12" t="n"/>
      <c r="D32" s="12" t="n"/>
      <c r="E32" s="12" t="n"/>
      <c r="F32" s="14">
        <f>IF($A32="","",SUMIF(Ambientes!$A:$A,$A32,Ambientes!$C:$C))</f>
        <v/>
      </c>
      <c r="G32" s="15">
        <f>IF($A32="","",IF($B32="","informe o valor do contrato",IF(ABS($B32-$F32)&lt;1,"OK","difere em "&amp;TEXT($B32-$F32,"R$ #,##0"))))</f>
        <v/>
      </c>
      <c r="H32" s="15">
        <f>IF($C32="","",IFERROR(MATCH($C32,Listas!$A$4:$A$15,0),""))</f>
        <v/>
      </c>
    </row>
    <row r="33">
      <c r="A33" s="12" t="n"/>
      <c r="B33" s="13" t="n"/>
      <c r="C33" s="12" t="n"/>
      <c r="D33" s="12" t="n"/>
      <c r="E33" s="12" t="n"/>
      <c r="F33" s="14">
        <f>IF($A33="","",SUMIF(Ambientes!$A:$A,$A33,Ambientes!$C:$C))</f>
        <v/>
      </c>
      <c r="G33" s="15">
        <f>IF($A33="","",IF($B33="","informe o valor do contrato",IF(ABS($B33-$F33)&lt;1,"OK","difere em "&amp;TEXT($B33-$F33,"R$ #,##0"))))</f>
        <v/>
      </c>
      <c r="H33" s="15">
        <f>IF($C33="","",IFERROR(MATCH($C33,Listas!$A$4:$A$15,0),""))</f>
        <v/>
      </c>
    </row>
    <row r="34">
      <c r="A34" s="12" t="n"/>
      <c r="B34" s="13" t="n"/>
      <c r="C34" s="12" t="n"/>
      <c r="D34" s="12" t="n"/>
      <c r="E34" s="12" t="n"/>
      <c r="F34" s="14">
        <f>IF($A34="","",SUMIF(Ambientes!$A:$A,$A34,Ambientes!$C:$C))</f>
        <v/>
      </c>
      <c r="G34" s="15">
        <f>IF($A34="","",IF($B34="","informe o valor do contrato",IF(ABS($B34-$F34)&lt;1,"OK","difere em "&amp;TEXT($B34-$F34,"R$ #,##0"))))</f>
        <v/>
      </c>
      <c r="H34" s="15">
        <f>IF($C34="","",IFERROR(MATCH($C34,Listas!$A$4:$A$15,0),""))</f>
        <v/>
      </c>
    </row>
    <row r="35">
      <c r="A35" s="12" t="n"/>
      <c r="B35" s="13" t="n"/>
      <c r="C35" s="12" t="n"/>
      <c r="D35" s="12" t="n"/>
      <c r="E35" s="12" t="n"/>
      <c r="F35" s="14">
        <f>IF($A35="","",SUMIF(Ambientes!$A:$A,$A35,Ambientes!$C:$C))</f>
        <v/>
      </c>
      <c r="G35" s="15">
        <f>IF($A35="","",IF($B35="","informe o valor do contrato",IF(ABS($B35-$F35)&lt;1,"OK","difere em "&amp;TEXT($B35-$F35,"R$ #,##0"))))</f>
        <v/>
      </c>
      <c r="H35" s="15">
        <f>IF($C35="","",IFERROR(MATCH($C35,Listas!$A$4:$A$15,0),""))</f>
        <v/>
      </c>
    </row>
    <row r="36">
      <c r="A36" s="12" t="n"/>
      <c r="B36" s="13" t="n"/>
      <c r="C36" s="12" t="n"/>
      <c r="D36" s="12" t="n"/>
      <c r="E36" s="12" t="n"/>
      <c r="F36" s="14">
        <f>IF($A36="","",SUMIF(Ambientes!$A:$A,$A36,Ambientes!$C:$C))</f>
        <v/>
      </c>
      <c r="G36" s="15">
        <f>IF($A36="","",IF($B36="","informe o valor do contrato",IF(ABS($B36-$F36)&lt;1,"OK","difere em "&amp;TEXT($B36-$F36,"R$ #,##0"))))</f>
        <v/>
      </c>
      <c r="H36" s="15">
        <f>IF($C36="","",IFERROR(MATCH($C36,Listas!$A$4:$A$15,0),""))</f>
        <v/>
      </c>
    </row>
    <row r="37">
      <c r="A37" s="12" t="n"/>
      <c r="B37" s="13" t="n"/>
      <c r="C37" s="12" t="n"/>
      <c r="D37" s="12" t="n"/>
      <c r="E37" s="12" t="n"/>
      <c r="F37" s="14">
        <f>IF($A37="","",SUMIF(Ambientes!$A:$A,$A37,Ambientes!$C:$C))</f>
        <v/>
      </c>
      <c r="G37" s="15">
        <f>IF($A37="","",IF($B37="","informe o valor do contrato",IF(ABS($B37-$F37)&lt;1,"OK","difere em "&amp;TEXT($B37-$F37,"R$ #,##0"))))</f>
        <v/>
      </c>
      <c r="H37" s="15">
        <f>IF($C37="","",IFERROR(MATCH($C37,Listas!$A$4:$A$15,0),""))</f>
        <v/>
      </c>
    </row>
    <row r="38">
      <c r="A38" s="12" t="n"/>
      <c r="B38" s="13" t="n"/>
      <c r="C38" s="12" t="n"/>
      <c r="D38" s="12" t="n"/>
      <c r="E38" s="12" t="n"/>
      <c r="F38" s="14">
        <f>IF($A38="","",SUMIF(Ambientes!$A:$A,$A38,Ambientes!$C:$C))</f>
        <v/>
      </c>
      <c r="G38" s="15">
        <f>IF($A38="","",IF($B38="","informe o valor do contrato",IF(ABS($B38-$F38)&lt;1,"OK","difere em "&amp;TEXT($B38-$F38,"R$ #,##0"))))</f>
        <v/>
      </c>
      <c r="H38" s="15">
        <f>IF($C38="","",IFERROR(MATCH($C38,Listas!$A$4:$A$15,0),""))</f>
        <v/>
      </c>
    </row>
    <row r="39">
      <c r="A39" s="12" t="n"/>
      <c r="B39" s="13" t="n"/>
      <c r="C39" s="12" t="n"/>
      <c r="D39" s="12" t="n"/>
      <c r="E39" s="12" t="n"/>
      <c r="F39" s="14">
        <f>IF($A39="","",SUMIF(Ambientes!$A:$A,$A39,Ambientes!$C:$C))</f>
        <v/>
      </c>
      <c r="G39" s="15">
        <f>IF($A39="","",IF($B39="","informe o valor do contrato",IF(ABS($B39-$F39)&lt;1,"OK","difere em "&amp;TEXT($B39-$F39,"R$ #,##0"))))</f>
        <v/>
      </c>
      <c r="H39" s="15">
        <f>IF($C39="","",IFERROR(MATCH($C39,Listas!$A$4:$A$15,0),""))</f>
        <v/>
      </c>
    </row>
    <row r="40">
      <c r="A40" s="12" t="n"/>
      <c r="B40" s="13" t="n"/>
      <c r="C40" s="12" t="n"/>
      <c r="D40" s="12" t="n"/>
      <c r="E40" s="12" t="n"/>
      <c r="F40" s="14">
        <f>IF($A40="","",SUMIF(Ambientes!$A:$A,$A40,Ambientes!$C:$C))</f>
        <v/>
      </c>
      <c r="G40" s="15">
        <f>IF($A40="","",IF($B40="","informe o valor do contrato",IF(ABS($B40-$F40)&lt;1,"OK","difere em "&amp;TEXT($B40-$F40,"R$ #,##0"))))</f>
        <v/>
      </c>
      <c r="H40" s="15">
        <f>IF($C40="","",IFERROR(MATCH($C40,Listas!$A$4:$A$15,0),""))</f>
        <v/>
      </c>
    </row>
    <row r="41">
      <c r="A41" s="12" t="n"/>
      <c r="B41" s="13" t="n"/>
      <c r="C41" s="12" t="n"/>
      <c r="D41" s="12" t="n"/>
      <c r="E41" s="12" t="n"/>
      <c r="F41" s="14">
        <f>IF($A41="","",SUMIF(Ambientes!$A:$A,$A41,Ambientes!$C:$C))</f>
        <v/>
      </c>
      <c r="G41" s="15">
        <f>IF($A41="","",IF($B41="","informe o valor do contrato",IF(ABS($B41-$F41)&lt;1,"OK","difere em "&amp;TEXT($B41-$F41,"R$ #,##0"))))</f>
        <v/>
      </c>
      <c r="H41" s="15">
        <f>IF($C41="","",IFERROR(MATCH($C41,Listas!$A$4:$A$15,0),""))</f>
        <v/>
      </c>
    </row>
    <row r="42">
      <c r="A42" s="12" t="n"/>
      <c r="B42" s="13" t="n"/>
      <c r="C42" s="12" t="n"/>
      <c r="D42" s="12" t="n"/>
      <c r="E42" s="12" t="n"/>
      <c r="F42" s="14">
        <f>IF($A42="","",SUMIF(Ambientes!$A:$A,$A42,Ambientes!$C:$C))</f>
        <v/>
      </c>
      <c r="G42" s="15">
        <f>IF($A42="","",IF($B42="","informe o valor do contrato",IF(ABS($B42-$F42)&lt;1,"OK","difere em "&amp;TEXT($B42-$F42,"R$ #,##0"))))</f>
        <v/>
      </c>
      <c r="H42" s="15">
        <f>IF($C42="","",IFERROR(MATCH($C42,Listas!$A$4:$A$15,0),""))</f>
        <v/>
      </c>
    </row>
    <row r="43">
      <c r="A43" s="12" t="n"/>
      <c r="B43" s="13" t="n"/>
      <c r="C43" s="12" t="n"/>
      <c r="D43" s="12" t="n"/>
      <c r="E43" s="12" t="n"/>
      <c r="F43" s="14">
        <f>IF($A43="","",SUMIF(Ambientes!$A:$A,$A43,Ambientes!$C:$C))</f>
        <v/>
      </c>
      <c r="G43" s="15">
        <f>IF($A43="","",IF($B43="","informe o valor do contrato",IF(ABS($B43-$F43)&lt;1,"OK","difere em "&amp;TEXT($B43-$F43,"R$ #,##0"))))</f>
        <v/>
      </c>
      <c r="H43" s="15">
        <f>IF($C43="","",IFERROR(MATCH($C43,Listas!$A$4:$A$15,0),""))</f>
        <v/>
      </c>
    </row>
  </sheetData>
  <mergeCells count="2">
    <mergeCell ref="A2:H2"/>
    <mergeCell ref="A1:H1"/>
  </mergeCells>
  <conditionalFormatting sqref="G4:G43">
    <cfRule type="expression" priority="1" dxfId="0">
      <formula>AND($G4&lt;&gt;"",$G4&lt;&gt;"OK")</formula>
    </cfRule>
  </conditionalFormatting>
  <dataValidations count="3">
    <dataValidation sqref="C4:C43" showDropDown="0" showInputMessage="0" showErrorMessage="0" allowBlank="1" errorTitle="Valor fora da lista" error="Escolha um valor da lista." type="list">
      <formula1>"Jan,Fev,Mar,Abr,Mai,Jun,Jul,Ago,Set,Out,Nov,Dez"</formula1>
    </dataValidation>
    <dataValidation sqref="D4:D43" showDropDown="0" showInputMessage="0" showErrorMessage="0" allowBlank="1" errorTitle="Valor fora da lista" error="Escolha um valor da lista." type="list">
      <formula1>"Jonathan,Paulo,Parceria,Indicação,Instagram,Outro"</formula1>
    </dataValidation>
    <dataValidation sqref="E4:E43" showDropDown="0" showInputMessage="0" showErrorMessage="0" allowBlank="1" errorTitle="Valor fora da lista" error="Escolha um valor da lista." type="list">
      <formula1>"Vendido,Em produção,Em montagem,Entregue,Pausado,Cancelado"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0413F"/>
    <outlinePr summaryBelow="1" summaryRight="1"/>
    <pageSetUpPr/>
  </sheetPr>
  <dimension ref="A1:J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7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24" customWidth="1" min="9" max="9"/>
    <col hidden="1" width="8" customWidth="1" min="10" max="10"/>
  </cols>
  <sheetData>
    <row r="1" ht="26" customHeight="1">
      <c r="A1" s="1" t="inlineStr">
        <is>
          <t>VALVIC MARCENARIA   ·   AMBIENTES — o coração da planilha</t>
        </is>
      </c>
    </row>
    <row r="2" ht="18" customHeight="1">
      <c r="A2" s="2" t="inlineStr">
        <is>
          <t>Um ambiente por linha. É o Mês fabricado e o Mês instalado que movem quase todos os números.</t>
        </is>
      </c>
    </row>
    <row r="3" ht="30" customHeight="1">
      <c r="A3" s="10" t="inlineStr">
        <is>
          <t>Projeto</t>
        </is>
      </c>
      <c r="B3" s="10" t="inlineStr">
        <is>
          <t>Ambiente</t>
        </is>
      </c>
      <c r="C3" s="10" t="inlineStr">
        <is>
          <t>Valor do ambiente</t>
        </is>
      </c>
      <c r="D3" s="10" t="inlineStr">
        <is>
          <t>Mês fabricado</t>
        </is>
      </c>
      <c r="E3" s="10" t="inlineStr">
        <is>
          <t>Mês instalado</t>
        </is>
      </c>
      <c r="F3" s="11" t="inlineStr">
        <is>
          <t>Situação</t>
        </is>
      </c>
      <c r="G3" s="10" t="inlineStr">
        <is>
          <t>Material apurado
(opcional)</t>
        </is>
      </c>
      <c r="H3" s="11" t="inlineStr">
        <is>
          <t>Material do ambiente</t>
        </is>
      </c>
      <c r="I3" s="11" t="inlineStr">
        <is>
          <t>Aviso</t>
        </is>
      </c>
      <c r="J3" s="11" t="inlineStr">
        <is>
          <t>nº mês</t>
        </is>
      </c>
    </row>
    <row r="4">
      <c r="A4" s="12" t="n"/>
      <c r="B4" s="12" t="n"/>
      <c r="C4" s="13" t="n"/>
      <c r="D4" s="12" t="n"/>
      <c r="E4" s="12" t="n"/>
      <c r="F4" s="15">
        <f>IF($A4="","",IF($E4&lt;&gt;"","Instalado",IF($D4&lt;&gt;"","Fabricado","A produzir")))</f>
        <v/>
      </c>
      <c r="G4" s="13" t="n"/>
      <c r="H4" s="14">
        <f>IF($A4="","",IF($G4&gt;0,$G4,IF((SUMIF($A$4:$A$253,$A4,$C$4:$C$253)-SUMIFS($C$4:$C$253,$A$4:$A$253,$A4,$G$4:$G$253,"&gt;0"))&lt;=0,0,MAX(0,(SUMIF(Compras!$A:$A,$A4,Compras!$D:$D)-SUMIFS($G$4:$G$253,$A$4:$A$253,$A4,$G$4:$G$253,"&gt;0")))*$C4/(SUMIF($A$4:$A$253,$A4,$C$4:$C$253)-SUMIFS($C$4:$C$253,$A$4:$A$253,$A4,$G$4:$G$253,"&gt;0")))))</f>
        <v/>
      </c>
      <c r="I4" s="15">
        <f>IF($A4="","",IF(COUNTIF(Projetos!$A:$A,$A4)=0,"projeto não cadastrado",""))</f>
        <v/>
      </c>
      <c r="J4" s="15">
        <f>IF($D4="","",IFERROR(MATCH($D4,Listas!$A$4:$A$15,0),""))</f>
        <v/>
      </c>
    </row>
    <row r="5">
      <c r="A5" s="12" t="n"/>
      <c r="B5" s="12" t="n"/>
      <c r="C5" s="13" t="n"/>
      <c r="D5" s="12" t="n"/>
      <c r="E5" s="12" t="n"/>
      <c r="F5" s="15">
        <f>IF($A5="","",IF($E5&lt;&gt;"","Instalado",IF($D5&lt;&gt;"","Fabricado","A produzir")))</f>
        <v/>
      </c>
      <c r="G5" s="13" t="n"/>
      <c r="H5" s="14">
        <f>IF($A5="","",IF($G5&gt;0,$G5,IF((SUMIF($A$4:$A$253,$A5,$C$4:$C$253)-SUMIFS($C$4:$C$253,$A$4:$A$253,$A5,$G$4:$G$253,"&gt;0"))&lt;=0,0,MAX(0,(SUMIF(Compras!$A:$A,$A5,Compras!$D:$D)-SUMIFS($G$4:$G$253,$A$4:$A$253,$A5,$G$4:$G$253,"&gt;0")))*$C5/(SUMIF($A$4:$A$253,$A5,$C$4:$C$253)-SUMIFS($C$4:$C$253,$A$4:$A$253,$A5,$G$4:$G$253,"&gt;0")))))</f>
        <v/>
      </c>
      <c r="I5" s="15">
        <f>IF($A5="","",IF(COUNTIF(Projetos!$A:$A,$A5)=0,"projeto não cadastrado",""))</f>
        <v/>
      </c>
      <c r="J5" s="15">
        <f>IF($D5="","",IFERROR(MATCH($D5,Listas!$A$4:$A$15,0),""))</f>
        <v/>
      </c>
    </row>
    <row r="6">
      <c r="A6" s="12" t="n"/>
      <c r="B6" s="12" t="n"/>
      <c r="C6" s="13" t="n"/>
      <c r="D6" s="12" t="n"/>
      <c r="E6" s="12" t="n"/>
      <c r="F6" s="15">
        <f>IF($A6="","",IF($E6&lt;&gt;"","Instalado",IF($D6&lt;&gt;"","Fabricado","A produzir")))</f>
        <v/>
      </c>
      <c r="G6" s="13" t="n"/>
      <c r="H6" s="14">
        <f>IF($A6="","",IF($G6&gt;0,$G6,IF((SUMIF($A$4:$A$253,$A6,$C$4:$C$253)-SUMIFS($C$4:$C$253,$A$4:$A$253,$A6,$G$4:$G$253,"&gt;0"))&lt;=0,0,MAX(0,(SUMIF(Compras!$A:$A,$A6,Compras!$D:$D)-SUMIFS($G$4:$G$253,$A$4:$A$253,$A6,$G$4:$G$253,"&gt;0")))*$C6/(SUMIF($A$4:$A$253,$A6,$C$4:$C$253)-SUMIFS($C$4:$C$253,$A$4:$A$253,$A6,$G$4:$G$253,"&gt;0")))))</f>
        <v/>
      </c>
      <c r="I6" s="15">
        <f>IF($A6="","",IF(COUNTIF(Projetos!$A:$A,$A6)=0,"projeto não cadastrado",""))</f>
        <v/>
      </c>
      <c r="J6" s="15">
        <f>IF($D6="","",IFERROR(MATCH($D6,Listas!$A$4:$A$15,0),""))</f>
        <v/>
      </c>
    </row>
    <row r="7">
      <c r="A7" s="12" t="n"/>
      <c r="B7" s="12" t="n"/>
      <c r="C7" s="13" t="n"/>
      <c r="D7" s="12" t="n"/>
      <c r="E7" s="12" t="n"/>
      <c r="F7" s="15">
        <f>IF($A7="","",IF($E7&lt;&gt;"","Instalado",IF($D7&lt;&gt;"","Fabricado","A produzir")))</f>
        <v/>
      </c>
      <c r="G7" s="13" t="n"/>
      <c r="H7" s="14">
        <f>IF($A7="","",IF($G7&gt;0,$G7,IF((SUMIF($A$4:$A$253,$A7,$C$4:$C$253)-SUMIFS($C$4:$C$253,$A$4:$A$253,$A7,$G$4:$G$253,"&gt;0"))&lt;=0,0,MAX(0,(SUMIF(Compras!$A:$A,$A7,Compras!$D:$D)-SUMIFS($G$4:$G$253,$A$4:$A$253,$A7,$G$4:$G$253,"&gt;0")))*$C7/(SUMIF($A$4:$A$253,$A7,$C$4:$C$253)-SUMIFS($C$4:$C$253,$A$4:$A$253,$A7,$G$4:$G$253,"&gt;0")))))</f>
        <v/>
      </c>
      <c r="I7" s="15">
        <f>IF($A7="","",IF(COUNTIF(Projetos!$A:$A,$A7)=0,"projeto não cadastrado",""))</f>
        <v/>
      </c>
      <c r="J7" s="15">
        <f>IF($D7="","",IFERROR(MATCH($D7,Listas!$A$4:$A$15,0),""))</f>
        <v/>
      </c>
    </row>
    <row r="8">
      <c r="A8" s="12" t="n"/>
      <c r="B8" s="12" t="n"/>
      <c r="C8" s="13" t="n"/>
      <c r="D8" s="12" t="n"/>
      <c r="E8" s="12" t="n"/>
      <c r="F8" s="15">
        <f>IF($A8="","",IF($E8&lt;&gt;"","Instalado",IF($D8&lt;&gt;"","Fabricado","A produzir")))</f>
        <v/>
      </c>
      <c r="G8" s="13" t="n"/>
      <c r="H8" s="14">
        <f>IF($A8="","",IF($G8&gt;0,$G8,IF((SUMIF($A$4:$A$253,$A8,$C$4:$C$253)-SUMIFS($C$4:$C$253,$A$4:$A$253,$A8,$G$4:$G$253,"&gt;0"))&lt;=0,0,MAX(0,(SUMIF(Compras!$A:$A,$A8,Compras!$D:$D)-SUMIFS($G$4:$G$253,$A$4:$A$253,$A8,$G$4:$G$253,"&gt;0")))*$C8/(SUMIF($A$4:$A$253,$A8,$C$4:$C$253)-SUMIFS($C$4:$C$253,$A$4:$A$253,$A8,$G$4:$G$253,"&gt;0")))))</f>
        <v/>
      </c>
      <c r="I8" s="15">
        <f>IF($A8="","",IF(COUNTIF(Projetos!$A:$A,$A8)=0,"projeto não cadastrado",""))</f>
        <v/>
      </c>
      <c r="J8" s="15">
        <f>IF($D8="","",IFERROR(MATCH($D8,Listas!$A$4:$A$15,0),""))</f>
        <v/>
      </c>
    </row>
    <row r="9">
      <c r="A9" s="12" t="n"/>
      <c r="B9" s="12" t="n"/>
      <c r="C9" s="13" t="n"/>
      <c r="D9" s="12" t="n"/>
      <c r="E9" s="12" t="n"/>
      <c r="F9" s="15">
        <f>IF($A9="","",IF($E9&lt;&gt;"","Instalado",IF($D9&lt;&gt;"","Fabricado","A produzir")))</f>
        <v/>
      </c>
      <c r="G9" s="13" t="n"/>
      <c r="H9" s="14">
        <f>IF($A9="","",IF($G9&gt;0,$G9,IF((SUMIF($A$4:$A$253,$A9,$C$4:$C$253)-SUMIFS($C$4:$C$253,$A$4:$A$253,$A9,$G$4:$G$253,"&gt;0"))&lt;=0,0,MAX(0,(SUMIF(Compras!$A:$A,$A9,Compras!$D:$D)-SUMIFS($G$4:$G$253,$A$4:$A$253,$A9,$G$4:$G$253,"&gt;0")))*$C9/(SUMIF($A$4:$A$253,$A9,$C$4:$C$253)-SUMIFS($C$4:$C$253,$A$4:$A$253,$A9,$G$4:$G$253,"&gt;0")))))</f>
        <v/>
      </c>
      <c r="I9" s="15">
        <f>IF($A9="","",IF(COUNTIF(Projetos!$A:$A,$A9)=0,"projeto não cadastrado",""))</f>
        <v/>
      </c>
      <c r="J9" s="15">
        <f>IF($D9="","",IFERROR(MATCH($D9,Listas!$A$4:$A$15,0),""))</f>
        <v/>
      </c>
    </row>
    <row r="10">
      <c r="A10" s="12" t="n"/>
      <c r="B10" s="12" t="n"/>
      <c r="C10" s="13" t="n"/>
      <c r="D10" s="12" t="n"/>
      <c r="E10" s="12" t="n"/>
      <c r="F10" s="15">
        <f>IF($A10="","",IF($E10&lt;&gt;"","Instalado",IF($D10&lt;&gt;"","Fabricado","A produzir")))</f>
        <v/>
      </c>
      <c r="G10" s="13" t="n"/>
      <c r="H10" s="14">
        <f>IF($A10="","",IF($G10&gt;0,$G10,IF((SUMIF($A$4:$A$253,$A10,$C$4:$C$253)-SUMIFS($C$4:$C$253,$A$4:$A$253,$A10,$G$4:$G$253,"&gt;0"))&lt;=0,0,MAX(0,(SUMIF(Compras!$A:$A,$A10,Compras!$D:$D)-SUMIFS($G$4:$G$253,$A$4:$A$253,$A10,$G$4:$G$253,"&gt;0")))*$C10/(SUMIF($A$4:$A$253,$A10,$C$4:$C$253)-SUMIFS($C$4:$C$253,$A$4:$A$253,$A10,$G$4:$G$253,"&gt;0")))))</f>
        <v/>
      </c>
      <c r="I10" s="15">
        <f>IF($A10="","",IF(COUNTIF(Projetos!$A:$A,$A10)=0,"projeto não cadastrado",""))</f>
        <v/>
      </c>
      <c r="J10" s="15">
        <f>IF($D10="","",IFERROR(MATCH($D10,Listas!$A$4:$A$15,0),""))</f>
        <v/>
      </c>
    </row>
    <row r="11">
      <c r="A11" s="12" t="n"/>
      <c r="B11" s="12" t="n"/>
      <c r="C11" s="13" t="n"/>
      <c r="D11" s="12" t="n"/>
      <c r="E11" s="12" t="n"/>
      <c r="F11" s="15">
        <f>IF($A11="","",IF($E11&lt;&gt;"","Instalado",IF($D11&lt;&gt;"","Fabricado","A produzir")))</f>
        <v/>
      </c>
      <c r="G11" s="13" t="n"/>
      <c r="H11" s="14">
        <f>IF($A11="","",IF($G11&gt;0,$G11,IF((SUMIF($A$4:$A$253,$A11,$C$4:$C$253)-SUMIFS($C$4:$C$253,$A$4:$A$253,$A11,$G$4:$G$253,"&gt;0"))&lt;=0,0,MAX(0,(SUMIF(Compras!$A:$A,$A11,Compras!$D:$D)-SUMIFS($G$4:$G$253,$A$4:$A$253,$A11,$G$4:$G$253,"&gt;0")))*$C11/(SUMIF($A$4:$A$253,$A11,$C$4:$C$253)-SUMIFS($C$4:$C$253,$A$4:$A$253,$A11,$G$4:$G$253,"&gt;0")))))</f>
        <v/>
      </c>
      <c r="I11" s="15">
        <f>IF($A11="","",IF(COUNTIF(Projetos!$A:$A,$A11)=0,"projeto não cadastrado",""))</f>
        <v/>
      </c>
      <c r="J11" s="15">
        <f>IF($D11="","",IFERROR(MATCH($D11,Listas!$A$4:$A$15,0),""))</f>
        <v/>
      </c>
    </row>
    <row r="12">
      <c r="A12" s="12" t="n"/>
      <c r="B12" s="12" t="n"/>
      <c r="C12" s="13" t="n"/>
      <c r="D12" s="12" t="n"/>
      <c r="E12" s="12" t="n"/>
      <c r="F12" s="15">
        <f>IF($A12="","",IF($E12&lt;&gt;"","Instalado",IF($D12&lt;&gt;"","Fabricado","A produzir")))</f>
        <v/>
      </c>
      <c r="G12" s="13" t="n"/>
      <c r="H12" s="14">
        <f>IF($A12="","",IF($G12&gt;0,$G12,IF((SUMIF($A$4:$A$253,$A12,$C$4:$C$253)-SUMIFS($C$4:$C$253,$A$4:$A$253,$A12,$G$4:$G$253,"&gt;0"))&lt;=0,0,MAX(0,(SUMIF(Compras!$A:$A,$A12,Compras!$D:$D)-SUMIFS($G$4:$G$253,$A$4:$A$253,$A12,$G$4:$G$253,"&gt;0")))*$C12/(SUMIF($A$4:$A$253,$A12,$C$4:$C$253)-SUMIFS($C$4:$C$253,$A$4:$A$253,$A12,$G$4:$G$253,"&gt;0")))))</f>
        <v/>
      </c>
      <c r="I12" s="15">
        <f>IF($A12="","",IF(COUNTIF(Projetos!$A:$A,$A12)=0,"projeto não cadastrado",""))</f>
        <v/>
      </c>
      <c r="J12" s="15">
        <f>IF($D12="","",IFERROR(MATCH($D12,Listas!$A$4:$A$15,0),""))</f>
        <v/>
      </c>
    </row>
    <row r="13">
      <c r="A13" s="12" t="n"/>
      <c r="B13" s="12" t="n"/>
      <c r="C13" s="13" t="n"/>
      <c r="D13" s="12" t="n"/>
      <c r="E13" s="12" t="n"/>
      <c r="F13" s="15">
        <f>IF($A13="","",IF($E13&lt;&gt;"","Instalado",IF($D13&lt;&gt;"","Fabricado","A produzir")))</f>
        <v/>
      </c>
      <c r="G13" s="13" t="n"/>
      <c r="H13" s="14">
        <f>IF($A13="","",IF($G13&gt;0,$G13,IF((SUMIF($A$4:$A$253,$A13,$C$4:$C$253)-SUMIFS($C$4:$C$253,$A$4:$A$253,$A13,$G$4:$G$253,"&gt;0"))&lt;=0,0,MAX(0,(SUMIF(Compras!$A:$A,$A13,Compras!$D:$D)-SUMIFS($G$4:$G$253,$A$4:$A$253,$A13,$G$4:$G$253,"&gt;0")))*$C13/(SUMIF($A$4:$A$253,$A13,$C$4:$C$253)-SUMIFS($C$4:$C$253,$A$4:$A$253,$A13,$G$4:$G$253,"&gt;0")))))</f>
        <v/>
      </c>
      <c r="I13" s="15">
        <f>IF($A13="","",IF(COUNTIF(Projetos!$A:$A,$A13)=0,"projeto não cadastrado",""))</f>
        <v/>
      </c>
      <c r="J13" s="15">
        <f>IF($D13="","",IFERROR(MATCH($D13,Listas!$A$4:$A$15,0),""))</f>
        <v/>
      </c>
    </row>
    <row r="14">
      <c r="A14" s="12" t="n"/>
      <c r="B14" s="12" t="n"/>
      <c r="C14" s="13" t="n"/>
      <c r="D14" s="12" t="n"/>
      <c r="E14" s="12" t="n"/>
      <c r="F14" s="15">
        <f>IF($A14="","",IF($E14&lt;&gt;"","Instalado",IF($D14&lt;&gt;"","Fabricado","A produzir")))</f>
        <v/>
      </c>
      <c r="G14" s="13" t="n"/>
      <c r="H14" s="14">
        <f>IF($A14="","",IF($G14&gt;0,$G14,IF((SUMIF($A$4:$A$253,$A14,$C$4:$C$253)-SUMIFS($C$4:$C$253,$A$4:$A$253,$A14,$G$4:$G$253,"&gt;0"))&lt;=0,0,MAX(0,(SUMIF(Compras!$A:$A,$A14,Compras!$D:$D)-SUMIFS($G$4:$G$253,$A$4:$A$253,$A14,$G$4:$G$253,"&gt;0")))*$C14/(SUMIF($A$4:$A$253,$A14,$C$4:$C$253)-SUMIFS($C$4:$C$253,$A$4:$A$253,$A14,$G$4:$G$253,"&gt;0")))))</f>
        <v/>
      </c>
      <c r="I14" s="15">
        <f>IF($A14="","",IF(COUNTIF(Projetos!$A:$A,$A14)=0,"projeto não cadastrado",""))</f>
        <v/>
      </c>
      <c r="J14" s="15">
        <f>IF($D14="","",IFERROR(MATCH($D14,Listas!$A$4:$A$15,0),""))</f>
        <v/>
      </c>
    </row>
    <row r="15">
      <c r="A15" s="12" t="n"/>
      <c r="B15" s="12" t="n"/>
      <c r="C15" s="13" t="n"/>
      <c r="D15" s="12" t="n"/>
      <c r="E15" s="12" t="n"/>
      <c r="F15" s="15">
        <f>IF($A15="","",IF($E15&lt;&gt;"","Instalado",IF($D15&lt;&gt;"","Fabricado","A produzir")))</f>
        <v/>
      </c>
      <c r="G15" s="13" t="n"/>
      <c r="H15" s="14">
        <f>IF($A15="","",IF($G15&gt;0,$G15,IF((SUMIF($A$4:$A$253,$A15,$C$4:$C$253)-SUMIFS($C$4:$C$253,$A$4:$A$253,$A15,$G$4:$G$253,"&gt;0"))&lt;=0,0,MAX(0,(SUMIF(Compras!$A:$A,$A15,Compras!$D:$D)-SUMIFS($G$4:$G$253,$A$4:$A$253,$A15,$G$4:$G$253,"&gt;0")))*$C15/(SUMIF($A$4:$A$253,$A15,$C$4:$C$253)-SUMIFS($C$4:$C$253,$A$4:$A$253,$A15,$G$4:$G$253,"&gt;0")))))</f>
        <v/>
      </c>
      <c r="I15" s="15">
        <f>IF($A15="","",IF(COUNTIF(Projetos!$A:$A,$A15)=0,"projeto não cadastrado",""))</f>
        <v/>
      </c>
      <c r="J15" s="15">
        <f>IF($D15="","",IFERROR(MATCH($D15,Listas!$A$4:$A$15,0),""))</f>
        <v/>
      </c>
    </row>
    <row r="16">
      <c r="A16" s="12" t="n"/>
      <c r="B16" s="12" t="n"/>
      <c r="C16" s="13" t="n"/>
      <c r="D16" s="12" t="n"/>
      <c r="E16" s="12" t="n"/>
      <c r="F16" s="15">
        <f>IF($A16="","",IF($E16&lt;&gt;"","Instalado",IF($D16&lt;&gt;"","Fabricado","A produzir")))</f>
        <v/>
      </c>
      <c r="G16" s="13" t="n"/>
      <c r="H16" s="14">
        <f>IF($A16="","",IF($G16&gt;0,$G16,IF((SUMIF($A$4:$A$253,$A16,$C$4:$C$253)-SUMIFS($C$4:$C$253,$A$4:$A$253,$A16,$G$4:$G$253,"&gt;0"))&lt;=0,0,MAX(0,(SUMIF(Compras!$A:$A,$A16,Compras!$D:$D)-SUMIFS($G$4:$G$253,$A$4:$A$253,$A16,$G$4:$G$253,"&gt;0")))*$C16/(SUMIF($A$4:$A$253,$A16,$C$4:$C$253)-SUMIFS($C$4:$C$253,$A$4:$A$253,$A16,$G$4:$G$253,"&gt;0")))))</f>
        <v/>
      </c>
      <c r="I16" s="15">
        <f>IF($A16="","",IF(COUNTIF(Projetos!$A:$A,$A16)=0,"projeto não cadastrado",""))</f>
        <v/>
      </c>
      <c r="J16" s="15">
        <f>IF($D16="","",IFERROR(MATCH($D16,Listas!$A$4:$A$15,0),""))</f>
        <v/>
      </c>
    </row>
    <row r="17">
      <c r="A17" s="12" t="n"/>
      <c r="B17" s="12" t="n"/>
      <c r="C17" s="13" t="n"/>
      <c r="D17" s="12" t="n"/>
      <c r="E17" s="12" t="n"/>
      <c r="F17" s="15">
        <f>IF($A17="","",IF($E17&lt;&gt;"","Instalado",IF($D17&lt;&gt;"","Fabricado","A produzir")))</f>
        <v/>
      </c>
      <c r="G17" s="13" t="n"/>
      <c r="H17" s="14">
        <f>IF($A17="","",IF($G17&gt;0,$G17,IF((SUMIF($A$4:$A$253,$A17,$C$4:$C$253)-SUMIFS($C$4:$C$253,$A$4:$A$253,$A17,$G$4:$G$253,"&gt;0"))&lt;=0,0,MAX(0,(SUMIF(Compras!$A:$A,$A17,Compras!$D:$D)-SUMIFS($G$4:$G$253,$A$4:$A$253,$A17,$G$4:$G$253,"&gt;0")))*$C17/(SUMIF($A$4:$A$253,$A17,$C$4:$C$253)-SUMIFS($C$4:$C$253,$A$4:$A$253,$A17,$G$4:$G$253,"&gt;0")))))</f>
        <v/>
      </c>
      <c r="I17" s="15">
        <f>IF($A17="","",IF(COUNTIF(Projetos!$A:$A,$A17)=0,"projeto não cadastrado",""))</f>
        <v/>
      </c>
      <c r="J17" s="15">
        <f>IF($D17="","",IFERROR(MATCH($D17,Listas!$A$4:$A$15,0),""))</f>
        <v/>
      </c>
    </row>
    <row r="18">
      <c r="A18" s="12" t="n"/>
      <c r="B18" s="12" t="n"/>
      <c r="C18" s="13" t="n"/>
      <c r="D18" s="12" t="n"/>
      <c r="E18" s="12" t="n"/>
      <c r="F18" s="15">
        <f>IF($A18="","",IF($E18&lt;&gt;"","Instalado",IF($D18&lt;&gt;"","Fabricado","A produzir")))</f>
        <v/>
      </c>
      <c r="G18" s="13" t="n"/>
      <c r="H18" s="14">
        <f>IF($A18="","",IF($G18&gt;0,$G18,IF((SUMIF($A$4:$A$253,$A18,$C$4:$C$253)-SUMIFS($C$4:$C$253,$A$4:$A$253,$A18,$G$4:$G$253,"&gt;0"))&lt;=0,0,MAX(0,(SUMIF(Compras!$A:$A,$A18,Compras!$D:$D)-SUMIFS($G$4:$G$253,$A$4:$A$253,$A18,$G$4:$G$253,"&gt;0")))*$C18/(SUMIF($A$4:$A$253,$A18,$C$4:$C$253)-SUMIFS($C$4:$C$253,$A$4:$A$253,$A18,$G$4:$G$253,"&gt;0")))))</f>
        <v/>
      </c>
      <c r="I18" s="15">
        <f>IF($A18="","",IF(COUNTIF(Projetos!$A:$A,$A18)=0,"projeto não cadastrado",""))</f>
        <v/>
      </c>
      <c r="J18" s="15">
        <f>IF($D18="","",IFERROR(MATCH($D18,Listas!$A$4:$A$15,0),""))</f>
        <v/>
      </c>
    </row>
    <row r="19">
      <c r="A19" s="12" t="n"/>
      <c r="B19" s="12" t="n"/>
      <c r="C19" s="13" t="n"/>
      <c r="D19" s="12" t="n"/>
      <c r="E19" s="12" t="n"/>
      <c r="F19" s="15">
        <f>IF($A19="","",IF($E19&lt;&gt;"","Instalado",IF($D19&lt;&gt;"","Fabricado","A produzir")))</f>
        <v/>
      </c>
      <c r="G19" s="13" t="n"/>
      <c r="H19" s="14">
        <f>IF($A19="","",IF($G19&gt;0,$G19,IF((SUMIF($A$4:$A$253,$A19,$C$4:$C$253)-SUMIFS($C$4:$C$253,$A$4:$A$253,$A19,$G$4:$G$253,"&gt;0"))&lt;=0,0,MAX(0,(SUMIF(Compras!$A:$A,$A19,Compras!$D:$D)-SUMIFS($G$4:$G$253,$A$4:$A$253,$A19,$G$4:$G$253,"&gt;0")))*$C19/(SUMIF($A$4:$A$253,$A19,$C$4:$C$253)-SUMIFS($C$4:$C$253,$A$4:$A$253,$A19,$G$4:$G$253,"&gt;0")))))</f>
        <v/>
      </c>
      <c r="I19" s="15">
        <f>IF($A19="","",IF(COUNTIF(Projetos!$A:$A,$A19)=0,"projeto não cadastrado",""))</f>
        <v/>
      </c>
      <c r="J19" s="15">
        <f>IF($D19="","",IFERROR(MATCH($D19,Listas!$A$4:$A$15,0),""))</f>
        <v/>
      </c>
    </row>
    <row r="20">
      <c r="A20" s="12" t="n"/>
      <c r="B20" s="12" t="n"/>
      <c r="C20" s="13" t="n"/>
      <c r="D20" s="12" t="n"/>
      <c r="E20" s="12" t="n"/>
      <c r="F20" s="15">
        <f>IF($A20="","",IF($E20&lt;&gt;"","Instalado",IF($D20&lt;&gt;"","Fabricado","A produzir")))</f>
        <v/>
      </c>
      <c r="G20" s="13" t="n"/>
      <c r="H20" s="14">
        <f>IF($A20="","",IF($G20&gt;0,$G20,IF((SUMIF($A$4:$A$253,$A20,$C$4:$C$253)-SUMIFS($C$4:$C$253,$A$4:$A$253,$A20,$G$4:$G$253,"&gt;0"))&lt;=0,0,MAX(0,(SUMIF(Compras!$A:$A,$A20,Compras!$D:$D)-SUMIFS($G$4:$G$253,$A$4:$A$253,$A20,$G$4:$G$253,"&gt;0")))*$C20/(SUMIF($A$4:$A$253,$A20,$C$4:$C$253)-SUMIFS($C$4:$C$253,$A$4:$A$253,$A20,$G$4:$G$253,"&gt;0")))))</f>
        <v/>
      </c>
      <c r="I20" s="15">
        <f>IF($A20="","",IF(COUNTIF(Projetos!$A:$A,$A20)=0,"projeto não cadastrado",""))</f>
        <v/>
      </c>
      <c r="J20" s="15">
        <f>IF($D20="","",IFERROR(MATCH($D20,Listas!$A$4:$A$15,0),""))</f>
        <v/>
      </c>
    </row>
    <row r="21">
      <c r="A21" s="12" t="n"/>
      <c r="B21" s="12" t="n"/>
      <c r="C21" s="13" t="n"/>
      <c r="D21" s="12" t="n"/>
      <c r="E21" s="12" t="n"/>
      <c r="F21" s="15">
        <f>IF($A21="","",IF($E21&lt;&gt;"","Instalado",IF($D21&lt;&gt;"","Fabricado","A produzir")))</f>
        <v/>
      </c>
      <c r="G21" s="13" t="n"/>
      <c r="H21" s="14">
        <f>IF($A21="","",IF($G21&gt;0,$G21,IF((SUMIF($A$4:$A$253,$A21,$C$4:$C$253)-SUMIFS($C$4:$C$253,$A$4:$A$253,$A21,$G$4:$G$253,"&gt;0"))&lt;=0,0,MAX(0,(SUMIF(Compras!$A:$A,$A21,Compras!$D:$D)-SUMIFS($G$4:$G$253,$A$4:$A$253,$A21,$G$4:$G$253,"&gt;0")))*$C21/(SUMIF($A$4:$A$253,$A21,$C$4:$C$253)-SUMIFS($C$4:$C$253,$A$4:$A$253,$A21,$G$4:$G$253,"&gt;0")))))</f>
        <v/>
      </c>
      <c r="I21" s="15">
        <f>IF($A21="","",IF(COUNTIF(Projetos!$A:$A,$A21)=0,"projeto não cadastrado",""))</f>
        <v/>
      </c>
      <c r="J21" s="15">
        <f>IF($D21="","",IFERROR(MATCH($D21,Listas!$A$4:$A$15,0),""))</f>
        <v/>
      </c>
    </row>
    <row r="22">
      <c r="A22" s="12" t="n"/>
      <c r="B22" s="12" t="n"/>
      <c r="C22" s="13" t="n"/>
      <c r="D22" s="12" t="n"/>
      <c r="E22" s="12" t="n"/>
      <c r="F22" s="15">
        <f>IF($A22="","",IF($E22&lt;&gt;"","Instalado",IF($D22&lt;&gt;"","Fabricado","A produzir")))</f>
        <v/>
      </c>
      <c r="G22" s="13" t="n"/>
      <c r="H22" s="14">
        <f>IF($A22="","",IF($G22&gt;0,$G22,IF((SUMIF($A$4:$A$253,$A22,$C$4:$C$253)-SUMIFS($C$4:$C$253,$A$4:$A$253,$A22,$G$4:$G$253,"&gt;0"))&lt;=0,0,MAX(0,(SUMIF(Compras!$A:$A,$A22,Compras!$D:$D)-SUMIFS($G$4:$G$253,$A$4:$A$253,$A22,$G$4:$G$253,"&gt;0")))*$C22/(SUMIF($A$4:$A$253,$A22,$C$4:$C$253)-SUMIFS($C$4:$C$253,$A$4:$A$253,$A22,$G$4:$G$253,"&gt;0")))))</f>
        <v/>
      </c>
      <c r="I22" s="15">
        <f>IF($A22="","",IF(COUNTIF(Projetos!$A:$A,$A22)=0,"projeto não cadastrado",""))</f>
        <v/>
      </c>
      <c r="J22" s="15">
        <f>IF($D22="","",IFERROR(MATCH($D22,Listas!$A$4:$A$15,0),""))</f>
        <v/>
      </c>
    </row>
    <row r="23">
      <c r="A23" s="12" t="n"/>
      <c r="B23" s="12" t="n"/>
      <c r="C23" s="13" t="n"/>
      <c r="D23" s="12" t="n"/>
      <c r="E23" s="12" t="n"/>
      <c r="F23" s="15">
        <f>IF($A23="","",IF($E23&lt;&gt;"","Instalado",IF($D23&lt;&gt;"","Fabricado","A produzir")))</f>
        <v/>
      </c>
      <c r="G23" s="13" t="n"/>
      <c r="H23" s="14">
        <f>IF($A23="","",IF($G23&gt;0,$G23,IF((SUMIF($A$4:$A$253,$A23,$C$4:$C$253)-SUMIFS($C$4:$C$253,$A$4:$A$253,$A23,$G$4:$G$253,"&gt;0"))&lt;=0,0,MAX(0,(SUMIF(Compras!$A:$A,$A23,Compras!$D:$D)-SUMIFS($G$4:$G$253,$A$4:$A$253,$A23,$G$4:$G$253,"&gt;0")))*$C23/(SUMIF($A$4:$A$253,$A23,$C$4:$C$253)-SUMIFS($C$4:$C$253,$A$4:$A$253,$A23,$G$4:$G$253,"&gt;0")))))</f>
        <v/>
      </c>
      <c r="I23" s="15">
        <f>IF($A23="","",IF(COUNTIF(Projetos!$A:$A,$A23)=0,"projeto não cadastrado",""))</f>
        <v/>
      </c>
      <c r="J23" s="15">
        <f>IF($D23="","",IFERROR(MATCH($D23,Listas!$A$4:$A$15,0),""))</f>
        <v/>
      </c>
    </row>
    <row r="24">
      <c r="A24" s="12" t="n"/>
      <c r="B24" s="12" t="n"/>
      <c r="C24" s="13" t="n"/>
      <c r="D24" s="12" t="n"/>
      <c r="E24" s="12" t="n"/>
      <c r="F24" s="15">
        <f>IF($A24="","",IF($E24&lt;&gt;"","Instalado",IF($D24&lt;&gt;"","Fabricado","A produzir")))</f>
        <v/>
      </c>
      <c r="G24" s="13" t="n"/>
      <c r="H24" s="14">
        <f>IF($A24="","",IF($G24&gt;0,$G24,IF((SUMIF($A$4:$A$253,$A24,$C$4:$C$253)-SUMIFS($C$4:$C$253,$A$4:$A$253,$A24,$G$4:$G$253,"&gt;0"))&lt;=0,0,MAX(0,(SUMIF(Compras!$A:$A,$A24,Compras!$D:$D)-SUMIFS($G$4:$G$253,$A$4:$A$253,$A24,$G$4:$G$253,"&gt;0")))*$C24/(SUMIF($A$4:$A$253,$A24,$C$4:$C$253)-SUMIFS($C$4:$C$253,$A$4:$A$253,$A24,$G$4:$G$253,"&gt;0")))))</f>
        <v/>
      </c>
      <c r="I24" s="15">
        <f>IF($A24="","",IF(COUNTIF(Projetos!$A:$A,$A24)=0,"projeto não cadastrado",""))</f>
        <v/>
      </c>
      <c r="J24" s="15">
        <f>IF($D24="","",IFERROR(MATCH($D24,Listas!$A$4:$A$15,0),""))</f>
        <v/>
      </c>
    </row>
    <row r="25">
      <c r="A25" s="12" t="n"/>
      <c r="B25" s="12" t="n"/>
      <c r="C25" s="13" t="n"/>
      <c r="D25" s="12" t="n"/>
      <c r="E25" s="12" t="n"/>
      <c r="F25" s="15">
        <f>IF($A25="","",IF($E25&lt;&gt;"","Instalado",IF($D25&lt;&gt;"","Fabricado","A produzir")))</f>
        <v/>
      </c>
      <c r="G25" s="13" t="n"/>
      <c r="H25" s="14">
        <f>IF($A25="","",IF($G25&gt;0,$G25,IF((SUMIF($A$4:$A$253,$A25,$C$4:$C$253)-SUMIFS($C$4:$C$253,$A$4:$A$253,$A25,$G$4:$G$253,"&gt;0"))&lt;=0,0,MAX(0,(SUMIF(Compras!$A:$A,$A25,Compras!$D:$D)-SUMIFS($G$4:$G$253,$A$4:$A$253,$A25,$G$4:$G$253,"&gt;0")))*$C25/(SUMIF($A$4:$A$253,$A25,$C$4:$C$253)-SUMIFS($C$4:$C$253,$A$4:$A$253,$A25,$G$4:$G$253,"&gt;0")))))</f>
        <v/>
      </c>
      <c r="I25" s="15">
        <f>IF($A25="","",IF(COUNTIF(Projetos!$A:$A,$A25)=0,"projeto não cadastrado",""))</f>
        <v/>
      </c>
      <c r="J25" s="15">
        <f>IF($D25="","",IFERROR(MATCH($D25,Listas!$A$4:$A$15,0),""))</f>
        <v/>
      </c>
    </row>
    <row r="26">
      <c r="A26" s="12" t="n"/>
      <c r="B26" s="12" t="n"/>
      <c r="C26" s="13" t="n"/>
      <c r="D26" s="12" t="n"/>
      <c r="E26" s="12" t="n"/>
      <c r="F26" s="15">
        <f>IF($A26="","",IF($E26&lt;&gt;"","Instalado",IF($D26&lt;&gt;"","Fabricado","A produzir")))</f>
        <v/>
      </c>
      <c r="G26" s="13" t="n"/>
      <c r="H26" s="14">
        <f>IF($A26="","",IF($G26&gt;0,$G26,IF((SUMIF($A$4:$A$253,$A26,$C$4:$C$253)-SUMIFS($C$4:$C$253,$A$4:$A$253,$A26,$G$4:$G$253,"&gt;0"))&lt;=0,0,MAX(0,(SUMIF(Compras!$A:$A,$A26,Compras!$D:$D)-SUMIFS($G$4:$G$253,$A$4:$A$253,$A26,$G$4:$G$253,"&gt;0")))*$C26/(SUMIF($A$4:$A$253,$A26,$C$4:$C$253)-SUMIFS($C$4:$C$253,$A$4:$A$253,$A26,$G$4:$G$253,"&gt;0")))))</f>
        <v/>
      </c>
      <c r="I26" s="15">
        <f>IF($A26="","",IF(COUNTIF(Projetos!$A:$A,$A26)=0,"projeto não cadastrado",""))</f>
        <v/>
      </c>
      <c r="J26" s="15">
        <f>IF($D26="","",IFERROR(MATCH($D26,Listas!$A$4:$A$15,0),""))</f>
        <v/>
      </c>
    </row>
    <row r="27">
      <c r="A27" s="12" t="n"/>
      <c r="B27" s="12" t="n"/>
      <c r="C27" s="13" t="n"/>
      <c r="D27" s="12" t="n"/>
      <c r="E27" s="12" t="n"/>
      <c r="F27" s="15">
        <f>IF($A27="","",IF($E27&lt;&gt;"","Instalado",IF($D27&lt;&gt;"","Fabricado","A produzir")))</f>
        <v/>
      </c>
      <c r="G27" s="13" t="n"/>
      <c r="H27" s="14">
        <f>IF($A27="","",IF($G27&gt;0,$G27,IF((SUMIF($A$4:$A$253,$A27,$C$4:$C$253)-SUMIFS($C$4:$C$253,$A$4:$A$253,$A27,$G$4:$G$253,"&gt;0"))&lt;=0,0,MAX(0,(SUMIF(Compras!$A:$A,$A27,Compras!$D:$D)-SUMIFS($G$4:$G$253,$A$4:$A$253,$A27,$G$4:$G$253,"&gt;0")))*$C27/(SUMIF($A$4:$A$253,$A27,$C$4:$C$253)-SUMIFS($C$4:$C$253,$A$4:$A$253,$A27,$G$4:$G$253,"&gt;0")))))</f>
        <v/>
      </c>
      <c r="I27" s="15">
        <f>IF($A27="","",IF(COUNTIF(Projetos!$A:$A,$A27)=0,"projeto não cadastrado",""))</f>
        <v/>
      </c>
      <c r="J27" s="15">
        <f>IF($D27="","",IFERROR(MATCH($D27,Listas!$A$4:$A$15,0),""))</f>
        <v/>
      </c>
    </row>
    <row r="28">
      <c r="A28" s="12" t="n"/>
      <c r="B28" s="12" t="n"/>
      <c r="C28" s="13" t="n"/>
      <c r="D28" s="12" t="n"/>
      <c r="E28" s="12" t="n"/>
      <c r="F28" s="15">
        <f>IF($A28="","",IF($E28&lt;&gt;"","Instalado",IF($D28&lt;&gt;"","Fabricado","A produzir")))</f>
        <v/>
      </c>
      <c r="G28" s="13" t="n"/>
      <c r="H28" s="14">
        <f>IF($A28="","",IF($G28&gt;0,$G28,IF((SUMIF($A$4:$A$253,$A28,$C$4:$C$253)-SUMIFS($C$4:$C$253,$A$4:$A$253,$A28,$G$4:$G$253,"&gt;0"))&lt;=0,0,MAX(0,(SUMIF(Compras!$A:$A,$A28,Compras!$D:$D)-SUMIFS($G$4:$G$253,$A$4:$A$253,$A28,$G$4:$G$253,"&gt;0")))*$C28/(SUMIF($A$4:$A$253,$A28,$C$4:$C$253)-SUMIFS($C$4:$C$253,$A$4:$A$253,$A28,$G$4:$G$253,"&gt;0")))))</f>
        <v/>
      </c>
      <c r="I28" s="15">
        <f>IF($A28="","",IF(COUNTIF(Projetos!$A:$A,$A28)=0,"projeto não cadastrado",""))</f>
        <v/>
      </c>
      <c r="J28" s="15">
        <f>IF($D28="","",IFERROR(MATCH($D28,Listas!$A$4:$A$15,0),""))</f>
        <v/>
      </c>
    </row>
    <row r="29">
      <c r="A29" s="12" t="n"/>
      <c r="B29" s="12" t="n"/>
      <c r="C29" s="13" t="n"/>
      <c r="D29" s="12" t="n"/>
      <c r="E29" s="12" t="n"/>
      <c r="F29" s="15">
        <f>IF($A29="","",IF($E29&lt;&gt;"","Instalado",IF($D29&lt;&gt;"","Fabricado","A produzir")))</f>
        <v/>
      </c>
      <c r="G29" s="13" t="n"/>
      <c r="H29" s="14">
        <f>IF($A29="","",IF($G29&gt;0,$G29,IF((SUMIF($A$4:$A$253,$A29,$C$4:$C$253)-SUMIFS($C$4:$C$253,$A$4:$A$253,$A29,$G$4:$G$253,"&gt;0"))&lt;=0,0,MAX(0,(SUMIF(Compras!$A:$A,$A29,Compras!$D:$D)-SUMIFS($G$4:$G$253,$A$4:$A$253,$A29,$G$4:$G$253,"&gt;0")))*$C29/(SUMIF($A$4:$A$253,$A29,$C$4:$C$253)-SUMIFS($C$4:$C$253,$A$4:$A$253,$A29,$G$4:$G$253,"&gt;0")))))</f>
        <v/>
      </c>
      <c r="I29" s="15">
        <f>IF($A29="","",IF(COUNTIF(Projetos!$A:$A,$A29)=0,"projeto não cadastrado",""))</f>
        <v/>
      </c>
      <c r="J29" s="15">
        <f>IF($D29="","",IFERROR(MATCH($D29,Listas!$A$4:$A$15,0),""))</f>
        <v/>
      </c>
    </row>
    <row r="30">
      <c r="A30" s="12" t="n"/>
      <c r="B30" s="12" t="n"/>
      <c r="C30" s="13" t="n"/>
      <c r="D30" s="12" t="n"/>
      <c r="E30" s="12" t="n"/>
      <c r="F30" s="15">
        <f>IF($A30="","",IF($E30&lt;&gt;"","Instalado",IF($D30&lt;&gt;"","Fabricado","A produzir")))</f>
        <v/>
      </c>
      <c r="G30" s="13" t="n"/>
      <c r="H30" s="14">
        <f>IF($A30="","",IF($G30&gt;0,$G30,IF((SUMIF($A$4:$A$253,$A30,$C$4:$C$253)-SUMIFS($C$4:$C$253,$A$4:$A$253,$A30,$G$4:$G$253,"&gt;0"))&lt;=0,0,MAX(0,(SUMIF(Compras!$A:$A,$A30,Compras!$D:$D)-SUMIFS($G$4:$G$253,$A$4:$A$253,$A30,$G$4:$G$253,"&gt;0")))*$C30/(SUMIF($A$4:$A$253,$A30,$C$4:$C$253)-SUMIFS($C$4:$C$253,$A$4:$A$253,$A30,$G$4:$G$253,"&gt;0")))))</f>
        <v/>
      </c>
      <c r="I30" s="15">
        <f>IF($A30="","",IF(COUNTIF(Projetos!$A:$A,$A30)=0,"projeto não cadastrado",""))</f>
        <v/>
      </c>
      <c r="J30" s="15">
        <f>IF($D30="","",IFERROR(MATCH($D30,Listas!$A$4:$A$15,0),""))</f>
        <v/>
      </c>
    </row>
    <row r="31">
      <c r="A31" s="12" t="n"/>
      <c r="B31" s="12" t="n"/>
      <c r="C31" s="13" t="n"/>
      <c r="D31" s="12" t="n"/>
      <c r="E31" s="12" t="n"/>
      <c r="F31" s="15">
        <f>IF($A31="","",IF($E31&lt;&gt;"","Instalado",IF($D31&lt;&gt;"","Fabricado","A produzir")))</f>
        <v/>
      </c>
      <c r="G31" s="13" t="n"/>
      <c r="H31" s="14">
        <f>IF($A31="","",IF($G31&gt;0,$G31,IF((SUMIF($A$4:$A$253,$A31,$C$4:$C$253)-SUMIFS($C$4:$C$253,$A$4:$A$253,$A31,$G$4:$G$253,"&gt;0"))&lt;=0,0,MAX(0,(SUMIF(Compras!$A:$A,$A31,Compras!$D:$D)-SUMIFS($G$4:$G$253,$A$4:$A$253,$A31,$G$4:$G$253,"&gt;0")))*$C31/(SUMIF($A$4:$A$253,$A31,$C$4:$C$253)-SUMIFS($C$4:$C$253,$A$4:$A$253,$A31,$G$4:$G$253,"&gt;0")))))</f>
        <v/>
      </c>
      <c r="I31" s="15">
        <f>IF($A31="","",IF(COUNTIF(Projetos!$A:$A,$A31)=0,"projeto não cadastrado",""))</f>
        <v/>
      </c>
      <c r="J31" s="15">
        <f>IF($D31="","",IFERROR(MATCH($D31,Listas!$A$4:$A$15,0),""))</f>
        <v/>
      </c>
    </row>
    <row r="32">
      <c r="A32" s="12" t="n"/>
      <c r="B32" s="12" t="n"/>
      <c r="C32" s="13" t="n"/>
      <c r="D32" s="12" t="n"/>
      <c r="E32" s="12" t="n"/>
      <c r="F32" s="15">
        <f>IF($A32="","",IF($E32&lt;&gt;"","Instalado",IF($D32&lt;&gt;"","Fabricado","A produzir")))</f>
        <v/>
      </c>
      <c r="G32" s="13" t="n"/>
      <c r="H32" s="14">
        <f>IF($A32="","",IF($G32&gt;0,$G32,IF((SUMIF($A$4:$A$253,$A32,$C$4:$C$253)-SUMIFS($C$4:$C$253,$A$4:$A$253,$A32,$G$4:$G$253,"&gt;0"))&lt;=0,0,MAX(0,(SUMIF(Compras!$A:$A,$A32,Compras!$D:$D)-SUMIFS($G$4:$G$253,$A$4:$A$253,$A32,$G$4:$G$253,"&gt;0")))*$C32/(SUMIF($A$4:$A$253,$A32,$C$4:$C$253)-SUMIFS($C$4:$C$253,$A$4:$A$253,$A32,$G$4:$G$253,"&gt;0")))))</f>
        <v/>
      </c>
      <c r="I32" s="15">
        <f>IF($A32="","",IF(COUNTIF(Projetos!$A:$A,$A32)=0,"projeto não cadastrado",""))</f>
        <v/>
      </c>
      <c r="J32" s="15">
        <f>IF($D32="","",IFERROR(MATCH($D32,Listas!$A$4:$A$15,0),""))</f>
        <v/>
      </c>
    </row>
    <row r="33">
      <c r="A33" s="12" t="n"/>
      <c r="B33" s="12" t="n"/>
      <c r="C33" s="13" t="n"/>
      <c r="D33" s="12" t="n"/>
      <c r="E33" s="12" t="n"/>
      <c r="F33" s="15">
        <f>IF($A33="","",IF($E33&lt;&gt;"","Instalado",IF($D33&lt;&gt;"","Fabricado","A produzir")))</f>
        <v/>
      </c>
      <c r="G33" s="13" t="n"/>
      <c r="H33" s="14">
        <f>IF($A33="","",IF($G33&gt;0,$G33,IF((SUMIF($A$4:$A$253,$A33,$C$4:$C$253)-SUMIFS($C$4:$C$253,$A$4:$A$253,$A33,$G$4:$G$253,"&gt;0"))&lt;=0,0,MAX(0,(SUMIF(Compras!$A:$A,$A33,Compras!$D:$D)-SUMIFS($G$4:$G$253,$A$4:$A$253,$A33,$G$4:$G$253,"&gt;0")))*$C33/(SUMIF($A$4:$A$253,$A33,$C$4:$C$253)-SUMIFS($C$4:$C$253,$A$4:$A$253,$A33,$G$4:$G$253,"&gt;0")))))</f>
        <v/>
      </c>
      <c r="I33" s="15">
        <f>IF($A33="","",IF(COUNTIF(Projetos!$A:$A,$A33)=0,"projeto não cadastrado",""))</f>
        <v/>
      </c>
      <c r="J33" s="15">
        <f>IF($D33="","",IFERROR(MATCH($D33,Listas!$A$4:$A$15,0),""))</f>
        <v/>
      </c>
    </row>
    <row r="34">
      <c r="A34" s="12" t="n"/>
      <c r="B34" s="12" t="n"/>
      <c r="C34" s="13" t="n"/>
      <c r="D34" s="12" t="n"/>
      <c r="E34" s="12" t="n"/>
      <c r="F34" s="15">
        <f>IF($A34="","",IF($E34&lt;&gt;"","Instalado",IF($D34&lt;&gt;"","Fabricado","A produzir")))</f>
        <v/>
      </c>
      <c r="G34" s="13" t="n"/>
      <c r="H34" s="14">
        <f>IF($A34="","",IF($G34&gt;0,$G34,IF((SUMIF($A$4:$A$253,$A34,$C$4:$C$253)-SUMIFS($C$4:$C$253,$A$4:$A$253,$A34,$G$4:$G$253,"&gt;0"))&lt;=0,0,MAX(0,(SUMIF(Compras!$A:$A,$A34,Compras!$D:$D)-SUMIFS($G$4:$G$253,$A$4:$A$253,$A34,$G$4:$G$253,"&gt;0")))*$C34/(SUMIF($A$4:$A$253,$A34,$C$4:$C$253)-SUMIFS($C$4:$C$253,$A$4:$A$253,$A34,$G$4:$G$253,"&gt;0")))))</f>
        <v/>
      </c>
      <c r="I34" s="15">
        <f>IF($A34="","",IF(COUNTIF(Projetos!$A:$A,$A34)=0,"projeto não cadastrado",""))</f>
        <v/>
      </c>
      <c r="J34" s="15">
        <f>IF($D34="","",IFERROR(MATCH($D34,Listas!$A$4:$A$15,0),""))</f>
        <v/>
      </c>
    </row>
    <row r="35">
      <c r="A35" s="12" t="n"/>
      <c r="B35" s="12" t="n"/>
      <c r="C35" s="13" t="n"/>
      <c r="D35" s="12" t="n"/>
      <c r="E35" s="12" t="n"/>
      <c r="F35" s="15">
        <f>IF($A35="","",IF($E35&lt;&gt;"","Instalado",IF($D35&lt;&gt;"","Fabricado","A produzir")))</f>
        <v/>
      </c>
      <c r="G35" s="13" t="n"/>
      <c r="H35" s="14">
        <f>IF($A35="","",IF($G35&gt;0,$G35,IF((SUMIF($A$4:$A$253,$A35,$C$4:$C$253)-SUMIFS($C$4:$C$253,$A$4:$A$253,$A35,$G$4:$G$253,"&gt;0"))&lt;=0,0,MAX(0,(SUMIF(Compras!$A:$A,$A35,Compras!$D:$D)-SUMIFS($G$4:$G$253,$A$4:$A$253,$A35,$G$4:$G$253,"&gt;0")))*$C35/(SUMIF($A$4:$A$253,$A35,$C$4:$C$253)-SUMIFS($C$4:$C$253,$A$4:$A$253,$A35,$G$4:$G$253,"&gt;0")))))</f>
        <v/>
      </c>
      <c r="I35" s="15">
        <f>IF($A35="","",IF(COUNTIF(Projetos!$A:$A,$A35)=0,"projeto não cadastrado",""))</f>
        <v/>
      </c>
      <c r="J35" s="15">
        <f>IF($D35="","",IFERROR(MATCH($D35,Listas!$A$4:$A$15,0),""))</f>
        <v/>
      </c>
    </row>
    <row r="36">
      <c r="A36" s="12" t="n"/>
      <c r="B36" s="12" t="n"/>
      <c r="C36" s="13" t="n"/>
      <c r="D36" s="12" t="n"/>
      <c r="E36" s="12" t="n"/>
      <c r="F36" s="15">
        <f>IF($A36="","",IF($E36&lt;&gt;"","Instalado",IF($D36&lt;&gt;"","Fabricado","A produzir")))</f>
        <v/>
      </c>
      <c r="G36" s="13" t="n"/>
      <c r="H36" s="14">
        <f>IF($A36="","",IF($G36&gt;0,$G36,IF((SUMIF($A$4:$A$253,$A36,$C$4:$C$253)-SUMIFS($C$4:$C$253,$A$4:$A$253,$A36,$G$4:$G$253,"&gt;0"))&lt;=0,0,MAX(0,(SUMIF(Compras!$A:$A,$A36,Compras!$D:$D)-SUMIFS($G$4:$G$253,$A$4:$A$253,$A36,$G$4:$G$253,"&gt;0")))*$C36/(SUMIF($A$4:$A$253,$A36,$C$4:$C$253)-SUMIFS($C$4:$C$253,$A$4:$A$253,$A36,$G$4:$G$253,"&gt;0")))))</f>
        <v/>
      </c>
      <c r="I36" s="15">
        <f>IF($A36="","",IF(COUNTIF(Projetos!$A:$A,$A36)=0,"projeto não cadastrado",""))</f>
        <v/>
      </c>
      <c r="J36" s="15">
        <f>IF($D36="","",IFERROR(MATCH($D36,Listas!$A$4:$A$15,0),""))</f>
        <v/>
      </c>
    </row>
    <row r="37">
      <c r="A37" s="12" t="n"/>
      <c r="B37" s="12" t="n"/>
      <c r="C37" s="13" t="n"/>
      <c r="D37" s="12" t="n"/>
      <c r="E37" s="12" t="n"/>
      <c r="F37" s="15">
        <f>IF($A37="","",IF($E37&lt;&gt;"","Instalado",IF($D37&lt;&gt;"","Fabricado","A produzir")))</f>
        <v/>
      </c>
      <c r="G37" s="13" t="n"/>
      <c r="H37" s="14">
        <f>IF($A37="","",IF($G37&gt;0,$G37,IF((SUMIF($A$4:$A$253,$A37,$C$4:$C$253)-SUMIFS($C$4:$C$253,$A$4:$A$253,$A37,$G$4:$G$253,"&gt;0"))&lt;=0,0,MAX(0,(SUMIF(Compras!$A:$A,$A37,Compras!$D:$D)-SUMIFS($G$4:$G$253,$A$4:$A$253,$A37,$G$4:$G$253,"&gt;0")))*$C37/(SUMIF($A$4:$A$253,$A37,$C$4:$C$253)-SUMIFS($C$4:$C$253,$A$4:$A$253,$A37,$G$4:$G$253,"&gt;0")))))</f>
        <v/>
      </c>
      <c r="I37" s="15">
        <f>IF($A37="","",IF(COUNTIF(Projetos!$A:$A,$A37)=0,"projeto não cadastrado",""))</f>
        <v/>
      </c>
      <c r="J37" s="15">
        <f>IF($D37="","",IFERROR(MATCH($D37,Listas!$A$4:$A$15,0),""))</f>
        <v/>
      </c>
    </row>
    <row r="38">
      <c r="A38" s="12" t="n"/>
      <c r="B38" s="12" t="n"/>
      <c r="C38" s="13" t="n"/>
      <c r="D38" s="12" t="n"/>
      <c r="E38" s="12" t="n"/>
      <c r="F38" s="15">
        <f>IF($A38="","",IF($E38&lt;&gt;"","Instalado",IF($D38&lt;&gt;"","Fabricado","A produzir")))</f>
        <v/>
      </c>
      <c r="G38" s="13" t="n"/>
      <c r="H38" s="14">
        <f>IF($A38="","",IF($G38&gt;0,$G38,IF((SUMIF($A$4:$A$253,$A38,$C$4:$C$253)-SUMIFS($C$4:$C$253,$A$4:$A$253,$A38,$G$4:$G$253,"&gt;0"))&lt;=0,0,MAX(0,(SUMIF(Compras!$A:$A,$A38,Compras!$D:$D)-SUMIFS($G$4:$G$253,$A$4:$A$253,$A38,$G$4:$G$253,"&gt;0")))*$C38/(SUMIF($A$4:$A$253,$A38,$C$4:$C$253)-SUMIFS($C$4:$C$253,$A$4:$A$253,$A38,$G$4:$G$253,"&gt;0")))))</f>
        <v/>
      </c>
      <c r="I38" s="15">
        <f>IF($A38="","",IF(COUNTIF(Projetos!$A:$A,$A38)=0,"projeto não cadastrado",""))</f>
        <v/>
      </c>
      <c r="J38" s="15">
        <f>IF($D38="","",IFERROR(MATCH($D38,Listas!$A$4:$A$15,0),""))</f>
        <v/>
      </c>
    </row>
    <row r="39">
      <c r="A39" s="12" t="n"/>
      <c r="B39" s="12" t="n"/>
      <c r="C39" s="13" t="n"/>
      <c r="D39" s="12" t="n"/>
      <c r="E39" s="12" t="n"/>
      <c r="F39" s="15">
        <f>IF($A39="","",IF($E39&lt;&gt;"","Instalado",IF($D39&lt;&gt;"","Fabricado","A produzir")))</f>
        <v/>
      </c>
      <c r="G39" s="13" t="n"/>
      <c r="H39" s="14">
        <f>IF($A39="","",IF($G39&gt;0,$G39,IF((SUMIF($A$4:$A$253,$A39,$C$4:$C$253)-SUMIFS($C$4:$C$253,$A$4:$A$253,$A39,$G$4:$G$253,"&gt;0"))&lt;=0,0,MAX(0,(SUMIF(Compras!$A:$A,$A39,Compras!$D:$D)-SUMIFS($G$4:$G$253,$A$4:$A$253,$A39,$G$4:$G$253,"&gt;0")))*$C39/(SUMIF($A$4:$A$253,$A39,$C$4:$C$253)-SUMIFS($C$4:$C$253,$A$4:$A$253,$A39,$G$4:$G$253,"&gt;0")))))</f>
        <v/>
      </c>
      <c r="I39" s="15">
        <f>IF($A39="","",IF(COUNTIF(Projetos!$A:$A,$A39)=0,"projeto não cadastrado",""))</f>
        <v/>
      </c>
      <c r="J39" s="15">
        <f>IF($D39="","",IFERROR(MATCH($D39,Listas!$A$4:$A$15,0),""))</f>
        <v/>
      </c>
    </row>
    <row r="40">
      <c r="A40" s="12" t="n"/>
      <c r="B40" s="12" t="n"/>
      <c r="C40" s="13" t="n"/>
      <c r="D40" s="12" t="n"/>
      <c r="E40" s="12" t="n"/>
      <c r="F40" s="15">
        <f>IF($A40="","",IF($E40&lt;&gt;"","Instalado",IF($D40&lt;&gt;"","Fabricado","A produzir")))</f>
        <v/>
      </c>
      <c r="G40" s="13" t="n"/>
      <c r="H40" s="14">
        <f>IF($A40="","",IF($G40&gt;0,$G40,IF((SUMIF($A$4:$A$253,$A40,$C$4:$C$253)-SUMIFS($C$4:$C$253,$A$4:$A$253,$A40,$G$4:$G$253,"&gt;0"))&lt;=0,0,MAX(0,(SUMIF(Compras!$A:$A,$A40,Compras!$D:$D)-SUMIFS($G$4:$G$253,$A$4:$A$253,$A40,$G$4:$G$253,"&gt;0")))*$C40/(SUMIF($A$4:$A$253,$A40,$C$4:$C$253)-SUMIFS($C$4:$C$253,$A$4:$A$253,$A40,$G$4:$G$253,"&gt;0")))))</f>
        <v/>
      </c>
      <c r="I40" s="15">
        <f>IF($A40="","",IF(COUNTIF(Projetos!$A:$A,$A40)=0,"projeto não cadastrado",""))</f>
        <v/>
      </c>
      <c r="J40" s="15">
        <f>IF($D40="","",IFERROR(MATCH($D40,Listas!$A$4:$A$15,0),""))</f>
        <v/>
      </c>
    </row>
    <row r="41">
      <c r="A41" s="12" t="n"/>
      <c r="B41" s="12" t="n"/>
      <c r="C41" s="13" t="n"/>
      <c r="D41" s="12" t="n"/>
      <c r="E41" s="12" t="n"/>
      <c r="F41" s="15">
        <f>IF($A41="","",IF($E41&lt;&gt;"","Instalado",IF($D41&lt;&gt;"","Fabricado","A produzir")))</f>
        <v/>
      </c>
      <c r="G41" s="13" t="n"/>
      <c r="H41" s="14">
        <f>IF($A41="","",IF($G41&gt;0,$G41,IF((SUMIF($A$4:$A$253,$A41,$C$4:$C$253)-SUMIFS($C$4:$C$253,$A$4:$A$253,$A41,$G$4:$G$253,"&gt;0"))&lt;=0,0,MAX(0,(SUMIF(Compras!$A:$A,$A41,Compras!$D:$D)-SUMIFS($G$4:$G$253,$A$4:$A$253,$A41,$G$4:$G$253,"&gt;0")))*$C41/(SUMIF($A$4:$A$253,$A41,$C$4:$C$253)-SUMIFS($C$4:$C$253,$A$4:$A$253,$A41,$G$4:$G$253,"&gt;0")))))</f>
        <v/>
      </c>
      <c r="I41" s="15">
        <f>IF($A41="","",IF(COUNTIF(Projetos!$A:$A,$A41)=0,"projeto não cadastrado",""))</f>
        <v/>
      </c>
      <c r="J41" s="15">
        <f>IF($D41="","",IFERROR(MATCH($D41,Listas!$A$4:$A$15,0),""))</f>
        <v/>
      </c>
    </row>
    <row r="42">
      <c r="A42" s="12" t="n"/>
      <c r="B42" s="12" t="n"/>
      <c r="C42" s="13" t="n"/>
      <c r="D42" s="12" t="n"/>
      <c r="E42" s="12" t="n"/>
      <c r="F42" s="15">
        <f>IF($A42="","",IF($E42&lt;&gt;"","Instalado",IF($D42&lt;&gt;"","Fabricado","A produzir")))</f>
        <v/>
      </c>
      <c r="G42" s="13" t="n"/>
      <c r="H42" s="14">
        <f>IF($A42="","",IF($G42&gt;0,$G42,IF((SUMIF($A$4:$A$253,$A42,$C$4:$C$253)-SUMIFS($C$4:$C$253,$A$4:$A$253,$A42,$G$4:$G$253,"&gt;0"))&lt;=0,0,MAX(0,(SUMIF(Compras!$A:$A,$A42,Compras!$D:$D)-SUMIFS($G$4:$G$253,$A$4:$A$253,$A42,$G$4:$G$253,"&gt;0")))*$C42/(SUMIF($A$4:$A$253,$A42,$C$4:$C$253)-SUMIFS($C$4:$C$253,$A$4:$A$253,$A42,$G$4:$G$253,"&gt;0")))))</f>
        <v/>
      </c>
      <c r="I42" s="15">
        <f>IF($A42="","",IF(COUNTIF(Projetos!$A:$A,$A42)=0,"projeto não cadastrado",""))</f>
        <v/>
      </c>
      <c r="J42" s="15">
        <f>IF($D42="","",IFERROR(MATCH($D42,Listas!$A$4:$A$15,0),""))</f>
        <v/>
      </c>
    </row>
    <row r="43">
      <c r="A43" s="12" t="n"/>
      <c r="B43" s="12" t="n"/>
      <c r="C43" s="13" t="n"/>
      <c r="D43" s="12" t="n"/>
      <c r="E43" s="12" t="n"/>
      <c r="F43" s="15">
        <f>IF($A43="","",IF($E43&lt;&gt;"","Instalado",IF($D43&lt;&gt;"","Fabricado","A produzir")))</f>
        <v/>
      </c>
      <c r="G43" s="13" t="n"/>
      <c r="H43" s="14">
        <f>IF($A43="","",IF($G43&gt;0,$G43,IF((SUMIF($A$4:$A$253,$A43,$C$4:$C$253)-SUMIFS($C$4:$C$253,$A$4:$A$253,$A43,$G$4:$G$253,"&gt;0"))&lt;=0,0,MAX(0,(SUMIF(Compras!$A:$A,$A43,Compras!$D:$D)-SUMIFS($G$4:$G$253,$A$4:$A$253,$A43,$G$4:$G$253,"&gt;0")))*$C43/(SUMIF($A$4:$A$253,$A43,$C$4:$C$253)-SUMIFS($C$4:$C$253,$A$4:$A$253,$A43,$G$4:$G$253,"&gt;0")))))</f>
        <v/>
      </c>
      <c r="I43" s="15">
        <f>IF($A43="","",IF(COUNTIF(Projetos!$A:$A,$A43)=0,"projeto não cadastrado",""))</f>
        <v/>
      </c>
      <c r="J43" s="15">
        <f>IF($D43="","",IFERROR(MATCH($D43,Listas!$A$4:$A$15,0),""))</f>
        <v/>
      </c>
    </row>
    <row r="44">
      <c r="A44" s="12" t="n"/>
      <c r="B44" s="12" t="n"/>
      <c r="C44" s="13" t="n"/>
      <c r="D44" s="12" t="n"/>
      <c r="E44" s="12" t="n"/>
      <c r="F44" s="15">
        <f>IF($A44="","",IF($E44&lt;&gt;"","Instalado",IF($D44&lt;&gt;"","Fabricado","A produzir")))</f>
        <v/>
      </c>
      <c r="G44" s="13" t="n"/>
      <c r="H44" s="14">
        <f>IF($A44="","",IF($G44&gt;0,$G44,IF((SUMIF($A$4:$A$253,$A44,$C$4:$C$253)-SUMIFS($C$4:$C$253,$A$4:$A$253,$A44,$G$4:$G$253,"&gt;0"))&lt;=0,0,MAX(0,(SUMIF(Compras!$A:$A,$A44,Compras!$D:$D)-SUMIFS($G$4:$G$253,$A$4:$A$253,$A44,$G$4:$G$253,"&gt;0")))*$C44/(SUMIF($A$4:$A$253,$A44,$C$4:$C$253)-SUMIFS($C$4:$C$253,$A$4:$A$253,$A44,$G$4:$G$253,"&gt;0")))))</f>
        <v/>
      </c>
      <c r="I44" s="15">
        <f>IF($A44="","",IF(COUNTIF(Projetos!$A:$A,$A44)=0,"projeto não cadastrado",""))</f>
        <v/>
      </c>
      <c r="J44" s="15">
        <f>IF($D44="","",IFERROR(MATCH($D44,Listas!$A$4:$A$15,0),""))</f>
        <v/>
      </c>
    </row>
    <row r="45">
      <c r="A45" s="12" t="n"/>
      <c r="B45" s="12" t="n"/>
      <c r="C45" s="13" t="n"/>
      <c r="D45" s="12" t="n"/>
      <c r="E45" s="12" t="n"/>
      <c r="F45" s="15">
        <f>IF($A45="","",IF($E45&lt;&gt;"","Instalado",IF($D45&lt;&gt;"","Fabricado","A produzir")))</f>
        <v/>
      </c>
      <c r="G45" s="13" t="n"/>
      <c r="H45" s="14">
        <f>IF($A45="","",IF($G45&gt;0,$G45,IF((SUMIF($A$4:$A$253,$A45,$C$4:$C$253)-SUMIFS($C$4:$C$253,$A$4:$A$253,$A45,$G$4:$G$253,"&gt;0"))&lt;=0,0,MAX(0,(SUMIF(Compras!$A:$A,$A45,Compras!$D:$D)-SUMIFS($G$4:$G$253,$A$4:$A$253,$A45,$G$4:$G$253,"&gt;0")))*$C45/(SUMIF($A$4:$A$253,$A45,$C$4:$C$253)-SUMIFS($C$4:$C$253,$A$4:$A$253,$A45,$G$4:$G$253,"&gt;0")))))</f>
        <v/>
      </c>
      <c r="I45" s="15">
        <f>IF($A45="","",IF(COUNTIF(Projetos!$A:$A,$A45)=0,"projeto não cadastrado",""))</f>
        <v/>
      </c>
      <c r="J45" s="15">
        <f>IF($D45="","",IFERROR(MATCH($D45,Listas!$A$4:$A$15,0),""))</f>
        <v/>
      </c>
    </row>
    <row r="46">
      <c r="A46" s="12" t="n"/>
      <c r="B46" s="12" t="n"/>
      <c r="C46" s="13" t="n"/>
      <c r="D46" s="12" t="n"/>
      <c r="E46" s="12" t="n"/>
      <c r="F46" s="15">
        <f>IF($A46="","",IF($E46&lt;&gt;"","Instalado",IF($D46&lt;&gt;"","Fabricado","A produzir")))</f>
        <v/>
      </c>
      <c r="G46" s="13" t="n"/>
      <c r="H46" s="14">
        <f>IF($A46="","",IF($G46&gt;0,$G46,IF((SUMIF($A$4:$A$253,$A46,$C$4:$C$253)-SUMIFS($C$4:$C$253,$A$4:$A$253,$A46,$G$4:$G$253,"&gt;0"))&lt;=0,0,MAX(0,(SUMIF(Compras!$A:$A,$A46,Compras!$D:$D)-SUMIFS($G$4:$G$253,$A$4:$A$253,$A46,$G$4:$G$253,"&gt;0")))*$C46/(SUMIF($A$4:$A$253,$A46,$C$4:$C$253)-SUMIFS($C$4:$C$253,$A$4:$A$253,$A46,$G$4:$G$253,"&gt;0")))))</f>
        <v/>
      </c>
      <c r="I46" s="15">
        <f>IF($A46="","",IF(COUNTIF(Projetos!$A:$A,$A46)=0,"projeto não cadastrado",""))</f>
        <v/>
      </c>
      <c r="J46" s="15">
        <f>IF($D46="","",IFERROR(MATCH($D46,Listas!$A$4:$A$15,0),""))</f>
        <v/>
      </c>
    </row>
    <row r="47">
      <c r="A47" s="12" t="n"/>
      <c r="B47" s="12" t="n"/>
      <c r="C47" s="13" t="n"/>
      <c r="D47" s="12" t="n"/>
      <c r="E47" s="12" t="n"/>
      <c r="F47" s="15">
        <f>IF($A47="","",IF($E47&lt;&gt;"","Instalado",IF($D47&lt;&gt;"","Fabricado","A produzir")))</f>
        <v/>
      </c>
      <c r="G47" s="13" t="n"/>
      <c r="H47" s="14">
        <f>IF($A47="","",IF($G47&gt;0,$G47,IF((SUMIF($A$4:$A$253,$A47,$C$4:$C$253)-SUMIFS($C$4:$C$253,$A$4:$A$253,$A47,$G$4:$G$253,"&gt;0"))&lt;=0,0,MAX(0,(SUMIF(Compras!$A:$A,$A47,Compras!$D:$D)-SUMIFS($G$4:$G$253,$A$4:$A$253,$A47,$G$4:$G$253,"&gt;0")))*$C47/(SUMIF($A$4:$A$253,$A47,$C$4:$C$253)-SUMIFS($C$4:$C$253,$A$4:$A$253,$A47,$G$4:$G$253,"&gt;0")))))</f>
        <v/>
      </c>
      <c r="I47" s="15">
        <f>IF($A47="","",IF(COUNTIF(Projetos!$A:$A,$A47)=0,"projeto não cadastrado",""))</f>
        <v/>
      </c>
      <c r="J47" s="15">
        <f>IF($D47="","",IFERROR(MATCH($D47,Listas!$A$4:$A$15,0),""))</f>
        <v/>
      </c>
    </row>
    <row r="48">
      <c r="A48" s="12" t="n"/>
      <c r="B48" s="12" t="n"/>
      <c r="C48" s="13" t="n"/>
      <c r="D48" s="12" t="n"/>
      <c r="E48" s="12" t="n"/>
      <c r="F48" s="15">
        <f>IF($A48="","",IF($E48&lt;&gt;"","Instalado",IF($D48&lt;&gt;"","Fabricado","A produzir")))</f>
        <v/>
      </c>
      <c r="G48" s="13" t="n"/>
      <c r="H48" s="14">
        <f>IF($A48="","",IF($G48&gt;0,$G48,IF((SUMIF($A$4:$A$253,$A48,$C$4:$C$253)-SUMIFS($C$4:$C$253,$A$4:$A$253,$A48,$G$4:$G$253,"&gt;0"))&lt;=0,0,MAX(0,(SUMIF(Compras!$A:$A,$A48,Compras!$D:$D)-SUMIFS($G$4:$G$253,$A$4:$A$253,$A48,$G$4:$G$253,"&gt;0")))*$C48/(SUMIF($A$4:$A$253,$A48,$C$4:$C$253)-SUMIFS($C$4:$C$253,$A$4:$A$253,$A48,$G$4:$G$253,"&gt;0")))))</f>
        <v/>
      </c>
      <c r="I48" s="15">
        <f>IF($A48="","",IF(COUNTIF(Projetos!$A:$A,$A48)=0,"projeto não cadastrado",""))</f>
        <v/>
      </c>
      <c r="J48" s="15">
        <f>IF($D48="","",IFERROR(MATCH($D48,Listas!$A$4:$A$15,0),""))</f>
        <v/>
      </c>
    </row>
    <row r="49">
      <c r="A49" s="12" t="n"/>
      <c r="B49" s="12" t="n"/>
      <c r="C49" s="13" t="n"/>
      <c r="D49" s="12" t="n"/>
      <c r="E49" s="12" t="n"/>
      <c r="F49" s="15">
        <f>IF($A49="","",IF($E49&lt;&gt;"","Instalado",IF($D49&lt;&gt;"","Fabricado","A produzir")))</f>
        <v/>
      </c>
      <c r="G49" s="13" t="n"/>
      <c r="H49" s="14">
        <f>IF($A49="","",IF($G49&gt;0,$G49,IF((SUMIF($A$4:$A$253,$A49,$C$4:$C$253)-SUMIFS($C$4:$C$253,$A$4:$A$253,$A49,$G$4:$G$253,"&gt;0"))&lt;=0,0,MAX(0,(SUMIF(Compras!$A:$A,$A49,Compras!$D:$D)-SUMIFS($G$4:$G$253,$A$4:$A$253,$A49,$G$4:$G$253,"&gt;0")))*$C49/(SUMIF($A$4:$A$253,$A49,$C$4:$C$253)-SUMIFS($C$4:$C$253,$A$4:$A$253,$A49,$G$4:$G$253,"&gt;0")))))</f>
        <v/>
      </c>
      <c r="I49" s="15">
        <f>IF($A49="","",IF(COUNTIF(Projetos!$A:$A,$A49)=0,"projeto não cadastrado",""))</f>
        <v/>
      </c>
      <c r="J49" s="15">
        <f>IF($D49="","",IFERROR(MATCH($D49,Listas!$A$4:$A$15,0),""))</f>
        <v/>
      </c>
    </row>
    <row r="50">
      <c r="A50" s="12" t="n"/>
      <c r="B50" s="12" t="n"/>
      <c r="C50" s="13" t="n"/>
      <c r="D50" s="12" t="n"/>
      <c r="E50" s="12" t="n"/>
      <c r="F50" s="15">
        <f>IF($A50="","",IF($E50&lt;&gt;"","Instalado",IF($D50&lt;&gt;"","Fabricado","A produzir")))</f>
        <v/>
      </c>
      <c r="G50" s="13" t="n"/>
      <c r="H50" s="14">
        <f>IF($A50="","",IF($G50&gt;0,$G50,IF((SUMIF($A$4:$A$253,$A50,$C$4:$C$253)-SUMIFS($C$4:$C$253,$A$4:$A$253,$A50,$G$4:$G$253,"&gt;0"))&lt;=0,0,MAX(0,(SUMIF(Compras!$A:$A,$A50,Compras!$D:$D)-SUMIFS($G$4:$G$253,$A$4:$A$253,$A50,$G$4:$G$253,"&gt;0")))*$C50/(SUMIF($A$4:$A$253,$A50,$C$4:$C$253)-SUMIFS($C$4:$C$253,$A$4:$A$253,$A50,$G$4:$G$253,"&gt;0")))))</f>
        <v/>
      </c>
      <c r="I50" s="15">
        <f>IF($A50="","",IF(COUNTIF(Projetos!$A:$A,$A50)=0,"projeto não cadastrado",""))</f>
        <v/>
      </c>
      <c r="J50" s="15">
        <f>IF($D50="","",IFERROR(MATCH($D50,Listas!$A$4:$A$15,0),""))</f>
        <v/>
      </c>
    </row>
    <row r="51">
      <c r="A51" s="12" t="n"/>
      <c r="B51" s="12" t="n"/>
      <c r="C51" s="13" t="n"/>
      <c r="D51" s="12" t="n"/>
      <c r="E51" s="12" t="n"/>
      <c r="F51" s="15">
        <f>IF($A51="","",IF($E51&lt;&gt;"","Instalado",IF($D51&lt;&gt;"","Fabricado","A produzir")))</f>
        <v/>
      </c>
      <c r="G51" s="13" t="n"/>
      <c r="H51" s="14">
        <f>IF($A51="","",IF($G51&gt;0,$G51,IF((SUMIF($A$4:$A$253,$A51,$C$4:$C$253)-SUMIFS($C$4:$C$253,$A$4:$A$253,$A51,$G$4:$G$253,"&gt;0"))&lt;=0,0,MAX(0,(SUMIF(Compras!$A:$A,$A51,Compras!$D:$D)-SUMIFS($G$4:$G$253,$A$4:$A$253,$A51,$G$4:$G$253,"&gt;0")))*$C51/(SUMIF($A$4:$A$253,$A51,$C$4:$C$253)-SUMIFS($C$4:$C$253,$A$4:$A$253,$A51,$G$4:$G$253,"&gt;0")))))</f>
        <v/>
      </c>
      <c r="I51" s="15">
        <f>IF($A51="","",IF(COUNTIF(Projetos!$A:$A,$A51)=0,"projeto não cadastrado",""))</f>
        <v/>
      </c>
      <c r="J51" s="15">
        <f>IF($D51="","",IFERROR(MATCH($D51,Listas!$A$4:$A$15,0),""))</f>
        <v/>
      </c>
    </row>
    <row r="52">
      <c r="A52" s="12" t="n"/>
      <c r="B52" s="12" t="n"/>
      <c r="C52" s="13" t="n"/>
      <c r="D52" s="12" t="n"/>
      <c r="E52" s="12" t="n"/>
      <c r="F52" s="15">
        <f>IF($A52="","",IF($E52&lt;&gt;"","Instalado",IF($D52&lt;&gt;"","Fabricado","A produzir")))</f>
        <v/>
      </c>
      <c r="G52" s="13" t="n"/>
      <c r="H52" s="14">
        <f>IF($A52="","",IF($G52&gt;0,$G52,IF((SUMIF($A$4:$A$253,$A52,$C$4:$C$253)-SUMIFS($C$4:$C$253,$A$4:$A$253,$A52,$G$4:$G$253,"&gt;0"))&lt;=0,0,MAX(0,(SUMIF(Compras!$A:$A,$A52,Compras!$D:$D)-SUMIFS($G$4:$G$253,$A$4:$A$253,$A52,$G$4:$G$253,"&gt;0")))*$C52/(SUMIF($A$4:$A$253,$A52,$C$4:$C$253)-SUMIFS($C$4:$C$253,$A$4:$A$253,$A52,$G$4:$G$253,"&gt;0")))))</f>
        <v/>
      </c>
      <c r="I52" s="15">
        <f>IF($A52="","",IF(COUNTIF(Projetos!$A:$A,$A52)=0,"projeto não cadastrado",""))</f>
        <v/>
      </c>
      <c r="J52" s="15">
        <f>IF($D52="","",IFERROR(MATCH($D52,Listas!$A$4:$A$15,0),""))</f>
        <v/>
      </c>
    </row>
    <row r="53">
      <c r="A53" s="12" t="n"/>
      <c r="B53" s="12" t="n"/>
      <c r="C53" s="13" t="n"/>
      <c r="D53" s="12" t="n"/>
      <c r="E53" s="12" t="n"/>
      <c r="F53" s="15">
        <f>IF($A53="","",IF($E53&lt;&gt;"","Instalado",IF($D53&lt;&gt;"","Fabricado","A produzir")))</f>
        <v/>
      </c>
      <c r="G53" s="13" t="n"/>
      <c r="H53" s="14">
        <f>IF($A53="","",IF($G53&gt;0,$G53,IF((SUMIF($A$4:$A$253,$A53,$C$4:$C$253)-SUMIFS($C$4:$C$253,$A$4:$A$253,$A53,$G$4:$G$253,"&gt;0"))&lt;=0,0,MAX(0,(SUMIF(Compras!$A:$A,$A53,Compras!$D:$D)-SUMIFS($G$4:$G$253,$A$4:$A$253,$A53,$G$4:$G$253,"&gt;0")))*$C53/(SUMIF($A$4:$A$253,$A53,$C$4:$C$253)-SUMIFS($C$4:$C$253,$A$4:$A$253,$A53,$G$4:$G$253,"&gt;0")))))</f>
        <v/>
      </c>
      <c r="I53" s="15">
        <f>IF($A53="","",IF(COUNTIF(Projetos!$A:$A,$A53)=0,"projeto não cadastrado",""))</f>
        <v/>
      </c>
      <c r="J53" s="15">
        <f>IF($D53="","",IFERROR(MATCH($D53,Listas!$A$4:$A$15,0),""))</f>
        <v/>
      </c>
    </row>
    <row r="54">
      <c r="A54" s="12" t="n"/>
      <c r="B54" s="12" t="n"/>
      <c r="C54" s="13" t="n"/>
      <c r="D54" s="12" t="n"/>
      <c r="E54" s="12" t="n"/>
      <c r="F54" s="15">
        <f>IF($A54="","",IF($E54&lt;&gt;"","Instalado",IF($D54&lt;&gt;"","Fabricado","A produzir")))</f>
        <v/>
      </c>
      <c r="G54" s="13" t="n"/>
      <c r="H54" s="14">
        <f>IF($A54="","",IF($G54&gt;0,$G54,IF((SUMIF($A$4:$A$253,$A54,$C$4:$C$253)-SUMIFS($C$4:$C$253,$A$4:$A$253,$A54,$G$4:$G$253,"&gt;0"))&lt;=0,0,MAX(0,(SUMIF(Compras!$A:$A,$A54,Compras!$D:$D)-SUMIFS($G$4:$G$253,$A$4:$A$253,$A54,$G$4:$G$253,"&gt;0")))*$C54/(SUMIF($A$4:$A$253,$A54,$C$4:$C$253)-SUMIFS($C$4:$C$253,$A$4:$A$253,$A54,$G$4:$G$253,"&gt;0")))))</f>
        <v/>
      </c>
      <c r="I54" s="15">
        <f>IF($A54="","",IF(COUNTIF(Projetos!$A:$A,$A54)=0,"projeto não cadastrado",""))</f>
        <v/>
      </c>
      <c r="J54" s="15">
        <f>IF($D54="","",IFERROR(MATCH($D54,Listas!$A$4:$A$15,0),""))</f>
        <v/>
      </c>
    </row>
    <row r="55">
      <c r="A55" s="12" t="n"/>
      <c r="B55" s="12" t="n"/>
      <c r="C55" s="13" t="n"/>
      <c r="D55" s="12" t="n"/>
      <c r="E55" s="12" t="n"/>
      <c r="F55" s="15">
        <f>IF($A55="","",IF($E55&lt;&gt;"","Instalado",IF($D55&lt;&gt;"","Fabricado","A produzir")))</f>
        <v/>
      </c>
      <c r="G55" s="13" t="n"/>
      <c r="H55" s="14">
        <f>IF($A55="","",IF($G55&gt;0,$G55,IF((SUMIF($A$4:$A$253,$A55,$C$4:$C$253)-SUMIFS($C$4:$C$253,$A$4:$A$253,$A55,$G$4:$G$253,"&gt;0"))&lt;=0,0,MAX(0,(SUMIF(Compras!$A:$A,$A55,Compras!$D:$D)-SUMIFS($G$4:$G$253,$A$4:$A$253,$A55,$G$4:$G$253,"&gt;0")))*$C55/(SUMIF($A$4:$A$253,$A55,$C$4:$C$253)-SUMIFS($C$4:$C$253,$A$4:$A$253,$A55,$G$4:$G$253,"&gt;0")))))</f>
        <v/>
      </c>
      <c r="I55" s="15">
        <f>IF($A55="","",IF(COUNTIF(Projetos!$A:$A,$A55)=0,"projeto não cadastrado",""))</f>
        <v/>
      </c>
      <c r="J55" s="15">
        <f>IF($D55="","",IFERROR(MATCH($D55,Listas!$A$4:$A$15,0),""))</f>
        <v/>
      </c>
    </row>
    <row r="56">
      <c r="A56" s="12" t="n"/>
      <c r="B56" s="12" t="n"/>
      <c r="C56" s="13" t="n"/>
      <c r="D56" s="12" t="n"/>
      <c r="E56" s="12" t="n"/>
      <c r="F56" s="15">
        <f>IF($A56="","",IF($E56&lt;&gt;"","Instalado",IF($D56&lt;&gt;"","Fabricado","A produzir")))</f>
        <v/>
      </c>
      <c r="G56" s="13" t="n"/>
      <c r="H56" s="14">
        <f>IF($A56="","",IF($G56&gt;0,$G56,IF((SUMIF($A$4:$A$253,$A56,$C$4:$C$253)-SUMIFS($C$4:$C$253,$A$4:$A$253,$A56,$G$4:$G$253,"&gt;0"))&lt;=0,0,MAX(0,(SUMIF(Compras!$A:$A,$A56,Compras!$D:$D)-SUMIFS($G$4:$G$253,$A$4:$A$253,$A56,$G$4:$G$253,"&gt;0")))*$C56/(SUMIF($A$4:$A$253,$A56,$C$4:$C$253)-SUMIFS($C$4:$C$253,$A$4:$A$253,$A56,$G$4:$G$253,"&gt;0")))))</f>
        <v/>
      </c>
      <c r="I56" s="15">
        <f>IF($A56="","",IF(COUNTIF(Projetos!$A:$A,$A56)=0,"projeto não cadastrado",""))</f>
        <v/>
      </c>
      <c r="J56" s="15">
        <f>IF($D56="","",IFERROR(MATCH($D56,Listas!$A$4:$A$15,0),""))</f>
        <v/>
      </c>
    </row>
    <row r="57">
      <c r="A57" s="12" t="n"/>
      <c r="B57" s="12" t="n"/>
      <c r="C57" s="13" t="n"/>
      <c r="D57" s="12" t="n"/>
      <c r="E57" s="12" t="n"/>
      <c r="F57" s="15">
        <f>IF($A57="","",IF($E57&lt;&gt;"","Instalado",IF($D57&lt;&gt;"","Fabricado","A produzir")))</f>
        <v/>
      </c>
      <c r="G57" s="13" t="n"/>
      <c r="H57" s="14">
        <f>IF($A57="","",IF($G57&gt;0,$G57,IF((SUMIF($A$4:$A$253,$A57,$C$4:$C$253)-SUMIFS($C$4:$C$253,$A$4:$A$253,$A57,$G$4:$G$253,"&gt;0"))&lt;=0,0,MAX(0,(SUMIF(Compras!$A:$A,$A57,Compras!$D:$D)-SUMIFS($G$4:$G$253,$A$4:$A$253,$A57,$G$4:$G$253,"&gt;0")))*$C57/(SUMIF($A$4:$A$253,$A57,$C$4:$C$253)-SUMIFS($C$4:$C$253,$A$4:$A$253,$A57,$G$4:$G$253,"&gt;0")))))</f>
        <v/>
      </c>
      <c r="I57" s="15">
        <f>IF($A57="","",IF(COUNTIF(Projetos!$A:$A,$A57)=0,"projeto não cadastrado",""))</f>
        <v/>
      </c>
      <c r="J57" s="15">
        <f>IF($D57="","",IFERROR(MATCH($D57,Listas!$A$4:$A$15,0),""))</f>
        <v/>
      </c>
    </row>
    <row r="58">
      <c r="A58" s="12" t="n"/>
      <c r="B58" s="12" t="n"/>
      <c r="C58" s="13" t="n"/>
      <c r="D58" s="12" t="n"/>
      <c r="E58" s="12" t="n"/>
      <c r="F58" s="15">
        <f>IF($A58="","",IF($E58&lt;&gt;"","Instalado",IF($D58&lt;&gt;"","Fabricado","A produzir")))</f>
        <v/>
      </c>
      <c r="G58" s="13" t="n"/>
      <c r="H58" s="14">
        <f>IF($A58="","",IF($G58&gt;0,$G58,IF((SUMIF($A$4:$A$253,$A58,$C$4:$C$253)-SUMIFS($C$4:$C$253,$A$4:$A$253,$A58,$G$4:$G$253,"&gt;0"))&lt;=0,0,MAX(0,(SUMIF(Compras!$A:$A,$A58,Compras!$D:$D)-SUMIFS($G$4:$G$253,$A$4:$A$253,$A58,$G$4:$G$253,"&gt;0")))*$C58/(SUMIF($A$4:$A$253,$A58,$C$4:$C$253)-SUMIFS($C$4:$C$253,$A$4:$A$253,$A58,$G$4:$G$253,"&gt;0")))))</f>
        <v/>
      </c>
      <c r="I58" s="15">
        <f>IF($A58="","",IF(COUNTIF(Projetos!$A:$A,$A58)=0,"projeto não cadastrado",""))</f>
        <v/>
      </c>
      <c r="J58" s="15">
        <f>IF($D58="","",IFERROR(MATCH($D58,Listas!$A$4:$A$15,0),""))</f>
        <v/>
      </c>
    </row>
    <row r="59">
      <c r="A59" s="12" t="n"/>
      <c r="B59" s="12" t="n"/>
      <c r="C59" s="13" t="n"/>
      <c r="D59" s="12" t="n"/>
      <c r="E59" s="12" t="n"/>
      <c r="F59" s="15">
        <f>IF($A59="","",IF($E59&lt;&gt;"","Instalado",IF($D59&lt;&gt;"","Fabricado","A produzir")))</f>
        <v/>
      </c>
      <c r="G59" s="13" t="n"/>
      <c r="H59" s="14">
        <f>IF($A59="","",IF($G59&gt;0,$G59,IF((SUMIF($A$4:$A$253,$A59,$C$4:$C$253)-SUMIFS($C$4:$C$253,$A$4:$A$253,$A59,$G$4:$G$253,"&gt;0"))&lt;=0,0,MAX(0,(SUMIF(Compras!$A:$A,$A59,Compras!$D:$D)-SUMIFS($G$4:$G$253,$A$4:$A$253,$A59,$G$4:$G$253,"&gt;0")))*$C59/(SUMIF($A$4:$A$253,$A59,$C$4:$C$253)-SUMIFS($C$4:$C$253,$A$4:$A$253,$A59,$G$4:$G$253,"&gt;0")))))</f>
        <v/>
      </c>
      <c r="I59" s="15">
        <f>IF($A59="","",IF(COUNTIF(Projetos!$A:$A,$A59)=0,"projeto não cadastrado",""))</f>
        <v/>
      </c>
      <c r="J59" s="15">
        <f>IF($D59="","",IFERROR(MATCH($D59,Listas!$A$4:$A$15,0),""))</f>
        <v/>
      </c>
    </row>
    <row r="60">
      <c r="A60" s="12" t="n"/>
      <c r="B60" s="12" t="n"/>
      <c r="C60" s="13" t="n"/>
      <c r="D60" s="12" t="n"/>
      <c r="E60" s="12" t="n"/>
      <c r="F60" s="15">
        <f>IF($A60="","",IF($E60&lt;&gt;"","Instalado",IF($D60&lt;&gt;"","Fabricado","A produzir")))</f>
        <v/>
      </c>
      <c r="G60" s="13" t="n"/>
      <c r="H60" s="14">
        <f>IF($A60="","",IF($G60&gt;0,$G60,IF((SUMIF($A$4:$A$253,$A60,$C$4:$C$253)-SUMIFS($C$4:$C$253,$A$4:$A$253,$A60,$G$4:$G$253,"&gt;0"))&lt;=0,0,MAX(0,(SUMIF(Compras!$A:$A,$A60,Compras!$D:$D)-SUMIFS($G$4:$G$253,$A$4:$A$253,$A60,$G$4:$G$253,"&gt;0")))*$C60/(SUMIF($A$4:$A$253,$A60,$C$4:$C$253)-SUMIFS($C$4:$C$253,$A$4:$A$253,$A60,$G$4:$G$253,"&gt;0")))))</f>
        <v/>
      </c>
      <c r="I60" s="15">
        <f>IF($A60="","",IF(COUNTIF(Projetos!$A:$A,$A60)=0,"projeto não cadastrado",""))</f>
        <v/>
      </c>
      <c r="J60" s="15">
        <f>IF($D60="","",IFERROR(MATCH($D60,Listas!$A$4:$A$15,0),""))</f>
        <v/>
      </c>
    </row>
    <row r="61">
      <c r="A61" s="12" t="n"/>
      <c r="B61" s="12" t="n"/>
      <c r="C61" s="13" t="n"/>
      <c r="D61" s="12" t="n"/>
      <c r="E61" s="12" t="n"/>
      <c r="F61" s="15">
        <f>IF($A61="","",IF($E61&lt;&gt;"","Instalado",IF($D61&lt;&gt;"","Fabricado","A produzir")))</f>
        <v/>
      </c>
      <c r="G61" s="13" t="n"/>
      <c r="H61" s="14">
        <f>IF($A61="","",IF($G61&gt;0,$G61,IF((SUMIF($A$4:$A$253,$A61,$C$4:$C$253)-SUMIFS($C$4:$C$253,$A$4:$A$253,$A61,$G$4:$G$253,"&gt;0"))&lt;=0,0,MAX(0,(SUMIF(Compras!$A:$A,$A61,Compras!$D:$D)-SUMIFS($G$4:$G$253,$A$4:$A$253,$A61,$G$4:$G$253,"&gt;0")))*$C61/(SUMIF($A$4:$A$253,$A61,$C$4:$C$253)-SUMIFS($C$4:$C$253,$A$4:$A$253,$A61,$G$4:$G$253,"&gt;0")))))</f>
        <v/>
      </c>
      <c r="I61" s="15">
        <f>IF($A61="","",IF(COUNTIF(Projetos!$A:$A,$A61)=0,"projeto não cadastrado",""))</f>
        <v/>
      </c>
      <c r="J61" s="15">
        <f>IF($D61="","",IFERROR(MATCH($D61,Listas!$A$4:$A$15,0),""))</f>
        <v/>
      </c>
    </row>
    <row r="62">
      <c r="A62" s="12" t="n"/>
      <c r="B62" s="12" t="n"/>
      <c r="C62" s="13" t="n"/>
      <c r="D62" s="12" t="n"/>
      <c r="E62" s="12" t="n"/>
      <c r="F62" s="15">
        <f>IF($A62="","",IF($E62&lt;&gt;"","Instalado",IF($D62&lt;&gt;"","Fabricado","A produzir")))</f>
        <v/>
      </c>
      <c r="G62" s="13" t="n"/>
      <c r="H62" s="14">
        <f>IF($A62="","",IF($G62&gt;0,$G62,IF((SUMIF($A$4:$A$253,$A62,$C$4:$C$253)-SUMIFS($C$4:$C$253,$A$4:$A$253,$A62,$G$4:$G$253,"&gt;0"))&lt;=0,0,MAX(0,(SUMIF(Compras!$A:$A,$A62,Compras!$D:$D)-SUMIFS($G$4:$G$253,$A$4:$A$253,$A62,$G$4:$G$253,"&gt;0")))*$C62/(SUMIF($A$4:$A$253,$A62,$C$4:$C$253)-SUMIFS($C$4:$C$253,$A$4:$A$253,$A62,$G$4:$G$253,"&gt;0")))))</f>
        <v/>
      </c>
      <c r="I62" s="15">
        <f>IF($A62="","",IF(COUNTIF(Projetos!$A:$A,$A62)=0,"projeto não cadastrado",""))</f>
        <v/>
      </c>
      <c r="J62" s="15">
        <f>IF($D62="","",IFERROR(MATCH($D62,Listas!$A$4:$A$15,0),""))</f>
        <v/>
      </c>
    </row>
    <row r="63">
      <c r="A63" s="12" t="n"/>
      <c r="B63" s="12" t="n"/>
      <c r="C63" s="13" t="n"/>
      <c r="D63" s="12" t="n"/>
      <c r="E63" s="12" t="n"/>
      <c r="F63" s="15">
        <f>IF($A63="","",IF($E63&lt;&gt;"","Instalado",IF($D63&lt;&gt;"","Fabricado","A produzir")))</f>
        <v/>
      </c>
      <c r="G63" s="13" t="n"/>
      <c r="H63" s="14">
        <f>IF($A63="","",IF($G63&gt;0,$G63,IF((SUMIF($A$4:$A$253,$A63,$C$4:$C$253)-SUMIFS($C$4:$C$253,$A$4:$A$253,$A63,$G$4:$G$253,"&gt;0"))&lt;=0,0,MAX(0,(SUMIF(Compras!$A:$A,$A63,Compras!$D:$D)-SUMIFS($G$4:$G$253,$A$4:$A$253,$A63,$G$4:$G$253,"&gt;0")))*$C63/(SUMIF($A$4:$A$253,$A63,$C$4:$C$253)-SUMIFS($C$4:$C$253,$A$4:$A$253,$A63,$G$4:$G$253,"&gt;0")))))</f>
        <v/>
      </c>
      <c r="I63" s="15">
        <f>IF($A63="","",IF(COUNTIF(Projetos!$A:$A,$A63)=0,"projeto não cadastrado",""))</f>
        <v/>
      </c>
      <c r="J63" s="15">
        <f>IF($D63="","",IFERROR(MATCH($D63,Listas!$A$4:$A$15,0),""))</f>
        <v/>
      </c>
    </row>
    <row r="64">
      <c r="A64" s="12" t="n"/>
      <c r="B64" s="12" t="n"/>
      <c r="C64" s="13" t="n"/>
      <c r="D64" s="12" t="n"/>
      <c r="E64" s="12" t="n"/>
      <c r="F64" s="15">
        <f>IF($A64="","",IF($E64&lt;&gt;"","Instalado",IF($D64&lt;&gt;"","Fabricado","A produzir")))</f>
        <v/>
      </c>
      <c r="G64" s="13" t="n"/>
      <c r="H64" s="14">
        <f>IF($A64="","",IF($G64&gt;0,$G64,IF((SUMIF($A$4:$A$253,$A64,$C$4:$C$253)-SUMIFS($C$4:$C$253,$A$4:$A$253,$A64,$G$4:$G$253,"&gt;0"))&lt;=0,0,MAX(0,(SUMIF(Compras!$A:$A,$A64,Compras!$D:$D)-SUMIFS($G$4:$G$253,$A$4:$A$253,$A64,$G$4:$G$253,"&gt;0")))*$C64/(SUMIF($A$4:$A$253,$A64,$C$4:$C$253)-SUMIFS($C$4:$C$253,$A$4:$A$253,$A64,$G$4:$G$253,"&gt;0")))))</f>
        <v/>
      </c>
      <c r="I64" s="15">
        <f>IF($A64="","",IF(COUNTIF(Projetos!$A:$A,$A64)=0,"projeto não cadastrado",""))</f>
        <v/>
      </c>
      <c r="J64" s="15">
        <f>IF($D64="","",IFERROR(MATCH($D64,Listas!$A$4:$A$15,0),""))</f>
        <v/>
      </c>
    </row>
    <row r="65">
      <c r="A65" s="12" t="n"/>
      <c r="B65" s="12" t="n"/>
      <c r="C65" s="13" t="n"/>
      <c r="D65" s="12" t="n"/>
      <c r="E65" s="12" t="n"/>
      <c r="F65" s="15">
        <f>IF($A65="","",IF($E65&lt;&gt;"","Instalado",IF($D65&lt;&gt;"","Fabricado","A produzir")))</f>
        <v/>
      </c>
      <c r="G65" s="13" t="n"/>
      <c r="H65" s="14">
        <f>IF($A65="","",IF($G65&gt;0,$G65,IF((SUMIF($A$4:$A$253,$A65,$C$4:$C$253)-SUMIFS($C$4:$C$253,$A$4:$A$253,$A65,$G$4:$G$253,"&gt;0"))&lt;=0,0,MAX(0,(SUMIF(Compras!$A:$A,$A65,Compras!$D:$D)-SUMIFS($G$4:$G$253,$A$4:$A$253,$A65,$G$4:$G$253,"&gt;0")))*$C65/(SUMIF($A$4:$A$253,$A65,$C$4:$C$253)-SUMIFS($C$4:$C$253,$A$4:$A$253,$A65,$G$4:$G$253,"&gt;0")))))</f>
        <v/>
      </c>
      <c r="I65" s="15">
        <f>IF($A65="","",IF(COUNTIF(Projetos!$A:$A,$A65)=0,"projeto não cadastrado",""))</f>
        <v/>
      </c>
      <c r="J65" s="15">
        <f>IF($D65="","",IFERROR(MATCH($D65,Listas!$A$4:$A$15,0),""))</f>
        <v/>
      </c>
    </row>
    <row r="66">
      <c r="A66" s="12" t="n"/>
      <c r="B66" s="12" t="n"/>
      <c r="C66" s="13" t="n"/>
      <c r="D66" s="12" t="n"/>
      <c r="E66" s="12" t="n"/>
      <c r="F66" s="15">
        <f>IF($A66="","",IF($E66&lt;&gt;"","Instalado",IF($D66&lt;&gt;"","Fabricado","A produzir")))</f>
        <v/>
      </c>
      <c r="G66" s="13" t="n"/>
      <c r="H66" s="14">
        <f>IF($A66="","",IF($G66&gt;0,$G66,IF((SUMIF($A$4:$A$253,$A66,$C$4:$C$253)-SUMIFS($C$4:$C$253,$A$4:$A$253,$A66,$G$4:$G$253,"&gt;0"))&lt;=0,0,MAX(0,(SUMIF(Compras!$A:$A,$A66,Compras!$D:$D)-SUMIFS($G$4:$G$253,$A$4:$A$253,$A66,$G$4:$G$253,"&gt;0")))*$C66/(SUMIF($A$4:$A$253,$A66,$C$4:$C$253)-SUMIFS($C$4:$C$253,$A$4:$A$253,$A66,$G$4:$G$253,"&gt;0")))))</f>
        <v/>
      </c>
      <c r="I66" s="15">
        <f>IF($A66="","",IF(COUNTIF(Projetos!$A:$A,$A66)=0,"projeto não cadastrado",""))</f>
        <v/>
      </c>
      <c r="J66" s="15">
        <f>IF($D66="","",IFERROR(MATCH($D66,Listas!$A$4:$A$15,0),""))</f>
        <v/>
      </c>
    </row>
    <row r="67">
      <c r="A67" s="12" t="n"/>
      <c r="B67" s="12" t="n"/>
      <c r="C67" s="13" t="n"/>
      <c r="D67" s="12" t="n"/>
      <c r="E67" s="12" t="n"/>
      <c r="F67" s="15">
        <f>IF($A67="","",IF($E67&lt;&gt;"","Instalado",IF($D67&lt;&gt;"","Fabricado","A produzir")))</f>
        <v/>
      </c>
      <c r="G67" s="13" t="n"/>
      <c r="H67" s="14">
        <f>IF($A67="","",IF($G67&gt;0,$G67,IF((SUMIF($A$4:$A$253,$A67,$C$4:$C$253)-SUMIFS($C$4:$C$253,$A$4:$A$253,$A67,$G$4:$G$253,"&gt;0"))&lt;=0,0,MAX(0,(SUMIF(Compras!$A:$A,$A67,Compras!$D:$D)-SUMIFS($G$4:$G$253,$A$4:$A$253,$A67,$G$4:$G$253,"&gt;0")))*$C67/(SUMIF($A$4:$A$253,$A67,$C$4:$C$253)-SUMIFS($C$4:$C$253,$A$4:$A$253,$A67,$G$4:$G$253,"&gt;0")))))</f>
        <v/>
      </c>
      <c r="I67" s="15">
        <f>IF($A67="","",IF(COUNTIF(Projetos!$A:$A,$A67)=0,"projeto não cadastrado",""))</f>
        <v/>
      </c>
      <c r="J67" s="15">
        <f>IF($D67="","",IFERROR(MATCH($D67,Listas!$A$4:$A$15,0),""))</f>
        <v/>
      </c>
    </row>
    <row r="68">
      <c r="A68" s="12" t="n"/>
      <c r="B68" s="12" t="n"/>
      <c r="C68" s="13" t="n"/>
      <c r="D68" s="12" t="n"/>
      <c r="E68" s="12" t="n"/>
      <c r="F68" s="15">
        <f>IF($A68="","",IF($E68&lt;&gt;"","Instalado",IF($D68&lt;&gt;"","Fabricado","A produzir")))</f>
        <v/>
      </c>
      <c r="G68" s="13" t="n"/>
      <c r="H68" s="14">
        <f>IF($A68="","",IF($G68&gt;0,$G68,IF((SUMIF($A$4:$A$253,$A68,$C$4:$C$253)-SUMIFS($C$4:$C$253,$A$4:$A$253,$A68,$G$4:$G$253,"&gt;0"))&lt;=0,0,MAX(0,(SUMIF(Compras!$A:$A,$A68,Compras!$D:$D)-SUMIFS($G$4:$G$253,$A$4:$A$253,$A68,$G$4:$G$253,"&gt;0")))*$C68/(SUMIF($A$4:$A$253,$A68,$C$4:$C$253)-SUMIFS($C$4:$C$253,$A$4:$A$253,$A68,$G$4:$G$253,"&gt;0")))))</f>
        <v/>
      </c>
      <c r="I68" s="15">
        <f>IF($A68="","",IF(COUNTIF(Projetos!$A:$A,$A68)=0,"projeto não cadastrado",""))</f>
        <v/>
      </c>
      <c r="J68" s="15">
        <f>IF($D68="","",IFERROR(MATCH($D68,Listas!$A$4:$A$15,0),""))</f>
        <v/>
      </c>
    </row>
    <row r="69">
      <c r="A69" s="12" t="n"/>
      <c r="B69" s="12" t="n"/>
      <c r="C69" s="13" t="n"/>
      <c r="D69" s="12" t="n"/>
      <c r="E69" s="12" t="n"/>
      <c r="F69" s="15">
        <f>IF($A69="","",IF($E69&lt;&gt;"","Instalado",IF($D69&lt;&gt;"","Fabricado","A produzir")))</f>
        <v/>
      </c>
      <c r="G69" s="13" t="n"/>
      <c r="H69" s="14">
        <f>IF($A69="","",IF($G69&gt;0,$G69,IF((SUMIF($A$4:$A$253,$A69,$C$4:$C$253)-SUMIFS($C$4:$C$253,$A$4:$A$253,$A69,$G$4:$G$253,"&gt;0"))&lt;=0,0,MAX(0,(SUMIF(Compras!$A:$A,$A69,Compras!$D:$D)-SUMIFS($G$4:$G$253,$A$4:$A$253,$A69,$G$4:$G$253,"&gt;0")))*$C69/(SUMIF($A$4:$A$253,$A69,$C$4:$C$253)-SUMIFS($C$4:$C$253,$A$4:$A$253,$A69,$G$4:$G$253,"&gt;0")))))</f>
        <v/>
      </c>
      <c r="I69" s="15">
        <f>IF($A69="","",IF(COUNTIF(Projetos!$A:$A,$A69)=0,"projeto não cadastrado",""))</f>
        <v/>
      </c>
      <c r="J69" s="15">
        <f>IF($D69="","",IFERROR(MATCH($D69,Listas!$A$4:$A$15,0),""))</f>
        <v/>
      </c>
    </row>
    <row r="70">
      <c r="A70" s="12" t="n"/>
      <c r="B70" s="12" t="n"/>
      <c r="C70" s="13" t="n"/>
      <c r="D70" s="12" t="n"/>
      <c r="E70" s="12" t="n"/>
      <c r="F70" s="15">
        <f>IF($A70="","",IF($E70&lt;&gt;"","Instalado",IF($D70&lt;&gt;"","Fabricado","A produzir")))</f>
        <v/>
      </c>
      <c r="G70" s="13" t="n"/>
      <c r="H70" s="14">
        <f>IF($A70="","",IF($G70&gt;0,$G70,IF((SUMIF($A$4:$A$253,$A70,$C$4:$C$253)-SUMIFS($C$4:$C$253,$A$4:$A$253,$A70,$G$4:$G$253,"&gt;0"))&lt;=0,0,MAX(0,(SUMIF(Compras!$A:$A,$A70,Compras!$D:$D)-SUMIFS($G$4:$G$253,$A$4:$A$253,$A70,$G$4:$G$253,"&gt;0")))*$C70/(SUMIF($A$4:$A$253,$A70,$C$4:$C$253)-SUMIFS($C$4:$C$253,$A$4:$A$253,$A70,$G$4:$G$253,"&gt;0")))))</f>
        <v/>
      </c>
      <c r="I70" s="15">
        <f>IF($A70="","",IF(COUNTIF(Projetos!$A:$A,$A70)=0,"projeto não cadastrado",""))</f>
        <v/>
      </c>
      <c r="J70" s="15">
        <f>IF($D70="","",IFERROR(MATCH($D70,Listas!$A$4:$A$15,0),""))</f>
        <v/>
      </c>
    </row>
    <row r="71">
      <c r="A71" s="12" t="n"/>
      <c r="B71" s="12" t="n"/>
      <c r="C71" s="13" t="n"/>
      <c r="D71" s="12" t="n"/>
      <c r="E71" s="12" t="n"/>
      <c r="F71" s="15">
        <f>IF($A71="","",IF($E71&lt;&gt;"","Instalado",IF($D71&lt;&gt;"","Fabricado","A produzir")))</f>
        <v/>
      </c>
      <c r="G71" s="13" t="n"/>
      <c r="H71" s="14">
        <f>IF($A71="","",IF($G71&gt;0,$G71,IF((SUMIF($A$4:$A$253,$A71,$C$4:$C$253)-SUMIFS($C$4:$C$253,$A$4:$A$253,$A71,$G$4:$G$253,"&gt;0"))&lt;=0,0,MAX(0,(SUMIF(Compras!$A:$A,$A71,Compras!$D:$D)-SUMIFS($G$4:$G$253,$A$4:$A$253,$A71,$G$4:$G$253,"&gt;0")))*$C71/(SUMIF($A$4:$A$253,$A71,$C$4:$C$253)-SUMIFS($C$4:$C$253,$A$4:$A$253,$A71,$G$4:$G$253,"&gt;0")))))</f>
        <v/>
      </c>
      <c r="I71" s="15">
        <f>IF($A71="","",IF(COUNTIF(Projetos!$A:$A,$A71)=0,"projeto não cadastrado",""))</f>
        <v/>
      </c>
      <c r="J71" s="15">
        <f>IF($D71="","",IFERROR(MATCH($D71,Listas!$A$4:$A$15,0),""))</f>
        <v/>
      </c>
    </row>
    <row r="72">
      <c r="A72" s="12" t="n"/>
      <c r="B72" s="12" t="n"/>
      <c r="C72" s="13" t="n"/>
      <c r="D72" s="12" t="n"/>
      <c r="E72" s="12" t="n"/>
      <c r="F72" s="15">
        <f>IF($A72="","",IF($E72&lt;&gt;"","Instalado",IF($D72&lt;&gt;"","Fabricado","A produzir")))</f>
        <v/>
      </c>
      <c r="G72" s="13" t="n"/>
      <c r="H72" s="14">
        <f>IF($A72="","",IF($G72&gt;0,$G72,IF((SUMIF($A$4:$A$253,$A72,$C$4:$C$253)-SUMIFS($C$4:$C$253,$A$4:$A$253,$A72,$G$4:$G$253,"&gt;0"))&lt;=0,0,MAX(0,(SUMIF(Compras!$A:$A,$A72,Compras!$D:$D)-SUMIFS($G$4:$G$253,$A$4:$A$253,$A72,$G$4:$G$253,"&gt;0")))*$C72/(SUMIF($A$4:$A$253,$A72,$C$4:$C$253)-SUMIFS($C$4:$C$253,$A$4:$A$253,$A72,$G$4:$G$253,"&gt;0")))))</f>
        <v/>
      </c>
      <c r="I72" s="15">
        <f>IF($A72="","",IF(COUNTIF(Projetos!$A:$A,$A72)=0,"projeto não cadastrado",""))</f>
        <v/>
      </c>
      <c r="J72" s="15">
        <f>IF($D72="","",IFERROR(MATCH($D72,Listas!$A$4:$A$15,0),""))</f>
        <v/>
      </c>
    </row>
    <row r="73">
      <c r="A73" s="12" t="n"/>
      <c r="B73" s="12" t="n"/>
      <c r="C73" s="13" t="n"/>
      <c r="D73" s="12" t="n"/>
      <c r="E73" s="12" t="n"/>
      <c r="F73" s="15">
        <f>IF($A73="","",IF($E73&lt;&gt;"","Instalado",IF($D73&lt;&gt;"","Fabricado","A produzir")))</f>
        <v/>
      </c>
      <c r="G73" s="13" t="n"/>
      <c r="H73" s="14">
        <f>IF($A73="","",IF($G73&gt;0,$G73,IF((SUMIF($A$4:$A$253,$A73,$C$4:$C$253)-SUMIFS($C$4:$C$253,$A$4:$A$253,$A73,$G$4:$G$253,"&gt;0"))&lt;=0,0,MAX(0,(SUMIF(Compras!$A:$A,$A73,Compras!$D:$D)-SUMIFS($G$4:$G$253,$A$4:$A$253,$A73,$G$4:$G$253,"&gt;0")))*$C73/(SUMIF($A$4:$A$253,$A73,$C$4:$C$253)-SUMIFS($C$4:$C$253,$A$4:$A$253,$A73,$G$4:$G$253,"&gt;0")))))</f>
        <v/>
      </c>
      <c r="I73" s="15">
        <f>IF($A73="","",IF(COUNTIF(Projetos!$A:$A,$A73)=0,"projeto não cadastrado",""))</f>
        <v/>
      </c>
      <c r="J73" s="15">
        <f>IF($D73="","",IFERROR(MATCH($D73,Listas!$A$4:$A$15,0),""))</f>
        <v/>
      </c>
    </row>
    <row r="74">
      <c r="A74" s="12" t="n"/>
      <c r="B74" s="12" t="n"/>
      <c r="C74" s="13" t="n"/>
      <c r="D74" s="12" t="n"/>
      <c r="E74" s="12" t="n"/>
      <c r="F74" s="15">
        <f>IF($A74="","",IF($E74&lt;&gt;"","Instalado",IF($D74&lt;&gt;"","Fabricado","A produzir")))</f>
        <v/>
      </c>
      <c r="G74" s="13" t="n"/>
      <c r="H74" s="14">
        <f>IF($A74="","",IF($G74&gt;0,$G74,IF((SUMIF($A$4:$A$253,$A74,$C$4:$C$253)-SUMIFS($C$4:$C$253,$A$4:$A$253,$A74,$G$4:$G$253,"&gt;0"))&lt;=0,0,MAX(0,(SUMIF(Compras!$A:$A,$A74,Compras!$D:$D)-SUMIFS($G$4:$G$253,$A$4:$A$253,$A74,$G$4:$G$253,"&gt;0")))*$C74/(SUMIF($A$4:$A$253,$A74,$C$4:$C$253)-SUMIFS($C$4:$C$253,$A$4:$A$253,$A74,$G$4:$G$253,"&gt;0")))))</f>
        <v/>
      </c>
      <c r="I74" s="15">
        <f>IF($A74="","",IF(COUNTIF(Projetos!$A:$A,$A74)=0,"projeto não cadastrado",""))</f>
        <v/>
      </c>
      <c r="J74" s="15">
        <f>IF($D74="","",IFERROR(MATCH($D74,Listas!$A$4:$A$15,0),""))</f>
        <v/>
      </c>
    </row>
    <row r="75">
      <c r="A75" s="12" t="n"/>
      <c r="B75" s="12" t="n"/>
      <c r="C75" s="13" t="n"/>
      <c r="D75" s="12" t="n"/>
      <c r="E75" s="12" t="n"/>
      <c r="F75" s="15">
        <f>IF($A75="","",IF($E75&lt;&gt;"","Instalado",IF($D75&lt;&gt;"","Fabricado","A produzir")))</f>
        <v/>
      </c>
      <c r="G75" s="13" t="n"/>
      <c r="H75" s="14">
        <f>IF($A75="","",IF($G75&gt;0,$G75,IF((SUMIF($A$4:$A$253,$A75,$C$4:$C$253)-SUMIFS($C$4:$C$253,$A$4:$A$253,$A75,$G$4:$G$253,"&gt;0"))&lt;=0,0,MAX(0,(SUMIF(Compras!$A:$A,$A75,Compras!$D:$D)-SUMIFS($G$4:$G$253,$A$4:$A$253,$A75,$G$4:$G$253,"&gt;0")))*$C75/(SUMIF($A$4:$A$253,$A75,$C$4:$C$253)-SUMIFS($C$4:$C$253,$A$4:$A$253,$A75,$G$4:$G$253,"&gt;0")))))</f>
        <v/>
      </c>
      <c r="I75" s="15">
        <f>IF($A75="","",IF(COUNTIF(Projetos!$A:$A,$A75)=0,"projeto não cadastrado",""))</f>
        <v/>
      </c>
      <c r="J75" s="15">
        <f>IF($D75="","",IFERROR(MATCH($D75,Listas!$A$4:$A$15,0),""))</f>
        <v/>
      </c>
    </row>
    <row r="76">
      <c r="A76" s="12" t="n"/>
      <c r="B76" s="12" t="n"/>
      <c r="C76" s="13" t="n"/>
      <c r="D76" s="12" t="n"/>
      <c r="E76" s="12" t="n"/>
      <c r="F76" s="15">
        <f>IF($A76="","",IF($E76&lt;&gt;"","Instalado",IF($D76&lt;&gt;"","Fabricado","A produzir")))</f>
        <v/>
      </c>
      <c r="G76" s="13" t="n"/>
      <c r="H76" s="14">
        <f>IF($A76="","",IF($G76&gt;0,$G76,IF((SUMIF($A$4:$A$253,$A76,$C$4:$C$253)-SUMIFS($C$4:$C$253,$A$4:$A$253,$A76,$G$4:$G$253,"&gt;0"))&lt;=0,0,MAX(0,(SUMIF(Compras!$A:$A,$A76,Compras!$D:$D)-SUMIFS($G$4:$G$253,$A$4:$A$253,$A76,$G$4:$G$253,"&gt;0")))*$C76/(SUMIF($A$4:$A$253,$A76,$C$4:$C$253)-SUMIFS($C$4:$C$253,$A$4:$A$253,$A76,$G$4:$G$253,"&gt;0")))))</f>
        <v/>
      </c>
      <c r="I76" s="15">
        <f>IF($A76="","",IF(COUNTIF(Projetos!$A:$A,$A76)=0,"projeto não cadastrado",""))</f>
        <v/>
      </c>
      <c r="J76" s="15">
        <f>IF($D76="","",IFERROR(MATCH($D76,Listas!$A$4:$A$15,0),""))</f>
        <v/>
      </c>
    </row>
    <row r="77">
      <c r="A77" s="12" t="n"/>
      <c r="B77" s="12" t="n"/>
      <c r="C77" s="13" t="n"/>
      <c r="D77" s="12" t="n"/>
      <c r="E77" s="12" t="n"/>
      <c r="F77" s="15">
        <f>IF($A77="","",IF($E77&lt;&gt;"","Instalado",IF($D77&lt;&gt;"","Fabricado","A produzir")))</f>
        <v/>
      </c>
      <c r="G77" s="13" t="n"/>
      <c r="H77" s="14">
        <f>IF($A77="","",IF($G77&gt;0,$G77,IF((SUMIF($A$4:$A$253,$A77,$C$4:$C$253)-SUMIFS($C$4:$C$253,$A$4:$A$253,$A77,$G$4:$G$253,"&gt;0"))&lt;=0,0,MAX(0,(SUMIF(Compras!$A:$A,$A77,Compras!$D:$D)-SUMIFS($G$4:$G$253,$A$4:$A$253,$A77,$G$4:$G$253,"&gt;0")))*$C77/(SUMIF($A$4:$A$253,$A77,$C$4:$C$253)-SUMIFS($C$4:$C$253,$A$4:$A$253,$A77,$G$4:$G$253,"&gt;0")))))</f>
        <v/>
      </c>
      <c r="I77" s="15">
        <f>IF($A77="","",IF(COUNTIF(Projetos!$A:$A,$A77)=0,"projeto não cadastrado",""))</f>
        <v/>
      </c>
      <c r="J77" s="15">
        <f>IF($D77="","",IFERROR(MATCH($D77,Listas!$A$4:$A$15,0),""))</f>
        <v/>
      </c>
    </row>
    <row r="78">
      <c r="A78" s="12" t="n"/>
      <c r="B78" s="12" t="n"/>
      <c r="C78" s="13" t="n"/>
      <c r="D78" s="12" t="n"/>
      <c r="E78" s="12" t="n"/>
      <c r="F78" s="15">
        <f>IF($A78="","",IF($E78&lt;&gt;"","Instalado",IF($D78&lt;&gt;"","Fabricado","A produzir")))</f>
        <v/>
      </c>
      <c r="G78" s="13" t="n"/>
      <c r="H78" s="14">
        <f>IF($A78="","",IF($G78&gt;0,$G78,IF((SUMIF($A$4:$A$253,$A78,$C$4:$C$253)-SUMIFS($C$4:$C$253,$A$4:$A$253,$A78,$G$4:$G$253,"&gt;0"))&lt;=0,0,MAX(0,(SUMIF(Compras!$A:$A,$A78,Compras!$D:$D)-SUMIFS($G$4:$G$253,$A$4:$A$253,$A78,$G$4:$G$253,"&gt;0")))*$C78/(SUMIF($A$4:$A$253,$A78,$C$4:$C$253)-SUMIFS($C$4:$C$253,$A$4:$A$253,$A78,$G$4:$G$253,"&gt;0")))))</f>
        <v/>
      </c>
      <c r="I78" s="15">
        <f>IF($A78="","",IF(COUNTIF(Projetos!$A:$A,$A78)=0,"projeto não cadastrado",""))</f>
        <v/>
      </c>
      <c r="J78" s="15">
        <f>IF($D78="","",IFERROR(MATCH($D78,Listas!$A$4:$A$15,0),""))</f>
        <v/>
      </c>
    </row>
    <row r="79">
      <c r="A79" s="12" t="n"/>
      <c r="B79" s="12" t="n"/>
      <c r="C79" s="13" t="n"/>
      <c r="D79" s="12" t="n"/>
      <c r="E79" s="12" t="n"/>
      <c r="F79" s="15">
        <f>IF($A79="","",IF($E79&lt;&gt;"","Instalado",IF($D79&lt;&gt;"","Fabricado","A produzir")))</f>
        <v/>
      </c>
      <c r="G79" s="13" t="n"/>
      <c r="H79" s="14">
        <f>IF($A79="","",IF($G79&gt;0,$G79,IF((SUMIF($A$4:$A$253,$A79,$C$4:$C$253)-SUMIFS($C$4:$C$253,$A$4:$A$253,$A79,$G$4:$G$253,"&gt;0"))&lt;=0,0,MAX(0,(SUMIF(Compras!$A:$A,$A79,Compras!$D:$D)-SUMIFS($G$4:$G$253,$A$4:$A$253,$A79,$G$4:$G$253,"&gt;0")))*$C79/(SUMIF($A$4:$A$253,$A79,$C$4:$C$253)-SUMIFS($C$4:$C$253,$A$4:$A$253,$A79,$G$4:$G$253,"&gt;0")))))</f>
        <v/>
      </c>
      <c r="I79" s="15">
        <f>IF($A79="","",IF(COUNTIF(Projetos!$A:$A,$A79)=0,"projeto não cadastrado",""))</f>
        <v/>
      </c>
      <c r="J79" s="15">
        <f>IF($D79="","",IFERROR(MATCH($D79,Listas!$A$4:$A$15,0),""))</f>
        <v/>
      </c>
    </row>
    <row r="80">
      <c r="A80" s="12" t="n"/>
      <c r="B80" s="12" t="n"/>
      <c r="C80" s="13" t="n"/>
      <c r="D80" s="12" t="n"/>
      <c r="E80" s="12" t="n"/>
      <c r="F80" s="15">
        <f>IF($A80="","",IF($E80&lt;&gt;"","Instalado",IF($D80&lt;&gt;"","Fabricado","A produzir")))</f>
        <v/>
      </c>
      <c r="G80" s="13" t="n"/>
      <c r="H80" s="14">
        <f>IF($A80="","",IF($G80&gt;0,$G80,IF((SUMIF($A$4:$A$253,$A80,$C$4:$C$253)-SUMIFS($C$4:$C$253,$A$4:$A$253,$A80,$G$4:$G$253,"&gt;0"))&lt;=0,0,MAX(0,(SUMIF(Compras!$A:$A,$A80,Compras!$D:$D)-SUMIFS($G$4:$G$253,$A$4:$A$253,$A80,$G$4:$G$253,"&gt;0")))*$C80/(SUMIF($A$4:$A$253,$A80,$C$4:$C$253)-SUMIFS($C$4:$C$253,$A$4:$A$253,$A80,$G$4:$G$253,"&gt;0")))))</f>
        <v/>
      </c>
      <c r="I80" s="15">
        <f>IF($A80="","",IF(COUNTIF(Projetos!$A:$A,$A80)=0,"projeto não cadastrado",""))</f>
        <v/>
      </c>
      <c r="J80" s="15">
        <f>IF($D80="","",IFERROR(MATCH($D80,Listas!$A$4:$A$15,0),""))</f>
        <v/>
      </c>
    </row>
    <row r="81">
      <c r="A81" s="12" t="n"/>
      <c r="B81" s="12" t="n"/>
      <c r="C81" s="13" t="n"/>
      <c r="D81" s="12" t="n"/>
      <c r="E81" s="12" t="n"/>
      <c r="F81" s="15">
        <f>IF($A81="","",IF($E81&lt;&gt;"","Instalado",IF($D81&lt;&gt;"","Fabricado","A produzir")))</f>
        <v/>
      </c>
      <c r="G81" s="13" t="n"/>
      <c r="H81" s="14">
        <f>IF($A81="","",IF($G81&gt;0,$G81,IF((SUMIF($A$4:$A$253,$A81,$C$4:$C$253)-SUMIFS($C$4:$C$253,$A$4:$A$253,$A81,$G$4:$G$253,"&gt;0"))&lt;=0,0,MAX(0,(SUMIF(Compras!$A:$A,$A81,Compras!$D:$D)-SUMIFS($G$4:$G$253,$A$4:$A$253,$A81,$G$4:$G$253,"&gt;0")))*$C81/(SUMIF($A$4:$A$253,$A81,$C$4:$C$253)-SUMIFS($C$4:$C$253,$A$4:$A$253,$A81,$G$4:$G$253,"&gt;0")))))</f>
        <v/>
      </c>
      <c r="I81" s="15">
        <f>IF($A81="","",IF(COUNTIF(Projetos!$A:$A,$A81)=0,"projeto não cadastrado",""))</f>
        <v/>
      </c>
      <c r="J81" s="15">
        <f>IF($D81="","",IFERROR(MATCH($D81,Listas!$A$4:$A$15,0),""))</f>
        <v/>
      </c>
    </row>
    <row r="82">
      <c r="A82" s="12" t="n"/>
      <c r="B82" s="12" t="n"/>
      <c r="C82" s="13" t="n"/>
      <c r="D82" s="12" t="n"/>
      <c r="E82" s="12" t="n"/>
      <c r="F82" s="15">
        <f>IF($A82="","",IF($E82&lt;&gt;"","Instalado",IF($D82&lt;&gt;"","Fabricado","A produzir")))</f>
        <v/>
      </c>
      <c r="G82" s="13" t="n"/>
      <c r="H82" s="14">
        <f>IF($A82="","",IF($G82&gt;0,$G82,IF((SUMIF($A$4:$A$253,$A82,$C$4:$C$253)-SUMIFS($C$4:$C$253,$A$4:$A$253,$A82,$G$4:$G$253,"&gt;0"))&lt;=0,0,MAX(0,(SUMIF(Compras!$A:$A,$A82,Compras!$D:$D)-SUMIFS($G$4:$G$253,$A$4:$A$253,$A82,$G$4:$G$253,"&gt;0")))*$C82/(SUMIF($A$4:$A$253,$A82,$C$4:$C$253)-SUMIFS($C$4:$C$253,$A$4:$A$253,$A82,$G$4:$G$253,"&gt;0")))))</f>
        <v/>
      </c>
      <c r="I82" s="15">
        <f>IF($A82="","",IF(COUNTIF(Projetos!$A:$A,$A82)=0,"projeto não cadastrado",""))</f>
        <v/>
      </c>
      <c r="J82" s="15">
        <f>IF($D82="","",IFERROR(MATCH($D82,Listas!$A$4:$A$15,0),""))</f>
        <v/>
      </c>
    </row>
    <row r="83">
      <c r="A83" s="12" t="n"/>
      <c r="B83" s="12" t="n"/>
      <c r="C83" s="13" t="n"/>
      <c r="D83" s="12" t="n"/>
      <c r="E83" s="12" t="n"/>
      <c r="F83" s="15">
        <f>IF($A83="","",IF($E83&lt;&gt;"","Instalado",IF($D83&lt;&gt;"","Fabricado","A produzir")))</f>
        <v/>
      </c>
      <c r="G83" s="13" t="n"/>
      <c r="H83" s="14">
        <f>IF($A83="","",IF($G83&gt;0,$G83,IF((SUMIF($A$4:$A$253,$A83,$C$4:$C$253)-SUMIFS($C$4:$C$253,$A$4:$A$253,$A83,$G$4:$G$253,"&gt;0"))&lt;=0,0,MAX(0,(SUMIF(Compras!$A:$A,$A83,Compras!$D:$D)-SUMIFS($G$4:$G$253,$A$4:$A$253,$A83,$G$4:$G$253,"&gt;0")))*$C83/(SUMIF($A$4:$A$253,$A83,$C$4:$C$253)-SUMIFS($C$4:$C$253,$A$4:$A$253,$A83,$G$4:$G$253,"&gt;0")))))</f>
        <v/>
      </c>
      <c r="I83" s="15">
        <f>IF($A83="","",IF(COUNTIF(Projetos!$A:$A,$A83)=0,"projeto não cadastrado",""))</f>
        <v/>
      </c>
      <c r="J83" s="15">
        <f>IF($D83="","",IFERROR(MATCH($D83,Listas!$A$4:$A$15,0),""))</f>
        <v/>
      </c>
    </row>
    <row r="84">
      <c r="A84" s="12" t="n"/>
      <c r="B84" s="12" t="n"/>
      <c r="C84" s="13" t="n"/>
      <c r="D84" s="12" t="n"/>
      <c r="E84" s="12" t="n"/>
      <c r="F84" s="15">
        <f>IF($A84="","",IF($E84&lt;&gt;"","Instalado",IF($D84&lt;&gt;"","Fabricado","A produzir")))</f>
        <v/>
      </c>
      <c r="G84" s="13" t="n"/>
      <c r="H84" s="14">
        <f>IF($A84="","",IF($G84&gt;0,$G84,IF((SUMIF($A$4:$A$253,$A84,$C$4:$C$253)-SUMIFS($C$4:$C$253,$A$4:$A$253,$A84,$G$4:$G$253,"&gt;0"))&lt;=0,0,MAX(0,(SUMIF(Compras!$A:$A,$A84,Compras!$D:$D)-SUMIFS($G$4:$G$253,$A$4:$A$253,$A84,$G$4:$G$253,"&gt;0")))*$C84/(SUMIF($A$4:$A$253,$A84,$C$4:$C$253)-SUMIFS($C$4:$C$253,$A$4:$A$253,$A84,$G$4:$G$253,"&gt;0")))))</f>
        <v/>
      </c>
      <c r="I84" s="15">
        <f>IF($A84="","",IF(COUNTIF(Projetos!$A:$A,$A84)=0,"projeto não cadastrado",""))</f>
        <v/>
      </c>
      <c r="J84" s="15">
        <f>IF($D84="","",IFERROR(MATCH($D84,Listas!$A$4:$A$15,0),""))</f>
        <v/>
      </c>
    </row>
    <row r="85">
      <c r="A85" s="12" t="n"/>
      <c r="B85" s="12" t="n"/>
      <c r="C85" s="13" t="n"/>
      <c r="D85" s="12" t="n"/>
      <c r="E85" s="12" t="n"/>
      <c r="F85" s="15">
        <f>IF($A85="","",IF($E85&lt;&gt;"","Instalado",IF($D85&lt;&gt;"","Fabricado","A produzir")))</f>
        <v/>
      </c>
      <c r="G85" s="13" t="n"/>
      <c r="H85" s="14">
        <f>IF($A85="","",IF($G85&gt;0,$G85,IF((SUMIF($A$4:$A$253,$A85,$C$4:$C$253)-SUMIFS($C$4:$C$253,$A$4:$A$253,$A85,$G$4:$G$253,"&gt;0"))&lt;=0,0,MAX(0,(SUMIF(Compras!$A:$A,$A85,Compras!$D:$D)-SUMIFS($G$4:$G$253,$A$4:$A$253,$A85,$G$4:$G$253,"&gt;0")))*$C85/(SUMIF($A$4:$A$253,$A85,$C$4:$C$253)-SUMIFS($C$4:$C$253,$A$4:$A$253,$A85,$G$4:$G$253,"&gt;0")))))</f>
        <v/>
      </c>
      <c r="I85" s="15">
        <f>IF($A85="","",IF(COUNTIF(Projetos!$A:$A,$A85)=0,"projeto não cadastrado",""))</f>
        <v/>
      </c>
      <c r="J85" s="15">
        <f>IF($D85="","",IFERROR(MATCH($D85,Listas!$A$4:$A$15,0),""))</f>
        <v/>
      </c>
    </row>
    <row r="86">
      <c r="A86" s="12" t="n"/>
      <c r="B86" s="12" t="n"/>
      <c r="C86" s="13" t="n"/>
      <c r="D86" s="12" t="n"/>
      <c r="E86" s="12" t="n"/>
      <c r="F86" s="15">
        <f>IF($A86="","",IF($E86&lt;&gt;"","Instalado",IF($D86&lt;&gt;"","Fabricado","A produzir")))</f>
        <v/>
      </c>
      <c r="G86" s="13" t="n"/>
      <c r="H86" s="14">
        <f>IF($A86="","",IF($G86&gt;0,$G86,IF((SUMIF($A$4:$A$253,$A86,$C$4:$C$253)-SUMIFS($C$4:$C$253,$A$4:$A$253,$A86,$G$4:$G$253,"&gt;0"))&lt;=0,0,MAX(0,(SUMIF(Compras!$A:$A,$A86,Compras!$D:$D)-SUMIFS($G$4:$G$253,$A$4:$A$253,$A86,$G$4:$G$253,"&gt;0")))*$C86/(SUMIF($A$4:$A$253,$A86,$C$4:$C$253)-SUMIFS($C$4:$C$253,$A$4:$A$253,$A86,$G$4:$G$253,"&gt;0")))))</f>
        <v/>
      </c>
      <c r="I86" s="15">
        <f>IF($A86="","",IF(COUNTIF(Projetos!$A:$A,$A86)=0,"projeto não cadastrado",""))</f>
        <v/>
      </c>
      <c r="J86" s="15">
        <f>IF($D86="","",IFERROR(MATCH($D86,Listas!$A$4:$A$15,0),""))</f>
        <v/>
      </c>
    </row>
    <row r="87">
      <c r="A87" s="12" t="n"/>
      <c r="B87" s="12" t="n"/>
      <c r="C87" s="13" t="n"/>
      <c r="D87" s="12" t="n"/>
      <c r="E87" s="12" t="n"/>
      <c r="F87" s="15">
        <f>IF($A87="","",IF($E87&lt;&gt;"","Instalado",IF($D87&lt;&gt;"","Fabricado","A produzir")))</f>
        <v/>
      </c>
      <c r="G87" s="13" t="n"/>
      <c r="H87" s="14">
        <f>IF($A87="","",IF($G87&gt;0,$G87,IF((SUMIF($A$4:$A$253,$A87,$C$4:$C$253)-SUMIFS($C$4:$C$253,$A$4:$A$253,$A87,$G$4:$G$253,"&gt;0"))&lt;=0,0,MAX(0,(SUMIF(Compras!$A:$A,$A87,Compras!$D:$D)-SUMIFS($G$4:$G$253,$A$4:$A$253,$A87,$G$4:$G$253,"&gt;0")))*$C87/(SUMIF($A$4:$A$253,$A87,$C$4:$C$253)-SUMIFS($C$4:$C$253,$A$4:$A$253,$A87,$G$4:$G$253,"&gt;0")))))</f>
        <v/>
      </c>
      <c r="I87" s="15">
        <f>IF($A87="","",IF(COUNTIF(Projetos!$A:$A,$A87)=0,"projeto não cadastrado",""))</f>
        <v/>
      </c>
      <c r="J87" s="15">
        <f>IF($D87="","",IFERROR(MATCH($D87,Listas!$A$4:$A$15,0),""))</f>
        <v/>
      </c>
    </row>
    <row r="88">
      <c r="A88" s="12" t="n"/>
      <c r="B88" s="12" t="n"/>
      <c r="C88" s="13" t="n"/>
      <c r="D88" s="12" t="n"/>
      <c r="E88" s="12" t="n"/>
      <c r="F88" s="15">
        <f>IF($A88="","",IF($E88&lt;&gt;"","Instalado",IF($D88&lt;&gt;"","Fabricado","A produzir")))</f>
        <v/>
      </c>
      <c r="G88" s="13" t="n"/>
      <c r="H88" s="14">
        <f>IF($A88="","",IF($G88&gt;0,$G88,IF((SUMIF($A$4:$A$253,$A88,$C$4:$C$253)-SUMIFS($C$4:$C$253,$A$4:$A$253,$A88,$G$4:$G$253,"&gt;0"))&lt;=0,0,MAX(0,(SUMIF(Compras!$A:$A,$A88,Compras!$D:$D)-SUMIFS($G$4:$G$253,$A$4:$A$253,$A88,$G$4:$G$253,"&gt;0")))*$C88/(SUMIF($A$4:$A$253,$A88,$C$4:$C$253)-SUMIFS($C$4:$C$253,$A$4:$A$253,$A88,$G$4:$G$253,"&gt;0")))))</f>
        <v/>
      </c>
      <c r="I88" s="15">
        <f>IF($A88="","",IF(COUNTIF(Projetos!$A:$A,$A88)=0,"projeto não cadastrado",""))</f>
        <v/>
      </c>
      <c r="J88" s="15">
        <f>IF($D88="","",IFERROR(MATCH($D88,Listas!$A$4:$A$15,0),""))</f>
        <v/>
      </c>
    </row>
    <row r="89">
      <c r="A89" s="12" t="n"/>
      <c r="B89" s="12" t="n"/>
      <c r="C89" s="13" t="n"/>
      <c r="D89" s="12" t="n"/>
      <c r="E89" s="12" t="n"/>
      <c r="F89" s="15">
        <f>IF($A89="","",IF($E89&lt;&gt;"","Instalado",IF($D89&lt;&gt;"","Fabricado","A produzir")))</f>
        <v/>
      </c>
      <c r="G89" s="13" t="n"/>
      <c r="H89" s="14">
        <f>IF($A89="","",IF($G89&gt;0,$G89,IF((SUMIF($A$4:$A$253,$A89,$C$4:$C$253)-SUMIFS($C$4:$C$253,$A$4:$A$253,$A89,$G$4:$G$253,"&gt;0"))&lt;=0,0,MAX(0,(SUMIF(Compras!$A:$A,$A89,Compras!$D:$D)-SUMIFS($G$4:$G$253,$A$4:$A$253,$A89,$G$4:$G$253,"&gt;0")))*$C89/(SUMIF($A$4:$A$253,$A89,$C$4:$C$253)-SUMIFS($C$4:$C$253,$A$4:$A$253,$A89,$G$4:$G$253,"&gt;0")))))</f>
        <v/>
      </c>
      <c r="I89" s="15">
        <f>IF($A89="","",IF(COUNTIF(Projetos!$A:$A,$A89)=0,"projeto não cadastrado",""))</f>
        <v/>
      </c>
      <c r="J89" s="15">
        <f>IF($D89="","",IFERROR(MATCH($D89,Listas!$A$4:$A$15,0),""))</f>
        <v/>
      </c>
    </row>
    <row r="90">
      <c r="A90" s="12" t="n"/>
      <c r="B90" s="12" t="n"/>
      <c r="C90" s="13" t="n"/>
      <c r="D90" s="12" t="n"/>
      <c r="E90" s="12" t="n"/>
      <c r="F90" s="15">
        <f>IF($A90="","",IF($E90&lt;&gt;"","Instalado",IF($D90&lt;&gt;"","Fabricado","A produzir")))</f>
        <v/>
      </c>
      <c r="G90" s="13" t="n"/>
      <c r="H90" s="14">
        <f>IF($A90="","",IF($G90&gt;0,$G90,IF((SUMIF($A$4:$A$253,$A90,$C$4:$C$253)-SUMIFS($C$4:$C$253,$A$4:$A$253,$A90,$G$4:$G$253,"&gt;0"))&lt;=0,0,MAX(0,(SUMIF(Compras!$A:$A,$A90,Compras!$D:$D)-SUMIFS($G$4:$G$253,$A$4:$A$253,$A90,$G$4:$G$253,"&gt;0")))*$C90/(SUMIF($A$4:$A$253,$A90,$C$4:$C$253)-SUMIFS($C$4:$C$253,$A$4:$A$253,$A90,$G$4:$G$253,"&gt;0")))))</f>
        <v/>
      </c>
      <c r="I90" s="15">
        <f>IF($A90="","",IF(COUNTIF(Projetos!$A:$A,$A90)=0,"projeto não cadastrado",""))</f>
        <v/>
      </c>
      <c r="J90" s="15">
        <f>IF($D90="","",IFERROR(MATCH($D90,Listas!$A$4:$A$15,0),""))</f>
        <v/>
      </c>
    </row>
    <row r="91">
      <c r="A91" s="12" t="n"/>
      <c r="B91" s="12" t="n"/>
      <c r="C91" s="13" t="n"/>
      <c r="D91" s="12" t="n"/>
      <c r="E91" s="12" t="n"/>
      <c r="F91" s="15">
        <f>IF($A91="","",IF($E91&lt;&gt;"","Instalado",IF($D91&lt;&gt;"","Fabricado","A produzir")))</f>
        <v/>
      </c>
      <c r="G91" s="13" t="n"/>
      <c r="H91" s="14">
        <f>IF($A91="","",IF($G91&gt;0,$G91,IF((SUMIF($A$4:$A$253,$A91,$C$4:$C$253)-SUMIFS($C$4:$C$253,$A$4:$A$253,$A91,$G$4:$G$253,"&gt;0"))&lt;=0,0,MAX(0,(SUMIF(Compras!$A:$A,$A91,Compras!$D:$D)-SUMIFS($G$4:$G$253,$A$4:$A$253,$A91,$G$4:$G$253,"&gt;0")))*$C91/(SUMIF($A$4:$A$253,$A91,$C$4:$C$253)-SUMIFS($C$4:$C$253,$A$4:$A$253,$A91,$G$4:$G$253,"&gt;0")))))</f>
        <v/>
      </c>
      <c r="I91" s="15">
        <f>IF($A91="","",IF(COUNTIF(Projetos!$A:$A,$A91)=0,"projeto não cadastrado",""))</f>
        <v/>
      </c>
      <c r="J91" s="15">
        <f>IF($D91="","",IFERROR(MATCH($D91,Listas!$A$4:$A$15,0),""))</f>
        <v/>
      </c>
    </row>
    <row r="92">
      <c r="A92" s="12" t="n"/>
      <c r="B92" s="12" t="n"/>
      <c r="C92" s="13" t="n"/>
      <c r="D92" s="12" t="n"/>
      <c r="E92" s="12" t="n"/>
      <c r="F92" s="15">
        <f>IF($A92="","",IF($E92&lt;&gt;"","Instalado",IF($D92&lt;&gt;"","Fabricado","A produzir")))</f>
        <v/>
      </c>
      <c r="G92" s="13" t="n"/>
      <c r="H92" s="14">
        <f>IF($A92="","",IF($G92&gt;0,$G92,IF((SUMIF($A$4:$A$253,$A92,$C$4:$C$253)-SUMIFS($C$4:$C$253,$A$4:$A$253,$A92,$G$4:$G$253,"&gt;0"))&lt;=0,0,MAX(0,(SUMIF(Compras!$A:$A,$A92,Compras!$D:$D)-SUMIFS($G$4:$G$253,$A$4:$A$253,$A92,$G$4:$G$253,"&gt;0")))*$C92/(SUMIF($A$4:$A$253,$A92,$C$4:$C$253)-SUMIFS($C$4:$C$253,$A$4:$A$253,$A92,$G$4:$G$253,"&gt;0")))))</f>
        <v/>
      </c>
      <c r="I92" s="15">
        <f>IF($A92="","",IF(COUNTIF(Projetos!$A:$A,$A92)=0,"projeto não cadastrado",""))</f>
        <v/>
      </c>
      <c r="J92" s="15">
        <f>IF($D92="","",IFERROR(MATCH($D92,Listas!$A$4:$A$15,0),""))</f>
        <v/>
      </c>
    </row>
    <row r="93">
      <c r="A93" s="12" t="n"/>
      <c r="B93" s="12" t="n"/>
      <c r="C93" s="13" t="n"/>
      <c r="D93" s="12" t="n"/>
      <c r="E93" s="12" t="n"/>
      <c r="F93" s="15">
        <f>IF($A93="","",IF($E93&lt;&gt;"","Instalado",IF($D93&lt;&gt;"","Fabricado","A produzir")))</f>
        <v/>
      </c>
      <c r="G93" s="13" t="n"/>
      <c r="H93" s="14">
        <f>IF($A93="","",IF($G93&gt;0,$G93,IF((SUMIF($A$4:$A$253,$A93,$C$4:$C$253)-SUMIFS($C$4:$C$253,$A$4:$A$253,$A93,$G$4:$G$253,"&gt;0"))&lt;=0,0,MAX(0,(SUMIF(Compras!$A:$A,$A93,Compras!$D:$D)-SUMIFS($G$4:$G$253,$A$4:$A$253,$A93,$G$4:$G$253,"&gt;0")))*$C93/(SUMIF($A$4:$A$253,$A93,$C$4:$C$253)-SUMIFS($C$4:$C$253,$A$4:$A$253,$A93,$G$4:$G$253,"&gt;0")))))</f>
        <v/>
      </c>
      <c r="I93" s="15">
        <f>IF($A93="","",IF(COUNTIF(Projetos!$A:$A,$A93)=0,"projeto não cadastrado",""))</f>
        <v/>
      </c>
      <c r="J93" s="15">
        <f>IF($D93="","",IFERROR(MATCH($D93,Listas!$A$4:$A$15,0),""))</f>
        <v/>
      </c>
    </row>
    <row r="94">
      <c r="A94" s="12" t="n"/>
      <c r="B94" s="12" t="n"/>
      <c r="C94" s="13" t="n"/>
      <c r="D94" s="12" t="n"/>
      <c r="E94" s="12" t="n"/>
      <c r="F94" s="15">
        <f>IF($A94="","",IF($E94&lt;&gt;"","Instalado",IF($D94&lt;&gt;"","Fabricado","A produzir")))</f>
        <v/>
      </c>
      <c r="G94" s="13" t="n"/>
      <c r="H94" s="14">
        <f>IF($A94="","",IF($G94&gt;0,$G94,IF((SUMIF($A$4:$A$253,$A94,$C$4:$C$253)-SUMIFS($C$4:$C$253,$A$4:$A$253,$A94,$G$4:$G$253,"&gt;0"))&lt;=0,0,MAX(0,(SUMIF(Compras!$A:$A,$A94,Compras!$D:$D)-SUMIFS($G$4:$G$253,$A$4:$A$253,$A94,$G$4:$G$253,"&gt;0")))*$C94/(SUMIF($A$4:$A$253,$A94,$C$4:$C$253)-SUMIFS($C$4:$C$253,$A$4:$A$253,$A94,$G$4:$G$253,"&gt;0")))))</f>
        <v/>
      </c>
      <c r="I94" s="15">
        <f>IF($A94="","",IF(COUNTIF(Projetos!$A:$A,$A94)=0,"projeto não cadastrado",""))</f>
        <v/>
      </c>
      <c r="J94" s="15">
        <f>IF($D94="","",IFERROR(MATCH($D94,Listas!$A$4:$A$15,0),""))</f>
        <v/>
      </c>
    </row>
    <row r="95">
      <c r="A95" s="12" t="n"/>
      <c r="B95" s="12" t="n"/>
      <c r="C95" s="13" t="n"/>
      <c r="D95" s="12" t="n"/>
      <c r="E95" s="12" t="n"/>
      <c r="F95" s="15">
        <f>IF($A95="","",IF($E95&lt;&gt;"","Instalado",IF($D95&lt;&gt;"","Fabricado","A produzir")))</f>
        <v/>
      </c>
      <c r="G95" s="13" t="n"/>
      <c r="H95" s="14">
        <f>IF($A95="","",IF($G95&gt;0,$G95,IF((SUMIF($A$4:$A$253,$A95,$C$4:$C$253)-SUMIFS($C$4:$C$253,$A$4:$A$253,$A95,$G$4:$G$253,"&gt;0"))&lt;=0,0,MAX(0,(SUMIF(Compras!$A:$A,$A95,Compras!$D:$D)-SUMIFS($G$4:$G$253,$A$4:$A$253,$A95,$G$4:$G$253,"&gt;0")))*$C95/(SUMIF($A$4:$A$253,$A95,$C$4:$C$253)-SUMIFS($C$4:$C$253,$A$4:$A$253,$A95,$G$4:$G$253,"&gt;0")))))</f>
        <v/>
      </c>
      <c r="I95" s="15">
        <f>IF($A95="","",IF(COUNTIF(Projetos!$A:$A,$A95)=0,"projeto não cadastrado",""))</f>
        <v/>
      </c>
      <c r="J95" s="15">
        <f>IF($D95="","",IFERROR(MATCH($D95,Listas!$A$4:$A$15,0),""))</f>
        <v/>
      </c>
    </row>
    <row r="96">
      <c r="A96" s="12" t="n"/>
      <c r="B96" s="12" t="n"/>
      <c r="C96" s="13" t="n"/>
      <c r="D96" s="12" t="n"/>
      <c r="E96" s="12" t="n"/>
      <c r="F96" s="15">
        <f>IF($A96="","",IF($E96&lt;&gt;"","Instalado",IF($D96&lt;&gt;"","Fabricado","A produzir")))</f>
        <v/>
      </c>
      <c r="G96" s="13" t="n"/>
      <c r="H96" s="14">
        <f>IF($A96="","",IF($G96&gt;0,$G96,IF((SUMIF($A$4:$A$253,$A96,$C$4:$C$253)-SUMIFS($C$4:$C$253,$A$4:$A$253,$A96,$G$4:$G$253,"&gt;0"))&lt;=0,0,MAX(0,(SUMIF(Compras!$A:$A,$A96,Compras!$D:$D)-SUMIFS($G$4:$G$253,$A$4:$A$253,$A96,$G$4:$G$253,"&gt;0")))*$C96/(SUMIF($A$4:$A$253,$A96,$C$4:$C$253)-SUMIFS($C$4:$C$253,$A$4:$A$253,$A96,$G$4:$G$253,"&gt;0")))))</f>
        <v/>
      </c>
      <c r="I96" s="15">
        <f>IF($A96="","",IF(COUNTIF(Projetos!$A:$A,$A96)=0,"projeto não cadastrado",""))</f>
        <v/>
      </c>
      <c r="J96" s="15">
        <f>IF($D96="","",IFERROR(MATCH($D96,Listas!$A$4:$A$15,0),""))</f>
        <v/>
      </c>
    </row>
    <row r="97">
      <c r="A97" s="12" t="n"/>
      <c r="B97" s="12" t="n"/>
      <c r="C97" s="13" t="n"/>
      <c r="D97" s="12" t="n"/>
      <c r="E97" s="12" t="n"/>
      <c r="F97" s="15">
        <f>IF($A97="","",IF($E97&lt;&gt;"","Instalado",IF($D97&lt;&gt;"","Fabricado","A produzir")))</f>
        <v/>
      </c>
      <c r="G97" s="13" t="n"/>
      <c r="H97" s="14">
        <f>IF($A97="","",IF($G97&gt;0,$G97,IF((SUMIF($A$4:$A$253,$A97,$C$4:$C$253)-SUMIFS($C$4:$C$253,$A$4:$A$253,$A97,$G$4:$G$253,"&gt;0"))&lt;=0,0,MAX(0,(SUMIF(Compras!$A:$A,$A97,Compras!$D:$D)-SUMIFS($G$4:$G$253,$A$4:$A$253,$A97,$G$4:$G$253,"&gt;0")))*$C97/(SUMIF($A$4:$A$253,$A97,$C$4:$C$253)-SUMIFS($C$4:$C$253,$A$4:$A$253,$A97,$G$4:$G$253,"&gt;0")))))</f>
        <v/>
      </c>
      <c r="I97" s="15">
        <f>IF($A97="","",IF(COUNTIF(Projetos!$A:$A,$A97)=0,"projeto não cadastrado",""))</f>
        <v/>
      </c>
      <c r="J97" s="15">
        <f>IF($D97="","",IFERROR(MATCH($D97,Listas!$A$4:$A$15,0),""))</f>
        <v/>
      </c>
    </row>
    <row r="98">
      <c r="A98" s="12" t="n"/>
      <c r="B98" s="12" t="n"/>
      <c r="C98" s="13" t="n"/>
      <c r="D98" s="12" t="n"/>
      <c r="E98" s="12" t="n"/>
      <c r="F98" s="15">
        <f>IF($A98="","",IF($E98&lt;&gt;"","Instalado",IF($D98&lt;&gt;"","Fabricado","A produzir")))</f>
        <v/>
      </c>
      <c r="G98" s="13" t="n"/>
      <c r="H98" s="14">
        <f>IF($A98="","",IF($G98&gt;0,$G98,IF((SUMIF($A$4:$A$253,$A98,$C$4:$C$253)-SUMIFS($C$4:$C$253,$A$4:$A$253,$A98,$G$4:$G$253,"&gt;0"))&lt;=0,0,MAX(0,(SUMIF(Compras!$A:$A,$A98,Compras!$D:$D)-SUMIFS($G$4:$G$253,$A$4:$A$253,$A98,$G$4:$G$253,"&gt;0")))*$C98/(SUMIF($A$4:$A$253,$A98,$C$4:$C$253)-SUMIFS($C$4:$C$253,$A$4:$A$253,$A98,$G$4:$G$253,"&gt;0")))))</f>
        <v/>
      </c>
      <c r="I98" s="15">
        <f>IF($A98="","",IF(COUNTIF(Projetos!$A:$A,$A98)=0,"projeto não cadastrado",""))</f>
        <v/>
      </c>
      <c r="J98" s="15">
        <f>IF($D98="","",IFERROR(MATCH($D98,Listas!$A$4:$A$15,0),""))</f>
        <v/>
      </c>
    </row>
    <row r="99">
      <c r="A99" s="12" t="n"/>
      <c r="B99" s="12" t="n"/>
      <c r="C99" s="13" t="n"/>
      <c r="D99" s="12" t="n"/>
      <c r="E99" s="12" t="n"/>
      <c r="F99" s="15">
        <f>IF($A99="","",IF($E99&lt;&gt;"","Instalado",IF($D99&lt;&gt;"","Fabricado","A produzir")))</f>
        <v/>
      </c>
      <c r="G99" s="13" t="n"/>
      <c r="H99" s="14">
        <f>IF($A99="","",IF($G99&gt;0,$G99,IF((SUMIF($A$4:$A$253,$A99,$C$4:$C$253)-SUMIFS($C$4:$C$253,$A$4:$A$253,$A99,$G$4:$G$253,"&gt;0"))&lt;=0,0,MAX(0,(SUMIF(Compras!$A:$A,$A99,Compras!$D:$D)-SUMIFS($G$4:$G$253,$A$4:$A$253,$A99,$G$4:$G$253,"&gt;0")))*$C99/(SUMIF($A$4:$A$253,$A99,$C$4:$C$253)-SUMIFS($C$4:$C$253,$A$4:$A$253,$A99,$G$4:$G$253,"&gt;0")))))</f>
        <v/>
      </c>
      <c r="I99" s="15">
        <f>IF($A99="","",IF(COUNTIF(Projetos!$A:$A,$A99)=0,"projeto não cadastrado",""))</f>
        <v/>
      </c>
      <c r="J99" s="15">
        <f>IF($D99="","",IFERROR(MATCH($D99,Listas!$A$4:$A$15,0),""))</f>
        <v/>
      </c>
    </row>
    <row r="100">
      <c r="A100" s="12" t="n"/>
      <c r="B100" s="12" t="n"/>
      <c r="C100" s="13" t="n"/>
      <c r="D100" s="12" t="n"/>
      <c r="E100" s="12" t="n"/>
      <c r="F100" s="15">
        <f>IF($A100="","",IF($E100&lt;&gt;"","Instalado",IF($D100&lt;&gt;"","Fabricado","A produzir")))</f>
        <v/>
      </c>
      <c r="G100" s="13" t="n"/>
      <c r="H100" s="14">
        <f>IF($A100="","",IF($G100&gt;0,$G100,IF((SUMIF($A$4:$A$253,$A100,$C$4:$C$253)-SUMIFS($C$4:$C$253,$A$4:$A$253,$A100,$G$4:$G$253,"&gt;0"))&lt;=0,0,MAX(0,(SUMIF(Compras!$A:$A,$A100,Compras!$D:$D)-SUMIFS($G$4:$G$253,$A$4:$A$253,$A100,$G$4:$G$253,"&gt;0")))*$C100/(SUMIF($A$4:$A$253,$A100,$C$4:$C$253)-SUMIFS($C$4:$C$253,$A$4:$A$253,$A100,$G$4:$G$253,"&gt;0")))))</f>
        <v/>
      </c>
      <c r="I100" s="15">
        <f>IF($A100="","",IF(COUNTIF(Projetos!$A:$A,$A100)=0,"projeto não cadastrado",""))</f>
        <v/>
      </c>
      <c r="J100" s="15">
        <f>IF($D100="","",IFERROR(MATCH($D100,Listas!$A$4:$A$15,0),""))</f>
        <v/>
      </c>
    </row>
    <row r="101">
      <c r="A101" s="12" t="n"/>
      <c r="B101" s="12" t="n"/>
      <c r="C101" s="13" t="n"/>
      <c r="D101" s="12" t="n"/>
      <c r="E101" s="12" t="n"/>
      <c r="F101" s="15">
        <f>IF($A101="","",IF($E101&lt;&gt;"","Instalado",IF($D101&lt;&gt;"","Fabricado","A produzir")))</f>
        <v/>
      </c>
      <c r="G101" s="13" t="n"/>
      <c r="H101" s="14">
        <f>IF($A101="","",IF($G101&gt;0,$G101,IF((SUMIF($A$4:$A$253,$A101,$C$4:$C$253)-SUMIFS($C$4:$C$253,$A$4:$A$253,$A101,$G$4:$G$253,"&gt;0"))&lt;=0,0,MAX(0,(SUMIF(Compras!$A:$A,$A101,Compras!$D:$D)-SUMIFS($G$4:$G$253,$A$4:$A$253,$A101,$G$4:$G$253,"&gt;0")))*$C101/(SUMIF($A$4:$A$253,$A101,$C$4:$C$253)-SUMIFS($C$4:$C$253,$A$4:$A$253,$A101,$G$4:$G$253,"&gt;0")))))</f>
        <v/>
      </c>
      <c r="I101" s="15">
        <f>IF($A101="","",IF(COUNTIF(Projetos!$A:$A,$A101)=0,"projeto não cadastrado",""))</f>
        <v/>
      </c>
      <c r="J101" s="15">
        <f>IF($D101="","",IFERROR(MATCH($D101,Listas!$A$4:$A$15,0),""))</f>
        <v/>
      </c>
    </row>
    <row r="102">
      <c r="A102" s="12" t="n"/>
      <c r="B102" s="12" t="n"/>
      <c r="C102" s="13" t="n"/>
      <c r="D102" s="12" t="n"/>
      <c r="E102" s="12" t="n"/>
      <c r="F102" s="15">
        <f>IF($A102="","",IF($E102&lt;&gt;"","Instalado",IF($D102&lt;&gt;"","Fabricado","A produzir")))</f>
        <v/>
      </c>
      <c r="G102" s="13" t="n"/>
      <c r="H102" s="14">
        <f>IF($A102="","",IF($G102&gt;0,$G102,IF((SUMIF($A$4:$A$253,$A102,$C$4:$C$253)-SUMIFS($C$4:$C$253,$A$4:$A$253,$A102,$G$4:$G$253,"&gt;0"))&lt;=0,0,MAX(0,(SUMIF(Compras!$A:$A,$A102,Compras!$D:$D)-SUMIFS($G$4:$G$253,$A$4:$A$253,$A102,$G$4:$G$253,"&gt;0")))*$C102/(SUMIF($A$4:$A$253,$A102,$C$4:$C$253)-SUMIFS($C$4:$C$253,$A$4:$A$253,$A102,$G$4:$G$253,"&gt;0")))))</f>
        <v/>
      </c>
      <c r="I102" s="15">
        <f>IF($A102="","",IF(COUNTIF(Projetos!$A:$A,$A102)=0,"projeto não cadastrado",""))</f>
        <v/>
      </c>
      <c r="J102" s="15">
        <f>IF($D102="","",IFERROR(MATCH($D102,Listas!$A$4:$A$15,0),""))</f>
        <v/>
      </c>
    </row>
    <row r="103">
      <c r="A103" s="12" t="n"/>
      <c r="B103" s="12" t="n"/>
      <c r="C103" s="13" t="n"/>
      <c r="D103" s="12" t="n"/>
      <c r="E103" s="12" t="n"/>
      <c r="F103" s="15">
        <f>IF($A103="","",IF($E103&lt;&gt;"","Instalado",IF($D103&lt;&gt;"","Fabricado","A produzir")))</f>
        <v/>
      </c>
      <c r="G103" s="13" t="n"/>
      <c r="H103" s="14">
        <f>IF($A103="","",IF($G103&gt;0,$G103,IF((SUMIF($A$4:$A$253,$A103,$C$4:$C$253)-SUMIFS($C$4:$C$253,$A$4:$A$253,$A103,$G$4:$G$253,"&gt;0"))&lt;=0,0,MAX(0,(SUMIF(Compras!$A:$A,$A103,Compras!$D:$D)-SUMIFS($G$4:$G$253,$A$4:$A$253,$A103,$G$4:$G$253,"&gt;0")))*$C103/(SUMIF($A$4:$A$253,$A103,$C$4:$C$253)-SUMIFS($C$4:$C$253,$A$4:$A$253,$A103,$G$4:$G$253,"&gt;0")))))</f>
        <v/>
      </c>
      <c r="I103" s="15">
        <f>IF($A103="","",IF(COUNTIF(Projetos!$A:$A,$A103)=0,"projeto não cadastrado",""))</f>
        <v/>
      </c>
      <c r="J103" s="15">
        <f>IF($D103="","",IFERROR(MATCH($D103,Listas!$A$4:$A$15,0),""))</f>
        <v/>
      </c>
    </row>
    <row r="104">
      <c r="A104" s="12" t="n"/>
      <c r="B104" s="12" t="n"/>
      <c r="C104" s="13" t="n"/>
      <c r="D104" s="12" t="n"/>
      <c r="E104" s="12" t="n"/>
      <c r="F104" s="15">
        <f>IF($A104="","",IF($E104&lt;&gt;"","Instalado",IF($D104&lt;&gt;"","Fabricado","A produzir")))</f>
        <v/>
      </c>
      <c r="G104" s="13" t="n"/>
      <c r="H104" s="14">
        <f>IF($A104="","",IF($G104&gt;0,$G104,IF((SUMIF($A$4:$A$253,$A104,$C$4:$C$253)-SUMIFS($C$4:$C$253,$A$4:$A$253,$A104,$G$4:$G$253,"&gt;0"))&lt;=0,0,MAX(0,(SUMIF(Compras!$A:$A,$A104,Compras!$D:$D)-SUMIFS($G$4:$G$253,$A$4:$A$253,$A104,$G$4:$G$253,"&gt;0")))*$C104/(SUMIF($A$4:$A$253,$A104,$C$4:$C$253)-SUMIFS($C$4:$C$253,$A$4:$A$253,$A104,$G$4:$G$253,"&gt;0")))))</f>
        <v/>
      </c>
      <c r="I104" s="15">
        <f>IF($A104="","",IF(COUNTIF(Projetos!$A:$A,$A104)=0,"projeto não cadastrado",""))</f>
        <v/>
      </c>
      <c r="J104" s="15">
        <f>IF($D104="","",IFERROR(MATCH($D104,Listas!$A$4:$A$15,0),""))</f>
        <v/>
      </c>
    </row>
    <row r="105">
      <c r="A105" s="12" t="n"/>
      <c r="B105" s="12" t="n"/>
      <c r="C105" s="13" t="n"/>
      <c r="D105" s="12" t="n"/>
      <c r="E105" s="12" t="n"/>
      <c r="F105" s="15">
        <f>IF($A105="","",IF($E105&lt;&gt;"","Instalado",IF($D105&lt;&gt;"","Fabricado","A produzir")))</f>
        <v/>
      </c>
      <c r="G105" s="13" t="n"/>
      <c r="H105" s="14">
        <f>IF($A105="","",IF($G105&gt;0,$G105,IF((SUMIF($A$4:$A$253,$A105,$C$4:$C$253)-SUMIFS($C$4:$C$253,$A$4:$A$253,$A105,$G$4:$G$253,"&gt;0"))&lt;=0,0,MAX(0,(SUMIF(Compras!$A:$A,$A105,Compras!$D:$D)-SUMIFS($G$4:$G$253,$A$4:$A$253,$A105,$G$4:$G$253,"&gt;0")))*$C105/(SUMIF($A$4:$A$253,$A105,$C$4:$C$253)-SUMIFS($C$4:$C$253,$A$4:$A$253,$A105,$G$4:$G$253,"&gt;0")))))</f>
        <v/>
      </c>
      <c r="I105" s="15">
        <f>IF($A105="","",IF(COUNTIF(Projetos!$A:$A,$A105)=0,"projeto não cadastrado",""))</f>
        <v/>
      </c>
      <c r="J105" s="15">
        <f>IF($D105="","",IFERROR(MATCH($D105,Listas!$A$4:$A$15,0),""))</f>
        <v/>
      </c>
    </row>
    <row r="106">
      <c r="A106" s="12" t="n"/>
      <c r="B106" s="12" t="n"/>
      <c r="C106" s="13" t="n"/>
      <c r="D106" s="12" t="n"/>
      <c r="E106" s="12" t="n"/>
      <c r="F106" s="15">
        <f>IF($A106="","",IF($E106&lt;&gt;"","Instalado",IF($D106&lt;&gt;"","Fabricado","A produzir")))</f>
        <v/>
      </c>
      <c r="G106" s="13" t="n"/>
      <c r="H106" s="14">
        <f>IF($A106="","",IF($G106&gt;0,$G106,IF((SUMIF($A$4:$A$253,$A106,$C$4:$C$253)-SUMIFS($C$4:$C$253,$A$4:$A$253,$A106,$G$4:$G$253,"&gt;0"))&lt;=0,0,MAX(0,(SUMIF(Compras!$A:$A,$A106,Compras!$D:$D)-SUMIFS($G$4:$G$253,$A$4:$A$253,$A106,$G$4:$G$253,"&gt;0")))*$C106/(SUMIF($A$4:$A$253,$A106,$C$4:$C$253)-SUMIFS($C$4:$C$253,$A$4:$A$253,$A106,$G$4:$G$253,"&gt;0")))))</f>
        <v/>
      </c>
      <c r="I106" s="15">
        <f>IF($A106="","",IF(COUNTIF(Projetos!$A:$A,$A106)=0,"projeto não cadastrado",""))</f>
        <v/>
      </c>
      <c r="J106" s="15">
        <f>IF($D106="","",IFERROR(MATCH($D106,Listas!$A$4:$A$15,0),""))</f>
        <v/>
      </c>
    </row>
    <row r="107">
      <c r="A107" s="12" t="n"/>
      <c r="B107" s="12" t="n"/>
      <c r="C107" s="13" t="n"/>
      <c r="D107" s="12" t="n"/>
      <c r="E107" s="12" t="n"/>
      <c r="F107" s="15">
        <f>IF($A107="","",IF($E107&lt;&gt;"","Instalado",IF($D107&lt;&gt;"","Fabricado","A produzir")))</f>
        <v/>
      </c>
      <c r="G107" s="13" t="n"/>
      <c r="H107" s="14">
        <f>IF($A107="","",IF($G107&gt;0,$G107,IF((SUMIF($A$4:$A$253,$A107,$C$4:$C$253)-SUMIFS($C$4:$C$253,$A$4:$A$253,$A107,$G$4:$G$253,"&gt;0"))&lt;=0,0,MAX(0,(SUMIF(Compras!$A:$A,$A107,Compras!$D:$D)-SUMIFS($G$4:$G$253,$A$4:$A$253,$A107,$G$4:$G$253,"&gt;0")))*$C107/(SUMIF($A$4:$A$253,$A107,$C$4:$C$253)-SUMIFS($C$4:$C$253,$A$4:$A$253,$A107,$G$4:$G$253,"&gt;0")))))</f>
        <v/>
      </c>
      <c r="I107" s="15">
        <f>IF($A107="","",IF(COUNTIF(Projetos!$A:$A,$A107)=0,"projeto não cadastrado",""))</f>
        <v/>
      </c>
      <c r="J107" s="15">
        <f>IF($D107="","",IFERROR(MATCH($D107,Listas!$A$4:$A$15,0),""))</f>
        <v/>
      </c>
    </row>
    <row r="108">
      <c r="A108" s="12" t="n"/>
      <c r="B108" s="12" t="n"/>
      <c r="C108" s="13" t="n"/>
      <c r="D108" s="12" t="n"/>
      <c r="E108" s="12" t="n"/>
      <c r="F108" s="15">
        <f>IF($A108="","",IF($E108&lt;&gt;"","Instalado",IF($D108&lt;&gt;"","Fabricado","A produzir")))</f>
        <v/>
      </c>
      <c r="G108" s="13" t="n"/>
      <c r="H108" s="14">
        <f>IF($A108="","",IF($G108&gt;0,$G108,IF((SUMIF($A$4:$A$253,$A108,$C$4:$C$253)-SUMIFS($C$4:$C$253,$A$4:$A$253,$A108,$G$4:$G$253,"&gt;0"))&lt;=0,0,MAX(0,(SUMIF(Compras!$A:$A,$A108,Compras!$D:$D)-SUMIFS($G$4:$G$253,$A$4:$A$253,$A108,$G$4:$G$253,"&gt;0")))*$C108/(SUMIF($A$4:$A$253,$A108,$C$4:$C$253)-SUMIFS($C$4:$C$253,$A$4:$A$253,$A108,$G$4:$G$253,"&gt;0")))))</f>
        <v/>
      </c>
      <c r="I108" s="15">
        <f>IF($A108="","",IF(COUNTIF(Projetos!$A:$A,$A108)=0,"projeto não cadastrado",""))</f>
        <v/>
      </c>
      <c r="J108" s="15">
        <f>IF($D108="","",IFERROR(MATCH($D108,Listas!$A$4:$A$15,0),""))</f>
        <v/>
      </c>
    </row>
    <row r="109">
      <c r="A109" s="12" t="n"/>
      <c r="B109" s="12" t="n"/>
      <c r="C109" s="13" t="n"/>
      <c r="D109" s="12" t="n"/>
      <c r="E109" s="12" t="n"/>
      <c r="F109" s="15">
        <f>IF($A109="","",IF($E109&lt;&gt;"","Instalado",IF($D109&lt;&gt;"","Fabricado","A produzir")))</f>
        <v/>
      </c>
      <c r="G109" s="13" t="n"/>
      <c r="H109" s="14">
        <f>IF($A109="","",IF($G109&gt;0,$G109,IF((SUMIF($A$4:$A$253,$A109,$C$4:$C$253)-SUMIFS($C$4:$C$253,$A$4:$A$253,$A109,$G$4:$G$253,"&gt;0"))&lt;=0,0,MAX(0,(SUMIF(Compras!$A:$A,$A109,Compras!$D:$D)-SUMIFS($G$4:$G$253,$A$4:$A$253,$A109,$G$4:$G$253,"&gt;0")))*$C109/(SUMIF($A$4:$A$253,$A109,$C$4:$C$253)-SUMIFS($C$4:$C$253,$A$4:$A$253,$A109,$G$4:$G$253,"&gt;0")))))</f>
        <v/>
      </c>
      <c r="I109" s="15">
        <f>IF($A109="","",IF(COUNTIF(Projetos!$A:$A,$A109)=0,"projeto não cadastrado",""))</f>
        <v/>
      </c>
      <c r="J109" s="15">
        <f>IF($D109="","",IFERROR(MATCH($D109,Listas!$A$4:$A$15,0),""))</f>
        <v/>
      </c>
    </row>
    <row r="110">
      <c r="A110" s="12" t="n"/>
      <c r="B110" s="12" t="n"/>
      <c r="C110" s="13" t="n"/>
      <c r="D110" s="12" t="n"/>
      <c r="E110" s="12" t="n"/>
      <c r="F110" s="15">
        <f>IF($A110="","",IF($E110&lt;&gt;"","Instalado",IF($D110&lt;&gt;"","Fabricado","A produzir")))</f>
        <v/>
      </c>
      <c r="G110" s="13" t="n"/>
      <c r="H110" s="14">
        <f>IF($A110="","",IF($G110&gt;0,$G110,IF((SUMIF($A$4:$A$253,$A110,$C$4:$C$253)-SUMIFS($C$4:$C$253,$A$4:$A$253,$A110,$G$4:$G$253,"&gt;0"))&lt;=0,0,MAX(0,(SUMIF(Compras!$A:$A,$A110,Compras!$D:$D)-SUMIFS($G$4:$G$253,$A$4:$A$253,$A110,$G$4:$G$253,"&gt;0")))*$C110/(SUMIF($A$4:$A$253,$A110,$C$4:$C$253)-SUMIFS($C$4:$C$253,$A$4:$A$253,$A110,$G$4:$G$253,"&gt;0")))))</f>
        <v/>
      </c>
      <c r="I110" s="15">
        <f>IF($A110="","",IF(COUNTIF(Projetos!$A:$A,$A110)=0,"projeto não cadastrado",""))</f>
        <v/>
      </c>
      <c r="J110" s="15">
        <f>IF($D110="","",IFERROR(MATCH($D110,Listas!$A$4:$A$15,0),""))</f>
        <v/>
      </c>
    </row>
    <row r="111">
      <c r="A111" s="12" t="n"/>
      <c r="B111" s="12" t="n"/>
      <c r="C111" s="13" t="n"/>
      <c r="D111" s="12" t="n"/>
      <c r="E111" s="12" t="n"/>
      <c r="F111" s="15">
        <f>IF($A111="","",IF($E111&lt;&gt;"","Instalado",IF($D111&lt;&gt;"","Fabricado","A produzir")))</f>
        <v/>
      </c>
      <c r="G111" s="13" t="n"/>
      <c r="H111" s="14">
        <f>IF($A111="","",IF($G111&gt;0,$G111,IF((SUMIF($A$4:$A$253,$A111,$C$4:$C$253)-SUMIFS($C$4:$C$253,$A$4:$A$253,$A111,$G$4:$G$253,"&gt;0"))&lt;=0,0,MAX(0,(SUMIF(Compras!$A:$A,$A111,Compras!$D:$D)-SUMIFS($G$4:$G$253,$A$4:$A$253,$A111,$G$4:$G$253,"&gt;0")))*$C111/(SUMIF($A$4:$A$253,$A111,$C$4:$C$253)-SUMIFS($C$4:$C$253,$A$4:$A$253,$A111,$G$4:$G$253,"&gt;0")))))</f>
        <v/>
      </c>
      <c r="I111" s="15">
        <f>IF($A111="","",IF(COUNTIF(Projetos!$A:$A,$A111)=0,"projeto não cadastrado",""))</f>
        <v/>
      </c>
      <c r="J111" s="15">
        <f>IF($D111="","",IFERROR(MATCH($D111,Listas!$A$4:$A$15,0),""))</f>
        <v/>
      </c>
    </row>
    <row r="112">
      <c r="A112" s="12" t="n"/>
      <c r="B112" s="12" t="n"/>
      <c r="C112" s="13" t="n"/>
      <c r="D112" s="12" t="n"/>
      <c r="E112" s="12" t="n"/>
      <c r="F112" s="15">
        <f>IF($A112="","",IF($E112&lt;&gt;"","Instalado",IF($D112&lt;&gt;"","Fabricado","A produzir")))</f>
        <v/>
      </c>
      <c r="G112" s="13" t="n"/>
      <c r="H112" s="14">
        <f>IF($A112="","",IF($G112&gt;0,$G112,IF((SUMIF($A$4:$A$253,$A112,$C$4:$C$253)-SUMIFS($C$4:$C$253,$A$4:$A$253,$A112,$G$4:$G$253,"&gt;0"))&lt;=0,0,MAX(0,(SUMIF(Compras!$A:$A,$A112,Compras!$D:$D)-SUMIFS($G$4:$G$253,$A$4:$A$253,$A112,$G$4:$G$253,"&gt;0")))*$C112/(SUMIF($A$4:$A$253,$A112,$C$4:$C$253)-SUMIFS($C$4:$C$253,$A$4:$A$253,$A112,$G$4:$G$253,"&gt;0")))))</f>
        <v/>
      </c>
      <c r="I112" s="15">
        <f>IF($A112="","",IF(COUNTIF(Projetos!$A:$A,$A112)=0,"projeto não cadastrado",""))</f>
        <v/>
      </c>
      <c r="J112" s="15">
        <f>IF($D112="","",IFERROR(MATCH($D112,Listas!$A$4:$A$15,0),""))</f>
        <v/>
      </c>
    </row>
    <row r="113">
      <c r="A113" s="12" t="n"/>
      <c r="B113" s="12" t="n"/>
      <c r="C113" s="13" t="n"/>
      <c r="D113" s="12" t="n"/>
      <c r="E113" s="12" t="n"/>
      <c r="F113" s="15">
        <f>IF($A113="","",IF($E113&lt;&gt;"","Instalado",IF($D113&lt;&gt;"","Fabricado","A produzir")))</f>
        <v/>
      </c>
      <c r="G113" s="13" t="n"/>
      <c r="H113" s="14">
        <f>IF($A113="","",IF($G113&gt;0,$G113,IF((SUMIF($A$4:$A$253,$A113,$C$4:$C$253)-SUMIFS($C$4:$C$253,$A$4:$A$253,$A113,$G$4:$G$253,"&gt;0"))&lt;=0,0,MAX(0,(SUMIF(Compras!$A:$A,$A113,Compras!$D:$D)-SUMIFS($G$4:$G$253,$A$4:$A$253,$A113,$G$4:$G$253,"&gt;0")))*$C113/(SUMIF($A$4:$A$253,$A113,$C$4:$C$253)-SUMIFS($C$4:$C$253,$A$4:$A$253,$A113,$G$4:$G$253,"&gt;0")))))</f>
        <v/>
      </c>
      <c r="I113" s="15">
        <f>IF($A113="","",IF(COUNTIF(Projetos!$A:$A,$A113)=0,"projeto não cadastrado",""))</f>
        <v/>
      </c>
      <c r="J113" s="15">
        <f>IF($D113="","",IFERROR(MATCH($D113,Listas!$A$4:$A$15,0),""))</f>
        <v/>
      </c>
    </row>
    <row r="114">
      <c r="A114" s="12" t="n"/>
      <c r="B114" s="12" t="n"/>
      <c r="C114" s="13" t="n"/>
      <c r="D114" s="12" t="n"/>
      <c r="E114" s="12" t="n"/>
      <c r="F114" s="15">
        <f>IF($A114="","",IF($E114&lt;&gt;"","Instalado",IF($D114&lt;&gt;"","Fabricado","A produzir")))</f>
        <v/>
      </c>
      <c r="G114" s="13" t="n"/>
      <c r="H114" s="14">
        <f>IF($A114="","",IF($G114&gt;0,$G114,IF((SUMIF($A$4:$A$253,$A114,$C$4:$C$253)-SUMIFS($C$4:$C$253,$A$4:$A$253,$A114,$G$4:$G$253,"&gt;0"))&lt;=0,0,MAX(0,(SUMIF(Compras!$A:$A,$A114,Compras!$D:$D)-SUMIFS($G$4:$G$253,$A$4:$A$253,$A114,$G$4:$G$253,"&gt;0")))*$C114/(SUMIF($A$4:$A$253,$A114,$C$4:$C$253)-SUMIFS($C$4:$C$253,$A$4:$A$253,$A114,$G$4:$G$253,"&gt;0")))))</f>
        <v/>
      </c>
      <c r="I114" s="15">
        <f>IF($A114="","",IF(COUNTIF(Projetos!$A:$A,$A114)=0,"projeto não cadastrado",""))</f>
        <v/>
      </c>
      <c r="J114" s="15">
        <f>IF($D114="","",IFERROR(MATCH($D114,Listas!$A$4:$A$15,0),""))</f>
        <v/>
      </c>
    </row>
    <row r="115">
      <c r="A115" s="12" t="n"/>
      <c r="B115" s="12" t="n"/>
      <c r="C115" s="13" t="n"/>
      <c r="D115" s="12" t="n"/>
      <c r="E115" s="12" t="n"/>
      <c r="F115" s="15">
        <f>IF($A115="","",IF($E115&lt;&gt;"","Instalado",IF($D115&lt;&gt;"","Fabricado","A produzir")))</f>
        <v/>
      </c>
      <c r="G115" s="13" t="n"/>
      <c r="H115" s="14">
        <f>IF($A115="","",IF($G115&gt;0,$G115,IF((SUMIF($A$4:$A$253,$A115,$C$4:$C$253)-SUMIFS($C$4:$C$253,$A$4:$A$253,$A115,$G$4:$G$253,"&gt;0"))&lt;=0,0,MAX(0,(SUMIF(Compras!$A:$A,$A115,Compras!$D:$D)-SUMIFS($G$4:$G$253,$A$4:$A$253,$A115,$G$4:$G$253,"&gt;0")))*$C115/(SUMIF($A$4:$A$253,$A115,$C$4:$C$253)-SUMIFS($C$4:$C$253,$A$4:$A$253,$A115,$G$4:$G$253,"&gt;0")))))</f>
        <v/>
      </c>
      <c r="I115" s="15">
        <f>IF($A115="","",IF(COUNTIF(Projetos!$A:$A,$A115)=0,"projeto não cadastrado",""))</f>
        <v/>
      </c>
      <c r="J115" s="15">
        <f>IF($D115="","",IFERROR(MATCH($D115,Listas!$A$4:$A$15,0),""))</f>
        <v/>
      </c>
    </row>
    <row r="116">
      <c r="A116" s="12" t="n"/>
      <c r="B116" s="12" t="n"/>
      <c r="C116" s="13" t="n"/>
      <c r="D116" s="12" t="n"/>
      <c r="E116" s="12" t="n"/>
      <c r="F116" s="15">
        <f>IF($A116="","",IF($E116&lt;&gt;"","Instalado",IF($D116&lt;&gt;"","Fabricado","A produzir")))</f>
        <v/>
      </c>
      <c r="G116" s="13" t="n"/>
      <c r="H116" s="14">
        <f>IF($A116="","",IF($G116&gt;0,$G116,IF((SUMIF($A$4:$A$253,$A116,$C$4:$C$253)-SUMIFS($C$4:$C$253,$A$4:$A$253,$A116,$G$4:$G$253,"&gt;0"))&lt;=0,0,MAX(0,(SUMIF(Compras!$A:$A,$A116,Compras!$D:$D)-SUMIFS($G$4:$G$253,$A$4:$A$253,$A116,$G$4:$G$253,"&gt;0")))*$C116/(SUMIF($A$4:$A$253,$A116,$C$4:$C$253)-SUMIFS($C$4:$C$253,$A$4:$A$253,$A116,$G$4:$G$253,"&gt;0")))))</f>
        <v/>
      </c>
      <c r="I116" s="15">
        <f>IF($A116="","",IF(COUNTIF(Projetos!$A:$A,$A116)=0,"projeto não cadastrado",""))</f>
        <v/>
      </c>
      <c r="J116" s="15">
        <f>IF($D116="","",IFERROR(MATCH($D116,Listas!$A$4:$A$15,0),""))</f>
        <v/>
      </c>
    </row>
    <row r="117">
      <c r="A117" s="12" t="n"/>
      <c r="B117" s="12" t="n"/>
      <c r="C117" s="13" t="n"/>
      <c r="D117" s="12" t="n"/>
      <c r="E117" s="12" t="n"/>
      <c r="F117" s="15">
        <f>IF($A117="","",IF($E117&lt;&gt;"","Instalado",IF($D117&lt;&gt;"","Fabricado","A produzir")))</f>
        <v/>
      </c>
      <c r="G117" s="13" t="n"/>
      <c r="H117" s="14">
        <f>IF($A117="","",IF($G117&gt;0,$G117,IF((SUMIF($A$4:$A$253,$A117,$C$4:$C$253)-SUMIFS($C$4:$C$253,$A$4:$A$253,$A117,$G$4:$G$253,"&gt;0"))&lt;=0,0,MAX(0,(SUMIF(Compras!$A:$A,$A117,Compras!$D:$D)-SUMIFS($G$4:$G$253,$A$4:$A$253,$A117,$G$4:$G$253,"&gt;0")))*$C117/(SUMIF($A$4:$A$253,$A117,$C$4:$C$253)-SUMIFS($C$4:$C$253,$A$4:$A$253,$A117,$G$4:$G$253,"&gt;0")))))</f>
        <v/>
      </c>
      <c r="I117" s="15">
        <f>IF($A117="","",IF(COUNTIF(Projetos!$A:$A,$A117)=0,"projeto não cadastrado",""))</f>
        <v/>
      </c>
      <c r="J117" s="15">
        <f>IF($D117="","",IFERROR(MATCH($D117,Listas!$A$4:$A$15,0),""))</f>
        <v/>
      </c>
    </row>
    <row r="118">
      <c r="A118" s="12" t="n"/>
      <c r="B118" s="12" t="n"/>
      <c r="C118" s="13" t="n"/>
      <c r="D118" s="12" t="n"/>
      <c r="E118" s="12" t="n"/>
      <c r="F118" s="15">
        <f>IF($A118="","",IF($E118&lt;&gt;"","Instalado",IF($D118&lt;&gt;"","Fabricado","A produzir")))</f>
        <v/>
      </c>
      <c r="G118" s="13" t="n"/>
      <c r="H118" s="14">
        <f>IF($A118="","",IF($G118&gt;0,$G118,IF((SUMIF($A$4:$A$253,$A118,$C$4:$C$253)-SUMIFS($C$4:$C$253,$A$4:$A$253,$A118,$G$4:$G$253,"&gt;0"))&lt;=0,0,MAX(0,(SUMIF(Compras!$A:$A,$A118,Compras!$D:$D)-SUMIFS($G$4:$G$253,$A$4:$A$253,$A118,$G$4:$G$253,"&gt;0")))*$C118/(SUMIF($A$4:$A$253,$A118,$C$4:$C$253)-SUMIFS($C$4:$C$253,$A$4:$A$253,$A118,$G$4:$G$253,"&gt;0")))))</f>
        <v/>
      </c>
      <c r="I118" s="15">
        <f>IF($A118="","",IF(COUNTIF(Projetos!$A:$A,$A118)=0,"projeto não cadastrado",""))</f>
        <v/>
      </c>
      <c r="J118" s="15">
        <f>IF($D118="","",IFERROR(MATCH($D118,Listas!$A$4:$A$15,0),""))</f>
        <v/>
      </c>
    </row>
    <row r="119">
      <c r="A119" s="12" t="n"/>
      <c r="B119" s="12" t="n"/>
      <c r="C119" s="13" t="n"/>
      <c r="D119" s="12" t="n"/>
      <c r="E119" s="12" t="n"/>
      <c r="F119" s="15">
        <f>IF($A119="","",IF($E119&lt;&gt;"","Instalado",IF($D119&lt;&gt;"","Fabricado","A produzir")))</f>
        <v/>
      </c>
      <c r="G119" s="13" t="n"/>
      <c r="H119" s="14">
        <f>IF($A119="","",IF($G119&gt;0,$G119,IF((SUMIF($A$4:$A$253,$A119,$C$4:$C$253)-SUMIFS($C$4:$C$253,$A$4:$A$253,$A119,$G$4:$G$253,"&gt;0"))&lt;=0,0,MAX(0,(SUMIF(Compras!$A:$A,$A119,Compras!$D:$D)-SUMIFS($G$4:$G$253,$A$4:$A$253,$A119,$G$4:$G$253,"&gt;0")))*$C119/(SUMIF($A$4:$A$253,$A119,$C$4:$C$253)-SUMIFS($C$4:$C$253,$A$4:$A$253,$A119,$G$4:$G$253,"&gt;0")))))</f>
        <v/>
      </c>
      <c r="I119" s="15">
        <f>IF($A119="","",IF(COUNTIF(Projetos!$A:$A,$A119)=0,"projeto não cadastrado",""))</f>
        <v/>
      </c>
      <c r="J119" s="15">
        <f>IF($D119="","",IFERROR(MATCH($D119,Listas!$A$4:$A$15,0),""))</f>
        <v/>
      </c>
    </row>
    <row r="120">
      <c r="A120" s="12" t="n"/>
      <c r="B120" s="12" t="n"/>
      <c r="C120" s="13" t="n"/>
      <c r="D120" s="12" t="n"/>
      <c r="E120" s="12" t="n"/>
      <c r="F120" s="15">
        <f>IF($A120="","",IF($E120&lt;&gt;"","Instalado",IF($D120&lt;&gt;"","Fabricado","A produzir")))</f>
        <v/>
      </c>
      <c r="G120" s="13" t="n"/>
      <c r="H120" s="14">
        <f>IF($A120="","",IF($G120&gt;0,$G120,IF((SUMIF($A$4:$A$253,$A120,$C$4:$C$253)-SUMIFS($C$4:$C$253,$A$4:$A$253,$A120,$G$4:$G$253,"&gt;0"))&lt;=0,0,MAX(0,(SUMIF(Compras!$A:$A,$A120,Compras!$D:$D)-SUMIFS($G$4:$G$253,$A$4:$A$253,$A120,$G$4:$G$253,"&gt;0")))*$C120/(SUMIF($A$4:$A$253,$A120,$C$4:$C$253)-SUMIFS($C$4:$C$253,$A$4:$A$253,$A120,$G$4:$G$253,"&gt;0")))))</f>
        <v/>
      </c>
      <c r="I120" s="15">
        <f>IF($A120="","",IF(COUNTIF(Projetos!$A:$A,$A120)=0,"projeto não cadastrado",""))</f>
        <v/>
      </c>
      <c r="J120" s="15">
        <f>IF($D120="","",IFERROR(MATCH($D120,Listas!$A$4:$A$15,0),""))</f>
        <v/>
      </c>
    </row>
    <row r="121">
      <c r="A121" s="12" t="n"/>
      <c r="B121" s="12" t="n"/>
      <c r="C121" s="13" t="n"/>
      <c r="D121" s="12" t="n"/>
      <c r="E121" s="12" t="n"/>
      <c r="F121" s="15">
        <f>IF($A121="","",IF($E121&lt;&gt;"","Instalado",IF($D121&lt;&gt;"","Fabricado","A produzir")))</f>
        <v/>
      </c>
      <c r="G121" s="13" t="n"/>
      <c r="H121" s="14">
        <f>IF($A121="","",IF($G121&gt;0,$G121,IF((SUMIF($A$4:$A$253,$A121,$C$4:$C$253)-SUMIFS($C$4:$C$253,$A$4:$A$253,$A121,$G$4:$G$253,"&gt;0"))&lt;=0,0,MAX(0,(SUMIF(Compras!$A:$A,$A121,Compras!$D:$D)-SUMIFS($G$4:$G$253,$A$4:$A$253,$A121,$G$4:$G$253,"&gt;0")))*$C121/(SUMIF($A$4:$A$253,$A121,$C$4:$C$253)-SUMIFS($C$4:$C$253,$A$4:$A$253,$A121,$G$4:$G$253,"&gt;0")))))</f>
        <v/>
      </c>
      <c r="I121" s="15">
        <f>IF($A121="","",IF(COUNTIF(Projetos!$A:$A,$A121)=0,"projeto não cadastrado",""))</f>
        <v/>
      </c>
      <c r="J121" s="15">
        <f>IF($D121="","",IFERROR(MATCH($D121,Listas!$A$4:$A$15,0),""))</f>
        <v/>
      </c>
    </row>
    <row r="122">
      <c r="A122" s="12" t="n"/>
      <c r="B122" s="12" t="n"/>
      <c r="C122" s="13" t="n"/>
      <c r="D122" s="12" t="n"/>
      <c r="E122" s="12" t="n"/>
      <c r="F122" s="15">
        <f>IF($A122="","",IF($E122&lt;&gt;"","Instalado",IF($D122&lt;&gt;"","Fabricado","A produzir")))</f>
        <v/>
      </c>
      <c r="G122" s="13" t="n"/>
      <c r="H122" s="14">
        <f>IF($A122="","",IF($G122&gt;0,$G122,IF((SUMIF($A$4:$A$253,$A122,$C$4:$C$253)-SUMIFS($C$4:$C$253,$A$4:$A$253,$A122,$G$4:$G$253,"&gt;0"))&lt;=0,0,MAX(0,(SUMIF(Compras!$A:$A,$A122,Compras!$D:$D)-SUMIFS($G$4:$G$253,$A$4:$A$253,$A122,$G$4:$G$253,"&gt;0")))*$C122/(SUMIF($A$4:$A$253,$A122,$C$4:$C$253)-SUMIFS($C$4:$C$253,$A$4:$A$253,$A122,$G$4:$G$253,"&gt;0")))))</f>
        <v/>
      </c>
      <c r="I122" s="15">
        <f>IF($A122="","",IF(COUNTIF(Projetos!$A:$A,$A122)=0,"projeto não cadastrado",""))</f>
        <v/>
      </c>
      <c r="J122" s="15">
        <f>IF($D122="","",IFERROR(MATCH($D122,Listas!$A$4:$A$15,0),""))</f>
        <v/>
      </c>
    </row>
    <row r="123">
      <c r="A123" s="12" t="n"/>
      <c r="B123" s="12" t="n"/>
      <c r="C123" s="13" t="n"/>
      <c r="D123" s="12" t="n"/>
      <c r="E123" s="12" t="n"/>
      <c r="F123" s="15">
        <f>IF($A123="","",IF($E123&lt;&gt;"","Instalado",IF($D123&lt;&gt;"","Fabricado","A produzir")))</f>
        <v/>
      </c>
      <c r="G123" s="13" t="n"/>
      <c r="H123" s="14">
        <f>IF($A123="","",IF($G123&gt;0,$G123,IF((SUMIF($A$4:$A$253,$A123,$C$4:$C$253)-SUMIFS($C$4:$C$253,$A$4:$A$253,$A123,$G$4:$G$253,"&gt;0"))&lt;=0,0,MAX(0,(SUMIF(Compras!$A:$A,$A123,Compras!$D:$D)-SUMIFS($G$4:$G$253,$A$4:$A$253,$A123,$G$4:$G$253,"&gt;0")))*$C123/(SUMIF($A$4:$A$253,$A123,$C$4:$C$253)-SUMIFS($C$4:$C$253,$A$4:$A$253,$A123,$G$4:$G$253,"&gt;0")))))</f>
        <v/>
      </c>
      <c r="I123" s="15">
        <f>IF($A123="","",IF(COUNTIF(Projetos!$A:$A,$A123)=0,"projeto não cadastrado",""))</f>
        <v/>
      </c>
      <c r="J123" s="15">
        <f>IF($D123="","",IFERROR(MATCH($D123,Listas!$A$4:$A$15,0),""))</f>
        <v/>
      </c>
    </row>
    <row r="124">
      <c r="A124" s="12" t="n"/>
      <c r="B124" s="12" t="n"/>
      <c r="C124" s="13" t="n"/>
      <c r="D124" s="12" t="n"/>
      <c r="E124" s="12" t="n"/>
      <c r="F124" s="15">
        <f>IF($A124="","",IF($E124&lt;&gt;"","Instalado",IF($D124&lt;&gt;"","Fabricado","A produzir")))</f>
        <v/>
      </c>
      <c r="G124" s="13" t="n"/>
      <c r="H124" s="14">
        <f>IF($A124="","",IF($G124&gt;0,$G124,IF((SUMIF($A$4:$A$253,$A124,$C$4:$C$253)-SUMIFS($C$4:$C$253,$A$4:$A$253,$A124,$G$4:$G$253,"&gt;0"))&lt;=0,0,MAX(0,(SUMIF(Compras!$A:$A,$A124,Compras!$D:$D)-SUMIFS($G$4:$G$253,$A$4:$A$253,$A124,$G$4:$G$253,"&gt;0")))*$C124/(SUMIF($A$4:$A$253,$A124,$C$4:$C$253)-SUMIFS($C$4:$C$253,$A$4:$A$253,$A124,$G$4:$G$253,"&gt;0")))))</f>
        <v/>
      </c>
      <c r="I124" s="15">
        <f>IF($A124="","",IF(COUNTIF(Projetos!$A:$A,$A124)=0,"projeto não cadastrado",""))</f>
        <v/>
      </c>
      <c r="J124" s="15">
        <f>IF($D124="","",IFERROR(MATCH($D124,Listas!$A$4:$A$15,0),""))</f>
        <v/>
      </c>
    </row>
    <row r="125">
      <c r="A125" s="12" t="n"/>
      <c r="B125" s="12" t="n"/>
      <c r="C125" s="13" t="n"/>
      <c r="D125" s="12" t="n"/>
      <c r="E125" s="12" t="n"/>
      <c r="F125" s="15">
        <f>IF($A125="","",IF($E125&lt;&gt;"","Instalado",IF($D125&lt;&gt;"","Fabricado","A produzir")))</f>
        <v/>
      </c>
      <c r="G125" s="13" t="n"/>
      <c r="H125" s="14">
        <f>IF($A125="","",IF($G125&gt;0,$G125,IF((SUMIF($A$4:$A$253,$A125,$C$4:$C$253)-SUMIFS($C$4:$C$253,$A$4:$A$253,$A125,$G$4:$G$253,"&gt;0"))&lt;=0,0,MAX(0,(SUMIF(Compras!$A:$A,$A125,Compras!$D:$D)-SUMIFS($G$4:$G$253,$A$4:$A$253,$A125,$G$4:$G$253,"&gt;0")))*$C125/(SUMIF($A$4:$A$253,$A125,$C$4:$C$253)-SUMIFS($C$4:$C$253,$A$4:$A$253,$A125,$G$4:$G$253,"&gt;0")))))</f>
        <v/>
      </c>
      <c r="I125" s="15">
        <f>IF($A125="","",IF(COUNTIF(Projetos!$A:$A,$A125)=0,"projeto não cadastrado",""))</f>
        <v/>
      </c>
      <c r="J125" s="15">
        <f>IF($D125="","",IFERROR(MATCH($D125,Listas!$A$4:$A$15,0),""))</f>
        <v/>
      </c>
    </row>
    <row r="126">
      <c r="A126" s="12" t="n"/>
      <c r="B126" s="12" t="n"/>
      <c r="C126" s="13" t="n"/>
      <c r="D126" s="12" t="n"/>
      <c r="E126" s="12" t="n"/>
      <c r="F126" s="15">
        <f>IF($A126="","",IF($E126&lt;&gt;"","Instalado",IF($D126&lt;&gt;"","Fabricado","A produzir")))</f>
        <v/>
      </c>
      <c r="G126" s="13" t="n"/>
      <c r="H126" s="14">
        <f>IF($A126="","",IF($G126&gt;0,$G126,IF((SUMIF($A$4:$A$253,$A126,$C$4:$C$253)-SUMIFS($C$4:$C$253,$A$4:$A$253,$A126,$G$4:$G$253,"&gt;0"))&lt;=0,0,MAX(0,(SUMIF(Compras!$A:$A,$A126,Compras!$D:$D)-SUMIFS($G$4:$G$253,$A$4:$A$253,$A126,$G$4:$G$253,"&gt;0")))*$C126/(SUMIF($A$4:$A$253,$A126,$C$4:$C$253)-SUMIFS($C$4:$C$253,$A$4:$A$253,$A126,$G$4:$G$253,"&gt;0")))))</f>
        <v/>
      </c>
      <c r="I126" s="15">
        <f>IF($A126="","",IF(COUNTIF(Projetos!$A:$A,$A126)=0,"projeto não cadastrado",""))</f>
        <v/>
      </c>
      <c r="J126" s="15">
        <f>IF($D126="","",IFERROR(MATCH($D126,Listas!$A$4:$A$15,0),""))</f>
        <v/>
      </c>
    </row>
    <row r="127">
      <c r="A127" s="12" t="n"/>
      <c r="B127" s="12" t="n"/>
      <c r="C127" s="13" t="n"/>
      <c r="D127" s="12" t="n"/>
      <c r="E127" s="12" t="n"/>
      <c r="F127" s="15">
        <f>IF($A127="","",IF($E127&lt;&gt;"","Instalado",IF($D127&lt;&gt;"","Fabricado","A produzir")))</f>
        <v/>
      </c>
      <c r="G127" s="13" t="n"/>
      <c r="H127" s="14">
        <f>IF($A127="","",IF($G127&gt;0,$G127,IF((SUMIF($A$4:$A$253,$A127,$C$4:$C$253)-SUMIFS($C$4:$C$253,$A$4:$A$253,$A127,$G$4:$G$253,"&gt;0"))&lt;=0,0,MAX(0,(SUMIF(Compras!$A:$A,$A127,Compras!$D:$D)-SUMIFS($G$4:$G$253,$A$4:$A$253,$A127,$G$4:$G$253,"&gt;0")))*$C127/(SUMIF($A$4:$A$253,$A127,$C$4:$C$253)-SUMIFS($C$4:$C$253,$A$4:$A$253,$A127,$G$4:$G$253,"&gt;0")))))</f>
        <v/>
      </c>
      <c r="I127" s="15">
        <f>IF($A127="","",IF(COUNTIF(Projetos!$A:$A,$A127)=0,"projeto não cadastrado",""))</f>
        <v/>
      </c>
      <c r="J127" s="15">
        <f>IF($D127="","",IFERROR(MATCH($D127,Listas!$A$4:$A$15,0),""))</f>
        <v/>
      </c>
    </row>
    <row r="128">
      <c r="A128" s="12" t="n"/>
      <c r="B128" s="12" t="n"/>
      <c r="C128" s="13" t="n"/>
      <c r="D128" s="12" t="n"/>
      <c r="E128" s="12" t="n"/>
      <c r="F128" s="15">
        <f>IF($A128="","",IF($E128&lt;&gt;"","Instalado",IF($D128&lt;&gt;"","Fabricado","A produzir")))</f>
        <v/>
      </c>
      <c r="G128" s="13" t="n"/>
      <c r="H128" s="14">
        <f>IF($A128="","",IF($G128&gt;0,$G128,IF((SUMIF($A$4:$A$253,$A128,$C$4:$C$253)-SUMIFS($C$4:$C$253,$A$4:$A$253,$A128,$G$4:$G$253,"&gt;0"))&lt;=0,0,MAX(0,(SUMIF(Compras!$A:$A,$A128,Compras!$D:$D)-SUMIFS($G$4:$G$253,$A$4:$A$253,$A128,$G$4:$G$253,"&gt;0")))*$C128/(SUMIF($A$4:$A$253,$A128,$C$4:$C$253)-SUMIFS($C$4:$C$253,$A$4:$A$253,$A128,$G$4:$G$253,"&gt;0")))))</f>
        <v/>
      </c>
      <c r="I128" s="15">
        <f>IF($A128="","",IF(COUNTIF(Projetos!$A:$A,$A128)=0,"projeto não cadastrado",""))</f>
        <v/>
      </c>
      <c r="J128" s="15">
        <f>IF($D128="","",IFERROR(MATCH($D128,Listas!$A$4:$A$15,0),""))</f>
        <v/>
      </c>
    </row>
    <row r="129">
      <c r="A129" s="12" t="n"/>
      <c r="B129" s="12" t="n"/>
      <c r="C129" s="13" t="n"/>
      <c r="D129" s="12" t="n"/>
      <c r="E129" s="12" t="n"/>
      <c r="F129" s="15">
        <f>IF($A129="","",IF($E129&lt;&gt;"","Instalado",IF($D129&lt;&gt;"","Fabricado","A produzir")))</f>
        <v/>
      </c>
      <c r="G129" s="13" t="n"/>
      <c r="H129" s="14">
        <f>IF($A129="","",IF($G129&gt;0,$G129,IF((SUMIF($A$4:$A$253,$A129,$C$4:$C$253)-SUMIFS($C$4:$C$253,$A$4:$A$253,$A129,$G$4:$G$253,"&gt;0"))&lt;=0,0,MAX(0,(SUMIF(Compras!$A:$A,$A129,Compras!$D:$D)-SUMIFS($G$4:$G$253,$A$4:$A$253,$A129,$G$4:$G$253,"&gt;0")))*$C129/(SUMIF($A$4:$A$253,$A129,$C$4:$C$253)-SUMIFS($C$4:$C$253,$A$4:$A$253,$A129,$G$4:$G$253,"&gt;0")))))</f>
        <v/>
      </c>
      <c r="I129" s="15">
        <f>IF($A129="","",IF(COUNTIF(Projetos!$A:$A,$A129)=0,"projeto não cadastrado",""))</f>
        <v/>
      </c>
      <c r="J129" s="15">
        <f>IF($D129="","",IFERROR(MATCH($D129,Listas!$A$4:$A$15,0),""))</f>
        <v/>
      </c>
    </row>
    <row r="130">
      <c r="A130" s="12" t="n"/>
      <c r="B130" s="12" t="n"/>
      <c r="C130" s="13" t="n"/>
      <c r="D130" s="12" t="n"/>
      <c r="E130" s="12" t="n"/>
      <c r="F130" s="15">
        <f>IF($A130="","",IF($E130&lt;&gt;"","Instalado",IF($D130&lt;&gt;"","Fabricado","A produzir")))</f>
        <v/>
      </c>
      <c r="G130" s="13" t="n"/>
      <c r="H130" s="14">
        <f>IF($A130="","",IF($G130&gt;0,$G130,IF((SUMIF($A$4:$A$253,$A130,$C$4:$C$253)-SUMIFS($C$4:$C$253,$A$4:$A$253,$A130,$G$4:$G$253,"&gt;0"))&lt;=0,0,MAX(0,(SUMIF(Compras!$A:$A,$A130,Compras!$D:$D)-SUMIFS($G$4:$G$253,$A$4:$A$253,$A130,$G$4:$G$253,"&gt;0")))*$C130/(SUMIF($A$4:$A$253,$A130,$C$4:$C$253)-SUMIFS($C$4:$C$253,$A$4:$A$253,$A130,$G$4:$G$253,"&gt;0")))))</f>
        <v/>
      </c>
      <c r="I130" s="15">
        <f>IF($A130="","",IF(COUNTIF(Projetos!$A:$A,$A130)=0,"projeto não cadastrado",""))</f>
        <v/>
      </c>
      <c r="J130" s="15">
        <f>IF($D130="","",IFERROR(MATCH($D130,Listas!$A$4:$A$15,0),""))</f>
        <v/>
      </c>
    </row>
    <row r="131">
      <c r="A131" s="12" t="n"/>
      <c r="B131" s="12" t="n"/>
      <c r="C131" s="13" t="n"/>
      <c r="D131" s="12" t="n"/>
      <c r="E131" s="12" t="n"/>
      <c r="F131" s="15">
        <f>IF($A131="","",IF($E131&lt;&gt;"","Instalado",IF($D131&lt;&gt;"","Fabricado","A produzir")))</f>
        <v/>
      </c>
      <c r="G131" s="13" t="n"/>
      <c r="H131" s="14">
        <f>IF($A131="","",IF($G131&gt;0,$G131,IF((SUMIF($A$4:$A$253,$A131,$C$4:$C$253)-SUMIFS($C$4:$C$253,$A$4:$A$253,$A131,$G$4:$G$253,"&gt;0"))&lt;=0,0,MAX(0,(SUMIF(Compras!$A:$A,$A131,Compras!$D:$D)-SUMIFS($G$4:$G$253,$A$4:$A$253,$A131,$G$4:$G$253,"&gt;0")))*$C131/(SUMIF($A$4:$A$253,$A131,$C$4:$C$253)-SUMIFS($C$4:$C$253,$A$4:$A$253,$A131,$G$4:$G$253,"&gt;0")))))</f>
        <v/>
      </c>
      <c r="I131" s="15">
        <f>IF($A131="","",IF(COUNTIF(Projetos!$A:$A,$A131)=0,"projeto não cadastrado",""))</f>
        <v/>
      </c>
      <c r="J131" s="15">
        <f>IF($D131="","",IFERROR(MATCH($D131,Listas!$A$4:$A$15,0),""))</f>
        <v/>
      </c>
    </row>
    <row r="132">
      <c r="A132" s="12" t="n"/>
      <c r="B132" s="12" t="n"/>
      <c r="C132" s="13" t="n"/>
      <c r="D132" s="12" t="n"/>
      <c r="E132" s="12" t="n"/>
      <c r="F132" s="15">
        <f>IF($A132="","",IF($E132&lt;&gt;"","Instalado",IF($D132&lt;&gt;"","Fabricado","A produzir")))</f>
        <v/>
      </c>
      <c r="G132" s="13" t="n"/>
      <c r="H132" s="14">
        <f>IF($A132="","",IF($G132&gt;0,$G132,IF((SUMIF($A$4:$A$253,$A132,$C$4:$C$253)-SUMIFS($C$4:$C$253,$A$4:$A$253,$A132,$G$4:$G$253,"&gt;0"))&lt;=0,0,MAX(0,(SUMIF(Compras!$A:$A,$A132,Compras!$D:$D)-SUMIFS($G$4:$G$253,$A$4:$A$253,$A132,$G$4:$G$253,"&gt;0")))*$C132/(SUMIF($A$4:$A$253,$A132,$C$4:$C$253)-SUMIFS($C$4:$C$253,$A$4:$A$253,$A132,$G$4:$G$253,"&gt;0")))))</f>
        <v/>
      </c>
      <c r="I132" s="15">
        <f>IF($A132="","",IF(COUNTIF(Projetos!$A:$A,$A132)=0,"projeto não cadastrado",""))</f>
        <v/>
      </c>
      <c r="J132" s="15">
        <f>IF($D132="","",IFERROR(MATCH($D132,Listas!$A$4:$A$15,0),""))</f>
        <v/>
      </c>
    </row>
    <row r="133">
      <c r="A133" s="12" t="n"/>
      <c r="B133" s="12" t="n"/>
      <c r="C133" s="13" t="n"/>
      <c r="D133" s="12" t="n"/>
      <c r="E133" s="12" t="n"/>
      <c r="F133" s="15">
        <f>IF($A133="","",IF($E133&lt;&gt;"","Instalado",IF($D133&lt;&gt;"","Fabricado","A produzir")))</f>
        <v/>
      </c>
      <c r="G133" s="13" t="n"/>
      <c r="H133" s="14">
        <f>IF($A133="","",IF($G133&gt;0,$G133,IF((SUMIF($A$4:$A$253,$A133,$C$4:$C$253)-SUMIFS($C$4:$C$253,$A$4:$A$253,$A133,$G$4:$G$253,"&gt;0"))&lt;=0,0,MAX(0,(SUMIF(Compras!$A:$A,$A133,Compras!$D:$D)-SUMIFS($G$4:$G$253,$A$4:$A$253,$A133,$G$4:$G$253,"&gt;0")))*$C133/(SUMIF($A$4:$A$253,$A133,$C$4:$C$253)-SUMIFS($C$4:$C$253,$A$4:$A$253,$A133,$G$4:$G$253,"&gt;0")))))</f>
        <v/>
      </c>
      <c r="I133" s="15">
        <f>IF($A133="","",IF(COUNTIF(Projetos!$A:$A,$A133)=0,"projeto não cadastrado",""))</f>
        <v/>
      </c>
      <c r="J133" s="15">
        <f>IF($D133="","",IFERROR(MATCH($D133,Listas!$A$4:$A$15,0),""))</f>
        <v/>
      </c>
    </row>
    <row r="134">
      <c r="A134" s="12" t="n"/>
      <c r="B134" s="12" t="n"/>
      <c r="C134" s="13" t="n"/>
      <c r="D134" s="12" t="n"/>
      <c r="E134" s="12" t="n"/>
      <c r="F134" s="15">
        <f>IF($A134="","",IF($E134&lt;&gt;"","Instalado",IF($D134&lt;&gt;"","Fabricado","A produzir")))</f>
        <v/>
      </c>
      <c r="G134" s="13" t="n"/>
      <c r="H134" s="14">
        <f>IF($A134="","",IF($G134&gt;0,$G134,IF((SUMIF($A$4:$A$253,$A134,$C$4:$C$253)-SUMIFS($C$4:$C$253,$A$4:$A$253,$A134,$G$4:$G$253,"&gt;0"))&lt;=0,0,MAX(0,(SUMIF(Compras!$A:$A,$A134,Compras!$D:$D)-SUMIFS($G$4:$G$253,$A$4:$A$253,$A134,$G$4:$G$253,"&gt;0")))*$C134/(SUMIF($A$4:$A$253,$A134,$C$4:$C$253)-SUMIFS($C$4:$C$253,$A$4:$A$253,$A134,$G$4:$G$253,"&gt;0")))))</f>
        <v/>
      </c>
      <c r="I134" s="15">
        <f>IF($A134="","",IF(COUNTIF(Projetos!$A:$A,$A134)=0,"projeto não cadastrado",""))</f>
        <v/>
      </c>
      <c r="J134" s="15">
        <f>IF($D134="","",IFERROR(MATCH($D134,Listas!$A$4:$A$15,0),""))</f>
        <v/>
      </c>
    </row>
    <row r="135">
      <c r="A135" s="12" t="n"/>
      <c r="B135" s="12" t="n"/>
      <c r="C135" s="13" t="n"/>
      <c r="D135" s="12" t="n"/>
      <c r="E135" s="12" t="n"/>
      <c r="F135" s="15">
        <f>IF($A135="","",IF($E135&lt;&gt;"","Instalado",IF($D135&lt;&gt;"","Fabricado","A produzir")))</f>
        <v/>
      </c>
      <c r="G135" s="13" t="n"/>
      <c r="H135" s="14">
        <f>IF($A135="","",IF($G135&gt;0,$G135,IF((SUMIF($A$4:$A$253,$A135,$C$4:$C$253)-SUMIFS($C$4:$C$253,$A$4:$A$253,$A135,$G$4:$G$253,"&gt;0"))&lt;=0,0,MAX(0,(SUMIF(Compras!$A:$A,$A135,Compras!$D:$D)-SUMIFS($G$4:$G$253,$A$4:$A$253,$A135,$G$4:$G$253,"&gt;0")))*$C135/(SUMIF($A$4:$A$253,$A135,$C$4:$C$253)-SUMIFS($C$4:$C$253,$A$4:$A$253,$A135,$G$4:$G$253,"&gt;0")))))</f>
        <v/>
      </c>
      <c r="I135" s="15">
        <f>IF($A135="","",IF(COUNTIF(Projetos!$A:$A,$A135)=0,"projeto não cadastrado",""))</f>
        <v/>
      </c>
      <c r="J135" s="15">
        <f>IF($D135="","",IFERROR(MATCH($D135,Listas!$A$4:$A$15,0),""))</f>
        <v/>
      </c>
    </row>
    <row r="136">
      <c r="A136" s="12" t="n"/>
      <c r="B136" s="12" t="n"/>
      <c r="C136" s="13" t="n"/>
      <c r="D136" s="12" t="n"/>
      <c r="E136" s="12" t="n"/>
      <c r="F136" s="15">
        <f>IF($A136="","",IF($E136&lt;&gt;"","Instalado",IF($D136&lt;&gt;"","Fabricado","A produzir")))</f>
        <v/>
      </c>
      <c r="G136" s="13" t="n"/>
      <c r="H136" s="14">
        <f>IF($A136="","",IF($G136&gt;0,$G136,IF((SUMIF($A$4:$A$253,$A136,$C$4:$C$253)-SUMIFS($C$4:$C$253,$A$4:$A$253,$A136,$G$4:$G$253,"&gt;0"))&lt;=0,0,MAX(0,(SUMIF(Compras!$A:$A,$A136,Compras!$D:$D)-SUMIFS($G$4:$G$253,$A$4:$A$253,$A136,$G$4:$G$253,"&gt;0")))*$C136/(SUMIF($A$4:$A$253,$A136,$C$4:$C$253)-SUMIFS($C$4:$C$253,$A$4:$A$253,$A136,$G$4:$G$253,"&gt;0")))))</f>
        <v/>
      </c>
      <c r="I136" s="15">
        <f>IF($A136="","",IF(COUNTIF(Projetos!$A:$A,$A136)=0,"projeto não cadastrado",""))</f>
        <v/>
      </c>
      <c r="J136" s="15">
        <f>IF($D136="","",IFERROR(MATCH($D136,Listas!$A$4:$A$15,0),""))</f>
        <v/>
      </c>
    </row>
    <row r="137">
      <c r="A137" s="12" t="n"/>
      <c r="B137" s="12" t="n"/>
      <c r="C137" s="13" t="n"/>
      <c r="D137" s="12" t="n"/>
      <c r="E137" s="12" t="n"/>
      <c r="F137" s="15">
        <f>IF($A137="","",IF($E137&lt;&gt;"","Instalado",IF($D137&lt;&gt;"","Fabricado","A produzir")))</f>
        <v/>
      </c>
      <c r="G137" s="13" t="n"/>
      <c r="H137" s="14">
        <f>IF($A137="","",IF($G137&gt;0,$G137,IF((SUMIF($A$4:$A$253,$A137,$C$4:$C$253)-SUMIFS($C$4:$C$253,$A$4:$A$253,$A137,$G$4:$G$253,"&gt;0"))&lt;=0,0,MAX(0,(SUMIF(Compras!$A:$A,$A137,Compras!$D:$D)-SUMIFS($G$4:$G$253,$A$4:$A$253,$A137,$G$4:$G$253,"&gt;0")))*$C137/(SUMIF($A$4:$A$253,$A137,$C$4:$C$253)-SUMIFS($C$4:$C$253,$A$4:$A$253,$A137,$G$4:$G$253,"&gt;0")))))</f>
        <v/>
      </c>
      <c r="I137" s="15">
        <f>IF($A137="","",IF(COUNTIF(Projetos!$A:$A,$A137)=0,"projeto não cadastrado",""))</f>
        <v/>
      </c>
      <c r="J137" s="15">
        <f>IF($D137="","",IFERROR(MATCH($D137,Listas!$A$4:$A$15,0),""))</f>
        <v/>
      </c>
    </row>
    <row r="138">
      <c r="A138" s="12" t="n"/>
      <c r="B138" s="12" t="n"/>
      <c r="C138" s="13" t="n"/>
      <c r="D138" s="12" t="n"/>
      <c r="E138" s="12" t="n"/>
      <c r="F138" s="15">
        <f>IF($A138="","",IF($E138&lt;&gt;"","Instalado",IF($D138&lt;&gt;"","Fabricado","A produzir")))</f>
        <v/>
      </c>
      <c r="G138" s="13" t="n"/>
      <c r="H138" s="14">
        <f>IF($A138="","",IF($G138&gt;0,$G138,IF((SUMIF($A$4:$A$253,$A138,$C$4:$C$253)-SUMIFS($C$4:$C$253,$A$4:$A$253,$A138,$G$4:$G$253,"&gt;0"))&lt;=0,0,MAX(0,(SUMIF(Compras!$A:$A,$A138,Compras!$D:$D)-SUMIFS($G$4:$G$253,$A$4:$A$253,$A138,$G$4:$G$253,"&gt;0")))*$C138/(SUMIF($A$4:$A$253,$A138,$C$4:$C$253)-SUMIFS($C$4:$C$253,$A$4:$A$253,$A138,$G$4:$G$253,"&gt;0")))))</f>
        <v/>
      </c>
      <c r="I138" s="15">
        <f>IF($A138="","",IF(COUNTIF(Projetos!$A:$A,$A138)=0,"projeto não cadastrado",""))</f>
        <v/>
      </c>
      <c r="J138" s="15">
        <f>IF($D138="","",IFERROR(MATCH($D138,Listas!$A$4:$A$15,0),""))</f>
        <v/>
      </c>
    </row>
    <row r="139">
      <c r="A139" s="12" t="n"/>
      <c r="B139" s="12" t="n"/>
      <c r="C139" s="13" t="n"/>
      <c r="D139" s="12" t="n"/>
      <c r="E139" s="12" t="n"/>
      <c r="F139" s="15">
        <f>IF($A139="","",IF($E139&lt;&gt;"","Instalado",IF($D139&lt;&gt;"","Fabricado","A produzir")))</f>
        <v/>
      </c>
      <c r="G139" s="13" t="n"/>
      <c r="H139" s="14">
        <f>IF($A139="","",IF($G139&gt;0,$G139,IF((SUMIF($A$4:$A$253,$A139,$C$4:$C$253)-SUMIFS($C$4:$C$253,$A$4:$A$253,$A139,$G$4:$G$253,"&gt;0"))&lt;=0,0,MAX(0,(SUMIF(Compras!$A:$A,$A139,Compras!$D:$D)-SUMIFS($G$4:$G$253,$A$4:$A$253,$A139,$G$4:$G$253,"&gt;0")))*$C139/(SUMIF($A$4:$A$253,$A139,$C$4:$C$253)-SUMIFS($C$4:$C$253,$A$4:$A$253,$A139,$G$4:$G$253,"&gt;0")))))</f>
        <v/>
      </c>
      <c r="I139" s="15">
        <f>IF($A139="","",IF(COUNTIF(Projetos!$A:$A,$A139)=0,"projeto não cadastrado",""))</f>
        <v/>
      </c>
      <c r="J139" s="15">
        <f>IF($D139="","",IFERROR(MATCH($D139,Listas!$A$4:$A$15,0),""))</f>
        <v/>
      </c>
    </row>
    <row r="140">
      <c r="A140" s="12" t="n"/>
      <c r="B140" s="12" t="n"/>
      <c r="C140" s="13" t="n"/>
      <c r="D140" s="12" t="n"/>
      <c r="E140" s="12" t="n"/>
      <c r="F140" s="15">
        <f>IF($A140="","",IF($E140&lt;&gt;"","Instalado",IF($D140&lt;&gt;"","Fabricado","A produzir")))</f>
        <v/>
      </c>
      <c r="G140" s="13" t="n"/>
      <c r="H140" s="14">
        <f>IF($A140="","",IF($G140&gt;0,$G140,IF((SUMIF($A$4:$A$253,$A140,$C$4:$C$253)-SUMIFS($C$4:$C$253,$A$4:$A$253,$A140,$G$4:$G$253,"&gt;0"))&lt;=0,0,MAX(0,(SUMIF(Compras!$A:$A,$A140,Compras!$D:$D)-SUMIFS($G$4:$G$253,$A$4:$A$253,$A140,$G$4:$G$253,"&gt;0")))*$C140/(SUMIF($A$4:$A$253,$A140,$C$4:$C$253)-SUMIFS($C$4:$C$253,$A$4:$A$253,$A140,$G$4:$G$253,"&gt;0")))))</f>
        <v/>
      </c>
      <c r="I140" s="15">
        <f>IF($A140="","",IF(COUNTIF(Projetos!$A:$A,$A140)=0,"projeto não cadastrado",""))</f>
        <v/>
      </c>
      <c r="J140" s="15">
        <f>IF($D140="","",IFERROR(MATCH($D140,Listas!$A$4:$A$15,0),""))</f>
        <v/>
      </c>
    </row>
    <row r="141">
      <c r="A141" s="12" t="n"/>
      <c r="B141" s="12" t="n"/>
      <c r="C141" s="13" t="n"/>
      <c r="D141" s="12" t="n"/>
      <c r="E141" s="12" t="n"/>
      <c r="F141" s="15">
        <f>IF($A141="","",IF($E141&lt;&gt;"","Instalado",IF($D141&lt;&gt;"","Fabricado","A produzir")))</f>
        <v/>
      </c>
      <c r="G141" s="13" t="n"/>
      <c r="H141" s="14">
        <f>IF($A141="","",IF($G141&gt;0,$G141,IF((SUMIF($A$4:$A$253,$A141,$C$4:$C$253)-SUMIFS($C$4:$C$253,$A$4:$A$253,$A141,$G$4:$G$253,"&gt;0"))&lt;=0,0,MAX(0,(SUMIF(Compras!$A:$A,$A141,Compras!$D:$D)-SUMIFS($G$4:$G$253,$A$4:$A$253,$A141,$G$4:$G$253,"&gt;0")))*$C141/(SUMIF($A$4:$A$253,$A141,$C$4:$C$253)-SUMIFS($C$4:$C$253,$A$4:$A$253,$A141,$G$4:$G$253,"&gt;0")))))</f>
        <v/>
      </c>
      <c r="I141" s="15">
        <f>IF($A141="","",IF(COUNTIF(Projetos!$A:$A,$A141)=0,"projeto não cadastrado",""))</f>
        <v/>
      </c>
      <c r="J141" s="15">
        <f>IF($D141="","",IFERROR(MATCH($D141,Listas!$A$4:$A$15,0),""))</f>
        <v/>
      </c>
    </row>
    <row r="142">
      <c r="A142" s="12" t="n"/>
      <c r="B142" s="12" t="n"/>
      <c r="C142" s="13" t="n"/>
      <c r="D142" s="12" t="n"/>
      <c r="E142" s="12" t="n"/>
      <c r="F142" s="15">
        <f>IF($A142="","",IF($E142&lt;&gt;"","Instalado",IF($D142&lt;&gt;"","Fabricado","A produzir")))</f>
        <v/>
      </c>
      <c r="G142" s="13" t="n"/>
      <c r="H142" s="14">
        <f>IF($A142="","",IF($G142&gt;0,$G142,IF((SUMIF($A$4:$A$253,$A142,$C$4:$C$253)-SUMIFS($C$4:$C$253,$A$4:$A$253,$A142,$G$4:$G$253,"&gt;0"))&lt;=0,0,MAX(0,(SUMIF(Compras!$A:$A,$A142,Compras!$D:$D)-SUMIFS($G$4:$G$253,$A$4:$A$253,$A142,$G$4:$G$253,"&gt;0")))*$C142/(SUMIF($A$4:$A$253,$A142,$C$4:$C$253)-SUMIFS($C$4:$C$253,$A$4:$A$253,$A142,$G$4:$G$253,"&gt;0")))))</f>
        <v/>
      </c>
      <c r="I142" s="15">
        <f>IF($A142="","",IF(COUNTIF(Projetos!$A:$A,$A142)=0,"projeto não cadastrado",""))</f>
        <v/>
      </c>
      <c r="J142" s="15">
        <f>IF($D142="","",IFERROR(MATCH($D142,Listas!$A$4:$A$15,0),""))</f>
        <v/>
      </c>
    </row>
    <row r="143">
      <c r="A143" s="12" t="n"/>
      <c r="B143" s="12" t="n"/>
      <c r="C143" s="13" t="n"/>
      <c r="D143" s="12" t="n"/>
      <c r="E143" s="12" t="n"/>
      <c r="F143" s="15">
        <f>IF($A143="","",IF($E143&lt;&gt;"","Instalado",IF($D143&lt;&gt;"","Fabricado","A produzir")))</f>
        <v/>
      </c>
      <c r="G143" s="13" t="n"/>
      <c r="H143" s="14">
        <f>IF($A143="","",IF($G143&gt;0,$G143,IF((SUMIF($A$4:$A$253,$A143,$C$4:$C$253)-SUMIFS($C$4:$C$253,$A$4:$A$253,$A143,$G$4:$G$253,"&gt;0"))&lt;=0,0,MAX(0,(SUMIF(Compras!$A:$A,$A143,Compras!$D:$D)-SUMIFS($G$4:$G$253,$A$4:$A$253,$A143,$G$4:$G$253,"&gt;0")))*$C143/(SUMIF($A$4:$A$253,$A143,$C$4:$C$253)-SUMIFS($C$4:$C$253,$A$4:$A$253,$A143,$G$4:$G$253,"&gt;0")))))</f>
        <v/>
      </c>
      <c r="I143" s="15">
        <f>IF($A143="","",IF(COUNTIF(Projetos!$A:$A,$A143)=0,"projeto não cadastrado",""))</f>
        <v/>
      </c>
      <c r="J143" s="15">
        <f>IF($D143="","",IFERROR(MATCH($D143,Listas!$A$4:$A$15,0),""))</f>
        <v/>
      </c>
    </row>
    <row r="144">
      <c r="A144" s="12" t="n"/>
      <c r="B144" s="12" t="n"/>
      <c r="C144" s="13" t="n"/>
      <c r="D144" s="12" t="n"/>
      <c r="E144" s="12" t="n"/>
      <c r="F144" s="15">
        <f>IF($A144="","",IF($E144&lt;&gt;"","Instalado",IF($D144&lt;&gt;"","Fabricado","A produzir")))</f>
        <v/>
      </c>
      <c r="G144" s="13" t="n"/>
      <c r="H144" s="14">
        <f>IF($A144="","",IF($G144&gt;0,$G144,IF((SUMIF($A$4:$A$253,$A144,$C$4:$C$253)-SUMIFS($C$4:$C$253,$A$4:$A$253,$A144,$G$4:$G$253,"&gt;0"))&lt;=0,0,MAX(0,(SUMIF(Compras!$A:$A,$A144,Compras!$D:$D)-SUMIFS($G$4:$G$253,$A$4:$A$253,$A144,$G$4:$G$253,"&gt;0")))*$C144/(SUMIF($A$4:$A$253,$A144,$C$4:$C$253)-SUMIFS($C$4:$C$253,$A$4:$A$253,$A144,$G$4:$G$253,"&gt;0")))))</f>
        <v/>
      </c>
      <c r="I144" s="15">
        <f>IF($A144="","",IF(COUNTIF(Projetos!$A:$A,$A144)=0,"projeto não cadastrado",""))</f>
        <v/>
      </c>
      <c r="J144" s="15">
        <f>IF($D144="","",IFERROR(MATCH($D144,Listas!$A$4:$A$15,0),""))</f>
        <v/>
      </c>
    </row>
    <row r="145">
      <c r="A145" s="12" t="n"/>
      <c r="B145" s="12" t="n"/>
      <c r="C145" s="13" t="n"/>
      <c r="D145" s="12" t="n"/>
      <c r="E145" s="12" t="n"/>
      <c r="F145" s="15">
        <f>IF($A145="","",IF($E145&lt;&gt;"","Instalado",IF($D145&lt;&gt;"","Fabricado","A produzir")))</f>
        <v/>
      </c>
      <c r="G145" s="13" t="n"/>
      <c r="H145" s="14">
        <f>IF($A145="","",IF($G145&gt;0,$G145,IF((SUMIF($A$4:$A$253,$A145,$C$4:$C$253)-SUMIFS($C$4:$C$253,$A$4:$A$253,$A145,$G$4:$G$253,"&gt;0"))&lt;=0,0,MAX(0,(SUMIF(Compras!$A:$A,$A145,Compras!$D:$D)-SUMIFS($G$4:$G$253,$A$4:$A$253,$A145,$G$4:$G$253,"&gt;0")))*$C145/(SUMIF($A$4:$A$253,$A145,$C$4:$C$253)-SUMIFS($C$4:$C$253,$A$4:$A$253,$A145,$G$4:$G$253,"&gt;0")))))</f>
        <v/>
      </c>
      <c r="I145" s="15">
        <f>IF($A145="","",IF(COUNTIF(Projetos!$A:$A,$A145)=0,"projeto não cadastrado",""))</f>
        <v/>
      </c>
      <c r="J145" s="15">
        <f>IF($D145="","",IFERROR(MATCH($D145,Listas!$A$4:$A$15,0),""))</f>
        <v/>
      </c>
    </row>
    <row r="146">
      <c r="A146" s="12" t="n"/>
      <c r="B146" s="12" t="n"/>
      <c r="C146" s="13" t="n"/>
      <c r="D146" s="12" t="n"/>
      <c r="E146" s="12" t="n"/>
      <c r="F146" s="15">
        <f>IF($A146="","",IF($E146&lt;&gt;"","Instalado",IF($D146&lt;&gt;"","Fabricado","A produzir")))</f>
        <v/>
      </c>
      <c r="G146" s="13" t="n"/>
      <c r="H146" s="14">
        <f>IF($A146="","",IF($G146&gt;0,$G146,IF((SUMIF($A$4:$A$253,$A146,$C$4:$C$253)-SUMIFS($C$4:$C$253,$A$4:$A$253,$A146,$G$4:$G$253,"&gt;0"))&lt;=0,0,MAX(0,(SUMIF(Compras!$A:$A,$A146,Compras!$D:$D)-SUMIFS($G$4:$G$253,$A$4:$A$253,$A146,$G$4:$G$253,"&gt;0")))*$C146/(SUMIF($A$4:$A$253,$A146,$C$4:$C$253)-SUMIFS($C$4:$C$253,$A$4:$A$253,$A146,$G$4:$G$253,"&gt;0")))))</f>
        <v/>
      </c>
      <c r="I146" s="15">
        <f>IF($A146="","",IF(COUNTIF(Projetos!$A:$A,$A146)=0,"projeto não cadastrado",""))</f>
        <v/>
      </c>
      <c r="J146" s="15">
        <f>IF($D146="","",IFERROR(MATCH($D146,Listas!$A$4:$A$15,0),""))</f>
        <v/>
      </c>
    </row>
    <row r="147">
      <c r="A147" s="12" t="n"/>
      <c r="B147" s="12" t="n"/>
      <c r="C147" s="13" t="n"/>
      <c r="D147" s="12" t="n"/>
      <c r="E147" s="12" t="n"/>
      <c r="F147" s="15">
        <f>IF($A147="","",IF($E147&lt;&gt;"","Instalado",IF($D147&lt;&gt;"","Fabricado","A produzir")))</f>
        <v/>
      </c>
      <c r="G147" s="13" t="n"/>
      <c r="H147" s="14">
        <f>IF($A147="","",IF($G147&gt;0,$G147,IF((SUMIF($A$4:$A$253,$A147,$C$4:$C$253)-SUMIFS($C$4:$C$253,$A$4:$A$253,$A147,$G$4:$G$253,"&gt;0"))&lt;=0,0,MAX(0,(SUMIF(Compras!$A:$A,$A147,Compras!$D:$D)-SUMIFS($G$4:$G$253,$A$4:$A$253,$A147,$G$4:$G$253,"&gt;0")))*$C147/(SUMIF($A$4:$A$253,$A147,$C$4:$C$253)-SUMIFS($C$4:$C$253,$A$4:$A$253,$A147,$G$4:$G$253,"&gt;0")))))</f>
        <v/>
      </c>
      <c r="I147" s="15">
        <f>IF($A147="","",IF(COUNTIF(Projetos!$A:$A,$A147)=0,"projeto não cadastrado",""))</f>
        <v/>
      </c>
      <c r="J147" s="15">
        <f>IF($D147="","",IFERROR(MATCH($D147,Listas!$A$4:$A$15,0),""))</f>
        <v/>
      </c>
    </row>
    <row r="148">
      <c r="A148" s="12" t="n"/>
      <c r="B148" s="12" t="n"/>
      <c r="C148" s="13" t="n"/>
      <c r="D148" s="12" t="n"/>
      <c r="E148" s="12" t="n"/>
      <c r="F148" s="15">
        <f>IF($A148="","",IF($E148&lt;&gt;"","Instalado",IF($D148&lt;&gt;"","Fabricado","A produzir")))</f>
        <v/>
      </c>
      <c r="G148" s="13" t="n"/>
      <c r="H148" s="14">
        <f>IF($A148="","",IF($G148&gt;0,$G148,IF((SUMIF($A$4:$A$253,$A148,$C$4:$C$253)-SUMIFS($C$4:$C$253,$A$4:$A$253,$A148,$G$4:$G$253,"&gt;0"))&lt;=0,0,MAX(0,(SUMIF(Compras!$A:$A,$A148,Compras!$D:$D)-SUMIFS($G$4:$G$253,$A$4:$A$253,$A148,$G$4:$G$253,"&gt;0")))*$C148/(SUMIF($A$4:$A$253,$A148,$C$4:$C$253)-SUMIFS($C$4:$C$253,$A$4:$A$253,$A148,$G$4:$G$253,"&gt;0")))))</f>
        <v/>
      </c>
      <c r="I148" s="15">
        <f>IF($A148="","",IF(COUNTIF(Projetos!$A:$A,$A148)=0,"projeto não cadastrado",""))</f>
        <v/>
      </c>
      <c r="J148" s="15">
        <f>IF($D148="","",IFERROR(MATCH($D148,Listas!$A$4:$A$15,0),""))</f>
        <v/>
      </c>
    </row>
    <row r="149">
      <c r="A149" s="12" t="n"/>
      <c r="B149" s="12" t="n"/>
      <c r="C149" s="13" t="n"/>
      <c r="D149" s="12" t="n"/>
      <c r="E149" s="12" t="n"/>
      <c r="F149" s="15">
        <f>IF($A149="","",IF($E149&lt;&gt;"","Instalado",IF($D149&lt;&gt;"","Fabricado","A produzir")))</f>
        <v/>
      </c>
      <c r="G149" s="13" t="n"/>
      <c r="H149" s="14">
        <f>IF($A149="","",IF($G149&gt;0,$G149,IF((SUMIF($A$4:$A$253,$A149,$C$4:$C$253)-SUMIFS($C$4:$C$253,$A$4:$A$253,$A149,$G$4:$G$253,"&gt;0"))&lt;=0,0,MAX(0,(SUMIF(Compras!$A:$A,$A149,Compras!$D:$D)-SUMIFS($G$4:$G$253,$A$4:$A$253,$A149,$G$4:$G$253,"&gt;0")))*$C149/(SUMIF($A$4:$A$253,$A149,$C$4:$C$253)-SUMIFS($C$4:$C$253,$A$4:$A$253,$A149,$G$4:$G$253,"&gt;0")))))</f>
        <v/>
      </c>
      <c r="I149" s="15">
        <f>IF($A149="","",IF(COUNTIF(Projetos!$A:$A,$A149)=0,"projeto não cadastrado",""))</f>
        <v/>
      </c>
      <c r="J149" s="15">
        <f>IF($D149="","",IFERROR(MATCH($D149,Listas!$A$4:$A$15,0),""))</f>
        <v/>
      </c>
    </row>
    <row r="150">
      <c r="A150" s="12" t="n"/>
      <c r="B150" s="12" t="n"/>
      <c r="C150" s="13" t="n"/>
      <c r="D150" s="12" t="n"/>
      <c r="E150" s="12" t="n"/>
      <c r="F150" s="15">
        <f>IF($A150="","",IF($E150&lt;&gt;"","Instalado",IF($D150&lt;&gt;"","Fabricado","A produzir")))</f>
        <v/>
      </c>
      <c r="G150" s="13" t="n"/>
      <c r="H150" s="14">
        <f>IF($A150="","",IF($G150&gt;0,$G150,IF((SUMIF($A$4:$A$253,$A150,$C$4:$C$253)-SUMIFS($C$4:$C$253,$A$4:$A$253,$A150,$G$4:$G$253,"&gt;0"))&lt;=0,0,MAX(0,(SUMIF(Compras!$A:$A,$A150,Compras!$D:$D)-SUMIFS($G$4:$G$253,$A$4:$A$253,$A150,$G$4:$G$253,"&gt;0")))*$C150/(SUMIF($A$4:$A$253,$A150,$C$4:$C$253)-SUMIFS($C$4:$C$253,$A$4:$A$253,$A150,$G$4:$G$253,"&gt;0")))))</f>
        <v/>
      </c>
      <c r="I150" s="15">
        <f>IF($A150="","",IF(COUNTIF(Projetos!$A:$A,$A150)=0,"projeto não cadastrado",""))</f>
        <v/>
      </c>
      <c r="J150" s="15">
        <f>IF($D150="","",IFERROR(MATCH($D150,Listas!$A$4:$A$15,0),""))</f>
        <v/>
      </c>
    </row>
    <row r="151">
      <c r="A151" s="12" t="n"/>
      <c r="B151" s="12" t="n"/>
      <c r="C151" s="13" t="n"/>
      <c r="D151" s="12" t="n"/>
      <c r="E151" s="12" t="n"/>
      <c r="F151" s="15">
        <f>IF($A151="","",IF($E151&lt;&gt;"","Instalado",IF($D151&lt;&gt;"","Fabricado","A produzir")))</f>
        <v/>
      </c>
      <c r="G151" s="13" t="n"/>
      <c r="H151" s="14">
        <f>IF($A151="","",IF($G151&gt;0,$G151,IF((SUMIF($A$4:$A$253,$A151,$C$4:$C$253)-SUMIFS($C$4:$C$253,$A$4:$A$253,$A151,$G$4:$G$253,"&gt;0"))&lt;=0,0,MAX(0,(SUMIF(Compras!$A:$A,$A151,Compras!$D:$D)-SUMIFS($G$4:$G$253,$A$4:$A$253,$A151,$G$4:$G$253,"&gt;0")))*$C151/(SUMIF($A$4:$A$253,$A151,$C$4:$C$253)-SUMIFS($C$4:$C$253,$A$4:$A$253,$A151,$G$4:$G$253,"&gt;0")))))</f>
        <v/>
      </c>
      <c r="I151" s="15">
        <f>IF($A151="","",IF(COUNTIF(Projetos!$A:$A,$A151)=0,"projeto não cadastrado",""))</f>
        <v/>
      </c>
      <c r="J151" s="15">
        <f>IF($D151="","",IFERROR(MATCH($D151,Listas!$A$4:$A$15,0),""))</f>
        <v/>
      </c>
    </row>
    <row r="152">
      <c r="A152" s="12" t="n"/>
      <c r="B152" s="12" t="n"/>
      <c r="C152" s="13" t="n"/>
      <c r="D152" s="12" t="n"/>
      <c r="E152" s="12" t="n"/>
      <c r="F152" s="15">
        <f>IF($A152="","",IF($E152&lt;&gt;"","Instalado",IF($D152&lt;&gt;"","Fabricado","A produzir")))</f>
        <v/>
      </c>
      <c r="G152" s="13" t="n"/>
      <c r="H152" s="14">
        <f>IF($A152="","",IF($G152&gt;0,$G152,IF((SUMIF($A$4:$A$253,$A152,$C$4:$C$253)-SUMIFS($C$4:$C$253,$A$4:$A$253,$A152,$G$4:$G$253,"&gt;0"))&lt;=0,0,MAX(0,(SUMIF(Compras!$A:$A,$A152,Compras!$D:$D)-SUMIFS($G$4:$G$253,$A$4:$A$253,$A152,$G$4:$G$253,"&gt;0")))*$C152/(SUMIF($A$4:$A$253,$A152,$C$4:$C$253)-SUMIFS($C$4:$C$253,$A$4:$A$253,$A152,$G$4:$G$253,"&gt;0")))))</f>
        <v/>
      </c>
      <c r="I152" s="15">
        <f>IF($A152="","",IF(COUNTIF(Projetos!$A:$A,$A152)=0,"projeto não cadastrado",""))</f>
        <v/>
      </c>
      <c r="J152" s="15">
        <f>IF($D152="","",IFERROR(MATCH($D152,Listas!$A$4:$A$15,0),""))</f>
        <v/>
      </c>
    </row>
    <row r="153">
      <c r="A153" s="12" t="n"/>
      <c r="B153" s="12" t="n"/>
      <c r="C153" s="13" t="n"/>
      <c r="D153" s="12" t="n"/>
      <c r="E153" s="12" t="n"/>
      <c r="F153" s="15">
        <f>IF($A153="","",IF($E153&lt;&gt;"","Instalado",IF($D153&lt;&gt;"","Fabricado","A produzir")))</f>
        <v/>
      </c>
      <c r="G153" s="13" t="n"/>
      <c r="H153" s="14">
        <f>IF($A153="","",IF($G153&gt;0,$G153,IF((SUMIF($A$4:$A$253,$A153,$C$4:$C$253)-SUMIFS($C$4:$C$253,$A$4:$A$253,$A153,$G$4:$G$253,"&gt;0"))&lt;=0,0,MAX(0,(SUMIF(Compras!$A:$A,$A153,Compras!$D:$D)-SUMIFS($G$4:$G$253,$A$4:$A$253,$A153,$G$4:$G$253,"&gt;0")))*$C153/(SUMIF($A$4:$A$253,$A153,$C$4:$C$253)-SUMIFS($C$4:$C$253,$A$4:$A$253,$A153,$G$4:$G$253,"&gt;0")))))</f>
        <v/>
      </c>
      <c r="I153" s="15">
        <f>IF($A153="","",IF(COUNTIF(Projetos!$A:$A,$A153)=0,"projeto não cadastrado",""))</f>
        <v/>
      </c>
      <c r="J153" s="15">
        <f>IF($D153="","",IFERROR(MATCH($D153,Listas!$A$4:$A$15,0),""))</f>
        <v/>
      </c>
    </row>
    <row r="154">
      <c r="A154" s="12" t="n"/>
      <c r="B154" s="12" t="n"/>
      <c r="C154" s="13" t="n"/>
      <c r="D154" s="12" t="n"/>
      <c r="E154" s="12" t="n"/>
      <c r="F154" s="15">
        <f>IF($A154="","",IF($E154&lt;&gt;"","Instalado",IF($D154&lt;&gt;"","Fabricado","A produzir")))</f>
        <v/>
      </c>
      <c r="G154" s="13" t="n"/>
      <c r="H154" s="14">
        <f>IF($A154="","",IF($G154&gt;0,$G154,IF((SUMIF($A$4:$A$253,$A154,$C$4:$C$253)-SUMIFS($C$4:$C$253,$A$4:$A$253,$A154,$G$4:$G$253,"&gt;0"))&lt;=0,0,MAX(0,(SUMIF(Compras!$A:$A,$A154,Compras!$D:$D)-SUMIFS($G$4:$G$253,$A$4:$A$253,$A154,$G$4:$G$253,"&gt;0")))*$C154/(SUMIF($A$4:$A$253,$A154,$C$4:$C$253)-SUMIFS($C$4:$C$253,$A$4:$A$253,$A154,$G$4:$G$253,"&gt;0")))))</f>
        <v/>
      </c>
      <c r="I154" s="15">
        <f>IF($A154="","",IF(COUNTIF(Projetos!$A:$A,$A154)=0,"projeto não cadastrado",""))</f>
        <v/>
      </c>
      <c r="J154" s="15">
        <f>IF($D154="","",IFERROR(MATCH($D154,Listas!$A$4:$A$15,0),""))</f>
        <v/>
      </c>
    </row>
    <row r="155">
      <c r="A155" s="12" t="n"/>
      <c r="B155" s="12" t="n"/>
      <c r="C155" s="13" t="n"/>
      <c r="D155" s="12" t="n"/>
      <c r="E155" s="12" t="n"/>
      <c r="F155" s="15">
        <f>IF($A155="","",IF($E155&lt;&gt;"","Instalado",IF($D155&lt;&gt;"","Fabricado","A produzir")))</f>
        <v/>
      </c>
      <c r="G155" s="13" t="n"/>
      <c r="H155" s="14">
        <f>IF($A155="","",IF($G155&gt;0,$G155,IF((SUMIF($A$4:$A$253,$A155,$C$4:$C$253)-SUMIFS($C$4:$C$253,$A$4:$A$253,$A155,$G$4:$G$253,"&gt;0"))&lt;=0,0,MAX(0,(SUMIF(Compras!$A:$A,$A155,Compras!$D:$D)-SUMIFS($G$4:$G$253,$A$4:$A$253,$A155,$G$4:$G$253,"&gt;0")))*$C155/(SUMIF($A$4:$A$253,$A155,$C$4:$C$253)-SUMIFS($C$4:$C$253,$A$4:$A$253,$A155,$G$4:$G$253,"&gt;0")))))</f>
        <v/>
      </c>
      <c r="I155" s="15">
        <f>IF($A155="","",IF(COUNTIF(Projetos!$A:$A,$A155)=0,"projeto não cadastrado",""))</f>
        <v/>
      </c>
      <c r="J155" s="15">
        <f>IF($D155="","",IFERROR(MATCH($D155,Listas!$A$4:$A$15,0),""))</f>
        <v/>
      </c>
    </row>
    <row r="156">
      <c r="A156" s="12" t="n"/>
      <c r="B156" s="12" t="n"/>
      <c r="C156" s="13" t="n"/>
      <c r="D156" s="12" t="n"/>
      <c r="E156" s="12" t="n"/>
      <c r="F156" s="15">
        <f>IF($A156="","",IF($E156&lt;&gt;"","Instalado",IF($D156&lt;&gt;"","Fabricado","A produzir")))</f>
        <v/>
      </c>
      <c r="G156" s="13" t="n"/>
      <c r="H156" s="14">
        <f>IF($A156="","",IF($G156&gt;0,$G156,IF((SUMIF($A$4:$A$253,$A156,$C$4:$C$253)-SUMIFS($C$4:$C$253,$A$4:$A$253,$A156,$G$4:$G$253,"&gt;0"))&lt;=0,0,MAX(0,(SUMIF(Compras!$A:$A,$A156,Compras!$D:$D)-SUMIFS($G$4:$G$253,$A$4:$A$253,$A156,$G$4:$G$253,"&gt;0")))*$C156/(SUMIF($A$4:$A$253,$A156,$C$4:$C$253)-SUMIFS($C$4:$C$253,$A$4:$A$253,$A156,$G$4:$G$253,"&gt;0")))))</f>
        <v/>
      </c>
      <c r="I156" s="15">
        <f>IF($A156="","",IF(COUNTIF(Projetos!$A:$A,$A156)=0,"projeto não cadastrado",""))</f>
        <v/>
      </c>
      <c r="J156" s="15">
        <f>IF($D156="","",IFERROR(MATCH($D156,Listas!$A$4:$A$15,0),""))</f>
        <v/>
      </c>
    </row>
    <row r="157">
      <c r="A157" s="12" t="n"/>
      <c r="B157" s="12" t="n"/>
      <c r="C157" s="13" t="n"/>
      <c r="D157" s="12" t="n"/>
      <c r="E157" s="12" t="n"/>
      <c r="F157" s="15">
        <f>IF($A157="","",IF($E157&lt;&gt;"","Instalado",IF($D157&lt;&gt;"","Fabricado","A produzir")))</f>
        <v/>
      </c>
      <c r="G157" s="13" t="n"/>
      <c r="H157" s="14">
        <f>IF($A157="","",IF($G157&gt;0,$G157,IF((SUMIF($A$4:$A$253,$A157,$C$4:$C$253)-SUMIFS($C$4:$C$253,$A$4:$A$253,$A157,$G$4:$G$253,"&gt;0"))&lt;=0,0,MAX(0,(SUMIF(Compras!$A:$A,$A157,Compras!$D:$D)-SUMIFS($G$4:$G$253,$A$4:$A$253,$A157,$G$4:$G$253,"&gt;0")))*$C157/(SUMIF($A$4:$A$253,$A157,$C$4:$C$253)-SUMIFS($C$4:$C$253,$A$4:$A$253,$A157,$G$4:$G$253,"&gt;0")))))</f>
        <v/>
      </c>
      <c r="I157" s="15">
        <f>IF($A157="","",IF(COUNTIF(Projetos!$A:$A,$A157)=0,"projeto não cadastrado",""))</f>
        <v/>
      </c>
      <c r="J157" s="15">
        <f>IF($D157="","",IFERROR(MATCH($D157,Listas!$A$4:$A$15,0),""))</f>
        <v/>
      </c>
    </row>
    <row r="158">
      <c r="A158" s="12" t="n"/>
      <c r="B158" s="12" t="n"/>
      <c r="C158" s="13" t="n"/>
      <c r="D158" s="12" t="n"/>
      <c r="E158" s="12" t="n"/>
      <c r="F158" s="15">
        <f>IF($A158="","",IF($E158&lt;&gt;"","Instalado",IF($D158&lt;&gt;"","Fabricado","A produzir")))</f>
        <v/>
      </c>
      <c r="G158" s="13" t="n"/>
      <c r="H158" s="14">
        <f>IF($A158="","",IF($G158&gt;0,$G158,IF((SUMIF($A$4:$A$253,$A158,$C$4:$C$253)-SUMIFS($C$4:$C$253,$A$4:$A$253,$A158,$G$4:$G$253,"&gt;0"))&lt;=0,0,MAX(0,(SUMIF(Compras!$A:$A,$A158,Compras!$D:$D)-SUMIFS($G$4:$G$253,$A$4:$A$253,$A158,$G$4:$G$253,"&gt;0")))*$C158/(SUMIF($A$4:$A$253,$A158,$C$4:$C$253)-SUMIFS($C$4:$C$253,$A$4:$A$253,$A158,$G$4:$G$253,"&gt;0")))))</f>
        <v/>
      </c>
      <c r="I158" s="15">
        <f>IF($A158="","",IF(COUNTIF(Projetos!$A:$A,$A158)=0,"projeto não cadastrado",""))</f>
        <v/>
      </c>
      <c r="J158" s="15">
        <f>IF($D158="","",IFERROR(MATCH($D158,Listas!$A$4:$A$15,0),""))</f>
        <v/>
      </c>
    </row>
    <row r="159">
      <c r="A159" s="12" t="n"/>
      <c r="B159" s="12" t="n"/>
      <c r="C159" s="13" t="n"/>
      <c r="D159" s="12" t="n"/>
      <c r="E159" s="12" t="n"/>
      <c r="F159" s="15">
        <f>IF($A159="","",IF($E159&lt;&gt;"","Instalado",IF($D159&lt;&gt;"","Fabricado","A produzir")))</f>
        <v/>
      </c>
      <c r="G159" s="13" t="n"/>
      <c r="H159" s="14">
        <f>IF($A159="","",IF($G159&gt;0,$G159,IF((SUMIF($A$4:$A$253,$A159,$C$4:$C$253)-SUMIFS($C$4:$C$253,$A$4:$A$253,$A159,$G$4:$G$253,"&gt;0"))&lt;=0,0,MAX(0,(SUMIF(Compras!$A:$A,$A159,Compras!$D:$D)-SUMIFS($G$4:$G$253,$A$4:$A$253,$A159,$G$4:$G$253,"&gt;0")))*$C159/(SUMIF($A$4:$A$253,$A159,$C$4:$C$253)-SUMIFS($C$4:$C$253,$A$4:$A$253,$A159,$G$4:$G$253,"&gt;0")))))</f>
        <v/>
      </c>
      <c r="I159" s="15">
        <f>IF($A159="","",IF(COUNTIF(Projetos!$A:$A,$A159)=0,"projeto não cadastrado",""))</f>
        <v/>
      </c>
      <c r="J159" s="15">
        <f>IF($D159="","",IFERROR(MATCH($D159,Listas!$A$4:$A$15,0),""))</f>
        <v/>
      </c>
    </row>
    <row r="160">
      <c r="A160" s="12" t="n"/>
      <c r="B160" s="12" t="n"/>
      <c r="C160" s="13" t="n"/>
      <c r="D160" s="12" t="n"/>
      <c r="E160" s="12" t="n"/>
      <c r="F160" s="15">
        <f>IF($A160="","",IF($E160&lt;&gt;"","Instalado",IF($D160&lt;&gt;"","Fabricado","A produzir")))</f>
        <v/>
      </c>
      <c r="G160" s="13" t="n"/>
      <c r="H160" s="14">
        <f>IF($A160="","",IF($G160&gt;0,$G160,IF((SUMIF($A$4:$A$253,$A160,$C$4:$C$253)-SUMIFS($C$4:$C$253,$A$4:$A$253,$A160,$G$4:$G$253,"&gt;0"))&lt;=0,0,MAX(0,(SUMIF(Compras!$A:$A,$A160,Compras!$D:$D)-SUMIFS($G$4:$G$253,$A$4:$A$253,$A160,$G$4:$G$253,"&gt;0")))*$C160/(SUMIF($A$4:$A$253,$A160,$C$4:$C$253)-SUMIFS($C$4:$C$253,$A$4:$A$253,$A160,$G$4:$G$253,"&gt;0")))))</f>
        <v/>
      </c>
      <c r="I160" s="15">
        <f>IF($A160="","",IF(COUNTIF(Projetos!$A:$A,$A160)=0,"projeto não cadastrado",""))</f>
        <v/>
      </c>
      <c r="J160" s="15">
        <f>IF($D160="","",IFERROR(MATCH($D160,Listas!$A$4:$A$15,0),""))</f>
        <v/>
      </c>
    </row>
    <row r="161">
      <c r="A161" s="12" t="n"/>
      <c r="B161" s="12" t="n"/>
      <c r="C161" s="13" t="n"/>
      <c r="D161" s="12" t="n"/>
      <c r="E161" s="12" t="n"/>
      <c r="F161" s="15">
        <f>IF($A161="","",IF($E161&lt;&gt;"","Instalado",IF($D161&lt;&gt;"","Fabricado","A produzir")))</f>
        <v/>
      </c>
      <c r="G161" s="13" t="n"/>
      <c r="H161" s="14">
        <f>IF($A161="","",IF($G161&gt;0,$G161,IF((SUMIF($A$4:$A$253,$A161,$C$4:$C$253)-SUMIFS($C$4:$C$253,$A$4:$A$253,$A161,$G$4:$G$253,"&gt;0"))&lt;=0,0,MAX(0,(SUMIF(Compras!$A:$A,$A161,Compras!$D:$D)-SUMIFS($G$4:$G$253,$A$4:$A$253,$A161,$G$4:$G$253,"&gt;0")))*$C161/(SUMIF($A$4:$A$253,$A161,$C$4:$C$253)-SUMIFS($C$4:$C$253,$A$4:$A$253,$A161,$G$4:$G$253,"&gt;0")))))</f>
        <v/>
      </c>
      <c r="I161" s="15">
        <f>IF($A161="","",IF(COUNTIF(Projetos!$A:$A,$A161)=0,"projeto não cadastrado",""))</f>
        <v/>
      </c>
      <c r="J161" s="15">
        <f>IF($D161="","",IFERROR(MATCH($D161,Listas!$A$4:$A$15,0),""))</f>
        <v/>
      </c>
    </row>
    <row r="162">
      <c r="A162" s="12" t="n"/>
      <c r="B162" s="12" t="n"/>
      <c r="C162" s="13" t="n"/>
      <c r="D162" s="12" t="n"/>
      <c r="E162" s="12" t="n"/>
      <c r="F162" s="15">
        <f>IF($A162="","",IF($E162&lt;&gt;"","Instalado",IF($D162&lt;&gt;"","Fabricado","A produzir")))</f>
        <v/>
      </c>
      <c r="G162" s="13" t="n"/>
      <c r="H162" s="14">
        <f>IF($A162="","",IF($G162&gt;0,$G162,IF((SUMIF($A$4:$A$253,$A162,$C$4:$C$253)-SUMIFS($C$4:$C$253,$A$4:$A$253,$A162,$G$4:$G$253,"&gt;0"))&lt;=0,0,MAX(0,(SUMIF(Compras!$A:$A,$A162,Compras!$D:$D)-SUMIFS($G$4:$G$253,$A$4:$A$253,$A162,$G$4:$G$253,"&gt;0")))*$C162/(SUMIF($A$4:$A$253,$A162,$C$4:$C$253)-SUMIFS($C$4:$C$253,$A$4:$A$253,$A162,$G$4:$G$253,"&gt;0")))))</f>
        <v/>
      </c>
      <c r="I162" s="15">
        <f>IF($A162="","",IF(COUNTIF(Projetos!$A:$A,$A162)=0,"projeto não cadastrado",""))</f>
        <v/>
      </c>
      <c r="J162" s="15">
        <f>IF($D162="","",IFERROR(MATCH($D162,Listas!$A$4:$A$15,0),""))</f>
        <v/>
      </c>
    </row>
    <row r="163">
      <c r="A163" s="12" t="n"/>
      <c r="B163" s="12" t="n"/>
      <c r="C163" s="13" t="n"/>
      <c r="D163" s="12" t="n"/>
      <c r="E163" s="12" t="n"/>
      <c r="F163" s="15">
        <f>IF($A163="","",IF($E163&lt;&gt;"","Instalado",IF($D163&lt;&gt;"","Fabricado","A produzir")))</f>
        <v/>
      </c>
      <c r="G163" s="13" t="n"/>
      <c r="H163" s="14">
        <f>IF($A163="","",IF($G163&gt;0,$G163,IF((SUMIF($A$4:$A$253,$A163,$C$4:$C$253)-SUMIFS($C$4:$C$253,$A$4:$A$253,$A163,$G$4:$G$253,"&gt;0"))&lt;=0,0,MAX(0,(SUMIF(Compras!$A:$A,$A163,Compras!$D:$D)-SUMIFS($G$4:$G$253,$A$4:$A$253,$A163,$G$4:$G$253,"&gt;0")))*$C163/(SUMIF($A$4:$A$253,$A163,$C$4:$C$253)-SUMIFS($C$4:$C$253,$A$4:$A$253,$A163,$G$4:$G$253,"&gt;0")))))</f>
        <v/>
      </c>
      <c r="I163" s="15">
        <f>IF($A163="","",IF(COUNTIF(Projetos!$A:$A,$A163)=0,"projeto não cadastrado",""))</f>
        <v/>
      </c>
      <c r="J163" s="15">
        <f>IF($D163="","",IFERROR(MATCH($D163,Listas!$A$4:$A$15,0),""))</f>
        <v/>
      </c>
    </row>
    <row r="164">
      <c r="A164" s="12" t="n"/>
      <c r="B164" s="12" t="n"/>
      <c r="C164" s="13" t="n"/>
      <c r="D164" s="12" t="n"/>
      <c r="E164" s="12" t="n"/>
      <c r="F164" s="15">
        <f>IF($A164="","",IF($E164&lt;&gt;"","Instalado",IF($D164&lt;&gt;"","Fabricado","A produzir")))</f>
        <v/>
      </c>
      <c r="G164" s="13" t="n"/>
      <c r="H164" s="14">
        <f>IF($A164="","",IF($G164&gt;0,$G164,IF((SUMIF($A$4:$A$253,$A164,$C$4:$C$253)-SUMIFS($C$4:$C$253,$A$4:$A$253,$A164,$G$4:$G$253,"&gt;0"))&lt;=0,0,MAX(0,(SUMIF(Compras!$A:$A,$A164,Compras!$D:$D)-SUMIFS($G$4:$G$253,$A$4:$A$253,$A164,$G$4:$G$253,"&gt;0")))*$C164/(SUMIF($A$4:$A$253,$A164,$C$4:$C$253)-SUMIFS($C$4:$C$253,$A$4:$A$253,$A164,$G$4:$G$253,"&gt;0")))))</f>
        <v/>
      </c>
      <c r="I164" s="15">
        <f>IF($A164="","",IF(COUNTIF(Projetos!$A:$A,$A164)=0,"projeto não cadastrado",""))</f>
        <v/>
      </c>
      <c r="J164" s="15">
        <f>IF($D164="","",IFERROR(MATCH($D164,Listas!$A$4:$A$15,0),""))</f>
        <v/>
      </c>
    </row>
    <row r="165">
      <c r="A165" s="12" t="n"/>
      <c r="B165" s="12" t="n"/>
      <c r="C165" s="13" t="n"/>
      <c r="D165" s="12" t="n"/>
      <c r="E165" s="12" t="n"/>
      <c r="F165" s="15">
        <f>IF($A165="","",IF($E165&lt;&gt;"","Instalado",IF($D165&lt;&gt;"","Fabricado","A produzir")))</f>
        <v/>
      </c>
      <c r="G165" s="13" t="n"/>
      <c r="H165" s="14">
        <f>IF($A165="","",IF($G165&gt;0,$G165,IF((SUMIF($A$4:$A$253,$A165,$C$4:$C$253)-SUMIFS($C$4:$C$253,$A$4:$A$253,$A165,$G$4:$G$253,"&gt;0"))&lt;=0,0,MAX(0,(SUMIF(Compras!$A:$A,$A165,Compras!$D:$D)-SUMIFS($G$4:$G$253,$A$4:$A$253,$A165,$G$4:$G$253,"&gt;0")))*$C165/(SUMIF($A$4:$A$253,$A165,$C$4:$C$253)-SUMIFS($C$4:$C$253,$A$4:$A$253,$A165,$G$4:$G$253,"&gt;0")))))</f>
        <v/>
      </c>
      <c r="I165" s="15">
        <f>IF($A165="","",IF(COUNTIF(Projetos!$A:$A,$A165)=0,"projeto não cadastrado",""))</f>
        <v/>
      </c>
      <c r="J165" s="15">
        <f>IF($D165="","",IFERROR(MATCH($D165,Listas!$A$4:$A$15,0),""))</f>
        <v/>
      </c>
    </row>
    <row r="166">
      <c r="A166" s="12" t="n"/>
      <c r="B166" s="12" t="n"/>
      <c r="C166" s="13" t="n"/>
      <c r="D166" s="12" t="n"/>
      <c r="E166" s="12" t="n"/>
      <c r="F166" s="15">
        <f>IF($A166="","",IF($E166&lt;&gt;"","Instalado",IF($D166&lt;&gt;"","Fabricado","A produzir")))</f>
        <v/>
      </c>
      <c r="G166" s="13" t="n"/>
      <c r="H166" s="14">
        <f>IF($A166="","",IF($G166&gt;0,$G166,IF((SUMIF($A$4:$A$253,$A166,$C$4:$C$253)-SUMIFS($C$4:$C$253,$A$4:$A$253,$A166,$G$4:$G$253,"&gt;0"))&lt;=0,0,MAX(0,(SUMIF(Compras!$A:$A,$A166,Compras!$D:$D)-SUMIFS($G$4:$G$253,$A$4:$A$253,$A166,$G$4:$G$253,"&gt;0")))*$C166/(SUMIF($A$4:$A$253,$A166,$C$4:$C$253)-SUMIFS($C$4:$C$253,$A$4:$A$253,$A166,$G$4:$G$253,"&gt;0")))))</f>
        <v/>
      </c>
      <c r="I166" s="15">
        <f>IF($A166="","",IF(COUNTIF(Projetos!$A:$A,$A166)=0,"projeto não cadastrado",""))</f>
        <v/>
      </c>
      <c r="J166" s="15">
        <f>IF($D166="","",IFERROR(MATCH($D166,Listas!$A$4:$A$15,0),""))</f>
        <v/>
      </c>
    </row>
    <row r="167">
      <c r="A167" s="12" t="n"/>
      <c r="B167" s="12" t="n"/>
      <c r="C167" s="13" t="n"/>
      <c r="D167" s="12" t="n"/>
      <c r="E167" s="12" t="n"/>
      <c r="F167" s="15">
        <f>IF($A167="","",IF($E167&lt;&gt;"","Instalado",IF($D167&lt;&gt;"","Fabricado","A produzir")))</f>
        <v/>
      </c>
      <c r="G167" s="13" t="n"/>
      <c r="H167" s="14">
        <f>IF($A167="","",IF($G167&gt;0,$G167,IF((SUMIF($A$4:$A$253,$A167,$C$4:$C$253)-SUMIFS($C$4:$C$253,$A$4:$A$253,$A167,$G$4:$G$253,"&gt;0"))&lt;=0,0,MAX(0,(SUMIF(Compras!$A:$A,$A167,Compras!$D:$D)-SUMIFS($G$4:$G$253,$A$4:$A$253,$A167,$G$4:$G$253,"&gt;0")))*$C167/(SUMIF($A$4:$A$253,$A167,$C$4:$C$253)-SUMIFS($C$4:$C$253,$A$4:$A$253,$A167,$G$4:$G$253,"&gt;0")))))</f>
        <v/>
      </c>
      <c r="I167" s="15">
        <f>IF($A167="","",IF(COUNTIF(Projetos!$A:$A,$A167)=0,"projeto não cadastrado",""))</f>
        <v/>
      </c>
      <c r="J167" s="15">
        <f>IF($D167="","",IFERROR(MATCH($D167,Listas!$A$4:$A$15,0),""))</f>
        <v/>
      </c>
    </row>
    <row r="168">
      <c r="A168" s="12" t="n"/>
      <c r="B168" s="12" t="n"/>
      <c r="C168" s="13" t="n"/>
      <c r="D168" s="12" t="n"/>
      <c r="E168" s="12" t="n"/>
      <c r="F168" s="15">
        <f>IF($A168="","",IF($E168&lt;&gt;"","Instalado",IF($D168&lt;&gt;"","Fabricado","A produzir")))</f>
        <v/>
      </c>
      <c r="G168" s="13" t="n"/>
      <c r="H168" s="14">
        <f>IF($A168="","",IF($G168&gt;0,$G168,IF((SUMIF($A$4:$A$253,$A168,$C$4:$C$253)-SUMIFS($C$4:$C$253,$A$4:$A$253,$A168,$G$4:$G$253,"&gt;0"))&lt;=0,0,MAX(0,(SUMIF(Compras!$A:$A,$A168,Compras!$D:$D)-SUMIFS($G$4:$G$253,$A$4:$A$253,$A168,$G$4:$G$253,"&gt;0")))*$C168/(SUMIF($A$4:$A$253,$A168,$C$4:$C$253)-SUMIFS($C$4:$C$253,$A$4:$A$253,$A168,$G$4:$G$253,"&gt;0")))))</f>
        <v/>
      </c>
      <c r="I168" s="15">
        <f>IF($A168="","",IF(COUNTIF(Projetos!$A:$A,$A168)=0,"projeto não cadastrado",""))</f>
        <v/>
      </c>
      <c r="J168" s="15">
        <f>IF($D168="","",IFERROR(MATCH($D168,Listas!$A$4:$A$15,0),""))</f>
        <v/>
      </c>
    </row>
    <row r="169">
      <c r="A169" s="12" t="n"/>
      <c r="B169" s="12" t="n"/>
      <c r="C169" s="13" t="n"/>
      <c r="D169" s="12" t="n"/>
      <c r="E169" s="12" t="n"/>
      <c r="F169" s="15">
        <f>IF($A169="","",IF($E169&lt;&gt;"","Instalado",IF($D169&lt;&gt;"","Fabricado","A produzir")))</f>
        <v/>
      </c>
      <c r="G169" s="13" t="n"/>
      <c r="H169" s="14">
        <f>IF($A169="","",IF($G169&gt;0,$G169,IF((SUMIF($A$4:$A$253,$A169,$C$4:$C$253)-SUMIFS($C$4:$C$253,$A$4:$A$253,$A169,$G$4:$G$253,"&gt;0"))&lt;=0,0,MAX(0,(SUMIF(Compras!$A:$A,$A169,Compras!$D:$D)-SUMIFS($G$4:$G$253,$A$4:$A$253,$A169,$G$4:$G$253,"&gt;0")))*$C169/(SUMIF($A$4:$A$253,$A169,$C$4:$C$253)-SUMIFS($C$4:$C$253,$A$4:$A$253,$A169,$G$4:$G$253,"&gt;0")))))</f>
        <v/>
      </c>
      <c r="I169" s="15">
        <f>IF($A169="","",IF(COUNTIF(Projetos!$A:$A,$A169)=0,"projeto não cadastrado",""))</f>
        <v/>
      </c>
      <c r="J169" s="15">
        <f>IF($D169="","",IFERROR(MATCH($D169,Listas!$A$4:$A$15,0),""))</f>
        <v/>
      </c>
    </row>
    <row r="170">
      <c r="A170" s="12" t="n"/>
      <c r="B170" s="12" t="n"/>
      <c r="C170" s="13" t="n"/>
      <c r="D170" s="12" t="n"/>
      <c r="E170" s="12" t="n"/>
      <c r="F170" s="15">
        <f>IF($A170="","",IF($E170&lt;&gt;"","Instalado",IF($D170&lt;&gt;"","Fabricado","A produzir")))</f>
        <v/>
      </c>
      <c r="G170" s="13" t="n"/>
      <c r="H170" s="14">
        <f>IF($A170="","",IF($G170&gt;0,$G170,IF((SUMIF($A$4:$A$253,$A170,$C$4:$C$253)-SUMIFS($C$4:$C$253,$A$4:$A$253,$A170,$G$4:$G$253,"&gt;0"))&lt;=0,0,MAX(0,(SUMIF(Compras!$A:$A,$A170,Compras!$D:$D)-SUMIFS($G$4:$G$253,$A$4:$A$253,$A170,$G$4:$G$253,"&gt;0")))*$C170/(SUMIF($A$4:$A$253,$A170,$C$4:$C$253)-SUMIFS($C$4:$C$253,$A$4:$A$253,$A170,$G$4:$G$253,"&gt;0")))))</f>
        <v/>
      </c>
      <c r="I170" s="15">
        <f>IF($A170="","",IF(COUNTIF(Projetos!$A:$A,$A170)=0,"projeto não cadastrado",""))</f>
        <v/>
      </c>
      <c r="J170" s="15">
        <f>IF($D170="","",IFERROR(MATCH($D170,Listas!$A$4:$A$15,0),""))</f>
        <v/>
      </c>
    </row>
    <row r="171">
      <c r="A171" s="12" t="n"/>
      <c r="B171" s="12" t="n"/>
      <c r="C171" s="13" t="n"/>
      <c r="D171" s="12" t="n"/>
      <c r="E171" s="12" t="n"/>
      <c r="F171" s="15">
        <f>IF($A171="","",IF($E171&lt;&gt;"","Instalado",IF($D171&lt;&gt;"","Fabricado","A produzir")))</f>
        <v/>
      </c>
      <c r="G171" s="13" t="n"/>
      <c r="H171" s="14">
        <f>IF($A171="","",IF($G171&gt;0,$G171,IF((SUMIF($A$4:$A$253,$A171,$C$4:$C$253)-SUMIFS($C$4:$C$253,$A$4:$A$253,$A171,$G$4:$G$253,"&gt;0"))&lt;=0,0,MAX(0,(SUMIF(Compras!$A:$A,$A171,Compras!$D:$D)-SUMIFS($G$4:$G$253,$A$4:$A$253,$A171,$G$4:$G$253,"&gt;0")))*$C171/(SUMIF($A$4:$A$253,$A171,$C$4:$C$253)-SUMIFS($C$4:$C$253,$A$4:$A$253,$A171,$G$4:$G$253,"&gt;0")))))</f>
        <v/>
      </c>
      <c r="I171" s="15">
        <f>IF($A171="","",IF(COUNTIF(Projetos!$A:$A,$A171)=0,"projeto não cadastrado",""))</f>
        <v/>
      </c>
      <c r="J171" s="15">
        <f>IF($D171="","",IFERROR(MATCH($D171,Listas!$A$4:$A$15,0),""))</f>
        <v/>
      </c>
    </row>
    <row r="172">
      <c r="A172" s="12" t="n"/>
      <c r="B172" s="12" t="n"/>
      <c r="C172" s="13" t="n"/>
      <c r="D172" s="12" t="n"/>
      <c r="E172" s="12" t="n"/>
      <c r="F172" s="15">
        <f>IF($A172="","",IF($E172&lt;&gt;"","Instalado",IF($D172&lt;&gt;"","Fabricado","A produzir")))</f>
        <v/>
      </c>
      <c r="G172" s="13" t="n"/>
      <c r="H172" s="14">
        <f>IF($A172="","",IF($G172&gt;0,$G172,IF((SUMIF($A$4:$A$253,$A172,$C$4:$C$253)-SUMIFS($C$4:$C$253,$A$4:$A$253,$A172,$G$4:$G$253,"&gt;0"))&lt;=0,0,MAX(0,(SUMIF(Compras!$A:$A,$A172,Compras!$D:$D)-SUMIFS($G$4:$G$253,$A$4:$A$253,$A172,$G$4:$G$253,"&gt;0")))*$C172/(SUMIF($A$4:$A$253,$A172,$C$4:$C$253)-SUMIFS($C$4:$C$253,$A$4:$A$253,$A172,$G$4:$G$253,"&gt;0")))))</f>
        <v/>
      </c>
      <c r="I172" s="15">
        <f>IF($A172="","",IF(COUNTIF(Projetos!$A:$A,$A172)=0,"projeto não cadastrado",""))</f>
        <v/>
      </c>
      <c r="J172" s="15">
        <f>IF($D172="","",IFERROR(MATCH($D172,Listas!$A$4:$A$15,0),""))</f>
        <v/>
      </c>
    </row>
    <row r="173">
      <c r="A173" s="12" t="n"/>
      <c r="B173" s="12" t="n"/>
      <c r="C173" s="13" t="n"/>
      <c r="D173" s="12" t="n"/>
      <c r="E173" s="12" t="n"/>
      <c r="F173" s="15">
        <f>IF($A173="","",IF($E173&lt;&gt;"","Instalado",IF($D173&lt;&gt;"","Fabricado","A produzir")))</f>
        <v/>
      </c>
      <c r="G173" s="13" t="n"/>
      <c r="H173" s="14">
        <f>IF($A173="","",IF($G173&gt;0,$G173,IF((SUMIF($A$4:$A$253,$A173,$C$4:$C$253)-SUMIFS($C$4:$C$253,$A$4:$A$253,$A173,$G$4:$G$253,"&gt;0"))&lt;=0,0,MAX(0,(SUMIF(Compras!$A:$A,$A173,Compras!$D:$D)-SUMIFS($G$4:$G$253,$A$4:$A$253,$A173,$G$4:$G$253,"&gt;0")))*$C173/(SUMIF($A$4:$A$253,$A173,$C$4:$C$253)-SUMIFS($C$4:$C$253,$A$4:$A$253,$A173,$G$4:$G$253,"&gt;0")))))</f>
        <v/>
      </c>
      <c r="I173" s="15">
        <f>IF($A173="","",IF(COUNTIF(Projetos!$A:$A,$A173)=0,"projeto não cadastrado",""))</f>
        <v/>
      </c>
      <c r="J173" s="15">
        <f>IF($D173="","",IFERROR(MATCH($D173,Listas!$A$4:$A$15,0),""))</f>
        <v/>
      </c>
    </row>
    <row r="174">
      <c r="A174" s="12" t="n"/>
      <c r="B174" s="12" t="n"/>
      <c r="C174" s="13" t="n"/>
      <c r="D174" s="12" t="n"/>
      <c r="E174" s="12" t="n"/>
      <c r="F174" s="15">
        <f>IF($A174="","",IF($E174&lt;&gt;"","Instalado",IF($D174&lt;&gt;"","Fabricado","A produzir")))</f>
        <v/>
      </c>
      <c r="G174" s="13" t="n"/>
      <c r="H174" s="14">
        <f>IF($A174="","",IF($G174&gt;0,$G174,IF((SUMIF($A$4:$A$253,$A174,$C$4:$C$253)-SUMIFS($C$4:$C$253,$A$4:$A$253,$A174,$G$4:$G$253,"&gt;0"))&lt;=0,0,MAX(0,(SUMIF(Compras!$A:$A,$A174,Compras!$D:$D)-SUMIFS($G$4:$G$253,$A$4:$A$253,$A174,$G$4:$G$253,"&gt;0")))*$C174/(SUMIF($A$4:$A$253,$A174,$C$4:$C$253)-SUMIFS($C$4:$C$253,$A$4:$A$253,$A174,$G$4:$G$253,"&gt;0")))))</f>
        <v/>
      </c>
      <c r="I174" s="15">
        <f>IF($A174="","",IF(COUNTIF(Projetos!$A:$A,$A174)=0,"projeto não cadastrado",""))</f>
        <v/>
      </c>
      <c r="J174" s="15">
        <f>IF($D174="","",IFERROR(MATCH($D174,Listas!$A$4:$A$15,0),""))</f>
        <v/>
      </c>
    </row>
    <row r="175">
      <c r="A175" s="12" t="n"/>
      <c r="B175" s="12" t="n"/>
      <c r="C175" s="13" t="n"/>
      <c r="D175" s="12" t="n"/>
      <c r="E175" s="12" t="n"/>
      <c r="F175" s="15">
        <f>IF($A175="","",IF($E175&lt;&gt;"","Instalado",IF($D175&lt;&gt;"","Fabricado","A produzir")))</f>
        <v/>
      </c>
      <c r="G175" s="13" t="n"/>
      <c r="H175" s="14">
        <f>IF($A175="","",IF($G175&gt;0,$G175,IF((SUMIF($A$4:$A$253,$A175,$C$4:$C$253)-SUMIFS($C$4:$C$253,$A$4:$A$253,$A175,$G$4:$G$253,"&gt;0"))&lt;=0,0,MAX(0,(SUMIF(Compras!$A:$A,$A175,Compras!$D:$D)-SUMIFS($G$4:$G$253,$A$4:$A$253,$A175,$G$4:$G$253,"&gt;0")))*$C175/(SUMIF($A$4:$A$253,$A175,$C$4:$C$253)-SUMIFS($C$4:$C$253,$A$4:$A$253,$A175,$G$4:$G$253,"&gt;0")))))</f>
        <v/>
      </c>
      <c r="I175" s="15">
        <f>IF($A175="","",IF(COUNTIF(Projetos!$A:$A,$A175)=0,"projeto não cadastrado",""))</f>
        <v/>
      </c>
      <c r="J175" s="15">
        <f>IF($D175="","",IFERROR(MATCH($D175,Listas!$A$4:$A$15,0),""))</f>
        <v/>
      </c>
    </row>
    <row r="176">
      <c r="A176" s="12" t="n"/>
      <c r="B176" s="12" t="n"/>
      <c r="C176" s="13" t="n"/>
      <c r="D176" s="12" t="n"/>
      <c r="E176" s="12" t="n"/>
      <c r="F176" s="15">
        <f>IF($A176="","",IF($E176&lt;&gt;"","Instalado",IF($D176&lt;&gt;"","Fabricado","A produzir")))</f>
        <v/>
      </c>
      <c r="G176" s="13" t="n"/>
      <c r="H176" s="14">
        <f>IF($A176="","",IF($G176&gt;0,$G176,IF((SUMIF($A$4:$A$253,$A176,$C$4:$C$253)-SUMIFS($C$4:$C$253,$A$4:$A$253,$A176,$G$4:$G$253,"&gt;0"))&lt;=0,0,MAX(0,(SUMIF(Compras!$A:$A,$A176,Compras!$D:$D)-SUMIFS($G$4:$G$253,$A$4:$A$253,$A176,$G$4:$G$253,"&gt;0")))*$C176/(SUMIF($A$4:$A$253,$A176,$C$4:$C$253)-SUMIFS($C$4:$C$253,$A$4:$A$253,$A176,$G$4:$G$253,"&gt;0")))))</f>
        <v/>
      </c>
      <c r="I176" s="15">
        <f>IF($A176="","",IF(COUNTIF(Projetos!$A:$A,$A176)=0,"projeto não cadastrado",""))</f>
        <v/>
      </c>
      <c r="J176" s="15">
        <f>IF($D176="","",IFERROR(MATCH($D176,Listas!$A$4:$A$15,0),""))</f>
        <v/>
      </c>
    </row>
    <row r="177">
      <c r="A177" s="12" t="n"/>
      <c r="B177" s="12" t="n"/>
      <c r="C177" s="13" t="n"/>
      <c r="D177" s="12" t="n"/>
      <c r="E177" s="12" t="n"/>
      <c r="F177" s="15">
        <f>IF($A177="","",IF($E177&lt;&gt;"","Instalado",IF($D177&lt;&gt;"","Fabricado","A produzir")))</f>
        <v/>
      </c>
      <c r="G177" s="13" t="n"/>
      <c r="H177" s="14">
        <f>IF($A177="","",IF($G177&gt;0,$G177,IF((SUMIF($A$4:$A$253,$A177,$C$4:$C$253)-SUMIFS($C$4:$C$253,$A$4:$A$253,$A177,$G$4:$G$253,"&gt;0"))&lt;=0,0,MAX(0,(SUMIF(Compras!$A:$A,$A177,Compras!$D:$D)-SUMIFS($G$4:$G$253,$A$4:$A$253,$A177,$G$4:$G$253,"&gt;0")))*$C177/(SUMIF($A$4:$A$253,$A177,$C$4:$C$253)-SUMIFS($C$4:$C$253,$A$4:$A$253,$A177,$G$4:$G$253,"&gt;0")))))</f>
        <v/>
      </c>
      <c r="I177" s="15">
        <f>IF($A177="","",IF(COUNTIF(Projetos!$A:$A,$A177)=0,"projeto não cadastrado",""))</f>
        <v/>
      </c>
      <c r="J177" s="15">
        <f>IF($D177="","",IFERROR(MATCH($D177,Listas!$A$4:$A$15,0),""))</f>
        <v/>
      </c>
    </row>
    <row r="178">
      <c r="A178" s="12" t="n"/>
      <c r="B178" s="12" t="n"/>
      <c r="C178" s="13" t="n"/>
      <c r="D178" s="12" t="n"/>
      <c r="E178" s="12" t="n"/>
      <c r="F178" s="15">
        <f>IF($A178="","",IF($E178&lt;&gt;"","Instalado",IF($D178&lt;&gt;"","Fabricado","A produzir")))</f>
        <v/>
      </c>
      <c r="G178" s="13" t="n"/>
      <c r="H178" s="14">
        <f>IF($A178="","",IF($G178&gt;0,$G178,IF((SUMIF($A$4:$A$253,$A178,$C$4:$C$253)-SUMIFS($C$4:$C$253,$A$4:$A$253,$A178,$G$4:$G$253,"&gt;0"))&lt;=0,0,MAX(0,(SUMIF(Compras!$A:$A,$A178,Compras!$D:$D)-SUMIFS($G$4:$G$253,$A$4:$A$253,$A178,$G$4:$G$253,"&gt;0")))*$C178/(SUMIF($A$4:$A$253,$A178,$C$4:$C$253)-SUMIFS($C$4:$C$253,$A$4:$A$253,$A178,$G$4:$G$253,"&gt;0")))))</f>
        <v/>
      </c>
      <c r="I178" s="15">
        <f>IF($A178="","",IF(COUNTIF(Projetos!$A:$A,$A178)=0,"projeto não cadastrado",""))</f>
        <v/>
      </c>
      <c r="J178" s="15">
        <f>IF($D178="","",IFERROR(MATCH($D178,Listas!$A$4:$A$15,0),""))</f>
        <v/>
      </c>
    </row>
    <row r="179">
      <c r="A179" s="12" t="n"/>
      <c r="B179" s="12" t="n"/>
      <c r="C179" s="13" t="n"/>
      <c r="D179" s="12" t="n"/>
      <c r="E179" s="12" t="n"/>
      <c r="F179" s="15">
        <f>IF($A179="","",IF($E179&lt;&gt;"","Instalado",IF($D179&lt;&gt;"","Fabricado","A produzir")))</f>
        <v/>
      </c>
      <c r="G179" s="13" t="n"/>
      <c r="H179" s="14">
        <f>IF($A179="","",IF($G179&gt;0,$G179,IF((SUMIF($A$4:$A$253,$A179,$C$4:$C$253)-SUMIFS($C$4:$C$253,$A$4:$A$253,$A179,$G$4:$G$253,"&gt;0"))&lt;=0,0,MAX(0,(SUMIF(Compras!$A:$A,$A179,Compras!$D:$D)-SUMIFS($G$4:$G$253,$A$4:$A$253,$A179,$G$4:$G$253,"&gt;0")))*$C179/(SUMIF($A$4:$A$253,$A179,$C$4:$C$253)-SUMIFS($C$4:$C$253,$A$4:$A$253,$A179,$G$4:$G$253,"&gt;0")))))</f>
        <v/>
      </c>
      <c r="I179" s="15">
        <f>IF($A179="","",IF(COUNTIF(Projetos!$A:$A,$A179)=0,"projeto não cadastrado",""))</f>
        <v/>
      </c>
      <c r="J179" s="15">
        <f>IF($D179="","",IFERROR(MATCH($D179,Listas!$A$4:$A$15,0),""))</f>
        <v/>
      </c>
    </row>
    <row r="180">
      <c r="A180" s="12" t="n"/>
      <c r="B180" s="12" t="n"/>
      <c r="C180" s="13" t="n"/>
      <c r="D180" s="12" t="n"/>
      <c r="E180" s="12" t="n"/>
      <c r="F180" s="15">
        <f>IF($A180="","",IF($E180&lt;&gt;"","Instalado",IF($D180&lt;&gt;"","Fabricado","A produzir")))</f>
        <v/>
      </c>
      <c r="G180" s="13" t="n"/>
      <c r="H180" s="14">
        <f>IF($A180="","",IF($G180&gt;0,$G180,IF((SUMIF($A$4:$A$253,$A180,$C$4:$C$253)-SUMIFS($C$4:$C$253,$A$4:$A$253,$A180,$G$4:$G$253,"&gt;0"))&lt;=0,0,MAX(0,(SUMIF(Compras!$A:$A,$A180,Compras!$D:$D)-SUMIFS($G$4:$G$253,$A$4:$A$253,$A180,$G$4:$G$253,"&gt;0")))*$C180/(SUMIF($A$4:$A$253,$A180,$C$4:$C$253)-SUMIFS($C$4:$C$253,$A$4:$A$253,$A180,$G$4:$G$253,"&gt;0")))))</f>
        <v/>
      </c>
      <c r="I180" s="15">
        <f>IF($A180="","",IF(COUNTIF(Projetos!$A:$A,$A180)=0,"projeto não cadastrado",""))</f>
        <v/>
      </c>
      <c r="J180" s="15">
        <f>IF($D180="","",IFERROR(MATCH($D180,Listas!$A$4:$A$15,0),""))</f>
        <v/>
      </c>
    </row>
    <row r="181">
      <c r="A181" s="12" t="n"/>
      <c r="B181" s="12" t="n"/>
      <c r="C181" s="13" t="n"/>
      <c r="D181" s="12" t="n"/>
      <c r="E181" s="12" t="n"/>
      <c r="F181" s="15">
        <f>IF($A181="","",IF($E181&lt;&gt;"","Instalado",IF($D181&lt;&gt;"","Fabricado","A produzir")))</f>
        <v/>
      </c>
      <c r="G181" s="13" t="n"/>
      <c r="H181" s="14">
        <f>IF($A181="","",IF($G181&gt;0,$G181,IF((SUMIF($A$4:$A$253,$A181,$C$4:$C$253)-SUMIFS($C$4:$C$253,$A$4:$A$253,$A181,$G$4:$G$253,"&gt;0"))&lt;=0,0,MAX(0,(SUMIF(Compras!$A:$A,$A181,Compras!$D:$D)-SUMIFS($G$4:$G$253,$A$4:$A$253,$A181,$G$4:$G$253,"&gt;0")))*$C181/(SUMIF($A$4:$A$253,$A181,$C$4:$C$253)-SUMIFS($C$4:$C$253,$A$4:$A$253,$A181,$G$4:$G$253,"&gt;0")))))</f>
        <v/>
      </c>
      <c r="I181" s="15">
        <f>IF($A181="","",IF(COUNTIF(Projetos!$A:$A,$A181)=0,"projeto não cadastrado",""))</f>
        <v/>
      </c>
      <c r="J181" s="15">
        <f>IF($D181="","",IFERROR(MATCH($D181,Listas!$A$4:$A$15,0),""))</f>
        <v/>
      </c>
    </row>
    <row r="182">
      <c r="A182" s="12" t="n"/>
      <c r="B182" s="12" t="n"/>
      <c r="C182" s="13" t="n"/>
      <c r="D182" s="12" t="n"/>
      <c r="E182" s="12" t="n"/>
      <c r="F182" s="15">
        <f>IF($A182="","",IF($E182&lt;&gt;"","Instalado",IF($D182&lt;&gt;"","Fabricado","A produzir")))</f>
        <v/>
      </c>
      <c r="G182" s="13" t="n"/>
      <c r="H182" s="14">
        <f>IF($A182="","",IF($G182&gt;0,$G182,IF((SUMIF($A$4:$A$253,$A182,$C$4:$C$253)-SUMIFS($C$4:$C$253,$A$4:$A$253,$A182,$G$4:$G$253,"&gt;0"))&lt;=0,0,MAX(0,(SUMIF(Compras!$A:$A,$A182,Compras!$D:$D)-SUMIFS($G$4:$G$253,$A$4:$A$253,$A182,$G$4:$G$253,"&gt;0")))*$C182/(SUMIF($A$4:$A$253,$A182,$C$4:$C$253)-SUMIFS($C$4:$C$253,$A$4:$A$253,$A182,$G$4:$G$253,"&gt;0")))))</f>
        <v/>
      </c>
      <c r="I182" s="15">
        <f>IF($A182="","",IF(COUNTIF(Projetos!$A:$A,$A182)=0,"projeto não cadastrado",""))</f>
        <v/>
      </c>
      <c r="J182" s="15">
        <f>IF($D182="","",IFERROR(MATCH($D182,Listas!$A$4:$A$15,0),""))</f>
        <v/>
      </c>
    </row>
    <row r="183">
      <c r="A183" s="12" t="n"/>
      <c r="B183" s="12" t="n"/>
      <c r="C183" s="13" t="n"/>
      <c r="D183" s="12" t="n"/>
      <c r="E183" s="12" t="n"/>
      <c r="F183" s="15">
        <f>IF($A183="","",IF($E183&lt;&gt;"","Instalado",IF($D183&lt;&gt;"","Fabricado","A produzir")))</f>
        <v/>
      </c>
      <c r="G183" s="13" t="n"/>
      <c r="H183" s="14">
        <f>IF($A183="","",IF($G183&gt;0,$G183,IF((SUMIF($A$4:$A$253,$A183,$C$4:$C$253)-SUMIFS($C$4:$C$253,$A$4:$A$253,$A183,$G$4:$G$253,"&gt;0"))&lt;=0,0,MAX(0,(SUMIF(Compras!$A:$A,$A183,Compras!$D:$D)-SUMIFS($G$4:$G$253,$A$4:$A$253,$A183,$G$4:$G$253,"&gt;0")))*$C183/(SUMIF($A$4:$A$253,$A183,$C$4:$C$253)-SUMIFS($C$4:$C$253,$A$4:$A$253,$A183,$G$4:$G$253,"&gt;0")))))</f>
        <v/>
      </c>
      <c r="I183" s="15">
        <f>IF($A183="","",IF(COUNTIF(Projetos!$A:$A,$A183)=0,"projeto não cadastrado",""))</f>
        <v/>
      </c>
      <c r="J183" s="15">
        <f>IF($D183="","",IFERROR(MATCH($D183,Listas!$A$4:$A$15,0),""))</f>
        <v/>
      </c>
    </row>
    <row r="184">
      <c r="A184" s="12" t="n"/>
      <c r="B184" s="12" t="n"/>
      <c r="C184" s="13" t="n"/>
      <c r="D184" s="12" t="n"/>
      <c r="E184" s="12" t="n"/>
      <c r="F184" s="15">
        <f>IF($A184="","",IF($E184&lt;&gt;"","Instalado",IF($D184&lt;&gt;"","Fabricado","A produzir")))</f>
        <v/>
      </c>
      <c r="G184" s="13" t="n"/>
      <c r="H184" s="14">
        <f>IF($A184="","",IF($G184&gt;0,$G184,IF((SUMIF($A$4:$A$253,$A184,$C$4:$C$253)-SUMIFS($C$4:$C$253,$A$4:$A$253,$A184,$G$4:$G$253,"&gt;0"))&lt;=0,0,MAX(0,(SUMIF(Compras!$A:$A,$A184,Compras!$D:$D)-SUMIFS($G$4:$G$253,$A$4:$A$253,$A184,$G$4:$G$253,"&gt;0")))*$C184/(SUMIF($A$4:$A$253,$A184,$C$4:$C$253)-SUMIFS($C$4:$C$253,$A$4:$A$253,$A184,$G$4:$G$253,"&gt;0")))))</f>
        <v/>
      </c>
      <c r="I184" s="15">
        <f>IF($A184="","",IF(COUNTIF(Projetos!$A:$A,$A184)=0,"projeto não cadastrado",""))</f>
        <v/>
      </c>
      <c r="J184" s="15">
        <f>IF($D184="","",IFERROR(MATCH($D184,Listas!$A$4:$A$15,0),""))</f>
        <v/>
      </c>
    </row>
    <row r="185">
      <c r="A185" s="12" t="n"/>
      <c r="B185" s="12" t="n"/>
      <c r="C185" s="13" t="n"/>
      <c r="D185" s="12" t="n"/>
      <c r="E185" s="12" t="n"/>
      <c r="F185" s="15">
        <f>IF($A185="","",IF($E185&lt;&gt;"","Instalado",IF($D185&lt;&gt;"","Fabricado","A produzir")))</f>
        <v/>
      </c>
      <c r="G185" s="13" t="n"/>
      <c r="H185" s="14">
        <f>IF($A185="","",IF($G185&gt;0,$G185,IF((SUMIF($A$4:$A$253,$A185,$C$4:$C$253)-SUMIFS($C$4:$C$253,$A$4:$A$253,$A185,$G$4:$G$253,"&gt;0"))&lt;=0,0,MAX(0,(SUMIF(Compras!$A:$A,$A185,Compras!$D:$D)-SUMIFS($G$4:$G$253,$A$4:$A$253,$A185,$G$4:$G$253,"&gt;0")))*$C185/(SUMIF($A$4:$A$253,$A185,$C$4:$C$253)-SUMIFS($C$4:$C$253,$A$4:$A$253,$A185,$G$4:$G$253,"&gt;0")))))</f>
        <v/>
      </c>
      <c r="I185" s="15">
        <f>IF($A185="","",IF(COUNTIF(Projetos!$A:$A,$A185)=0,"projeto não cadastrado",""))</f>
        <v/>
      </c>
      <c r="J185" s="15">
        <f>IF($D185="","",IFERROR(MATCH($D185,Listas!$A$4:$A$15,0),""))</f>
        <v/>
      </c>
    </row>
    <row r="186">
      <c r="A186" s="12" t="n"/>
      <c r="B186" s="12" t="n"/>
      <c r="C186" s="13" t="n"/>
      <c r="D186" s="12" t="n"/>
      <c r="E186" s="12" t="n"/>
      <c r="F186" s="15">
        <f>IF($A186="","",IF($E186&lt;&gt;"","Instalado",IF($D186&lt;&gt;"","Fabricado","A produzir")))</f>
        <v/>
      </c>
      <c r="G186" s="13" t="n"/>
      <c r="H186" s="14">
        <f>IF($A186="","",IF($G186&gt;0,$G186,IF((SUMIF($A$4:$A$253,$A186,$C$4:$C$253)-SUMIFS($C$4:$C$253,$A$4:$A$253,$A186,$G$4:$G$253,"&gt;0"))&lt;=0,0,MAX(0,(SUMIF(Compras!$A:$A,$A186,Compras!$D:$D)-SUMIFS($G$4:$G$253,$A$4:$A$253,$A186,$G$4:$G$253,"&gt;0")))*$C186/(SUMIF($A$4:$A$253,$A186,$C$4:$C$253)-SUMIFS($C$4:$C$253,$A$4:$A$253,$A186,$G$4:$G$253,"&gt;0")))))</f>
        <v/>
      </c>
      <c r="I186" s="15">
        <f>IF($A186="","",IF(COUNTIF(Projetos!$A:$A,$A186)=0,"projeto não cadastrado",""))</f>
        <v/>
      </c>
      <c r="J186" s="15">
        <f>IF($D186="","",IFERROR(MATCH($D186,Listas!$A$4:$A$15,0),""))</f>
        <v/>
      </c>
    </row>
    <row r="187">
      <c r="A187" s="12" t="n"/>
      <c r="B187" s="12" t="n"/>
      <c r="C187" s="13" t="n"/>
      <c r="D187" s="12" t="n"/>
      <c r="E187" s="12" t="n"/>
      <c r="F187" s="15">
        <f>IF($A187="","",IF($E187&lt;&gt;"","Instalado",IF($D187&lt;&gt;"","Fabricado","A produzir")))</f>
        <v/>
      </c>
      <c r="G187" s="13" t="n"/>
      <c r="H187" s="14">
        <f>IF($A187="","",IF($G187&gt;0,$G187,IF((SUMIF($A$4:$A$253,$A187,$C$4:$C$253)-SUMIFS($C$4:$C$253,$A$4:$A$253,$A187,$G$4:$G$253,"&gt;0"))&lt;=0,0,MAX(0,(SUMIF(Compras!$A:$A,$A187,Compras!$D:$D)-SUMIFS($G$4:$G$253,$A$4:$A$253,$A187,$G$4:$G$253,"&gt;0")))*$C187/(SUMIF($A$4:$A$253,$A187,$C$4:$C$253)-SUMIFS($C$4:$C$253,$A$4:$A$253,$A187,$G$4:$G$253,"&gt;0")))))</f>
        <v/>
      </c>
      <c r="I187" s="15">
        <f>IF($A187="","",IF(COUNTIF(Projetos!$A:$A,$A187)=0,"projeto não cadastrado",""))</f>
        <v/>
      </c>
      <c r="J187" s="15">
        <f>IF($D187="","",IFERROR(MATCH($D187,Listas!$A$4:$A$15,0),""))</f>
        <v/>
      </c>
    </row>
    <row r="188">
      <c r="A188" s="12" t="n"/>
      <c r="B188" s="12" t="n"/>
      <c r="C188" s="13" t="n"/>
      <c r="D188" s="12" t="n"/>
      <c r="E188" s="12" t="n"/>
      <c r="F188" s="15">
        <f>IF($A188="","",IF($E188&lt;&gt;"","Instalado",IF($D188&lt;&gt;"","Fabricado","A produzir")))</f>
        <v/>
      </c>
      <c r="G188" s="13" t="n"/>
      <c r="H188" s="14">
        <f>IF($A188="","",IF($G188&gt;0,$G188,IF((SUMIF($A$4:$A$253,$A188,$C$4:$C$253)-SUMIFS($C$4:$C$253,$A$4:$A$253,$A188,$G$4:$G$253,"&gt;0"))&lt;=0,0,MAX(0,(SUMIF(Compras!$A:$A,$A188,Compras!$D:$D)-SUMIFS($G$4:$G$253,$A$4:$A$253,$A188,$G$4:$G$253,"&gt;0")))*$C188/(SUMIF($A$4:$A$253,$A188,$C$4:$C$253)-SUMIFS($C$4:$C$253,$A$4:$A$253,$A188,$G$4:$G$253,"&gt;0")))))</f>
        <v/>
      </c>
      <c r="I188" s="15">
        <f>IF($A188="","",IF(COUNTIF(Projetos!$A:$A,$A188)=0,"projeto não cadastrado",""))</f>
        <v/>
      </c>
      <c r="J188" s="15">
        <f>IF($D188="","",IFERROR(MATCH($D188,Listas!$A$4:$A$15,0),""))</f>
        <v/>
      </c>
    </row>
    <row r="189">
      <c r="A189" s="12" t="n"/>
      <c r="B189" s="12" t="n"/>
      <c r="C189" s="13" t="n"/>
      <c r="D189" s="12" t="n"/>
      <c r="E189" s="12" t="n"/>
      <c r="F189" s="15">
        <f>IF($A189="","",IF($E189&lt;&gt;"","Instalado",IF($D189&lt;&gt;"","Fabricado","A produzir")))</f>
        <v/>
      </c>
      <c r="G189" s="13" t="n"/>
      <c r="H189" s="14">
        <f>IF($A189="","",IF($G189&gt;0,$G189,IF((SUMIF($A$4:$A$253,$A189,$C$4:$C$253)-SUMIFS($C$4:$C$253,$A$4:$A$253,$A189,$G$4:$G$253,"&gt;0"))&lt;=0,0,MAX(0,(SUMIF(Compras!$A:$A,$A189,Compras!$D:$D)-SUMIFS($G$4:$G$253,$A$4:$A$253,$A189,$G$4:$G$253,"&gt;0")))*$C189/(SUMIF($A$4:$A$253,$A189,$C$4:$C$253)-SUMIFS($C$4:$C$253,$A$4:$A$253,$A189,$G$4:$G$253,"&gt;0")))))</f>
        <v/>
      </c>
      <c r="I189" s="15">
        <f>IF($A189="","",IF(COUNTIF(Projetos!$A:$A,$A189)=0,"projeto não cadastrado",""))</f>
        <v/>
      </c>
      <c r="J189" s="15">
        <f>IF($D189="","",IFERROR(MATCH($D189,Listas!$A$4:$A$15,0),""))</f>
        <v/>
      </c>
    </row>
    <row r="190">
      <c r="A190" s="12" t="n"/>
      <c r="B190" s="12" t="n"/>
      <c r="C190" s="13" t="n"/>
      <c r="D190" s="12" t="n"/>
      <c r="E190" s="12" t="n"/>
      <c r="F190" s="15">
        <f>IF($A190="","",IF($E190&lt;&gt;"","Instalado",IF($D190&lt;&gt;"","Fabricado","A produzir")))</f>
        <v/>
      </c>
      <c r="G190" s="13" t="n"/>
      <c r="H190" s="14">
        <f>IF($A190="","",IF($G190&gt;0,$G190,IF((SUMIF($A$4:$A$253,$A190,$C$4:$C$253)-SUMIFS($C$4:$C$253,$A$4:$A$253,$A190,$G$4:$G$253,"&gt;0"))&lt;=0,0,MAX(0,(SUMIF(Compras!$A:$A,$A190,Compras!$D:$D)-SUMIFS($G$4:$G$253,$A$4:$A$253,$A190,$G$4:$G$253,"&gt;0")))*$C190/(SUMIF($A$4:$A$253,$A190,$C$4:$C$253)-SUMIFS($C$4:$C$253,$A$4:$A$253,$A190,$G$4:$G$253,"&gt;0")))))</f>
        <v/>
      </c>
      <c r="I190" s="15">
        <f>IF($A190="","",IF(COUNTIF(Projetos!$A:$A,$A190)=0,"projeto não cadastrado",""))</f>
        <v/>
      </c>
      <c r="J190" s="15">
        <f>IF($D190="","",IFERROR(MATCH($D190,Listas!$A$4:$A$15,0),""))</f>
        <v/>
      </c>
    </row>
    <row r="191">
      <c r="A191" s="12" t="n"/>
      <c r="B191" s="12" t="n"/>
      <c r="C191" s="13" t="n"/>
      <c r="D191" s="12" t="n"/>
      <c r="E191" s="12" t="n"/>
      <c r="F191" s="15">
        <f>IF($A191="","",IF($E191&lt;&gt;"","Instalado",IF($D191&lt;&gt;"","Fabricado","A produzir")))</f>
        <v/>
      </c>
      <c r="G191" s="13" t="n"/>
      <c r="H191" s="14">
        <f>IF($A191="","",IF($G191&gt;0,$G191,IF((SUMIF($A$4:$A$253,$A191,$C$4:$C$253)-SUMIFS($C$4:$C$253,$A$4:$A$253,$A191,$G$4:$G$253,"&gt;0"))&lt;=0,0,MAX(0,(SUMIF(Compras!$A:$A,$A191,Compras!$D:$D)-SUMIFS($G$4:$G$253,$A$4:$A$253,$A191,$G$4:$G$253,"&gt;0")))*$C191/(SUMIF($A$4:$A$253,$A191,$C$4:$C$253)-SUMIFS($C$4:$C$253,$A$4:$A$253,$A191,$G$4:$G$253,"&gt;0")))))</f>
        <v/>
      </c>
      <c r="I191" s="15">
        <f>IF($A191="","",IF(COUNTIF(Projetos!$A:$A,$A191)=0,"projeto não cadastrado",""))</f>
        <v/>
      </c>
      <c r="J191" s="15">
        <f>IF($D191="","",IFERROR(MATCH($D191,Listas!$A$4:$A$15,0),""))</f>
        <v/>
      </c>
    </row>
    <row r="192">
      <c r="A192" s="12" t="n"/>
      <c r="B192" s="12" t="n"/>
      <c r="C192" s="13" t="n"/>
      <c r="D192" s="12" t="n"/>
      <c r="E192" s="12" t="n"/>
      <c r="F192" s="15">
        <f>IF($A192="","",IF($E192&lt;&gt;"","Instalado",IF($D192&lt;&gt;"","Fabricado","A produzir")))</f>
        <v/>
      </c>
      <c r="G192" s="13" t="n"/>
      <c r="H192" s="14">
        <f>IF($A192="","",IF($G192&gt;0,$G192,IF((SUMIF($A$4:$A$253,$A192,$C$4:$C$253)-SUMIFS($C$4:$C$253,$A$4:$A$253,$A192,$G$4:$G$253,"&gt;0"))&lt;=0,0,MAX(0,(SUMIF(Compras!$A:$A,$A192,Compras!$D:$D)-SUMIFS($G$4:$G$253,$A$4:$A$253,$A192,$G$4:$G$253,"&gt;0")))*$C192/(SUMIF($A$4:$A$253,$A192,$C$4:$C$253)-SUMIFS($C$4:$C$253,$A$4:$A$253,$A192,$G$4:$G$253,"&gt;0")))))</f>
        <v/>
      </c>
      <c r="I192" s="15">
        <f>IF($A192="","",IF(COUNTIF(Projetos!$A:$A,$A192)=0,"projeto não cadastrado",""))</f>
        <v/>
      </c>
      <c r="J192" s="15">
        <f>IF($D192="","",IFERROR(MATCH($D192,Listas!$A$4:$A$15,0),""))</f>
        <v/>
      </c>
    </row>
    <row r="193">
      <c r="A193" s="12" t="n"/>
      <c r="B193" s="12" t="n"/>
      <c r="C193" s="13" t="n"/>
      <c r="D193" s="12" t="n"/>
      <c r="E193" s="12" t="n"/>
      <c r="F193" s="15">
        <f>IF($A193="","",IF($E193&lt;&gt;"","Instalado",IF($D193&lt;&gt;"","Fabricado","A produzir")))</f>
        <v/>
      </c>
      <c r="G193" s="13" t="n"/>
      <c r="H193" s="14">
        <f>IF($A193="","",IF($G193&gt;0,$G193,IF((SUMIF($A$4:$A$253,$A193,$C$4:$C$253)-SUMIFS($C$4:$C$253,$A$4:$A$253,$A193,$G$4:$G$253,"&gt;0"))&lt;=0,0,MAX(0,(SUMIF(Compras!$A:$A,$A193,Compras!$D:$D)-SUMIFS($G$4:$G$253,$A$4:$A$253,$A193,$G$4:$G$253,"&gt;0")))*$C193/(SUMIF($A$4:$A$253,$A193,$C$4:$C$253)-SUMIFS($C$4:$C$253,$A$4:$A$253,$A193,$G$4:$G$253,"&gt;0")))))</f>
        <v/>
      </c>
      <c r="I193" s="15">
        <f>IF($A193="","",IF(COUNTIF(Projetos!$A:$A,$A193)=0,"projeto não cadastrado",""))</f>
        <v/>
      </c>
      <c r="J193" s="15">
        <f>IF($D193="","",IFERROR(MATCH($D193,Listas!$A$4:$A$15,0),""))</f>
        <v/>
      </c>
    </row>
    <row r="194">
      <c r="A194" s="12" t="n"/>
      <c r="B194" s="12" t="n"/>
      <c r="C194" s="13" t="n"/>
      <c r="D194" s="12" t="n"/>
      <c r="E194" s="12" t="n"/>
      <c r="F194" s="15">
        <f>IF($A194="","",IF($E194&lt;&gt;"","Instalado",IF($D194&lt;&gt;"","Fabricado","A produzir")))</f>
        <v/>
      </c>
      <c r="G194" s="13" t="n"/>
      <c r="H194" s="14">
        <f>IF($A194="","",IF($G194&gt;0,$G194,IF((SUMIF($A$4:$A$253,$A194,$C$4:$C$253)-SUMIFS($C$4:$C$253,$A$4:$A$253,$A194,$G$4:$G$253,"&gt;0"))&lt;=0,0,MAX(0,(SUMIF(Compras!$A:$A,$A194,Compras!$D:$D)-SUMIFS($G$4:$G$253,$A$4:$A$253,$A194,$G$4:$G$253,"&gt;0")))*$C194/(SUMIF($A$4:$A$253,$A194,$C$4:$C$253)-SUMIFS($C$4:$C$253,$A$4:$A$253,$A194,$G$4:$G$253,"&gt;0")))))</f>
        <v/>
      </c>
      <c r="I194" s="15">
        <f>IF($A194="","",IF(COUNTIF(Projetos!$A:$A,$A194)=0,"projeto não cadastrado",""))</f>
        <v/>
      </c>
      <c r="J194" s="15">
        <f>IF($D194="","",IFERROR(MATCH($D194,Listas!$A$4:$A$15,0),""))</f>
        <v/>
      </c>
    </row>
    <row r="195">
      <c r="A195" s="12" t="n"/>
      <c r="B195" s="12" t="n"/>
      <c r="C195" s="13" t="n"/>
      <c r="D195" s="12" t="n"/>
      <c r="E195" s="12" t="n"/>
      <c r="F195" s="15">
        <f>IF($A195="","",IF($E195&lt;&gt;"","Instalado",IF($D195&lt;&gt;"","Fabricado","A produzir")))</f>
        <v/>
      </c>
      <c r="G195" s="13" t="n"/>
      <c r="H195" s="14">
        <f>IF($A195="","",IF($G195&gt;0,$G195,IF((SUMIF($A$4:$A$253,$A195,$C$4:$C$253)-SUMIFS($C$4:$C$253,$A$4:$A$253,$A195,$G$4:$G$253,"&gt;0"))&lt;=0,0,MAX(0,(SUMIF(Compras!$A:$A,$A195,Compras!$D:$D)-SUMIFS($G$4:$G$253,$A$4:$A$253,$A195,$G$4:$G$253,"&gt;0")))*$C195/(SUMIF($A$4:$A$253,$A195,$C$4:$C$253)-SUMIFS($C$4:$C$253,$A$4:$A$253,$A195,$G$4:$G$253,"&gt;0")))))</f>
        <v/>
      </c>
      <c r="I195" s="15">
        <f>IF($A195="","",IF(COUNTIF(Projetos!$A:$A,$A195)=0,"projeto não cadastrado",""))</f>
        <v/>
      </c>
      <c r="J195" s="15">
        <f>IF($D195="","",IFERROR(MATCH($D195,Listas!$A$4:$A$15,0),""))</f>
        <v/>
      </c>
    </row>
    <row r="196">
      <c r="A196" s="12" t="n"/>
      <c r="B196" s="12" t="n"/>
      <c r="C196" s="13" t="n"/>
      <c r="D196" s="12" t="n"/>
      <c r="E196" s="12" t="n"/>
      <c r="F196" s="15">
        <f>IF($A196="","",IF($E196&lt;&gt;"","Instalado",IF($D196&lt;&gt;"","Fabricado","A produzir")))</f>
        <v/>
      </c>
      <c r="G196" s="13" t="n"/>
      <c r="H196" s="14">
        <f>IF($A196="","",IF($G196&gt;0,$G196,IF((SUMIF($A$4:$A$253,$A196,$C$4:$C$253)-SUMIFS($C$4:$C$253,$A$4:$A$253,$A196,$G$4:$G$253,"&gt;0"))&lt;=0,0,MAX(0,(SUMIF(Compras!$A:$A,$A196,Compras!$D:$D)-SUMIFS($G$4:$G$253,$A$4:$A$253,$A196,$G$4:$G$253,"&gt;0")))*$C196/(SUMIF($A$4:$A$253,$A196,$C$4:$C$253)-SUMIFS($C$4:$C$253,$A$4:$A$253,$A196,$G$4:$G$253,"&gt;0")))))</f>
        <v/>
      </c>
      <c r="I196" s="15">
        <f>IF($A196="","",IF(COUNTIF(Projetos!$A:$A,$A196)=0,"projeto não cadastrado",""))</f>
        <v/>
      </c>
      <c r="J196" s="15">
        <f>IF($D196="","",IFERROR(MATCH($D196,Listas!$A$4:$A$15,0),""))</f>
        <v/>
      </c>
    </row>
    <row r="197">
      <c r="A197" s="12" t="n"/>
      <c r="B197" s="12" t="n"/>
      <c r="C197" s="13" t="n"/>
      <c r="D197" s="12" t="n"/>
      <c r="E197" s="12" t="n"/>
      <c r="F197" s="15">
        <f>IF($A197="","",IF($E197&lt;&gt;"","Instalado",IF($D197&lt;&gt;"","Fabricado","A produzir")))</f>
        <v/>
      </c>
      <c r="G197" s="13" t="n"/>
      <c r="H197" s="14">
        <f>IF($A197="","",IF($G197&gt;0,$G197,IF((SUMIF($A$4:$A$253,$A197,$C$4:$C$253)-SUMIFS($C$4:$C$253,$A$4:$A$253,$A197,$G$4:$G$253,"&gt;0"))&lt;=0,0,MAX(0,(SUMIF(Compras!$A:$A,$A197,Compras!$D:$D)-SUMIFS($G$4:$G$253,$A$4:$A$253,$A197,$G$4:$G$253,"&gt;0")))*$C197/(SUMIF($A$4:$A$253,$A197,$C$4:$C$253)-SUMIFS($C$4:$C$253,$A$4:$A$253,$A197,$G$4:$G$253,"&gt;0")))))</f>
        <v/>
      </c>
      <c r="I197" s="15">
        <f>IF($A197="","",IF(COUNTIF(Projetos!$A:$A,$A197)=0,"projeto não cadastrado",""))</f>
        <v/>
      </c>
      <c r="J197" s="15">
        <f>IF($D197="","",IFERROR(MATCH($D197,Listas!$A$4:$A$15,0),""))</f>
        <v/>
      </c>
    </row>
    <row r="198">
      <c r="A198" s="12" t="n"/>
      <c r="B198" s="12" t="n"/>
      <c r="C198" s="13" t="n"/>
      <c r="D198" s="12" t="n"/>
      <c r="E198" s="12" t="n"/>
      <c r="F198" s="15">
        <f>IF($A198="","",IF($E198&lt;&gt;"","Instalado",IF($D198&lt;&gt;"","Fabricado","A produzir")))</f>
        <v/>
      </c>
      <c r="G198" s="13" t="n"/>
      <c r="H198" s="14">
        <f>IF($A198="","",IF($G198&gt;0,$G198,IF((SUMIF($A$4:$A$253,$A198,$C$4:$C$253)-SUMIFS($C$4:$C$253,$A$4:$A$253,$A198,$G$4:$G$253,"&gt;0"))&lt;=0,0,MAX(0,(SUMIF(Compras!$A:$A,$A198,Compras!$D:$D)-SUMIFS($G$4:$G$253,$A$4:$A$253,$A198,$G$4:$G$253,"&gt;0")))*$C198/(SUMIF($A$4:$A$253,$A198,$C$4:$C$253)-SUMIFS($C$4:$C$253,$A$4:$A$253,$A198,$G$4:$G$253,"&gt;0")))))</f>
        <v/>
      </c>
      <c r="I198" s="15">
        <f>IF($A198="","",IF(COUNTIF(Projetos!$A:$A,$A198)=0,"projeto não cadastrado",""))</f>
        <v/>
      </c>
      <c r="J198" s="15">
        <f>IF($D198="","",IFERROR(MATCH($D198,Listas!$A$4:$A$15,0),""))</f>
        <v/>
      </c>
    </row>
    <row r="199">
      <c r="A199" s="12" t="n"/>
      <c r="B199" s="12" t="n"/>
      <c r="C199" s="13" t="n"/>
      <c r="D199" s="12" t="n"/>
      <c r="E199" s="12" t="n"/>
      <c r="F199" s="15">
        <f>IF($A199="","",IF($E199&lt;&gt;"","Instalado",IF($D199&lt;&gt;"","Fabricado","A produzir")))</f>
        <v/>
      </c>
      <c r="G199" s="13" t="n"/>
      <c r="H199" s="14">
        <f>IF($A199="","",IF($G199&gt;0,$G199,IF((SUMIF($A$4:$A$253,$A199,$C$4:$C$253)-SUMIFS($C$4:$C$253,$A$4:$A$253,$A199,$G$4:$G$253,"&gt;0"))&lt;=0,0,MAX(0,(SUMIF(Compras!$A:$A,$A199,Compras!$D:$D)-SUMIFS($G$4:$G$253,$A$4:$A$253,$A199,$G$4:$G$253,"&gt;0")))*$C199/(SUMIF($A$4:$A$253,$A199,$C$4:$C$253)-SUMIFS($C$4:$C$253,$A$4:$A$253,$A199,$G$4:$G$253,"&gt;0")))))</f>
        <v/>
      </c>
      <c r="I199" s="15">
        <f>IF($A199="","",IF(COUNTIF(Projetos!$A:$A,$A199)=0,"projeto não cadastrado",""))</f>
        <v/>
      </c>
      <c r="J199" s="15">
        <f>IF($D199="","",IFERROR(MATCH($D199,Listas!$A$4:$A$15,0),""))</f>
        <v/>
      </c>
    </row>
    <row r="200">
      <c r="A200" s="12" t="n"/>
      <c r="B200" s="12" t="n"/>
      <c r="C200" s="13" t="n"/>
      <c r="D200" s="12" t="n"/>
      <c r="E200" s="12" t="n"/>
      <c r="F200" s="15">
        <f>IF($A200="","",IF($E200&lt;&gt;"","Instalado",IF($D200&lt;&gt;"","Fabricado","A produzir")))</f>
        <v/>
      </c>
      <c r="G200" s="13" t="n"/>
      <c r="H200" s="14">
        <f>IF($A200="","",IF($G200&gt;0,$G200,IF((SUMIF($A$4:$A$253,$A200,$C$4:$C$253)-SUMIFS($C$4:$C$253,$A$4:$A$253,$A200,$G$4:$G$253,"&gt;0"))&lt;=0,0,MAX(0,(SUMIF(Compras!$A:$A,$A200,Compras!$D:$D)-SUMIFS($G$4:$G$253,$A$4:$A$253,$A200,$G$4:$G$253,"&gt;0")))*$C200/(SUMIF($A$4:$A$253,$A200,$C$4:$C$253)-SUMIFS($C$4:$C$253,$A$4:$A$253,$A200,$G$4:$G$253,"&gt;0")))))</f>
        <v/>
      </c>
      <c r="I200" s="15">
        <f>IF($A200="","",IF(COUNTIF(Projetos!$A:$A,$A200)=0,"projeto não cadastrado",""))</f>
        <v/>
      </c>
      <c r="J200" s="15">
        <f>IF($D200="","",IFERROR(MATCH($D200,Listas!$A$4:$A$15,0),""))</f>
        <v/>
      </c>
    </row>
    <row r="201">
      <c r="A201" s="12" t="n"/>
      <c r="B201" s="12" t="n"/>
      <c r="C201" s="13" t="n"/>
      <c r="D201" s="12" t="n"/>
      <c r="E201" s="12" t="n"/>
      <c r="F201" s="15">
        <f>IF($A201="","",IF($E201&lt;&gt;"","Instalado",IF($D201&lt;&gt;"","Fabricado","A produzir")))</f>
        <v/>
      </c>
      <c r="G201" s="13" t="n"/>
      <c r="H201" s="14">
        <f>IF($A201="","",IF($G201&gt;0,$G201,IF((SUMIF($A$4:$A$253,$A201,$C$4:$C$253)-SUMIFS($C$4:$C$253,$A$4:$A$253,$A201,$G$4:$G$253,"&gt;0"))&lt;=0,0,MAX(0,(SUMIF(Compras!$A:$A,$A201,Compras!$D:$D)-SUMIFS($G$4:$G$253,$A$4:$A$253,$A201,$G$4:$G$253,"&gt;0")))*$C201/(SUMIF($A$4:$A$253,$A201,$C$4:$C$253)-SUMIFS($C$4:$C$253,$A$4:$A$253,$A201,$G$4:$G$253,"&gt;0")))))</f>
        <v/>
      </c>
      <c r="I201" s="15">
        <f>IF($A201="","",IF(COUNTIF(Projetos!$A:$A,$A201)=0,"projeto não cadastrado",""))</f>
        <v/>
      </c>
      <c r="J201" s="15">
        <f>IF($D201="","",IFERROR(MATCH($D201,Listas!$A$4:$A$15,0),""))</f>
        <v/>
      </c>
    </row>
    <row r="202">
      <c r="A202" s="12" t="n"/>
      <c r="B202" s="12" t="n"/>
      <c r="C202" s="13" t="n"/>
      <c r="D202" s="12" t="n"/>
      <c r="E202" s="12" t="n"/>
      <c r="F202" s="15">
        <f>IF($A202="","",IF($E202&lt;&gt;"","Instalado",IF($D202&lt;&gt;"","Fabricado","A produzir")))</f>
        <v/>
      </c>
      <c r="G202" s="13" t="n"/>
      <c r="H202" s="14">
        <f>IF($A202="","",IF($G202&gt;0,$G202,IF((SUMIF($A$4:$A$253,$A202,$C$4:$C$253)-SUMIFS($C$4:$C$253,$A$4:$A$253,$A202,$G$4:$G$253,"&gt;0"))&lt;=0,0,MAX(0,(SUMIF(Compras!$A:$A,$A202,Compras!$D:$D)-SUMIFS($G$4:$G$253,$A$4:$A$253,$A202,$G$4:$G$253,"&gt;0")))*$C202/(SUMIF($A$4:$A$253,$A202,$C$4:$C$253)-SUMIFS($C$4:$C$253,$A$4:$A$253,$A202,$G$4:$G$253,"&gt;0")))))</f>
        <v/>
      </c>
      <c r="I202" s="15">
        <f>IF($A202="","",IF(COUNTIF(Projetos!$A:$A,$A202)=0,"projeto não cadastrado",""))</f>
        <v/>
      </c>
      <c r="J202" s="15">
        <f>IF($D202="","",IFERROR(MATCH($D202,Listas!$A$4:$A$15,0),""))</f>
        <v/>
      </c>
    </row>
    <row r="203">
      <c r="A203" s="12" t="n"/>
      <c r="B203" s="12" t="n"/>
      <c r="C203" s="13" t="n"/>
      <c r="D203" s="12" t="n"/>
      <c r="E203" s="12" t="n"/>
      <c r="F203" s="15">
        <f>IF($A203="","",IF($E203&lt;&gt;"","Instalado",IF($D203&lt;&gt;"","Fabricado","A produzir")))</f>
        <v/>
      </c>
      <c r="G203" s="13" t="n"/>
      <c r="H203" s="14">
        <f>IF($A203="","",IF($G203&gt;0,$G203,IF((SUMIF($A$4:$A$253,$A203,$C$4:$C$253)-SUMIFS($C$4:$C$253,$A$4:$A$253,$A203,$G$4:$G$253,"&gt;0"))&lt;=0,0,MAX(0,(SUMIF(Compras!$A:$A,$A203,Compras!$D:$D)-SUMIFS($G$4:$G$253,$A$4:$A$253,$A203,$G$4:$G$253,"&gt;0")))*$C203/(SUMIF($A$4:$A$253,$A203,$C$4:$C$253)-SUMIFS($C$4:$C$253,$A$4:$A$253,$A203,$G$4:$G$253,"&gt;0")))))</f>
        <v/>
      </c>
      <c r="I203" s="15">
        <f>IF($A203="","",IF(COUNTIF(Projetos!$A:$A,$A203)=0,"projeto não cadastrado",""))</f>
        <v/>
      </c>
      <c r="J203" s="15">
        <f>IF($D203="","",IFERROR(MATCH($D203,Listas!$A$4:$A$15,0),""))</f>
        <v/>
      </c>
    </row>
    <row r="204">
      <c r="A204" s="12" t="n"/>
      <c r="B204" s="12" t="n"/>
      <c r="C204" s="13" t="n"/>
      <c r="D204" s="12" t="n"/>
      <c r="E204" s="12" t="n"/>
      <c r="F204" s="15">
        <f>IF($A204="","",IF($E204&lt;&gt;"","Instalado",IF($D204&lt;&gt;"","Fabricado","A produzir")))</f>
        <v/>
      </c>
      <c r="G204" s="13" t="n"/>
      <c r="H204" s="14">
        <f>IF($A204="","",IF($G204&gt;0,$G204,IF((SUMIF($A$4:$A$253,$A204,$C$4:$C$253)-SUMIFS($C$4:$C$253,$A$4:$A$253,$A204,$G$4:$G$253,"&gt;0"))&lt;=0,0,MAX(0,(SUMIF(Compras!$A:$A,$A204,Compras!$D:$D)-SUMIFS($G$4:$G$253,$A$4:$A$253,$A204,$G$4:$G$253,"&gt;0")))*$C204/(SUMIF($A$4:$A$253,$A204,$C$4:$C$253)-SUMIFS($C$4:$C$253,$A$4:$A$253,$A204,$G$4:$G$253,"&gt;0")))))</f>
        <v/>
      </c>
      <c r="I204" s="15">
        <f>IF($A204="","",IF(COUNTIF(Projetos!$A:$A,$A204)=0,"projeto não cadastrado",""))</f>
        <v/>
      </c>
      <c r="J204" s="15">
        <f>IF($D204="","",IFERROR(MATCH($D204,Listas!$A$4:$A$15,0),""))</f>
        <v/>
      </c>
    </row>
    <row r="205">
      <c r="A205" s="12" t="n"/>
      <c r="B205" s="12" t="n"/>
      <c r="C205" s="13" t="n"/>
      <c r="D205" s="12" t="n"/>
      <c r="E205" s="12" t="n"/>
      <c r="F205" s="15">
        <f>IF($A205="","",IF($E205&lt;&gt;"","Instalado",IF($D205&lt;&gt;"","Fabricado","A produzir")))</f>
        <v/>
      </c>
      <c r="G205" s="13" t="n"/>
      <c r="H205" s="14">
        <f>IF($A205="","",IF($G205&gt;0,$G205,IF((SUMIF($A$4:$A$253,$A205,$C$4:$C$253)-SUMIFS($C$4:$C$253,$A$4:$A$253,$A205,$G$4:$G$253,"&gt;0"))&lt;=0,0,MAX(0,(SUMIF(Compras!$A:$A,$A205,Compras!$D:$D)-SUMIFS($G$4:$G$253,$A$4:$A$253,$A205,$G$4:$G$253,"&gt;0")))*$C205/(SUMIF($A$4:$A$253,$A205,$C$4:$C$253)-SUMIFS($C$4:$C$253,$A$4:$A$253,$A205,$G$4:$G$253,"&gt;0")))))</f>
        <v/>
      </c>
      <c r="I205" s="15">
        <f>IF($A205="","",IF(COUNTIF(Projetos!$A:$A,$A205)=0,"projeto não cadastrado",""))</f>
        <v/>
      </c>
      <c r="J205" s="15">
        <f>IF($D205="","",IFERROR(MATCH($D205,Listas!$A$4:$A$15,0),""))</f>
        <v/>
      </c>
    </row>
    <row r="206">
      <c r="A206" s="12" t="n"/>
      <c r="B206" s="12" t="n"/>
      <c r="C206" s="13" t="n"/>
      <c r="D206" s="12" t="n"/>
      <c r="E206" s="12" t="n"/>
      <c r="F206" s="15">
        <f>IF($A206="","",IF($E206&lt;&gt;"","Instalado",IF($D206&lt;&gt;"","Fabricado","A produzir")))</f>
        <v/>
      </c>
      <c r="G206" s="13" t="n"/>
      <c r="H206" s="14">
        <f>IF($A206="","",IF($G206&gt;0,$G206,IF((SUMIF($A$4:$A$253,$A206,$C$4:$C$253)-SUMIFS($C$4:$C$253,$A$4:$A$253,$A206,$G$4:$G$253,"&gt;0"))&lt;=0,0,MAX(0,(SUMIF(Compras!$A:$A,$A206,Compras!$D:$D)-SUMIFS($G$4:$G$253,$A$4:$A$253,$A206,$G$4:$G$253,"&gt;0")))*$C206/(SUMIF($A$4:$A$253,$A206,$C$4:$C$253)-SUMIFS($C$4:$C$253,$A$4:$A$253,$A206,$G$4:$G$253,"&gt;0")))))</f>
        <v/>
      </c>
      <c r="I206" s="15">
        <f>IF($A206="","",IF(COUNTIF(Projetos!$A:$A,$A206)=0,"projeto não cadastrado",""))</f>
        <v/>
      </c>
      <c r="J206" s="15">
        <f>IF($D206="","",IFERROR(MATCH($D206,Listas!$A$4:$A$15,0),""))</f>
        <v/>
      </c>
    </row>
    <row r="207">
      <c r="A207" s="12" t="n"/>
      <c r="B207" s="12" t="n"/>
      <c r="C207" s="13" t="n"/>
      <c r="D207" s="12" t="n"/>
      <c r="E207" s="12" t="n"/>
      <c r="F207" s="15">
        <f>IF($A207="","",IF($E207&lt;&gt;"","Instalado",IF($D207&lt;&gt;"","Fabricado","A produzir")))</f>
        <v/>
      </c>
      <c r="G207" s="13" t="n"/>
      <c r="H207" s="14">
        <f>IF($A207="","",IF($G207&gt;0,$G207,IF((SUMIF($A$4:$A$253,$A207,$C$4:$C$253)-SUMIFS($C$4:$C$253,$A$4:$A$253,$A207,$G$4:$G$253,"&gt;0"))&lt;=0,0,MAX(0,(SUMIF(Compras!$A:$A,$A207,Compras!$D:$D)-SUMIFS($G$4:$G$253,$A$4:$A$253,$A207,$G$4:$G$253,"&gt;0")))*$C207/(SUMIF($A$4:$A$253,$A207,$C$4:$C$253)-SUMIFS($C$4:$C$253,$A$4:$A$253,$A207,$G$4:$G$253,"&gt;0")))))</f>
        <v/>
      </c>
      <c r="I207" s="15">
        <f>IF($A207="","",IF(COUNTIF(Projetos!$A:$A,$A207)=0,"projeto não cadastrado",""))</f>
        <v/>
      </c>
      <c r="J207" s="15">
        <f>IF($D207="","",IFERROR(MATCH($D207,Listas!$A$4:$A$15,0),""))</f>
        <v/>
      </c>
    </row>
    <row r="208">
      <c r="A208" s="12" t="n"/>
      <c r="B208" s="12" t="n"/>
      <c r="C208" s="13" t="n"/>
      <c r="D208" s="12" t="n"/>
      <c r="E208" s="12" t="n"/>
      <c r="F208" s="15">
        <f>IF($A208="","",IF($E208&lt;&gt;"","Instalado",IF($D208&lt;&gt;"","Fabricado","A produzir")))</f>
        <v/>
      </c>
      <c r="G208" s="13" t="n"/>
      <c r="H208" s="14">
        <f>IF($A208="","",IF($G208&gt;0,$G208,IF((SUMIF($A$4:$A$253,$A208,$C$4:$C$253)-SUMIFS($C$4:$C$253,$A$4:$A$253,$A208,$G$4:$G$253,"&gt;0"))&lt;=0,0,MAX(0,(SUMIF(Compras!$A:$A,$A208,Compras!$D:$D)-SUMIFS($G$4:$G$253,$A$4:$A$253,$A208,$G$4:$G$253,"&gt;0")))*$C208/(SUMIF($A$4:$A$253,$A208,$C$4:$C$253)-SUMIFS($C$4:$C$253,$A$4:$A$253,$A208,$G$4:$G$253,"&gt;0")))))</f>
        <v/>
      </c>
      <c r="I208" s="15">
        <f>IF($A208="","",IF(COUNTIF(Projetos!$A:$A,$A208)=0,"projeto não cadastrado",""))</f>
        <v/>
      </c>
      <c r="J208" s="15">
        <f>IF($D208="","",IFERROR(MATCH($D208,Listas!$A$4:$A$15,0),""))</f>
        <v/>
      </c>
    </row>
    <row r="209">
      <c r="A209" s="12" t="n"/>
      <c r="B209" s="12" t="n"/>
      <c r="C209" s="13" t="n"/>
      <c r="D209" s="12" t="n"/>
      <c r="E209" s="12" t="n"/>
      <c r="F209" s="15">
        <f>IF($A209="","",IF($E209&lt;&gt;"","Instalado",IF($D209&lt;&gt;"","Fabricado","A produzir")))</f>
        <v/>
      </c>
      <c r="G209" s="13" t="n"/>
      <c r="H209" s="14">
        <f>IF($A209="","",IF($G209&gt;0,$G209,IF((SUMIF($A$4:$A$253,$A209,$C$4:$C$253)-SUMIFS($C$4:$C$253,$A$4:$A$253,$A209,$G$4:$G$253,"&gt;0"))&lt;=0,0,MAX(0,(SUMIF(Compras!$A:$A,$A209,Compras!$D:$D)-SUMIFS($G$4:$G$253,$A$4:$A$253,$A209,$G$4:$G$253,"&gt;0")))*$C209/(SUMIF($A$4:$A$253,$A209,$C$4:$C$253)-SUMIFS($C$4:$C$253,$A$4:$A$253,$A209,$G$4:$G$253,"&gt;0")))))</f>
        <v/>
      </c>
      <c r="I209" s="15">
        <f>IF($A209="","",IF(COUNTIF(Projetos!$A:$A,$A209)=0,"projeto não cadastrado",""))</f>
        <v/>
      </c>
      <c r="J209" s="15">
        <f>IF($D209="","",IFERROR(MATCH($D209,Listas!$A$4:$A$15,0),""))</f>
        <v/>
      </c>
    </row>
    <row r="210">
      <c r="A210" s="12" t="n"/>
      <c r="B210" s="12" t="n"/>
      <c r="C210" s="13" t="n"/>
      <c r="D210" s="12" t="n"/>
      <c r="E210" s="12" t="n"/>
      <c r="F210" s="15">
        <f>IF($A210="","",IF($E210&lt;&gt;"","Instalado",IF($D210&lt;&gt;"","Fabricado","A produzir")))</f>
        <v/>
      </c>
      <c r="G210" s="13" t="n"/>
      <c r="H210" s="14">
        <f>IF($A210="","",IF($G210&gt;0,$G210,IF((SUMIF($A$4:$A$253,$A210,$C$4:$C$253)-SUMIFS($C$4:$C$253,$A$4:$A$253,$A210,$G$4:$G$253,"&gt;0"))&lt;=0,0,MAX(0,(SUMIF(Compras!$A:$A,$A210,Compras!$D:$D)-SUMIFS($G$4:$G$253,$A$4:$A$253,$A210,$G$4:$G$253,"&gt;0")))*$C210/(SUMIF($A$4:$A$253,$A210,$C$4:$C$253)-SUMIFS($C$4:$C$253,$A$4:$A$253,$A210,$G$4:$G$253,"&gt;0")))))</f>
        <v/>
      </c>
      <c r="I210" s="15">
        <f>IF($A210="","",IF(COUNTIF(Projetos!$A:$A,$A210)=0,"projeto não cadastrado",""))</f>
        <v/>
      </c>
      <c r="J210" s="15">
        <f>IF($D210="","",IFERROR(MATCH($D210,Listas!$A$4:$A$15,0),""))</f>
        <v/>
      </c>
    </row>
    <row r="211">
      <c r="A211" s="12" t="n"/>
      <c r="B211" s="12" t="n"/>
      <c r="C211" s="13" t="n"/>
      <c r="D211" s="12" t="n"/>
      <c r="E211" s="12" t="n"/>
      <c r="F211" s="15">
        <f>IF($A211="","",IF($E211&lt;&gt;"","Instalado",IF($D211&lt;&gt;"","Fabricado","A produzir")))</f>
        <v/>
      </c>
      <c r="G211" s="13" t="n"/>
      <c r="H211" s="14">
        <f>IF($A211="","",IF($G211&gt;0,$G211,IF((SUMIF($A$4:$A$253,$A211,$C$4:$C$253)-SUMIFS($C$4:$C$253,$A$4:$A$253,$A211,$G$4:$G$253,"&gt;0"))&lt;=0,0,MAX(0,(SUMIF(Compras!$A:$A,$A211,Compras!$D:$D)-SUMIFS($G$4:$G$253,$A$4:$A$253,$A211,$G$4:$G$253,"&gt;0")))*$C211/(SUMIF($A$4:$A$253,$A211,$C$4:$C$253)-SUMIFS($C$4:$C$253,$A$4:$A$253,$A211,$G$4:$G$253,"&gt;0")))))</f>
        <v/>
      </c>
      <c r="I211" s="15">
        <f>IF($A211="","",IF(COUNTIF(Projetos!$A:$A,$A211)=0,"projeto não cadastrado",""))</f>
        <v/>
      </c>
      <c r="J211" s="15">
        <f>IF($D211="","",IFERROR(MATCH($D211,Listas!$A$4:$A$15,0),""))</f>
        <v/>
      </c>
    </row>
    <row r="212">
      <c r="A212" s="12" t="n"/>
      <c r="B212" s="12" t="n"/>
      <c r="C212" s="13" t="n"/>
      <c r="D212" s="12" t="n"/>
      <c r="E212" s="12" t="n"/>
      <c r="F212" s="15">
        <f>IF($A212="","",IF($E212&lt;&gt;"","Instalado",IF($D212&lt;&gt;"","Fabricado","A produzir")))</f>
        <v/>
      </c>
      <c r="G212" s="13" t="n"/>
      <c r="H212" s="14">
        <f>IF($A212="","",IF($G212&gt;0,$G212,IF((SUMIF($A$4:$A$253,$A212,$C$4:$C$253)-SUMIFS($C$4:$C$253,$A$4:$A$253,$A212,$G$4:$G$253,"&gt;0"))&lt;=0,0,MAX(0,(SUMIF(Compras!$A:$A,$A212,Compras!$D:$D)-SUMIFS($G$4:$G$253,$A$4:$A$253,$A212,$G$4:$G$253,"&gt;0")))*$C212/(SUMIF($A$4:$A$253,$A212,$C$4:$C$253)-SUMIFS($C$4:$C$253,$A$4:$A$253,$A212,$G$4:$G$253,"&gt;0")))))</f>
        <v/>
      </c>
      <c r="I212" s="15">
        <f>IF($A212="","",IF(COUNTIF(Projetos!$A:$A,$A212)=0,"projeto não cadastrado",""))</f>
        <v/>
      </c>
      <c r="J212" s="15">
        <f>IF($D212="","",IFERROR(MATCH($D212,Listas!$A$4:$A$15,0),""))</f>
        <v/>
      </c>
    </row>
    <row r="213">
      <c r="A213" s="12" t="n"/>
      <c r="B213" s="12" t="n"/>
      <c r="C213" s="13" t="n"/>
      <c r="D213" s="12" t="n"/>
      <c r="E213" s="12" t="n"/>
      <c r="F213" s="15">
        <f>IF($A213="","",IF($E213&lt;&gt;"","Instalado",IF($D213&lt;&gt;"","Fabricado","A produzir")))</f>
        <v/>
      </c>
      <c r="G213" s="13" t="n"/>
      <c r="H213" s="14">
        <f>IF($A213="","",IF($G213&gt;0,$G213,IF((SUMIF($A$4:$A$253,$A213,$C$4:$C$253)-SUMIFS($C$4:$C$253,$A$4:$A$253,$A213,$G$4:$G$253,"&gt;0"))&lt;=0,0,MAX(0,(SUMIF(Compras!$A:$A,$A213,Compras!$D:$D)-SUMIFS($G$4:$G$253,$A$4:$A$253,$A213,$G$4:$G$253,"&gt;0")))*$C213/(SUMIF($A$4:$A$253,$A213,$C$4:$C$253)-SUMIFS($C$4:$C$253,$A$4:$A$253,$A213,$G$4:$G$253,"&gt;0")))))</f>
        <v/>
      </c>
      <c r="I213" s="15">
        <f>IF($A213="","",IF(COUNTIF(Projetos!$A:$A,$A213)=0,"projeto não cadastrado",""))</f>
        <v/>
      </c>
      <c r="J213" s="15">
        <f>IF($D213="","",IFERROR(MATCH($D213,Listas!$A$4:$A$15,0),""))</f>
        <v/>
      </c>
    </row>
    <row r="214">
      <c r="A214" s="12" t="n"/>
      <c r="B214" s="12" t="n"/>
      <c r="C214" s="13" t="n"/>
      <c r="D214" s="12" t="n"/>
      <c r="E214" s="12" t="n"/>
      <c r="F214" s="15">
        <f>IF($A214="","",IF($E214&lt;&gt;"","Instalado",IF($D214&lt;&gt;"","Fabricado","A produzir")))</f>
        <v/>
      </c>
      <c r="G214" s="13" t="n"/>
      <c r="H214" s="14">
        <f>IF($A214="","",IF($G214&gt;0,$G214,IF((SUMIF($A$4:$A$253,$A214,$C$4:$C$253)-SUMIFS($C$4:$C$253,$A$4:$A$253,$A214,$G$4:$G$253,"&gt;0"))&lt;=0,0,MAX(0,(SUMIF(Compras!$A:$A,$A214,Compras!$D:$D)-SUMIFS($G$4:$G$253,$A$4:$A$253,$A214,$G$4:$G$253,"&gt;0")))*$C214/(SUMIF($A$4:$A$253,$A214,$C$4:$C$253)-SUMIFS($C$4:$C$253,$A$4:$A$253,$A214,$G$4:$G$253,"&gt;0")))))</f>
        <v/>
      </c>
      <c r="I214" s="15">
        <f>IF($A214="","",IF(COUNTIF(Projetos!$A:$A,$A214)=0,"projeto não cadastrado",""))</f>
        <v/>
      </c>
      <c r="J214" s="15">
        <f>IF($D214="","",IFERROR(MATCH($D214,Listas!$A$4:$A$15,0),""))</f>
        <v/>
      </c>
    </row>
    <row r="215">
      <c r="A215" s="12" t="n"/>
      <c r="B215" s="12" t="n"/>
      <c r="C215" s="13" t="n"/>
      <c r="D215" s="12" t="n"/>
      <c r="E215" s="12" t="n"/>
      <c r="F215" s="15">
        <f>IF($A215="","",IF($E215&lt;&gt;"","Instalado",IF($D215&lt;&gt;"","Fabricado","A produzir")))</f>
        <v/>
      </c>
      <c r="G215" s="13" t="n"/>
      <c r="H215" s="14">
        <f>IF($A215="","",IF($G215&gt;0,$G215,IF((SUMIF($A$4:$A$253,$A215,$C$4:$C$253)-SUMIFS($C$4:$C$253,$A$4:$A$253,$A215,$G$4:$G$253,"&gt;0"))&lt;=0,0,MAX(0,(SUMIF(Compras!$A:$A,$A215,Compras!$D:$D)-SUMIFS($G$4:$G$253,$A$4:$A$253,$A215,$G$4:$G$253,"&gt;0")))*$C215/(SUMIF($A$4:$A$253,$A215,$C$4:$C$253)-SUMIFS($C$4:$C$253,$A$4:$A$253,$A215,$G$4:$G$253,"&gt;0")))))</f>
        <v/>
      </c>
      <c r="I215" s="15">
        <f>IF($A215="","",IF(COUNTIF(Projetos!$A:$A,$A215)=0,"projeto não cadastrado",""))</f>
        <v/>
      </c>
      <c r="J215" s="15">
        <f>IF($D215="","",IFERROR(MATCH($D215,Listas!$A$4:$A$15,0),""))</f>
        <v/>
      </c>
    </row>
    <row r="216">
      <c r="A216" s="12" t="n"/>
      <c r="B216" s="12" t="n"/>
      <c r="C216" s="13" t="n"/>
      <c r="D216" s="12" t="n"/>
      <c r="E216" s="12" t="n"/>
      <c r="F216" s="15">
        <f>IF($A216="","",IF($E216&lt;&gt;"","Instalado",IF($D216&lt;&gt;"","Fabricado","A produzir")))</f>
        <v/>
      </c>
      <c r="G216" s="13" t="n"/>
      <c r="H216" s="14">
        <f>IF($A216="","",IF($G216&gt;0,$G216,IF((SUMIF($A$4:$A$253,$A216,$C$4:$C$253)-SUMIFS($C$4:$C$253,$A$4:$A$253,$A216,$G$4:$G$253,"&gt;0"))&lt;=0,0,MAX(0,(SUMIF(Compras!$A:$A,$A216,Compras!$D:$D)-SUMIFS($G$4:$G$253,$A$4:$A$253,$A216,$G$4:$G$253,"&gt;0")))*$C216/(SUMIF($A$4:$A$253,$A216,$C$4:$C$253)-SUMIFS($C$4:$C$253,$A$4:$A$253,$A216,$G$4:$G$253,"&gt;0")))))</f>
        <v/>
      </c>
      <c r="I216" s="15">
        <f>IF($A216="","",IF(COUNTIF(Projetos!$A:$A,$A216)=0,"projeto não cadastrado",""))</f>
        <v/>
      </c>
      <c r="J216" s="15">
        <f>IF($D216="","",IFERROR(MATCH($D216,Listas!$A$4:$A$15,0),""))</f>
        <v/>
      </c>
    </row>
    <row r="217">
      <c r="A217" s="12" t="n"/>
      <c r="B217" s="12" t="n"/>
      <c r="C217" s="13" t="n"/>
      <c r="D217" s="12" t="n"/>
      <c r="E217" s="12" t="n"/>
      <c r="F217" s="15">
        <f>IF($A217="","",IF($E217&lt;&gt;"","Instalado",IF($D217&lt;&gt;"","Fabricado","A produzir")))</f>
        <v/>
      </c>
      <c r="G217" s="13" t="n"/>
      <c r="H217" s="14">
        <f>IF($A217="","",IF($G217&gt;0,$G217,IF((SUMIF($A$4:$A$253,$A217,$C$4:$C$253)-SUMIFS($C$4:$C$253,$A$4:$A$253,$A217,$G$4:$G$253,"&gt;0"))&lt;=0,0,MAX(0,(SUMIF(Compras!$A:$A,$A217,Compras!$D:$D)-SUMIFS($G$4:$G$253,$A$4:$A$253,$A217,$G$4:$G$253,"&gt;0")))*$C217/(SUMIF($A$4:$A$253,$A217,$C$4:$C$253)-SUMIFS($C$4:$C$253,$A$4:$A$253,$A217,$G$4:$G$253,"&gt;0")))))</f>
        <v/>
      </c>
      <c r="I217" s="15">
        <f>IF($A217="","",IF(COUNTIF(Projetos!$A:$A,$A217)=0,"projeto não cadastrado",""))</f>
        <v/>
      </c>
      <c r="J217" s="15">
        <f>IF($D217="","",IFERROR(MATCH($D217,Listas!$A$4:$A$15,0),""))</f>
        <v/>
      </c>
    </row>
    <row r="218">
      <c r="A218" s="12" t="n"/>
      <c r="B218" s="12" t="n"/>
      <c r="C218" s="13" t="n"/>
      <c r="D218" s="12" t="n"/>
      <c r="E218" s="12" t="n"/>
      <c r="F218" s="15">
        <f>IF($A218="","",IF($E218&lt;&gt;"","Instalado",IF($D218&lt;&gt;"","Fabricado","A produzir")))</f>
        <v/>
      </c>
      <c r="G218" s="13" t="n"/>
      <c r="H218" s="14">
        <f>IF($A218="","",IF($G218&gt;0,$G218,IF((SUMIF($A$4:$A$253,$A218,$C$4:$C$253)-SUMIFS($C$4:$C$253,$A$4:$A$253,$A218,$G$4:$G$253,"&gt;0"))&lt;=0,0,MAX(0,(SUMIF(Compras!$A:$A,$A218,Compras!$D:$D)-SUMIFS($G$4:$G$253,$A$4:$A$253,$A218,$G$4:$G$253,"&gt;0")))*$C218/(SUMIF($A$4:$A$253,$A218,$C$4:$C$253)-SUMIFS($C$4:$C$253,$A$4:$A$253,$A218,$G$4:$G$253,"&gt;0")))))</f>
        <v/>
      </c>
      <c r="I218" s="15">
        <f>IF($A218="","",IF(COUNTIF(Projetos!$A:$A,$A218)=0,"projeto não cadastrado",""))</f>
        <v/>
      </c>
      <c r="J218" s="15">
        <f>IF($D218="","",IFERROR(MATCH($D218,Listas!$A$4:$A$15,0),""))</f>
        <v/>
      </c>
    </row>
    <row r="219">
      <c r="A219" s="12" t="n"/>
      <c r="B219" s="12" t="n"/>
      <c r="C219" s="13" t="n"/>
      <c r="D219" s="12" t="n"/>
      <c r="E219" s="12" t="n"/>
      <c r="F219" s="15">
        <f>IF($A219="","",IF($E219&lt;&gt;"","Instalado",IF($D219&lt;&gt;"","Fabricado","A produzir")))</f>
        <v/>
      </c>
      <c r="G219" s="13" t="n"/>
      <c r="H219" s="14">
        <f>IF($A219="","",IF($G219&gt;0,$G219,IF((SUMIF($A$4:$A$253,$A219,$C$4:$C$253)-SUMIFS($C$4:$C$253,$A$4:$A$253,$A219,$G$4:$G$253,"&gt;0"))&lt;=0,0,MAX(0,(SUMIF(Compras!$A:$A,$A219,Compras!$D:$D)-SUMIFS($G$4:$G$253,$A$4:$A$253,$A219,$G$4:$G$253,"&gt;0")))*$C219/(SUMIF($A$4:$A$253,$A219,$C$4:$C$253)-SUMIFS($C$4:$C$253,$A$4:$A$253,$A219,$G$4:$G$253,"&gt;0")))))</f>
        <v/>
      </c>
      <c r="I219" s="15">
        <f>IF($A219="","",IF(COUNTIF(Projetos!$A:$A,$A219)=0,"projeto não cadastrado",""))</f>
        <v/>
      </c>
      <c r="J219" s="15">
        <f>IF($D219="","",IFERROR(MATCH($D219,Listas!$A$4:$A$15,0),""))</f>
        <v/>
      </c>
    </row>
    <row r="220">
      <c r="A220" s="12" t="n"/>
      <c r="B220" s="12" t="n"/>
      <c r="C220" s="13" t="n"/>
      <c r="D220" s="12" t="n"/>
      <c r="E220" s="12" t="n"/>
      <c r="F220" s="15">
        <f>IF($A220="","",IF($E220&lt;&gt;"","Instalado",IF($D220&lt;&gt;"","Fabricado","A produzir")))</f>
        <v/>
      </c>
      <c r="G220" s="13" t="n"/>
      <c r="H220" s="14">
        <f>IF($A220="","",IF($G220&gt;0,$G220,IF((SUMIF($A$4:$A$253,$A220,$C$4:$C$253)-SUMIFS($C$4:$C$253,$A$4:$A$253,$A220,$G$4:$G$253,"&gt;0"))&lt;=0,0,MAX(0,(SUMIF(Compras!$A:$A,$A220,Compras!$D:$D)-SUMIFS($G$4:$G$253,$A$4:$A$253,$A220,$G$4:$G$253,"&gt;0")))*$C220/(SUMIF($A$4:$A$253,$A220,$C$4:$C$253)-SUMIFS($C$4:$C$253,$A$4:$A$253,$A220,$G$4:$G$253,"&gt;0")))))</f>
        <v/>
      </c>
      <c r="I220" s="15">
        <f>IF($A220="","",IF(COUNTIF(Projetos!$A:$A,$A220)=0,"projeto não cadastrado",""))</f>
        <v/>
      </c>
      <c r="J220" s="15">
        <f>IF($D220="","",IFERROR(MATCH($D220,Listas!$A$4:$A$15,0),""))</f>
        <v/>
      </c>
    </row>
    <row r="221">
      <c r="A221" s="12" t="n"/>
      <c r="B221" s="12" t="n"/>
      <c r="C221" s="13" t="n"/>
      <c r="D221" s="12" t="n"/>
      <c r="E221" s="12" t="n"/>
      <c r="F221" s="15">
        <f>IF($A221="","",IF($E221&lt;&gt;"","Instalado",IF($D221&lt;&gt;"","Fabricado","A produzir")))</f>
        <v/>
      </c>
      <c r="G221" s="13" t="n"/>
      <c r="H221" s="14">
        <f>IF($A221="","",IF($G221&gt;0,$G221,IF((SUMIF($A$4:$A$253,$A221,$C$4:$C$253)-SUMIFS($C$4:$C$253,$A$4:$A$253,$A221,$G$4:$G$253,"&gt;0"))&lt;=0,0,MAX(0,(SUMIF(Compras!$A:$A,$A221,Compras!$D:$D)-SUMIFS($G$4:$G$253,$A$4:$A$253,$A221,$G$4:$G$253,"&gt;0")))*$C221/(SUMIF($A$4:$A$253,$A221,$C$4:$C$253)-SUMIFS($C$4:$C$253,$A$4:$A$253,$A221,$G$4:$G$253,"&gt;0")))))</f>
        <v/>
      </c>
      <c r="I221" s="15">
        <f>IF($A221="","",IF(COUNTIF(Projetos!$A:$A,$A221)=0,"projeto não cadastrado",""))</f>
        <v/>
      </c>
      <c r="J221" s="15">
        <f>IF($D221="","",IFERROR(MATCH($D221,Listas!$A$4:$A$15,0),""))</f>
        <v/>
      </c>
    </row>
    <row r="222">
      <c r="A222" s="12" t="n"/>
      <c r="B222" s="12" t="n"/>
      <c r="C222" s="13" t="n"/>
      <c r="D222" s="12" t="n"/>
      <c r="E222" s="12" t="n"/>
      <c r="F222" s="15">
        <f>IF($A222="","",IF($E222&lt;&gt;"","Instalado",IF($D222&lt;&gt;"","Fabricado","A produzir")))</f>
        <v/>
      </c>
      <c r="G222" s="13" t="n"/>
      <c r="H222" s="14">
        <f>IF($A222="","",IF($G222&gt;0,$G222,IF((SUMIF($A$4:$A$253,$A222,$C$4:$C$253)-SUMIFS($C$4:$C$253,$A$4:$A$253,$A222,$G$4:$G$253,"&gt;0"))&lt;=0,0,MAX(0,(SUMIF(Compras!$A:$A,$A222,Compras!$D:$D)-SUMIFS($G$4:$G$253,$A$4:$A$253,$A222,$G$4:$G$253,"&gt;0")))*$C222/(SUMIF($A$4:$A$253,$A222,$C$4:$C$253)-SUMIFS($C$4:$C$253,$A$4:$A$253,$A222,$G$4:$G$253,"&gt;0")))))</f>
        <v/>
      </c>
      <c r="I222" s="15">
        <f>IF($A222="","",IF(COUNTIF(Projetos!$A:$A,$A222)=0,"projeto não cadastrado",""))</f>
        <v/>
      </c>
      <c r="J222" s="15">
        <f>IF($D222="","",IFERROR(MATCH($D222,Listas!$A$4:$A$15,0),""))</f>
        <v/>
      </c>
    </row>
    <row r="223">
      <c r="A223" s="12" t="n"/>
      <c r="B223" s="12" t="n"/>
      <c r="C223" s="13" t="n"/>
      <c r="D223" s="12" t="n"/>
      <c r="E223" s="12" t="n"/>
      <c r="F223" s="15">
        <f>IF($A223="","",IF($E223&lt;&gt;"","Instalado",IF($D223&lt;&gt;"","Fabricado","A produzir")))</f>
        <v/>
      </c>
      <c r="G223" s="13" t="n"/>
      <c r="H223" s="14">
        <f>IF($A223="","",IF($G223&gt;0,$G223,IF((SUMIF($A$4:$A$253,$A223,$C$4:$C$253)-SUMIFS($C$4:$C$253,$A$4:$A$253,$A223,$G$4:$G$253,"&gt;0"))&lt;=0,0,MAX(0,(SUMIF(Compras!$A:$A,$A223,Compras!$D:$D)-SUMIFS($G$4:$G$253,$A$4:$A$253,$A223,$G$4:$G$253,"&gt;0")))*$C223/(SUMIF($A$4:$A$253,$A223,$C$4:$C$253)-SUMIFS($C$4:$C$253,$A$4:$A$253,$A223,$G$4:$G$253,"&gt;0")))))</f>
        <v/>
      </c>
      <c r="I223" s="15">
        <f>IF($A223="","",IF(COUNTIF(Projetos!$A:$A,$A223)=0,"projeto não cadastrado",""))</f>
        <v/>
      </c>
      <c r="J223" s="15">
        <f>IF($D223="","",IFERROR(MATCH($D223,Listas!$A$4:$A$15,0),""))</f>
        <v/>
      </c>
    </row>
    <row r="224">
      <c r="A224" s="12" t="n"/>
      <c r="B224" s="12" t="n"/>
      <c r="C224" s="13" t="n"/>
      <c r="D224" s="12" t="n"/>
      <c r="E224" s="12" t="n"/>
      <c r="F224" s="15">
        <f>IF($A224="","",IF($E224&lt;&gt;"","Instalado",IF($D224&lt;&gt;"","Fabricado","A produzir")))</f>
        <v/>
      </c>
      <c r="G224" s="13" t="n"/>
      <c r="H224" s="14">
        <f>IF($A224="","",IF($G224&gt;0,$G224,IF((SUMIF($A$4:$A$253,$A224,$C$4:$C$253)-SUMIFS($C$4:$C$253,$A$4:$A$253,$A224,$G$4:$G$253,"&gt;0"))&lt;=0,0,MAX(0,(SUMIF(Compras!$A:$A,$A224,Compras!$D:$D)-SUMIFS($G$4:$G$253,$A$4:$A$253,$A224,$G$4:$G$253,"&gt;0")))*$C224/(SUMIF($A$4:$A$253,$A224,$C$4:$C$253)-SUMIFS($C$4:$C$253,$A$4:$A$253,$A224,$G$4:$G$253,"&gt;0")))))</f>
        <v/>
      </c>
      <c r="I224" s="15">
        <f>IF($A224="","",IF(COUNTIF(Projetos!$A:$A,$A224)=0,"projeto não cadastrado",""))</f>
        <v/>
      </c>
      <c r="J224" s="15">
        <f>IF($D224="","",IFERROR(MATCH($D224,Listas!$A$4:$A$15,0),""))</f>
        <v/>
      </c>
    </row>
    <row r="225">
      <c r="A225" s="12" t="n"/>
      <c r="B225" s="12" t="n"/>
      <c r="C225" s="13" t="n"/>
      <c r="D225" s="12" t="n"/>
      <c r="E225" s="12" t="n"/>
      <c r="F225" s="15">
        <f>IF($A225="","",IF($E225&lt;&gt;"","Instalado",IF($D225&lt;&gt;"","Fabricado","A produzir")))</f>
        <v/>
      </c>
      <c r="G225" s="13" t="n"/>
      <c r="H225" s="14">
        <f>IF($A225="","",IF($G225&gt;0,$G225,IF((SUMIF($A$4:$A$253,$A225,$C$4:$C$253)-SUMIFS($C$4:$C$253,$A$4:$A$253,$A225,$G$4:$G$253,"&gt;0"))&lt;=0,0,MAX(0,(SUMIF(Compras!$A:$A,$A225,Compras!$D:$D)-SUMIFS($G$4:$G$253,$A$4:$A$253,$A225,$G$4:$G$253,"&gt;0")))*$C225/(SUMIF($A$4:$A$253,$A225,$C$4:$C$253)-SUMIFS($C$4:$C$253,$A$4:$A$253,$A225,$G$4:$G$253,"&gt;0")))))</f>
        <v/>
      </c>
      <c r="I225" s="15">
        <f>IF($A225="","",IF(COUNTIF(Projetos!$A:$A,$A225)=0,"projeto não cadastrado",""))</f>
        <v/>
      </c>
      <c r="J225" s="15">
        <f>IF($D225="","",IFERROR(MATCH($D225,Listas!$A$4:$A$15,0),""))</f>
        <v/>
      </c>
    </row>
    <row r="226">
      <c r="A226" s="12" t="n"/>
      <c r="B226" s="12" t="n"/>
      <c r="C226" s="13" t="n"/>
      <c r="D226" s="12" t="n"/>
      <c r="E226" s="12" t="n"/>
      <c r="F226" s="15">
        <f>IF($A226="","",IF($E226&lt;&gt;"","Instalado",IF($D226&lt;&gt;"","Fabricado","A produzir")))</f>
        <v/>
      </c>
      <c r="G226" s="13" t="n"/>
      <c r="H226" s="14">
        <f>IF($A226="","",IF($G226&gt;0,$G226,IF((SUMIF($A$4:$A$253,$A226,$C$4:$C$253)-SUMIFS($C$4:$C$253,$A$4:$A$253,$A226,$G$4:$G$253,"&gt;0"))&lt;=0,0,MAX(0,(SUMIF(Compras!$A:$A,$A226,Compras!$D:$D)-SUMIFS($G$4:$G$253,$A$4:$A$253,$A226,$G$4:$G$253,"&gt;0")))*$C226/(SUMIF($A$4:$A$253,$A226,$C$4:$C$253)-SUMIFS($C$4:$C$253,$A$4:$A$253,$A226,$G$4:$G$253,"&gt;0")))))</f>
        <v/>
      </c>
      <c r="I226" s="15">
        <f>IF($A226="","",IF(COUNTIF(Projetos!$A:$A,$A226)=0,"projeto não cadastrado",""))</f>
        <v/>
      </c>
      <c r="J226" s="15">
        <f>IF($D226="","",IFERROR(MATCH($D226,Listas!$A$4:$A$15,0),""))</f>
        <v/>
      </c>
    </row>
    <row r="227">
      <c r="A227" s="12" t="n"/>
      <c r="B227" s="12" t="n"/>
      <c r="C227" s="13" t="n"/>
      <c r="D227" s="12" t="n"/>
      <c r="E227" s="12" t="n"/>
      <c r="F227" s="15">
        <f>IF($A227="","",IF($E227&lt;&gt;"","Instalado",IF($D227&lt;&gt;"","Fabricado","A produzir")))</f>
        <v/>
      </c>
      <c r="G227" s="13" t="n"/>
      <c r="H227" s="14">
        <f>IF($A227="","",IF($G227&gt;0,$G227,IF((SUMIF($A$4:$A$253,$A227,$C$4:$C$253)-SUMIFS($C$4:$C$253,$A$4:$A$253,$A227,$G$4:$G$253,"&gt;0"))&lt;=0,0,MAX(0,(SUMIF(Compras!$A:$A,$A227,Compras!$D:$D)-SUMIFS($G$4:$G$253,$A$4:$A$253,$A227,$G$4:$G$253,"&gt;0")))*$C227/(SUMIF($A$4:$A$253,$A227,$C$4:$C$253)-SUMIFS($C$4:$C$253,$A$4:$A$253,$A227,$G$4:$G$253,"&gt;0")))))</f>
        <v/>
      </c>
      <c r="I227" s="15">
        <f>IF($A227="","",IF(COUNTIF(Projetos!$A:$A,$A227)=0,"projeto não cadastrado",""))</f>
        <v/>
      </c>
      <c r="J227" s="15">
        <f>IF($D227="","",IFERROR(MATCH($D227,Listas!$A$4:$A$15,0),""))</f>
        <v/>
      </c>
    </row>
    <row r="228">
      <c r="A228" s="12" t="n"/>
      <c r="B228" s="12" t="n"/>
      <c r="C228" s="13" t="n"/>
      <c r="D228" s="12" t="n"/>
      <c r="E228" s="12" t="n"/>
      <c r="F228" s="15">
        <f>IF($A228="","",IF($E228&lt;&gt;"","Instalado",IF($D228&lt;&gt;"","Fabricado","A produzir")))</f>
        <v/>
      </c>
      <c r="G228" s="13" t="n"/>
      <c r="H228" s="14">
        <f>IF($A228="","",IF($G228&gt;0,$G228,IF((SUMIF($A$4:$A$253,$A228,$C$4:$C$253)-SUMIFS($C$4:$C$253,$A$4:$A$253,$A228,$G$4:$G$253,"&gt;0"))&lt;=0,0,MAX(0,(SUMIF(Compras!$A:$A,$A228,Compras!$D:$D)-SUMIFS($G$4:$G$253,$A$4:$A$253,$A228,$G$4:$G$253,"&gt;0")))*$C228/(SUMIF($A$4:$A$253,$A228,$C$4:$C$253)-SUMIFS($C$4:$C$253,$A$4:$A$253,$A228,$G$4:$G$253,"&gt;0")))))</f>
        <v/>
      </c>
      <c r="I228" s="15">
        <f>IF($A228="","",IF(COUNTIF(Projetos!$A:$A,$A228)=0,"projeto não cadastrado",""))</f>
        <v/>
      </c>
      <c r="J228" s="15">
        <f>IF($D228="","",IFERROR(MATCH($D228,Listas!$A$4:$A$15,0),""))</f>
        <v/>
      </c>
    </row>
    <row r="229">
      <c r="A229" s="12" t="n"/>
      <c r="B229" s="12" t="n"/>
      <c r="C229" s="13" t="n"/>
      <c r="D229" s="12" t="n"/>
      <c r="E229" s="12" t="n"/>
      <c r="F229" s="15">
        <f>IF($A229="","",IF($E229&lt;&gt;"","Instalado",IF($D229&lt;&gt;"","Fabricado","A produzir")))</f>
        <v/>
      </c>
      <c r="G229" s="13" t="n"/>
      <c r="H229" s="14">
        <f>IF($A229="","",IF($G229&gt;0,$G229,IF((SUMIF($A$4:$A$253,$A229,$C$4:$C$253)-SUMIFS($C$4:$C$253,$A$4:$A$253,$A229,$G$4:$G$253,"&gt;0"))&lt;=0,0,MAX(0,(SUMIF(Compras!$A:$A,$A229,Compras!$D:$D)-SUMIFS($G$4:$G$253,$A$4:$A$253,$A229,$G$4:$G$253,"&gt;0")))*$C229/(SUMIF($A$4:$A$253,$A229,$C$4:$C$253)-SUMIFS($C$4:$C$253,$A$4:$A$253,$A229,$G$4:$G$253,"&gt;0")))))</f>
        <v/>
      </c>
      <c r="I229" s="15">
        <f>IF($A229="","",IF(COUNTIF(Projetos!$A:$A,$A229)=0,"projeto não cadastrado",""))</f>
        <v/>
      </c>
      <c r="J229" s="15">
        <f>IF($D229="","",IFERROR(MATCH($D229,Listas!$A$4:$A$15,0),""))</f>
        <v/>
      </c>
    </row>
    <row r="230">
      <c r="A230" s="12" t="n"/>
      <c r="B230" s="12" t="n"/>
      <c r="C230" s="13" t="n"/>
      <c r="D230" s="12" t="n"/>
      <c r="E230" s="12" t="n"/>
      <c r="F230" s="15">
        <f>IF($A230="","",IF($E230&lt;&gt;"","Instalado",IF($D230&lt;&gt;"","Fabricado","A produzir")))</f>
        <v/>
      </c>
      <c r="G230" s="13" t="n"/>
      <c r="H230" s="14">
        <f>IF($A230="","",IF($G230&gt;0,$G230,IF((SUMIF($A$4:$A$253,$A230,$C$4:$C$253)-SUMIFS($C$4:$C$253,$A$4:$A$253,$A230,$G$4:$G$253,"&gt;0"))&lt;=0,0,MAX(0,(SUMIF(Compras!$A:$A,$A230,Compras!$D:$D)-SUMIFS($G$4:$G$253,$A$4:$A$253,$A230,$G$4:$G$253,"&gt;0")))*$C230/(SUMIF($A$4:$A$253,$A230,$C$4:$C$253)-SUMIFS($C$4:$C$253,$A$4:$A$253,$A230,$G$4:$G$253,"&gt;0")))))</f>
        <v/>
      </c>
      <c r="I230" s="15">
        <f>IF($A230="","",IF(COUNTIF(Projetos!$A:$A,$A230)=0,"projeto não cadastrado",""))</f>
        <v/>
      </c>
      <c r="J230" s="15">
        <f>IF($D230="","",IFERROR(MATCH($D230,Listas!$A$4:$A$15,0),""))</f>
        <v/>
      </c>
    </row>
    <row r="231">
      <c r="A231" s="12" t="n"/>
      <c r="B231" s="12" t="n"/>
      <c r="C231" s="13" t="n"/>
      <c r="D231" s="12" t="n"/>
      <c r="E231" s="12" t="n"/>
      <c r="F231" s="15">
        <f>IF($A231="","",IF($E231&lt;&gt;"","Instalado",IF($D231&lt;&gt;"","Fabricado","A produzir")))</f>
        <v/>
      </c>
      <c r="G231" s="13" t="n"/>
      <c r="H231" s="14">
        <f>IF($A231="","",IF($G231&gt;0,$G231,IF((SUMIF($A$4:$A$253,$A231,$C$4:$C$253)-SUMIFS($C$4:$C$253,$A$4:$A$253,$A231,$G$4:$G$253,"&gt;0"))&lt;=0,0,MAX(0,(SUMIF(Compras!$A:$A,$A231,Compras!$D:$D)-SUMIFS($G$4:$G$253,$A$4:$A$253,$A231,$G$4:$G$253,"&gt;0")))*$C231/(SUMIF($A$4:$A$253,$A231,$C$4:$C$253)-SUMIFS($C$4:$C$253,$A$4:$A$253,$A231,$G$4:$G$253,"&gt;0")))))</f>
        <v/>
      </c>
      <c r="I231" s="15">
        <f>IF($A231="","",IF(COUNTIF(Projetos!$A:$A,$A231)=0,"projeto não cadastrado",""))</f>
        <v/>
      </c>
      <c r="J231" s="15">
        <f>IF($D231="","",IFERROR(MATCH($D231,Listas!$A$4:$A$15,0),""))</f>
        <v/>
      </c>
    </row>
    <row r="232">
      <c r="A232" s="12" t="n"/>
      <c r="B232" s="12" t="n"/>
      <c r="C232" s="13" t="n"/>
      <c r="D232" s="12" t="n"/>
      <c r="E232" s="12" t="n"/>
      <c r="F232" s="15">
        <f>IF($A232="","",IF($E232&lt;&gt;"","Instalado",IF($D232&lt;&gt;"","Fabricado","A produzir")))</f>
        <v/>
      </c>
      <c r="G232" s="13" t="n"/>
      <c r="H232" s="14">
        <f>IF($A232="","",IF($G232&gt;0,$G232,IF((SUMIF($A$4:$A$253,$A232,$C$4:$C$253)-SUMIFS($C$4:$C$253,$A$4:$A$253,$A232,$G$4:$G$253,"&gt;0"))&lt;=0,0,MAX(0,(SUMIF(Compras!$A:$A,$A232,Compras!$D:$D)-SUMIFS($G$4:$G$253,$A$4:$A$253,$A232,$G$4:$G$253,"&gt;0")))*$C232/(SUMIF($A$4:$A$253,$A232,$C$4:$C$253)-SUMIFS($C$4:$C$253,$A$4:$A$253,$A232,$G$4:$G$253,"&gt;0")))))</f>
        <v/>
      </c>
      <c r="I232" s="15">
        <f>IF($A232="","",IF(COUNTIF(Projetos!$A:$A,$A232)=0,"projeto não cadastrado",""))</f>
        <v/>
      </c>
      <c r="J232" s="15">
        <f>IF($D232="","",IFERROR(MATCH($D232,Listas!$A$4:$A$15,0),""))</f>
        <v/>
      </c>
    </row>
    <row r="233">
      <c r="A233" s="12" t="n"/>
      <c r="B233" s="12" t="n"/>
      <c r="C233" s="13" t="n"/>
      <c r="D233" s="12" t="n"/>
      <c r="E233" s="12" t="n"/>
      <c r="F233" s="15">
        <f>IF($A233="","",IF($E233&lt;&gt;"","Instalado",IF($D233&lt;&gt;"","Fabricado","A produzir")))</f>
        <v/>
      </c>
      <c r="G233" s="13" t="n"/>
      <c r="H233" s="14">
        <f>IF($A233="","",IF($G233&gt;0,$G233,IF((SUMIF($A$4:$A$253,$A233,$C$4:$C$253)-SUMIFS($C$4:$C$253,$A$4:$A$253,$A233,$G$4:$G$253,"&gt;0"))&lt;=0,0,MAX(0,(SUMIF(Compras!$A:$A,$A233,Compras!$D:$D)-SUMIFS($G$4:$G$253,$A$4:$A$253,$A233,$G$4:$G$253,"&gt;0")))*$C233/(SUMIF($A$4:$A$253,$A233,$C$4:$C$253)-SUMIFS($C$4:$C$253,$A$4:$A$253,$A233,$G$4:$G$253,"&gt;0")))))</f>
        <v/>
      </c>
      <c r="I233" s="15">
        <f>IF($A233="","",IF(COUNTIF(Projetos!$A:$A,$A233)=0,"projeto não cadastrado",""))</f>
        <v/>
      </c>
      <c r="J233" s="15">
        <f>IF($D233="","",IFERROR(MATCH($D233,Listas!$A$4:$A$15,0),""))</f>
        <v/>
      </c>
    </row>
    <row r="234">
      <c r="A234" s="12" t="n"/>
      <c r="B234" s="12" t="n"/>
      <c r="C234" s="13" t="n"/>
      <c r="D234" s="12" t="n"/>
      <c r="E234" s="12" t="n"/>
      <c r="F234" s="15">
        <f>IF($A234="","",IF($E234&lt;&gt;"","Instalado",IF($D234&lt;&gt;"","Fabricado","A produzir")))</f>
        <v/>
      </c>
      <c r="G234" s="13" t="n"/>
      <c r="H234" s="14">
        <f>IF($A234="","",IF($G234&gt;0,$G234,IF((SUMIF($A$4:$A$253,$A234,$C$4:$C$253)-SUMIFS($C$4:$C$253,$A$4:$A$253,$A234,$G$4:$G$253,"&gt;0"))&lt;=0,0,MAX(0,(SUMIF(Compras!$A:$A,$A234,Compras!$D:$D)-SUMIFS($G$4:$G$253,$A$4:$A$253,$A234,$G$4:$G$253,"&gt;0")))*$C234/(SUMIF($A$4:$A$253,$A234,$C$4:$C$253)-SUMIFS($C$4:$C$253,$A$4:$A$253,$A234,$G$4:$G$253,"&gt;0")))))</f>
        <v/>
      </c>
      <c r="I234" s="15">
        <f>IF($A234="","",IF(COUNTIF(Projetos!$A:$A,$A234)=0,"projeto não cadastrado",""))</f>
        <v/>
      </c>
      <c r="J234" s="15">
        <f>IF($D234="","",IFERROR(MATCH($D234,Listas!$A$4:$A$15,0),""))</f>
        <v/>
      </c>
    </row>
    <row r="235">
      <c r="A235" s="12" t="n"/>
      <c r="B235" s="12" t="n"/>
      <c r="C235" s="13" t="n"/>
      <c r="D235" s="12" t="n"/>
      <c r="E235" s="12" t="n"/>
      <c r="F235" s="15">
        <f>IF($A235="","",IF($E235&lt;&gt;"","Instalado",IF($D235&lt;&gt;"","Fabricado","A produzir")))</f>
        <v/>
      </c>
      <c r="G235" s="13" t="n"/>
      <c r="H235" s="14">
        <f>IF($A235="","",IF($G235&gt;0,$G235,IF((SUMIF($A$4:$A$253,$A235,$C$4:$C$253)-SUMIFS($C$4:$C$253,$A$4:$A$253,$A235,$G$4:$G$253,"&gt;0"))&lt;=0,0,MAX(0,(SUMIF(Compras!$A:$A,$A235,Compras!$D:$D)-SUMIFS($G$4:$G$253,$A$4:$A$253,$A235,$G$4:$G$253,"&gt;0")))*$C235/(SUMIF($A$4:$A$253,$A235,$C$4:$C$253)-SUMIFS($C$4:$C$253,$A$4:$A$253,$A235,$G$4:$G$253,"&gt;0")))))</f>
        <v/>
      </c>
      <c r="I235" s="15">
        <f>IF($A235="","",IF(COUNTIF(Projetos!$A:$A,$A235)=0,"projeto não cadastrado",""))</f>
        <v/>
      </c>
      <c r="J235" s="15">
        <f>IF($D235="","",IFERROR(MATCH($D235,Listas!$A$4:$A$15,0),""))</f>
        <v/>
      </c>
    </row>
    <row r="236">
      <c r="A236" s="12" t="n"/>
      <c r="B236" s="12" t="n"/>
      <c r="C236" s="13" t="n"/>
      <c r="D236" s="12" t="n"/>
      <c r="E236" s="12" t="n"/>
      <c r="F236" s="15">
        <f>IF($A236="","",IF($E236&lt;&gt;"","Instalado",IF($D236&lt;&gt;"","Fabricado","A produzir")))</f>
        <v/>
      </c>
      <c r="G236" s="13" t="n"/>
      <c r="H236" s="14">
        <f>IF($A236="","",IF($G236&gt;0,$G236,IF((SUMIF($A$4:$A$253,$A236,$C$4:$C$253)-SUMIFS($C$4:$C$253,$A$4:$A$253,$A236,$G$4:$G$253,"&gt;0"))&lt;=0,0,MAX(0,(SUMIF(Compras!$A:$A,$A236,Compras!$D:$D)-SUMIFS($G$4:$G$253,$A$4:$A$253,$A236,$G$4:$G$253,"&gt;0")))*$C236/(SUMIF($A$4:$A$253,$A236,$C$4:$C$253)-SUMIFS($C$4:$C$253,$A$4:$A$253,$A236,$G$4:$G$253,"&gt;0")))))</f>
        <v/>
      </c>
      <c r="I236" s="15">
        <f>IF($A236="","",IF(COUNTIF(Projetos!$A:$A,$A236)=0,"projeto não cadastrado",""))</f>
        <v/>
      </c>
      <c r="J236" s="15">
        <f>IF($D236="","",IFERROR(MATCH($D236,Listas!$A$4:$A$15,0),""))</f>
        <v/>
      </c>
    </row>
    <row r="237">
      <c r="A237" s="12" t="n"/>
      <c r="B237" s="12" t="n"/>
      <c r="C237" s="13" t="n"/>
      <c r="D237" s="12" t="n"/>
      <c r="E237" s="12" t="n"/>
      <c r="F237" s="15">
        <f>IF($A237="","",IF($E237&lt;&gt;"","Instalado",IF($D237&lt;&gt;"","Fabricado","A produzir")))</f>
        <v/>
      </c>
      <c r="G237" s="13" t="n"/>
      <c r="H237" s="14">
        <f>IF($A237="","",IF($G237&gt;0,$G237,IF((SUMIF($A$4:$A$253,$A237,$C$4:$C$253)-SUMIFS($C$4:$C$253,$A$4:$A$253,$A237,$G$4:$G$253,"&gt;0"))&lt;=0,0,MAX(0,(SUMIF(Compras!$A:$A,$A237,Compras!$D:$D)-SUMIFS($G$4:$G$253,$A$4:$A$253,$A237,$G$4:$G$253,"&gt;0")))*$C237/(SUMIF($A$4:$A$253,$A237,$C$4:$C$253)-SUMIFS($C$4:$C$253,$A$4:$A$253,$A237,$G$4:$G$253,"&gt;0")))))</f>
        <v/>
      </c>
      <c r="I237" s="15">
        <f>IF($A237="","",IF(COUNTIF(Projetos!$A:$A,$A237)=0,"projeto não cadastrado",""))</f>
        <v/>
      </c>
      <c r="J237" s="15">
        <f>IF($D237="","",IFERROR(MATCH($D237,Listas!$A$4:$A$15,0),""))</f>
        <v/>
      </c>
    </row>
    <row r="238">
      <c r="A238" s="12" t="n"/>
      <c r="B238" s="12" t="n"/>
      <c r="C238" s="13" t="n"/>
      <c r="D238" s="12" t="n"/>
      <c r="E238" s="12" t="n"/>
      <c r="F238" s="15">
        <f>IF($A238="","",IF($E238&lt;&gt;"","Instalado",IF($D238&lt;&gt;"","Fabricado","A produzir")))</f>
        <v/>
      </c>
      <c r="G238" s="13" t="n"/>
      <c r="H238" s="14">
        <f>IF($A238="","",IF($G238&gt;0,$G238,IF((SUMIF($A$4:$A$253,$A238,$C$4:$C$253)-SUMIFS($C$4:$C$253,$A$4:$A$253,$A238,$G$4:$G$253,"&gt;0"))&lt;=0,0,MAX(0,(SUMIF(Compras!$A:$A,$A238,Compras!$D:$D)-SUMIFS($G$4:$G$253,$A$4:$A$253,$A238,$G$4:$G$253,"&gt;0")))*$C238/(SUMIF($A$4:$A$253,$A238,$C$4:$C$253)-SUMIFS($C$4:$C$253,$A$4:$A$253,$A238,$G$4:$G$253,"&gt;0")))))</f>
        <v/>
      </c>
      <c r="I238" s="15">
        <f>IF($A238="","",IF(COUNTIF(Projetos!$A:$A,$A238)=0,"projeto não cadastrado",""))</f>
        <v/>
      </c>
      <c r="J238" s="15">
        <f>IF($D238="","",IFERROR(MATCH($D238,Listas!$A$4:$A$15,0),""))</f>
        <v/>
      </c>
    </row>
    <row r="239">
      <c r="A239" s="12" t="n"/>
      <c r="B239" s="12" t="n"/>
      <c r="C239" s="13" t="n"/>
      <c r="D239" s="12" t="n"/>
      <c r="E239" s="12" t="n"/>
      <c r="F239" s="15">
        <f>IF($A239="","",IF($E239&lt;&gt;"","Instalado",IF($D239&lt;&gt;"","Fabricado","A produzir")))</f>
        <v/>
      </c>
      <c r="G239" s="13" t="n"/>
      <c r="H239" s="14">
        <f>IF($A239="","",IF($G239&gt;0,$G239,IF((SUMIF($A$4:$A$253,$A239,$C$4:$C$253)-SUMIFS($C$4:$C$253,$A$4:$A$253,$A239,$G$4:$G$253,"&gt;0"))&lt;=0,0,MAX(0,(SUMIF(Compras!$A:$A,$A239,Compras!$D:$D)-SUMIFS($G$4:$G$253,$A$4:$A$253,$A239,$G$4:$G$253,"&gt;0")))*$C239/(SUMIF($A$4:$A$253,$A239,$C$4:$C$253)-SUMIFS($C$4:$C$253,$A$4:$A$253,$A239,$G$4:$G$253,"&gt;0")))))</f>
        <v/>
      </c>
      <c r="I239" s="15">
        <f>IF($A239="","",IF(COUNTIF(Projetos!$A:$A,$A239)=0,"projeto não cadastrado",""))</f>
        <v/>
      </c>
      <c r="J239" s="15">
        <f>IF($D239="","",IFERROR(MATCH($D239,Listas!$A$4:$A$15,0),""))</f>
        <v/>
      </c>
    </row>
    <row r="240">
      <c r="A240" s="12" t="n"/>
      <c r="B240" s="12" t="n"/>
      <c r="C240" s="13" t="n"/>
      <c r="D240" s="12" t="n"/>
      <c r="E240" s="12" t="n"/>
      <c r="F240" s="15">
        <f>IF($A240="","",IF($E240&lt;&gt;"","Instalado",IF($D240&lt;&gt;"","Fabricado","A produzir")))</f>
        <v/>
      </c>
      <c r="G240" s="13" t="n"/>
      <c r="H240" s="14">
        <f>IF($A240="","",IF($G240&gt;0,$G240,IF((SUMIF($A$4:$A$253,$A240,$C$4:$C$253)-SUMIFS($C$4:$C$253,$A$4:$A$253,$A240,$G$4:$G$253,"&gt;0"))&lt;=0,0,MAX(0,(SUMIF(Compras!$A:$A,$A240,Compras!$D:$D)-SUMIFS($G$4:$G$253,$A$4:$A$253,$A240,$G$4:$G$253,"&gt;0")))*$C240/(SUMIF($A$4:$A$253,$A240,$C$4:$C$253)-SUMIFS($C$4:$C$253,$A$4:$A$253,$A240,$G$4:$G$253,"&gt;0")))))</f>
        <v/>
      </c>
      <c r="I240" s="15">
        <f>IF($A240="","",IF(COUNTIF(Projetos!$A:$A,$A240)=0,"projeto não cadastrado",""))</f>
        <v/>
      </c>
      <c r="J240" s="15">
        <f>IF($D240="","",IFERROR(MATCH($D240,Listas!$A$4:$A$15,0),""))</f>
        <v/>
      </c>
    </row>
    <row r="241">
      <c r="A241" s="12" t="n"/>
      <c r="B241" s="12" t="n"/>
      <c r="C241" s="13" t="n"/>
      <c r="D241" s="12" t="n"/>
      <c r="E241" s="12" t="n"/>
      <c r="F241" s="15">
        <f>IF($A241="","",IF($E241&lt;&gt;"","Instalado",IF($D241&lt;&gt;"","Fabricado","A produzir")))</f>
        <v/>
      </c>
      <c r="G241" s="13" t="n"/>
      <c r="H241" s="14">
        <f>IF($A241="","",IF($G241&gt;0,$G241,IF((SUMIF($A$4:$A$253,$A241,$C$4:$C$253)-SUMIFS($C$4:$C$253,$A$4:$A$253,$A241,$G$4:$G$253,"&gt;0"))&lt;=0,0,MAX(0,(SUMIF(Compras!$A:$A,$A241,Compras!$D:$D)-SUMIFS($G$4:$G$253,$A$4:$A$253,$A241,$G$4:$G$253,"&gt;0")))*$C241/(SUMIF($A$4:$A$253,$A241,$C$4:$C$253)-SUMIFS($C$4:$C$253,$A$4:$A$253,$A241,$G$4:$G$253,"&gt;0")))))</f>
        <v/>
      </c>
      <c r="I241" s="15">
        <f>IF($A241="","",IF(COUNTIF(Projetos!$A:$A,$A241)=0,"projeto não cadastrado",""))</f>
        <v/>
      </c>
      <c r="J241" s="15">
        <f>IF($D241="","",IFERROR(MATCH($D241,Listas!$A$4:$A$15,0),""))</f>
        <v/>
      </c>
    </row>
    <row r="242">
      <c r="A242" s="12" t="n"/>
      <c r="B242" s="12" t="n"/>
      <c r="C242" s="13" t="n"/>
      <c r="D242" s="12" t="n"/>
      <c r="E242" s="12" t="n"/>
      <c r="F242" s="15">
        <f>IF($A242="","",IF($E242&lt;&gt;"","Instalado",IF($D242&lt;&gt;"","Fabricado","A produzir")))</f>
        <v/>
      </c>
      <c r="G242" s="13" t="n"/>
      <c r="H242" s="14">
        <f>IF($A242="","",IF($G242&gt;0,$G242,IF((SUMIF($A$4:$A$253,$A242,$C$4:$C$253)-SUMIFS($C$4:$C$253,$A$4:$A$253,$A242,$G$4:$G$253,"&gt;0"))&lt;=0,0,MAX(0,(SUMIF(Compras!$A:$A,$A242,Compras!$D:$D)-SUMIFS($G$4:$G$253,$A$4:$A$253,$A242,$G$4:$G$253,"&gt;0")))*$C242/(SUMIF($A$4:$A$253,$A242,$C$4:$C$253)-SUMIFS($C$4:$C$253,$A$4:$A$253,$A242,$G$4:$G$253,"&gt;0")))))</f>
        <v/>
      </c>
      <c r="I242" s="15">
        <f>IF($A242="","",IF(COUNTIF(Projetos!$A:$A,$A242)=0,"projeto não cadastrado",""))</f>
        <v/>
      </c>
      <c r="J242" s="15">
        <f>IF($D242="","",IFERROR(MATCH($D242,Listas!$A$4:$A$15,0),""))</f>
        <v/>
      </c>
    </row>
    <row r="243">
      <c r="A243" s="12" t="n"/>
      <c r="B243" s="12" t="n"/>
      <c r="C243" s="13" t="n"/>
      <c r="D243" s="12" t="n"/>
      <c r="E243" s="12" t="n"/>
      <c r="F243" s="15">
        <f>IF($A243="","",IF($E243&lt;&gt;"","Instalado",IF($D243&lt;&gt;"","Fabricado","A produzir")))</f>
        <v/>
      </c>
      <c r="G243" s="13" t="n"/>
      <c r="H243" s="14">
        <f>IF($A243="","",IF($G243&gt;0,$G243,IF((SUMIF($A$4:$A$253,$A243,$C$4:$C$253)-SUMIFS($C$4:$C$253,$A$4:$A$253,$A243,$G$4:$G$253,"&gt;0"))&lt;=0,0,MAX(0,(SUMIF(Compras!$A:$A,$A243,Compras!$D:$D)-SUMIFS($G$4:$G$253,$A$4:$A$253,$A243,$G$4:$G$253,"&gt;0")))*$C243/(SUMIF($A$4:$A$253,$A243,$C$4:$C$253)-SUMIFS($C$4:$C$253,$A$4:$A$253,$A243,$G$4:$G$253,"&gt;0")))))</f>
        <v/>
      </c>
      <c r="I243" s="15">
        <f>IF($A243="","",IF(COUNTIF(Projetos!$A:$A,$A243)=0,"projeto não cadastrado",""))</f>
        <v/>
      </c>
      <c r="J243" s="15">
        <f>IF($D243="","",IFERROR(MATCH($D243,Listas!$A$4:$A$15,0),""))</f>
        <v/>
      </c>
    </row>
    <row r="244">
      <c r="A244" s="12" t="n"/>
      <c r="B244" s="12" t="n"/>
      <c r="C244" s="13" t="n"/>
      <c r="D244" s="12" t="n"/>
      <c r="E244" s="12" t="n"/>
      <c r="F244" s="15">
        <f>IF($A244="","",IF($E244&lt;&gt;"","Instalado",IF($D244&lt;&gt;"","Fabricado","A produzir")))</f>
        <v/>
      </c>
      <c r="G244" s="13" t="n"/>
      <c r="H244" s="14">
        <f>IF($A244="","",IF($G244&gt;0,$G244,IF((SUMIF($A$4:$A$253,$A244,$C$4:$C$253)-SUMIFS($C$4:$C$253,$A$4:$A$253,$A244,$G$4:$G$253,"&gt;0"))&lt;=0,0,MAX(0,(SUMIF(Compras!$A:$A,$A244,Compras!$D:$D)-SUMIFS($G$4:$G$253,$A$4:$A$253,$A244,$G$4:$G$253,"&gt;0")))*$C244/(SUMIF($A$4:$A$253,$A244,$C$4:$C$253)-SUMIFS($C$4:$C$253,$A$4:$A$253,$A244,$G$4:$G$253,"&gt;0")))))</f>
        <v/>
      </c>
      <c r="I244" s="15">
        <f>IF($A244="","",IF(COUNTIF(Projetos!$A:$A,$A244)=0,"projeto não cadastrado",""))</f>
        <v/>
      </c>
      <c r="J244" s="15">
        <f>IF($D244="","",IFERROR(MATCH($D244,Listas!$A$4:$A$15,0),""))</f>
        <v/>
      </c>
    </row>
    <row r="245">
      <c r="A245" s="12" t="n"/>
      <c r="B245" s="12" t="n"/>
      <c r="C245" s="13" t="n"/>
      <c r="D245" s="12" t="n"/>
      <c r="E245" s="12" t="n"/>
      <c r="F245" s="15">
        <f>IF($A245="","",IF($E245&lt;&gt;"","Instalado",IF($D245&lt;&gt;"","Fabricado","A produzir")))</f>
        <v/>
      </c>
      <c r="G245" s="13" t="n"/>
      <c r="H245" s="14">
        <f>IF($A245="","",IF($G245&gt;0,$G245,IF((SUMIF($A$4:$A$253,$A245,$C$4:$C$253)-SUMIFS($C$4:$C$253,$A$4:$A$253,$A245,$G$4:$G$253,"&gt;0"))&lt;=0,0,MAX(0,(SUMIF(Compras!$A:$A,$A245,Compras!$D:$D)-SUMIFS($G$4:$G$253,$A$4:$A$253,$A245,$G$4:$G$253,"&gt;0")))*$C245/(SUMIF($A$4:$A$253,$A245,$C$4:$C$253)-SUMIFS($C$4:$C$253,$A$4:$A$253,$A245,$G$4:$G$253,"&gt;0")))))</f>
        <v/>
      </c>
      <c r="I245" s="15">
        <f>IF($A245="","",IF(COUNTIF(Projetos!$A:$A,$A245)=0,"projeto não cadastrado",""))</f>
        <v/>
      </c>
      <c r="J245" s="15">
        <f>IF($D245="","",IFERROR(MATCH($D245,Listas!$A$4:$A$15,0),""))</f>
        <v/>
      </c>
    </row>
    <row r="246">
      <c r="A246" s="12" t="n"/>
      <c r="B246" s="12" t="n"/>
      <c r="C246" s="13" t="n"/>
      <c r="D246" s="12" t="n"/>
      <c r="E246" s="12" t="n"/>
      <c r="F246" s="15">
        <f>IF($A246="","",IF($E246&lt;&gt;"","Instalado",IF($D246&lt;&gt;"","Fabricado","A produzir")))</f>
        <v/>
      </c>
      <c r="G246" s="13" t="n"/>
      <c r="H246" s="14">
        <f>IF($A246="","",IF($G246&gt;0,$G246,IF((SUMIF($A$4:$A$253,$A246,$C$4:$C$253)-SUMIFS($C$4:$C$253,$A$4:$A$253,$A246,$G$4:$G$253,"&gt;0"))&lt;=0,0,MAX(0,(SUMIF(Compras!$A:$A,$A246,Compras!$D:$D)-SUMIFS($G$4:$G$253,$A$4:$A$253,$A246,$G$4:$G$253,"&gt;0")))*$C246/(SUMIF($A$4:$A$253,$A246,$C$4:$C$253)-SUMIFS($C$4:$C$253,$A$4:$A$253,$A246,$G$4:$G$253,"&gt;0")))))</f>
        <v/>
      </c>
      <c r="I246" s="15">
        <f>IF($A246="","",IF(COUNTIF(Projetos!$A:$A,$A246)=0,"projeto não cadastrado",""))</f>
        <v/>
      </c>
      <c r="J246" s="15">
        <f>IF($D246="","",IFERROR(MATCH($D246,Listas!$A$4:$A$15,0),""))</f>
        <v/>
      </c>
    </row>
    <row r="247">
      <c r="A247" s="12" t="n"/>
      <c r="B247" s="12" t="n"/>
      <c r="C247" s="13" t="n"/>
      <c r="D247" s="12" t="n"/>
      <c r="E247" s="12" t="n"/>
      <c r="F247" s="15">
        <f>IF($A247="","",IF($E247&lt;&gt;"","Instalado",IF($D247&lt;&gt;"","Fabricado","A produzir")))</f>
        <v/>
      </c>
      <c r="G247" s="13" t="n"/>
      <c r="H247" s="14">
        <f>IF($A247="","",IF($G247&gt;0,$G247,IF((SUMIF($A$4:$A$253,$A247,$C$4:$C$253)-SUMIFS($C$4:$C$253,$A$4:$A$253,$A247,$G$4:$G$253,"&gt;0"))&lt;=0,0,MAX(0,(SUMIF(Compras!$A:$A,$A247,Compras!$D:$D)-SUMIFS($G$4:$G$253,$A$4:$A$253,$A247,$G$4:$G$253,"&gt;0")))*$C247/(SUMIF($A$4:$A$253,$A247,$C$4:$C$253)-SUMIFS($C$4:$C$253,$A$4:$A$253,$A247,$G$4:$G$253,"&gt;0")))))</f>
        <v/>
      </c>
      <c r="I247" s="15">
        <f>IF($A247="","",IF(COUNTIF(Projetos!$A:$A,$A247)=0,"projeto não cadastrado",""))</f>
        <v/>
      </c>
      <c r="J247" s="15">
        <f>IF($D247="","",IFERROR(MATCH($D247,Listas!$A$4:$A$15,0),""))</f>
        <v/>
      </c>
    </row>
    <row r="248">
      <c r="A248" s="12" t="n"/>
      <c r="B248" s="12" t="n"/>
      <c r="C248" s="13" t="n"/>
      <c r="D248" s="12" t="n"/>
      <c r="E248" s="12" t="n"/>
      <c r="F248" s="15">
        <f>IF($A248="","",IF($E248&lt;&gt;"","Instalado",IF($D248&lt;&gt;"","Fabricado","A produzir")))</f>
        <v/>
      </c>
      <c r="G248" s="13" t="n"/>
      <c r="H248" s="14">
        <f>IF($A248="","",IF($G248&gt;0,$G248,IF((SUMIF($A$4:$A$253,$A248,$C$4:$C$253)-SUMIFS($C$4:$C$253,$A$4:$A$253,$A248,$G$4:$G$253,"&gt;0"))&lt;=0,0,MAX(0,(SUMIF(Compras!$A:$A,$A248,Compras!$D:$D)-SUMIFS($G$4:$G$253,$A$4:$A$253,$A248,$G$4:$G$253,"&gt;0")))*$C248/(SUMIF($A$4:$A$253,$A248,$C$4:$C$253)-SUMIFS($C$4:$C$253,$A$4:$A$253,$A248,$G$4:$G$253,"&gt;0")))))</f>
        <v/>
      </c>
      <c r="I248" s="15">
        <f>IF($A248="","",IF(COUNTIF(Projetos!$A:$A,$A248)=0,"projeto não cadastrado",""))</f>
        <v/>
      </c>
      <c r="J248" s="15">
        <f>IF($D248="","",IFERROR(MATCH($D248,Listas!$A$4:$A$15,0),""))</f>
        <v/>
      </c>
    </row>
    <row r="249">
      <c r="A249" s="12" t="n"/>
      <c r="B249" s="12" t="n"/>
      <c r="C249" s="13" t="n"/>
      <c r="D249" s="12" t="n"/>
      <c r="E249" s="12" t="n"/>
      <c r="F249" s="15">
        <f>IF($A249="","",IF($E249&lt;&gt;"","Instalado",IF($D249&lt;&gt;"","Fabricado","A produzir")))</f>
        <v/>
      </c>
      <c r="G249" s="13" t="n"/>
      <c r="H249" s="14">
        <f>IF($A249="","",IF($G249&gt;0,$G249,IF((SUMIF($A$4:$A$253,$A249,$C$4:$C$253)-SUMIFS($C$4:$C$253,$A$4:$A$253,$A249,$G$4:$G$253,"&gt;0"))&lt;=0,0,MAX(0,(SUMIF(Compras!$A:$A,$A249,Compras!$D:$D)-SUMIFS($G$4:$G$253,$A$4:$A$253,$A249,$G$4:$G$253,"&gt;0")))*$C249/(SUMIF($A$4:$A$253,$A249,$C$4:$C$253)-SUMIFS($C$4:$C$253,$A$4:$A$253,$A249,$G$4:$G$253,"&gt;0")))))</f>
        <v/>
      </c>
      <c r="I249" s="15">
        <f>IF($A249="","",IF(COUNTIF(Projetos!$A:$A,$A249)=0,"projeto não cadastrado",""))</f>
        <v/>
      </c>
      <c r="J249" s="15">
        <f>IF($D249="","",IFERROR(MATCH($D249,Listas!$A$4:$A$15,0),""))</f>
        <v/>
      </c>
    </row>
    <row r="250">
      <c r="A250" s="12" t="n"/>
      <c r="B250" s="12" t="n"/>
      <c r="C250" s="13" t="n"/>
      <c r="D250" s="12" t="n"/>
      <c r="E250" s="12" t="n"/>
      <c r="F250" s="15">
        <f>IF($A250="","",IF($E250&lt;&gt;"","Instalado",IF($D250&lt;&gt;"","Fabricado","A produzir")))</f>
        <v/>
      </c>
      <c r="G250" s="13" t="n"/>
      <c r="H250" s="14">
        <f>IF($A250="","",IF($G250&gt;0,$G250,IF((SUMIF($A$4:$A$253,$A250,$C$4:$C$253)-SUMIFS($C$4:$C$253,$A$4:$A$253,$A250,$G$4:$G$253,"&gt;0"))&lt;=0,0,MAX(0,(SUMIF(Compras!$A:$A,$A250,Compras!$D:$D)-SUMIFS($G$4:$G$253,$A$4:$A$253,$A250,$G$4:$G$253,"&gt;0")))*$C250/(SUMIF($A$4:$A$253,$A250,$C$4:$C$253)-SUMIFS($C$4:$C$253,$A$4:$A$253,$A250,$G$4:$G$253,"&gt;0")))))</f>
        <v/>
      </c>
      <c r="I250" s="15">
        <f>IF($A250="","",IF(COUNTIF(Projetos!$A:$A,$A250)=0,"projeto não cadastrado",""))</f>
        <v/>
      </c>
      <c r="J250" s="15">
        <f>IF($D250="","",IFERROR(MATCH($D250,Listas!$A$4:$A$15,0),""))</f>
        <v/>
      </c>
    </row>
    <row r="251">
      <c r="A251" s="12" t="n"/>
      <c r="B251" s="12" t="n"/>
      <c r="C251" s="13" t="n"/>
      <c r="D251" s="12" t="n"/>
      <c r="E251" s="12" t="n"/>
      <c r="F251" s="15">
        <f>IF($A251="","",IF($E251&lt;&gt;"","Instalado",IF($D251&lt;&gt;"","Fabricado","A produzir")))</f>
        <v/>
      </c>
      <c r="G251" s="13" t="n"/>
      <c r="H251" s="14">
        <f>IF($A251="","",IF($G251&gt;0,$G251,IF((SUMIF($A$4:$A$253,$A251,$C$4:$C$253)-SUMIFS($C$4:$C$253,$A$4:$A$253,$A251,$G$4:$G$253,"&gt;0"))&lt;=0,0,MAX(0,(SUMIF(Compras!$A:$A,$A251,Compras!$D:$D)-SUMIFS($G$4:$G$253,$A$4:$A$253,$A251,$G$4:$G$253,"&gt;0")))*$C251/(SUMIF($A$4:$A$253,$A251,$C$4:$C$253)-SUMIFS($C$4:$C$253,$A$4:$A$253,$A251,$G$4:$G$253,"&gt;0")))))</f>
        <v/>
      </c>
      <c r="I251" s="15">
        <f>IF($A251="","",IF(COUNTIF(Projetos!$A:$A,$A251)=0,"projeto não cadastrado",""))</f>
        <v/>
      </c>
      <c r="J251" s="15">
        <f>IF($D251="","",IFERROR(MATCH($D251,Listas!$A$4:$A$15,0),""))</f>
        <v/>
      </c>
    </row>
    <row r="252">
      <c r="A252" s="12" t="n"/>
      <c r="B252" s="12" t="n"/>
      <c r="C252" s="13" t="n"/>
      <c r="D252" s="12" t="n"/>
      <c r="E252" s="12" t="n"/>
      <c r="F252" s="15">
        <f>IF($A252="","",IF($E252&lt;&gt;"","Instalado",IF($D252&lt;&gt;"","Fabricado","A produzir")))</f>
        <v/>
      </c>
      <c r="G252" s="13" t="n"/>
      <c r="H252" s="14">
        <f>IF($A252="","",IF($G252&gt;0,$G252,IF((SUMIF($A$4:$A$253,$A252,$C$4:$C$253)-SUMIFS($C$4:$C$253,$A$4:$A$253,$A252,$G$4:$G$253,"&gt;0"))&lt;=0,0,MAX(0,(SUMIF(Compras!$A:$A,$A252,Compras!$D:$D)-SUMIFS($G$4:$G$253,$A$4:$A$253,$A252,$G$4:$G$253,"&gt;0")))*$C252/(SUMIF($A$4:$A$253,$A252,$C$4:$C$253)-SUMIFS($C$4:$C$253,$A$4:$A$253,$A252,$G$4:$G$253,"&gt;0")))))</f>
        <v/>
      </c>
      <c r="I252" s="15">
        <f>IF($A252="","",IF(COUNTIF(Projetos!$A:$A,$A252)=0,"projeto não cadastrado",""))</f>
        <v/>
      </c>
      <c r="J252" s="15">
        <f>IF($D252="","",IFERROR(MATCH($D252,Listas!$A$4:$A$15,0),""))</f>
        <v/>
      </c>
    </row>
    <row r="253">
      <c r="A253" s="12" t="n"/>
      <c r="B253" s="12" t="n"/>
      <c r="C253" s="13" t="n"/>
      <c r="D253" s="12" t="n"/>
      <c r="E253" s="12" t="n"/>
      <c r="F253" s="15">
        <f>IF($A253="","",IF($E253&lt;&gt;"","Instalado",IF($D253&lt;&gt;"","Fabricado","A produzir")))</f>
        <v/>
      </c>
      <c r="G253" s="13" t="n"/>
      <c r="H253" s="14">
        <f>IF($A253="","",IF($G253&gt;0,$G253,IF((SUMIF($A$4:$A$253,$A253,$C$4:$C$253)-SUMIFS($C$4:$C$253,$A$4:$A$253,$A253,$G$4:$G$253,"&gt;0"))&lt;=0,0,MAX(0,(SUMIF(Compras!$A:$A,$A253,Compras!$D:$D)-SUMIFS($G$4:$G$253,$A$4:$A$253,$A253,$G$4:$G$253,"&gt;0")))*$C253/(SUMIF($A$4:$A$253,$A253,$C$4:$C$253)-SUMIFS($C$4:$C$253,$A$4:$A$253,$A253,$G$4:$G$253,"&gt;0")))))</f>
        <v/>
      </c>
      <c r="I253" s="15">
        <f>IF($A253="","",IF(COUNTIF(Projetos!$A:$A,$A253)=0,"projeto não cadastrado",""))</f>
        <v/>
      </c>
      <c r="J253" s="15">
        <f>IF($D253="","",IFERROR(MATCH($D253,Listas!$A$4:$A$15,0),""))</f>
        <v/>
      </c>
    </row>
  </sheetData>
  <mergeCells count="2">
    <mergeCell ref="A1:J1"/>
    <mergeCell ref="A2:J2"/>
  </mergeCells>
  <conditionalFormatting sqref="I4:I253">
    <cfRule type="expression" priority="1" dxfId="0">
      <formula>$I4&lt;&gt;""</formula>
    </cfRule>
  </conditionalFormatting>
  <dataValidations count="2">
    <dataValidation sqref="D4:D253" showDropDown="0" showInputMessage="0" showErrorMessage="0" allowBlank="1" errorTitle="Valor fora da lista" error="Escolha um valor da lista." type="list">
      <formula1>"Jan,Fev,Mar,Abr,Mai,Jun,Jul,Ago,Set,Out,Nov,Dez"</formula1>
    </dataValidation>
    <dataValidation sqref="E4:E253" showDropDown="0" showInputMessage="0" showErrorMessage="0" allowBlank="1" errorTitle="Valor fora da lista" error="Escolha um valor da lista." type="list">
      <formula1>"Jan,Fev,Mar,Abr,Mai,Jun,Jul,Ago,Set,Out,Nov,Dez"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5" customWidth="1" min="4" max="4"/>
    <col width="17" customWidth="1" min="5" max="5"/>
    <col width="34" customWidth="1" min="6" max="6"/>
  </cols>
  <sheetData>
    <row r="1" ht="26" customHeight="1">
      <c r="A1" s="1" t="inlineStr">
        <is>
          <t>VALVIC MARCENARIA   ·   FATURAMENTO — uma nota por linha</t>
        </is>
      </c>
    </row>
    <row r="2" ht="18" customHeight="1">
      <c r="A2" s="2" t="inlineStr">
        <is>
          <t>O mês da emissão é o que conta na competência. O do recebimento fica guardado para a visão de caixa.</t>
        </is>
      </c>
    </row>
    <row r="3" ht="30" customHeight="1">
      <c r="A3" s="10" t="inlineStr">
        <is>
          <t>Projeto</t>
        </is>
      </c>
      <c r="B3" s="10" t="inlineStr">
        <is>
          <t>Nº da nota</t>
        </is>
      </c>
      <c r="C3" s="10" t="inlineStr">
        <is>
          <t>Valor</t>
        </is>
      </c>
      <c r="D3" s="10" t="inlineStr">
        <is>
          <t>Mês da emissão</t>
        </is>
      </c>
      <c r="E3" s="10" t="inlineStr">
        <is>
          <t>Mês do recebimento
(para caixa)</t>
        </is>
      </c>
      <c r="F3" s="10" t="inlineStr">
        <is>
          <t>Observação</t>
        </is>
      </c>
    </row>
    <row r="4">
      <c r="A4" s="12" t="n"/>
      <c r="B4" s="12" t="n"/>
      <c r="C4" s="13" t="n"/>
      <c r="D4" s="12" t="n"/>
      <c r="E4" s="12" t="n"/>
      <c r="F4" s="12" t="n"/>
    </row>
    <row r="5">
      <c r="A5" s="12" t="n"/>
      <c r="B5" s="12" t="n"/>
      <c r="C5" s="13" t="n"/>
      <c r="D5" s="12" t="n"/>
      <c r="E5" s="12" t="n"/>
      <c r="F5" s="12" t="n"/>
    </row>
    <row r="6">
      <c r="A6" s="12" t="n"/>
      <c r="B6" s="12" t="n"/>
      <c r="C6" s="13" t="n"/>
      <c r="D6" s="12" t="n"/>
      <c r="E6" s="12" t="n"/>
      <c r="F6" s="12" t="n"/>
    </row>
    <row r="7">
      <c r="A7" s="12" t="n"/>
      <c r="B7" s="12" t="n"/>
      <c r="C7" s="13" t="n"/>
      <c r="D7" s="12" t="n"/>
      <c r="E7" s="12" t="n"/>
      <c r="F7" s="12" t="n"/>
    </row>
    <row r="8">
      <c r="A8" s="12" t="n"/>
      <c r="B8" s="12" t="n"/>
      <c r="C8" s="13" t="n"/>
      <c r="D8" s="12" t="n"/>
      <c r="E8" s="12" t="n"/>
      <c r="F8" s="12" t="n"/>
    </row>
    <row r="9">
      <c r="A9" s="12" t="n"/>
      <c r="B9" s="12" t="n"/>
      <c r="C9" s="13" t="n"/>
      <c r="D9" s="12" t="n"/>
      <c r="E9" s="12" t="n"/>
      <c r="F9" s="12" t="n"/>
    </row>
    <row r="10">
      <c r="A10" s="12" t="n"/>
      <c r="B10" s="12" t="n"/>
      <c r="C10" s="13" t="n"/>
      <c r="D10" s="12" t="n"/>
      <c r="E10" s="12" t="n"/>
      <c r="F10" s="12" t="n"/>
    </row>
    <row r="11">
      <c r="A11" s="12" t="n"/>
      <c r="B11" s="12" t="n"/>
      <c r="C11" s="13" t="n"/>
      <c r="D11" s="12" t="n"/>
      <c r="E11" s="12" t="n"/>
      <c r="F11" s="12" t="n"/>
    </row>
    <row r="12">
      <c r="A12" s="12" t="n"/>
      <c r="B12" s="12" t="n"/>
      <c r="C12" s="13" t="n"/>
      <c r="D12" s="12" t="n"/>
      <c r="E12" s="12" t="n"/>
      <c r="F12" s="12" t="n"/>
    </row>
    <row r="13">
      <c r="A13" s="12" t="n"/>
      <c r="B13" s="12" t="n"/>
      <c r="C13" s="13" t="n"/>
      <c r="D13" s="12" t="n"/>
      <c r="E13" s="12" t="n"/>
      <c r="F13" s="12" t="n"/>
    </row>
    <row r="14">
      <c r="A14" s="12" t="n"/>
      <c r="B14" s="12" t="n"/>
      <c r="C14" s="13" t="n"/>
      <c r="D14" s="12" t="n"/>
      <c r="E14" s="12" t="n"/>
      <c r="F14" s="12" t="n"/>
    </row>
    <row r="15">
      <c r="A15" s="12" t="n"/>
      <c r="B15" s="12" t="n"/>
      <c r="C15" s="13" t="n"/>
      <c r="D15" s="12" t="n"/>
      <c r="E15" s="12" t="n"/>
      <c r="F15" s="12" t="n"/>
    </row>
    <row r="16">
      <c r="A16" s="12" t="n"/>
      <c r="B16" s="12" t="n"/>
      <c r="C16" s="13" t="n"/>
      <c r="D16" s="12" t="n"/>
      <c r="E16" s="12" t="n"/>
      <c r="F16" s="12" t="n"/>
    </row>
    <row r="17">
      <c r="A17" s="12" t="n"/>
      <c r="B17" s="12" t="n"/>
      <c r="C17" s="13" t="n"/>
      <c r="D17" s="12" t="n"/>
      <c r="E17" s="12" t="n"/>
      <c r="F17" s="12" t="n"/>
    </row>
    <row r="18">
      <c r="A18" s="12" t="n"/>
      <c r="B18" s="12" t="n"/>
      <c r="C18" s="13" t="n"/>
      <c r="D18" s="12" t="n"/>
      <c r="E18" s="12" t="n"/>
      <c r="F18" s="12" t="n"/>
    </row>
    <row r="19">
      <c r="A19" s="12" t="n"/>
      <c r="B19" s="12" t="n"/>
      <c r="C19" s="13" t="n"/>
      <c r="D19" s="12" t="n"/>
      <c r="E19" s="12" t="n"/>
      <c r="F19" s="12" t="n"/>
    </row>
    <row r="20">
      <c r="A20" s="12" t="n"/>
      <c r="B20" s="12" t="n"/>
      <c r="C20" s="13" t="n"/>
      <c r="D20" s="12" t="n"/>
      <c r="E20" s="12" t="n"/>
      <c r="F20" s="12" t="n"/>
    </row>
    <row r="21">
      <c r="A21" s="12" t="n"/>
      <c r="B21" s="12" t="n"/>
      <c r="C21" s="13" t="n"/>
      <c r="D21" s="12" t="n"/>
      <c r="E21" s="12" t="n"/>
      <c r="F21" s="12" t="n"/>
    </row>
    <row r="22">
      <c r="A22" s="12" t="n"/>
      <c r="B22" s="12" t="n"/>
      <c r="C22" s="13" t="n"/>
      <c r="D22" s="12" t="n"/>
      <c r="E22" s="12" t="n"/>
      <c r="F22" s="12" t="n"/>
    </row>
    <row r="23">
      <c r="A23" s="12" t="n"/>
      <c r="B23" s="12" t="n"/>
      <c r="C23" s="13" t="n"/>
      <c r="D23" s="12" t="n"/>
      <c r="E23" s="12" t="n"/>
      <c r="F23" s="12" t="n"/>
    </row>
    <row r="24">
      <c r="A24" s="12" t="n"/>
      <c r="B24" s="12" t="n"/>
      <c r="C24" s="13" t="n"/>
      <c r="D24" s="12" t="n"/>
      <c r="E24" s="12" t="n"/>
      <c r="F24" s="12" t="n"/>
    </row>
    <row r="25">
      <c r="A25" s="12" t="n"/>
      <c r="B25" s="12" t="n"/>
      <c r="C25" s="13" t="n"/>
      <c r="D25" s="12" t="n"/>
      <c r="E25" s="12" t="n"/>
      <c r="F25" s="12" t="n"/>
    </row>
    <row r="26">
      <c r="A26" s="12" t="n"/>
      <c r="B26" s="12" t="n"/>
      <c r="C26" s="13" t="n"/>
      <c r="D26" s="12" t="n"/>
      <c r="E26" s="12" t="n"/>
      <c r="F26" s="12" t="n"/>
    </row>
    <row r="27">
      <c r="A27" s="12" t="n"/>
      <c r="B27" s="12" t="n"/>
      <c r="C27" s="13" t="n"/>
      <c r="D27" s="12" t="n"/>
      <c r="E27" s="12" t="n"/>
      <c r="F27" s="12" t="n"/>
    </row>
    <row r="28">
      <c r="A28" s="12" t="n"/>
      <c r="B28" s="12" t="n"/>
      <c r="C28" s="13" t="n"/>
      <c r="D28" s="12" t="n"/>
      <c r="E28" s="12" t="n"/>
      <c r="F28" s="12" t="n"/>
    </row>
    <row r="29">
      <c r="A29" s="12" t="n"/>
      <c r="B29" s="12" t="n"/>
      <c r="C29" s="13" t="n"/>
      <c r="D29" s="12" t="n"/>
      <c r="E29" s="12" t="n"/>
      <c r="F29" s="12" t="n"/>
    </row>
    <row r="30">
      <c r="A30" s="12" t="n"/>
      <c r="B30" s="12" t="n"/>
      <c r="C30" s="13" t="n"/>
      <c r="D30" s="12" t="n"/>
      <c r="E30" s="12" t="n"/>
      <c r="F30" s="12" t="n"/>
    </row>
    <row r="31">
      <c r="A31" s="12" t="n"/>
      <c r="B31" s="12" t="n"/>
      <c r="C31" s="13" t="n"/>
      <c r="D31" s="12" t="n"/>
      <c r="E31" s="12" t="n"/>
      <c r="F31" s="12" t="n"/>
    </row>
    <row r="32">
      <c r="A32" s="12" t="n"/>
      <c r="B32" s="12" t="n"/>
      <c r="C32" s="13" t="n"/>
      <c r="D32" s="12" t="n"/>
      <c r="E32" s="12" t="n"/>
      <c r="F32" s="12" t="n"/>
    </row>
    <row r="33">
      <c r="A33" s="12" t="n"/>
      <c r="B33" s="12" t="n"/>
      <c r="C33" s="13" t="n"/>
      <c r="D33" s="12" t="n"/>
      <c r="E33" s="12" t="n"/>
      <c r="F33" s="12" t="n"/>
    </row>
    <row r="34">
      <c r="A34" s="12" t="n"/>
      <c r="B34" s="12" t="n"/>
      <c r="C34" s="13" t="n"/>
      <c r="D34" s="12" t="n"/>
      <c r="E34" s="12" t="n"/>
      <c r="F34" s="12" t="n"/>
    </row>
    <row r="35">
      <c r="A35" s="12" t="n"/>
      <c r="B35" s="12" t="n"/>
      <c r="C35" s="13" t="n"/>
      <c r="D35" s="12" t="n"/>
      <c r="E35" s="12" t="n"/>
      <c r="F35" s="12" t="n"/>
    </row>
    <row r="36">
      <c r="A36" s="12" t="n"/>
      <c r="B36" s="12" t="n"/>
      <c r="C36" s="13" t="n"/>
      <c r="D36" s="12" t="n"/>
      <c r="E36" s="12" t="n"/>
      <c r="F36" s="12" t="n"/>
    </row>
    <row r="37">
      <c r="A37" s="12" t="n"/>
      <c r="B37" s="12" t="n"/>
      <c r="C37" s="13" t="n"/>
      <c r="D37" s="12" t="n"/>
      <c r="E37" s="12" t="n"/>
      <c r="F37" s="12" t="n"/>
    </row>
    <row r="38">
      <c r="A38" s="12" t="n"/>
      <c r="B38" s="12" t="n"/>
      <c r="C38" s="13" t="n"/>
      <c r="D38" s="12" t="n"/>
      <c r="E38" s="12" t="n"/>
      <c r="F38" s="12" t="n"/>
    </row>
    <row r="39">
      <c r="A39" s="12" t="n"/>
      <c r="B39" s="12" t="n"/>
      <c r="C39" s="13" t="n"/>
      <c r="D39" s="12" t="n"/>
      <c r="E39" s="12" t="n"/>
      <c r="F39" s="12" t="n"/>
    </row>
    <row r="40">
      <c r="A40" s="12" t="n"/>
      <c r="B40" s="12" t="n"/>
      <c r="C40" s="13" t="n"/>
      <c r="D40" s="12" t="n"/>
      <c r="E40" s="12" t="n"/>
      <c r="F40" s="12" t="n"/>
    </row>
    <row r="41">
      <c r="A41" s="12" t="n"/>
      <c r="B41" s="12" t="n"/>
      <c r="C41" s="13" t="n"/>
      <c r="D41" s="12" t="n"/>
      <c r="E41" s="12" t="n"/>
      <c r="F41" s="12" t="n"/>
    </row>
    <row r="42">
      <c r="A42" s="12" t="n"/>
      <c r="B42" s="12" t="n"/>
      <c r="C42" s="13" t="n"/>
      <c r="D42" s="12" t="n"/>
      <c r="E42" s="12" t="n"/>
      <c r="F42" s="12" t="n"/>
    </row>
    <row r="43">
      <c r="A43" s="12" t="n"/>
      <c r="B43" s="12" t="n"/>
      <c r="C43" s="13" t="n"/>
      <c r="D43" s="12" t="n"/>
      <c r="E43" s="12" t="n"/>
      <c r="F43" s="12" t="n"/>
    </row>
    <row r="44">
      <c r="A44" s="12" t="n"/>
      <c r="B44" s="12" t="n"/>
      <c r="C44" s="13" t="n"/>
      <c r="D44" s="12" t="n"/>
      <c r="E44" s="12" t="n"/>
      <c r="F44" s="12" t="n"/>
    </row>
    <row r="45">
      <c r="A45" s="12" t="n"/>
      <c r="B45" s="12" t="n"/>
      <c r="C45" s="13" t="n"/>
      <c r="D45" s="12" t="n"/>
      <c r="E45" s="12" t="n"/>
      <c r="F45" s="12" t="n"/>
    </row>
    <row r="46">
      <c r="A46" s="12" t="n"/>
      <c r="B46" s="12" t="n"/>
      <c r="C46" s="13" t="n"/>
      <c r="D46" s="12" t="n"/>
      <c r="E46" s="12" t="n"/>
      <c r="F46" s="12" t="n"/>
    </row>
    <row r="47">
      <c r="A47" s="12" t="n"/>
      <c r="B47" s="12" t="n"/>
      <c r="C47" s="13" t="n"/>
      <c r="D47" s="12" t="n"/>
      <c r="E47" s="12" t="n"/>
      <c r="F47" s="12" t="n"/>
    </row>
    <row r="48">
      <c r="A48" s="12" t="n"/>
      <c r="B48" s="12" t="n"/>
      <c r="C48" s="13" t="n"/>
      <c r="D48" s="12" t="n"/>
      <c r="E48" s="12" t="n"/>
      <c r="F48" s="12" t="n"/>
    </row>
    <row r="49">
      <c r="A49" s="12" t="n"/>
      <c r="B49" s="12" t="n"/>
      <c r="C49" s="13" t="n"/>
      <c r="D49" s="12" t="n"/>
      <c r="E49" s="12" t="n"/>
      <c r="F49" s="12" t="n"/>
    </row>
    <row r="50">
      <c r="A50" s="12" t="n"/>
      <c r="B50" s="12" t="n"/>
      <c r="C50" s="13" t="n"/>
      <c r="D50" s="12" t="n"/>
      <c r="E50" s="12" t="n"/>
      <c r="F50" s="12" t="n"/>
    </row>
    <row r="51">
      <c r="A51" s="12" t="n"/>
      <c r="B51" s="12" t="n"/>
      <c r="C51" s="13" t="n"/>
      <c r="D51" s="12" t="n"/>
      <c r="E51" s="12" t="n"/>
      <c r="F51" s="12" t="n"/>
    </row>
    <row r="52">
      <c r="A52" s="12" t="n"/>
      <c r="B52" s="12" t="n"/>
      <c r="C52" s="13" t="n"/>
      <c r="D52" s="12" t="n"/>
      <c r="E52" s="12" t="n"/>
      <c r="F52" s="12" t="n"/>
    </row>
    <row r="53">
      <c r="A53" s="12" t="n"/>
      <c r="B53" s="12" t="n"/>
      <c r="C53" s="13" t="n"/>
      <c r="D53" s="12" t="n"/>
      <c r="E53" s="12" t="n"/>
      <c r="F53" s="12" t="n"/>
    </row>
    <row r="54">
      <c r="A54" s="12" t="n"/>
      <c r="B54" s="12" t="n"/>
      <c r="C54" s="13" t="n"/>
      <c r="D54" s="12" t="n"/>
      <c r="E54" s="12" t="n"/>
      <c r="F54" s="12" t="n"/>
    </row>
    <row r="55">
      <c r="A55" s="12" t="n"/>
      <c r="B55" s="12" t="n"/>
      <c r="C55" s="13" t="n"/>
      <c r="D55" s="12" t="n"/>
      <c r="E55" s="12" t="n"/>
      <c r="F55" s="12" t="n"/>
    </row>
    <row r="56">
      <c r="A56" s="12" t="n"/>
      <c r="B56" s="12" t="n"/>
      <c r="C56" s="13" t="n"/>
      <c r="D56" s="12" t="n"/>
      <c r="E56" s="12" t="n"/>
      <c r="F56" s="12" t="n"/>
    </row>
    <row r="57">
      <c r="A57" s="12" t="n"/>
      <c r="B57" s="12" t="n"/>
      <c r="C57" s="13" t="n"/>
      <c r="D57" s="12" t="n"/>
      <c r="E57" s="12" t="n"/>
      <c r="F57" s="12" t="n"/>
    </row>
    <row r="58">
      <c r="A58" s="12" t="n"/>
      <c r="B58" s="12" t="n"/>
      <c r="C58" s="13" t="n"/>
      <c r="D58" s="12" t="n"/>
      <c r="E58" s="12" t="n"/>
      <c r="F58" s="12" t="n"/>
    </row>
    <row r="59">
      <c r="A59" s="12" t="n"/>
      <c r="B59" s="12" t="n"/>
      <c r="C59" s="13" t="n"/>
      <c r="D59" s="12" t="n"/>
      <c r="E59" s="12" t="n"/>
      <c r="F59" s="12" t="n"/>
    </row>
    <row r="60">
      <c r="A60" s="12" t="n"/>
      <c r="B60" s="12" t="n"/>
      <c r="C60" s="13" t="n"/>
      <c r="D60" s="12" t="n"/>
      <c r="E60" s="12" t="n"/>
      <c r="F60" s="12" t="n"/>
    </row>
    <row r="61">
      <c r="A61" s="12" t="n"/>
      <c r="B61" s="12" t="n"/>
      <c r="C61" s="13" t="n"/>
      <c r="D61" s="12" t="n"/>
      <c r="E61" s="12" t="n"/>
      <c r="F61" s="12" t="n"/>
    </row>
    <row r="62">
      <c r="A62" s="12" t="n"/>
      <c r="B62" s="12" t="n"/>
      <c r="C62" s="13" t="n"/>
      <c r="D62" s="12" t="n"/>
      <c r="E62" s="12" t="n"/>
      <c r="F62" s="12" t="n"/>
    </row>
    <row r="63">
      <c r="A63" s="12" t="n"/>
      <c r="B63" s="12" t="n"/>
      <c r="C63" s="13" t="n"/>
      <c r="D63" s="12" t="n"/>
      <c r="E63" s="12" t="n"/>
      <c r="F63" s="12" t="n"/>
    </row>
    <row r="64">
      <c r="A64" s="12" t="n"/>
      <c r="B64" s="12" t="n"/>
      <c r="C64" s="13" t="n"/>
      <c r="D64" s="12" t="n"/>
      <c r="E64" s="12" t="n"/>
      <c r="F64" s="12" t="n"/>
    </row>
    <row r="65">
      <c r="A65" s="12" t="n"/>
      <c r="B65" s="12" t="n"/>
      <c r="C65" s="13" t="n"/>
      <c r="D65" s="12" t="n"/>
      <c r="E65" s="12" t="n"/>
      <c r="F65" s="12" t="n"/>
    </row>
    <row r="66">
      <c r="A66" s="12" t="n"/>
      <c r="B66" s="12" t="n"/>
      <c r="C66" s="13" t="n"/>
      <c r="D66" s="12" t="n"/>
      <c r="E66" s="12" t="n"/>
      <c r="F66" s="12" t="n"/>
    </row>
    <row r="67">
      <c r="A67" s="12" t="n"/>
      <c r="B67" s="12" t="n"/>
      <c r="C67" s="13" t="n"/>
      <c r="D67" s="12" t="n"/>
      <c r="E67" s="12" t="n"/>
      <c r="F67" s="12" t="n"/>
    </row>
    <row r="68">
      <c r="A68" s="12" t="n"/>
      <c r="B68" s="12" t="n"/>
      <c r="C68" s="13" t="n"/>
      <c r="D68" s="12" t="n"/>
      <c r="E68" s="12" t="n"/>
      <c r="F68" s="12" t="n"/>
    </row>
    <row r="69">
      <c r="A69" s="12" t="n"/>
      <c r="B69" s="12" t="n"/>
      <c r="C69" s="13" t="n"/>
      <c r="D69" s="12" t="n"/>
      <c r="E69" s="12" t="n"/>
      <c r="F69" s="12" t="n"/>
    </row>
    <row r="70">
      <c r="A70" s="12" t="n"/>
      <c r="B70" s="12" t="n"/>
      <c r="C70" s="13" t="n"/>
      <c r="D70" s="12" t="n"/>
      <c r="E70" s="12" t="n"/>
      <c r="F70" s="12" t="n"/>
    </row>
    <row r="71">
      <c r="A71" s="12" t="n"/>
      <c r="B71" s="12" t="n"/>
      <c r="C71" s="13" t="n"/>
      <c r="D71" s="12" t="n"/>
      <c r="E71" s="12" t="n"/>
      <c r="F71" s="12" t="n"/>
    </row>
    <row r="72">
      <c r="A72" s="12" t="n"/>
      <c r="B72" s="12" t="n"/>
      <c r="C72" s="13" t="n"/>
      <c r="D72" s="12" t="n"/>
      <c r="E72" s="12" t="n"/>
      <c r="F72" s="12" t="n"/>
    </row>
    <row r="73">
      <c r="A73" s="12" t="n"/>
      <c r="B73" s="12" t="n"/>
      <c r="C73" s="13" t="n"/>
      <c r="D73" s="12" t="n"/>
      <c r="E73" s="12" t="n"/>
      <c r="F73" s="12" t="n"/>
    </row>
    <row r="74">
      <c r="A74" s="12" t="n"/>
      <c r="B74" s="12" t="n"/>
      <c r="C74" s="13" t="n"/>
      <c r="D74" s="12" t="n"/>
      <c r="E74" s="12" t="n"/>
      <c r="F74" s="12" t="n"/>
    </row>
    <row r="75">
      <c r="A75" s="12" t="n"/>
      <c r="B75" s="12" t="n"/>
      <c r="C75" s="13" t="n"/>
      <c r="D75" s="12" t="n"/>
      <c r="E75" s="12" t="n"/>
      <c r="F75" s="12" t="n"/>
    </row>
    <row r="76">
      <c r="A76" s="12" t="n"/>
      <c r="B76" s="12" t="n"/>
      <c r="C76" s="13" t="n"/>
      <c r="D76" s="12" t="n"/>
      <c r="E76" s="12" t="n"/>
      <c r="F76" s="12" t="n"/>
    </row>
    <row r="77">
      <c r="A77" s="12" t="n"/>
      <c r="B77" s="12" t="n"/>
      <c r="C77" s="13" t="n"/>
      <c r="D77" s="12" t="n"/>
      <c r="E77" s="12" t="n"/>
      <c r="F77" s="12" t="n"/>
    </row>
    <row r="78">
      <c r="A78" s="12" t="n"/>
      <c r="B78" s="12" t="n"/>
      <c r="C78" s="13" t="n"/>
      <c r="D78" s="12" t="n"/>
      <c r="E78" s="12" t="n"/>
      <c r="F78" s="12" t="n"/>
    </row>
    <row r="79">
      <c r="A79" s="12" t="n"/>
      <c r="B79" s="12" t="n"/>
      <c r="C79" s="13" t="n"/>
      <c r="D79" s="12" t="n"/>
      <c r="E79" s="12" t="n"/>
      <c r="F79" s="12" t="n"/>
    </row>
    <row r="80">
      <c r="A80" s="12" t="n"/>
      <c r="B80" s="12" t="n"/>
      <c r="C80" s="13" t="n"/>
      <c r="D80" s="12" t="n"/>
      <c r="E80" s="12" t="n"/>
      <c r="F80" s="12" t="n"/>
    </row>
    <row r="81">
      <c r="A81" s="12" t="n"/>
      <c r="B81" s="12" t="n"/>
      <c r="C81" s="13" t="n"/>
      <c r="D81" s="12" t="n"/>
      <c r="E81" s="12" t="n"/>
      <c r="F81" s="12" t="n"/>
    </row>
    <row r="82">
      <c r="A82" s="12" t="n"/>
      <c r="B82" s="12" t="n"/>
      <c r="C82" s="13" t="n"/>
      <c r="D82" s="12" t="n"/>
      <c r="E82" s="12" t="n"/>
      <c r="F82" s="12" t="n"/>
    </row>
    <row r="83">
      <c r="A83" s="12" t="n"/>
      <c r="B83" s="12" t="n"/>
      <c r="C83" s="13" t="n"/>
      <c r="D83" s="12" t="n"/>
      <c r="E83" s="12" t="n"/>
      <c r="F83" s="12" t="n"/>
    </row>
    <row r="84">
      <c r="A84" s="12" t="n"/>
      <c r="B84" s="12" t="n"/>
      <c r="C84" s="13" t="n"/>
      <c r="D84" s="12" t="n"/>
      <c r="E84" s="12" t="n"/>
      <c r="F84" s="12" t="n"/>
    </row>
    <row r="85">
      <c r="A85" s="12" t="n"/>
      <c r="B85" s="12" t="n"/>
      <c r="C85" s="13" t="n"/>
      <c r="D85" s="12" t="n"/>
      <c r="E85" s="12" t="n"/>
      <c r="F85" s="12" t="n"/>
    </row>
    <row r="86">
      <c r="A86" s="12" t="n"/>
      <c r="B86" s="12" t="n"/>
      <c r="C86" s="13" t="n"/>
      <c r="D86" s="12" t="n"/>
      <c r="E86" s="12" t="n"/>
      <c r="F86" s="12" t="n"/>
    </row>
    <row r="87">
      <c r="A87" s="12" t="n"/>
      <c r="B87" s="12" t="n"/>
      <c r="C87" s="13" t="n"/>
      <c r="D87" s="12" t="n"/>
      <c r="E87" s="12" t="n"/>
      <c r="F87" s="12" t="n"/>
    </row>
    <row r="88">
      <c r="A88" s="12" t="n"/>
      <c r="B88" s="12" t="n"/>
      <c r="C88" s="13" t="n"/>
      <c r="D88" s="12" t="n"/>
      <c r="E88" s="12" t="n"/>
      <c r="F88" s="12" t="n"/>
    </row>
    <row r="89">
      <c r="A89" s="12" t="n"/>
      <c r="B89" s="12" t="n"/>
      <c r="C89" s="13" t="n"/>
      <c r="D89" s="12" t="n"/>
      <c r="E89" s="12" t="n"/>
      <c r="F89" s="12" t="n"/>
    </row>
    <row r="90">
      <c r="A90" s="12" t="n"/>
      <c r="B90" s="12" t="n"/>
      <c r="C90" s="13" t="n"/>
      <c r="D90" s="12" t="n"/>
      <c r="E90" s="12" t="n"/>
      <c r="F90" s="12" t="n"/>
    </row>
    <row r="91">
      <c r="A91" s="12" t="n"/>
      <c r="B91" s="12" t="n"/>
      <c r="C91" s="13" t="n"/>
      <c r="D91" s="12" t="n"/>
      <c r="E91" s="12" t="n"/>
      <c r="F91" s="12" t="n"/>
    </row>
    <row r="92">
      <c r="A92" s="12" t="n"/>
      <c r="B92" s="12" t="n"/>
      <c r="C92" s="13" t="n"/>
      <c r="D92" s="12" t="n"/>
      <c r="E92" s="12" t="n"/>
      <c r="F92" s="12" t="n"/>
    </row>
    <row r="93">
      <c r="A93" s="12" t="n"/>
      <c r="B93" s="12" t="n"/>
      <c r="C93" s="13" t="n"/>
      <c r="D93" s="12" t="n"/>
      <c r="E93" s="12" t="n"/>
      <c r="F93" s="12" t="n"/>
    </row>
    <row r="94">
      <c r="A94" s="12" t="n"/>
      <c r="B94" s="12" t="n"/>
      <c r="C94" s="13" t="n"/>
      <c r="D94" s="12" t="n"/>
      <c r="E94" s="12" t="n"/>
      <c r="F94" s="12" t="n"/>
    </row>
    <row r="95">
      <c r="A95" s="12" t="n"/>
      <c r="B95" s="12" t="n"/>
      <c r="C95" s="13" t="n"/>
      <c r="D95" s="12" t="n"/>
      <c r="E95" s="12" t="n"/>
      <c r="F95" s="12" t="n"/>
    </row>
    <row r="96">
      <c r="A96" s="12" t="n"/>
      <c r="B96" s="12" t="n"/>
      <c r="C96" s="13" t="n"/>
      <c r="D96" s="12" t="n"/>
      <c r="E96" s="12" t="n"/>
      <c r="F96" s="12" t="n"/>
    </row>
    <row r="97">
      <c r="A97" s="12" t="n"/>
      <c r="B97" s="12" t="n"/>
      <c r="C97" s="13" t="n"/>
      <c r="D97" s="12" t="n"/>
      <c r="E97" s="12" t="n"/>
      <c r="F97" s="12" t="n"/>
    </row>
    <row r="98">
      <c r="A98" s="12" t="n"/>
      <c r="B98" s="12" t="n"/>
      <c r="C98" s="13" t="n"/>
      <c r="D98" s="12" t="n"/>
      <c r="E98" s="12" t="n"/>
      <c r="F98" s="12" t="n"/>
    </row>
    <row r="99">
      <c r="A99" s="12" t="n"/>
      <c r="B99" s="12" t="n"/>
      <c r="C99" s="13" t="n"/>
      <c r="D99" s="12" t="n"/>
      <c r="E99" s="12" t="n"/>
      <c r="F99" s="12" t="n"/>
    </row>
    <row r="100">
      <c r="A100" s="12" t="n"/>
      <c r="B100" s="12" t="n"/>
      <c r="C100" s="13" t="n"/>
      <c r="D100" s="12" t="n"/>
      <c r="E100" s="12" t="n"/>
      <c r="F100" s="12" t="n"/>
    </row>
    <row r="101">
      <c r="A101" s="12" t="n"/>
      <c r="B101" s="12" t="n"/>
      <c r="C101" s="13" t="n"/>
      <c r="D101" s="12" t="n"/>
      <c r="E101" s="12" t="n"/>
      <c r="F101" s="12" t="n"/>
    </row>
    <row r="102">
      <c r="A102" s="12" t="n"/>
      <c r="B102" s="12" t="n"/>
      <c r="C102" s="13" t="n"/>
      <c r="D102" s="12" t="n"/>
      <c r="E102" s="12" t="n"/>
      <c r="F102" s="12" t="n"/>
    </row>
    <row r="103">
      <c r="A103" s="12" t="n"/>
      <c r="B103" s="12" t="n"/>
      <c r="C103" s="13" t="n"/>
      <c r="D103" s="12" t="n"/>
      <c r="E103" s="12" t="n"/>
      <c r="F103" s="12" t="n"/>
    </row>
    <row r="104">
      <c r="A104" s="12" t="n"/>
      <c r="B104" s="12" t="n"/>
      <c r="C104" s="13" t="n"/>
      <c r="D104" s="12" t="n"/>
      <c r="E104" s="12" t="n"/>
      <c r="F104" s="12" t="n"/>
    </row>
    <row r="105">
      <c r="A105" s="12" t="n"/>
      <c r="B105" s="12" t="n"/>
      <c r="C105" s="13" t="n"/>
      <c r="D105" s="12" t="n"/>
      <c r="E105" s="12" t="n"/>
      <c r="F105" s="12" t="n"/>
    </row>
    <row r="106">
      <c r="A106" s="12" t="n"/>
      <c r="B106" s="12" t="n"/>
      <c r="C106" s="13" t="n"/>
      <c r="D106" s="12" t="n"/>
      <c r="E106" s="12" t="n"/>
      <c r="F106" s="12" t="n"/>
    </row>
    <row r="107">
      <c r="A107" s="12" t="n"/>
      <c r="B107" s="12" t="n"/>
      <c r="C107" s="13" t="n"/>
      <c r="D107" s="12" t="n"/>
      <c r="E107" s="12" t="n"/>
      <c r="F107" s="12" t="n"/>
    </row>
    <row r="108">
      <c r="A108" s="12" t="n"/>
      <c r="B108" s="12" t="n"/>
      <c r="C108" s="13" t="n"/>
      <c r="D108" s="12" t="n"/>
      <c r="E108" s="12" t="n"/>
      <c r="F108" s="12" t="n"/>
    </row>
    <row r="109">
      <c r="A109" s="12" t="n"/>
      <c r="B109" s="12" t="n"/>
      <c r="C109" s="13" t="n"/>
      <c r="D109" s="12" t="n"/>
      <c r="E109" s="12" t="n"/>
      <c r="F109" s="12" t="n"/>
    </row>
    <row r="110">
      <c r="A110" s="12" t="n"/>
      <c r="B110" s="12" t="n"/>
      <c r="C110" s="13" t="n"/>
      <c r="D110" s="12" t="n"/>
      <c r="E110" s="12" t="n"/>
      <c r="F110" s="12" t="n"/>
    </row>
    <row r="111">
      <c r="A111" s="12" t="n"/>
      <c r="B111" s="12" t="n"/>
      <c r="C111" s="13" t="n"/>
      <c r="D111" s="12" t="n"/>
      <c r="E111" s="12" t="n"/>
      <c r="F111" s="12" t="n"/>
    </row>
    <row r="112">
      <c r="A112" s="12" t="n"/>
      <c r="B112" s="12" t="n"/>
      <c r="C112" s="13" t="n"/>
      <c r="D112" s="12" t="n"/>
      <c r="E112" s="12" t="n"/>
      <c r="F112" s="12" t="n"/>
    </row>
    <row r="113">
      <c r="A113" s="12" t="n"/>
      <c r="B113" s="12" t="n"/>
      <c r="C113" s="13" t="n"/>
      <c r="D113" s="12" t="n"/>
      <c r="E113" s="12" t="n"/>
      <c r="F113" s="12" t="n"/>
    </row>
    <row r="114">
      <c r="A114" s="12" t="n"/>
      <c r="B114" s="12" t="n"/>
      <c r="C114" s="13" t="n"/>
      <c r="D114" s="12" t="n"/>
      <c r="E114" s="12" t="n"/>
      <c r="F114" s="12" t="n"/>
    </row>
    <row r="115">
      <c r="A115" s="12" t="n"/>
      <c r="B115" s="12" t="n"/>
      <c r="C115" s="13" t="n"/>
      <c r="D115" s="12" t="n"/>
      <c r="E115" s="12" t="n"/>
      <c r="F115" s="12" t="n"/>
    </row>
    <row r="116">
      <c r="A116" s="12" t="n"/>
      <c r="B116" s="12" t="n"/>
      <c r="C116" s="13" t="n"/>
      <c r="D116" s="12" t="n"/>
      <c r="E116" s="12" t="n"/>
      <c r="F116" s="12" t="n"/>
    </row>
    <row r="117">
      <c r="A117" s="12" t="n"/>
      <c r="B117" s="12" t="n"/>
      <c r="C117" s="13" t="n"/>
      <c r="D117" s="12" t="n"/>
      <c r="E117" s="12" t="n"/>
      <c r="F117" s="12" t="n"/>
    </row>
    <row r="118">
      <c r="A118" s="12" t="n"/>
      <c r="B118" s="12" t="n"/>
      <c r="C118" s="13" t="n"/>
      <c r="D118" s="12" t="n"/>
      <c r="E118" s="12" t="n"/>
      <c r="F118" s="12" t="n"/>
    </row>
    <row r="119">
      <c r="A119" s="12" t="n"/>
      <c r="B119" s="12" t="n"/>
      <c r="C119" s="13" t="n"/>
      <c r="D119" s="12" t="n"/>
      <c r="E119" s="12" t="n"/>
      <c r="F119" s="12" t="n"/>
    </row>
    <row r="120">
      <c r="A120" s="12" t="n"/>
      <c r="B120" s="12" t="n"/>
      <c r="C120" s="13" t="n"/>
      <c r="D120" s="12" t="n"/>
      <c r="E120" s="12" t="n"/>
      <c r="F120" s="12" t="n"/>
    </row>
    <row r="121">
      <c r="A121" s="12" t="n"/>
      <c r="B121" s="12" t="n"/>
      <c r="C121" s="13" t="n"/>
      <c r="D121" s="12" t="n"/>
      <c r="E121" s="12" t="n"/>
      <c r="F121" s="12" t="n"/>
    </row>
    <row r="122">
      <c r="A122" s="12" t="n"/>
      <c r="B122" s="12" t="n"/>
      <c r="C122" s="13" t="n"/>
      <c r="D122" s="12" t="n"/>
      <c r="E122" s="12" t="n"/>
      <c r="F122" s="12" t="n"/>
    </row>
    <row r="123">
      <c r="A123" s="12" t="n"/>
      <c r="B123" s="12" t="n"/>
      <c r="C123" s="13" t="n"/>
      <c r="D123" s="12" t="n"/>
      <c r="E123" s="12" t="n"/>
      <c r="F123" s="12" t="n"/>
    </row>
    <row r="124">
      <c r="A124" s="12" t="n"/>
      <c r="B124" s="12" t="n"/>
      <c r="C124" s="13" t="n"/>
      <c r="D124" s="12" t="n"/>
      <c r="E124" s="12" t="n"/>
      <c r="F124" s="12" t="n"/>
    </row>
    <row r="125">
      <c r="A125" s="12" t="n"/>
      <c r="B125" s="12" t="n"/>
      <c r="C125" s="13" t="n"/>
      <c r="D125" s="12" t="n"/>
      <c r="E125" s="12" t="n"/>
      <c r="F125" s="12" t="n"/>
    </row>
    <row r="126">
      <c r="A126" s="12" t="n"/>
      <c r="B126" s="12" t="n"/>
      <c r="C126" s="13" t="n"/>
      <c r="D126" s="12" t="n"/>
      <c r="E126" s="12" t="n"/>
      <c r="F126" s="12" t="n"/>
    </row>
    <row r="127">
      <c r="A127" s="12" t="n"/>
      <c r="B127" s="12" t="n"/>
      <c r="C127" s="13" t="n"/>
      <c r="D127" s="12" t="n"/>
      <c r="E127" s="12" t="n"/>
      <c r="F127" s="12" t="n"/>
    </row>
    <row r="128">
      <c r="A128" s="12" t="n"/>
      <c r="B128" s="12" t="n"/>
      <c r="C128" s="13" t="n"/>
      <c r="D128" s="12" t="n"/>
      <c r="E128" s="12" t="n"/>
      <c r="F128" s="12" t="n"/>
    </row>
    <row r="129">
      <c r="A129" s="12" t="n"/>
      <c r="B129" s="12" t="n"/>
      <c r="C129" s="13" t="n"/>
      <c r="D129" s="12" t="n"/>
      <c r="E129" s="12" t="n"/>
      <c r="F129" s="12" t="n"/>
    </row>
    <row r="130">
      <c r="A130" s="12" t="n"/>
      <c r="B130" s="12" t="n"/>
      <c r="C130" s="13" t="n"/>
      <c r="D130" s="12" t="n"/>
      <c r="E130" s="12" t="n"/>
      <c r="F130" s="12" t="n"/>
    </row>
    <row r="131">
      <c r="A131" s="12" t="n"/>
      <c r="B131" s="12" t="n"/>
      <c r="C131" s="13" t="n"/>
      <c r="D131" s="12" t="n"/>
      <c r="E131" s="12" t="n"/>
      <c r="F131" s="12" t="n"/>
    </row>
    <row r="132">
      <c r="A132" s="12" t="n"/>
      <c r="B132" s="12" t="n"/>
      <c r="C132" s="13" t="n"/>
      <c r="D132" s="12" t="n"/>
      <c r="E132" s="12" t="n"/>
      <c r="F132" s="12" t="n"/>
    </row>
    <row r="133">
      <c r="A133" s="12" t="n"/>
      <c r="B133" s="12" t="n"/>
      <c r="C133" s="13" t="n"/>
      <c r="D133" s="12" t="n"/>
      <c r="E133" s="12" t="n"/>
      <c r="F133" s="12" t="n"/>
    </row>
    <row r="134">
      <c r="A134" s="12" t="n"/>
      <c r="B134" s="12" t="n"/>
      <c r="C134" s="13" t="n"/>
      <c r="D134" s="12" t="n"/>
      <c r="E134" s="12" t="n"/>
      <c r="F134" s="12" t="n"/>
    </row>
    <row r="135">
      <c r="A135" s="12" t="n"/>
      <c r="B135" s="12" t="n"/>
      <c r="C135" s="13" t="n"/>
      <c r="D135" s="12" t="n"/>
      <c r="E135" s="12" t="n"/>
      <c r="F135" s="12" t="n"/>
    </row>
    <row r="136">
      <c r="A136" s="12" t="n"/>
      <c r="B136" s="12" t="n"/>
      <c r="C136" s="13" t="n"/>
      <c r="D136" s="12" t="n"/>
      <c r="E136" s="12" t="n"/>
      <c r="F136" s="12" t="n"/>
    </row>
    <row r="137">
      <c r="A137" s="12" t="n"/>
      <c r="B137" s="12" t="n"/>
      <c r="C137" s="13" t="n"/>
      <c r="D137" s="12" t="n"/>
      <c r="E137" s="12" t="n"/>
      <c r="F137" s="12" t="n"/>
    </row>
    <row r="138">
      <c r="A138" s="12" t="n"/>
      <c r="B138" s="12" t="n"/>
      <c r="C138" s="13" t="n"/>
      <c r="D138" s="12" t="n"/>
      <c r="E138" s="12" t="n"/>
      <c r="F138" s="12" t="n"/>
    </row>
    <row r="139">
      <c r="A139" s="12" t="n"/>
      <c r="B139" s="12" t="n"/>
      <c r="C139" s="13" t="n"/>
      <c r="D139" s="12" t="n"/>
      <c r="E139" s="12" t="n"/>
      <c r="F139" s="12" t="n"/>
    </row>
    <row r="140">
      <c r="A140" s="12" t="n"/>
      <c r="B140" s="12" t="n"/>
      <c r="C140" s="13" t="n"/>
      <c r="D140" s="12" t="n"/>
      <c r="E140" s="12" t="n"/>
      <c r="F140" s="12" t="n"/>
    </row>
    <row r="141">
      <c r="A141" s="12" t="n"/>
      <c r="B141" s="12" t="n"/>
      <c r="C141" s="13" t="n"/>
      <c r="D141" s="12" t="n"/>
      <c r="E141" s="12" t="n"/>
      <c r="F141" s="12" t="n"/>
    </row>
    <row r="142">
      <c r="A142" s="12" t="n"/>
      <c r="B142" s="12" t="n"/>
      <c r="C142" s="13" t="n"/>
      <c r="D142" s="12" t="n"/>
      <c r="E142" s="12" t="n"/>
      <c r="F142" s="12" t="n"/>
    </row>
    <row r="143">
      <c r="A143" s="12" t="n"/>
      <c r="B143" s="12" t="n"/>
      <c r="C143" s="13" t="n"/>
      <c r="D143" s="12" t="n"/>
      <c r="E143" s="12" t="n"/>
      <c r="F143" s="12" t="n"/>
    </row>
    <row r="144">
      <c r="A144" s="12" t="n"/>
      <c r="B144" s="12" t="n"/>
      <c r="C144" s="13" t="n"/>
      <c r="D144" s="12" t="n"/>
      <c r="E144" s="12" t="n"/>
      <c r="F144" s="12" t="n"/>
    </row>
    <row r="145">
      <c r="A145" s="12" t="n"/>
      <c r="B145" s="12" t="n"/>
      <c r="C145" s="13" t="n"/>
      <c r="D145" s="12" t="n"/>
      <c r="E145" s="12" t="n"/>
      <c r="F145" s="12" t="n"/>
    </row>
    <row r="146">
      <c r="A146" s="12" t="n"/>
      <c r="B146" s="12" t="n"/>
      <c r="C146" s="13" t="n"/>
      <c r="D146" s="12" t="n"/>
      <c r="E146" s="12" t="n"/>
      <c r="F146" s="12" t="n"/>
    </row>
    <row r="147">
      <c r="A147" s="12" t="n"/>
      <c r="B147" s="12" t="n"/>
      <c r="C147" s="13" t="n"/>
      <c r="D147" s="12" t="n"/>
      <c r="E147" s="12" t="n"/>
      <c r="F147" s="12" t="n"/>
    </row>
    <row r="148">
      <c r="A148" s="12" t="n"/>
      <c r="B148" s="12" t="n"/>
      <c r="C148" s="13" t="n"/>
      <c r="D148" s="12" t="n"/>
      <c r="E148" s="12" t="n"/>
      <c r="F148" s="12" t="n"/>
    </row>
    <row r="149">
      <c r="A149" s="12" t="n"/>
      <c r="B149" s="12" t="n"/>
      <c r="C149" s="13" t="n"/>
      <c r="D149" s="12" t="n"/>
      <c r="E149" s="12" t="n"/>
      <c r="F149" s="12" t="n"/>
    </row>
    <row r="150">
      <c r="A150" s="12" t="n"/>
      <c r="B150" s="12" t="n"/>
      <c r="C150" s="13" t="n"/>
      <c r="D150" s="12" t="n"/>
      <c r="E150" s="12" t="n"/>
      <c r="F150" s="12" t="n"/>
    </row>
    <row r="151">
      <c r="A151" s="12" t="n"/>
      <c r="B151" s="12" t="n"/>
      <c r="C151" s="13" t="n"/>
      <c r="D151" s="12" t="n"/>
      <c r="E151" s="12" t="n"/>
      <c r="F151" s="12" t="n"/>
    </row>
    <row r="152">
      <c r="A152" s="12" t="n"/>
      <c r="B152" s="12" t="n"/>
      <c r="C152" s="13" t="n"/>
      <c r="D152" s="12" t="n"/>
      <c r="E152" s="12" t="n"/>
      <c r="F152" s="12" t="n"/>
    </row>
    <row r="153">
      <c r="A153" s="12" t="n"/>
      <c r="B153" s="12" t="n"/>
      <c r="C153" s="13" t="n"/>
      <c r="D153" s="12" t="n"/>
      <c r="E153" s="12" t="n"/>
      <c r="F153" s="12" t="n"/>
    </row>
  </sheetData>
  <mergeCells count="2">
    <mergeCell ref="A2:F2"/>
    <mergeCell ref="A1:F1"/>
  </mergeCells>
  <dataValidations count="2">
    <dataValidation sqref="D4:D153" showDropDown="0" showInputMessage="0" showErrorMessage="0" allowBlank="1" errorTitle="Valor fora da lista" error="Escolha um valor da lista." type="list">
      <formula1>"Jan,Fev,Mar,Abr,Mai,Jun,Jul,Ago,Set,Out,Nov,Dez"</formula1>
    </dataValidation>
    <dataValidation sqref="E4:E153" showDropDown="0" showInputMessage="0" showErrorMessage="0" allowBlank="1" errorTitle="Valor fora da lista" error="Escolha um valor da lista." type="list">
      <formula1>"Jan,Fev,Mar,Abr,Mai,Jun,Jul,Ago,Set,Out,Nov,Dez"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5" customWidth="1" min="4" max="4"/>
    <col width="14" customWidth="1" min="5" max="5"/>
    <col width="12" customWidth="1" min="6" max="6"/>
    <col width="30" customWidth="1" min="7" max="7"/>
    <col hidden="1" width="8" customWidth="1" min="8" max="8"/>
  </cols>
  <sheetData>
    <row r="1" ht="26" customHeight="1">
      <c r="A1" s="1" t="inlineStr">
        <is>
          <t>VALVIC MARCENARIA   ·   COMPRAS — uma nota por linha</t>
        </is>
      </c>
    </row>
    <row r="2" ht="18" customHeight="1">
      <c r="A2" s="2" t="inlineStr">
        <is>
          <t>Valor cheio, mesmo parcelado. Sem projeto = material de uso geral (fita, cola, parafuso, ferramenta).</t>
        </is>
      </c>
    </row>
    <row r="3" ht="30" customHeight="1">
      <c r="A3" s="10" t="inlineStr">
        <is>
          <t>Projeto
(em branco = uso geral)</t>
        </is>
      </c>
      <c r="B3" s="10" t="inlineStr">
        <is>
          <t>Fornecedor</t>
        </is>
      </c>
      <c r="C3" s="10" t="inlineStr">
        <is>
          <t>Categoria</t>
        </is>
      </c>
      <c r="D3" s="10" t="inlineStr">
        <is>
          <t>Valor</t>
        </is>
      </c>
      <c r="E3" s="10" t="inlineStr">
        <is>
          <t>Mês da compra</t>
        </is>
      </c>
      <c r="F3" s="10" t="inlineStr">
        <is>
          <t>Parcelas
(para caixa)</t>
        </is>
      </c>
      <c r="G3" s="10" t="inlineStr">
        <is>
          <t>Observação</t>
        </is>
      </c>
      <c r="H3" s="11" t="inlineStr">
        <is>
          <t>nº mês</t>
        </is>
      </c>
    </row>
    <row r="4">
      <c r="A4" s="12" t="n"/>
      <c r="B4" s="12" t="n"/>
      <c r="C4" s="12" t="n"/>
      <c r="D4" s="13" t="n"/>
      <c r="E4" s="12" t="n"/>
      <c r="F4" s="12" t="n"/>
      <c r="G4" s="12" t="n"/>
      <c r="H4" s="15">
        <f>IF($E4="","",IFERROR(MATCH($E4,Listas!$A$4:$A$15,0),""))</f>
        <v/>
      </c>
    </row>
    <row r="5">
      <c r="A5" s="12" t="n"/>
      <c r="B5" s="12" t="n"/>
      <c r="C5" s="12" t="n"/>
      <c r="D5" s="13" t="n"/>
      <c r="E5" s="12" t="n"/>
      <c r="F5" s="12" t="n"/>
      <c r="G5" s="12" t="n"/>
      <c r="H5" s="15">
        <f>IF($E5="","",IFERROR(MATCH($E5,Listas!$A$4:$A$15,0),""))</f>
        <v/>
      </c>
    </row>
    <row r="6">
      <c r="A6" s="12" t="n"/>
      <c r="B6" s="12" t="n"/>
      <c r="C6" s="12" t="n"/>
      <c r="D6" s="13" t="n"/>
      <c r="E6" s="12" t="n"/>
      <c r="F6" s="12" t="n"/>
      <c r="G6" s="12" t="n"/>
      <c r="H6" s="15">
        <f>IF($E6="","",IFERROR(MATCH($E6,Listas!$A$4:$A$15,0),""))</f>
        <v/>
      </c>
    </row>
    <row r="7">
      <c r="A7" s="12" t="n"/>
      <c r="B7" s="12" t="n"/>
      <c r="C7" s="12" t="n"/>
      <c r="D7" s="13" t="n"/>
      <c r="E7" s="12" t="n"/>
      <c r="F7" s="12" t="n"/>
      <c r="G7" s="12" t="n"/>
      <c r="H7" s="15">
        <f>IF($E7="","",IFERROR(MATCH($E7,Listas!$A$4:$A$15,0),""))</f>
        <v/>
      </c>
    </row>
    <row r="8">
      <c r="A8" s="12" t="n"/>
      <c r="B8" s="12" t="n"/>
      <c r="C8" s="12" t="n"/>
      <c r="D8" s="13" t="n"/>
      <c r="E8" s="12" t="n"/>
      <c r="F8" s="12" t="n"/>
      <c r="G8" s="12" t="n"/>
      <c r="H8" s="15">
        <f>IF($E8="","",IFERROR(MATCH($E8,Listas!$A$4:$A$15,0),""))</f>
        <v/>
      </c>
    </row>
    <row r="9">
      <c r="A9" s="12" t="n"/>
      <c r="B9" s="12" t="n"/>
      <c r="C9" s="12" t="n"/>
      <c r="D9" s="13" t="n"/>
      <c r="E9" s="12" t="n"/>
      <c r="F9" s="12" t="n"/>
      <c r="G9" s="12" t="n"/>
      <c r="H9" s="15">
        <f>IF($E9="","",IFERROR(MATCH($E9,Listas!$A$4:$A$15,0),""))</f>
        <v/>
      </c>
    </row>
    <row r="10">
      <c r="A10" s="12" t="n"/>
      <c r="B10" s="12" t="n"/>
      <c r="C10" s="12" t="n"/>
      <c r="D10" s="13" t="n"/>
      <c r="E10" s="12" t="n"/>
      <c r="F10" s="12" t="n"/>
      <c r="G10" s="12" t="n"/>
      <c r="H10" s="15">
        <f>IF($E10="","",IFERROR(MATCH($E10,Listas!$A$4:$A$15,0),""))</f>
        <v/>
      </c>
    </row>
    <row r="11">
      <c r="A11" s="12" t="n"/>
      <c r="B11" s="12" t="n"/>
      <c r="C11" s="12" t="n"/>
      <c r="D11" s="13" t="n"/>
      <c r="E11" s="12" t="n"/>
      <c r="F11" s="12" t="n"/>
      <c r="G11" s="12" t="n"/>
      <c r="H11" s="15">
        <f>IF($E11="","",IFERROR(MATCH($E11,Listas!$A$4:$A$15,0),""))</f>
        <v/>
      </c>
    </row>
    <row r="12">
      <c r="A12" s="12" t="n"/>
      <c r="B12" s="12" t="n"/>
      <c r="C12" s="12" t="n"/>
      <c r="D12" s="13" t="n"/>
      <c r="E12" s="12" t="n"/>
      <c r="F12" s="12" t="n"/>
      <c r="G12" s="12" t="n"/>
      <c r="H12" s="15">
        <f>IF($E12="","",IFERROR(MATCH($E12,Listas!$A$4:$A$15,0),""))</f>
        <v/>
      </c>
    </row>
    <row r="13">
      <c r="A13" s="12" t="n"/>
      <c r="B13" s="12" t="n"/>
      <c r="C13" s="12" t="n"/>
      <c r="D13" s="13" t="n"/>
      <c r="E13" s="12" t="n"/>
      <c r="F13" s="12" t="n"/>
      <c r="G13" s="12" t="n"/>
      <c r="H13" s="15">
        <f>IF($E13="","",IFERROR(MATCH($E13,Listas!$A$4:$A$15,0),""))</f>
        <v/>
      </c>
    </row>
    <row r="14">
      <c r="A14" s="12" t="n"/>
      <c r="B14" s="12" t="n"/>
      <c r="C14" s="12" t="n"/>
      <c r="D14" s="13" t="n"/>
      <c r="E14" s="12" t="n"/>
      <c r="F14" s="12" t="n"/>
      <c r="G14" s="12" t="n"/>
      <c r="H14" s="15">
        <f>IF($E14="","",IFERROR(MATCH($E14,Listas!$A$4:$A$15,0),""))</f>
        <v/>
      </c>
    </row>
    <row r="15">
      <c r="A15" s="12" t="n"/>
      <c r="B15" s="12" t="n"/>
      <c r="C15" s="12" t="n"/>
      <c r="D15" s="13" t="n"/>
      <c r="E15" s="12" t="n"/>
      <c r="F15" s="12" t="n"/>
      <c r="G15" s="12" t="n"/>
      <c r="H15" s="15">
        <f>IF($E15="","",IFERROR(MATCH($E15,Listas!$A$4:$A$15,0),""))</f>
        <v/>
      </c>
    </row>
    <row r="16">
      <c r="A16" s="12" t="n"/>
      <c r="B16" s="12" t="n"/>
      <c r="C16" s="12" t="n"/>
      <c r="D16" s="13" t="n"/>
      <c r="E16" s="12" t="n"/>
      <c r="F16" s="12" t="n"/>
      <c r="G16" s="12" t="n"/>
      <c r="H16" s="15">
        <f>IF($E16="","",IFERROR(MATCH($E16,Listas!$A$4:$A$15,0),""))</f>
        <v/>
      </c>
    </row>
    <row r="17">
      <c r="A17" s="12" t="n"/>
      <c r="B17" s="12" t="n"/>
      <c r="C17" s="12" t="n"/>
      <c r="D17" s="13" t="n"/>
      <c r="E17" s="12" t="n"/>
      <c r="F17" s="12" t="n"/>
      <c r="G17" s="12" t="n"/>
      <c r="H17" s="15">
        <f>IF($E17="","",IFERROR(MATCH($E17,Listas!$A$4:$A$15,0),""))</f>
        <v/>
      </c>
    </row>
    <row r="18">
      <c r="A18" s="12" t="n"/>
      <c r="B18" s="12" t="n"/>
      <c r="C18" s="12" t="n"/>
      <c r="D18" s="13" t="n"/>
      <c r="E18" s="12" t="n"/>
      <c r="F18" s="12" t="n"/>
      <c r="G18" s="12" t="n"/>
      <c r="H18" s="15">
        <f>IF($E18="","",IFERROR(MATCH($E18,Listas!$A$4:$A$15,0),""))</f>
        <v/>
      </c>
    </row>
    <row r="19">
      <c r="A19" s="12" t="n"/>
      <c r="B19" s="12" t="n"/>
      <c r="C19" s="12" t="n"/>
      <c r="D19" s="13" t="n"/>
      <c r="E19" s="12" t="n"/>
      <c r="F19" s="12" t="n"/>
      <c r="G19" s="12" t="n"/>
      <c r="H19" s="15">
        <f>IF($E19="","",IFERROR(MATCH($E19,Listas!$A$4:$A$15,0),""))</f>
        <v/>
      </c>
    </row>
    <row r="20">
      <c r="A20" s="12" t="n"/>
      <c r="B20" s="12" t="n"/>
      <c r="C20" s="12" t="n"/>
      <c r="D20" s="13" t="n"/>
      <c r="E20" s="12" t="n"/>
      <c r="F20" s="12" t="n"/>
      <c r="G20" s="12" t="n"/>
      <c r="H20" s="15">
        <f>IF($E20="","",IFERROR(MATCH($E20,Listas!$A$4:$A$15,0),""))</f>
        <v/>
      </c>
    </row>
    <row r="21">
      <c r="A21" s="12" t="n"/>
      <c r="B21" s="12" t="n"/>
      <c r="C21" s="12" t="n"/>
      <c r="D21" s="13" t="n"/>
      <c r="E21" s="12" t="n"/>
      <c r="F21" s="12" t="n"/>
      <c r="G21" s="12" t="n"/>
      <c r="H21" s="15">
        <f>IF($E21="","",IFERROR(MATCH($E21,Listas!$A$4:$A$15,0),""))</f>
        <v/>
      </c>
    </row>
    <row r="22">
      <c r="A22" s="12" t="n"/>
      <c r="B22" s="12" t="n"/>
      <c r="C22" s="12" t="n"/>
      <c r="D22" s="13" t="n"/>
      <c r="E22" s="12" t="n"/>
      <c r="F22" s="12" t="n"/>
      <c r="G22" s="12" t="n"/>
      <c r="H22" s="15">
        <f>IF($E22="","",IFERROR(MATCH($E22,Listas!$A$4:$A$15,0),""))</f>
        <v/>
      </c>
    </row>
    <row r="23">
      <c r="A23" s="12" t="n"/>
      <c r="B23" s="12" t="n"/>
      <c r="C23" s="12" t="n"/>
      <c r="D23" s="13" t="n"/>
      <c r="E23" s="12" t="n"/>
      <c r="F23" s="12" t="n"/>
      <c r="G23" s="12" t="n"/>
      <c r="H23" s="15">
        <f>IF($E23="","",IFERROR(MATCH($E23,Listas!$A$4:$A$15,0),""))</f>
        <v/>
      </c>
    </row>
    <row r="24">
      <c r="A24" s="12" t="n"/>
      <c r="B24" s="12" t="n"/>
      <c r="C24" s="12" t="n"/>
      <c r="D24" s="13" t="n"/>
      <c r="E24" s="12" t="n"/>
      <c r="F24" s="12" t="n"/>
      <c r="G24" s="12" t="n"/>
      <c r="H24" s="15">
        <f>IF($E24="","",IFERROR(MATCH($E24,Listas!$A$4:$A$15,0),""))</f>
        <v/>
      </c>
    </row>
    <row r="25">
      <c r="A25" s="12" t="n"/>
      <c r="B25" s="12" t="n"/>
      <c r="C25" s="12" t="n"/>
      <c r="D25" s="13" t="n"/>
      <c r="E25" s="12" t="n"/>
      <c r="F25" s="12" t="n"/>
      <c r="G25" s="12" t="n"/>
      <c r="H25" s="15">
        <f>IF($E25="","",IFERROR(MATCH($E25,Listas!$A$4:$A$15,0),""))</f>
        <v/>
      </c>
    </row>
    <row r="26">
      <c r="A26" s="12" t="n"/>
      <c r="B26" s="12" t="n"/>
      <c r="C26" s="12" t="n"/>
      <c r="D26" s="13" t="n"/>
      <c r="E26" s="12" t="n"/>
      <c r="F26" s="12" t="n"/>
      <c r="G26" s="12" t="n"/>
      <c r="H26" s="15">
        <f>IF($E26="","",IFERROR(MATCH($E26,Listas!$A$4:$A$15,0),""))</f>
        <v/>
      </c>
    </row>
    <row r="27">
      <c r="A27" s="12" t="n"/>
      <c r="B27" s="12" t="n"/>
      <c r="C27" s="12" t="n"/>
      <c r="D27" s="13" t="n"/>
      <c r="E27" s="12" t="n"/>
      <c r="F27" s="12" t="n"/>
      <c r="G27" s="12" t="n"/>
      <c r="H27" s="15">
        <f>IF($E27="","",IFERROR(MATCH($E27,Listas!$A$4:$A$15,0),""))</f>
        <v/>
      </c>
    </row>
    <row r="28">
      <c r="A28" s="12" t="n"/>
      <c r="B28" s="12" t="n"/>
      <c r="C28" s="12" t="n"/>
      <c r="D28" s="13" t="n"/>
      <c r="E28" s="12" t="n"/>
      <c r="F28" s="12" t="n"/>
      <c r="G28" s="12" t="n"/>
      <c r="H28" s="15">
        <f>IF($E28="","",IFERROR(MATCH($E28,Listas!$A$4:$A$15,0),""))</f>
        <v/>
      </c>
    </row>
    <row r="29">
      <c r="A29" s="12" t="n"/>
      <c r="B29" s="12" t="n"/>
      <c r="C29" s="12" t="n"/>
      <c r="D29" s="13" t="n"/>
      <c r="E29" s="12" t="n"/>
      <c r="F29" s="12" t="n"/>
      <c r="G29" s="12" t="n"/>
      <c r="H29" s="15">
        <f>IF($E29="","",IFERROR(MATCH($E29,Listas!$A$4:$A$15,0),""))</f>
        <v/>
      </c>
    </row>
    <row r="30">
      <c r="A30" s="12" t="n"/>
      <c r="B30" s="12" t="n"/>
      <c r="C30" s="12" t="n"/>
      <c r="D30" s="13" t="n"/>
      <c r="E30" s="12" t="n"/>
      <c r="F30" s="12" t="n"/>
      <c r="G30" s="12" t="n"/>
      <c r="H30" s="15">
        <f>IF($E30="","",IFERROR(MATCH($E30,Listas!$A$4:$A$15,0),""))</f>
        <v/>
      </c>
    </row>
    <row r="31">
      <c r="A31" s="12" t="n"/>
      <c r="B31" s="12" t="n"/>
      <c r="C31" s="12" t="n"/>
      <c r="D31" s="13" t="n"/>
      <c r="E31" s="12" t="n"/>
      <c r="F31" s="12" t="n"/>
      <c r="G31" s="12" t="n"/>
      <c r="H31" s="15">
        <f>IF($E31="","",IFERROR(MATCH($E31,Listas!$A$4:$A$15,0),""))</f>
        <v/>
      </c>
    </row>
    <row r="32">
      <c r="A32" s="12" t="n"/>
      <c r="B32" s="12" t="n"/>
      <c r="C32" s="12" t="n"/>
      <c r="D32" s="13" t="n"/>
      <c r="E32" s="12" t="n"/>
      <c r="F32" s="12" t="n"/>
      <c r="G32" s="12" t="n"/>
      <c r="H32" s="15">
        <f>IF($E32="","",IFERROR(MATCH($E32,Listas!$A$4:$A$15,0),""))</f>
        <v/>
      </c>
    </row>
    <row r="33">
      <c r="A33" s="12" t="n"/>
      <c r="B33" s="12" t="n"/>
      <c r="C33" s="12" t="n"/>
      <c r="D33" s="13" t="n"/>
      <c r="E33" s="12" t="n"/>
      <c r="F33" s="12" t="n"/>
      <c r="G33" s="12" t="n"/>
      <c r="H33" s="15">
        <f>IF($E33="","",IFERROR(MATCH($E33,Listas!$A$4:$A$15,0),""))</f>
        <v/>
      </c>
    </row>
    <row r="34">
      <c r="A34" s="12" t="n"/>
      <c r="B34" s="12" t="n"/>
      <c r="C34" s="12" t="n"/>
      <c r="D34" s="13" t="n"/>
      <c r="E34" s="12" t="n"/>
      <c r="F34" s="12" t="n"/>
      <c r="G34" s="12" t="n"/>
      <c r="H34" s="15">
        <f>IF($E34="","",IFERROR(MATCH($E34,Listas!$A$4:$A$15,0),""))</f>
        <v/>
      </c>
    </row>
    <row r="35">
      <c r="A35" s="12" t="n"/>
      <c r="B35" s="12" t="n"/>
      <c r="C35" s="12" t="n"/>
      <c r="D35" s="13" t="n"/>
      <c r="E35" s="12" t="n"/>
      <c r="F35" s="12" t="n"/>
      <c r="G35" s="12" t="n"/>
      <c r="H35" s="15">
        <f>IF($E35="","",IFERROR(MATCH($E35,Listas!$A$4:$A$15,0),""))</f>
        <v/>
      </c>
    </row>
    <row r="36">
      <c r="A36" s="12" t="n"/>
      <c r="B36" s="12" t="n"/>
      <c r="C36" s="12" t="n"/>
      <c r="D36" s="13" t="n"/>
      <c r="E36" s="12" t="n"/>
      <c r="F36" s="12" t="n"/>
      <c r="G36" s="12" t="n"/>
      <c r="H36" s="15">
        <f>IF($E36="","",IFERROR(MATCH($E36,Listas!$A$4:$A$15,0),""))</f>
        <v/>
      </c>
    </row>
    <row r="37">
      <c r="A37" s="12" t="n"/>
      <c r="B37" s="12" t="n"/>
      <c r="C37" s="12" t="n"/>
      <c r="D37" s="13" t="n"/>
      <c r="E37" s="12" t="n"/>
      <c r="F37" s="12" t="n"/>
      <c r="G37" s="12" t="n"/>
      <c r="H37" s="15">
        <f>IF($E37="","",IFERROR(MATCH($E37,Listas!$A$4:$A$15,0),""))</f>
        <v/>
      </c>
    </row>
    <row r="38">
      <c r="A38" s="12" t="n"/>
      <c r="B38" s="12" t="n"/>
      <c r="C38" s="12" t="n"/>
      <c r="D38" s="13" t="n"/>
      <c r="E38" s="12" t="n"/>
      <c r="F38" s="12" t="n"/>
      <c r="G38" s="12" t="n"/>
      <c r="H38" s="15">
        <f>IF($E38="","",IFERROR(MATCH($E38,Listas!$A$4:$A$15,0),""))</f>
        <v/>
      </c>
    </row>
    <row r="39">
      <c r="A39" s="12" t="n"/>
      <c r="B39" s="12" t="n"/>
      <c r="C39" s="12" t="n"/>
      <c r="D39" s="13" t="n"/>
      <c r="E39" s="12" t="n"/>
      <c r="F39" s="12" t="n"/>
      <c r="G39" s="12" t="n"/>
      <c r="H39" s="15">
        <f>IF($E39="","",IFERROR(MATCH($E39,Listas!$A$4:$A$15,0),""))</f>
        <v/>
      </c>
    </row>
    <row r="40">
      <c r="A40" s="12" t="n"/>
      <c r="B40" s="12" t="n"/>
      <c r="C40" s="12" t="n"/>
      <c r="D40" s="13" t="n"/>
      <c r="E40" s="12" t="n"/>
      <c r="F40" s="12" t="n"/>
      <c r="G40" s="12" t="n"/>
      <c r="H40" s="15">
        <f>IF($E40="","",IFERROR(MATCH($E40,Listas!$A$4:$A$15,0),""))</f>
        <v/>
      </c>
    </row>
    <row r="41">
      <c r="A41" s="12" t="n"/>
      <c r="B41" s="12" t="n"/>
      <c r="C41" s="12" t="n"/>
      <c r="D41" s="13" t="n"/>
      <c r="E41" s="12" t="n"/>
      <c r="F41" s="12" t="n"/>
      <c r="G41" s="12" t="n"/>
      <c r="H41" s="15">
        <f>IF($E41="","",IFERROR(MATCH($E41,Listas!$A$4:$A$15,0),""))</f>
        <v/>
      </c>
    </row>
    <row r="42">
      <c r="A42" s="12" t="n"/>
      <c r="B42" s="12" t="n"/>
      <c r="C42" s="12" t="n"/>
      <c r="D42" s="13" t="n"/>
      <c r="E42" s="12" t="n"/>
      <c r="F42" s="12" t="n"/>
      <c r="G42" s="12" t="n"/>
      <c r="H42" s="15">
        <f>IF($E42="","",IFERROR(MATCH($E42,Listas!$A$4:$A$15,0),""))</f>
        <v/>
      </c>
    </row>
    <row r="43">
      <c r="A43" s="12" t="n"/>
      <c r="B43" s="12" t="n"/>
      <c r="C43" s="12" t="n"/>
      <c r="D43" s="13" t="n"/>
      <c r="E43" s="12" t="n"/>
      <c r="F43" s="12" t="n"/>
      <c r="G43" s="12" t="n"/>
      <c r="H43" s="15">
        <f>IF($E43="","",IFERROR(MATCH($E43,Listas!$A$4:$A$15,0),""))</f>
        <v/>
      </c>
    </row>
    <row r="44">
      <c r="A44" s="12" t="n"/>
      <c r="B44" s="12" t="n"/>
      <c r="C44" s="12" t="n"/>
      <c r="D44" s="13" t="n"/>
      <c r="E44" s="12" t="n"/>
      <c r="F44" s="12" t="n"/>
      <c r="G44" s="12" t="n"/>
      <c r="H44" s="15">
        <f>IF($E44="","",IFERROR(MATCH($E44,Listas!$A$4:$A$15,0),""))</f>
        <v/>
      </c>
    </row>
    <row r="45">
      <c r="A45" s="12" t="n"/>
      <c r="B45" s="12" t="n"/>
      <c r="C45" s="12" t="n"/>
      <c r="D45" s="13" t="n"/>
      <c r="E45" s="12" t="n"/>
      <c r="F45" s="12" t="n"/>
      <c r="G45" s="12" t="n"/>
      <c r="H45" s="15">
        <f>IF($E45="","",IFERROR(MATCH($E45,Listas!$A$4:$A$15,0),""))</f>
        <v/>
      </c>
    </row>
    <row r="46">
      <c r="A46" s="12" t="n"/>
      <c r="B46" s="12" t="n"/>
      <c r="C46" s="12" t="n"/>
      <c r="D46" s="13" t="n"/>
      <c r="E46" s="12" t="n"/>
      <c r="F46" s="12" t="n"/>
      <c r="G46" s="12" t="n"/>
      <c r="H46" s="15">
        <f>IF($E46="","",IFERROR(MATCH($E46,Listas!$A$4:$A$15,0),""))</f>
        <v/>
      </c>
    </row>
    <row r="47">
      <c r="A47" s="12" t="n"/>
      <c r="B47" s="12" t="n"/>
      <c r="C47" s="12" t="n"/>
      <c r="D47" s="13" t="n"/>
      <c r="E47" s="12" t="n"/>
      <c r="F47" s="12" t="n"/>
      <c r="G47" s="12" t="n"/>
      <c r="H47" s="15">
        <f>IF($E47="","",IFERROR(MATCH($E47,Listas!$A$4:$A$15,0),""))</f>
        <v/>
      </c>
    </row>
    <row r="48">
      <c r="A48" s="12" t="n"/>
      <c r="B48" s="12" t="n"/>
      <c r="C48" s="12" t="n"/>
      <c r="D48" s="13" t="n"/>
      <c r="E48" s="12" t="n"/>
      <c r="F48" s="12" t="n"/>
      <c r="G48" s="12" t="n"/>
      <c r="H48" s="15">
        <f>IF($E48="","",IFERROR(MATCH($E48,Listas!$A$4:$A$15,0),""))</f>
        <v/>
      </c>
    </row>
    <row r="49">
      <c r="A49" s="12" t="n"/>
      <c r="B49" s="12" t="n"/>
      <c r="C49" s="12" t="n"/>
      <c r="D49" s="13" t="n"/>
      <c r="E49" s="12" t="n"/>
      <c r="F49" s="12" t="n"/>
      <c r="G49" s="12" t="n"/>
      <c r="H49" s="15">
        <f>IF($E49="","",IFERROR(MATCH($E49,Listas!$A$4:$A$15,0),""))</f>
        <v/>
      </c>
    </row>
    <row r="50">
      <c r="A50" s="12" t="n"/>
      <c r="B50" s="12" t="n"/>
      <c r="C50" s="12" t="n"/>
      <c r="D50" s="13" t="n"/>
      <c r="E50" s="12" t="n"/>
      <c r="F50" s="12" t="n"/>
      <c r="G50" s="12" t="n"/>
      <c r="H50" s="15">
        <f>IF($E50="","",IFERROR(MATCH($E50,Listas!$A$4:$A$15,0),""))</f>
        <v/>
      </c>
    </row>
    <row r="51">
      <c r="A51" s="12" t="n"/>
      <c r="B51" s="12" t="n"/>
      <c r="C51" s="12" t="n"/>
      <c r="D51" s="13" t="n"/>
      <c r="E51" s="12" t="n"/>
      <c r="F51" s="12" t="n"/>
      <c r="G51" s="12" t="n"/>
      <c r="H51" s="15">
        <f>IF($E51="","",IFERROR(MATCH($E51,Listas!$A$4:$A$15,0),""))</f>
        <v/>
      </c>
    </row>
    <row r="52">
      <c r="A52" s="12" t="n"/>
      <c r="B52" s="12" t="n"/>
      <c r="C52" s="12" t="n"/>
      <c r="D52" s="13" t="n"/>
      <c r="E52" s="12" t="n"/>
      <c r="F52" s="12" t="n"/>
      <c r="G52" s="12" t="n"/>
      <c r="H52" s="15">
        <f>IF($E52="","",IFERROR(MATCH($E52,Listas!$A$4:$A$15,0),""))</f>
        <v/>
      </c>
    </row>
    <row r="53">
      <c r="A53" s="12" t="n"/>
      <c r="B53" s="12" t="n"/>
      <c r="C53" s="12" t="n"/>
      <c r="D53" s="13" t="n"/>
      <c r="E53" s="12" t="n"/>
      <c r="F53" s="12" t="n"/>
      <c r="G53" s="12" t="n"/>
      <c r="H53" s="15">
        <f>IF($E53="","",IFERROR(MATCH($E53,Listas!$A$4:$A$15,0),""))</f>
        <v/>
      </c>
    </row>
    <row r="54">
      <c r="A54" s="12" t="n"/>
      <c r="B54" s="12" t="n"/>
      <c r="C54" s="12" t="n"/>
      <c r="D54" s="13" t="n"/>
      <c r="E54" s="12" t="n"/>
      <c r="F54" s="12" t="n"/>
      <c r="G54" s="12" t="n"/>
      <c r="H54" s="15">
        <f>IF($E54="","",IFERROR(MATCH($E54,Listas!$A$4:$A$15,0),""))</f>
        <v/>
      </c>
    </row>
    <row r="55">
      <c r="A55" s="12" t="n"/>
      <c r="B55" s="12" t="n"/>
      <c r="C55" s="12" t="n"/>
      <c r="D55" s="13" t="n"/>
      <c r="E55" s="12" t="n"/>
      <c r="F55" s="12" t="n"/>
      <c r="G55" s="12" t="n"/>
      <c r="H55" s="15">
        <f>IF($E55="","",IFERROR(MATCH($E55,Listas!$A$4:$A$15,0),""))</f>
        <v/>
      </c>
    </row>
    <row r="56">
      <c r="A56" s="12" t="n"/>
      <c r="B56" s="12" t="n"/>
      <c r="C56" s="12" t="n"/>
      <c r="D56" s="13" t="n"/>
      <c r="E56" s="12" t="n"/>
      <c r="F56" s="12" t="n"/>
      <c r="G56" s="12" t="n"/>
      <c r="H56" s="15">
        <f>IF($E56="","",IFERROR(MATCH($E56,Listas!$A$4:$A$15,0),""))</f>
        <v/>
      </c>
    </row>
    <row r="57">
      <c r="A57" s="12" t="n"/>
      <c r="B57" s="12" t="n"/>
      <c r="C57" s="12" t="n"/>
      <c r="D57" s="13" t="n"/>
      <c r="E57" s="12" t="n"/>
      <c r="F57" s="12" t="n"/>
      <c r="G57" s="12" t="n"/>
      <c r="H57" s="15">
        <f>IF($E57="","",IFERROR(MATCH($E57,Listas!$A$4:$A$15,0),""))</f>
        <v/>
      </c>
    </row>
    <row r="58">
      <c r="A58" s="12" t="n"/>
      <c r="B58" s="12" t="n"/>
      <c r="C58" s="12" t="n"/>
      <c r="D58" s="13" t="n"/>
      <c r="E58" s="12" t="n"/>
      <c r="F58" s="12" t="n"/>
      <c r="G58" s="12" t="n"/>
      <c r="H58" s="15">
        <f>IF($E58="","",IFERROR(MATCH($E58,Listas!$A$4:$A$15,0),""))</f>
        <v/>
      </c>
    </row>
    <row r="59">
      <c r="A59" s="12" t="n"/>
      <c r="B59" s="12" t="n"/>
      <c r="C59" s="12" t="n"/>
      <c r="D59" s="13" t="n"/>
      <c r="E59" s="12" t="n"/>
      <c r="F59" s="12" t="n"/>
      <c r="G59" s="12" t="n"/>
      <c r="H59" s="15">
        <f>IF($E59="","",IFERROR(MATCH($E59,Listas!$A$4:$A$15,0),""))</f>
        <v/>
      </c>
    </row>
    <row r="60">
      <c r="A60" s="12" t="n"/>
      <c r="B60" s="12" t="n"/>
      <c r="C60" s="12" t="n"/>
      <c r="D60" s="13" t="n"/>
      <c r="E60" s="12" t="n"/>
      <c r="F60" s="12" t="n"/>
      <c r="G60" s="12" t="n"/>
      <c r="H60" s="15">
        <f>IF($E60="","",IFERROR(MATCH($E60,Listas!$A$4:$A$15,0),""))</f>
        <v/>
      </c>
    </row>
    <row r="61">
      <c r="A61" s="12" t="n"/>
      <c r="B61" s="12" t="n"/>
      <c r="C61" s="12" t="n"/>
      <c r="D61" s="13" t="n"/>
      <c r="E61" s="12" t="n"/>
      <c r="F61" s="12" t="n"/>
      <c r="G61" s="12" t="n"/>
      <c r="H61" s="15">
        <f>IF($E61="","",IFERROR(MATCH($E61,Listas!$A$4:$A$15,0),""))</f>
        <v/>
      </c>
    </row>
    <row r="62">
      <c r="A62" s="12" t="n"/>
      <c r="B62" s="12" t="n"/>
      <c r="C62" s="12" t="n"/>
      <c r="D62" s="13" t="n"/>
      <c r="E62" s="12" t="n"/>
      <c r="F62" s="12" t="n"/>
      <c r="G62" s="12" t="n"/>
      <c r="H62" s="15">
        <f>IF($E62="","",IFERROR(MATCH($E62,Listas!$A$4:$A$15,0),""))</f>
        <v/>
      </c>
    </row>
    <row r="63">
      <c r="A63" s="12" t="n"/>
      <c r="B63" s="12" t="n"/>
      <c r="C63" s="12" t="n"/>
      <c r="D63" s="13" t="n"/>
      <c r="E63" s="12" t="n"/>
      <c r="F63" s="12" t="n"/>
      <c r="G63" s="12" t="n"/>
      <c r="H63" s="15">
        <f>IF($E63="","",IFERROR(MATCH($E63,Listas!$A$4:$A$15,0),""))</f>
        <v/>
      </c>
    </row>
    <row r="64">
      <c r="A64" s="12" t="n"/>
      <c r="B64" s="12" t="n"/>
      <c r="C64" s="12" t="n"/>
      <c r="D64" s="13" t="n"/>
      <c r="E64" s="12" t="n"/>
      <c r="F64" s="12" t="n"/>
      <c r="G64" s="12" t="n"/>
      <c r="H64" s="15">
        <f>IF($E64="","",IFERROR(MATCH($E64,Listas!$A$4:$A$15,0),""))</f>
        <v/>
      </c>
    </row>
    <row r="65">
      <c r="A65" s="12" t="n"/>
      <c r="B65" s="12" t="n"/>
      <c r="C65" s="12" t="n"/>
      <c r="D65" s="13" t="n"/>
      <c r="E65" s="12" t="n"/>
      <c r="F65" s="12" t="n"/>
      <c r="G65" s="12" t="n"/>
      <c r="H65" s="15">
        <f>IF($E65="","",IFERROR(MATCH($E65,Listas!$A$4:$A$15,0),""))</f>
        <v/>
      </c>
    </row>
    <row r="66">
      <c r="A66" s="12" t="n"/>
      <c r="B66" s="12" t="n"/>
      <c r="C66" s="12" t="n"/>
      <c r="D66" s="13" t="n"/>
      <c r="E66" s="12" t="n"/>
      <c r="F66" s="12" t="n"/>
      <c r="G66" s="12" t="n"/>
      <c r="H66" s="15">
        <f>IF($E66="","",IFERROR(MATCH($E66,Listas!$A$4:$A$15,0),""))</f>
        <v/>
      </c>
    </row>
    <row r="67">
      <c r="A67" s="12" t="n"/>
      <c r="B67" s="12" t="n"/>
      <c r="C67" s="12" t="n"/>
      <c r="D67" s="13" t="n"/>
      <c r="E67" s="12" t="n"/>
      <c r="F67" s="12" t="n"/>
      <c r="G67" s="12" t="n"/>
      <c r="H67" s="15">
        <f>IF($E67="","",IFERROR(MATCH($E67,Listas!$A$4:$A$15,0),""))</f>
        <v/>
      </c>
    </row>
    <row r="68">
      <c r="A68" s="12" t="n"/>
      <c r="B68" s="12" t="n"/>
      <c r="C68" s="12" t="n"/>
      <c r="D68" s="13" t="n"/>
      <c r="E68" s="12" t="n"/>
      <c r="F68" s="12" t="n"/>
      <c r="G68" s="12" t="n"/>
      <c r="H68" s="15">
        <f>IF($E68="","",IFERROR(MATCH($E68,Listas!$A$4:$A$15,0),""))</f>
        <v/>
      </c>
    </row>
    <row r="69">
      <c r="A69" s="12" t="n"/>
      <c r="B69" s="12" t="n"/>
      <c r="C69" s="12" t="n"/>
      <c r="D69" s="13" t="n"/>
      <c r="E69" s="12" t="n"/>
      <c r="F69" s="12" t="n"/>
      <c r="G69" s="12" t="n"/>
      <c r="H69" s="15">
        <f>IF($E69="","",IFERROR(MATCH($E69,Listas!$A$4:$A$15,0),""))</f>
        <v/>
      </c>
    </row>
    <row r="70">
      <c r="A70" s="12" t="n"/>
      <c r="B70" s="12" t="n"/>
      <c r="C70" s="12" t="n"/>
      <c r="D70" s="13" t="n"/>
      <c r="E70" s="12" t="n"/>
      <c r="F70" s="12" t="n"/>
      <c r="G70" s="12" t="n"/>
      <c r="H70" s="15">
        <f>IF($E70="","",IFERROR(MATCH($E70,Listas!$A$4:$A$15,0),""))</f>
        <v/>
      </c>
    </row>
    <row r="71">
      <c r="A71" s="12" t="n"/>
      <c r="B71" s="12" t="n"/>
      <c r="C71" s="12" t="n"/>
      <c r="D71" s="13" t="n"/>
      <c r="E71" s="12" t="n"/>
      <c r="F71" s="12" t="n"/>
      <c r="G71" s="12" t="n"/>
      <c r="H71" s="15">
        <f>IF($E71="","",IFERROR(MATCH($E71,Listas!$A$4:$A$15,0),""))</f>
        <v/>
      </c>
    </row>
    <row r="72">
      <c r="A72" s="12" t="n"/>
      <c r="B72" s="12" t="n"/>
      <c r="C72" s="12" t="n"/>
      <c r="D72" s="13" t="n"/>
      <c r="E72" s="12" t="n"/>
      <c r="F72" s="12" t="n"/>
      <c r="G72" s="12" t="n"/>
      <c r="H72" s="15">
        <f>IF($E72="","",IFERROR(MATCH($E72,Listas!$A$4:$A$15,0),""))</f>
        <v/>
      </c>
    </row>
    <row r="73">
      <c r="A73" s="12" t="n"/>
      <c r="B73" s="12" t="n"/>
      <c r="C73" s="12" t="n"/>
      <c r="D73" s="13" t="n"/>
      <c r="E73" s="12" t="n"/>
      <c r="F73" s="12" t="n"/>
      <c r="G73" s="12" t="n"/>
      <c r="H73" s="15">
        <f>IF($E73="","",IFERROR(MATCH($E73,Listas!$A$4:$A$15,0),""))</f>
        <v/>
      </c>
    </row>
    <row r="74">
      <c r="A74" s="12" t="n"/>
      <c r="B74" s="12" t="n"/>
      <c r="C74" s="12" t="n"/>
      <c r="D74" s="13" t="n"/>
      <c r="E74" s="12" t="n"/>
      <c r="F74" s="12" t="n"/>
      <c r="G74" s="12" t="n"/>
      <c r="H74" s="15">
        <f>IF($E74="","",IFERROR(MATCH($E74,Listas!$A$4:$A$15,0),""))</f>
        <v/>
      </c>
    </row>
    <row r="75">
      <c r="A75" s="12" t="n"/>
      <c r="B75" s="12" t="n"/>
      <c r="C75" s="12" t="n"/>
      <c r="D75" s="13" t="n"/>
      <c r="E75" s="12" t="n"/>
      <c r="F75" s="12" t="n"/>
      <c r="G75" s="12" t="n"/>
      <c r="H75" s="15">
        <f>IF($E75="","",IFERROR(MATCH($E75,Listas!$A$4:$A$15,0),""))</f>
        <v/>
      </c>
    </row>
    <row r="76">
      <c r="A76" s="12" t="n"/>
      <c r="B76" s="12" t="n"/>
      <c r="C76" s="12" t="n"/>
      <c r="D76" s="13" t="n"/>
      <c r="E76" s="12" t="n"/>
      <c r="F76" s="12" t="n"/>
      <c r="G76" s="12" t="n"/>
      <c r="H76" s="15">
        <f>IF($E76="","",IFERROR(MATCH($E76,Listas!$A$4:$A$15,0),""))</f>
        <v/>
      </c>
    </row>
    <row r="77">
      <c r="A77" s="12" t="n"/>
      <c r="B77" s="12" t="n"/>
      <c r="C77" s="12" t="n"/>
      <c r="D77" s="13" t="n"/>
      <c r="E77" s="12" t="n"/>
      <c r="F77" s="12" t="n"/>
      <c r="G77" s="12" t="n"/>
      <c r="H77" s="15">
        <f>IF($E77="","",IFERROR(MATCH($E77,Listas!$A$4:$A$15,0),""))</f>
        <v/>
      </c>
    </row>
    <row r="78">
      <c r="A78" s="12" t="n"/>
      <c r="B78" s="12" t="n"/>
      <c r="C78" s="12" t="n"/>
      <c r="D78" s="13" t="n"/>
      <c r="E78" s="12" t="n"/>
      <c r="F78" s="12" t="n"/>
      <c r="G78" s="12" t="n"/>
      <c r="H78" s="15">
        <f>IF($E78="","",IFERROR(MATCH($E78,Listas!$A$4:$A$15,0),""))</f>
        <v/>
      </c>
    </row>
    <row r="79">
      <c r="A79" s="12" t="n"/>
      <c r="B79" s="12" t="n"/>
      <c r="C79" s="12" t="n"/>
      <c r="D79" s="13" t="n"/>
      <c r="E79" s="12" t="n"/>
      <c r="F79" s="12" t="n"/>
      <c r="G79" s="12" t="n"/>
      <c r="H79" s="15">
        <f>IF($E79="","",IFERROR(MATCH($E79,Listas!$A$4:$A$15,0),""))</f>
        <v/>
      </c>
    </row>
    <row r="80">
      <c r="A80" s="12" t="n"/>
      <c r="B80" s="12" t="n"/>
      <c r="C80" s="12" t="n"/>
      <c r="D80" s="13" t="n"/>
      <c r="E80" s="12" t="n"/>
      <c r="F80" s="12" t="n"/>
      <c r="G80" s="12" t="n"/>
      <c r="H80" s="15">
        <f>IF($E80="","",IFERROR(MATCH($E80,Listas!$A$4:$A$15,0),""))</f>
        <v/>
      </c>
    </row>
    <row r="81">
      <c r="A81" s="12" t="n"/>
      <c r="B81" s="12" t="n"/>
      <c r="C81" s="12" t="n"/>
      <c r="D81" s="13" t="n"/>
      <c r="E81" s="12" t="n"/>
      <c r="F81" s="12" t="n"/>
      <c r="G81" s="12" t="n"/>
      <c r="H81" s="15">
        <f>IF($E81="","",IFERROR(MATCH($E81,Listas!$A$4:$A$15,0),""))</f>
        <v/>
      </c>
    </row>
    <row r="82">
      <c r="A82" s="12" t="n"/>
      <c r="B82" s="12" t="n"/>
      <c r="C82" s="12" t="n"/>
      <c r="D82" s="13" t="n"/>
      <c r="E82" s="12" t="n"/>
      <c r="F82" s="12" t="n"/>
      <c r="G82" s="12" t="n"/>
      <c r="H82" s="15">
        <f>IF($E82="","",IFERROR(MATCH($E82,Listas!$A$4:$A$15,0),""))</f>
        <v/>
      </c>
    </row>
    <row r="83">
      <c r="A83" s="12" t="n"/>
      <c r="B83" s="12" t="n"/>
      <c r="C83" s="12" t="n"/>
      <c r="D83" s="13" t="n"/>
      <c r="E83" s="12" t="n"/>
      <c r="F83" s="12" t="n"/>
      <c r="G83" s="12" t="n"/>
      <c r="H83" s="15">
        <f>IF($E83="","",IFERROR(MATCH($E83,Listas!$A$4:$A$15,0),""))</f>
        <v/>
      </c>
    </row>
    <row r="84">
      <c r="A84" s="12" t="n"/>
      <c r="B84" s="12" t="n"/>
      <c r="C84" s="12" t="n"/>
      <c r="D84" s="13" t="n"/>
      <c r="E84" s="12" t="n"/>
      <c r="F84" s="12" t="n"/>
      <c r="G84" s="12" t="n"/>
      <c r="H84" s="15">
        <f>IF($E84="","",IFERROR(MATCH($E84,Listas!$A$4:$A$15,0),""))</f>
        <v/>
      </c>
    </row>
    <row r="85">
      <c r="A85" s="12" t="n"/>
      <c r="B85" s="12" t="n"/>
      <c r="C85" s="12" t="n"/>
      <c r="D85" s="13" t="n"/>
      <c r="E85" s="12" t="n"/>
      <c r="F85" s="12" t="n"/>
      <c r="G85" s="12" t="n"/>
      <c r="H85" s="15">
        <f>IF($E85="","",IFERROR(MATCH($E85,Listas!$A$4:$A$15,0),""))</f>
        <v/>
      </c>
    </row>
    <row r="86">
      <c r="A86" s="12" t="n"/>
      <c r="B86" s="12" t="n"/>
      <c r="C86" s="12" t="n"/>
      <c r="D86" s="13" t="n"/>
      <c r="E86" s="12" t="n"/>
      <c r="F86" s="12" t="n"/>
      <c r="G86" s="12" t="n"/>
      <c r="H86" s="15">
        <f>IF($E86="","",IFERROR(MATCH($E86,Listas!$A$4:$A$15,0),""))</f>
        <v/>
      </c>
    </row>
    <row r="87">
      <c r="A87" s="12" t="n"/>
      <c r="B87" s="12" t="n"/>
      <c r="C87" s="12" t="n"/>
      <c r="D87" s="13" t="n"/>
      <c r="E87" s="12" t="n"/>
      <c r="F87" s="12" t="n"/>
      <c r="G87" s="12" t="n"/>
      <c r="H87" s="15">
        <f>IF($E87="","",IFERROR(MATCH($E87,Listas!$A$4:$A$15,0),""))</f>
        <v/>
      </c>
    </row>
    <row r="88">
      <c r="A88" s="12" t="n"/>
      <c r="B88" s="12" t="n"/>
      <c r="C88" s="12" t="n"/>
      <c r="D88" s="13" t="n"/>
      <c r="E88" s="12" t="n"/>
      <c r="F88" s="12" t="n"/>
      <c r="G88" s="12" t="n"/>
      <c r="H88" s="15">
        <f>IF($E88="","",IFERROR(MATCH($E88,Listas!$A$4:$A$15,0),""))</f>
        <v/>
      </c>
    </row>
    <row r="89">
      <c r="A89" s="12" t="n"/>
      <c r="B89" s="12" t="n"/>
      <c r="C89" s="12" t="n"/>
      <c r="D89" s="13" t="n"/>
      <c r="E89" s="12" t="n"/>
      <c r="F89" s="12" t="n"/>
      <c r="G89" s="12" t="n"/>
      <c r="H89" s="15">
        <f>IF($E89="","",IFERROR(MATCH($E89,Listas!$A$4:$A$15,0),""))</f>
        <v/>
      </c>
    </row>
    <row r="90">
      <c r="A90" s="12" t="n"/>
      <c r="B90" s="12" t="n"/>
      <c r="C90" s="12" t="n"/>
      <c r="D90" s="13" t="n"/>
      <c r="E90" s="12" t="n"/>
      <c r="F90" s="12" t="n"/>
      <c r="G90" s="12" t="n"/>
      <c r="H90" s="15">
        <f>IF($E90="","",IFERROR(MATCH($E90,Listas!$A$4:$A$15,0),""))</f>
        <v/>
      </c>
    </row>
    <row r="91">
      <c r="A91" s="12" t="n"/>
      <c r="B91" s="12" t="n"/>
      <c r="C91" s="12" t="n"/>
      <c r="D91" s="13" t="n"/>
      <c r="E91" s="12" t="n"/>
      <c r="F91" s="12" t="n"/>
      <c r="G91" s="12" t="n"/>
      <c r="H91" s="15">
        <f>IF($E91="","",IFERROR(MATCH($E91,Listas!$A$4:$A$15,0),""))</f>
        <v/>
      </c>
    </row>
    <row r="92">
      <c r="A92" s="12" t="n"/>
      <c r="B92" s="12" t="n"/>
      <c r="C92" s="12" t="n"/>
      <c r="D92" s="13" t="n"/>
      <c r="E92" s="12" t="n"/>
      <c r="F92" s="12" t="n"/>
      <c r="G92" s="12" t="n"/>
      <c r="H92" s="15">
        <f>IF($E92="","",IFERROR(MATCH($E92,Listas!$A$4:$A$15,0),""))</f>
        <v/>
      </c>
    </row>
    <row r="93">
      <c r="A93" s="12" t="n"/>
      <c r="B93" s="12" t="n"/>
      <c r="C93" s="12" t="n"/>
      <c r="D93" s="13" t="n"/>
      <c r="E93" s="12" t="n"/>
      <c r="F93" s="12" t="n"/>
      <c r="G93" s="12" t="n"/>
      <c r="H93" s="15">
        <f>IF($E93="","",IFERROR(MATCH($E93,Listas!$A$4:$A$15,0),""))</f>
        <v/>
      </c>
    </row>
    <row r="94">
      <c r="A94" s="12" t="n"/>
      <c r="B94" s="12" t="n"/>
      <c r="C94" s="12" t="n"/>
      <c r="D94" s="13" t="n"/>
      <c r="E94" s="12" t="n"/>
      <c r="F94" s="12" t="n"/>
      <c r="G94" s="12" t="n"/>
      <c r="H94" s="15">
        <f>IF($E94="","",IFERROR(MATCH($E94,Listas!$A$4:$A$15,0),""))</f>
        <v/>
      </c>
    </row>
    <row r="95">
      <c r="A95" s="12" t="n"/>
      <c r="B95" s="12" t="n"/>
      <c r="C95" s="12" t="n"/>
      <c r="D95" s="13" t="n"/>
      <c r="E95" s="12" t="n"/>
      <c r="F95" s="12" t="n"/>
      <c r="G95" s="12" t="n"/>
      <c r="H95" s="15">
        <f>IF($E95="","",IFERROR(MATCH($E95,Listas!$A$4:$A$15,0),""))</f>
        <v/>
      </c>
    </row>
    <row r="96">
      <c r="A96" s="12" t="n"/>
      <c r="B96" s="12" t="n"/>
      <c r="C96" s="12" t="n"/>
      <c r="D96" s="13" t="n"/>
      <c r="E96" s="12" t="n"/>
      <c r="F96" s="12" t="n"/>
      <c r="G96" s="12" t="n"/>
      <c r="H96" s="15">
        <f>IF($E96="","",IFERROR(MATCH($E96,Listas!$A$4:$A$15,0),""))</f>
        <v/>
      </c>
    </row>
    <row r="97">
      <c r="A97" s="12" t="n"/>
      <c r="B97" s="12" t="n"/>
      <c r="C97" s="12" t="n"/>
      <c r="D97" s="13" t="n"/>
      <c r="E97" s="12" t="n"/>
      <c r="F97" s="12" t="n"/>
      <c r="G97" s="12" t="n"/>
      <c r="H97" s="15">
        <f>IF($E97="","",IFERROR(MATCH($E97,Listas!$A$4:$A$15,0),""))</f>
        <v/>
      </c>
    </row>
    <row r="98">
      <c r="A98" s="12" t="n"/>
      <c r="B98" s="12" t="n"/>
      <c r="C98" s="12" t="n"/>
      <c r="D98" s="13" t="n"/>
      <c r="E98" s="12" t="n"/>
      <c r="F98" s="12" t="n"/>
      <c r="G98" s="12" t="n"/>
      <c r="H98" s="15">
        <f>IF($E98="","",IFERROR(MATCH($E98,Listas!$A$4:$A$15,0),""))</f>
        <v/>
      </c>
    </row>
    <row r="99">
      <c r="A99" s="12" t="n"/>
      <c r="B99" s="12" t="n"/>
      <c r="C99" s="12" t="n"/>
      <c r="D99" s="13" t="n"/>
      <c r="E99" s="12" t="n"/>
      <c r="F99" s="12" t="n"/>
      <c r="G99" s="12" t="n"/>
      <c r="H99" s="15">
        <f>IF($E99="","",IFERROR(MATCH($E99,Listas!$A$4:$A$15,0),""))</f>
        <v/>
      </c>
    </row>
    <row r="100">
      <c r="A100" s="12" t="n"/>
      <c r="B100" s="12" t="n"/>
      <c r="C100" s="12" t="n"/>
      <c r="D100" s="13" t="n"/>
      <c r="E100" s="12" t="n"/>
      <c r="F100" s="12" t="n"/>
      <c r="G100" s="12" t="n"/>
      <c r="H100" s="15">
        <f>IF($E100="","",IFERROR(MATCH($E100,Listas!$A$4:$A$15,0),""))</f>
        <v/>
      </c>
    </row>
    <row r="101">
      <c r="A101" s="12" t="n"/>
      <c r="B101" s="12" t="n"/>
      <c r="C101" s="12" t="n"/>
      <c r="D101" s="13" t="n"/>
      <c r="E101" s="12" t="n"/>
      <c r="F101" s="12" t="n"/>
      <c r="G101" s="12" t="n"/>
      <c r="H101" s="15">
        <f>IF($E101="","",IFERROR(MATCH($E101,Listas!$A$4:$A$15,0),""))</f>
        <v/>
      </c>
    </row>
    <row r="102">
      <c r="A102" s="12" t="n"/>
      <c r="B102" s="12" t="n"/>
      <c r="C102" s="12" t="n"/>
      <c r="D102" s="13" t="n"/>
      <c r="E102" s="12" t="n"/>
      <c r="F102" s="12" t="n"/>
      <c r="G102" s="12" t="n"/>
      <c r="H102" s="15">
        <f>IF($E102="","",IFERROR(MATCH($E102,Listas!$A$4:$A$15,0),""))</f>
        <v/>
      </c>
    </row>
    <row r="103">
      <c r="A103" s="12" t="n"/>
      <c r="B103" s="12" t="n"/>
      <c r="C103" s="12" t="n"/>
      <c r="D103" s="13" t="n"/>
      <c r="E103" s="12" t="n"/>
      <c r="F103" s="12" t="n"/>
      <c r="G103" s="12" t="n"/>
      <c r="H103" s="15">
        <f>IF($E103="","",IFERROR(MATCH($E103,Listas!$A$4:$A$15,0),""))</f>
        <v/>
      </c>
    </row>
    <row r="104">
      <c r="A104" s="12" t="n"/>
      <c r="B104" s="12" t="n"/>
      <c r="C104" s="12" t="n"/>
      <c r="D104" s="13" t="n"/>
      <c r="E104" s="12" t="n"/>
      <c r="F104" s="12" t="n"/>
      <c r="G104" s="12" t="n"/>
      <c r="H104" s="15">
        <f>IF($E104="","",IFERROR(MATCH($E104,Listas!$A$4:$A$15,0),""))</f>
        <v/>
      </c>
    </row>
    <row r="105">
      <c r="A105" s="12" t="n"/>
      <c r="B105" s="12" t="n"/>
      <c r="C105" s="12" t="n"/>
      <c r="D105" s="13" t="n"/>
      <c r="E105" s="12" t="n"/>
      <c r="F105" s="12" t="n"/>
      <c r="G105" s="12" t="n"/>
      <c r="H105" s="15">
        <f>IF($E105="","",IFERROR(MATCH($E105,Listas!$A$4:$A$15,0),""))</f>
        <v/>
      </c>
    </row>
    <row r="106">
      <c r="A106" s="12" t="n"/>
      <c r="B106" s="12" t="n"/>
      <c r="C106" s="12" t="n"/>
      <c r="D106" s="13" t="n"/>
      <c r="E106" s="12" t="n"/>
      <c r="F106" s="12" t="n"/>
      <c r="G106" s="12" t="n"/>
      <c r="H106" s="15">
        <f>IF($E106="","",IFERROR(MATCH($E106,Listas!$A$4:$A$15,0),""))</f>
        <v/>
      </c>
    </row>
    <row r="107">
      <c r="A107" s="12" t="n"/>
      <c r="B107" s="12" t="n"/>
      <c r="C107" s="12" t="n"/>
      <c r="D107" s="13" t="n"/>
      <c r="E107" s="12" t="n"/>
      <c r="F107" s="12" t="n"/>
      <c r="G107" s="12" t="n"/>
      <c r="H107" s="15">
        <f>IF($E107="","",IFERROR(MATCH($E107,Listas!$A$4:$A$15,0),""))</f>
        <v/>
      </c>
    </row>
    <row r="108">
      <c r="A108" s="12" t="n"/>
      <c r="B108" s="12" t="n"/>
      <c r="C108" s="12" t="n"/>
      <c r="D108" s="13" t="n"/>
      <c r="E108" s="12" t="n"/>
      <c r="F108" s="12" t="n"/>
      <c r="G108" s="12" t="n"/>
      <c r="H108" s="15">
        <f>IF($E108="","",IFERROR(MATCH($E108,Listas!$A$4:$A$15,0),""))</f>
        <v/>
      </c>
    </row>
    <row r="109">
      <c r="A109" s="12" t="n"/>
      <c r="B109" s="12" t="n"/>
      <c r="C109" s="12" t="n"/>
      <c r="D109" s="13" t="n"/>
      <c r="E109" s="12" t="n"/>
      <c r="F109" s="12" t="n"/>
      <c r="G109" s="12" t="n"/>
      <c r="H109" s="15">
        <f>IF($E109="","",IFERROR(MATCH($E109,Listas!$A$4:$A$15,0),""))</f>
        <v/>
      </c>
    </row>
    <row r="110">
      <c r="A110" s="12" t="n"/>
      <c r="B110" s="12" t="n"/>
      <c r="C110" s="12" t="n"/>
      <c r="D110" s="13" t="n"/>
      <c r="E110" s="12" t="n"/>
      <c r="F110" s="12" t="n"/>
      <c r="G110" s="12" t="n"/>
      <c r="H110" s="15">
        <f>IF($E110="","",IFERROR(MATCH($E110,Listas!$A$4:$A$15,0),""))</f>
        <v/>
      </c>
    </row>
    <row r="111">
      <c r="A111" s="12" t="n"/>
      <c r="B111" s="12" t="n"/>
      <c r="C111" s="12" t="n"/>
      <c r="D111" s="13" t="n"/>
      <c r="E111" s="12" t="n"/>
      <c r="F111" s="12" t="n"/>
      <c r="G111" s="12" t="n"/>
      <c r="H111" s="15">
        <f>IF($E111="","",IFERROR(MATCH($E111,Listas!$A$4:$A$15,0),""))</f>
        <v/>
      </c>
    </row>
    <row r="112">
      <c r="A112" s="12" t="n"/>
      <c r="B112" s="12" t="n"/>
      <c r="C112" s="12" t="n"/>
      <c r="D112" s="13" t="n"/>
      <c r="E112" s="12" t="n"/>
      <c r="F112" s="12" t="n"/>
      <c r="G112" s="12" t="n"/>
      <c r="H112" s="15">
        <f>IF($E112="","",IFERROR(MATCH($E112,Listas!$A$4:$A$15,0),""))</f>
        <v/>
      </c>
    </row>
    <row r="113">
      <c r="A113" s="12" t="n"/>
      <c r="B113" s="12" t="n"/>
      <c r="C113" s="12" t="n"/>
      <c r="D113" s="13" t="n"/>
      <c r="E113" s="12" t="n"/>
      <c r="F113" s="12" t="n"/>
      <c r="G113" s="12" t="n"/>
      <c r="H113" s="15">
        <f>IF($E113="","",IFERROR(MATCH($E113,Listas!$A$4:$A$15,0),""))</f>
        <v/>
      </c>
    </row>
    <row r="114">
      <c r="A114" s="12" t="n"/>
      <c r="B114" s="12" t="n"/>
      <c r="C114" s="12" t="n"/>
      <c r="D114" s="13" t="n"/>
      <c r="E114" s="12" t="n"/>
      <c r="F114" s="12" t="n"/>
      <c r="G114" s="12" t="n"/>
      <c r="H114" s="15">
        <f>IF($E114="","",IFERROR(MATCH($E114,Listas!$A$4:$A$15,0),""))</f>
        <v/>
      </c>
    </row>
    <row r="115">
      <c r="A115" s="12" t="n"/>
      <c r="B115" s="12" t="n"/>
      <c r="C115" s="12" t="n"/>
      <c r="D115" s="13" t="n"/>
      <c r="E115" s="12" t="n"/>
      <c r="F115" s="12" t="n"/>
      <c r="G115" s="12" t="n"/>
      <c r="H115" s="15">
        <f>IF($E115="","",IFERROR(MATCH($E115,Listas!$A$4:$A$15,0),""))</f>
        <v/>
      </c>
    </row>
    <row r="116">
      <c r="A116" s="12" t="n"/>
      <c r="B116" s="12" t="n"/>
      <c r="C116" s="12" t="n"/>
      <c r="D116" s="13" t="n"/>
      <c r="E116" s="12" t="n"/>
      <c r="F116" s="12" t="n"/>
      <c r="G116" s="12" t="n"/>
      <c r="H116" s="15">
        <f>IF($E116="","",IFERROR(MATCH($E116,Listas!$A$4:$A$15,0),""))</f>
        <v/>
      </c>
    </row>
    <row r="117">
      <c r="A117" s="12" t="n"/>
      <c r="B117" s="12" t="n"/>
      <c r="C117" s="12" t="n"/>
      <c r="D117" s="13" t="n"/>
      <c r="E117" s="12" t="n"/>
      <c r="F117" s="12" t="n"/>
      <c r="G117" s="12" t="n"/>
      <c r="H117" s="15">
        <f>IF($E117="","",IFERROR(MATCH($E117,Listas!$A$4:$A$15,0),""))</f>
        <v/>
      </c>
    </row>
    <row r="118">
      <c r="A118" s="12" t="n"/>
      <c r="B118" s="12" t="n"/>
      <c r="C118" s="12" t="n"/>
      <c r="D118" s="13" t="n"/>
      <c r="E118" s="12" t="n"/>
      <c r="F118" s="12" t="n"/>
      <c r="G118" s="12" t="n"/>
      <c r="H118" s="15">
        <f>IF($E118="","",IFERROR(MATCH($E118,Listas!$A$4:$A$15,0),""))</f>
        <v/>
      </c>
    </row>
    <row r="119">
      <c r="A119" s="12" t="n"/>
      <c r="B119" s="12" t="n"/>
      <c r="C119" s="12" t="n"/>
      <c r="D119" s="13" t="n"/>
      <c r="E119" s="12" t="n"/>
      <c r="F119" s="12" t="n"/>
      <c r="G119" s="12" t="n"/>
      <c r="H119" s="15">
        <f>IF($E119="","",IFERROR(MATCH($E119,Listas!$A$4:$A$15,0),""))</f>
        <v/>
      </c>
    </row>
    <row r="120">
      <c r="A120" s="12" t="n"/>
      <c r="B120" s="12" t="n"/>
      <c r="C120" s="12" t="n"/>
      <c r="D120" s="13" t="n"/>
      <c r="E120" s="12" t="n"/>
      <c r="F120" s="12" t="n"/>
      <c r="G120" s="12" t="n"/>
      <c r="H120" s="15">
        <f>IF($E120="","",IFERROR(MATCH($E120,Listas!$A$4:$A$15,0),""))</f>
        <v/>
      </c>
    </row>
    <row r="121">
      <c r="A121" s="12" t="n"/>
      <c r="B121" s="12" t="n"/>
      <c r="C121" s="12" t="n"/>
      <c r="D121" s="13" t="n"/>
      <c r="E121" s="12" t="n"/>
      <c r="F121" s="12" t="n"/>
      <c r="G121" s="12" t="n"/>
      <c r="H121" s="15">
        <f>IF($E121="","",IFERROR(MATCH($E121,Listas!$A$4:$A$15,0),""))</f>
        <v/>
      </c>
    </row>
    <row r="122">
      <c r="A122" s="12" t="n"/>
      <c r="B122" s="12" t="n"/>
      <c r="C122" s="12" t="n"/>
      <c r="D122" s="13" t="n"/>
      <c r="E122" s="12" t="n"/>
      <c r="F122" s="12" t="n"/>
      <c r="G122" s="12" t="n"/>
      <c r="H122" s="15">
        <f>IF($E122="","",IFERROR(MATCH($E122,Listas!$A$4:$A$15,0),""))</f>
        <v/>
      </c>
    </row>
    <row r="123">
      <c r="A123" s="12" t="n"/>
      <c r="B123" s="12" t="n"/>
      <c r="C123" s="12" t="n"/>
      <c r="D123" s="13" t="n"/>
      <c r="E123" s="12" t="n"/>
      <c r="F123" s="12" t="n"/>
      <c r="G123" s="12" t="n"/>
      <c r="H123" s="15">
        <f>IF($E123="","",IFERROR(MATCH($E123,Listas!$A$4:$A$15,0),""))</f>
        <v/>
      </c>
    </row>
    <row r="124">
      <c r="A124" s="12" t="n"/>
      <c r="B124" s="12" t="n"/>
      <c r="C124" s="12" t="n"/>
      <c r="D124" s="13" t="n"/>
      <c r="E124" s="12" t="n"/>
      <c r="F124" s="12" t="n"/>
      <c r="G124" s="12" t="n"/>
      <c r="H124" s="15">
        <f>IF($E124="","",IFERROR(MATCH($E124,Listas!$A$4:$A$15,0),""))</f>
        <v/>
      </c>
    </row>
    <row r="125">
      <c r="A125" s="12" t="n"/>
      <c r="B125" s="12" t="n"/>
      <c r="C125" s="12" t="n"/>
      <c r="D125" s="13" t="n"/>
      <c r="E125" s="12" t="n"/>
      <c r="F125" s="12" t="n"/>
      <c r="G125" s="12" t="n"/>
      <c r="H125" s="15">
        <f>IF($E125="","",IFERROR(MATCH($E125,Listas!$A$4:$A$15,0),""))</f>
        <v/>
      </c>
    </row>
    <row r="126">
      <c r="A126" s="12" t="n"/>
      <c r="B126" s="12" t="n"/>
      <c r="C126" s="12" t="n"/>
      <c r="D126" s="13" t="n"/>
      <c r="E126" s="12" t="n"/>
      <c r="F126" s="12" t="n"/>
      <c r="G126" s="12" t="n"/>
      <c r="H126" s="15">
        <f>IF($E126="","",IFERROR(MATCH($E126,Listas!$A$4:$A$15,0),""))</f>
        <v/>
      </c>
    </row>
    <row r="127">
      <c r="A127" s="12" t="n"/>
      <c r="B127" s="12" t="n"/>
      <c r="C127" s="12" t="n"/>
      <c r="D127" s="13" t="n"/>
      <c r="E127" s="12" t="n"/>
      <c r="F127" s="12" t="n"/>
      <c r="G127" s="12" t="n"/>
      <c r="H127" s="15">
        <f>IF($E127="","",IFERROR(MATCH($E127,Listas!$A$4:$A$15,0),""))</f>
        <v/>
      </c>
    </row>
    <row r="128">
      <c r="A128" s="12" t="n"/>
      <c r="B128" s="12" t="n"/>
      <c r="C128" s="12" t="n"/>
      <c r="D128" s="13" t="n"/>
      <c r="E128" s="12" t="n"/>
      <c r="F128" s="12" t="n"/>
      <c r="G128" s="12" t="n"/>
      <c r="H128" s="15">
        <f>IF($E128="","",IFERROR(MATCH($E128,Listas!$A$4:$A$15,0),""))</f>
        <v/>
      </c>
    </row>
    <row r="129">
      <c r="A129" s="12" t="n"/>
      <c r="B129" s="12" t="n"/>
      <c r="C129" s="12" t="n"/>
      <c r="D129" s="13" t="n"/>
      <c r="E129" s="12" t="n"/>
      <c r="F129" s="12" t="n"/>
      <c r="G129" s="12" t="n"/>
      <c r="H129" s="15">
        <f>IF($E129="","",IFERROR(MATCH($E129,Listas!$A$4:$A$15,0),""))</f>
        <v/>
      </c>
    </row>
    <row r="130">
      <c r="A130" s="12" t="n"/>
      <c r="B130" s="12" t="n"/>
      <c r="C130" s="12" t="n"/>
      <c r="D130" s="13" t="n"/>
      <c r="E130" s="12" t="n"/>
      <c r="F130" s="12" t="n"/>
      <c r="G130" s="12" t="n"/>
      <c r="H130" s="15">
        <f>IF($E130="","",IFERROR(MATCH($E130,Listas!$A$4:$A$15,0),""))</f>
        <v/>
      </c>
    </row>
    <row r="131">
      <c r="A131" s="12" t="n"/>
      <c r="B131" s="12" t="n"/>
      <c r="C131" s="12" t="n"/>
      <c r="D131" s="13" t="n"/>
      <c r="E131" s="12" t="n"/>
      <c r="F131" s="12" t="n"/>
      <c r="G131" s="12" t="n"/>
      <c r="H131" s="15">
        <f>IF($E131="","",IFERROR(MATCH($E131,Listas!$A$4:$A$15,0),""))</f>
        <v/>
      </c>
    </row>
    <row r="132">
      <c r="A132" s="12" t="n"/>
      <c r="B132" s="12" t="n"/>
      <c r="C132" s="12" t="n"/>
      <c r="D132" s="13" t="n"/>
      <c r="E132" s="12" t="n"/>
      <c r="F132" s="12" t="n"/>
      <c r="G132" s="12" t="n"/>
      <c r="H132" s="15">
        <f>IF($E132="","",IFERROR(MATCH($E132,Listas!$A$4:$A$15,0),""))</f>
        <v/>
      </c>
    </row>
    <row r="133">
      <c r="A133" s="12" t="n"/>
      <c r="B133" s="12" t="n"/>
      <c r="C133" s="12" t="n"/>
      <c r="D133" s="13" t="n"/>
      <c r="E133" s="12" t="n"/>
      <c r="F133" s="12" t="n"/>
      <c r="G133" s="12" t="n"/>
      <c r="H133" s="15">
        <f>IF($E133="","",IFERROR(MATCH($E133,Listas!$A$4:$A$15,0),""))</f>
        <v/>
      </c>
    </row>
    <row r="134">
      <c r="A134" s="12" t="n"/>
      <c r="B134" s="12" t="n"/>
      <c r="C134" s="12" t="n"/>
      <c r="D134" s="13" t="n"/>
      <c r="E134" s="12" t="n"/>
      <c r="F134" s="12" t="n"/>
      <c r="G134" s="12" t="n"/>
      <c r="H134" s="15">
        <f>IF($E134="","",IFERROR(MATCH($E134,Listas!$A$4:$A$15,0),""))</f>
        <v/>
      </c>
    </row>
    <row r="135">
      <c r="A135" s="12" t="n"/>
      <c r="B135" s="12" t="n"/>
      <c r="C135" s="12" t="n"/>
      <c r="D135" s="13" t="n"/>
      <c r="E135" s="12" t="n"/>
      <c r="F135" s="12" t="n"/>
      <c r="G135" s="12" t="n"/>
      <c r="H135" s="15">
        <f>IF($E135="","",IFERROR(MATCH($E135,Listas!$A$4:$A$15,0),""))</f>
        <v/>
      </c>
    </row>
    <row r="136">
      <c r="A136" s="12" t="n"/>
      <c r="B136" s="12" t="n"/>
      <c r="C136" s="12" t="n"/>
      <c r="D136" s="13" t="n"/>
      <c r="E136" s="12" t="n"/>
      <c r="F136" s="12" t="n"/>
      <c r="G136" s="12" t="n"/>
      <c r="H136" s="15">
        <f>IF($E136="","",IFERROR(MATCH($E136,Listas!$A$4:$A$15,0),""))</f>
        <v/>
      </c>
    </row>
    <row r="137">
      <c r="A137" s="12" t="n"/>
      <c r="B137" s="12" t="n"/>
      <c r="C137" s="12" t="n"/>
      <c r="D137" s="13" t="n"/>
      <c r="E137" s="12" t="n"/>
      <c r="F137" s="12" t="n"/>
      <c r="G137" s="12" t="n"/>
      <c r="H137" s="15">
        <f>IF($E137="","",IFERROR(MATCH($E137,Listas!$A$4:$A$15,0),""))</f>
        <v/>
      </c>
    </row>
    <row r="138">
      <c r="A138" s="12" t="n"/>
      <c r="B138" s="12" t="n"/>
      <c r="C138" s="12" t="n"/>
      <c r="D138" s="13" t="n"/>
      <c r="E138" s="12" t="n"/>
      <c r="F138" s="12" t="n"/>
      <c r="G138" s="12" t="n"/>
      <c r="H138" s="15">
        <f>IF($E138="","",IFERROR(MATCH($E138,Listas!$A$4:$A$15,0),""))</f>
        <v/>
      </c>
    </row>
    <row r="139">
      <c r="A139" s="12" t="n"/>
      <c r="B139" s="12" t="n"/>
      <c r="C139" s="12" t="n"/>
      <c r="D139" s="13" t="n"/>
      <c r="E139" s="12" t="n"/>
      <c r="F139" s="12" t="n"/>
      <c r="G139" s="12" t="n"/>
      <c r="H139" s="15">
        <f>IF($E139="","",IFERROR(MATCH($E139,Listas!$A$4:$A$15,0),""))</f>
        <v/>
      </c>
    </row>
    <row r="140">
      <c r="A140" s="12" t="n"/>
      <c r="B140" s="12" t="n"/>
      <c r="C140" s="12" t="n"/>
      <c r="D140" s="13" t="n"/>
      <c r="E140" s="12" t="n"/>
      <c r="F140" s="12" t="n"/>
      <c r="G140" s="12" t="n"/>
      <c r="H140" s="15">
        <f>IF($E140="","",IFERROR(MATCH($E140,Listas!$A$4:$A$15,0),""))</f>
        <v/>
      </c>
    </row>
    <row r="141">
      <c r="A141" s="12" t="n"/>
      <c r="B141" s="12" t="n"/>
      <c r="C141" s="12" t="n"/>
      <c r="D141" s="13" t="n"/>
      <c r="E141" s="12" t="n"/>
      <c r="F141" s="12" t="n"/>
      <c r="G141" s="12" t="n"/>
      <c r="H141" s="15">
        <f>IF($E141="","",IFERROR(MATCH($E141,Listas!$A$4:$A$15,0),""))</f>
        <v/>
      </c>
    </row>
    <row r="142">
      <c r="A142" s="12" t="n"/>
      <c r="B142" s="12" t="n"/>
      <c r="C142" s="12" t="n"/>
      <c r="D142" s="13" t="n"/>
      <c r="E142" s="12" t="n"/>
      <c r="F142" s="12" t="n"/>
      <c r="G142" s="12" t="n"/>
      <c r="H142" s="15">
        <f>IF($E142="","",IFERROR(MATCH($E142,Listas!$A$4:$A$15,0),""))</f>
        <v/>
      </c>
    </row>
    <row r="143">
      <c r="A143" s="12" t="n"/>
      <c r="B143" s="12" t="n"/>
      <c r="C143" s="12" t="n"/>
      <c r="D143" s="13" t="n"/>
      <c r="E143" s="12" t="n"/>
      <c r="F143" s="12" t="n"/>
      <c r="G143" s="12" t="n"/>
      <c r="H143" s="15">
        <f>IF($E143="","",IFERROR(MATCH($E143,Listas!$A$4:$A$15,0),""))</f>
        <v/>
      </c>
    </row>
    <row r="144">
      <c r="A144" s="12" t="n"/>
      <c r="B144" s="12" t="n"/>
      <c r="C144" s="12" t="n"/>
      <c r="D144" s="13" t="n"/>
      <c r="E144" s="12" t="n"/>
      <c r="F144" s="12" t="n"/>
      <c r="G144" s="12" t="n"/>
      <c r="H144" s="15">
        <f>IF($E144="","",IFERROR(MATCH($E144,Listas!$A$4:$A$15,0),""))</f>
        <v/>
      </c>
    </row>
    <row r="145">
      <c r="A145" s="12" t="n"/>
      <c r="B145" s="12" t="n"/>
      <c r="C145" s="12" t="n"/>
      <c r="D145" s="13" t="n"/>
      <c r="E145" s="12" t="n"/>
      <c r="F145" s="12" t="n"/>
      <c r="G145" s="12" t="n"/>
      <c r="H145" s="15">
        <f>IF($E145="","",IFERROR(MATCH($E145,Listas!$A$4:$A$15,0),""))</f>
        <v/>
      </c>
    </row>
    <row r="146">
      <c r="A146" s="12" t="n"/>
      <c r="B146" s="12" t="n"/>
      <c r="C146" s="12" t="n"/>
      <c r="D146" s="13" t="n"/>
      <c r="E146" s="12" t="n"/>
      <c r="F146" s="12" t="n"/>
      <c r="G146" s="12" t="n"/>
      <c r="H146" s="15">
        <f>IF($E146="","",IFERROR(MATCH($E146,Listas!$A$4:$A$15,0),""))</f>
        <v/>
      </c>
    </row>
    <row r="147">
      <c r="A147" s="12" t="n"/>
      <c r="B147" s="12" t="n"/>
      <c r="C147" s="12" t="n"/>
      <c r="D147" s="13" t="n"/>
      <c r="E147" s="12" t="n"/>
      <c r="F147" s="12" t="n"/>
      <c r="G147" s="12" t="n"/>
      <c r="H147" s="15">
        <f>IF($E147="","",IFERROR(MATCH($E147,Listas!$A$4:$A$15,0),""))</f>
        <v/>
      </c>
    </row>
    <row r="148">
      <c r="A148" s="12" t="n"/>
      <c r="B148" s="12" t="n"/>
      <c r="C148" s="12" t="n"/>
      <c r="D148" s="13" t="n"/>
      <c r="E148" s="12" t="n"/>
      <c r="F148" s="12" t="n"/>
      <c r="G148" s="12" t="n"/>
      <c r="H148" s="15">
        <f>IF($E148="","",IFERROR(MATCH($E148,Listas!$A$4:$A$15,0),""))</f>
        <v/>
      </c>
    </row>
    <row r="149">
      <c r="A149" s="12" t="n"/>
      <c r="B149" s="12" t="n"/>
      <c r="C149" s="12" t="n"/>
      <c r="D149" s="13" t="n"/>
      <c r="E149" s="12" t="n"/>
      <c r="F149" s="12" t="n"/>
      <c r="G149" s="12" t="n"/>
      <c r="H149" s="15">
        <f>IF($E149="","",IFERROR(MATCH($E149,Listas!$A$4:$A$15,0),""))</f>
        <v/>
      </c>
    </row>
    <row r="150">
      <c r="A150" s="12" t="n"/>
      <c r="B150" s="12" t="n"/>
      <c r="C150" s="12" t="n"/>
      <c r="D150" s="13" t="n"/>
      <c r="E150" s="12" t="n"/>
      <c r="F150" s="12" t="n"/>
      <c r="G150" s="12" t="n"/>
      <c r="H150" s="15">
        <f>IF($E150="","",IFERROR(MATCH($E150,Listas!$A$4:$A$15,0),""))</f>
        <v/>
      </c>
    </row>
    <row r="151">
      <c r="A151" s="12" t="n"/>
      <c r="B151" s="12" t="n"/>
      <c r="C151" s="12" t="n"/>
      <c r="D151" s="13" t="n"/>
      <c r="E151" s="12" t="n"/>
      <c r="F151" s="12" t="n"/>
      <c r="G151" s="12" t="n"/>
      <c r="H151" s="15">
        <f>IF($E151="","",IFERROR(MATCH($E151,Listas!$A$4:$A$15,0),""))</f>
        <v/>
      </c>
    </row>
    <row r="152">
      <c r="A152" s="12" t="n"/>
      <c r="B152" s="12" t="n"/>
      <c r="C152" s="12" t="n"/>
      <c r="D152" s="13" t="n"/>
      <c r="E152" s="12" t="n"/>
      <c r="F152" s="12" t="n"/>
      <c r="G152" s="12" t="n"/>
      <c r="H152" s="15">
        <f>IF($E152="","",IFERROR(MATCH($E152,Listas!$A$4:$A$15,0),""))</f>
        <v/>
      </c>
    </row>
    <row r="153">
      <c r="A153" s="12" t="n"/>
      <c r="B153" s="12" t="n"/>
      <c r="C153" s="12" t="n"/>
      <c r="D153" s="13" t="n"/>
      <c r="E153" s="12" t="n"/>
      <c r="F153" s="12" t="n"/>
      <c r="G153" s="12" t="n"/>
      <c r="H153" s="15">
        <f>IF($E153="","",IFERROR(MATCH($E153,Listas!$A$4:$A$15,0),""))</f>
        <v/>
      </c>
    </row>
    <row r="154">
      <c r="A154" s="12" t="n"/>
      <c r="B154" s="12" t="n"/>
      <c r="C154" s="12" t="n"/>
      <c r="D154" s="13" t="n"/>
      <c r="E154" s="12" t="n"/>
      <c r="F154" s="12" t="n"/>
      <c r="G154" s="12" t="n"/>
      <c r="H154" s="15">
        <f>IF($E154="","",IFERROR(MATCH($E154,Listas!$A$4:$A$15,0),""))</f>
        <v/>
      </c>
    </row>
    <row r="155">
      <c r="A155" s="12" t="n"/>
      <c r="B155" s="12" t="n"/>
      <c r="C155" s="12" t="n"/>
      <c r="D155" s="13" t="n"/>
      <c r="E155" s="12" t="n"/>
      <c r="F155" s="12" t="n"/>
      <c r="G155" s="12" t="n"/>
      <c r="H155" s="15">
        <f>IF($E155="","",IFERROR(MATCH($E155,Listas!$A$4:$A$15,0),""))</f>
        <v/>
      </c>
    </row>
    <row r="156">
      <c r="A156" s="12" t="n"/>
      <c r="B156" s="12" t="n"/>
      <c r="C156" s="12" t="n"/>
      <c r="D156" s="13" t="n"/>
      <c r="E156" s="12" t="n"/>
      <c r="F156" s="12" t="n"/>
      <c r="G156" s="12" t="n"/>
      <c r="H156" s="15">
        <f>IF($E156="","",IFERROR(MATCH($E156,Listas!$A$4:$A$15,0),""))</f>
        <v/>
      </c>
    </row>
    <row r="157">
      <c r="A157" s="12" t="n"/>
      <c r="B157" s="12" t="n"/>
      <c r="C157" s="12" t="n"/>
      <c r="D157" s="13" t="n"/>
      <c r="E157" s="12" t="n"/>
      <c r="F157" s="12" t="n"/>
      <c r="G157" s="12" t="n"/>
      <c r="H157" s="15">
        <f>IF($E157="","",IFERROR(MATCH($E157,Listas!$A$4:$A$15,0),""))</f>
        <v/>
      </c>
    </row>
    <row r="158">
      <c r="A158" s="12" t="n"/>
      <c r="B158" s="12" t="n"/>
      <c r="C158" s="12" t="n"/>
      <c r="D158" s="13" t="n"/>
      <c r="E158" s="12" t="n"/>
      <c r="F158" s="12" t="n"/>
      <c r="G158" s="12" t="n"/>
      <c r="H158" s="15">
        <f>IF($E158="","",IFERROR(MATCH($E158,Listas!$A$4:$A$15,0),""))</f>
        <v/>
      </c>
    </row>
    <row r="159">
      <c r="A159" s="12" t="n"/>
      <c r="B159" s="12" t="n"/>
      <c r="C159" s="12" t="n"/>
      <c r="D159" s="13" t="n"/>
      <c r="E159" s="12" t="n"/>
      <c r="F159" s="12" t="n"/>
      <c r="G159" s="12" t="n"/>
      <c r="H159" s="15">
        <f>IF($E159="","",IFERROR(MATCH($E159,Listas!$A$4:$A$15,0),""))</f>
        <v/>
      </c>
    </row>
    <row r="160">
      <c r="A160" s="12" t="n"/>
      <c r="B160" s="12" t="n"/>
      <c r="C160" s="12" t="n"/>
      <c r="D160" s="13" t="n"/>
      <c r="E160" s="12" t="n"/>
      <c r="F160" s="12" t="n"/>
      <c r="G160" s="12" t="n"/>
      <c r="H160" s="15">
        <f>IF($E160="","",IFERROR(MATCH($E160,Listas!$A$4:$A$15,0),""))</f>
        <v/>
      </c>
    </row>
    <row r="161">
      <c r="A161" s="12" t="n"/>
      <c r="B161" s="12" t="n"/>
      <c r="C161" s="12" t="n"/>
      <c r="D161" s="13" t="n"/>
      <c r="E161" s="12" t="n"/>
      <c r="F161" s="12" t="n"/>
      <c r="G161" s="12" t="n"/>
      <c r="H161" s="15">
        <f>IF($E161="","",IFERROR(MATCH($E161,Listas!$A$4:$A$15,0),""))</f>
        <v/>
      </c>
    </row>
    <row r="162">
      <c r="A162" s="12" t="n"/>
      <c r="B162" s="12" t="n"/>
      <c r="C162" s="12" t="n"/>
      <c r="D162" s="13" t="n"/>
      <c r="E162" s="12" t="n"/>
      <c r="F162" s="12" t="n"/>
      <c r="G162" s="12" t="n"/>
      <c r="H162" s="15">
        <f>IF($E162="","",IFERROR(MATCH($E162,Listas!$A$4:$A$15,0),""))</f>
        <v/>
      </c>
    </row>
    <row r="163">
      <c r="A163" s="12" t="n"/>
      <c r="B163" s="12" t="n"/>
      <c r="C163" s="12" t="n"/>
      <c r="D163" s="13" t="n"/>
      <c r="E163" s="12" t="n"/>
      <c r="F163" s="12" t="n"/>
      <c r="G163" s="12" t="n"/>
      <c r="H163" s="15">
        <f>IF($E163="","",IFERROR(MATCH($E163,Listas!$A$4:$A$15,0),""))</f>
        <v/>
      </c>
    </row>
    <row r="164">
      <c r="A164" s="12" t="n"/>
      <c r="B164" s="12" t="n"/>
      <c r="C164" s="12" t="n"/>
      <c r="D164" s="13" t="n"/>
      <c r="E164" s="12" t="n"/>
      <c r="F164" s="12" t="n"/>
      <c r="G164" s="12" t="n"/>
      <c r="H164" s="15">
        <f>IF($E164="","",IFERROR(MATCH($E164,Listas!$A$4:$A$15,0),""))</f>
        <v/>
      </c>
    </row>
    <row r="165">
      <c r="A165" s="12" t="n"/>
      <c r="B165" s="12" t="n"/>
      <c r="C165" s="12" t="n"/>
      <c r="D165" s="13" t="n"/>
      <c r="E165" s="12" t="n"/>
      <c r="F165" s="12" t="n"/>
      <c r="G165" s="12" t="n"/>
      <c r="H165" s="15">
        <f>IF($E165="","",IFERROR(MATCH($E165,Listas!$A$4:$A$15,0),""))</f>
        <v/>
      </c>
    </row>
    <row r="166">
      <c r="A166" s="12" t="n"/>
      <c r="B166" s="12" t="n"/>
      <c r="C166" s="12" t="n"/>
      <c r="D166" s="13" t="n"/>
      <c r="E166" s="12" t="n"/>
      <c r="F166" s="12" t="n"/>
      <c r="G166" s="12" t="n"/>
      <c r="H166" s="15">
        <f>IF($E166="","",IFERROR(MATCH($E166,Listas!$A$4:$A$15,0),""))</f>
        <v/>
      </c>
    </row>
    <row r="167">
      <c r="A167" s="12" t="n"/>
      <c r="B167" s="12" t="n"/>
      <c r="C167" s="12" t="n"/>
      <c r="D167" s="13" t="n"/>
      <c r="E167" s="12" t="n"/>
      <c r="F167" s="12" t="n"/>
      <c r="G167" s="12" t="n"/>
      <c r="H167" s="15">
        <f>IF($E167="","",IFERROR(MATCH($E167,Listas!$A$4:$A$15,0),""))</f>
        <v/>
      </c>
    </row>
    <row r="168">
      <c r="A168" s="12" t="n"/>
      <c r="B168" s="12" t="n"/>
      <c r="C168" s="12" t="n"/>
      <c r="D168" s="13" t="n"/>
      <c r="E168" s="12" t="n"/>
      <c r="F168" s="12" t="n"/>
      <c r="G168" s="12" t="n"/>
      <c r="H168" s="15">
        <f>IF($E168="","",IFERROR(MATCH($E168,Listas!$A$4:$A$15,0),""))</f>
        <v/>
      </c>
    </row>
    <row r="169">
      <c r="A169" s="12" t="n"/>
      <c r="B169" s="12" t="n"/>
      <c r="C169" s="12" t="n"/>
      <c r="D169" s="13" t="n"/>
      <c r="E169" s="12" t="n"/>
      <c r="F169" s="12" t="n"/>
      <c r="G169" s="12" t="n"/>
      <c r="H169" s="15">
        <f>IF($E169="","",IFERROR(MATCH($E169,Listas!$A$4:$A$15,0),""))</f>
        <v/>
      </c>
    </row>
    <row r="170">
      <c r="A170" s="12" t="n"/>
      <c r="B170" s="12" t="n"/>
      <c r="C170" s="12" t="n"/>
      <c r="D170" s="13" t="n"/>
      <c r="E170" s="12" t="n"/>
      <c r="F170" s="12" t="n"/>
      <c r="G170" s="12" t="n"/>
      <c r="H170" s="15">
        <f>IF($E170="","",IFERROR(MATCH($E170,Listas!$A$4:$A$15,0),""))</f>
        <v/>
      </c>
    </row>
    <row r="171">
      <c r="A171" s="12" t="n"/>
      <c r="B171" s="12" t="n"/>
      <c r="C171" s="12" t="n"/>
      <c r="D171" s="13" t="n"/>
      <c r="E171" s="12" t="n"/>
      <c r="F171" s="12" t="n"/>
      <c r="G171" s="12" t="n"/>
      <c r="H171" s="15">
        <f>IF($E171="","",IFERROR(MATCH($E171,Listas!$A$4:$A$15,0),""))</f>
        <v/>
      </c>
    </row>
    <row r="172">
      <c r="A172" s="12" t="n"/>
      <c r="B172" s="12" t="n"/>
      <c r="C172" s="12" t="n"/>
      <c r="D172" s="13" t="n"/>
      <c r="E172" s="12" t="n"/>
      <c r="F172" s="12" t="n"/>
      <c r="G172" s="12" t="n"/>
      <c r="H172" s="15">
        <f>IF($E172="","",IFERROR(MATCH($E172,Listas!$A$4:$A$15,0),""))</f>
        <v/>
      </c>
    </row>
    <row r="173">
      <c r="A173" s="12" t="n"/>
      <c r="B173" s="12" t="n"/>
      <c r="C173" s="12" t="n"/>
      <c r="D173" s="13" t="n"/>
      <c r="E173" s="12" t="n"/>
      <c r="F173" s="12" t="n"/>
      <c r="G173" s="12" t="n"/>
      <c r="H173" s="15">
        <f>IF($E173="","",IFERROR(MATCH($E173,Listas!$A$4:$A$15,0),""))</f>
        <v/>
      </c>
    </row>
    <row r="174">
      <c r="A174" s="12" t="n"/>
      <c r="B174" s="12" t="n"/>
      <c r="C174" s="12" t="n"/>
      <c r="D174" s="13" t="n"/>
      <c r="E174" s="12" t="n"/>
      <c r="F174" s="12" t="n"/>
      <c r="G174" s="12" t="n"/>
      <c r="H174" s="15">
        <f>IF($E174="","",IFERROR(MATCH($E174,Listas!$A$4:$A$15,0),""))</f>
        <v/>
      </c>
    </row>
    <row r="175">
      <c r="A175" s="12" t="n"/>
      <c r="B175" s="12" t="n"/>
      <c r="C175" s="12" t="n"/>
      <c r="D175" s="13" t="n"/>
      <c r="E175" s="12" t="n"/>
      <c r="F175" s="12" t="n"/>
      <c r="G175" s="12" t="n"/>
      <c r="H175" s="15">
        <f>IF($E175="","",IFERROR(MATCH($E175,Listas!$A$4:$A$15,0),""))</f>
        <v/>
      </c>
    </row>
    <row r="176">
      <c r="A176" s="12" t="n"/>
      <c r="B176" s="12" t="n"/>
      <c r="C176" s="12" t="n"/>
      <c r="D176" s="13" t="n"/>
      <c r="E176" s="12" t="n"/>
      <c r="F176" s="12" t="n"/>
      <c r="G176" s="12" t="n"/>
      <c r="H176" s="15">
        <f>IF($E176="","",IFERROR(MATCH($E176,Listas!$A$4:$A$15,0),""))</f>
        <v/>
      </c>
    </row>
    <row r="177">
      <c r="A177" s="12" t="n"/>
      <c r="B177" s="12" t="n"/>
      <c r="C177" s="12" t="n"/>
      <c r="D177" s="13" t="n"/>
      <c r="E177" s="12" t="n"/>
      <c r="F177" s="12" t="n"/>
      <c r="G177" s="12" t="n"/>
      <c r="H177" s="15">
        <f>IF($E177="","",IFERROR(MATCH($E177,Listas!$A$4:$A$15,0),""))</f>
        <v/>
      </c>
    </row>
    <row r="178">
      <c r="A178" s="12" t="n"/>
      <c r="B178" s="12" t="n"/>
      <c r="C178" s="12" t="n"/>
      <c r="D178" s="13" t="n"/>
      <c r="E178" s="12" t="n"/>
      <c r="F178" s="12" t="n"/>
      <c r="G178" s="12" t="n"/>
      <c r="H178" s="15">
        <f>IF($E178="","",IFERROR(MATCH($E178,Listas!$A$4:$A$15,0),""))</f>
        <v/>
      </c>
    </row>
    <row r="179">
      <c r="A179" s="12" t="n"/>
      <c r="B179" s="12" t="n"/>
      <c r="C179" s="12" t="n"/>
      <c r="D179" s="13" t="n"/>
      <c r="E179" s="12" t="n"/>
      <c r="F179" s="12" t="n"/>
      <c r="G179" s="12" t="n"/>
      <c r="H179" s="15">
        <f>IF($E179="","",IFERROR(MATCH($E179,Listas!$A$4:$A$15,0),""))</f>
        <v/>
      </c>
    </row>
    <row r="180">
      <c r="A180" s="12" t="n"/>
      <c r="B180" s="12" t="n"/>
      <c r="C180" s="12" t="n"/>
      <c r="D180" s="13" t="n"/>
      <c r="E180" s="12" t="n"/>
      <c r="F180" s="12" t="n"/>
      <c r="G180" s="12" t="n"/>
      <c r="H180" s="15">
        <f>IF($E180="","",IFERROR(MATCH($E180,Listas!$A$4:$A$15,0),""))</f>
        <v/>
      </c>
    </row>
    <row r="181">
      <c r="A181" s="12" t="n"/>
      <c r="B181" s="12" t="n"/>
      <c r="C181" s="12" t="n"/>
      <c r="D181" s="13" t="n"/>
      <c r="E181" s="12" t="n"/>
      <c r="F181" s="12" t="n"/>
      <c r="G181" s="12" t="n"/>
      <c r="H181" s="15">
        <f>IF($E181="","",IFERROR(MATCH($E181,Listas!$A$4:$A$15,0),""))</f>
        <v/>
      </c>
    </row>
    <row r="182">
      <c r="A182" s="12" t="n"/>
      <c r="B182" s="12" t="n"/>
      <c r="C182" s="12" t="n"/>
      <c r="D182" s="13" t="n"/>
      <c r="E182" s="12" t="n"/>
      <c r="F182" s="12" t="n"/>
      <c r="G182" s="12" t="n"/>
      <c r="H182" s="15">
        <f>IF($E182="","",IFERROR(MATCH($E182,Listas!$A$4:$A$15,0),""))</f>
        <v/>
      </c>
    </row>
    <row r="183">
      <c r="A183" s="12" t="n"/>
      <c r="B183" s="12" t="n"/>
      <c r="C183" s="12" t="n"/>
      <c r="D183" s="13" t="n"/>
      <c r="E183" s="12" t="n"/>
      <c r="F183" s="12" t="n"/>
      <c r="G183" s="12" t="n"/>
      <c r="H183" s="15">
        <f>IF($E183="","",IFERROR(MATCH($E183,Listas!$A$4:$A$15,0),""))</f>
        <v/>
      </c>
    </row>
    <row r="184">
      <c r="A184" s="12" t="n"/>
      <c r="B184" s="12" t="n"/>
      <c r="C184" s="12" t="n"/>
      <c r="D184" s="13" t="n"/>
      <c r="E184" s="12" t="n"/>
      <c r="F184" s="12" t="n"/>
      <c r="G184" s="12" t="n"/>
      <c r="H184" s="15">
        <f>IF($E184="","",IFERROR(MATCH($E184,Listas!$A$4:$A$15,0),""))</f>
        <v/>
      </c>
    </row>
    <row r="185">
      <c r="A185" s="12" t="n"/>
      <c r="B185" s="12" t="n"/>
      <c r="C185" s="12" t="n"/>
      <c r="D185" s="13" t="n"/>
      <c r="E185" s="12" t="n"/>
      <c r="F185" s="12" t="n"/>
      <c r="G185" s="12" t="n"/>
      <c r="H185" s="15">
        <f>IF($E185="","",IFERROR(MATCH($E185,Listas!$A$4:$A$15,0),""))</f>
        <v/>
      </c>
    </row>
    <row r="186">
      <c r="A186" s="12" t="n"/>
      <c r="B186" s="12" t="n"/>
      <c r="C186" s="12" t="n"/>
      <c r="D186" s="13" t="n"/>
      <c r="E186" s="12" t="n"/>
      <c r="F186" s="12" t="n"/>
      <c r="G186" s="12" t="n"/>
      <c r="H186" s="15">
        <f>IF($E186="","",IFERROR(MATCH($E186,Listas!$A$4:$A$15,0),""))</f>
        <v/>
      </c>
    </row>
    <row r="187">
      <c r="A187" s="12" t="n"/>
      <c r="B187" s="12" t="n"/>
      <c r="C187" s="12" t="n"/>
      <c r="D187" s="13" t="n"/>
      <c r="E187" s="12" t="n"/>
      <c r="F187" s="12" t="n"/>
      <c r="G187" s="12" t="n"/>
      <c r="H187" s="15">
        <f>IF($E187="","",IFERROR(MATCH($E187,Listas!$A$4:$A$15,0),""))</f>
        <v/>
      </c>
    </row>
    <row r="188">
      <c r="A188" s="12" t="n"/>
      <c r="B188" s="12" t="n"/>
      <c r="C188" s="12" t="n"/>
      <c r="D188" s="13" t="n"/>
      <c r="E188" s="12" t="n"/>
      <c r="F188" s="12" t="n"/>
      <c r="G188" s="12" t="n"/>
      <c r="H188" s="15">
        <f>IF($E188="","",IFERROR(MATCH($E188,Listas!$A$4:$A$15,0),""))</f>
        <v/>
      </c>
    </row>
    <row r="189">
      <c r="A189" s="12" t="n"/>
      <c r="B189" s="12" t="n"/>
      <c r="C189" s="12" t="n"/>
      <c r="D189" s="13" t="n"/>
      <c r="E189" s="12" t="n"/>
      <c r="F189" s="12" t="n"/>
      <c r="G189" s="12" t="n"/>
      <c r="H189" s="15">
        <f>IF($E189="","",IFERROR(MATCH($E189,Listas!$A$4:$A$15,0),""))</f>
        <v/>
      </c>
    </row>
    <row r="190">
      <c r="A190" s="12" t="n"/>
      <c r="B190" s="12" t="n"/>
      <c r="C190" s="12" t="n"/>
      <c r="D190" s="13" t="n"/>
      <c r="E190" s="12" t="n"/>
      <c r="F190" s="12" t="n"/>
      <c r="G190" s="12" t="n"/>
      <c r="H190" s="15">
        <f>IF($E190="","",IFERROR(MATCH($E190,Listas!$A$4:$A$15,0),""))</f>
        <v/>
      </c>
    </row>
    <row r="191">
      <c r="A191" s="12" t="n"/>
      <c r="B191" s="12" t="n"/>
      <c r="C191" s="12" t="n"/>
      <c r="D191" s="13" t="n"/>
      <c r="E191" s="12" t="n"/>
      <c r="F191" s="12" t="n"/>
      <c r="G191" s="12" t="n"/>
      <c r="H191" s="15">
        <f>IF($E191="","",IFERROR(MATCH($E191,Listas!$A$4:$A$15,0),""))</f>
        <v/>
      </c>
    </row>
    <row r="192">
      <c r="A192" s="12" t="n"/>
      <c r="B192" s="12" t="n"/>
      <c r="C192" s="12" t="n"/>
      <c r="D192" s="13" t="n"/>
      <c r="E192" s="12" t="n"/>
      <c r="F192" s="12" t="n"/>
      <c r="G192" s="12" t="n"/>
      <c r="H192" s="15">
        <f>IF($E192="","",IFERROR(MATCH($E192,Listas!$A$4:$A$15,0),""))</f>
        <v/>
      </c>
    </row>
    <row r="193">
      <c r="A193" s="12" t="n"/>
      <c r="B193" s="12" t="n"/>
      <c r="C193" s="12" t="n"/>
      <c r="D193" s="13" t="n"/>
      <c r="E193" s="12" t="n"/>
      <c r="F193" s="12" t="n"/>
      <c r="G193" s="12" t="n"/>
      <c r="H193" s="15">
        <f>IF($E193="","",IFERROR(MATCH($E193,Listas!$A$4:$A$15,0),""))</f>
        <v/>
      </c>
    </row>
    <row r="194">
      <c r="A194" s="12" t="n"/>
      <c r="B194" s="12" t="n"/>
      <c r="C194" s="12" t="n"/>
      <c r="D194" s="13" t="n"/>
      <c r="E194" s="12" t="n"/>
      <c r="F194" s="12" t="n"/>
      <c r="G194" s="12" t="n"/>
      <c r="H194" s="15">
        <f>IF($E194="","",IFERROR(MATCH($E194,Listas!$A$4:$A$15,0),""))</f>
        <v/>
      </c>
    </row>
    <row r="195">
      <c r="A195" s="12" t="n"/>
      <c r="B195" s="12" t="n"/>
      <c r="C195" s="12" t="n"/>
      <c r="D195" s="13" t="n"/>
      <c r="E195" s="12" t="n"/>
      <c r="F195" s="12" t="n"/>
      <c r="G195" s="12" t="n"/>
      <c r="H195" s="15">
        <f>IF($E195="","",IFERROR(MATCH($E195,Listas!$A$4:$A$15,0),""))</f>
        <v/>
      </c>
    </row>
    <row r="196">
      <c r="A196" s="12" t="n"/>
      <c r="B196" s="12" t="n"/>
      <c r="C196" s="12" t="n"/>
      <c r="D196" s="13" t="n"/>
      <c r="E196" s="12" t="n"/>
      <c r="F196" s="12" t="n"/>
      <c r="G196" s="12" t="n"/>
      <c r="H196" s="15">
        <f>IF($E196="","",IFERROR(MATCH($E196,Listas!$A$4:$A$15,0),""))</f>
        <v/>
      </c>
    </row>
    <row r="197">
      <c r="A197" s="12" t="n"/>
      <c r="B197" s="12" t="n"/>
      <c r="C197" s="12" t="n"/>
      <c r="D197" s="13" t="n"/>
      <c r="E197" s="12" t="n"/>
      <c r="F197" s="12" t="n"/>
      <c r="G197" s="12" t="n"/>
      <c r="H197" s="15">
        <f>IF($E197="","",IFERROR(MATCH($E197,Listas!$A$4:$A$15,0),""))</f>
        <v/>
      </c>
    </row>
    <row r="198">
      <c r="A198" s="12" t="n"/>
      <c r="B198" s="12" t="n"/>
      <c r="C198" s="12" t="n"/>
      <c r="D198" s="13" t="n"/>
      <c r="E198" s="12" t="n"/>
      <c r="F198" s="12" t="n"/>
      <c r="G198" s="12" t="n"/>
      <c r="H198" s="15">
        <f>IF($E198="","",IFERROR(MATCH($E198,Listas!$A$4:$A$15,0),""))</f>
        <v/>
      </c>
    </row>
    <row r="199">
      <c r="A199" s="12" t="n"/>
      <c r="B199" s="12" t="n"/>
      <c r="C199" s="12" t="n"/>
      <c r="D199" s="13" t="n"/>
      <c r="E199" s="12" t="n"/>
      <c r="F199" s="12" t="n"/>
      <c r="G199" s="12" t="n"/>
      <c r="H199" s="15">
        <f>IF($E199="","",IFERROR(MATCH($E199,Listas!$A$4:$A$15,0),""))</f>
        <v/>
      </c>
    </row>
    <row r="200">
      <c r="A200" s="12" t="n"/>
      <c r="B200" s="12" t="n"/>
      <c r="C200" s="12" t="n"/>
      <c r="D200" s="13" t="n"/>
      <c r="E200" s="12" t="n"/>
      <c r="F200" s="12" t="n"/>
      <c r="G200" s="12" t="n"/>
      <c r="H200" s="15">
        <f>IF($E200="","",IFERROR(MATCH($E200,Listas!$A$4:$A$15,0),""))</f>
        <v/>
      </c>
    </row>
    <row r="201">
      <c r="A201" s="12" t="n"/>
      <c r="B201" s="12" t="n"/>
      <c r="C201" s="12" t="n"/>
      <c r="D201" s="13" t="n"/>
      <c r="E201" s="12" t="n"/>
      <c r="F201" s="12" t="n"/>
      <c r="G201" s="12" t="n"/>
      <c r="H201" s="15">
        <f>IF($E201="","",IFERROR(MATCH($E201,Listas!$A$4:$A$15,0),""))</f>
        <v/>
      </c>
    </row>
    <row r="202">
      <c r="A202" s="12" t="n"/>
      <c r="B202" s="12" t="n"/>
      <c r="C202" s="12" t="n"/>
      <c r="D202" s="13" t="n"/>
      <c r="E202" s="12" t="n"/>
      <c r="F202" s="12" t="n"/>
      <c r="G202" s="12" t="n"/>
      <c r="H202" s="15">
        <f>IF($E202="","",IFERROR(MATCH($E202,Listas!$A$4:$A$15,0),""))</f>
        <v/>
      </c>
    </row>
    <row r="203">
      <c r="A203" s="12" t="n"/>
      <c r="B203" s="12" t="n"/>
      <c r="C203" s="12" t="n"/>
      <c r="D203" s="13" t="n"/>
      <c r="E203" s="12" t="n"/>
      <c r="F203" s="12" t="n"/>
      <c r="G203" s="12" t="n"/>
      <c r="H203" s="15">
        <f>IF($E203="","",IFERROR(MATCH($E203,Listas!$A$4:$A$15,0),""))</f>
        <v/>
      </c>
    </row>
    <row r="204">
      <c r="A204" s="12" t="n"/>
      <c r="B204" s="12" t="n"/>
      <c r="C204" s="12" t="n"/>
      <c r="D204" s="13" t="n"/>
      <c r="E204" s="12" t="n"/>
      <c r="F204" s="12" t="n"/>
      <c r="G204" s="12" t="n"/>
      <c r="H204" s="15">
        <f>IF($E204="","",IFERROR(MATCH($E204,Listas!$A$4:$A$15,0),""))</f>
        <v/>
      </c>
    </row>
    <row r="205">
      <c r="A205" s="12" t="n"/>
      <c r="B205" s="12" t="n"/>
      <c r="C205" s="12" t="n"/>
      <c r="D205" s="13" t="n"/>
      <c r="E205" s="12" t="n"/>
      <c r="F205" s="12" t="n"/>
      <c r="G205" s="12" t="n"/>
      <c r="H205" s="15">
        <f>IF($E205="","",IFERROR(MATCH($E205,Listas!$A$4:$A$15,0),""))</f>
        <v/>
      </c>
    </row>
    <row r="206">
      <c r="A206" s="12" t="n"/>
      <c r="B206" s="12" t="n"/>
      <c r="C206" s="12" t="n"/>
      <c r="D206" s="13" t="n"/>
      <c r="E206" s="12" t="n"/>
      <c r="F206" s="12" t="n"/>
      <c r="G206" s="12" t="n"/>
      <c r="H206" s="15">
        <f>IF($E206="","",IFERROR(MATCH($E206,Listas!$A$4:$A$15,0),""))</f>
        <v/>
      </c>
    </row>
    <row r="207">
      <c r="A207" s="12" t="n"/>
      <c r="B207" s="12" t="n"/>
      <c r="C207" s="12" t="n"/>
      <c r="D207" s="13" t="n"/>
      <c r="E207" s="12" t="n"/>
      <c r="F207" s="12" t="n"/>
      <c r="G207" s="12" t="n"/>
      <c r="H207" s="15">
        <f>IF($E207="","",IFERROR(MATCH($E207,Listas!$A$4:$A$15,0),""))</f>
        <v/>
      </c>
    </row>
    <row r="208">
      <c r="A208" s="12" t="n"/>
      <c r="B208" s="12" t="n"/>
      <c r="C208" s="12" t="n"/>
      <c r="D208" s="13" t="n"/>
      <c r="E208" s="12" t="n"/>
      <c r="F208" s="12" t="n"/>
      <c r="G208" s="12" t="n"/>
      <c r="H208" s="15">
        <f>IF($E208="","",IFERROR(MATCH($E208,Listas!$A$4:$A$15,0),""))</f>
        <v/>
      </c>
    </row>
    <row r="209">
      <c r="A209" s="12" t="n"/>
      <c r="B209" s="12" t="n"/>
      <c r="C209" s="12" t="n"/>
      <c r="D209" s="13" t="n"/>
      <c r="E209" s="12" t="n"/>
      <c r="F209" s="12" t="n"/>
      <c r="G209" s="12" t="n"/>
      <c r="H209" s="15">
        <f>IF($E209="","",IFERROR(MATCH($E209,Listas!$A$4:$A$15,0),""))</f>
        <v/>
      </c>
    </row>
    <row r="210">
      <c r="A210" s="12" t="n"/>
      <c r="B210" s="12" t="n"/>
      <c r="C210" s="12" t="n"/>
      <c r="D210" s="13" t="n"/>
      <c r="E210" s="12" t="n"/>
      <c r="F210" s="12" t="n"/>
      <c r="G210" s="12" t="n"/>
      <c r="H210" s="15">
        <f>IF($E210="","",IFERROR(MATCH($E210,Listas!$A$4:$A$15,0),""))</f>
        <v/>
      </c>
    </row>
    <row r="211">
      <c r="A211" s="12" t="n"/>
      <c r="B211" s="12" t="n"/>
      <c r="C211" s="12" t="n"/>
      <c r="D211" s="13" t="n"/>
      <c r="E211" s="12" t="n"/>
      <c r="F211" s="12" t="n"/>
      <c r="G211" s="12" t="n"/>
      <c r="H211" s="15">
        <f>IF($E211="","",IFERROR(MATCH($E211,Listas!$A$4:$A$15,0),""))</f>
        <v/>
      </c>
    </row>
    <row r="212">
      <c r="A212" s="12" t="n"/>
      <c r="B212" s="12" t="n"/>
      <c r="C212" s="12" t="n"/>
      <c r="D212" s="13" t="n"/>
      <c r="E212" s="12" t="n"/>
      <c r="F212" s="12" t="n"/>
      <c r="G212" s="12" t="n"/>
      <c r="H212" s="15">
        <f>IF($E212="","",IFERROR(MATCH($E212,Listas!$A$4:$A$15,0),""))</f>
        <v/>
      </c>
    </row>
    <row r="213">
      <c r="A213" s="12" t="n"/>
      <c r="B213" s="12" t="n"/>
      <c r="C213" s="12" t="n"/>
      <c r="D213" s="13" t="n"/>
      <c r="E213" s="12" t="n"/>
      <c r="F213" s="12" t="n"/>
      <c r="G213" s="12" t="n"/>
      <c r="H213" s="15">
        <f>IF($E213="","",IFERROR(MATCH($E213,Listas!$A$4:$A$15,0),""))</f>
        <v/>
      </c>
    </row>
    <row r="214">
      <c r="A214" s="12" t="n"/>
      <c r="B214" s="12" t="n"/>
      <c r="C214" s="12" t="n"/>
      <c r="D214" s="13" t="n"/>
      <c r="E214" s="12" t="n"/>
      <c r="F214" s="12" t="n"/>
      <c r="G214" s="12" t="n"/>
      <c r="H214" s="15">
        <f>IF($E214="","",IFERROR(MATCH($E214,Listas!$A$4:$A$15,0),""))</f>
        <v/>
      </c>
    </row>
    <row r="215">
      <c r="A215" s="12" t="n"/>
      <c r="B215" s="12" t="n"/>
      <c r="C215" s="12" t="n"/>
      <c r="D215" s="13" t="n"/>
      <c r="E215" s="12" t="n"/>
      <c r="F215" s="12" t="n"/>
      <c r="G215" s="12" t="n"/>
      <c r="H215" s="15">
        <f>IF($E215="","",IFERROR(MATCH($E215,Listas!$A$4:$A$15,0),""))</f>
        <v/>
      </c>
    </row>
    <row r="216">
      <c r="A216" s="12" t="n"/>
      <c r="B216" s="12" t="n"/>
      <c r="C216" s="12" t="n"/>
      <c r="D216" s="13" t="n"/>
      <c r="E216" s="12" t="n"/>
      <c r="F216" s="12" t="n"/>
      <c r="G216" s="12" t="n"/>
      <c r="H216" s="15">
        <f>IF($E216="","",IFERROR(MATCH($E216,Listas!$A$4:$A$15,0),""))</f>
        <v/>
      </c>
    </row>
    <row r="217">
      <c r="A217" s="12" t="n"/>
      <c r="B217" s="12" t="n"/>
      <c r="C217" s="12" t="n"/>
      <c r="D217" s="13" t="n"/>
      <c r="E217" s="12" t="n"/>
      <c r="F217" s="12" t="n"/>
      <c r="G217" s="12" t="n"/>
      <c r="H217" s="15">
        <f>IF($E217="","",IFERROR(MATCH($E217,Listas!$A$4:$A$15,0),""))</f>
        <v/>
      </c>
    </row>
    <row r="218">
      <c r="A218" s="12" t="n"/>
      <c r="B218" s="12" t="n"/>
      <c r="C218" s="12" t="n"/>
      <c r="D218" s="13" t="n"/>
      <c r="E218" s="12" t="n"/>
      <c r="F218" s="12" t="n"/>
      <c r="G218" s="12" t="n"/>
      <c r="H218" s="15">
        <f>IF($E218="","",IFERROR(MATCH($E218,Listas!$A$4:$A$15,0),""))</f>
        <v/>
      </c>
    </row>
    <row r="219">
      <c r="A219" s="12" t="n"/>
      <c r="B219" s="12" t="n"/>
      <c r="C219" s="12" t="n"/>
      <c r="D219" s="13" t="n"/>
      <c r="E219" s="12" t="n"/>
      <c r="F219" s="12" t="n"/>
      <c r="G219" s="12" t="n"/>
      <c r="H219" s="15">
        <f>IF($E219="","",IFERROR(MATCH($E219,Listas!$A$4:$A$15,0),""))</f>
        <v/>
      </c>
    </row>
    <row r="220">
      <c r="A220" s="12" t="n"/>
      <c r="B220" s="12" t="n"/>
      <c r="C220" s="12" t="n"/>
      <c r="D220" s="13" t="n"/>
      <c r="E220" s="12" t="n"/>
      <c r="F220" s="12" t="n"/>
      <c r="G220" s="12" t="n"/>
      <c r="H220" s="15">
        <f>IF($E220="","",IFERROR(MATCH($E220,Listas!$A$4:$A$15,0),""))</f>
        <v/>
      </c>
    </row>
    <row r="221">
      <c r="A221" s="12" t="n"/>
      <c r="B221" s="12" t="n"/>
      <c r="C221" s="12" t="n"/>
      <c r="D221" s="13" t="n"/>
      <c r="E221" s="12" t="n"/>
      <c r="F221" s="12" t="n"/>
      <c r="G221" s="12" t="n"/>
      <c r="H221" s="15">
        <f>IF($E221="","",IFERROR(MATCH($E221,Listas!$A$4:$A$15,0),""))</f>
        <v/>
      </c>
    </row>
    <row r="222">
      <c r="A222" s="12" t="n"/>
      <c r="B222" s="12" t="n"/>
      <c r="C222" s="12" t="n"/>
      <c r="D222" s="13" t="n"/>
      <c r="E222" s="12" t="n"/>
      <c r="F222" s="12" t="n"/>
      <c r="G222" s="12" t="n"/>
      <c r="H222" s="15">
        <f>IF($E222="","",IFERROR(MATCH($E222,Listas!$A$4:$A$15,0),""))</f>
        <v/>
      </c>
    </row>
    <row r="223">
      <c r="A223" s="12" t="n"/>
      <c r="B223" s="12" t="n"/>
      <c r="C223" s="12" t="n"/>
      <c r="D223" s="13" t="n"/>
      <c r="E223" s="12" t="n"/>
      <c r="F223" s="12" t="n"/>
      <c r="G223" s="12" t="n"/>
      <c r="H223" s="15">
        <f>IF($E223="","",IFERROR(MATCH($E223,Listas!$A$4:$A$15,0),""))</f>
        <v/>
      </c>
    </row>
    <row r="224">
      <c r="A224" s="12" t="n"/>
      <c r="B224" s="12" t="n"/>
      <c r="C224" s="12" t="n"/>
      <c r="D224" s="13" t="n"/>
      <c r="E224" s="12" t="n"/>
      <c r="F224" s="12" t="n"/>
      <c r="G224" s="12" t="n"/>
      <c r="H224" s="15">
        <f>IF($E224="","",IFERROR(MATCH($E224,Listas!$A$4:$A$15,0),""))</f>
        <v/>
      </c>
    </row>
    <row r="225">
      <c r="A225" s="12" t="n"/>
      <c r="B225" s="12" t="n"/>
      <c r="C225" s="12" t="n"/>
      <c r="D225" s="13" t="n"/>
      <c r="E225" s="12" t="n"/>
      <c r="F225" s="12" t="n"/>
      <c r="G225" s="12" t="n"/>
      <c r="H225" s="15">
        <f>IF($E225="","",IFERROR(MATCH($E225,Listas!$A$4:$A$15,0),""))</f>
        <v/>
      </c>
    </row>
    <row r="226">
      <c r="A226" s="12" t="n"/>
      <c r="B226" s="12" t="n"/>
      <c r="C226" s="12" t="n"/>
      <c r="D226" s="13" t="n"/>
      <c r="E226" s="12" t="n"/>
      <c r="F226" s="12" t="n"/>
      <c r="G226" s="12" t="n"/>
      <c r="H226" s="15">
        <f>IF($E226="","",IFERROR(MATCH($E226,Listas!$A$4:$A$15,0),""))</f>
        <v/>
      </c>
    </row>
    <row r="227">
      <c r="A227" s="12" t="n"/>
      <c r="B227" s="12" t="n"/>
      <c r="C227" s="12" t="n"/>
      <c r="D227" s="13" t="n"/>
      <c r="E227" s="12" t="n"/>
      <c r="F227" s="12" t="n"/>
      <c r="G227" s="12" t="n"/>
      <c r="H227" s="15">
        <f>IF($E227="","",IFERROR(MATCH($E227,Listas!$A$4:$A$15,0),""))</f>
        <v/>
      </c>
    </row>
    <row r="228">
      <c r="A228" s="12" t="n"/>
      <c r="B228" s="12" t="n"/>
      <c r="C228" s="12" t="n"/>
      <c r="D228" s="13" t="n"/>
      <c r="E228" s="12" t="n"/>
      <c r="F228" s="12" t="n"/>
      <c r="G228" s="12" t="n"/>
      <c r="H228" s="15">
        <f>IF($E228="","",IFERROR(MATCH($E228,Listas!$A$4:$A$15,0),""))</f>
        <v/>
      </c>
    </row>
    <row r="229">
      <c r="A229" s="12" t="n"/>
      <c r="B229" s="12" t="n"/>
      <c r="C229" s="12" t="n"/>
      <c r="D229" s="13" t="n"/>
      <c r="E229" s="12" t="n"/>
      <c r="F229" s="12" t="n"/>
      <c r="G229" s="12" t="n"/>
      <c r="H229" s="15">
        <f>IF($E229="","",IFERROR(MATCH($E229,Listas!$A$4:$A$15,0),""))</f>
        <v/>
      </c>
    </row>
    <row r="230">
      <c r="A230" s="12" t="n"/>
      <c r="B230" s="12" t="n"/>
      <c r="C230" s="12" t="n"/>
      <c r="D230" s="13" t="n"/>
      <c r="E230" s="12" t="n"/>
      <c r="F230" s="12" t="n"/>
      <c r="G230" s="12" t="n"/>
      <c r="H230" s="15">
        <f>IF($E230="","",IFERROR(MATCH($E230,Listas!$A$4:$A$15,0),""))</f>
        <v/>
      </c>
    </row>
    <row r="231">
      <c r="A231" s="12" t="n"/>
      <c r="B231" s="12" t="n"/>
      <c r="C231" s="12" t="n"/>
      <c r="D231" s="13" t="n"/>
      <c r="E231" s="12" t="n"/>
      <c r="F231" s="12" t="n"/>
      <c r="G231" s="12" t="n"/>
      <c r="H231" s="15">
        <f>IF($E231="","",IFERROR(MATCH($E231,Listas!$A$4:$A$15,0),""))</f>
        <v/>
      </c>
    </row>
    <row r="232">
      <c r="A232" s="12" t="n"/>
      <c r="B232" s="12" t="n"/>
      <c r="C232" s="12" t="n"/>
      <c r="D232" s="13" t="n"/>
      <c r="E232" s="12" t="n"/>
      <c r="F232" s="12" t="n"/>
      <c r="G232" s="12" t="n"/>
      <c r="H232" s="15">
        <f>IF($E232="","",IFERROR(MATCH($E232,Listas!$A$4:$A$15,0),""))</f>
        <v/>
      </c>
    </row>
    <row r="233">
      <c r="A233" s="12" t="n"/>
      <c r="B233" s="12" t="n"/>
      <c r="C233" s="12" t="n"/>
      <c r="D233" s="13" t="n"/>
      <c r="E233" s="12" t="n"/>
      <c r="F233" s="12" t="n"/>
      <c r="G233" s="12" t="n"/>
      <c r="H233" s="15">
        <f>IF($E233="","",IFERROR(MATCH($E233,Listas!$A$4:$A$15,0),""))</f>
        <v/>
      </c>
    </row>
    <row r="234">
      <c r="A234" s="12" t="n"/>
      <c r="B234" s="12" t="n"/>
      <c r="C234" s="12" t="n"/>
      <c r="D234" s="13" t="n"/>
      <c r="E234" s="12" t="n"/>
      <c r="F234" s="12" t="n"/>
      <c r="G234" s="12" t="n"/>
      <c r="H234" s="15">
        <f>IF($E234="","",IFERROR(MATCH($E234,Listas!$A$4:$A$15,0),""))</f>
        <v/>
      </c>
    </row>
    <row r="235">
      <c r="A235" s="12" t="n"/>
      <c r="B235" s="12" t="n"/>
      <c r="C235" s="12" t="n"/>
      <c r="D235" s="13" t="n"/>
      <c r="E235" s="12" t="n"/>
      <c r="F235" s="12" t="n"/>
      <c r="G235" s="12" t="n"/>
      <c r="H235" s="15">
        <f>IF($E235="","",IFERROR(MATCH($E235,Listas!$A$4:$A$15,0),""))</f>
        <v/>
      </c>
    </row>
    <row r="236">
      <c r="A236" s="12" t="n"/>
      <c r="B236" s="12" t="n"/>
      <c r="C236" s="12" t="n"/>
      <c r="D236" s="13" t="n"/>
      <c r="E236" s="12" t="n"/>
      <c r="F236" s="12" t="n"/>
      <c r="G236" s="12" t="n"/>
      <c r="H236" s="15">
        <f>IF($E236="","",IFERROR(MATCH($E236,Listas!$A$4:$A$15,0),""))</f>
        <v/>
      </c>
    </row>
    <row r="237">
      <c r="A237" s="12" t="n"/>
      <c r="B237" s="12" t="n"/>
      <c r="C237" s="12" t="n"/>
      <c r="D237" s="13" t="n"/>
      <c r="E237" s="12" t="n"/>
      <c r="F237" s="12" t="n"/>
      <c r="G237" s="12" t="n"/>
      <c r="H237" s="15">
        <f>IF($E237="","",IFERROR(MATCH($E237,Listas!$A$4:$A$15,0),""))</f>
        <v/>
      </c>
    </row>
    <row r="238">
      <c r="A238" s="12" t="n"/>
      <c r="B238" s="12" t="n"/>
      <c r="C238" s="12" t="n"/>
      <c r="D238" s="13" t="n"/>
      <c r="E238" s="12" t="n"/>
      <c r="F238" s="12" t="n"/>
      <c r="G238" s="12" t="n"/>
      <c r="H238" s="15">
        <f>IF($E238="","",IFERROR(MATCH($E238,Listas!$A$4:$A$15,0),""))</f>
        <v/>
      </c>
    </row>
    <row r="239">
      <c r="A239" s="12" t="n"/>
      <c r="B239" s="12" t="n"/>
      <c r="C239" s="12" t="n"/>
      <c r="D239" s="13" t="n"/>
      <c r="E239" s="12" t="n"/>
      <c r="F239" s="12" t="n"/>
      <c r="G239" s="12" t="n"/>
      <c r="H239" s="15">
        <f>IF($E239="","",IFERROR(MATCH($E239,Listas!$A$4:$A$15,0),""))</f>
        <v/>
      </c>
    </row>
    <row r="240">
      <c r="A240" s="12" t="n"/>
      <c r="B240" s="12" t="n"/>
      <c r="C240" s="12" t="n"/>
      <c r="D240" s="13" t="n"/>
      <c r="E240" s="12" t="n"/>
      <c r="F240" s="12" t="n"/>
      <c r="G240" s="12" t="n"/>
      <c r="H240" s="15">
        <f>IF($E240="","",IFERROR(MATCH($E240,Listas!$A$4:$A$15,0),""))</f>
        <v/>
      </c>
    </row>
    <row r="241">
      <c r="A241" s="12" t="n"/>
      <c r="B241" s="12" t="n"/>
      <c r="C241" s="12" t="n"/>
      <c r="D241" s="13" t="n"/>
      <c r="E241" s="12" t="n"/>
      <c r="F241" s="12" t="n"/>
      <c r="G241" s="12" t="n"/>
      <c r="H241" s="15">
        <f>IF($E241="","",IFERROR(MATCH($E241,Listas!$A$4:$A$15,0),""))</f>
        <v/>
      </c>
    </row>
    <row r="242">
      <c r="A242" s="12" t="n"/>
      <c r="B242" s="12" t="n"/>
      <c r="C242" s="12" t="n"/>
      <c r="D242" s="13" t="n"/>
      <c r="E242" s="12" t="n"/>
      <c r="F242" s="12" t="n"/>
      <c r="G242" s="12" t="n"/>
      <c r="H242" s="15">
        <f>IF($E242="","",IFERROR(MATCH($E242,Listas!$A$4:$A$15,0),""))</f>
        <v/>
      </c>
    </row>
    <row r="243">
      <c r="A243" s="12" t="n"/>
      <c r="B243" s="12" t="n"/>
      <c r="C243" s="12" t="n"/>
      <c r="D243" s="13" t="n"/>
      <c r="E243" s="12" t="n"/>
      <c r="F243" s="12" t="n"/>
      <c r="G243" s="12" t="n"/>
      <c r="H243" s="15">
        <f>IF($E243="","",IFERROR(MATCH($E243,Listas!$A$4:$A$15,0),""))</f>
        <v/>
      </c>
    </row>
    <row r="244">
      <c r="A244" s="12" t="n"/>
      <c r="B244" s="12" t="n"/>
      <c r="C244" s="12" t="n"/>
      <c r="D244" s="13" t="n"/>
      <c r="E244" s="12" t="n"/>
      <c r="F244" s="12" t="n"/>
      <c r="G244" s="12" t="n"/>
      <c r="H244" s="15">
        <f>IF($E244="","",IFERROR(MATCH($E244,Listas!$A$4:$A$15,0),""))</f>
        <v/>
      </c>
    </row>
    <row r="245">
      <c r="A245" s="12" t="n"/>
      <c r="B245" s="12" t="n"/>
      <c r="C245" s="12" t="n"/>
      <c r="D245" s="13" t="n"/>
      <c r="E245" s="12" t="n"/>
      <c r="F245" s="12" t="n"/>
      <c r="G245" s="12" t="n"/>
      <c r="H245" s="15">
        <f>IF($E245="","",IFERROR(MATCH($E245,Listas!$A$4:$A$15,0),""))</f>
        <v/>
      </c>
    </row>
    <row r="246">
      <c r="A246" s="12" t="n"/>
      <c r="B246" s="12" t="n"/>
      <c r="C246" s="12" t="n"/>
      <c r="D246" s="13" t="n"/>
      <c r="E246" s="12" t="n"/>
      <c r="F246" s="12" t="n"/>
      <c r="G246" s="12" t="n"/>
      <c r="H246" s="15">
        <f>IF($E246="","",IFERROR(MATCH($E246,Listas!$A$4:$A$15,0),""))</f>
        <v/>
      </c>
    </row>
    <row r="247">
      <c r="A247" s="12" t="n"/>
      <c r="B247" s="12" t="n"/>
      <c r="C247" s="12" t="n"/>
      <c r="D247" s="13" t="n"/>
      <c r="E247" s="12" t="n"/>
      <c r="F247" s="12" t="n"/>
      <c r="G247" s="12" t="n"/>
      <c r="H247" s="15">
        <f>IF($E247="","",IFERROR(MATCH($E247,Listas!$A$4:$A$15,0),""))</f>
        <v/>
      </c>
    </row>
    <row r="248">
      <c r="A248" s="12" t="n"/>
      <c r="B248" s="12" t="n"/>
      <c r="C248" s="12" t="n"/>
      <c r="D248" s="13" t="n"/>
      <c r="E248" s="12" t="n"/>
      <c r="F248" s="12" t="n"/>
      <c r="G248" s="12" t="n"/>
      <c r="H248" s="15">
        <f>IF($E248="","",IFERROR(MATCH($E248,Listas!$A$4:$A$15,0),""))</f>
        <v/>
      </c>
    </row>
    <row r="249">
      <c r="A249" s="12" t="n"/>
      <c r="B249" s="12" t="n"/>
      <c r="C249" s="12" t="n"/>
      <c r="D249" s="13" t="n"/>
      <c r="E249" s="12" t="n"/>
      <c r="F249" s="12" t="n"/>
      <c r="G249" s="12" t="n"/>
      <c r="H249" s="15">
        <f>IF($E249="","",IFERROR(MATCH($E249,Listas!$A$4:$A$15,0),""))</f>
        <v/>
      </c>
    </row>
    <row r="250">
      <c r="A250" s="12" t="n"/>
      <c r="B250" s="12" t="n"/>
      <c r="C250" s="12" t="n"/>
      <c r="D250" s="13" t="n"/>
      <c r="E250" s="12" t="n"/>
      <c r="F250" s="12" t="n"/>
      <c r="G250" s="12" t="n"/>
      <c r="H250" s="15">
        <f>IF($E250="","",IFERROR(MATCH($E250,Listas!$A$4:$A$15,0),""))</f>
        <v/>
      </c>
    </row>
    <row r="251">
      <c r="A251" s="12" t="n"/>
      <c r="B251" s="12" t="n"/>
      <c r="C251" s="12" t="n"/>
      <c r="D251" s="13" t="n"/>
      <c r="E251" s="12" t="n"/>
      <c r="F251" s="12" t="n"/>
      <c r="G251" s="12" t="n"/>
      <c r="H251" s="15">
        <f>IF($E251="","",IFERROR(MATCH($E251,Listas!$A$4:$A$15,0),""))</f>
        <v/>
      </c>
    </row>
    <row r="252">
      <c r="A252" s="12" t="n"/>
      <c r="B252" s="12" t="n"/>
      <c r="C252" s="12" t="n"/>
      <c r="D252" s="13" t="n"/>
      <c r="E252" s="12" t="n"/>
      <c r="F252" s="12" t="n"/>
      <c r="G252" s="12" t="n"/>
      <c r="H252" s="15">
        <f>IF($E252="","",IFERROR(MATCH($E252,Listas!$A$4:$A$15,0),""))</f>
        <v/>
      </c>
    </row>
    <row r="253">
      <c r="A253" s="12" t="n"/>
      <c r="B253" s="12" t="n"/>
      <c r="C253" s="12" t="n"/>
      <c r="D253" s="13" t="n"/>
      <c r="E253" s="12" t="n"/>
      <c r="F253" s="12" t="n"/>
      <c r="G253" s="12" t="n"/>
      <c r="H253" s="15">
        <f>IF($E253="","",IFERROR(MATCH($E253,Listas!$A$4:$A$15,0),""))</f>
        <v/>
      </c>
    </row>
    <row r="254">
      <c r="A254" s="12" t="n"/>
      <c r="B254" s="12" t="n"/>
      <c r="C254" s="12" t="n"/>
      <c r="D254" s="13" t="n"/>
      <c r="E254" s="12" t="n"/>
      <c r="F254" s="12" t="n"/>
      <c r="G254" s="12" t="n"/>
      <c r="H254" s="15">
        <f>IF($E254="","",IFERROR(MATCH($E254,Listas!$A$4:$A$15,0),""))</f>
        <v/>
      </c>
    </row>
    <row r="255">
      <c r="A255" s="12" t="n"/>
      <c r="B255" s="12" t="n"/>
      <c r="C255" s="12" t="n"/>
      <c r="D255" s="13" t="n"/>
      <c r="E255" s="12" t="n"/>
      <c r="F255" s="12" t="n"/>
      <c r="G255" s="12" t="n"/>
      <c r="H255" s="15">
        <f>IF($E255="","",IFERROR(MATCH($E255,Listas!$A$4:$A$15,0),""))</f>
        <v/>
      </c>
    </row>
    <row r="256">
      <c r="A256" s="12" t="n"/>
      <c r="B256" s="12" t="n"/>
      <c r="C256" s="12" t="n"/>
      <c r="D256" s="13" t="n"/>
      <c r="E256" s="12" t="n"/>
      <c r="F256" s="12" t="n"/>
      <c r="G256" s="12" t="n"/>
      <c r="H256" s="15">
        <f>IF($E256="","",IFERROR(MATCH($E256,Listas!$A$4:$A$15,0),""))</f>
        <v/>
      </c>
    </row>
    <row r="257">
      <c r="A257" s="12" t="n"/>
      <c r="B257" s="12" t="n"/>
      <c r="C257" s="12" t="n"/>
      <c r="D257" s="13" t="n"/>
      <c r="E257" s="12" t="n"/>
      <c r="F257" s="12" t="n"/>
      <c r="G257" s="12" t="n"/>
      <c r="H257" s="15">
        <f>IF($E257="","",IFERROR(MATCH($E257,Listas!$A$4:$A$15,0),""))</f>
        <v/>
      </c>
    </row>
    <row r="258">
      <c r="A258" s="12" t="n"/>
      <c r="B258" s="12" t="n"/>
      <c r="C258" s="12" t="n"/>
      <c r="D258" s="13" t="n"/>
      <c r="E258" s="12" t="n"/>
      <c r="F258" s="12" t="n"/>
      <c r="G258" s="12" t="n"/>
      <c r="H258" s="15">
        <f>IF($E258="","",IFERROR(MATCH($E258,Listas!$A$4:$A$15,0),""))</f>
        <v/>
      </c>
    </row>
    <row r="259">
      <c r="A259" s="12" t="n"/>
      <c r="B259" s="12" t="n"/>
      <c r="C259" s="12" t="n"/>
      <c r="D259" s="13" t="n"/>
      <c r="E259" s="12" t="n"/>
      <c r="F259" s="12" t="n"/>
      <c r="G259" s="12" t="n"/>
      <c r="H259" s="15">
        <f>IF($E259="","",IFERROR(MATCH($E259,Listas!$A$4:$A$15,0),""))</f>
        <v/>
      </c>
    </row>
    <row r="260">
      <c r="A260" s="12" t="n"/>
      <c r="B260" s="12" t="n"/>
      <c r="C260" s="12" t="n"/>
      <c r="D260" s="13" t="n"/>
      <c r="E260" s="12" t="n"/>
      <c r="F260" s="12" t="n"/>
      <c r="G260" s="12" t="n"/>
      <c r="H260" s="15">
        <f>IF($E260="","",IFERROR(MATCH($E260,Listas!$A$4:$A$15,0),""))</f>
        <v/>
      </c>
    </row>
    <row r="261">
      <c r="A261" s="12" t="n"/>
      <c r="B261" s="12" t="n"/>
      <c r="C261" s="12" t="n"/>
      <c r="D261" s="13" t="n"/>
      <c r="E261" s="12" t="n"/>
      <c r="F261" s="12" t="n"/>
      <c r="G261" s="12" t="n"/>
      <c r="H261" s="15">
        <f>IF($E261="","",IFERROR(MATCH($E261,Listas!$A$4:$A$15,0),""))</f>
        <v/>
      </c>
    </row>
    <row r="262">
      <c r="A262" s="12" t="n"/>
      <c r="B262" s="12" t="n"/>
      <c r="C262" s="12" t="n"/>
      <c r="D262" s="13" t="n"/>
      <c r="E262" s="12" t="n"/>
      <c r="F262" s="12" t="n"/>
      <c r="G262" s="12" t="n"/>
      <c r="H262" s="15">
        <f>IF($E262="","",IFERROR(MATCH($E262,Listas!$A$4:$A$15,0),""))</f>
        <v/>
      </c>
    </row>
    <row r="263">
      <c r="A263" s="12" t="n"/>
      <c r="B263" s="12" t="n"/>
      <c r="C263" s="12" t="n"/>
      <c r="D263" s="13" t="n"/>
      <c r="E263" s="12" t="n"/>
      <c r="F263" s="12" t="n"/>
      <c r="G263" s="12" t="n"/>
      <c r="H263" s="15">
        <f>IF($E263="","",IFERROR(MATCH($E263,Listas!$A$4:$A$15,0),""))</f>
        <v/>
      </c>
    </row>
    <row r="264">
      <c r="A264" s="12" t="n"/>
      <c r="B264" s="12" t="n"/>
      <c r="C264" s="12" t="n"/>
      <c r="D264" s="13" t="n"/>
      <c r="E264" s="12" t="n"/>
      <c r="F264" s="12" t="n"/>
      <c r="G264" s="12" t="n"/>
      <c r="H264" s="15">
        <f>IF($E264="","",IFERROR(MATCH($E264,Listas!$A$4:$A$15,0),""))</f>
        <v/>
      </c>
    </row>
    <row r="265">
      <c r="A265" s="12" t="n"/>
      <c r="B265" s="12" t="n"/>
      <c r="C265" s="12" t="n"/>
      <c r="D265" s="13" t="n"/>
      <c r="E265" s="12" t="n"/>
      <c r="F265" s="12" t="n"/>
      <c r="G265" s="12" t="n"/>
      <c r="H265" s="15">
        <f>IF($E265="","",IFERROR(MATCH($E265,Listas!$A$4:$A$15,0),""))</f>
        <v/>
      </c>
    </row>
    <row r="266">
      <c r="A266" s="12" t="n"/>
      <c r="B266" s="12" t="n"/>
      <c r="C266" s="12" t="n"/>
      <c r="D266" s="13" t="n"/>
      <c r="E266" s="12" t="n"/>
      <c r="F266" s="12" t="n"/>
      <c r="G266" s="12" t="n"/>
      <c r="H266" s="15">
        <f>IF($E266="","",IFERROR(MATCH($E266,Listas!$A$4:$A$15,0),""))</f>
        <v/>
      </c>
    </row>
    <row r="267">
      <c r="A267" s="12" t="n"/>
      <c r="B267" s="12" t="n"/>
      <c r="C267" s="12" t="n"/>
      <c r="D267" s="13" t="n"/>
      <c r="E267" s="12" t="n"/>
      <c r="F267" s="12" t="n"/>
      <c r="G267" s="12" t="n"/>
      <c r="H267" s="15">
        <f>IF($E267="","",IFERROR(MATCH($E267,Listas!$A$4:$A$15,0),""))</f>
        <v/>
      </c>
    </row>
    <row r="268">
      <c r="A268" s="12" t="n"/>
      <c r="B268" s="12" t="n"/>
      <c r="C268" s="12" t="n"/>
      <c r="D268" s="13" t="n"/>
      <c r="E268" s="12" t="n"/>
      <c r="F268" s="12" t="n"/>
      <c r="G268" s="12" t="n"/>
      <c r="H268" s="15">
        <f>IF($E268="","",IFERROR(MATCH($E268,Listas!$A$4:$A$15,0),""))</f>
        <v/>
      </c>
    </row>
    <row r="269">
      <c r="A269" s="12" t="n"/>
      <c r="B269" s="12" t="n"/>
      <c r="C269" s="12" t="n"/>
      <c r="D269" s="13" t="n"/>
      <c r="E269" s="12" t="n"/>
      <c r="F269" s="12" t="n"/>
      <c r="G269" s="12" t="n"/>
      <c r="H269" s="15">
        <f>IF($E269="","",IFERROR(MATCH($E269,Listas!$A$4:$A$15,0),""))</f>
        <v/>
      </c>
    </row>
    <row r="270">
      <c r="A270" s="12" t="n"/>
      <c r="B270" s="12" t="n"/>
      <c r="C270" s="12" t="n"/>
      <c r="D270" s="13" t="n"/>
      <c r="E270" s="12" t="n"/>
      <c r="F270" s="12" t="n"/>
      <c r="G270" s="12" t="n"/>
      <c r="H270" s="15">
        <f>IF($E270="","",IFERROR(MATCH($E270,Listas!$A$4:$A$15,0),""))</f>
        <v/>
      </c>
    </row>
    <row r="271">
      <c r="A271" s="12" t="n"/>
      <c r="B271" s="12" t="n"/>
      <c r="C271" s="12" t="n"/>
      <c r="D271" s="13" t="n"/>
      <c r="E271" s="12" t="n"/>
      <c r="F271" s="12" t="n"/>
      <c r="G271" s="12" t="n"/>
      <c r="H271" s="15">
        <f>IF($E271="","",IFERROR(MATCH($E271,Listas!$A$4:$A$15,0),""))</f>
        <v/>
      </c>
    </row>
    <row r="272">
      <c r="A272" s="12" t="n"/>
      <c r="B272" s="12" t="n"/>
      <c r="C272" s="12" t="n"/>
      <c r="D272" s="13" t="n"/>
      <c r="E272" s="12" t="n"/>
      <c r="F272" s="12" t="n"/>
      <c r="G272" s="12" t="n"/>
      <c r="H272" s="15">
        <f>IF($E272="","",IFERROR(MATCH($E272,Listas!$A$4:$A$15,0),""))</f>
        <v/>
      </c>
    </row>
    <row r="273">
      <c r="A273" s="12" t="n"/>
      <c r="B273" s="12" t="n"/>
      <c r="C273" s="12" t="n"/>
      <c r="D273" s="13" t="n"/>
      <c r="E273" s="12" t="n"/>
      <c r="F273" s="12" t="n"/>
      <c r="G273" s="12" t="n"/>
      <c r="H273" s="15">
        <f>IF($E273="","",IFERROR(MATCH($E273,Listas!$A$4:$A$15,0),""))</f>
        <v/>
      </c>
    </row>
    <row r="274">
      <c r="A274" s="12" t="n"/>
      <c r="B274" s="12" t="n"/>
      <c r="C274" s="12" t="n"/>
      <c r="D274" s="13" t="n"/>
      <c r="E274" s="12" t="n"/>
      <c r="F274" s="12" t="n"/>
      <c r="G274" s="12" t="n"/>
      <c r="H274" s="15">
        <f>IF($E274="","",IFERROR(MATCH($E274,Listas!$A$4:$A$15,0),""))</f>
        <v/>
      </c>
    </row>
    <row r="275">
      <c r="A275" s="12" t="n"/>
      <c r="B275" s="12" t="n"/>
      <c r="C275" s="12" t="n"/>
      <c r="D275" s="13" t="n"/>
      <c r="E275" s="12" t="n"/>
      <c r="F275" s="12" t="n"/>
      <c r="G275" s="12" t="n"/>
      <c r="H275" s="15">
        <f>IF($E275="","",IFERROR(MATCH($E275,Listas!$A$4:$A$15,0),""))</f>
        <v/>
      </c>
    </row>
    <row r="276">
      <c r="A276" s="12" t="n"/>
      <c r="B276" s="12" t="n"/>
      <c r="C276" s="12" t="n"/>
      <c r="D276" s="13" t="n"/>
      <c r="E276" s="12" t="n"/>
      <c r="F276" s="12" t="n"/>
      <c r="G276" s="12" t="n"/>
      <c r="H276" s="15">
        <f>IF($E276="","",IFERROR(MATCH($E276,Listas!$A$4:$A$15,0),""))</f>
        <v/>
      </c>
    </row>
    <row r="277">
      <c r="A277" s="12" t="n"/>
      <c r="B277" s="12" t="n"/>
      <c r="C277" s="12" t="n"/>
      <c r="D277" s="13" t="n"/>
      <c r="E277" s="12" t="n"/>
      <c r="F277" s="12" t="n"/>
      <c r="G277" s="12" t="n"/>
      <c r="H277" s="15">
        <f>IF($E277="","",IFERROR(MATCH($E277,Listas!$A$4:$A$15,0),""))</f>
        <v/>
      </c>
    </row>
    <row r="278">
      <c r="A278" s="12" t="n"/>
      <c r="B278" s="12" t="n"/>
      <c r="C278" s="12" t="n"/>
      <c r="D278" s="13" t="n"/>
      <c r="E278" s="12" t="n"/>
      <c r="F278" s="12" t="n"/>
      <c r="G278" s="12" t="n"/>
      <c r="H278" s="15">
        <f>IF($E278="","",IFERROR(MATCH($E278,Listas!$A$4:$A$15,0),""))</f>
        <v/>
      </c>
    </row>
    <row r="279">
      <c r="A279" s="12" t="n"/>
      <c r="B279" s="12" t="n"/>
      <c r="C279" s="12" t="n"/>
      <c r="D279" s="13" t="n"/>
      <c r="E279" s="12" t="n"/>
      <c r="F279" s="12" t="n"/>
      <c r="G279" s="12" t="n"/>
      <c r="H279" s="15">
        <f>IF($E279="","",IFERROR(MATCH($E279,Listas!$A$4:$A$15,0),""))</f>
        <v/>
      </c>
    </row>
    <row r="280">
      <c r="A280" s="12" t="n"/>
      <c r="B280" s="12" t="n"/>
      <c r="C280" s="12" t="n"/>
      <c r="D280" s="13" t="n"/>
      <c r="E280" s="12" t="n"/>
      <c r="F280" s="12" t="n"/>
      <c r="G280" s="12" t="n"/>
      <c r="H280" s="15">
        <f>IF($E280="","",IFERROR(MATCH($E280,Listas!$A$4:$A$15,0),""))</f>
        <v/>
      </c>
    </row>
    <row r="281">
      <c r="A281" s="12" t="n"/>
      <c r="B281" s="12" t="n"/>
      <c r="C281" s="12" t="n"/>
      <c r="D281" s="13" t="n"/>
      <c r="E281" s="12" t="n"/>
      <c r="F281" s="12" t="n"/>
      <c r="G281" s="12" t="n"/>
      <c r="H281" s="15">
        <f>IF($E281="","",IFERROR(MATCH($E281,Listas!$A$4:$A$15,0),""))</f>
        <v/>
      </c>
    </row>
    <row r="282">
      <c r="A282" s="12" t="n"/>
      <c r="B282" s="12" t="n"/>
      <c r="C282" s="12" t="n"/>
      <c r="D282" s="13" t="n"/>
      <c r="E282" s="12" t="n"/>
      <c r="F282" s="12" t="n"/>
      <c r="G282" s="12" t="n"/>
      <c r="H282" s="15">
        <f>IF($E282="","",IFERROR(MATCH($E282,Listas!$A$4:$A$15,0),""))</f>
        <v/>
      </c>
    </row>
    <row r="283">
      <c r="A283" s="12" t="n"/>
      <c r="B283" s="12" t="n"/>
      <c r="C283" s="12" t="n"/>
      <c r="D283" s="13" t="n"/>
      <c r="E283" s="12" t="n"/>
      <c r="F283" s="12" t="n"/>
      <c r="G283" s="12" t="n"/>
      <c r="H283" s="15">
        <f>IF($E283="","",IFERROR(MATCH($E283,Listas!$A$4:$A$15,0),""))</f>
        <v/>
      </c>
    </row>
    <row r="284">
      <c r="A284" s="12" t="n"/>
      <c r="B284" s="12" t="n"/>
      <c r="C284" s="12" t="n"/>
      <c r="D284" s="13" t="n"/>
      <c r="E284" s="12" t="n"/>
      <c r="F284" s="12" t="n"/>
      <c r="G284" s="12" t="n"/>
      <c r="H284" s="15">
        <f>IF($E284="","",IFERROR(MATCH($E284,Listas!$A$4:$A$15,0),""))</f>
        <v/>
      </c>
    </row>
    <row r="285">
      <c r="A285" s="12" t="n"/>
      <c r="B285" s="12" t="n"/>
      <c r="C285" s="12" t="n"/>
      <c r="D285" s="13" t="n"/>
      <c r="E285" s="12" t="n"/>
      <c r="F285" s="12" t="n"/>
      <c r="G285" s="12" t="n"/>
      <c r="H285" s="15">
        <f>IF($E285="","",IFERROR(MATCH($E285,Listas!$A$4:$A$15,0),""))</f>
        <v/>
      </c>
    </row>
    <row r="286">
      <c r="A286" s="12" t="n"/>
      <c r="B286" s="12" t="n"/>
      <c r="C286" s="12" t="n"/>
      <c r="D286" s="13" t="n"/>
      <c r="E286" s="12" t="n"/>
      <c r="F286" s="12" t="n"/>
      <c r="G286" s="12" t="n"/>
      <c r="H286" s="15">
        <f>IF($E286="","",IFERROR(MATCH($E286,Listas!$A$4:$A$15,0),""))</f>
        <v/>
      </c>
    </row>
    <row r="287">
      <c r="A287" s="12" t="n"/>
      <c r="B287" s="12" t="n"/>
      <c r="C287" s="12" t="n"/>
      <c r="D287" s="13" t="n"/>
      <c r="E287" s="12" t="n"/>
      <c r="F287" s="12" t="n"/>
      <c r="G287" s="12" t="n"/>
      <c r="H287" s="15">
        <f>IF($E287="","",IFERROR(MATCH($E287,Listas!$A$4:$A$15,0),""))</f>
        <v/>
      </c>
    </row>
    <row r="288">
      <c r="A288" s="12" t="n"/>
      <c r="B288" s="12" t="n"/>
      <c r="C288" s="12" t="n"/>
      <c r="D288" s="13" t="n"/>
      <c r="E288" s="12" t="n"/>
      <c r="F288" s="12" t="n"/>
      <c r="G288" s="12" t="n"/>
      <c r="H288" s="15">
        <f>IF($E288="","",IFERROR(MATCH($E288,Listas!$A$4:$A$15,0),""))</f>
        <v/>
      </c>
    </row>
    <row r="289">
      <c r="A289" s="12" t="n"/>
      <c r="B289" s="12" t="n"/>
      <c r="C289" s="12" t="n"/>
      <c r="D289" s="13" t="n"/>
      <c r="E289" s="12" t="n"/>
      <c r="F289" s="12" t="n"/>
      <c r="G289" s="12" t="n"/>
      <c r="H289" s="15">
        <f>IF($E289="","",IFERROR(MATCH($E289,Listas!$A$4:$A$15,0),""))</f>
        <v/>
      </c>
    </row>
    <row r="290">
      <c r="A290" s="12" t="n"/>
      <c r="B290" s="12" t="n"/>
      <c r="C290" s="12" t="n"/>
      <c r="D290" s="13" t="n"/>
      <c r="E290" s="12" t="n"/>
      <c r="F290" s="12" t="n"/>
      <c r="G290" s="12" t="n"/>
      <c r="H290" s="15">
        <f>IF($E290="","",IFERROR(MATCH($E290,Listas!$A$4:$A$15,0),""))</f>
        <v/>
      </c>
    </row>
    <row r="291">
      <c r="A291" s="12" t="n"/>
      <c r="B291" s="12" t="n"/>
      <c r="C291" s="12" t="n"/>
      <c r="D291" s="13" t="n"/>
      <c r="E291" s="12" t="n"/>
      <c r="F291" s="12" t="n"/>
      <c r="G291" s="12" t="n"/>
      <c r="H291" s="15">
        <f>IF($E291="","",IFERROR(MATCH($E291,Listas!$A$4:$A$15,0),""))</f>
        <v/>
      </c>
    </row>
    <row r="292">
      <c r="A292" s="12" t="n"/>
      <c r="B292" s="12" t="n"/>
      <c r="C292" s="12" t="n"/>
      <c r="D292" s="13" t="n"/>
      <c r="E292" s="12" t="n"/>
      <c r="F292" s="12" t="n"/>
      <c r="G292" s="12" t="n"/>
      <c r="H292" s="15">
        <f>IF($E292="","",IFERROR(MATCH($E292,Listas!$A$4:$A$15,0),""))</f>
        <v/>
      </c>
    </row>
    <row r="293">
      <c r="A293" s="12" t="n"/>
      <c r="B293" s="12" t="n"/>
      <c r="C293" s="12" t="n"/>
      <c r="D293" s="13" t="n"/>
      <c r="E293" s="12" t="n"/>
      <c r="F293" s="12" t="n"/>
      <c r="G293" s="12" t="n"/>
      <c r="H293" s="15">
        <f>IF($E293="","",IFERROR(MATCH($E293,Listas!$A$4:$A$15,0),""))</f>
        <v/>
      </c>
    </row>
    <row r="294">
      <c r="A294" s="12" t="n"/>
      <c r="B294" s="12" t="n"/>
      <c r="C294" s="12" t="n"/>
      <c r="D294" s="13" t="n"/>
      <c r="E294" s="12" t="n"/>
      <c r="F294" s="12" t="n"/>
      <c r="G294" s="12" t="n"/>
      <c r="H294" s="15">
        <f>IF($E294="","",IFERROR(MATCH($E294,Listas!$A$4:$A$15,0),""))</f>
        <v/>
      </c>
    </row>
    <row r="295">
      <c r="A295" s="12" t="n"/>
      <c r="B295" s="12" t="n"/>
      <c r="C295" s="12" t="n"/>
      <c r="D295" s="13" t="n"/>
      <c r="E295" s="12" t="n"/>
      <c r="F295" s="12" t="n"/>
      <c r="G295" s="12" t="n"/>
      <c r="H295" s="15">
        <f>IF($E295="","",IFERROR(MATCH($E295,Listas!$A$4:$A$15,0),""))</f>
        <v/>
      </c>
    </row>
    <row r="296">
      <c r="A296" s="12" t="n"/>
      <c r="B296" s="12" t="n"/>
      <c r="C296" s="12" t="n"/>
      <c r="D296" s="13" t="n"/>
      <c r="E296" s="12" t="n"/>
      <c r="F296" s="12" t="n"/>
      <c r="G296" s="12" t="n"/>
      <c r="H296" s="15">
        <f>IF($E296="","",IFERROR(MATCH($E296,Listas!$A$4:$A$15,0),""))</f>
        <v/>
      </c>
    </row>
    <row r="297">
      <c r="A297" s="12" t="n"/>
      <c r="B297" s="12" t="n"/>
      <c r="C297" s="12" t="n"/>
      <c r="D297" s="13" t="n"/>
      <c r="E297" s="12" t="n"/>
      <c r="F297" s="12" t="n"/>
      <c r="G297" s="12" t="n"/>
      <c r="H297" s="15">
        <f>IF($E297="","",IFERROR(MATCH($E297,Listas!$A$4:$A$15,0),""))</f>
        <v/>
      </c>
    </row>
    <row r="298">
      <c r="A298" s="12" t="n"/>
      <c r="B298" s="12" t="n"/>
      <c r="C298" s="12" t="n"/>
      <c r="D298" s="13" t="n"/>
      <c r="E298" s="12" t="n"/>
      <c r="F298" s="12" t="n"/>
      <c r="G298" s="12" t="n"/>
      <c r="H298" s="15">
        <f>IF($E298="","",IFERROR(MATCH($E298,Listas!$A$4:$A$15,0),""))</f>
        <v/>
      </c>
    </row>
    <row r="299">
      <c r="A299" s="12" t="n"/>
      <c r="B299" s="12" t="n"/>
      <c r="C299" s="12" t="n"/>
      <c r="D299" s="13" t="n"/>
      <c r="E299" s="12" t="n"/>
      <c r="F299" s="12" t="n"/>
      <c r="G299" s="12" t="n"/>
      <c r="H299" s="15">
        <f>IF($E299="","",IFERROR(MATCH($E299,Listas!$A$4:$A$15,0),""))</f>
        <v/>
      </c>
    </row>
    <row r="300">
      <c r="A300" s="12" t="n"/>
      <c r="B300" s="12" t="n"/>
      <c r="C300" s="12" t="n"/>
      <c r="D300" s="13" t="n"/>
      <c r="E300" s="12" t="n"/>
      <c r="F300" s="12" t="n"/>
      <c r="G300" s="12" t="n"/>
      <c r="H300" s="15">
        <f>IF($E300="","",IFERROR(MATCH($E300,Listas!$A$4:$A$15,0),""))</f>
        <v/>
      </c>
    </row>
    <row r="301">
      <c r="A301" s="12" t="n"/>
      <c r="B301" s="12" t="n"/>
      <c r="C301" s="12" t="n"/>
      <c r="D301" s="13" t="n"/>
      <c r="E301" s="12" t="n"/>
      <c r="F301" s="12" t="n"/>
      <c r="G301" s="12" t="n"/>
      <c r="H301" s="15">
        <f>IF($E301="","",IFERROR(MATCH($E301,Listas!$A$4:$A$15,0),""))</f>
        <v/>
      </c>
    </row>
    <row r="302">
      <c r="A302" s="12" t="n"/>
      <c r="B302" s="12" t="n"/>
      <c r="C302" s="12" t="n"/>
      <c r="D302" s="13" t="n"/>
      <c r="E302" s="12" t="n"/>
      <c r="F302" s="12" t="n"/>
      <c r="G302" s="12" t="n"/>
      <c r="H302" s="15">
        <f>IF($E302="","",IFERROR(MATCH($E302,Listas!$A$4:$A$15,0),""))</f>
        <v/>
      </c>
    </row>
    <row r="303">
      <c r="A303" s="12" t="n"/>
      <c r="B303" s="12" t="n"/>
      <c r="C303" s="12" t="n"/>
      <c r="D303" s="13" t="n"/>
      <c r="E303" s="12" t="n"/>
      <c r="F303" s="12" t="n"/>
      <c r="G303" s="12" t="n"/>
      <c r="H303" s="15">
        <f>IF($E303="","",IFERROR(MATCH($E303,Listas!$A$4:$A$15,0),""))</f>
        <v/>
      </c>
    </row>
  </sheetData>
  <mergeCells count="2">
    <mergeCell ref="A2:H2"/>
    <mergeCell ref="A1:H1"/>
  </mergeCells>
  <dataValidations count="2">
    <dataValidation sqref="C4:C303" showDropDown="0" showInputMessage="0" showErrorMessage="0" allowBlank="1" errorTitle="Valor fora da lista" error="Escolha um valor da lista." type="list">
      <formula1>"Chapa,Fita de borda,Ferragem,Iluminação,Vidro e espelho,Serralheria,Marmoraria,Eletro,Insumo de fábrica,Terceirizado,Frete,Outros"</formula1>
    </dataValidation>
    <dataValidation sqref="E4:E303" showDropDown="0" showInputMessage="0" showErrorMessage="0" allowBlank="1" errorTitle="Valor fora da lista" error="Escolha um valor da lista." type="list">
      <formula1>"Jan,Fev,Mar,Abr,Mai,Jun,Jul,Ago,Set,Out,Nov,Dez"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26" customHeight="1">
      <c r="A1" s="1" t="inlineStr">
        <is>
          <t>VALVIC MARCENARIA   ·   CUSTO FIXO — um mês por linha</t>
        </is>
      </c>
    </row>
    <row r="2" ht="18" customHeight="1">
      <c r="A2" s="2" t="inlineStr">
        <is>
          <t>As mesmas três rubricas que já apresentamos ao Walton em agosto, para os números baterem entre os documentos.</t>
        </is>
      </c>
    </row>
    <row r="3" ht="30" customHeight="1">
      <c r="A3" s="11" t="inlineStr">
        <is>
          <t>Mês</t>
        </is>
      </c>
      <c r="B3" s="10" t="inlineStr">
        <is>
          <t>Folha</t>
        </is>
      </c>
      <c r="C3" s="10" t="inlineStr">
        <is>
          <t>Estrutura</t>
        </is>
      </c>
      <c r="D3" s="10" t="inlineStr">
        <is>
          <t>Frota</t>
        </is>
      </c>
      <c r="E3" s="11" t="inlineStr">
        <is>
          <t>Total</t>
        </is>
      </c>
      <c r="F3" s="10" t="inlineStr">
        <is>
          <t>Observação</t>
        </is>
      </c>
    </row>
    <row r="4">
      <c r="A4" s="16" t="inlineStr">
        <is>
          <t>Jan</t>
        </is>
      </c>
      <c r="B4" s="13" t="n"/>
      <c r="C4" s="13" t="n"/>
      <c r="D4" s="13" t="n"/>
      <c r="E4" s="14">
        <f>IF(COUNT($B4:$D4)=0,"",SUM($B4:$D4))</f>
        <v/>
      </c>
      <c r="F4" s="12" t="n"/>
    </row>
    <row r="5">
      <c r="A5" s="16" t="inlineStr">
        <is>
          <t>Fev</t>
        </is>
      </c>
      <c r="B5" s="13" t="n"/>
      <c r="C5" s="13" t="n"/>
      <c r="D5" s="13" t="n"/>
      <c r="E5" s="14">
        <f>IF(COUNT($B5:$D5)=0,"",SUM($B5:$D5))</f>
        <v/>
      </c>
      <c r="F5" s="12" t="n"/>
    </row>
    <row r="6">
      <c r="A6" s="16" t="inlineStr">
        <is>
          <t>Mar</t>
        </is>
      </c>
      <c r="B6" s="13" t="n"/>
      <c r="C6" s="13" t="n"/>
      <c r="D6" s="13" t="n"/>
      <c r="E6" s="14">
        <f>IF(COUNT($B6:$D6)=0,"",SUM($B6:$D6))</f>
        <v/>
      </c>
      <c r="F6" s="12" t="n"/>
    </row>
    <row r="7">
      <c r="A7" s="16" t="inlineStr">
        <is>
          <t>Abr</t>
        </is>
      </c>
      <c r="B7" s="13" t="n"/>
      <c r="C7" s="13" t="n"/>
      <c r="D7" s="13" t="n"/>
      <c r="E7" s="14">
        <f>IF(COUNT($B7:$D7)=0,"",SUM($B7:$D7))</f>
        <v/>
      </c>
      <c r="F7" s="12" t="n"/>
    </row>
    <row r="8">
      <c r="A8" s="16" t="inlineStr">
        <is>
          <t>Mai</t>
        </is>
      </c>
      <c r="B8" s="13" t="n"/>
      <c r="C8" s="13" t="n"/>
      <c r="D8" s="13" t="n"/>
      <c r="E8" s="14">
        <f>IF(COUNT($B8:$D8)=0,"",SUM($B8:$D8))</f>
        <v/>
      </c>
      <c r="F8" s="12" t="n"/>
    </row>
    <row r="9">
      <c r="A9" s="16" t="inlineStr">
        <is>
          <t>Jun</t>
        </is>
      </c>
      <c r="B9" s="13" t="n"/>
      <c r="C9" s="13" t="n"/>
      <c r="D9" s="13" t="n"/>
      <c r="E9" s="14">
        <f>IF(COUNT($B9:$D9)=0,"",SUM($B9:$D9))</f>
        <v/>
      </c>
      <c r="F9" s="12" t="n"/>
    </row>
    <row r="10">
      <c r="A10" s="16" t="inlineStr">
        <is>
          <t>Jul</t>
        </is>
      </c>
      <c r="B10" s="13" t="n"/>
      <c r="C10" s="13" t="n"/>
      <c r="D10" s="13" t="n"/>
      <c r="E10" s="14">
        <f>IF(COUNT($B10:$D10)=0,"",SUM($B10:$D10))</f>
        <v/>
      </c>
      <c r="F10" s="12" t="n"/>
    </row>
    <row r="11">
      <c r="A11" s="16" t="inlineStr">
        <is>
          <t>Ago</t>
        </is>
      </c>
      <c r="B11" s="13" t="n"/>
      <c r="C11" s="13" t="n"/>
      <c r="D11" s="13" t="n"/>
      <c r="E11" s="14">
        <f>IF(COUNT($B11:$D11)=0,"",SUM($B11:$D11))</f>
        <v/>
      </c>
      <c r="F11" s="12" t="n"/>
    </row>
    <row r="12">
      <c r="A12" s="16" t="inlineStr">
        <is>
          <t>Set</t>
        </is>
      </c>
      <c r="B12" s="13" t="n"/>
      <c r="C12" s="13" t="n"/>
      <c r="D12" s="13" t="n"/>
      <c r="E12" s="14">
        <f>IF(COUNT($B12:$D12)=0,"",SUM($B12:$D12))</f>
        <v/>
      </c>
      <c r="F12" s="12" t="n"/>
    </row>
    <row r="13">
      <c r="A13" s="16" t="inlineStr">
        <is>
          <t>Out</t>
        </is>
      </c>
      <c r="B13" s="13" t="n"/>
      <c r="C13" s="13" t="n"/>
      <c r="D13" s="13" t="n"/>
      <c r="E13" s="14">
        <f>IF(COUNT($B13:$D13)=0,"",SUM($B13:$D13))</f>
        <v/>
      </c>
      <c r="F13" s="12" t="n"/>
    </row>
    <row r="14">
      <c r="A14" s="16" t="inlineStr">
        <is>
          <t>Nov</t>
        </is>
      </c>
      <c r="B14" s="13" t="n"/>
      <c r="C14" s="13" t="n"/>
      <c r="D14" s="13" t="n"/>
      <c r="E14" s="14">
        <f>IF(COUNT($B14:$D14)=0,"",SUM($B14:$D14))</f>
        <v/>
      </c>
      <c r="F14" s="12" t="n"/>
    </row>
    <row r="15">
      <c r="A15" s="16" t="inlineStr">
        <is>
          <t>Dez</t>
        </is>
      </c>
      <c r="B15" s="13" t="n"/>
      <c r="C15" s="13" t="n"/>
      <c r="D15" s="13" t="n"/>
      <c r="E15" s="14">
        <f>IF(COUNT($B15:$D15)=0,"",SUM($B15:$D15))</f>
        <v/>
      </c>
      <c r="F15" s="12" t="n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JANEIRO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Fixo'!$A:$A,"Jan",'Custo Fixo'!$E:$E)</f>
        <v/>
      </c>
      <c r="C6" s="19">
        <f>SUMIF(Projetos!$C:$C,"Jan",Projetos!$B:$B)</f>
        <v/>
      </c>
      <c r="D6" s="20">
        <f>SUMIF(Ambientes!$D:$D,"Jan",Ambientes!$H:$H)</f>
        <v/>
      </c>
      <c r="E6" s="19">
        <f>SUMIF(Ambientes!$D:$D,"Jan",Ambientes!$C:$C)</f>
        <v/>
      </c>
      <c r="F6" s="19">
        <f>SUMIF(Ambientes!$E:$E,"Jan",Ambientes!$C:$C)</f>
        <v/>
      </c>
      <c r="G6" s="19">
        <f>SUMIF(Faturamento!$D:$D,"Jan",Faturamento!$C:$C)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SUMIF(Compras!$E:$E,"Jan",Compras!$D:$D)</f>
        <v/>
      </c>
      <c r="C12" s="27">
        <f>SUMIFS(Compras!$D:$D,Compras!$H:$H,"&lt;=1",Compras!$A:$A,"&lt;&gt;")-SUMIF(Ambientes!$J:$J,"&lt;=1",Ambientes!$H:$H)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SUMIF(Projetos!$H:$H,"&lt;=1",Projetos!$B:$B)-SUMIF(Ambientes!$J:$J,"&lt;=1",Ambientes!$C:$C)</f>
        <v/>
      </c>
    </row>
    <row r="13" ht="26" customHeight="1">
      <c r="B13" s="30">
        <f>=IF(SUMIF(Compras!$E:$E,"Jan",Compras!$D:$D)-SUMIFS(Compras!$D:$D,Compras!$E:$E,"Jan",Compras!$A:$A,"&lt;&gt;")=0,"tudo vinculado a projeto","dos quais "&amp;TEXT(SUMIF(Compras!$E:$E,"Jan",Compras!$D:$D)-SUMIFS(Compras!$D:$D,Compras!$E:$E,"Jan",Compras!$A:$A,"&lt;&gt;"),"R$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IF($B17="","",SUMIFS(Ambientes!$C:$C,Ambientes!$A:$A,$B17,Ambientes!$D:$D,"Jan"))</f>
        <v/>
      </c>
      <c r="D17" s="32">
        <f>IF($B17="","",SUMIFS(Ambientes!$C:$C,Ambientes!$A:$A,$B17,Ambientes!$E:$E,"Jan"))</f>
        <v/>
      </c>
      <c r="E17" s="32">
        <f>IF($B17="","",SUMIFS(Ambientes!$H:$H,Ambientes!$A:$A,$B17,Ambientes!$D:$D,"Jan"))</f>
        <v/>
      </c>
      <c r="F17" s="32">
        <f>IF($B17="","",SUMIFS(Faturamento!$C:$C,Faturamento!$A:$A,$B17,Faturamento!$D:$D,"Jan"))</f>
        <v/>
      </c>
      <c r="G17" s="32">
        <f>IF($B17="","",SUMIFS(Projetos!$B:$B,Projetos!$A:$A,$B17,Projetos!$C:$C,"Jan"))</f>
        <v/>
      </c>
    </row>
    <row r="18">
      <c r="B18" s="33">
        <f>IF(Projetos!$A5="","",Projetos!$A5)</f>
        <v/>
      </c>
      <c r="C18" s="34">
        <f>IF($B18="","",SUMIFS(Ambientes!$C:$C,Ambientes!$A:$A,$B18,Ambientes!$D:$D,"Jan"))</f>
        <v/>
      </c>
      <c r="D18" s="34">
        <f>IF($B18="","",SUMIFS(Ambientes!$C:$C,Ambientes!$A:$A,$B18,Ambientes!$E:$E,"Jan"))</f>
        <v/>
      </c>
      <c r="E18" s="34">
        <f>IF($B18="","",SUMIFS(Ambientes!$H:$H,Ambientes!$A:$A,$B18,Ambientes!$D:$D,"Jan"))</f>
        <v/>
      </c>
      <c r="F18" s="34">
        <f>IF($B18="","",SUMIFS(Faturamento!$C:$C,Faturamento!$A:$A,$B18,Faturamento!$D:$D,"Jan"))</f>
        <v/>
      </c>
      <c r="G18" s="34">
        <f>IF($B18="","",SUMIFS(Projetos!$B:$B,Projetos!$A:$A,$B18,Projetos!$C:$C,"Jan"))</f>
        <v/>
      </c>
    </row>
    <row r="19">
      <c r="B19" s="31">
        <f>IF(Projetos!$A6="","",Projetos!$A6)</f>
        <v/>
      </c>
      <c r="C19" s="32">
        <f>IF($B19="","",SUMIFS(Ambientes!$C:$C,Ambientes!$A:$A,$B19,Ambientes!$D:$D,"Jan"))</f>
        <v/>
      </c>
      <c r="D19" s="32">
        <f>IF($B19="","",SUMIFS(Ambientes!$C:$C,Ambientes!$A:$A,$B19,Ambientes!$E:$E,"Jan"))</f>
        <v/>
      </c>
      <c r="E19" s="32">
        <f>IF($B19="","",SUMIFS(Ambientes!$H:$H,Ambientes!$A:$A,$B19,Ambientes!$D:$D,"Jan"))</f>
        <v/>
      </c>
      <c r="F19" s="32">
        <f>IF($B19="","",SUMIFS(Faturamento!$C:$C,Faturamento!$A:$A,$B19,Faturamento!$D:$D,"Jan"))</f>
        <v/>
      </c>
      <c r="G19" s="32">
        <f>IF($B19="","",SUMIFS(Projetos!$B:$B,Projetos!$A:$A,$B19,Projetos!$C:$C,"Jan"))</f>
        <v/>
      </c>
    </row>
    <row r="20">
      <c r="B20" s="33">
        <f>IF(Projetos!$A7="","",Projetos!$A7)</f>
        <v/>
      </c>
      <c r="C20" s="34">
        <f>IF($B20="","",SUMIFS(Ambientes!$C:$C,Ambientes!$A:$A,$B20,Ambientes!$D:$D,"Jan"))</f>
        <v/>
      </c>
      <c r="D20" s="34">
        <f>IF($B20="","",SUMIFS(Ambientes!$C:$C,Ambientes!$A:$A,$B20,Ambientes!$E:$E,"Jan"))</f>
        <v/>
      </c>
      <c r="E20" s="34">
        <f>IF($B20="","",SUMIFS(Ambientes!$H:$H,Ambientes!$A:$A,$B20,Ambientes!$D:$D,"Jan"))</f>
        <v/>
      </c>
      <c r="F20" s="34">
        <f>IF($B20="","",SUMIFS(Faturamento!$C:$C,Faturamento!$A:$A,$B20,Faturamento!$D:$D,"Jan"))</f>
        <v/>
      </c>
      <c r="G20" s="34">
        <f>IF($B20="","",SUMIFS(Projetos!$B:$B,Projetos!$A:$A,$B20,Projetos!$C:$C,"Jan"))</f>
        <v/>
      </c>
    </row>
    <row r="21">
      <c r="B21" s="31">
        <f>IF(Projetos!$A8="","",Projetos!$A8)</f>
        <v/>
      </c>
      <c r="C21" s="32">
        <f>IF($B21="","",SUMIFS(Ambientes!$C:$C,Ambientes!$A:$A,$B21,Ambientes!$D:$D,"Jan"))</f>
        <v/>
      </c>
      <c r="D21" s="32">
        <f>IF($B21="","",SUMIFS(Ambientes!$C:$C,Ambientes!$A:$A,$B21,Ambientes!$E:$E,"Jan"))</f>
        <v/>
      </c>
      <c r="E21" s="32">
        <f>IF($B21="","",SUMIFS(Ambientes!$H:$H,Ambientes!$A:$A,$B21,Ambientes!$D:$D,"Jan"))</f>
        <v/>
      </c>
      <c r="F21" s="32">
        <f>IF($B21="","",SUMIFS(Faturamento!$C:$C,Faturamento!$A:$A,$B21,Faturamento!$D:$D,"Jan"))</f>
        <v/>
      </c>
      <c r="G21" s="32">
        <f>IF($B21="","",SUMIFS(Projetos!$B:$B,Projetos!$A:$A,$B21,Projetos!$C:$C,"Jan"))</f>
        <v/>
      </c>
    </row>
    <row r="22">
      <c r="B22" s="33">
        <f>IF(Projetos!$A9="","",Projetos!$A9)</f>
        <v/>
      </c>
      <c r="C22" s="34">
        <f>IF($B22="","",SUMIFS(Ambientes!$C:$C,Ambientes!$A:$A,$B22,Ambientes!$D:$D,"Jan"))</f>
        <v/>
      </c>
      <c r="D22" s="34">
        <f>IF($B22="","",SUMIFS(Ambientes!$C:$C,Ambientes!$A:$A,$B22,Ambientes!$E:$E,"Jan"))</f>
        <v/>
      </c>
      <c r="E22" s="34">
        <f>IF($B22="","",SUMIFS(Ambientes!$H:$H,Ambientes!$A:$A,$B22,Ambientes!$D:$D,"Jan"))</f>
        <v/>
      </c>
      <c r="F22" s="34">
        <f>IF($B22="","",SUMIFS(Faturamento!$C:$C,Faturamento!$A:$A,$B22,Faturamento!$D:$D,"Jan"))</f>
        <v/>
      </c>
      <c r="G22" s="34">
        <f>IF($B22="","",SUMIFS(Projetos!$B:$B,Projetos!$A:$A,$B22,Projetos!$C:$C,"Jan"))</f>
        <v/>
      </c>
    </row>
    <row r="23">
      <c r="B23" s="31">
        <f>IF(Projetos!$A10="","",Projetos!$A10)</f>
        <v/>
      </c>
      <c r="C23" s="32">
        <f>IF($B23="","",SUMIFS(Ambientes!$C:$C,Ambientes!$A:$A,$B23,Ambientes!$D:$D,"Jan"))</f>
        <v/>
      </c>
      <c r="D23" s="32">
        <f>IF($B23="","",SUMIFS(Ambientes!$C:$C,Ambientes!$A:$A,$B23,Ambientes!$E:$E,"Jan"))</f>
        <v/>
      </c>
      <c r="E23" s="32">
        <f>IF($B23="","",SUMIFS(Ambientes!$H:$H,Ambientes!$A:$A,$B23,Ambientes!$D:$D,"Jan"))</f>
        <v/>
      </c>
      <c r="F23" s="32">
        <f>IF($B23="","",SUMIFS(Faturamento!$C:$C,Faturamento!$A:$A,$B23,Faturamento!$D:$D,"Jan"))</f>
        <v/>
      </c>
      <c r="G23" s="32">
        <f>IF($B23="","",SUMIFS(Projetos!$B:$B,Projetos!$A:$A,$B23,Projetos!$C:$C,"Jan"))</f>
        <v/>
      </c>
    </row>
    <row r="24">
      <c r="B24" s="33">
        <f>IF(Projetos!$A11="","",Projetos!$A11)</f>
        <v/>
      </c>
      <c r="C24" s="34">
        <f>IF($B24="","",SUMIFS(Ambientes!$C:$C,Ambientes!$A:$A,$B24,Ambientes!$D:$D,"Jan"))</f>
        <v/>
      </c>
      <c r="D24" s="34">
        <f>IF($B24="","",SUMIFS(Ambientes!$C:$C,Ambientes!$A:$A,$B24,Ambientes!$E:$E,"Jan"))</f>
        <v/>
      </c>
      <c r="E24" s="34">
        <f>IF($B24="","",SUMIFS(Ambientes!$H:$H,Ambientes!$A:$A,$B24,Ambientes!$D:$D,"Jan"))</f>
        <v/>
      </c>
      <c r="F24" s="34">
        <f>IF($B24="","",SUMIFS(Faturamento!$C:$C,Faturamento!$A:$A,$B24,Faturamento!$D:$D,"Jan"))</f>
        <v/>
      </c>
      <c r="G24" s="34">
        <f>IF($B24="","",SUMIFS(Projetos!$B:$B,Projetos!$A:$A,$B24,Projetos!$C:$C,"Jan"))</f>
        <v/>
      </c>
    </row>
    <row r="25">
      <c r="B25" s="31">
        <f>IF(Projetos!$A12="","",Projetos!$A12)</f>
        <v/>
      </c>
      <c r="C25" s="32">
        <f>IF($B25="","",SUMIFS(Ambientes!$C:$C,Ambientes!$A:$A,$B25,Ambientes!$D:$D,"Jan"))</f>
        <v/>
      </c>
      <c r="D25" s="32">
        <f>IF($B25="","",SUMIFS(Ambientes!$C:$C,Ambientes!$A:$A,$B25,Ambientes!$E:$E,"Jan"))</f>
        <v/>
      </c>
      <c r="E25" s="32">
        <f>IF($B25="","",SUMIFS(Ambientes!$H:$H,Ambientes!$A:$A,$B25,Ambientes!$D:$D,"Jan"))</f>
        <v/>
      </c>
      <c r="F25" s="32">
        <f>IF($B25="","",SUMIFS(Faturamento!$C:$C,Faturamento!$A:$A,$B25,Faturamento!$D:$D,"Jan"))</f>
        <v/>
      </c>
      <c r="G25" s="32">
        <f>IF($B25="","",SUMIFS(Projetos!$B:$B,Projetos!$A:$A,$B25,Projetos!$C:$C,"Jan"))</f>
        <v/>
      </c>
    </row>
    <row r="26">
      <c r="B26" s="33">
        <f>IF(Projetos!$A13="","",Projetos!$A13)</f>
        <v/>
      </c>
      <c r="C26" s="34">
        <f>IF($B26="","",SUMIFS(Ambientes!$C:$C,Ambientes!$A:$A,$B26,Ambientes!$D:$D,"Jan"))</f>
        <v/>
      </c>
      <c r="D26" s="34">
        <f>IF($B26="","",SUMIFS(Ambientes!$C:$C,Ambientes!$A:$A,$B26,Ambientes!$E:$E,"Jan"))</f>
        <v/>
      </c>
      <c r="E26" s="34">
        <f>IF($B26="","",SUMIFS(Ambientes!$H:$H,Ambientes!$A:$A,$B26,Ambientes!$D:$D,"Jan"))</f>
        <v/>
      </c>
      <c r="F26" s="34">
        <f>IF($B26="","",SUMIFS(Faturamento!$C:$C,Faturamento!$A:$A,$B26,Faturamento!$D:$D,"Jan"))</f>
        <v/>
      </c>
      <c r="G26" s="34">
        <f>IF($B26="","",SUMIFS(Projetos!$B:$B,Projetos!$A:$A,$B26,Projetos!$C:$C,"Jan"))</f>
        <v/>
      </c>
    </row>
    <row r="27">
      <c r="B27" s="31">
        <f>IF(Projetos!$A14="","",Projetos!$A14)</f>
        <v/>
      </c>
      <c r="C27" s="32">
        <f>IF($B27="","",SUMIFS(Ambientes!$C:$C,Ambientes!$A:$A,$B27,Ambientes!$D:$D,"Jan"))</f>
        <v/>
      </c>
      <c r="D27" s="32">
        <f>IF($B27="","",SUMIFS(Ambientes!$C:$C,Ambientes!$A:$A,$B27,Ambientes!$E:$E,"Jan"))</f>
        <v/>
      </c>
      <c r="E27" s="32">
        <f>IF($B27="","",SUMIFS(Ambientes!$H:$H,Ambientes!$A:$A,$B27,Ambientes!$D:$D,"Jan"))</f>
        <v/>
      </c>
      <c r="F27" s="32">
        <f>IF($B27="","",SUMIFS(Faturamento!$C:$C,Faturamento!$A:$A,$B27,Faturamento!$D:$D,"Jan"))</f>
        <v/>
      </c>
      <c r="G27" s="32">
        <f>IF($B27="","",SUMIFS(Projetos!$B:$B,Projetos!$A:$A,$B27,Projetos!$C:$C,"Jan"))</f>
        <v/>
      </c>
    </row>
    <row r="28">
      <c r="B28" s="33">
        <f>IF(Projetos!$A15="","",Projetos!$A15)</f>
        <v/>
      </c>
      <c r="C28" s="34">
        <f>IF($B28="","",SUMIFS(Ambientes!$C:$C,Ambientes!$A:$A,$B28,Ambientes!$D:$D,"Jan"))</f>
        <v/>
      </c>
      <c r="D28" s="34">
        <f>IF($B28="","",SUMIFS(Ambientes!$C:$C,Ambientes!$A:$A,$B28,Ambientes!$E:$E,"Jan"))</f>
        <v/>
      </c>
      <c r="E28" s="34">
        <f>IF($B28="","",SUMIFS(Ambientes!$H:$H,Ambientes!$A:$A,$B28,Ambientes!$D:$D,"Jan"))</f>
        <v/>
      </c>
      <c r="F28" s="34">
        <f>IF($B28="","",SUMIFS(Faturamento!$C:$C,Faturamento!$A:$A,$B28,Faturamento!$D:$D,"Jan"))</f>
        <v/>
      </c>
      <c r="G28" s="34">
        <f>IF($B28="","",SUMIFS(Projetos!$B:$B,Projetos!$A:$A,$B28,Projetos!$C:$C,"Jan"))</f>
        <v/>
      </c>
    </row>
    <row r="29">
      <c r="B29" s="31">
        <f>IF(Projetos!$A16="","",Projetos!$A16)</f>
        <v/>
      </c>
      <c r="C29" s="32">
        <f>IF($B29="","",SUMIFS(Ambientes!$C:$C,Ambientes!$A:$A,$B29,Ambientes!$D:$D,"Jan"))</f>
        <v/>
      </c>
      <c r="D29" s="32">
        <f>IF($B29="","",SUMIFS(Ambientes!$C:$C,Ambientes!$A:$A,$B29,Ambientes!$E:$E,"Jan"))</f>
        <v/>
      </c>
      <c r="E29" s="32">
        <f>IF($B29="","",SUMIFS(Ambientes!$H:$H,Ambientes!$A:$A,$B29,Ambientes!$D:$D,"Jan"))</f>
        <v/>
      </c>
      <c r="F29" s="32">
        <f>IF($B29="","",SUMIFS(Faturamento!$C:$C,Faturamento!$A:$A,$B29,Faturamento!$D:$D,"Jan"))</f>
        <v/>
      </c>
      <c r="G29" s="32">
        <f>IF($B29="","",SUMIFS(Projetos!$B:$B,Projetos!$A:$A,$B29,Projetos!$C:$C,"Jan"))</f>
        <v/>
      </c>
    </row>
    <row r="30">
      <c r="B30" s="33">
        <f>IF(Projetos!$A17="","",Projetos!$A17)</f>
        <v/>
      </c>
      <c r="C30" s="34">
        <f>IF($B30="","",SUMIFS(Ambientes!$C:$C,Ambientes!$A:$A,$B30,Ambientes!$D:$D,"Jan"))</f>
        <v/>
      </c>
      <c r="D30" s="34">
        <f>IF($B30="","",SUMIFS(Ambientes!$C:$C,Ambientes!$A:$A,$B30,Ambientes!$E:$E,"Jan"))</f>
        <v/>
      </c>
      <c r="E30" s="34">
        <f>IF($B30="","",SUMIFS(Ambientes!$H:$H,Ambientes!$A:$A,$B30,Ambientes!$D:$D,"Jan"))</f>
        <v/>
      </c>
      <c r="F30" s="34">
        <f>IF($B30="","",SUMIFS(Faturamento!$C:$C,Faturamento!$A:$A,$B30,Faturamento!$D:$D,"Jan"))</f>
        <v/>
      </c>
      <c r="G30" s="34">
        <f>IF($B30="","",SUMIFS(Projetos!$B:$B,Projetos!$A:$A,$B30,Projetos!$C:$C,"Jan"))</f>
        <v/>
      </c>
    </row>
    <row r="31">
      <c r="B31" s="31">
        <f>IF(Projetos!$A18="","",Projetos!$A18)</f>
        <v/>
      </c>
      <c r="C31" s="32">
        <f>IF($B31="","",SUMIFS(Ambientes!$C:$C,Ambientes!$A:$A,$B31,Ambientes!$D:$D,"Jan"))</f>
        <v/>
      </c>
      <c r="D31" s="32">
        <f>IF($B31="","",SUMIFS(Ambientes!$C:$C,Ambientes!$A:$A,$B31,Ambientes!$E:$E,"Jan"))</f>
        <v/>
      </c>
      <c r="E31" s="32">
        <f>IF($B31="","",SUMIFS(Ambientes!$H:$H,Ambientes!$A:$A,$B31,Ambientes!$D:$D,"Jan"))</f>
        <v/>
      </c>
      <c r="F31" s="32">
        <f>IF($B31="","",SUMIFS(Faturamento!$C:$C,Faturamento!$A:$A,$B31,Faturamento!$D:$D,"Jan"))</f>
        <v/>
      </c>
      <c r="G31" s="32">
        <f>IF($B31="","",SUMIFS(Projetos!$B:$B,Projetos!$A:$A,$B31,Projetos!$C:$C,"Jan"))</f>
        <v/>
      </c>
    </row>
    <row r="32">
      <c r="B32" s="33">
        <f>IF(Projetos!$A19="","",Projetos!$A19)</f>
        <v/>
      </c>
      <c r="C32" s="34">
        <f>IF($B32="","",SUMIFS(Ambientes!$C:$C,Ambientes!$A:$A,$B32,Ambientes!$D:$D,"Jan"))</f>
        <v/>
      </c>
      <c r="D32" s="34">
        <f>IF($B32="","",SUMIFS(Ambientes!$C:$C,Ambientes!$A:$A,$B32,Ambientes!$E:$E,"Jan"))</f>
        <v/>
      </c>
      <c r="E32" s="34">
        <f>IF($B32="","",SUMIFS(Ambientes!$H:$H,Ambientes!$A:$A,$B32,Ambientes!$D:$D,"Jan"))</f>
        <v/>
      </c>
      <c r="F32" s="34">
        <f>IF($B32="","",SUMIFS(Faturamento!$C:$C,Faturamento!$A:$A,$B32,Faturamento!$D:$D,"Jan"))</f>
        <v/>
      </c>
      <c r="G32" s="34">
        <f>IF($B32="","",SUMIFS(Projetos!$B:$B,Projetos!$A:$A,$B32,Projetos!$C:$C,"Jan"))</f>
        <v/>
      </c>
    </row>
    <row r="33">
      <c r="B33" s="31">
        <f>IF(Projetos!$A20="","",Projetos!$A20)</f>
        <v/>
      </c>
      <c r="C33" s="32">
        <f>IF($B33="","",SUMIFS(Ambientes!$C:$C,Ambientes!$A:$A,$B33,Ambientes!$D:$D,"Jan"))</f>
        <v/>
      </c>
      <c r="D33" s="32">
        <f>IF($B33="","",SUMIFS(Ambientes!$C:$C,Ambientes!$A:$A,$B33,Ambientes!$E:$E,"Jan"))</f>
        <v/>
      </c>
      <c r="E33" s="32">
        <f>IF($B33="","",SUMIFS(Ambientes!$H:$H,Ambientes!$A:$A,$B33,Ambientes!$D:$D,"Jan"))</f>
        <v/>
      </c>
      <c r="F33" s="32">
        <f>IF($B33="","",SUMIFS(Faturamento!$C:$C,Faturamento!$A:$A,$B33,Faturamento!$D:$D,"Jan"))</f>
        <v/>
      </c>
      <c r="G33" s="32">
        <f>IF($B33="","",SUMIFS(Projetos!$B:$B,Projetos!$A:$A,$B33,Projetos!$C:$C,"Jan"))</f>
        <v/>
      </c>
    </row>
    <row r="34">
      <c r="B34" s="33">
        <f>IF(Projetos!$A21="","",Projetos!$A21)</f>
        <v/>
      </c>
      <c r="C34" s="34">
        <f>IF($B34="","",SUMIFS(Ambientes!$C:$C,Ambientes!$A:$A,$B34,Ambientes!$D:$D,"Jan"))</f>
        <v/>
      </c>
      <c r="D34" s="34">
        <f>IF($B34="","",SUMIFS(Ambientes!$C:$C,Ambientes!$A:$A,$B34,Ambientes!$E:$E,"Jan"))</f>
        <v/>
      </c>
      <c r="E34" s="34">
        <f>IF($B34="","",SUMIFS(Ambientes!$H:$H,Ambientes!$A:$A,$B34,Ambientes!$D:$D,"Jan"))</f>
        <v/>
      </c>
      <c r="F34" s="34">
        <f>IF($B34="","",SUMIFS(Faturamento!$C:$C,Faturamento!$A:$A,$B34,Faturamento!$D:$D,"Jan"))</f>
        <v/>
      </c>
      <c r="G34" s="34">
        <f>IF($B34="","",SUMIFS(Projetos!$B:$B,Projetos!$A:$A,$B34,Projetos!$C:$C,"Jan"))</f>
        <v/>
      </c>
    </row>
    <row r="35">
      <c r="B35" s="31">
        <f>IF(Projetos!$A22="","",Projetos!$A22)</f>
        <v/>
      </c>
      <c r="C35" s="32">
        <f>IF($B35="","",SUMIFS(Ambientes!$C:$C,Ambientes!$A:$A,$B35,Ambientes!$D:$D,"Jan"))</f>
        <v/>
      </c>
      <c r="D35" s="32">
        <f>IF($B35="","",SUMIFS(Ambientes!$C:$C,Ambientes!$A:$A,$B35,Ambientes!$E:$E,"Jan"))</f>
        <v/>
      </c>
      <c r="E35" s="32">
        <f>IF($B35="","",SUMIFS(Ambientes!$H:$H,Ambientes!$A:$A,$B35,Ambientes!$D:$D,"Jan"))</f>
        <v/>
      </c>
      <c r="F35" s="32">
        <f>IF($B35="","",SUMIFS(Faturamento!$C:$C,Faturamento!$A:$A,$B35,Faturamento!$D:$D,"Jan"))</f>
        <v/>
      </c>
      <c r="G35" s="32">
        <f>IF($B35="","",SUMIFS(Projetos!$B:$B,Projetos!$A:$A,$B35,Projetos!$C:$C,"Jan"))</f>
        <v/>
      </c>
    </row>
    <row r="36">
      <c r="B36" s="33">
        <f>IF(Projetos!$A23="","",Projetos!$A23)</f>
        <v/>
      </c>
      <c r="C36" s="34">
        <f>IF($B36="","",SUMIFS(Ambientes!$C:$C,Ambientes!$A:$A,$B36,Ambientes!$D:$D,"Jan"))</f>
        <v/>
      </c>
      <c r="D36" s="34">
        <f>IF($B36="","",SUMIFS(Ambientes!$C:$C,Ambientes!$A:$A,$B36,Ambientes!$E:$E,"Jan"))</f>
        <v/>
      </c>
      <c r="E36" s="34">
        <f>IF($B36="","",SUMIFS(Ambientes!$H:$H,Ambientes!$A:$A,$B36,Ambientes!$D:$D,"Jan"))</f>
        <v/>
      </c>
      <c r="F36" s="34">
        <f>IF($B36="","",SUMIFS(Faturamento!$C:$C,Faturamento!$A:$A,$B36,Faturamento!$D:$D,"Jan"))</f>
        <v/>
      </c>
      <c r="G36" s="34">
        <f>IF($B36="","",SUMIFS(Projetos!$B:$B,Projetos!$A:$A,$B36,Projetos!$C:$C,"Jan"))</f>
        <v/>
      </c>
    </row>
    <row r="37">
      <c r="B37" s="31">
        <f>IF(Projetos!$A24="","",Projetos!$A24)</f>
        <v/>
      </c>
      <c r="C37" s="32">
        <f>IF($B37="","",SUMIFS(Ambientes!$C:$C,Ambientes!$A:$A,$B37,Ambientes!$D:$D,"Jan"))</f>
        <v/>
      </c>
      <c r="D37" s="32">
        <f>IF($B37="","",SUMIFS(Ambientes!$C:$C,Ambientes!$A:$A,$B37,Ambientes!$E:$E,"Jan"))</f>
        <v/>
      </c>
      <c r="E37" s="32">
        <f>IF($B37="","",SUMIFS(Ambientes!$H:$H,Ambientes!$A:$A,$B37,Ambientes!$D:$D,"Jan"))</f>
        <v/>
      </c>
      <c r="F37" s="32">
        <f>IF($B37="","",SUMIFS(Faturamento!$C:$C,Faturamento!$A:$A,$B37,Faturamento!$D:$D,"Jan"))</f>
        <v/>
      </c>
      <c r="G37" s="32">
        <f>IF($B37="","",SUMIFS(Projetos!$B:$B,Projetos!$A:$A,$B37,Projetos!$C:$C,"Jan"))</f>
        <v/>
      </c>
    </row>
    <row r="38">
      <c r="B38" s="33">
        <f>IF(Projetos!$A25="","",Projetos!$A25)</f>
        <v/>
      </c>
      <c r="C38" s="34">
        <f>IF($B38="","",SUMIFS(Ambientes!$C:$C,Ambientes!$A:$A,$B38,Ambientes!$D:$D,"Jan"))</f>
        <v/>
      </c>
      <c r="D38" s="34">
        <f>IF($B38="","",SUMIFS(Ambientes!$C:$C,Ambientes!$A:$A,$B38,Ambientes!$E:$E,"Jan"))</f>
        <v/>
      </c>
      <c r="E38" s="34">
        <f>IF($B38="","",SUMIFS(Ambientes!$H:$H,Ambientes!$A:$A,$B38,Ambientes!$D:$D,"Jan"))</f>
        <v/>
      </c>
      <c r="F38" s="34">
        <f>IF($B38="","",SUMIFS(Faturamento!$C:$C,Faturamento!$A:$A,$B38,Faturamento!$D:$D,"Jan"))</f>
        <v/>
      </c>
      <c r="G38" s="34">
        <f>IF($B38="","",SUMIFS(Projetos!$B:$B,Projetos!$A:$A,$B38,Projetos!$C:$C,"Jan"))</f>
        <v/>
      </c>
    </row>
    <row r="39">
      <c r="B39" s="31">
        <f>IF(Projetos!$A26="","",Projetos!$A26)</f>
        <v/>
      </c>
      <c r="C39" s="32">
        <f>IF($B39="","",SUMIFS(Ambientes!$C:$C,Ambientes!$A:$A,$B39,Ambientes!$D:$D,"Jan"))</f>
        <v/>
      </c>
      <c r="D39" s="32">
        <f>IF($B39="","",SUMIFS(Ambientes!$C:$C,Ambientes!$A:$A,$B39,Ambientes!$E:$E,"Jan"))</f>
        <v/>
      </c>
      <c r="E39" s="32">
        <f>IF($B39="","",SUMIFS(Ambientes!$H:$H,Ambientes!$A:$A,$B39,Ambientes!$D:$D,"Jan"))</f>
        <v/>
      </c>
      <c r="F39" s="32">
        <f>IF($B39="","",SUMIFS(Faturamento!$C:$C,Faturamento!$A:$A,$B39,Faturamento!$D:$D,"Jan"))</f>
        <v/>
      </c>
      <c r="G39" s="32">
        <f>IF($B39="","",SUMIFS(Projetos!$B:$B,Projetos!$A:$A,$B39,Projetos!$C:$C,"Jan"))</f>
        <v/>
      </c>
    </row>
    <row r="40">
      <c r="B40" s="33">
        <f>IF(Projetos!$A27="","",Projetos!$A27)</f>
        <v/>
      </c>
      <c r="C40" s="34">
        <f>IF($B40="","",SUMIFS(Ambientes!$C:$C,Ambientes!$A:$A,$B40,Ambientes!$D:$D,"Jan"))</f>
        <v/>
      </c>
      <c r="D40" s="34">
        <f>IF($B40="","",SUMIFS(Ambientes!$C:$C,Ambientes!$A:$A,$B40,Ambientes!$E:$E,"Jan"))</f>
        <v/>
      </c>
      <c r="E40" s="34">
        <f>IF($B40="","",SUMIFS(Ambientes!$H:$H,Ambientes!$A:$A,$B40,Ambientes!$D:$D,"Jan"))</f>
        <v/>
      </c>
      <c r="F40" s="34">
        <f>IF($B40="","",SUMIFS(Faturamento!$C:$C,Faturamento!$A:$A,$B40,Faturamento!$D:$D,"Jan"))</f>
        <v/>
      </c>
      <c r="G40" s="34">
        <f>IF($B40="","",SUMIFS(Projetos!$B:$B,Projetos!$A:$A,$B40,Projetos!$C:$C,"Jan"))</f>
        <v/>
      </c>
    </row>
    <row r="41">
      <c r="B41" s="31">
        <f>IF(Projetos!$A28="","",Projetos!$A28)</f>
        <v/>
      </c>
      <c r="C41" s="32">
        <f>IF($B41="","",SUMIFS(Ambientes!$C:$C,Ambientes!$A:$A,$B41,Ambientes!$D:$D,"Jan"))</f>
        <v/>
      </c>
      <c r="D41" s="32">
        <f>IF($B41="","",SUMIFS(Ambientes!$C:$C,Ambientes!$A:$A,$B41,Ambientes!$E:$E,"Jan"))</f>
        <v/>
      </c>
      <c r="E41" s="32">
        <f>IF($B41="","",SUMIFS(Ambientes!$H:$H,Ambientes!$A:$A,$B41,Ambientes!$D:$D,"Jan"))</f>
        <v/>
      </c>
      <c r="F41" s="32">
        <f>IF($B41="","",SUMIFS(Faturamento!$C:$C,Faturamento!$A:$A,$B41,Faturamento!$D:$D,"Jan"))</f>
        <v/>
      </c>
      <c r="G41" s="32">
        <f>IF($B41="","",SUMIFS(Projetos!$B:$B,Projetos!$A:$A,$B41,Projetos!$C:$C,"Jan"))</f>
        <v/>
      </c>
    </row>
    <row r="42">
      <c r="B42" s="33">
        <f>IF(Projetos!$A29="","",Projetos!$A29)</f>
        <v/>
      </c>
      <c r="C42" s="34">
        <f>IF($B42="","",SUMIFS(Ambientes!$C:$C,Ambientes!$A:$A,$B42,Ambientes!$D:$D,"Jan"))</f>
        <v/>
      </c>
      <c r="D42" s="34">
        <f>IF($B42="","",SUMIFS(Ambientes!$C:$C,Ambientes!$A:$A,$B42,Ambientes!$E:$E,"Jan"))</f>
        <v/>
      </c>
      <c r="E42" s="34">
        <f>IF($B42="","",SUMIFS(Ambientes!$H:$H,Ambientes!$A:$A,$B42,Ambientes!$D:$D,"Jan"))</f>
        <v/>
      </c>
      <c r="F42" s="34">
        <f>IF($B42="","",SUMIFS(Faturamento!$C:$C,Faturamento!$A:$A,$B42,Faturamento!$D:$D,"Jan"))</f>
        <v/>
      </c>
      <c r="G42" s="34">
        <f>IF($B42="","",SUMIFS(Projetos!$B:$B,Projetos!$A:$A,$B42,Projetos!$C:$C,"Jan"))</f>
        <v/>
      </c>
    </row>
    <row r="43">
      <c r="B43" s="31">
        <f>IF(Projetos!$A30="","",Projetos!$A30)</f>
        <v/>
      </c>
      <c r="C43" s="32">
        <f>IF($B43="","",SUMIFS(Ambientes!$C:$C,Ambientes!$A:$A,$B43,Ambientes!$D:$D,"Jan"))</f>
        <v/>
      </c>
      <c r="D43" s="32">
        <f>IF($B43="","",SUMIFS(Ambientes!$C:$C,Ambientes!$A:$A,$B43,Ambientes!$E:$E,"Jan"))</f>
        <v/>
      </c>
      <c r="E43" s="32">
        <f>IF($B43="","",SUMIFS(Ambientes!$H:$H,Ambientes!$A:$A,$B43,Ambientes!$D:$D,"Jan"))</f>
        <v/>
      </c>
      <c r="F43" s="32">
        <f>IF($B43="","",SUMIFS(Faturamento!$C:$C,Faturamento!$A:$A,$B43,Faturamento!$D:$D,"Jan"))</f>
        <v/>
      </c>
      <c r="G43" s="32">
        <f>IF($B43="","",SUMIFS(Projetos!$B:$B,Projetos!$A:$A,$B43,Projetos!$C:$C,"Jan"))</f>
        <v/>
      </c>
    </row>
    <row r="44">
      <c r="B44" s="33">
        <f>IF(Projetos!$A31="","",Projetos!$A31)</f>
        <v/>
      </c>
      <c r="C44" s="34">
        <f>IF($B44="","",SUMIFS(Ambientes!$C:$C,Ambientes!$A:$A,$B44,Ambientes!$D:$D,"Jan"))</f>
        <v/>
      </c>
      <c r="D44" s="34">
        <f>IF($B44="","",SUMIFS(Ambientes!$C:$C,Ambientes!$A:$A,$B44,Ambientes!$E:$E,"Jan"))</f>
        <v/>
      </c>
      <c r="E44" s="34">
        <f>IF($B44="","",SUMIFS(Ambientes!$H:$H,Ambientes!$A:$A,$B44,Ambientes!$D:$D,"Jan"))</f>
        <v/>
      </c>
      <c r="F44" s="34">
        <f>IF($B44="","",SUMIFS(Faturamento!$C:$C,Faturamento!$A:$A,$B44,Faturamento!$D:$D,"Jan"))</f>
        <v/>
      </c>
      <c r="G44" s="34">
        <f>IF($B44="","",SUMIFS(Projetos!$B:$B,Projetos!$A:$A,$B44,Projetos!$C:$C,"Jan"))</f>
        <v/>
      </c>
    </row>
    <row r="45">
      <c r="B45" s="31">
        <f>IF(Projetos!$A32="","",Projetos!$A32)</f>
        <v/>
      </c>
      <c r="C45" s="32">
        <f>IF($B45="","",SUMIFS(Ambientes!$C:$C,Ambientes!$A:$A,$B45,Ambientes!$D:$D,"Jan"))</f>
        <v/>
      </c>
      <c r="D45" s="32">
        <f>IF($B45="","",SUMIFS(Ambientes!$C:$C,Ambientes!$A:$A,$B45,Ambientes!$E:$E,"Jan"))</f>
        <v/>
      </c>
      <c r="E45" s="32">
        <f>IF($B45="","",SUMIFS(Ambientes!$H:$H,Ambientes!$A:$A,$B45,Ambientes!$D:$D,"Jan"))</f>
        <v/>
      </c>
      <c r="F45" s="32">
        <f>IF($B45="","",SUMIFS(Faturamento!$C:$C,Faturamento!$A:$A,$B45,Faturamento!$D:$D,"Jan"))</f>
        <v/>
      </c>
      <c r="G45" s="32">
        <f>IF($B45="","",SUMIFS(Projetos!$B:$B,Projetos!$A:$A,$B45,Projetos!$C:$C,"Jan"))</f>
        <v/>
      </c>
    </row>
    <row r="46">
      <c r="B46" s="33">
        <f>IF(Projetos!$A33="","",Projetos!$A33)</f>
        <v/>
      </c>
      <c r="C46" s="34">
        <f>IF($B46="","",SUMIFS(Ambientes!$C:$C,Ambientes!$A:$A,$B46,Ambientes!$D:$D,"Jan"))</f>
        <v/>
      </c>
      <c r="D46" s="34">
        <f>IF($B46="","",SUMIFS(Ambientes!$C:$C,Ambientes!$A:$A,$B46,Ambientes!$E:$E,"Jan"))</f>
        <v/>
      </c>
      <c r="E46" s="34">
        <f>IF($B46="","",SUMIFS(Ambientes!$H:$H,Ambientes!$A:$A,$B46,Ambientes!$D:$D,"Jan"))</f>
        <v/>
      </c>
      <c r="F46" s="34">
        <f>IF($B46="","",SUMIFS(Faturamento!$C:$C,Faturamento!$A:$A,$B46,Faturamento!$D:$D,"Jan"))</f>
        <v/>
      </c>
      <c r="G46" s="34">
        <f>IF($B46="","",SUMIFS(Projetos!$B:$B,Projetos!$A:$A,$B46,Projetos!$C:$C,"Jan"))</f>
        <v/>
      </c>
    </row>
    <row r="47">
      <c r="B47" s="31">
        <f>IF(Projetos!$A34="","",Projetos!$A34)</f>
        <v/>
      </c>
      <c r="C47" s="32">
        <f>IF($B47="","",SUMIFS(Ambientes!$C:$C,Ambientes!$A:$A,$B47,Ambientes!$D:$D,"Jan"))</f>
        <v/>
      </c>
      <c r="D47" s="32">
        <f>IF($B47="","",SUMIFS(Ambientes!$C:$C,Ambientes!$A:$A,$B47,Ambientes!$E:$E,"Jan"))</f>
        <v/>
      </c>
      <c r="E47" s="32">
        <f>IF($B47="","",SUMIFS(Ambientes!$H:$H,Ambientes!$A:$A,$B47,Ambientes!$D:$D,"Jan"))</f>
        <v/>
      </c>
      <c r="F47" s="32">
        <f>IF($B47="","",SUMIFS(Faturamento!$C:$C,Faturamento!$A:$A,$B47,Faturamento!$D:$D,"Jan"))</f>
        <v/>
      </c>
      <c r="G47" s="32">
        <f>IF($B47="","",SUMIFS(Projetos!$B:$B,Projetos!$A:$A,$B47,Projetos!$C:$C,"Jan"))</f>
        <v/>
      </c>
    </row>
    <row r="48">
      <c r="B48" s="33">
        <f>IF(Projetos!$A35="","",Projetos!$A35)</f>
        <v/>
      </c>
      <c r="C48" s="34">
        <f>IF($B48="","",SUMIFS(Ambientes!$C:$C,Ambientes!$A:$A,$B48,Ambientes!$D:$D,"Jan"))</f>
        <v/>
      </c>
      <c r="D48" s="34">
        <f>IF($B48="","",SUMIFS(Ambientes!$C:$C,Ambientes!$A:$A,$B48,Ambientes!$E:$E,"Jan"))</f>
        <v/>
      </c>
      <c r="E48" s="34">
        <f>IF($B48="","",SUMIFS(Ambientes!$H:$H,Ambientes!$A:$A,$B48,Ambientes!$D:$D,"Jan"))</f>
        <v/>
      </c>
      <c r="F48" s="34">
        <f>IF($B48="","",SUMIFS(Faturamento!$C:$C,Faturamento!$A:$A,$B48,Faturamento!$D:$D,"Jan"))</f>
        <v/>
      </c>
      <c r="G48" s="34">
        <f>IF($B48="","",SUMIFS(Projetos!$B:$B,Projetos!$A:$A,$B48,Projetos!$C:$C,"Jan"))</f>
        <v/>
      </c>
    </row>
    <row r="49">
      <c r="B49" s="31">
        <f>IF(Projetos!$A36="","",Projetos!$A36)</f>
        <v/>
      </c>
      <c r="C49" s="32">
        <f>IF($B49="","",SUMIFS(Ambientes!$C:$C,Ambientes!$A:$A,$B49,Ambientes!$D:$D,"Jan"))</f>
        <v/>
      </c>
      <c r="D49" s="32">
        <f>IF($B49="","",SUMIFS(Ambientes!$C:$C,Ambientes!$A:$A,$B49,Ambientes!$E:$E,"Jan"))</f>
        <v/>
      </c>
      <c r="E49" s="32">
        <f>IF($B49="","",SUMIFS(Ambientes!$H:$H,Ambientes!$A:$A,$B49,Ambientes!$D:$D,"Jan"))</f>
        <v/>
      </c>
      <c r="F49" s="32">
        <f>IF($B49="","",SUMIFS(Faturamento!$C:$C,Faturamento!$A:$A,$B49,Faturamento!$D:$D,"Jan"))</f>
        <v/>
      </c>
      <c r="G49" s="32">
        <f>IF($B49="","",SUMIFS(Projetos!$B:$B,Projetos!$A:$A,$B49,Projetos!$C:$C,"Jan"))</f>
        <v/>
      </c>
    </row>
    <row r="50">
      <c r="B50" s="33">
        <f>IF(Projetos!$A37="","",Projetos!$A37)</f>
        <v/>
      </c>
      <c r="C50" s="34">
        <f>IF($B50="","",SUMIFS(Ambientes!$C:$C,Ambientes!$A:$A,$B50,Ambientes!$D:$D,"Jan"))</f>
        <v/>
      </c>
      <c r="D50" s="34">
        <f>IF($B50="","",SUMIFS(Ambientes!$C:$C,Ambientes!$A:$A,$B50,Ambientes!$E:$E,"Jan"))</f>
        <v/>
      </c>
      <c r="E50" s="34">
        <f>IF($B50="","",SUMIFS(Ambientes!$H:$H,Ambientes!$A:$A,$B50,Ambientes!$D:$D,"Jan"))</f>
        <v/>
      </c>
      <c r="F50" s="34">
        <f>IF($B50="","",SUMIFS(Faturamento!$C:$C,Faturamento!$A:$A,$B50,Faturamento!$D:$D,"Jan"))</f>
        <v/>
      </c>
      <c r="G50" s="34">
        <f>IF($B50="","",SUMIFS(Projetos!$B:$B,Projetos!$A:$A,$B50,Projetos!$C:$C,"Jan"))</f>
        <v/>
      </c>
    </row>
    <row r="51">
      <c r="B51" s="31">
        <f>IF(Projetos!$A38="","",Projetos!$A38)</f>
        <v/>
      </c>
      <c r="C51" s="32">
        <f>IF($B51="","",SUMIFS(Ambientes!$C:$C,Ambientes!$A:$A,$B51,Ambientes!$D:$D,"Jan"))</f>
        <v/>
      </c>
      <c r="D51" s="32">
        <f>IF($B51="","",SUMIFS(Ambientes!$C:$C,Ambientes!$A:$A,$B51,Ambientes!$E:$E,"Jan"))</f>
        <v/>
      </c>
      <c r="E51" s="32">
        <f>IF($B51="","",SUMIFS(Ambientes!$H:$H,Ambientes!$A:$A,$B51,Ambientes!$D:$D,"Jan"))</f>
        <v/>
      </c>
      <c r="F51" s="32">
        <f>IF($B51="","",SUMIFS(Faturamento!$C:$C,Faturamento!$A:$A,$B51,Faturamento!$D:$D,"Jan"))</f>
        <v/>
      </c>
      <c r="G51" s="32">
        <f>IF($B51="","",SUMIFS(Projetos!$B:$B,Projetos!$A:$A,$B51,Projetos!$C:$C,"Jan"))</f>
        <v/>
      </c>
    </row>
    <row r="52">
      <c r="B52" s="33">
        <f>IF(Projetos!$A39="","",Projetos!$A39)</f>
        <v/>
      </c>
      <c r="C52" s="34">
        <f>IF($B52="","",SUMIFS(Ambientes!$C:$C,Ambientes!$A:$A,$B52,Ambientes!$D:$D,"Jan"))</f>
        <v/>
      </c>
      <c r="D52" s="34">
        <f>IF($B52="","",SUMIFS(Ambientes!$C:$C,Ambientes!$A:$A,$B52,Ambientes!$E:$E,"Jan"))</f>
        <v/>
      </c>
      <c r="E52" s="34">
        <f>IF($B52="","",SUMIFS(Ambientes!$H:$H,Ambientes!$A:$A,$B52,Ambientes!$D:$D,"Jan"))</f>
        <v/>
      </c>
      <c r="F52" s="34">
        <f>IF($B52="","",SUMIFS(Faturamento!$C:$C,Faturamento!$A:$A,$B52,Faturamento!$D:$D,"Jan"))</f>
        <v/>
      </c>
      <c r="G52" s="34">
        <f>IF($B52="","",SUMIFS(Projetos!$B:$B,Projetos!$A:$A,$B52,Projetos!$C:$C,"Jan"))</f>
        <v/>
      </c>
    </row>
    <row r="53">
      <c r="B53" s="31">
        <f>IF(Projetos!$A40="","",Projetos!$A40)</f>
        <v/>
      </c>
      <c r="C53" s="32">
        <f>IF($B53="","",SUMIFS(Ambientes!$C:$C,Ambientes!$A:$A,$B53,Ambientes!$D:$D,"Jan"))</f>
        <v/>
      </c>
      <c r="D53" s="32">
        <f>IF($B53="","",SUMIFS(Ambientes!$C:$C,Ambientes!$A:$A,$B53,Ambientes!$E:$E,"Jan"))</f>
        <v/>
      </c>
      <c r="E53" s="32">
        <f>IF($B53="","",SUMIFS(Ambientes!$H:$H,Ambientes!$A:$A,$B53,Ambientes!$D:$D,"Jan"))</f>
        <v/>
      </c>
      <c r="F53" s="32">
        <f>IF($B53="","",SUMIFS(Faturamento!$C:$C,Faturamento!$A:$A,$B53,Faturamento!$D:$D,"Jan"))</f>
        <v/>
      </c>
      <c r="G53" s="32">
        <f>IF($B53="","",SUMIFS(Projetos!$B:$B,Projetos!$A:$A,$B53,Projetos!$C:$C,"Jan"))</f>
        <v/>
      </c>
    </row>
    <row r="54">
      <c r="B54" s="33">
        <f>IF(Projetos!$A41="","",Projetos!$A41)</f>
        <v/>
      </c>
      <c r="C54" s="34">
        <f>IF($B54="","",SUMIFS(Ambientes!$C:$C,Ambientes!$A:$A,$B54,Ambientes!$D:$D,"Jan"))</f>
        <v/>
      </c>
      <c r="D54" s="34">
        <f>IF($B54="","",SUMIFS(Ambientes!$C:$C,Ambientes!$A:$A,$B54,Ambientes!$E:$E,"Jan"))</f>
        <v/>
      </c>
      <c r="E54" s="34">
        <f>IF($B54="","",SUMIFS(Ambientes!$H:$H,Ambientes!$A:$A,$B54,Ambientes!$D:$D,"Jan"))</f>
        <v/>
      </c>
      <c r="F54" s="34">
        <f>IF($B54="","",SUMIFS(Faturamento!$C:$C,Faturamento!$A:$A,$B54,Faturamento!$D:$D,"Jan"))</f>
        <v/>
      </c>
      <c r="G54" s="34">
        <f>IF($B54="","",SUMIFS(Projetos!$B:$B,Projetos!$A:$A,$B54,Projetos!$C:$C,"Jan"))</f>
        <v/>
      </c>
    </row>
    <row r="55">
      <c r="B55" s="31">
        <f>IF(Projetos!$A42="","",Projetos!$A42)</f>
        <v/>
      </c>
      <c r="C55" s="32">
        <f>IF($B55="","",SUMIFS(Ambientes!$C:$C,Ambientes!$A:$A,$B55,Ambientes!$D:$D,"Jan"))</f>
        <v/>
      </c>
      <c r="D55" s="32">
        <f>IF($B55="","",SUMIFS(Ambientes!$C:$C,Ambientes!$A:$A,$B55,Ambientes!$E:$E,"Jan"))</f>
        <v/>
      </c>
      <c r="E55" s="32">
        <f>IF($B55="","",SUMIFS(Ambientes!$H:$H,Ambientes!$A:$A,$B55,Ambientes!$D:$D,"Jan"))</f>
        <v/>
      </c>
      <c r="F55" s="32">
        <f>IF($B55="","",SUMIFS(Faturamento!$C:$C,Faturamento!$A:$A,$B55,Faturamento!$D:$D,"Jan"))</f>
        <v/>
      </c>
      <c r="G55" s="32">
        <f>IF($B55="","",SUMIFS(Projetos!$B:$B,Projetos!$A:$A,$B55,Projetos!$C:$C,"Jan"))</f>
        <v/>
      </c>
    </row>
    <row r="56">
      <c r="B56" s="33">
        <f>IF(Projetos!$A43="","",Projetos!$A43)</f>
        <v/>
      </c>
      <c r="C56" s="34">
        <f>IF($B56="","",SUMIFS(Ambientes!$C:$C,Ambientes!$A:$A,$B56,Ambientes!$D:$D,"Jan"))</f>
        <v/>
      </c>
      <c r="D56" s="34">
        <f>IF($B56="","",SUMIFS(Ambientes!$C:$C,Ambientes!$A:$A,$B56,Ambientes!$E:$E,"Jan"))</f>
        <v/>
      </c>
      <c r="E56" s="34">
        <f>IF($B56="","",SUMIFS(Ambientes!$H:$H,Ambientes!$A:$A,$B56,Ambientes!$D:$D,"Jan"))</f>
        <v/>
      </c>
      <c r="F56" s="34">
        <f>IF($B56="","",SUMIFS(Faturamento!$C:$C,Faturamento!$A:$A,$B56,Faturamento!$D:$D,"Jan"))</f>
        <v/>
      </c>
      <c r="G56" s="34">
        <f>IF($B56="","",SUMIFS(Projetos!$B:$B,Projetos!$A:$A,$B56,Projetos!$C:$C,"Jan"))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FEVEREIRO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Fixo'!$A:$A,"Fev",'Custo Fixo'!$E:$E)</f>
        <v/>
      </c>
      <c r="C6" s="19">
        <f>SUMIF(Projetos!$C:$C,"Fev",Projetos!$B:$B)</f>
        <v/>
      </c>
      <c r="D6" s="20">
        <f>SUMIF(Ambientes!$D:$D,"Fev",Ambientes!$H:$H)</f>
        <v/>
      </c>
      <c r="E6" s="19">
        <f>SUMIF(Ambientes!$D:$D,"Fev",Ambientes!$C:$C)</f>
        <v/>
      </c>
      <c r="F6" s="19">
        <f>SUMIF(Ambientes!$E:$E,"Fev",Ambientes!$C:$C)</f>
        <v/>
      </c>
      <c r="G6" s="19">
        <f>SUMIF(Faturamento!$D:$D,"Fev",Faturamento!$C:$C)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SUMIF(Compras!$E:$E,"Fev",Compras!$D:$D)</f>
        <v/>
      </c>
      <c r="C12" s="27">
        <f>SUMIFS(Compras!$D:$D,Compras!$H:$H,"&lt;=2",Compras!$A:$A,"&lt;&gt;")-SUMIF(Ambientes!$J:$J,"&lt;=2",Ambientes!$H:$H)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SUMIF(Projetos!$H:$H,"&lt;=2",Projetos!$B:$B)-SUMIF(Ambientes!$J:$J,"&lt;=2",Ambientes!$C:$C)</f>
        <v/>
      </c>
    </row>
    <row r="13" ht="26" customHeight="1">
      <c r="B13" s="30">
        <f>=IF(SUMIF(Compras!$E:$E,"Fev",Compras!$D:$D)-SUMIFS(Compras!$D:$D,Compras!$E:$E,"Fev",Compras!$A:$A,"&lt;&gt;")=0,"tudo vinculado a projeto","dos quais "&amp;TEXT(SUMIF(Compras!$E:$E,"Fev",Compras!$D:$D)-SUMIFS(Compras!$D:$D,Compras!$E:$E,"Fev",Compras!$A:$A,"&lt;&gt;"),"R$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IF($B17="","",SUMIFS(Ambientes!$C:$C,Ambientes!$A:$A,$B17,Ambientes!$D:$D,"Fev"))</f>
        <v/>
      </c>
      <c r="D17" s="32">
        <f>IF($B17="","",SUMIFS(Ambientes!$C:$C,Ambientes!$A:$A,$B17,Ambientes!$E:$E,"Fev"))</f>
        <v/>
      </c>
      <c r="E17" s="32">
        <f>IF($B17="","",SUMIFS(Ambientes!$H:$H,Ambientes!$A:$A,$B17,Ambientes!$D:$D,"Fev"))</f>
        <v/>
      </c>
      <c r="F17" s="32">
        <f>IF($B17="","",SUMIFS(Faturamento!$C:$C,Faturamento!$A:$A,$B17,Faturamento!$D:$D,"Fev"))</f>
        <v/>
      </c>
      <c r="G17" s="32">
        <f>IF($B17="","",SUMIFS(Projetos!$B:$B,Projetos!$A:$A,$B17,Projetos!$C:$C,"Fev"))</f>
        <v/>
      </c>
    </row>
    <row r="18">
      <c r="B18" s="33">
        <f>IF(Projetos!$A5="","",Projetos!$A5)</f>
        <v/>
      </c>
      <c r="C18" s="34">
        <f>IF($B18="","",SUMIFS(Ambientes!$C:$C,Ambientes!$A:$A,$B18,Ambientes!$D:$D,"Fev"))</f>
        <v/>
      </c>
      <c r="D18" s="34">
        <f>IF($B18="","",SUMIFS(Ambientes!$C:$C,Ambientes!$A:$A,$B18,Ambientes!$E:$E,"Fev"))</f>
        <v/>
      </c>
      <c r="E18" s="34">
        <f>IF($B18="","",SUMIFS(Ambientes!$H:$H,Ambientes!$A:$A,$B18,Ambientes!$D:$D,"Fev"))</f>
        <v/>
      </c>
      <c r="F18" s="34">
        <f>IF($B18="","",SUMIFS(Faturamento!$C:$C,Faturamento!$A:$A,$B18,Faturamento!$D:$D,"Fev"))</f>
        <v/>
      </c>
      <c r="G18" s="34">
        <f>IF($B18="","",SUMIFS(Projetos!$B:$B,Projetos!$A:$A,$B18,Projetos!$C:$C,"Fev"))</f>
        <v/>
      </c>
    </row>
    <row r="19">
      <c r="B19" s="31">
        <f>IF(Projetos!$A6="","",Projetos!$A6)</f>
        <v/>
      </c>
      <c r="C19" s="32">
        <f>IF($B19="","",SUMIFS(Ambientes!$C:$C,Ambientes!$A:$A,$B19,Ambientes!$D:$D,"Fev"))</f>
        <v/>
      </c>
      <c r="D19" s="32">
        <f>IF($B19="","",SUMIFS(Ambientes!$C:$C,Ambientes!$A:$A,$B19,Ambientes!$E:$E,"Fev"))</f>
        <v/>
      </c>
      <c r="E19" s="32">
        <f>IF($B19="","",SUMIFS(Ambientes!$H:$H,Ambientes!$A:$A,$B19,Ambientes!$D:$D,"Fev"))</f>
        <v/>
      </c>
      <c r="F19" s="32">
        <f>IF($B19="","",SUMIFS(Faturamento!$C:$C,Faturamento!$A:$A,$B19,Faturamento!$D:$D,"Fev"))</f>
        <v/>
      </c>
      <c r="G19" s="32">
        <f>IF($B19="","",SUMIFS(Projetos!$B:$B,Projetos!$A:$A,$B19,Projetos!$C:$C,"Fev"))</f>
        <v/>
      </c>
    </row>
    <row r="20">
      <c r="B20" s="33">
        <f>IF(Projetos!$A7="","",Projetos!$A7)</f>
        <v/>
      </c>
      <c r="C20" s="34">
        <f>IF($B20="","",SUMIFS(Ambientes!$C:$C,Ambientes!$A:$A,$B20,Ambientes!$D:$D,"Fev"))</f>
        <v/>
      </c>
      <c r="D20" s="34">
        <f>IF($B20="","",SUMIFS(Ambientes!$C:$C,Ambientes!$A:$A,$B20,Ambientes!$E:$E,"Fev"))</f>
        <v/>
      </c>
      <c r="E20" s="34">
        <f>IF($B20="","",SUMIFS(Ambientes!$H:$H,Ambientes!$A:$A,$B20,Ambientes!$D:$D,"Fev"))</f>
        <v/>
      </c>
      <c r="F20" s="34">
        <f>IF($B20="","",SUMIFS(Faturamento!$C:$C,Faturamento!$A:$A,$B20,Faturamento!$D:$D,"Fev"))</f>
        <v/>
      </c>
      <c r="G20" s="34">
        <f>IF($B20="","",SUMIFS(Projetos!$B:$B,Projetos!$A:$A,$B20,Projetos!$C:$C,"Fev"))</f>
        <v/>
      </c>
    </row>
    <row r="21">
      <c r="B21" s="31">
        <f>IF(Projetos!$A8="","",Projetos!$A8)</f>
        <v/>
      </c>
      <c r="C21" s="32">
        <f>IF($B21="","",SUMIFS(Ambientes!$C:$C,Ambientes!$A:$A,$B21,Ambientes!$D:$D,"Fev"))</f>
        <v/>
      </c>
      <c r="D21" s="32">
        <f>IF($B21="","",SUMIFS(Ambientes!$C:$C,Ambientes!$A:$A,$B21,Ambientes!$E:$E,"Fev"))</f>
        <v/>
      </c>
      <c r="E21" s="32">
        <f>IF($B21="","",SUMIFS(Ambientes!$H:$H,Ambientes!$A:$A,$B21,Ambientes!$D:$D,"Fev"))</f>
        <v/>
      </c>
      <c r="F21" s="32">
        <f>IF($B21="","",SUMIFS(Faturamento!$C:$C,Faturamento!$A:$A,$B21,Faturamento!$D:$D,"Fev"))</f>
        <v/>
      </c>
      <c r="G21" s="32">
        <f>IF($B21="","",SUMIFS(Projetos!$B:$B,Projetos!$A:$A,$B21,Projetos!$C:$C,"Fev"))</f>
        <v/>
      </c>
    </row>
    <row r="22">
      <c r="B22" s="33">
        <f>IF(Projetos!$A9="","",Projetos!$A9)</f>
        <v/>
      </c>
      <c r="C22" s="34">
        <f>IF($B22="","",SUMIFS(Ambientes!$C:$C,Ambientes!$A:$A,$B22,Ambientes!$D:$D,"Fev"))</f>
        <v/>
      </c>
      <c r="D22" s="34">
        <f>IF($B22="","",SUMIFS(Ambientes!$C:$C,Ambientes!$A:$A,$B22,Ambientes!$E:$E,"Fev"))</f>
        <v/>
      </c>
      <c r="E22" s="34">
        <f>IF($B22="","",SUMIFS(Ambientes!$H:$H,Ambientes!$A:$A,$B22,Ambientes!$D:$D,"Fev"))</f>
        <v/>
      </c>
      <c r="F22" s="34">
        <f>IF($B22="","",SUMIFS(Faturamento!$C:$C,Faturamento!$A:$A,$B22,Faturamento!$D:$D,"Fev"))</f>
        <v/>
      </c>
      <c r="G22" s="34">
        <f>IF($B22="","",SUMIFS(Projetos!$B:$B,Projetos!$A:$A,$B22,Projetos!$C:$C,"Fev"))</f>
        <v/>
      </c>
    </row>
    <row r="23">
      <c r="B23" s="31">
        <f>IF(Projetos!$A10="","",Projetos!$A10)</f>
        <v/>
      </c>
      <c r="C23" s="32">
        <f>IF($B23="","",SUMIFS(Ambientes!$C:$C,Ambientes!$A:$A,$B23,Ambientes!$D:$D,"Fev"))</f>
        <v/>
      </c>
      <c r="D23" s="32">
        <f>IF($B23="","",SUMIFS(Ambientes!$C:$C,Ambientes!$A:$A,$B23,Ambientes!$E:$E,"Fev"))</f>
        <v/>
      </c>
      <c r="E23" s="32">
        <f>IF($B23="","",SUMIFS(Ambientes!$H:$H,Ambientes!$A:$A,$B23,Ambientes!$D:$D,"Fev"))</f>
        <v/>
      </c>
      <c r="F23" s="32">
        <f>IF($B23="","",SUMIFS(Faturamento!$C:$C,Faturamento!$A:$A,$B23,Faturamento!$D:$D,"Fev"))</f>
        <v/>
      </c>
      <c r="G23" s="32">
        <f>IF($B23="","",SUMIFS(Projetos!$B:$B,Projetos!$A:$A,$B23,Projetos!$C:$C,"Fev"))</f>
        <v/>
      </c>
    </row>
    <row r="24">
      <c r="B24" s="33">
        <f>IF(Projetos!$A11="","",Projetos!$A11)</f>
        <v/>
      </c>
      <c r="C24" s="34">
        <f>IF($B24="","",SUMIFS(Ambientes!$C:$C,Ambientes!$A:$A,$B24,Ambientes!$D:$D,"Fev"))</f>
        <v/>
      </c>
      <c r="D24" s="34">
        <f>IF($B24="","",SUMIFS(Ambientes!$C:$C,Ambientes!$A:$A,$B24,Ambientes!$E:$E,"Fev"))</f>
        <v/>
      </c>
      <c r="E24" s="34">
        <f>IF($B24="","",SUMIFS(Ambientes!$H:$H,Ambientes!$A:$A,$B24,Ambientes!$D:$D,"Fev"))</f>
        <v/>
      </c>
      <c r="F24" s="34">
        <f>IF($B24="","",SUMIFS(Faturamento!$C:$C,Faturamento!$A:$A,$B24,Faturamento!$D:$D,"Fev"))</f>
        <v/>
      </c>
      <c r="G24" s="34">
        <f>IF($B24="","",SUMIFS(Projetos!$B:$B,Projetos!$A:$A,$B24,Projetos!$C:$C,"Fev"))</f>
        <v/>
      </c>
    </row>
    <row r="25">
      <c r="B25" s="31">
        <f>IF(Projetos!$A12="","",Projetos!$A12)</f>
        <v/>
      </c>
      <c r="C25" s="32">
        <f>IF($B25="","",SUMIFS(Ambientes!$C:$C,Ambientes!$A:$A,$B25,Ambientes!$D:$D,"Fev"))</f>
        <v/>
      </c>
      <c r="D25" s="32">
        <f>IF($B25="","",SUMIFS(Ambientes!$C:$C,Ambientes!$A:$A,$B25,Ambientes!$E:$E,"Fev"))</f>
        <v/>
      </c>
      <c r="E25" s="32">
        <f>IF($B25="","",SUMIFS(Ambientes!$H:$H,Ambientes!$A:$A,$B25,Ambientes!$D:$D,"Fev"))</f>
        <v/>
      </c>
      <c r="F25" s="32">
        <f>IF($B25="","",SUMIFS(Faturamento!$C:$C,Faturamento!$A:$A,$B25,Faturamento!$D:$D,"Fev"))</f>
        <v/>
      </c>
      <c r="G25" s="32">
        <f>IF($B25="","",SUMIFS(Projetos!$B:$B,Projetos!$A:$A,$B25,Projetos!$C:$C,"Fev"))</f>
        <v/>
      </c>
    </row>
    <row r="26">
      <c r="B26" s="33">
        <f>IF(Projetos!$A13="","",Projetos!$A13)</f>
        <v/>
      </c>
      <c r="C26" s="34">
        <f>IF($B26="","",SUMIFS(Ambientes!$C:$C,Ambientes!$A:$A,$B26,Ambientes!$D:$D,"Fev"))</f>
        <v/>
      </c>
      <c r="D26" s="34">
        <f>IF($B26="","",SUMIFS(Ambientes!$C:$C,Ambientes!$A:$A,$B26,Ambientes!$E:$E,"Fev"))</f>
        <v/>
      </c>
      <c r="E26" s="34">
        <f>IF($B26="","",SUMIFS(Ambientes!$H:$H,Ambientes!$A:$A,$B26,Ambientes!$D:$D,"Fev"))</f>
        <v/>
      </c>
      <c r="F26" s="34">
        <f>IF($B26="","",SUMIFS(Faturamento!$C:$C,Faturamento!$A:$A,$B26,Faturamento!$D:$D,"Fev"))</f>
        <v/>
      </c>
      <c r="G26" s="34">
        <f>IF($B26="","",SUMIFS(Projetos!$B:$B,Projetos!$A:$A,$B26,Projetos!$C:$C,"Fev"))</f>
        <v/>
      </c>
    </row>
    <row r="27">
      <c r="B27" s="31">
        <f>IF(Projetos!$A14="","",Projetos!$A14)</f>
        <v/>
      </c>
      <c r="C27" s="32">
        <f>IF($B27="","",SUMIFS(Ambientes!$C:$C,Ambientes!$A:$A,$B27,Ambientes!$D:$D,"Fev"))</f>
        <v/>
      </c>
      <c r="D27" s="32">
        <f>IF($B27="","",SUMIFS(Ambientes!$C:$C,Ambientes!$A:$A,$B27,Ambientes!$E:$E,"Fev"))</f>
        <v/>
      </c>
      <c r="E27" s="32">
        <f>IF($B27="","",SUMIFS(Ambientes!$H:$H,Ambientes!$A:$A,$B27,Ambientes!$D:$D,"Fev"))</f>
        <v/>
      </c>
      <c r="F27" s="32">
        <f>IF($B27="","",SUMIFS(Faturamento!$C:$C,Faturamento!$A:$A,$B27,Faturamento!$D:$D,"Fev"))</f>
        <v/>
      </c>
      <c r="G27" s="32">
        <f>IF($B27="","",SUMIFS(Projetos!$B:$B,Projetos!$A:$A,$B27,Projetos!$C:$C,"Fev"))</f>
        <v/>
      </c>
    </row>
    <row r="28">
      <c r="B28" s="33">
        <f>IF(Projetos!$A15="","",Projetos!$A15)</f>
        <v/>
      </c>
      <c r="C28" s="34">
        <f>IF($B28="","",SUMIFS(Ambientes!$C:$C,Ambientes!$A:$A,$B28,Ambientes!$D:$D,"Fev"))</f>
        <v/>
      </c>
      <c r="D28" s="34">
        <f>IF($B28="","",SUMIFS(Ambientes!$C:$C,Ambientes!$A:$A,$B28,Ambientes!$E:$E,"Fev"))</f>
        <v/>
      </c>
      <c r="E28" s="34">
        <f>IF($B28="","",SUMIFS(Ambientes!$H:$H,Ambientes!$A:$A,$B28,Ambientes!$D:$D,"Fev"))</f>
        <v/>
      </c>
      <c r="F28" s="34">
        <f>IF($B28="","",SUMIFS(Faturamento!$C:$C,Faturamento!$A:$A,$B28,Faturamento!$D:$D,"Fev"))</f>
        <v/>
      </c>
      <c r="G28" s="34">
        <f>IF($B28="","",SUMIFS(Projetos!$B:$B,Projetos!$A:$A,$B28,Projetos!$C:$C,"Fev"))</f>
        <v/>
      </c>
    </row>
    <row r="29">
      <c r="B29" s="31">
        <f>IF(Projetos!$A16="","",Projetos!$A16)</f>
        <v/>
      </c>
      <c r="C29" s="32">
        <f>IF($B29="","",SUMIFS(Ambientes!$C:$C,Ambientes!$A:$A,$B29,Ambientes!$D:$D,"Fev"))</f>
        <v/>
      </c>
      <c r="D29" s="32">
        <f>IF($B29="","",SUMIFS(Ambientes!$C:$C,Ambientes!$A:$A,$B29,Ambientes!$E:$E,"Fev"))</f>
        <v/>
      </c>
      <c r="E29" s="32">
        <f>IF($B29="","",SUMIFS(Ambientes!$H:$H,Ambientes!$A:$A,$B29,Ambientes!$D:$D,"Fev"))</f>
        <v/>
      </c>
      <c r="F29" s="32">
        <f>IF($B29="","",SUMIFS(Faturamento!$C:$C,Faturamento!$A:$A,$B29,Faturamento!$D:$D,"Fev"))</f>
        <v/>
      </c>
      <c r="G29" s="32">
        <f>IF($B29="","",SUMIFS(Projetos!$B:$B,Projetos!$A:$A,$B29,Projetos!$C:$C,"Fev"))</f>
        <v/>
      </c>
    </row>
    <row r="30">
      <c r="B30" s="33">
        <f>IF(Projetos!$A17="","",Projetos!$A17)</f>
        <v/>
      </c>
      <c r="C30" s="34">
        <f>IF($B30="","",SUMIFS(Ambientes!$C:$C,Ambientes!$A:$A,$B30,Ambientes!$D:$D,"Fev"))</f>
        <v/>
      </c>
      <c r="D30" s="34">
        <f>IF($B30="","",SUMIFS(Ambientes!$C:$C,Ambientes!$A:$A,$B30,Ambientes!$E:$E,"Fev"))</f>
        <v/>
      </c>
      <c r="E30" s="34">
        <f>IF($B30="","",SUMIFS(Ambientes!$H:$H,Ambientes!$A:$A,$B30,Ambientes!$D:$D,"Fev"))</f>
        <v/>
      </c>
      <c r="F30" s="34">
        <f>IF($B30="","",SUMIFS(Faturamento!$C:$C,Faturamento!$A:$A,$B30,Faturamento!$D:$D,"Fev"))</f>
        <v/>
      </c>
      <c r="G30" s="34">
        <f>IF($B30="","",SUMIFS(Projetos!$B:$B,Projetos!$A:$A,$B30,Projetos!$C:$C,"Fev"))</f>
        <v/>
      </c>
    </row>
    <row r="31">
      <c r="B31" s="31">
        <f>IF(Projetos!$A18="","",Projetos!$A18)</f>
        <v/>
      </c>
      <c r="C31" s="32">
        <f>IF($B31="","",SUMIFS(Ambientes!$C:$C,Ambientes!$A:$A,$B31,Ambientes!$D:$D,"Fev"))</f>
        <v/>
      </c>
      <c r="D31" s="32">
        <f>IF($B31="","",SUMIFS(Ambientes!$C:$C,Ambientes!$A:$A,$B31,Ambientes!$E:$E,"Fev"))</f>
        <v/>
      </c>
      <c r="E31" s="32">
        <f>IF($B31="","",SUMIFS(Ambientes!$H:$H,Ambientes!$A:$A,$B31,Ambientes!$D:$D,"Fev"))</f>
        <v/>
      </c>
      <c r="F31" s="32">
        <f>IF($B31="","",SUMIFS(Faturamento!$C:$C,Faturamento!$A:$A,$B31,Faturamento!$D:$D,"Fev"))</f>
        <v/>
      </c>
      <c r="G31" s="32">
        <f>IF($B31="","",SUMIFS(Projetos!$B:$B,Projetos!$A:$A,$B31,Projetos!$C:$C,"Fev"))</f>
        <v/>
      </c>
    </row>
    <row r="32">
      <c r="B32" s="33">
        <f>IF(Projetos!$A19="","",Projetos!$A19)</f>
        <v/>
      </c>
      <c r="C32" s="34">
        <f>IF($B32="","",SUMIFS(Ambientes!$C:$C,Ambientes!$A:$A,$B32,Ambientes!$D:$D,"Fev"))</f>
        <v/>
      </c>
      <c r="D32" s="34">
        <f>IF($B32="","",SUMIFS(Ambientes!$C:$C,Ambientes!$A:$A,$B32,Ambientes!$E:$E,"Fev"))</f>
        <v/>
      </c>
      <c r="E32" s="34">
        <f>IF($B32="","",SUMIFS(Ambientes!$H:$H,Ambientes!$A:$A,$B32,Ambientes!$D:$D,"Fev"))</f>
        <v/>
      </c>
      <c r="F32" s="34">
        <f>IF($B32="","",SUMIFS(Faturamento!$C:$C,Faturamento!$A:$A,$B32,Faturamento!$D:$D,"Fev"))</f>
        <v/>
      </c>
      <c r="G32" s="34">
        <f>IF($B32="","",SUMIFS(Projetos!$B:$B,Projetos!$A:$A,$B32,Projetos!$C:$C,"Fev"))</f>
        <v/>
      </c>
    </row>
    <row r="33">
      <c r="B33" s="31">
        <f>IF(Projetos!$A20="","",Projetos!$A20)</f>
        <v/>
      </c>
      <c r="C33" s="32">
        <f>IF($B33="","",SUMIFS(Ambientes!$C:$C,Ambientes!$A:$A,$B33,Ambientes!$D:$D,"Fev"))</f>
        <v/>
      </c>
      <c r="D33" s="32">
        <f>IF($B33="","",SUMIFS(Ambientes!$C:$C,Ambientes!$A:$A,$B33,Ambientes!$E:$E,"Fev"))</f>
        <v/>
      </c>
      <c r="E33" s="32">
        <f>IF($B33="","",SUMIFS(Ambientes!$H:$H,Ambientes!$A:$A,$B33,Ambientes!$D:$D,"Fev"))</f>
        <v/>
      </c>
      <c r="F33" s="32">
        <f>IF($B33="","",SUMIFS(Faturamento!$C:$C,Faturamento!$A:$A,$B33,Faturamento!$D:$D,"Fev"))</f>
        <v/>
      </c>
      <c r="G33" s="32">
        <f>IF($B33="","",SUMIFS(Projetos!$B:$B,Projetos!$A:$A,$B33,Projetos!$C:$C,"Fev"))</f>
        <v/>
      </c>
    </row>
    <row r="34">
      <c r="B34" s="33">
        <f>IF(Projetos!$A21="","",Projetos!$A21)</f>
        <v/>
      </c>
      <c r="C34" s="34">
        <f>IF($B34="","",SUMIFS(Ambientes!$C:$C,Ambientes!$A:$A,$B34,Ambientes!$D:$D,"Fev"))</f>
        <v/>
      </c>
      <c r="D34" s="34">
        <f>IF($B34="","",SUMIFS(Ambientes!$C:$C,Ambientes!$A:$A,$B34,Ambientes!$E:$E,"Fev"))</f>
        <v/>
      </c>
      <c r="E34" s="34">
        <f>IF($B34="","",SUMIFS(Ambientes!$H:$H,Ambientes!$A:$A,$B34,Ambientes!$D:$D,"Fev"))</f>
        <v/>
      </c>
      <c r="F34" s="34">
        <f>IF($B34="","",SUMIFS(Faturamento!$C:$C,Faturamento!$A:$A,$B34,Faturamento!$D:$D,"Fev"))</f>
        <v/>
      </c>
      <c r="G34" s="34">
        <f>IF($B34="","",SUMIFS(Projetos!$B:$B,Projetos!$A:$A,$B34,Projetos!$C:$C,"Fev"))</f>
        <v/>
      </c>
    </row>
    <row r="35">
      <c r="B35" s="31">
        <f>IF(Projetos!$A22="","",Projetos!$A22)</f>
        <v/>
      </c>
      <c r="C35" s="32">
        <f>IF($B35="","",SUMIFS(Ambientes!$C:$C,Ambientes!$A:$A,$B35,Ambientes!$D:$D,"Fev"))</f>
        <v/>
      </c>
      <c r="D35" s="32">
        <f>IF($B35="","",SUMIFS(Ambientes!$C:$C,Ambientes!$A:$A,$B35,Ambientes!$E:$E,"Fev"))</f>
        <v/>
      </c>
      <c r="E35" s="32">
        <f>IF($B35="","",SUMIFS(Ambientes!$H:$H,Ambientes!$A:$A,$B35,Ambientes!$D:$D,"Fev"))</f>
        <v/>
      </c>
      <c r="F35" s="32">
        <f>IF($B35="","",SUMIFS(Faturamento!$C:$C,Faturamento!$A:$A,$B35,Faturamento!$D:$D,"Fev"))</f>
        <v/>
      </c>
      <c r="G35" s="32">
        <f>IF($B35="","",SUMIFS(Projetos!$B:$B,Projetos!$A:$A,$B35,Projetos!$C:$C,"Fev"))</f>
        <v/>
      </c>
    </row>
    <row r="36">
      <c r="B36" s="33">
        <f>IF(Projetos!$A23="","",Projetos!$A23)</f>
        <v/>
      </c>
      <c r="C36" s="34">
        <f>IF($B36="","",SUMIFS(Ambientes!$C:$C,Ambientes!$A:$A,$B36,Ambientes!$D:$D,"Fev"))</f>
        <v/>
      </c>
      <c r="D36" s="34">
        <f>IF($B36="","",SUMIFS(Ambientes!$C:$C,Ambientes!$A:$A,$B36,Ambientes!$E:$E,"Fev"))</f>
        <v/>
      </c>
      <c r="E36" s="34">
        <f>IF($B36="","",SUMIFS(Ambientes!$H:$H,Ambientes!$A:$A,$B36,Ambientes!$D:$D,"Fev"))</f>
        <v/>
      </c>
      <c r="F36" s="34">
        <f>IF($B36="","",SUMIFS(Faturamento!$C:$C,Faturamento!$A:$A,$B36,Faturamento!$D:$D,"Fev"))</f>
        <v/>
      </c>
      <c r="G36" s="34">
        <f>IF($B36="","",SUMIFS(Projetos!$B:$B,Projetos!$A:$A,$B36,Projetos!$C:$C,"Fev"))</f>
        <v/>
      </c>
    </row>
    <row r="37">
      <c r="B37" s="31">
        <f>IF(Projetos!$A24="","",Projetos!$A24)</f>
        <v/>
      </c>
      <c r="C37" s="32">
        <f>IF($B37="","",SUMIFS(Ambientes!$C:$C,Ambientes!$A:$A,$B37,Ambientes!$D:$D,"Fev"))</f>
        <v/>
      </c>
      <c r="D37" s="32">
        <f>IF($B37="","",SUMIFS(Ambientes!$C:$C,Ambientes!$A:$A,$B37,Ambientes!$E:$E,"Fev"))</f>
        <v/>
      </c>
      <c r="E37" s="32">
        <f>IF($B37="","",SUMIFS(Ambientes!$H:$H,Ambientes!$A:$A,$B37,Ambientes!$D:$D,"Fev"))</f>
        <v/>
      </c>
      <c r="F37" s="32">
        <f>IF($B37="","",SUMIFS(Faturamento!$C:$C,Faturamento!$A:$A,$B37,Faturamento!$D:$D,"Fev"))</f>
        <v/>
      </c>
      <c r="G37" s="32">
        <f>IF($B37="","",SUMIFS(Projetos!$B:$B,Projetos!$A:$A,$B37,Projetos!$C:$C,"Fev"))</f>
        <v/>
      </c>
    </row>
    <row r="38">
      <c r="B38" s="33">
        <f>IF(Projetos!$A25="","",Projetos!$A25)</f>
        <v/>
      </c>
      <c r="C38" s="34">
        <f>IF($B38="","",SUMIFS(Ambientes!$C:$C,Ambientes!$A:$A,$B38,Ambientes!$D:$D,"Fev"))</f>
        <v/>
      </c>
      <c r="D38" s="34">
        <f>IF($B38="","",SUMIFS(Ambientes!$C:$C,Ambientes!$A:$A,$B38,Ambientes!$E:$E,"Fev"))</f>
        <v/>
      </c>
      <c r="E38" s="34">
        <f>IF($B38="","",SUMIFS(Ambientes!$H:$H,Ambientes!$A:$A,$B38,Ambientes!$D:$D,"Fev"))</f>
        <v/>
      </c>
      <c r="F38" s="34">
        <f>IF($B38="","",SUMIFS(Faturamento!$C:$C,Faturamento!$A:$A,$B38,Faturamento!$D:$D,"Fev"))</f>
        <v/>
      </c>
      <c r="G38" s="34">
        <f>IF($B38="","",SUMIFS(Projetos!$B:$B,Projetos!$A:$A,$B38,Projetos!$C:$C,"Fev"))</f>
        <v/>
      </c>
    </row>
    <row r="39">
      <c r="B39" s="31">
        <f>IF(Projetos!$A26="","",Projetos!$A26)</f>
        <v/>
      </c>
      <c r="C39" s="32">
        <f>IF($B39="","",SUMIFS(Ambientes!$C:$C,Ambientes!$A:$A,$B39,Ambientes!$D:$D,"Fev"))</f>
        <v/>
      </c>
      <c r="D39" s="32">
        <f>IF($B39="","",SUMIFS(Ambientes!$C:$C,Ambientes!$A:$A,$B39,Ambientes!$E:$E,"Fev"))</f>
        <v/>
      </c>
      <c r="E39" s="32">
        <f>IF($B39="","",SUMIFS(Ambientes!$H:$H,Ambientes!$A:$A,$B39,Ambientes!$D:$D,"Fev"))</f>
        <v/>
      </c>
      <c r="F39" s="32">
        <f>IF($B39="","",SUMIFS(Faturamento!$C:$C,Faturamento!$A:$A,$B39,Faturamento!$D:$D,"Fev"))</f>
        <v/>
      </c>
      <c r="G39" s="32">
        <f>IF($B39="","",SUMIFS(Projetos!$B:$B,Projetos!$A:$A,$B39,Projetos!$C:$C,"Fev"))</f>
        <v/>
      </c>
    </row>
    <row r="40">
      <c r="B40" s="33">
        <f>IF(Projetos!$A27="","",Projetos!$A27)</f>
        <v/>
      </c>
      <c r="C40" s="34">
        <f>IF($B40="","",SUMIFS(Ambientes!$C:$C,Ambientes!$A:$A,$B40,Ambientes!$D:$D,"Fev"))</f>
        <v/>
      </c>
      <c r="D40" s="34">
        <f>IF($B40="","",SUMIFS(Ambientes!$C:$C,Ambientes!$A:$A,$B40,Ambientes!$E:$E,"Fev"))</f>
        <v/>
      </c>
      <c r="E40" s="34">
        <f>IF($B40="","",SUMIFS(Ambientes!$H:$H,Ambientes!$A:$A,$B40,Ambientes!$D:$D,"Fev"))</f>
        <v/>
      </c>
      <c r="F40" s="34">
        <f>IF($B40="","",SUMIFS(Faturamento!$C:$C,Faturamento!$A:$A,$B40,Faturamento!$D:$D,"Fev"))</f>
        <v/>
      </c>
      <c r="G40" s="34">
        <f>IF($B40="","",SUMIFS(Projetos!$B:$B,Projetos!$A:$A,$B40,Projetos!$C:$C,"Fev"))</f>
        <v/>
      </c>
    </row>
    <row r="41">
      <c r="B41" s="31">
        <f>IF(Projetos!$A28="","",Projetos!$A28)</f>
        <v/>
      </c>
      <c r="C41" s="32">
        <f>IF($B41="","",SUMIFS(Ambientes!$C:$C,Ambientes!$A:$A,$B41,Ambientes!$D:$D,"Fev"))</f>
        <v/>
      </c>
      <c r="D41" s="32">
        <f>IF($B41="","",SUMIFS(Ambientes!$C:$C,Ambientes!$A:$A,$B41,Ambientes!$E:$E,"Fev"))</f>
        <v/>
      </c>
      <c r="E41" s="32">
        <f>IF($B41="","",SUMIFS(Ambientes!$H:$H,Ambientes!$A:$A,$B41,Ambientes!$D:$D,"Fev"))</f>
        <v/>
      </c>
      <c r="F41" s="32">
        <f>IF($B41="","",SUMIFS(Faturamento!$C:$C,Faturamento!$A:$A,$B41,Faturamento!$D:$D,"Fev"))</f>
        <v/>
      </c>
      <c r="G41" s="32">
        <f>IF($B41="","",SUMIFS(Projetos!$B:$B,Projetos!$A:$A,$B41,Projetos!$C:$C,"Fev"))</f>
        <v/>
      </c>
    </row>
    <row r="42">
      <c r="B42" s="33">
        <f>IF(Projetos!$A29="","",Projetos!$A29)</f>
        <v/>
      </c>
      <c r="C42" s="34">
        <f>IF($B42="","",SUMIFS(Ambientes!$C:$C,Ambientes!$A:$A,$B42,Ambientes!$D:$D,"Fev"))</f>
        <v/>
      </c>
      <c r="D42" s="34">
        <f>IF($B42="","",SUMIFS(Ambientes!$C:$C,Ambientes!$A:$A,$B42,Ambientes!$E:$E,"Fev"))</f>
        <v/>
      </c>
      <c r="E42" s="34">
        <f>IF($B42="","",SUMIFS(Ambientes!$H:$H,Ambientes!$A:$A,$B42,Ambientes!$D:$D,"Fev"))</f>
        <v/>
      </c>
      <c r="F42" s="34">
        <f>IF($B42="","",SUMIFS(Faturamento!$C:$C,Faturamento!$A:$A,$B42,Faturamento!$D:$D,"Fev"))</f>
        <v/>
      </c>
      <c r="G42" s="34">
        <f>IF($B42="","",SUMIFS(Projetos!$B:$B,Projetos!$A:$A,$B42,Projetos!$C:$C,"Fev"))</f>
        <v/>
      </c>
    </row>
    <row r="43">
      <c r="B43" s="31">
        <f>IF(Projetos!$A30="","",Projetos!$A30)</f>
        <v/>
      </c>
      <c r="C43" s="32">
        <f>IF($B43="","",SUMIFS(Ambientes!$C:$C,Ambientes!$A:$A,$B43,Ambientes!$D:$D,"Fev"))</f>
        <v/>
      </c>
      <c r="D43" s="32">
        <f>IF($B43="","",SUMIFS(Ambientes!$C:$C,Ambientes!$A:$A,$B43,Ambientes!$E:$E,"Fev"))</f>
        <v/>
      </c>
      <c r="E43" s="32">
        <f>IF($B43="","",SUMIFS(Ambientes!$H:$H,Ambientes!$A:$A,$B43,Ambientes!$D:$D,"Fev"))</f>
        <v/>
      </c>
      <c r="F43" s="32">
        <f>IF($B43="","",SUMIFS(Faturamento!$C:$C,Faturamento!$A:$A,$B43,Faturamento!$D:$D,"Fev"))</f>
        <v/>
      </c>
      <c r="G43" s="32">
        <f>IF($B43="","",SUMIFS(Projetos!$B:$B,Projetos!$A:$A,$B43,Projetos!$C:$C,"Fev"))</f>
        <v/>
      </c>
    </row>
    <row r="44">
      <c r="B44" s="33">
        <f>IF(Projetos!$A31="","",Projetos!$A31)</f>
        <v/>
      </c>
      <c r="C44" s="34">
        <f>IF($B44="","",SUMIFS(Ambientes!$C:$C,Ambientes!$A:$A,$B44,Ambientes!$D:$D,"Fev"))</f>
        <v/>
      </c>
      <c r="D44" s="34">
        <f>IF($B44="","",SUMIFS(Ambientes!$C:$C,Ambientes!$A:$A,$B44,Ambientes!$E:$E,"Fev"))</f>
        <v/>
      </c>
      <c r="E44" s="34">
        <f>IF($B44="","",SUMIFS(Ambientes!$H:$H,Ambientes!$A:$A,$B44,Ambientes!$D:$D,"Fev"))</f>
        <v/>
      </c>
      <c r="F44" s="34">
        <f>IF($B44="","",SUMIFS(Faturamento!$C:$C,Faturamento!$A:$A,$B44,Faturamento!$D:$D,"Fev"))</f>
        <v/>
      </c>
      <c r="G44" s="34">
        <f>IF($B44="","",SUMIFS(Projetos!$B:$B,Projetos!$A:$A,$B44,Projetos!$C:$C,"Fev"))</f>
        <v/>
      </c>
    </row>
    <row r="45">
      <c r="B45" s="31">
        <f>IF(Projetos!$A32="","",Projetos!$A32)</f>
        <v/>
      </c>
      <c r="C45" s="32">
        <f>IF($B45="","",SUMIFS(Ambientes!$C:$C,Ambientes!$A:$A,$B45,Ambientes!$D:$D,"Fev"))</f>
        <v/>
      </c>
      <c r="D45" s="32">
        <f>IF($B45="","",SUMIFS(Ambientes!$C:$C,Ambientes!$A:$A,$B45,Ambientes!$E:$E,"Fev"))</f>
        <v/>
      </c>
      <c r="E45" s="32">
        <f>IF($B45="","",SUMIFS(Ambientes!$H:$H,Ambientes!$A:$A,$B45,Ambientes!$D:$D,"Fev"))</f>
        <v/>
      </c>
      <c r="F45" s="32">
        <f>IF($B45="","",SUMIFS(Faturamento!$C:$C,Faturamento!$A:$A,$B45,Faturamento!$D:$D,"Fev"))</f>
        <v/>
      </c>
      <c r="G45" s="32">
        <f>IF($B45="","",SUMIFS(Projetos!$B:$B,Projetos!$A:$A,$B45,Projetos!$C:$C,"Fev"))</f>
        <v/>
      </c>
    </row>
    <row r="46">
      <c r="B46" s="33">
        <f>IF(Projetos!$A33="","",Projetos!$A33)</f>
        <v/>
      </c>
      <c r="C46" s="34">
        <f>IF($B46="","",SUMIFS(Ambientes!$C:$C,Ambientes!$A:$A,$B46,Ambientes!$D:$D,"Fev"))</f>
        <v/>
      </c>
      <c r="D46" s="34">
        <f>IF($B46="","",SUMIFS(Ambientes!$C:$C,Ambientes!$A:$A,$B46,Ambientes!$E:$E,"Fev"))</f>
        <v/>
      </c>
      <c r="E46" s="34">
        <f>IF($B46="","",SUMIFS(Ambientes!$H:$H,Ambientes!$A:$A,$B46,Ambientes!$D:$D,"Fev"))</f>
        <v/>
      </c>
      <c r="F46" s="34">
        <f>IF($B46="","",SUMIFS(Faturamento!$C:$C,Faturamento!$A:$A,$B46,Faturamento!$D:$D,"Fev"))</f>
        <v/>
      </c>
      <c r="G46" s="34">
        <f>IF($B46="","",SUMIFS(Projetos!$B:$B,Projetos!$A:$A,$B46,Projetos!$C:$C,"Fev"))</f>
        <v/>
      </c>
    </row>
    <row r="47">
      <c r="B47" s="31">
        <f>IF(Projetos!$A34="","",Projetos!$A34)</f>
        <v/>
      </c>
      <c r="C47" s="32">
        <f>IF($B47="","",SUMIFS(Ambientes!$C:$C,Ambientes!$A:$A,$B47,Ambientes!$D:$D,"Fev"))</f>
        <v/>
      </c>
      <c r="D47" s="32">
        <f>IF($B47="","",SUMIFS(Ambientes!$C:$C,Ambientes!$A:$A,$B47,Ambientes!$E:$E,"Fev"))</f>
        <v/>
      </c>
      <c r="E47" s="32">
        <f>IF($B47="","",SUMIFS(Ambientes!$H:$H,Ambientes!$A:$A,$B47,Ambientes!$D:$D,"Fev"))</f>
        <v/>
      </c>
      <c r="F47" s="32">
        <f>IF($B47="","",SUMIFS(Faturamento!$C:$C,Faturamento!$A:$A,$B47,Faturamento!$D:$D,"Fev"))</f>
        <v/>
      </c>
      <c r="G47" s="32">
        <f>IF($B47="","",SUMIFS(Projetos!$B:$B,Projetos!$A:$A,$B47,Projetos!$C:$C,"Fev"))</f>
        <v/>
      </c>
    </row>
    <row r="48">
      <c r="B48" s="33">
        <f>IF(Projetos!$A35="","",Projetos!$A35)</f>
        <v/>
      </c>
      <c r="C48" s="34">
        <f>IF($B48="","",SUMIFS(Ambientes!$C:$C,Ambientes!$A:$A,$B48,Ambientes!$D:$D,"Fev"))</f>
        <v/>
      </c>
      <c r="D48" s="34">
        <f>IF($B48="","",SUMIFS(Ambientes!$C:$C,Ambientes!$A:$A,$B48,Ambientes!$E:$E,"Fev"))</f>
        <v/>
      </c>
      <c r="E48" s="34">
        <f>IF($B48="","",SUMIFS(Ambientes!$H:$H,Ambientes!$A:$A,$B48,Ambientes!$D:$D,"Fev"))</f>
        <v/>
      </c>
      <c r="F48" s="34">
        <f>IF($B48="","",SUMIFS(Faturamento!$C:$C,Faturamento!$A:$A,$B48,Faturamento!$D:$D,"Fev"))</f>
        <v/>
      </c>
      <c r="G48" s="34">
        <f>IF($B48="","",SUMIFS(Projetos!$B:$B,Projetos!$A:$A,$B48,Projetos!$C:$C,"Fev"))</f>
        <v/>
      </c>
    </row>
    <row r="49">
      <c r="B49" s="31">
        <f>IF(Projetos!$A36="","",Projetos!$A36)</f>
        <v/>
      </c>
      <c r="C49" s="32">
        <f>IF($B49="","",SUMIFS(Ambientes!$C:$C,Ambientes!$A:$A,$B49,Ambientes!$D:$D,"Fev"))</f>
        <v/>
      </c>
      <c r="D49" s="32">
        <f>IF($B49="","",SUMIFS(Ambientes!$C:$C,Ambientes!$A:$A,$B49,Ambientes!$E:$E,"Fev"))</f>
        <v/>
      </c>
      <c r="E49" s="32">
        <f>IF($B49="","",SUMIFS(Ambientes!$H:$H,Ambientes!$A:$A,$B49,Ambientes!$D:$D,"Fev"))</f>
        <v/>
      </c>
      <c r="F49" s="32">
        <f>IF($B49="","",SUMIFS(Faturamento!$C:$C,Faturamento!$A:$A,$B49,Faturamento!$D:$D,"Fev"))</f>
        <v/>
      </c>
      <c r="G49" s="32">
        <f>IF($B49="","",SUMIFS(Projetos!$B:$B,Projetos!$A:$A,$B49,Projetos!$C:$C,"Fev"))</f>
        <v/>
      </c>
    </row>
    <row r="50">
      <c r="B50" s="33">
        <f>IF(Projetos!$A37="","",Projetos!$A37)</f>
        <v/>
      </c>
      <c r="C50" s="34">
        <f>IF($B50="","",SUMIFS(Ambientes!$C:$C,Ambientes!$A:$A,$B50,Ambientes!$D:$D,"Fev"))</f>
        <v/>
      </c>
      <c r="D50" s="34">
        <f>IF($B50="","",SUMIFS(Ambientes!$C:$C,Ambientes!$A:$A,$B50,Ambientes!$E:$E,"Fev"))</f>
        <v/>
      </c>
      <c r="E50" s="34">
        <f>IF($B50="","",SUMIFS(Ambientes!$H:$H,Ambientes!$A:$A,$B50,Ambientes!$D:$D,"Fev"))</f>
        <v/>
      </c>
      <c r="F50" s="34">
        <f>IF($B50="","",SUMIFS(Faturamento!$C:$C,Faturamento!$A:$A,$B50,Faturamento!$D:$D,"Fev"))</f>
        <v/>
      </c>
      <c r="G50" s="34">
        <f>IF($B50="","",SUMIFS(Projetos!$B:$B,Projetos!$A:$A,$B50,Projetos!$C:$C,"Fev"))</f>
        <v/>
      </c>
    </row>
    <row r="51">
      <c r="B51" s="31">
        <f>IF(Projetos!$A38="","",Projetos!$A38)</f>
        <v/>
      </c>
      <c r="C51" s="32">
        <f>IF($B51="","",SUMIFS(Ambientes!$C:$C,Ambientes!$A:$A,$B51,Ambientes!$D:$D,"Fev"))</f>
        <v/>
      </c>
      <c r="D51" s="32">
        <f>IF($B51="","",SUMIFS(Ambientes!$C:$C,Ambientes!$A:$A,$B51,Ambientes!$E:$E,"Fev"))</f>
        <v/>
      </c>
      <c r="E51" s="32">
        <f>IF($B51="","",SUMIFS(Ambientes!$H:$H,Ambientes!$A:$A,$B51,Ambientes!$D:$D,"Fev"))</f>
        <v/>
      </c>
      <c r="F51" s="32">
        <f>IF($B51="","",SUMIFS(Faturamento!$C:$C,Faturamento!$A:$A,$B51,Faturamento!$D:$D,"Fev"))</f>
        <v/>
      </c>
      <c r="G51" s="32">
        <f>IF($B51="","",SUMIFS(Projetos!$B:$B,Projetos!$A:$A,$B51,Projetos!$C:$C,"Fev"))</f>
        <v/>
      </c>
    </row>
    <row r="52">
      <c r="B52" s="33">
        <f>IF(Projetos!$A39="","",Projetos!$A39)</f>
        <v/>
      </c>
      <c r="C52" s="34">
        <f>IF($B52="","",SUMIFS(Ambientes!$C:$C,Ambientes!$A:$A,$B52,Ambientes!$D:$D,"Fev"))</f>
        <v/>
      </c>
      <c r="D52" s="34">
        <f>IF($B52="","",SUMIFS(Ambientes!$C:$C,Ambientes!$A:$A,$B52,Ambientes!$E:$E,"Fev"))</f>
        <v/>
      </c>
      <c r="E52" s="34">
        <f>IF($B52="","",SUMIFS(Ambientes!$H:$H,Ambientes!$A:$A,$B52,Ambientes!$D:$D,"Fev"))</f>
        <v/>
      </c>
      <c r="F52" s="34">
        <f>IF($B52="","",SUMIFS(Faturamento!$C:$C,Faturamento!$A:$A,$B52,Faturamento!$D:$D,"Fev"))</f>
        <v/>
      </c>
      <c r="G52" s="34">
        <f>IF($B52="","",SUMIFS(Projetos!$B:$B,Projetos!$A:$A,$B52,Projetos!$C:$C,"Fev"))</f>
        <v/>
      </c>
    </row>
    <row r="53">
      <c r="B53" s="31">
        <f>IF(Projetos!$A40="","",Projetos!$A40)</f>
        <v/>
      </c>
      <c r="C53" s="32">
        <f>IF($B53="","",SUMIFS(Ambientes!$C:$C,Ambientes!$A:$A,$B53,Ambientes!$D:$D,"Fev"))</f>
        <v/>
      </c>
      <c r="D53" s="32">
        <f>IF($B53="","",SUMIFS(Ambientes!$C:$C,Ambientes!$A:$A,$B53,Ambientes!$E:$E,"Fev"))</f>
        <v/>
      </c>
      <c r="E53" s="32">
        <f>IF($B53="","",SUMIFS(Ambientes!$H:$H,Ambientes!$A:$A,$B53,Ambientes!$D:$D,"Fev"))</f>
        <v/>
      </c>
      <c r="F53" s="32">
        <f>IF($B53="","",SUMIFS(Faturamento!$C:$C,Faturamento!$A:$A,$B53,Faturamento!$D:$D,"Fev"))</f>
        <v/>
      </c>
      <c r="G53" s="32">
        <f>IF($B53="","",SUMIFS(Projetos!$B:$B,Projetos!$A:$A,$B53,Projetos!$C:$C,"Fev"))</f>
        <v/>
      </c>
    </row>
    <row r="54">
      <c r="B54" s="33">
        <f>IF(Projetos!$A41="","",Projetos!$A41)</f>
        <v/>
      </c>
      <c r="C54" s="34">
        <f>IF($B54="","",SUMIFS(Ambientes!$C:$C,Ambientes!$A:$A,$B54,Ambientes!$D:$D,"Fev"))</f>
        <v/>
      </c>
      <c r="D54" s="34">
        <f>IF($B54="","",SUMIFS(Ambientes!$C:$C,Ambientes!$A:$A,$B54,Ambientes!$E:$E,"Fev"))</f>
        <v/>
      </c>
      <c r="E54" s="34">
        <f>IF($B54="","",SUMIFS(Ambientes!$H:$H,Ambientes!$A:$A,$B54,Ambientes!$D:$D,"Fev"))</f>
        <v/>
      </c>
      <c r="F54" s="34">
        <f>IF($B54="","",SUMIFS(Faturamento!$C:$C,Faturamento!$A:$A,$B54,Faturamento!$D:$D,"Fev"))</f>
        <v/>
      </c>
      <c r="G54" s="34">
        <f>IF($B54="","",SUMIFS(Projetos!$B:$B,Projetos!$A:$A,$B54,Projetos!$C:$C,"Fev"))</f>
        <v/>
      </c>
    </row>
    <row r="55">
      <c r="B55" s="31">
        <f>IF(Projetos!$A42="","",Projetos!$A42)</f>
        <v/>
      </c>
      <c r="C55" s="32">
        <f>IF($B55="","",SUMIFS(Ambientes!$C:$C,Ambientes!$A:$A,$B55,Ambientes!$D:$D,"Fev"))</f>
        <v/>
      </c>
      <c r="D55" s="32">
        <f>IF($B55="","",SUMIFS(Ambientes!$C:$C,Ambientes!$A:$A,$B55,Ambientes!$E:$E,"Fev"))</f>
        <v/>
      </c>
      <c r="E55" s="32">
        <f>IF($B55="","",SUMIFS(Ambientes!$H:$H,Ambientes!$A:$A,$B55,Ambientes!$D:$D,"Fev"))</f>
        <v/>
      </c>
      <c r="F55" s="32">
        <f>IF($B55="","",SUMIFS(Faturamento!$C:$C,Faturamento!$A:$A,$B55,Faturamento!$D:$D,"Fev"))</f>
        <v/>
      </c>
      <c r="G55" s="32">
        <f>IF($B55="","",SUMIFS(Projetos!$B:$B,Projetos!$A:$A,$B55,Projetos!$C:$C,"Fev"))</f>
        <v/>
      </c>
    </row>
    <row r="56">
      <c r="B56" s="33">
        <f>IF(Projetos!$A43="","",Projetos!$A43)</f>
        <v/>
      </c>
      <c r="C56" s="34">
        <f>IF($B56="","",SUMIFS(Ambientes!$C:$C,Ambientes!$A:$A,$B56,Ambientes!$D:$D,"Fev"))</f>
        <v/>
      </c>
      <c r="D56" s="34">
        <f>IF($B56="","",SUMIFS(Ambientes!$C:$C,Ambientes!$A:$A,$B56,Ambientes!$E:$E,"Fev"))</f>
        <v/>
      </c>
      <c r="E56" s="34">
        <f>IF($B56="","",SUMIFS(Ambientes!$H:$H,Ambientes!$A:$A,$B56,Ambientes!$D:$D,"Fev"))</f>
        <v/>
      </c>
      <c r="F56" s="34">
        <f>IF($B56="","",SUMIFS(Faturamento!$C:$C,Faturamento!$A:$A,$B56,Faturamento!$D:$D,"Fev"))</f>
        <v/>
      </c>
      <c r="G56" s="34">
        <f>IF($B56="","",SUMIFS(Projetos!$B:$B,Projetos!$A:$A,$B56,Projetos!$C:$C,"Fev"))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MARÇO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Fixo'!$A:$A,"Mar",'Custo Fixo'!$E:$E)</f>
        <v/>
      </c>
      <c r="C6" s="19">
        <f>SUMIF(Projetos!$C:$C,"Mar",Projetos!$B:$B)</f>
        <v/>
      </c>
      <c r="D6" s="20">
        <f>SUMIF(Ambientes!$D:$D,"Mar",Ambientes!$H:$H)</f>
        <v/>
      </c>
      <c r="E6" s="19">
        <f>SUMIF(Ambientes!$D:$D,"Mar",Ambientes!$C:$C)</f>
        <v/>
      </c>
      <c r="F6" s="19">
        <f>SUMIF(Ambientes!$E:$E,"Mar",Ambientes!$C:$C)</f>
        <v/>
      </c>
      <c r="G6" s="19">
        <f>SUMIF(Faturamento!$D:$D,"Mar",Faturamento!$C:$C)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SUMIF(Compras!$E:$E,"Mar",Compras!$D:$D)</f>
        <v/>
      </c>
      <c r="C12" s="27">
        <f>SUMIFS(Compras!$D:$D,Compras!$H:$H,"&lt;=3",Compras!$A:$A,"&lt;&gt;")-SUMIF(Ambientes!$J:$J,"&lt;=3",Ambientes!$H:$H)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SUMIF(Projetos!$H:$H,"&lt;=3",Projetos!$B:$B)-SUMIF(Ambientes!$J:$J,"&lt;=3",Ambientes!$C:$C)</f>
        <v/>
      </c>
    </row>
    <row r="13" ht="26" customHeight="1">
      <c r="B13" s="30">
        <f>=IF(SUMIF(Compras!$E:$E,"Mar",Compras!$D:$D)-SUMIFS(Compras!$D:$D,Compras!$E:$E,"Mar",Compras!$A:$A,"&lt;&gt;")=0,"tudo vinculado a projeto","dos quais "&amp;TEXT(SUMIF(Compras!$E:$E,"Mar",Compras!$D:$D)-SUMIFS(Compras!$D:$D,Compras!$E:$E,"Mar",Compras!$A:$A,"&lt;&gt;"),"R$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IF($B17="","",SUMIFS(Ambientes!$C:$C,Ambientes!$A:$A,$B17,Ambientes!$D:$D,"Mar"))</f>
        <v/>
      </c>
      <c r="D17" s="32">
        <f>IF($B17="","",SUMIFS(Ambientes!$C:$C,Ambientes!$A:$A,$B17,Ambientes!$E:$E,"Mar"))</f>
        <v/>
      </c>
      <c r="E17" s="32">
        <f>IF($B17="","",SUMIFS(Ambientes!$H:$H,Ambientes!$A:$A,$B17,Ambientes!$D:$D,"Mar"))</f>
        <v/>
      </c>
      <c r="F17" s="32">
        <f>IF($B17="","",SUMIFS(Faturamento!$C:$C,Faturamento!$A:$A,$B17,Faturamento!$D:$D,"Mar"))</f>
        <v/>
      </c>
      <c r="G17" s="32">
        <f>IF($B17="","",SUMIFS(Projetos!$B:$B,Projetos!$A:$A,$B17,Projetos!$C:$C,"Mar"))</f>
        <v/>
      </c>
    </row>
    <row r="18">
      <c r="B18" s="33">
        <f>IF(Projetos!$A5="","",Projetos!$A5)</f>
        <v/>
      </c>
      <c r="C18" s="34">
        <f>IF($B18="","",SUMIFS(Ambientes!$C:$C,Ambientes!$A:$A,$B18,Ambientes!$D:$D,"Mar"))</f>
        <v/>
      </c>
      <c r="D18" s="34">
        <f>IF($B18="","",SUMIFS(Ambientes!$C:$C,Ambientes!$A:$A,$B18,Ambientes!$E:$E,"Mar"))</f>
        <v/>
      </c>
      <c r="E18" s="34">
        <f>IF($B18="","",SUMIFS(Ambientes!$H:$H,Ambientes!$A:$A,$B18,Ambientes!$D:$D,"Mar"))</f>
        <v/>
      </c>
      <c r="F18" s="34">
        <f>IF($B18="","",SUMIFS(Faturamento!$C:$C,Faturamento!$A:$A,$B18,Faturamento!$D:$D,"Mar"))</f>
        <v/>
      </c>
      <c r="G18" s="34">
        <f>IF($B18="","",SUMIFS(Projetos!$B:$B,Projetos!$A:$A,$B18,Projetos!$C:$C,"Mar"))</f>
        <v/>
      </c>
    </row>
    <row r="19">
      <c r="B19" s="31">
        <f>IF(Projetos!$A6="","",Projetos!$A6)</f>
        <v/>
      </c>
      <c r="C19" s="32">
        <f>IF($B19="","",SUMIFS(Ambientes!$C:$C,Ambientes!$A:$A,$B19,Ambientes!$D:$D,"Mar"))</f>
        <v/>
      </c>
      <c r="D19" s="32">
        <f>IF($B19="","",SUMIFS(Ambientes!$C:$C,Ambientes!$A:$A,$B19,Ambientes!$E:$E,"Mar"))</f>
        <v/>
      </c>
      <c r="E19" s="32">
        <f>IF($B19="","",SUMIFS(Ambientes!$H:$H,Ambientes!$A:$A,$B19,Ambientes!$D:$D,"Mar"))</f>
        <v/>
      </c>
      <c r="F19" s="32">
        <f>IF($B19="","",SUMIFS(Faturamento!$C:$C,Faturamento!$A:$A,$B19,Faturamento!$D:$D,"Mar"))</f>
        <v/>
      </c>
      <c r="G19" s="32">
        <f>IF($B19="","",SUMIFS(Projetos!$B:$B,Projetos!$A:$A,$B19,Projetos!$C:$C,"Mar"))</f>
        <v/>
      </c>
    </row>
    <row r="20">
      <c r="B20" s="33">
        <f>IF(Projetos!$A7="","",Projetos!$A7)</f>
        <v/>
      </c>
      <c r="C20" s="34">
        <f>IF($B20="","",SUMIFS(Ambientes!$C:$C,Ambientes!$A:$A,$B20,Ambientes!$D:$D,"Mar"))</f>
        <v/>
      </c>
      <c r="D20" s="34">
        <f>IF($B20="","",SUMIFS(Ambientes!$C:$C,Ambientes!$A:$A,$B20,Ambientes!$E:$E,"Mar"))</f>
        <v/>
      </c>
      <c r="E20" s="34">
        <f>IF($B20="","",SUMIFS(Ambientes!$H:$H,Ambientes!$A:$A,$B20,Ambientes!$D:$D,"Mar"))</f>
        <v/>
      </c>
      <c r="F20" s="34">
        <f>IF($B20="","",SUMIFS(Faturamento!$C:$C,Faturamento!$A:$A,$B20,Faturamento!$D:$D,"Mar"))</f>
        <v/>
      </c>
      <c r="G20" s="34">
        <f>IF($B20="","",SUMIFS(Projetos!$B:$B,Projetos!$A:$A,$B20,Projetos!$C:$C,"Mar"))</f>
        <v/>
      </c>
    </row>
    <row r="21">
      <c r="B21" s="31">
        <f>IF(Projetos!$A8="","",Projetos!$A8)</f>
        <v/>
      </c>
      <c r="C21" s="32">
        <f>IF($B21="","",SUMIFS(Ambientes!$C:$C,Ambientes!$A:$A,$B21,Ambientes!$D:$D,"Mar"))</f>
        <v/>
      </c>
      <c r="D21" s="32">
        <f>IF($B21="","",SUMIFS(Ambientes!$C:$C,Ambientes!$A:$A,$B21,Ambientes!$E:$E,"Mar"))</f>
        <v/>
      </c>
      <c r="E21" s="32">
        <f>IF($B21="","",SUMIFS(Ambientes!$H:$H,Ambientes!$A:$A,$B21,Ambientes!$D:$D,"Mar"))</f>
        <v/>
      </c>
      <c r="F21" s="32">
        <f>IF($B21="","",SUMIFS(Faturamento!$C:$C,Faturamento!$A:$A,$B21,Faturamento!$D:$D,"Mar"))</f>
        <v/>
      </c>
      <c r="G21" s="32">
        <f>IF($B21="","",SUMIFS(Projetos!$B:$B,Projetos!$A:$A,$B21,Projetos!$C:$C,"Mar"))</f>
        <v/>
      </c>
    </row>
    <row r="22">
      <c r="B22" s="33">
        <f>IF(Projetos!$A9="","",Projetos!$A9)</f>
        <v/>
      </c>
      <c r="C22" s="34">
        <f>IF($B22="","",SUMIFS(Ambientes!$C:$C,Ambientes!$A:$A,$B22,Ambientes!$D:$D,"Mar"))</f>
        <v/>
      </c>
      <c r="D22" s="34">
        <f>IF($B22="","",SUMIFS(Ambientes!$C:$C,Ambientes!$A:$A,$B22,Ambientes!$E:$E,"Mar"))</f>
        <v/>
      </c>
      <c r="E22" s="34">
        <f>IF($B22="","",SUMIFS(Ambientes!$H:$H,Ambientes!$A:$A,$B22,Ambientes!$D:$D,"Mar"))</f>
        <v/>
      </c>
      <c r="F22" s="34">
        <f>IF($B22="","",SUMIFS(Faturamento!$C:$C,Faturamento!$A:$A,$B22,Faturamento!$D:$D,"Mar"))</f>
        <v/>
      </c>
      <c r="G22" s="34">
        <f>IF($B22="","",SUMIFS(Projetos!$B:$B,Projetos!$A:$A,$B22,Projetos!$C:$C,"Mar"))</f>
        <v/>
      </c>
    </row>
    <row r="23">
      <c r="B23" s="31">
        <f>IF(Projetos!$A10="","",Projetos!$A10)</f>
        <v/>
      </c>
      <c r="C23" s="32">
        <f>IF($B23="","",SUMIFS(Ambientes!$C:$C,Ambientes!$A:$A,$B23,Ambientes!$D:$D,"Mar"))</f>
        <v/>
      </c>
      <c r="D23" s="32">
        <f>IF($B23="","",SUMIFS(Ambientes!$C:$C,Ambientes!$A:$A,$B23,Ambientes!$E:$E,"Mar"))</f>
        <v/>
      </c>
      <c r="E23" s="32">
        <f>IF($B23="","",SUMIFS(Ambientes!$H:$H,Ambientes!$A:$A,$B23,Ambientes!$D:$D,"Mar"))</f>
        <v/>
      </c>
      <c r="F23" s="32">
        <f>IF($B23="","",SUMIFS(Faturamento!$C:$C,Faturamento!$A:$A,$B23,Faturamento!$D:$D,"Mar"))</f>
        <v/>
      </c>
      <c r="G23" s="32">
        <f>IF($B23="","",SUMIFS(Projetos!$B:$B,Projetos!$A:$A,$B23,Projetos!$C:$C,"Mar"))</f>
        <v/>
      </c>
    </row>
    <row r="24">
      <c r="B24" s="33">
        <f>IF(Projetos!$A11="","",Projetos!$A11)</f>
        <v/>
      </c>
      <c r="C24" s="34">
        <f>IF($B24="","",SUMIFS(Ambientes!$C:$C,Ambientes!$A:$A,$B24,Ambientes!$D:$D,"Mar"))</f>
        <v/>
      </c>
      <c r="D24" s="34">
        <f>IF($B24="","",SUMIFS(Ambientes!$C:$C,Ambientes!$A:$A,$B24,Ambientes!$E:$E,"Mar"))</f>
        <v/>
      </c>
      <c r="E24" s="34">
        <f>IF($B24="","",SUMIFS(Ambientes!$H:$H,Ambientes!$A:$A,$B24,Ambientes!$D:$D,"Mar"))</f>
        <v/>
      </c>
      <c r="F24" s="34">
        <f>IF($B24="","",SUMIFS(Faturamento!$C:$C,Faturamento!$A:$A,$B24,Faturamento!$D:$D,"Mar"))</f>
        <v/>
      </c>
      <c r="G24" s="34">
        <f>IF($B24="","",SUMIFS(Projetos!$B:$B,Projetos!$A:$A,$B24,Projetos!$C:$C,"Mar"))</f>
        <v/>
      </c>
    </row>
    <row r="25">
      <c r="B25" s="31">
        <f>IF(Projetos!$A12="","",Projetos!$A12)</f>
        <v/>
      </c>
      <c r="C25" s="32">
        <f>IF($B25="","",SUMIFS(Ambientes!$C:$C,Ambientes!$A:$A,$B25,Ambientes!$D:$D,"Mar"))</f>
        <v/>
      </c>
      <c r="D25" s="32">
        <f>IF($B25="","",SUMIFS(Ambientes!$C:$C,Ambientes!$A:$A,$B25,Ambientes!$E:$E,"Mar"))</f>
        <v/>
      </c>
      <c r="E25" s="32">
        <f>IF($B25="","",SUMIFS(Ambientes!$H:$H,Ambientes!$A:$A,$B25,Ambientes!$D:$D,"Mar"))</f>
        <v/>
      </c>
      <c r="F25" s="32">
        <f>IF($B25="","",SUMIFS(Faturamento!$C:$C,Faturamento!$A:$A,$B25,Faturamento!$D:$D,"Mar"))</f>
        <v/>
      </c>
      <c r="G25" s="32">
        <f>IF($B25="","",SUMIFS(Projetos!$B:$B,Projetos!$A:$A,$B25,Projetos!$C:$C,"Mar"))</f>
        <v/>
      </c>
    </row>
    <row r="26">
      <c r="B26" s="33">
        <f>IF(Projetos!$A13="","",Projetos!$A13)</f>
        <v/>
      </c>
      <c r="C26" s="34">
        <f>IF($B26="","",SUMIFS(Ambientes!$C:$C,Ambientes!$A:$A,$B26,Ambientes!$D:$D,"Mar"))</f>
        <v/>
      </c>
      <c r="D26" s="34">
        <f>IF($B26="","",SUMIFS(Ambientes!$C:$C,Ambientes!$A:$A,$B26,Ambientes!$E:$E,"Mar"))</f>
        <v/>
      </c>
      <c r="E26" s="34">
        <f>IF($B26="","",SUMIFS(Ambientes!$H:$H,Ambientes!$A:$A,$B26,Ambientes!$D:$D,"Mar"))</f>
        <v/>
      </c>
      <c r="F26" s="34">
        <f>IF($B26="","",SUMIFS(Faturamento!$C:$C,Faturamento!$A:$A,$B26,Faturamento!$D:$D,"Mar"))</f>
        <v/>
      </c>
      <c r="G26" s="34">
        <f>IF($B26="","",SUMIFS(Projetos!$B:$B,Projetos!$A:$A,$B26,Projetos!$C:$C,"Mar"))</f>
        <v/>
      </c>
    </row>
    <row r="27">
      <c r="B27" s="31">
        <f>IF(Projetos!$A14="","",Projetos!$A14)</f>
        <v/>
      </c>
      <c r="C27" s="32">
        <f>IF($B27="","",SUMIFS(Ambientes!$C:$C,Ambientes!$A:$A,$B27,Ambientes!$D:$D,"Mar"))</f>
        <v/>
      </c>
      <c r="D27" s="32">
        <f>IF($B27="","",SUMIFS(Ambientes!$C:$C,Ambientes!$A:$A,$B27,Ambientes!$E:$E,"Mar"))</f>
        <v/>
      </c>
      <c r="E27" s="32">
        <f>IF($B27="","",SUMIFS(Ambientes!$H:$H,Ambientes!$A:$A,$B27,Ambientes!$D:$D,"Mar"))</f>
        <v/>
      </c>
      <c r="F27" s="32">
        <f>IF($B27="","",SUMIFS(Faturamento!$C:$C,Faturamento!$A:$A,$B27,Faturamento!$D:$D,"Mar"))</f>
        <v/>
      </c>
      <c r="G27" s="32">
        <f>IF($B27="","",SUMIFS(Projetos!$B:$B,Projetos!$A:$A,$B27,Projetos!$C:$C,"Mar"))</f>
        <v/>
      </c>
    </row>
    <row r="28">
      <c r="B28" s="33">
        <f>IF(Projetos!$A15="","",Projetos!$A15)</f>
        <v/>
      </c>
      <c r="C28" s="34">
        <f>IF($B28="","",SUMIFS(Ambientes!$C:$C,Ambientes!$A:$A,$B28,Ambientes!$D:$D,"Mar"))</f>
        <v/>
      </c>
      <c r="D28" s="34">
        <f>IF($B28="","",SUMIFS(Ambientes!$C:$C,Ambientes!$A:$A,$B28,Ambientes!$E:$E,"Mar"))</f>
        <v/>
      </c>
      <c r="E28" s="34">
        <f>IF($B28="","",SUMIFS(Ambientes!$H:$H,Ambientes!$A:$A,$B28,Ambientes!$D:$D,"Mar"))</f>
        <v/>
      </c>
      <c r="F28" s="34">
        <f>IF($B28="","",SUMIFS(Faturamento!$C:$C,Faturamento!$A:$A,$B28,Faturamento!$D:$D,"Mar"))</f>
        <v/>
      </c>
      <c r="G28" s="34">
        <f>IF($B28="","",SUMIFS(Projetos!$B:$B,Projetos!$A:$A,$B28,Projetos!$C:$C,"Mar"))</f>
        <v/>
      </c>
    </row>
    <row r="29">
      <c r="B29" s="31">
        <f>IF(Projetos!$A16="","",Projetos!$A16)</f>
        <v/>
      </c>
      <c r="C29" s="32">
        <f>IF($B29="","",SUMIFS(Ambientes!$C:$C,Ambientes!$A:$A,$B29,Ambientes!$D:$D,"Mar"))</f>
        <v/>
      </c>
      <c r="D29" s="32">
        <f>IF($B29="","",SUMIFS(Ambientes!$C:$C,Ambientes!$A:$A,$B29,Ambientes!$E:$E,"Mar"))</f>
        <v/>
      </c>
      <c r="E29" s="32">
        <f>IF($B29="","",SUMIFS(Ambientes!$H:$H,Ambientes!$A:$A,$B29,Ambientes!$D:$D,"Mar"))</f>
        <v/>
      </c>
      <c r="F29" s="32">
        <f>IF($B29="","",SUMIFS(Faturamento!$C:$C,Faturamento!$A:$A,$B29,Faturamento!$D:$D,"Mar"))</f>
        <v/>
      </c>
      <c r="G29" s="32">
        <f>IF($B29="","",SUMIFS(Projetos!$B:$B,Projetos!$A:$A,$B29,Projetos!$C:$C,"Mar"))</f>
        <v/>
      </c>
    </row>
    <row r="30">
      <c r="B30" s="33">
        <f>IF(Projetos!$A17="","",Projetos!$A17)</f>
        <v/>
      </c>
      <c r="C30" s="34">
        <f>IF($B30="","",SUMIFS(Ambientes!$C:$C,Ambientes!$A:$A,$B30,Ambientes!$D:$D,"Mar"))</f>
        <v/>
      </c>
      <c r="D30" s="34">
        <f>IF($B30="","",SUMIFS(Ambientes!$C:$C,Ambientes!$A:$A,$B30,Ambientes!$E:$E,"Mar"))</f>
        <v/>
      </c>
      <c r="E30" s="34">
        <f>IF($B30="","",SUMIFS(Ambientes!$H:$H,Ambientes!$A:$A,$B30,Ambientes!$D:$D,"Mar"))</f>
        <v/>
      </c>
      <c r="F30" s="34">
        <f>IF($B30="","",SUMIFS(Faturamento!$C:$C,Faturamento!$A:$A,$B30,Faturamento!$D:$D,"Mar"))</f>
        <v/>
      </c>
      <c r="G30" s="34">
        <f>IF($B30="","",SUMIFS(Projetos!$B:$B,Projetos!$A:$A,$B30,Projetos!$C:$C,"Mar"))</f>
        <v/>
      </c>
    </row>
    <row r="31">
      <c r="B31" s="31">
        <f>IF(Projetos!$A18="","",Projetos!$A18)</f>
        <v/>
      </c>
      <c r="C31" s="32">
        <f>IF($B31="","",SUMIFS(Ambientes!$C:$C,Ambientes!$A:$A,$B31,Ambientes!$D:$D,"Mar"))</f>
        <v/>
      </c>
      <c r="D31" s="32">
        <f>IF($B31="","",SUMIFS(Ambientes!$C:$C,Ambientes!$A:$A,$B31,Ambientes!$E:$E,"Mar"))</f>
        <v/>
      </c>
      <c r="E31" s="32">
        <f>IF($B31="","",SUMIFS(Ambientes!$H:$H,Ambientes!$A:$A,$B31,Ambientes!$D:$D,"Mar"))</f>
        <v/>
      </c>
      <c r="F31" s="32">
        <f>IF($B31="","",SUMIFS(Faturamento!$C:$C,Faturamento!$A:$A,$B31,Faturamento!$D:$D,"Mar"))</f>
        <v/>
      </c>
      <c r="G31" s="32">
        <f>IF($B31="","",SUMIFS(Projetos!$B:$B,Projetos!$A:$A,$B31,Projetos!$C:$C,"Mar"))</f>
        <v/>
      </c>
    </row>
    <row r="32">
      <c r="B32" s="33">
        <f>IF(Projetos!$A19="","",Projetos!$A19)</f>
        <v/>
      </c>
      <c r="C32" s="34">
        <f>IF($B32="","",SUMIFS(Ambientes!$C:$C,Ambientes!$A:$A,$B32,Ambientes!$D:$D,"Mar"))</f>
        <v/>
      </c>
      <c r="D32" s="34">
        <f>IF($B32="","",SUMIFS(Ambientes!$C:$C,Ambientes!$A:$A,$B32,Ambientes!$E:$E,"Mar"))</f>
        <v/>
      </c>
      <c r="E32" s="34">
        <f>IF($B32="","",SUMIFS(Ambientes!$H:$H,Ambientes!$A:$A,$B32,Ambientes!$D:$D,"Mar"))</f>
        <v/>
      </c>
      <c r="F32" s="34">
        <f>IF($B32="","",SUMIFS(Faturamento!$C:$C,Faturamento!$A:$A,$B32,Faturamento!$D:$D,"Mar"))</f>
        <v/>
      </c>
      <c r="G32" s="34">
        <f>IF($B32="","",SUMIFS(Projetos!$B:$B,Projetos!$A:$A,$B32,Projetos!$C:$C,"Mar"))</f>
        <v/>
      </c>
    </row>
    <row r="33">
      <c r="B33" s="31">
        <f>IF(Projetos!$A20="","",Projetos!$A20)</f>
        <v/>
      </c>
      <c r="C33" s="32">
        <f>IF($B33="","",SUMIFS(Ambientes!$C:$C,Ambientes!$A:$A,$B33,Ambientes!$D:$D,"Mar"))</f>
        <v/>
      </c>
      <c r="D33" s="32">
        <f>IF($B33="","",SUMIFS(Ambientes!$C:$C,Ambientes!$A:$A,$B33,Ambientes!$E:$E,"Mar"))</f>
        <v/>
      </c>
      <c r="E33" s="32">
        <f>IF($B33="","",SUMIFS(Ambientes!$H:$H,Ambientes!$A:$A,$B33,Ambientes!$D:$D,"Mar"))</f>
        <v/>
      </c>
      <c r="F33" s="32">
        <f>IF($B33="","",SUMIFS(Faturamento!$C:$C,Faturamento!$A:$A,$B33,Faturamento!$D:$D,"Mar"))</f>
        <v/>
      </c>
      <c r="G33" s="32">
        <f>IF($B33="","",SUMIFS(Projetos!$B:$B,Projetos!$A:$A,$B33,Projetos!$C:$C,"Mar"))</f>
        <v/>
      </c>
    </row>
    <row r="34">
      <c r="B34" s="33">
        <f>IF(Projetos!$A21="","",Projetos!$A21)</f>
        <v/>
      </c>
      <c r="C34" s="34">
        <f>IF($B34="","",SUMIFS(Ambientes!$C:$C,Ambientes!$A:$A,$B34,Ambientes!$D:$D,"Mar"))</f>
        <v/>
      </c>
      <c r="D34" s="34">
        <f>IF($B34="","",SUMIFS(Ambientes!$C:$C,Ambientes!$A:$A,$B34,Ambientes!$E:$E,"Mar"))</f>
        <v/>
      </c>
      <c r="E34" s="34">
        <f>IF($B34="","",SUMIFS(Ambientes!$H:$H,Ambientes!$A:$A,$B34,Ambientes!$D:$D,"Mar"))</f>
        <v/>
      </c>
      <c r="F34" s="34">
        <f>IF($B34="","",SUMIFS(Faturamento!$C:$C,Faturamento!$A:$A,$B34,Faturamento!$D:$D,"Mar"))</f>
        <v/>
      </c>
      <c r="G34" s="34">
        <f>IF($B34="","",SUMIFS(Projetos!$B:$B,Projetos!$A:$A,$B34,Projetos!$C:$C,"Mar"))</f>
        <v/>
      </c>
    </row>
    <row r="35">
      <c r="B35" s="31">
        <f>IF(Projetos!$A22="","",Projetos!$A22)</f>
        <v/>
      </c>
      <c r="C35" s="32">
        <f>IF($B35="","",SUMIFS(Ambientes!$C:$C,Ambientes!$A:$A,$B35,Ambientes!$D:$D,"Mar"))</f>
        <v/>
      </c>
      <c r="D35" s="32">
        <f>IF($B35="","",SUMIFS(Ambientes!$C:$C,Ambientes!$A:$A,$B35,Ambientes!$E:$E,"Mar"))</f>
        <v/>
      </c>
      <c r="E35" s="32">
        <f>IF($B35="","",SUMIFS(Ambientes!$H:$H,Ambientes!$A:$A,$B35,Ambientes!$D:$D,"Mar"))</f>
        <v/>
      </c>
      <c r="F35" s="32">
        <f>IF($B35="","",SUMIFS(Faturamento!$C:$C,Faturamento!$A:$A,$B35,Faturamento!$D:$D,"Mar"))</f>
        <v/>
      </c>
      <c r="G35" s="32">
        <f>IF($B35="","",SUMIFS(Projetos!$B:$B,Projetos!$A:$A,$B35,Projetos!$C:$C,"Mar"))</f>
        <v/>
      </c>
    </row>
    <row r="36">
      <c r="B36" s="33">
        <f>IF(Projetos!$A23="","",Projetos!$A23)</f>
        <v/>
      </c>
      <c r="C36" s="34">
        <f>IF($B36="","",SUMIFS(Ambientes!$C:$C,Ambientes!$A:$A,$B36,Ambientes!$D:$D,"Mar"))</f>
        <v/>
      </c>
      <c r="D36" s="34">
        <f>IF($B36="","",SUMIFS(Ambientes!$C:$C,Ambientes!$A:$A,$B36,Ambientes!$E:$E,"Mar"))</f>
        <v/>
      </c>
      <c r="E36" s="34">
        <f>IF($B36="","",SUMIFS(Ambientes!$H:$H,Ambientes!$A:$A,$B36,Ambientes!$D:$D,"Mar"))</f>
        <v/>
      </c>
      <c r="F36" s="34">
        <f>IF($B36="","",SUMIFS(Faturamento!$C:$C,Faturamento!$A:$A,$B36,Faturamento!$D:$D,"Mar"))</f>
        <v/>
      </c>
      <c r="G36" s="34">
        <f>IF($B36="","",SUMIFS(Projetos!$B:$B,Projetos!$A:$A,$B36,Projetos!$C:$C,"Mar"))</f>
        <v/>
      </c>
    </row>
    <row r="37">
      <c r="B37" s="31">
        <f>IF(Projetos!$A24="","",Projetos!$A24)</f>
        <v/>
      </c>
      <c r="C37" s="32">
        <f>IF($B37="","",SUMIFS(Ambientes!$C:$C,Ambientes!$A:$A,$B37,Ambientes!$D:$D,"Mar"))</f>
        <v/>
      </c>
      <c r="D37" s="32">
        <f>IF($B37="","",SUMIFS(Ambientes!$C:$C,Ambientes!$A:$A,$B37,Ambientes!$E:$E,"Mar"))</f>
        <v/>
      </c>
      <c r="E37" s="32">
        <f>IF($B37="","",SUMIFS(Ambientes!$H:$H,Ambientes!$A:$A,$B37,Ambientes!$D:$D,"Mar"))</f>
        <v/>
      </c>
      <c r="F37" s="32">
        <f>IF($B37="","",SUMIFS(Faturamento!$C:$C,Faturamento!$A:$A,$B37,Faturamento!$D:$D,"Mar"))</f>
        <v/>
      </c>
      <c r="G37" s="32">
        <f>IF($B37="","",SUMIFS(Projetos!$B:$B,Projetos!$A:$A,$B37,Projetos!$C:$C,"Mar"))</f>
        <v/>
      </c>
    </row>
    <row r="38">
      <c r="B38" s="33">
        <f>IF(Projetos!$A25="","",Projetos!$A25)</f>
        <v/>
      </c>
      <c r="C38" s="34">
        <f>IF($B38="","",SUMIFS(Ambientes!$C:$C,Ambientes!$A:$A,$B38,Ambientes!$D:$D,"Mar"))</f>
        <v/>
      </c>
      <c r="D38" s="34">
        <f>IF($B38="","",SUMIFS(Ambientes!$C:$C,Ambientes!$A:$A,$B38,Ambientes!$E:$E,"Mar"))</f>
        <v/>
      </c>
      <c r="E38" s="34">
        <f>IF($B38="","",SUMIFS(Ambientes!$H:$H,Ambientes!$A:$A,$B38,Ambientes!$D:$D,"Mar"))</f>
        <v/>
      </c>
      <c r="F38" s="34">
        <f>IF($B38="","",SUMIFS(Faturamento!$C:$C,Faturamento!$A:$A,$B38,Faturamento!$D:$D,"Mar"))</f>
        <v/>
      </c>
      <c r="G38" s="34">
        <f>IF($B38="","",SUMIFS(Projetos!$B:$B,Projetos!$A:$A,$B38,Projetos!$C:$C,"Mar"))</f>
        <v/>
      </c>
    </row>
    <row r="39">
      <c r="B39" s="31">
        <f>IF(Projetos!$A26="","",Projetos!$A26)</f>
        <v/>
      </c>
      <c r="C39" s="32">
        <f>IF($B39="","",SUMIFS(Ambientes!$C:$C,Ambientes!$A:$A,$B39,Ambientes!$D:$D,"Mar"))</f>
        <v/>
      </c>
      <c r="D39" s="32">
        <f>IF($B39="","",SUMIFS(Ambientes!$C:$C,Ambientes!$A:$A,$B39,Ambientes!$E:$E,"Mar"))</f>
        <v/>
      </c>
      <c r="E39" s="32">
        <f>IF($B39="","",SUMIFS(Ambientes!$H:$H,Ambientes!$A:$A,$B39,Ambientes!$D:$D,"Mar"))</f>
        <v/>
      </c>
      <c r="F39" s="32">
        <f>IF($B39="","",SUMIFS(Faturamento!$C:$C,Faturamento!$A:$A,$B39,Faturamento!$D:$D,"Mar"))</f>
        <v/>
      </c>
      <c r="G39" s="32">
        <f>IF($B39="","",SUMIFS(Projetos!$B:$B,Projetos!$A:$A,$B39,Projetos!$C:$C,"Mar"))</f>
        <v/>
      </c>
    </row>
    <row r="40">
      <c r="B40" s="33">
        <f>IF(Projetos!$A27="","",Projetos!$A27)</f>
        <v/>
      </c>
      <c r="C40" s="34">
        <f>IF($B40="","",SUMIFS(Ambientes!$C:$C,Ambientes!$A:$A,$B40,Ambientes!$D:$D,"Mar"))</f>
        <v/>
      </c>
      <c r="D40" s="34">
        <f>IF($B40="","",SUMIFS(Ambientes!$C:$C,Ambientes!$A:$A,$B40,Ambientes!$E:$E,"Mar"))</f>
        <v/>
      </c>
      <c r="E40" s="34">
        <f>IF($B40="","",SUMIFS(Ambientes!$H:$H,Ambientes!$A:$A,$B40,Ambientes!$D:$D,"Mar"))</f>
        <v/>
      </c>
      <c r="F40" s="34">
        <f>IF($B40="","",SUMIFS(Faturamento!$C:$C,Faturamento!$A:$A,$B40,Faturamento!$D:$D,"Mar"))</f>
        <v/>
      </c>
      <c r="G40" s="34">
        <f>IF($B40="","",SUMIFS(Projetos!$B:$B,Projetos!$A:$A,$B40,Projetos!$C:$C,"Mar"))</f>
        <v/>
      </c>
    </row>
    <row r="41">
      <c r="B41" s="31">
        <f>IF(Projetos!$A28="","",Projetos!$A28)</f>
        <v/>
      </c>
      <c r="C41" s="32">
        <f>IF($B41="","",SUMIFS(Ambientes!$C:$C,Ambientes!$A:$A,$B41,Ambientes!$D:$D,"Mar"))</f>
        <v/>
      </c>
      <c r="D41" s="32">
        <f>IF($B41="","",SUMIFS(Ambientes!$C:$C,Ambientes!$A:$A,$B41,Ambientes!$E:$E,"Mar"))</f>
        <v/>
      </c>
      <c r="E41" s="32">
        <f>IF($B41="","",SUMIFS(Ambientes!$H:$H,Ambientes!$A:$A,$B41,Ambientes!$D:$D,"Mar"))</f>
        <v/>
      </c>
      <c r="F41" s="32">
        <f>IF($B41="","",SUMIFS(Faturamento!$C:$C,Faturamento!$A:$A,$B41,Faturamento!$D:$D,"Mar"))</f>
        <v/>
      </c>
      <c r="G41" s="32">
        <f>IF($B41="","",SUMIFS(Projetos!$B:$B,Projetos!$A:$A,$B41,Projetos!$C:$C,"Mar"))</f>
        <v/>
      </c>
    </row>
    <row r="42">
      <c r="B42" s="33">
        <f>IF(Projetos!$A29="","",Projetos!$A29)</f>
        <v/>
      </c>
      <c r="C42" s="34">
        <f>IF($B42="","",SUMIFS(Ambientes!$C:$C,Ambientes!$A:$A,$B42,Ambientes!$D:$D,"Mar"))</f>
        <v/>
      </c>
      <c r="D42" s="34">
        <f>IF($B42="","",SUMIFS(Ambientes!$C:$C,Ambientes!$A:$A,$B42,Ambientes!$E:$E,"Mar"))</f>
        <v/>
      </c>
      <c r="E42" s="34">
        <f>IF($B42="","",SUMIFS(Ambientes!$H:$H,Ambientes!$A:$A,$B42,Ambientes!$D:$D,"Mar"))</f>
        <v/>
      </c>
      <c r="F42" s="34">
        <f>IF($B42="","",SUMIFS(Faturamento!$C:$C,Faturamento!$A:$A,$B42,Faturamento!$D:$D,"Mar"))</f>
        <v/>
      </c>
      <c r="G42" s="34">
        <f>IF($B42="","",SUMIFS(Projetos!$B:$B,Projetos!$A:$A,$B42,Projetos!$C:$C,"Mar"))</f>
        <v/>
      </c>
    </row>
    <row r="43">
      <c r="B43" s="31">
        <f>IF(Projetos!$A30="","",Projetos!$A30)</f>
        <v/>
      </c>
      <c r="C43" s="32">
        <f>IF($B43="","",SUMIFS(Ambientes!$C:$C,Ambientes!$A:$A,$B43,Ambientes!$D:$D,"Mar"))</f>
        <v/>
      </c>
      <c r="D43" s="32">
        <f>IF($B43="","",SUMIFS(Ambientes!$C:$C,Ambientes!$A:$A,$B43,Ambientes!$E:$E,"Mar"))</f>
        <v/>
      </c>
      <c r="E43" s="32">
        <f>IF($B43="","",SUMIFS(Ambientes!$H:$H,Ambientes!$A:$A,$B43,Ambientes!$D:$D,"Mar"))</f>
        <v/>
      </c>
      <c r="F43" s="32">
        <f>IF($B43="","",SUMIFS(Faturamento!$C:$C,Faturamento!$A:$A,$B43,Faturamento!$D:$D,"Mar"))</f>
        <v/>
      </c>
      <c r="G43" s="32">
        <f>IF($B43="","",SUMIFS(Projetos!$B:$B,Projetos!$A:$A,$B43,Projetos!$C:$C,"Mar"))</f>
        <v/>
      </c>
    </row>
    <row r="44">
      <c r="B44" s="33">
        <f>IF(Projetos!$A31="","",Projetos!$A31)</f>
        <v/>
      </c>
      <c r="C44" s="34">
        <f>IF($B44="","",SUMIFS(Ambientes!$C:$C,Ambientes!$A:$A,$B44,Ambientes!$D:$D,"Mar"))</f>
        <v/>
      </c>
      <c r="D44" s="34">
        <f>IF($B44="","",SUMIFS(Ambientes!$C:$C,Ambientes!$A:$A,$B44,Ambientes!$E:$E,"Mar"))</f>
        <v/>
      </c>
      <c r="E44" s="34">
        <f>IF($B44="","",SUMIFS(Ambientes!$H:$H,Ambientes!$A:$A,$B44,Ambientes!$D:$D,"Mar"))</f>
        <v/>
      </c>
      <c r="F44" s="34">
        <f>IF($B44="","",SUMIFS(Faturamento!$C:$C,Faturamento!$A:$A,$B44,Faturamento!$D:$D,"Mar"))</f>
        <v/>
      </c>
      <c r="G44" s="34">
        <f>IF($B44="","",SUMIFS(Projetos!$B:$B,Projetos!$A:$A,$B44,Projetos!$C:$C,"Mar"))</f>
        <v/>
      </c>
    </row>
    <row r="45">
      <c r="B45" s="31">
        <f>IF(Projetos!$A32="","",Projetos!$A32)</f>
        <v/>
      </c>
      <c r="C45" s="32">
        <f>IF($B45="","",SUMIFS(Ambientes!$C:$C,Ambientes!$A:$A,$B45,Ambientes!$D:$D,"Mar"))</f>
        <v/>
      </c>
      <c r="D45" s="32">
        <f>IF($B45="","",SUMIFS(Ambientes!$C:$C,Ambientes!$A:$A,$B45,Ambientes!$E:$E,"Mar"))</f>
        <v/>
      </c>
      <c r="E45" s="32">
        <f>IF($B45="","",SUMIFS(Ambientes!$H:$H,Ambientes!$A:$A,$B45,Ambientes!$D:$D,"Mar"))</f>
        <v/>
      </c>
      <c r="F45" s="32">
        <f>IF($B45="","",SUMIFS(Faturamento!$C:$C,Faturamento!$A:$A,$B45,Faturamento!$D:$D,"Mar"))</f>
        <v/>
      </c>
      <c r="G45" s="32">
        <f>IF($B45="","",SUMIFS(Projetos!$B:$B,Projetos!$A:$A,$B45,Projetos!$C:$C,"Mar"))</f>
        <v/>
      </c>
    </row>
    <row r="46">
      <c r="B46" s="33">
        <f>IF(Projetos!$A33="","",Projetos!$A33)</f>
        <v/>
      </c>
      <c r="C46" s="34">
        <f>IF($B46="","",SUMIFS(Ambientes!$C:$C,Ambientes!$A:$A,$B46,Ambientes!$D:$D,"Mar"))</f>
        <v/>
      </c>
      <c r="D46" s="34">
        <f>IF($B46="","",SUMIFS(Ambientes!$C:$C,Ambientes!$A:$A,$B46,Ambientes!$E:$E,"Mar"))</f>
        <v/>
      </c>
      <c r="E46" s="34">
        <f>IF($B46="","",SUMIFS(Ambientes!$H:$H,Ambientes!$A:$A,$B46,Ambientes!$D:$D,"Mar"))</f>
        <v/>
      </c>
      <c r="F46" s="34">
        <f>IF($B46="","",SUMIFS(Faturamento!$C:$C,Faturamento!$A:$A,$B46,Faturamento!$D:$D,"Mar"))</f>
        <v/>
      </c>
      <c r="G46" s="34">
        <f>IF($B46="","",SUMIFS(Projetos!$B:$B,Projetos!$A:$A,$B46,Projetos!$C:$C,"Mar"))</f>
        <v/>
      </c>
    </row>
    <row r="47">
      <c r="B47" s="31">
        <f>IF(Projetos!$A34="","",Projetos!$A34)</f>
        <v/>
      </c>
      <c r="C47" s="32">
        <f>IF($B47="","",SUMIFS(Ambientes!$C:$C,Ambientes!$A:$A,$B47,Ambientes!$D:$D,"Mar"))</f>
        <v/>
      </c>
      <c r="D47" s="32">
        <f>IF($B47="","",SUMIFS(Ambientes!$C:$C,Ambientes!$A:$A,$B47,Ambientes!$E:$E,"Mar"))</f>
        <v/>
      </c>
      <c r="E47" s="32">
        <f>IF($B47="","",SUMIFS(Ambientes!$H:$H,Ambientes!$A:$A,$B47,Ambientes!$D:$D,"Mar"))</f>
        <v/>
      </c>
      <c r="F47" s="32">
        <f>IF($B47="","",SUMIFS(Faturamento!$C:$C,Faturamento!$A:$A,$B47,Faturamento!$D:$D,"Mar"))</f>
        <v/>
      </c>
      <c r="G47" s="32">
        <f>IF($B47="","",SUMIFS(Projetos!$B:$B,Projetos!$A:$A,$B47,Projetos!$C:$C,"Mar"))</f>
        <v/>
      </c>
    </row>
    <row r="48">
      <c r="B48" s="33">
        <f>IF(Projetos!$A35="","",Projetos!$A35)</f>
        <v/>
      </c>
      <c r="C48" s="34">
        <f>IF($B48="","",SUMIFS(Ambientes!$C:$C,Ambientes!$A:$A,$B48,Ambientes!$D:$D,"Mar"))</f>
        <v/>
      </c>
      <c r="D48" s="34">
        <f>IF($B48="","",SUMIFS(Ambientes!$C:$C,Ambientes!$A:$A,$B48,Ambientes!$E:$E,"Mar"))</f>
        <v/>
      </c>
      <c r="E48" s="34">
        <f>IF($B48="","",SUMIFS(Ambientes!$H:$H,Ambientes!$A:$A,$B48,Ambientes!$D:$D,"Mar"))</f>
        <v/>
      </c>
      <c r="F48" s="34">
        <f>IF($B48="","",SUMIFS(Faturamento!$C:$C,Faturamento!$A:$A,$B48,Faturamento!$D:$D,"Mar"))</f>
        <v/>
      </c>
      <c r="G48" s="34">
        <f>IF($B48="","",SUMIFS(Projetos!$B:$B,Projetos!$A:$A,$B48,Projetos!$C:$C,"Mar"))</f>
        <v/>
      </c>
    </row>
    <row r="49">
      <c r="B49" s="31">
        <f>IF(Projetos!$A36="","",Projetos!$A36)</f>
        <v/>
      </c>
      <c r="C49" s="32">
        <f>IF($B49="","",SUMIFS(Ambientes!$C:$C,Ambientes!$A:$A,$B49,Ambientes!$D:$D,"Mar"))</f>
        <v/>
      </c>
      <c r="D49" s="32">
        <f>IF($B49="","",SUMIFS(Ambientes!$C:$C,Ambientes!$A:$A,$B49,Ambientes!$E:$E,"Mar"))</f>
        <v/>
      </c>
      <c r="E49" s="32">
        <f>IF($B49="","",SUMIFS(Ambientes!$H:$H,Ambientes!$A:$A,$B49,Ambientes!$D:$D,"Mar"))</f>
        <v/>
      </c>
      <c r="F49" s="32">
        <f>IF($B49="","",SUMIFS(Faturamento!$C:$C,Faturamento!$A:$A,$B49,Faturamento!$D:$D,"Mar"))</f>
        <v/>
      </c>
      <c r="G49" s="32">
        <f>IF($B49="","",SUMIFS(Projetos!$B:$B,Projetos!$A:$A,$B49,Projetos!$C:$C,"Mar"))</f>
        <v/>
      </c>
    </row>
    <row r="50">
      <c r="B50" s="33">
        <f>IF(Projetos!$A37="","",Projetos!$A37)</f>
        <v/>
      </c>
      <c r="C50" s="34">
        <f>IF($B50="","",SUMIFS(Ambientes!$C:$C,Ambientes!$A:$A,$B50,Ambientes!$D:$D,"Mar"))</f>
        <v/>
      </c>
      <c r="D50" s="34">
        <f>IF($B50="","",SUMIFS(Ambientes!$C:$C,Ambientes!$A:$A,$B50,Ambientes!$E:$E,"Mar"))</f>
        <v/>
      </c>
      <c r="E50" s="34">
        <f>IF($B50="","",SUMIFS(Ambientes!$H:$H,Ambientes!$A:$A,$B50,Ambientes!$D:$D,"Mar"))</f>
        <v/>
      </c>
      <c r="F50" s="34">
        <f>IF($B50="","",SUMIFS(Faturamento!$C:$C,Faturamento!$A:$A,$B50,Faturamento!$D:$D,"Mar"))</f>
        <v/>
      </c>
      <c r="G50" s="34">
        <f>IF($B50="","",SUMIFS(Projetos!$B:$B,Projetos!$A:$A,$B50,Projetos!$C:$C,"Mar"))</f>
        <v/>
      </c>
    </row>
    <row r="51">
      <c r="B51" s="31">
        <f>IF(Projetos!$A38="","",Projetos!$A38)</f>
        <v/>
      </c>
      <c r="C51" s="32">
        <f>IF($B51="","",SUMIFS(Ambientes!$C:$C,Ambientes!$A:$A,$B51,Ambientes!$D:$D,"Mar"))</f>
        <v/>
      </c>
      <c r="D51" s="32">
        <f>IF($B51="","",SUMIFS(Ambientes!$C:$C,Ambientes!$A:$A,$B51,Ambientes!$E:$E,"Mar"))</f>
        <v/>
      </c>
      <c r="E51" s="32">
        <f>IF($B51="","",SUMIFS(Ambientes!$H:$H,Ambientes!$A:$A,$B51,Ambientes!$D:$D,"Mar"))</f>
        <v/>
      </c>
      <c r="F51" s="32">
        <f>IF($B51="","",SUMIFS(Faturamento!$C:$C,Faturamento!$A:$A,$B51,Faturamento!$D:$D,"Mar"))</f>
        <v/>
      </c>
      <c r="G51" s="32">
        <f>IF($B51="","",SUMIFS(Projetos!$B:$B,Projetos!$A:$A,$B51,Projetos!$C:$C,"Mar"))</f>
        <v/>
      </c>
    </row>
    <row r="52">
      <c r="B52" s="33">
        <f>IF(Projetos!$A39="","",Projetos!$A39)</f>
        <v/>
      </c>
      <c r="C52" s="34">
        <f>IF($B52="","",SUMIFS(Ambientes!$C:$C,Ambientes!$A:$A,$B52,Ambientes!$D:$D,"Mar"))</f>
        <v/>
      </c>
      <c r="D52" s="34">
        <f>IF($B52="","",SUMIFS(Ambientes!$C:$C,Ambientes!$A:$A,$B52,Ambientes!$E:$E,"Mar"))</f>
        <v/>
      </c>
      <c r="E52" s="34">
        <f>IF($B52="","",SUMIFS(Ambientes!$H:$H,Ambientes!$A:$A,$B52,Ambientes!$D:$D,"Mar"))</f>
        <v/>
      </c>
      <c r="F52" s="34">
        <f>IF($B52="","",SUMIFS(Faturamento!$C:$C,Faturamento!$A:$A,$B52,Faturamento!$D:$D,"Mar"))</f>
        <v/>
      </c>
      <c r="G52" s="34">
        <f>IF($B52="","",SUMIFS(Projetos!$B:$B,Projetos!$A:$A,$B52,Projetos!$C:$C,"Mar"))</f>
        <v/>
      </c>
    </row>
    <row r="53">
      <c r="B53" s="31">
        <f>IF(Projetos!$A40="","",Projetos!$A40)</f>
        <v/>
      </c>
      <c r="C53" s="32">
        <f>IF($B53="","",SUMIFS(Ambientes!$C:$C,Ambientes!$A:$A,$B53,Ambientes!$D:$D,"Mar"))</f>
        <v/>
      </c>
      <c r="D53" s="32">
        <f>IF($B53="","",SUMIFS(Ambientes!$C:$C,Ambientes!$A:$A,$B53,Ambientes!$E:$E,"Mar"))</f>
        <v/>
      </c>
      <c r="E53" s="32">
        <f>IF($B53="","",SUMIFS(Ambientes!$H:$H,Ambientes!$A:$A,$B53,Ambientes!$D:$D,"Mar"))</f>
        <v/>
      </c>
      <c r="F53" s="32">
        <f>IF($B53="","",SUMIFS(Faturamento!$C:$C,Faturamento!$A:$A,$B53,Faturamento!$D:$D,"Mar"))</f>
        <v/>
      </c>
      <c r="G53" s="32">
        <f>IF($B53="","",SUMIFS(Projetos!$B:$B,Projetos!$A:$A,$B53,Projetos!$C:$C,"Mar"))</f>
        <v/>
      </c>
    </row>
    <row r="54">
      <c r="B54" s="33">
        <f>IF(Projetos!$A41="","",Projetos!$A41)</f>
        <v/>
      </c>
      <c r="C54" s="34">
        <f>IF($B54="","",SUMIFS(Ambientes!$C:$C,Ambientes!$A:$A,$B54,Ambientes!$D:$D,"Mar"))</f>
        <v/>
      </c>
      <c r="D54" s="34">
        <f>IF($B54="","",SUMIFS(Ambientes!$C:$C,Ambientes!$A:$A,$B54,Ambientes!$E:$E,"Mar"))</f>
        <v/>
      </c>
      <c r="E54" s="34">
        <f>IF($B54="","",SUMIFS(Ambientes!$H:$H,Ambientes!$A:$A,$B54,Ambientes!$D:$D,"Mar"))</f>
        <v/>
      </c>
      <c r="F54" s="34">
        <f>IF($B54="","",SUMIFS(Faturamento!$C:$C,Faturamento!$A:$A,$B54,Faturamento!$D:$D,"Mar"))</f>
        <v/>
      </c>
      <c r="G54" s="34">
        <f>IF($B54="","",SUMIFS(Projetos!$B:$B,Projetos!$A:$A,$B54,Projetos!$C:$C,"Mar"))</f>
        <v/>
      </c>
    </row>
    <row r="55">
      <c r="B55" s="31">
        <f>IF(Projetos!$A42="","",Projetos!$A42)</f>
        <v/>
      </c>
      <c r="C55" s="32">
        <f>IF($B55="","",SUMIFS(Ambientes!$C:$C,Ambientes!$A:$A,$B55,Ambientes!$D:$D,"Mar"))</f>
        <v/>
      </c>
      <c r="D55" s="32">
        <f>IF($B55="","",SUMIFS(Ambientes!$C:$C,Ambientes!$A:$A,$B55,Ambientes!$E:$E,"Mar"))</f>
        <v/>
      </c>
      <c r="E55" s="32">
        <f>IF($B55="","",SUMIFS(Ambientes!$H:$H,Ambientes!$A:$A,$B55,Ambientes!$D:$D,"Mar"))</f>
        <v/>
      </c>
      <c r="F55" s="32">
        <f>IF($B55="","",SUMIFS(Faturamento!$C:$C,Faturamento!$A:$A,$B55,Faturamento!$D:$D,"Mar"))</f>
        <v/>
      </c>
      <c r="G55" s="32">
        <f>IF($B55="","",SUMIFS(Projetos!$B:$B,Projetos!$A:$A,$B55,Projetos!$C:$C,"Mar"))</f>
        <v/>
      </c>
    </row>
    <row r="56">
      <c r="B56" s="33">
        <f>IF(Projetos!$A43="","",Projetos!$A43)</f>
        <v/>
      </c>
      <c r="C56" s="34">
        <f>IF($B56="","",SUMIFS(Ambientes!$C:$C,Ambientes!$A:$A,$B56,Ambientes!$D:$D,"Mar"))</f>
        <v/>
      </c>
      <c r="D56" s="34">
        <f>IF($B56="","",SUMIFS(Ambientes!$C:$C,Ambientes!$A:$A,$B56,Ambientes!$E:$E,"Mar"))</f>
        <v/>
      </c>
      <c r="E56" s="34">
        <f>IF($B56="","",SUMIFS(Ambientes!$H:$H,Ambientes!$A:$A,$B56,Ambientes!$D:$D,"Mar"))</f>
        <v/>
      </c>
      <c r="F56" s="34">
        <f>IF($B56="","",SUMIFS(Faturamento!$C:$C,Faturamento!$A:$A,$B56,Faturamento!$D:$D,"Mar"))</f>
        <v/>
      </c>
      <c r="G56" s="34">
        <f>IF($B56="","",SUMIFS(Projetos!$B:$B,Projetos!$A:$A,$B56,Projetos!$C:$C,"Mar"))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ABRIL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Fixo'!$A:$A,"Abr",'Custo Fixo'!$E:$E)</f>
        <v/>
      </c>
      <c r="C6" s="19">
        <f>SUMIF(Projetos!$C:$C,"Abr",Projetos!$B:$B)</f>
        <v/>
      </c>
      <c r="D6" s="20">
        <f>SUMIF(Ambientes!$D:$D,"Abr",Ambientes!$H:$H)</f>
        <v/>
      </c>
      <c r="E6" s="19">
        <f>SUMIF(Ambientes!$D:$D,"Abr",Ambientes!$C:$C)</f>
        <v/>
      </c>
      <c r="F6" s="19">
        <f>SUMIF(Ambientes!$E:$E,"Abr",Ambientes!$C:$C)</f>
        <v/>
      </c>
      <c r="G6" s="19">
        <f>SUMIF(Faturamento!$D:$D,"Abr",Faturamento!$C:$C)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SUMIF(Compras!$E:$E,"Abr",Compras!$D:$D)</f>
        <v/>
      </c>
      <c r="C12" s="27">
        <f>SUMIFS(Compras!$D:$D,Compras!$H:$H,"&lt;=4",Compras!$A:$A,"&lt;&gt;")-SUMIF(Ambientes!$J:$J,"&lt;=4",Ambientes!$H:$H)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SUMIF(Projetos!$H:$H,"&lt;=4",Projetos!$B:$B)-SUMIF(Ambientes!$J:$J,"&lt;=4",Ambientes!$C:$C)</f>
        <v/>
      </c>
    </row>
    <row r="13" ht="26" customHeight="1">
      <c r="B13" s="30">
        <f>=IF(SUMIF(Compras!$E:$E,"Abr",Compras!$D:$D)-SUMIFS(Compras!$D:$D,Compras!$E:$E,"Abr",Compras!$A:$A,"&lt;&gt;")=0,"tudo vinculado a projeto","dos quais "&amp;TEXT(SUMIF(Compras!$E:$E,"Abr",Compras!$D:$D)-SUMIFS(Compras!$D:$D,Compras!$E:$E,"Abr",Compras!$A:$A,"&lt;&gt;"),"R$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IF($B17="","",SUMIFS(Ambientes!$C:$C,Ambientes!$A:$A,$B17,Ambientes!$D:$D,"Abr"))</f>
        <v/>
      </c>
      <c r="D17" s="32">
        <f>IF($B17="","",SUMIFS(Ambientes!$C:$C,Ambientes!$A:$A,$B17,Ambientes!$E:$E,"Abr"))</f>
        <v/>
      </c>
      <c r="E17" s="32">
        <f>IF($B17="","",SUMIFS(Ambientes!$H:$H,Ambientes!$A:$A,$B17,Ambientes!$D:$D,"Abr"))</f>
        <v/>
      </c>
      <c r="F17" s="32">
        <f>IF($B17="","",SUMIFS(Faturamento!$C:$C,Faturamento!$A:$A,$B17,Faturamento!$D:$D,"Abr"))</f>
        <v/>
      </c>
      <c r="G17" s="32">
        <f>IF($B17="","",SUMIFS(Projetos!$B:$B,Projetos!$A:$A,$B17,Projetos!$C:$C,"Abr"))</f>
        <v/>
      </c>
    </row>
    <row r="18">
      <c r="B18" s="33">
        <f>IF(Projetos!$A5="","",Projetos!$A5)</f>
        <v/>
      </c>
      <c r="C18" s="34">
        <f>IF($B18="","",SUMIFS(Ambientes!$C:$C,Ambientes!$A:$A,$B18,Ambientes!$D:$D,"Abr"))</f>
        <v/>
      </c>
      <c r="D18" s="34">
        <f>IF($B18="","",SUMIFS(Ambientes!$C:$C,Ambientes!$A:$A,$B18,Ambientes!$E:$E,"Abr"))</f>
        <v/>
      </c>
      <c r="E18" s="34">
        <f>IF($B18="","",SUMIFS(Ambientes!$H:$H,Ambientes!$A:$A,$B18,Ambientes!$D:$D,"Abr"))</f>
        <v/>
      </c>
      <c r="F18" s="34">
        <f>IF($B18="","",SUMIFS(Faturamento!$C:$C,Faturamento!$A:$A,$B18,Faturamento!$D:$D,"Abr"))</f>
        <v/>
      </c>
      <c r="G18" s="34">
        <f>IF($B18="","",SUMIFS(Projetos!$B:$B,Projetos!$A:$A,$B18,Projetos!$C:$C,"Abr"))</f>
        <v/>
      </c>
    </row>
    <row r="19">
      <c r="B19" s="31">
        <f>IF(Projetos!$A6="","",Projetos!$A6)</f>
        <v/>
      </c>
      <c r="C19" s="32">
        <f>IF($B19="","",SUMIFS(Ambientes!$C:$C,Ambientes!$A:$A,$B19,Ambientes!$D:$D,"Abr"))</f>
        <v/>
      </c>
      <c r="D19" s="32">
        <f>IF($B19="","",SUMIFS(Ambientes!$C:$C,Ambientes!$A:$A,$B19,Ambientes!$E:$E,"Abr"))</f>
        <v/>
      </c>
      <c r="E19" s="32">
        <f>IF($B19="","",SUMIFS(Ambientes!$H:$H,Ambientes!$A:$A,$B19,Ambientes!$D:$D,"Abr"))</f>
        <v/>
      </c>
      <c r="F19" s="32">
        <f>IF($B19="","",SUMIFS(Faturamento!$C:$C,Faturamento!$A:$A,$B19,Faturamento!$D:$D,"Abr"))</f>
        <v/>
      </c>
      <c r="G19" s="32">
        <f>IF($B19="","",SUMIFS(Projetos!$B:$B,Projetos!$A:$A,$B19,Projetos!$C:$C,"Abr"))</f>
        <v/>
      </c>
    </row>
    <row r="20">
      <c r="B20" s="33">
        <f>IF(Projetos!$A7="","",Projetos!$A7)</f>
        <v/>
      </c>
      <c r="C20" s="34">
        <f>IF($B20="","",SUMIFS(Ambientes!$C:$C,Ambientes!$A:$A,$B20,Ambientes!$D:$D,"Abr"))</f>
        <v/>
      </c>
      <c r="D20" s="34">
        <f>IF($B20="","",SUMIFS(Ambientes!$C:$C,Ambientes!$A:$A,$B20,Ambientes!$E:$E,"Abr"))</f>
        <v/>
      </c>
      <c r="E20" s="34">
        <f>IF($B20="","",SUMIFS(Ambientes!$H:$H,Ambientes!$A:$A,$B20,Ambientes!$D:$D,"Abr"))</f>
        <v/>
      </c>
      <c r="F20" s="34">
        <f>IF($B20="","",SUMIFS(Faturamento!$C:$C,Faturamento!$A:$A,$B20,Faturamento!$D:$D,"Abr"))</f>
        <v/>
      </c>
      <c r="G20" s="34">
        <f>IF($B20="","",SUMIFS(Projetos!$B:$B,Projetos!$A:$A,$B20,Projetos!$C:$C,"Abr"))</f>
        <v/>
      </c>
    </row>
    <row r="21">
      <c r="B21" s="31">
        <f>IF(Projetos!$A8="","",Projetos!$A8)</f>
        <v/>
      </c>
      <c r="C21" s="32">
        <f>IF($B21="","",SUMIFS(Ambientes!$C:$C,Ambientes!$A:$A,$B21,Ambientes!$D:$D,"Abr"))</f>
        <v/>
      </c>
      <c r="D21" s="32">
        <f>IF($B21="","",SUMIFS(Ambientes!$C:$C,Ambientes!$A:$A,$B21,Ambientes!$E:$E,"Abr"))</f>
        <v/>
      </c>
      <c r="E21" s="32">
        <f>IF($B21="","",SUMIFS(Ambientes!$H:$H,Ambientes!$A:$A,$B21,Ambientes!$D:$D,"Abr"))</f>
        <v/>
      </c>
      <c r="F21" s="32">
        <f>IF($B21="","",SUMIFS(Faturamento!$C:$C,Faturamento!$A:$A,$B21,Faturamento!$D:$D,"Abr"))</f>
        <v/>
      </c>
      <c r="G21" s="32">
        <f>IF($B21="","",SUMIFS(Projetos!$B:$B,Projetos!$A:$A,$B21,Projetos!$C:$C,"Abr"))</f>
        <v/>
      </c>
    </row>
    <row r="22">
      <c r="B22" s="33">
        <f>IF(Projetos!$A9="","",Projetos!$A9)</f>
        <v/>
      </c>
      <c r="C22" s="34">
        <f>IF($B22="","",SUMIFS(Ambientes!$C:$C,Ambientes!$A:$A,$B22,Ambientes!$D:$D,"Abr"))</f>
        <v/>
      </c>
      <c r="D22" s="34">
        <f>IF($B22="","",SUMIFS(Ambientes!$C:$C,Ambientes!$A:$A,$B22,Ambientes!$E:$E,"Abr"))</f>
        <v/>
      </c>
      <c r="E22" s="34">
        <f>IF($B22="","",SUMIFS(Ambientes!$H:$H,Ambientes!$A:$A,$B22,Ambientes!$D:$D,"Abr"))</f>
        <v/>
      </c>
      <c r="F22" s="34">
        <f>IF($B22="","",SUMIFS(Faturamento!$C:$C,Faturamento!$A:$A,$B22,Faturamento!$D:$D,"Abr"))</f>
        <v/>
      </c>
      <c r="G22" s="34">
        <f>IF($B22="","",SUMIFS(Projetos!$B:$B,Projetos!$A:$A,$B22,Projetos!$C:$C,"Abr"))</f>
        <v/>
      </c>
    </row>
    <row r="23">
      <c r="B23" s="31">
        <f>IF(Projetos!$A10="","",Projetos!$A10)</f>
        <v/>
      </c>
      <c r="C23" s="32">
        <f>IF($B23="","",SUMIFS(Ambientes!$C:$C,Ambientes!$A:$A,$B23,Ambientes!$D:$D,"Abr"))</f>
        <v/>
      </c>
      <c r="D23" s="32">
        <f>IF($B23="","",SUMIFS(Ambientes!$C:$C,Ambientes!$A:$A,$B23,Ambientes!$E:$E,"Abr"))</f>
        <v/>
      </c>
      <c r="E23" s="32">
        <f>IF($B23="","",SUMIFS(Ambientes!$H:$H,Ambientes!$A:$A,$B23,Ambientes!$D:$D,"Abr"))</f>
        <v/>
      </c>
      <c r="F23" s="32">
        <f>IF($B23="","",SUMIFS(Faturamento!$C:$C,Faturamento!$A:$A,$B23,Faturamento!$D:$D,"Abr"))</f>
        <v/>
      </c>
      <c r="G23" s="32">
        <f>IF($B23="","",SUMIFS(Projetos!$B:$B,Projetos!$A:$A,$B23,Projetos!$C:$C,"Abr"))</f>
        <v/>
      </c>
    </row>
    <row r="24">
      <c r="B24" s="33">
        <f>IF(Projetos!$A11="","",Projetos!$A11)</f>
        <v/>
      </c>
      <c r="C24" s="34">
        <f>IF($B24="","",SUMIFS(Ambientes!$C:$C,Ambientes!$A:$A,$B24,Ambientes!$D:$D,"Abr"))</f>
        <v/>
      </c>
      <c r="D24" s="34">
        <f>IF($B24="","",SUMIFS(Ambientes!$C:$C,Ambientes!$A:$A,$B24,Ambientes!$E:$E,"Abr"))</f>
        <v/>
      </c>
      <c r="E24" s="34">
        <f>IF($B24="","",SUMIFS(Ambientes!$H:$H,Ambientes!$A:$A,$B24,Ambientes!$D:$D,"Abr"))</f>
        <v/>
      </c>
      <c r="F24" s="34">
        <f>IF($B24="","",SUMIFS(Faturamento!$C:$C,Faturamento!$A:$A,$B24,Faturamento!$D:$D,"Abr"))</f>
        <v/>
      </c>
      <c r="G24" s="34">
        <f>IF($B24="","",SUMIFS(Projetos!$B:$B,Projetos!$A:$A,$B24,Projetos!$C:$C,"Abr"))</f>
        <v/>
      </c>
    </row>
    <row r="25">
      <c r="B25" s="31">
        <f>IF(Projetos!$A12="","",Projetos!$A12)</f>
        <v/>
      </c>
      <c r="C25" s="32">
        <f>IF($B25="","",SUMIFS(Ambientes!$C:$C,Ambientes!$A:$A,$B25,Ambientes!$D:$D,"Abr"))</f>
        <v/>
      </c>
      <c r="D25" s="32">
        <f>IF($B25="","",SUMIFS(Ambientes!$C:$C,Ambientes!$A:$A,$B25,Ambientes!$E:$E,"Abr"))</f>
        <v/>
      </c>
      <c r="E25" s="32">
        <f>IF($B25="","",SUMIFS(Ambientes!$H:$H,Ambientes!$A:$A,$B25,Ambientes!$D:$D,"Abr"))</f>
        <v/>
      </c>
      <c r="F25" s="32">
        <f>IF($B25="","",SUMIFS(Faturamento!$C:$C,Faturamento!$A:$A,$B25,Faturamento!$D:$D,"Abr"))</f>
        <v/>
      </c>
      <c r="G25" s="32">
        <f>IF($B25="","",SUMIFS(Projetos!$B:$B,Projetos!$A:$A,$B25,Projetos!$C:$C,"Abr"))</f>
        <v/>
      </c>
    </row>
    <row r="26">
      <c r="B26" s="33">
        <f>IF(Projetos!$A13="","",Projetos!$A13)</f>
        <v/>
      </c>
      <c r="C26" s="34">
        <f>IF($B26="","",SUMIFS(Ambientes!$C:$C,Ambientes!$A:$A,$B26,Ambientes!$D:$D,"Abr"))</f>
        <v/>
      </c>
      <c r="D26" s="34">
        <f>IF($B26="","",SUMIFS(Ambientes!$C:$C,Ambientes!$A:$A,$B26,Ambientes!$E:$E,"Abr"))</f>
        <v/>
      </c>
      <c r="E26" s="34">
        <f>IF($B26="","",SUMIFS(Ambientes!$H:$H,Ambientes!$A:$A,$B26,Ambientes!$D:$D,"Abr"))</f>
        <v/>
      </c>
      <c r="F26" s="34">
        <f>IF($B26="","",SUMIFS(Faturamento!$C:$C,Faturamento!$A:$A,$B26,Faturamento!$D:$D,"Abr"))</f>
        <v/>
      </c>
      <c r="G26" s="34">
        <f>IF($B26="","",SUMIFS(Projetos!$B:$B,Projetos!$A:$A,$B26,Projetos!$C:$C,"Abr"))</f>
        <v/>
      </c>
    </row>
    <row r="27">
      <c r="B27" s="31">
        <f>IF(Projetos!$A14="","",Projetos!$A14)</f>
        <v/>
      </c>
      <c r="C27" s="32">
        <f>IF($B27="","",SUMIFS(Ambientes!$C:$C,Ambientes!$A:$A,$B27,Ambientes!$D:$D,"Abr"))</f>
        <v/>
      </c>
      <c r="D27" s="32">
        <f>IF($B27="","",SUMIFS(Ambientes!$C:$C,Ambientes!$A:$A,$B27,Ambientes!$E:$E,"Abr"))</f>
        <v/>
      </c>
      <c r="E27" s="32">
        <f>IF($B27="","",SUMIFS(Ambientes!$H:$H,Ambientes!$A:$A,$B27,Ambientes!$D:$D,"Abr"))</f>
        <v/>
      </c>
      <c r="F27" s="32">
        <f>IF($B27="","",SUMIFS(Faturamento!$C:$C,Faturamento!$A:$A,$B27,Faturamento!$D:$D,"Abr"))</f>
        <v/>
      </c>
      <c r="G27" s="32">
        <f>IF($B27="","",SUMIFS(Projetos!$B:$B,Projetos!$A:$A,$B27,Projetos!$C:$C,"Abr"))</f>
        <v/>
      </c>
    </row>
    <row r="28">
      <c r="B28" s="33">
        <f>IF(Projetos!$A15="","",Projetos!$A15)</f>
        <v/>
      </c>
      <c r="C28" s="34">
        <f>IF($B28="","",SUMIFS(Ambientes!$C:$C,Ambientes!$A:$A,$B28,Ambientes!$D:$D,"Abr"))</f>
        <v/>
      </c>
      <c r="D28" s="34">
        <f>IF($B28="","",SUMIFS(Ambientes!$C:$C,Ambientes!$A:$A,$B28,Ambientes!$E:$E,"Abr"))</f>
        <v/>
      </c>
      <c r="E28" s="34">
        <f>IF($B28="","",SUMIFS(Ambientes!$H:$H,Ambientes!$A:$A,$B28,Ambientes!$D:$D,"Abr"))</f>
        <v/>
      </c>
      <c r="F28" s="34">
        <f>IF($B28="","",SUMIFS(Faturamento!$C:$C,Faturamento!$A:$A,$B28,Faturamento!$D:$D,"Abr"))</f>
        <v/>
      </c>
      <c r="G28" s="34">
        <f>IF($B28="","",SUMIFS(Projetos!$B:$B,Projetos!$A:$A,$B28,Projetos!$C:$C,"Abr"))</f>
        <v/>
      </c>
    </row>
    <row r="29">
      <c r="B29" s="31">
        <f>IF(Projetos!$A16="","",Projetos!$A16)</f>
        <v/>
      </c>
      <c r="C29" s="32">
        <f>IF($B29="","",SUMIFS(Ambientes!$C:$C,Ambientes!$A:$A,$B29,Ambientes!$D:$D,"Abr"))</f>
        <v/>
      </c>
      <c r="D29" s="32">
        <f>IF($B29="","",SUMIFS(Ambientes!$C:$C,Ambientes!$A:$A,$B29,Ambientes!$E:$E,"Abr"))</f>
        <v/>
      </c>
      <c r="E29" s="32">
        <f>IF($B29="","",SUMIFS(Ambientes!$H:$H,Ambientes!$A:$A,$B29,Ambientes!$D:$D,"Abr"))</f>
        <v/>
      </c>
      <c r="F29" s="32">
        <f>IF($B29="","",SUMIFS(Faturamento!$C:$C,Faturamento!$A:$A,$B29,Faturamento!$D:$D,"Abr"))</f>
        <v/>
      </c>
      <c r="G29" s="32">
        <f>IF($B29="","",SUMIFS(Projetos!$B:$B,Projetos!$A:$A,$B29,Projetos!$C:$C,"Abr"))</f>
        <v/>
      </c>
    </row>
    <row r="30">
      <c r="B30" s="33">
        <f>IF(Projetos!$A17="","",Projetos!$A17)</f>
        <v/>
      </c>
      <c r="C30" s="34">
        <f>IF($B30="","",SUMIFS(Ambientes!$C:$C,Ambientes!$A:$A,$B30,Ambientes!$D:$D,"Abr"))</f>
        <v/>
      </c>
      <c r="D30" s="34">
        <f>IF($B30="","",SUMIFS(Ambientes!$C:$C,Ambientes!$A:$A,$B30,Ambientes!$E:$E,"Abr"))</f>
        <v/>
      </c>
      <c r="E30" s="34">
        <f>IF($B30="","",SUMIFS(Ambientes!$H:$H,Ambientes!$A:$A,$B30,Ambientes!$D:$D,"Abr"))</f>
        <v/>
      </c>
      <c r="F30" s="34">
        <f>IF($B30="","",SUMIFS(Faturamento!$C:$C,Faturamento!$A:$A,$B30,Faturamento!$D:$D,"Abr"))</f>
        <v/>
      </c>
      <c r="G30" s="34">
        <f>IF($B30="","",SUMIFS(Projetos!$B:$B,Projetos!$A:$A,$B30,Projetos!$C:$C,"Abr"))</f>
        <v/>
      </c>
    </row>
    <row r="31">
      <c r="B31" s="31">
        <f>IF(Projetos!$A18="","",Projetos!$A18)</f>
        <v/>
      </c>
      <c r="C31" s="32">
        <f>IF($B31="","",SUMIFS(Ambientes!$C:$C,Ambientes!$A:$A,$B31,Ambientes!$D:$D,"Abr"))</f>
        <v/>
      </c>
      <c r="D31" s="32">
        <f>IF($B31="","",SUMIFS(Ambientes!$C:$C,Ambientes!$A:$A,$B31,Ambientes!$E:$E,"Abr"))</f>
        <v/>
      </c>
      <c r="E31" s="32">
        <f>IF($B31="","",SUMIFS(Ambientes!$H:$H,Ambientes!$A:$A,$B31,Ambientes!$D:$D,"Abr"))</f>
        <v/>
      </c>
      <c r="F31" s="32">
        <f>IF($B31="","",SUMIFS(Faturamento!$C:$C,Faturamento!$A:$A,$B31,Faturamento!$D:$D,"Abr"))</f>
        <v/>
      </c>
      <c r="G31" s="32">
        <f>IF($B31="","",SUMIFS(Projetos!$B:$B,Projetos!$A:$A,$B31,Projetos!$C:$C,"Abr"))</f>
        <v/>
      </c>
    </row>
    <row r="32">
      <c r="B32" s="33">
        <f>IF(Projetos!$A19="","",Projetos!$A19)</f>
        <v/>
      </c>
      <c r="C32" s="34">
        <f>IF($B32="","",SUMIFS(Ambientes!$C:$C,Ambientes!$A:$A,$B32,Ambientes!$D:$D,"Abr"))</f>
        <v/>
      </c>
      <c r="D32" s="34">
        <f>IF($B32="","",SUMIFS(Ambientes!$C:$C,Ambientes!$A:$A,$B32,Ambientes!$E:$E,"Abr"))</f>
        <v/>
      </c>
      <c r="E32" s="34">
        <f>IF($B32="","",SUMIFS(Ambientes!$H:$H,Ambientes!$A:$A,$B32,Ambientes!$D:$D,"Abr"))</f>
        <v/>
      </c>
      <c r="F32" s="34">
        <f>IF($B32="","",SUMIFS(Faturamento!$C:$C,Faturamento!$A:$A,$B32,Faturamento!$D:$D,"Abr"))</f>
        <v/>
      </c>
      <c r="G32" s="34">
        <f>IF($B32="","",SUMIFS(Projetos!$B:$B,Projetos!$A:$A,$B32,Projetos!$C:$C,"Abr"))</f>
        <v/>
      </c>
    </row>
    <row r="33">
      <c r="B33" s="31">
        <f>IF(Projetos!$A20="","",Projetos!$A20)</f>
        <v/>
      </c>
      <c r="C33" s="32">
        <f>IF($B33="","",SUMIFS(Ambientes!$C:$C,Ambientes!$A:$A,$B33,Ambientes!$D:$D,"Abr"))</f>
        <v/>
      </c>
      <c r="D33" s="32">
        <f>IF($B33="","",SUMIFS(Ambientes!$C:$C,Ambientes!$A:$A,$B33,Ambientes!$E:$E,"Abr"))</f>
        <v/>
      </c>
      <c r="E33" s="32">
        <f>IF($B33="","",SUMIFS(Ambientes!$H:$H,Ambientes!$A:$A,$B33,Ambientes!$D:$D,"Abr"))</f>
        <v/>
      </c>
      <c r="F33" s="32">
        <f>IF($B33="","",SUMIFS(Faturamento!$C:$C,Faturamento!$A:$A,$B33,Faturamento!$D:$D,"Abr"))</f>
        <v/>
      </c>
      <c r="G33" s="32">
        <f>IF($B33="","",SUMIFS(Projetos!$B:$B,Projetos!$A:$A,$B33,Projetos!$C:$C,"Abr"))</f>
        <v/>
      </c>
    </row>
    <row r="34">
      <c r="B34" s="33">
        <f>IF(Projetos!$A21="","",Projetos!$A21)</f>
        <v/>
      </c>
      <c r="C34" s="34">
        <f>IF($B34="","",SUMIFS(Ambientes!$C:$C,Ambientes!$A:$A,$B34,Ambientes!$D:$D,"Abr"))</f>
        <v/>
      </c>
      <c r="D34" s="34">
        <f>IF($B34="","",SUMIFS(Ambientes!$C:$C,Ambientes!$A:$A,$B34,Ambientes!$E:$E,"Abr"))</f>
        <v/>
      </c>
      <c r="E34" s="34">
        <f>IF($B34="","",SUMIFS(Ambientes!$H:$H,Ambientes!$A:$A,$B34,Ambientes!$D:$D,"Abr"))</f>
        <v/>
      </c>
      <c r="F34" s="34">
        <f>IF($B34="","",SUMIFS(Faturamento!$C:$C,Faturamento!$A:$A,$B34,Faturamento!$D:$D,"Abr"))</f>
        <v/>
      </c>
      <c r="G34" s="34">
        <f>IF($B34="","",SUMIFS(Projetos!$B:$B,Projetos!$A:$A,$B34,Projetos!$C:$C,"Abr"))</f>
        <v/>
      </c>
    </row>
    <row r="35">
      <c r="B35" s="31">
        <f>IF(Projetos!$A22="","",Projetos!$A22)</f>
        <v/>
      </c>
      <c r="C35" s="32">
        <f>IF($B35="","",SUMIFS(Ambientes!$C:$C,Ambientes!$A:$A,$B35,Ambientes!$D:$D,"Abr"))</f>
        <v/>
      </c>
      <c r="D35" s="32">
        <f>IF($B35="","",SUMIFS(Ambientes!$C:$C,Ambientes!$A:$A,$B35,Ambientes!$E:$E,"Abr"))</f>
        <v/>
      </c>
      <c r="E35" s="32">
        <f>IF($B35="","",SUMIFS(Ambientes!$H:$H,Ambientes!$A:$A,$B35,Ambientes!$D:$D,"Abr"))</f>
        <v/>
      </c>
      <c r="F35" s="32">
        <f>IF($B35="","",SUMIFS(Faturamento!$C:$C,Faturamento!$A:$A,$B35,Faturamento!$D:$D,"Abr"))</f>
        <v/>
      </c>
      <c r="G35" s="32">
        <f>IF($B35="","",SUMIFS(Projetos!$B:$B,Projetos!$A:$A,$B35,Projetos!$C:$C,"Abr"))</f>
        <v/>
      </c>
    </row>
    <row r="36">
      <c r="B36" s="33">
        <f>IF(Projetos!$A23="","",Projetos!$A23)</f>
        <v/>
      </c>
      <c r="C36" s="34">
        <f>IF($B36="","",SUMIFS(Ambientes!$C:$C,Ambientes!$A:$A,$B36,Ambientes!$D:$D,"Abr"))</f>
        <v/>
      </c>
      <c r="D36" s="34">
        <f>IF($B36="","",SUMIFS(Ambientes!$C:$C,Ambientes!$A:$A,$B36,Ambientes!$E:$E,"Abr"))</f>
        <v/>
      </c>
      <c r="E36" s="34">
        <f>IF($B36="","",SUMIFS(Ambientes!$H:$H,Ambientes!$A:$A,$B36,Ambientes!$D:$D,"Abr"))</f>
        <v/>
      </c>
      <c r="F36" s="34">
        <f>IF($B36="","",SUMIFS(Faturamento!$C:$C,Faturamento!$A:$A,$B36,Faturamento!$D:$D,"Abr"))</f>
        <v/>
      </c>
      <c r="G36" s="34">
        <f>IF($B36="","",SUMIFS(Projetos!$B:$B,Projetos!$A:$A,$B36,Projetos!$C:$C,"Abr"))</f>
        <v/>
      </c>
    </row>
    <row r="37">
      <c r="B37" s="31">
        <f>IF(Projetos!$A24="","",Projetos!$A24)</f>
        <v/>
      </c>
      <c r="C37" s="32">
        <f>IF($B37="","",SUMIFS(Ambientes!$C:$C,Ambientes!$A:$A,$B37,Ambientes!$D:$D,"Abr"))</f>
        <v/>
      </c>
      <c r="D37" s="32">
        <f>IF($B37="","",SUMIFS(Ambientes!$C:$C,Ambientes!$A:$A,$B37,Ambientes!$E:$E,"Abr"))</f>
        <v/>
      </c>
      <c r="E37" s="32">
        <f>IF($B37="","",SUMIFS(Ambientes!$H:$H,Ambientes!$A:$A,$B37,Ambientes!$D:$D,"Abr"))</f>
        <v/>
      </c>
      <c r="F37" s="32">
        <f>IF($B37="","",SUMIFS(Faturamento!$C:$C,Faturamento!$A:$A,$B37,Faturamento!$D:$D,"Abr"))</f>
        <v/>
      </c>
      <c r="G37" s="32">
        <f>IF($B37="","",SUMIFS(Projetos!$B:$B,Projetos!$A:$A,$B37,Projetos!$C:$C,"Abr"))</f>
        <v/>
      </c>
    </row>
    <row r="38">
      <c r="B38" s="33">
        <f>IF(Projetos!$A25="","",Projetos!$A25)</f>
        <v/>
      </c>
      <c r="C38" s="34">
        <f>IF($B38="","",SUMIFS(Ambientes!$C:$C,Ambientes!$A:$A,$B38,Ambientes!$D:$D,"Abr"))</f>
        <v/>
      </c>
      <c r="D38" s="34">
        <f>IF($B38="","",SUMIFS(Ambientes!$C:$C,Ambientes!$A:$A,$B38,Ambientes!$E:$E,"Abr"))</f>
        <v/>
      </c>
      <c r="E38" s="34">
        <f>IF($B38="","",SUMIFS(Ambientes!$H:$H,Ambientes!$A:$A,$B38,Ambientes!$D:$D,"Abr"))</f>
        <v/>
      </c>
      <c r="F38" s="34">
        <f>IF($B38="","",SUMIFS(Faturamento!$C:$C,Faturamento!$A:$A,$B38,Faturamento!$D:$D,"Abr"))</f>
        <v/>
      </c>
      <c r="G38" s="34">
        <f>IF($B38="","",SUMIFS(Projetos!$B:$B,Projetos!$A:$A,$B38,Projetos!$C:$C,"Abr"))</f>
        <v/>
      </c>
    </row>
    <row r="39">
      <c r="B39" s="31">
        <f>IF(Projetos!$A26="","",Projetos!$A26)</f>
        <v/>
      </c>
      <c r="C39" s="32">
        <f>IF($B39="","",SUMIFS(Ambientes!$C:$C,Ambientes!$A:$A,$B39,Ambientes!$D:$D,"Abr"))</f>
        <v/>
      </c>
      <c r="D39" s="32">
        <f>IF($B39="","",SUMIFS(Ambientes!$C:$C,Ambientes!$A:$A,$B39,Ambientes!$E:$E,"Abr"))</f>
        <v/>
      </c>
      <c r="E39" s="32">
        <f>IF($B39="","",SUMIFS(Ambientes!$H:$H,Ambientes!$A:$A,$B39,Ambientes!$D:$D,"Abr"))</f>
        <v/>
      </c>
      <c r="F39" s="32">
        <f>IF($B39="","",SUMIFS(Faturamento!$C:$C,Faturamento!$A:$A,$B39,Faturamento!$D:$D,"Abr"))</f>
        <v/>
      </c>
      <c r="G39" s="32">
        <f>IF($B39="","",SUMIFS(Projetos!$B:$B,Projetos!$A:$A,$B39,Projetos!$C:$C,"Abr"))</f>
        <v/>
      </c>
    </row>
    <row r="40">
      <c r="B40" s="33">
        <f>IF(Projetos!$A27="","",Projetos!$A27)</f>
        <v/>
      </c>
      <c r="C40" s="34">
        <f>IF($B40="","",SUMIFS(Ambientes!$C:$C,Ambientes!$A:$A,$B40,Ambientes!$D:$D,"Abr"))</f>
        <v/>
      </c>
      <c r="D40" s="34">
        <f>IF($B40="","",SUMIFS(Ambientes!$C:$C,Ambientes!$A:$A,$B40,Ambientes!$E:$E,"Abr"))</f>
        <v/>
      </c>
      <c r="E40" s="34">
        <f>IF($B40="","",SUMIFS(Ambientes!$H:$H,Ambientes!$A:$A,$B40,Ambientes!$D:$D,"Abr"))</f>
        <v/>
      </c>
      <c r="F40" s="34">
        <f>IF($B40="","",SUMIFS(Faturamento!$C:$C,Faturamento!$A:$A,$B40,Faturamento!$D:$D,"Abr"))</f>
        <v/>
      </c>
      <c r="G40" s="34">
        <f>IF($B40="","",SUMIFS(Projetos!$B:$B,Projetos!$A:$A,$B40,Projetos!$C:$C,"Abr"))</f>
        <v/>
      </c>
    </row>
    <row r="41">
      <c r="B41" s="31">
        <f>IF(Projetos!$A28="","",Projetos!$A28)</f>
        <v/>
      </c>
      <c r="C41" s="32">
        <f>IF($B41="","",SUMIFS(Ambientes!$C:$C,Ambientes!$A:$A,$B41,Ambientes!$D:$D,"Abr"))</f>
        <v/>
      </c>
      <c r="D41" s="32">
        <f>IF($B41="","",SUMIFS(Ambientes!$C:$C,Ambientes!$A:$A,$B41,Ambientes!$E:$E,"Abr"))</f>
        <v/>
      </c>
      <c r="E41" s="32">
        <f>IF($B41="","",SUMIFS(Ambientes!$H:$H,Ambientes!$A:$A,$B41,Ambientes!$D:$D,"Abr"))</f>
        <v/>
      </c>
      <c r="F41" s="32">
        <f>IF($B41="","",SUMIFS(Faturamento!$C:$C,Faturamento!$A:$A,$B41,Faturamento!$D:$D,"Abr"))</f>
        <v/>
      </c>
      <c r="G41" s="32">
        <f>IF($B41="","",SUMIFS(Projetos!$B:$B,Projetos!$A:$A,$B41,Projetos!$C:$C,"Abr"))</f>
        <v/>
      </c>
    </row>
    <row r="42">
      <c r="B42" s="33">
        <f>IF(Projetos!$A29="","",Projetos!$A29)</f>
        <v/>
      </c>
      <c r="C42" s="34">
        <f>IF($B42="","",SUMIFS(Ambientes!$C:$C,Ambientes!$A:$A,$B42,Ambientes!$D:$D,"Abr"))</f>
        <v/>
      </c>
      <c r="D42" s="34">
        <f>IF($B42="","",SUMIFS(Ambientes!$C:$C,Ambientes!$A:$A,$B42,Ambientes!$E:$E,"Abr"))</f>
        <v/>
      </c>
      <c r="E42" s="34">
        <f>IF($B42="","",SUMIFS(Ambientes!$H:$H,Ambientes!$A:$A,$B42,Ambientes!$D:$D,"Abr"))</f>
        <v/>
      </c>
      <c r="F42" s="34">
        <f>IF($B42="","",SUMIFS(Faturamento!$C:$C,Faturamento!$A:$A,$B42,Faturamento!$D:$D,"Abr"))</f>
        <v/>
      </c>
      <c r="G42" s="34">
        <f>IF($B42="","",SUMIFS(Projetos!$B:$B,Projetos!$A:$A,$B42,Projetos!$C:$C,"Abr"))</f>
        <v/>
      </c>
    </row>
    <row r="43">
      <c r="B43" s="31">
        <f>IF(Projetos!$A30="","",Projetos!$A30)</f>
        <v/>
      </c>
      <c r="C43" s="32">
        <f>IF($B43="","",SUMIFS(Ambientes!$C:$C,Ambientes!$A:$A,$B43,Ambientes!$D:$D,"Abr"))</f>
        <v/>
      </c>
      <c r="D43" s="32">
        <f>IF($B43="","",SUMIFS(Ambientes!$C:$C,Ambientes!$A:$A,$B43,Ambientes!$E:$E,"Abr"))</f>
        <v/>
      </c>
      <c r="E43" s="32">
        <f>IF($B43="","",SUMIFS(Ambientes!$H:$H,Ambientes!$A:$A,$B43,Ambientes!$D:$D,"Abr"))</f>
        <v/>
      </c>
      <c r="F43" s="32">
        <f>IF($B43="","",SUMIFS(Faturamento!$C:$C,Faturamento!$A:$A,$B43,Faturamento!$D:$D,"Abr"))</f>
        <v/>
      </c>
      <c r="G43" s="32">
        <f>IF($B43="","",SUMIFS(Projetos!$B:$B,Projetos!$A:$A,$B43,Projetos!$C:$C,"Abr"))</f>
        <v/>
      </c>
    </row>
    <row r="44">
      <c r="B44" s="33">
        <f>IF(Projetos!$A31="","",Projetos!$A31)</f>
        <v/>
      </c>
      <c r="C44" s="34">
        <f>IF($B44="","",SUMIFS(Ambientes!$C:$C,Ambientes!$A:$A,$B44,Ambientes!$D:$D,"Abr"))</f>
        <v/>
      </c>
      <c r="D44" s="34">
        <f>IF($B44="","",SUMIFS(Ambientes!$C:$C,Ambientes!$A:$A,$B44,Ambientes!$E:$E,"Abr"))</f>
        <v/>
      </c>
      <c r="E44" s="34">
        <f>IF($B44="","",SUMIFS(Ambientes!$H:$H,Ambientes!$A:$A,$B44,Ambientes!$D:$D,"Abr"))</f>
        <v/>
      </c>
      <c r="F44" s="34">
        <f>IF($B44="","",SUMIFS(Faturamento!$C:$C,Faturamento!$A:$A,$B44,Faturamento!$D:$D,"Abr"))</f>
        <v/>
      </c>
      <c r="G44" s="34">
        <f>IF($B44="","",SUMIFS(Projetos!$B:$B,Projetos!$A:$A,$B44,Projetos!$C:$C,"Abr"))</f>
        <v/>
      </c>
    </row>
    <row r="45">
      <c r="B45" s="31">
        <f>IF(Projetos!$A32="","",Projetos!$A32)</f>
        <v/>
      </c>
      <c r="C45" s="32">
        <f>IF($B45="","",SUMIFS(Ambientes!$C:$C,Ambientes!$A:$A,$B45,Ambientes!$D:$D,"Abr"))</f>
        <v/>
      </c>
      <c r="D45" s="32">
        <f>IF($B45="","",SUMIFS(Ambientes!$C:$C,Ambientes!$A:$A,$B45,Ambientes!$E:$E,"Abr"))</f>
        <v/>
      </c>
      <c r="E45" s="32">
        <f>IF($B45="","",SUMIFS(Ambientes!$H:$H,Ambientes!$A:$A,$B45,Ambientes!$D:$D,"Abr"))</f>
        <v/>
      </c>
      <c r="F45" s="32">
        <f>IF($B45="","",SUMIFS(Faturamento!$C:$C,Faturamento!$A:$A,$B45,Faturamento!$D:$D,"Abr"))</f>
        <v/>
      </c>
      <c r="G45" s="32">
        <f>IF($B45="","",SUMIFS(Projetos!$B:$B,Projetos!$A:$A,$B45,Projetos!$C:$C,"Abr"))</f>
        <v/>
      </c>
    </row>
    <row r="46">
      <c r="B46" s="33">
        <f>IF(Projetos!$A33="","",Projetos!$A33)</f>
        <v/>
      </c>
      <c r="C46" s="34">
        <f>IF($B46="","",SUMIFS(Ambientes!$C:$C,Ambientes!$A:$A,$B46,Ambientes!$D:$D,"Abr"))</f>
        <v/>
      </c>
      <c r="D46" s="34">
        <f>IF($B46="","",SUMIFS(Ambientes!$C:$C,Ambientes!$A:$A,$B46,Ambientes!$E:$E,"Abr"))</f>
        <v/>
      </c>
      <c r="E46" s="34">
        <f>IF($B46="","",SUMIFS(Ambientes!$H:$H,Ambientes!$A:$A,$B46,Ambientes!$D:$D,"Abr"))</f>
        <v/>
      </c>
      <c r="F46" s="34">
        <f>IF($B46="","",SUMIFS(Faturamento!$C:$C,Faturamento!$A:$A,$B46,Faturamento!$D:$D,"Abr"))</f>
        <v/>
      </c>
      <c r="G46" s="34">
        <f>IF($B46="","",SUMIFS(Projetos!$B:$B,Projetos!$A:$A,$B46,Projetos!$C:$C,"Abr"))</f>
        <v/>
      </c>
    </row>
    <row r="47">
      <c r="B47" s="31">
        <f>IF(Projetos!$A34="","",Projetos!$A34)</f>
        <v/>
      </c>
      <c r="C47" s="32">
        <f>IF($B47="","",SUMIFS(Ambientes!$C:$C,Ambientes!$A:$A,$B47,Ambientes!$D:$D,"Abr"))</f>
        <v/>
      </c>
      <c r="D47" s="32">
        <f>IF($B47="","",SUMIFS(Ambientes!$C:$C,Ambientes!$A:$A,$B47,Ambientes!$E:$E,"Abr"))</f>
        <v/>
      </c>
      <c r="E47" s="32">
        <f>IF($B47="","",SUMIFS(Ambientes!$H:$H,Ambientes!$A:$A,$B47,Ambientes!$D:$D,"Abr"))</f>
        <v/>
      </c>
      <c r="F47" s="32">
        <f>IF($B47="","",SUMIFS(Faturamento!$C:$C,Faturamento!$A:$A,$B47,Faturamento!$D:$D,"Abr"))</f>
        <v/>
      </c>
      <c r="G47" s="32">
        <f>IF($B47="","",SUMIFS(Projetos!$B:$B,Projetos!$A:$A,$B47,Projetos!$C:$C,"Abr"))</f>
        <v/>
      </c>
    </row>
    <row r="48">
      <c r="B48" s="33">
        <f>IF(Projetos!$A35="","",Projetos!$A35)</f>
        <v/>
      </c>
      <c r="C48" s="34">
        <f>IF($B48="","",SUMIFS(Ambientes!$C:$C,Ambientes!$A:$A,$B48,Ambientes!$D:$D,"Abr"))</f>
        <v/>
      </c>
      <c r="D48" s="34">
        <f>IF($B48="","",SUMIFS(Ambientes!$C:$C,Ambientes!$A:$A,$B48,Ambientes!$E:$E,"Abr"))</f>
        <v/>
      </c>
      <c r="E48" s="34">
        <f>IF($B48="","",SUMIFS(Ambientes!$H:$H,Ambientes!$A:$A,$B48,Ambientes!$D:$D,"Abr"))</f>
        <v/>
      </c>
      <c r="F48" s="34">
        <f>IF($B48="","",SUMIFS(Faturamento!$C:$C,Faturamento!$A:$A,$B48,Faturamento!$D:$D,"Abr"))</f>
        <v/>
      </c>
      <c r="G48" s="34">
        <f>IF($B48="","",SUMIFS(Projetos!$B:$B,Projetos!$A:$A,$B48,Projetos!$C:$C,"Abr"))</f>
        <v/>
      </c>
    </row>
    <row r="49">
      <c r="B49" s="31">
        <f>IF(Projetos!$A36="","",Projetos!$A36)</f>
        <v/>
      </c>
      <c r="C49" s="32">
        <f>IF($B49="","",SUMIFS(Ambientes!$C:$C,Ambientes!$A:$A,$B49,Ambientes!$D:$D,"Abr"))</f>
        <v/>
      </c>
      <c r="D49" s="32">
        <f>IF($B49="","",SUMIFS(Ambientes!$C:$C,Ambientes!$A:$A,$B49,Ambientes!$E:$E,"Abr"))</f>
        <v/>
      </c>
      <c r="E49" s="32">
        <f>IF($B49="","",SUMIFS(Ambientes!$H:$H,Ambientes!$A:$A,$B49,Ambientes!$D:$D,"Abr"))</f>
        <v/>
      </c>
      <c r="F49" s="32">
        <f>IF($B49="","",SUMIFS(Faturamento!$C:$C,Faturamento!$A:$A,$B49,Faturamento!$D:$D,"Abr"))</f>
        <v/>
      </c>
      <c r="G49" s="32">
        <f>IF($B49="","",SUMIFS(Projetos!$B:$B,Projetos!$A:$A,$B49,Projetos!$C:$C,"Abr"))</f>
        <v/>
      </c>
    </row>
    <row r="50">
      <c r="B50" s="33">
        <f>IF(Projetos!$A37="","",Projetos!$A37)</f>
        <v/>
      </c>
      <c r="C50" s="34">
        <f>IF($B50="","",SUMIFS(Ambientes!$C:$C,Ambientes!$A:$A,$B50,Ambientes!$D:$D,"Abr"))</f>
        <v/>
      </c>
      <c r="D50" s="34">
        <f>IF($B50="","",SUMIFS(Ambientes!$C:$C,Ambientes!$A:$A,$B50,Ambientes!$E:$E,"Abr"))</f>
        <v/>
      </c>
      <c r="E50" s="34">
        <f>IF($B50="","",SUMIFS(Ambientes!$H:$H,Ambientes!$A:$A,$B50,Ambientes!$D:$D,"Abr"))</f>
        <v/>
      </c>
      <c r="F50" s="34">
        <f>IF($B50="","",SUMIFS(Faturamento!$C:$C,Faturamento!$A:$A,$B50,Faturamento!$D:$D,"Abr"))</f>
        <v/>
      </c>
      <c r="G50" s="34">
        <f>IF($B50="","",SUMIFS(Projetos!$B:$B,Projetos!$A:$A,$B50,Projetos!$C:$C,"Abr"))</f>
        <v/>
      </c>
    </row>
    <row r="51">
      <c r="B51" s="31">
        <f>IF(Projetos!$A38="","",Projetos!$A38)</f>
        <v/>
      </c>
      <c r="C51" s="32">
        <f>IF($B51="","",SUMIFS(Ambientes!$C:$C,Ambientes!$A:$A,$B51,Ambientes!$D:$D,"Abr"))</f>
        <v/>
      </c>
      <c r="D51" s="32">
        <f>IF($B51="","",SUMIFS(Ambientes!$C:$C,Ambientes!$A:$A,$B51,Ambientes!$E:$E,"Abr"))</f>
        <v/>
      </c>
      <c r="E51" s="32">
        <f>IF($B51="","",SUMIFS(Ambientes!$H:$H,Ambientes!$A:$A,$B51,Ambientes!$D:$D,"Abr"))</f>
        <v/>
      </c>
      <c r="F51" s="32">
        <f>IF($B51="","",SUMIFS(Faturamento!$C:$C,Faturamento!$A:$A,$B51,Faturamento!$D:$D,"Abr"))</f>
        <v/>
      </c>
      <c r="G51" s="32">
        <f>IF($B51="","",SUMIFS(Projetos!$B:$B,Projetos!$A:$A,$B51,Projetos!$C:$C,"Abr"))</f>
        <v/>
      </c>
    </row>
    <row r="52">
      <c r="B52" s="33">
        <f>IF(Projetos!$A39="","",Projetos!$A39)</f>
        <v/>
      </c>
      <c r="C52" s="34">
        <f>IF($B52="","",SUMIFS(Ambientes!$C:$C,Ambientes!$A:$A,$B52,Ambientes!$D:$D,"Abr"))</f>
        <v/>
      </c>
      <c r="D52" s="34">
        <f>IF($B52="","",SUMIFS(Ambientes!$C:$C,Ambientes!$A:$A,$B52,Ambientes!$E:$E,"Abr"))</f>
        <v/>
      </c>
      <c r="E52" s="34">
        <f>IF($B52="","",SUMIFS(Ambientes!$H:$H,Ambientes!$A:$A,$B52,Ambientes!$D:$D,"Abr"))</f>
        <v/>
      </c>
      <c r="F52" s="34">
        <f>IF($B52="","",SUMIFS(Faturamento!$C:$C,Faturamento!$A:$A,$B52,Faturamento!$D:$D,"Abr"))</f>
        <v/>
      </c>
      <c r="G52" s="34">
        <f>IF($B52="","",SUMIFS(Projetos!$B:$B,Projetos!$A:$A,$B52,Projetos!$C:$C,"Abr"))</f>
        <v/>
      </c>
    </row>
    <row r="53">
      <c r="B53" s="31">
        <f>IF(Projetos!$A40="","",Projetos!$A40)</f>
        <v/>
      </c>
      <c r="C53" s="32">
        <f>IF($B53="","",SUMIFS(Ambientes!$C:$C,Ambientes!$A:$A,$B53,Ambientes!$D:$D,"Abr"))</f>
        <v/>
      </c>
      <c r="D53" s="32">
        <f>IF($B53="","",SUMIFS(Ambientes!$C:$C,Ambientes!$A:$A,$B53,Ambientes!$E:$E,"Abr"))</f>
        <v/>
      </c>
      <c r="E53" s="32">
        <f>IF($B53="","",SUMIFS(Ambientes!$H:$H,Ambientes!$A:$A,$B53,Ambientes!$D:$D,"Abr"))</f>
        <v/>
      </c>
      <c r="F53" s="32">
        <f>IF($B53="","",SUMIFS(Faturamento!$C:$C,Faturamento!$A:$A,$B53,Faturamento!$D:$D,"Abr"))</f>
        <v/>
      </c>
      <c r="G53" s="32">
        <f>IF($B53="","",SUMIFS(Projetos!$B:$B,Projetos!$A:$A,$B53,Projetos!$C:$C,"Abr"))</f>
        <v/>
      </c>
    </row>
    <row r="54">
      <c r="B54" s="33">
        <f>IF(Projetos!$A41="","",Projetos!$A41)</f>
        <v/>
      </c>
      <c r="C54" s="34">
        <f>IF($B54="","",SUMIFS(Ambientes!$C:$C,Ambientes!$A:$A,$B54,Ambientes!$D:$D,"Abr"))</f>
        <v/>
      </c>
      <c r="D54" s="34">
        <f>IF($B54="","",SUMIFS(Ambientes!$C:$C,Ambientes!$A:$A,$B54,Ambientes!$E:$E,"Abr"))</f>
        <v/>
      </c>
      <c r="E54" s="34">
        <f>IF($B54="","",SUMIFS(Ambientes!$H:$H,Ambientes!$A:$A,$B54,Ambientes!$D:$D,"Abr"))</f>
        <v/>
      </c>
      <c r="F54" s="34">
        <f>IF($B54="","",SUMIFS(Faturamento!$C:$C,Faturamento!$A:$A,$B54,Faturamento!$D:$D,"Abr"))</f>
        <v/>
      </c>
      <c r="G54" s="34">
        <f>IF($B54="","",SUMIFS(Projetos!$B:$B,Projetos!$A:$A,$B54,Projetos!$C:$C,"Abr"))</f>
        <v/>
      </c>
    </row>
    <row r="55">
      <c r="B55" s="31">
        <f>IF(Projetos!$A42="","",Projetos!$A42)</f>
        <v/>
      </c>
      <c r="C55" s="32">
        <f>IF($B55="","",SUMIFS(Ambientes!$C:$C,Ambientes!$A:$A,$B55,Ambientes!$D:$D,"Abr"))</f>
        <v/>
      </c>
      <c r="D55" s="32">
        <f>IF($B55="","",SUMIFS(Ambientes!$C:$C,Ambientes!$A:$A,$B55,Ambientes!$E:$E,"Abr"))</f>
        <v/>
      </c>
      <c r="E55" s="32">
        <f>IF($B55="","",SUMIFS(Ambientes!$H:$H,Ambientes!$A:$A,$B55,Ambientes!$D:$D,"Abr"))</f>
        <v/>
      </c>
      <c r="F55" s="32">
        <f>IF($B55="","",SUMIFS(Faturamento!$C:$C,Faturamento!$A:$A,$B55,Faturamento!$D:$D,"Abr"))</f>
        <v/>
      </c>
      <c r="G55" s="32">
        <f>IF($B55="","",SUMIFS(Projetos!$B:$B,Projetos!$A:$A,$B55,Projetos!$C:$C,"Abr"))</f>
        <v/>
      </c>
    </row>
    <row r="56">
      <c r="B56" s="33">
        <f>IF(Projetos!$A43="","",Projetos!$A43)</f>
        <v/>
      </c>
      <c r="C56" s="34">
        <f>IF($B56="","",SUMIFS(Ambientes!$C:$C,Ambientes!$A:$A,$B56,Ambientes!$D:$D,"Abr"))</f>
        <v/>
      </c>
      <c r="D56" s="34">
        <f>IF($B56="","",SUMIFS(Ambientes!$C:$C,Ambientes!$A:$A,$B56,Ambientes!$E:$E,"Abr"))</f>
        <v/>
      </c>
      <c r="E56" s="34">
        <f>IF($B56="","",SUMIFS(Ambientes!$H:$H,Ambientes!$A:$A,$B56,Ambientes!$D:$D,"Abr"))</f>
        <v/>
      </c>
      <c r="F56" s="34">
        <f>IF($B56="","",SUMIFS(Faturamento!$C:$C,Faturamento!$A:$A,$B56,Faturamento!$D:$D,"Abr"))</f>
        <v/>
      </c>
      <c r="G56" s="34">
        <f>IF($B56="","",SUMIFS(Projetos!$B:$B,Projetos!$A:$A,$B56,Projetos!$C:$C,"Abr"))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MAIO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Fixo'!$A:$A,"Mai",'Custo Fixo'!$E:$E)</f>
        <v/>
      </c>
      <c r="C6" s="19">
        <f>SUMIF(Projetos!$C:$C,"Mai",Projetos!$B:$B)</f>
        <v/>
      </c>
      <c r="D6" s="20">
        <f>SUMIF(Ambientes!$D:$D,"Mai",Ambientes!$H:$H)</f>
        <v/>
      </c>
      <c r="E6" s="19">
        <f>SUMIF(Ambientes!$D:$D,"Mai",Ambientes!$C:$C)</f>
        <v/>
      </c>
      <c r="F6" s="19">
        <f>SUMIF(Ambientes!$E:$E,"Mai",Ambientes!$C:$C)</f>
        <v/>
      </c>
      <c r="G6" s="19">
        <f>SUMIF(Faturamento!$D:$D,"Mai",Faturamento!$C:$C)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SUMIF(Compras!$E:$E,"Mai",Compras!$D:$D)</f>
        <v/>
      </c>
      <c r="C12" s="27">
        <f>SUMIFS(Compras!$D:$D,Compras!$H:$H,"&lt;=5",Compras!$A:$A,"&lt;&gt;")-SUMIF(Ambientes!$J:$J,"&lt;=5",Ambientes!$H:$H)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SUMIF(Projetos!$H:$H,"&lt;=5",Projetos!$B:$B)-SUMIF(Ambientes!$J:$J,"&lt;=5",Ambientes!$C:$C)</f>
        <v/>
      </c>
    </row>
    <row r="13" ht="26" customHeight="1">
      <c r="B13" s="30">
        <f>=IF(SUMIF(Compras!$E:$E,"Mai",Compras!$D:$D)-SUMIFS(Compras!$D:$D,Compras!$E:$E,"Mai",Compras!$A:$A,"&lt;&gt;")=0,"tudo vinculado a projeto","dos quais "&amp;TEXT(SUMIF(Compras!$E:$E,"Mai",Compras!$D:$D)-SUMIFS(Compras!$D:$D,Compras!$E:$E,"Mai",Compras!$A:$A,"&lt;&gt;"),"R$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IF($B17="","",SUMIFS(Ambientes!$C:$C,Ambientes!$A:$A,$B17,Ambientes!$D:$D,"Mai"))</f>
        <v/>
      </c>
      <c r="D17" s="32">
        <f>IF($B17="","",SUMIFS(Ambientes!$C:$C,Ambientes!$A:$A,$B17,Ambientes!$E:$E,"Mai"))</f>
        <v/>
      </c>
      <c r="E17" s="32">
        <f>IF($B17="","",SUMIFS(Ambientes!$H:$H,Ambientes!$A:$A,$B17,Ambientes!$D:$D,"Mai"))</f>
        <v/>
      </c>
      <c r="F17" s="32">
        <f>IF($B17="","",SUMIFS(Faturamento!$C:$C,Faturamento!$A:$A,$B17,Faturamento!$D:$D,"Mai"))</f>
        <v/>
      </c>
      <c r="G17" s="32">
        <f>IF($B17="","",SUMIFS(Projetos!$B:$B,Projetos!$A:$A,$B17,Projetos!$C:$C,"Mai"))</f>
        <v/>
      </c>
    </row>
    <row r="18">
      <c r="B18" s="33">
        <f>IF(Projetos!$A5="","",Projetos!$A5)</f>
        <v/>
      </c>
      <c r="C18" s="34">
        <f>IF($B18="","",SUMIFS(Ambientes!$C:$C,Ambientes!$A:$A,$B18,Ambientes!$D:$D,"Mai"))</f>
        <v/>
      </c>
      <c r="D18" s="34">
        <f>IF($B18="","",SUMIFS(Ambientes!$C:$C,Ambientes!$A:$A,$B18,Ambientes!$E:$E,"Mai"))</f>
        <v/>
      </c>
      <c r="E18" s="34">
        <f>IF($B18="","",SUMIFS(Ambientes!$H:$H,Ambientes!$A:$A,$B18,Ambientes!$D:$D,"Mai"))</f>
        <v/>
      </c>
      <c r="F18" s="34">
        <f>IF($B18="","",SUMIFS(Faturamento!$C:$C,Faturamento!$A:$A,$B18,Faturamento!$D:$D,"Mai"))</f>
        <v/>
      </c>
      <c r="G18" s="34">
        <f>IF($B18="","",SUMIFS(Projetos!$B:$B,Projetos!$A:$A,$B18,Projetos!$C:$C,"Mai"))</f>
        <v/>
      </c>
    </row>
    <row r="19">
      <c r="B19" s="31">
        <f>IF(Projetos!$A6="","",Projetos!$A6)</f>
        <v/>
      </c>
      <c r="C19" s="32">
        <f>IF($B19="","",SUMIFS(Ambientes!$C:$C,Ambientes!$A:$A,$B19,Ambientes!$D:$D,"Mai"))</f>
        <v/>
      </c>
      <c r="D19" s="32">
        <f>IF($B19="","",SUMIFS(Ambientes!$C:$C,Ambientes!$A:$A,$B19,Ambientes!$E:$E,"Mai"))</f>
        <v/>
      </c>
      <c r="E19" s="32">
        <f>IF($B19="","",SUMIFS(Ambientes!$H:$H,Ambientes!$A:$A,$B19,Ambientes!$D:$D,"Mai"))</f>
        <v/>
      </c>
      <c r="F19" s="32">
        <f>IF($B19="","",SUMIFS(Faturamento!$C:$C,Faturamento!$A:$A,$B19,Faturamento!$D:$D,"Mai"))</f>
        <v/>
      </c>
      <c r="G19" s="32">
        <f>IF($B19="","",SUMIFS(Projetos!$B:$B,Projetos!$A:$A,$B19,Projetos!$C:$C,"Mai"))</f>
        <v/>
      </c>
    </row>
    <row r="20">
      <c r="B20" s="33">
        <f>IF(Projetos!$A7="","",Projetos!$A7)</f>
        <v/>
      </c>
      <c r="C20" s="34">
        <f>IF($B20="","",SUMIFS(Ambientes!$C:$C,Ambientes!$A:$A,$B20,Ambientes!$D:$D,"Mai"))</f>
        <v/>
      </c>
      <c r="D20" s="34">
        <f>IF($B20="","",SUMIFS(Ambientes!$C:$C,Ambientes!$A:$A,$B20,Ambientes!$E:$E,"Mai"))</f>
        <v/>
      </c>
      <c r="E20" s="34">
        <f>IF($B20="","",SUMIFS(Ambientes!$H:$H,Ambientes!$A:$A,$B20,Ambientes!$D:$D,"Mai"))</f>
        <v/>
      </c>
      <c r="F20" s="34">
        <f>IF($B20="","",SUMIFS(Faturamento!$C:$C,Faturamento!$A:$A,$B20,Faturamento!$D:$D,"Mai"))</f>
        <v/>
      </c>
      <c r="G20" s="34">
        <f>IF($B20="","",SUMIFS(Projetos!$B:$B,Projetos!$A:$A,$B20,Projetos!$C:$C,"Mai"))</f>
        <v/>
      </c>
    </row>
    <row r="21">
      <c r="B21" s="31">
        <f>IF(Projetos!$A8="","",Projetos!$A8)</f>
        <v/>
      </c>
      <c r="C21" s="32">
        <f>IF($B21="","",SUMIFS(Ambientes!$C:$C,Ambientes!$A:$A,$B21,Ambientes!$D:$D,"Mai"))</f>
        <v/>
      </c>
      <c r="D21" s="32">
        <f>IF($B21="","",SUMIFS(Ambientes!$C:$C,Ambientes!$A:$A,$B21,Ambientes!$E:$E,"Mai"))</f>
        <v/>
      </c>
      <c r="E21" s="32">
        <f>IF($B21="","",SUMIFS(Ambientes!$H:$H,Ambientes!$A:$A,$B21,Ambientes!$D:$D,"Mai"))</f>
        <v/>
      </c>
      <c r="F21" s="32">
        <f>IF($B21="","",SUMIFS(Faturamento!$C:$C,Faturamento!$A:$A,$B21,Faturamento!$D:$D,"Mai"))</f>
        <v/>
      </c>
      <c r="G21" s="32">
        <f>IF($B21="","",SUMIFS(Projetos!$B:$B,Projetos!$A:$A,$B21,Projetos!$C:$C,"Mai"))</f>
        <v/>
      </c>
    </row>
    <row r="22">
      <c r="B22" s="33">
        <f>IF(Projetos!$A9="","",Projetos!$A9)</f>
        <v/>
      </c>
      <c r="C22" s="34">
        <f>IF($B22="","",SUMIFS(Ambientes!$C:$C,Ambientes!$A:$A,$B22,Ambientes!$D:$D,"Mai"))</f>
        <v/>
      </c>
      <c r="D22" s="34">
        <f>IF($B22="","",SUMIFS(Ambientes!$C:$C,Ambientes!$A:$A,$B22,Ambientes!$E:$E,"Mai"))</f>
        <v/>
      </c>
      <c r="E22" s="34">
        <f>IF($B22="","",SUMIFS(Ambientes!$H:$H,Ambientes!$A:$A,$B22,Ambientes!$D:$D,"Mai"))</f>
        <v/>
      </c>
      <c r="F22" s="34">
        <f>IF($B22="","",SUMIFS(Faturamento!$C:$C,Faturamento!$A:$A,$B22,Faturamento!$D:$D,"Mai"))</f>
        <v/>
      </c>
      <c r="G22" s="34">
        <f>IF($B22="","",SUMIFS(Projetos!$B:$B,Projetos!$A:$A,$B22,Projetos!$C:$C,"Mai"))</f>
        <v/>
      </c>
    </row>
    <row r="23">
      <c r="B23" s="31">
        <f>IF(Projetos!$A10="","",Projetos!$A10)</f>
        <v/>
      </c>
      <c r="C23" s="32">
        <f>IF($B23="","",SUMIFS(Ambientes!$C:$C,Ambientes!$A:$A,$B23,Ambientes!$D:$D,"Mai"))</f>
        <v/>
      </c>
      <c r="D23" s="32">
        <f>IF($B23="","",SUMIFS(Ambientes!$C:$C,Ambientes!$A:$A,$B23,Ambientes!$E:$E,"Mai"))</f>
        <v/>
      </c>
      <c r="E23" s="32">
        <f>IF($B23="","",SUMIFS(Ambientes!$H:$H,Ambientes!$A:$A,$B23,Ambientes!$D:$D,"Mai"))</f>
        <v/>
      </c>
      <c r="F23" s="32">
        <f>IF($B23="","",SUMIFS(Faturamento!$C:$C,Faturamento!$A:$A,$B23,Faturamento!$D:$D,"Mai"))</f>
        <v/>
      </c>
      <c r="G23" s="32">
        <f>IF($B23="","",SUMIFS(Projetos!$B:$B,Projetos!$A:$A,$B23,Projetos!$C:$C,"Mai"))</f>
        <v/>
      </c>
    </row>
    <row r="24">
      <c r="B24" s="33">
        <f>IF(Projetos!$A11="","",Projetos!$A11)</f>
        <v/>
      </c>
      <c r="C24" s="34">
        <f>IF($B24="","",SUMIFS(Ambientes!$C:$C,Ambientes!$A:$A,$B24,Ambientes!$D:$D,"Mai"))</f>
        <v/>
      </c>
      <c r="D24" s="34">
        <f>IF($B24="","",SUMIFS(Ambientes!$C:$C,Ambientes!$A:$A,$B24,Ambientes!$E:$E,"Mai"))</f>
        <v/>
      </c>
      <c r="E24" s="34">
        <f>IF($B24="","",SUMIFS(Ambientes!$H:$H,Ambientes!$A:$A,$B24,Ambientes!$D:$D,"Mai"))</f>
        <v/>
      </c>
      <c r="F24" s="34">
        <f>IF($B24="","",SUMIFS(Faturamento!$C:$C,Faturamento!$A:$A,$B24,Faturamento!$D:$D,"Mai"))</f>
        <v/>
      </c>
      <c r="G24" s="34">
        <f>IF($B24="","",SUMIFS(Projetos!$B:$B,Projetos!$A:$A,$B24,Projetos!$C:$C,"Mai"))</f>
        <v/>
      </c>
    </row>
    <row r="25">
      <c r="B25" s="31">
        <f>IF(Projetos!$A12="","",Projetos!$A12)</f>
        <v/>
      </c>
      <c r="C25" s="32">
        <f>IF($B25="","",SUMIFS(Ambientes!$C:$C,Ambientes!$A:$A,$B25,Ambientes!$D:$D,"Mai"))</f>
        <v/>
      </c>
      <c r="D25" s="32">
        <f>IF($B25="","",SUMIFS(Ambientes!$C:$C,Ambientes!$A:$A,$B25,Ambientes!$E:$E,"Mai"))</f>
        <v/>
      </c>
      <c r="E25" s="32">
        <f>IF($B25="","",SUMIFS(Ambientes!$H:$H,Ambientes!$A:$A,$B25,Ambientes!$D:$D,"Mai"))</f>
        <v/>
      </c>
      <c r="F25" s="32">
        <f>IF($B25="","",SUMIFS(Faturamento!$C:$C,Faturamento!$A:$A,$B25,Faturamento!$D:$D,"Mai"))</f>
        <v/>
      </c>
      <c r="G25" s="32">
        <f>IF($B25="","",SUMIFS(Projetos!$B:$B,Projetos!$A:$A,$B25,Projetos!$C:$C,"Mai"))</f>
        <v/>
      </c>
    </row>
    <row r="26">
      <c r="B26" s="33">
        <f>IF(Projetos!$A13="","",Projetos!$A13)</f>
        <v/>
      </c>
      <c r="C26" s="34">
        <f>IF($B26="","",SUMIFS(Ambientes!$C:$C,Ambientes!$A:$A,$B26,Ambientes!$D:$D,"Mai"))</f>
        <v/>
      </c>
      <c r="D26" s="34">
        <f>IF($B26="","",SUMIFS(Ambientes!$C:$C,Ambientes!$A:$A,$B26,Ambientes!$E:$E,"Mai"))</f>
        <v/>
      </c>
      <c r="E26" s="34">
        <f>IF($B26="","",SUMIFS(Ambientes!$H:$H,Ambientes!$A:$A,$B26,Ambientes!$D:$D,"Mai"))</f>
        <v/>
      </c>
      <c r="F26" s="34">
        <f>IF($B26="","",SUMIFS(Faturamento!$C:$C,Faturamento!$A:$A,$B26,Faturamento!$D:$D,"Mai"))</f>
        <v/>
      </c>
      <c r="G26" s="34">
        <f>IF($B26="","",SUMIFS(Projetos!$B:$B,Projetos!$A:$A,$B26,Projetos!$C:$C,"Mai"))</f>
        <v/>
      </c>
    </row>
    <row r="27">
      <c r="B27" s="31">
        <f>IF(Projetos!$A14="","",Projetos!$A14)</f>
        <v/>
      </c>
      <c r="C27" s="32">
        <f>IF($B27="","",SUMIFS(Ambientes!$C:$C,Ambientes!$A:$A,$B27,Ambientes!$D:$D,"Mai"))</f>
        <v/>
      </c>
      <c r="D27" s="32">
        <f>IF($B27="","",SUMIFS(Ambientes!$C:$C,Ambientes!$A:$A,$B27,Ambientes!$E:$E,"Mai"))</f>
        <v/>
      </c>
      <c r="E27" s="32">
        <f>IF($B27="","",SUMIFS(Ambientes!$H:$H,Ambientes!$A:$A,$B27,Ambientes!$D:$D,"Mai"))</f>
        <v/>
      </c>
      <c r="F27" s="32">
        <f>IF($B27="","",SUMIFS(Faturamento!$C:$C,Faturamento!$A:$A,$B27,Faturamento!$D:$D,"Mai"))</f>
        <v/>
      </c>
      <c r="G27" s="32">
        <f>IF($B27="","",SUMIFS(Projetos!$B:$B,Projetos!$A:$A,$B27,Projetos!$C:$C,"Mai"))</f>
        <v/>
      </c>
    </row>
    <row r="28">
      <c r="B28" s="33">
        <f>IF(Projetos!$A15="","",Projetos!$A15)</f>
        <v/>
      </c>
      <c r="C28" s="34">
        <f>IF($B28="","",SUMIFS(Ambientes!$C:$C,Ambientes!$A:$A,$B28,Ambientes!$D:$D,"Mai"))</f>
        <v/>
      </c>
      <c r="D28" s="34">
        <f>IF($B28="","",SUMIFS(Ambientes!$C:$C,Ambientes!$A:$A,$B28,Ambientes!$E:$E,"Mai"))</f>
        <v/>
      </c>
      <c r="E28" s="34">
        <f>IF($B28="","",SUMIFS(Ambientes!$H:$H,Ambientes!$A:$A,$B28,Ambientes!$D:$D,"Mai"))</f>
        <v/>
      </c>
      <c r="F28" s="34">
        <f>IF($B28="","",SUMIFS(Faturamento!$C:$C,Faturamento!$A:$A,$B28,Faturamento!$D:$D,"Mai"))</f>
        <v/>
      </c>
      <c r="G28" s="34">
        <f>IF($B28="","",SUMIFS(Projetos!$B:$B,Projetos!$A:$A,$B28,Projetos!$C:$C,"Mai"))</f>
        <v/>
      </c>
    </row>
    <row r="29">
      <c r="B29" s="31">
        <f>IF(Projetos!$A16="","",Projetos!$A16)</f>
        <v/>
      </c>
      <c r="C29" s="32">
        <f>IF($B29="","",SUMIFS(Ambientes!$C:$C,Ambientes!$A:$A,$B29,Ambientes!$D:$D,"Mai"))</f>
        <v/>
      </c>
      <c r="D29" s="32">
        <f>IF($B29="","",SUMIFS(Ambientes!$C:$C,Ambientes!$A:$A,$B29,Ambientes!$E:$E,"Mai"))</f>
        <v/>
      </c>
      <c r="E29" s="32">
        <f>IF($B29="","",SUMIFS(Ambientes!$H:$H,Ambientes!$A:$A,$B29,Ambientes!$D:$D,"Mai"))</f>
        <v/>
      </c>
      <c r="F29" s="32">
        <f>IF($B29="","",SUMIFS(Faturamento!$C:$C,Faturamento!$A:$A,$B29,Faturamento!$D:$D,"Mai"))</f>
        <v/>
      </c>
      <c r="G29" s="32">
        <f>IF($B29="","",SUMIFS(Projetos!$B:$B,Projetos!$A:$A,$B29,Projetos!$C:$C,"Mai"))</f>
        <v/>
      </c>
    </row>
    <row r="30">
      <c r="B30" s="33">
        <f>IF(Projetos!$A17="","",Projetos!$A17)</f>
        <v/>
      </c>
      <c r="C30" s="34">
        <f>IF($B30="","",SUMIFS(Ambientes!$C:$C,Ambientes!$A:$A,$B30,Ambientes!$D:$D,"Mai"))</f>
        <v/>
      </c>
      <c r="D30" s="34">
        <f>IF($B30="","",SUMIFS(Ambientes!$C:$C,Ambientes!$A:$A,$B30,Ambientes!$E:$E,"Mai"))</f>
        <v/>
      </c>
      <c r="E30" s="34">
        <f>IF($B30="","",SUMIFS(Ambientes!$H:$H,Ambientes!$A:$A,$B30,Ambientes!$D:$D,"Mai"))</f>
        <v/>
      </c>
      <c r="F30" s="34">
        <f>IF($B30="","",SUMIFS(Faturamento!$C:$C,Faturamento!$A:$A,$B30,Faturamento!$D:$D,"Mai"))</f>
        <v/>
      </c>
      <c r="G30" s="34">
        <f>IF($B30="","",SUMIFS(Projetos!$B:$B,Projetos!$A:$A,$B30,Projetos!$C:$C,"Mai"))</f>
        <v/>
      </c>
    </row>
    <row r="31">
      <c r="B31" s="31">
        <f>IF(Projetos!$A18="","",Projetos!$A18)</f>
        <v/>
      </c>
      <c r="C31" s="32">
        <f>IF($B31="","",SUMIFS(Ambientes!$C:$C,Ambientes!$A:$A,$B31,Ambientes!$D:$D,"Mai"))</f>
        <v/>
      </c>
      <c r="D31" s="32">
        <f>IF($B31="","",SUMIFS(Ambientes!$C:$C,Ambientes!$A:$A,$B31,Ambientes!$E:$E,"Mai"))</f>
        <v/>
      </c>
      <c r="E31" s="32">
        <f>IF($B31="","",SUMIFS(Ambientes!$H:$H,Ambientes!$A:$A,$B31,Ambientes!$D:$D,"Mai"))</f>
        <v/>
      </c>
      <c r="F31" s="32">
        <f>IF($B31="","",SUMIFS(Faturamento!$C:$C,Faturamento!$A:$A,$B31,Faturamento!$D:$D,"Mai"))</f>
        <v/>
      </c>
      <c r="G31" s="32">
        <f>IF($B31="","",SUMIFS(Projetos!$B:$B,Projetos!$A:$A,$B31,Projetos!$C:$C,"Mai"))</f>
        <v/>
      </c>
    </row>
    <row r="32">
      <c r="B32" s="33">
        <f>IF(Projetos!$A19="","",Projetos!$A19)</f>
        <v/>
      </c>
      <c r="C32" s="34">
        <f>IF($B32="","",SUMIFS(Ambientes!$C:$C,Ambientes!$A:$A,$B32,Ambientes!$D:$D,"Mai"))</f>
        <v/>
      </c>
      <c r="D32" s="34">
        <f>IF($B32="","",SUMIFS(Ambientes!$C:$C,Ambientes!$A:$A,$B32,Ambientes!$E:$E,"Mai"))</f>
        <v/>
      </c>
      <c r="E32" s="34">
        <f>IF($B32="","",SUMIFS(Ambientes!$H:$H,Ambientes!$A:$A,$B32,Ambientes!$D:$D,"Mai"))</f>
        <v/>
      </c>
      <c r="F32" s="34">
        <f>IF($B32="","",SUMIFS(Faturamento!$C:$C,Faturamento!$A:$A,$B32,Faturamento!$D:$D,"Mai"))</f>
        <v/>
      </c>
      <c r="G32" s="34">
        <f>IF($B32="","",SUMIFS(Projetos!$B:$B,Projetos!$A:$A,$B32,Projetos!$C:$C,"Mai"))</f>
        <v/>
      </c>
    </row>
    <row r="33">
      <c r="B33" s="31">
        <f>IF(Projetos!$A20="","",Projetos!$A20)</f>
        <v/>
      </c>
      <c r="C33" s="32">
        <f>IF($B33="","",SUMIFS(Ambientes!$C:$C,Ambientes!$A:$A,$B33,Ambientes!$D:$D,"Mai"))</f>
        <v/>
      </c>
      <c r="D33" s="32">
        <f>IF($B33="","",SUMIFS(Ambientes!$C:$C,Ambientes!$A:$A,$B33,Ambientes!$E:$E,"Mai"))</f>
        <v/>
      </c>
      <c r="E33" s="32">
        <f>IF($B33="","",SUMIFS(Ambientes!$H:$H,Ambientes!$A:$A,$B33,Ambientes!$D:$D,"Mai"))</f>
        <v/>
      </c>
      <c r="F33" s="32">
        <f>IF($B33="","",SUMIFS(Faturamento!$C:$C,Faturamento!$A:$A,$B33,Faturamento!$D:$D,"Mai"))</f>
        <v/>
      </c>
      <c r="G33" s="32">
        <f>IF($B33="","",SUMIFS(Projetos!$B:$B,Projetos!$A:$A,$B33,Projetos!$C:$C,"Mai"))</f>
        <v/>
      </c>
    </row>
    <row r="34">
      <c r="B34" s="33">
        <f>IF(Projetos!$A21="","",Projetos!$A21)</f>
        <v/>
      </c>
      <c r="C34" s="34">
        <f>IF($B34="","",SUMIFS(Ambientes!$C:$C,Ambientes!$A:$A,$B34,Ambientes!$D:$D,"Mai"))</f>
        <v/>
      </c>
      <c r="D34" s="34">
        <f>IF($B34="","",SUMIFS(Ambientes!$C:$C,Ambientes!$A:$A,$B34,Ambientes!$E:$E,"Mai"))</f>
        <v/>
      </c>
      <c r="E34" s="34">
        <f>IF($B34="","",SUMIFS(Ambientes!$H:$H,Ambientes!$A:$A,$B34,Ambientes!$D:$D,"Mai"))</f>
        <v/>
      </c>
      <c r="F34" s="34">
        <f>IF($B34="","",SUMIFS(Faturamento!$C:$C,Faturamento!$A:$A,$B34,Faturamento!$D:$D,"Mai"))</f>
        <v/>
      </c>
      <c r="G34" s="34">
        <f>IF($B34="","",SUMIFS(Projetos!$B:$B,Projetos!$A:$A,$B34,Projetos!$C:$C,"Mai"))</f>
        <v/>
      </c>
    </row>
    <row r="35">
      <c r="B35" s="31">
        <f>IF(Projetos!$A22="","",Projetos!$A22)</f>
        <v/>
      </c>
      <c r="C35" s="32">
        <f>IF($B35="","",SUMIFS(Ambientes!$C:$C,Ambientes!$A:$A,$B35,Ambientes!$D:$D,"Mai"))</f>
        <v/>
      </c>
      <c r="D35" s="32">
        <f>IF($B35="","",SUMIFS(Ambientes!$C:$C,Ambientes!$A:$A,$B35,Ambientes!$E:$E,"Mai"))</f>
        <v/>
      </c>
      <c r="E35" s="32">
        <f>IF($B35="","",SUMIFS(Ambientes!$H:$H,Ambientes!$A:$A,$B35,Ambientes!$D:$D,"Mai"))</f>
        <v/>
      </c>
      <c r="F35" s="32">
        <f>IF($B35="","",SUMIFS(Faturamento!$C:$C,Faturamento!$A:$A,$B35,Faturamento!$D:$D,"Mai"))</f>
        <v/>
      </c>
      <c r="G35" s="32">
        <f>IF($B35="","",SUMIFS(Projetos!$B:$B,Projetos!$A:$A,$B35,Projetos!$C:$C,"Mai"))</f>
        <v/>
      </c>
    </row>
    <row r="36">
      <c r="B36" s="33">
        <f>IF(Projetos!$A23="","",Projetos!$A23)</f>
        <v/>
      </c>
      <c r="C36" s="34">
        <f>IF($B36="","",SUMIFS(Ambientes!$C:$C,Ambientes!$A:$A,$B36,Ambientes!$D:$D,"Mai"))</f>
        <v/>
      </c>
      <c r="D36" s="34">
        <f>IF($B36="","",SUMIFS(Ambientes!$C:$C,Ambientes!$A:$A,$B36,Ambientes!$E:$E,"Mai"))</f>
        <v/>
      </c>
      <c r="E36" s="34">
        <f>IF($B36="","",SUMIFS(Ambientes!$H:$H,Ambientes!$A:$A,$B36,Ambientes!$D:$D,"Mai"))</f>
        <v/>
      </c>
      <c r="F36" s="34">
        <f>IF($B36="","",SUMIFS(Faturamento!$C:$C,Faturamento!$A:$A,$B36,Faturamento!$D:$D,"Mai"))</f>
        <v/>
      </c>
      <c r="G36" s="34">
        <f>IF($B36="","",SUMIFS(Projetos!$B:$B,Projetos!$A:$A,$B36,Projetos!$C:$C,"Mai"))</f>
        <v/>
      </c>
    </row>
    <row r="37">
      <c r="B37" s="31">
        <f>IF(Projetos!$A24="","",Projetos!$A24)</f>
        <v/>
      </c>
      <c r="C37" s="32">
        <f>IF($B37="","",SUMIFS(Ambientes!$C:$C,Ambientes!$A:$A,$B37,Ambientes!$D:$D,"Mai"))</f>
        <v/>
      </c>
      <c r="D37" s="32">
        <f>IF($B37="","",SUMIFS(Ambientes!$C:$C,Ambientes!$A:$A,$B37,Ambientes!$E:$E,"Mai"))</f>
        <v/>
      </c>
      <c r="E37" s="32">
        <f>IF($B37="","",SUMIFS(Ambientes!$H:$H,Ambientes!$A:$A,$B37,Ambientes!$D:$D,"Mai"))</f>
        <v/>
      </c>
      <c r="F37" s="32">
        <f>IF($B37="","",SUMIFS(Faturamento!$C:$C,Faturamento!$A:$A,$B37,Faturamento!$D:$D,"Mai"))</f>
        <v/>
      </c>
      <c r="G37" s="32">
        <f>IF($B37="","",SUMIFS(Projetos!$B:$B,Projetos!$A:$A,$B37,Projetos!$C:$C,"Mai"))</f>
        <v/>
      </c>
    </row>
    <row r="38">
      <c r="B38" s="33">
        <f>IF(Projetos!$A25="","",Projetos!$A25)</f>
        <v/>
      </c>
      <c r="C38" s="34">
        <f>IF($B38="","",SUMIFS(Ambientes!$C:$C,Ambientes!$A:$A,$B38,Ambientes!$D:$D,"Mai"))</f>
        <v/>
      </c>
      <c r="D38" s="34">
        <f>IF($B38="","",SUMIFS(Ambientes!$C:$C,Ambientes!$A:$A,$B38,Ambientes!$E:$E,"Mai"))</f>
        <v/>
      </c>
      <c r="E38" s="34">
        <f>IF($B38="","",SUMIFS(Ambientes!$H:$H,Ambientes!$A:$A,$B38,Ambientes!$D:$D,"Mai"))</f>
        <v/>
      </c>
      <c r="F38" s="34">
        <f>IF($B38="","",SUMIFS(Faturamento!$C:$C,Faturamento!$A:$A,$B38,Faturamento!$D:$D,"Mai"))</f>
        <v/>
      </c>
      <c r="G38" s="34">
        <f>IF($B38="","",SUMIFS(Projetos!$B:$B,Projetos!$A:$A,$B38,Projetos!$C:$C,"Mai"))</f>
        <v/>
      </c>
    </row>
    <row r="39">
      <c r="B39" s="31">
        <f>IF(Projetos!$A26="","",Projetos!$A26)</f>
        <v/>
      </c>
      <c r="C39" s="32">
        <f>IF($B39="","",SUMIFS(Ambientes!$C:$C,Ambientes!$A:$A,$B39,Ambientes!$D:$D,"Mai"))</f>
        <v/>
      </c>
      <c r="D39" s="32">
        <f>IF($B39="","",SUMIFS(Ambientes!$C:$C,Ambientes!$A:$A,$B39,Ambientes!$E:$E,"Mai"))</f>
        <v/>
      </c>
      <c r="E39" s="32">
        <f>IF($B39="","",SUMIFS(Ambientes!$H:$H,Ambientes!$A:$A,$B39,Ambientes!$D:$D,"Mai"))</f>
        <v/>
      </c>
      <c r="F39" s="32">
        <f>IF($B39="","",SUMIFS(Faturamento!$C:$C,Faturamento!$A:$A,$B39,Faturamento!$D:$D,"Mai"))</f>
        <v/>
      </c>
      <c r="G39" s="32">
        <f>IF($B39="","",SUMIFS(Projetos!$B:$B,Projetos!$A:$A,$B39,Projetos!$C:$C,"Mai"))</f>
        <v/>
      </c>
    </row>
    <row r="40">
      <c r="B40" s="33">
        <f>IF(Projetos!$A27="","",Projetos!$A27)</f>
        <v/>
      </c>
      <c r="C40" s="34">
        <f>IF($B40="","",SUMIFS(Ambientes!$C:$C,Ambientes!$A:$A,$B40,Ambientes!$D:$D,"Mai"))</f>
        <v/>
      </c>
      <c r="D40" s="34">
        <f>IF($B40="","",SUMIFS(Ambientes!$C:$C,Ambientes!$A:$A,$B40,Ambientes!$E:$E,"Mai"))</f>
        <v/>
      </c>
      <c r="E40" s="34">
        <f>IF($B40="","",SUMIFS(Ambientes!$H:$H,Ambientes!$A:$A,$B40,Ambientes!$D:$D,"Mai"))</f>
        <v/>
      </c>
      <c r="F40" s="34">
        <f>IF($B40="","",SUMIFS(Faturamento!$C:$C,Faturamento!$A:$A,$B40,Faturamento!$D:$D,"Mai"))</f>
        <v/>
      </c>
      <c r="G40" s="34">
        <f>IF($B40="","",SUMIFS(Projetos!$B:$B,Projetos!$A:$A,$B40,Projetos!$C:$C,"Mai"))</f>
        <v/>
      </c>
    </row>
    <row r="41">
      <c r="B41" s="31">
        <f>IF(Projetos!$A28="","",Projetos!$A28)</f>
        <v/>
      </c>
      <c r="C41" s="32">
        <f>IF($B41="","",SUMIFS(Ambientes!$C:$C,Ambientes!$A:$A,$B41,Ambientes!$D:$D,"Mai"))</f>
        <v/>
      </c>
      <c r="D41" s="32">
        <f>IF($B41="","",SUMIFS(Ambientes!$C:$C,Ambientes!$A:$A,$B41,Ambientes!$E:$E,"Mai"))</f>
        <v/>
      </c>
      <c r="E41" s="32">
        <f>IF($B41="","",SUMIFS(Ambientes!$H:$H,Ambientes!$A:$A,$B41,Ambientes!$D:$D,"Mai"))</f>
        <v/>
      </c>
      <c r="F41" s="32">
        <f>IF($B41="","",SUMIFS(Faturamento!$C:$C,Faturamento!$A:$A,$B41,Faturamento!$D:$D,"Mai"))</f>
        <v/>
      </c>
      <c r="G41" s="32">
        <f>IF($B41="","",SUMIFS(Projetos!$B:$B,Projetos!$A:$A,$B41,Projetos!$C:$C,"Mai"))</f>
        <v/>
      </c>
    </row>
    <row r="42">
      <c r="B42" s="33">
        <f>IF(Projetos!$A29="","",Projetos!$A29)</f>
        <v/>
      </c>
      <c r="C42" s="34">
        <f>IF($B42="","",SUMIFS(Ambientes!$C:$C,Ambientes!$A:$A,$B42,Ambientes!$D:$D,"Mai"))</f>
        <v/>
      </c>
      <c r="D42" s="34">
        <f>IF($B42="","",SUMIFS(Ambientes!$C:$C,Ambientes!$A:$A,$B42,Ambientes!$E:$E,"Mai"))</f>
        <v/>
      </c>
      <c r="E42" s="34">
        <f>IF($B42="","",SUMIFS(Ambientes!$H:$H,Ambientes!$A:$A,$B42,Ambientes!$D:$D,"Mai"))</f>
        <v/>
      </c>
      <c r="F42" s="34">
        <f>IF($B42="","",SUMIFS(Faturamento!$C:$C,Faturamento!$A:$A,$B42,Faturamento!$D:$D,"Mai"))</f>
        <v/>
      </c>
      <c r="G42" s="34">
        <f>IF($B42="","",SUMIFS(Projetos!$B:$B,Projetos!$A:$A,$B42,Projetos!$C:$C,"Mai"))</f>
        <v/>
      </c>
    </row>
    <row r="43">
      <c r="B43" s="31">
        <f>IF(Projetos!$A30="","",Projetos!$A30)</f>
        <v/>
      </c>
      <c r="C43" s="32">
        <f>IF($B43="","",SUMIFS(Ambientes!$C:$C,Ambientes!$A:$A,$B43,Ambientes!$D:$D,"Mai"))</f>
        <v/>
      </c>
      <c r="D43" s="32">
        <f>IF($B43="","",SUMIFS(Ambientes!$C:$C,Ambientes!$A:$A,$B43,Ambientes!$E:$E,"Mai"))</f>
        <v/>
      </c>
      <c r="E43" s="32">
        <f>IF($B43="","",SUMIFS(Ambientes!$H:$H,Ambientes!$A:$A,$B43,Ambientes!$D:$D,"Mai"))</f>
        <v/>
      </c>
      <c r="F43" s="32">
        <f>IF($B43="","",SUMIFS(Faturamento!$C:$C,Faturamento!$A:$A,$B43,Faturamento!$D:$D,"Mai"))</f>
        <v/>
      </c>
      <c r="G43" s="32">
        <f>IF($B43="","",SUMIFS(Projetos!$B:$B,Projetos!$A:$A,$B43,Projetos!$C:$C,"Mai"))</f>
        <v/>
      </c>
    </row>
    <row r="44">
      <c r="B44" s="33">
        <f>IF(Projetos!$A31="","",Projetos!$A31)</f>
        <v/>
      </c>
      <c r="C44" s="34">
        <f>IF($B44="","",SUMIFS(Ambientes!$C:$C,Ambientes!$A:$A,$B44,Ambientes!$D:$D,"Mai"))</f>
        <v/>
      </c>
      <c r="D44" s="34">
        <f>IF($B44="","",SUMIFS(Ambientes!$C:$C,Ambientes!$A:$A,$B44,Ambientes!$E:$E,"Mai"))</f>
        <v/>
      </c>
      <c r="E44" s="34">
        <f>IF($B44="","",SUMIFS(Ambientes!$H:$H,Ambientes!$A:$A,$B44,Ambientes!$D:$D,"Mai"))</f>
        <v/>
      </c>
      <c r="F44" s="34">
        <f>IF($B44="","",SUMIFS(Faturamento!$C:$C,Faturamento!$A:$A,$B44,Faturamento!$D:$D,"Mai"))</f>
        <v/>
      </c>
      <c r="G44" s="34">
        <f>IF($B44="","",SUMIFS(Projetos!$B:$B,Projetos!$A:$A,$B44,Projetos!$C:$C,"Mai"))</f>
        <v/>
      </c>
    </row>
    <row r="45">
      <c r="B45" s="31">
        <f>IF(Projetos!$A32="","",Projetos!$A32)</f>
        <v/>
      </c>
      <c r="C45" s="32">
        <f>IF($B45="","",SUMIFS(Ambientes!$C:$C,Ambientes!$A:$A,$B45,Ambientes!$D:$D,"Mai"))</f>
        <v/>
      </c>
      <c r="D45" s="32">
        <f>IF($B45="","",SUMIFS(Ambientes!$C:$C,Ambientes!$A:$A,$B45,Ambientes!$E:$E,"Mai"))</f>
        <v/>
      </c>
      <c r="E45" s="32">
        <f>IF($B45="","",SUMIFS(Ambientes!$H:$H,Ambientes!$A:$A,$B45,Ambientes!$D:$D,"Mai"))</f>
        <v/>
      </c>
      <c r="F45" s="32">
        <f>IF($B45="","",SUMIFS(Faturamento!$C:$C,Faturamento!$A:$A,$B45,Faturamento!$D:$D,"Mai"))</f>
        <v/>
      </c>
      <c r="G45" s="32">
        <f>IF($B45="","",SUMIFS(Projetos!$B:$B,Projetos!$A:$A,$B45,Projetos!$C:$C,"Mai"))</f>
        <v/>
      </c>
    </row>
    <row r="46">
      <c r="B46" s="33">
        <f>IF(Projetos!$A33="","",Projetos!$A33)</f>
        <v/>
      </c>
      <c r="C46" s="34">
        <f>IF($B46="","",SUMIFS(Ambientes!$C:$C,Ambientes!$A:$A,$B46,Ambientes!$D:$D,"Mai"))</f>
        <v/>
      </c>
      <c r="D46" s="34">
        <f>IF($B46="","",SUMIFS(Ambientes!$C:$C,Ambientes!$A:$A,$B46,Ambientes!$E:$E,"Mai"))</f>
        <v/>
      </c>
      <c r="E46" s="34">
        <f>IF($B46="","",SUMIFS(Ambientes!$H:$H,Ambientes!$A:$A,$B46,Ambientes!$D:$D,"Mai"))</f>
        <v/>
      </c>
      <c r="F46" s="34">
        <f>IF($B46="","",SUMIFS(Faturamento!$C:$C,Faturamento!$A:$A,$B46,Faturamento!$D:$D,"Mai"))</f>
        <v/>
      </c>
      <c r="G46" s="34">
        <f>IF($B46="","",SUMIFS(Projetos!$B:$B,Projetos!$A:$A,$B46,Projetos!$C:$C,"Mai"))</f>
        <v/>
      </c>
    </row>
    <row r="47">
      <c r="B47" s="31">
        <f>IF(Projetos!$A34="","",Projetos!$A34)</f>
        <v/>
      </c>
      <c r="C47" s="32">
        <f>IF($B47="","",SUMIFS(Ambientes!$C:$C,Ambientes!$A:$A,$B47,Ambientes!$D:$D,"Mai"))</f>
        <v/>
      </c>
      <c r="D47" s="32">
        <f>IF($B47="","",SUMIFS(Ambientes!$C:$C,Ambientes!$A:$A,$B47,Ambientes!$E:$E,"Mai"))</f>
        <v/>
      </c>
      <c r="E47" s="32">
        <f>IF($B47="","",SUMIFS(Ambientes!$H:$H,Ambientes!$A:$A,$B47,Ambientes!$D:$D,"Mai"))</f>
        <v/>
      </c>
      <c r="F47" s="32">
        <f>IF($B47="","",SUMIFS(Faturamento!$C:$C,Faturamento!$A:$A,$B47,Faturamento!$D:$D,"Mai"))</f>
        <v/>
      </c>
      <c r="G47" s="32">
        <f>IF($B47="","",SUMIFS(Projetos!$B:$B,Projetos!$A:$A,$B47,Projetos!$C:$C,"Mai"))</f>
        <v/>
      </c>
    </row>
    <row r="48">
      <c r="B48" s="33">
        <f>IF(Projetos!$A35="","",Projetos!$A35)</f>
        <v/>
      </c>
      <c r="C48" s="34">
        <f>IF($B48="","",SUMIFS(Ambientes!$C:$C,Ambientes!$A:$A,$B48,Ambientes!$D:$D,"Mai"))</f>
        <v/>
      </c>
      <c r="D48" s="34">
        <f>IF($B48="","",SUMIFS(Ambientes!$C:$C,Ambientes!$A:$A,$B48,Ambientes!$E:$E,"Mai"))</f>
        <v/>
      </c>
      <c r="E48" s="34">
        <f>IF($B48="","",SUMIFS(Ambientes!$H:$H,Ambientes!$A:$A,$B48,Ambientes!$D:$D,"Mai"))</f>
        <v/>
      </c>
      <c r="F48" s="34">
        <f>IF($B48="","",SUMIFS(Faturamento!$C:$C,Faturamento!$A:$A,$B48,Faturamento!$D:$D,"Mai"))</f>
        <v/>
      </c>
      <c r="G48" s="34">
        <f>IF($B48="","",SUMIFS(Projetos!$B:$B,Projetos!$A:$A,$B48,Projetos!$C:$C,"Mai"))</f>
        <v/>
      </c>
    </row>
    <row r="49">
      <c r="B49" s="31">
        <f>IF(Projetos!$A36="","",Projetos!$A36)</f>
        <v/>
      </c>
      <c r="C49" s="32">
        <f>IF($B49="","",SUMIFS(Ambientes!$C:$C,Ambientes!$A:$A,$B49,Ambientes!$D:$D,"Mai"))</f>
        <v/>
      </c>
      <c r="D49" s="32">
        <f>IF($B49="","",SUMIFS(Ambientes!$C:$C,Ambientes!$A:$A,$B49,Ambientes!$E:$E,"Mai"))</f>
        <v/>
      </c>
      <c r="E49" s="32">
        <f>IF($B49="","",SUMIFS(Ambientes!$H:$H,Ambientes!$A:$A,$B49,Ambientes!$D:$D,"Mai"))</f>
        <v/>
      </c>
      <c r="F49" s="32">
        <f>IF($B49="","",SUMIFS(Faturamento!$C:$C,Faturamento!$A:$A,$B49,Faturamento!$D:$D,"Mai"))</f>
        <v/>
      </c>
      <c r="G49" s="32">
        <f>IF($B49="","",SUMIFS(Projetos!$B:$B,Projetos!$A:$A,$B49,Projetos!$C:$C,"Mai"))</f>
        <v/>
      </c>
    </row>
    <row r="50">
      <c r="B50" s="33">
        <f>IF(Projetos!$A37="","",Projetos!$A37)</f>
        <v/>
      </c>
      <c r="C50" s="34">
        <f>IF($B50="","",SUMIFS(Ambientes!$C:$C,Ambientes!$A:$A,$B50,Ambientes!$D:$D,"Mai"))</f>
        <v/>
      </c>
      <c r="D50" s="34">
        <f>IF($B50="","",SUMIFS(Ambientes!$C:$C,Ambientes!$A:$A,$B50,Ambientes!$E:$E,"Mai"))</f>
        <v/>
      </c>
      <c r="E50" s="34">
        <f>IF($B50="","",SUMIFS(Ambientes!$H:$H,Ambientes!$A:$A,$B50,Ambientes!$D:$D,"Mai"))</f>
        <v/>
      </c>
      <c r="F50" s="34">
        <f>IF($B50="","",SUMIFS(Faturamento!$C:$C,Faturamento!$A:$A,$B50,Faturamento!$D:$D,"Mai"))</f>
        <v/>
      </c>
      <c r="G50" s="34">
        <f>IF($B50="","",SUMIFS(Projetos!$B:$B,Projetos!$A:$A,$B50,Projetos!$C:$C,"Mai"))</f>
        <v/>
      </c>
    </row>
    <row r="51">
      <c r="B51" s="31">
        <f>IF(Projetos!$A38="","",Projetos!$A38)</f>
        <v/>
      </c>
      <c r="C51" s="32">
        <f>IF($B51="","",SUMIFS(Ambientes!$C:$C,Ambientes!$A:$A,$B51,Ambientes!$D:$D,"Mai"))</f>
        <v/>
      </c>
      <c r="D51" s="32">
        <f>IF($B51="","",SUMIFS(Ambientes!$C:$C,Ambientes!$A:$A,$B51,Ambientes!$E:$E,"Mai"))</f>
        <v/>
      </c>
      <c r="E51" s="32">
        <f>IF($B51="","",SUMIFS(Ambientes!$H:$H,Ambientes!$A:$A,$B51,Ambientes!$D:$D,"Mai"))</f>
        <v/>
      </c>
      <c r="F51" s="32">
        <f>IF($B51="","",SUMIFS(Faturamento!$C:$C,Faturamento!$A:$A,$B51,Faturamento!$D:$D,"Mai"))</f>
        <v/>
      </c>
      <c r="G51" s="32">
        <f>IF($B51="","",SUMIFS(Projetos!$B:$B,Projetos!$A:$A,$B51,Projetos!$C:$C,"Mai"))</f>
        <v/>
      </c>
    </row>
    <row r="52">
      <c r="B52" s="33">
        <f>IF(Projetos!$A39="","",Projetos!$A39)</f>
        <v/>
      </c>
      <c r="C52" s="34">
        <f>IF($B52="","",SUMIFS(Ambientes!$C:$C,Ambientes!$A:$A,$B52,Ambientes!$D:$D,"Mai"))</f>
        <v/>
      </c>
      <c r="D52" s="34">
        <f>IF($B52="","",SUMIFS(Ambientes!$C:$C,Ambientes!$A:$A,$B52,Ambientes!$E:$E,"Mai"))</f>
        <v/>
      </c>
      <c r="E52" s="34">
        <f>IF($B52="","",SUMIFS(Ambientes!$H:$H,Ambientes!$A:$A,$B52,Ambientes!$D:$D,"Mai"))</f>
        <v/>
      </c>
      <c r="F52" s="34">
        <f>IF($B52="","",SUMIFS(Faturamento!$C:$C,Faturamento!$A:$A,$B52,Faturamento!$D:$D,"Mai"))</f>
        <v/>
      </c>
      <c r="G52" s="34">
        <f>IF($B52="","",SUMIFS(Projetos!$B:$B,Projetos!$A:$A,$B52,Projetos!$C:$C,"Mai"))</f>
        <v/>
      </c>
    </row>
    <row r="53">
      <c r="B53" s="31">
        <f>IF(Projetos!$A40="","",Projetos!$A40)</f>
        <v/>
      </c>
      <c r="C53" s="32">
        <f>IF($B53="","",SUMIFS(Ambientes!$C:$C,Ambientes!$A:$A,$B53,Ambientes!$D:$D,"Mai"))</f>
        <v/>
      </c>
      <c r="D53" s="32">
        <f>IF($B53="","",SUMIFS(Ambientes!$C:$C,Ambientes!$A:$A,$B53,Ambientes!$E:$E,"Mai"))</f>
        <v/>
      </c>
      <c r="E53" s="32">
        <f>IF($B53="","",SUMIFS(Ambientes!$H:$H,Ambientes!$A:$A,$B53,Ambientes!$D:$D,"Mai"))</f>
        <v/>
      </c>
      <c r="F53" s="32">
        <f>IF($B53="","",SUMIFS(Faturamento!$C:$C,Faturamento!$A:$A,$B53,Faturamento!$D:$D,"Mai"))</f>
        <v/>
      </c>
      <c r="G53" s="32">
        <f>IF($B53="","",SUMIFS(Projetos!$B:$B,Projetos!$A:$A,$B53,Projetos!$C:$C,"Mai"))</f>
        <v/>
      </c>
    </row>
    <row r="54">
      <c r="B54" s="33">
        <f>IF(Projetos!$A41="","",Projetos!$A41)</f>
        <v/>
      </c>
      <c r="C54" s="34">
        <f>IF($B54="","",SUMIFS(Ambientes!$C:$C,Ambientes!$A:$A,$B54,Ambientes!$D:$D,"Mai"))</f>
        <v/>
      </c>
      <c r="D54" s="34">
        <f>IF($B54="","",SUMIFS(Ambientes!$C:$C,Ambientes!$A:$A,$B54,Ambientes!$E:$E,"Mai"))</f>
        <v/>
      </c>
      <c r="E54" s="34">
        <f>IF($B54="","",SUMIFS(Ambientes!$H:$H,Ambientes!$A:$A,$B54,Ambientes!$D:$D,"Mai"))</f>
        <v/>
      </c>
      <c r="F54" s="34">
        <f>IF($B54="","",SUMIFS(Faturamento!$C:$C,Faturamento!$A:$A,$B54,Faturamento!$D:$D,"Mai"))</f>
        <v/>
      </c>
      <c r="G54" s="34">
        <f>IF($B54="","",SUMIFS(Projetos!$B:$B,Projetos!$A:$A,$B54,Projetos!$C:$C,"Mai"))</f>
        <v/>
      </c>
    </row>
    <row r="55">
      <c r="B55" s="31">
        <f>IF(Projetos!$A42="","",Projetos!$A42)</f>
        <v/>
      </c>
      <c r="C55" s="32">
        <f>IF($B55="","",SUMIFS(Ambientes!$C:$C,Ambientes!$A:$A,$B55,Ambientes!$D:$D,"Mai"))</f>
        <v/>
      </c>
      <c r="D55" s="32">
        <f>IF($B55="","",SUMIFS(Ambientes!$C:$C,Ambientes!$A:$A,$B55,Ambientes!$E:$E,"Mai"))</f>
        <v/>
      </c>
      <c r="E55" s="32">
        <f>IF($B55="","",SUMIFS(Ambientes!$H:$H,Ambientes!$A:$A,$B55,Ambientes!$D:$D,"Mai"))</f>
        <v/>
      </c>
      <c r="F55" s="32">
        <f>IF($B55="","",SUMIFS(Faturamento!$C:$C,Faturamento!$A:$A,$B55,Faturamento!$D:$D,"Mai"))</f>
        <v/>
      </c>
      <c r="G55" s="32">
        <f>IF($B55="","",SUMIFS(Projetos!$B:$B,Projetos!$A:$A,$B55,Projetos!$C:$C,"Mai"))</f>
        <v/>
      </c>
    </row>
    <row r="56">
      <c r="B56" s="33">
        <f>IF(Projetos!$A43="","",Projetos!$A43)</f>
        <v/>
      </c>
      <c r="C56" s="34">
        <f>IF($B56="","",SUMIFS(Ambientes!$C:$C,Ambientes!$A:$A,$B56,Ambientes!$D:$D,"Mai"))</f>
        <v/>
      </c>
      <c r="D56" s="34">
        <f>IF($B56="","",SUMIFS(Ambientes!$C:$C,Ambientes!$A:$A,$B56,Ambientes!$E:$E,"Mai"))</f>
        <v/>
      </c>
      <c r="E56" s="34">
        <f>IF($B56="","",SUMIFS(Ambientes!$H:$H,Ambientes!$A:$A,$B56,Ambientes!$D:$D,"Mai"))</f>
        <v/>
      </c>
      <c r="F56" s="34">
        <f>IF($B56="","",SUMIFS(Faturamento!$C:$C,Faturamento!$A:$A,$B56,Faturamento!$D:$D,"Mai"))</f>
        <v/>
      </c>
      <c r="G56" s="34">
        <f>IF($B56="","",SUMIFS(Projetos!$B:$B,Projetos!$A:$A,$B56,Projetos!$C:$C,"Mai"))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JUNHO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Fixo'!$A:$A,"Jun",'Custo Fixo'!$E:$E)</f>
        <v/>
      </c>
      <c r="C6" s="19">
        <f>SUMIF(Projetos!$C:$C,"Jun",Projetos!$B:$B)</f>
        <v/>
      </c>
      <c r="D6" s="20">
        <f>SUMIF(Ambientes!$D:$D,"Jun",Ambientes!$H:$H)</f>
        <v/>
      </c>
      <c r="E6" s="19">
        <f>SUMIF(Ambientes!$D:$D,"Jun",Ambientes!$C:$C)</f>
        <v/>
      </c>
      <c r="F6" s="19">
        <f>SUMIF(Ambientes!$E:$E,"Jun",Ambientes!$C:$C)</f>
        <v/>
      </c>
      <c r="G6" s="19">
        <f>SUMIF(Faturamento!$D:$D,"Jun",Faturamento!$C:$C)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SUMIF(Compras!$E:$E,"Jun",Compras!$D:$D)</f>
        <v/>
      </c>
      <c r="C12" s="27">
        <f>SUMIFS(Compras!$D:$D,Compras!$H:$H,"&lt;=6",Compras!$A:$A,"&lt;&gt;")-SUMIF(Ambientes!$J:$J,"&lt;=6",Ambientes!$H:$H)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SUMIF(Projetos!$H:$H,"&lt;=6",Projetos!$B:$B)-SUMIF(Ambientes!$J:$J,"&lt;=6",Ambientes!$C:$C)</f>
        <v/>
      </c>
    </row>
    <row r="13" ht="26" customHeight="1">
      <c r="B13" s="30">
        <f>=IF(SUMIF(Compras!$E:$E,"Jun",Compras!$D:$D)-SUMIFS(Compras!$D:$D,Compras!$E:$E,"Jun",Compras!$A:$A,"&lt;&gt;")=0,"tudo vinculado a projeto","dos quais "&amp;TEXT(SUMIF(Compras!$E:$E,"Jun",Compras!$D:$D)-SUMIFS(Compras!$D:$D,Compras!$E:$E,"Jun",Compras!$A:$A,"&lt;&gt;"),"R$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IF($B17="","",SUMIFS(Ambientes!$C:$C,Ambientes!$A:$A,$B17,Ambientes!$D:$D,"Jun"))</f>
        <v/>
      </c>
      <c r="D17" s="32">
        <f>IF($B17="","",SUMIFS(Ambientes!$C:$C,Ambientes!$A:$A,$B17,Ambientes!$E:$E,"Jun"))</f>
        <v/>
      </c>
      <c r="E17" s="32">
        <f>IF($B17="","",SUMIFS(Ambientes!$H:$H,Ambientes!$A:$A,$B17,Ambientes!$D:$D,"Jun"))</f>
        <v/>
      </c>
      <c r="F17" s="32">
        <f>IF($B17="","",SUMIFS(Faturamento!$C:$C,Faturamento!$A:$A,$B17,Faturamento!$D:$D,"Jun"))</f>
        <v/>
      </c>
      <c r="G17" s="32">
        <f>IF($B17="","",SUMIFS(Projetos!$B:$B,Projetos!$A:$A,$B17,Projetos!$C:$C,"Jun"))</f>
        <v/>
      </c>
    </row>
    <row r="18">
      <c r="B18" s="33">
        <f>IF(Projetos!$A5="","",Projetos!$A5)</f>
        <v/>
      </c>
      <c r="C18" s="34">
        <f>IF($B18="","",SUMIFS(Ambientes!$C:$C,Ambientes!$A:$A,$B18,Ambientes!$D:$D,"Jun"))</f>
        <v/>
      </c>
      <c r="D18" s="34">
        <f>IF($B18="","",SUMIFS(Ambientes!$C:$C,Ambientes!$A:$A,$B18,Ambientes!$E:$E,"Jun"))</f>
        <v/>
      </c>
      <c r="E18" s="34">
        <f>IF($B18="","",SUMIFS(Ambientes!$H:$H,Ambientes!$A:$A,$B18,Ambientes!$D:$D,"Jun"))</f>
        <v/>
      </c>
      <c r="F18" s="34">
        <f>IF($B18="","",SUMIFS(Faturamento!$C:$C,Faturamento!$A:$A,$B18,Faturamento!$D:$D,"Jun"))</f>
        <v/>
      </c>
      <c r="G18" s="34">
        <f>IF($B18="","",SUMIFS(Projetos!$B:$B,Projetos!$A:$A,$B18,Projetos!$C:$C,"Jun"))</f>
        <v/>
      </c>
    </row>
    <row r="19">
      <c r="B19" s="31">
        <f>IF(Projetos!$A6="","",Projetos!$A6)</f>
        <v/>
      </c>
      <c r="C19" s="32">
        <f>IF($B19="","",SUMIFS(Ambientes!$C:$C,Ambientes!$A:$A,$B19,Ambientes!$D:$D,"Jun"))</f>
        <v/>
      </c>
      <c r="D19" s="32">
        <f>IF($B19="","",SUMIFS(Ambientes!$C:$C,Ambientes!$A:$A,$B19,Ambientes!$E:$E,"Jun"))</f>
        <v/>
      </c>
      <c r="E19" s="32">
        <f>IF($B19="","",SUMIFS(Ambientes!$H:$H,Ambientes!$A:$A,$B19,Ambientes!$D:$D,"Jun"))</f>
        <v/>
      </c>
      <c r="F19" s="32">
        <f>IF($B19="","",SUMIFS(Faturamento!$C:$C,Faturamento!$A:$A,$B19,Faturamento!$D:$D,"Jun"))</f>
        <v/>
      </c>
      <c r="G19" s="32">
        <f>IF($B19="","",SUMIFS(Projetos!$B:$B,Projetos!$A:$A,$B19,Projetos!$C:$C,"Jun"))</f>
        <v/>
      </c>
    </row>
    <row r="20">
      <c r="B20" s="33">
        <f>IF(Projetos!$A7="","",Projetos!$A7)</f>
        <v/>
      </c>
      <c r="C20" s="34">
        <f>IF($B20="","",SUMIFS(Ambientes!$C:$C,Ambientes!$A:$A,$B20,Ambientes!$D:$D,"Jun"))</f>
        <v/>
      </c>
      <c r="D20" s="34">
        <f>IF($B20="","",SUMIFS(Ambientes!$C:$C,Ambientes!$A:$A,$B20,Ambientes!$E:$E,"Jun"))</f>
        <v/>
      </c>
      <c r="E20" s="34">
        <f>IF($B20="","",SUMIFS(Ambientes!$H:$H,Ambientes!$A:$A,$B20,Ambientes!$D:$D,"Jun"))</f>
        <v/>
      </c>
      <c r="F20" s="34">
        <f>IF($B20="","",SUMIFS(Faturamento!$C:$C,Faturamento!$A:$A,$B20,Faturamento!$D:$D,"Jun"))</f>
        <v/>
      </c>
      <c r="G20" s="34">
        <f>IF($B20="","",SUMIFS(Projetos!$B:$B,Projetos!$A:$A,$B20,Projetos!$C:$C,"Jun"))</f>
        <v/>
      </c>
    </row>
    <row r="21">
      <c r="B21" s="31">
        <f>IF(Projetos!$A8="","",Projetos!$A8)</f>
        <v/>
      </c>
      <c r="C21" s="32">
        <f>IF($B21="","",SUMIFS(Ambientes!$C:$C,Ambientes!$A:$A,$B21,Ambientes!$D:$D,"Jun"))</f>
        <v/>
      </c>
      <c r="D21" s="32">
        <f>IF($B21="","",SUMIFS(Ambientes!$C:$C,Ambientes!$A:$A,$B21,Ambientes!$E:$E,"Jun"))</f>
        <v/>
      </c>
      <c r="E21" s="32">
        <f>IF($B21="","",SUMIFS(Ambientes!$H:$H,Ambientes!$A:$A,$B21,Ambientes!$D:$D,"Jun"))</f>
        <v/>
      </c>
      <c r="F21" s="32">
        <f>IF($B21="","",SUMIFS(Faturamento!$C:$C,Faturamento!$A:$A,$B21,Faturamento!$D:$D,"Jun"))</f>
        <v/>
      </c>
      <c r="G21" s="32">
        <f>IF($B21="","",SUMIFS(Projetos!$B:$B,Projetos!$A:$A,$B21,Projetos!$C:$C,"Jun"))</f>
        <v/>
      </c>
    </row>
    <row r="22">
      <c r="B22" s="33">
        <f>IF(Projetos!$A9="","",Projetos!$A9)</f>
        <v/>
      </c>
      <c r="C22" s="34">
        <f>IF($B22="","",SUMIFS(Ambientes!$C:$C,Ambientes!$A:$A,$B22,Ambientes!$D:$D,"Jun"))</f>
        <v/>
      </c>
      <c r="D22" s="34">
        <f>IF($B22="","",SUMIFS(Ambientes!$C:$C,Ambientes!$A:$A,$B22,Ambientes!$E:$E,"Jun"))</f>
        <v/>
      </c>
      <c r="E22" s="34">
        <f>IF($B22="","",SUMIFS(Ambientes!$H:$H,Ambientes!$A:$A,$B22,Ambientes!$D:$D,"Jun"))</f>
        <v/>
      </c>
      <c r="F22" s="34">
        <f>IF($B22="","",SUMIFS(Faturamento!$C:$C,Faturamento!$A:$A,$B22,Faturamento!$D:$D,"Jun"))</f>
        <v/>
      </c>
      <c r="G22" s="34">
        <f>IF($B22="","",SUMIFS(Projetos!$B:$B,Projetos!$A:$A,$B22,Projetos!$C:$C,"Jun"))</f>
        <v/>
      </c>
    </row>
    <row r="23">
      <c r="B23" s="31">
        <f>IF(Projetos!$A10="","",Projetos!$A10)</f>
        <v/>
      </c>
      <c r="C23" s="32">
        <f>IF($B23="","",SUMIFS(Ambientes!$C:$C,Ambientes!$A:$A,$B23,Ambientes!$D:$D,"Jun"))</f>
        <v/>
      </c>
      <c r="D23" s="32">
        <f>IF($B23="","",SUMIFS(Ambientes!$C:$C,Ambientes!$A:$A,$B23,Ambientes!$E:$E,"Jun"))</f>
        <v/>
      </c>
      <c r="E23" s="32">
        <f>IF($B23="","",SUMIFS(Ambientes!$H:$H,Ambientes!$A:$A,$B23,Ambientes!$D:$D,"Jun"))</f>
        <v/>
      </c>
      <c r="F23" s="32">
        <f>IF($B23="","",SUMIFS(Faturamento!$C:$C,Faturamento!$A:$A,$B23,Faturamento!$D:$D,"Jun"))</f>
        <v/>
      </c>
      <c r="G23" s="32">
        <f>IF($B23="","",SUMIFS(Projetos!$B:$B,Projetos!$A:$A,$B23,Projetos!$C:$C,"Jun"))</f>
        <v/>
      </c>
    </row>
    <row r="24">
      <c r="B24" s="33">
        <f>IF(Projetos!$A11="","",Projetos!$A11)</f>
        <v/>
      </c>
      <c r="C24" s="34">
        <f>IF($B24="","",SUMIFS(Ambientes!$C:$C,Ambientes!$A:$A,$B24,Ambientes!$D:$D,"Jun"))</f>
        <v/>
      </c>
      <c r="D24" s="34">
        <f>IF($B24="","",SUMIFS(Ambientes!$C:$C,Ambientes!$A:$A,$B24,Ambientes!$E:$E,"Jun"))</f>
        <v/>
      </c>
      <c r="E24" s="34">
        <f>IF($B24="","",SUMIFS(Ambientes!$H:$H,Ambientes!$A:$A,$B24,Ambientes!$D:$D,"Jun"))</f>
        <v/>
      </c>
      <c r="F24" s="34">
        <f>IF($B24="","",SUMIFS(Faturamento!$C:$C,Faturamento!$A:$A,$B24,Faturamento!$D:$D,"Jun"))</f>
        <v/>
      </c>
      <c r="G24" s="34">
        <f>IF($B24="","",SUMIFS(Projetos!$B:$B,Projetos!$A:$A,$B24,Projetos!$C:$C,"Jun"))</f>
        <v/>
      </c>
    </row>
    <row r="25">
      <c r="B25" s="31">
        <f>IF(Projetos!$A12="","",Projetos!$A12)</f>
        <v/>
      </c>
      <c r="C25" s="32">
        <f>IF($B25="","",SUMIFS(Ambientes!$C:$C,Ambientes!$A:$A,$B25,Ambientes!$D:$D,"Jun"))</f>
        <v/>
      </c>
      <c r="D25" s="32">
        <f>IF($B25="","",SUMIFS(Ambientes!$C:$C,Ambientes!$A:$A,$B25,Ambientes!$E:$E,"Jun"))</f>
        <v/>
      </c>
      <c r="E25" s="32">
        <f>IF($B25="","",SUMIFS(Ambientes!$H:$H,Ambientes!$A:$A,$B25,Ambientes!$D:$D,"Jun"))</f>
        <v/>
      </c>
      <c r="F25" s="32">
        <f>IF($B25="","",SUMIFS(Faturamento!$C:$C,Faturamento!$A:$A,$B25,Faturamento!$D:$D,"Jun"))</f>
        <v/>
      </c>
      <c r="G25" s="32">
        <f>IF($B25="","",SUMIFS(Projetos!$B:$B,Projetos!$A:$A,$B25,Projetos!$C:$C,"Jun"))</f>
        <v/>
      </c>
    </row>
    <row r="26">
      <c r="B26" s="33">
        <f>IF(Projetos!$A13="","",Projetos!$A13)</f>
        <v/>
      </c>
      <c r="C26" s="34">
        <f>IF($B26="","",SUMIFS(Ambientes!$C:$C,Ambientes!$A:$A,$B26,Ambientes!$D:$D,"Jun"))</f>
        <v/>
      </c>
      <c r="D26" s="34">
        <f>IF($B26="","",SUMIFS(Ambientes!$C:$C,Ambientes!$A:$A,$B26,Ambientes!$E:$E,"Jun"))</f>
        <v/>
      </c>
      <c r="E26" s="34">
        <f>IF($B26="","",SUMIFS(Ambientes!$H:$H,Ambientes!$A:$A,$B26,Ambientes!$D:$D,"Jun"))</f>
        <v/>
      </c>
      <c r="F26" s="34">
        <f>IF($B26="","",SUMIFS(Faturamento!$C:$C,Faturamento!$A:$A,$B26,Faturamento!$D:$D,"Jun"))</f>
        <v/>
      </c>
      <c r="G26" s="34">
        <f>IF($B26="","",SUMIFS(Projetos!$B:$B,Projetos!$A:$A,$B26,Projetos!$C:$C,"Jun"))</f>
        <v/>
      </c>
    </row>
    <row r="27">
      <c r="B27" s="31">
        <f>IF(Projetos!$A14="","",Projetos!$A14)</f>
        <v/>
      </c>
      <c r="C27" s="32">
        <f>IF($B27="","",SUMIFS(Ambientes!$C:$C,Ambientes!$A:$A,$B27,Ambientes!$D:$D,"Jun"))</f>
        <v/>
      </c>
      <c r="D27" s="32">
        <f>IF($B27="","",SUMIFS(Ambientes!$C:$C,Ambientes!$A:$A,$B27,Ambientes!$E:$E,"Jun"))</f>
        <v/>
      </c>
      <c r="E27" s="32">
        <f>IF($B27="","",SUMIFS(Ambientes!$H:$H,Ambientes!$A:$A,$B27,Ambientes!$D:$D,"Jun"))</f>
        <v/>
      </c>
      <c r="F27" s="32">
        <f>IF($B27="","",SUMIFS(Faturamento!$C:$C,Faturamento!$A:$A,$B27,Faturamento!$D:$D,"Jun"))</f>
        <v/>
      </c>
      <c r="G27" s="32">
        <f>IF($B27="","",SUMIFS(Projetos!$B:$B,Projetos!$A:$A,$B27,Projetos!$C:$C,"Jun"))</f>
        <v/>
      </c>
    </row>
    <row r="28">
      <c r="B28" s="33">
        <f>IF(Projetos!$A15="","",Projetos!$A15)</f>
        <v/>
      </c>
      <c r="C28" s="34">
        <f>IF($B28="","",SUMIFS(Ambientes!$C:$C,Ambientes!$A:$A,$B28,Ambientes!$D:$D,"Jun"))</f>
        <v/>
      </c>
      <c r="D28" s="34">
        <f>IF($B28="","",SUMIFS(Ambientes!$C:$C,Ambientes!$A:$A,$B28,Ambientes!$E:$E,"Jun"))</f>
        <v/>
      </c>
      <c r="E28" s="34">
        <f>IF($B28="","",SUMIFS(Ambientes!$H:$H,Ambientes!$A:$A,$B28,Ambientes!$D:$D,"Jun"))</f>
        <v/>
      </c>
      <c r="F28" s="34">
        <f>IF($B28="","",SUMIFS(Faturamento!$C:$C,Faturamento!$A:$A,$B28,Faturamento!$D:$D,"Jun"))</f>
        <v/>
      </c>
      <c r="G28" s="34">
        <f>IF($B28="","",SUMIFS(Projetos!$B:$B,Projetos!$A:$A,$B28,Projetos!$C:$C,"Jun"))</f>
        <v/>
      </c>
    </row>
    <row r="29">
      <c r="B29" s="31">
        <f>IF(Projetos!$A16="","",Projetos!$A16)</f>
        <v/>
      </c>
      <c r="C29" s="32">
        <f>IF($B29="","",SUMIFS(Ambientes!$C:$C,Ambientes!$A:$A,$B29,Ambientes!$D:$D,"Jun"))</f>
        <v/>
      </c>
      <c r="D29" s="32">
        <f>IF($B29="","",SUMIFS(Ambientes!$C:$C,Ambientes!$A:$A,$B29,Ambientes!$E:$E,"Jun"))</f>
        <v/>
      </c>
      <c r="E29" s="32">
        <f>IF($B29="","",SUMIFS(Ambientes!$H:$H,Ambientes!$A:$A,$B29,Ambientes!$D:$D,"Jun"))</f>
        <v/>
      </c>
      <c r="F29" s="32">
        <f>IF($B29="","",SUMIFS(Faturamento!$C:$C,Faturamento!$A:$A,$B29,Faturamento!$D:$D,"Jun"))</f>
        <v/>
      </c>
      <c r="G29" s="32">
        <f>IF($B29="","",SUMIFS(Projetos!$B:$B,Projetos!$A:$A,$B29,Projetos!$C:$C,"Jun"))</f>
        <v/>
      </c>
    </row>
    <row r="30">
      <c r="B30" s="33">
        <f>IF(Projetos!$A17="","",Projetos!$A17)</f>
        <v/>
      </c>
      <c r="C30" s="34">
        <f>IF($B30="","",SUMIFS(Ambientes!$C:$C,Ambientes!$A:$A,$B30,Ambientes!$D:$D,"Jun"))</f>
        <v/>
      </c>
      <c r="D30" s="34">
        <f>IF($B30="","",SUMIFS(Ambientes!$C:$C,Ambientes!$A:$A,$B30,Ambientes!$E:$E,"Jun"))</f>
        <v/>
      </c>
      <c r="E30" s="34">
        <f>IF($B30="","",SUMIFS(Ambientes!$H:$H,Ambientes!$A:$A,$B30,Ambientes!$D:$D,"Jun"))</f>
        <v/>
      </c>
      <c r="F30" s="34">
        <f>IF($B30="","",SUMIFS(Faturamento!$C:$C,Faturamento!$A:$A,$B30,Faturamento!$D:$D,"Jun"))</f>
        <v/>
      </c>
      <c r="G30" s="34">
        <f>IF($B30="","",SUMIFS(Projetos!$B:$B,Projetos!$A:$A,$B30,Projetos!$C:$C,"Jun"))</f>
        <v/>
      </c>
    </row>
    <row r="31">
      <c r="B31" s="31">
        <f>IF(Projetos!$A18="","",Projetos!$A18)</f>
        <v/>
      </c>
      <c r="C31" s="32">
        <f>IF($B31="","",SUMIFS(Ambientes!$C:$C,Ambientes!$A:$A,$B31,Ambientes!$D:$D,"Jun"))</f>
        <v/>
      </c>
      <c r="D31" s="32">
        <f>IF($B31="","",SUMIFS(Ambientes!$C:$C,Ambientes!$A:$A,$B31,Ambientes!$E:$E,"Jun"))</f>
        <v/>
      </c>
      <c r="E31" s="32">
        <f>IF($B31="","",SUMIFS(Ambientes!$H:$H,Ambientes!$A:$A,$B31,Ambientes!$D:$D,"Jun"))</f>
        <v/>
      </c>
      <c r="F31" s="32">
        <f>IF($B31="","",SUMIFS(Faturamento!$C:$C,Faturamento!$A:$A,$B31,Faturamento!$D:$D,"Jun"))</f>
        <v/>
      </c>
      <c r="G31" s="32">
        <f>IF($B31="","",SUMIFS(Projetos!$B:$B,Projetos!$A:$A,$B31,Projetos!$C:$C,"Jun"))</f>
        <v/>
      </c>
    </row>
    <row r="32">
      <c r="B32" s="33">
        <f>IF(Projetos!$A19="","",Projetos!$A19)</f>
        <v/>
      </c>
      <c r="C32" s="34">
        <f>IF($B32="","",SUMIFS(Ambientes!$C:$C,Ambientes!$A:$A,$B32,Ambientes!$D:$D,"Jun"))</f>
        <v/>
      </c>
      <c r="D32" s="34">
        <f>IF($B32="","",SUMIFS(Ambientes!$C:$C,Ambientes!$A:$A,$B32,Ambientes!$E:$E,"Jun"))</f>
        <v/>
      </c>
      <c r="E32" s="34">
        <f>IF($B32="","",SUMIFS(Ambientes!$H:$H,Ambientes!$A:$A,$B32,Ambientes!$D:$D,"Jun"))</f>
        <v/>
      </c>
      <c r="F32" s="34">
        <f>IF($B32="","",SUMIFS(Faturamento!$C:$C,Faturamento!$A:$A,$B32,Faturamento!$D:$D,"Jun"))</f>
        <v/>
      </c>
      <c r="G32" s="34">
        <f>IF($B32="","",SUMIFS(Projetos!$B:$B,Projetos!$A:$A,$B32,Projetos!$C:$C,"Jun"))</f>
        <v/>
      </c>
    </row>
    <row r="33">
      <c r="B33" s="31">
        <f>IF(Projetos!$A20="","",Projetos!$A20)</f>
        <v/>
      </c>
      <c r="C33" s="32">
        <f>IF($B33="","",SUMIFS(Ambientes!$C:$C,Ambientes!$A:$A,$B33,Ambientes!$D:$D,"Jun"))</f>
        <v/>
      </c>
      <c r="D33" s="32">
        <f>IF($B33="","",SUMIFS(Ambientes!$C:$C,Ambientes!$A:$A,$B33,Ambientes!$E:$E,"Jun"))</f>
        <v/>
      </c>
      <c r="E33" s="32">
        <f>IF($B33="","",SUMIFS(Ambientes!$H:$H,Ambientes!$A:$A,$B33,Ambientes!$D:$D,"Jun"))</f>
        <v/>
      </c>
      <c r="F33" s="32">
        <f>IF($B33="","",SUMIFS(Faturamento!$C:$C,Faturamento!$A:$A,$B33,Faturamento!$D:$D,"Jun"))</f>
        <v/>
      </c>
      <c r="G33" s="32">
        <f>IF($B33="","",SUMIFS(Projetos!$B:$B,Projetos!$A:$A,$B33,Projetos!$C:$C,"Jun"))</f>
        <v/>
      </c>
    </row>
    <row r="34">
      <c r="B34" s="33">
        <f>IF(Projetos!$A21="","",Projetos!$A21)</f>
        <v/>
      </c>
      <c r="C34" s="34">
        <f>IF($B34="","",SUMIFS(Ambientes!$C:$C,Ambientes!$A:$A,$B34,Ambientes!$D:$D,"Jun"))</f>
        <v/>
      </c>
      <c r="D34" s="34">
        <f>IF($B34="","",SUMIFS(Ambientes!$C:$C,Ambientes!$A:$A,$B34,Ambientes!$E:$E,"Jun"))</f>
        <v/>
      </c>
      <c r="E34" s="34">
        <f>IF($B34="","",SUMIFS(Ambientes!$H:$H,Ambientes!$A:$A,$B34,Ambientes!$D:$D,"Jun"))</f>
        <v/>
      </c>
      <c r="F34" s="34">
        <f>IF($B34="","",SUMIFS(Faturamento!$C:$C,Faturamento!$A:$A,$B34,Faturamento!$D:$D,"Jun"))</f>
        <v/>
      </c>
      <c r="G34" s="34">
        <f>IF($B34="","",SUMIFS(Projetos!$B:$B,Projetos!$A:$A,$B34,Projetos!$C:$C,"Jun"))</f>
        <v/>
      </c>
    </row>
    <row r="35">
      <c r="B35" s="31">
        <f>IF(Projetos!$A22="","",Projetos!$A22)</f>
        <v/>
      </c>
      <c r="C35" s="32">
        <f>IF($B35="","",SUMIFS(Ambientes!$C:$C,Ambientes!$A:$A,$B35,Ambientes!$D:$D,"Jun"))</f>
        <v/>
      </c>
      <c r="D35" s="32">
        <f>IF($B35="","",SUMIFS(Ambientes!$C:$C,Ambientes!$A:$A,$B35,Ambientes!$E:$E,"Jun"))</f>
        <v/>
      </c>
      <c r="E35" s="32">
        <f>IF($B35="","",SUMIFS(Ambientes!$H:$H,Ambientes!$A:$A,$B35,Ambientes!$D:$D,"Jun"))</f>
        <v/>
      </c>
      <c r="F35" s="32">
        <f>IF($B35="","",SUMIFS(Faturamento!$C:$C,Faturamento!$A:$A,$B35,Faturamento!$D:$D,"Jun"))</f>
        <v/>
      </c>
      <c r="G35" s="32">
        <f>IF($B35="","",SUMIFS(Projetos!$B:$B,Projetos!$A:$A,$B35,Projetos!$C:$C,"Jun"))</f>
        <v/>
      </c>
    </row>
    <row r="36">
      <c r="B36" s="33">
        <f>IF(Projetos!$A23="","",Projetos!$A23)</f>
        <v/>
      </c>
      <c r="C36" s="34">
        <f>IF($B36="","",SUMIFS(Ambientes!$C:$C,Ambientes!$A:$A,$B36,Ambientes!$D:$D,"Jun"))</f>
        <v/>
      </c>
      <c r="D36" s="34">
        <f>IF($B36="","",SUMIFS(Ambientes!$C:$C,Ambientes!$A:$A,$B36,Ambientes!$E:$E,"Jun"))</f>
        <v/>
      </c>
      <c r="E36" s="34">
        <f>IF($B36="","",SUMIFS(Ambientes!$H:$H,Ambientes!$A:$A,$B36,Ambientes!$D:$D,"Jun"))</f>
        <v/>
      </c>
      <c r="F36" s="34">
        <f>IF($B36="","",SUMIFS(Faturamento!$C:$C,Faturamento!$A:$A,$B36,Faturamento!$D:$D,"Jun"))</f>
        <v/>
      </c>
      <c r="G36" s="34">
        <f>IF($B36="","",SUMIFS(Projetos!$B:$B,Projetos!$A:$A,$B36,Projetos!$C:$C,"Jun"))</f>
        <v/>
      </c>
    </row>
    <row r="37">
      <c r="B37" s="31">
        <f>IF(Projetos!$A24="","",Projetos!$A24)</f>
        <v/>
      </c>
      <c r="C37" s="32">
        <f>IF($B37="","",SUMIFS(Ambientes!$C:$C,Ambientes!$A:$A,$B37,Ambientes!$D:$D,"Jun"))</f>
        <v/>
      </c>
      <c r="D37" s="32">
        <f>IF($B37="","",SUMIFS(Ambientes!$C:$C,Ambientes!$A:$A,$B37,Ambientes!$E:$E,"Jun"))</f>
        <v/>
      </c>
      <c r="E37" s="32">
        <f>IF($B37="","",SUMIFS(Ambientes!$H:$H,Ambientes!$A:$A,$B37,Ambientes!$D:$D,"Jun"))</f>
        <v/>
      </c>
      <c r="F37" s="32">
        <f>IF($B37="","",SUMIFS(Faturamento!$C:$C,Faturamento!$A:$A,$B37,Faturamento!$D:$D,"Jun"))</f>
        <v/>
      </c>
      <c r="G37" s="32">
        <f>IF($B37="","",SUMIFS(Projetos!$B:$B,Projetos!$A:$A,$B37,Projetos!$C:$C,"Jun"))</f>
        <v/>
      </c>
    </row>
    <row r="38">
      <c r="B38" s="33">
        <f>IF(Projetos!$A25="","",Projetos!$A25)</f>
        <v/>
      </c>
      <c r="C38" s="34">
        <f>IF($B38="","",SUMIFS(Ambientes!$C:$C,Ambientes!$A:$A,$B38,Ambientes!$D:$D,"Jun"))</f>
        <v/>
      </c>
      <c r="D38" s="34">
        <f>IF($B38="","",SUMIFS(Ambientes!$C:$C,Ambientes!$A:$A,$B38,Ambientes!$E:$E,"Jun"))</f>
        <v/>
      </c>
      <c r="E38" s="34">
        <f>IF($B38="","",SUMIFS(Ambientes!$H:$H,Ambientes!$A:$A,$B38,Ambientes!$D:$D,"Jun"))</f>
        <v/>
      </c>
      <c r="F38" s="34">
        <f>IF($B38="","",SUMIFS(Faturamento!$C:$C,Faturamento!$A:$A,$B38,Faturamento!$D:$D,"Jun"))</f>
        <v/>
      </c>
      <c r="G38" s="34">
        <f>IF($B38="","",SUMIFS(Projetos!$B:$B,Projetos!$A:$A,$B38,Projetos!$C:$C,"Jun"))</f>
        <v/>
      </c>
    </row>
    <row r="39">
      <c r="B39" s="31">
        <f>IF(Projetos!$A26="","",Projetos!$A26)</f>
        <v/>
      </c>
      <c r="C39" s="32">
        <f>IF($B39="","",SUMIFS(Ambientes!$C:$C,Ambientes!$A:$A,$B39,Ambientes!$D:$D,"Jun"))</f>
        <v/>
      </c>
      <c r="D39" s="32">
        <f>IF($B39="","",SUMIFS(Ambientes!$C:$C,Ambientes!$A:$A,$B39,Ambientes!$E:$E,"Jun"))</f>
        <v/>
      </c>
      <c r="E39" s="32">
        <f>IF($B39="","",SUMIFS(Ambientes!$H:$H,Ambientes!$A:$A,$B39,Ambientes!$D:$D,"Jun"))</f>
        <v/>
      </c>
      <c r="F39" s="32">
        <f>IF($B39="","",SUMIFS(Faturamento!$C:$C,Faturamento!$A:$A,$B39,Faturamento!$D:$D,"Jun"))</f>
        <v/>
      </c>
      <c r="G39" s="32">
        <f>IF($B39="","",SUMIFS(Projetos!$B:$B,Projetos!$A:$A,$B39,Projetos!$C:$C,"Jun"))</f>
        <v/>
      </c>
    </row>
    <row r="40">
      <c r="B40" s="33">
        <f>IF(Projetos!$A27="","",Projetos!$A27)</f>
        <v/>
      </c>
      <c r="C40" s="34">
        <f>IF($B40="","",SUMIFS(Ambientes!$C:$C,Ambientes!$A:$A,$B40,Ambientes!$D:$D,"Jun"))</f>
        <v/>
      </c>
      <c r="D40" s="34">
        <f>IF($B40="","",SUMIFS(Ambientes!$C:$C,Ambientes!$A:$A,$B40,Ambientes!$E:$E,"Jun"))</f>
        <v/>
      </c>
      <c r="E40" s="34">
        <f>IF($B40="","",SUMIFS(Ambientes!$H:$H,Ambientes!$A:$A,$B40,Ambientes!$D:$D,"Jun"))</f>
        <v/>
      </c>
      <c r="F40" s="34">
        <f>IF($B40="","",SUMIFS(Faturamento!$C:$C,Faturamento!$A:$A,$B40,Faturamento!$D:$D,"Jun"))</f>
        <v/>
      </c>
      <c r="G40" s="34">
        <f>IF($B40="","",SUMIFS(Projetos!$B:$B,Projetos!$A:$A,$B40,Projetos!$C:$C,"Jun"))</f>
        <v/>
      </c>
    </row>
    <row r="41">
      <c r="B41" s="31">
        <f>IF(Projetos!$A28="","",Projetos!$A28)</f>
        <v/>
      </c>
      <c r="C41" s="32">
        <f>IF($B41="","",SUMIFS(Ambientes!$C:$C,Ambientes!$A:$A,$B41,Ambientes!$D:$D,"Jun"))</f>
        <v/>
      </c>
      <c r="D41" s="32">
        <f>IF($B41="","",SUMIFS(Ambientes!$C:$C,Ambientes!$A:$A,$B41,Ambientes!$E:$E,"Jun"))</f>
        <v/>
      </c>
      <c r="E41" s="32">
        <f>IF($B41="","",SUMIFS(Ambientes!$H:$H,Ambientes!$A:$A,$B41,Ambientes!$D:$D,"Jun"))</f>
        <v/>
      </c>
      <c r="F41" s="32">
        <f>IF($B41="","",SUMIFS(Faturamento!$C:$C,Faturamento!$A:$A,$B41,Faturamento!$D:$D,"Jun"))</f>
        <v/>
      </c>
      <c r="G41" s="32">
        <f>IF($B41="","",SUMIFS(Projetos!$B:$B,Projetos!$A:$A,$B41,Projetos!$C:$C,"Jun"))</f>
        <v/>
      </c>
    </row>
    <row r="42">
      <c r="B42" s="33">
        <f>IF(Projetos!$A29="","",Projetos!$A29)</f>
        <v/>
      </c>
      <c r="C42" s="34">
        <f>IF($B42="","",SUMIFS(Ambientes!$C:$C,Ambientes!$A:$A,$B42,Ambientes!$D:$D,"Jun"))</f>
        <v/>
      </c>
      <c r="D42" s="34">
        <f>IF($B42="","",SUMIFS(Ambientes!$C:$C,Ambientes!$A:$A,$B42,Ambientes!$E:$E,"Jun"))</f>
        <v/>
      </c>
      <c r="E42" s="34">
        <f>IF($B42="","",SUMIFS(Ambientes!$H:$H,Ambientes!$A:$A,$B42,Ambientes!$D:$D,"Jun"))</f>
        <v/>
      </c>
      <c r="F42" s="34">
        <f>IF($B42="","",SUMIFS(Faturamento!$C:$C,Faturamento!$A:$A,$B42,Faturamento!$D:$D,"Jun"))</f>
        <v/>
      </c>
      <c r="G42" s="34">
        <f>IF($B42="","",SUMIFS(Projetos!$B:$B,Projetos!$A:$A,$B42,Projetos!$C:$C,"Jun"))</f>
        <v/>
      </c>
    </row>
    <row r="43">
      <c r="B43" s="31">
        <f>IF(Projetos!$A30="","",Projetos!$A30)</f>
        <v/>
      </c>
      <c r="C43" s="32">
        <f>IF($B43="","",SUMIFS(Ambientes!$C:$C,Ambientes!$A:$A,$B43,Ambientes!$D:$D,"Jun"))</f>
        <v/>
      </c>
      <c r="D43" s="32">
        <f>IF($B43="","",SUMIFS(Ambientes!$C:$C,Ambientes!$A:$A,$B43,Ambientes!$E:$E,"Jun"))</f>
        <v/>
      </c>
      <c r="E43" s="32">
        <f>IF($B43="","",SUMIFS(Ambientes!$H:$H,Ambientes!$A:$A,$B43,Ambientes!$D:$D,"Jun"))</f>
        <v/>
      </c>
      <c r="F43" s="32">
        <f>IF($B43="","",SUMIFS(Faturamento!$C:$C,Faturamento!$A:$A,$B43,Faturamento!$D:$D,"Jun"))</f>
        <v/>
      </c>
      <c r="G43" s="32">
        <f>IF($B43="","",SUMIFS(Projetos!$B:$B,Projetos!$A:$A,$B43,Projetos!$C:$C,"Jun"))</f>
        <v/>
      </c>
    </row>
    <row r="44">
      <c r="B44" s="33">
        <f>IF(Projetos!$A31="","",Projetos!$A31)</f>
        <v/>
      </c>
      <c r="C44" s="34">
        <f>IF($B44="","",SUMIFS(Ambientes!$C:$C,Ambientes!$A:$A,$B44,Ambientes!$D:$D,"Jun"))</f>
        <v/>
      </c>
      <c r="D44" s="34">
        <f>IF($B44="","",SUMIFS(Ambientes!$C:$C,Ambientes!$A:$A,$B44,Ambientes!$E:$E,"Jun"))</f>
        <v/>
      </c>
      <c r="E44" s="34">
        <f>IF($B44="","",SUMIFS(Ambientes!$H:$H,Ambientes!$A:$A,$B44,Ambientes!$D:$D,"Jun"))</f>
        <v/>
      </c>
      <c r="F44" s="34">
        <f>IF($B44="","",SUMIFS(Faturamento!$C:$C,Faturamento!$A:$A,$B44,Faturamento!$D:$D,"Jun"))</f>
        <v/>
      </c>
      <c r="G44" s="34">
        <f>IF($B44="","",SUMIFS(Projetos!$B:$B,Projetos!$A:$A,$B44,Projetos!$C:$C,"Jun"))</f>
        <v/>
      </c>
    </row>
    <row r="45">
      <c r="B45" s="31">
        <f>IF(Projetos!$A32="","",Projetos!$A32)</f>
        <v/>
      </c>
      <c r="C45" s="32">
        <f>IF($B45="","",SUMIFS(Ambientes!$C:$C,Ambientes!$A:$A,$B45,Ambientes!$D:$D,"Jun"))</f>
        <v/>
      </c>
      <c r="D45" s="32">
        <f>IF($B45="","",SUMIFS(Ambientes!$C:$C,Ambientes!$A:$A,$B45,Ambientes!$E:$E,"Jun"))</f>
        <v/>
      </c>
      <c r="E45" s="32">
        <f>IF($B45="","",SUMIFS(Ambientes!$H:$H,Ambientes!$A:$A,$B45,Ambientes!$D:$D,"Jun"))</f>
        <v/>
      </c>
      <c r="F45" s="32">
        <f>IF($B45="","",SUMIFS(Faturamento!$C:$C,Faturamento!$A:$A,$B45,Faturamento!$D:$D,"Jun"))</f>
        <v/>
      </c>
      <c r="G45" s="32">
        <f>IF($B45="","",SUMIFS(Projetos!$B:$B,Projetos!$A:$A,$B45,Projetos!$C:$C,"Jun"))</f>
        <v/>
      </c>
    </row>
    <row r="46">
      <c r="B46" s="33">
        <f>IF(Projetos!$A33="","",Projetos!$A33)</f>
        <v/>
      </c>
      <c r="C46" s="34">
        <f>IF($B46="","",SUMIFS(Ambientes!$C:$C,Ambientes!$A:$A,$B46,Ambientes!$D:$D,"Jun"))</f>
        <v/>
      </c>
      <c r="D46" s="34">
        <f>IF($B46="","",SUMIFS(Ambientes!$C:$C,Ambientes!$A:$A,$B46,Ambientes!$E:$E,"Jun"))</f>
        <v/>
      </c>
      <c r="E46" s="34">
        <f>IF($B46="","",SUMIFS(Ambientes!$H:$H,Ambientes!$A:$A,$B46,Ambientes!$D:$D,"Jun"))</f>
        <v/>
      </c>
      <c r="F46" s="34">
        <f>IF($B46="","",SUMIFS(Faturamento!$C:$C,Faturamento!$A:$A,$B46,Faturamento!$D:$D,"Jun"))</f>
        <v/>
      </c>
      <c r="G46" s="34">
        <f>IF($B46="","",SUMIFS(Projetos!$B:$B,Projetos!$A:$A,$B46,Projetos!$C:$C,"Jun"))</f>
        <v/>
      </c>
    </row>
    <row r="47">
      <c r="B47" s="31">
        <f>IF(Projetos!$A34="","",Projetos!$A34)</f>
        <v/>
      </c>
      <c r="C47" s="32">
        <f>IF($B47="","",SUMIFS(Ambientes!$C:$C,Ambientes!$A:$A,$B47,Ambientes!$D:$D,"Jun"))</f>
        <v/>
      </c>
      <c r="D47" s="32">
        <f>IF($B47="","",SUMIFS(Ambientes!$C:$C,Ambientes!$A:$A,$B47,Ambientes!$E:$E,"Jun"))</f>
        <v/>
      </c>
      <c r="E47" s="32">
        <f>IF($B47="","",SUMIFS(Ambientes!$H:$H,Ambientes!$A:$A,$B47,Ambientes!$D:$D,"Jun"))</f>
        <v/>
      </c>
      <c r="F47" s="32">
        <f>IF($B47="","",SUMIFS(Faturamento!$C:$C,Faturamento!$A:$A,$B47,Faturamento!$D:$D,"Jun"))</f>
        <v/>
      </c>
      <c r="G47" s="32">
        <f>IF($B47="","",SUMIFS(Projetos!$B:$B,Projetos!$A:$A,$B47,Projetos!$C:$C,"Jun"))</f>
        <v/>
      </c>
    </row>
    <row r="48">
      <c r="B48" s="33">
        <f>IF(Projetos!$A35="","",Projetos!$A35)</f>
        <v/>
      </c>
      <c r="C48" s="34">
        <f>IF($B48="","",SUMIFS(Ambientes!$C:$C,Ambientes!$A:$A,$B48,Ambientes!$D:$D,"Jun"))</f>
        <v/>
      </c>
      <c r="D48" s="34">
        <f>IF($B48="","",SUMIFS(Ambientes!$C:$C,Ambientes!$A:$A,$B48,Ambientes!$E:$E,"Jun"))</f>
        <v/>
      </c>
      <c r="E48" s="34">
        <f>IF($B48="","",SUMIFS(Ambientes!$H:$H,Ambientes!$A:$A,$B48,Ambientes!$D:$D,"Jun"))</f>
        <v/>
      </c>
      <c r="F48" s="34">
        <f>IF($B48="","",SUMIFS(Faturamento!$C:$C,Faturamento!$A:$A,$B48,Faturamento!$D:$D,"Jun"))</f>
        <v/>
      </c>
      <c r="G48" s="34">
        <f>IF($B48="","",SUMIFS(Projetos!$B:$B,Projetos!$A:$A,$B48,Projetos!$C:$C,"Jun"))</f>
        <v/>
      </c>
    </row>
    <row r="49">
      <c r="B49" s="31">
        <f>IF(Projetos!$A36="","",Projetos!$A36)</f>
        <v/>
      </c>
      <c r="C49" s="32">
        <f>IF($B49="","",SUMIFS(Ambientes!$C:$C,Ambientes!$A:$A,$B49,Ambientes!$D:$D,"Jun"))</f>
        <v/>
      </c>
      <c r="D49" s="32">
        <f>IF($B49="","",SUMIFS(Ambientes!$C:$C,Ambientes!$A:$A,$B49,Ambientes!$E:$E,"Jun"))</f>
        <v/>
      </c>
      <c r="E49" s="32">
        <f>IF($B49="","",SUMIFS(Ambientes!$H:$H,Ambientes!$A:$A,$B49,Ambientes!$D:$D,"Jun"))</f>
        <v/>
      </c>
      <c r="F49" s="32">
        <f>IF($B49="","",SUMIFS(Faturamento!$C:$C,Faturamento!$A:$A,$B49,Faturamento!$D:$D,"Jun"))</f>
        <v/>
      </c>
      <c r="G49" s="32">
        <f>IF($B49="","",SUMIFS(Projetos!$B:$B,Projetos!$A:$A,$B49,Projetos!$C:$C,"Jun"))</f>
        <v/>
      </c>
    </row>
    <row r="50">
      <c r="B50" s="33">
        <f>IF(Projetos!$A37="","",Projetos!$A37)</f>
        <v/>
      </c>
      <c r="C50" s="34">
        <f>IF($B50="","",SUMIFS(Ambientes!$C:$C,Ambientes!$A:$A,$B50,Ambientes!$D:$D,"Jun"))</f>
        <v/>
      </c>
      <c r="D50" s="34">
        <f>IF($B50="","",SUMIFS(Ambientes!$C:$C,Ambientes!$A:$A,$B50,Ambientes!$E:$E,"Jun"))</f>
        <v/>
      </c>
      <c r="E50" s="34">
        <f>IF($B50="","",SUMIFS(Ambientes!$H:$H,Ambientes!$A:$A,$B50,Ambientes!$D:$D,"Jun"))</f>
        <v/>
      </c>
      <c r="F50" s="34">
        <f>IF($B50="","",SUMIFS(Faturamento!$C:$C,Faturamento!$A:$A,$B50,Faturamento!$D:$D,"Jun"))</f>
        <v/>
      </c>
      <c r="G50" s="34">
        <f>IF($B50="","",SUMIFS(Projetos!$B:$B,Projetos!$A:$A,$B50,Projetos!$C:$C,"Jun"))</f>
        <v/>
      </c>
    </row>
    <row r="51">
      <c r="B51" s="31">
        <f>IF(Projetos!$A38="","",Projetos!$A38)</f>
        <v/>
      </c>
      <c r="C51" s="32">
        <f>IF($B51="","",SUMIFS(Ambientes!$C:$C,Ambientes!$A:$A,$B51,Ambientes!$D:$D,"Jun"))</f>
        <v/>
      </c>
      <c r="D51" s="32">
        <f>IF($B51="","",SUMIFS(Ambientes!$C:$C,Ambientes!$A:$A,$B51,Ambientes!$E:$E,"Jun"))</f>
        <v/>
      </c>
      <c r="E51" s="32">
        <f>IF($B51="","",SUMIFS(Ambientes!$H:$H,Ambientes!$A:$A,$B51,Ambientes!$D:$D,"Jun"))</f>
        <v/>
      </c>
      <c r="F51" s="32">
        <f>IF($B51="","",SUMIFS(Faturamento!$C:$C,Faturamento!$A:$A,$B51,Faturamento!$D:$D,"Jun"))</f>
        <v/>
      </c>
      <c r="G51" s="32">
        <f>IF($B51="","",SUMIFS(Projetos!$B:$B,Projetos!$A:$A,$B51,Projetos!$C:$C,"Jun"))</f>
        <v/>
      </c>
    </row>
    <row r="52">
      <c r="B52" s="33">
        <f>IF(Projetos!$A39="","",Projetos!$A39)</f>
        <v/>
      </c>
      <c r="C52" s="34">
        <f>IF($B52="","",SUMIFS(Ambientes!$C:$C,Ambientes!$A:$A,$B52,Ambientes!$D:$D,"Jun"))</f>
        <v/>
      </c>
      <c r="D52" s="34">
        <f>IF($B52="","",SUMIFS(Ambientes!$C:$C,Ambientes!$A:$A,$B52,Ambientes!$E:$E,"Jun"))</f>
        <v/>
      </c>
      <c r="E52" s="34">
        <f>IF($B52="","",SUMIFS(Ambientes!$H:$H,Ambientes!$A:$A,$B52,Ambientes!$D:$D,"Jun"))</f>
        <v/>
      </c>
      <c r="F52" s="34">
        <f>IF($B52="","",SUMIFS(Faturamento!$C:$C,Faturamento!$A:$A,$B52,Faturamento!$D:$D,"Jun"))</f>
        <v/>
      </c>
      <c r="G52" s="34">
        <f>IF($B52="","",SUMIFS(Projetos!$B:$B,Projetos!$A:$A,$B52,Projetos!$C:$C,"Jun"))</f>
        <v/>
      </c>
    </row>
    <row r="53">
      <c r="B53" s="31">
        <f>IF(Projetos!$A40="","",Projetos!$A40)</f>
        <v/>
      </c>
      <c r="C53" s="32">
        <f>IF($B53="","",SUMIFS(Ambientes!$C:$C,Ambientes!$A:$A,$B53,Ambientes!$D:$D,"Jun"))</f>
        <v/>
      </c>
      <c r="D53" s="32">
        <f>IF($B53="","",SUMIFS(Ambientes!$C:$C,Ambientes!$A:$A,$B53,Ambientes!$E:$E,"Jun"))</f>
        <v/>
      </c>
      <c r="E53" s="32">
        <f>IF($B53="","",SUMIFS(Ambientes!$H:$H,Ambientes!$A:$A,$B53,Ambientes!$D:$D,"Jun"))</f>
        <v/>
      </c>
      <c r="F53" s="32">
        <f>IF($B53="","",SUMIFS(Faturamento!$C:$C,Faturamento!$A:$A,$B53,Faturamento!$D:$D,"Jun"))</f>
        <v/>
      </c>
      <c r="G53" s="32">
        <f>IF($B53="","",SUMIFS(Projetos!$B:$B,Projetos!$A:$A,$B53,Projetos!$C:$C,"Jun"))</f>
        <v/>
      </c>
    </row>
    <row r="54">
      <c r="B54" s="33">
        <f>IF(Projetos!$A41="","",Projetos!$A41)</f>
        <v/>
      </c>
      <c r="C54" s="34">
        <f>IF($B54="","",SUMIFS(Ambientes!$C:$C,Ambientes!$A:$A,$B54,Ambientes!$D:$D,"Jun"))</f>
        <v/>
      </c>
      <c r="D54" s="34">
        <f>IF($B54="","",SUMIFS(Ambientes!$C:$C,Ambientes!$A:$A,$B54,Ambientes!$E:$E,"Jun"))</f>
        <v/>
      </c>
      <c r="E54" s="34">
        <f>IF($B54="","",SUMIFS(Ambientes!$H:$H,Ambientes!$A:$A,$B54,Ambientes!$D:$D,"Jun"))</f>
        <v/>
      </c>
      <c r="F54" s="34">
        <f>IF($B54="","",SUMIFS(Faturamento!$C:$C,Faturamento!$A:$A,$B54,Faturamento!$D:$D,"Jun"))</f>
        <v/>
      </c>
      <c r="G54" s="34">
        <f>IF($B54="","",SUMIFS(Projetos!$B:$B,Projetos!$A:$A,$B54,Projetos!$C:$C,"Jun"))</f>
        <v/>
      </c>
    </row>
    <row r="55">
      <c r="B55" s="31">
        <f>IF(Projetos!$A42="","",Projetos!$A42)</f>
        <v/>
      </c>
      <c r="C55" s="32">
        <f>IF($B55="","",SUMIFS(Ambientes!$C:$C,Ambientes!$A:$A,$B55,Ambientes!$D:$D,"Jun"))</f>
        <v/>
      </c>
      <c r="D55" s="32">
        <f>IF($B55="","",SUMIFS(Ambientes!$C:$C,Ambientes!$A:$A,$B55,Ambientes!$E:$E,"Jun"))</f>
        <v/>
      </c>
      <c r="E55" s="32">
        <f>IF($B55="","",SUMIFS(Ambientes!$H:$H,Ambientes!$A:$A,$B55,Ambientes!$D:$D,"Jun"))</f>
        <v/>
      </c>
      <c r="F55" s="32">
        <f>IF($B55="","",SUMIFS(Faturamento!$C:$C,Faturamento!$A:$A,$B55,Faturamento!$D:$D,"Jun"))</f>
        <v/>
      </c>
      <c r="G55" s="32">
        <f>IF($B55="","",SUMIFS(Projetos!$B:$B,Projetos!$A:$A,$B55,Projetos!$C:$C,"Jun"))</f>
        <v/>
      </c>
    </row>
    <row r="56">
      <c r="B56" s="33">
        <f>IF(Projetos!$A43="","",Projetos!$A43)</f>
        <v/>
      </c>
      <c r="C56" s="34">
        <f>IF($B56="","",SUMIFS(Ambientes!$C:$C,Ambientes!$A:$A,$B56,Ambientes!$D:$D,"Jun"))</f>
        <v/>
      </c>
      <c r="D56" s="34">
        <f>IF($B56="","",SUMIFS(Ambientes!$C:$C,Ambientes!$A:$A,$B56,Ambientes!$E:$E,"Jun"))</f>
        <v/>
      </c>
      <c r="E56" s="34">
        <f>IF($B56="","",SUMIFS(Ambientes!$H:$H,Ambientes!$A:$A,$B56,Ambientes!$D:$D,"Jun"))</f>
        <v/>
      </c>
      <c r="F56" s="34">
        <f>IF($B56="","",SUMIFS(Faturamento!$C:$C,Faturamento!$A:$A,$B56,Faturamento!$D:$D,"Jun"))</f>
        <v/>
      </c>
      <c r="G56" s="34">
        <f>IF($B56="","",SUMIFS(Projetos!$B:$B,Projetos!$A:$A,$B56,Projetos!$C:$C,"Jun"))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JULHO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Fixo'!$A:$A,"Jul",'Custo Fixo'!$E:$E)</f>
        <v/>
      </c>
      <c r="C6" s="19">
        <f>SUMIF(Projetos!$C:$C,"Jul",Projetos!$B:$B)</f>
        <v/>
      </c>
      <c r="D6" s="20">
        <f>SUMIF(Ambientes!$D:$D,"Jul",Ambientes!$H:$H)</f>
        <v/>
      </c>
      <c r="E6" s="19">
        <f>SUMIF(Ambientes!$D:$D,"Jul",Ambientes!$C:$C)</f>
        <v/>
      </c>
      <c r="F6" s="19">
        <f>SUMIF(Ambientes!$E:$E,"Jul",Ambientes!$C:$C)</f>
        <v/>
      </c>
      <c r="G6" s="19">
        <f>SUMIF(Faturamento!$D:$D,"Jul",Faturamento!$C:$C)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SUMIF(Compras!$E:$E,"Jul",Compras!$D:$D)</f>
        <v/>
      </c>
      <c r="C12" s="27">
        <f>SUMIFS(Compras!$D:$D,Compras!$H:$H,"&lt;=7",Compras!$A:$A,"&lt;&gt;")-SUMIF(Ambientes!$J:$J,"&lt;=7",Ambientes!$H:$H)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SUMIF(Projetos!$H:$H,"&lt;=7",Projetos!$B:$B)-SUMIF(Ambientes!$J:$J,"&lt;=7",Ambientes!$C:$C)</f>
        <v/>
      </c>
    </row>
    <row r="13" ht="26" customHeight="1">
      <c r="B13" s="30">
        <f>=IF(SUMIF(Compras!$E:$E,"Jul",Compras!$D:$D)-SUMIFS(Compras!$D:$D,Compras!$E:$E,"Jul",Compras!$A:$A,"&lt;&gt;")=0,"tudo vinculado a projeto","dos quais "&amp;TEXT(SUMIF(Compras!$E:$E,"Jul",Compras!$D:$D)-SUMIFS(Compras!$D:$D,Compras!$E:$E,"Jul",Compras!$A:$A,"&lt;&gt;"),"R$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IF($B17="","",SUMIFS(Ambientes!$C:$C,Ambientes!$A:$A,$B17,Ambientes!$D:$D,"Jul"))</f>
        <v/>
      </c>
      <c r="D17" s="32">
        <f>IF($B17="","",SUMIFS(Ambientes!$C:$C,Ambientes!$A:$A,$B17,Ambientes!$E:$E,"Jul"))</f>
        <v/>
      </c>
      <c r="E17" s="32">
        <f>IF($B17="","",SUMIFS(Ambientes!$H:$H,Ambientes!$A:$A,$B17,Ambientes!$D:$D,"Jul"))</f>
        <v/>
      </c>
      <c r="F17" s="32">
        <f>IF($B17="","",SUMIFS(Faturamento!$C:$C,Faturamento!$A:$A,$B17,Faturamento!$D:$D,"Jul"))</f>
        <v/>
      </c>
      <c r="G17" s="32">
        <f>IF($B17="","",SUMIFS(Projetos!$B:$B,Projetos!$A:$A,$B17,Projetos!$C:$C,"Jul"))</f>
        <v/>
      </c>
    </row>
    <row r="18">
      <c r="B18" s="33">
        <f>IF(Projetos!$A5="","",Projetos!$A5)</f>
        <v/>
      </c>
      <c r="C18" s="34">
        <f>IF($B18="","",SUMIFS(Ambientes!$C:$C,Ambientes!$A:$A,$B18,Ambientes!$D:$D,"Jul"))</f>
        <v/>
      </c>
      <c r="D18" s="34">
        <f>IF($B18="","",SUMIFS(Ambientes!$C:$C,Ambientes!$A:$A,$B18,Ambientes!$E:$E,"Jul"))</f>
        <v/>
      </c>
      <c r="E18" s="34">
        <f>IF($B18="","",SUMIFS(Ambientes!$H:$H,Ambientes!$A:$A,$B18,Ambientes!$D:$D,"Jul"))</f>
        <v/>
      </c>
      <c r="F18" s="34">
        <f>IF($B18="","",SUMIFS(Faturamento!$C:$C,Faturamento!$A:$A,$B18,Faturamento!$D:$D,"Jul"))</f>
        <v/>
      </c>
      <c r="G18" s="34">
        <f>IF($B18="","",SUMIFS(Projetos!$B:$B,Projetos!$A:$A,$B18,Projetos!$C:$C,"Jul"))</f>
        <v/>
      </c>
    </row>
    <row r="19">
      <c r="B19" s="31">
        <f>IF(Projetos!$A6="","",Projetos!$A6)</f>
        <v/>
      </c>
      <c r="C19" s="32">
        <f>IF($B19="","",SUMIFS(Ambientes!$C:$C,Ambientes!$A:$A,$B19,Ambientes!$D:$D,"Jul"))</f>
        <v/>
      </c>
      <c r="D19" s="32">
        <f>IF($B19="","",SUMIFS(Ambientes!$C:$C,Ambientes!$A:$A,$B19,Ambientes!$E:$E,"Jul"))</f>
        <v/>
      </c>
      <c r="E19" s="32">
        <f>IF($B19="","",SUMIFS(Ambientes!$H:$H,Ambientes!$A:$A,$B19,Ambientes!$D:$D,"Jul"))</f>
        <v/>
      </c>
      <c r="F19" s="32">
        <f>IF($B19="","",SUMIFS(Faturamento!$C:$C,Faturamento!$A:$A,$B19,Faturamento!$D:$D,"Jul"))</f>
        <v/>
      </c>
      <c r="G19" s="32">
        <f>IF($B19="","",SUMIFS(Projetos!$B:$B,Projetos!$A:$A,$B19,Projetos!$C:$C,"Jul"))</f>
        <v/>
      </c>
    </row>
    <row r="20">
      <c r="B20" s="33">
        <f>IF(Projetos!$A7="","",Projetos!$A7)</f>
        <v/>
      </c>
      <c r="C20" s="34">
        <f>IF($B20="","",SUMIFS(Ambientes!$C:$C,Ambientes!$A:$A,$B20,Ambientes!$D:$D,"Jul"))</f>
        <v/>
      </c>
      <c r="D20" s="34">
        <f>IF($B20="","",SUMIFS(Ambientes!$C:$C,Ambientes!$A:$A,$B20,Ambientes!$E:$E,"Jul"))</f>
        <v/>
      </c>
      <c r="E20" s="34">
        <f>IF($B20="","",SUMIFS(Ambientes!$H:$H,Ambientes!$A:$A,$B20,Ambientes!$D:$D,"Jul"))</f>
        <v/>
      </c>
      <c r="F20" s="34">
        <f>IF($B20="","",SUMIFS(Faturamento!$C:$C,Faturamento!$A:$A,$B20,Faturamento!$D:$D,"Jul"))</f>
        <v/>
      </c>
      <c r="G20" s="34">
        <f>IF($B20="","",SUMIFS(Projetos!$B:$B,Projetos!$A:$A,$B20,Projetos!$C:$C,"Jul"))</f>
        <v/>
      </c>
    </row>
    <row r="21">
      <c r="B21" s="31">
        <f>IF(Projetos!$A8="","",Projetos!$A8)</f>
        <v/>
      </c>
      <c r="C21" s="32">
        <f>IF($B21="","",SUMIFS(Ambientes!$C:$C,Ambientes!$A:$A,$B21,Ambientes!$D:$D,"Jul"))</f>
        <v/>
      </c>
      <c r="D21" s="32">
        <f>IF($B21="","",SUMIFS(Ambientes!$C:$C,Ambientes!$A:$A,$B21,Ambientes!$E:$E,"Jul"))</f>
        <v/>
      </c>
      <c r="E21" s="32">
        <f>IF($B21="","",SUMIFS(Ambientes!$H:$H,Ambientes!$A:$A,$B21,Ambientes!$D:$D,"Jul"))</f>
        <v/>
      </c>
      <c r="F21" s="32">
        <f>IF($B21="","",SUMIFS(Faturamento!$C:$C,Faturamento!$A:$A,$B21,Faturamento!$D:$D,"Jul"))</f>
        <v/>
      </c>
      <c r="G21" s="32">
        <f>IF($B21="","",SUMIFS(Projetos!$B:$B,Projetos!$A:$A,$B21,Projetos!$C:$C,"Jul"))</f>
        <v/>
      </c>
    </row>
    <row r="22">
      <c r="B22" s="33">
        <f>IF(Projetos!$A9="","",Projetos!$A9)</f>
        <v/>
      </c>
      <c r="C22" s="34">
        <f>IF($B22="","",SUMIFS(Ambientes!$C:$C,Ambientes!$A:$A,$B22,Ambientes!$D:$D,"Jul"))</f>
        <v/>
      </c>
      <c r="D22" s="34">
        <f>IF($B22="","",SUMIFS(Ambientes!$C:$C,Ambientes!$A:$A,$B22,Ambientes!$E:$E,"Jul"))</f>
        <v/>
      </c>
      <c r="E22" s="34">
        <f>IF($B22="","",SUMIFS(Ambientes!$H:$H,Ambientes!$A:$A,$B22,Ambientes!$D:$D,"Jul"))</f>
        <v/>
      </c>
      <c r="F22" s="34">
        <f>IF($B22="","",SUMIFS(Faturamento!$C:$C,Faturamento!$A:$A,$B22,Faturamento!$D:$D,"Jul"))</f>
        <v/>
      </c>
      <c r="G22" s="34">
        <f>IF($B22="","",SUMIFS(Projetos!$B:$B,Projetos!$A:$A,$B22,Projetos!$C:$C,"Jul"))</f>
        <v/>
      </c>
    </row>
    <row r="23">
      <c r="B23" s="31">
        <f>IF(Projetos!$A10="","",Projetos!$A10)</f>
        <v/>
      </c>
      <c r="C23" s="32">
        <f>IF($B23="","",SUMIFS(Ambientes!$C:$C,Ambientes!$A:$A,$B23,Ambientes!$D:$D,"Jul"))</f>
        <v/>
      </c>
      <c r="D23" s="32">
        <f>IF($B23="","",SUMIFS(Ambientes!$C:$C,Ambientes!$A:$A,$B23,Ambientes!$E:$E,"Jul"))</f>
        <v/>
      </c>
      <c r="E23" s="32">
        <f>IF($B23="","",SUMIFS(Ambientes!$H:$H,Ambientes!$A:$A,$B23,Ambientes!$D:$D,"Jul"))</f>
        <v/>
      </c>
      <c r="F23" s="32">
        <f>IF($B23="","",SUMIFS(Faturamento!$C:$C,Faturamento!$A:$A,$B23,Faturamento!$D:$D,"Jul"))</f>
        <v/>
      </c>
      <c r="G23" s="32">
        <f>IF($B23="","",SUMIFS(Projetos!$B:$B,Projetos!$A:$A,$B23,Projetos!$C:$C,"Jul"))</f>
        <v/>
      </c>
    </row>
    <row r="24">
      <c r="B24" s="33">
        <f>IF(Projetos!$A11="","",Projetos!$A11)</f>
        <v/>
      </c>
      <c r="C24" s="34">
        <f>IF($B24="","",SUMIFS(Ambientes!$C:$C,Ambientes!$A:$A,$B24,Ambientes!$D:$D,"Jul"))</f>
        <v/>
      </c>
      <c r="D24" s="34">
        <f>IF($B24="","",SUMIFS(Ambientes!$C:$C,Ambientes!$A:$A,$B24,Ambientes!$E:$E,"Jul"))</f>
        <v/>
      </c>
      <c r="E24" s="34">
        <f>IF($B24="","",SUMIFS(Ambientes!$H:$H,Ambientes!$A:$A,$B24,Ambientes!$D:$D,"Jul"))</f>
        <v/>
      </c>
      <c r="F24" s="34">
        <f>IF($B24="","",SUMIFS(Faturamento!$C:$C,Faturamento!$A:$A,$B24,Faturamento!$D:$D,"Jul"))</f>
        <v/>
      </c>
      <c r="G24" s="34">
        <f>IF($B24="","",SUMIFS(Projetos!$B:$B,Projetos!$A:$A,$B24,Projetos!$C:$C,"Jul"))</f>
        <v/>
      </c>
    </row>
    <row r="25">
      <c r="B25" s="31">
        <f>IF(Projetos!$A12="","",Projetos!$A12)</f>
        <v/>
      </c>
      <c r="C25" s="32">
        <f>IF($B25="","",SUMIFS(Ambientes!$C:$C,Ambientes!$A:$A,$B25,Ambientes!$D:$D,"Jul"))</f>
        <v/>
      </c>
      <c r="D25" s="32">
        <f>IF($B25="","",SUMIFS(Ambientes!$C:$C,Ambientes!$A:$A,$B25,Ambientes!$E:$E,"Jul"))</f>
        <v/>
      </c>
      <c r="E25" s="32">
        <f>IF($B25="","",SUMIFS(Ambientes!$H:$H,Ambientes!$A:$A,$B25,Ambientes!$D:$D,"Jul"))</f>
        <v/>
      </c>
      <c r="F25" s="32">
        <f>IF($B25="","",SUMIFS(Faturamento!$C:$C,Faturamento!$A:$A,$B25,Faturamento!$D:$D,"Jul"))</f>
        <v/>
      </c>
      <c r="G25" s="32">
        <f>IF($B25="","",SUMIFS(Projetos!$B:$B,Projetos!$A:$A,$B25,Projetos!$C:$C,"Jul"))</f>
        <v/>
      </c>
    </row>
    <row r="26">
      <c r="B26" s="33">
        <f>IF(Projetos!$A13="","",Projetos!$A13)</f>
        <v/>
      </c>
      <c r="C26" s="34">
        <f>IF($B26="","",SUMIFS(Ambientes!$C:$C,Ambientes!$A:$A,$B26,Ambientes!$D:$D,"Jul"))</f>
        <v/>
      </c>
      <c r="D26" s="34">
        <f>IF($B26="","",SUMIFS(Ambientes!$C:$C,Ambientes!$A:$A,$B26,Ambientes!$E:$E,"Jul"))</f>
        <v/>
      </c>
      <c r="E26" s="34">
        <f>IF($B26="","",SUMIFS(Ambientes!$H:$H,Ambientes!$A:$A,$B26,Ambientes!$D:$D,"Jul"))</f>
        <v/>
      </c>
      <c r="F26" s="34">
        <f>IF($B26="","",SUMIFS(Faturamento!$C:$C,Faturamento!$A:$A,$B26,Faturamento!$D:$D,"Jul"))</f>
        <v/>
      </c>
      <c r="G26" s="34">
        <f>IF($B26="","",SUMIFS(Projetos!$B:$B,Projetos!$A:$A,$B26,Projetos!$C:$C,"Jul"))</f>
        <v/>
      </c>
    </row>
    <row r="27">
      <c r="B27" s="31">
        <f>IF(Projetos!$A14="","",Projetos!$A14)</f>
        <v/>
      </c>
      <c r="C27" s="32">
        <f>IF($B27="","",SUMIFS(Ambientes!$C:$C,Ambientes!$A:$A,$B27,Ambientes!$D:$D,"Jul"))</f>
        <v/>
      </c>
      <c r="D27" s="32">
        <f>IF($B27="","",SUMIFS(Ambientes!$C:$C,Ambientes!$A:$A,$B27,Ambientes!$E:$E,"Jul"))</f>
        <v/>
      </c>
      <c r="E27" s="32">
        <f>IF($B27="","",SUMIFS(Ambientes!$H:$H,Ambientes!$A:$A,$B27,Ambientes!$D:$D,"Jul"))</f>
        <v/>
      </c>
      <c r="F27" s="32">
        <f>IF($B27="","",SUMIFS(Faturamento!$C:$C,Faturamento!$A:$A,$B27,Faturamento!$D:$D,"Jul"))</f>
        <v/>
      </c>
      <c r="G27" s="32">
        <f>IF($B27="","",SUMIFS(Projetos!$B:$B,Projetos!$A:$A,$B27,Projetos!$C:$C,"Jul"))</f>
        <v/>
      </c>
    </row>
    <row r="28">
      <c r="B28" s="33">
        <f>IF(Projetos!$A15="","",Projetos!$A15)</f>
        <v/>
      </c>
      <c r="C28" s="34">
        <f>IF($B28="","",SUMIFS(Ambientes!$C:$C,Ambientes!$A:$A,$B28,Ambientes!$D:$D,"Jul"))</f>
        <v/>
      </c>
      <c r="D28" s="34">
        <f>IF($B28="","",SUMIFS(Ambientes!$C:$C,Ambientes!$A:$A,$B28,Ambientes!$E:$E,"Jul"))</f>
        <v/>
      </c>
      <c r="E28" s="34">
        <f>IF($B28="","",SUMIFS(Ambientes!$H:$H,Ambientes!$A:$A,$B28,Ambientes!$D:$D,"Jul"))</f>
        <v/>
      </c>
      <c r="F28" s="34">
        <f>IF($B28="","",SUMIFS(Faturamento!$C:$C,Faturamento!$A:$A,$B28,Faturamento!$D:$D,"Jul"))</f>
        <v/>
      </c>
      <c r="G28" s="34">
        <f>IF($B28="","",SUMIFS(Projetos!$B:$B,Projetos!$A:$A,$B28,Projetos!$C:$C,"Jul"))</f>
        <v/>
      </c>
    </row>
    <row r="29">
      <c r="B29" s="31">
        <f>IF(Projetos!$A16="","",Projetos!$A16)</f>
        <v/>
      </c>
      <c r="C29" s="32">
        <f>IF($B29="","",SUMIFS(Ambientes!$C:$C,Ambientes!$A:$A,$B29,Ambientes!$D:$D,"Jul"))</f>
        <v/>
      </c>
      <c r="D29" s="32">
        <f>IF($B29="","",SUMIFS(Ambientes!$C:$C,Ambientes!$A:$A,$B29,Ambientes!$E:$E,"Jul"))</f>
        <v/>
      </c>
      <c r="E29" s="32">
        <f>IF($B29="","",SUMIFS(Ambientes!$H:$H,Ambientes!$A:$A,$B29,Ambientes!$D:$D,"Jul"))</f>
        <v/>
      </c>
      <c r="F29" s="32">
        <f>IF($B29="","",SUMIFS(Faturamento!$C:$C,Faturamento!$A:$A,$B29,Faturamento!$D:$D,"Jul"))</f>
        <v/>
      </c>
      <c r="G29" s="32">
        <f>IF($B29="","",SUMIFS(Projetos!$B:$B,Projetos!$A:$A,$B29,Projetos!$C:$C,"Jul"))</f>
        <v/>
      </c>
    </row>
    <row r="30">
      <c r="B30" s="33">
        <f>IF(Projetos!$A17="","",Projetos!$A17)</f>
        <v/>
      </c>
      <c r="C30" s="34">
        <f>IF($B30="","",SUMIFS(Ambientes!$C:$C,Ambientes!$A:$A,$B30,Ambientes!$D:$D,"Jul"))</f>
        <v/>
      </c>
      <c r="D30" s="34">
        <f>IF($B30="","",SUMIFS(Ambientes!$C:$C,Ambientes!$A:$A,$B30,Ambientes!$E:$E,"Jul"))</f>
        <v/>
      </c>
      <c r="E30" s="34">
        <f>IF($B30="","",SUMIFS(Ambientes!$H:$H,Ambientes!$A:$A,$B30,Ambientes!$D:$D,"Jul"))</f>
        <v/>
      </c>
      <c r="F30" s="34">
        <f>IF($B30="","",SUMIFS(Faturamento!$C:$C,Faturamento!$A:$A,$B30,Faturamento!$D:$D,"Jul"))</f>
        <v/>
      </c>
      <c r="G30" s="34">
        <f>IF($B30="","",SUMIFS(Projetos!$B:$B,Projetos!$A:$A,$B30,Projetos!$C:$C,"Jul"))</f>
        <v/>
      </c>
    </row>
    <row r="31">
      <c r="B31" s="31">
        <f>IF(Projetos!$A18="","",Projetos!$A18)</f>
        <v/>
      </c>
      <c r="C31" s="32">
        <f>IF($B31="","",SUMIFS(Ambientes!$C:$C,Ambientes!$A:$A,$B31,Ambientes!$D:$D,"Jul"))</f>
        <v/>
      </c>
      <c r="D31" s="32">
        <f>IF($B31="","",SUMIFS(Ambientes!$C:$C,Ambientes!$A:$A,$B31,Ambientes!$E:$E,"Jul"))</f>
        <v/>
      </c>
      <c r="E31" s="32">
        <f>IF($B31="","",SUMIFS(Ambientes!$H:$H,Ambientes!$A:$A,$B31,Ambientes!$D:$D,"Jul"))</f>
        <v/>
      </c>
      <c r="F31" s="32">
        <f>IF($B31="","",SUMIFS(Faturamento!$C:$C,Faturamento!$A:$A,$B31,Faturamento!$D:$D,"Jul"))</f>
        <v/>
      </c>
      <c r="G31" s="32">
        <f>IF($B31="","",SUMIFS(Projetos!$B:$B,Projetos!$A:$A,$B31,Projetos!$C:$C,"Jul"))</f>
        <v/>
      </c>
    </row>
    <row r="32">
      <c r="B32" s="33">
        <f>IF(Projetos!$A19="","",Projetos!$A19)</f>
        <v/>
      </c>
      <c r="C32" s="34">
        <f>IF($B32="","",SUMIFS(Ambientes!$C:$C,Ambientes!$A:$A,$B32,Ambientes!$D:$D,"Jul"))</f>
        <v/>
      </c>
      <c r="D32" s="34">
        <f>IF($B32="","",SUMIFS(Ambientes!$C:$C,Ambientes!$A:$A,$B32,Ambientes!$E:$E,"Jul"))</f>
        <v/>
      </c>
      <c r="E32" s="34">
        <f>IF($B32="","",SUMIFS(Ambientes!$H:$H,Ambientes!$A:$A,$B32,Ambientes!$D:$D,"Jul"))</f>
        <v/>
      </c>
      <c r="F32" s="34">
        <f>IF($B32="","",SUMIFS(Faturamento!$C:$C,Faturamento!$A:$A,$B32,Faturamento!$D:$D,"Jul"))</f>
        <v/>
      </c>
      <c r="G32" s="34">
        <f>IF($B32="","",SUMIFS(Projetos!$B:$B,Projetos!$A:$A,$B32,Projetos!$C:$C,"Jul"))</f>
        <v/>
      </c>
    </row>
    <row r="33">
      <c r="B33" s="31">
        <f>IF(Projetos!$A20="","",Projetos!$A20)</f>
        <v/>
      </c>
      <c r="C33" s="32">
        <f>IF($B33="","",SUMIFS(Ambientes!$C:$C,Ambientes!$A:$A,$B33,Ambientes!$D:$D,"Jul"))</f>
        <v/>
      </c>
      <c r="D33" s="32">
        <f>IF($B33="","",SUMIFS(Ambientes!$C:$C,Ambientes!$A:$A,$B33,Ambientes!$E:$E,"Jul"))</f>
        <v/>
      </c>
      <c r="E33" s="32">
        <f>IF($B33="","",SUMIFS(Ambientes!$H:$H,Ambientes!$A:$A,$B33,Ambientes!$D:$D,"Jul"))</f>
        <v/>
      </c>
      <c r="F33" s="32">
        <f>IF($B33="","",SUMIFS(Faturamento!$C:$C,Faturamento!$A:$A,$B33,Faturamento!$D:$D,"Jul"))</f>
        <v/>
      </c>
      <c r="G33" s="32">
        <f>IF($B33="","",SUMIFS(Projetos!$B:$B,Projetos!$A:$A,$B33,Projetos!$C:$C,"Jul"))</f>
        <v/>
      </c>
    </row>
    <row r="34">
      <c r="B34" s="33">
        <f>IF(Projetos!$A21="","",Projetos!$A21)</f>
        <v/>
      </c>
      <c r="C34" s="34">
        <f>IF($B34="","",SUMIFS(Ambientes!$C:$C,Ambientes!$A:$A,$B34,Ambientes!$D:$D,"Jul"))</f>
        <v/>
      </c>
      <c r="D34" s="34">
        <f>IF($B34="","",SUMIFS(Ambientes!$C:$C,Ambientes!$A:$A,$B34,Ambientes!$E:$E,"Jul"))</f>
        <v/>
      </c>
      <c r="E34" s="34">
        <f>IF($B34="","",SUMIFS(Ambientes!$H:$H,Ambientes!$A:$A,$B34,Ambientes!$D:$D,"Jul"))</f>
        <v/>
      </c>
      <c r="F34" s="34">
        <f>IF($B34="","",SUMIFS(Faturamento!$C:$C,Faturamento!$A:$A,$B34,Faturamento!$D:$D,"Jul"))</f>
        <v/>
      </c>
      <c r="G34" s="34">
        <f>IF($B34="","",SUMIFS(Projetos!$B:$B,Projetos!$A:$A,$B34,Projetos!$C:$C,"Jul"))</f>
        <v/>
      </c>
    </row>
    <row r="35">
      <c r="B35" s="31">
        <f>IF(Projetos!$A22="","",Projetos!$A22)</f>
        <v/>
      </c>
      <c r="C35" s="32">
        <f>IF($B35="","",SUMIFS(Ambientes!$C:$C,Ambientes!$A:$A,$B35,Ambientes!$D:$D,"Jul"))</f>
        <v/>
      </c>
      <c r="D35" s="32">
        <f>IF($B35="","",SUMIFS(Ambientes!$C:$C,Ambientes!$A:$A,$B35,Ambientes!$E:$E,"Jul"))</f>
        <v/>
      </c>
      <c r="E35" s="32">
        <f>IF($B35="","",SUMIFS(Ambientes!$H:$H,Ambientes!$A:$A,$B35,Ambientes!$D:$D,"Jul"))</f>
        <v/>
      </c>
      <c r="F35" s="32">
        <f>IF($B35="","",SUMIFS(Faturamento!$C:$C,Faturamento!$A:$A,$B35,Faturamento!$D:$D,"Jul"))</f>
        <v/>
      </c>
      <c r="G35" s="32">
        <f>IF($B35="","",SUMIFS(Projetos!$B:$B,Projetos!$A:$A,$B35,Projetos!$C:$C,"Jul"))</f>
        <v/>
      </c>
    </row>
    <row r="36">
      <c r="B36" s="33">
        <f>IF(Projetos!$A23="","",Projetos!$A23)</f>
        <v/>
      </c>
      <c r="C36" s="34">
        <f>IF($B36="","",SUMIFS(Ambientes!$C:$C,Ambientes!$A:$A,$B36,Ambientes!$D:$D,"Jul"))</f>
        <v/>
      </c>
      <c r="D36" s="34">
        <f>IF($B36="","",SUMIFS(Ambientes!$C:$C,Ambientes!$A:$A,$B36,Ambientes!$E:$E,"Jul"))</f>
        <v/>
      </c>
      <c r="E36" s="34">
        <f>IF($B36="","",SUMIFS(Ambientes!$H:$H,Ambientes!$A:$A,$B36,Ambientes!$D:$D,"Jul"))</f>
        <v/>
      </c>
      <c r="F36" s="34">
        <f>IF($B36="","",SUMIFS(Faturamento!$C:$C,Faturamento!$A:$A,$B36,Faturamento!$D:$D,"Jul"))</f>
        <v/>
      </c>
      <c r="G36" s="34">
        <f>IF($B36="","",SUMIFS(Projetos!$B:$B,Projetos!$A:$A,$B36,Projetos!$C:$C,"Jul"))</f>
        <v/>
      </c>
    </row>
    <row r="37">
      <c r="B37" s="31">
        <f>IF(Projetos!$A24="","",Projetos!$A24)</f>
        <v/>
      </c>
      <c r="C37" s="32">
        <f>IF($B37="","",SUMIFS(Ambientes!$C:$C,Ambientes!$A:$A,$B37,Ambientes!$D:$D,"Jul"))</f>
        <v/>
      </c>
      <c r="D37" s="32">
        <f>IF($B37="","",SUMIFS(Ambientes!$C:$C,Ambientes!$A:$A,$B37,Ambientes!$E:$E,"Jul"))</f>
        <v/>
      </c>
      <c r="E37" s="32">
        <f>IF($B37="","",SUMIFS(Ambientes!$H:$H,Ambientes!$A:$A,$B37,Ambientes!$D:$D,"Jul"))</f>
        <v/>
      </c>
      <c r="F37" s="32">
        <f>IF($B37="","",SUMIFS(Faturamento!$C:$C,Faturamento!$A:$A,$B37,Faturamento!$D:$D,"Jul"))</f>
        <v/>
      </c>
      <c r="G37" s="32">
        <f>IF($B37="","",SUMIFS(Projetos!$B:$B,Projetos!$A:$A,$B37,Projetos!$C:$C,"Jul"))</f>
        <v/>
      </c>
    </row>
    <row r="38">
      <c r="B38" s="33">
        <f>IF(Projetos!$A25="","",Projetos!$A25)</f>
        <v/>
      </c>
      <c r="C38" s="34">
        <f>IF($B38="","",SUMIFS(Ambientes!$C:$C,Ambientes!$A:$A,$B38,Ambientes!$D:$D,"Jul"))</f>
        <v/>
      </c>
      <c r="D38" s="34">
        <f>IF($B38="","",SUMIFS(Ambientes!$C:$C,Ambientes!$A:$A,$B38,Ambientes!$E:$E,"Jul"))</f>
        <v/>
      </c>
      <c r="E38" s="34">
        <f>IF($B38="","",SUMIFS(Ambientes!$H:$H,Ambientes!$A:$A,$B38,Ambientes!$D:$D,"Jul"))</f>
        <v/>
      </c>
      <c r="F38" s="34">
        <f>IF($B38="","",SUMIFS(Faturamento!$C:$C,Faturamento!$A:$A,$B38,Faturamento!$D:$D,"Jul"))</f>
        <v/>
      </c>
      <c r="G38" s="34">
        <f>IF($B38="","",SUMIFS(Projetos!$B:$B,Projetos!$A:$A,$B38,Projetos!$C:$C,"Jul"))</f>
        <v/>
      </c>
    </row>
    <row r="39">
      <c r="B39" s="31">
        <f>IF(Projetos!$A26="","",Projetos!$A26)</f>
        <v/>
      </c>
      <c r="C39" s="32">
        <f>IF($B39="","",SUMIFS(Ambientes!$C:$C,Ambientes!$A:$A,$B39,Ambientes!$D:$D,"Jul"))</f>
        <v/>
      </c>
      <c r="D39" s="32">
        <f>IF($B39="","",SUMIFS(Ambientes!$C:$C,Ambientes!$A:$A,$B39,Ambientes!$E:$E,"Jul"))</f>
        <v/>
      </c>
      <c r="E39" s="32">
        <f>IF($B39="","",SUMIFS(Ambientes!$H:$H,Ambientes!$A:$A,$B39,Ambientes!$D:$D,"Jul"))</f>
        <v/>
      </c>
      <c r="F39" s="32">
        <f>IF($B39="","",SUMIFS(Faturamento!$C:$C,Faturamento!$A:$A,$B39,Faturamento!$D:$D,"Jul"))</f>
        <v/>
      </c>
      <c r="G39" s="32">
        <f>IF($B39="","",SUMIFS(Projetos!$B:$B,Projetos!$A:$A,$B39,Projetos!$C:$C,"Jul"))</f>
        <v/>
      </c>
    </row>
    <row r="40">
      <c r="B40" s="33">
        <f>IF(Projetos!$A27="","",Projetos!$A27)</f>
        <v/>
      </c>
      <c r="C40" s="34">
        <f>IF($B40="","",SUMIFS(Ambientes!$C:$C,Ambientes!$A:$A,$B40,Ambientes!$D:$D,"Jul"))</f>
        <v/>
      </c>
      <c r="D40" s="34">
        <f>IF($B40="","",SUMIFS(Ambientes!$C:$C,Ambientes!$A:$A,$B40,Ambientes!$E:$E,"Jul"))</f>
        <v/>
      </c>
      <c r="E40" s="34">
        <f>IF($B40="","",SUMIFS(Ambientes!$H:$H,Ambientes!$A:$A,$B40,Ambientes!$D:$D,"Jul"))</f>
        <v/>
      </c>
      <c r="F40" s="34">
        <f>IF($B40="","",SUMIFS(Faturamento!$C:$C,Faturamento!$A:$A,$B40,Faturamento!$D:$D,"Jul"))</f>
        <v/>
      </c>
      <c r="G40" s="34">
        <f>IF($B40="","",SUMIFS(Projetos!$B:$B,Projetos!$A:$A,$B40,Projetos!$C:$C,"Jul"))</f>
        <v/>
      </c>
    </row>
    <row r="41">
      <c r="B41" s="31">
        <f>IF(Projetos!$A28="","",Projetos!$A28)</f>
        <v/>
      </c>
      <c r="C41" s="32">
        <f>IF($B41="","",SUMIFS(Ambientes!$C:$C,Ambientes!$A:$A,$B41,Ambientes!$D:$D,"Jul"))</f>
        <v/>
      </c>
      <c r="D41" s="32">
        <f>IF($B41="","",SUMIFS(Ambientes!$C:$C,Ambientes!$A:$A,$B41,Ambientes!$E:$E,"Jul"))</f>
        <v/>
      </c>
      <c r="E41" s="32">
        <f>IF($B41="","",SUMIFS(Ambientes!$H:$H,Ambientes!$A:$A,$B41,Ambientes!$D:$D,"Jul"))</f>
        <v/>
      </c>
      <c r="F41" s="32">
        <f>IF($B41="","",SUMIFS(Faturamento!$C:$C,Faturamento!$A:$A,$B41,Faturamento!$D:$D,"Jul"))</f>
        <v/>
      </c>
      <c r="G41" s="32">
        <f>IF($B41="","",SUMIFS(Projetos!$B:$B,Projetos!$A:$A,$B41,Projetos!$C:$C,"Jul"))</f>
        <v/>
      </c>
    </row>
    <row r="42">
      <c r="B42" s="33">
        <f>IF(Projetos!$A29="","",Projetos!$A29)</f>
        <v/>
      </c>
      <c r="C42" s="34">
        <f>IF($B42="","",SUMIFS(Ambientes!$C:$C,Ambientes!$A:$A,$B42,Ambientes!$D:$D,"Jul"))</f>
        <v/>
      </c>
      <c r="D42" s="34">
        <f>IF($B42="","",SUMIFS(Ambientes!$C:$C,Ambientes!$A:$A,$B42,Ambientes!$E:$E,"Jul"))</f>
        <v/>
      </c>
      <c r="E42" s="34">
        <f>IF($B42="","",SUMIFS(Ambientes!$H:$H,Ambientes!$A:$A,$B42,Ambientes!$D:$D,"Jul"))</f>
        <v/>
      </c>
      <c r="F42" s="34">
        <f>IF($B42="","",SUMIFS(Faturamento!$C:$C,Faturamento!$A:$A,$B42,Faturamento!$D:$D,"Jul"))</f>
        <v/>
      </c>
      <c r="G42" s="34">
        <f>IF($B42="","",SUMIFS(Projetos!$B:$B,Projetos!$A:$A,$B42,Projetos!$C:$C,"Jul"))</f>
        <v/>
      </c>
    </row>
    <row r="43">
      <c r="B43" s="31">
        <f>IF(Projetos!$A30="","",Projetos!$A30)</f>
        <v/>
      </c>
      <c r="C43" s="32">
        <f>IF($B43="","",SUMIFS(Ambientes!$C:$C,Ambientes!$A:$A,$B43,Ambientes!$D:$D,"Jul"))</f>
        <v/>
      </c>
      <c r="D43" s="32">
        <f>IF($B43="","",SUMIFS(Ambientes!$C:$C,Ambientes!$A:$A,$B43,Ambientes!$E:$E,"Jul"))</f>
        <v/>
      </c>
      <c r="E43" s="32">
        <f>IF($B43="","",SUMIFS(Ambientes!$H:$H,Ambientes!$A:$A,$B43,Ambientes!$D:$D,"Jul"))</f>
        <v/>
      </c>
      <c r="F43" s="32">
        <f>IF($B43="","",SUMIFS(Faturamento!$C:$C,Faturamento!$A:$A,$B43,Faturamento!$D:$D,"Jul"))</f>
        <v/>
      </c>
      <c r="G43" s="32">
        <f>IF($B43="","",SUMIFS(Projetos!$B:$B,Projetos!$A:$A,$B43,Projetos!$C:$C,"Jul"))</f>
        <v/>
      </c>
    </row>
    <row r="44">
      <c r="B44" s="33">
        <f>IF(Projetos!$A31="","",Projetos!$A31)</f>
        <v/>
      </c>
      <c r="C44" s="34">
        <f>IF($B44="","",SUMIFS(Ambientes!$C:$C,Ambientes!$A:$A,$B44,Ambientes!$D:$D,"Jul"))</f>
        <v/>
      </c>
      <c r="D44" s="34">
        <f>IF($B44="","",SUMIFS(Ambientes!$C:$C,Ambientes!$A:$A,$B44,Ambientes!$E:$E,"Jul"))</f>
        <v/>
      </c>
      <c r="E44" s="34">
        <f>IF($B44="","",SUMIFS(Ambientes!$H:$H,Ambientes!$A:$A,$B44,Ambientes!$D:$D,"Jul"))</f>
        <v/>
      </c>
      <c r="F44" s="34">
        <f>IF($B44="","",SUMIFS(Faturamento!$C:$C,Faturamento!$A:$A,$B44,Faturamento!$D:$D,"Jul"))</f>
        <v/>
      </c>
      <c r="G44" s="34">
        <f>IF($B44="","",SUMIFS(Projetos!$B:$B,Projetos!$A:$A,$B44,Projetos!$C:$C,"Jul"))</f>
        <v/>
      </c>
    </row>
    <row r="45">
      <c r="B45" s="31">
        <f>IF(Projetos!$A32="","",Projetos!$A32)</f>
        <v/>
      </c>
      <c r="C45" s="32">
        <f>IF($B45="","",SUMIFS(Ambientes!$C:$C,Ambientes!$A:$A,$B45,Ambientes!$D:$D,"Jul"))</f>
        <v/>
      </c>
      <c r="D45" s="32">
        <f>IF($B45="","",SUMIFS(Ambientes!$C:$C,Ambientes!$A:$A,$B45,Ambientes!$E:$E,"Jul"))</f>
        <v/>
      </c>
      <c r="E45" s="32">
        <f>IF($B45="","",SUMIFS(Ambientes!$H:$H,Ambientes!$A:$A,$B45,Ambientes!$D:$D,"Jul"))</f>
        <v/>
      </c>
      <c r="F45" s="32">
        <f>IF($B45="","",SUMIFS(Faturamento!$C:$C,Faturamento!$A:$A,$B45,Faturamento!$D:$D,"Jul"))</f>
        <v/>
      </c>
      <c r="G45" s="32">
        <f>IF($B45="","",SUMIFS(Projetos!$B:$B,Projetos!$A:$A,$B45,Projetos!$C:$C,"Jul"))</f>
        <v/>
      </c>
    </row>
    <row r="46">
      <c r="B46" s="33">
        <f>IF(Projetos!$A33="","",Projetos!$A33)</f>
        <v/>
      </c>
      <c r="C46" s="34">
        <f>IF($B46="","",SUMIFS(Ambientes!$C:$C,Ambientes!$A:$A,$B46,Ambientes!$D:$D,"Jul"))</f>
        <v/>
      </c>
      <c r="D46" s="34">
        <f>IF($B46="","",SUMIFS(Ambientes!$C:$C,Ambientes!$A:$A,$B46,Ambientes!$E:$E,"Jul"))</f>
        <v/>
      </c>
      <c r="E46" s="34">
        <f>IF($B46="","",SUMIFS(Ambientes!$H:$H,Ambientes!$A:$A,$B46,Ambientes!$D:$D,"Jul"))</f>
        <v/>
      </c>
      <c r="F46" s="34">
        <f>IF($B46="","",SUMIFS(Faturamento!$C:$C,Faturamento!$A:$A,$B46,Faturamento!$D:$D,"Jul"))</f>
        <v/>
      </c>
      <c r="G46" s="34">
        <f>IF($B46="","",SUMIFS(Projetos!$B:$B,Projetos!$A:$A,$B46,Projetos!$C:$C,"Jul"))</f>
        <v/>
      </c>
    </row>
    <row r="47">
      <c r="B47" s="31">
        <f>IF(Projetos!$A34="","",Projetos!$A34)</f>
        <v/>
      </c>
      <c r="C47" s="32">
        <f>IF($B47="","",SUMIFS(Ambientes!$C:$C,Ambientes!$A:$A,$B47,Ambientes!$D:$D,"Jul"))</f>
        <v/>
      </c>
      <c r="D47" s="32">
        <f>IF($B47="","",SUMIFS(Ambientes!$C:$C,Ambientes!$A:$A,$B47,Ambientes!$E:$E,"Jul"))</f>
        <v/>
      </c>
      <c r="E47" s="32">
        <f>IF($B47="","",SUMIFS(Ambientes!$H:$H,Ambientes!$A:$A,$B47,Ambientes!$D:$D,"Jul"))</f>
        <v/>
      </c>
      <c r="F47" s="32">
        <f>IF($B47="","",SUMIFS(Faturamento!$C:$C,Faturamento!$A:$A,$B47,Faturamento!$D:$D,"Jul"))</f>
        <v/>
      </c>
      <c r="G47" s="32">
        <f>IF($B47="","",SUMIFS(Projetos!$B:$B,Projetos!$A:$A,$B47,Projetos!$C:$C,"Jul"))</f>
        <v/>
      </c>
    </row>
    <row r="48">
      <c r="B48" s="33">
        <f>IF(Projetos!$A35="","",Projetos!$A35)</f>
        <v/>
      </c>
      <c r="C48" s="34">
        <f>IF($B48="","",SUMIFS(Ambientes!$C:$C,Ambientes!$A:$A,$B48,Ambientes!$D:$D,"Jul"))</f>
        <v/>
      </c>
      <c r="D48" s="34">
        <f>IF($B48="","",SUMIFS(Ambientes!$C:$C,Ambientes!$A:$A,$B48,Ambientes!$E:$E,"Jul"))</f>
        <v/>
      </c>
      <c r="E48" s="34">
        <f>IF($B48="","",SUMIFS(Ambientes!$H:$H,Ambientes!$A:$A,$B48,Ambientes!$D:$D,"Jul"))</f>
        <v/>
      </c>
      <c r="F48" s="34">
        <f>IF($B48="","",SUMIFS(Faturamento!$C:$C,Faturamento!$A:$A,$B48,Faturamento!$D:$D,"Jul"))</f>
        <v/>
      </c>
      <c r="G48" s="34">
        <f>IF($B48="","",SUMIFS(Projetos!$B:$B,Projetos!$A:$A,$B48,Projetos!$C:$C,"Jul"))</f>
        <v/>
      </c>
    </row>
    <row r="49">
      <c r="B49" s="31">
        <f>IF(Projetos!$A36="","",Projetos!$A36)</f>
        <v/>
      </c>
      <c r="C49" s="32">
        <f>IF($B49="","",SUMIFS(Ambientes!$C:$C,Ambientes!$A:$A,$B49,Ambientes!$D:$D,"Jul"))</f>
        <v/>
      </c>
      <c r="D49" s="32">
        <f>IF($B49="","",SUMIFS(Ambientes!$C:$C,Ambientes!$A:$A,$B49,Ambientes!$E:$E,"Jul"))</f>
        <v/>
      </c>
      <c r="E49" s="32">
        <f>IF($B49="","",SUMIFS(Ambientes!$H:$H,Ambientes!$A:$A,$B49,Ambientes!$D:$D,"Jul"))</f>
        <v/>
      </c>
      <c r="F49" s="32">
        <f>IF($B49="","",SUMIFS(Faturamento!$C:$C,Faturamento!$A:$A,$B49,Faturamento!$D:$D,"Jul"))</f>
        <v/>
      </c>
      <c r="G49" s="32">
        <f>IF($B49="","",SUMIFS(Projetos!$B:$B,Projetos!$A:$A,$B49,Projetos!$C:$C,"Jul"))</f>
        <v/>
      </c>
    </row>
    <row r="50">
      <c r="B50" s="33">
        <f>IF(Projetos!$A37="","",Projetos!$A37)</f>
        <v/>
      </c>
      <c r="C50" s="34">
        <f>IF($B50="","",SUMIFS(Ambientes!$C:$C,Ambientes!$A:$A,$B50,Ambientes!$D:$D,"Jul"))</f>
        <v/>
      </c>
      <c r="D50" s="34">
        <f>IF($B50="","",SUMIFS(Ambientes!$C:$C,Ambientes!$A:$A,$B50,Ambientes!$E:$E,"Jul"))</f>
        <v/>
      </c>
      <c r="E50" s="34">
        <f>IF($B50="","",SUMIFS(Ambientes!$H:$H,Ambientes!$A:$A,$B50,Ambientes!$D:$D,"Jul"))</f>
        <v/>
      </c>
      <c r="F50" s="34">
        <f>IF($B50="","",SUMIFS(Faturamento!$C:$C,Faturamento!$A:$A,$B50,Faturamento!$D:$D,"Jul"))</f>
        <v/>
      </c>
      <c r="G50" s="34">
        <f>IF($B50="","",SUMIFS(Projetos!$B:$B,Projetos!$A:$A,$B50,Projetos!$C:$C,"Jul"))</f>
        <v/>
      </c>
    </row>
    <row r="51">
      <c r="B51" s="31">
        <f>IF(Projetos!$A38="","",Projetos!$A38)</f>
        <v/>
      </c>
      <c r="C51" s="32">
        <f>IF($B51="","",SUMIFS(Ambientes!$C:$C,Ambientes!$A:$A,$B51,Ambientes!$D:$D,"Jul"))</f>
        <v/>
      </c>
      <c r="D51" s="32">
        <f>IF($B51="","",SUMIFS(Ambientes!$C:$C,Ambientes!$A:$A,$B51,Ambientes!$E:$E,"Jul"))</f>
        <v/>
      </c>
      <c r="E51" s="32">
        <f>IF($B51="","",SUMIFS(Ambientes!$H:$H,Ambientes!$A:$A,$B51,Ambientes!$D:$D,"Jul"))</f>
        <v/>
      </c>
      <c r="F51" s="32">
        <f>IF($B51="","",SUMIFS(Faturamento!$C:$C,Faturamento!$A:$A,$B51,Faturamento!$D:$D,"Jul"))</f>
        <v/>
      </c>
      <c r="G51" s="32">
        <f>IF($B51="","",SUMIFS(Projetos!$B:$B,Projetos!$A:$A,$B51,Projetos!$C:$C,"Jul"))</f>
        <v/>
      </c>
    </row>
    <row r="52">
      <c r="B52" s="33">
        <f>IF(Projetos!$A39="","",Projetos!$A39)</f>
        <v/>
      </c>
      <c r="C52" s="34">
        <f>IF($B52="","",SUMIFS(Ambientes!$C:$C,Ambientes!$A:$A,$B52,Ambientes!$D:$D,"Jul"))</f>
        <v/>
      </c>
      <c r="D52" s="34">
        <f>IF($B52="","",SUMIFS(Ambientes!$C:$C,Ambientes!$A:$A,$B52,Ambientes!$E:$E,"Jul"))</f>
        <v/>
      </c>
      <c r="E52" s="34">
        <f>IF($B52="","",SUMIFS(Ambientes!$H:$H,Ambientes!$A:$A,$B52,Ambientes!$D:$D,"Jul"))</f>
        <v/>
      </c>
      <c r="F52" s="34">
        <f>IF($B52="","",SUMIFS(Faturamento!$C:$C,Faturamento!$A:$A,$B52,Faturamento!$D:$D,"Jul"))</f>
        <v/>
      </c>
      <c r="G52" s="34">
        <f>IF($B52="","",SUMIFS(Projetos!$B:$B,Projetos!$A:$A,$B52,Projetos!$C:$C,"Jul"))</f>
        <v/>
      </c>
    </row>
    <row r="53">
      <c r="B53" s="31">
        <f>IF(Projetos!$A40="","",Projetos!$A40)</f>
        <v/>
      </c>
      <c r="C53" s="32">
        <f>IF($B53="","",SUMIFS(Ambientes!$C:$C,Ambientes!$A:$A,$B53,Ambientes!$D:$D,"Jul"))</f>
        <v/>
      </c>
      <c r="D53" s="32">
        <f>IF($B53="","",SUMIFS(Ambientes!$C:$C,Ambientes!$A:$A,$B53,Ambientes!$E:$E,"Jul"))</f>
        <v/>
      </c>
      <c r="E53" s="32">
        <f>IF($B53="","",SUMIFS(Ambientes!$H:$H,Ambientes!$A:$A,$B53,Ambientes!$D:$D,"Jul"))</f>
        <v/>
      </c>
      <c r="F53" s="32">
        <f>IF($B53="","",SUMIFS(Faturamento!$C:$C,Faturamento!$A:$A,$B53,Faturamento!$D:$D,"Jul"))</f>
        <v/>
      </c>
      <c r="G53" s="32">
        <f>IF($B53="","",SUMIFS(Projetos!$B:$B,Projetos!$A:$A,$B53,Projetos!$C:$C,"Jul"))</f>
        <v/>
      </c>
    </row>
    <row r="54">
      <c r="B54" s="33">
        <f>IF(Projetos!$A41="","",Projetos!$A41)</f>
        <v/>
      </c>
      <c r="C54" s="34">
        <f>IF($B54="","",SUMIFS(Ambientes!$C:$C,Ambientes!$A:$A,$B54,Ambientes!$D:$D,"Jul"))</f>
        <v/>
      </c>
      <c r="D54" s="34">
        <f>IF($B54="","",SUMIFS(Ambientes!$C:$C,Ambientes!$A:$A,$B54,Ambientes!$E:$E,"Jul"))</f>
        <v/>
      </c>
      <c r="E54" s="34">
        <f>IF($B54="","",SUMIFS(Ambientes!$H:$H,Ambientes!$A:$A,$B54,Ambientes!$D:$D,"Jul"))</f>
        <v/>
      </c>
      <c r="F54" s="34">
        <f>IF($B54="","",SUMIFS(Faturamento!$C:$C,Faturamento!$A:$A,$B54,Faturamento!$D:$D,"Jul"))</f>
        <v/>
      </c>
      <c r="G54" s="34">
        <f>IF($B54="","",SUMIFS(Projetos!$B:$B,Projetos!$A:$A,$B54,Projetos!$C:$C,"Jul"))</f>
        <v/>
      </c>
    </row>
    <row r="55">
      <c r="B55" s="31">
        <f>IF(Projetos!$A42="","",Projetos!$A42)</f>
        <v/>
      </c>
      <c r="C55" s="32">
        <f>IF($B55="","",SUMIFS(Ambientes!$C:$C,Ambientes!$A:$A,$B55,Ambientes!$D:$D,"Jul"))</f>
        <v/>
      </c>
      <c r="D55" s="32">
        <f>IF($B55="","",SUMIFS(Ambientes!$C:$C,Ambientes!$A:$A,$B55,Ambientes!$E:$E,"Jul"))</f>
        <v/>
      </c>
      <c r="E55" s="32">
        <f>IF($B55="","",SUMIFS(Ambientes!$H:$H,Ambientes!$A:$A,$B55,Ambientes!$D:$D,"Jul"))</f>
        <v/>
      </c>
      <c r="F55" s="32">
        <f>IF($B55="","",SUMIFS(Faturamento!$C:$C,Faturamento!$A:$A,$B55,Faturamento!$D:$D,"Jul"))</f>
        <v/>
      </c>
      <c r="G55" s="32">
        <f>IF($B55="","",SUMIFS(Projetos!$B:$B,Projetos!$A:$A,$B55,Projetos!$C:$C,"Jul"))</f>
        <v/>
      </c>
    </row>
    <row r="56">
      <c r="B56" s="33">
        <f>IF(Projetos!$A43="","",Projetos!$A43)</f>
        <v/>
      </c>
      <c r="C56" s="34">
        <f>IF($B56="","",SUMIFS(Ambientes!$C:$C,Ambientes!$A:$A,$B56,Ambientes!$D:$D,"Jul"))</f>
        <v/>
      </c>
      <c r="D56" s="34">
        <f>IF($B56="","",SUMIFS(Ambientes!$C:$C,Ambientes!$A:$A,$B56,Ambientes!$E:$E,"Jul"))</f>
        <v/>
      </c>
      <c r="E56" s="34">
        <f>IF($B56="","",SUMIFS(Ambientes!$H:$H,Ambientes!$A:$A,$B56,Ambientes!$D:$D,"Jul"))</f>
        <v/>
      </c>
      <c r="F56" s="34">
        <f>IF($B56="","",SUMIFS(Faturamento!$C:$C,Faturamento!$A:$A,$B56,Faturamento!$D:$D,"Jul"))</f>
        <v/>
      </c>
      <c r="G56" s="34">
        <f>IF($B56="","",SUMIFS(Projetos!$B:$B,Projetos!$A:$A,$B56,Projetos!$C:$C,"Jul"))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AGOSTO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Fixo'!$A:$A,"Ago",'Custo Fixo'!$E:$E)</f>
        <v/>
      </c>
      <c r="C6" s="19">
        <f>SUMIF(Projetos!$C:$C,"Ago",Projetos!$B:$B)</f>
        <v/>
      </c>
      <c r="D6" s="20">
        <f>SUMIF(Ambientes!$D:$D,"Ago",Ambientes!$H:$H)</f>
        <v/>
      </c>
      <c r="E6" s="19">
        <f>SUMIF(Ambientes!$D:$D,"Ago",Ambientes!$C:$C)</f>
        <v/>
      </c>
      <c r="F6" s="19">
        <f>SUMIF(Ambientes!$E:$E,"Ago",Ambientes!$C:$C)</f>
        <v/>
      </c>
      <c r="G6" s="19">
        <f>SUMIF(Faturamento!$D:$D,"Ago",Faturamento!$C:$C)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SUMIF(Compras!$E:$E,"Ago",Compras!$D:$D)</f>
        <v/>
      </c>
      <c r="C12" s="27">
        <f>SUMIFS(Compras!$D:$D,Compras!$H:$H,"&lt;=8",Compras!$A:$A,"&lt;&gt;")-SUMIF(Ambientes!$J:$J,"&lt;=8",Ambientes!$H:$H)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SUMIF(Projetos!$H:$H,"&lt;=8",Projetos!$B:$B)-SUMIF(Ambientes!$J:$J,"&lt;=8",Ambientes!$C:$C)</f>
        <v/>
      </c>
    </row>
    <row r="13" ht="26" customHeight="1">
      <c r="B13" s="30">
        <f>=IF(SUMIF(Compras!$E:$E,"Ago",Compras!$D:$D)-SUMIFS(Compras!$D:$D,Compras!$E:$E,"Ago",Compras!$A:$A,"&lt;&gt;")=0,"tudo vinculado a projeto","dos quais "&amp;TEXT(SUMIF(Compras!$E:$E,"Ago",Compras!$D:$D)-SUMIFS(Compras!$D:$D,Compras!$E:$E,"Ago",Compras!$A:$A,"&lt;&gt;"),"R$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IF($B17="","",SUMIFS(Ambientes!$C:$C,Ambientes!$A:$A,$B17,Ambientes!$D:$D,"Ago"))</f>
        <v/>
      </c>
      <c r="D17" s="32">
        <f>IF($B17="","",SUMIFS(Ambientes!$C:$C,Ambientes!$A:$A,$B17,Ambientes!$E:$E,"Ago"))</f>
        <v/>
      </c>
      <c r="E17" s="32">
        <f>IF($B17="","",SUMIFS(Ambientes!$H:$H,Ambientes!$A:$A,$B17,Ambientes!$D:$D,"Ago"))</f>
        <v/>
      </c>
      <c r="F17" s="32">
        <f>IF($B17="","",SUMIFS(Faturamento!$C:$C,Faturamento!$A:$A,$B17,Faturamento!$D:$D,"Ago"))</f>
        <v/>
      </c>
      <c r="G17" s="32">
        <f>IF($B17="","",SUMIFS(Projetos!$B:$B,Projetos!$A:$A,$B17,Projetos!$C:$C,"Ago"))</f>
        <v/>
      </c>
    </row>
    <row r="18">
      <c r="B18" s="33">
        <f>IF(Projetos!$A5="","",Projetos!$A5)</f>
        <v/>
      </c>
      <c r="C18" s="34">
        <f>IF($B18="","",SUMIFS(Ambientes!$C:$C,Ambientes!$A:$A,$B18,Ambientes!$D:$D,"Ago"))</f>
        <v/>
      </c>
      <c r="D18" s="34">
        <f>IF($B18="","",SUMIFS(Ambientes!$C:$C,Ambientes!$A:$A,$B18,Ambientes!$E:$E,"Ago"))</f>
        <v/>
      </c>
      <c r="E18" s="34">
        <f>IF($B18="","",SUMIFS(Ambientes!$H:$H,Ambientes!$A:$A,$B18,Ambientes!$D:$D,"Ago"))</f>
        <v/>
      </c>
      <c r="F18" s="34">
        <f>IF($B18="","",SUMIFS(Faturamento!$C:$C,Faturamento!$A:$A,$B18,Faturamento!$D:$D,"Ago"))</f>
        <v/>
      </c>
      <c r="G18" s="34">
        <f>IF($B18="","",SUMIFS(Projetos!$B:$B,Projetos!$A:$A,$B18,Projetos!$C:$C,"Ago"))</f>
        <v/>
      </c>
    </row>
    <row r="19">
      <c r="B19" s="31">
        <f>IF(Projetos!$A6="","",Projetos!$A6)</f>
        <v/>
      </c>
      <c r="C19" s="32">
        <f>IF($B19="","",SUMIFS(Ambientes!$C:$C,Ambientes!$A:$A,$B19,Ambientes!$D:$D,"Ago"))</f>
        <v/>
      </c>
      <c r="D19" s="32">
        <f>IF($B19="","",SUMIFS(Ambientes!$C:$C,Ambientes!$A:$A,$B19,Ambientes!$E:$E,"Ago"))</f>
        <v/>
      </c>
      <c r="E19" s="32">
        <f>IF($B19="","",SUMIFS(Ambientes!$H:$H,Ambientes!$A:$A,$B19,Ambientes!$D:$D,"Ago"))</f>
        <v/>
      </c>
      <c r="F19" s="32">
        <f>IF($B19="","",SUMIFS(Faturamento!$C:$C,Faturamento!$A:$A,$B19,Faturamento!$D:$D,"Ago"))</f>
        <v/>
      </c>
      <c r="G19" s="32">
        <f>IF($B19="","",SUMIFS(Projetos!$B:$B,Projetos!$A:$A,$B19,Projetos!$C:$C,"Ago"))</f>
        <v/>
      </c>
    </row>
    <row r="20">
      <c r="B20" s="33">
        <f>IF(Projetos!$A7="","",Projetos!$A7)</f>
        <v/>
      </c>
      <c r="C20" s="34">
        <f>IF($B20="","",SUMIFS(Ambientes!$C:$C,Ambientes!$A:$A,$B20,Ambientes!$D:$D,"Ago"))</f>
        <v/>
      </c>
      <c r="D20" s="34">
        <f>IF($B20="","",SUMIFS(Ambientes!$C:$C,Ambientes!$A:$A,$B20,Ambientes!$E:$E,"Ago"))</f>
        <v/>
      </c>
      <c r="E20" s="34">
        <f>IF($B20="","",SUMIFS(Ambientes!$H:$H,Ambientes!$A:$A,$B20,Ambientes!$D:$D,"Ago"))</f>
        <v/>
      </c>
      <c r="F20" s="34">
        <f>IF($B20="","",SUMIFS(Faturamento!$C:$C,Faturamento!$A:$A,$B20,Faturamento!$D:$D,"Ago"))</f>
        <v/>
      </c>
      <c r="G20" s="34">
        <f>IF($B20="","",SUMIFS(Projetos!$B:$B,Projetos!$A:$A,$B20,Projetos!$C:$C,"Ago"))</f>
        <v/>
      </c>
    </row>
    <row r="21">
      <c r="B21" s="31">
        <f>IF(Projetos!$A8="","",Projetos!$A8)</f>
        <v/>
      </c>
      <c r="C21" s="32">
        <f>IF($B21="","",SUMIFS(Ambientes!$C:$C,Ambientes!$A:$A,$B21,Ambientes!$D:$D,"Ago"))</f>
        <v/>
      </c>
      <c r="D21" s="32">
        <f>IF($B21="","",SUMIFS(Ambientes!$C:$C,Ambientes!$A:$A,$B21,Ambientes!$E:$E,"Ago"))</f>
        <v/>
      </c>
      <c r="E21" s="32">
        <f>IF($B21="","",SUMIFS(Ambientes!$H:$H,Ambientes!$A:$A,$B21,Ambientes!$D:$D,"Ago"))</f>
        <v/>
      </c>
      <c r="F21" s="32">
        <f>IF($B21="","",SUMIFS(Faturamento!$C:$C,Faturamento!$A:$A,$B21,Faturamento!$D:$D,"Ago"))</f>
        <v/>
      </c>
      <c r="G21" s="32">
        <f>IF($B21="","",SUMIFS(Projetos!$B:$B,Projetos!$A:$A,$B21,Projetos!$C:$C,"Ago"))</f>
        <v/>
      </c>
    </row>
    <row r="22">
      <c r="B22" s="33">
        <f>IF(Projetos!$A9="","",Projetos!$A9)</f>
        <v/>
      </c>
      <c r="C22" s="34">
        <f>IF($B22="","",SUMIFS(Ambientes!$C:$C,Ambientes!$A:$A,$B22,Ambientes!$D:$D,"Ago"))</f>
        <v/>
      </c>
      <c r="D22" s="34">
        <f>IF($B22="","",SUMIFS(Ambientes!$C:$C,Ambientes!$A:$A,$B22,Ambientes!$E:$E,"Ago"))</f>
        <v/>
      </c>
      <c r="E22" s="34">
        <f>IF($B22="","",SUMIFS(Ambientes!$H:$H,Ambientes!$A:$A,$B22,Ambientes!$D:$D,"Ago"))</f>
        <v/>
      </c>
      <c r="F22" s="34">
        <f>IF($B22="","",SUMIFS(Faturamento!$C:$C,Faturamento!$A:$A,$B22,Faturamento!$D:$D,"Ago"))</f>
        <v/>
      </c>
      <c r="G22" s="34">
        <f>IF($B22="","",SUMIFS(Projetos!$B:$B,Projetos!$A:$A,$B22,Projetos!$C:$C,"Ago"))</f>
        <v/>
      </c>
    </row>
    <row r="23">
      <c r="B23" s="31">
        <f>IF(Projetos!$A10="","",Projetos!$A10)</f>
        <v/>
      </c>
      <c r="C23" s="32">
        <f>IF($B23="","",SUMIFS(Ambientes!$C:$C,Ambientes!$A:$A,$B23,Ambientes!$D:$D,"Ago"))</f>
        <v/>
      </c>
      <c r="D23" s="32">
        <f>IF($B23="","",SUMIFS(Ambientes!$C:$C,Ambientes!$A:$A,$B23,Ambientes!$E:$E,"Ago"))</f>
        <v/>
      </c>
      <c r="E23" s="32">
        <f>IF($B23="","",SUMIFS(Ambientes!$H:$H,Ambientes!$A:$A,$B23,Ambientes!$D:$D,"Ago"))</f>
        <v/>
      </c>
      <c r="F23" s="32">
        <f>IF($B23="","",SUMIFS(Faturamento!$C:$C,Faturamento!$A:$A,$B23,Faturamento!$D:$D,"Ago"))</f>
        <v/>
      </c>
      <c r="G23" s="32">
        <f>IF($B23="","",SUMIFS(Projetos!$B:$B,Projetos!$A:$A,$B23,Projetos!$C:$C,"Ago"))</f>
        <v/>
      </c>
    </row>
    <row r="24">
      <c r="B24" s="33">
        <f>IF(Projetos!$A11="","",Projetos!$A11)</f>
        <v/>
      </c>
      <c r="C24" s="34">
        <f>IF($B24="","",SUMIFS(Ambientes!$C:$C,Ambientes!$A:$A,$B24,Ambientes!$D:$D,"Ago"))</f>
        <v/>
      </c>
      <c r="D24" s="34">
        <f>IF($B24="","",SUMIFS(Ambientes!$C:$C,Ambientes!$A:$A,$B24,Ambientes!$E:$E,"Ago"))</f>
        <v/>
      </c>
      <c r="E24" s="34">
        <f>IF($B24="","",SUMIFS(Ambientes!$H:$H,Ambientes!$A:$A,$B24,Ambientes!$D:$D,"Ago"))</f>
        <v/>
      </c>
      <c r="F24" s="34">
        <f>IF($B24="","",SUMIFS(Faturamento!$C:$C,Faturamento!$A:$A,$B24,Faturamento!$D:$D,"Ago"))</f>
        <v/>
      </c>
      <c r="G24" s="34">
        <f>IF($B24="","",SUMIFS(Projetos!$B:$B,Projetos!$A:$A,$B24,Projetos!$C:$C,"Ago"))</f>
        <v/>
      </c>
    </row>
    <row r="25">
      <c r="B25" s="31">
        <f>IF(Projetos!$A12="","",Projetos!$A12)</f>
        <v/>
      </c>
      <c r="C25" s="32">
        <f>IF($B25="","",SUMIFS(Ambientes!$C:$C,Ambientes!$A:$A,$B25,Ambientes!$D:$D,"Ago"))</f>
        <v/>
      </c>
      <c r="D25" s="32">
        <f>IF($B25="","",SUMIFS(Ambientes!$C:$C,Ambientes!$A:$A,$B25,Ambientes!$E:$E,"Ago"))</f>
        <v/>
      </c>
      <c r="E25" s="32">
        <f>IF($B25="","",SUMIFS(Ambientes!$H:$H,Ambientes!$A:$A,$B25,Ambientes!$D:$D,"Ago"))</f>
        <v/>
      </c>
      <c r="F25" s="32">
        <f>IF($B25="","",SUMIFS(Faturamento!$C:$C,Faturamento!$A:$A,$B25,Faturamento!$D:$D,"Ago"))</f>
        <v/>
      </c>
      <c r="G25" s="32">
        <f>IF($B25="","",SUMIFS(Projetos!$B:$B,Projetos!$A:$A,$B25,Projetos!$C:$C,"Ago"))</f>
        <v/>
      </c>
    </row>
    <row r="26">
      <c r="B26" s="33">
        <f>IF(Projetos!$A13="","",Projetos!$A13)</f>
        <v/>
      </c>
      <c r="C26" s="34">
        <f>IF($B26="","",SUMIFS(Ambientes!$C:$C,Ambientes!$A:$A,$B26,Ambientes!$D:$D,"Ago"))</f>
        <v/>
      </c>
      <c r="D26" s="34">
        <f>IF($B26="","",SUMIFS(Ambientes!$C:$C,Ambientes!$A:$A,$B26,Ambientes!$E:$E,"Ago"))</f>
        <v/>
      </c>
      <c r="E26" s="34">
        <f>IF($B26="","",SUMIFS(Ambientes!$H:$H,Ambientes!$A:$A,$B26,Ambientes!$D:$D,"Ago"))</f>
        <v/>
      </c>
      <c r="F26" s="34">
        <f>IF($B26="","",SUMIFS(Faturamento!$C:$C,Faturamento!$A:$A,$B26,Faturamento!$D:$D,"Ago"))</f>
        <v/>
      </c>
      <c r="G26" s="34">
        <f>IF($B26="","",SUMIFS(Projetos!$B:$B,Projetos!$A:$A,$B26,Projetos!$C:$C,"Ago"))</f>
        <v/>
      </c>
    </row>
    <row r="27">
      <c r="B27" s="31">
        <f>IF(Projetos!$A14="","",Projetos!$A14)</f>
        <v/>
      </c>
      <c r="C27" s="32">
        <f>IF($B27="","",SUMIFS(Ambientes!$C:$C,Ambientes!$A:$A,$B27,Ambientes!$D:$D,"Ago"))</f>
        <v/>
      </c>
      <c r="D27" s="32">
        <f>IF($B27="","",SUMIFS(Ambientes!$C:$C,Ambientes!$A:$A,$B27,Ambientes!$E:$E,"Ago"))</f>
        <v/>
      </c>
      <c r="E27" s="32">
        <f>IF($B27="","",SUMIFS(Ambientes!$H:$H,Ambientes!$A:$A,$B27,Ambientes!$D:$D,"Ago"))</f>
        <v/>
      </c>
      <c r="F27" s="32">
        <f>IF($B27="","",SUMIFS(Faturamento!$C:$C,Faturamento!$A:$A,$B27,Faturamento!$D:$D,"Ago"))</f>
        <v/>
      </c>
      <c r="G27" s="32">
        <f>IF($B27="","",SUMIFS(Projetos!$B:$B,Projetos!$A:$A,$B27,Projetos!$C:$C,"Ago"))</f>
        <v/>
      </c>
    </row>
    <row r="28">
      <c r="B28" s="33">
        <f>IF(Projetos!$A15="","",Projetos!$A15)</f>
        <v/>
      </c>
      <c r="C28" s="34">
        <f>IF($B28="","",SUMIFS(Ambientes!$C:$C,Ambientes!$A:$A,$B28,Ambientes!$D:$D,"Ago"))</f>
        <v/>
      </c>
      <c r="D28" s="34">
        <f>IF($B28="","",SUMIFS(Ambientes!$C:$C,Ambientes!$A:$A,$B28,Ambientes!$E:$E,"Ago"))</f>
        <v/>
      </c>
      <c r="E28" s="34">
        <f>IF($B28="","",SUMIFS(Ambientes!$H:$H,Ambientes!$A:$A,$B28,Ambientes!$D:$D,"Ago"))</f>
        <v/>
      </c>
      <c r="F28" s="34">
        <f>IF($B28="","",SUMIFS(Faturamento!$C:$C,Faturamento!$A:$A,$B28,Faturamento!$D:$D,"Ago"))</f>
        <v/>
      </c>
      <c r="G28" s="34">
        <f>IF($B28="","",SUMIFS(Projetos!$B:$B,Projetos!$A:$A,$B28,Projetos!$C:$C,"Ago"))</f>
        <v/>
      </c>
    </row>
    <row r="29">
      <c r="B29" s="31">
        <f>IF(Projetos!$A16="","",Projetos!$A16)</f>
        <v/>
      </c>
      <c r="C29" s="32">
        <f>IF($B29="","",SUMIFS(Ambientes!$C:$C,Ambientes!$A:$A,$B29,Ambientes!$D:$D,"Ago"))</f>
        <v/>
      </c>
      <c r="D29" s="32">
        <f>IF($B29="","",SUMIFS(Ambientes!$C:$C,Ambientes!$A:$A,$B29,Ambientes!$E:$E,"Ago"))</f>
        <v/>
      </c>
      <c r="E29" s="32">
        <f>IF($B29="","",SUMIFS(Ambientes!$H:$H,Ambientes!$A:$A,$B29,Ambientes!$D:$D,"Ago"))</f>
        <v/>
      </c>
      <c r="F29" s="32">
        <f>IF($B29="","",SUMIFS(Faturamento!$C:$C,Faturamento!$A:$A,$B29,Faturamento!$D:$D,"Ago"))</f>
        <v/>
      </c>
      <c r="G29" s="32">
        <f>IF($B29="","",SUMIFS(Projetos!$B:$B,Projetos!$A:$A,$B29,Projetos!$C:$C,"Ago"))</f>
        <v/>
      </c>
    </row>
    <row r="30">
      <c r="B30" s="33">
        <f>IF(Projetos!$A17="","",Projetos!$A17)</f>
        <v/>
      </c>
      <c r="C30" s="34">
        <f>IF($B30="","",SUMIFS(Ambientes!$C:$C,Ambientes!$A:$A,$B30,Ambientes!$D:$D,"Ago"))</f>
        <v/>
      </c>
      <c r="D30" s="34">
        <f>IF($B30="","",SUMIFS(Ambientes!$C:$C,Ambientes!$A:$A,$B30,Ambientes!$E:$E,"Ago"))</f>
        <v/>
      </c>
      <c r="E30" s="34">
        <f>IF($B30="","",SUMIFS(Ambientes!$H:$H,Ambientes!$A:$A,$B30,Ambientes!$D:$D,"Ago"))</f>
        <v/>
      </c>
      <c r="F30" s="34">
        <f>IF($B30="","",SUMIFS(Faturamento!$C:$C,Faturamento!$A:$A,$B30,Faturamento!$D:$D,"Ago"))</f>
        <v/>
      </c>
      <c r="G30" s="34">
        <f>IF($B30="","",SUMIFS(Projetos!$B:$B,Projetos!$A:$A,$B30,Projetos!$C:$C,"Ago"))</f>
        <v/>
      </c>
    </row>
    <row r="31">
      <c r="B31" s="31">
        <f>IF(Projetos!$A18="","",Projetos!$A18)</f>
        <v/>
      </c>
      <c r="C31" s="32">
        <f>IF($B31="","",SUMIFS(Ambientes!$C:$C,Ambientes!$A:$A,$B31,Ambientes!$D:$D,"Ago"))</f>
        <v/>
      </c>
      <c r="D31" s="32">
        <f>IF($B31="","",SUMIFS(Ambientes!$C:$C,Ambientes!$A:$A,$B31,Ambientes!$E:$E,"Ago"))</f>
        <v/>
      </c>
      <c r="E31" s="32">
        <f>IF($B31="","",SUMIFS(Ambientes!$H:$H,Ambientes!$A:$A,$B31,Ambientes!$D:$D,"Ago"))</f>
        <v/>
      </c>
      <c r="F31" s="32">
        <f>IF($B31="","",SUMIFS(Faturamento!$C:$C,Faturamento!$A:$A,$B31,Faturamento!$D:$D,"Ago"))</f>
        <v/>
      </c>
      <c r="G31" s="32">
        <f>IF($B31="","",SUMIFS(Projetos!$B:$B,Projetos!$A:$A,$B31,Projetos!$C:$C,"Ago"))</f>
        <v/>
      </c>
    </row>
    <row r="32">
      <c r="B32" s="33">
        <f>IF(Projetos!$A19="","",Projetos!$A19)</f>
        <v/>
      </c>
      <c r="C32" s="34">
        <f>IF($B32="","",SUMIFS(Ambientes!$C:$C,Ambientes!$A:$A,$B32,Ambientes!$D:$D,"Ago"))</f>
        <v/>
      </c>
      <c r="D32" s="34">
        <f>IF($B32="","",SUMIFS(Ambientes!$C:$C,Ambientes!$A:$A,$B32,Ambientes!$E:$E,"Ago"))</f>
        <v/>
      </c>
      <c r="E32" s="34">
        <f>IF($B32="","",SUMIFS(Ambientes!$H:$H,Ambientes!$A:$A,$B32,Ambientes!$D:$D,"Ago"))</f>
        <v/>
      </c>
      <c r="F32" s="34">
        <f>IF($B32="","",SUMIFS(Faturamento!$C:$C,Faturamento!$A:$A,$B32,Faturamento!$D:$D,"Ago"))</f>
        <v/>
      </c>
      <c r="G32" s="34">
        <f>IF($B32="","",SUMIFS(Projetos!$B:$B,Projetos!$A:$A,$B32,Projetos!$C:$C,"Ago"))</f>
        <v/>
      </c>
    </row>
    <row r="33">
      <c r="B33" s="31">
        <f>IF(Projetos!$A20="","",Projetos!$A20)</f>
        <v/>
      </c>
      <c r="C33" s="32">
        <f>IF($B33="","",SUMIFS(Ambientes!$C:$C,Ambientes!$A:$A,$B33,Ambientes!$D:$D,"Ago"))</f>
        <v/>
      </c>
      <c r="D33" s="32">
        <f>IF($B33="","",SUMIFS(Ambientes!$C:$C,Ambientes!$A:$A,$B33,Ambientes!$E:$E,"Ago"))</f>
        <v/>
      </c>
      <c r="E33" s="32">
        <f>IF($B33="","",SUMIFS(Ambientes!$H:$H,Ambientes!$A:$A,$B33,Ambientes!$D:$D,"Ago"))</f>
        <v/>
      </c>
      <c r="F33" s="32">
        <f>IF($B33="","",SUMIFS(Faturamento!$C:$C,Faturamento!$A:$A,$B33,Faturamento!$D:$D,"Ago"))</f>
        <v/>
      </c>
      <c r="G33" s="32">
        <f>IF($B33="","",SUMIFS(Projetos!$B:$B,Projetos!$A:$A,$B33,Projetos!$C:$C,"Ago"))</f>
        <v/>
      </c>
    </row>
    <row r="34">
      <c r="B34" s="33">
        <f>IF(Projetos!$A21="","",Projetos!$A21)</f>
        <v/>
      </c>
      <c r="C34" s="34">
        <f>IF($B34="","",SUMIFS(Ambientes!$C:$C,Ambientes!$A:$A,$B34,Ambientes!$D:$D,"Ago"))</f>
        <v/>
      </c>
      <c r="D34" s="34">
        <f>IF($B34="","",SUMIFS(Ambientes!$C:$C,Ambientes!$A:$A,$B34,Ambientes!$E:$E,"Ago"))</f>
        <v/>
      </c>
      <c r="E34" s="34">
        <f>IF($B34="","",SUMIFS(Ambientes!$H:$H,Ambientes!$A:$A,$B34,Ambientes!$D:$D,"Ago"))</f>
        <v/>
      </c>
      <c r="F34" s="34">
        <f>IF($B34="","",SUMIFS(Faturamento!$C:$C,Faturamento!$A:$A,$B34,Faturamento!$D:$D,"Ago"))</f>
        <v/>
      </c>
      <c r="G34" s="34">
        <f>IF($B34="","",SUMIFS(Projetos!$B:$B,Projetos!$A:$A,$B34,Projetos!$C:$C,"Ago"))</f>
        <v/>
      </c>
    </row>
    <row r="35">
      <c r="B35" s="31">
        <f>IF(Projetos!$A22="","",Projetos!$A22)</f>
        <v/>
      </c>
      <c r="C35" s="32">
        <f>IF($B35="","",SUMIFS(Ambientes!$C:$C,Ambientes!$A:$A,$B35,Ambientes!$D:$D,"Ago"))</f>
        <v/>
      </c>
      <c r="D35" s="32">
        <f>IF($B35="","",SUMIFS(Ambientes!$C:$C,Ambientes!$A:$A,$B35,Ambientes!$E:$E,"Ago"))</f>
        <v/>
      </c>
      <c r="E35" s="32">
        <f>IF($B35="","",SUMIFS(Ambientes!$H:$H,Ambientes!$A:$A,$B35,Ambientes!$D:$D,"Ago"))</f>
        <v/>
      </c>
      <c r="F35" s="32">
        <f>IF($B35="","",SUMIFS(Faturamento!$C:$C,Faturamento!$A:$A,$B35,Faturamento!$D:$D,"Ago"))</f>
        <v/>
      </c>
      <c r="G35" s="32">
        <f>IF($B35="","",SUMIFS(Projetos!$B:$B,Projetos!$A:$A,$B35,Projetos!$C:$C,"Ago"))</f>
        <v/>
      </c>
    </row>
    <row r="36">
      <c r="B36" s="33">
        <f>IF(Projetos!$A23="","",Projetos!$A23)</f>
        <v/>
      </c>
      <c r="C36" s="34">
        <f>IF($B36="","",SUMIFS(Ambientes!$C:$C,Ambientes!$A:$A,$B36,Ambientes!$D:$D,"Ago"))</f>
        <v/>
      </c>
      <c r="D36" s="34">
        <f>IF($B36="","",SUMIFS(Ambientes!$C:$C,Ambientes!$A:$A,$B36,Ambientes!$E:$E,"Ago"))</f>
        <v/>
      </c>
      <c r="E36" s="34">
        <f>IF($B36="","",SUMIFS(Ambientes!$H:$H,Ambientes!$A:$A,$B36,Ambientes!$D:$D,"Ago"))</f>
        <v/>
      </c>
      <c r="F36" s="34">
        <f>IF($B36="","",SUMIFS(Faturamento!$C:$C,Faturamento!$A:$A,$B36,Faturamento!$D:$D,"Ago"))</f>
        <v/>
      </c>
      <c r="G36" s="34">
        <f>IF($B36="","",SUMIFS(Projetos!$B:$B,Projetos!$A:$A,$B36,Projetos!$C:$C,"Ago"))</f>
        <v/>
      </c>
    </row>
    <row r="37">
      <c r="B37" s="31">
        <f>IF(Projetos!$A24="","",Projetos!$A24)</f>
        <v/>
      </c>
      <c r="C37" s="32">
        <f>IF($B37="","",SUMIFS(Ambientes!$C:$C,Ambientes!$A:$A,$B37,Ambientes!$D:$D,"Ago"))</f>
        <v/>
      </c>
      <c r="D37" s="32">
        <f>IF($B37="","",SUMIFS(Ambientes!$C:$C,Ambientes!$A:$A,$B37,Ambientes!$E:$E,"Ago"))</f>
        <v/>
      </c>
      <c r="E37" s="32">
        <f>IF($B37="","",SUMIFS(Ambientes!$H:$H,Ambientes!$A:$A,$B37,Ambientes!$D:$D,"Ago"))</f>
        <v/>
      </c>
      <c r="F37" s="32">
        <f>IF($B37="","",SUMIFS(Faturamento!$C:$C,Faturamento!$A:$A,$B37,Faturamento!$D:$D,"Ago"))</f>
        <v/>
      </c>
      <c r="G37" s="32">
        <f>IF($B37="","",SUMIFS(Projetos!$B:$B,Projetos!$A:$A,$B37,Projetos!$C:$C,"Ago"))</f>
        <v/>
      </c>
    </row>
    <row r="38">
      <c r="B38" s="33">
        <f>IF(Projetos!$A25="","",Projetos!$A25)</f>
        <v/>
      </c>
      <c r="C38" s="34">
        <f>IF($B38="","",SUMIFS(Ambientes!$C:$C,Ambientes!$A:$A,$B38,Ambientes!$D:$D,"Ago"))</f>
        <v/>
      </c>
      <c r="D38" s="34">
        <f>IF($B38="","",SUMIFS(Ambientes!$C:$C,Ambientes!$A:$A,$B38,Ambientes!$E:$E,"Ago"))</f>
        <v/>
      </c>
      <c r="E38" s="34">
        <f>IF($B38="","",SUMIFS(Ambientes!$H:$H,Ambientes!$A:$A,$B38,Ambientes!$D:$D,"Ago"))</f>
        <v/>
      </c>
      <c r="F38" s="34">
        <f>IF($B38="","",SUMIFS(Faturamento!$C:$C,Faturamento!$A:$A,$B38,Faturamento!$D:$D,"Ago"))</f>
        <v/>
      </c>
      <c r="G38" s="34">
        <f>IF($B38="","",SUMIFS(Projetos!$B:$B,Projetos!$A:$A,$B38,Projetos!$C:$C,"Ago"))</f>
        <v/>
      </c>
    </row>
    <row r="39">
      <c r="B39" s="31">
        <f>IF(Projetos!$A26="","",Projetos!$A26)</f>
        <v/>
      </c>
      <c r="C39" s="32">
        <f>IF($B39="","",SUMIFS(Ambientes!$C:$C,Ambientes!$A:$A,$B39,Ambientes!$D:$D,"Ago"))</f>
        <v/>
      </c>
      <c r="D39" s="32">
        <f>IF($B39="","",SUMIFS(Ambientes!$C:$C,Ambientes!$A:$A,$B39,Ambientes!$E:$E,"Ago"))</f>
        <v/>
      </c>
      <c r="E39" s="32">
        <f>IF($B39="","",SUMIFS(Ambientes!$H:$H,Ambientes!$A:$A,$B39,Ambientes!$D:$D,"Ago"))</f>
        <v/>
      </c>
      <c r="F39" s="32">
        <f>IF($B39="","",SUMIFS(Faturamento!$C:$C,Faturamento!$A:$A,$B39,Faturamento!$D:$D,"Ago"))</f>
        <v/>
      </c>
      <c r="G39" s="32">
        <f>IF($B39="","",SUMIFS(Projetos!$B:$B,Projetos!$A:$A,$B39,Projetos!$C:$C,"Ago"))</f>
        <v/>
      </c>
    </row>
    <row r="40">
      <c r="B40" s="33">
        <f>IF(Projetos!$A27="","",Projetos!$A27)</f>
        <v/>
      </c>
      <c r="C40" s="34">
        <f>IF($B40="","",SUMIFS(Ambientes!$C:$C,Ambientes!$A:$A,$B40,Ambientes!$D:$D,"Ago"))</f>
        <v/>
      </c>
      <c r="D40" s="34">
        <f>IF($B40="","",SUMIFS(Ambientes!$C:$C,Ambientes!$A:$A,$B40,Ambientes!$E:$E,"Ago"))</f>
        <v/>
      </c>
      <c r="E40" s="34">
        <f>IF($B40="","",SUMIFS(Ambientes!$H:$H,Ambientes!$A:$A,$B40,Ambientes!$D:$D,"Ago"))</f>
        <v/>
      </c>
      <c r="F40" s="34">
        <f>IF($B40="","",SUMIFS(Faturamento!$C:$C,Faturamento!$A:$A,$B40,Faturamento!$D:$D,"Ago"))</f>
        <v/>
      </c>
      <c r="G40" s="34">
        <f>IF($B40="","",SUMIFS(Projetos!$B:$B,Projetos!$A:$A,$B40,Projetos!$C:$C,"Ago"))</f>
        <v/>
      </c>
    </row>
    <row r="41">
      <c r="B41" s="31">
        <f>IF(Projetos!$A28="","",Projetos!$A28)</f>
        <v/>
      </c>
      <c r="C41" s="32">
        <f>IF($B41="","",SUMIFS(Ambientes!$C:$C,Ambientes!$A:$A,$B41,Ambientes!$D:$D,"Ago"))</f>
        <v/>
      </c>
      <c r="D41" s="32">
        <f>IF($B41="","",SUMIFS(Ambientes!$C:$C,Ambientes!$A:$A,$B41,Ambientes!$E:$E,"Ago"))</f>
        <v/>
      </c>
      <c r="E41" s="32">
        <f>IF($B41="","",SUMIFS(Ambientes!$H:$H,Ambientes!$A:$A,$B41,Ambientes!$D:$D,"Ago"))</f>
        <v/>
      </c>
      <c r="F41" s="32">
        <f>IF($B41="","",SUMIFS(Faturamento!$C:$C,Faturamento!$A:$A,$B41,Faturamento!$D:$D,"Ago"))</f>
        <v/>
      </c>
      <c r="G41" s="32">
        <f>IF($B41="","",SUMIFS(Projetos!$B:$B,Projetos!$A:$A,$B41,Projetos!$C:$C,"Ago"))</f>
        <v/>
      </c>
    </row>
    <row r="42">
      <c r="B42" s="33">
        <f>IF(Projetos!$A29="","",Projetos!$A29)</f>
        <v/>
      </c>
      <c r="C42" s="34">
        <f>IF($B42="","",SUMIFS(Ambientes!$C:$C,Ambientes!$A:$A,$B42,Ambientes!$D:$D,"Ago"))</f>
        <v/>
      </c>
      <c r="D42" s="34">
        <f>IF($B42="","",SUMIFS(Ambientes!$C:$C,Ambientes!$A:$A,$B42,Ambientes!$E:$E,"Ago"))</f>
        <v/>
      </c>
      <c r="E42" s="34">
        <f>IF($B42="","",SUMIFS(Ambientes!$H:$H,Ambientes!$A:$A,$B42,Ambientes!$D:$D,"Ago"))</f>
        <v/>
      </c>
      <c r="F42" s="34">
        <f>IF($B42="","",SUMIFS(Faturamento!$C:$C,Faturamento!$A:$A,$B42,Faturamento!$D:$D,"Ago"))</f>
        <v/>
      </c>
      <c r="G42" s="34">
        <f>IF($B42="","",SUMIFS(Projetos!$B:$B,Projetos!$A:$A,$B42,Projetos!$C:$C,"Ago"))</f>
        <v/>
      </c>
    </row>
    <row r="43">
      <c r="B43" s="31">
        <f>IF(Projetos!$A30="","",Projetos!$A30)</f>
        <v/>
      </c>
      <c r="C43" s="32">
        <f>IF($B43="","",SUMIFS(Ambientes!$C:$C,Ambientes!$A:$A,$B43,Ambientes!$D:$D,"Ago"))</f>
        <v/>
      </c>
      <c r="D43" s="32">
        <f>IF($B43="","",SUMIFS(Ambientes!$C:$C,Ambientes!$A:$A,$B43,Ambientes!$E:$E,"Ago"))</f>
        <v/>
      </c>
      <c r="E43" s="32">
        <f>IF($B43="","",SUMIFS(Ambientes!$H:$H,Ambientes!$A:$A,$B43,Ambientes!$D:$D,"Ago"))</f>
        <v/>
      </c>
      <c r="F43" s="32">
        <f>IF($B43="","",SUMIFS(Faturamento!$C:$C,Faturamento!$A:$A,$B43,Faturamento!$D:$D,"Ago"))</f>
        <v/>
      </c>
      <c r="G43" s="32">
        <f>IF($B43="","",SUMIFS(Projetos!$B:$B,Projetos!$A:$A,$B43,Projetos!$C:$C,"Ago"))</f>
        <v/>
      </c>
    </row>
    <row r="44">
      <c r="B44" s="33">
        <f>IF(Projetos!$A31="","",Projetos!$A31)</f>
        <v/>
      </c>
      <c r="C44" s="34">
        <f>IF($B44="","",SUMIFS(Ambientes!$C:$C,Ambientes!$A:$A,$B44,Ambientes!$D:$D,"Ago"))</f>
        <v/>
      </c>
      <c r="D44" s="34">
        <f>IF($B44="","",SUMIFS(Ambientes!$C:$C,Ambientes!$A:$A,$B44,Ambientes!$E:$E,"Ago"))</f>
        <v/>
      </c>
      <c r="E44" s="34">
        <f>IF($B44="","",SUMIFS(Ambientes!$H:$H,Ambientes!$A:$A,$B44,Ambientes!$D:$D,"Ago"))</f>
        <v/>
      </c>
      <c r="F44" s="34">
        <f>IF($B44="","",SUMIFS(Faturamento!$C:$C,Faturamento!$A:$A,$B44,Faturamento!$D:$D,"Ago"))</f>
        <v/>
      </c>
      <c r="G44" s="34">
        <f>IF($B44="","",SUMIFS(Projetos!$B:$B,Projetos!$A:$A,$B44,Projetos!$C:$C,"Ago"))</f>
        <v/>
      </c>
    </row>
    <row r="45">
      <c r="B45" s="31">
        <f>IF(Projetos!$A32="","",Projetos!$A32)</f>
        <v/>
      </c>
      <c r="C45" s="32">
        <f>IF($B45="","",SUMIFS(Ambientes!$C:$C,Ambientes!$A:$A,$B45,Ambientes!$D:$D,"Ago"))</f>
        <v/>
      </c>
      <c r="D45" s="32">
        <f>IF($B45="","",SUMIFS(Ambientes!$C:$C,Ambientes!$A:$A,$B45,Ambientes!$E:$E,"Ago"))</f>
        <v/>
      </c>
      <c r="E45" s="32">
        <f>IF($B45="","",SUMIFS(Ambientes!$H:$H,Ambientes!$A:$A,$B45,Ambientes!$D:$D,"Ago"))</f>
        <v/>
      </c>
      <c r="F45" s="32">
        <f>IF($B45="","",SUMIFS(Faturamento!$C:$C,Faturamento!$A:$A,$B45,Faturamento!$D:$D,"Ago"))</f>
        <v/>
      </c>
      <c r="G45" s="32">
        <f>IF($B45="","",SUMIFS(Projetos!$B:$B,Projetos!$A:$A,$B45,Projetos!$C:$C,"Ago"))</f>
        <v/>
      </c>
    </row>
    <row r="46">
      <c r="B46" s="33">
        <f>IF(Projetos!$A33="","",Projetos!$A33)</f>
        <v/>
      </c>
      <c r="C46" s="34">
        <f>IF($B46="","",SUMIFS(Ambientes!$C:$C,Ambientes!$A:$A,$B46,Ambientes!$D:$D,"Ago"))</f>
        <v/>
      </c>
      <c r="D46" s="34">
        <f>IF($B46="","",SUMIFS(Ambientes!$C:$C,Ambientes!$A:$A,$B46,Ambientes!$E:$E,"Ago"))</f>
        <v/>
      </c>
      <c r="E46" s="34">
        <f>IF($B46="","",SUMIFS(Ambientes!$H:$H,Ambientes!$A:$A,$B46,Ambientes!$D:$D,"Ago"))</f>
        <v/>
      </c>
      <c r="F46" s="34">
        <f>IF($B46="","",SUMIFS(Faturamento!$C:$C,Faturamento!$A:$A,$B46,Faturamento!$D:$D,"Ago"))</f>
        <v/>
      </c>
      <c r="G46" s="34">
        <f>IF($B46="","",SUMIFS(Projetos!$B:$B,Projetos!$A:$A,$B46,Projetos!$C:$C,"Ago"))</f>
        <v/>
      </c>
    </row>
    <row r="47">
      <c r="B47" s="31">
        <f>IF(Projetos!$A34="","",Projetos!$A34)</f>
        <v/>
      </c>
      <c r="C47" s="32">
        <f>IF($B47="","",SUMIFS(Ambientes!$C:$C,Ambientes!$A:$A,$B47,Ambientes!$D:$D,"Ago"))</f>
        <v/>
      </c>
      <c r="D47" s="32">
        <f>IF($B47="","",SUMIFS(Ambientes!$C:$C,Ambientes!$A:$A,$B47,Ambientes!$E:$E,"Ago"))</f>
        <v/>
      </c>
      <c r="E47" s="32">
        <f>IF($B47="","",SUMIFS(Ambientes!$H:$H,Ambientes!$A:$A,$B47,Ambientes!$D:$D,"Ago"))</f>
        <v/>
      </c>
      <c r="F47" s="32">
        <f>IF($B47="","",SUMIFS(Faturamento!$C:$C,Faturamento!$A:$A,$B47,Faturamento!$D:$D,"Ago"))</f>
        <v/>
      </c>
      <c r="G47" s="32">
        <f>IF($B47="","",SUMIFS(Projetos!$B:$B,Projetos!$A:$A,$B47,Projetos!$C:$C,"Ago"))</f>
        <v/>
      </c>
    </row>
    <row r="48">
      <c r="B48" s="33">
        <f>IF(Projetos!$A35="","",Projetos!$A35)</f>
        <v/>
      </c>
      <c r="C48" s="34">
        <f>IF($B48="","",SUMIFS(Ambientes!$C:$C,Ambientes!$A:$A,$B48,Ambientes!$D:$D,"Ago"))</f>
        <v/>
      </c>
      <c r="D48" s="34">
        <f>IF($B48="","",SUMIFS(Ambientes!$C:$C,Ambientes!$A:$A,$B48,Ambientes!$E:$E,"Ago"))</f>
        <v/>
      </c>
      <c r="E48" s="34">
        <f>IF($B48="","",SUMIFS(Ambientes!$H:$H,Ambientes!$A:$A,$B48,Ambientes!$D:$D,"Ago"))</f>
        <v/>
      </c>
      <c r="F48" s="34">
        <f>IF($B48="","",SUMIFS(Faturamento!$C:$C,Faturamento!$A:$A,$B48,Faturamento!$D:$D,"Ago"))</f>
        <v/>
      </c>
      <c r="G48" s="34">
        <f>IF($B48="","",SUMIFS(Projetos!$B:$B,Projetos!$A:$A,$B48,Projetos!$C:$C,"Ago"))</f>
        <v/>
      </c>
    </row>
    <row r="49">
      <c r="B49" s="31">
        <f>IF(Projetos!$A36="","",Projetos!$A36)</f>
        <v/>
      </c>
      <c r="C49" s="32">
        <f>IF($B49="","",SUMIFS(Ambientes!$C:$C,Ambientes!$A:$A,$B49,Ambientes!$D:$D,"Ago"))</f>
        <v/>
      </c>
      <c r="D49" s="32">
        <f>IF($B49="","",SUMIFS(Ambientes!$C:$C,Ambientes!$A:$A,$B49,Ambientes!$E:$E,"Ago"))</f>
        <v/>
      </c>
      <c r="E49" s="32">
        <f>IF($B49="","",SUMIFS(Ambientes!$H:$H,Ambientes!$A:$A,$B49,Ambientes!$D:$D,"Ago"))</f>
        <v/>
      </c>
      <c r="F49" s="32">
        <f>IF($B49="","",SUMIFS(Faturamento!$C:$C,Faturamento!$A:$A,$B49,Faturamento!$D:$D,"Ago"))</f>
        <v/>
      </c>
      <c r="G49" s="32">
        <f>IF($B49="","",SUMIFS(Projetos!$B:$B,Projetos!$A:$A,$B49,Projetos!$C:$C,"Ago"))</f>
        <v/>
      </c>
    </row>
    <row r="50">
      <c r="B50" s="33">
        <f>IF(Projetos!$A37="","",Projetos!$A37)</f>
        <v/>
      </c>
      <c r="C50" s="34">
        <f>IF($B50="","",SUMIFS(Ambientes!$C:$C,Ambientes!$A:$A,$B50,Ambientes!$D:$D,"Ago"))</f>
        <v/>
      </c>
      <c r="D50" s="34">
        <f>IF($B50="","",SUMIFS(Ambientes!$C:$C,Ambientes!$A:$A,$B50,Ambientes!$E:$E,"Ago"))</f>
        <v/>
      </c>
      <c r="E50" s="34">
        <f>IF($B50="","",SUMIFS(Ambientes!$H:$H,Ambientes!$A:$A,$B50,Ambientes!$D:$D,"Ago"))</f>
        <v/>
      </c>
      <c r="F50" s="34">
        <f>IF($B50="","",SUMIFS(Faturamento!$C:$C,Faturamento!$A:$A,$B50,Faturamento!$D:$D,"Ago"))</f>
        <v/>
      </c>
      <c r="G50" s="34">
        <f>IF($B50="","",SUMIFS(Projetos!$B:$B,Projetos!$A:$A,$B50,Projetos!$C:$C,"Ago"))</f>
        <v/>
      </c>
    </row>
    <row r="51">
      <c r="B51" s="31">
        <f>IF(Projetos!$A38="","",Projetos!$A38)</f>
        <v/>
      </c>
      <c r="C51" s="32">
        <f>IF($B51="","",SUMIFS(Ambientes!$C:$C,Ambientes!$A:$A,$B51,Ambientes!$D:$D,"Ago"))</f>
        <v/>
      </c>
      <c r="D51" s="32">
        <f>IF($B51="","",SUMIFS(Ambientes!$C:$C,Ambientes!$A:$A,$B51,Ambientes!$E:$E,"Ago"))</f>
        <v/>
      </c>
      <c r="E51" s="32">
        <f>IF($B51="","",SUMIFS(Ambientes!$H:$H,Ambientes!$A:$A,$B51,Ambientes!$D:$D,"Ago"))</f>
        <v/>
      </c>
      <c r="F51" s="32">
        <f>IF($B51="","",SUMIFS(Faturamento!$C:$C,Faturamento!$A:$A,$B51,Faturamento!$D:$D,"Ago"))</f>
        <v/>
      </c>
      <c r="G51" s="32">
        <f>IF($B51="","",SUMIFS(Projetos!$B:$B,Projetos!$A:$A,$B51,Projetos!$C:$C,"Ago"))</f>
        <v/>
      </c>
    </row>
    <row r="52">
      <c r="B52" s="33">
        <f>IF(Projetos!$A39="","",Projetos!$A39)</f>
        <v/>
      </c>
      <c r="C52" s="34">
        <f>IF($B52="","",SUMIFS(Ambientes!$C:$C,Ambientes!$A:$A,$B52,Ambientes!$D:$D,"Ago"))</f>
        <v/>
      </c>
      <c r="D52" s="34">
        <f>IF($B52="","",SUMIFS(Ambientes!$C:$C,Ambientes!$A:$A,$B52,Ambientes!$E:$E,"Ago"))</f>
        <v/>
      </c>
      <c r="E52" s="34">
        <f>IF($B52="","",SUMIFS(Ambientes!$H:$H,Ambientes!$A:$A,$B52,Ambientes!$D:$D,"Ago"))</f>
        <v/>
      </c>
      <c r="F52" s="34">
        <f>IF($B52="","",SUMIFS(Faturamento!$C:$C,Faturamento!$A:$A,$B52,Faturamento!$D:$D,"Ago"))</f>
        <v/>
      </c>
      <c r="G52" s="34">
        <f>IF($B52="","",SUMIFS(Projetos!$B:$B,Projetos!$A:$A,$B52,Projetos!$C:$C,"Ago"))</f>
        <v/>
      </c>
    </row>
    <row r="53">
      <c r="B53" s="31">
        <f>IF(Projetos!$A40="","",Projetos!$A40)</f>
        <v/>
      </c>
      <c r="C53" s="32">
        <f>IF($B53="","",SUMIFS(Ambientes!$C:$C,Ambientes!$A:$A,$B53,Ambientes!$D:$D,"Ago"))</f>
        <v/>
      </c>
      <c r="D53" s="32">
        <f>IF($B53="","",SUMIFS(Ambientes!$C:$C,Ambientes!$A:$A,$B53,Ambientes!$E:$E,"Ago"))</f>
        <v/>
      </c>
      <c r="E53" s="32">
        <f>IF($B53="","",SUMIFS(Ambientes!$H:$H,Ambientes!$A:$A,$B53,Ambientes!$D:$D,"Ago"))</f>
        <v/>
      </c>
      <c r="F53" s="32">
        <f>IF($B53="","",SUMIFS(Faturamento!$C:$C,Faturamento!$A:$A,$B53,Faturamento!$D:$D,"Ago"))</f>
        <v/>
      </c>
      <c r="G53" s="32">
        <f>IF($B53="","",SUMIFS(Projetos!$B:$B,Projetos!$A:$A,$B53,Projetos!$C:$C,"Ago"))</f>
        <v/>
      </c>
    </row>
    <row r="54">
      <c r="B54" s="33">
        <f>IF(Projetos!$A41="","",Projetos!$A41)</f>
        <v/>
      </c>
      <c r="C54" s="34">
        <f>IF($B54="","",SUMIFS(Ambientes!$C:$C,Ambientes!$A:$A,$B54,Ambientes!$D:$D,"Ago"))</f>
        <v/>
      </c>
      <c r="D54" s="34">
        <f>IF($B54="","",SUMIFS(Ambientes!$C:$C,Ambientes!$A:$A,$B54,Ambientes!$E:$E,"Ago"))</f>
        <v/>
      </c>
      <c r="E54" s="34">
        <f>IF($B54="","",SUMIFS(Ambientes!$H:$H,Ambientes!$A:$A,$B54,Ambientes!$D:$D,"Ago"))</f>
        <v/>
      </c>
      <c r="F54" s="34">
        <f>IF($B54="","",SUMIFS(Faturamento!$C:$C,Faturamento!$A:$A,$B54,Faturamento!$D:$D,"Ago"))</f>
        <v/>
      </c>
      <c r="G54" s="34">
        <f>IF($B54="","",SUMIFS(Projetos!$B:$B,Projetos!$A:$A,$B54,Projetos!$C:$C,"Ago"))</f>
        <v/>
      </c>
    </row>
    <row r="55">
      <c r="B55" s="31">
        <f>IF(Projetos!$A42="","",Projetos!$A42)</f>
        <v/>
      </c>
      <c r="C55" s="32">
        <f>IF($B55="","",SUMIFS(Ambientes!$C:$C,Ambientes!$A:$A,$B55,Ambientes!$D:$D,"Ago"))</f>
        <v/>
      </c>
      <c r="D55" s="32">
        <f>IF($B55="","",SUMIFS(Ambientes!$C:$C,Ambientes!$A:$A,$B55,Ambientes!$E:$E,"Ago"))</f>
        <v/>
      </c>
      <c r="E55" s="32">
        <f>IF($B55="","",SUMIFS(Ambientes!$H:$H,Ambientes!$A:$A,$B55,Ambientes!$D:$D,"Ago"))</f>
        <v/>
      </c>
      <c r="F55" s="32">
        <f>IF($B55="","",SUMIFS(Faturamento!$C:$C,Faturamento!$A:$A,$B55,Faturamento!$D:$D,"Ago"))</f>
        <v/>
      </c>
      <c r="G55" s="32">
        <f>IF($B55="","",SUMIFS(Projetos!$B:$B,Projetos!$A:$A,$B55,Projetos!$C:$C,"Ago"))</f>
        <v/>
      </c>
    </row>
    <row r="56">
      <c r="B56" s="33">
        <f>IF(Projetos!$A43="","",Projetos!$A43)</f>
        <v/>
      </c>
      <c r="C56" s="34">
        <f>IF($B56="","",SUMIFS(Ambientes!$C:$C,Ambientes!$A:$A,$B56,Ambientes!$D:$D,"Ago"))</f>
        <v/>
      </c>
      <c r="D56" s="34">
        <f>IF($B56="","",SUMIFS(Ambientes!$C:$C,Ambientes!$A:$A,$B56,Ambientes!$E:$E,"Ago"))</f>
        <v/>
      </c>
      <c r="E56" s="34">
        <f>IF($B56="","",SUMIFS(Ambientes!$H:$H,Ambientes!$A:$A,$B56,Ambientes!$D:$D,"Ago"))</f>
        <v/>
      </c>
      <c r="F56" s="34">
        <f>IF($B56="","",SUMIFS(Faturamento!$C:$C,Faturamento!$A:$A,$B56,Faturamento!$D:$D,"Ago"))</f>
        <v/>
      </c>
      <c r="G56" s="34">
        <f>IF($B56="","",SUMIFS(Projetos!$B:$B,Projetos!$A:$A,$B56,Projetos!$C:$C,"Ago"))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SETEMBRO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Fixo'!$A:$A,"Set",'Custo Fixo'!$E:$E)</f>
        <v/>
      </c>
      <c r="C6" s="19">
        <f>SUMIF(Projetos!$C:$C,"Set",Projetos!$B:$B)</f>
        <v/>
      </c>
      <c r="D6" s="20">
        <f>SUMIF(Ambientes!$D:$D,"Set",Ambientes!$H:$H)</f>
        <v/>
      </c>
      <c r="E6" s="19">
        <f>SUMIF(Ambientes!$D:$D,"Set",Ambientes!$C:$C)</f>
        <v/>
      </c>
      <c r="F6" s="19">
        <f>SUMIF(Ambientes!$E:$E,"Set",Ambientes!$C:$C)</f>
        <v/>
      </c>
      <c r="G6" s="19">
        <f>SUMIF(Faturamento!$D:$D,"Set",Faturamento!$C:$C)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SUMIF(Compras!$E:$E,"Set",Compras!$D:$D)</f>
        <v/>
      </c>
      <c r="C12" s="27">
        <f>SUMIFS(Compras!$D:$D,Compras!$H:$H,"&lt;=9",Compras!$A:$A,"&lt;&gt;")-SUMIF(Ambientes!$J:$J,"&lt;=9",Ambientes!$H:$H)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SUMIF(Projetos!$H:$H,"&lt;=9",Projetos!$B:$B)-SUMIF(Ambientes!$J:$J,"&lt;=9",Ambientes!$C:$C)</f>
        <v/>
      </c>
    </row>
    <row r="13" ht="26" customHeight="1">
      <c r="B13" s="30">
        <f>=IF(SUMIF(Compras!$E:$E,"Set",Compras!$D:$D)-SUMIFS(Compras!$D:$D,Compras!$E:$E,"Set",Compras!$A:$A,"&lt;&gt;")=0,"tudo vinculado a projeto","dos quais "&amp;TEXT(SUMIF(Compras!$E:$E,"Set",Compras!$D:$D)-SUMIFS(Compras!$D:$D,Compras!$E:$E,"Set",Compras!$A:$A,"&lt;&gt;"),"R$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IF($B17="","",SUMIFS(Ambientes!$C:$C,Ambientes!$A:$A,$B17,Ambientes!$D:$D,"Set"))</f>
        <v/>
      </c>
      <c r="D17" s="32">
        <f>IF($B17="","",SUMIFS(Ambientes!$C:$C,Ambientes!$A:$A,$B17,Ambientes!$E:$E,"Set"))</f>
        <v/>
      </c>
      <c r="E17" s="32">
        <f>IF($B17="","",SUMIFS(Ambientes!$H:$H,Ambientes!$A:$A,$B17,Ambientes!$D:$D,"Set"))</f>
        <v/>
      </c>
      <c r="F17" s="32">
        <f>IF($B17="","",SUMIFS(Faturamento!$C:$C,Faturamento!$A:$A,$B17,Faturamento!$D:$D,"Set"))</f>
        <v/>
      </c>
      <c r="G17" s="32">
        <f>IF($B17="","",SUMIFS(Projetos!$B:$B,Projetos!$A:$A,$B17,Projetos!$C:$C,"Set"))</f>
        <v/>
      </c>
    </row>
    <row r="18">
      <c r="B18" s="33">
        <f>IF(Projetos!$A5="","",Projetos!$A5)</f>
        <v/>
      </c>
      <c r="C18" s="34">
        <f>IF($B18="","",SUMIFS(Ambientes!$C:$C,Ambientes!$A:$A,$B18,Ambientes!$D:$D,"Set"))</f>
        <v/>
      </c>
      <c r="D18" s="34">
        <f>IF($B18="","",SUMIFS(Ambientes!$C:$C,Ambientes!$A:$A,$B18,Ambientes!$E:$E,"Set"))</f>
        <v/>
      </c>
      <c r="E18" s="34">
        <f>IF($B18="","",SUMIFS(Ambientes!$H:$H,Ambientes!$A:$A,$B18,Ambientes!$D:$D,"Set"))</f>
        <v/>
      </c>
      <c r="F18" s="34">
        <f>IF($B18="","",SUMIFS(Faturamento!$C:$C,Faturamento!$A:$A,$B18,Faturamento!$D:$D,"Set"))</f>
        <v/>
      </c>
      <c r="G18" s="34">
        <f>IF($B18="","",SUMIFS(Projetos!$B:$B,Projetos!$A:$A,$B18,Projetos!$C:$C,"Set"))</f>
        <v/>
      </c>
    </row>
    <row r="19">
      <c r="B19" s="31">
        <f>IF(Projetos!$A6="","",Projetos!$A6)</f>
        <v/>
      </c>
      <c r="C19" s="32">
        <f>IF($B19="","",SUMIFS(Ambientes!$C:$C,Ambientes!$A:$A,$B19,Ambientes!$D:$D,"Set"))</f>
        <v/>
      </c>
      <c r="D19" s="32">
        <f>IF($B19="","",SUMIFS(Ambientes!$C:$C,Ambientes!$A:$A,$B19,Ambientes!$E:$E,"Set"))</f>
        <v/>
      </c>
      <c r="E19" s="32">
        <f>IF($B19="","",SUMIFS(Ambientes!$H:$H,Ambientes!$A:$A,$B19,Ambientes!$D:$D,"Set"))</f>
        <v/>
      </c>
      <c r="F19" s="32">
        <f>IF($B19="","",SUMIFS(Faturamento!$C:$C,Faturamento!$A:$A,$B19,Faturamento!$D:$D,"Set"))</f>
        <v/>
      </c>
      <c r="G19" s="32">
        <f>IF($B19="","",SUMIFS(Projetos!$B:$B,Projetos!$A:$A,$B19,Projetos!$C:$C,"Set"))</f>
        <v/>
      </c>
    </row>
    <row r="20">
      <c r="B20" s="33">
        <f>IF(Projetos!$A7="","",Projetos!$A7)</f>
        <v/>
      </c>
      <c r="C20" s="34">
        <f>IF($B20="","",SUMIFS(Ambientes!$C:$C,Ambientes!$A:$A,$B20,Ambientes!$D:$D,"Set"))</f>
        <v/>
      </c>
      <c r="D20" s="34">
        <f>IF($B20="","",SUMIFS(Ambientes!$C:$C,Ambientes!$A:$A,$B20,Ambientes!$E:$E,"Set"))</f>
        <v/>
      </c>
      <c r="E20" s="34">
        <f>IF($B20="","",SUMIFS(Ambientes!$H:$H,Ambientes!$A:$A,$B20,Ambientes!$D:$D,"Set"))</f>
        <v/>
      </c>
      <c r="F20" s="34">
        <f>IF($B20="","",SUMIFS(Faturamento!$C:$C,Faturamento!$A:$A,$B20,Faturamento!$D:$D,"Set"))</f>
        <v/>
      </c>
      <c r="G20" s="34">
        <f>IF($B20="","",SUMIFS(Projetos!$B:$B,Projetos!$A:$A,$B20,Projetos!$C:$C,"Set"))</f>
        <v/>
      </c>
    </row>
    <row r="21">
      <c r="B21" s="31">
        <f>IF(Projetos!$A8="","",Projetos!$A8)</f>
        <v/>
      </c>
      <c r="C21" s="32">
        <f>IF($B21="","",SUMIFS(Ambientes!$C:$C,Ambientes!$A:$A,$B21,Ambientes!$D:$D,"Set"))</f>
        <v/>
      </c>
      <c r="D21" s="32">
        <f>IF($B21="","",SUMIFS(Ambientes!$C:$C,Ambientes!$A:$A,$B21,Ambientes!$E:$E,"Set"))</f>
        <v/>
      </c>
      <c r="E21" s="32">
        <f>IF($B21="","",SUMIFS(Ambientes!$H:$H,Ambientes!$A:$A,$B21,Ambientes!$D:$D,"Set"))</f>
        <v/>
      </c>
      <c r="F21" s="32">
        <f>IF($B21="","",SUMIFS(Faturamento!$C:$C,Faturamento!$A:$A,$B21,Faturamento!$D:$D,"Set"))</f>
        <v/>
      </c>
      <c r="G21" s="32">
        <f>IF($B21="","",SUMIFS(Projetos!$B:$B,Projetos!$A:$A,$B21,Projetos!$C:$C,"Set"))</f>
        <v/>
      </c>
    </row>
    <row r="22">
      <c r="B22" s="33">
        <f>IF(Projetos!$A9="","",Projetos!$A9)</f>
        <v/>
      </c>
      <c r="C22" s="34">
        <f>IF($B22="","",SUMIFS(Ambientes!$C:$C,Ambientes!$A:$A,$B22,Ambientes!$D:$D,"Set"))</f>
        <v/>
      </c>
      <c r="D22" s="34">
        <f>IF($B22="","",SUMIFS(Ambientes!$C:$C,Ambientes!$A:$A,$B22,Ambientes!$E:$E,"Set"))</f>
        <v/>
      </c>
      <c r="E22" s="34">
        <f>IF($B22="","",SUMIFS(Ambientes!$H:$H,Ambientes!$A:$A,$B22,Ambientes!$D:$D,"Set"))</f>
        <v/>
      </c>
      <c r="F22" s="34">
        <f>IF($B22="","",SUMIFS(Faturamento!$C:$C,Faturamento!$A:$A,$B22,Faturamento!$D:$D,"Set"))</f>
        <v/>
      </c>
      <c r="G22" s="34">
        <f>IF($B22="","",SUMIFS(Projetos!$B:$B,Projetos!$A:$A,$B22,Projetos!$C:$C,"Set"))</f>
        <v/>
      </c>
    </row>
    <row r="23">
      <c r="B23" s="31">
        <f>IF(Projetos!$A10="","",Projetos!$A10)</f>
        <v/>
      </c>
      <c r="C23" s="32">
        <f>IF($B23="","",SUMIFS(Ambientes!$C:$C,Ambientes!$A:$A,$B23,Ambientes!$D:$D,"Set"))</f>
        <v/>
      </c>
      <c r="D23" s="32">
        <f>IF($B23="","",SUMIFS(Ambientes!$C:$C,Ambientes!$A:$A,$B23,Ambientes!$E:$E,"Set"))</f>
        <v/>
      </c>
      <c r="E23" s="32">
        <f>IF($B23="","",SUMIFS(Ambientes!$H:$H,Ambientes!$A:$A,$B23,Ambientes!$D:$D,"Set"))</f>
        <v/>
      </c>
      <c r="F23" s="32">
        <f>IF($B23="","",SUMIFS(Faturamento!$C:$C,Faturamento!$A:$A,$B23,Faturamento!$D:$D,"Set"))</f>
        <v/>
      </c>
      <c r="G23" s="32">
        <f>IF($B23="","",SUMIFS(Projetos!$B:$B,Projetos!$A:$A,$B23,Projetos!$C:$C,"Set"))</f>
        <v/>
      </c>
    </row>
    <row r="24">
      <c r="B24" s="33">
        <f>IF(Projetos!$A11="","",Projetos!$A11)</f>
        <v/>
      </c>
      <c r="C24" s="34">
        <f>IF($B24="","",SUMIFS(Ambientes!$C:$C,Ambientes!$A:$A,$B24,Ambientes!$D:$D,"Set"))</f>
        <v/>
      </c>
      <c r="D24" s="34">
        <f>IF($B24="","",SUMIFS(Ambientes!$C:$C,Ambientes!$A:$A,$B24,Ambientes!$E:$E,"Set"))</f>
        <v/>
      </c>
      <c r="E24" s="34">
        <f>IF($B24="","",SUMIFS(Ambientes!$H:$H,Ambientes!$A:$A,$B24,Ambientes!$D:$D,"Set"))</f>
        <v/>
      </c>
      <c r="F24" s="34">
        <f>IF($B24="","",SUMIFS(Faturamento!$C:$C,Faturamento!$A:$A,$B24,Faturamento!$D:$D,"Set"))</f>
        <v/>
      </c>
      <c r="G24" s="34">
        <f>IF($B24="","",SUMIFS(Projetos!$B:$B,Projetos!$A:$A,$B24,Projetos!$C:$C,"Set"))</f>
        <v/>
      </c>
    </row>
    <row r="25">
      <c r="B25" s="31">
        <f>IF(Projetos!$A12="","",Projetos!$A12)</f>
        <v/>
      </c>
      <c r="C25" s="32">
        <f>IF($B25="","",SUMIFS(Ambientes!$C:$C,Ambientes!$A:$A,$B25,Ambientes!$D:$D,"Set"))</f>
        <v/>
      </c>
      <c r="D25" s="32">
        <f>IF($B25="","",SUMIFS(Ambientes!$C:$C,Ambientes!$A:$A,$B25,Ambientes!$E:$E,"Set"))</f>
        <v/>
      </c>
      <c r="E25" s="32">
        <f>IF($B25="","",SUMIFS(Ambientes!$H:$H,Ambientes!$A:$A,$B25,Ambientes!$D:$D,"Set"))</f>
        <v/>
      </c>
      <c r="F25" s="32">
        <f>IF($B25="","",SUMIFS(Faturamento!$C:$C,Faturamento!$A:$A,$B25,Faturamento!$D:$D,"Set"))</f>
        <v/>
      </c>
      <c r="G25" s="32">
        <f>IF($B25="","",SUMIFS(Projetos!$B:$B,Projetos!$A:$A,$B25,Projetos!$C:$C,"Set"))</f>
        <v/>
      </c>
    </row>
    <row r="26">
      <c r="B26" s="33">
        <f>IF(Projetos!$A13="","",Projetos!$A13)</f>
        <v/>
      </c>
      <c r="C26" s="34">
        <f>IF($B26="","",SUMIFS(Ambientes!$C:$C,Ambientes!$A:$A,$B26,Ambientes!$D:$D,"Set"))</f>
        <v/>
      </c>
      <c r="D26" s="34">
        <f>IF($B26="","",SUMIFS(Ambientes!$C:$C,Ambientes!$A:$A,$B26,Ambientes!$E:$E,"Set"))</f>
        <v/>
      </c>
      <c r="E26" s="34">
        <f>IF($B26="","",SUMIFS(Ambientes!$H:$H,Ambientes!$A:$A,$B26,Ambientes!$D:$D,"Set"))</f>
        <v/>
      </c>
      <c r="F26" s="34">
        <f>IF($B26="","",SUMIFS(Faturamento!$C:$C,Faturamento!$A:$A,$B26,Faturamento!$D:$D,"Set"))</f>
        <v/>
      </c>
      <c r="G26" s="34">
        <f>IF($B26="","",SUMIFS(Projetos!$B:$B,Projetos!$A:$A,$B26,Projetos!$C:$C,"Set"))</f>
        <v/>
      </c>
    </row>
    <row r="27">
      <c r="B27" s="31">
        <f>IF(Projetos!$A14="","",Projetos!$A14)</f>
        <v/>
      </c>
      <c r="C27" s="32">
        <f>IF($B27="","",SUMIFS(Ambientes!$C:$C,Ambientes!$A:$A,$B27,Ambientes!$D:$D,"Set"))</f>
        <v/>
      </c>
      <c r="D27" s="32">
        <f>IF($B27="","",SUMIFS(Ambientes!$C:$C,Ambientes!$A:$A,$B27,Ambientes!$E:$E,"Set"))</f>
        <v/>
      </c>
      <c r="E27" s="32">
        <f>IF($B27="","",SUMIFS(Ambientes!$H:$H,Ambientes!$A:$A,$B27,Ambientes!$D:$D,"Set"))</f>
        <v/>
      </c>
      <c r="F27" s="32">
        <f>IF($B27="","",SUMIFS(Faturamento!$C:$C,Faturamento!$A:$A,$B27,Faturamento!$D:$D,"Set"))</f>
        <v/>
      </c>
      <c r="G27" s="32">
        <f>IF($B27="","",SUMIFS(Projetos!$B:$B,Projetos!$A:$A,$B27,Projetos!$C:$C,"Set"))</f>
        <v/>
      </c>
    </row>
    <row r="28">
      <c r="B28" s="33">
        <f>IF(Projetos!$A15="","",Projetos!$A15)</f>
        <v/>
      </c>
      <c r="C28" s="34">
        <f>IF($B28="","",SUMIFS(Ambientes!$C:$C,Ambientes!$A:$A,$B28,Ambientes!$D:$D,"Set"))</f>
        <v/>
      </c>
      <c r="D28" s="34">
        <f>IF($B28="","",SUMIFS(Ambientes!$C:$C,Ambientes!$A:$A,$B28,Ambientes!$E:$E,"Set"))</f>
        <v/>
      </c>
      <c r="E28" s="34">
        <f>IF($B28="","",SUMIFS(Ambientes!$H:$H,Ambientes!$A:$A,$B28,Ambientes!$D:$D,"Set"))</f>
        <v/>
      </c>
      <c r="F28" s="34">
        <f>IF($B28="","",SUMIFS(Faturamento!$C:$C,Faturamento!$A:$A,$B28,Faturamento!$D:$D,"Set"))</f>
        <v/>
      </c>
      <c r="G28" s="34">
        <f>IF($B28="","",SUMIFS(Projetos!$B:$B,Projetos!$A:$A,$B28,Projetos!$C:$C,"Set"))</f>
        <v/>
      </c>
    </row>
    <row r="29">
      <c r="B29" s="31">
        <f>IF(Projetos!$A16="","",Projetos!$A16)</f>
        <v/>
      </c>
      <c r="C29" s="32">
        <f>IF($B29="","",SUMIFS(Ambientes!$C:$C,Ambientes!$A:$A,$B29,Ambientes!$D:$D,"Set"))</f>
        <v/>
      </c>
      <c r="D29" s="32">
        <f>IF($B29="","",SUMIFS(Ambientes!$C:$C,Ambientes!$A:$A,$B29,Ambientes!$E:$E,"Set"))</f>
        <v/>
      </c>
      <c r="E29" s="32">
        <f>IF($B29="","",SUMIFS(Ambientes!$H:$H,Ambientes!$A:$A,$B29,Ambientes!$D:$D,"Set"))</f>
        <v/>
      </c>
      <c r="F29" s="32">
        <f>IF($B29="","",SUMIFS(Faturamento!$C:$C,Faturamento!$A:$A,$B29,Faturamento!$D:$D,"Set"))</f>
        <v/>
      </c>
      <c r="G29" s="32">
        <f>IF($B29="","",SUMIFS(Projetos!$B:$B,Projetos!$A:$A,$B29,Projetos!$C:$C,"Set"))</f>
        <v/>
      </c>
    </row>
    <row r="30">
      <c r="B30" s="33">
        <f>IF(Projetos!$A17="","",Projetos!$A17)</f>
        <v/>
      </c>
      <c r="C30" s="34">
        <f>IF($B30="","",SUMIFS(Ambientes!$C:$C,Ambientes!$A:$A,$B30,Ambientes!$D:$D,"Set"))</f>
        <v/>
      </c>
      <c r="D30" s="34">
        <f>IF($B30="","",SUMIFS(Ambientes!$C:$C,Ambientes!$A:$A,$B30,Ambientes!$E:$E,"Set"))</f>
        <v/>
      </c>
      <c r="E30" s="34">
        <f>IF($B30="","",SUMIFS(Ambientes!$H:$H,Ambientes!$A:$A,$B30,Ambientes!$D:$D,"Set"))</f>
        <v/>
      </c>
      <c r="F30" s="34">
        <f>IF($B30="","",SUMIFS(Faturamento!$C:$C,Faturamento!$A:$A,$B30,Faturamento!$D:$D,"Set"))</f>
        <v/>
      </c>
      <c r="G30" s="34">
        <f>IF($B30="","",SUMIFS(Projetos!$B:$B,Projetos!$A:$A,$B30,Projetos!$C:$C,"Set"))</f>
        <v/>
      </c>
    </row>
    <row r="31">
      <c r="B31" s="31">
        <f>IF(Projetos!$A18="","",Projetos!$A18)</f>
        <v/>
      </c>
      <c r="C31" s="32">
        <f>IF($B31="","",SUMIFS(Ambientes!$C:$C,Ambientes!$A:$A,$B31,Ambientes!$D:$D,"Set"))</f>
        <v/>
      </c>
      <c r="D31" s="32">
        <f>IF($B31="","",SUMIFS(Ambientes!$C:$C,Ambientes!$A:$A,$B31,Ambientes!$E:$E,"Set"))</f>
        <v/>
      </c>
      <c r="E31" s="32">
        <f>IF($B31="","",SUMIFS(Ambientes!$H:$H,Ambientes!$A:$A,$B31,Ambientes!$D:$D,"Set"))</f>
        <v/>
      </c>
      <c r="F31" s="32">
        <f>IF($B31="","",SUMIFS(Faturamento!$C:$C,Faturamento!$A:$A,$B31,Faturamento!$D:$D,"Set"))</f>
        <v/>
      </c>
      <c r="G31" s="32">
        <f>IF($B31="","",SUMIFS(Projetos!$B:$B,Projetos!$A:$A,$B31,Projetos!$C:$C,"Set"))</f>
        <v/>
      </c>
    </row>
    <row r="32">
      <c r="B32" s="33">
        <f>IF(Projetos!$A19="","",Projetos!$A19)</f>
        <v/>
      </c>
      <c r="C32" s="34">
        <f>IF($B32="","",SUMIFS(Ambientes!$C:$C,Ambientes!$A:$A,$B32,Ambientes!$D:$D,"Set"))</f>
        <v/>
      </c>
      <c r="D32" s="34">
        <f>IF($B32="","",SUMIFS(Ambientes!$C:$C,Ambientes!$A:$A,$B32,Ambientes!$E:$E,"Set"))</f>
        <v/>
      </c>
      <c r="E32" s="34">
        <f>IF($B32="","",SUMIFS(Ambientes!$H:$H,Ambientes!$A:$A,$B32,Ambientes!$D:$D,"Set"))</f>
        <v/>
      </c>
      <c r="F32" s="34">
        <f>IF($B32="","",SUMIFS(Faturamento!$C:$C,Faturamento!$A:$A,$B32,Faturamento!$D:$D,"Set"))</f>
        <v/>
      </c>
      <c r="G32" s="34">
        <f>IF($B32="","",SUMIFS(Projetos!$B:$B,Projetos!$A:$A,$B32,Projetos!$C:$C,"Set"))</f>
        <v/>
      </c>
    </row>
    <row r="33">
      <c r="B33" s="31">
        <f>IF(Projetos!$A20="","",Projetos!$A20)</f>
        <v/>
      </c>
      <c r="C33" s="32">
        <f>IF($B33="","",SUMIFS(Ambientes!$C:$C,Ambientes!$A:$A,$B33,Ambientes!$D:$D,"Set"))</f>
        <v/>
      </c>
      <c r="D33" s="32">
        <f>IF($B33="","",SUMIFS(Ambientes!$C:$C,Ambientes!$A:$A,$B33,Ambientes!$E:$E,"Set"))</f>
        <v/>
      </c>
      <c r="E33" s="32">
        <f>IF($B33="","",SUMIFS(Ambientes!$H:$H,Ambientes!$A:$A,$B33,Ambientes!$D:$D,"Set"))</f>
        <v/>
      </c>
      <c r="F33" s="32">
        <f>IF($B33="","",SUMIFS(Faturamento!$C:$C,Faturamento!$A:$A,$B33,Faturamento!$D:$D,"Set"))</f>
        <v/>
      </c>
      <c r="G33" s="32">
        <f>IF($B33="","",SUMIFS(Projetos!$B:$B,Projetos!$A:$A,$B33,Projetos!$C:$C,"Set"))</f>
        <v/>
      </c>
    </row>
    <row r="34">
      <c r="B34" s="33">
        <f>IF(Projetos!$A21="","",Projetos!$A21)</f>
        <v/>
      </c>
      <c r="C34" s="34">
        <f>IF($B34="","",SUMIFS(Ambientes!$C:$C,Ambientes!$A:$A,$B34,Ambientes!$D:$D,"Set"))</f>
        <v/>
      </c>
      <c r="D34" s="34">
        <f>IF($B34="","",SUMIFS(Ambientes!$C:$C,Ambientes!$A:$A,$B34,Ambientes!$E:$E,"Set"))</f>
        <v/>
      </c>
      <c r="E34" s="34">
        <f>IF($B34="","",SUMIFS(Ambientes!$H:$H,Ambientes!$A:$A,$B34,Ambientes!$D:$D,"Set"))</f>
        <v/>
      </c>
      <c r="F34" s="34">
        <f>IF($B34="","",SUMIFS(Faturamento!$C:$C,Faturamento!$A:$A,$B34,Faturamento!$D:$D,"Set"))</f>
        <v/>
      </c>
      <c r="G34" s="34">
        <f>IF($B34="","",SUMIFS(Projetos!$B:$B,Projetos!$A:$A,$B34,Projetos!$C:$C,"Set"))</f>
        <v/>
      </c>
    </row>
    <row r="35">
      <c r="B35" s="31">
        <f>IF(Projetos!$A22="","",Projetos!$A22)</f>
        <v/>
      </c>
      <c r="C35" s="32">
        <f>IF($B35="","",SUMIFS(Ambientes!$C:$C,Ambientes!$A:$A,$B35,Ambientes!$D:$D,"Set"))</f>
        <v/>
      </c>
      <c r="D35" s="32">
        <f>IF($B35="","",SUMIFS(Ambientes!$C:$C,Ambientes!$A:$A,$B35,Ambientes!$E:$E,"Set"))</f>
        <v/>
      </c>
      <c r="E35" s="32">
        <f>IF($B35="","",SUMIFS(Ambientes!$H:$H,Ambientes!$A:$A,$B35,Ambientes!$D:$D,"Set"))</f>
        <v/>
      </c>
      <c r="F35" s="32">
        <f>IF($B35="","",SUMIFS(Faturamento!$C:$C,Faturamento!$A:$A,$B35,Faturamento!$D:$D,"Set"))</f>
        <v/>
      </c>
      <c r="G35" s="32">
        <f>IF($B35="","",SUMIFS(Projetos!$B:$B,Projetos!$A:$A,$B35,Projetos!$C:$C,"Set"))</f>
        <v/>
      </c>
    </row>
    <row r="36">
      <c r="B36" s="33">
        <f>IF(Projetos!$A23="","",Projetos!$A23)</f>
        <v/>
      </c>
      <c r="C36" s="34">
        <f>IF($B36="","",SUMIFS(Ambientes!$C:$C,Ambientes!$A:$A,$B36,Ambientes!$D:$D,"Set"))</f>
        <v/>
      </c>
      <c r="D36" s="34">
        <f>IF($B36="","",SUMIFS(Ambientes!$C:$C,Ambientes!$A:$A,$B36,Ambientes!$E:$E,"Set"))</f>
        <v/>
      </c>
      <c r="E36" s="34">
        <f>IF($B36="","",SUMIFS(Ambientes!$H:$H,Ambientes!$A:$A,$B36,Ambientes!$D:$D,"Set"))</f>
        <v/>
      </c>
      <c r="F36" s="34">
        <f>IF($B36="","",SUMIFS(Faturamento!$C:$C,Faturamento!$A:$A,$B36,Faturamento!$D:$D,"Set"))</f>
        <v/>
      </c>
      <c r="G36" s="34">
        <f>IF($B36="","",SUMIFS(Projetos!$B:$B,Projetos!$A:$A,$B36,Projetos!$C:$C,"Set"))</f>
        <v/>
      </c>
    </row>
    <row r="37">
      <c r="B37" s="31">
        <f>IF(Projetos!$A24="","",Projetos!$A24)</f>
        <v/>
      </c>
      <c r="C37" s="32">
        <f>IF($B37="","",SUMIFS(Ambientes!$C:$C,Ambientes!$A:$A,$B37,Ambientes!$D:$D,"Set"))</f>
        <v/>
      </c>
      <c r="D37" s="32">
        <f>IF($B37="","",SUMIFS(Ambientes!$C:$C,Ambientes!$A:$A,$B37,Ambientes!$E:$E,"Set"))</f>
        <v/>
      </c>
      <c r="E37" s="32">
        <f>IF($B37="","",SUMIFS(Ambientes!$H:$H,Ambientes!$A:$A,$B37,Ambientes!$D:$D,"Set"))</f>
        <v/>
      </c>
      <c r="F37" s="32">
        <f>IF($B37="","",SUMIFS(Faturamento!$C:$C,Faturamento!$A:$A,$B37,Faturamento!$D:$D,"Set"))</f>
        <v/>
      </c>
      <c r="G37" s="32">
        <f>IF($B37="","",SUMIFS(Projetos!$B:$B,Projetos!$A:$A,$B37,Projetos!$C:$C,"Set"))</f>
        <v/>
      </c>
    </row>
    <row r="38">
      <c r="B38" s="33">
        <f>IF(Projetos!$A25="","",Projetos!$A25)</f>
        <v/>
      </c>
      <c r="C38" s="34">
        <f>IF($B38="","",SUMIFS(Ambientes!$C:$C,Ambientes!$A:$A,$B38,Ambientes!$D:$D,"Set"))</f>
        <v/>
      </c>
      <c r="D38" s="34">
        <f>IF($B38="","",SUMIFS(Ambientes!$C:$C,Ambientes!$A:$A,$B38,Ambientes!$E:$E,"Set"))</f>
        <v/>
      </c>
      <c r="E38" s="34">
        <f>IF($B38="","",SUMIFS(Ambientes!$H:$H,Ambientes!$A:$A,$B38,Ambientes!$D:$D,"Set"))</f>
        <v/>
      </c>
      <c r="F38" s="34">
        <f>IF($B38="","",SUMIFS(Faturamento!$C:$C,Faturamento!$A:$A,$B38,Faturamento!$D:$D,"Set"))</f>
        <v/>
      </c>
      <c r="G38" s="34">
        <f>IF($B38="","",SUMIFS(Projetos!$B:$B,Projetos!$A:$A,$B38,Projetos!$C:$C,"Set"))</f>
        <v/>
      </c>
    </row>
    <row r="39">
      <c r="B39" s="31">
        <f>IF(Projetos!$A26="","",Projetos!$A26)</f>
        <v/>
      </c>
      <c r="C39" s="32">
        <f>IF($B39="","",SUMIFS(Ambientes!$C:$C,Ambientes!$A:$A,$B39,Ambientes!$D:$D,"Set"))</f>
        <v/>
      </c>
      <c r="D39" s="32">
        <f>IF($B39="","",SUMIFS(Ambientes!$C:$C,Ambientes!$A:$A,$B39,Ambientes!$E:$E,"Set"))</f>
        <v/>
      </c>
      <c r="E39" s="32">
        <f>IF($B39="","",SUMIFS(Ambientes!$H:$H,Ambientes!$A:$A,$B39,Ambientes!$D:$D,"Set"))</f>
        <v/>
      </c>
      <c r="F39" s="32">
        <f>IF($B39="","",SUMIFS(Faturamento!$C:$C,Faturamento!$A:$A,$B39,Faturamento!$D:$D,"Set"))</f>
        <v/>
      </c>
      <c r="G39" s="32">
        <f>IF($B39="","",SUMIFS(Projetos!$B:$B,Projetos!$A:$A,$B39,Projetos!$C:$C,"Set"))</f>
        <v/>
      </c>
    </row>
    <row r="40">
      <c r="B40" s="33">
        <f>IF(Projetos!$A27="","",Projetos!$A27)</f>
        <v/>
      </c>
      <c r="C40" s="34">
        <f>IF($B40="","",SUMIFS(Ambientes!$C:$C,Ambientes!$A:$A,$B40,Ambientes!$D:$D,"Set"))</f>
        <v/>
      </c>
      <c r="D40" s="34">
        <f>IF($B40="","",SUMIFS(Ambientes!$C:$C,Ambientes!$A:$A,$B40,Ambientes!$E:$E,"Set"))</f>
        <v/>
      </c>
      <c r="E40" s="34">
        <f>IF($B40="","",SUMIFS(Ambientes!$H:$H,Ambientes!$A:$A,$B40,Ambientes!$D:$D,"Set"))</f>
        <v/>
      </c>
      <c r="F40" s="34">
        <f>IF($B40="","",SUMIFS(Faturamento!$C:$C,Faturamento!$A:$A,$B40,Faturamento!$D:$D,"Set"))</f>
        <v/>
      </c>
      <c r="G40" s="34">
        <f>IF($B40="","",SUMIFS(Projetos!$B:$B,Projetos!$A:$A,$B40,Projetos!$C:$C,"Set"))</f>
        <v/>
      </c>
    </row>
    <row r="41">
      <c r="B41" s="31">
        <f>IF(Projetos!$A28="","",Projetos!$A28)</f>
        <v/>
      </c>
      <c r="C41" s="32">
        <f>IF($B41="","",SUMIFS(Ambientes!$C:$C,Ambientes!$A:$A,$B41,Ambientes!$D:$D,"Set"))</f>
        <v/>
      </c>
      <c r="D41" s="32">
        <f>IF($B41="","",SUMIFS(Ambientes!$C:$C,Ambientes!$A:$A,$B41,Ambientes!$E:$E,"Set"))</f>
        <v/>
      </c>
      <c r="E41" s="32">
        <f>IF($B41="","",SUMIFS(Ambientes!$H:$H,Ambientes!$A:$A,$B41,Ambientes!$D:$D,"Set"))</f>
        <v/>
      </c>
      <c r="F41" s="32">
        <f>IF($B41="","",SUMIFS(Faturamento!$C:$C,Faturamento!$A:$A,$B41,Faturamento!$D:$D,"Set"))</f>
        <v/>
      </c>
      <c r="G41" s="32">
        <f>IF($B41="","",SUMIFS(Projetos!$B:$B,Projetos!$A:$A,$B41,Projetos!$C:$C,"Set"))</f>
        <v/>
      </c>
    </row>
    <row r="42">
      <c r="B42" s="33">
        <f>IF(Projetos!$A29="","",Projetos!$A29)</f>
        <v/>
      </c>
      <c r="C42" s="34">
        <f>IF($B42="","",SUMIFS(Ambientes!$C:$C,Ambientes!$A:$A,$B42,Ambientes!$D:$D,"Set"))</f>
        <v/>
      </c>
      <c r="D42" s="34">
        <f>IF($B42="","",SUMIFS(Ambientes!$C:$C,Ambientes!$A:$A,$B42,Ambientes!$E:$E,"Set"))</f>
        <v/>
      </c>
      <c r="E42" s="34">
        <f>IF($B42="","",SUMIFS(Ambientes!$H:$H,Ambientes!$A:$A,$B42,Ambientes!$D:$D,"Set"))</f>
        <v/>
      </c>
      <c r="F42" s="34">
        <f>IF($B42="","",SUMIFS(Faturamento!$C:$C,Faturamento!$A:$A,$B42,Faturamento!$D:$D,"Set"))</f>
        <v/>
      </c>
      <c r="G42" s="34">
        <f>IF($B42="","",SUMIFS(Projetos!$B:$B,Projetos!$A:$A,$B42,Projetos!$C:$C,"Set"))</f>
        <v/>
      </c>
    </row>
    <row r="43">
      <c r="B43" s="31">
        <f>IF(Projetos!$A30="","",Projetos!$A30)</f>
        <v/>
      </c>
      <c r="C43" s="32">
        <f>IF($B43="","",SUMIFS(Ambientes!$C:$C,Ambientes!$A:$A,$B43,Ambientes!$D:$D,"Set"))</f>
        <v/>
      </c>
      <c r="D43" s="32">
        <f>IF($B43="","",SUMIFS(Ambientes!$C:$C,Ambientes!$A:$A,$B43,Ambientes!$E:$E,"Set"))</f>
        <v/>
      </c>
      <c r="E43" s="32">
        <f>IF($B43="","",SUMIFS(Ambientes!$H:$H,Ambientes!$A:$A,$B43,Ambientes!$D:$D,"Set"))</f>
        <v/>
      </c>
      <c r="F43" s="32">
        <f>IF($B43="","",SUMIFS(Faturamento!$C:$C,Faturamento!$A:$A,$B43,Faturamento!$D:$D,"Set"))</f>
        <v/>
      </c>
      <c r="G43" s="32">
        <f>IF($B43="","",SUMIFS(Projetos!$B:$B,Projetos!$A:$A,$B43,Projetos!$C:$C,"Set"))</f>
        <v/>
      </c>
    </row>
    <row r="44">
      <c r="B44" s="33">
        <f>IF(Projetos!$A31="","",Projetos!$A31)</f>
        <v/>
      </c>
      <c r="C44" s="34">
        <f>IF($B44="","",SUMIFS(Ambientes!$C:$C,Ambientes!$A:$A,$B44,Ambientes!$D:$D,"Set"))</f>
        <v/>
      </c>
      <c r="D44" s="34">
        <f>IF($B44="","",SUMIFS(Ambientes!$C:$C,Ambientes!$A:$A,$B44,Ambientes!$E:$E,"Set"))</f>
        <v/>
      </c>
      <c r="E44" s="34">
        <f>IF($B44="","",SUMIFS(Ambientes!$H:$H,Ambientes!$A:$A,$B44,Ambientes!$D:$D,"Set"))</f>
        <v/>
      </c>
      <c r="F44" s="34">
        <f>IF($B44="","",SUMIFS(Faturamento!$C:$C,Faturamento!$A:$A,$B44,Faturamento!$D:$D,"Set"))</f>
        <v/>
      </c>
      <c r="G44" s="34">
        <f>IF($B44="","",SUMIFS(Projetos!$B:$B,Projetos!$A:$A,$B44,Projetos!$C:$C,"Set"))</f>
        <v/>
      </c>
    </row>
    <row r="45">
      <c r="B45" s="31">
        <f>IF(Projetos!$A32="","",Projetos!$A32)</f>
        <v/>
      </c>
      <c r="C45" s="32">
        <f>IF($B45="","",SUMIFS(Ambientes!$C:$C,Ambientes!$A:$A,$B45,Ambientes!$D:$D,"Set"))</f>
        <v/>
      </c>
      <c r="D45" s="32">
        <f>IF($B45="","",SUMIFS(Ambientes!$C:$C,Ambientes!$A:$A,$B45,Ambientes!$E:$E,"Set"))</f>
        <v/>
      </c>
      <c r="E45" s="32">
        <f>IF($B45="","",SUMIFS(Ambientes!$H:$H,Ambientes!$A:$A,$B45,Ambientes!$D:$D,"Set"))</f>
        <v/>
      </c>
      <c r="F45" s="32">
        <f>IF($B45="","",SUMIFS(Faturamento!$C:$C,Faturamento!$A:$A,$B45,Faturamento!$D:$D,"Set"))</f>
        <v/>
      </c>
      <c r="G45" s="32">
        <f>IF($B45="","",SUMIFS(Projetos!$B:$B,Projetos!$A:$A,$B45,Projetos!$C:$C,"Set"))</f>
        <v/>
      </c>
    </row>
    <row r="46">
      <c r="B46" s="33">
        <f>IF(Projetos!$A33="","",Projetos!$A33)</f>
        <v/>
      </c>
      <c r="C46" s="34">
        <f>IF($B46="","",SUMIFS(Ambientes!$C:$C,Ambientes!$A:$A,$B46,Ambientes!$D:$D,"Set"))</f>
        <v/>
      </c>
      <c r="D46" s="34">
        <f>IF($B46="","",SUMIFS(Ambientes!$C:$C,Ambientes!$A:$A,$B46,Ambientes!$E:$E,"Set"))</f>
        <v/>
      </c>
      <c r="E46" s="34">
        <f>IF($B46="","",SUMIFS(Ambientes!$H:$H,Ambientes!$A:$A,$B46,Ambientes!$D:$D,"Set"))</f>
        <v/>
      </c>
      <c r="F46" s="34">
        <f>IF($B46="","",SUMIFS(Faturamento!$C:$C,Faturamento!$A:$A,$B46,Faturamento!$D:$D,"Set"))</f>
        <v/>
      </c>
      <c r="G46" s="34">
        <f>IF($B46="","",SUMIFS(Projetos!$B:$B,Projetos!$A:$A,$B46,Projetos!$C:$C,"Set"))</f>
        <v/>
      </c>
    </row>
    <row r="47">
      <c r="B47" s="31">
        <f>IF(Projetos!$A34="","",Projetos!$A34)</f>
        <v/>
      </c>
      <c r="C47" s="32">
        <f>IF($B47="","",SUMIFS(Ambientes!$C:$C,Ambientes!$A:$A,$B47,Ambientes!$D:$D,"Set"))</f>
        <v/>
      </c>
      <c r="D47" s="32">
        <f>IF($B47="","",SUMIFS(Ambientes!$C:$C,Ambientes!$A:$A,$B47,Ambientes!$E:$E,"Set"))</f>
        <v/>
      </c>
      <c r="E47" s="32">
        <f>IF($B47="","",SUMIFS(Ambientes!$H:$H,Ambientes!$A:$A,$B47,Ambientes!$D:$D,"Set"))</f>
        <v/>
      </c>
      <c r="F47" s="32">
        <f>IF($B47="","",SUMIFS(Faturamento!$C:$C,Faturamento!$A:$A,$B47,Faturamento!$D:$D,"Set"))</f>
        <v/>
      </c>
      <c r="G47" s="32">
        <f>IF($B47="","",SUMIFS(Projetos!$B:$B,Projetos!$A:$A,$B47,Projetos!$C:$C,"Set"))</f>
        <v/>
      </c>
    </row>
    <row r="48">
      <c r="B48" s="33">
        <f>IF(Projetos!$A35="","",Projetos!$A35)</f>
        <v/>
      </c>
      <c r="C48" s="34">
        <f>IF($B48="","",SUMIFS(Ambientes!$C:$C,Ambientes!$A:$A,$B48,Ambientes!$D:$D,"Set"))</f>
        <v/>
      </c>
      <c r="D48" s="34">
        <f>IF($B48="","",SUMIFS(Ambientes!$C:$C,Ambientes!$A:$A,$B48,Ambientes!$E:$E,"Set"))</f>
        <v/>
      </c>
      <c r="E48" s="34">
        <f>IF($B48="","",SUMIFS(Ambientes!$H:$H,Ambientes!$A:$A,$B48,Ambientes!$D:$D,"Set"))</f>
        <v/>
      </c>
      <c r="F48" s="34">
        <f>IF($B48="","",SUMIFS(Faturamento!$C:$C,Faturamento!$A:$A,$B48,Faturamento!$D:$D,"Set"))</f>
        <v/>
      </c>
      <c r="G48" s="34">
        <f>IF($B48="","",SUMIFS(Projetos!$B:$B,Projetos!$A:$A,$B48,Projetos!$C:$C,"Set"))</f>
        <v/>
      </c>
    </row>
    <row r="49">
      <c r="B49" s="31">
        <f>IF(Projetos!$A36="","",Projetos!$A36)</f>
        <v/>
      </c>
      <c r="C49" s="32">
        <f>IF($B49="","",SUMIFS(Ambientes!$C:$C,Ambientes!$A:$A,$B49,Ambientes!$D:$D,"Set"))</f>
        <v/>
      </c>
      <c r="D49" s="32">
        <f>IF($B49="","",SUMIFS(Ambientes!$C:$C,Ambientes!$A:$A,$B49,Ambientes!$E:$E,"Set"))</f>
        <v/>
      </c>
      <c r="E49" s="32">
        <f>IF($B49="","",SUMIFS(Ambientes!$H:$H,Ambientes!$A:$A,$B49,Ambientes!$D:$D,"Set"))</f>
        <v/>
      </c>
      <c r="F49" s="32">
        <f>IF($B49="","",SUMIFS(Faturamento!$C:$C,Faturamento!$A:$A,$B49,Faturamento!$D:$D,"Set"))</f>
        <v/>
      </c>
      <c r="G49" s="32">
        <f>IF($B49="","",SUMIFS(Projetos!$B:$B,Projetos!$A:$A,$B49,Projetos!$C:$C,"Set"))</f>
        <v/>
      </c>
    </row>
    <row r="50">
      <c r="B50" s="33">
        <f>IF(Projetos!$A37="","",Projetos!$A37)</f>
        <v/>
      </c>
      <c r="C50" s="34">
        <f>IF($B50="","",SUMIFS(Ambientes!$C:$C,Ambientes!$A:$A,$B50,Ambientes!$D:$D,"Set"))</f>
        <v/>
      </c>
      <c r="D50" s="34">
        <f>IF($B50="","",SUMIFS(Ambientes!$C:$C,Ambientes!$A:$A,$B50,Ambientes!$E:$E,"Set"))</f>
        <v/>
      </c>
      <c r="E50" s="34">
        <f>IF($B50="","",SUMIFS(Ambientes!$H:$H,Ambientes!$A:$A,$B50,Ambientes!$D:$D,"Set"))</f>
        <v/>
      </c>
      <c r="F50" s="34">
        <f>IF($B50="","",SUMIFS(Faturamento!$C:$C,Faturamento!$A:$A,$B50,Faturamento!$D:$D,"Set"))</f>
        <v/>
      </c>
      <c r="G50" s="34">
        <f>IF($B50="","",SUMIFS(Projetos!$B:$B,Projetos!$A:$A,$B50,Projetos!$C:$C,"Set"))</f>
        <v/>
      </c>
    </row>
    <row r="51">
      <c r="B51" s="31">
        <f>IF(Projetos!$A38="","",Projetos!$A38)</f>
        <v/>
      </c>
      <c r="C51" s="32">
        <f>IF($B51="","",SUMIFS(Ambientes!$C:$C,Ambientes!$A:$A,$B51,Ambientes!$D:$D,"Set"))</f>
        <v/>
      </c>
      <c r="D51" s="32">
        <f>IF($B51="","",SUMIFS(Ambientes!$C:$C,Ambientes!$A:$A,$B51,Ambientes!$E:$E,"Set"))</f>
        <v/>
      </c>
      <c r="E51" s="32">
        <f>IF($B51="","",SUMIFS(Ambientes!$H:$H,Ambientes!$A:$A,$B51,Ambientes!$D:$D,"Set"))</f>
        <v/>
      </c>
      <c r="F51" s="32">
        <f>IF($B51="","",SUMIFS(Faturamento!$C:$C,Faturamento!$A:$A,$B51,Faturamento!$D:$D,"Set"))</f>
        <v/>
      </c>
      <c r="G51" s="32">
        <f>IF($B51="","",SUMIFS(Projetos!$B:$B,Projetos!$A:$A,$B51,Projetos!$C:$C,"Set"))</f>
        <v/>
      </c>
    </row>
    <row r="52">
      <c r="B52" s="33">
        <f>IF(Projetos!$A39="","",Projetos!$A39)</f>
        <v/>
      </c>
      <c r="C52" s="34">
        <f>IF($B52="","",SUMIFS(Ambientes!$C:$C,Ambientes!$A:$A,$B52,Ambientes!$D:$D,"Set"))</f>
        <v/>
      </c>
      <c r="D52" s="34">
        <f>IF($B52="","",SUMIFS(Ambientes!$C:$C,Ambientes!$A:$A,$B52,Ambientes!$E:$E,"Set"))</f>
        <v/>
      </c>
      <c r="E52" s="34">
        <f>IF($B52="","",SUMIFS(Ambientes!$H:$H,Ambientes!$A:$A,$B52,Ambientes!$D:$D,"Set"))</f>
        <v/>
      </c>
      <c r="F52" s="34">
        <f>IF($B52="","",SUMIFS(Faturamento!$C:$C,Faturamento!$A:$A,$B52,Faturamento!$D:$D,"Set"))</f>
        <v/>
      </c>
      <c r="G52" s="34">
        <f>IF($B52="","",SUMIFS(Projetos!$B:$B,Projetos!$A:$A,$B52,Projetos!$C:$C,"Set"))</f>
        <v/>
      </c>
    </row>
    <row r="53">
      <c r="B53" s="31">
        <f>IF(Projetos!$A40="","",Projetos!$A40)</f>
        <v/>
      </c>
      <c r="C53" s="32">
        <f>IF($B53="","",SUMIFS(Ambientes!$C:$C,Ambientes!$A:$A,$B53,Ambientes!$D:$D,"Set"))</f>
        <v/>
      </c>
      <c r="D53" s="32">
        <f>IF($B53="","",SUMIFS(Ambientes!$C:$C,Ambientes!$A:$A,$B53,Ambientes!$E:$E,"Set"))</f>
        <v/>
      </c>
      <c r="E53" s="32">
        <f>IF($B53="","",SUMIFS(Ambientes!$H:$H,Ambientes!$A:$A,$B53,Ambientes!$D:$D,"Set"))</f>
        <v/>
      </c>
      <c r="F53" s="32">
        <f>IF($B53="","",SUMIFS(Faturamento!$C:$C,Faturamento!$A:$A,$B53,Faturamento!$D:$D,"Set"))</f>
        <v/>
      </c>
      <c r="G53" s="32">
        <f>IF($B53="","",SUMIFS(Projetos!$B:$B,Projetos!$A:$A,$B53,Projetos!$C:$C,"Set"))</f>
        <v/>
      </c>
    </row>
    <row r="54">
      <c r="B54" s="33">
        <f>IF(Projetos!$A41="","",Projetos!$A41)</f>
        <v/>
      </c>
      <c r="C54" s="34">
        <f>IF($B54="","",SUMIFS(Ambientes!$C:$C,Ambientes!$A:$A,$B54,Ambientes!$D:$D,"Set"))</f>
        <v/>
      </c>
      <c r="D54" s="34">
        <f>IF($B54="","",SUMIFS(Ambientes!$C:$C,Ambientes!$A:$A,$B54,Ambientes!$E:$E,"Set"))</f>
        <v/>
      </c>
      <c r="E54" s="34">
        <f>IF($B54="","",SUMIFS(Ambientes!$H:$H,Ambientes!$A:$A,$B54,Ambientes!$D:$D,"Set"))</f>
        <v/>
      </c>
      <c r="F54" s="34">
        <f>IF($B54="","",SUMIFS(Faturamento!$C:$C,Faturamento!$A:$A,$B54,Faturamento!$D:$D,"Set"))</f>
        <v/>
      </c>
      <c r="G54" s="34">
        <f>IF($B54="","",SUMIFS(Projetos!$B:$B,Projetos!$A:$A,$B54,Projetos!$C:$C,"Set"))</f>
        <v/>
      </c>
    </row>
    <row r="55">
      <c r="B55" s="31">
        <f>IF(Projetos!$A42="","",Projetos!$A42)</f>
        <v/>
      </c>
      <c r="C55" s="32">
        <f>IF($B55="","",SUMIFS(Ambientes!$C:$C,Ambientes!$A:$A,$B55,Ambientes!$D:$D,"Set"))</f>
        <v/>
      </c>
      <c r="D55" s="32">
        <f>IF($B55="","",SUMIFS(Ambientes!$C:$C,Ambientes!$A:$A,$B55,Ambientes!$E:$E,"Set"))</f>
        <v/>
      </c>
      <c r="E55" s="32">
        <f>IF($B55="","",SUMIFS(Ambientes!$H:$H,Ambientes!$A:$A,$B55,Ambientes!$D:$D,"Set"))</f>
        <v/>
      </c>
      <c r="F55" s="32">
        <f>IF($B55="","",SUMIFS(Faturamento!$C:$C,Faturamento!$A:$A,$B55,Faturamento!$D:$D,"Set"))</f>
        <v/>
      </c>
      <c r="G55" s="32">
        <f>IF($B55="","",SUMIFS(Projetos!$B:$B,Projetos!$A:$A,$B55,Projetos!$C:$C,"Set"))</f>
        <v/>
      </c>
    </row>
    <row r="56">
      <c r="B56" s="33">
        <f>IF(Projetos!$A43="","",Projetos!$A43)</f>
        <v/>
      </c>
      <c r="C56" s="34">
        <f>IF($B56="","",SUMIFS(Ambientes!$C:$C,Ambientes!$A:$A,$B56,Ambientes!$D:$D,"Set"))</f>
        <v/>
      </c>
      <c r="D56" s="34">
        <f>IF($B56="","",SUMIFS(Ambientes!$C:$C,Ambientes!$A:$A,$B56,Ambientes!$E:$E,"Set"))</f>
        <v/>
      </c>
      <c r="E56" s="34">
        <f>IF($B56="","",SUMIFS(Ambientes!$H:$H,Ambientes!$A:$A,$B56,Ambientes!$D:$D,"Set"))</f>
        <v/>
      </c>
      <c r="F56" s="34">
        <f>IF($B56="","",SUMIFS(Faturamento!$C:$C,Faturamento!$A:$A,$B56,Faturamento!$D:$D,"Set"))</f>
        <v/>
      </c>
      <c r="G56" s="34">
        <f>IF($B56="","",SUMIFS(Projetos!$B:$B,Projetos!$A:$A,$B56,Projetos!$C:$C,"Set"))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OUTUBRO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Fixo'!$A:$A,"Out",'Custo Fixo'!$E:$E)</f>
        <v/>
      </c>
      <c r="C6" s="19">
        <f>SUMIF(Projetos!$C:$C,"Out",Projetos!$B:$B)</f>
        <v/>
      </c>
      <c r="D6" s="20">
        <f>SUMIF(Ambientes!$D:$D,"Out",Ambientes!$H:$H)</f>
        <v/>
      </c>
      <c r="E6" s="19">
        <f>SUMIF(Ambientes!$D:$D,"Out",Ambientes!$C:$C)</f>
        <v/>
      </c>
      <c r="F6" s="19">
        <f>SUMIF(Ambientes!$E:$E,"Out",Ambientes!$C:$C)</f>
        <v/>
      </c>
      <c r="G6" s="19">
        <f>SUMIF(Faturamento!$D:$D,"Out",Faturamento!$C:$C)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SUMIF(Compras!$E:$E,"Out",Compras!$D:$D)</f>
        <v/>
      </c>
      <c r="C12" s="27">
        <f>SUMIFS(Compras!$D:$D,Compras!$H:$H,"&lt;=10",Compras!$A:$A,"&lt;&gt;")-SUMIF(Ambientes!$J:$J,"&lt;=10",Ambientes!$H:$H)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SUMIF(Projetos!$H:$H,"&lt;=10",Projetos!$B:$B)-SUMIF(Ambientes!$J:$J,"&lt;=10",Ambientes!$C:$C)</f>
        <v/>
      </c>
    </row>
    <row r="13" ht="26" customHeight="1">
      <c r="B13" s="30">
        <f>=IF(SUMIF(Compras!$E:$E,"Out",Compras!$D:$D)-SUMIFS(Compras!$D:$D,Compras!$E:$E,"Out",Compras!$A:$A,"&lt;&gt;")=0,"tudo vinculado a projeto","dos quais "&amp;TEXT(SUMIF(Compras!$E:$E,"Out",Compras!$D:$D)-SUMIFS(Compras!$D:$D,Compras!$E:$E,"Out",Compras!$A:$A,"&lt;&gt;"),"R$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IF($B17="","",SUMIFS(Ambientes!$C:$C,Ambientes!$A:$A,$B17,Ambientes!$D:$D,"Out"))</f>
        <v/>
      </c>
      <c r="D17" s="32">
        <f>IF($B17="","",SUMIFS(Ambientes!$C:$C,Ambientes!$A:$A,$B17,Ambientes!$E:$E,"Out"))</f>
        <v/>
      </c>
      <c r="E17" s="32">
        <f>IF($B17="","",SUMIFS(Ambientes!$H:$H,Ambientes!$A:$A,$B17,Ambientes!$D:$D,"Out"))</f>
        <v/>
      </c>
      <c r="F17" s="32">
        <f>IF($B17="","",SUMIFS(Faturamento!$C:$C,Faturamento!$A:$A,$B17,Faturamento!$D:$D,"Out"))</f>
        <v/>
      </c>
      <c r="G17" s="32">
        <f>IF($B17="","",SUMIFS(Projetos!$B:$B,Projetos!$A:$A,$B17,Projetos!$C:$C,"Out"))</f>
        <v/>
      </c>
    </row>
    <row r="18">
      <c r="B18" s="33">
        <f>IF(Projetos!$A5="","",Projetos!$A5)</f>
        <v/>
      </c>
      <c r="C18" s="34">
        <f>IF($B18="","",SUMIFS(Ambientes!$C:$C,Ambientes!$A:$A,$B18,Ambientes!$D:$D,"Out"))</f>
        <v/>
      </c>
      <c r="D18" s="34">
        <f>IF($B18="","",SUMIFS(Ambientes!$C:$C,Ambientes!$A:$A,$B18,Ambientes!$E:$E,"Out"))</f>
        <v/>
      </c>
      <c r="E18" s="34">
        <f>IF($B18="","",SUMIFS(Ambientes!$H:$H,Ambientes!$A:$A,$B18,Ambientes!$D:$D,"Out"))</f>
        <v/>
      </c>
      <c r="F18" s="34">
        <f>IF($B18="","",SUMIFS(Faturamento!$C:$C,Faturamento!$A:$A,$B18,Faturamento!$D:$D,"Out"))</f>
        <v/>
      </c>
      <c r="G18" s="34">
        <f>IF($B18="","",SUMIFS(Projetos!$B:$B,Projetos!$A:$A,$B18,Projetos!$C:$C,"Out"))</f>
        <v/>
      </c>
    </row>
    <row r="19">
      <c r="B19" s="31">
        <f>IF(Projetos!$A6="","",Projetos!$A6)</f>
        <v/>
      </c>
      <c r="C19" s="32">
        <f>IF($B19="","",SUMIFS(Ambientes!$C:$C,Ambientes!$A:$A,$B19,Ambientes!$D:$D,"Out"))</f>
        <v/>
      </c>
      <c r="D19" s="32">
        <f>IF($B19="","",SUMIFS(Ambientes!$C:$C,Ambientes!$A:$A,$B19,Ambientes!$E:$E,"Out"))</f>
        <v/>
      </c>
      <c r="E19" s="32">
        <f>IF($B19="","",SUMIFS(Ambientes!$H:$H,Ambientes!$A:$A,$B19,Ambientes!$D:$D,"Out"))</f>
        <v/>
      </c>
      <c r="F19" s="32">
        <f>IF($B19="","",SUMIFS(Faturamento!$C:$C,Faturamento!$A:$A,$B19,Faturamento!$D:$D,"Out"))</f>
        <v/>
      </c>
      <c r="G19" s="32">
        <f>IF($B19="","",SUMIFS(Projetos!$B:$B,Projetos!$A:$A,$B19,Projetos!$C:$C,"Out"))</f>
        <v/>
      </c>
    </row>
    <row r="20">
      <c r="B20" s="33">
        <f>IF(Projetos!$A7="","",Projetos!$A7)</f>
        <v/>
      </c>
      <c r="C20" s="34">
        <f>IF($B20="","",SUMIFS(Ambientes!$C:$C,Ambientes!$A:$A,$B20,Ambientes!$D:$D,"Out"))</f>
        <v/>
      </c>
      <c r="D20" s="34">
        <f>IF($B20="","",SUMIFS(Ambientes!$C:$C,Ambientes!$A:$A,$B20,Ambientes!$E:$E,"Out"))</f>
        <v/>
      </c>
      <c r="E20" s="34">
        <f>IF($B20="","",SUMIFS(Ambientes!$H:$H,Ambientes!$A:$A,$B20,Ambientes!$D:$D,"Out"))</f>
        <v/>
      </c>
      <c r="F20" s="34">
        <f>IF($B20="","",SUMIFS(Faturamento!$C:$C,Faturamento!$A:$A,$B20,Faturamento!$D:$D,"Out"))</f>
        <v/>
      </c>
      <c r="G20" s="34">
        <f>IF($B20="","",SUMIFS(Projetos!$B:$B,Projetos!$A:$A,$B20,Projetos!$C:$C,"Out"))</f>
        <v/>
      </c>
    </row>
    <row r="21">
      <c r="B21" s="31">
        <f>IF(Projetos!$A8="","",Projetos!$A8)</f>
        <v/>
      </c>
      <c r="C21" s="32">
        <f>IF($B21="","",SUMIFS(Ambientes!$C:$C,Ambientes!$A:$A,$B21,Ambientes!$D:$D,"Out"))</f>
        <v/>
      </c>
      <c r="D21" s="32">
        <f>IF($B21="","",SUMIFS(Ambientes!$C:$C,Ambientes!$A:$A,$B21,Ambientes!$E:$E,"Out"))</f>
        <v/>
      </c>
      <c r="E21" s="32">
        <f>IF($B21="","",SUMIFS(Ambientes!$H:$H,Ambientes!$A:$A,$B21,Ambientes!$D:$D,"Out"))</f>
        <v/>
      </c>
      <c r="F21" s="32">
        <f>IF($B21="","",SUMIFS(Faturamento!$C:$C,Faturamento!$A:$A,$B21,Faturamento!$D:$D,"Out"))</f>
        <v/>
      </c>
      <c r="G21" s="32">
        <f>IF($B21="","",SUMIFS(Projetos!$B:$B,Projetos!$A:$A,$B21,Projetos!$C:$C,"Out"))</f>
        <v/>
      </c>
    </row>
    <row r="22">
      <c r="B22" s="33">
        <f>IF(Projetos!$A9="","",Projetos!$A9)</f>
        <v/>
      </c>
      <c r="C22" s="34">
        <f>IF($B22="","",SUMIFS(Ambientes!$C:$C,Ambientes!$A:$A,$B22,Ambientes!$D:$D,"Out"))</f>
        <v/>
      </c>
      <c r="D22" s="34">
        <f>IF($B22="","",SUMIFS(Ambientes!$C:$C,Ambientes!$A:$A,$B22,Ambientes!$E:$E,"Out"))</f>
        <v/>
      </c>
      <c r="E22" s="34">
        <f>IF($B22="","",SUMIFS(Ambientes!$H:$H,Ambientes!$A:$A,$B22,Ambientes!$D:$D,"Out"))</f>
        <v/>
      </c>
      <c r="F22" s="34">
        <f>IF($B22="","",SUMIFS(Faturamento!$C:$C,Faturamento!$A:$A,$B22,Faturamento!$D:$D,"Out"))</f>
        <v/>
      </c>
      <c r="G22" s="34">
        <f>IF($B22="","",SUMIFS(Projetos!$B:$B,Projetos!$A:$A,$B22,Projetos!$C:$C,"Out"))</f>
        <v/>
      </c>
    </row>
    <row r="23">
      <c r="B23" s="31">
        <f>IF(Projetos!$A10="","",Projetos!$A10)</f>
        <v/>
      </c>
      <c r="C23" s="32">
        <f>IF($B23="","",SUMIFS(Ambientes!$C:$C,Ambientes!$A:$A,$B23,Ambientes!$D:$D,"Out"))</f>
        <v/>
      </c>
      <c r="D23" s="32">
        <f>IF($B23="","",SUMIFS(Ambientes!$C:$C,Ambientes!$A:$A,$B23,Ambientes!$E:$E,"Out"))</f>
        <v/>
      </c>
      <c r="E23" s="32">
        <f>IF($B23="","",SUMIFS(Ambientes!$H:$H,Ambientes!$A:$A,$B23,Ambientes!$D:$D,"Out"))</f>
        <v/>
      </c>
      <c r="F23" s="32">
        <f>IF($B23="","",SUMIFS(Faturamento!$C:$C,Faturamento!$A:$A,$B23,Faturamento!$D:$D,"Out"))</f>
        <v/>
      </c>
      <c r="G23" s="32">
        <f>IF($B23="","",SUMIFS(Projetos!$B:$B,Projetos!$A:$A,$B23,Projetos!$C:$C,"Out"))</f>
        <v/>
      </c>
    </row>
    <row r="24">
      <c r="B24" s="33">
        <f>IF(Projetos!$A11="","",Projetos!$A11)</f>
        <v/>
      </c>
      <c r="C24" s="34">
        <f>IF($B24="","",SUMIFS(Ambientes!$C:$C,Ambientes!$A:$A,$B24,Ambientes!$D:$D,"Out"))</f>
        <v/>
      </c>
      <c r="D24" s="34">
        <f>IF($B24="","",SUMIFS(Ambientes!$C:$C,Ambientes!$A:$A,$B24,Ambientes!$E:$E,"Out"))</f>
        <v/>
      </c>
      <c r="E24" s="34">
        <f>IF($B24="","",SUMIFS(Ambientes!$H:$H,Ambientes!$A:$A,$B24,Ambientes!$D:$D,"Out"))</f>
        <v/>
      </c>
      <c r="F24" s="34">
        <f>IF($B24="","",SUMIFS(Faturamento!$C:$C,Faturamento!$A:$A,$B24,Faturamento!$D:$D,"Out"))</f>
        <v/>
      </c>
      <c r="G24" s="34">
        <f>IF($B24="","",SUMIFS(Projetos!$B:$B,Projetos!$A:$A,$B24,Projetos!$C:$C,"Out"))</f>
        <v/>
      </c>
    </row>
    <row r="25">
      <c r="B25" s="31">
        <f>IF(Projetos!$A12="","",Projetos!$A12)</f>
        <v/>
      </c>
      <c r="C25" s="32">
        <f>IF($B25="","",SUMIFS(Ambientes!$C:$C,Ambientes!$A:$A,$B25,Ambientes!$D:$D,"Out"))</f>
        <v/>
      </c>
      <c r="D25" s="32">
        <f>IF($B25="","",SUMIFS(Ambientes!$C:$C,Ambientes!$A:$A,$B25,Ambientes!$E:$E,"Out"))</f>
        <v/>
      </c>
      <c r="E25" s="32">
        <f>IF($B25="","",SUMIFS(Ambientes!$H:$H,Ambientes!$A:$A,$B25,Ambientes!$D:$D,"Out"))</f>
        <v/>
      </c>
      <c r="F25" s="32">
        <f>IF($B25="","",SUMIFS(Faturamento!$C:$C,Faturamento!$A:$A,$B25,Faturamento!$D:$D,"Out"))</f>
        <v/>
      </c>
      <c r="G25" s="32">
        <f>IF($B25="","",SUMIFS(Projetos!$B:$B,Projetos!$A:$A,$B25,Projetos!$C:$C,"Out"))</f>
        <v/>
      </c>
    </row>
    <row r="26">
      <c r="B26" s="33">
        <f>IF(Projetos!$A13="","",Projetos!$A13)</f>
        <v/>
      </c>
      <c r="C26" s="34">
        <f>IF($B26="","",SUMIFS(Ambientes!$C:$C,Ambientes!$A:$A,$B26,Ambientes!$D:$D,"Out"))</f>
        <v/>
      </c>
      <c r="D26" s="34">
        <f>IF($B26="","",SUMIFS(Ambientes!$C:$C,Ambientes!$A:$A,$B26,Ambientes!$E:$E,"Out"))</f>
        <v/>
      </c>
      <c r="E26" s="34">
        <f>IF($B26="","",SUMIFS(Ambientes!$H:$H,Ambientes!$A:$A,$B26,Ambientes!$D:$D,"Out"))</f>
        <v/>
      </c>
      <c r="F26" s="34">
        <f>IF($B26="","",SUMIFS(Faturamento!$C:$C,Faturamento!$A:$A,$B26,Faturamento!$D:$D,"Out"))</f>
        <v/>
      </c>
      <c r="G26" s="34">
        <f>IF($B26="","",SUMIFS(Projetos!$B:$B,Projetos!$A:$A,$B26,Projetos!$C:$C,"Out"))</f>
        <v/>
      </c>
    </row>
    <row r="27">
      <c r="B27" s="31">
        <f>IF(Projetos!$A14="","",Projetos!$A14)</f>
        <v/>
      </c>
      <c r="C27" s="32">
        <f>IF($B27="","",SUMIFS(Ambientes!$C:$C,Ambientes!$A:$A,$B27,Ambientes!$D:$D,"Out"))</f>
        <v/>
      </c>
      <c r="D27" s="32">
        <f>IF($B27="","",SUMIFS(Ambientes!$C:$C,Ambientes!$A:$A,$B27,Ambientes!$E:$E,"Out"))</f>
        <v/>
      </c>
      <c r="E27" s="32">
        <f>IF($B27="","",SUMIFS(Ambientes!$H:$H,Ambientes!$A:$A,$B27,Ambientes!$D:$D,"Out"))</f>
        <v/>
      </c>
      <c r="F27" s="32">
        <f>IF($B27="","",SUMIFS(Faturamento!$C:$C,Faturamento!$A:$A,$B27,Faturamento!$D:$D,"Out"))</f>
        <v/>
      </c>
      <c r="G27" s="32">
        <f>IF($B27="","",SUMIFS(Projetos!$B:$B,Projetos!$A:$A,$B27,Projetos!$C:$C,"Out"))</f>
        <v/>
      </c>
    </row>
    <row r="28">
      <c r="B28" s="33">
        <f>IF(Projetos!$A15="","",Projetos!$A15)</f>
        <v/>
      </c>
      <c r="C28" s="34">
        <f>IF($B28="","",SUMIFS(Ambientes!$C:$C,Ambientes!$A:$A,$B28,Ambientes!$D:$D,"Out"))</f>
        <v/>
      </c>
      <c r="D28" s="34">
        <f>IF($B28="","",SUMIFS(Ambientes!$C:$C,Ambientes!$A:$A,$B28,Ambientes!$E:$E,"Out"))</f>
        <v/>
      </c>
      <c r="E28" s="34">
        <f>IF($B28="","",SUMIFS(Ambientes!$H:$H,Ambientes!$A:$A,$B28,Ambientes!$D:$D,"Out"))</f>
        <v/>
      </c>
      <c r="F28" s="34">
        <f>IF($B28="","",SUMIFS(Faturamento!$C:$C,Faturamento!$A:$A,$B28,Faturamento!$D:$D,"Out"))</f>
        <v/>
      </c>
      <c r="G28" s="34">
        <f>IF($B28="","",SUMIFS(Projetos!$B:$B,Projetos!$A:$A,$B28,Projetos!$C:$C,"Out"))</f>
        <v/>
      </c>
    </row>
    <row r="29">
      <c r="B29" s="31">
        <f>IF(Projetos!$A16="","",Projetos!$A16)</f>
        <v/>
      </c>
      <c r="C29" s="32">
        <f>IF($B29="","",SUMIFS(Ambientes!$C:$C,Ambientes!$A:$A,$B29,Ambientes!$D:$D,"Out"))</f>
        <v/>
      </c>
      <c r="D29" s="32">
        <f>IF($B29="","",SUMIFS(Ambientes!$C:$C,Ambientes!$A:$A,$B29,Ambientes!$E:$E,"Out"))</f>
        <v/>
      </c>
      <c r="E29" s="32">
        <f>IF($B29="","",SUMIFS(Ambientes!$H:$H,Ambientes!$A:$A,$B29,Ambientes!$D:$D,"Out"))</f>
        <v/>
      </c>
      <c r="F29" s="32">
        <f>IF($B29="","",SUMIFS(Faturamento!$C:$C,Faturamento!$A:$A,$B29,Faturamento!$D:$D,"Out"))</f>
        <v/>
      </c>
      <c r="G29" s="32">
        <f>IF($B29="","",SUMIFS(Projetos!$B:$B,Projetos!$A:$A,$B29,Projetos!$C:$C,"Out"))</f>
        <v/>
      </c>
    </row>
    <row r="30">
      <c r="B30" s="33">
        <f>IF(Projetos!$A17="","",Projetos!$A17)</f>
        <v/>
      </c>
      <c r="C30" s="34">
        <f>IF($B30="","",SUMIFS(Ambientes!$C:$C,Ambientes!$A:$A,$B30,Ambientes!$D:$D,"Out"))</f>
        <v/>
      </c>
      <c r="D30" s="34">
        <f>IF($B30="","",SUMIFS(Ambientes!$C:$C,Ambientes!$A:$A,$B30,Ambientes!$E:$E,"Out"))</f>
        <v/>
      </c>
      <c r="E30" s="34">
        <f>IF($B30="","",SUMIFS(Ambientes!$H:$H,Ambientes!$A:$A,$B30,Ambientes!$D:$D,"Out"))</f>
        <v/>
      </c>
      <c r="F30" s="34">
        <f>IF($B30="","",SUMIFS(Faturamento!$C:$C,Faturamento!$A:$A,$B30,Faturamento!$D:$D,"Out"))</f>
        <v/>
      </c>
      <c r="G30" s="34">
        <f>IF($B30="","",SUMIFS(Projetos!$B:$B,Projetos!$A:$A,$B30,Projetos!$C:$C,"Out"))</f>
        <v/>
      </c>
    </row>
    <row r="31">
      <c r="B31" s="31">
        <f>IF(Projetos!$A18="","",Projetos!$A18)</f>
        <v/>
      </c>
      <c r="C31" s="32">
        <f>IF($B31="","",SUMIFS(Ambientes!$C:$C,Ambientes!$A:$A,$B31,Ambientes!$D:$D,"Out"))</f>
        <v/>
      </c>
      <c r="D31" s="32">
        <f>IF($B31="","",SUMIFS(Ambientes!$C:$C,Ambientes!$A:$A,$B31,Ambientes!$E:$E,"Out"))</f>
        <v/>
      </c>
      <c r="E31" s="32">
        <f>IF($B31="","",SUMIFS(Ambientes!$H:$H,Ambientes!$A:$A,$B31,Ambientes!$D:$D,"Out"))</f>
        <v/>
      </c>
      <c r="F31" s="32">
        <f>IF($B31="","",SUMIFS(Faturamento!$C:$C,Faturamento!$A:$A,$B31,Faturamento!$D:$D,"Out"))</f>
        <v/>
      </c>
      <c r="G31" s="32">
        <f>IF($B31="","",SUMIFS(Projetos!$B:$B,Projetos!$A:$A,$B31,Projetos!$C:$C,"Out"))</f>
        <v/>
      </c>
    </row>
    <row r="32">
      <c r="B32" s="33">
        <f>IF(Projetos!$A19="","",Projetos!$A19)</f>
        <v/>
      </c>
      <c r="C32" s="34">
        <f>IF($B32="","",SUMIFS(Ambientes!$C:$C,Ambientes!$A:$A,$B32,Ambientes!$D:$D,"Out"))</f>
        <v/>
      </c>
      <c r="D32" s="34">
        <f>IF($B32="","",SUMIFS(Ambientes!$C:$C,Ambientes!$A:$A,$B32,Ambientes!$E:$E,"Out"))</f>
        <v/>
      </c>
      <c r="E32" s="34">
        <f>IF($B32="","",SUMIFS(Ambientes!$H:$H,Ambientes!$A:$A,$B32,Ambientes!$D:$D,"Out"))</f>
        <v/>
      </c>
      <c r="F32" s="34">
        <f>IF($B32="","",SUMIFS(Faturamento!$C:$C,Faturamento!$A:$A,$B32,Faturamento!$D:$D,"Out"))</f>
        <v/>
      </c>
      <c r="G32" s="34">
        <f>IF($B32="","",SUMIFS(Projetos!$B:$B,Projetos!$A:$A,$B32,Projetos!$C:$C,"Out"))</f>
        <v/>
      </c>
    </row>
    <row r="33">
      <c r="B33" s="31">
        <f>IF(Projetos!$A20="","",Projetos!$A20)</f>
        <v/>
      </c>
      <c r="C33" s="32">
        <f>IF($B33="","",SUMIFS(Ambientes!$C:$C,Ambientes!$A:$A,$B33,Ambientes!$D:$D,"Out"))</f>
        <v/>
      </c>
      <c r="D33" s="32">
        <f>IF($B33="","",SUMIFS(Ambientes!$C:$C,Ambientes!$A:$A,$B33,Ambientes!$E:$E,"Out"))</f>
        <v/>
      </c>
      <c r="E33" s="32">
        <f>IF($B33="","",SUMIFS(Ambientes!$H:$H,Ambientes!$A:$A,$B33,Ambientes!$D:$D,"Out"))</f>
        <v/>
      </c>
      <c r="F33" s="32">
        <f>IF($B33="","",SUMIFS(Faturamento!$C:$C,Faturamento!$A:$A,$B33,Faturamento!$D:$D,"Out"))</f>
        <v/>
      </c>
      <c r="G33" s="32">
        <f>IF($B33="","",SUMIFS(Projetos!$B:$B,Projetos!$A:$A,$B33,Projetos!$C:$C,"Out"))</f>
        <v/>
      </c>
    </row>
    <row r="34">
      <c r="B34" s="33">
        <f>IF(Projetos!$A21="","",Projetos!$A21)</f>
        <v/>
      </c>
      <c r="C34" s="34">
        <f>IF($B34="","",SUMIFS(Ambientes!$C:$C,Ambientes!$A:$A,$B34,Ambientes!$D:$D,"Out"))</f>
        <v/>
      </c>
      <c r="D34" s="34">
        <f>IF($B34="","",SUMIFS(Ambientes!$C:$C,Ambientes!$A:$A,$B34,Ambientes!$E:$E,"Out"))</f>
        <v/>
      </c>
      <c r="E34" s="34">
        <f>IF($B34="","",SUMIFS(Ambientes!$H:$H,Ambientes!$A:$A,$B34,Ambientes!$D:$D,"Out"))</f>
        <v/>
      </c>
      <c r="F34" s="34">
        <f>IF($B34="","",SUMIFS(Faturamento!$C:$C,Faturamento!$A:$A,$B34,Faturamento!$D:$D,"Out"))</f>
        <v/>
      </c>
      <c r="G34" s="34">
        <f>IF($B34="","",SUMIFS(Projetos!$B:$B,Projetos!$A:$A,$B34,Projetos!$C:$C,"Out"))</f>
        <v/>
      </c>
    </row>
    <row r="35">
      <c r="B35" s="31">
        <f>IF(Projetos!$A22="","",Projetos!$A22)</f>
        <v/>
      </c>
      <c r="C35" s="32">
        <f>IF($B35="","",SUMIFS(Ambientes!$C:$C,Ambientes!$A:$A,$B35,Ambientes!$D:$D,"Out"))</f>
        <v/>
      </c>
      <c r="D35" s="32">
        <f>IF($B35="","",SUMIFS(Ambientes!$C:$C,Ambientes!$A:$A,$B35,Ambientes!$E:$E,"Out"))</f>
        <v/>
      </c>
      <c r="E35" s="32">
        <f>IF($B35="","",SUMIFS(Ambientes!$H:$H,Ambientes!$A:$A,$B35,Ambientes!$D:$D,"Out"))</f>
        <v/>
      </c>
      <c r="F35" s="32">
        <f>IF($B35="","",SUMIFS(Faturamento!$C:$C,Faturamento!$A:$A,$B35,Faturamento!$D:$D,"Out"))</f>
        <v/>
      </c>
      <c r="G35" s="32">
        <f>IF($B35="","",SUMIFS(Projetos!$B:$B,Projetos!$A:$A,$B35,Projetos!$C:$C,"Out"))</f>
        <v/>
      </c>
    </row>
    <row r="36">
      <c r="B36" s="33">
        <f>IF(Projetos!$A23="","",Projetos!$A23)</f>
        <v/>
      </c>
      <c r="C36" s="34">
        <f>IF($B36="","",SUMIFS(Ambientes!$C:$C,Ambientes!$A:$A,$B36,Ambientes!$D:$D,"Out"))</f>
        <v/>
      </c>
      <c r="D36" s="34">
        <f>IF($B36="","",SUMIFS(Ambientes!$C:$C,Ambientes!$A:$A,$B36,Ambientes!$E:$E,"Out"))</f>
        <v/>
      </c>
      <c r="E36" s="34">
        <f>IF($B36="","",SUMIFS(Ambientes!$H:$H,Ambientes!$A:$A,$B36,Ambientes!$D:$D,"Out"))</f>
        <v/>
      </c>
      <c r="F36" s="34">
        <f>IF($B36="","",SUMIFS(Faturamento!$C:$C,Faturamento!$A:$A,$B36,Faturamento!$D:$D,"Out"))</f>
        <v/>
      </c>
      <c r="G36" s="34">
        <f>IF($B36="","",SUMIFS(Projetos!$B:$B,Projetos!$A:$A,$B36,Projetos!$C:$C,"Out"))</f>
        <v/>
      </c>
    </row>
    <row r="37">
      <c r="B37" s="31">
        <f>IF(Projetos!$A24="","",Projetos!$A24)</f>
        <v/>
      </c>
      <c r="C37" s="32">
        <f>IF($B37="","",SUMIFS(Ambientes!$C:$C,Ambientes!$A:$A,$B37,Ambientes!$D:$D,"Out"))</f>
        <v/>
      </c>
      <c r="D37" s="32">
        <f>IF($B37="","",SUMIFS(Ambientes!$C:$C,Ambientes!$A:$A,$B37,Ambientes!$E:$E,"Out"))</f>
        <v/>
      </c>
      <c r="E37" s="32">
        <f>IF($B37="","",SUMIFS(Ambientes!$H:$H,Ambientes!$A:$A,$B37,Ambientes!$D:$D,"Out"))</f>
        <v/>
      </c>
      <c r="F37" s="32">
        <f>IF($B37="","",SUMIFS(Faturamento!$C:$C,Faturamento!$A:$A,$B37,Faturamento!$D:$D,"Out"))</f>
        <v/>
      </c>
      <c r="G37" s="32">
        <f>IF($B37="","",SUMIFS(Projetos!$B:$B,Projetos!$A:$A,$B37,Projetos!$C:$C,"Out"))</f>
        <v/>
      </c>
    </row>
    <row r="38">
      <c r="B38" s="33">
        <f>IF(Projetos!$A25="","",Projetos!$A25)</f>
        <v/>
      </c>
      <c r="C38" s="34">
        <f>IF($B38="","",SUMIFS(Ambientes!$C:$C,Ambientes!$A:$A,$B38,Ambientes!$D:$D,"Out"))</f>
        <v/>
      </c>
      <c r="D38" s="34">
        <f>IF($B38="","",SUMIFS(Ambientes!$C:$C,Ambientes!$A:$A,$B38,Ambientes!$E:$E,"Out"))</f>
        <v/>
      </c>
      <c r="E38" s="34">
        <f>IF($B38="","",SUMIFS(Ambientes!$H:$H,Ambientes!$A:$A,$B38,Ambientes!$D:$D,"Out"))</f>
        <v/>
      </c>
      <c r="F38" s="34">
        <f>IF($B38="","",SUMIFS(Faturamento!$C:$C,Faturamento!$A:$A,$B38,Faturamento!$D:$D,"Out"))</f>
        <v/>
      </c>
      <c r="G38" s="34">
        <f>IF($B38="","",SUMIFS(Projetos!$B:$B,Projetos!$A:$A,$B38,Projetos!$C:$C,"Out"))</f>
        <v/>
      </c>
    </row>
    <row r="39">
      <c r="B39" s="31">
        <f>IF(Projetos!$A26="","",Projetos!$A26)</f>
        <v/>
      </c>
      <c r="C39" s="32">
        <f>IF($B39="","",SUMIFS(Ambientes!$C:$C,Ambientes!$A:$A,$B39,Ambientes!$D:$D,"Out"))</f>
        <v/>
      </c>
      <c r="D39" s="32">
        <f>IF($B39="","",SUMIFS(Ambientes!$C:$C,Ambientes!$A:$A,$B39,Ambientes!$E:$E,"Out"))</f>
        <v/>
      </c>
      <c r="E39" s="32">
        <f>IF($B39="","",SUMIFS(Ambientes!$H:$H,Ambientes!$A:$A,$B39,Ambientes!$D:$D,"Out"))</f>
        <v/>
      </c>
      <c r="F39" s="32">
        <f>IF($B39="","",SUMIFS(Faturamento!$C:$C,Faturamento!$A:$A,$B39,Faturamento!$D:$D,"Out"))</f>
        <v/>
      </c>
      <c r="G39" s="32">
        <f>IF($B39="","",SUMIFS(Projetos!$B:$B,Projetos!$A:$A,$B39,Projetos!$C:$C,"Out"))</f>
        <v/>
      </c>
    </row>
    <row r="40">
      <c r="B40" s="33">
        <f>IF(Projetos!$A27="","",Projetos!$A27)</f>
        <v/>
      </c>
      <c r="C40" s="34">
        <f>IF($B40="","",SUMIFS(Ambientes!$C:$C,Ambientes!$A:$A,$B40,Ambientes!$D:$D,"Out"))</f>
        <v/>
      </c>
      <c r="D40" s="34">
        <f>IF($B40="","",SUMIFS(Ambientes!$C:$C,Ambientes!$A:$A,$B40,Ambientes!$E:$E,"Out"))</f>
        <v/>
      </c>
      <c r="E40" s="34">
        <f>IF($B40="","",SUMIFS(Ambientes!$H:$H,Ambientes!$A:$A,$B40,Ambientes!$D:$D,"Out"))</f>
        <v/>
      </c>
      <c r="F40" s="34">
        <f>IF($B40="","",SUMIFS(Faturamento!$C:$C,Faturamento!$A:$A,$B40,Faturamento!$D:$D,"Out"))</f>
        <v/>
      </c>
      <c r="G40" s="34">
        <f>IF($B40="","",SUMIFS(Projetos!$B:$B,Projetos!$A:$A,$B40,Projetos!$C:$C,"Out"))</f>
        <v/>
      </c>
    </row>
    <row r="41">
      <c r="B41" s="31">
        <f>IF(Projetos!$A28="","",Projetos!$A28)</f>
        <v/>
      </c>
      <c r="C41" s="32">
        <f>IF($B41="","",SUMIFS(Ambientes!$C:$C,Ambientes!$A:$A,$B41,Ambientes!$D:$D,"Out"))</f>
        <v/>
      </c>
      <c r="D41" s="32">
        <f>IF($B41="","",SUMIFS(Ambientes!$C:$C,Ambientes!$A:$A,$B41,Ambientes!$E:$E,"Out"))</f>
        <v/>
      </c>
      <c r="E41" s="32">
        <f>IF($B41="","",SUMIFS(Ambientes!$H:$H,Ambientes!$A:$A,$B41,Ambientes!$D:$D,"Out"))</f>
        <v/>
      </c>
      <c r="F41" s="32">
        <f>IF($B41="","",SUMIFS(Faturamento!$C:$C,Faturamento!$A:$A,$B41,Faturamento!$D:$D,"Out"))</f>
        <v/>
      </c>
      <c r="G41" s="32">
        <f>IF($B41="","",SUMIFS(Projetos!$B:$B,Projetos!$A:$A,$B41,Projetos!$C:$C,"Out"))</f>
        <v/>
      </c>
    </row>
    <row r="42">
      <c r="B42" s="33">
        <f>IF(Projetos!$A29="","",Projetos!$A29)</f>
        <v/>
      </c>
      <c r="C42" s="34">
        <f>IF($B42="","",SUMIFS(Ambientes!$C:$C,Ambientes!$A:$A,$B42,Ambientes!$D:$D,"Out"))</f>
        <v/>
      </c>
      <c r="D42" s="34">
        <f>IF($B42="","",SUMIFS(Ambientes!$C:$C,Ambientes!$A:$A,$B42,Ambientes!$E:$E,"Out"))</f>
        <v/>
      </c>
      <c r="E42" s="34">
        <f>IF($B42="","",SUMIFS(Ambientes!$H:$H,Ambientes!$A:$A,$B42,Ambientes!$D:$D,"Out"))</f>
        <v/>
      </c>
      <c r="F42" s="34">
        <f>IF($B42="","",SUMIFS(Faturamento!$C:$C,Faturamento!$A:$A,$B42,Faturamento!$D:$D,"Out"))</f>
        <v/>
      </c>
      <c r="G42" s="34">
        <f>IF($B42="","",SUMIFS(Projetos!$B:$B,Projetos!$A:$A,$B42,Projetos!$C:$C,"Out"))</f>
        <v/>
      </c>
    </row>
    <row r="43">
      <c r="B43" s="31">
        <f>IF(Projetos!$A30="","",Projetos!$A30)</f>
        <v/>
      </c>
      <c r="C43" s="32">
        <f>IF($B43="","",SUMIFS(Ambientes!$C:$C,Ambientes!$A:$A,$B43,Ambientes!$D:$D,"Out"))</f>
        <v/>
      </c>
      <c r="D43" s="32">
        <f>IF($B43="","",SUMIFS(Ambientes!$C:$C,Ambientes!$A:$A,$B43,Ambientes!$E:$E,"Out"))</f>
        <v/>
      </c>
      <c r="E43" s="32">
        <f>IF($B43="","",SUMIFS(Ambientes!$H:$H,Ambientes!$A:$A,$B43,Ambientes!$D:$D,"Out"))</f>
        <v/>
      </c>
      <c r="F43" s="32">
        <f>IF($B43="","",SUMIFS(Faturamento!$C:$C,Faturamento!$A:$A,$B43,Faturamento!$D:$D,"Out"))</f>
        <v/>
      </c>
      <c r="G43" s="32">
        <f>IF($B43="","",SUMIFS(Projetos!$B:$B,Projetos!$A:$A,$B43,Projetos!$C:$C,"Out"))</f>
        <v/>
      </c>
    </row>
    <row r="44">
      <c r="B44" s="33">
        <f>IF(Projetos!$A31="","",Projetos!$A31)</f>
        <v/>
      </c>
      <c r="C44" s="34">
        <f>IF($B44="","",SUMIFS(Ambientes!$C:$C,Ambientes!$A:$A,$B44,Ambientes!$D:$D,"Out"))</f>
        <v/>
      </c>
      <c r="D44" s="34">
        <f>IF($B44="","",SUMIFS(Ambientes!$C:$C,Ambientes!$A:$A,$B44,Ambientes!$E:$E,"Out"))</f>
        <v/>
      </c>
      <c r="E44" s="34">
        <f>IF($B44="","",SUMIFS(Ambientes!$H:$H,Ambientes!$A:$A,$B44,Ambientes!$D:$D,"Out"))</f>
        <v/>
      </c>
      <c r="F44" s="34">
        <f>IF($B44="","",SUMIFS(Faturamento!$C:$C,Faturamento!$A:$A,$B44,Faturamento!$D:$D,"Out"))</f>
        <v/>
      </c>
      <c r="G44" s="34">
        <f>IF($B44="","",SUMIFS(Projetos!$B:$B,Projetos!$A:$A,$B44,Projetos!$C:$C,"Out"))</f>
        <v/>
      </c>
    </row>
    <row r="45">
      <c r="B45" s="31">
        <f>IF(Projetos!$A32="","",Projetos!$A32)</f>
        <v/>
      </c>
      <c r="C45" s="32">
        <f>IF($B45="","",SUMIFS(Ambientes!$C:$C,Ambientes!$A:$A,$B45,Ambientes!$D:$D,"Out"))</f>
        <v/>
      </c>
      <c r="D45" s="32">
        <f>IF($B45="","",SUMIFS(Ambientes!$C:$C,Ambientes!$A:$A,$B45,Ambientes!$E:$E,"Out"))</f>
        <v/>
      </c>
      <c r="E45" s="32">
        <f>IF($B45="","",SUMIFS(Ambientes!$H:$H,Ambientes!$A:$A,$B45,Ambientes!$D:$D,"Out"))</f>
        <v/>
      </c>
      <c r="F45" s="32">
        <f>IF($B45="","",SUMIFS(Faturamento!$C:$C,Faturamento!$A:$A,$B45,Faturamento!$D:$D,"Out"))</f>
        <v/>
      </c>
      <c r="G45" s="32">
        <f>IF($B45="","",SUMIFS(Projetos!$B:$B,Projetos!$A:$A,$B45,Projetos!$C:$C,"Out"))</f>
        <v/>
      </c>
    </row>
    <row r="46">
      <c r="B46" s="33">
        <f>IF(Projetos!$A33="","",Projetos!$A33)</f>
        <v/>
      </c>
      <c r="C46" s="34">
        <f>IF($B46="","",SUMIFS(Ambientes!$C:$C,Ambientes!$A:$A,$B46,Ambientes!$D:$D,"Out"))</f>
        <v/>
      </c>
      <c r="D46" s="34">
        <f>IF($B46="","",SUMIFS(Ambientes!$C:$C,Ambientes!$A:$A,$B46,Ambientes!$E:$E,"Out"))</f>
        <v/>
      </c>
      <c r="E46" s="34">
        <f>IF($B46="","",SUMIFS(Ambientes!$H:$H,Ambientes!$A:$A,$B46,Ambientes!$D:$D,"Out"))</f>
        <v/>
      </c>
      <c r="F46" s="34">
        <f>IF($B46="","",SUMIFS(Faturamento!$C:$C,Faturamento!$A:$A,$B46,Faturamento!$D:$D,"Out"))</f>
        <v/>
      </c>
      <c r="G46" s="34">
        <f>IF($B46="","",SUMIFS(Projetos!$B:$B,Projetos!$A:$A,$B46,Projetos!$C:$C,"Out"))</f>
        <v/>
      </c>
    </row>
    <row r="47">
      <c r="B47" s="31">
        <f>IF(Projetos!$A34="","",Projetos!$A34)</f>
        <v/>
      </c>
      <c r="C47" s="32">
        <f>IF($B47="","",SUMIFS(Ambientes!$C:$C,Ambientes!$A:$A,$B47,Ambientes!$D:$D,"Out"))</f>
        <v/>
      </c>
      <c r="D47" s="32">
        <f>IF($B47="","",SUMIFS(Ambientes!$C:$C,Ambientes!$A:$A,$B47,Ambientes!$E:$E,"Out"))</f>
        <v/>
      </c>
      <c r="E47" s="32">
        <f>IF($B47="","",SUMIFS(Ambientes!$H:$H,Ambientes!$A:$A,$B47,Ambientes!$D:$D,"Out"))</f>
        <v/>
      </c>
      <c r="F47" s="32">
        <f>IF($B47="","",SUMIFS(Faturamento!$C:$C,Faturamento!$A:$A,$B47,Faturamento!$D:$D,"Out"))</f>
        <v/>
      </c>
      <c r="G47" s="32">
        <f>IF($B47="","",SUMIFS(Projetos!$B:$B,Projetos!$A:$A,$B47,Projetos!$C:$C,"Out"))</f>
        <v/>
      </c>
    </row>
    <row r="48">
      <c r="B48" s="33">
        <f>IF(Projetos!$A35="","",Projetos!$A35)</f>
        <v/>
      </c>
      <c r="C48" s="34">
        <f>IF($B48="","",SUMIFS(Ambientes!$C:$C,Ambientes!$A:$A,$B48,Ambientes!$D:$D,"Out"))</f>
        <v/>
      </c>
      <c r="D48" s="34">
        <f>IF($B48="","",SUMIFS(Ambientes!$C:$C,Ambientes!$A:$A,$B48,Ambientes!$E:$E,"Out"))</f>
        <v/>
      </c>
      <c r="E48" s="34">
        <f>IF($B48="","",SUMIFS(Ambientes!$H:$H,Ambientes!$A:$A,$B48,Ambientes!$D:$D,"Out"))</f>
        <v/>
      </c>
      <c r="F48" s="34">
        <f>IF($B48="","",SUMIFS(Faturamento!$C:$C,Faturamento!$A:$A,$B48,Faturamento!$D:$D,"Out"))</f>
        <v/>
      </c>
      <c r="G48" s="34">
        <f>IF($B48="","",SUMIFS(Projetos!$B:$B,Projetos!$A:$A,$B48,Projetos!$C:$C,"Out"))</f>
        <v/>
      </c>
    </row>
    <row r="49">
      <c r="B49" s="31">
        <f>IF(Projetos!$A36="","",Projetos!$A36)</f>
        <v/>
      </c>
      <c r="C49" s="32">
        <f>IF($B49="","",SUMIFS(Ambientes!$C:$C,Ambientes!$A:$A,$B49,Ambientes!$D:$D,"Out"))</f>
        <v/>
      </c>
      <c r="D49" s="32">
        <f>IF($B49="","",SUMIFS(Ambientes!$C:$C,Ambientes!$A:$A,$B49,Ambientes!$E:$E,"Out"))</f>
        <v/>
      </c>
      <c r="E49" s="32">
        <f>IF($B49="","",SUMIFS(Ambientes!$H:$H,Ambientes!$A:$A,$B49,Ambientes!$D:$D,"Out"))</f>
        <v/>
      </c>
      <c r="F49" s="32">
        <f>IF($B49="","",SUMIFS(Faturamento!$C:$C,Faturamento!$A:$A,$B49,Faturamento!$D:$D,"Out"))</f>
        <v/>
      </c>
      <c r="G49" s="32">
        <f>IF($B49="","",SUMIFS(Projetos!$B:$B,Projetos!$A:$A,$B49,Projetos!$C:$C,"Out"))</f>
        <v/>
      </c>
    </row>
    <row r="50">
      <c r="B50" s="33">
        <f>IF(Projetos!$A37="","",Projetos!$A37)</f>
        <v/>
      </c>
      <c r="C50" s="34">
        <f>IF($B50="","",SUMIFS(Ambientes!$C:$C,Ambientes!$A:$A,$B50,Ambientes!$D:$D,"Out"))</f>
        <v/>
      </c>
      <c r="D50" s="34">
        <f>IF($B50="","",SUMIFS(Ambientes!$C:$C,Ambientes!$A:$A,$B50,Ambientes!$E:$E,"Out"))</f>
        <v/>
      </c>
      <c r="E50" s="34">
        <f>IF($B50="","",SUMIFS(Ambientes!$H:$H,Ambientes!$A:$A,$B50,Ambientes!$D:$D,"Out"))</f>
        <v/>
      </c>
      <c r="F50" s="34">
        <f>IF($B50="","",SUMIFS(Faturamento!$C:$C,Faturamento!$A:$A,$B50,Faturamento!$D:$D,"Out"))</f>
        <v/>
      </c>
      <c r="G50" s="34">
        <f>IF($B50="","",SUMIFS(Projetos!$B:$B,Projetos!$A:$A,$B50,Projetos!$C:$C,"Out"))</f>
        <v/>
      </c>
    </row>
    <row r="51">
      <c r="B51" s="31">
        <f>IF(Projetos!$A38="","",Projetos!$A38)</f>
        <v/>
      </c>
      <c r="C51" s="32">
        <f>IF($B51="","",SUMIFS(Ambientes!$C:$C,Ambientes!$A:$A,$B51,Ambientes!$D:$D,"Out"))</f>
        <v/>
      </c>
      <c r="D51" s="32">
        <f>IF($B51="","",SUMIFS(Ambientes!$C:$C,Ambientes!$A:$A,$B51,Ambientes!$E:$E,"Out"))</f>
        <v/>
      </c>
      <c r="E51" s="32">
        <f>IF($B51="","",SUMIFS(Ambientes!$H:$H,Ambientes!$A:$A,$B51,Ambientes!$D:$D,"Out"))</f>
        <v/>
      </c>
      <c r="F51" s="32">
        <f>IF($B51="","",SUMIFS(Faturamento!$C:$C,Faturamento!$A:$A,$B51,Faturamento!$D:$D,"Out"))</f>
        <v/>
      </c>
      <c r="G51" s="32">
        <f>IF($B51="","",SUMIFS(Projetos!$B:$B,Projetos!$A:$A,$B51,Projetos!$C:$C,"Out"))</f>
        <v/>
      </c>
    </row>
    <row r="52">
      <c r="B52" s="33">
        <f>IF(Projetos!$A39="","",Projetos!$A39)</f>
        <v/>
      </c>
      <c r="C52" s="34">
        <f>IF($B52="","",SUMIFS(Ambientes!$C:$C,Ambientes!$A:$A,$B52,Ambientes!$D:$D,"Out"))</f>
        <v/>
      </c>
      <c r="D52" s="34">
        <f>IF($B52="","",SUMIFS(Ambientes!$C:$C,Ambientes!$A:$A,$B52,Ambientes!$E:$E,"Out"))</f>
        <v/>
      </c>
      <c r="E52" s="34">
        <f>IF($B52="","",SUMIFS(Ambientes!$H:$H,Ambientes!$A:$A,$B52,Ambientes!$D:$D,"Out"))</f>
        <v/>
      </c>
      <c r="F52" s="34">
        <f>IF($B52="","",SUMIFS(Faturamento!$C:$C,Faturamento!$A:$A,$B52,Faturamento!$D:$D,"Out"))</f>
        <v/>
      </c>
      <c r="G52" s="34">
        <f>IF($B52="","",SUMIFS(Projetos!$B:$B,Projetos!$A:$A,$B52,Projetos!$C:$C,"Out"))</f>
        <v/>
      </c>
    </row>
    <row r="53">
      <c r="B53" s="31">
        <f>IF(Projetos!$A40="","",Projetos!$A40)</f>
        <v/>
      </c>
      <c r="C53" s="32">
        <f>IF($B53="","",SUMIFS(Ambientes!$C:$C,Ambientes!$A:$A,$B53,Ambientes!$D:$D,"Out"))</f>
        <v/>
      </c>
      <c r="D53" s="32">
        <f>IF($B53="","",SUMIFS(Ambientes!$C:$C,Ambientes!$A:$A,$B53,Ambientes!$E:$E,"Out"))</f>
        <v/>
      </c>
      <c r="E53" s="32">
        <f>IF($B53="","",SUMIFS(Ambientes!$H:$H,Ambientes!$A:$A,$B53,Ambientes!$D:$D,"Out"))</f>
        <v/>
      </c>
      <c r="F53" s="32">
        <f>IF($B53="","",SUMIFS(Faturamento!$C:$C,Faturamento!$A:$A,$B53,Faturamento!$D:$D,"Out"))</f>
        <v/>
      </c>
      <c r="G53" s="32">
        <f>IF($B53="","",SUMIFS(Projetos!$B:$B,Projetos!$A:$A,$B53,Projetos!$C:$C,"Out"))</f>
        <v/>
      </c>
    </row>
    <row r="54">
      <c r="B54" s="33">
        <f>IF(Projetos!$A41="","",Projetos!$A41)</f>
        <v/>
      </c>
      <c r="C54" s="34">
        <f>IF($B54="","",SUMIFS(Ambientes!$C:$C,Ambientes!$A:$A,$B54,Ambientes!$D:$D,"Out"))</f>
        <v/>
      </c>
      <c r="D54" s="34">
        <f>IF($B54="","",SUMIFS(Ambientes!$C:$C,Ambientes!$A:$A,$B54,Ambientes!$E:$E,"Out"))</f>
        <v/>
      </c>
      <c r="E54" s="34">
        <f>IF($B54="","",SUMIFS(Ambientes!$H:$H,Ambientes!$A:$A,$B54,Ambientes!$D:$D,"Out"))</f>
        <v/>
      </c>
      <c r="F54" s="34">
        <f>IF($B54="","",SUMIFS(Faturamento!$C:$C,Faturamento!$A:$A,$B54,Faturamento!$D:$D,"Out"))</f>
        <v/>
      </c>
      <c r="G54" s="34">
        <f>IF($B54="","",SUMIFS(Projetos!$B:$B,Projetos!$A:$A,$B54,Projetos!$C:$C,"Out"))</f>
        <v/>
      </c>
    </row>
    <row r="55">
      <c r="B55" s="31">
        <f>IF(Projetos!$A42="","",Projetos!$A42)</f>
        <v/>
      </c>
      <c r="C55" s="32">
        <f>IF($B55="","",SUMIFS(Ambientes!$C:$C,Ambientes!$A:$A,$B55,Ambientes!$D:$D,"Out"))</f>
        <v/>
      </c>
      <c r="D55" s="32">
        <f>IF($B55="","",SUMIFS(Ambientes!$C:$C,Ambientes!$A:$A,$B55,Ambientes!$E:$E,"Out"))</f>
        <v/>
      </c>
      <c r="E55" s="32">
        <f>IF($B55="","",SUMIFS(Ambientes!$H:$H,Ambientes!$A:$A,$B55,Ambientes!$D:$D,"Out"))</f>
        <v/>
      </c>
      <c r="F55" s="32">
        <f>IF($B55="","",SUMIFS(Faturamento!$C:$C,Faturamento!$A:$A,$B55,Faturamento!$D:$D,"Out"))</f>
        <v/>
      </c>
      <c r="G55" s="32">
        <f>IF($B55="","",SUMIFS(Projetos!$B:$B,Projetos!$A:$A,$B55,Projetos!$C:$C,"Out"))</f>
        <v/>
      </c>
    </row>
    <row r="56">
      <c r="B56" s="33">
        <f>IF(Projetos!$A43="","",Projetos!$A43)</f>
        <v/>
      </c>
      <c r="C56" s="34">
        <f>IF($B56="","",SUMIFS(Ambientes!$C:$C,Ambientes!$A:$A,$B56,Ambientes!$D:$D,"Out"))</f>
        <v/>
      </c>
      <c r="D56" s="34">
        <f>IF($B56="","",SUMIFS(Ambientes!$C:$C,Ambientes!$A:$A,$B56,Ambientes!$E:$E,"Out"))</f>
        <v/>
      </c>
      <c r="E56" s="34">
        <f>IF($B56="","",SUMIFS(Ambientes!$H:$H,Ambientes!$A:$A,$B56,Ambientes!$D:$D,"Out"))</f>
        <v/>
      </c>
      <c r="F56" s="34">
        <f>IF($B56="","",SUMIFS(Faturamento!$C:$C,Faturamento!$A:$A,$B56,Faturamento!$D:$D,"Out"))</f>
        <v/>
      </c>
      <c r="G56" s="34">
        <f>IF($B56="","",SUMIFS(Projetos!$B:$B,Projetos!$A:$A,$B56,Projetos!$C:$C,"Out"))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NOVEMBRO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Fixo'!$A:$A,"Nov",'Custo Fixo'!$E:$E)</f>
        <v/>
      </c>
      <c r="C6" s="19">
        <f>SUMIF(Projetos!$C:$C,"Nov",Projetos!$B:$B)</f>
        <v/>
      </c>
      <c r="D6" s="20">
        <f>SUMIF(Ambientes!$D:$D,"Nov",Ambientes!$H:$H)</f>
        <v/>
      </c>
      <c r="E6" s="19">
        <f>SUMIF(Ambientes!$D:$D,"Nov",Ambientes!$C:$C)</f>
        <v/>
      </c>
      <c r="F6" s="19">
        <f>SUMIF(Ambientes!$E:$E,"Nov",Ambientes!$C:$C)</f>
        <v/>
      </c>
      <c r="G6" s="19">
        <f>SUMIF(Faturamento!$D:$D,"Nov",Faturamento!$C:$C)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SUMIF(Compras!$E:$E,"Nov",Compras!$D:$D)</f>
        <v/>
      </c>
      <c r="C12" s="27">
        <f>SUMIFS(Compras!$D:$D,Compras!$H:$H,"&lt;=11",Compras!$A:$A,"&lt;&gt;")-SUMIF(Ambientes!$J:$J,"&lt;=11",Ambientes!$H:$H)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SUMIF(Projetos!$H:$H,"&lt;=11",Projetos!$B:$B)-SUMIF(Ambientes!$J:$J,"&lt;=11",Ambientes!$C:$C)</f>
        <v/>
      </c>
    </row>
    <row r="13" ht="26" customHeight="1">
      <c r="B13" s="30">
        <f>=IF(SUMIF(Compras!$E:$E,"Nov",Compras!$D:$D)-SUMIFS(Compras!$D:$D,Compras!$E:$E,"Nov",Compras!$A:$A,"&lt;&gt;")=0,"tudo vinculado a projeto","dos quais "&amp;TEXT(SUMIF(Compras!$E:$E,"Nov",Compras!$D:$D)-SUMIFS(Compras!$D:$D,Compras!$E:$E,"Nov",Compras!$A:$A,"&lt;&gt;"),"R$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IF($B17="","",SUMIFS(Ambientes!$C:$C,Ambientes!$A:$A,$B17,Ambientes!$D:$D,"Nov"))</f>
        <v/>
      </c>
      <c r="D17" s="32">
        <f>IF($B17="","",SUMIFS(Ambientes!$C:$C,Ambientes!$A:$A,$B17,Ambientes!$E:$E,"Nov"))</f>
        <v/>
      </c>
      <c r="E17" s="32">
        <f>IF($B17="","",SUMIFS(Ambientes!$H:$H,Ambientes!$A:$A,$B17,Ambientes!$D:$D,"Nov"))</f>
        <v/>
      </c>
      <c r="F17" s="32">
        <f>IF($B17="","",SUMIFS(Faturamento!$C:$C,Faturamento!$A:$A,$B17,Faturamento!$D:$D,"Nov"))</f>
        <v/>
      </c>
      <c r="G17" s="32">
        <f>IF($B17="","",SUMIFS(Projetos!$B:$B,Projetos!$A:$A,$B17,Projetos!$C:$C,"Nov"))</f>
        <v/>
      </c>
    </row>
    <row r="18">
      <c r="B18" s="33">
        <f>IF(Projetos!$A5="","",Projetos!$A5)</f>
        <v/>
      </c>
      <c r="C18" s="34">
        <f>IF($B18="","",SUMIFS(Ambientes!$C:$C,Ambientes!$A:$A,$B18,Ambientes!$D:$D,"Nov"))</f>
        <v/>
      </c>
      <c r="D18" s="34">
        <f>IF($B18="","",SUMIFS(Ambientes!$C:$C,Ambientes!$A:$A,$B18,Ambientes!$E:$E,"Nov"))</f>
        <v/>
      </c>
      <c r="E18" s="34">
        <f>IF($B18="","",SUMIFS(Ambientes!$H:$H,Ambientes!$A:$A,$B18,Ambientes!$D:$D,"Nov"))</f>
        <v/>
      </c>
      <c r="F18" s="34">
        <f>IF($B18="","",SUMIFS(Faturamento!$C:$C,Faturamento!$A:$A,$B18,Faturamento!$D:$D,"Nov"))</f>
        <v/>
      </c>
      <c r="G18" s="34">
        <f>IF($B18="","",SUMIFS(Projetos!$B:$B,Projetos!$A:$A,$B18,Projetos!$C:$C,"Nov"))</f>
        <v/>
      </c>
    </row>
    <row r="19">
      <c r="B19" s="31">
        <f>IF(Projetos!$A6="","",Projetos!$A6)</f>
        <v/>
      </c>
      <c r="C19" s="32">
        <f>IF($B19="","",SUMIFS(Ambientes!$C:$C,Ambientes!$A:$A,$B19,Ambientes!$D:$D,"Nov"))</f>
        <v/>
      </c>
      <c r="D19" s="32">
        <f>IF($B19="","",SUMIFS(Ambientes!$C:$C,Ambientes!$A:$A,$B19,Ambientes!$E:$E,"Nov"))</f>
        <v/>
      </c>
      <c r="E19" s="32">
        <f>IF($B19="","",SUMIFS(Ambientes!$H:$H,Ambientes!$A:$A,$B19,Ambientes!$D:$D,"Nov"))</f>
        <v/>
      </c>
      <c r="F19" s="32">
        <f>IF($B19="","",SUMIFS(Faturamento!$C:$C,Faturamento!$A:$A,$B19,Faturamento!$D:$D,"Nov"))</f>
        <v/>
      </c>
      <c r="G19" s="32">
        <f>IF($B19="","",SUMIFS(Projetos!$B:$B,Projetos!$A:$A,$B19,Projetos!$C:$C,"Nov"))</f>
        <v/>
      </c>
    </row>
    <row r="20">
      <c r="B20" s="33">
        <f>IF(Projetos!$A7="","",Projetos!$A7)</f>
        <v/>
      </c>
      <c r="C20" s="34">
        <f>IF($B20="","",SUMIFS(Ambientes!$C:$C,Ambientes!$A:$A,$B20,Ambientes!$D:$D,"Nov"))</f>
        <v/>
      </c>
      <c r="D20" s="34">
        <f>IF($B20="","",SUMIFS(Ambientes!$C:$C,Ambientes!$A:$A,$B20,Ambientes!$E:$E,"Nov"))</f>
        <v/>
      </c>
      <c r="E20" s="34">
        <f>IF($B20="","",SUMIFS(Ambientes!$H:$H,Ambientes!$A:$A,$B20,Ambientes!$D:$D,"Nov"))</f>
        <v/>
      </c>
      <c r="F20" s="34">
        <f>IF($B20="","",SUMIFS(Faturamento!$C:$C,Faturamento!$A:$A,$B20,Faturamento!$D:$D,"Nov"))</f>
        <v/>
      </c>
      <c r="G20" s="34">
        <f>IF($B20="","",SUMIFS(Projetos!$B:$B,Projetos!$A:$A,$B20,Projetos!$C:$C,"Nov"))</f>
        <v/>
      </c>
    </row>
    <row r="21">
      <c r="B21" s="31">
        <f>IF(Projetos!$A8="","",Projetos!$A8)</f>
        <v/>
      </c>
      <c r="C21" s="32">
        <f>IF($B21="","",SUMIFS(Ambientes!$C:$C,Ambientes!$A:$A,$B21,Ambientes!$D:$D,"Nov"))</f>
        <v/>
      </c>
      <c r="D21" s="32">
        <f>IF($B21="","",SUMIFS(Ambientes!$C:$C,Ambientes!$A:$A,$B21,Ambientes!$E:$E,"Nov"))</f>
        <v/>
      </c>
      <c r="E21" s="32">
        <f>IF($B21="","",SUMIFS(Ambientes!$H:$H,Ambientes!$A:$A,$B21,Ambientes!$D:$D,"Nov"))</f>
        <v/>
      </c>
      <c r="F21" s="32">
        <f>IF($B21="","",SUMIFS(Faturamento!$C:$C,Faturamento!$A:$A,$B21,Faturamento!$D:$D,"Nov"))</f>
        <v/>
      </c>
      <c r="G21" s="32">
        <f>IF($B21="","",SUMIFS(Projetos!$B:$B,Projetos!$A:$A,$B21,Projetos!$C:$C,"Nov"))</f>
        <v/>
      </c>
    </row>
    <row r="22">
      <c r="B22" s="33">
        <f>IF(Projetos!$A9="","",Projetos!$A9)</f>
        <v/>
      </c>
      <c r="C22" s="34">
        <f>IF($B22="","",SUMIFS(Ambientes!$C:$C,Ambientes!$A:$A,$B22,Ambientes!$D:$D,"Nov"))</f>
        <v/>
      </c>
      <c r="D22" s="34">
        <f>IF($B22="","",SUMIFS(Ambientes!$C:$C,Ambientes!$A:$A,$B22,Ambientes!$E:$E,"Nov"))</f>
        <v/>
      </c>
      <c r="E22" s="34">
        <f>IF($B22="","",SUMIFS(Ambientes!$H:$H,Ambientes!$A:$A,$B22,Ambientes!$D:$D,"Nov"))</f>
        <v/>
      </c>
      <c r="F22" s="34">
        <f>IF($B22="","",SUMIFS(Faturamento!$C:$C,Faturamento!$A:$A,$B22,Faturamento!$D:$D,"Nov"))</f>
        <v/>
      </c>
      <c r="G22" s="34">
        <f>IF($B22="","",SUMIFS(Projetos!$B:$B,Projetos!$A:$A,$B22,Projetos!$C:$C,"Nov"))</f>
        <v/>
      </c>
    </row>
    <row r="23">
      <c r="B23" s="31">
        <f>IF(Projetos!$A10="","",Projetos!$A10)</f>
        <v/>
      </c>
      <c r="C23" s="32">
        <f>IF($B23="","",SUMIFS(Ambientes!$C:$C,Ambientes!$A:$A,$B23,Ambientes!$D:$D,"Nov"))</f>
        <v/>
      </c>
      <c r="D23" s="32">
        <f>IF($B23="","",SUMIFS(Ambientes!$C:$C,Ambientes!$A:$A,$B23,Ambientes!$E:$E,"Nov"))</f>
        <v/>
      </c>
      <c r="E23" s="32">
        <f>IF($B23="","",SUMIFS(Ambientes!$H:$H,Ambientes!$A:$A,$B23,Ambientes!$D:$D,"Nov"))</f>
        <v/>
      </c>
      <c r="F23" s="32">
        <f>IF($B23="","",SUMIFS(Faturamento!$C:$C,Faturamento!$A:$A,$B23,Faturamento!$D:$D,"Nov"))</f>
        <v/>
      </c>
      <c r="G23" s="32">
        <f>IF($B23="","",SUMIFS(Projetos!$B:$B,Projetos!$A:$A,$B23,Projetos!$C:$C,"Nov"))</f>
        <v/>
      </c>
    </row>
    <row r="24">
      <c r="B24" s="33">
        <f>IF(Projetos!$A11="","",Projetos!$A11)</f>
        <v/>
      </c>
      <c r="C24" s="34">
        <f>IF($B24="","",SUMIFS(Ambientes!$C:$C,Ambientes!$A:$A,$B24,Ambientes!$D:$D,"Nov"))</f>
        <v/>
      </c>
      <c r="D24" s="34">
        <f>IF($B24="","",SUMIFS(Ambientes!$C:$C,Ambientes!$A:$A,$B24,Ambientes!$E:$E,"Nov"))</f>
        <v/>
      </c>
      <c r="E24" s="34">
        <f>IF($B24="","",SUMIFS(Ambientes!$H:$H,Ambientes!$A:$A,$B24,Ambientes!$D:$D,"Nov"))</f>
        <v/>
      </c>
      <c r="F24" s="34">
        <f>IF($B24="","",SUMIFS(Faturamento!$C:$C,Faturamento!$A:$A,$B24,Faturamento!$D:$D,"Nov"))</f>
        <v/>
      </c>
      <c r="G24" s="34">
        <f>IF($B24="","",SUMIFS(Projetos!$B:$B,Projetos!$A:$A,$B24,Projetos!$C:$C,"Nov"))</f>
        <v/>
      </c>
    </row>
    <row r="25">
      <c r="B25" s="31">
        <f>IF(Projetos!$A12="","",Projetos!$A12)</f>
        <v/>
      </c>
      <c r="C25" s="32">
        <f>IF($B25="","",SUMIFS(Ambientes!$C:$C,Ambientes!$A:$A,$B25,Ambientes!$D:$D,"Nov"))</f>
        <v/>
      </c>
      <c r="D25" s="32">
        <f>IF($B25="","",SUMIFS(Ambientes!$C:$C,Ambientes!$A:$A,$B25,Ambientes!$E:$E,"Nov"))</f>
        <v/>
      </c>
      <c r="E25" s="32">
        <f>IF($B25="","",SUMIFS(Ambientes!$H:$H,Ambientes!$A:$A,$B25,Ambientes!$D:$D,"Nov"))</f>
        <v/>
      </c>
      <c r="F25" s="32">
        <f>IF($B25="","",SUMIFS(Faturamento!$C:$C,Faturamento!$A:$A,$B25,Faturamento!$D:$D,"Nov"))</f>
        <v/>
      </c>
      <c r="G25" s="32">
        <f>IF($B25="","",SUMIFS(Projetos!$B:$B,Projetos!$A:$A,$B25,Projetos!$C:$C,"Nov"))</f>
        <v/>
      </c>
    </row>
    <row r="26">
      <c r="B26" s="33">
        <f>IF(Projetos!$A13="","",Projetos!$A13)</f>
        <v/>
      </c>
      <c r="C26" s="34">
        <f>IF($B26="","",SUMIFS(Ambientes!$C:$C,Ambientes!$A:$A,$B26,Ambientes!$D:$D,"Nov"))</f>
        <v/>
      </c>
      <c r="D26" s="34">
        <f>IF($B26="","",SUMIFS(Ambientes!$C:$C,Ambientes!$A:$A,$B26,Ambientes!$E:$E,"Nov"))</f>
        <v/>
      </c>
      <c r="E26" s="34">
        <f>IF($B26="","",SUMIFS(Ambientes!$H:$H,Ambientes!$A:$A,$B26,Ambientes!$D:$D,"Nov"))</f>
        <v/>
      </c>
      <c r="F26" s="34">
        <f>IF($B26="","",SUMIFS(Faturamento!$C:$C,Faturamento!$A:$A,$B26,Faturamento!$D:$D,"Nov"))</f>
        <v/>
      </c>
      <c r="G26" s="34">
        <f>IF($B26="","",SUMIFS(Projetos!$B:$B,Projetos!$A:$A,$B26,Projetos!$C:$C,"Nov"))</f>
        <v/>
      </c>
    </row>
    <row r="27">
      <c r="B27" s="31">
        <f>IF(Projetos!$A14="","",Projetos!$A14)</f>
        <v/>
      </c>
      <c r="C27" s="32">
        <f>IF($B27="","",SUMIFS(Ambientes!$C:$C,Ambientes!$A:$A,$B27,Ambientes!$D:$D,"Nov"))</f>
        <v/>
      </c>
      <c r="D27" s="32">
        <f>IF($B27="","",SUMIFS(Ambientes!$C:$C,Ambientes!$A:$A,$B27,Ambientes!$E:$E,"Nov"))</f>
        <v/>
      </c>
      <c r="E27" s="32">
        <f>IF($B27="","",SUMIFS(Ambientes!$H:$H,Ambientes!$A:$A,$B27,Ambientes!$D:$D,"Nov"))</f>
        <v/>
      </c>
      <c r="F27" s="32">
        <f>IF($B27="","",SUMIFS(Faturamento!$C:$C,Faturamento!$A:$A,$B27,Faturamento!$D:$D,"Nov"))</f>
        <v/>
      </c>
      <c r="G27" s="32">
        <f>IF($B27="","",SUMIFS(Projetos!$B:$B,Projetos!$A:$A,$B27,Projetos!$C:$C,"Nov"))</f>
        <v/>
      </c>
    </row>
    <row r="28">
      <c r="B28" s="33">
        <f>IF(Projetos!$A15="","",Projetos!$A15)</f>
        <v/>
      </c>
      <c r="C28" s="34">
        <f>IF($B28="","",SUMIFS(Ambientes!$C:$C,Ambientes!$A:$A,$B28,Ambientes!$D:$D,"Nov"))</f>
        <v/>
      </c>
      <c r="D28" s="34">
        <f>IF($B28="","",SUMIFS(Ambientes!$C:$C,Ambientes!$A:$A,$B28,Ambientes!$E:$E,"Nov"))</f>
        <v/>
      </c>
      <c r="E28" s="34">
        <f>IF($B28="","",SUMIFS(Ambientes!$H:$H,Ambientes!$A:$A,$B28,Ambientes!$D:$D,"Nov"))</f>
        <v/>
      </c>
      <c r="F28" s="34">
        <f>IF($B28="","",SUMIFS(Faturamento!$C:$C,Faturamento!$A:$A,$B28,Faturamento!$D:$D,"Nov"))</f>
        <v/>
      </c>
      <c r="G28" s="34">
        <f>IF($B28="","",SUMIFS(Projetos!$B:$B,Projetos!$A:$A,$B28,Projetos!$C:$C,"Nov"))</f>
        <v/>
      </c>
    </row>
    <row r="29">
      <c r="B29" s="31">
        <f>IF(Projetos!$A16="","",Projetos!$A16)</f>
        <v/>
      </c>
      <c r="C29" s="32">
        <f>IF($B29="","",SUMIFS(Ambientes!$C:$C,Ambientes!$A:$A,$B29,Ambientes!$D:$D,"Nov"))</f>
        <v/>
      </c>
      <c r="D29" s="32">
        <f>IF($B29="","",SUMIFS(Ambientes!$C:$C,Ambientes!$A:$A,$B29,Ambientes!$E:$E,"Nov"))</f>
        <v/>
      </c>
      <c r="E29" s="32">
        <f>IF($B29="","",SUMIFS(Ambientes!$H:$H,Ambientes!$A:$A,$B29,Ambientes!$D:$D,"Nov"))</f>
        <v/>
      </c>
      <c r="F29" s="32">
        <f>IF($B29="","",SUMIFS(Faturamento!$C:$C,Faturamento!$A:$A,$B29,Faturamento!$D:$D,"Nov"))</f>
        <v/>
      </c>
      <c r="G29" s="32">
        <f>IF($B29="","",SUMIFS(Projetos!$B:$B,Projetos!$A:$A,$B29,Projetos!$C:$C,"Nov"))</f>
        <v/>
      </c>
    </row>
    <row r="30">
      <c r="B30" s="33">
        <f>IF(Projetos!$A17="","",Projetos!$A17)</f>
        <v/>
      </c>
      <c r="C30" s="34">
        <f>IF($B30="","",SUMIFS(Ambientes!$C:$C,Ambientes!$A:$A,$B30,Ambientes!$D:$D,"Nov"))</f>
        <v/>
      </c>
      <c r="D30" s="34">
        <f>IF($B30="","",SUMIFS(Ambientes!$C:$C,Ambientes!$A:$A,$B30,Ambientes!$E:$E,"Nov"))</f>
        <v/>
      </c>
      <c r="E30" s="34">
        <f>IF($B30="","",SUMIFS(Ambientes!$H:$H,Ambientes!$A:$A,$B30,Ambientes!$D:$D,"Nov"))</f>
        <v/>
      </c>
      <c r="F30" s="34">
        <f>IF($B30="","",SUMIFS(Faturamento!$C:$C,Faturamento!$A:$A,$B30,Faturamento!$D:$D,"Nov"))</f>
        <v/>
      </c>
      <c r="G30" s="34">
        <f>IF($B30="","",SUMIFS(Projetos!$B:$B,Projetos!$A:$A,$B30,Projetos!$C:$C,"Nov"))</f>
        <v/>
      </c>
    </row>
    <row r="31">
      <c r="B31" s="31">
        <f>IF(Projetos!$A18="","",Projetos!$A18)</f>
        <v/>
      </c>
      <c r="C31" s="32">
        <f>IF($B31="","",SUMIFS(Ambientes!$C:$C,Ambientes!$A:$A,$B31,Ambientes!$D:$D,"Nov"))</f>
        <v/>
      </c>
      <c r="D31" s="32">
        <f>IF($B31="","",SUMIFS(Ambientes!$C:$C,Ambientes!$A:$A,$B31,Ambientes!$E:$E,"Nov"))</f>
        <v/>
      </c>
      <c r="E31" s="32">
        <f>IF($B31="","",SUMIFS(Ambientes!$H:$H,Ambientes!$A:$A,$B31,Ambientes!$D:$D,"Nov"))</f>
        <v/>
      </c>
      <c r="F31" s="32">
        <f>IF($B31="","",SUMIFS(Faturamento!$C:$C,Faturamento!$A:$A,$B31,Faturamento!$D:$D,"Nov"))</f>
        <v/>
      </c>
      <c r="G31" s="32">
        <f>IF($B31="","",SUMIFS(Projetos!$B:$B,Projetos!$A:$A,$B31,Projetos!$C:$C,"Nov"))</f>
        <v/>
      </c>
    </row>
    <row r="32">
      <c r="B32" s="33">
        <f>IF(Projetos!$A19="","",Projetos!$A19)</f>
        <v/>
      </c>
      <c r="C32" s="34">
        <f>IF($B32="","",SUMIFS(Ambientes!$C:$C,Ambientes!$A:$A,$B32,Ambientes!$D:$D,"Nov"))</f>
        <v/>
      </c>
      <c r="D32" s="34">
        <f>IF($B32="","",SUMIFS(Ambientes!$C:$C,Ambientes!$A:$A,$B32,Ambientes!$E:$E,"Nov"))</f>
        <v/>
      </c>
      <c r="E32" s="34">
        <f>IF($B32="","",SUMIFS(Ambientes!$H:$H,Ambientes!$A:$A,$B32,Ambientes!$D:$D,"Nov"))</f>
        <v/>
      </c>
      <c r="F32" s="34">
        <f>IF($B32="","",SUMIFS(Faturamento!$C:$C,Faturamento!$A:$A,$B32,Faturamento!$D:$D,"Nov"))</f>
        <v/>
      </c>
      <c r="G32" s="34">
        <f>IF($B32="","",SUMIFS(Projetos!$B:$B,Projetos!$A:$A,$B32,Projetos!$C:$C,"Nov"))</f>
        <v/>
      </c>
    </row>
    <row r="33">
      <c r="B33" s="31">
        <f>IF(Projetos!$A20="","",Projetos!$A20)</f>
        <v/>
      </c>
      <c r="C33" s="32">
        <f>IF($B33="","",SUMIFS(Ambientes!$C:$C,Ambientes!$A:$A,$B33,Ambientes!$D:$D,"Nov"))</f>
        <v/>
      </c>
      <c r="D33" s="32">
        <f>IF($B33="","",SUMIFS(Ambientes!$C:$C,Ambientes!$A:$A,$B33,Ambientes!$E:$E,"Nov"))</f>
        <v/>
      </c>
      <c r="E33" s="32">
        <f>IF($B33="","",SUMIFS(Ambientes!$H:$H,Ambientes!$A:$A,$B33,Ambientes!$D:$D,"Nov"))</f>
        <v/>
      </c>
      <c r="F33" s="32">
        <f>IF($B33="","",SUMIFS(Faturamento!$C:$C,Faturamento!$A:$A,$B33,Faturamento!$D:$D,"Nov"))</f>
        <v/>
      </c>
      <c r="G33" s="32">
        <f>IF($B33="","",SUMIFS(Projetos!$B:$B,Projetos!$A:$A,$B33,Projetos!$C:$C,"Nov"))</f>
        <v/>
      </c>
    </row>
    <row r="34">
      <c r="B34" s="33">
        <f>IF(Projetos!$A21="","",Projetos!$A21)</f>
        <v/>
      </c>
      <c r="C34" s="34">
        <f>IF($B34="","",SUMIFS(Ambientes!$C:$C,Ambientes!$A:$A,$B34,Ambientes!$D:$D,"Nov"))</f>
        <v/>
      </c>
      <c r="D34" s="34">
        <f>IF($B34="","",SUMIFS(Ambientes!$C:$C,Ambientes!$A:$A,$B34,Ambientes!$E:$E,"Nov"))</f>
        <v/>
      </c>
      <c r="E34" s="34">
        <f>IF($B34="","",SUMIFS(Ambientes!$H:$H,Ambientes!$A:$A,$B34,Ambientes!$D:$D,"Nov"))</f>
        <v/>
      </c>
      <c r="F34" s="34">
        <f>IF($B34="","",SUMIFS(Faturamento!$C:$C,Faturamento!$A:$A,$B34,Faturamento!$D:$D,"Nov"))</f>
        <v/>
      </c>
      <c r="G34" s="34">
        <f>IF($B34="","",SUMIFS(Projetos!$B:$B,Projetos!$A:$A,$B34,Projetos!$C:$C,"Nov"))</f>
        <v/>
      </c>
    </row>
    <row r="35">
      <c r="B35" s="31">
        <f>IF(Projetos!$A22="","",Projetos!$A22)</f>
        <v/>
      </c>
      <c r="C35" s="32">
        <f>IF($B35="","",SUMIFS(Ambientes!$C:$C,Ambientes!$A:$A,$B35,Ambientes!$D:$D,"Nov"))</f>
        <v/>
      </c>
      <c r="D35" s="32">
        <f>IF($B35="","",SUMIFS(Ambientes!$C:$C,Ambientes!$A:$A,$B35,Ambientes!$E:$E,"Nov"))</f>
        <v/>
      </c>
      <c r="E35" s="32">
        <f>IF($B35="","",SUMIFS(Ambientes!$H:$H,Ambientes!$A:$A,$B35,Ambientes!$D:$D,"Nov"))</f>
        <v/>
      </c>
      <c r="F35" s="32">
        <f>IF($B35="","",SUMIFS(Faturamento!$C:$C,Faturamento!$A:$A,$B35,Faturamento!$D:$D,"Nov"))</f>
        <v/>
      </c>
      <c r="G35" s="32">
        <f>IF($B35="","",SUMIFS(Projetos!$B:$B,Projetos!$A:$A,$B35,Projetos!$C:$C,"Nov"))</f>
        <v/>
      </c>
    </row>
    <row r="36">
      <c r="B36" s="33">
        <f>IF(Projetos!$A23="","",Projetos!$A23)</f>
        <v/>
      </c>
      <c r="C36" s="34">
        <f>IF($B36="","",SUMIFS(Ambientes!$C:$C,Ambientes!$A:$A,$B36,Ambientes!$D:$D,"Nov"))</f>
        <v/>
      </c>
      <c r="D36" s="34">
        <f>IF($B36="","",SUMIFS(Ambientes!$C:$C,Ambientes!$A:$A,$B36,Ambientes!$E:$E,"Nov"))</f>
        <v/>
      </c>
      <c r="E36" s="34">
        <f>IF($B36="","",SUMIFS(Ambientes!$H:$H,Ambientes!$A:$A,$B36,Ambientes!$D:$D,"Nov"))</f>
        <v/>
      </c>
      <c r="F36" s="34">
        <f>IF($B36="","",SUMIFS(Faturamento!$C:$C,Faturamento!$A:$A,$B36,Faturamento!$D:$D,"Nov"))</f>
        <v/>
      </c>
      <c r="G36" s="34">
        <f>IF($B36="","",SUMIFS(Projetos!$B:$B,Projetos!$A:$A,$B36,Projetos!$C:$C,"Nov"))</f>
        <v/>
      </c>
    </row>
    <row r="37">
      <c r="B37" s="31">
        <f>IF(Projetos!$A24="","",Projetos!$A24)</f>
        <v/>
      </c>
      <c r="C37" s="32">
        <f>IF($B37="","",SUMIFS(Ambientes!$C:$C,Ambientes!$A:$A,$B37,Ambientes!$D:$D,"Nov"))</f>
        <v/>
      </c>
      <c r="D37" s="32">
        <f>IF($B37="","",SUMIFS(Ambientes!$C:$C,Ambientes!$A:$A,$B37,Ambientes!$E:$E,"Nov"))</f>
        <v/>
      </c>
      <c r="E37" s="32">
        <f>IF($B37="","",SUMIFS(Ambientes!$H:$H,Ambientes!$A:$A,$B37,Ambientes!$D:$D,"Nov"))</f>
        <v/>
      </c>
      <c r="F37" s="32">
        <f>IF($B37="","",SUMIFS(Faturamento!$C:$C,Faturamento!$A:$A,$B37,Faturamento!$D:$D,"Nov"))</f>
        <v/>
      </c>
      <c r="G37" s="32">
        <f>IF($B37="","",SUMIFS(Projetos!$B:$B,Projetos!$A:$A,$B37,Projetos!$C:$C,"Nov"))</f>
        <v/>
      </c>
    </row>
    <row r="38">
      <c r="B38" s="33">
        <f>IF(Projetos!$A25="","",Projetos!$A25)</f>
        <v/>
      </c>
      <c r="C38" s="34">
        <f>IF($B38="","",SUMIFS(Ambientes!$C:$C,Ambientes!$A:$A,$B38,Ambientes!$D:$D,"Nov"))</f>
        <v/>
      </c>
      <c r="D38" s="34">
        <f>IF($B38="","",SUMIFS(Ambientes!$C:$C,Ambientes!$A:$A,$B38,Ambientes!$E:$E,"Nov"))</f>
        <v/>
      </c>
      <c r="E38" s="34">
        <f>IF($B38="","",SUMIFS(Ambientes!$H:$H,Ambientes!$A:$A,$B38,Ambientes!$D:$D,"Nov"))</f>
        <v/>
      </c>
      <c r="F38" s="34">
        <f>IF($B38="","",SUMIFS(Faturamento!$C:$C,Faturamento!$A:$A,$B38,Faturamento!$D:$D,"Nov"))</f>
        <v/>
      </c>
      <c r="G38" s="34">
        <f>IF($B38="","",SUMIFS(Projetos!$B:$B,Projetos!$A:$A,$B38,Projetos!$C:$C,"Nov"))</f>
        <v/>
      </c>
    </row>
    <row r="39">
      <c r="B39" s="31">
        <f>IF(Projetos!$A26="","",Projetos!$A26)</f>
        <v/>
      </c>
      <c r="C39" s="32">
        <f>IF($B39="","",SUMIFS(Ambientes!$C:$C,Ambientes!$A:$A,$B39,Ambientes!$D:$D,"Nov"))</f>
        <v/>
      </c>
      <c r="D39" s="32">
        <f>IF($B39="","",SUMIFS(Ambientes!$C:$C,Ambientes!$A:$A,$B39,Ambientes!$E:$E,"Nov"))</f>
        <v/>
      </c>
      <c r="E39" s="32">
        <f>IF($B39="","",SUMIFS(Ambientes!$H:$H,Ambientes!$A:$A,$B39,Ambientes!$D:$D,"Nov"))</f>
        <v/>
      </c>
      <c r="F39" s="32">
        <f>IF($B39="","",SUMIFS(Faturamento!$C:$C,Faturamento!$A:$A,$B39,Faturamento!$D:$D,"Nov"))</f>
        <v/>
      </c>
      <c r="G39" s="32">
        <f>IF($B39="","",SUMIFS(Projetos!$B:$B,Projetos!$A:$A,$B39,Projetos!$C:$C,"Nov"))</f>
        <v/>
      </c>
    </row>
    <row r="40">
      <c r="B40" s="33">
        <f>IF(Projetos!$A27="","",Projetos!$A27)</f>
        <v/>
      </c>
      <c r="C40" s="34">
        <f>IF($B40="","",SUMIFS(Ambientes!$C:$C,Ambientes!$A:$A,$B40,Ambientes!$D:$D,"Nov"))</f>
        <v/>
      </c>
      <c r="D40" s="34">
        <f>IF($B40="","",SUMIFS(Ambientes!$C:$C,Ambientes!$A:$A,$B40,Ambientes!$E:$E,"Nov"))</f>
        <v/>
      </c>
      <c r="E40" s="34">
        <f>IF($B40="","",SUMIFS(Ambientes!$H:$H,Ambientes!$A:$A,$B40,Ambientes!$D:$D,"Nov"))</f>
        <v/>
      </c>
      <c r="F40" s="34">
        <f>IF($B40="","",SUMIFS(Faturamento!$C:$C,Faturamento!$A:$A,$B40,Faturamento!$D:$D,"Nov"))</f>
        <v/>
      </c>
      <c r="G40" s="34">
        <f>IF($B40="","",SUMIFS(Projetos!$B:$B,Projetos!$A:$A,$B40,Projetos!$C:$C,"Nov"))</f>
        <v/>
      </c>
    </row>
    <row r="41">
      <c r="B41" s="31">
        <f>IF(Projetos!$A28="","",Projetos!$A28)</f>
        <v/>
      </c>
      <c r="C41" s="32">
        <f>IF($B41="","",SUMIFS(Ambientes!$C:$C,Ambientes!$A:$A,$B41,Ambientes!$D:$D,"Nov"))</f>
        <v/>
      </c>
      <c r="D41" s="32">
        <f>IF($B41="","",SUMIFS(Ambientes!$C:$C,Ambientes!$A:$A,$B41,Ambientes!$E:$E,"Nov"))</f>
        <v/>
      </c>
      <c r="E41" s="32">
        <f>IF($B41="","",SUMIFS(Ambientes!$H:$H,Ambientes!$A:$A,$B41,Ambientes!$D:$D,"Nov"))</f>
        <v/>
      </c>
      <c r="F41" s="32">
        <f>IF($B41="","",SUMIFS(Faturamento!$C:$C,Faturamento!$A:$A,$B41,Faturamento!$D:$D,"Nov"))</f>
        <v/>
      </c>
      <c r="G41" s="32">
        <f>IF($B41="","",SUMIFS(Projetos!$B:$B,Projetos!$A:$A,$B41,Projetos!$C:$C,"Nov"))</f>
        <v/>
      </c>
    </row>
    <row r="42">
      <c r="B42" s="33">
        <f>IF(Projetos!$A29="","",Projetos!$A29)</f>
        <v/>
      </c>
      <c r="C42" s="34">
        <f>IF($B42="","",SUMIFS(Ambientes!$C:$C,Ambientes!$A:$A,$B42,Ambientes!$D:$D,"Nov"))</f>
        <v/>
      </c>
      <c r="D42" s="34">
        <f>IF($B42="","",SUMIFS(Ambientes!$C:$C,Ambientes!$A:$A,$B42,Ambientes!$E:$E,"Nov"))</f>
        <v/>
      </c>
      <c r="E42" s="34">
        <f>IF($B42="","",SUMIFS(Ambientes!$H:$H,Ambientes!$A:$A,$B42,Ambientes!$D:$D,"Nov"))</f>
        <v/>
      </c>
      <c r="F42" s="34">
        <f>IF($B42="","",SUMIFS(Faturamento!$C:$C,Faturamento!$A:$A,$B42,Faturamento!$D:$D,"Nov"))</f>
        <v/>
      </c>
      <c r="G42" s="34">
        <f>IF($B42="","",SUMIFS(Projetos!$B:$B,Projetos!$A:$A,$B42,Projetos!$C:$C,"Nov"))</f>
        <v/>
      </c>
    </row>
    <row r="43">
      <c r="B43" s="31">
        <f>IF(Projetos!$A30="","",Projetos!$A30)</f>
        <v/>
      </c>
      <c r="C43" s="32">
        <f>IF($B43="","",SUMIFS(Ambientes!$C:$C,Ambientes!$A:$A,$B43,Ambientes!$D:$D,"Nov"))</f>
        <v/>
      </c>
      <c r="D43" s="32">
        <f>IF($B43="","",SUMIFS(Ambientes!$C:$C,Ambientes!$A:$A,$B43,Ambientes!$E:$E,"Nov"))</f>
        <v/>
      </c>
      <c r="E43" s="32">
        <f>IF($B43="","",SUMIFS(Ambientes!$H:$H,Ambientes!$A:$A,$B43,Ambientes!$D:$D,"Nov"))</f>
        <v/>
      </c>
      <c r="F43" s="32">
        <f>IF($B43="","",SUMIFS(Faturamento!$C:$C,Faturamento!$A:$A,$B43,Faturamento!$D:$D,"Nov"))</f>
        <v/>
      </c>
      <c r="G43" s="32">
        <f>IF($B43="","",SUMIFS(Projetos!$B:$B,Projetos!$A:$A,$B43,Projetos!$C:$C,"Nov"))</f>
        <v/>
      </c>
    </row>
    <row r="44">
      <c r="B44" s="33">
        <f>IF(Projetos!$A31="","",Projetos!$A31)</f>
        <v/>
      </c>
      <c r="C44" s="34">
        <f>IF($B44="","",SUMIFS(Ambientes!$C:$C,Ambientes!$A:$A,$B44,Ambientes!$D:$D,"Nov"))</f>
        <v/>
      </c>
      <c r="D44" s="34">
        <f>IF($B44="","",SUMIFS(Ambientes!$C:$C,Ambientes!$A:$A,$B44,Ambientes!$E:$E,"Nov"))</f>
        <v/>
      </c>
      <c r="E44" s="34">
        <f>IF($B44="","",SUMIFS(Ambientes!$H:$H,Ambientes!$A:$A,$B44,Ambientes!$D:$D,"Nov"))</f>
        <v/>
      </c>
      <c r="F44" s="34">
        <f>IF($B44="","",SUMIFS(Faturamento!$C:$C,Faturamento!$A:$A,$B44,Faturamento!$D:$D,"Nov"))</f>
        <v/>
      </c>
      <c r="G44" s="34">
        <f>IF($B44="","",SUMIFS(Projetos!$B:$B,Projetos!$A:$A,$B44,Projetos!$C:$C,"Nov"))</f>
        <v/>
      </c>
    </row>
    <row r="45">
      <c r="B45" s="31">
        <f>IF(Projetos!$A32="","",Projetos!$A32)</f>
        <v/>
      </c>
      <c r="C45" s="32">
        <f>IF($B45="","",SUMIFS(Ambientes!$C:$C,Ambientes!$A:$A,$B45,Ambientes!$D:$D,"Nov"))</f>
        <v/>
      </c>
      <c r="D45" s="32">
        <f>IF($B45="","",SUMIFS(Ambientes!$C:$C,Ambientes!$A:$A,$B45,Ambientes!$E:$E,"Nov"))</f>
        <v/>
      </c>
      <c r="E45" s="32">
        <f>IF($B45="","",SUMIFS(Ambientes!$H:$H,Ambientes!$A:$A,$B45,Ambientes!$D:$D,"Nov"))</f>
        <v/>
      </c>
      <c r="F45" s="32">
        <f>IF($B45="","",SUMIFS(Faturamento!$C:$C,Faturamento!$A:$A,$B45,Faturamento!$D:$D,"Nov"))</f>
        <v/>
      </c>
      <c r="G45" s="32">
        <f>IF($B45="","",SUMIFS(Projetos!$B:$B,Projetos!$A:$A,$B45,Projetos!$C:$C,"Nov"))</f>
        <v/>
      </c>
    </row>
    <row r="46">
      <c r="B46" s="33">
        <f>IF(Projetos!$A33="","",Projetos!$A33)</f>
        <v/>
      </c>
      <c r="C46" s="34">
        <f>IF($B46="","",SUMIFS(Ambientes!$C:$C,Ambientes!$A:$A,$B46,Ambientes!$D:$D,"Nov"))</f>
        <v/>
      </c>
      <c r="D46" s="34">
        <f>IF($B46="","",SUMIFS(Ambientes!$C:$C,Ambientes!$A:$A,$B46,Ambientes!$E:$E,"Nov"))</f>
        <v/>
      </c>
      <c r="E46" s="34">
        <f>IF($B46="","",SUMIFS(Ambientes!$H:$H,Ambientes!$A:$A,$B46,Ambientes!$D:$D,"Nov"))</f>
        <v/>
      </c>
      <c r="F46" s="34">
        <f>IF($B46="","",SUMIFS(Faturamento!$C:$C,Faturamento!$A:$A,$B46,Faturamento!$D:$D,"Nov"))</f>
        <v/>
      </c>
      <c r="G46" s="34">
        <f>IF($B46="","",SUMIFS(Projetos!$B:$B,Projetos!$A:$A,$B46,Projetos!$C:$C,"Nov"))</f>
        <v/>
      </c>
    </row>
    <row r="47">
      <c r="B47" s="31">
        <f>IF(Projetos!$A34="","",Projetos!$A34)</f>
        <v/>
      </c>
      <c r="C47" s="32">
        <f>IF($B47="","",SUMIFS(Ambientes!$C:$C,Ambientes!$A:$A,$B47,Ambientes!$D:$D,"Nov"))</f>
        <v/>
      </c>
      <c r="D47" s="32">
        <f>IF($B47="","",SUMIFS(Ambientes!$C:$C,Ambientes!$A:$A,$B47,Ambientes!$E:$E,"Nov"))</f>
        <v/>
      </c>
      <c r="E47" s="32">
        <f>IF($B47="","",SUMIFS(Ambientes!$H:$H,Ambientes!$A:$A,$B47,Ambientes!$D:$D,"Nov"))</f>
        <v/>
      </c>
      <c r="F47" s="32">
        <f>IF($B47="","",SUMIFS(Faturamento!$C:$C,Faturamento!$A:$A,$B47,Faturamento!$D:$D,"Nov"))</f>
        <v/>
      </c>
      <c r="G47" s="32">
        <f>IF($B47="","",SUMIFS(Projetos!$B:$B,Projetos!$A:$A,$B47,Projetos!$C:$C,"Nov"))</f>
        <v/>
      </c>
    </row>
    <row r="48">
      <c r="B48" s="33">
        <f>IF(Projetos!$A35="","",Projetos!$A35)</f>
        <v/>
      </c>
      <c r="C48" s="34">
        <f>IF($B48="","",SUMIFS(Ambientes!$C:$C,Ambientes!$A:$A,$B48,Ambientes!$D:$D,"Nov"))</f>
        <v/>
      </c>
      <c r="D48" s="34">
        <f>IF($B48="","",SUMIFS(Ambientes!$C:$C,Ambientes!$A:$A,$B48,Ambientes!$E:$E,"Nov"))</f>
        <v/>
      </c>
      <c r="E48" s="34">
        <f>IF($B48="","",SUMIFS(Ambientes!$H:$H,Ambientes!$A:$A,$B48,Ambientes!$D:$D,"Nov"))</f>
        <v/>
      </c>
      <c r="F48" s="34">
        <f>IF($B48="","",SUMIFS(Faturamento!$C:$C,Faturamento!$A:$A,$B48,Faturamento!$D:$D,"Nov"))</f>
        <v/>
      </c>
      <c r="G48" s="34">
        <f>IF($B48="","",SUMIFS(Projetos!$B:$B,Projetos!$A:$A,$B48,Projetos!$C:$C,"Nov"))</f>
        <v/>
      </c>
    </row>
    <row r="49">
      <c r="B49" s="31">
        <f>IF(Projetos!$A36="","",Projetos!$A36)</f>
        <v/>
      </c>
      <c r="C49" s="32">
        <f>IF($B49="","",SUMIFS(Ambientes!$C:$C,Ambientes!$A:$A,$B49,Ambientes!$D:$D,"Nov"))</f>
        <v/>
      </c>
      <c r="D49" s="32">
        <f>IF($B49="","",SUMIFS(Ambientes!$C:$C,Ambientes!$A:$A,$B49,Ambientes!$E:$E,"Nov"))</f>
        <v/>
      </c>
      <c r="E49" s="32">
        <f>IF($B49="","",SUMIFS(Ambientes!$H:$H,Ambientes!$A:$A,$B49,Ambientes!$D:$D,"Nov"))</f>
        <v/>
      </c>
      <c r="F49" s="32">
        <f>IF($B49="","",SUMIFS(Faturamento!$C:$C,Faturamento!$A:$A,$B49,Faturamento!$D:$D,"Nov"))</f>
        <v/>
      </c>
      <c r="G49" s="32">
        <f>IF($B49="","",SUMIFS(Projetos!$B:$B,Projetos!$A:$A,$B49,Projetos!$C:$C,"Nov"))</f>
        <v/>
      </c>
    </row>
    <row r="50">
      <c r="B50" s="33">
        <f>IF(Projetos!$A37="","",Projetos!$A37)</f>
        <v/>
      </c>
      <c r="C50" s="34">
        <f>IF($B50="","",SUMIFS(Ambientes!$C:$C,Ambientes!$A:$A,$B50,Ambientes!$D:$D,"Nov"))</f>
        <v/>
      </c>
      <c r="D50" s="34">
        <f>IF($B50="","",SUMIFS(Ambientes!$C:$C,Ambientes!$A:$A,$B50,Ambientes!$E:$E,"Nov"))</f>
        <v/>
      </c>
      <c r="E50" s="34">
        <f>IF($B50="","",SUMIFS(Ambientes!$H:$H,Ambientes!$A:$A,$B50,Ambientes!$D:$D,"Nov"))</f>
        <v/>
      </c>
      <c r="F50" s="34">
        <f>IF($B50="","",SUMIFS(Faturamento!$C:$C,Faturamento!$A:$A,$B50,Faturamento!$D:$D,"Nov"))</f>
        <v/>
      </c>
      <c r="G50" s="34">
        <f>IF($B50="","",SUMIFS(Projetos!$B:$B,Projetos!$A:$A,$B50,Projetos!$C:$C,"Nov"))</f>
        <v/>
      </c>
    </row>
    <row r="51">
      <c r="B51" s="31">
        <f>IF(Projetos!$A38="","",Projetos!$A38)</f>
        <v/>
      </c>
      <c r="C51" s="32">
        <f>IF($B51="","",SUMIFS(Ambientes!$C:$C,Ambientes!$A:$A,$B51,Ambientes!$D:$D,"Nov"))</f>
        <v/>
      </c>
      <c r="D51" s="32">
        <f>IF($B51="","",SUMIFS(Ambientes!$C:$C,Ambientes!$A:$A,$B51,Ambientes!$E:$E,"Nov"))</f>
        <v/>
      </c>
      <c r="E51" s="32">
        <f>IF($B51="","",SUMIFS(Ambientes!$H:$H,Ambientes!$A:$A,$B51,Ambientes!$D:$D,"Nov"))</f>
        <v/>
      </c>
      <c r="F51" s="32">
        <f>IF($B51="","",SUMIFS(Faturamento!$C:$C,Faturamento!$A:$A,$B51,Faturamento!$D:$D,"Nov"))</f>
        <v/>
      </c>
      <c r="G51" s="32">
        <f>IF($B51="","",SUMIFS(Projetos!$B:$B,Projetos!$A:$A,$B51,Projetos!$C:$C,"Nov"))</f>
        <v/>
      </c>
    </row>
    <row r="52">
      <c r="B52" s="33">
        <f>IF(Projetos!$A39="","",Projetos!$A39)</f>
        <v/>
      </c>
      <c r="C52" s="34">
        <f>IF($B52="","",SUMIFS(Ambientes!$C:$C,Ambientes!$A:$A,$B52,Ambientes!$D:$D,"Nov"))</f>
        <v/>
      </c>
      <c r="D52" s="34">
        <f>IF($B52="","",SUMIFS(Ambientes!$C:$C,Ambientes!$A:$A,$B52,Ambientes!$E:$E,"Nov"))</f>
        <v/>
      </c>
      <c r="E52" s="34">
        <f>IF($B52="","",SUMIFS(Ambientes!$H:$H,Ambientes!$A:$A,$B52,Ambientes!$D:$D,"Nov"))</f>
        <v/>
      </c>
      <c r="F52" s="34">
        <f>IF($B52="","",SUMIFS(Faturamento!$C:$C,Faturamento!$A:$A,$B52,Faturamento!$D:$D,"Nov"))</f>
        <v/>
      </c>
      <c r="G52" s="34">
        <f>IF($B52="","",SUMIFS(Projetos!$B:$B,Projetos!$A:$A,$B52,Projetos!$C:$C,"Nov"))</f>
        <v/>
      </c>
    </row>
    <row r="53">
      <c r="B53" s="31">
        <f>IF(Projetos!$A40="","",Projetos!$A40)</f>
        <v/>
      </c>
      <c r="C53" s="32">
        <f>IF($B53="","",SUMIFS(Ambientes!$C:$C,Ambientes!$A:$A,$B53,Ambientes!$D:$D,"Nov"))</f>
        <v/>
      </c>
      <c r="D53" s="32">
        <f>IF($B53="","",SUMIFS(Ambientes!$C:$C,Ambientes!$A:$A,$B53,Ambientes!$E:$E,"Nov"))</f>
        <v/>
      </c>
      <c r="E53" s="32">
        <f>IF($B53="","",SUMIFS(Ambientes!$H:$H,Ambientes!$A:$A,$B53,Ambientes!$D:$D,"Nov"))</f>
        <v/>
      </c>
      <c r="F53" s="32">
        <f>IF($B53="","",SUMIFS(Faturamento!$C:$C,Faturamento!$A:$A,$B53,Faturamento!$D:$D,"Nov"))</f>
        <v/>
      </c>
      <c r="G53" s="32">
        <f>IF($B53="","",SUMIFS(Projetos!$B:$B,Projetos!$A:$A,$B53,Projetos!$C:$C,"Nov"))</f>
        <v/>
      </c>
    </row>
    <row r="54">
      <c r="B54" s="33">
        <f>IF(Projetos!$A41="","",Projetos!$A41)</f>
        <v/>
      </c>
      <c r="C54" s="34">
        <f>IF($B54="","",SUMIFS(Ambientes!$C:$C,Ambientes!$A:$A,$B54,Ambientes!$D:$D,"Nov"))</f>
        <v/>
      </c>
      <c r="D54" s="34">
        <f>IF($B54="","",SUMIFS(Ambientes!$C:$C,Ambientes!$A:$A,$B54,Ambientes!$E:$E,"Nov"))</f>
        <v/>
      </c>
      <c r="E54" s="34">
        <f>IF($B54="","",SUMIFS(Ambientes!$H:$H,Ambientes!$A:$A,$B54,Ambientes!$D:$D,"Nov"))</f>
        <v/>
      </c>
      <c r="F54" s="34">
        <f>IF($B54="","",SUMIFS(Faturamento!$C:$C,Faturamento!$A:$A,$B54,Faturamento!$D:$D,"Nov"))</f>
        <v/>
      </c>
      <c r="G54" s="34">
        <f>IF($B54="","",SUMIFS(Projetos!$B:$B,Projetos!$A:$A,$B54,Projetos!$C:$C,"Nov"))</f>
        <v/>
      </c>
    </row>
    <row r="55">
      <c r="B55" s="31">
        <f>IF(Projetos!$A42="","",Projetos!$A42)</f>
        <v/>
      </c>
      <c r="C55" s="32">
        <f>IF($B55="","",SUMIFS(Ambientes!$C:$C,Ambientes!$A:$A,$B55,Ambientes!$D:$D,"Nov"))</f>
        <v/>
      </c>
      <c r="D55" s="32">
        <f>IF($B55="","",SUMIFS(Ambientes!$C:$C,Ambientes!$A:$A,$B55,Ambientes!$E:$E,"Nov"))</f>
        <v/>
      </c>
      <c r="E55" s="32">
        <f>IF($B55="","",SUMIFS(Ambientes!$H:$H,Ambientes!$A:$A,$B55,Ambientes!$D:$D,"Nov"))</f>
        <v/>
      </c>
      <c r="F55" s="32">
        <f>IF($B55="","",SUMIFS(Faturamento!$C:$C,Faturamento!$A:$A,$B55,Faturamento!$D:$D,"Nov"))</f>
        <v/>
      </c>
      <c r="G55" s="32">
        <f>IF($B55="","",SUMIFS(Projetos!$B:$B,Projetos!$A:$A,$B55,Projetos!$C:$C,"Nov"))</f>
        <v/>
      </c>
    </row>
    <row r="56">
      <c r="B56" s="33">
        <f>IF(Projetos!$A43="","",Projetos!$A43)</f>
        <v/>
      </c>
      <c r="C56" s="34">
        <f>IF($B56="","",SUMIFS(Ambientes!$C:$C,Ambientes!$A:$A,$B56,Ambientes!$D:$D,"Nov"))</f>
        <v/>
      </c>
      <c r="D56" s="34">
        <f>IF($B56="","",SUMIFS(Ambientes!$C:$C,Ambientes!$A:$A,$B56,Ambientes!$E:$E,"Nov"))</f>
        <v/>
      </c>
      <c r="E56" s="34">
        <f>IF($B56="","",SUMIFS(Ambientes!$H:$H,Ambientes!$A:$A,$B56,Ambientes!$D:$D,"Nov"))</f>
        <v/>
      </c>
      <c r="F56" s="34">
        <f>IF($B56="","",SUMIFS(Faturamento!$C:$C,Faturamento!$A:$A,$B56,Faturamento!$D:$D,"Nov"))</f>
        <v/>
      </c>
      <c r="G56" s="34">
        <f>IF($B56="","",SUMIFS(Projetos!$B:$B,Projetos!$A:$A,$B56,Projetos!$C:$C,"Nov"))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6314F"/>
    <outlinePr summaryBelow="1" summaryRight="1"/>
    <pageSetUpPr/>
  </sheetPr>
  <dimension ref="A1:G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6" customHeight="1">
      <c r="A1" s="1" t="inlineStr">
        <is>
          <t>VALVIC MARCENARIA   ·   DEZEMBRO / 2026</t>
        </is>
      </c>
    </row>
    <row r="2" ht="18" customHeight="1">
      <c r="A2" s="2" t="inlineStr">
        <is>
          <t>Tudo calculado. Não digite nada nesta aba — os números vêm das abas de lançamento.</t>
        </is>
      </c>
    </row>
    <row r="4" ht="20" customHeight="1">
      <c r="B4" s="3" t="inlineStr">
        <is>
          <t>OS NÚMEROS DO MÊS  ·  competência</t>
        </is>
      </c>
    </row>
    <row r="5" ht="16" customHeight="1">
      <c r="B5" s="17" t="inlineStr">
        <is>
          <t>CUSTO FIXO</t>
        </is>
      </c>
      <c r="C5" s="17" t="inlineStr">
        <is>
          <t>R$ VENDIDO</t>
        </is>
      </c>
      <c r="D5" s="18" t="inlineStr">
        <is>
          <t>MATERIAL APLICADO</t>
        </is>
      </c>
      <c r="E5" s="17" t="inlineStr">
        <is>
          <t>R$ FABRICADO</t>
        </is>
      </c>
      <c r="F5" s="17" t="inlineStr">
        <is>
          <t>R$ INSTALADO</t>
        </is>
      </c>
      <c r="G5" s="17" t="inlineStr">
        <is>
          <t>R$ FATURADO</t>
        </is>
      </c>
    </row>
    <row r="6" ht="34" customHeight="1">
      <c r="B6" s="19">
        <f>SUMIF('Custo Fixo'!$A:$A,"Dez",'Custo Fixo'!$E:$E)</f>
        <v/>
      </c>
      <c r="C6" s="19">
        <f>SUMIF(Projetos!$C:$C,"Dez",Projetos!$B:$B)</f>
        <v/>
      </c>
      <c r="D6" s="20">
        <f>SUMIF(Ambientes!$D:$D,"Dez",Ambientes!$H:$H)</f>
        <v/>
      </c>
      <c r="E6" s="19">
        <f>SUMIF(Ambientes!$D:$D,"Dez",Ambientes!$C:$C)</f>
        <v/>
      </c>
      <c r="F6" s="19">
        <f>SUMIF(Ambientes!$E:$E,"Dez",Ambientes!$C:$C)</f>
        <v/>
      </c>
      <c r="G6" s="19">
        <f>SUMIF(Faturamento!$D:$D,"Dez",Faturamento!$C:$C)</f>
        <v/>
      </c>
    </row>
    <row r="7" ht="15" customHeight="1">
      <c r="B7" s="21" t="inlineStr">
        <is>
          <t>folha · estrutura · frota</t>
        </is>
      </c>
      <c r="C7" s="21" t="inlineStr">
        <is>
          <t>contratos assinados</t>
        </is>
      </c>
      <c r="D7" s="22" t="inlineStr">
        <is>
          <t>dos ambientes fabricados</t>
        </is>
      </c>
      <c r="E7" s="21" t="inlineStr">
        <is>
          <t>ambientes liberados</t>
        </is>
      </c>
      <c r="F7" s="21" t="inlineStr">
        <is>
          <t>ambientes aceitos</t>
        </is>
      </c>
      <c r="G7" s="21" t="inlineStr">
        <is>
          <t>notas emitidas</t>
        </is>
      </c>
    </row>
    <row r="9" ht="20" customHeight="1">
      <c r="B9" s="23" t="inlineStr">
        <is>
          <t>LEITURAS DO MÊS</t>
        </is>
      </c>
    </row>
    <row r="10" ht="26" customHeight="1">
      <c r="B10" s="24" t="inlineStr">
        <is>
          <t>Material comprado</t>
        </is>
      </c>
      <c r="C10" s="24" t="inlineStr">
        <is>
          <t>Material em estoque</t>
        </is>
      </c>
      <c r="D10" s="24" t="inlineStr">
        <is>
          <t>Material sobre o fabricado</t>
        </is>
      </c>
      <c r="E10" s="24" t="inlineStr">
        <is>
          <t>Parado na fábrica</t>
        </is>
      </c>
      <c r="F10" s="24" t="inlineStr">
        <is>
          <t>A faturar</t>
        </is>
      </c>
      <c r="G10" s="24" t="inlineStr">
        <is>
          <t>Carteira a produzir</t>
        </is>
      </c>
    </row>
    <row r="11">
      <c r="B11" s="25" t="inlineStr">
        <is>
          <t>compras do mês</t>
        </is>
      </c>
      <c r="C11" s="25" t="inlineStr">
        <is>
          <t>comprado de projeto − aplicado, acumulado</t>
        </is>
      </c>
      <c r="D11" s="25" t="inlineStr">
        <is>
          <t>aplicado ÷ fabricado</t>
        </is>
      </c>
      <c r="E11" s="25" t="inlineStr">
        <is>
          <t>fabricado − instalado</t>
        </is>
      </c>
      <c r="F11" s="25" t="inlineStr">
        <is>
          <t>instalado − faturado</t>
        </is>
      </c>
      <c r="G11" s="25" t="inlineStr">
        <is>
          <t>vendido acum. − fabricado acum.</t>
        </is>
      </c>
    </row>
    <row r="12" ht="24" customHeight="1">
      <c r="B12" s="26">
        <f>SUMIF(Compras!$E:$E,"Dez",Compras!$D:$D)</f>
        <v/>
      </c>
      <c r="C12" s="27">
        <f>SUMIFS(Compras!$D:$D,Compras!$H:$H,"&lt;=12",Compras!$A:$A,"&lt;&gt;")-SUMIF(Ambientes!$J:$J,"&lt;=12",Ambientes!$H:$H)</f>
        <v/>
      </c>
      <c r="D12" s="28">
        <f>IF($E$6=0,"",$D$6/$E$6)</f>
        <v/>
      </c>
      <c r="E12" s="29">
        <f>$E$6-$F$6</f>
        <v/>
      </c>
      <c r="F12" s="29">
        <f>$F$6-$G$6</f>
        <v/>
      </c>
      <c r="G12" s="27">
        <f>SUMIF(Projetos!$H:$H,"&lt;=12",Projetos!$B:$B)-SUMIF(Ambientes!$J:$J,"&lt;=12",Ambientes!$C:$C)</f>
        <v/>
      </c>
    </row>
    <row r="13" ht="26" customHeight="1">
      <c r="B13" s="30">
        <f>=IF(SUMIF(Compras!$E:$E,"Dez",Compras!$D:$D)-SUMIFS(Compras!$D:$D,Compras!$E:$E,"Dez",Compras!$A:$A,"&lt;&gt;")=0,"tudo vinculado a projeto","dos quais "&amp;TEXT(SUMIF(Compras!$E:$E,"Dez",Compras!$D:$D)-SUMIFS(Compras!$D:$D,Compras!$E:$E,"Dez",Compras!$A:$A,"&lt;&gt;"),"R$ #,##0")&amp;" de uso geral")</f>
        <v/>
      </c>
      <c r="C13" s="30">
        <f>"explica caixa curto com resultado bom"</f>
        <v/>
      </c>
      <c r="D13" s="30">
        <f>"o termômetro da margem bruta"</f>
        <v/>
      </c>
      <c r="E13" s="30">
        <f>"móvel pronto esperando obra"</f>
        <v/>
      </c>
      <c r="F13" s="30">
        <f>"entregue e ainda sem nota"</f>
        <v/>
      </c>
      <c r="G13" s="30">
        <f>"trabalho que a fábrica já tem contratado"</f>
        <v/>
      </c>
    </row>
    <row r="15" ht="20" customHeight="1">
      <c r="B15" s="23" t="inlineStr">
        <is>
          <t>ONDE ESTE MÊS ACONTECEU  ·  por projeto</t>
        </is>
      </c>
    </row>
    <row r="16" ht="26" customHeight="1">
      <c r="B16" s="11" t="inlineStr">
        <is>
          <t>Projeto</t>
        </is>
      </c>
      <c r="C16" s="11" t="inlineStr">
        <is>
          <t>Fabricado no mês</t>
        </is>
      </c>
      <c r="D16" s="11" t="inlineStr">
        <is>
          <t>Instalado no mês</t>
        </is>
      </c>
      <c r="E16" s="11" t="inlineStr">
        <is>
          <t>Material aplicado</t>
        </is>
      </c>
      <c r="F16" s="11" t="inlineStr">
        <is>
          <t>Faturado no mês</t>
        </is>
      </c>
      <c r="G16" s="11" t="inlineStr">
        <is>
          <t>Vendido no mês</t>
        </is>
      </c>
    </row>
    <row r="17">
      <c r="B17" s="31">
        <f>IF(Projetos!$A4="","",Projetos!$A4)</f>
        <v/>
      </c>
      <c r="C17" s="32">
        <f>IF($B17="","",SUMIFS(Ambientes!$C:$C,Ambientes!$A:$A,$B17,Ambientes!$D:$D,"Dez"))</f>
        <v/>
      </c>
      <c r="D17" s="32">
        <f>IF($B17="","",SUMIFS(Ambientes!$C:$C,Ambientes!$A:$A,$B17,Ambientes!$E:$E,"Dez"))</f>
        <v/>
      </c>
      <c r="E17" s="32">
        <f>IF($B17="","",SUMIFS(Ambientes!$H:$H,Ambientes!$A:$A,$B17,Ambientes!$D:$D,"Dez"))</f>
        <v/>
      </c>
      <c r="F17" s="32">
        <f>IF($B17="","",SUMIFS(Faturamento!$C:$C,Faturamento!$A:$A,$B17,Faturamento!$D:$D,"Dez"))</f>
        <v/>
      </c>
      <c r="G17" s="32">
        <f>IF($B17="","",SUMIFS(Projetos!$B:$B,Projetos!$A:$A,$B17,Projetos!$C:$C,"Dez"))</f>
        <v/>
      </c>
    </row>
    <row r="18">
      <c r="B18" s="33">
        <f>IF(Projetos!$A5="","",Projetos!$A5)</f>
        <v/>
      </c>
      <c r="C18" s="34">
        <f>IF($B18="","",SUMIFS(Ambientes!$C:$C,Ambientes!$A:$A,$B18,Ambientes!$D:$D,"Dez"))</f>
        <v/>
      </c>
      <c r="D18" s="34">
        <f>IF($B18="","",SUMIFS(Ambientes!$C:$C,Ambientes!$A:$A,$B18,Ambientes!$E:$E,"Dez"))</f>
        <v/>
      </c>
      <c r="E18" s="34">
        <f>IF($B18="","",SUMIFS(Ambientes!$H:$H,Ambientes!$A:$A,$B18,Ambientes!$D:$D,"Dez"))</f>
        <v/>
      </c>
      <c r="F18" s="34">
        <f>IF($B18="","",SUMIFS(Faturamento!$C:$C,Faturamento!$A:$A,$B18,Faturamento!$D:$D,"Dez"))</f>
        <v/>
      </c>
      <c r="G18" s="34">
        <f>IF($B18="","",SUMIFS(Projetos!$B:$B,Projetos!$A:$A,$B18,Projetos!$C:$C,"Dez"))</f>
        <v/>
      </c>
    </row>
    <row r="19">
      <c r="B19" s="31">
        <f>IF(Projetos!$A6="","",Projetos!$A6)</f>
        <v/>
      </c>
      <c r="C19" s="32">
        <f>IF($B19="","",SUMIFS(Ambientes!$C:$C,Ambientes!$A:$A,$B19,Ambientes!$D:$D,"Dez"))</f>
        <v/>
      </c>
      <c r="D19" s="32">
        <f>IF($B19="","",SUMIFS(Ambientes!$C:$C,Ambientes!$A:$A,$B19,Ambientes!$E:$E,"Dez"))</f>
        <v/>
      </c>
      <c r="E19" s="32">
        <f>IF($B19="","",SUMIFS(Ambientes!$H:$H,Ambientes!$A:$A,$B19,Ambientes!$D:$D,"Dez"))</f>
        <v/>
      </c>
      <c r="F19" s="32">
        <f>IF($B19="","",SUMIFS(Faturamento!$C:$C,Faturamento!$A:$A,$B19,Faturamento!$D:$D,"Dez"))</f>
        <v/>
      </c>
      <c r="G19" s="32">
        <f>IF($B19="","",SUMIFS(Projetos!$B:$B,Projetos!$A:$A,$B19,Projetos!$C:$C,"Dez"))</f>
        <v/>
      </c>
    </row>
    <row r="20">
      <c r="B20" s="33">
        <f>IF(Projetos!$A7="","",Projetos!$A7)</f>
        <v/>
      </c>
      <c r="C20" s="34">
        <f>IF($B20="","",SUMIFS(Ambientes!$C:$C,Ambientes!$A:$A,$B20,Ambientes!$D:$D,"Dez"))</f>
        <v/>
      </c>
      <c r="D20" s="34">
        <f>IF($B20="","",SUMIFS(Ambientes!$C:$C,Ambientes!$A:$A,$B20,Ambientes!$E:$E,"Dez"))</f>
        <v/>
      </c>
      <c r="E20" s="34">
        <f>IF($B20="","",SUMIFS(Ambientes!$H:$H,Ambientes!$A:$A,$B20,Ambientes!$D:$D,"Dez"))</f>
        <v/>
      </c>
      <c r="F20" s="34">
        <f>IF($B20="","",SUMIFS(Faturamento!$C:$C,Faturamento!$A:$A,$B20,Faturamento!$D:$D,"Dez"))</f>
        <v/>
      </c>
      <c r="G20" s="34">
        <f>IF($B20="","",SUMIFS(Projetos!$B:$B,Projetos!$A:$A,$B20,Projetos!$C:$C,"Dez"))</f>
        <v/>
      </c>
    </row>
    <row r="21">
      <c r="B21" s="31">
        <f>IF(Projetos!$A8="","",Projetos!$A8)</f>
        <v/>
      </c>
      <c r="C21" s="32">
        <f>IF($B21="","",SUMIFS(Ambientes!$C:$C,Ambientes!$A:$A,$B21,Ambientes!$D:$D,"Dez"))</f>
        <v/>
      </c>
      <c r="D21" s="32">
        <f>IF($B21="","",SUMIFS(Ambientes!$C:$C,Ambientes!$A:$A,$B21,Ambientes!$E:$E,"Dez"))</f>
        <v/>
      </c>
      <c r="E21" s="32">
        <f>IF($B21="","",SUMIFS(Ambientes!$H:$H,Ambientes!$A:$A,$B21,Ambientes!$D:$D,"Dez"))</f>
        <v/>
      </c>
      <c r="F21" s="32">
        <f>IF($B21="","",SUMIFS(Faturamento!$C:$C,Faturamento!$A:$A,$B21,Faturamento!$D:$D,"Dez"))</f>
        <v/>
      </c>
      <c r="G21" s="32">
        <f>IF($B21="","",SUMIFS(Projetos!$B:$B,Projetos!$A:$A,$B21,Projetos!$C:$C,"Dez"))</f>
        <v/>
      </c>
    </row>
    <row r="22">
      <c r="B22" s="33">
        <f>IF(Projetos!$A9="","",Projetos!$A9)</f>
        <v/>
      </c>
      <c r="C22" s="34">
        <f>IF($B22="","",SUMIFS(Ambientes!$C:$C,Ambientes!$A:$A,$B22,Ambientes!$D:$D,"Dez"))</f>
        <v/>
      </c>
      <c r="D22" s="34">
        <f>IF($B22="","",SUMIFS(Ambientes!$C:$C,Ambientes!$A:$A,$B22,Ambientes!$E:$E,"Dez"))</f>
        <v/>
      </c>
      <c r="E22" s="34">
        <f>IF($B22="","",SUMIFS(Ambientes!$H:$H,Ambientes!$A:$A,$B22,Ambientes!$D:$D,"Dez"))</f>
        <v/>
      </c>
      <c r="F22" s="34">
        <f>IF($B22="","",SUMIFS(Faturamento!$C:$C,Faturamento!$A:$A,$B22,Faturamento!$D:$D,"Dez"))</f>
        <v/>
      </c>
      <c r="G22" s="34">
        <f>IF($B22="","",SUMIFS(Projetos!$B:$B,Projetos!$A:$A,$B22,Projetos!$C:$C,"Dez"))</f>
        <v/>
      </c>
    </row>
    <row r="23">
      <c r="B23" s="31">
        <f>IF(Projetos!$A10="","",Projetos!$A10)</f>
        <v/>
      </c>
      <c r="C23" s="32">
        <f>IF($B23="","",SUMIFS(Ambientes!$C:$C,Ambientes!$A:$A,$B23,Ambientes!$D:$D,"Dez"))</f>
        <v/>
      </c>
      <c r="D23" s="32">
        <f>IF($B23="","",SUMIFS(Ambientes!$C:$C,Ambientes!$A:$A,$B23,Ambientes!$E:$E,"Dez"))</f>
        <v/>
      </c>
      <c r="E23" s="32">
        <f>IF($B23="","",SUMIFS(Ambientes!$H:$H,Ambientes!$A:$A,$B23,Ambientes!$D:$D,"Dez"))</f>
        <v/>
      </c>
      <c r="F23" s="32">
        <f>IF($B23="","",SUMIFS(Faturamento!$C:$C,Faturamento!$A:$A,$B23,Faturamento!$D:$D,"Dez"))</f>
        <v/>
      </c>
      <c r="G23" s="32">
        <f>IF($B23="","",SUMIFS(Projetos!$B:$B,Projetos!$A:$A,$B23,Projetos!$C:$C,"Dez"))</f>
        <v/>
      </c>
    </row>
    <row r="24">
      <c r="B24" s="33">
        <f>IF(Projetos!$A11="","",Projetos!$A11)</f>
        <v/>
      </c>
      <c r="C24" s="34">
        <f>IF($B24="","",SUMIFS(Ambientes!$C:$C,Ambientes!$A:$A,$B24,Ambientes!$D:$D,"Dez"))</f>
        <v/>
      </c>
      <c r="D24" s="34">
        <f>IF($B24="","",SUMIFS(Ambientes!$C:$C,Ambientes!$A:$A,$B24,Ambientes!$E:$E,"Dez"))</f>
        <v/>
      </c>
      <c r="E24" s="34">
        <f>IF($B24="","",SUMIFS(Ambientes!$H:$H,Ambientes!$A:$A,$B24,Ambientes!$D:$D,"Dez"))</f>
        <v/>
      </c>
      <c r="F24" s="34">
        <f>IF($B24="","",SUMIFS(Faturamento!$C:$C,Faturamento!$A:$A,$B24,Faturamento!$D:$D,"Dez"))</f>
        <v/>
      </c>
      <c r="G24" s="34">
        <f>IF($B24="","",SUMIFS(Projetos!$B:$B,Projetos!$A:$A,$B24,Projetos!$C:$C,"Dez"))</f>
        <v/>
      </c>
    </row>
    <row r="25">
      <c r="B25" s="31">
        <f>IF(Projetos!$A12="","",Projetos!$A12)</f>
        <v/>
      </c>
      <c r="C25" s="32">
        <f>IF($B25="","",SUMIFS(Ambientes!$C:$C,Ambientes!$A:$A,$B25,Ambientes!$D:$D,"Dez"))</f>
        <v/>
      </c>
      <c r="D25" s="32">
        <f>IF($B25="","",SUMIFS(Ambientes!$C:$C,Ambientes!$A:$A,$B25,Ambientes!$E:$E,"Dez"))</f>
        <v/>
      </c>
      <c r="E25" s="32">
        <f>IF($B25="","",SUMIFS(Ambientes!$H:$H,Ambientes!$A:$A,$B25,Ambientes!$D:$D,"Dez"))</f>
        <v/>
      </c>
      <c r="F25" s="32">
        <f>IF($B25="","",SUMIFS(Faturamento!$C:$C,Faturamento!$A:$A,$B25,Faturamento!$D:$D,"Dez"))</f>
        <v/>
      </c>
      <c r="G25" s="32">
        <f>IF($B25="","",SUMIFS(Projetos!$B:$B,Projetos!$A:$A,$B25,Projetos!$C:$C,"Dez"))</f>
        <v/>
      </c>
    </row>
    <row r="26">
      <c r="B26" s="33">
        <f>IF(Projetos!$A13="","",Projetos!$A13)</f>
        <v/>
      </c>
      <c r="C26" s="34">
        <f>IF($B26="","",SUMIFS(Ambientes!$C:$C,Ambientes!$A:$A,$B26,Ambientes!$D:$D,"Dez"))</f>
        <v/>
      </c>
      <c r="D26" s="34">
        <f>IF($B26="","",SUMIFS(Ambientes!$C:$C,Ambientes!$A:$A,$B26,Ambientes!$E:$E,"Dez"))</f>
        <v/>
      </c>
      <c r="E26" s="34">
        <f>IF($B26="","",SUMIFS(Ambientes!$H:$H,Ambientes!$A:$A,$B26,Ambientes!$D:$D,"Dez"))</f>
        <v/>
      </c>
      <c r="F26" s="34">
        <f>IF($B26="","",SUMIFS(Faturamento!$C:$C,Faturamento!$A:$A,$B26,Faturamento!$D:$D,"Dez"))</f>
        <v/>
      </c>
      <c r="G26" s="34">
        <f>IF($B26="","",SUMIFS(Projetos!$B:$B,Projetos!$A:$A,$B26,Projetos!$C:$C,"Dez"))</f>
        <v/>
      </c>
    </row>
    <row r="27">
      <c r="B27" s="31">
        <f>IF(Projetos!$A14="","",Projetos!$A14)</f>
        <v/>
      </c>
      <c r="C27" s="32">
        <f>IF($B27="","",SUMIFS(Ambientes!$C:$C,Ambientes!$A:$A,$B27,Ambientes!$D:$D,"Dez"))</f>
        <v/>
      </c>
      <c r="D27" s="32">
        <f>IF($B27="","",SUMIFS(Ambientes!$C:$C,Ambientes!$A:$A,$B27,Ambientes!$E:$E,"Dez"))</f>
        <v/>
      </c>
      <c r="E27" s="32">
        <f>IF($B27="","",SUMIFS(Ambientes!$H:$H,Ambientes!$A:$A,$B27,Ambientes!$D:$D,"Dez"))</f>
        <v/>
      </c>
      <c r="F27" s="32">
        <f>IF($B27="","",SUMIFS(Faturamento!$C:$C,Faturamento!$A:$A,$B27,Faturamento!$D:$D,"Dez"))</f>
        <v/>
      </c>
      <c r="G27" s="32">
        <f>IF($B27="","",SUMIFS(Projetos!$B:$B,Projetos!$A:$A,$B27,Projetos!$C:$C,"Dez"))</f>
        <v/>
      </c>
    </row>
    <row r="28">
      <c r="B28" s="33">
        <f>IF(Projetos!$A15="","",Projetos!$A15)</f>
        <v/>
      </c>
      <c r="C28" s="34">
        <f>IF($B28="","",SUMIFS(Ambientes!$C:$C,Ambientes!$A:$A,$B28,Ambientes!$D:$D,"Dez"))</f>
        <v/>
      </c>
      <c r="D28" s="34">
        <f>IF($B28="","",SUMIFS(Ambientes!$C:$C,Ambientes!$A:$A,$B28,Ambientes!$E:$E,"Dez"))</f>
        <v/>
      </c>
      <c r="E28" s="34">
        <f>IF($B28="","",SUMIFS(Ambientes!$H:$H,Ambientes!$A:$A,$B28,Ambientes!$D:$D,"Dez"))</f>
        <v/>
      </c>
      <c r="F28" s="34">
        <f>IF($B28="","",SUMIFS(Faturamento!$C:$C,Faturamento!$A:$A,$B28,Faturamento!$D:$D,"Dez"))</f>
        <v/>
      </c>
      <c r="G28" s="34">
        <f>IF($B28="","",SUMIFS(Projetos!$B:$B,Projetos!$A:$A,$B28,Projetos!$C:$C,"Dez"))</f>
        <v/>
      </c>
    </row>
    <row r="29">
      <c r="B29" s="31">
        <f>IF(Projetos!$A16="","",Projetos!$A16)</f>
        <v/>
      </c>
      <c r="C29" s="32">
        <f>IF($B29="","",SUMIFS(Ambientes!$C:$C,Ambientes!$A:$A,$B29,Ambientes!$D:$D,"Dez"))</f>
        <v/>
      </c>
      <c r="D29" s="32">
        <f>IF($B29="","",SUMIFS(Ambientes!$C:$C,Ambientes!$A:$A,$B29,Ambientes!$E:$E,"Dez"))</f>
        <v/>
      </c>
      <c r="E29" s="32">
        <f>IF($B29="","",SUMIFS(Ambientes!$H:$H,Ambientes!$A:$A,$B29,Ambientes!$D:$D,"Dez"))</f>
        <v/>
      </c>
      <c r="F29" s="32">
        <f>IF($B29="","",SUMIFS(Faturamento!$C:$C,Faturamento!$A:$A,$B29,Faturamento!$D:$D,"Dez"))</f>
        <v/>
      </c>
      <c r="G29" s="32">
        <f>IF($B29="","",SUMIFS(Projetos!$B:$B,Projetos!$A:$A,$B29,Projetos!$C:$C,"Dez"))</f>
        <v/>
      </c>
    </row>
    <row r="30">
      <c r="B30" s="33">
        <f>IF(Projetos!$A17="","",Projetos!$A17)</f>
        <v/>
      </c>
      <c r="C30" s="34">
        <f>IF($B30="","",SUMIFS(Ambientes!$C:$C,Ambientes!$A:$A,$B30,Ambientes!$D:$D,"Dez"))</f>
        <v/>
      </c>
      <c r="D30" s="34">
        <f>IF($B30="","",SUMIFS(Ambientes!$C:$C,Ambientes!$A:$A,$B30,Ambientes!$E:$E,"Dez"))</f>
        <v/>
      </c>
      <c r="E30" s="34">
        <f>IF($B30="","",SUMIFS(Ambientes!$H:$H,Ambientes!$A:$A,$B30,Ambientes!$D:$D,"Dez"))</f>
        <v/>
      </c>
      <c r="F30" s="34">
        <f>IF($B30="","",SUMIFS(Faturamento!$C:$C,Faturamento!$A:$A,$B30,Faturamento!$D:$D,"Dez"))</f>
        <v/>
      </c>
      <c r="G30" s="34">
        <f>IF($B30="","",SUMIFS(Projetos!$B:$B,Projetos!$A:$A,$B30,Projetos!$C:$C,"Dez"))</f>
        <v/>
      </c>
    </row>
    <row r="31">
      <c r="B31" s="31">
        <f>IF(Projetos!$A18="","",Projetos!$A18)</f>
        <v/>
      </c>
      <c r="C31" s="32">
        <f>IF($B31="","",SUMIFS(Ambientes!$C:$C,Ambientes!$A:$A,$B31,Ambientes!$D:$D,"Dez"))</f>
        <v/>
      </c>
      <c r="D31" s="32">
        <f>IF($B31="","",SUMIFS(Ambientes!$C:$C,Ambientes!$A:$A,$B31,Ambientes!$E:$E,"Dez"))</f>
        <v/>
      </c>
      <c r="E31" s="32">
        <f>IF($B31="","",SUMIFS(Ambientes!$H:$H,Ambientes!$A:$A,$B31,Ambientes!$D:$D,"Dez"))</f>
        <v/>
      </c>
      <c r="F31" s="32">
        <f>IF($B31="","",SUMIFS(Faturamento!$C:$C,Faturamento!$A:$A,$B31,Faturamento!$D:$D,"Dez"))</f>
        <v/>
      </c>
      <c r="G31" s="32">
        <f>IF($B31="","",SUMIFS(Projetos!$B:$B,Projetos!$A:$A,$B31,Projetos!$C:$C,"Dez"))</f>
        <v/>
      </c>
    </row>
    <row r="32">
      <c r="B32" s="33">
        <f>IF(Projetos!$A19="","",Projetos!$A19)</f>
        <v/>
      </c>
      <c r="C32" s="34">
        <f>IF($B32="","",SUMIFS(Ambientes!$C:$C,Ambientes!$A:$A,$B32,Ambientes!$D:$D,"Dez"))</f>
        <v/>
      </c>
      <c r="D32" s="34">
        <f>IF($B32="","",SUMIFS(Ambientes!$C:$C,Ambientes!$A:$A,$B32,Ambientes!$E:$E,"Dez"))</f>
        <v/>
      </c>
      <c r="E32" s="34">
        <f>IF($B32="","",SUMIFS(Ambientes!$H:$H,Ambientes!$A:$A,$B32,Ambientes!$D:$D,"Dez"))</f>
        <v/>
      </c>
      <c r="F32" s="34">
        <f>IF($B32="","",SUMIFS(Faturamento!$C:$C,Faturamento!$A:$A,$B32,Faturamento!$D:$D,"Dez"))</f>
        <v/>
      </c>
      <c r="G32" s="34">
        <f>IF($B32="","",SUMIFS(Projetos!$B:$B,Projetos!$A:$A,$B32,Projetos!$C:$C,"Dez"))</f>
        <v/>
      </c>
    </row>
    <row r="33">
      <c r="B33" s="31">
        <f>IF(Projetos!$A20="","",Projetos!$A20)</f>
        <v/>
      </c>
      <c r="C33" s="32">
        <f>IF($B33="","",SUMIFS(Ambientes!$C:$C,Ambientes!$A:$A,$B33,Ambientes!$D:$D,"Dez"))</f>
        <v/>
      </c>
      <c r="D33" s="32">
        <f>IF($B33="","",SUMIFS(Ambientes!$C:$C,Ambientes!$A:$A,$B33,Ambientes!$E:$E,"Dez"))</f>
        <v/>
      </c>
      <c r="E33" s="32">
        <f>IF($B33="","",SUMIFS(Ambientes!$H:$H,Ambientes!$A:$A,$B33,Ambientes!$D:$D,"Dez"))</f>
        <v/>
      </c>
      <c r="F33" s="32">
        <f>IF($B33="","",SUMIFS(Faturamento!$C:$C,Faturamento!$A:$A,$B33,Faturamento!$D:$D,"Dez"))</f>
        <v/>
      </c>
      <c r="G33" s="32">
        <f>IF($B33="","",SUMIFS(Projetos!$B:$B,Projetos!$A:$A,$B33,Projetos!$C:$C,"Dez"))</f>
        <v/>
      </c>
    </row>
    <row r="34">
      <c r="B34" s="33">
        <f>IF(Projetos!$A21="","",Projetos!$A21)</f>
        <v/>
      </c>
      <c r="C34" s="34">
        <f>IF($B34="","",SUMIFS(Ambientes!$C:$C,Ambientes!$A:$A,$B34,Ambientes!$D:$D,"Dez"))</f>
        <v/>
      </c>
      <c r="D34" s="34">
        <f>IF($B34="","",SUMIFS(Ambientes!$C:$C,Ambientes!$A:$A,$B34,Ambientes!$E:$E,"Dez"))</f>
        <v/>
      </c>
      <c r="E34" s="34">
        <f>IF($B34="","",SUMIFS(Ambientes!$H:$H,Ambientes!$A:$A,$B34,Ambientes!$D:$D,"Dez"))</f>
        <v/>
      </c>
      <c r="F34" s="34">
        <f>IF($B34="","",SUMIFS(Faturamento!$C:$C,Faturamento!$A:$A,$B34,Faturamento!$D:$D,"Dez"))</f>
        <v/>
      </c>
      <c r="G34" s="34">
        <f>IF($B34="","",SUMIFS(Projetos!$B:$B,Projetos!$A:$A,$B34,Projetos!$C:$C,"Dez"))</f>
        <v/>
      </c>
    </row>
    <row r="35">
      <c r="B35" s="31">
        <f>IF(Projetos!$A22="","",Projetos!$A22)</f>
        <v/>
      </c>
      <c r="C35" s="32">
        <f>IF($B35="","",SUMIFS(Ambientes!$C:$C,Ambientes!$A:$A,$B35,Ambientes!$D:$D,"Dez"))</f>
        <v/>
      </c>
      <c r="D35" s="32">
        <f>IF($B35="","",SUMIFS(Ambientes!$C:$C,Ambientes!$A:$A,$B35,Ambientes!$E:$E,"Dez"))</f>
        <v/>
      </c>
      <c r="E35" s="32">
        <f>IF($B35="","",SUMIFS(Ambientes!$H:$H,Ambientes!$A:$A,$B35,Ambientes!$D:$D,"Dez"))</f>
        <v/>
      </c>
      <c r="F35" s="32">
        <f>IF($B35="","",SUMIFS(Faturamento!$C:$C,Faturamento!$A:$A,$B35,Faturamento!$D:$D,"Dez"))</f>
        <v/>
      </c>
      <c r="G35" s="32">
        <f>IF($B35="","",SUMIFS(Projetos!$B:$B,Projetos!$A:$A,$B35,Projetos!$C:$C,"Dez"))</f>
        <v/>
      </c>
    </row>
    <row r="36">
      <c r="B36" s="33">
        <f>IF(Projetos!$A23="","",Projetos!$A23)</f>
        <v/>
      </c>
      <c r="C36" s="34">
        <f>IF($B36="","",SUMIFS(Ambientes!$C:$C,Ambientes!$A:$A,$B36,Ambientes!$D:$D,"Dez"))</f>
        <v/>
      </c>
      <c r="D36" s="34">
        <f>IF($B36="","",SUMIFS(Ambientes!$C:$C,Ambientes!$A:$A,$B36,Ambientes!$E:$E,"Dez"))</f>
        <v/>
      </c>
      <c r="E36" s="34">
        <f>IF($B36="","",SUMIFS(Ambientes!$H:$H,Ambientes!$A:$A,$B36,Ambientes!$D:$D,"Dez"))</f>
        <v/>
      </c>
      <c r="F36" s="34">
        <f>IF($B36="","",SUMIFS(Faturamento!$C:$C,Faturamento!$A:$A,$B36,Faturamento!$D:$D,"Dez"))</f>
        <v/>
      </c>
      <c r="G36" s="34">
        <f>IF($B36="","",SUMIFS(Projetos!$B:$B,Projetos!$A:$A,$B36,Projetos!$C:$C,"Dez"))</f>
        <v/>
      </c>
    </row>
    <row r="37">
      <c r="B37" s="31">
        <f>IF(Projetos!$A24="","",Projetos!$A24)</f>
        <v/>
      </c>
      <c r="C37" s="32">
        <f>IF($B37="","",SUMIFS(Ambientes!$C:$C,Ambientes!$A:$A,$B37,Ambientes!$D:$D,"Dez"))</f>
        <v/>
      </c>
      <c r="D37" s="32">
        <f>IF($B37="","",SUMIFS(Ambientes!$C:$C,Ambientes!$A:$A,$B37,Ambientes!$E:$E,"Dez"))</f>
        <v/>
      </c>
      <c r="E37" s="32">
        <f>IF($B37="","",SUMIFS(Ambientes!$H:$H,Ambientes!$A:$A,$B37,Ambientes!$D:$D,"Dez"))</f>
        <v/>
      </c>
      <c r="F37" s="32">
        <f>IF($B37="","",SUMIFS(Faturamento!$C:$C,Faturamento!$A:$A,$B37,Faturamento!$D:$D,"Dez"))</f>
        <v/>
      </c>
      <c r="G37" s="32">
        <f>IF($B37="","",SUMIFS(Projetos!$B:$B,Projetos!$A:$A,$B37,Projetos!$C:$C,"Dez"))</f>
        <v/>
      </c>
    </row>
    <row r="38">
      <c r="B38" s="33">
        <f>IF(Projetos!$A25="","",Projetos!$A25)</f>
        <v/>
      </c>
      <c r="C38" s="34">
        <f>IF($B38="","",SUMIFS(Ambientes!$C:$C,Ambientes!$A:$A,$B38,Ambientes!$D:$D,"Dez"))</f>
        <v/>
      </c>
      <c r="D38" s="34">
        <f>IF($B38="","",SUMIFS(Ambientes!$C:$C,Ambientes!$A:$A,$B38,Ambientes!$E:$E,"Dez"))</f>
        <v/>
      </c>
      <c r="E38" s="34">
        <f>IF($B38="","",SUMIFS(Ambientes!$H:$H,Ambientes!$A:$A,$B38,Ambientes!$D:$D,"Dez"))</f>
        <v/>
      </c>
      <c r="F38" s="34">
        <f>IF($B38="","",SUMIFS(Faturamento!$C:$C,Faturamento!$A:$A,$B38,Faturamento!$D:$D,"Dez"))</f>
        <v/>
      </c>
      <c r="G38" s="34">
        <f>IF($B38="","",SUMIFS(Projetos!$B:$B,Projetos!$A:$A,$B38,Projetos!$C:$C,"Dez"))</f>
        <v/>
      </c>
    </row>
    <row r="39">
      <c r="B39" s="31">
        <f>IF(Projetos!$A26="","",Projetos!$A26)</f>
        <v/>
      </c>
      <c r="C39" s="32">
        <f>IF($B39="","",SUMIFS(Ambientes!$C:$C,Ambientes!$A:$A,$B39,Ambientes!$D:$D,"Dez"))</f>
        <v/>
      </c>
      <c r="D39" s="32">
        <f>IF($B39="","",SUMIFS(Ambientes!$C:$C,Ambientes!$A:$A,$B39,Ambientes!$E:$E,"Dez"))</f>
        <v/>
      </c>
      <c r="E39" s="32">
        <f>IF($B39="","",SUMIFS(Ambientes!$H:$H,Ambientes!$A:$A,$B39,Ambientes!$D:$D,"Dez"))</f>
        <v/>
      </c>
      <c r="F39" s="32">
        <f>IF($B39="","",SUMIFS(Faturamento!$C:$C,Faturamento!$A:$A,$B39,Faturamento!$D:$D,"Dez"))</f>
        <v/>
      </c>
      <c r="G39" s="32">
        <f>IF($B39="","",SUMIFS(Projetos!$B:$B,Projetos!$A:$A,$B39,Projetos!$C:$C,"Dez"))</f>
        <v/>
      </c>
    </row>
    <row r="40">
      <c r="B40" s="33">
        <f>IF(Projetos!$A27="","",Projetos!$A27)</f>
        <v/>
      </c>
      <c r="C40" s="34">
        <f>IF($B40="","",SUMIFS(Ambientes!$C:$C,Ambientes!$A:$A,$B40,Ambientes!$D:$D,"Dez"))</f>
        <v/>
      </c>
      <c r="D40" s="34">
        <f>IF($B40="","",SUMIFS(Ambientes!$C:$C,Ambientes!$A:$A,$B40,Ambientes!$E:$E,"Dez"))</f>
        <v/>
      </c>
      <c r="E40" s="34">
        <f>IF($B40="","",SUMIFS(Ambientes!$H:$H,Ambientes!$A:$A,$B40,Ambientes!$D:$D,"Dez"))</f>
        <v/>
      </c>
      <c r="F40" s="34">
        <f>IF($B40="","",SUMIFS(Faturamento!$C:$C,Faturamento!$A:$A,$B40,Faturamento!$D:$D,"Dez"))</f>
        <v/>
      </c>
      <c r="G40" s="34">
        <f>IF($B40="","",SUMIFS(Projetos!$B:$B,Projetos!$A:$A,$B40,Projetos!$C:$C,"Dez"))</f>
        <v/>
      </c>
    </row>
    <row r="41">
      <c r="B41" s="31">
        <f>IF(Projetos!$A28="","",Projetos!$A28)</f>
        <v/>
      </c>
      <c r="C41" s="32">
        <f>IF($B41="","",SUMIFS(Ambientes!$C:$C,Ambientes!$A:$A,$B41,Ambientes!$D:$D,"Dez"))</f>
        <v/>
      </c>
      <c r="D41" s="32">
        <f>IF($B41="","",SUMIFS(Ambientes!$C:$C,Ambientes!$A:$A,$B41,Ambientes!$E:$E,"Dez"))</f>
        <v/>
      </c>
      <c r="E41" s="32">
        <f>IF($B41="","",SUMIFS(Ambientes!$H:$H,Ambientes!$A:$A,$B41,Ambientes!$D:$D,"Dez"))</f>
        <v/>
      </c>
      <c r="F41" s="32">
        <f>IF($B41="","",SUMIFS(Faturamento!$C:$C,Faturamento!$A:$A,$B41,Faturamento!$D:$D,"Dez"))</f>
        <v/>
      </c>
      <c r="G41" s="32">
        <f>IF($B41="","",SUMIFS(Projetos!$B:$B,Projetos!$A:$A,$B41,Projetos!$C:$C,"Dez"))</f>
        <v/>
      </c>
    </row>
    <row r="42">
      <c r="B42" s="33">
        <f>IF(Projetos!$A29="","",Projetos!$A29)</f>
        <v/>
      </c>
      <c r="C42" s="34">
        <f>IF($B42="","",SUMIFS(Ambientes!$C:$C,Ambientes!$A:$A,$B42,Ambientes!$D:$D,"Dez"))</f>
        <v/>
      </c>
      <c r="D42" s="34">
        <f>IF($B42="","",SUMIFS(Ambientes!$C:$C,Ambientes!$A:$A,$B42,Ambientes!$E:$E,"Dez"))</f>
        <v/>
      </c>
      <c r="E42" s="34">
        <f>IF($B42="","",SUMIFS(Ambientes!$H:$H,Ambientes!$A:$A,$B42,Ambientes!$D:$D,"Dez"))</f>
        <v/>
      </c>
      <c r="F42" s="34">
        <f>IF($B42="","",SUMIFS(Faturamento!$C:$C,Faturamento!$A:$A,$B42,Faturamento!$D:$D,"Dez"))</f>
        <v/>
      </c>
      <c r="G42" s="34">
        <f>IF($B42="","",SUMIFS(Projetos!$B:$B,Projetos!$A:$A,$B42,Projetos!$C:$C,"Dez"))</f>
        <v/>
      </c>
    </row>
    <row r="43">
      <c r="B43" s="31">
        <f>IF(Projetos!$A30="","",Projetos!$A30)</f>
        <v/>
      </c>
      <c r="C43" s="32">
        <f>IF($B43="","",SUMIFS(Ambientes!$C:$C,Ambientes!$A:$A,$B43,Ambientes!$D:$D,"Dez"))</f>
        <v/>
      </c>
      <c r="D43" s="32">
        <f>IF($B43="","",SUMIFS(Ambientes!$C:$C,Ambientes!$A:$A,$B43,Ambientes!$E:$E,"Dez"))</f>
        <v/>
      </c>
      <c r="E43" s="32">
        <f>IF($B43="","",SUMIFS(Ambientes!$H:$H,Ambientes!$A:$A,$B43,Ambientes!$D:$D,"Dez"))</f>
        <v/>
      </c>
      <c r="F43" s="32">
        <f>IF($B43="","",SUMIFS(Faturamento!$C:$C,Faturamento!$A:$A,$B43,Faturamento!$D:$D,"Dez"))</f>
        <v/>
      </c>
      <c r="G43" s="32">
        <f>IF($B43="","",SUMIFS(Projetos!$B:$B,Projetos!$A:$A,$B43,Projetos!$C:$C,"Dez"))</f>
        <v/>
      </c>
    </row>
    <row r="44">
      <c r="B44" s="33">
        <f>IF(Projetos!$A31="","",Projetos!$A31)</f>
        <v/>
      </c>
      <c r="C44" s="34">
        <f>IF($B44="","",SUMIFS(Ambientes!$C:$C,Ambientes!$A:$A,$B44,Ambientes!$D:$D,"Dez"))</f>
        <v/>
      </c>
      <c r="D44" s="34">
        <f>IF($B44="","",SUMIFS(Ambientes!$C:$C,Ambientes!$A:$A,$B44,Ambientes!$E:$E,"Dez"))</f>
        <v/>
      </c>
      <c r="E44" s="34">
        <f>IF($B44="","",SUMIFS(Ambientes!$H:$H,Ambientes!$A:$A,$B44,Ambientes!$D:$D,"Dez"))</f>
        <v/>
      </c>
      <c r="F44" s="34">
        <f>IF($B44="","",SUMIFS(Faturamento!$C:$C,Faturamento!$A:$A,$B44,Faturamento!$D:$D,"Dez"))</f>
        <v/>
      </c>
      <c r="G44" s="34">
        <f>IF($B44="","",SUMIFS(Projetos!$B:$B,Projetos!$A:$A,$B44,Projetos!$C:$C,"Dez"))</f>
        <v/>
      </c>
    </row>
    <row r="45">
      <c r="B45" s="31">
        <f>IF(Projetos!$A32="","",Projetos!$A32)</f>
        <v/>
      </c>
      <c r="C45" s="32">
        <f>IF($B45="","",SUMIFS(Ambientes!$C:$C,Ambientes!$A:$A,$B45,Ambientes!$D:$D,"Dez"))</f>
        <v/>
      </c>
      <c r="D45" s="32">
        <f>IF($B45="","",SUMIFS(Ambientes!$C:$C,Ambientes!$A:$A,$B45,Ambientes!$E:$E,"Dez"))</f>
        <v/>
      </c>
      <c r="E45" s="32">
        <f>IF($B45="","",SUMIFS(Ambientes!$H:$H,Ambientes!$A:$A,$B45,Ambientes!$D:$D,"Dez"))</f>
        <v/>
      </c>
      <c r="F45" s="32">
        <f>IF($B45="","",SUMIFS(Faturamento!$C:$C,Faturamento!$A:$A,$B45,Faturamento!$D:$D,"Dez"))</f>
        <v/>
      </c>
      <c r="G45" s="32">
        <f>IF($B45="","",SUMIFS(Projetos!$B:$B,Projetos!$A:$A,$B45,Projetos!$C:$C,"Dez"))</f>
        <v/>
      </c>
    </row>
    <row r="46">
      <c r="B46" s="33">
        <f>IF(Projetos!$A33="","",Projetos!$A33)</f>
        <v/>
      </c>
      <c r="C46" s="34">
        <f>IF($B46="","",SUMIFS(Ambientes!$C:$C,Ambientes!$A:$A,$B46,Ambientes!$D:$D,"Dez"))</f>
        <v/>
      </c>
      <c r="D46" s="34">
        <f>IF($B46="","",SUMIFS(Ambientes!$C:$C,Ambientes!$A:$A,$B46,Ambientes!$E:$E,"Dez"))</f>
        <v/>
      </c>
      <c r="E46" s="34">
        <f>IF($B46="","",SUMIFS(Ambientes!$H:$H,Ambientes!$A:$A,$B46,Ambientes!$D:$D,"Dez"))</f>
        <v/>
      </c>
      <c r="F46" s="34">
        <f>IF($B46="","",SUMIFS(Faturamento!$C:$C,Faturamento!$A:$A,$B46,Faturamento!$D:$D,"Dez"))</f>
        <v/>
      </c>
      <c r="G46" s="34">
        <f>IF($B46="","",SUMIFS(Projetos!$B:$B,Projetos!$A:$A,$B46,Projetos!$C:$C,"Dez"))</f>
        <v/>
      </c>
    </row>
    <row r="47">
      <c r="B47" s="31">
        <f>IF(Projetos!$A34="","",Projetos!$A34)</f>
        <v/>
      </c>
      <c r="C47" s="32">
        <f>IF($B47="","",SUMIFS(Ambientes!$C:$C,Ambientes!$A:$A,$B47,Ambientes!$D:$D,"Dez"))</f>
        <v/>
      </c>
      <c r="D47" s="32">
        <f>IF($B47="","",SUMIFS(Ambientes!$C:$C,Ambientes!$A:$A,$B47,Ambientes!$E:$E,"Dez"))</f>
        <v/>
      </c>
      <c r="E47" s="32">
        <f>IF($B47="","",SUMIFS(Ambientes!$H:$H,Ambientes!$A:$A,$B47,Ambientes!$D:$D,"Dez"))</f>
        <v/>
      </c>
      <c r="F47" s="32">
        <f>IF($B47="","",SUMIFS(Faturamento!$C:$C,Faturamento!$A:$A,$B47,Faturamento!$D:$D,"Dez"))</f>
        <v/>
      </c>
      <c r="G47" s="32">
        <f>IF($B47="","",SUMIFS(Projetos!$B:$B,Projetos!$A:$A,$B47,Projetos!$C:$C,"Dez"))</f>
        <v/>
      </c>
    </row>
    <row r="48">
      <c r="B48" s="33">
        <f>IF(Projetos!$A35="","",Projetos!$A35)</f>
        <v/>
      </c>
      <c r="C48" s="34">
        <f>IF($B48="","",SUMIFS(Ambientes!$C:$C,Ambientes!$A:$A,$B48,Ambientes!$D:$D,"Dez"))</f>
        <v/>
      </c>
      <c r="D48" s="34">
        <f>IF($B48="","",SUMIFS(Ambientes!$C:$C,Ambientes!$A:$A,$B48,Ambientes!$E:$E,"Dez"))</f>
        <v/>
      </c>
      <c r="E48" s="34">
        <f>IF($B48="","",SUMIFS(Ambientes!$H:$H,Ambientes!$A:$A,$B48,Ambientes!$D:$D,"Dez"))</f>
        <v/>
      </c>
      <c r="F48" s="34">
        <f>IF($B48="","",SUMIFS(Faturamento!$C:$C,Faturamento!$A:$A,$B48,Faturamento!$D:$D,"Dez"))</f>
        <v/>
      </c>
      <c r="G48" s="34">
        <f>IF($B48="","",SUMIFS(Projetos!$B:$B,Projetos!$A:$A,$B48,Projetos!$C:$C,"Dez"))</f>
        <v/>
      </c>
    </row>
    <row r="49">
      <c r="B49" s="31">
        <f>IF(Projetos!$A36="","",Projetos!$A36)</f>
        <v/>
      </c>
      <c r="C49" s="32">
        <f>IF($B49="","",SUMIFS(Ambientes!$C:$C,Ambientes!$A:$A,$B49,Ambientes!$D:$D,"Dez"))</f>
        <v/>
      </c>
      <c r="D49" s="32">
        <f>IF($B49="","",SUMIFS(Ambientes!$C:$C,Ambientes!$A:$A,$B49,Ambientes!$E:$E,"Dez"))</f>
        <v/>
      </c>
      <c r="E49" s="32">
        <f>IF($B49="","",SUMIFS(Ambientes!$H:$H,Ambientes!$A:$A,$B49,Ambientes!$D:$D,"Dez"))</f>
        <v/>
      </c>
      <c r="F49" s="32">
        <f>IF($B49="","",SUMIFS(Faturamento!$C:$C,Faturamento!$A:$A,$B49,Faturamento!$D:$D,"Dez"))</f>
        <v/>
      </c>
      <c r="G49" s="32">
        <f>IF($B49="","",SUMIFS(Projetos!$B:$B,Projetos!$A:$A,$B49,Projetos!$C:$C,"Dez"))</f>
        <v/>
      </c>
    </row>
    <row r="50">
      <c r="B50" s="33">
        <f>IF(Projetos!$A37="","",Projetos!$A37)</f>
        <v/>
      </c>
      <c r="C50" s="34">
        <f>IF($B50="","",SUMIFS(Ambientes!$C:$C,Ambientes!$A:$A,$B50,Ambientes!$D:$D,"Dez"))</f>
        <v/>
      </c>
      <c r="D50" s="34">
        <f>IF($B50="","",SUMIFS(Ambientes!$C:$C,Ambientes!$A:$A,$B50,Ambientes!$E:$E,"Dez"))</f>
        <v/>
      </c>
      <c r="E50" s="34">
        <f>IF($B50="","",SUMIFS(Ambientes!$H:$H,Ambientes!$A:$A,$B50,Ambientes!$D:$D,"Dez"))</f>
        <v/>
      </c>
      <c r="F50" s="34">
        <f>IF($B50="","",SUMIFS(Faturamento!$C:$C,Faturamento!$A:$A,$B50,Faturamento!$D:$D,"Dez"))</f>
        <v/>
      </c>
      <c r="G50" s="34">
        <f>IF($B50="","",SUMIFS(Projetos!$B:$B,Projetos!$A:$A,$B50,Projetos!$C:$C,"Dez"))</f>
        <v/>
      </c>
    </row>
    <row r="51">
      <c r="B51" s="31">
        <f>IF(Projetos!$A38="","",Projetos!$A38)</f>
        <v/>
      </c>
      <c r="C51" s="32">
        <f>IF($B51="","",SUMIFS(Ambientes!$C:$C,Ambientes!$A:$A,$B51,Ambientes!$D:$D,"Dez"))</f>
        <v/>
      </c>
      <c r="D51" s="32">
        <f>IF($B51="","",SUMIFS(Ambientes!$C:$C,Ambientes!$A:$A,$B51,Ambientes!$E:$E,"Dez"))</f>
        <v/>
      </c>
      <c r="E51" s="32">
        <f>IF($B51="","",SUMIFS(Ambientes!$H:$H,Ambientes!$A:$A,$B51,Ambientes!$D:$D,"Dez"))</f>
        <v/>
      </c>
      <c r="F51" s="32">
        <f>IF($B51="","",SUMIFS(Faturamento!$C:$C,Faturamento!$A:$A,$B51,Faturamento!$D:$D,"Dez"))</f>
        <v/>
      </c>
      <c r="G51" s="32">
        <f>IF($B51="","",SUMIFS(Projetos!$B:$B,Projetos!$A:$A,$B51,Projetos!$C:$C,"Dez"))</f>
        <v/>
      </c>
    </row>
    <row r="52">
      <c r="B52" s="33">
        <f>IF(Projetos!$A39="","",Projetos!$A39)</f>
        <v/>
      </c>
      <c r="C52" s="34">
        <f>IF($B52="","",SUMIFS(Ambientes!$C:$C,Ambientes!$A:$A,$B52,Ambientes!$D:$D,"Dez"))</f>
        <v/>
      </c>
      <c r="D52" s="34">
        <f>IF($B52="","",SUMIFS(Ambientes!$C:$C,Ambientes!$A:$A,$B52,Ambientes!$E:$E,"Dez"))</f>
        <v/>
      </c>
      <c r="E52" s="34">
        <f>IF($B52="","",SUMIFS(Ambientes!$H:$H,Ambientes!$A:$A,$B52,Ambientes!$D:$D,"Dez"))</f>
        <v/>
      </c>
      <c r="F52" s="34">
        <f>IF($B52="","",SUMIFS(Faturamento!$C:$C,Faturamento!$A:$A,$B52,Faturamento!$D:$D,"Dez"))</f>
        <v/>
      </c>
      <c r="G52" s="34">
        <f>IF($B52="","",SUMIFS(Projetos!$B:$B,Projetos!$A:$A,$B52,Projetos!$C:$C,"Dez"))</f>
        <v/>
      </c>
    </row>
    <row r="53">
      <c r="B53" s="31">
        <f>IF(Projetos!$A40="","",Projetos!$A40)</f>
        <v/>
      </c>
      <c r="C53" s="32">
        <f>IF($B53="","",SUMIFS(Ambientes!$C:$C,Ambientes!$A:$A,$B53,Ambientes!$D:$D,"Dez"))</f>
        <v/>
      </c>
      <c r="D53" s="32">
        <f>IF($B53="","",SUMIFS(Ambientes!$C:$C,Ambientes!$A:$A,$B53,Ambientes!$E:$E,"Dez"))</f>
        <v/>
      </c>
      <c r="E53" s="32">
        <f>IF($B53="","",SUMIFS(Ambientes!$H:$H,Ambientes!$A:$A,$B53,Ambientes!$D:$D,"Dez"))</f>
        <v/>
      </c>
      <c r="F53" s="32">
        <f>IF($B53="","",SUMIFS(Faturamento!$C:$C,Faturamento!$A:$A,$B53,Faturamento!$D:$D,"Dez"))</f>
        <v/>
      </c>
      <c r="G53" s="32">
        <f>IF($B53="","",SUMIFS(Projetos!$B:$B,Projetos!$A:$A,$B53,Projetos!$C:$C,"Dez"))</f>
        <v/>
      </c>
    </row>
    <row r="54">
      <c r="B54" s="33">
        <f>IF(Projetos!$A41="","",Projetos!$A41)</f>
        <v/>
      </c>
      <c r="C54" s="34">
        <f>IF($B54="","",SUMIFS(Ambientes!$C:$C,Ambientes!$A:$A,$B54,Ambientes!$D:$D,"Dez"))</f>
        <v/>
      </c>
      <c r="D54" s="34">
        <f>IF($B54="","",SUMIFS(Ambientes!$C:$C,Ambientes!$A:$A,$B54,Ambientes!$E:$E,"Dez"))</f>
        <v/>
      </c>
      <c r="E54" s="34">
        <f>IF($B54="","",SUMIFS(Ambientes!$H:$H,Ambientes!$A:$A,$B54,Ambientes!$D:$D,"Dez"))</f>
        <v/>
      </c>
      <c r="F54" s="34">
        <f>IF($B54="","",SUMIFS(Faturamento!$C:$C,Faturamento!$A:$A,$B54,Faturamento!$D:$D,"Dez"))</f>
        <v/>
      </c>
      <c r="G54" s="34">
        <f>IF($B54="","",SUMIFS(Projetos!$B:$B,Projetos!$A:$A,$B54,Projetos!$C:$C,"Dez"))</f>
        <v/>
      </c>
    </row>
    <row r="55">
      <c r="B55" s="31">
        <f>IF(Projetos!$A42="","",Projetos!$A42)</f>
        <v/>
      </c>
      <c r="C55" s="32">
        <f>IF($B55="","",SUMIFS(Ambientes!$C:$C,Ambientes!$A:$A,$B55,Ambientes!$D:$D,"Dez"))</f>
        <v/>
      </c>
      <c r="D55" s="32">
        <f>IF($B55="","",SUMIFS(Ambientes!$C:$C,Ambientes!$A:$A,$B55,Ambientes!$E:$E,"Dez"))</f>
        <v/>
      </c>
      <c r="E55" s="32">
        <f>IF($B55="","",SUMIFS(Ambientes!$H:$H,Ambientes!$A:$A,$B55,Ambientes!$D:$D,"Dez"))</f>
        <v/>
      </c>
      <c r="F55" s="32">
        <f>IF($B55="","",SUMIFS(Faturamento!$C:$C,Faturamento!$A:$A,$B55,Faturamento!$D:$D,"Dez"))</f>
        <v/>
      </c>
      <c r="G55" s="32">
        <f>IF($B55="","",SUMIFS(Projetos!$B:$B,Projetos!$A:$A,$B55,Projetos!$C:$C,"Dez"))</f>
        <v/>
      </c>
    </row>
    <row r="56">
      <c r="B56" s="33">
        <f>IF(Projetos!$A43="","",Projetos!$A43)</f>
        <v/>
      </c>
      <c r="C56" s="34">
        <f>IF($B56="","",SUMIFS(Ambientes!$C:$C,Ambientes!$A:$A,$B56,Ambientes!$D:$D,"Dez"))</f>
        <v/>
      </c>
      <c r="D56" s="34">
        <f>IF($B56="","",SUMIFS(Ambientes!$C:$C,Ambientes!$A:$A,$B56,Ambientes!$E:$E,"Dez"))</f>
        <v/>
      </c>
      <c r="E56" s="34">
        <f>IF($B56="","",SUMIFS(Ambientes!$H:$H,Ambientes!$A:$A,$B56,Ambientes!$D:$D,"Dez"))</f>
        <v/>
      </c>
      <c r="F56" s="34">
        <f>IF($B56="","",SUMIFS(Faturamento!$C:$C,Faturamento!$A:$A,$B56,Faturamento!$D:$D,"Dez"))</f>
        <v/>
      </c>
      <c r="G56" s="34">
        <f>IF($B56="","",SUMIFS(Projetos!$B:$B,Projetos!$A:$A,$B56,Projetos!$C:$C,"Dez"))</f>
        <v/>
      </c>
    </row>
  </sheetData>
  <mergeCells count="5">
    <mergeCell ref="A1:G1"/>
    <mergeCell ref="B9:G9"/>
    <mergeCell ref="B4:G4"/>
    <mergeCell ref="A2:G2"/>
    <mergeCell ref="B15:G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2A05A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</cols>
  <sheetData>
    <row r="1" ht="26" customHeight="1">
      <c r="A1" s="1" t="inlineStr">
        <is>
          <t>VALVIC MARCENARIA   ·   ANO 2026 — os doze meses lado a lado</t>
        </is>
      </c>
    </row>
    <row r="2" ht="18" customHeight="1">
      <c r="A2" s="2" t="inlineStr">
        <is>
          <t>É aqui que se lê tendência. Tudo calculado a partir das lâminas mensais.</t>
        </is>
      </c>
    </row>
    <row r="4" ht="24" customHeight="1">
      <c r="B4" s="35" t="inlineStr">
        <is>
          <t>R$ · competência</t>
        </is>
      </c>
      <c r="C4" s="35" t="inlineStr">
        <is>
          <t>Jan</t>
        </is>
      </c>
      <c r="D4" s="35" t="inlineStr">
        <is>
          <t>Fev</t>
        </is>
      </c>
      <c r="E4" s="35" t="inlineStr">
        <is>
          <t>Mar</t>
        </is>
      </c>
      <c r="F4" s="35" t="inlineStr">
        <is>
          <t>Abr</t>
        </is>
      </c>
      <c r="G4" s="35" t="inlineStr">
        <is>
          <t>Mai</t>
        </is>
      </c>
      <c r="H4" s="35" t="inlineStr">
        <is>
          <t>Jun</t>
        </is>
      </c>
      <c r="I4" s="35" t="inlineStr">
        <is>
          <t>Jul</t>
        </is>
      </c>
      <c r="J4" s="35" t="inlineStr">
        <is>
          <t>Ago</t>
        </is>
      </c>
      <c r="K4" s="35" t="inlineStr">
        <is>
          <t>Set</t>
        </is>
      </c>
      <c r="L4" s="35" t="inlineStr">
        <is>
          <t>Out</t>
        </is>
      </c>
      <c r="M4" s="35" t="inlineStr">
        <is>
          <t>Nov</t>
        </is>
      </c>
      <c r="N4" s="35" t="inlineStr">
        <is>
          <t>Dez</t>
        </is>
      </c>
      <c r="O4" s="35" t="inlineStr">
        <is>
          <t>Ano</t>
        </is>
      </c>
    </row>
    <row r="5" ht="20" customHeight="1">
      <c r="B5" s="36" t="inlineStr">
        <is>
          <t>Custo fixo</t>
        </is>
      </c>
      <c r="C5" s="37">
        <f>'Jan'!$B$6</f>
        <v/>
      </c>
      <c r="D5" s="37">
        <f>'Fev'!$B$6</f>
        <v/>
      </c>
      <c r="E5" s="37">
        <f>'Mar'!$B$6</f>
        <v/>
      </c>
      <c r="F5" s="37">
        <f>'Abr'!$B$6</f>
        <v/>
      </c>
      <c r="G5" s="37">
        <f>'Mai'!$B$6</f>
        <v/>
      </c>
      <c r="H5" s="37">
        <f>'Jun'!$B$6</f>
        <v/>
      </c>
      <c r="I5" s="37">
        <f>'Jul'!$B$6</f>
        <v/>
      </c>
      <c r="J5" s="37">
        <f>'Ago'!$B$6</f>
        <v/>
      </c>
      <c r="K5" s="37">
        <f>'Set'!$B$6</f>
        <v/>
      </c>
      <c r="L5" s="37">
        <f>'Out'!$B$6</f>
        <v/>
      </c>
      <c r="M5" s="37">
        <f>'Nov'!$B$6</f>
        <v/>
      </c>
      <c r="N5" s="37">
        <f>'Dez'!$B$6</f>
        <v/>
      </c>
      <c r="O5" s="38">
        <f>SUM($C5:$N5)</f>
        <v/>
      </c>
    </row>
    <row r="6" ht="20" customHeight="1">
      <c r="B6" s="36" t="inlineStr">
        <is>
          <t>R$ vendido</t>
        </is>
      </c>
      <c r="C6" s="37">
        <f>'Jan'!$C$6</f>
        <v/>
      </c>
      <c r="D6" s="37">
        <f>'Fev'!$C$6</f>
        <v/>
      </c>
      <c r="E6" s="37">
        <f>'Mar'!$C$6</f>
        <v/>
      </c>
      <c r="F6" s="37">
        <f>'Abr'!$C$6</f>
        <v/>
      </c>
      <c r="G6" s="37">
        <f>'Mai'!$C$6</f>
        <v/>
      </c>
      <c r="H6" s="37">
        <f>'Jun'!$C$6</f>
        <v/>
      </c>
      <c r="I6" s="37">
        <f>'Jul'!$C$6</f>
        <v/>
      </c>
      <c r="J6" s="37">
        <f>'Ago'!$C$6</f>
        <v/>
      </c>
      <c r="K6" s="37">
        <f>'Set'!$C$6</f>
        <v/>
      </c>
      <c r="L6" s="37">
        <f>'Out'!$C$6</f>
        <v/>
      </c>
      <c r="M6" s="37">
        <f>'Nov'!$C$6</f>
        <v/>
      </c>
      <c r="N6" s="37">
        <f>'Dez'!$C$6</f>
        <v/>
      </c>
      <c r="O6" s="38">
        <f>SUM($C6:$N6)</f>
        <v/>
      </c>
    </row>
    <row r="7" ht="20" customHeight="1">
      <c r="B7" s="36" t="inlineStr">
        <is>
          <t>Material aplicado</t>
        </is>
      </c>
      <c r="C7" s="37">
        <f>'Jan'!$D$6</f>
        <v/>
      </c>
      <c r="D7" s="37">
        <f>'Fev'!$D$6</f>
        <v/>
      </c>
      <c r="E7" s="37">
        <f>'Mar'!$D$6</f>
        <v/>
      </c>
      <c r="F7" s="37">
        <f>'Abr'!$D$6</f>
        <v/>
      </c>
      <c r="G7" s="37">
        <f>'Mai'!$D$6</f>
        <v/>
      </c>
      <c r="H7" s="37">
        <f>'Jun'!$D$6</f>
        <v/>
      </c>
      <c r="I7" s="37">
        <f>'Jul'!$D$6</f>
        <v/>
      </c>
      <c r="J7" s="37">
        <f>'Ago'!$D$6</f>
        <v/>
      </c>
      <c r="K7" s="37">
        <f>'Set'!$D$6</f>
        <v/>
      </c>
      <c r="L7" s="37">
        <f>'Out'!$D$6</f>
        <v/>
      </c>
      <c r="M7" s="37">
        <f>'Nov'!$D$6</f>
        <v/>
      </c>
      <c r="N7" s="37">
        <f>'Dez'!$D$6</f>
        <v/>
      </c>
      <c r="O7" s="38">
        <f>SUM($C7:$N7)</f>
        <v/>
      </c>
    </row>
    <row r="8" ht="20" customHeight="1">
      <c r="B8" s="36" t="inlineStr">
        <is>
          <t>R$ fabricado</t>
        </is>
      </c>
      <c r="C8" s="37">
        <f>'Jan'!$E$6</f>
        <v/>
      </c>
      <c r="D8" s="37">
        <f>'Fev'!$E$6</f>
        <v/>
      </c>
      <c r="E8" s="37">
        <f>'Mar'!$E$6</f>
        <v/>
      </c>
      <c r="F8" s="37">
        <f>'Abr'!$E$6</f>
        <v/>
      </c>
      <c r="G8" s="37">
        <f>'Mai'!$E$6</f>
        <v/>
      </c>
      <c r="H8" s="37">
        <f>'Jun'!$E$6</f>
        <v/>
      </c>
      <c r="I8" s="37">
        <f>'Jul'!$E$6</f>
        <v/>
      </c>
      <c r="J8" s="37">
        <f>'Ago'!$E$6</f>
        <v/>
      </c>
      <c r="K8" s="37">
        <f>'Set'!$E$6</f>
        <v/>
      </c>
      <c r="L8" s="37">
        <f>'Out'!$E$6</f>
        <v/>
      </c>
      <c r="M8" s="37">
        <f>'Nov'!$E$6</f>
        <v/>
      </c>
      <c r="N8" s="37">
        <f>'Dez'!$E$6</f>
        <v/>
      </c>
      <c r="O8" s="38">
        <f>SUM($C8:$N8)</f>
        <v/>
      </c>
    </row>
    <row r="9" ht="20" customHeight="1">
      <c r="B9" s="36" t="inlineStr">
        <is>
          <t>R$ instalado</t>
        </is>
      </c>
      <c r="C9" s="37">
        <f>'Jan'!$F$6</f>
        <v/>
      </c>
      <c r="D9" s="37">
        <f>'Fev'!$F$6</f>
        <v/>
      </c>
      <c r="E9" s="37">
        <f>'Mar'!$F$6</f>
        <v/>
      </c>
      <c r="F9" s="37">
        <f>'Abr'!$F$6</f>
        <v/>
      </c>
      <c r="G9" s="37">
        <f>'Mai'!$F$6</f>
        <v/>
      </c>
      <c r="H9" s="37">
        <f>'Jun'!$F$6</f>
        <v/>
      </c>
      <c r="I9" s="37">
        <f>'Jul'!$F$6</f>
        <v/>
      </c>
      <c r="J9" s="37">
        <f>'Ago'!$F$6</f>
        <v/>
      </c>
      <c r="K9" s="37">
        <f>'Set'!$F$6</f>
        <v/>
      </c>
      <c r="L9" s="37">
        <f>'Out'!$F$6</f>
        <v/>
      </c>
      <c r="M9" s="37">
        <f>'Nov'!$F$6</f>
        <v/>
      </c>
      <c r="N9" s="37">
        <f>'Dez'!$F$6</f>
        <v/>
      </c>
      <c r="O9" s="38">
        <f>SUM($C9:$N9)</f>
        <v/>
      </c>
    </row>
    <row r="10" ht="20" customHeight="1">
      <c r="B10" s="36" t="inlineStr">
        <is>
          <t>R$ faturado</t>
        </is>
      </c>
      <c r="C10" s="37">
        <f>'Jan'!$G$6</f>
        <v/>
      </c>
      <c r="D10" s="37">
        <f>'Fev'!$G$6</f>
        <v/>
      </c>
      <c r="E10" s="37">
        <f>'Mar'!$G$6</f>
        <v/>
      </c>
      <c r="F10" s="37">
        <f>'Abr'!$G$6</f>
        <v/>
      </c>
      <c r="G10" s="37">
        <f>'Mai'!$G$6</f>
        <v/>
      </c>
      <c r="H10" s="37">
        <f>'Jun'!$G$6</f>
        <v/>
      </c>
      <c r="I10" s="37">
        <f>'Jul'!$G$6</f>
        <v/>
      </c>
      <c r="J10" s="37">
        <f>'Ago'!$G$6</f>
        <v/>
      </c>
      <c r="K10" s="37">
        <f>'Set'!$G$6</f>
        <v/>
      </c>
      <c r="L10" s="37">
        <f>'Out'!$G$6</f>
        <v/>
      </c>
      <c r="M10" s="37">
        <f>'Nov'!$G$6</f>
        <v/>
      </c>
      <c r="N10" s="37">
        <f>'Dez'!$G$6</f>
        <v/>
      </c>
      <c r="O10" s="38">
        <f>SUM($C10:$N10)</f>
        <v/>
      </c>
    </row>
    <row r="11" ht="8" customHeight="1"/>
    <row r="12" ht="20" customHeight="1">
      <c r="B12" s="39" t="inlineStr">
        <is>
          <t>Material comprado</t>
        </is>
      </c>
      <c r="C12" s="40">
        <f>'Jan'!$B$12</f>
        <v/>
      </c>
      <c r="D12" s="40">
        <f>'Fev'!$B$12</f>
        <v/>
      </c>
      <c r="E12" s="40">
        <f>'Mar'!$B$12</f>
        <v/>
      </c>
      <c r="F12" s="40">
        <f>'Abr'!$B$12</f>
        <v/>
      </c>
      <c r="G12" s="40">
        <f>'Mai'!$B$12</f>
        <v/>
      </c>
      <c r="H12" s="40">
        <f>'Jun'!$B$12</f>
        <v/>
      </c>
      <c r="I12" s="40">
        <f>'Jul'!$B$12</f>
        <v/>
      </c>
      <c r="J12" s="40">
        <f>'Ago'!$B$12</f>
        <v/>
      </c>
      <c r="K12" s="40">
        <f>'Set'!$B$12</f>
        <v/>
      </c>
      <c r="L12" s="40">
        <f>'Out'!$B$12</f>
        <v/>
      </c>
      <c r="M12" s="40">
        <f>'Nov'!$B$12</f>
        <v/>
      </c>
      <c r="N12" s="40">
        <f>'Dez'!$B$12</f>
        <v/>
      </c>
      <c r="O12" s="38">
        <f>SUM($C12:$N12)</f>
        <v/>
      </c>
    </row>
    <row r="13" ht="20" customHeight="1">
      <c r="B13" s="39" t="inlineStr">
        <is>
          <t>Material em estoque</t>
        </is>
      </c>
      <c r="C13" s="40">
        <f>'Jan'!$C$12</f>
        <v/>
      </c>
      <c r="D13" s="40">
        <f>'Fev'!$C$12</f>
        <v/>
      </c>
      <c r="E13" s="40">
        <f>'Mar'!$C$12</f>
        <v/>
      </c>
      <c r="F13" s="40">
        <f>'Abr'!$C$12</f>
        <v/>
      </c>
      <c r="G13" s="40">
        <f>'Mai'!$C$12</f>
        <v/>
      </c>
      <c r="H13" s="40">
        <f>'Jun'!$C$12</f>
        <v/>
      </c>
      <c r="I13" s="40">
        <f>'Jul'!$C$12</f>
        <v/>
      </c>
      <c r="J13" s="40">
        <f>'Ago'!$C$12</f>
        <v/>
      </c>
      <c r="K13" s="40">
        <f>'Set'!$C$12</f>
        <v/>
      </c>
      <c r="L13" s="40">
        <f>'Out'!$C$12</f>
        <v/>
      </c>
      <c r="M13" s="40">
        <f>'Nov'!$C$12</f>
        <v/>
      </c>
      <c r="N13" s="40">
        <f>'Dez'!$C$12</f>
        <v/>
      </c>
      <c r="O13" s="38">
        <f>$N13</f>
        <v/>
      </c>
    </row>
    <row r="14" ht="20" customHeight="1">
      <c r="B14" s="39" t="inlineStr">
        <is>
          <t>Material sobre o fabricado</t>
        </is>
      </c>
      <c r="C14" s="41">
        <f>'Jan'!$D$12</f>
        <v/>
      </c>
      <c r="D14" s="41">
        <f>'Fev'!$D$12</f>
        <v/>
      </c>
      <c r="E14" s="41">
        <f>'Mar'!$D$12</f>
        <v/>
      </c>
      <c r="F14" s="41">
        <f>'Abr'!$D$12</f>
        <v/>
      </c>
      <c r="G14" s="41">
        <f>'Mai'!$D$12</f>
        <v/>
      </c>
      <c r="H14" s="41">
        <f>'Jun'!$D$12</f>
        <v/>
      </c>
      <c r="I14" s="41">
        <f>'Jul'!$D$12</f>
        <v/>
      </c>
      <c r="J14" s="41">
        <f>'Ago'!$D$12</f>
        <v/>
      </c>
      <c r="K14" s="41">
        <f>'Set'!$D$12</f>
        <v/>
      </c>
      <c r="L14" s="41">
        <f>'Out'!$D$12</f>
        <v/>
      </c>
      <c r="M14" s="41">
        <f>'Nov'!$D$12</f>
        <v/>
      </c>
      <c r="N14" s="41">
        <f>'Dez'!$D$12</f>
        <v/>
      </c>
      <c r="O14" s="42">
        <f>IF($O$8=0,"",$O$7/$O$8)</f>
        <v/>
      </c>
    </row>
    <row r="15" ht="20" customHeight="1">
      <c r="B15" s="39" t="inlineStr">
        <is>
          <t>Parado na fábrica</t>
        </is>
      </c>
      <c r="C15" s="40">
        <f>'Jan'!$E$12</f>
        <v/>
      </c>
      <c r="D15" s="40">
        <f>'Fev'!$E$12</f>
        <v/>
      </c>
      <c r="E15" s="40">
        <f>'Mar'!$E$12</f>
        <v/>
      </c>
      <c r="F15" s="40">
        <f>'Abr'!$E$12</f>
        <v/>
      </c>
      <c r="G15" s="40">
        <f>'Mai'!$E$12</f>
        <v/>
      </c>
      <c r="H15" s="40">
        <f>'Jun'!$E$12</f>
        <v/>
      </c>
      <c r="I15" s="40">
        <f>'Jul'!$E$12</f>
        <v/>
      </c>
      <c r="J15" s="40">
        <f>'Ago'!$E$12</f>
        <v/>
      </c>
      <c r="K15" s="40">
        <f>'Set'!$E$12</f>
        <v/>
      </c>
      <c r="L15" s="40">
        <f>'Out'!$E$12</f>
        <v/>
      </c>
      <c r="M15" s="40">
        <f>'Nov'!$E$12</f>
        <v/>
      </c>
      <c r="N15" s="40">
        <f>'Dez'!$E$12</f>
        <v/>
      </c>
      <c r="O15" s="38">
        <f>SUM($C15:$N15)</f>
        <v/>
      </c>
    </row>
    <row r="16" ht="20" customHeight="1">
      <c r="B16" s="39" t="inlineStr">
        <is>
          <t>A faturar</t>
        </is>
      </c>
      <c r="C16" s="40">
        <f>'Jan'!$F$12</f>
        <v/>
      </c>
      <c r="D16" s="40">
        <f>'Fev'!$F$12</f>
        <v/>
      </c>
      <c r="E16" s="40">
        <f>'Mar'!$F$12</f>
        <v/>
      </c>
      <c r="F16" s="40">
        <f>'Abr'!$F$12</f>
        <v/>
      </c>
      <c r="G16" s="40">
        <f>'Mai'!$F$12</f>
        <v/>
      </c>
      <c r="H16" s="40">
        <f>'Jun'!$F$12</f>
        <v/>
      </c>
      <c r="I16" s="40">
        <f>'Jul'!$F$12</f>
        <v/>
      </c>
      <c r="J16" s="40">
        <f>'Ago'!$F$12</f>
        <v/>
      </c>
      <c r="K16" s="40">
        <f>'Set'!$F$12</f>
        <v/>
      </c>
      <c r="L16" s="40">
        <f>'Out'!$F$12</f>
        <v/>
      </c>
      <c r="M16" s="40">
        <f>'Nov'!$F$12</f>
        <v/>
      </c>
      <c r="N16" s="40">
        <f>'Dez'!$F$12</f>
        <v/>
      </c>
      <c r="O16" s="38">
        <f>SUM($C16:$N16)</f>
        <v/>
      </c>
    </row>
    <row r="17" ht="20" customHeight="1">
      <c r="B17" s="39" t="inlineStr">
        <is>
          <t>Carteira a produzir</t>
        </is>
      </c>
      <c r="C17" s="40">
        <f>'Jan'!$G$12</f>
        <v/>
      </c>
      <c r="D17" s="40">
        <f>'Fev'!$G$12</f>
        <v/>
      </c>
      <c r="E17" s="40">
        <f>'Mar'!$G$12</f>
        <v/>
      </c>
      <c r="F17" s="40">
        <f>'Abr'!$G$12</f>
        <v/>
      </c>
      <c r="G17" s="40">
        <f>'Mai'!$G$12</f>
        <v/>
      </c>
      <c r="H17" s="40">
        <f>'Jun'!$G$12</f>
        <v/>
      </c>
      <c r="I17" s="40">
        <f>'Jul'!$G$12</f>
        <v/>
      </c>
      <c r="J17" s="40">
        <f>'Ago'!$G$12</f>
        <v/>
      </c>
      <c r="K17" s="40">
        <f>'Set'!$G$12</f>
        <v/>
      </c>
      <c r="L17" s="40">
        <f>'Out'!$G$12</f>
        <v/>
      </c>
      <c r="M17" s="40">
        <f>'Nov'!$G$12</f>
        <v/>
      </c>
      <c r="N17" s="40">
        <f>'Dez'!$G$12</f>
        <v/>
      </c>
      <c r="O17" s="38">
        <f>$N17</f>
        <v/>
      </c>
    </row>
    <row r="19">
      <c r="B19" s="43" t="inlineStr">
        <is>
          <t>Material em estoque e carteira a produzir são posições acumuladas — mostram onde a empresa está no fim de cada mês, não quanto passou no mês. Por isso a coluna Ano repete o valor de dezembro em vez de somar. "Material sobre o fabricado" no ano é o total aplicado dividido pelo total fabricado, e não a média dos doze meses, que daria o mesmo peso a um mês de R$ 20 mil e a outro de R$ 200 mil.</t>
        </is>
      </c>
    </row>
    <row r="20"/>
  </sheetData>
  <mergeCells count="3">
    <mergeCell ref="A1:O1"/>
    <mergeCell ref="A2:O2"/>
    <mergeCell ref="B19:O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C7785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4" customWidth="1" min="4" max="4"/>
  </cols>
  <sheetData>
    <row r="1" ht="26" customHeight="1">
      <c r="A1" s="1" t="inlineStr">
        <is>
          <t>VALVIC MARCENARIA   ·   LISTAS</t>
        </is>
      </c>
    </row>
    <row r="2" ht="18" customHeight="1">
      <c r="A2" s="2" t="inlineStr">
        <is>
          <t>A coluna Meses alimenta o cálculo do nº do mês (não apague nem reordene). As demais documentam os menus suspensos.</t>
        </is>
      </c>
    </row>
    <row r="3" ht="20" customHeight="1">
      <c r="A3" s="44" t="inlineStr">
        <is>
          <t>Meses</t>
        </is>
      </c>
      <c r="B3" s="44" t="inlineStr">
        <is>
          <t>Status</t>
        </is>
      </c>
      <c r="C3" s="44" t="inlineStr">
        <is>
          <t>Origem</t>
        </is>
      </c>
      <c r="D3" s="44" t="inlineStr">
        <is>
          <t>Categorias</t>
        </is>
      </c>
    </row>
    <row r="4">
      <c r="A4" s="45" t="inlineStr">
        <is>
          <t>Jan</t>
        </is>
      </c>
      <c r="B4" s="46" t="inlineStr">
        <is>
          <t>Vendido</t>
        </is>
      </c>
      <c r="C4" s="46" t="inlineStr">
        <is>
          <t>Jonathan</t>
        </is>
      </c>
      <c r="D4" s="46" t="inlineStr">
        <is>
          <t>Chapa</t>
        </is>
      </c>
    </row>
    <row r="5">
      <c r="A5" s="45" t="inlineStr">
        <is>
          <t>Fev</t>
        </is>
      </c>
      <c r="B5" s="46" t="inlineStr">
        <is>
          <t>Em produção</t>
        </is>
      </c>
      <c r="C5" s="46" t="inlineStr">
        <is>
          <t>Paulo</t>
        </is>
      </c>
      <c r="D5" s="46" t="inlineStr">
        <is>
          <t>Fita de borda</t>
        </is>
      </c>
    </row>
    <row r="6">
      <c r="A6" s="45" t="inlineStr">
        <is>
          <t>Mar</t>
        </is>
      </c>
      <c r="B6" s="46" t="inlineStr">
        <is>
          <t>Em montagem</t>
        </is>
      </c>
      <c r="C6" s="46" t="inlineStr">
        <is>
          <t>Parceria</t>
        </is>
      </c>
      <c r="D6" s="46" t="inlineStr">
        <is>
          <t>Ferragem</t>
        </is>
      </c>
    </row>
    <row r="7">
      <c r="A7" s="45" t="inlineStr">
        <is>
          <t>Abr</t>
        </is>
      </c>
      <c r="B7" s="46" t="inlineStr">
        <is>
          <t>Entregue</t>
        </is>
      </c>
      <c r="C7" s="46" t="inlineStr">
        <is>
          <t>Indicação</t>
        </is>
      </c>
      <c r="D7" s="46" t="inlineStr">
        <is>
          <t>Iluminação</t>
        </is>
      </c>
    </row>
    <row r="8">
      <c r="A8" s="45" t="inlineStr">
        <is>
          <t>Mai</t>
        </is>
      </c>
      <c r="B8" s="46" t="inlineStr">
        <is>
          <t>Pausado</t>
        </is>
      </c>
      <c r="C8" s="46" t="inlineStr">
        <is>
          <t>Instagram</t>
        </is>
      </c>
      <c r="D8" s="46" t="inlineStr">
        <is>
          <t>Vidro e espelho</t>
        </is>
      </c>
    </row>
    <row r="9">
      <c r="A9" s="45" t="inlineStr">
        <is>
          <t>Jun</t>
        </is>
      </c>
      <c r="B9" s="46" t="inlineStr">
        <is>
          <t>Cancelado</t>
        </is>
      </c>
      <c r="C9" s="46" t="inlineStr">
        <is>
          <t>Outro</t>
        </is>
      </c>
      <c r="D9" s="46" t="inlineStr">
        <is>
          <t>Serralheria</t>
        </is>
      </c>
    </row>
    <row r="10">
      <c r="A10" s="45" t="inlineStr">
        <is>
          <t>Jul</t>
        </is>
      </c>
      <c r="D10" s="46" t="inlineStr">
        <is>
          <t>Marmoraria</t>
        </is>
      </c>
    </row>
    <row r="11">
      <c r="A11" s="45" t="inlineStr">
        <is>
          <t>Ago</t>
        </is>
      </c>
      <c r="D11" s="46" t="inlineStr">
        <is>
          <t>Eletro</t>
        </is>
      </c>
    </row>
    <row r="12">
      <c r="A12" s="45" t="inlineStr">
        <is>
          <t>Set</t>
        </is>
      </c>
      <c r="D12" s="46" t="inlineStr">
        <is>
          <t>Insumo de fábrica</t>
        </is>
      </c>
    </row>
    <row r="13">
      <c r="A13" s="45" t="inlineStr">
        <is>
          <t>Out</t>
        </is>
      </c>
      <c r="D13" s="46" t="inlineStr">
        <is>
          <t>Terceirizado</t>
        </is>
      </c>
    </row>
    <row r="14">
      <c r="A14" s="45" t="inlineStr">
        <is>
          <t>Nov</t>
        </is>
      </c>
      <c r="D14" s="46" t="inlineStr">
        <is>
          <t>Frete</t>
        </is>
      </c>
    </row>
    <row r="15">
      <c r="A15" s="45" t="inlineStr">
        <is>
          <t>Dez</t>
        </is>
      </c>
      <c r="D15" s="46" t="inlineStr">
        <is>
          <t>Outros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2026-09-07T12:17:46Z</dcterms:created>
  <dcterms:modified xsi:type="dcterms:W3CDTF">2026-09-07T12:17:46Z</dcterms:modified>
</cp:coreProperties>
</file>