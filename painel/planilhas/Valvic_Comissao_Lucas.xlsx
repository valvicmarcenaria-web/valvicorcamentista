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ões" sheetId="1" state="visible" r:id="rId1"/>
    <sheet name="Painel" sheetId="2" state="visible" r:id="rId2"/>
    <sheet name="Como funciona" sheetId="3" state="visible" r:id="rId3"/>
  </sheets>
  <definedNames>
    <definedName name="_xlnm._FilterDatabase" localSheetId="0" hidden="1">'Comissões'!$A$3:$Q$123</definedName>
    <definedName name="_xlnm.Print_Titles" localSheetId="0">'Comissões'!$1:$3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%"/>
    <numFmt numFmtId="166" formatCode="DD/MM/YYYY"/>
  </numFmts>
  <fonts count="17">
    <font>
      <name val="Calibri"/>
      <family val="2"/>
      <color theme="1"/>
      <sz val="11"/>
      <scheme val="minor"/>
    </font>
    <font>
      <name val="Calibri"/>
      <b val="1"/>
      <color rgb="00D8BD80"/>
      <sz val="14"/>
    </font>
    <font>
      <name val="Calibri"/>
      <i val="1"/>
      <color rgb="0016314F"/>
      <sz val="9.5"/>
    </font>
    <font>
      <name val="Calibri"/>
      <b val="1"/>
      <color rgb="00D8BD80"/>
      <sz val="9.5"/>
    </font>
    <font>
      <name val="Calibri"/>
      <b val="1"/>
      <color rgb="000E2038"/>
      <sz val="9.5"/>
    </font>
    <font>
      <name val="Calibri"/>
      <color rgb="001B2733"/>
      <sz val="10"/>
    </font>
    <font>
      <name val="Calibri"/>
      <i val="1"/>
      <color rgb="0016314F"/>
      <sz val="10"/>
    </font>
    <font>
      <name val="Calibri"/>
      <b val="1"/>
      <color rgb="00B0413F"/>
      <sz val="9.5"/>
    </font>
    <font>
      <name val="Calibri"/>
      <b val="1"/>
      <color rgb="0016314F"/>
      <sz val="10"/>
    </font>
    <font>
      <name val="Calibri"/>
      <b val="1"/>
      <color rgb="006C7785"/>
      <sz val="9"/>
    </font>
    <font>
      <name val="Calibri"/>
      <b val="1"/>
      <color rgb="000E2038"/>
      <sz val="15"/>
    </font>
    <font>
      <name val="Calibri"/>
      <b val="1"/>
      <color rgb="002F7D4F"/>
      <sz val="15"/>
    </font>
    <font>
      <name val="Calibri"/>
      <b val="1"/>
      <color rgb="00A8700F"/>
      <sz val="15"/>
    </font>
    <font>
      <name val="Calibri"/>
      <color rgb="0016314F"/>
      <sz val="10"/>
    </font>
    <font>
      <name val="Calibri"/>
      <b val="1"/>
      <color rgb="00D8BD80"/>
      <sz val="10"/>
    </font>
    <font>
      <name val="Calibri"/>
      <b val="1"/>
      <color rgb="000E2038"/>
      <sz val="11"/>
    </font>
    <font>
      <name val="Calibri"/>
      <color rgb="001B2733"/>
      <sz val="10.5"/>
    </font>
  </fonts>
  <fills count="9">
    <fill>
      <patternFill/>
    </fill>
    <fill>
      <patternFill patternType="gray125"/>
    </fill>
    <fill>
      <patternFill patternType="solid">
        <fgColor rgb="000E2038"/>
      </patternFill>
    </fill>
    <fill>
      <patternFill patternType="solid">
        <fgColor rgb="00F6EDD6"/>
      </patternFill>
    </fill>
    <fill>
      <patternFill patternType="solid">
        <fgColor rgb="00C2A05A"/>
      </patternFill>
    </fill>
    <fill>
      <patternFill patternType="solid">
        <fgColor rgb="0016314F"/>
      </patternFill>
    </fill>
    <fill>
      <patternFill patternType="solid">
        <fgColor rgb="00FFFFFF"/>
      </patternFill>
    </fill>
    <fill>
      <patternFill patternType="solid">
        <fgColor rgb="00EAF1F8"/>
      </patternFill>
    </fill>
    <fill>
      <patternFill patternType="solid">
        <fgColor rgb="00F7F5EF"/>
      </patternFill>
    </fill>
  </fills>
  <borders count="2">
    <border>
      <left/>
      <right/>
      <top/>
      <bottom/>
      <diagonal/>
    </border>
    <border>
      <left style="thin">
        <color rgb="00D6DBE2"/>
      </left>
      <right style="thin">
        <color rgb="00D6DBE2"/>
      </right>
      <top style="thin">
        <color rgb="00D6DBE2"/>
      </top>
      <bottom style="thin">
        <color rgb="00D6DBE2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pivotButton="0" quotePrefix="0" xfId="0"/>
    <xf numFmtId="164" fontId="5" fillId="6" borderId="1" pivotButton="0" quotePrefix="0" xfId="0"/>
    <xf numFmtId="164" fontId="5" fillId="3" borderId="1" pivotButton="0" quotePrefix="0" xfId="0"/>
    <xf numFmtId="164" fontId="6" fillId="7" borderId="1" pivotButton="0" quotePrefix="0" xfId="0"/>
    <xf numFmtId="165" fontId="5" fillId="6" borderId="1" pivotButton="0" quotePrefix="0" xfId="0"/>
    <xf numFmtId="166" fontId="5" fillId="6" borderId="1" pivotButton="0" quotePrefix="0" xfId="0"/>
    <xf numFmtId="0" fontId="7" fillId="7" borderId="1" pivotButton="0" quotePrefix="0" xfId="0"/>
    <xf numFmtId="0" fontId="5" fillId="8" borderId="1" pivotButton="0" quotePrefix="0" xfId="0"/>
    <xf numFmtId="164" fontId="5" fillId="8" borderId="1" pivotButton="0" quotePrefix="0" xfId="0"/>
    <xf numFmtId="165" fontId="5" fillId="8" borderId="1" pivotButton="0" quotePrefix="0" xfId="0"/>
    <xf numFmtId="166" fontId="5" fillId="8" borderId="1" pivotButton="0" quotePrefix="0" xfId="0"/>
    <xf numFmtId="0" fontId="8" fillId="3" borderId="0" applyAlignment="1" pivotButton="0" quotePrefix="0" xfId="0">
      <alignment horizontal="left" vertical="center" indent="1"/>
    </xf>
    <xf numFmtId="0" fontId="9" fillId="0" borderId="0" pivotButton="0" quotePrefix="0" xfId="0"/>
    <xf numFmtId="1" fontId="10" fillId="0" borderId="0" applyAlignment="1" pivotButton="0" quotePrefix="0" xfId="0">
      <alignment horizontal="left" vertical="center"/>
    </xf>
    <xf numFmtId="164" fontId="10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left" vertical="center"/>
    </xf>
    <xf numFmtId="164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8" fillId="6" borderId="1" pivotButton="0" quotePrefix="0" xfId="0"/>
    <xf numFmtId="0" fontId="13" fillId="6" borderId="1" applyAlignment="1" pivotButton="0" quotePrefix="0" xfId="0">
      <alignment horizontal="center"/>
    </xf>
    <xf numFmtId="164" fontId="13" fillId="6" borderId="1" pivotButton="0" quotePrefix="0" xfId="0"/>
    <xf numFmtId="0" fontId="8" fillId="8" borderId="1" pivotButton="0" quotePrefix="0" xfId="0"/>
    <xf numFmtId="0" fontId="13" fillId="8" borderId="1" applyAlignment="1" pivotButton="0" quotePrefix="0" xfId="0">
      <alignment horizontal="center"/>
    </xf>
    <xf numFmtId="164" fontId="13" fillId="8" borderId="1" pivotButton="0" quotePrefix="0" xfId="0"/>
    <xf numFmtId="0" fontId="14" fillId="2" borderId="1" pivotButton="0" quotePrefix="0" xfId="0"/>
    <xf numFmtId="1" fontId="14" fillId="2" borderId="1" applyAlignment="1" pivotButton="0" quotePrefix="0" xfId="0">
      <alignment horizontal="center"/>
    </xf>
    <xf numFmtId="164" fontId="14" fillId="2" borderId="1" pivotButton="0" quotePrefix="0" xfId="0"/>
    <xf numFmtId="0" fontId="15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2F7D4F"/>
      </font>
      <fill>
        <patternFill patternType="solid">
          <fgColor rgb="00E6F0E9"/>
        </patternFill>
      </fill>
    </dxf>
    <dxf>
      <font>
        <b val="1"/>
        <color rgb="00A8700F"/>
      </font>
      <fill>
        <patternFill patternType="solid">
          <fgColor rgb="00FAEFDC"/>
        </patternFill>
      </fill>
    </dxf>
    <dxf>
      <font>
        <b val="1"/>
        <color rgb="002F5D8C"/>
      </font>
    </dxf>
    <dxf>
      <fill>
        <patternFill patternType="solid">
          <fgColor rgb="00FBE3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2A05A"/>
    <outlinePr summaryBelow="1" summaryRight="1"/>
    <pageSetUpPr fitToPage="1"/>
  </sheetPr>
  <dimension ref="A1:Q12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16" customWidth="1" min="4" max="4"/>
    <col width="13" customWidth="1" min="5" max="5"/>
    <col width="14" customWidth="1" min="6" max="6"/>
    <col width="13" customWidth="1" min="7" max="7"/>
    <col width="15" customWidth="1" min="8" max="8"/>
    <col width="13" customWidth="1" min="9" max="9"/>
    <col width="15" customWidth="1" min="10" max="10"/>
    <col width="16" customWidth="1" min="11" max="11"/>
    <col width="7" customWidth="1" min="12" max="12"/>
    <col width="17" customWidth="1" min="13" max="13"/>
    <col width="13" customWidth="1" min="14" max="14"/>
    <col width="13" customWidth="1" min="15" max="15"/>
    <col width="16" customWidth="1" min="16" max="16"/>
    <col width="26" customWidth="1" min="17" max="17"/>
  </cols>
  <sheetData>
    <row r="1" ht="28" customHeight="1">
      <c r="A1" s="1" t="inlineStr">
        <is>
          <t>VALVIC MARCENARIA   ·   COMISSÕES   ·   LUCAS</t>
        </is>
      </c>
    </row>
    <row r="2" ht="19" customHeight="1">
      <c r="A2" s="2" t="inlineStr">
        <is>
          <t>A comissão incide sobre o valor líquido — o contrato menos os custos de venda. Preencha as colunas claras; as azuis se calculam sozinhas.</t>
        </is>
      </c>
    </row>
    <row r="3" ht="32" customHeight="1">
      <c r="A3" s="3" t="inlineStr">
        <is>
          <t>Mês</t>
        </is>
      </c>
      <c r="B3" s="3" t="inlineStr">
        <is>
          <t>Cliente</t>
        </is>
      </c>
      <c r="C3" s="3" t="inlineStr">
        <is>
          <t>Ambiente / projeto</t>
        </is>
      </c>
      <c r="D3" s="3" t="inlineStr">
        <is>
          <t>Valor do contrato</t>
        </is>
      </c>
      <c r="E3" s="3" t="inlineStr">
        <is>
          <t>RT</t>
        </is>
      </c>
      <c r="F3" s="3" t="inlineStr">
        <is>
          <t>Taxa de máquina</t>
        </is>
      </c>
      <c r="G3" s="3" t="inlineStr">
        <is>
          <t>Nota fiscal</t>
        </is>
      </c>
      <c r="H3" s="4" t="inlineStr">
        <is>
          <t>Comissão do vendedor</t>
        </is>
      </c>
      <c r="I3" s="3" t="inlineStr">
        <is>
          <t>Outros custos</t>
        </is>
      </c>
      <c r="J3" s="5" t="inlineStr">
        <is>
          <t>Total de custos</t>
        </is>
      </c>
      <c r="K3" s="5" t="inlineStr">
        <is>
          <t>Valor líquido</t>
        </is>
      </c>
      <c r="L3" s="3" t="inlineStr">
        <is>
          <t>%</t>
        </is>
      </c>
      <c r="M3" s="5" t="inlineStr">
        <is>
          <t>Comissão a receber</t>
        </is>
      </c>
      <c r="N3" s="3" t="inlineStr">
        <is>
          <t>Status</t>
        </is>
      </c>
      <c r="O3" s="3" t="inlineStr">
        <is>
          <t>Pagamento em</t>
        </is>
      </c>
      <c r="P3" s="3" t="inlineStr">
        <is>
          <t>Referência</t>
        </is>
      </c>
      <c r="Q3" s="5" t="inlineStr">
        <is>
          <t>Conferir</t>
        </is>
      </c>
    </row>
    <row r="4">
      <c r="A4" s="6" t="n"/>
      <c r="B4" s="6" t="n"/>
      <c r="C4" s="6" t="n"/>
      <c r="D4" s="7" t="n"/>
      <c r="E4" s="7" t="n"/>
      <c r="F4" s="7" t="n"/>
      <c r="G4" s="7" t="n"/>
      <c r="H4" s="8" t="n"/>
      <c r="I4" s="7" t="n"/>
      <c r="J4" s="9">
        <f>IF($D4="","",SUM($E4:$I4))</f>
        <v/>
      </c>
      <c r="K4" s="9">
        <f>IF($D4="","",$D4-$J4)</f>
        <v/>
      </c>
      <c r="L4" s="10">
        <f>IF($D4="","",0.01)</f>
        <v/>
      </c>
      <c r="M4" s="9">
        <f>IF($D4="","",ROUND($K4*$L4,2))</f>
        <v/>
      </c>
      <c r="N4" s="6" t="n"/>
      <c r="O4" s="11" t="n"/>
      <c r="P4" s="6" t="n"/>
      <c r="Q4" s="12">
        <f>IF($D4="","",IF($J4&gt;$D4,"custos maiores que o contrato",IF(AND($N4="Pago",$O4=""),"marcado como pago, sem a data",IF($A4="","falta o mês",""))))</f>
        <v/>
      </c>
    </row>
    <row r="5">
      <c r="A5" s="13" t="n"/>
      <c r="B5" s="13" t="n"/>
      <c r="C5" s="13" t="n"/>
      <c r="D5" s="14" t="n"/>
      <c r="E5" s="14" t="n"/>
      <c r="F5" s="14" t="n"/>
      <c r="G5" s="14" t="n"/>
      <c r="H5" s="8" t="n"/>
      <c r="I5" s="14" t="n"/>
      <c r="J5" s="9">
        <f>IF($D5="","",SUM($E5:$I5))</f>
        <v/>
      </c>
      <c r="K5" s="9">
        <f>IF($D5="","",$D5-$J5)</f>
        <v/>
      </c>
      <c r="L5" s="15">
        <f>IF($D5="","",0.01)</f>
        <v/>
      </c>
      <c r="M5" s="9">
        <f>IF($D5="","",ROUND($K5*$L5,2))</f>
        <v/>
      </c>
      <c r="N5" s="13" t="n"/>
      <c r="O5" s="16" t="n"/>
      <c r="P5" s="13" t="n"/>
      <c r="Q5" s="12">
        <f>IF($D5="","",IF($J5&gt;$D5,"custos maiores que o contrato",IF(AND($N5="Pago",$O5=""),"marcado como pago, sem a data",IF($A5="","falta o mês",""))))</f>
        <v/>
      </c>
    </row>
    <row r="6">
      <c r="A6" s="6" t="n"/>
      <c r="B6" s="6" t="n"/>
      <c r="C6" s="6" t="n"/>
      <c r="D6" s="7" t="n"/>
      <c r="E6" s="7" t="n"/>
      <c r="F6" s="7" t="n"/>
      <c r="G6" s="7" t="n"/>
      <c r="H6" s="8" t="n"/>
      <c r="I6" s="7" t="n"/>
      <c r="J6" s="9">
        <f>IF($D6="","",SUM($E6:$I6))</f>
        <v/>
      </c>
      <c r="K6" s="9">
        <f>IF($D6="","",$D6-$J6)</f>
        <v/>
      </c>
      <c r="L6" s="10">
        <f>IF($D6="","",0.01)</f>
        <v/>
      </c>
      <c r="M6" s="9">
        <f>IF($D6="","",ROUND($K6*$L6,2))</f>
        <v/>
      </c>
      <c r="N6" s="6" t="n"/>
      <c r="O6" s="11" t="n"/>
      <c r="P6" s="6" t="n"/>
      <c r="Q6" s="12">
        <f>IF($D6="","",IF($J6&gt;$D6,"custos maiores que o contrato",IF(AND($N6="Pago",$O6=""),"marcado como pago, sem a data",IF($A6="","falta o mês",""))))</f>
        <v/>
      </c>
    </row>
    <row r="7">
      <c r="A7" s="13" t="n"/>
      <c r="B7" s="13" t="n"/>
      <c r="C7" s="13" t="n"/>
      <c r="D7" s="14" t="n"/>
      <c r="E7" s="14" t="n"/>
      <c r="F7" s="14" t="n"/>
      <c r="G7" s="14" t="n"/>
      <c r="H7" s="8" t="n"/>
      <c r="I7" s="14" t="n"/>
      <c r="J7" s="9">
        <f>IF($D7="","",SUM($E7:$I7))</f>
        <v/>
      </c>
      <c r="K7" s="9">
        <f>IF($D7="","",$D7-$J7)</f>
        <v/>
      </c>
      <c r="L7" s="15">
        <f>IF($D7="","",0.01)</f>
        <v/>
      </c>
      <c r="M7" s="9">
        <f>IF($D7="","",ROUND($K7*$L7,2))</f>
        <v/>
      </c>
      <c r="N7" s="13" t="n"/>
      <c r="O7" s="16" t="n"/>
      <c r="P7" s="13" t="n"/>
      <c r="Q7" s="12">
        <f>IF($D7="","",IF($J7&gt;$D7,"custos maiores que o contrato",IF(AND($N7="Pago",$O7=""),"marcado como pago, sem a data",IF($A7="","falta o mês",""))))</f>
        <v/>
      </c>
    </row>
    <row r="8">
      <c r="A8" s="6" t="n"/>
      <c r="B8" s="6" t="n"/>
      <c r="C8" s="6" t="n"/>
      <c r="D8" s="7" t="n"/>
      <c r="E8" s="7" t="n"/>
      <c r="F8" s="7" t="n"/>
      <c r="G8" s="7" t="n"/>
      <c r="H8" s="8" t="n"/>
      <c r="I8" s="7" t="n"/>
      <c r="J8" s="9">
        <f>IF($D8="","",SUM($E8:$I8))</f>
        <v/>
      </c>
      <c r="K8" s="9">
        <f>IF($D8="","",$D8-$J8)</f>
        <v/>
      </c>
      <c r="L8" s="10">
        <f>IF($D8="","",0.01)</f>
        <v/>
      </c>
      <c r="M8" s="9">
        <f>IF($D8="","",ROUND($K8*$L8,2))</f>
        <v/>
      </c>
      <c r="N8" s="6" t="n"/>
      <c r="O8" s="11" t="n"/>
      <c r="P8" s="6" t="n"/>
      <c r="Q8" s="12">
        <f>IF($D8="","",IF($J8&gt;$D8,"custos maiores que o contrato",IF(AND($N8="Pago",$O8=""),"marcado como pago, sem a data",IF($A8="","falta o mês",""))))</f>
        <v/>
      </c>
    </row>
    <row r="9">
      <c r="A9" s="13" t="n"/>
      <c r="B9" s="13" t="n"/>
      <c r="C9" s="13" t="n"/>
      <c r="D9" s="14" t="n"/>
      <c r="E9" s="14" t="n"/>
      <c r="F9" s="14" t="n"/>
      <c r="G9" s="14" t="n"/>
      <c r="H9" s="8" t="n"/>
      <c r="I9" s="14" t="n"/>
      <c r="J9" s="9">
        <f>IF($D9="","",SUM($E9:$I9))</f>
        <v/>
      </c>
      <c r="K9" s="9">
        <f>IF($D9="","",$D9-$J9)</f>
        <v/>
      </c>
      <c r="L9" s="15">
        <f>IF($D9="","",0.01)</f>
        <v/>
      </c>
      <c r="M9" s="9">
        <f>IF($D9="","",ROUND($K9*$L9,2))</f>
        <v/>
      </c>
      <c r="N9" s="13" t="n"/>
      <c r="O9" s="16" t="n"/>
      <c r="P9" s="13" t="n"/>
      <c r="Q9" s="12">
        <f>IF($D9="","",IF($J9&gt;$D9,"custos maiores que o contrato",IF(AND($N9="Pago",$O9=""),"marcado como pago, sem a data",IF($A9="","falta o mês",""))))</f>
        <v/>
      </c>
    </row>
    <row r="10">
      <c r="A10" s="6" t="n"/>
      <c r="B10" s="6" t="n"/>
      <c r="C10" s="6" t="n"/>
      <c r="D10" s="7" t="n"/>
      <c r="E10" s="7" t="n"/>
      <c r="F10" s="7" t="n"/>
      <c r="G10" s="7" t="n"/>
      <c r="H10" s="8" t="n"/>
      <c r="I10" s="7" t="n"/>
      <c r="J10" s="9">
        <f>IF($D10="","",SUM($E10:$I10))</f>
        <v/>
      </c>
      <c r="K10" s="9">
        <f>IF($D10="","",$D10-$J10)</f>
        <v/>
      </c>
      <c r="L10" s="10">
        <f>IF($D10="","",0.01)</f>
        <v/>
      </c>
      <c r="M10" s="9">
        <f>IF($D10="","",ROUND($K10*$L10,2))</f>
        <v/>
      </c>
      <c r="N10" s="6" t="n"/>
      <c r="O10" s="11" t="n"/>
      <c r="P10" s="6" t="n"/>
      <c r="Q10" s="12">
        <f>IF($D10="","",IF($J10&gt;$D10,"custos maiores que o contrato",IF(AND($N10="Pago",$O10=""),"marcado como pago, sem a data",IF($A10="","falta o mês",""))))</f>
        <v/>
      </c>
    </row>
    <row r="11">
      <c r="A11" s="13" t="n"/>
      <c r="B11" s="13" t="n"/>
      <c r="C11" s="13" t="n"/>
      <c r="D11" s="14" t="n"/>
      <c r="E11" s="14" t="n"/>
      <c r="F11" s="14" t="n"/>
      <c r="G11" s="14" t="n"/>
      <c r="H11" s="8" t="n"/>
      <c r="I11" s="14" t="n"/>
      <c r="J11" s="9">
        <f>IF($D11="","",SUM($E11:$I11))</f>
        <v/>
      </c>
      <c r="K11" s="9">
        <f>IF($D11="","",$D11-$J11)</f>
        <v/>
      </c>
      <c r="L11" s="15">
        <f>IF($D11="","",0.01)</f>
        <v/>
      </c>
      <c r="M11" s="9">
        <f>IF($D11="","",ROUND($K11*$L11,2))</f>
        <v/>
      </c>
      <c r="N11" s="13" t="n"/>
      <c r="O11" s="16" t="n"/>
      <c r="P11" s="13" t="n"/>
      <c r="Q11" s="12">
        <f>IF($D11="","",IF($J11&gt;$D11,"custos maiores que o contrato",IF(AND($N11="Pago",$O11=""),"marcado como pago, sem a data",IF($A11="","falta o mês",""))))</f>
        <v/>
      </c>
    </row>
    <row r="12">
      <c r="A12" s="6" t="n"/>
      <c r="B12" s="6" t="n"/>
      <c r="C12" s="6" t="n"/>
      <c r="D12" s="7" t="n"/>
      <c r="E12" s="7" t="n"/>
      <c r="F12" s="7" t="n"/>
      <c r="G12" s="7" t="n"/>
      <c r="H12" s="8" t="n"/>
      <c r="I12" s="7" t="n"/>
      <c r="J12" s="9">
        <f>IF($D12="","",SUM($E12:$I12))</f>
        <v/>
      </c>
      <c r="K12" s="9">
        <f>IF($D12="","",$D12-$J12)</f>
        <v/>
      </c>
      <c r="L12" s="10">
        <f>IF($D12="","",0.01)</f>
        <v/>
      </c>
      <c r="M12" s="9">
        <f>IF($D12="","",ROUND($K12*$L12,2))</f>
        <v/>
      </c>
      <c r="N12" s="6" t="n"/>
      <c r="O12" s="11" t="n"/>
      <c r="P12" s="6" t="n"/>
      <c r="Q12" s="12">
        <f>IF($D12="","",IF($J12&gt;$D12,"custos maiores que o contrato",IF(AND($N12="Pago",$O12=""),"marcado como pago, sem a data",IF($A12="","falta o mês",""))))</f>
        <v/>
      </c>
    </row>
    <row r="13">
      <c r="A13" s="13" t="n"/>
      <c r="B13" s="13" t="n"/>
      <c r="C13" s="13" t="n"/>
      <c r="D13" s="14" t="n"/>
      <c r="E13" s="14" t="n"/>
      <c r="F13" s="14" t="n"/>
      <c r="G13" s="14" t="n"/>
      <c r="H13" s="8" t="n"/>
      <c r="I13" s="14" t="n"/>
      <c r="J13" s="9">
        <f>IF($D13="","",SUM($E13:$I13))</f>
        <v/>
      </c>
      <c r="K13" s="9">
        <f>IF($D13="","",$D13-$J13)</f>
        <v/>
      </c>
      <c r="L13" s="15">
        <f>IF($D13="","",0.01)</f>
        <v/>
      </c>
      <c r="M13" s="9">
        <f>IF($D13="","",ROUND($K13*$L13,2))</f>
        <v/>
      </c>
      <c r="N13" s="13" t="n"/>
      <c r="O13" s="16" t="n"/>
      <c r="P13" s="13" t="n"/>
      <c r="Q13" s="12">
        <f>IF($D13="","",IF($J13&gt;$D13,"custos maiores que o contrato",IF(AND($N13="Pago",$O13=""),"marcado como pago, sem a data",IF($A13="","falta o mês",""))))</f>
        <v/>
      </c>
    </row>
    <row r="14">
      <c r="A14" s="6" t="n"/>
      <c r="B14" s="6" t="n"/>
      <c r="C14" s="6" t="n"/>
      <c r="D14" s="7" t="n"/>
      <c r="E14" s="7" t="n"/>
      <c r="F14" s="7" t="n"/>
      <c r="G14" s="7" t="n"/>
      <c r="H14" s="8" t="n"/>
      <c r="I14" s="7" t="n"/>
      <c r="J14" s="9">
        <f>IF($D14="","",SUM($E14:$I14))</f>
        <v/>
      </c>
      <c r="K14" s="9">
        <f>IF($D14="","",$D14-$J14)</f>
        <v/>
      </c>
      <c r="L14" s="10">
        <f>IF($D14="","",0.01)</f>
        <v/>
      </c>
      <c r="M14" s="9">
        <f>IF($D14="","",ROUND($K14*$L14,2))</f>
        <v/>
      </c>
      <c r="N14" s="6" t="n"/>
      <c r="O14" s="11" t="n"/>
      <c r="P14" s="6" t="n"/>
      <c r="Q14" s="12">
        <f>IF($D14="","",IF($J14&gt;$D14,"custos maiores que o contrato",IF(AND($N14="Pago",$O14=""),"marcado como pago, sem a data",IF($A14="","falta o mês",""))))</f>
        <v/>
      </c>
    </row>
    <row r="15">
      <c r="A15" s="13" t="n"/>
      <c r="B15" s="13" t="n"/>
      <c r="C15" s="13" t="n"/>
      <c r="D15" s="14" t="n"/>
      <c r="E15" s="14" t="n"/>
      <c r="F15" s="14" t="n"/>
      <c r="G15" s="14" t="n"/>
      <c r="H15" s="8" t="n"/>
      <c r="I15" s="14" t="n"/>
      <c r="J15" s="9">
        <f>IF($D15="","",SUM($E15:$I15))</f>
        <v/>
      </c>
      <c r="K15" s="9">
        <f>IF($D15="","",$D15-$J15)</f>
        <v/>
      </c>
      <c r="L15" s="15">
        <f>IF($D15="","",0.01)</f>
        <v/>
      </c>
      <c r="M15" s="9">
        <f>IF($D15="","",ROUND($K15*$L15,2))</f>
        <v/>
      </c>
      <c r="N15" s="13" t="n"/>
      <c r="O15" s="16" t="n"/>
      <c r="P15" s="13" t="n"/>
      <c r="Q15" s="12">
        <f>IF($D15="","",IF($J15&gt;$D15,"custos maiores que o contrato",IF(AND($N15="Pago",$O15=""),"marcado como pago, sem a data",IF($A15="","falta o mês",""))))</f>
        <v/>
      </c>
    </row>
    <row r="16">
      <c r="A16" s="6" t="n"/>
      <c r="B16" s="6" t="n"/>
      <c r="C16" s="6" t="n"/>
      <c r="D16" s="7" t="n"/>
      <c r="E16" s="7" t="n"/>
      <c r="F16" s="7" t="n"/>
      <c r="G16" s="7" t="n"/>
      <c r="H16" s="8" t="n"/>
      <c r="I16" s="7" t="n"/>
      <c r="J16" s="9">
        <f>IF($D16="","",SUM($E16:$I16))</f>
        <v/>
      </c>
      <c r="K16" s="9">
        <f>IF($D16="","",$D16-$J16)</f>
        <v/>
      </c>
      <c r="L16" s="10">
        <f>IF($D16="","",0.01)</f>
        <v/>
      </c>
      <c r="M16" s="9">
        <f>IF($D16="","",ROUND($K16*$L16,2))</f>
        <v/>
      </c>
      <c r="N16" s="6" t="n"/>
      <c r="O16" s="11" t="n"/>
      <c r="P16" s="6" t="n"/>
      <c r="Q16" s="12">
        <f>IF($D16="","",IF($J16&gt;$D16,"custos maiores que o contrato",IF(AND($N16="Pago",$O16=""),"marcado como pago, sem a data",IF($A16="","falta o mês",""))))</f>
        <v/>
      </c>
    </row>
    <row r="17">
      <c r="A17" s="13" t="n"/>
      <c r="B17" s="13" t="n"/>
      <c r="C17" s="13" t="n"/>
      <c r="D17" s="14" t="n"/>
      <c r="E17" s="14" t="n"/>
      <c r="F17" s="14" t="n"/>
      <c r="G17" s="14" t="n"/>
      <c r="H17" s="8" t="n"/>
      <c r="I17" s="14" t="n"/>
      <c r="J17" s="9">
        <f>IF($D17="","",SUM($E17:$I17))</f>
        <v/>
      </c>
      <c r="K17" s="9">
        <f>IF($D17="","",$D17-$J17)</f>
        <v/>
      </c>
      <c r="L17" s="15">
        <f>IF($D17="","",0.01)</f>
        <v/>
      </c>
      <c r="M17" s="9">
        <f>IF($D17="","",ROUND($K17*$L17,2))</f>
        <v/>
      </c>
      <c r="N17" s="13" t="n"/>
      <c r="O17" s="16" t="n"/>
      <c r="P17" s="13" t="n"/>
      <c r="Q17" s="12">
        <f>IF($D17="","",IF($J17&gt;$D17,"custos maiores que o contrato",IF(AND($N17="Pago",$O17=""),"marcado como pago, sem a data",IF($A17="","falta o mês",""))))</f>
        <v/>
      </c>
    </row>
    <row r="18">
      <c r="A18" s="6" t="n"/>
      <c r="B18" s="6" t="n"/>
      <c r="C18" s="6" t="n"/>
      <c r="D18" s="7" t="n"/>
      <c r="E18" s="7" t="n"/>
      <c r="F18" s="7" t="n"/>
      <c r="G18" s="7" t="n"/>
      <c r="H18" s="8" t="n"/>
      <c r="I18" s="7" t="n"/>
      <c r="J18" s="9">
        <f>IF($D18="","",SUM($E18:$I18))</f>
        <v/>
      </c>
      <c r="K18" s="9">
        <f>IF($D18="","",$D18-$J18)</f>
        <v/>
      </c>
      <c r="L18" s="10">
        <f>IF($D18="","",0.01)</f>
        <v/>
      </c>
      <c r="M18" s="9">
        <f>IF($D18="","",ROUND($K18*$L18,2))</f>
        <v/>
      </c>
      <c r="N18" s="6" t="n"/>
      <c r="O18" s="11" t="n"/>
      <c r="P18" s="6" t="n"/>
      <c r="Q18" s="12">
        <f>IF($D18="","",IF($J18&gt;$D18,"custos maiores que o contrato",IF(AND($N18="Pago",$O18=""),"marcado como pago, sem a data",IF($A18="","falta o mês",""))))</f>
        <v/>
      </c>
    </row>
    <row r="19">
      <c r="A19" s="13" t="n"/>
      <c r="B19" s="13" t="n"/>
      <c r="C19" s="13" t="n"/>
      <c r="D19" s="14" t="n"/>
      <c r="E19" s="14" t="n"/>
      <c r="F19" s="14" t="n"/>
      <c r="G19" s="14" t="n"/>
      <c r="H19" s="8" t="n"/>
      <c r="I19" s="14" t="n"/>
      <c r="J19" s="9">
        <f>IF($D19="","",SUM($E19:$I19))</f>
        <v/>
      </c>
      <c r="K19" s="9">
        <f>IF($D19="","",$D19-$J19)</f>
        <v/>
      </c>
      <c r="L19" s="15">
        <f>IF($D19="","",0.01)</f>
        <v/>
      </c>
      <c r="M19" s="9">
        <f>IF($D19="","",ROUND($K19*$L19,2))</f>
        <v/>
      </c>
      <c r="N19" s="13" t="n"/>
      <c r="O19" s="16" t="n"/>
      <c r="P19" s="13" t="n"/>
      <c r="Q19" s="12">
        <f>IF($D19="","",IF($J19&gt;$D19,"custos maiores que o contrato",IF(AND($N19="Pago",$O19=""),"marcado como pago, sem a data",IF($A19="","falta o mês",""))))</f>
        <v/>
      </c>
    </row>
    <row r="20">
      <c r="A20" s="6" t="n"/>
      <c r="B20" s="6" t="n"/>
      <c r="C20" s="6" t="n"/>
      <c r="D20" s="7" t="n"/>
      <c r="E20" s="7" t="n"/>
      <c r="F20" s="7" t="n"/>
      <c r="G20" s="7" t="n"/>
      <c r="H20" s="8" t="n"/>
      <c r="I20" s="7" t="n"/>
      <c r="J20" s="9">
        <f>IF($D20="","",SUM($E20:$I20))</f>
        <v/>
      </c>
      <c r="K20" s="9">
        <f>IF($D20="","",$D20-$J20)</f>
        <v/>
      </c>
      <c r="L20" s="10">
        <f>IF($D20="","",0.01)</f>
        <v/>
      </c>
      <c r="M20" s="9">
        <f>IF($D20="","",ROUND($K20*$L20,2))</f>
        <v/>
      </c>
      <c r="N20" s="6" t="n"/>
      <c r="O20" s="11" t="n"/>
      <c r="P20" s="6" t="n"/>
      <c r="Q20" s="12">
        <f>IF($D20="","",IF($J20&gt;$D20,"custos maiores que o contrato",IF(AND($N20="Pago",$O20=""),"marcado como pago, sem a data",IF($A20="","falta o mês",""))))</f>
        <v/>
      </c>
    </row>
    <row r="21">
      <c r="A21" s="13" t="n"/>
      <c r="B21" s="13" t="n"/>
      <c r="C21" s="13" t="n"/>
      <c r="D21" s="14" t="n"/>
      <c r="E21" s="14" t="n"/>
      <c r="F21" s="14" t="n"/>
      <c r="G21" s="14" t="n"/>
      <c r="H21" s="8" t="n"/>
      <c r="I21" s="14" t="n"/>
      <c r="J21" s="9">
        <f>IF($D21="","",SUM($E21:$I21))</f>
        <v/>
      </c>
      <c r="K21" s="9">
        <f>IF($D21="","",$D21-$J21)</f>
        <v/>
      </c>
      <c r="L21" s="15">
        <f>IF($D21="","",0.01)</f>
        <v/>
      </c>
      <c r="M21" s="9">
        <f>IF($D21="","",ROUND($K21*$L21,2))</f>
        <v/>
      </c>
      <c r="N21" s="13" t="n"/>
      <c r="O21" s="16" t="n"/>
      <c r="P21" s="13" t="n"/>
      <c r="Q21" s="12">
        <f>IF($D21="","",IF($J21&gt;$D21,"custos maiores que o contrato",IF(AND($N21="Pago",$O21=""),"marcado como pago, sem a data",IF($A21="","falta o mês",""))))</f>
        <v/>
      </c>
    </row>
    <row r="22">
      <c r="A22" s="6" t="n"/>
      <c r="B22" s="6" t="n"/>
      <c r="C22" s="6" t="n"/>
      <c r="D22" s="7" t="n"/>
      <c r="E22" s="7" t="n"/>
      <c r="F22" s="7" t="n"/>
      <c r="G22" s="7" t="n"/>
      <c r="H22" s="8" t="n"/>
      <c r="I22" s="7" t="n"/>
      <c r="J22" s="9">
        <f>IF($D22="","",SUM($E22:$I22))</f>
        <v/>
      </c>
      <c r="K22" s="9">
        <f>IF($D22="","",$D22-$J22)</f>
        <v/>
      </c>
      <c r="L22" s="10">
        <f>IF($D22="","",0.01)</f>
        <v/>
      </c>
      <c r="M22" s="9">
        <f>IF($D22="","",ROUND($K22*$L22,2))</f>
        <v/>
      </c>
      <c r="N22" s="6" t="n"/>
      <c r="O22" s="11" t="n"/>
      <c r="P22" s="6" t="n"/>
      <c r="Q22" s="12">
        <f>IF($D22="","",IF($J22&gt;$D22,"custos maiores que o contrato",IF(AND($N22="Pago",$O22=""),"marcado como pago, sem a data",IF($A22="","falta o mês",""))))</f>
        <v/>
      </c>
    </row>
    <row r="23">
      <c r="A23" s="13" t="n"/>
      <c r="B23" s="13" t="n"/>
      <c r="C23" s="13" t="n"/>
      <c r="D23" s="14" t="n"/>
      <c r="E23" s="14" t="n"/>
      <c r="F23" s="14" t="n"/>
      <c r="G23" s="14" t="n"/>
      <c r="H23" s="8" t="n"/>
      <c r="I23" s="14" t="n"/>
      <c r="J23" s="9">
        <f>IF($D23="","",SUM($E23:$I23))</f>
        <v/>
      </c>
      <c r="K23" s="9">
        <f>IF($D23="","",$D23-$J23)</f>
        <v/>
      </c>
      <c r="L23" s="15">
        <f>IF($D23="","",0.01)</f>
        <v/>
      </c>
      <c r="M23" s="9">
        <f>IF($D23="","",ROUND($K23*$L23,2))</f>
        <v/>
      </c>
      <c r="N23" s="13" t="n"/>
      <c r="O23" s="16" t="n"/>
      <c r="P23" s="13" t="n"/>
      <c r="Q23" s="12">
        <f>IF($D23="","",IF($J23&gt;$D23,"custos maiores que o contrato",IF(AND($N23="Pago",$O23=""),"marcado como pago, sem a data",IF($A23="","falta o mês",""))))</f>
        <v/>
      </c>
    </row>
    <row r="24">
      <c r="A24" s="6" t="n"/>
      <c r="B24" s="6" t="n"/>
      <c r="C24" s="6" t="n"/>
      <c r="D24" s="7" t="n"/>
      <c r="E24" s="7" t="n"/>
      <c r="F24" s="7" t="n"/>
      <c r="G24" s="7" t="n"/>
      <c r="H24" s="8" t="n"/>
      <c r="I24" s="7" t="n"/>
      <c r="J24" s="9">
        <f>IF($D24="","",SUM($E24:$I24))</f>
        <v/>
      </c>
      <c r="K24" s="9">
        <f>IF($D24="","",$D24-$J24)</f>
        <v/>
      </c>
      <c r="L24" s="10">
        <f>IF($D24="","",0.01)</f>
        <v/>
      </c>
      <c r="M24" s="9">
        <f>IF($D24="","",ROUND($K24*$L24,2))</f>
        <v/>
      </c>
      <c r="N24" s="6" t="n"/>
      <c r="O24" s="11" t="n"/>
      <c r="P24" s="6" t="n"/>
      <c r="Q24" s="12">
        <f>IF($D24="","",IF($J24&gt;$D24,"custos maiores que o contrato",IF(AND($N24="Pago",$O24=""),"marcado como pago, sem a data",IF($A24="","falta o mês",""))))</f>
        <v/>
      </c>
    </row>
    <row r="25">
      <c r="A25" s="13" t="n"/>
      <c r="B25" s="13" t="n"/>
      <c r="C25" s="13" t="n"/>
      <c r="D25" s="14" t="n"/>
      <c r="E25" s="14" t="n"/>
      <c r="F25" s="14" t="n"/>
      <c r="G25" s="14" t="n"/>
      <c r="H25" s="8" t="n"/>
      <c r="I25" s="14" t="n"/>
      <c r="J25" s="9">
        <f>IF($D25="","",SUM($E25:$I25))</f>
        <v/>
      </c>
      <c r="K25" s="9">
        <f>IF($D25="","",$D25-$J25)</f>
        <v/>
      </c>
      <c r="L25" s="15">
        <f>IF($D25="","",0.01)</f>
        <v/>
      </c>
      <c r="M25" s="9">
        <f>IF($D25="","",ROUND($K25*$L25,2))</f>
        <v/>
      </c>
      <c r="N25" s="13" t="n"/>
      <c r="O25" s="16" t="n"/>
      <c r="P25" s="13" t="n"/>
      <c r="Q25" s="12">
        <f>IF($D25="","",IF($J25&gt;$D25,"custos maiores que o contrato",IF(AND($N25="Pago",$O25=""),"marcado como pago, sem a data",IF($A25="","falta o mês",""))))</f>
        <v/>
      </c>
    </row>
    <row r="26">
      <c r="A26" s="6" t="n"/>
      <c r="B26" s="6" t="n"/>
      <c r="C26" s="6" t="n"/>
      <c r="D26" s="7" t="n"/>
      <c r="E26" s="7" t="n"/>
      <c r="F26" s="7" t="n"/>
      <c r="G26" s="7" t="n"/>
      <c r="H26" s="8" t="n"/>
      <c r="I26" s="7" t="n"/>
      <c r="J26" s="9">
        <f>IF($D26="","",SUM($E26:$I26))</f>
        <v/>
      </c>
      <c r="K26" s="9">
        <f>IF($D26="","",$D26-$J26)</f>
        <v/>
      </c>
      <c r="L26" s="10">
        <f>IF($D26="","",0.01)</f>
        <v/>
      </c>
      <c r="M26" s="9">
        <f>IF($D26="","",ROUND($K26*$L26,2))</f>
        <v/>
      </c>
      <c r="N26" s="6" t="n"/>
      <c r="O26" s="11" t="n"/>
      <c r="P26" s="6" t="n"/>
      <c r="Q26" s="12">
        <f>IF($D26="","",IF($J26&gt;$D26,"custos maiores que o contrato",IF(AND($N26="Pago",$O26=""),"marcado como pago, sem a data",IF($A26="","falta o mês",""))))</f>
        <v/>
      </c>
    </row>
    <row r="27">
      <c r="A27" s="13" t="n"/>
      <c r="B27" s="13" t="n"/>
      <c r="C27" s="13" t="n"/>
      <c r="D27" s="14" t="n"/>
      <c r="E27" s="14" t="n"/>
      <c r="F27" s="14" t="n"/>
      <c r="G27" s="14" t="n"/>
      <c r="H27" s="8" t="n"/>
      <c r="I27" s="14" t="n"/>
      <c r="J27" s="9">
        <f>IF($D27="","",SUM($E27:$I27))</f>
        <v/>
      </c>
      <c r="K27" s="9">
        <f>IF($D27="","",$D27-$J27)</f>
        <v/>
      </c>
      <c r="L27" s="15">
        <f>IF($D27="","",0.01)</f>
        <v/>
      </c>
      <c r="M27" s="9">
        <f>IF($D27="","",ROUND($K27*$L27,2))</f>
        <v/>
      </c>
      <c r="N27" s="13" t="n"/>
      <c r="O27" s="16" t="n"/>
      <c r="P27" s="13" t="n"/>
      <c r="Q27" s="12">
        <f>IF($D27="","",IF($J27&gt;$D27,"custos maiores que o contrato",IF(AND($N27="Pago",$O27=""),"marcado como pago, sem a data",IF($A27="","falta o mês",""))))</f>
        <v/>
      </c>
    </row>
    <row r="28">
      <c r="A28" s="6" t="n"/>
      <c r="B28" s="6" t="n"/>
      <c r="C28" s="6" t="n"/>
      <c r="D28" s="7" t="n"/>
      <c r="E28" s="7" t="n"/>
      <c r="F28" s="7" t="n"/>
      <c r="G28" s="7" t="n"/>
      <c r="H28" s="8" t="n"/>
      <c r="I28" s="7" t="n"/>
      <c r="J28" s="9">
        <f>IF($D28="","",SUM($E28:$I28))</f>
        <v/>
      </c>
      <c r="K28" s="9">
        <f>IF($D28="","",$D28-$J28)</f>
        <v/>
      </c>
      <c r="L28" s="10">
        <f>IF($D28="","",0.01)</f>
        <v/>
      </c>
      <c r="M28" s="9">
        <f>IF($D28="","",ROUND($K28*$L28,2))</f>
        <v/>
      </c>
      <c r="N28" s="6" t="n"/>
      <c r="O28" s="11" t="n"/>
      <c r="P28" s="6" t="n"/>
      <c r="Q28" s="12">
        <f>IF($D28="","",IF($J28&gt;$D28,"custos maiores que o contrato",IF(AND($N28="Pago",$O28=""),"marcado como pago, sem a data",IF($A28="","falta o mês",""))))</f>
        <v/>
      </c>
    </row>
    <row r="29">
      <c r="A29" s="13" t="n"/>
      <c r="B29" s="13" t="n"/>
      <c r="C29" s="13" t="n"/>
      <c r="D29" s="14" t="n"/>
      <c r="E29" s="14" t="n"/>
      <c r="F29" s="14" t="n"/>
      <c r="G29" s="14" t="n"/>
      <c r="H29" s="8" t="n"/>
      <c r="I29" s="14" t="n"/>
      <c r="J29" s="9">
        <f>IF($D29="","",SUM($E29:$I29))</f>
        <v/>
      </c>
      <c r="K29" s="9">
        <f>IF($D29="","",$D29-$J29)</f>
        <v/>
      </c>
      <c r="L29" s="15">
        <f>IF($D29="","",0.01)</f>
        <v/>
      </c>
      <c r="M29" s="9">
        <f>IF($D29="","",ROUND($K29*$L29,2))</f>
        <v/>
      </c>
      <c r="N29" s="13" t="n"/>
      <c r="O29" s="16" t="n"/>
      <c r="P29" s="13" t="n"/>
      <c r="Q29" s="12">
        <f>IF($D29="","",IF($J29&gt;$D29,"custos maiores que o contrato",IF(AND($N29="Pago",$O29=""),"marcado como pago, sem a data",IF($A29="","falta o mês",""))))</f>
        <v/>
      </c>
    </row>
    <row r="30">
      <c r="A30" s="6" t="n"/>
      <c r="B30" s="6" t="n"/>
      <c r="C30" s="6" t="n"/>
      <c r="D30" s="7" t="n"/>
      <c r="E30" s="7" t="n"/>
      <c r="F30" s="7" t="n"/>
      <c r="G30" s="7" t="n"/>
      <c r="H30" s="8" t="n"/>
      <c r="I30" s="7" t="n"/>
      <c r="J30" s="9">
        <f>IF($D30="","",SUM($E30:$I30))</f>
        <v/>
      </c>
      <c r="K30" s="9">
        <f>IF($D30="","",$D30-$J30)</f>
        <v/>
      </c>
      <c r="L30" s="10">
        <f>IF($D30="","",0.01)</f>
        <v/>
      </c>
      <c r="M30" s="9">
        <f>IF($D30="","",ROUND($K30*$L30,2))</f>
        <v/>
      </c>
      <c r="N30" s="6" t="n"/>
      <c r="O30" s="11" t="n"/>
      <c r="P30" s="6" t="n"/>
      <c r="Q30" s="12">
        <f>IF($D30="","",IF($J30&gt;$D30,"custos maiores que o contrato",IF(AND($N30="Pago",$O30=""),"marcado como pago, sem a data",IF($A30="","falta o mês",""))))</f>
        <v/>
      </c>
    </row>
    <row r="31">
      <c r="A31" s="13" t="n"/>
      <c r="B31" s="13" t="n"/>
      <c r="C31" s="13" t="n"/>
      <c r="D31" s="14" t="n"/>
      <c r="E31" s="14" t="n"/>
      <c r="F31" s="14" t="n"/>
      <c r="G31" s="14" t="n"/>
      <c r="H31" s="8" t="n"/>
      <c r="I31" s="14" t="n"/>
      <c r="J31" s="9">
        <f>IF($D31="","",SUM($E31:$I31))</f>
        <v/>
      </c>
      <c r="K31" s="9">
        <f>IF($D31="","",$D31-$J31)</f>
        <v/>
      </c>
      <c r="L31" s="15">
        <f>IF($D31="","",0.01)</f>
        <v/>
      </c>
      <c r="M31" s="9">
        <f>IF($D31="","",ROUND($K31*$L31,2))</f>
        <v/>
      </c>
      <c r="N31" s="13" t="n"/>
      <c r="O31" s="16" t="n"/>
      <c r="P31" s="13" t="n"/>
      <c r="Q31" s="12">
        <f>IF($D31="","",IF($J31&gt;$D31,"custos maiores que o contrato",IF(AND($N31="Pago",$O31=""),"marcado como pago, sem a data",IF($A31="","falta o mês",""))))</f>
        <v/>
      </c>
    </row>
    <row r="32">
      <c r="A32" s="6" t="n"/>
      <c r="B32" s="6" t="n"/>
      <c r="C32" s="6" t="n"/>
      <c r="D32" s="7" t="n"/>
      <c r="E32" s="7" t="n"/>
      <c r="F32" s="7" t="n"/>
      <c r="G32" s="7" t="n"/>
      <c r="H32" s="8" t="n"/>
      <c r="I32" s="7" t="n"/>
      <c r="J32" s="9">
        <f>IF($D32="","",SUM($E32:$I32))</f>
        <v/>
      </c>
      <c r="K32" s="9">
        <f>IF($D32="","",$D32-$J32)</f>
        <v/>
      </c>
      <c r="L32" s="10">
        <f>IF($D32="","",0.01)</f>
        <v/>
      </c>
      <c r="M32" s="9">
        <f>IF($D32="","",ROUND($K32*$L32,2))</f>
        <v/>
      </c>
      <c r="N32" s="6" t="n"/>
      <c r="O32" s="11" t="n"/>
      <c r="P32" s="6" t="n"/>
      <c r="Q32" s="12">
        <f>IF($D32="","",IF($J32&gt;$D32,"custos maiores que o contrato",IF(AND($N32="Pago",$O32=""),"marcado como pago, sem a data",IF($A32="","falta o mês",""))))</f>
        <v/>
      </c>
    </row>
    <row r="33">
      <c r="A33" s="13" t="n"/>
      <c r="B33" s="13" t="n"/>
      <c r="C33" s="13" t="n"/>
      <c r="D33" s="14" t="n"/>
      <c r="E33" s="14" t="n"/>
      <c r="F33" s="14" t="n"/>
      <c r="G33" s="14" t="n"/>
      <c r="H33" s="8" t="n"/>
      <c r="I33" s="14" t="n"/>
      <c r="J33" s="9">
        <f>IF($D33="","",SUM($E33:$I33))</f>
        <v/>
      </c>
      <c r="K33" s="9">
        <f>IF($D33="","",$D33-$J33)</f>
        <v/>
      </c>
      <c r="L33" s="15">
        <f>IF($D33="","",0.01)</f>
        <v/>
      </c>
      <c r="M33" s="9">
        <f>IF($D33="","",ROUND($K33*$L33,2))</f>
        <v/>
      </c>
      <c r="N33" s="13" t="n"/>
      <c r="O33" s="16" t="n"/>
      <c r="P33" s="13" t="n"/>
      <c r="Q33" s="12">
        <f>IF($D33="","",IF($J33&gt;$D33,"custos maiores que o contrato",IF(AND($N33="Pago",$O33=""),"marcado como pago, sem a data",IF($A33="","falta o mês",""))))</f>
        <v/>
      </c>
    </row>
    <row r="34">
      <c r="A34" s="6" t="n"/>
      <c r="B34" s="6" t="n"/>
      <c r="C34" s="6" t="n"/>
      <c r="D34" s="7" t="n"/>
      <c r="E34" s="7" t="n"/>
      <c r="F34" s="7" t="n"/>
      <c r="G34" s="7" t="n"/>
      <c r="H34" s="8" t="n"/>
      <c r="I34" s="7" t="n"/>
      <c r="J34" s="9">
        <f>IF($D34="","",SUM($E34:$I34))</f>
        <v/>
      </c>
      <c r="K34" s="9">
        <f>IF($D34="","",$D34-$J34)</f>
        <v/>
      </c>
      <c r="L34" s="10">
        <f>IF($D34="","",0.01)</f>
        <v/>
      </c>
      <c r="M34" s="9">
        <f>IF($D34="","",ROUND($K34*$L34,2))</f>
        <v/>
      </c>
      <c r="N34" s="6" t="n"/>
      <c r="O34" s="11" t="n"/>
      <c r="P34" s="6" t="n"/>
      <c r="Q34" s="12">
        <f>IF($D34="","",IF($J34&gt;$D34,"custos maiores que o contrato",IF(AND($N34="Pago",$O34=""),"marcado como pago, sem a data",IF($A34="","falta o mês",""))))</f>
        <v/>
      </c>
    </row>
    <row r="35">
      <c r="A35" s="13" t="n"/>
      <c r="B35" s="13" t="n"/>
      <c r="C35" s="13" t="n"/>
      <c r="D35" s="14" t="n"/>
      <c r="E35" s="14" t="n"/>
      <c r="F35" s="14" t="n"/>
      <c r="G35" s="14" t="n"/>
      <c r="H35" s="8" t="n"/>
      <c r="I35" s="14" t="n"/>
      <c r="J35" s="9">
        <f>IF($D35="","",SUM($E35:$I35))</f>
        <v/>
      </c>
      <c r="K35" s="9">
        <f>IF($D35="","",$D35-$J35)</f>
        <v/>
      </c>
      <c r="L35" s="15">
        <f>IF($D35="","",0.01)</f>
        <v/>
      </c>
      <c r="M35" s="9">
        <f>IF($D35="","",ROUND($K35*$L35,2))</f>
        <v/>
      </c>
      <c r="N35" s="13" t="n"/>
      <c r="O35" s="16" t="n"/>
      <c r="P35" s="13" t="n"/>
      <c r="Q35" s="12">
        <f>IF($D35="","",IF($J35&gt;$D35,"custos maiores que o contrato",IF(AND($N35="Pago",$O35=""),"marcado como pago, sem a data",IF($A35="","falta o mês",""))))</f>
        <v/>
      </c>
    </row>
    <row r="36">
      <c r="A36" s="6" t="n"/>
      <c r="B36" s="6" t="n"/>
      <c r="C36" s="6" t="n"/>
      <c r="D36" s="7" t="n"/>
      <c r="E36" s="7" t="n"/>
      <c r="F36" s="7" t="n"/>
      <c r="G36" s="7" t="n"/>
      <c r="H36" s="8" t="n"/>
      <c r="I36" s="7" t="n"/>
      <c r="J36" s="9">
        <f>IF($D36="","",SUM($E36:$I36))</f>
        <v/>
      </c>
      <c r="K36" s="9">
        <f>IF($D36="","",$D36-$J36)</f>
        <v/>
      </c>
      <c r="L36" s="10">
        <f>IF($D36="","",0.01)</f>
        <v/>
      </c>
      <c r="M36" s="9">
        <f>IF($D36="","",ROUND($K36*$L36,2))</f>
        <v/>
      </c>
      <c r="N36" s="6" t="n"/>
      <c r="O36" s="11" t="n"/>
      <c r="P36" s="6" t="n"/>
      <c r="Q36" s="12">
        <f>IF($D36="","",IF($J36&gt;$D36,"custos maiores que o contrato",IF(AND($N36="Pago",$O36=""),"marcado como pago, sem a data",IF($A36="","falta o mês",""))))</f>
        <v/>
      </c>
    </row>
    <row r="37">
      <c r="A37" s="13" t="n"/>
      <c r="B37" s="13" t="n"/>
      <c r="C37" s="13" t="n"/>
      <c r="D37" s="14" t="n"/>
      <c r="E37" s="14" t="n"/>
      <c r="F37" s="14" t="n"/>
      <c r="G37" s="14" t="n"/>
      <c r="H37" s="8" t="n"/>
      <c r="I37" s="14" t="n"/>
      <c r="J37" s="9">
        <f>IF($D37="","",SUM($E37:$I37))</f>
        <v/>
      </c>
      <c r="K37" s="9">
        <f>IF($D37="","",$D37-$J37)</f>
        <v/>
      </c>
      <c r="L37" s="15">
        <f>IF($D37="","",0.01)</f>
        <v/>
      </c>
      <c r="M37" s="9">
        <f>IF($D37="","",ROUND($K37*$L37,2))</f>
        <v/>
      </c>
      <c r="N37" s="13" t="n"/>
      <c r="O37" s="16" t="n"/>
      <c r="P37" s="13" t="n"/>
      <c r="Q37" s="12">
        <f>IF($D37="","",IF($J37&gt;$D37,"custos maiores que o contrato",IF(AND($N37="Pago",$O37=""),"marcado como pago, sem a data",IF($A37="","falta o mês",""))))</f>
        <v/>
      </c>
    </row>
    <row r="38">
      <c r="A38" s="6" t="n"/>
      <c r="B38" s="6" t="n"/>
      <c r="C38" s="6" t="n"/>
      <c r="D38" s="7" t="n"/>
      <c r="E38" s="7" t="n"/>
      <c r="F38" s="7" t="n"/>
      <c r="G38" s="7" t="n"/>
      <c r="H38" s="8" t="n"/>
      <c r="I38" s="7" t="n"/>
      <c r="J38" s="9">
        <f>IF($D38="","",SUM($E38:$I38))</f>
        <v/>
      </c>
      <c r="K38" s="9">
        <f>IF($D38="","",$D38-$J38)</f>
        <v/>
      </c>
      <c r="L38" s="10">
        <f>IF($D38="","",0.01)</f>
        <v/>
      </c>
      <c r="M38" s="9">
        <f>IF($D38="","",ROUND($K38*$L38,2))</f>
        <v/>
      </c>
      <c r="N38" s="6" t="n"/>
      <c r="O38" s="11" t="n"/>
      <c r="P38" s="6" t="n"/>
      <c r="Q38" s="12">
        <f>IF($D38="","",IF($J38&gt;$D38,"custos maiores que o contrato",IF(AND($N38="Pago",$O38=""),"marcado como pago, sem a data",IF($A38="","falta o mês",""))))</f>
        <v/>
      </c>
    </row>
    <row r="39">
      <c r="A39" s="13" t="n"/>
      <c r="B39" s="13" t="n"/>
      <c r="C39" s="13" t="n"/>
      <c r="D39" s="14" t="n"/>
      <c r="E39" s="14" t="n"/>
      <c r="F39" s="14" t="n"/>
      <c r="G39" s="14" t="n"/>
      <c r="H39" s="8" t="n"/>
      <c r="I39" s="14" t="n"/>
      <c r="J39" s="9">
        <f>IF($D39="","",SUM($E39:$I39))</f>
        <v/>
      </c>
      <c r="K39" s="9">
        <f>IF($D39="","",$D39-$J39)</f>
        <v/>
      </c>
      <c r="L39" s="15">
        <f>IF($D39="","",0.01)</f>
        <v/>
      </c>
      <c r="M39" s="9">
        <f>IF($D39="","",ROUND($K39*$L39,2))</f>
        <v/>
      </c>
      <c r="N39" s="13" t="n"/>
      <c r="O39" s="16" t="n"/>
      <c r="P39" s="13" t="n"/>
      <c r="Q39" s="12">
        <f>IF($D39="","",IF($J39&gt;$D39,"custos maiores que o contrato",IF(AND($N39="Pago",$O39=""),"marcado como pago, sem a data",IF($A39="","falta o mês",""))))</f>
        <v/>
      </c>
    </row>
    <row r="40">
      <c r="A40" s="6" t="n"/>
      <c r="B40" s="6" t="n"/>
      <c r="C40" s="6" t="n"/>
      <c r="D40" s="7" t="n"/>
      <c r="E40" s="7" t="n"/>
      <c r="F40" s="7" t="n"/>
      <c r="G40" s="7" t="n"/>
      <c r="H40" s="8" t="n"/>
      <c r="I40" s="7" t="n"/>
      <c r="J40" s="9">
        <f>IF($D40="","",SUM($E40:$I40))</f>
        <v/>
      </c>
      <c r="K40" s="9">
        <f>IF($D40="","",$D40-$J40)</f>
        <v/>
      </c>
      <c r="L40" s="10">
        <f>IF($D40="","",0.01)</f>
        <v/>
      </c>
      <c r="M40" s="9">
        <f>IF($D40="","",ROUND($K40*$L40,2))</f>
        <v/>
      </c>
      <c r="N40" s="6" t="n"/>
      <c r="O40" s="11" t="n"/>
      <c r="P40" s="6" t="n"/>
      <c r="Q40" s="12">
        <f>IF($D40="","",IF($J40&gt;$D40,"custos maiores que o contrato",IF(AND($N40="Pago",$O40=""),"marcado como pago, sem a data",IF($A40="","falta o mês",""))))</f>
        <v/>
      </c>
    </row>
    <row r="41">
      <c r="A41" s="13" t="n"/>
      <c r="B41" s="13" t="n"/>
      <c r="C41" s="13" t="n"/>
      <c r="D41" s="14" t="n"/>
      <c r="E41" s="14" t="n"/>
      <c r="F41" s="14" t="n"/>
      <c r="G41" s="14" t="n"/>
      <c r="H41" s="8" t="n"/>
      <c r="I41" s="14" t="n"/>
      <c r="J41" s="9">
        <f>IF($D41="","",SUM($E41:$I41))</f>
        <v/>
      </c>
      <c r="K41" s="9">
        <f>IF($D41="","",$D41-$J41)</f>
        <v/>
      </c>
      <c r="L41" s="15">
        <f>IF($D41="","",0.01)</f>
        <v/>
      </c>
      <c r="M41" s="9">
        <f>IF($D41="","",ROUND($K41*$L41,2))</f>
        <v/>
      </c>
      <c r="N41" s="13" t="n"/>
      <c r="O41" s="16" t="n"/>
      <c r="P41" s="13" t="n"/>
      <c r="Q41" s="12">
        <f>IF($D41="","",IF($J41&gt;$D41,"custos maiores que o contrato",IF(AND($N41="Pago",$O41=""),"marcado como pago, sem a data",IF($A41="","falta o mês",""))))</f>
        <v/>
      </c>
    </row>
    <row r="42">
      <c r="A42" s="6" t="n"/>
      <c r="B42" s="6" t="n"/>
      <c r="C42" s="6" t="n"/>
      <c r="D42" s="7" t="n"/>
      <c r="E42" s="7" t="n"/>
      <c r="F42" s="7" t="n"/>
      <c r="G42" s="7" t="n"/>
      <c r="H42" s="8" t="n"/>
      <c r="I42" s="7" t="n"/>
      <c r="J42" s="9">
        <f>IF($D42="","",SUM($E42:$I42))</f>
        <v/>
      </c>
      <c r="K42" s="9">
        <f>IF($D42="","",$D42-$J42)</f>
        <v/>
      </c>
      <c r="L42" s="10">
        <f>IF($D42="","",0.01)</f>
        <v/>
      </c>
      <c r="M42" s="9">
        <f>IF($D42="","",ROUND($K42*$L42,2))</f>
        <v/>
      </c>
      <c r="N42" s="6" t="n"/>
      <c r="O42" s="11" t="n"/>
      <c r="P42" s="6" t="n"/>
      <c r="Q42" s="12">
        <f>IF($D42="","",IF($J42&gt;$D42,"custos maiores que o contrato",IF(AND($N42="Pago",$O42=""),"marcado como pago, sem a data",IF($A42="","falta o mês",""))))</f>
        <v/>
      </c>
    </row>
    <row r="43">
      <c r="A43" s="13" t="n"/>
      <c r="B43" s="13" t="n"/>
      <c r="C43" s="13" t="n"/>
      <c r="D43" s="14" t="n"/>
      <c r="E43" s="14" t="n"/>
      <c r="F43" s="14" t="n"/>
      <c r="G43" s="14" t="n"/>
      <c r="H43" s="8" t="n"/>
      <c r="I43" s="14" t="n"/>
      <c r="J43" s="9">
        <f>IF($D43="","",SUM($E43:$I43))</f>
        <v/>
      </c>
      <c r="K43" s="9">
        <f>IF($D43="","",$D43-$J43)</f>
        <v/>
      </c>
      <c r="L43" s="15">
        <f>IF($D43="","",0.01)</f>
        <v/>
      </c>
      <c r="M43" s="9">
        <f>IF($D43="","",ROUND($K43*$L43,2))</f>
        <v/>
      </c>
      <c r="N43" s="13" t="n"/>
      <c r="O43" s="16" t="n"/>
      <c r="P43" s="13" t="n"/>
      <c r="Q43" s="12">
        <f>IF($D43="","",IF($J43&gt;$D43,"custos maiores que o contrato",IF(AND($N43="Pago",$O43=""),"marcado como pago, sem a data",IF($A43="","falta o mês",""))))</f>
        <v/>
      </c>
    </row>
    <row r="44">
      <c r="A44" s="6" t="n"/>
      <c r="B44" s="6" t="n"/>
      <c r="C44" s="6" t="n"/>
      <c r="D44" s="7" t="n"/>
      <c r="E44" s="7" t="n"/>
      <c r="F44" s="7" t="n"/>
      <c r="G44" s="7" t="n"/>
      <c r="H44" s="8" t="n"/>
      <c r="I44" s="7" t="n"/>
      <c r="J44" s="9">
        <f>IF($D44="","",SUM($E44:$I44))</f>
        <v/>
      </c>
      <c r="K44" s="9">
        <f>IF($D44="","",$D44-$J44)</f>
        <v/>
      </c>
      <c r="L44" s="10">
        <f>IF($D44="","",0.01)</f>
        <v/>
      </c>
      <c r="M44" s="9">
        <f>IF($D44="","",ROUND($K44*$L44,2))</f>
        <v/>
      </c>
      <c r="N44" s="6" t="n"/>
      <c r="O44" s="11" t="n"/>
      <c r="P44" s="6" t="n"/>
      <c r="Q44" s="12">
        <f>IF($D44="","",IF($J44&gt;$D44,"custos maiores que o contrato",IF(AND($N44="Pago",$O44=""),"marcado como pago, sem a data",IF($A44="","falta o mês",""))))</f>
        <v/>
      </c>
    </row>
    <row r="45">
      <c r="A45" s="13" t="n"/>
      <c r="B45" s="13" t="n"/>
      <c r="C45" s="13" t="n"/>
      <c r="D45" s="14" t="n"/>
      <c r="E45" s="14" t="n"/>
      <c r="F45" s="14" t="n"/>
      <c r="G45" s="14" t="n"/>
      <c r="H45" s="8" t="n"/>
      <c r="I45" s="14" t="n"/>
      <c r="J45" s="9">
        <f>IF($D45="","",SUM($E45:$I45))</f>
        <v/>
      </c>
      <c r="K45" s="9">
        <f>IF($D45="","",$D45-$J45)</f>
        <v/>
      </c>
      <c r="L45" s="15">
        <f>IF($D45="","",0.01)</f>
        <v/>
      </c>
      <c r="M45" s="9">
        <f>IF($D45="","",ROUND($K45*$L45,2))</f>
        <v/>
      </c>
      <c r="N45" s="13" t="n"/>
      <c r="O45" s="16" t="n"/>
      <c r="P45" s="13" t="n"/>
      <c r="Q45" s="12">
        <f>IF($D45="","",IF($J45&gt;$D45,"custos maiores que o contrato",IF(AND($N45="Pago",$O45=""),"marcado como pago, sem a data",IF($A45="","falta o mês",""))))</f>
        <v/>
      </c>
    </row>
    <row r="46">
      <c r="A46" s="6" t="n"/>
      <c r="B46" s="6" t="n"/>
      <c r="C46" s="6" t="n"/>
      <c r="D46" s="7" t="n"/>
      <c r="E46" s="7" t="n"/>
      <c r="F46" s="7" t="n"/>
      <c r="G46" s="7" t="n"/>
      <c r="H46" s="8" t="n"/>
      <c r="I46" s="7" t="n"/>
      <c r="J46" s="9">
        <f>IF($D46="","",SUM($E46:$I46))</f>
        <v/>
      </c>
      <c r="K46" s="9">
        <f>IF($D46="","",$D46-$J46)</f>
        <v/>
      </c>
      <c r="L46" s="10">
        <f>IF($D46="","",0.01)</f>
        <v/>
      </c>
      <c r="M46" s="9">
        <f>IF($D46="","",ROUND($K46*$L46,2))</f>
        <v/>
      </c>
      <c r="N46" s="6" t="n"/>
      <c r="O46" s="11" t="n"/>
      <c r="P46" s="6" t="n"/>
      <c r="Q46" s="12">
        <f>IF($D46="","",IF($J46&gt;$D46,"custos maiores que o contrato",IF(AND($N46="Pago",$O46=""),"marcado como pago, sem a data",IF($A46="","falta o mês",""))))</f>
        <v/>
      </c>
    </row>
    <row r="47">
      <c r="A47" s="13" t="n"/>
      <c r="B47" s="13" t="n"/>
      <c r="C47" s="13" t="n"/>
      <c r="D47" s="14" t="n"/>
      <c r="E47" s="14" t="n"/>
      <c r="F47" s="14" t="n"/>
      <c r="G47" s="14" t="n"/>
      <c r="H47" s="8" t="n"/>
      <c r="I47" s="14" t="n"/>
      <c r="J47" s="9">
        <f>IF($D47="","",SUM($E47:$I47))</f>
        <v/>
      </c>
      <c r="K47" s="9">
        <f>IF($D47="","",$D47-$J47)</f>
        <v/>
      </c>
      <c r="L47" s="15">
        <f>IF($D47="","",0.01)</f>
        <v/>
      </c>
      <c r="M47" s="9">
        <f>IF($D47="","",ROUND($K47*$L47,2))</f>
        <v/>
      </c>
      <c r="N47" s="13" t="n"/>
      <c r="O47" s="16" t="n"/>
      <c r="P47" s="13" t="n"/>
      <c r="Q47" s="12">
        <f>IF($D47="","",IF($J47&gt;$D47,"custos maiores que o contrato",IF(AND($N47="Pago",$O47=""),"marcado como pago, sem a data",IF($A47="","falta o mês",""))))</f>
        <v/>
      </c>
    </row>
    <row r="48">
      <c r="A48" s="6" t="n"/>
      <c r="B48" s="6" t="n"/>
      <c r="C48" s="6" t="n"/>
      <c r="D48" s="7" t="n"/>
      <c r="E48" s="7" t="n"/>
      <c r="F48" s="7" t="n"/>
      <c r="G48" s="7" t="n"/>
      <c r="H48" s="8" t="n"/>
      <c r="I48" s="7" t="n"/>
      <c r="J48" s="9">
        <f>IF($D48="","",SUM($E48:$I48))</f>
        <v/>
      </c>
      <c r="K48" s="9">
        <f>IF($D48="","",$D48-$J48)</f>
        <v/>
      </c>
      <c r="L48" s="10">
        <f>IF($D48="","",0.01)</f>
        <v/>
      </c>
      <c r="M48" s="9">
        <f>IF($D48="","",ROUND($K48*$L48,2))</f>
        <v/>
      </c>
      <c r="N48" s="6" t="n"/>
      <c r="O48" s="11" t="n"/>
      <c r="P48" s="6" t="n"/>
      <c r="Q48" s="12">
        <f>IF($D48="","",IF($J48&gt;$D48,"custos maiores que o contrato",IF(AND($N48="Pago",$O48=""),"marcado como pago, sem a data",IF($A48="","falta o mês",""))))</f>
        <v/>
      </c>
    </row>
    <row r="49">
      <c r="A49" s="13" t="n"/>
      <c r="B49" s="13" t="n"/>
      <c r="C49" s="13" t="n"/>
      <c r="D49" s="14" t="n"/>
      <c r="E49" s="14" t="n"/>
      <c r="F49" s="14" t="n"/>
      <c r="G49" s="14" t="n"/>
      <c r="H49" s="8" t="n"/>
      <c r="I49" s="14" t="n"/>
      <c r="J49" s="9">
        <f>IF($D49="","",SUM($E49:$I49))</f>
        <v/>
      </c>
      <c r="K49" s="9">
        <f>IF($D49="","",$D49-$J49)</f>
        <v/>
      </c>
      <c r="L49" s="15">
        <f>IF($D49="","",0.01)</f>
        <v/>
      </c>
      <c r="M49" s="9">
        <f>IF($D49="","",ROUND($K49*$L49,2))</f>
        <v/>
      </c>
      <c r="N49" s="13" t="n"/>
      <c r="O49" s="16" t="n"/>
      <c r="P49" s="13" t="n"/>
      <c r="Q49" s="12">
        <f>IF($D49="","",IF($J49&gt;$D49,"custos maiores que o contrato",IF(AND($N49="Pago",$O49=""),"marcado como pago, sem a data",IF($A49="","falta o mês",""))))</f>
        <v/>
      </c>
    </row>
    <row r="50">
      <c r="A50" s="6" t="n"/>
      <c r="B50" s="6" t="n"/>
      <c r="C50" s="6" t="n"/>
      <c r="D50" s="7" t="n"/>
      <c r="E50" s="7" t="n"/>
      <c r="F50" s="7" t="n"/>
      <c r="G50" s="7" t="n"/>
      <c r="H50" s="8" t="n"/>
      <c r="I50" s="7" t="n"/>
      <c r="J50" s="9">
        <f>IF($D50="","",SUM($E50:$I50))</f>
        <v/>
      </c>
      <c r="K50" s="9">
        <f>IF($D50="","",$D50-$J50)</f>
        <v/>
      </c>
      <c r="L50" s="10">
        <f>IF($D50="","",0.01)</f>
        <v/>
      </c>
      <c r="M50" s="9">
        <f>IF($D50="","",ROUND($K50*$L50,2))</f>
        <v/>
      </c>
      <c r="N50" s="6" t="n"/>
      <c r="O50" s="11" t="n"/>
      <c r="P50" s="6" t="n"/>
      <c r="Q50" s="12">
        <f>IF($D50="","",IF($J50&gt;$D50,"custos maiores que o contrato",IF(AND($N50="Pago",$O50=""),"marcado como pago, sem a data",IF($A50="","falta o mês",""))))</f>
        <v/>
      </c>
    </row>
    <row r="51">
      <c r="A51" s="13" t="n"/>
      <c r="B51" s="13" t="n"/>
      <c r="C51" s="13" t="n"/>
      <c r="D51" s="14" t="n"/>
      <c r="E51" s="14" t="n"/>
      <c r="F51" s="14" t="n"/>
      <c r="G51" s="14" t="n"/>
      <c r="H51" s="8" t="n"/>
      <c r="I51" s="14" t="n"/>
      <c r="J51" s="9">
        <f>IF($D51="","",SUM($E51:$I51))</f>
        <v/>
      </c>
      <c r="K51" s="9">
        <f>IF($D51="","",$D51-$J51)</f>
        <v/>
      </c>
      <c r="L51" s="15">
        <f>IF($D51="","",0.01)</f>
        <v/>
      </c>
      <c r="M51" s="9">
        <f>IF($D51="","",ROUND($K51*$L51,2))</f>
        <v/>
      </c>
      <c r="N51" s="13" t="n"/>
      <c r="O51" s="16" t="n"/>
      <c r="P51" s="13" t="n"/>
      <c r="Q51" s="12">
        <f>IF($D51="","",IF($J51&gt;$D51,"custos maiores que o contrato",IF(AND($N51="Pago",$O51=""),"marcado como pago, sem a data",IF($A51="","falta o mês",""))))</f>
        <v/>
      </c>
    </row>
    <row r="52">
      <c r="A52" s="6" t="n"/>
      <c r="B52" s="6" t="n"/>
      <c r="C52" s="6" t="n"/>
      <c r="D52" s="7" t="n"/>
      <c r="E52" s="7" t="n"/>
      <c r="F52" s="7" t="n"/>
      <c r="G52" s="7" t="n"/>
      <c r="H52" s="8" t="n"/>
      <c r="I52" s="7" t="n"/>
      <c r="J52" s="9">
        <f>IF($D52="","",SUM($E52:$I52))</f>
        <v/>
      </c>
      <c r="K52" s="9">
        <f>IF($D52="","",$D52-$J52)</f>
        <v/>
      </c>
      <c r="L52" s="10">
        <f>IF($D52="","",0.01)</f>
        <v/>
      </c>
      <c r="M52" s="9">
        <f>IF($D52="","",ROUND($K52*$L52,2))</f>
        <v/>
      </c>
      <c r="N52" s="6" t="n"/>
      <c r="O52" s="11" t="n"/>
      <c r="P52" s="6" t="n"/>
      <c r="Q52" s="12">
        <f>IF($D52="","",IF($J52&gt;$D52,"custos maiores que o contrato",IF(AND($N52="Pago",$O52=""),"marcado como pago, sem a data",IF($A52="","falta o mês",""))))</f>
        <v/>
      </c>
    </row>
    <row r="53">
      <c r="A53" s="13" t="n"/>
      <c r="B53" s="13" t="n"/>
      <c r="C53" s="13" t="n"/>
      <c r="D53" s="14" t="n"/>
      <c r="E53" s="14" t="n"/>
      <c r="F53" s="14" t="n"/>
      <c r="G53" s="14" t="n"/>
      <c r="H53" s="8" t="n"/>
      <c r="I53" s="14" t="n"/>
      <c r="J53" s="9">
        <f>IF($D53="","",SUM($E53:$I53))</f>
        <v/>
      </c>
      <c r="K53" s="9">
        <f>IF($D53="","",$D53-$J53)</f>
        <v/>
      </c>
      <c r="L53" s="15">
        <f>IF($D53="","",0.01)</f>
        <v/>
      </c>
      <c r="M53" s="9">
        <f>IF($D53="","",ROUND($K53*$L53,2))</f>
        <v/>
      </c>
      <c r="N53" s="13" t="n"/>
      <c r="O53" s="16" t="n"/>
      <c r="P53" s="13" t="n"/>
      <c r="Q53" s="12">
        <f>IF($D53="","",IF($J53&gt;$D53,"custos maiores que o contrato",IF(AND($N53="Pago",$O53=""),"marcado como pago, sem a data",IF($A53="","falta o mês",""))))</f>
        <v/>
      </c>
    </row>
    <row r="54">
      <c r="A54" s="6" t="n"/>
      <c r="B54" s="6" t="n"/>
      <c r="C54" s="6" t="n"/>
      <c r="D54" s="7" t="n"/>
      <c r="E54" s="7" t="n"/>
      <c r="F54" s="7" t="n"/>
      <c r="G54" s="7" t="n"/>
      <c r="H54" s="8" t="n"/>
      <c r="I54" s="7" t="n"/>
      <c r="J54" s="9">
        <f>IF($D54="","",SUM($E54:$I54))</f>
        <v/>
      </c>
      <c r="K54" s="9">
        <f>IF($D54="","",$D54-$J54)</f>
        <v/>
      </c>
      <c r="L54" s="10">
        <f>IF($D54="","",0.01)</f>
        <v/>
      </c>
      <c r="M54" s="9">
        <f>IF($D54="","",ROUND($K54*$L54,2))</f>
        <v/>
      </c>
      <c r="N54" s="6" t="n"/>
      <c r="O54" s="11" t="n"/>
      <c r="P54" s="6" t="n"/>
      <c r="Q54" s="12">
        <f>IF($D54="","",IF($J54&gt;$D54,"custos maiores que o contrato",IF(AND($N54="Pago",$O54=""),"marcado como pago, sem a data",IF($A54="","falta o mês",""))))</f>
        <v/>
      </c>
    </row>
    <row r="55">
      <c r="A55" s="13" t="n"/>
      <c r="B55" s="13" t="n"/>
      <c r="C55" s="13" t="n"/>
      <c r="D55" s="14" t="n"/>
      <c r="E55" s="14" t="n"/>
      <c r="F55" s="14" t="n"/>
      <c r="G55" s="14" t="n"/>
      <c r="H55" s="8" t="n"/>
      <c r="I55" s="14" t="n"/>
      <c r="J55" s="9">
        <f>IF($D55="","",SUM($E55:$I55))</f>
        <v/>
      </c>
      <c r="K55" s="9">
        <f>IF($D55="","",$D55-$J55)</f>
        <v/>
      </c>
      <c r="L55" s="15">
        <f>IF($D55="","",0.01)</f>
        <v/>
      </c>
      <c r="M55" s="9">
        <f>IF($D55="","",ROUND($K55*$L55,2))</f>
        <v/>
      </c>
      <c r="N55" s="13" t="n"/>
      <c r="O55" s="16" t="n"/>
      <c r="P55" s="13" t="n"/>
      <c r="Q55" s="12">
        <f>IF($D55="","",IF($J55&gt;$D55,"custos maiores que o contrato",IF(AND($N55="Pago",$O55=""),"marcado como pago, sem a data",IF($A55="","falta o mês",""))))</f>
        <v/>
      </c>
    </row>
    <row r="56">
      <c r="A56" s="6" t="n"/>
      <c r="B56" s="6" t="n"/>
      <c r="C56" s="6" t="n"/>
      <c r="D56" s="7" t="n"/>
      <c r="E56" s="7" t="n"/>
      <c r="F56" s="7" t="n"/>
      <c r="G56" s="7" t="n"/>
      <c r="H56" s="8" t="n"/>
      <c r="I56" s="7" t="n"/>
      <c r="J56" s="9">
        <f>IF($D56="","",SUM($E56:$I56))</f>
        <v/>
      </c>
      <c r="K56" s="9">
        <f>IF($D56="","",$D56-$J56)</f>
        <v/>
      </c>
      <c r="L56" s="10">
        <f>IF($D56="","",0.01)</f>
        <v/>
      </c>
      <c r="M56" s="9">
        <f>IF($D56="","",ROUND($K56*$L56,2))</f>
        <v/>
      </c>
      <c r="N56" s="6" t="n"/>
      <c r="O56" s="11" t="n"/>
      <c r="P56" s="6" t="n"/>
      <c r="Q56" s="12">
        <f>IF($D56="","",IF($J56&gt;$D56,"custos maiores que o contrato",IF(AND($N56="Pago",$O56=""),"marcado como pago, sem a data",IF($A56="","falta o mês",""))))</f>
        <v/>
      </c>
    </row>
    <row r="57">
      <c r="A57" s="13" t="n"/>
      <c r="B57" s="13" t="n"/>
      <c r="C57" s="13" t="n"/>
      <c r="D57" s="14" t="n"/>
      <c r="E57" s="14" t="n"/>
      <c r="F57" s="14" t="n"/>
      <c r="G57" s="14" t="n"/>
      <c r="H57" s="8" t="n"/>
      <c r="I57" s="14" t="n"/>
      <c r="J57" s="9">
        <f>IF($D57="","",SUM($E57:$I57))</f>
        <v/>
      </c>
      <c r="K57" s="9">
        <f>IF($D57="","",$D57-$J57)</f>
        <v/>
      </c>
      <c r="L57" s="15">
        <f>IF($D57="","",0.01)</f>
        <v/>
      </c>
      <c r="M57" s="9">
        <f>IF($D57="","",ROUND($K57*$L57,2))</f>
        <v/>
      </c>
      <c r="N57" s="13" t="n"/>
      <c r="O57" s="16" t="n"/>
      <c r="P57" s="13" t="n"/>
      <c r="Q57" s="12">
        <f>IF($D57="","",IF($J57&gt;$D57,"custos maiores que o contrato",IF(AND($N57="Pago",$O57=""),"marcado como pago, sem a data",IF($A57="","falta o mês",""))))</f>
        <v/>
      </c>
    </row>
    <row r="58">
      <c r="A58" s="6" t="n"/>
      <c r="B58" s="6" t="n"/>
      <c r="C58" s="6" t="n"/>
      <c r="D58" s="7" t="n"/>
      <c r="E58" s="7" t="n"/>
      <c r="F58" s="7" t="n"/>
      <c r="G58" s="7" t="n"/>
      <c r="H58" s="8" t="n"/>
      <c r="I58" s="7" t="n"/>
      <c r="J58" s="9">
        <f>IF($D58="","",SUM($E58:$I58))</f>
        <v/>
      </c>
      <c r="K58" s="9">
        <f>IF($D58="","",$D58-$J58)</f>
        <v/>
      </c>
      <c r="L58" s="10">
        <f>IF($D58="","",0.01)</f>
        <v/>
      </c>
      <c r="M58" s="9">
        <f>IF($D58="","",ROUND($K58*$L58,2))</f>
        <v/>
      </c>
      <c r="N58" s="6" t="n"/>
      <c r="O58" s="11" t="n"/>
      <c r="P58" s="6" t="n"/>
      <c r="Q58" s="12">
        <f>IF($D58="","",IF($J58&gt;$D58,"custos maiores que o contrato",IF(AND($N58="Pago",$O58=""),"marcado como pago, sem a data",IF($A58="","falta o mês",""))))</f>
        <v/>
      </c>
    </row>
    <row r="59">
      <c r="A59" s="13" t="n"/>
      <c r="B59" s="13" t="n"/>
      <c r="C59" s="13" t="n"/>
      <c r="D59" s="14" t="n"/>
      <c r="E59" s="14" t="n"/>
      <c r="F59" s="14" t="n"/>
      <c r="G59" s="14" t="n"/>
      <c r="H59" s="8" t="n"/>
      <c r="I59" s="14" t="n"/>
      <c r="J59" s="9">
        <f>IF($D59="","",SUM($E59:$I59))</f>
        <v/>
      </c>
      <c r="K59" s="9">
        <f>IF($D59="","",$D59-$J59)</f>
        <v/>
      </c>
      <c r="L59" s="15">
        <f>IF($D59="","",0.01)</f>
        <v/>
      </c>
      <c r="M59" s="9">
        <f>IF($D59="","",ROUND($K59*$L59,2))</f>
        <v/>
      </c>
      <c r="N59" s="13" t="n"/>
      <c r="O59" s="16" t="n"/>
      <c r="P59" s="13" t="n"/>
      <c r="Q59" s="12">
        <f>IF($D59="","",IF($J59&gt;$D59,"custos maiores que o contrato",IF(AND($N59="Pago",$O59=""),"marcado como pago, sem a data",IF($A59="","falta o mês",""))))</f>
        <v/>
      </c>
    </row>
    <row r="60">
      <c r="A60" s="6" t="n"/>
      <c r="B60" s="6" t="n"/>
      <c r="C60" s="6" t="n"/>
      <c r="D60" s="7" t="n"/>
      <c r="E60" s="7" t="n"/>
      <c r="F60" s="7" t="n"/>
      <c r="G60" s="7" t="n"/>
      <c r="H60" s="8" t="n"/>
      <c r="I60" s="7" t="n"/>
      <c r="J60" s="9">
        <f>IF($D60="","",SUM($E60:$I60))</f>
        <v/>
      </c>
      <c r="K60" s="9">
        <f>IF($D60="","",$D60-$J60)</f>
        <v/>
      </c>
      <c r="L60" s="10">
        <f>IF($D60="","",0.01)</f>
        <v/>
      </c>
      <c r="M60" s="9">
        <f>IF($D60="","",ROUND($K60*$L60,2))</f>
        <v/>
      </c>
      <c r="N60" s="6" t="n"/>
      <c r="O60" s="11" t="n"/>
      <c r="P60" s="6" t="n"/>
      <c r="Q60" s="12">
        <f>IF($D60="","",IF($J60&gt;$D60,"custos maiores que o contrato",IF(AND($N60="Pago",$O60=""),"marcado como pago, sem a data",IF($A60="","falta o mês",""))))</f>
        <v/>
      </c>
    </row>
    <row r="61">
      <c r="A61" s="13" t="n"/>
      <c r="B61" s="13" t="n"/>
      <c r="C61" s="13" t="n"/>
      <c r="D61" s="14" t="n"/>
      <c r="E61" s="14" t="n"/>
      <c r="F61" s="14" t="n"/>
      <c r="G61" s="14" t="n"/>
      <c r="H61" s="8" t="n"/>
      <c r="I61" s="14" t="n"/>
      <c r="J61" s="9">
        <f>IF($D61="","",SUM($E61:$I61))</f>
        <v/>
      </c>
      <c r="K61" s="9">
        <f>IF($D61="","",$D61-$J61)</f>
        <v/>
      </c>
      <c r="L61" s="15">
        <f>IF($D61="","",0.01)</f>
        <v/>
      </c>
      <c r="M61" s="9">
        <f>IF($D61="","",ROUND($K61*$L61,2))</f>
        <v/>
      </c>
      <c r="N61" s="13" t="n"/>
      <c r="O61" s="16" t="n"/>
      <c r="P61" s="13" t="n"/>
      <c r="Q61" s="12">
        <f>IF($D61="","",IF($J61&gt;$D61,"custos maiores que o contrato",IF(AND($N61="Pago",$O61=""),"marcado como pago, sem a data",IF($A61="","falta o mês",""))))</f>
        <v/>
      </c>
    </row>
    <row r="62">
      <c r="A62" s="6" t="n"/>
      <c r="B62" s="6" t="n"/>
      <c r="C62" s="6" t="n"/>
      <c r="D62" s="7" t="n"/>
      <c r="E62" s="7" t="n"/>
      <c r="F62" s="7" t="n"/>
      <c r="G62" s="7" t="n"/>
      <c r="H62" s="8" t="n"/>
      <c r="I62" s="7" t="n"/>
      <c r="J62" s="9">
        <f>IF($D62="","",SUM($E62:$I62))</f>
        <v/>
      </c>
      <c r="K62" s="9">
        <f>IF($D62="","",$D62-$J62)</f>
        <v/>
      </c>
      <c r="L62" s="10">
        <f>IF($D62="","",0.01)</f>
        <v/>
      </c>
      <c r="M62" s="9">
        <f>IF($D62="","",ROUND($K62*$L62,2))</f>
        <v/>
      </c>
      <c r="N62" s="6" t="n"/>
      <c r="O62" s="11" t="n"/>
      <c r="P62" s="6" t="n"/>
      <c r="Q62" s="12">
        <f>IF($D62="","",IF($J62&gt;$D62,"custos maiores que o contrato",IF(AND($N62="Pago",$O62=""),"marcado como pago, sem a data",IF($A62="","falta o mês",""))))</f>
        <v/>
      </c>
    </row>
    <row r="63">
      <c r="A63" s="13" t="n"/>
      <c r="B63" s="13" t="n"/>
      <c r="C63" s="13" t="n"/>
      <c r="D63" s="14" t="n"/>
      <c r="E63" s="14" t="n"/>
      <c r="F63" s="14" t="n"/>
      <c r="G63" s="14" t="n"/>
      <c r="H63" s="8" t="n"/>
      <c r="I63" s="14" t="n"/>
      <c r="J63" s="9">
        <f>IF($D63="","",SUM($E63:$I63))</f>
        <v/>
      </c>
      <c r="K63" s="9">
        <f>IF($D63="","",$D63-$J63)</f>
        <v/>
      </c>
      <c r="L63" s="15">
        <f>IF($D63="","",0.01)</f>
        <v/>
      </c>
      <c r="M63" s="9">
        <f>IF($D63="","",ROUND($K63*$L63,2))</f>
        <v/>
      </c>
      <c r="N63" s="13" t="n"/>
      <c r="O63" s="16" t="n"/>
      <c r="P63" s="13" t="n"/>
      <c r="Q63" s="12">
        <f>IF($D63="","",IF($J63&gt;$D63,"custos maiores que o contrato",IF(AND($N63="Pago",$O63=""),"marcado como pago, sem a data",IF($A63="","falta o mês",""))))</f>
        <v/>
      </c>
    </row>
    <row r="64">
      <c r="A64" s="6" t="n"/>
      <c r="B64" s="6" t="n"/>
      <c r="C64" s="6" t="n"/>
      <c r="D64" s="7" t="n"/>
      <c r="E64" s="7" t="n"/>
      <c r="F64" s="7" t="n"/>
      <c r="G64" s="7" t="n"/>
      <c r="H64" s="8" t="n"/>
      <c r="I64" s="7" t="n"/>
      <c r="J64" s="9">
        <f>IF($D64="","",SUM($E64:$I64))</f>
        <v/>
      </c>
      <c r="K64" s="9">
        <f>IF($D64="","",$D64-$J64)</f>
        <v/>
      </c>
      <c r="L64" s="10">
        <f>IF($D64="","",0.01)</f>
        <v/>
      </c>
      <c r="M64" s="9">
        <f>IF($D64="","",ROUND($K64*$L64,2))</f>
        <v/>
      </c>
      <c r="N64" s="6" t="n"/>
      <c r="O64" s="11" t="n"/>
      <c r="P64" s="6" t="n"/>
      <c r="Q64" s="12">
        <f>IF($D64="","",IF($J64&gt;$D64,"custos maiores que o contrato",IF(AND($N64="Pago",$O64=""),"marcado como pago, sem a data",IF($A64="","falta o mês",""))))</f>
        <v/>
      </c>
    </row>
    <row r="65">
      <c r="A65" s="13" t="n"/>
      <c r="B65" s="13" t="n"/>
      <c r="C65" s="13" t="n"/>
      <c r="D65" s="14" t="n"/>
      <c r="E65" s="14" t="n"/>
      <c r="F65" s="14" t="n"/>
      <c r="G65" s="14" t="n"/>
      <c r="H65" s="8" t="n"/>
      <c r="I65" s="14" t="n"/>
      <c r="J65" s="9">
        <f>IF($D65="","",SUM($E65:$I65))</f>
        <v/>
      </c>
      <c r="K65" s="9">
        <f>IF($D65="","",$D65-$J65)</f>
        <v/>
      </c>
      <c r="L65" s="15">
        <f>IF($D65="","",0.01)</f>
        <v/>
      </c>
      <c r="M65" s="9">
        <f>IF($D65="","",ROUND($K65*$L65,2))</f>
        <v/>
      </c>
      <c r="N65" s="13" t="n"/>
      <c r="O65" s="16" t="n"/>
      <c r="P65" s="13" t="n"/>
      <c r="Q65" s="12">
        <f>IF($D65="","",IF($J65&gt;$D65,"custos maiores que o contrato",IF(AND($N65="Pago",$O65=""),"marcado como pago, sem a data",IF($A65="","falta o mês",""))))</f>
        <v/>
      </c>
    </row>
    <row r="66">
      <c r="A66" s="6" t="n"/>
      <c r="B66" s="6" t="n"/>
      <c r="C66" s="6" t="n"/>
      <c r="D66" s="7" t="n"/>
      <c r="E66" s="7" t="n"/>
      <c r="F66" s="7" t="n"/>
      <c r="G66" s="7" t="n"/>
      <c r="H66" s="8" t="n"/>
      <c r="I66" s="7" t="n"/>
      <c r="J66" s="9">
        <f>IF($D66="","",SUM($E66:$I66))</f>
        <v/>
      </c>
      <c r="K66" s="9">
        <f>IF($D66="","",$D66-$J66)</f>
        <v/>
      </c>
      <c r="L66" s="10">
        <f>IF($D66="","",0.01)</f>
        <v/>
      </c>
      <c r="M66" s="9">
        <f>IF($D66="","",ROUND($K66*$L66,2))</f>
        <v/>
      </c>
      <c r="N66" s="6" t="n"/>
      <c r="O66" s="11" t="n"/>
      <c r="P66" s="6" t="n"/>
      <c r="Q66" s="12">
        <f>IF($D66="","",IF($J66&gt;$D66,"custos maiores que o contrato",IF(AND($N66="Pago",$O66=""),"marcado como pago, sem a data",IF($A66="","falta o mês",""))))</f>
        <v/>
      </c>
    </row>
    <row r="67">
      <c r="A67" s="13" t="n"/>
      <c r="B67" s="13" t="n"/>
      <c r="C67" s="13" t="n"/>
      <c r="D67" s="14" t="n"/>
      <c r="E67" s="14" t="n"/>
      <c r="F67" s="14" t="n"/>
      <c r="G67" s="14" t="n"/>
      <c r="H67" s="8" t="n"/>
      <c r="I67" s="14" t="n"/>
      <c r="J67" s="9">
        <f>IF($D67="","",SUM($E67:$I67))</f>
        <v/>
      </c>
      <c r="K67" s="9">
        <f>IF($D67="","",$D67-$J67)</f>
        <v/>
      </c>
      <c r="L67" s="15">
        <f>IF($D67="","",0.01)</f>
        <v/>
      </c>
      <c r="M67" s="9">
        <f>IF($D67="","",ROUND($K67*$L67,2))</f>
        <v/>
      </c>
      <c r="N67" s="13" t="n"/>
      <c r="O67" s="16" t="n"/>
      <c r="P67" s="13" t="n"/>
      <c r="Q67" s="12">
        <f>IF($D67="","",IF($J67&gt;$D67,"custos maiores que o contrato",IF(AND($N67="Pago",$O67=""),"marcado como pago, sem a data",IF($A67="","falta o mês",""))))</f>
        <v/>
      </c>
    </row>
    <row r="68">
      <c r="A68" s="6" t="n"/>
      <c r="B68" s="6" t="n"/>
      <c r="C68" s="6" t="n"/>
      <c r="D68" s="7" t="n"/>
      <c r="E68" s="7" t="n"/>
      <c r="F68" s="7" t="n"/>
      <c r="G68" s="7" t="n"/>
      <c r="H68" s="8" t="n"/>
      <c r="I68" s="7" t="n"/>
      <c r="J68" s="9">
        <f>IF($D68="","",SUM($E68:$I68))</f>
        <v/>
      </c>
      <c r="K68" s="9">
        <f>IF($D68="","",$D68-$J68)</f>
        <v/>
      </c>
      <c r="L68" s="10">
        <f>IF($D68="","",0.01)</f>
        <v/>
      </c>
      <c r="M68" s="9">
        <f>IF($D68="","",ROUND($K68*$L68,2))</f>
        <v/>
      </c>
      <c r="N68" s="6" t="n"/>
      <c r="O68" s="11" t="n"/>
      <c r="P68" s="6" t="n"/>
      <c r="Q68" s="12">
        <f>IF($D68="","",IF($J68&gt;$D68,"custos maiores que o contrato",IF(AND($N68="Pago",$O68=""),"marcado como pago, sem a data",IF($A68="","falta o mês",""))))</f>
        <v/>
      </c>
    </row>
    <row r="69">
      <c r="A69" s="13" t="n"/>
      <c r="B69" s="13" t="n"/>
      <c r="C69" s="13" t="n"/>
      <c r="D69" s="14" t="n"/>
      <c r="E69" s="14" t="n"/>
      <c r="F69" s="14" t="n"/>
      <c r="G69" s="14" t="n"/>
      <c r="H69" s="8" t="n"/>
      <c r="I69" s="14" t="n"/>
      <c r="J69" s="9">
        <f>IF($D69="","",SUM($E69:$I69))</f>
        <v/>
      </c>
      <c r="K69" s="9">
        <f>IF($D69="","",$D69-$J69)</f>
        <v/>
      </c>
      <c r="L69" s="15">
        <f>IF($D69="","",0.01)</f>
        <v/>
      </c>
      <c r="M69" s="9">
        <f>IF($D69="","",ROUND($K69*$L69,2))</f>
        <v/>
      </c>
      <c r="N69" s="13" t="n"/>
      <c r="O69" s="16" t="n"/>
      <c r="P69" s="13" t="n"/>
      <c r="Q69" s="12">
        <f>IF($D69="","",IF($J69&gt;$D69,"custos maiores que o contrato",IF(AND($N69="Pago",$O69=""),"marcado como pago, sem a data",IF($A69="","falta o mês",""))))</f>
        <v/>
      </c>
    </row>
    <row r="70">
      <c r="A70" s="6" t="n"/>
      <c r="B70" s="6" t="n"/>
      <c r="C70" s="6" t="n"/>
      <c r="D70" s="7" t="n"/>
      <c r="E70" s="7" t="n"/>
      <c r="F70" s="7" t="n"/>
      <c r="G70" s="7" t="n"/>
      <c r="H70" s="8" t="n"/>
      <c r="I70" s="7" t="n"/>
      <c r="J70" s="9">
        <f>IF($D70="","",SUM($E70:$I70))</f>
        <v/>
      </c>
      <c r="K70" s="9">
        <f>IF($D70="","",$D70-$J70)</f>
        <v/>
      </c>
      <c r="L70" s="10">
        <f>IF($D70="","",0.01)</f>
        <v/>
      </c>
      <c r="M70" s="9">
        <f>IF($D70="","",ROUND($K70*$L70,2))</f>
        <v/>
      </c>
      <c r="N70" s="6" t="n"/>
      <c r="O70" s="11" t="n"/>
      <c r="P70" s="6" t="n"/>
      <c r="Q70" s="12">
        <f>IF($D70="","",IF($J70&gt;$D70,"custos maiores que o contrato",IF(AND($N70="Pago",$O70=""),"marcado como pago, sem a data",IF($A70="","falta o mês",""))))</f>
        <v/>
      </c>
    </row>
    <row r="71">
      <c r="A71" s="13" t="n"/>
      <c r="B71" s="13" t="n"/>
      <c r="C71" s="13" t="n"/>
      <c r="D71" s="14" t="n"/>
      <c r="E71" s="14" t="n"/>
      <c r="F71" s="14" t="n"/>
      <c r="G71" s="14" t="n"/>
      <c r="H71" s="8" t="n"/>
      <c r="I71" s="14" t="n"/>
      <c r="J71" s="9">
        <f>IF($D71="","",SUM($E71:$I71))</f>
        <v/>
      </c>
      <c r="K71" s="9">
        <f>IF($D71="","",$D71-$J71)</f>
        <v/>
      </c>
      <c r="L71" s="15">
        <f>IF($D71="","",0.01)</f>
        <v/>
      </c>
      <c r="M71" s="9">
        <f>IF($D71="","",ROUND($K71*$L71,2))</f>
        <v/>
      </c>
      <c r="N71" s="13" t="n"/>
      <c r="O71" s="16" t="n"/>
      <c r="P71" s="13" t="n"/>
      <c r="Q71" s="12">
        <f>IF($D71="","",IF($J71&gt;$D71,"custos maiores que o contrato",IF(AND($N71="Pago",$O71=""),"marcado como pago, sem a data",IF($A71="","falta o mês",""))))</f>
        <v/>
      </c>
    </row>
    <row r="72">
      <c r="A72" s="6" t="n"/>
      <c r="B72" s="6" t="n"/>
      <c r="C72" s="6" t="n"/>
      <c r="D72" s="7" t="n"/>
      <c r="E72" s="7" t="n"/>
      <c r="F72" s="7" t="n"/>
      <c r="G72" s="7" t="n"/>
      <c r="H72" s="8" t="n"/>
      <c r="I72" s="7" t="n"/>
      <c r="J72" s="9">
        <f>IF($D72="","",SUM($E72:$I72))</f>
        <v/>
      </c>
      <c r="K72" s="9">
        <f>IF($D72="","",$D72-$J72)</f>
        <v/>
      </c>
      <c r="L72" s="10">
        <f>IF($D72="","",0.01)</f>
        <v/>
      </c>
      <c r="M72" s="9">
        <f>IF($D72="","",ROUND($K72*$L72,2))</f>
        <v/>
      </c>
      <c r="N72" s="6" t="n"/>
      <c r="O72" s="11" t="n"/>
      <c r="P72" s="6" t="n"/>
      <c r="Q72" s="12">
        <f>IF($D72="","",IF($J72&gt;$D72,"custos maiores que o contrato",IF(AND($N72="Pago",$O72=""),"marcado como pago, sem a data",IF($A72="","falta o mês",""))))</f>
        <v/>
      </c>
    </row>
    <row r="73">
      <c r="A73" s="13" t="n"/>
      <c r="B73" s="13" t="n"/>
      <c r="C73" s="13" t="n"/>
      <c r="D73" s="14" t="n"/>
      <c r="E73" s="14" t="n"/>
      <c r="F73" s="14" t="n"/>
      <c r="G73" s="14" t="n"/>
      <c r="H73" s="8" t="n"/>
      <c r="I73" s="14" t="n"/>
      <c r="J73" s="9">
        <f>IF($D73="","",SUM($E73:$I73))</f>
        <v/>
      </c>
      <c r="K73" s="9">
        <f>IF($D73="","",$D73-$J73)</f>
        <v/>
      </c>
      <c r="L73" s="15">
        <f>IF($D73="","",0.01)</f>
        <v/>
      </c>
      <c r="M73" s="9">
        <f>IF($D73="","",ROUND($K73*$L73,2))</f>
        <v/>
      </c>
      <c r="N73" s="13" t="n"/>
      <c r="O73" s="16" t="n"/>
      <c r="P73" s="13" t="n"/>
      <c r="Q73" s="12">
        <f>IF($D73="","",IF($J73&gt;$D73,"custos maiores que o contrato",IF(AND($N73="Pago",$O73=""),"marcado como pago, sem a data",IF($A73="","falta o mês",""))))</f>
        <v/>
      </c>
    </row>
    <row r="74">
      <c r="A74" s="6" t="n"/>
      <c r="B74" s="6" t="n"/>
      <c r="C74" s="6" t="n"/>
      <c r="D74" s="7" t="n"/>
      <c r="E74" s="7" t="n"/>
      <c r="F74" s="7" t="n"/>
      <c r="G74" s="7" t="n"/>
      <c r="H74" s="8" t="n"/>
      <c r="I74" s="7" t="n"/>
      <c r="J74" s="9">
        <f>IF($D74="","",SUM($E74:$I74))</f>
        <v/>
      </c>
      <c r="K74" s="9">
        <f>IF($D74="","",$D74-$J74)</f>
        <v/>
      </c>
      <c r="L74" s="10">
        <f>IF($D74="","",0.01)</f>
        <v/>
      </c>
      <c r="M74" s="9">
        <f>IF($D74="","",ROUND($K74*$L74,2))</f>
        <v/>
      </c>
      <c r="N74" s="6" t="n"/>
      <c r="O74" s="11" t="n"/>
      <c r="P74" s="6" t="n"/>
      <c r="Q74" s="12">
        <f>IF($D74="","",IF($J74&gt;$D74,"custos maiores que o contrato",IF(AND($N74="Pago",$O74=""),"marcado como pago, sem a data",IF($A74="","falta o mês",""))))</f>
        <v/>
      </c>
    </row>
    <row r="75">
      <c r="A75" s="13" t="n"/>
      <c r="B75" s="13" t="n"/>
      <c r="C75" s="13" t="n"/>
      <c r="D75" s="14" t="n"/>
      <c r="E75" s="14" t="n"/>
      <c r="F75" s="14" t="n"/>
      <c r="G75" s="14" t="n"/>
      <c r="H75" s="8" t="n"/>
      <c r="I75" s="14" t="n"/>
      <c r="J75" s="9">
        <f>IF($D75="","",SUM($E75:$I75))</f>
        <v/>
      </c>
      <c r="K75" s="9">
        <f>IF($D75="","",$D75-$J75)</f>
        <v/>
      </c>
      <c r="L75" s="15">
        <f>IF($D75="","",0.01)</f>
        <v/>
      </c>
      <c r="M75" s="9">
        <f>IF($D75="","",ROUND($K75*$L75,2))</f>
        <v/>
      </c>
      <c r="N75" s="13" t="n"/>
      <c r="O75" s="16" t="n"/>
      <c r="P75" s="13" t="n"/>
      <c r="Q75" s="12">
        <f>IF($D75="","",IF($J75&gt;$D75,"custos maiores que o contrato",IF(AND($N75="Pago",$O75=""),"marcado como pago, sem a data",IF($A75="","falta o mês",""))))</f>
        <v/>
      </c>
    </row>
    <row r="76">
      <c r="A76" s="6" t="n"/>
      <c r="B76" s="6" t="n"/>
      <c r="C76" s="6" t="n"/>
      <c r="D76" s="7" t="n"/>
      <c r="E76" s="7" t="n"/>
      <c r="F76" s="7" t="n"/>
      <c r="G76" s="7" t="n"/>
      <c r="H76" s="8" t="n"/>
      <c r="I76" s="7" t="n"/>
      <c r="J76" s="9">
        <f>IF($D76="","",SUM($E76:$I76))</f>
        <v/>
      </c>
      <c r="K76" s="9">
        <f>IF($D76="","",$D76-$J76)</f>
        <v/>
      </c>
      <c r="L76" s="10">
        <f>IF($D76="","",0.01)</f>
        <v/>
      </c>
      <c r="M76" s="9">
        <f>IF($D76="","",ROUND($K76*$L76,2))</f>
        <v/>
      </c>
      <c r="N76" s="6" t="n"/>
      <c r="O76" s="11" t="n"/>
      <c r="P76" s="6" t="n"/>
      <c r="Q76" s="12">
        <f>IF($D76="","",IF($J76&gt;$D76,"custos maiores que o contrato",IF(AND($N76="Pago",$O76=""),"marcado como pago, sem a data",IF($A76="","falta o mês",""))))</f>
        <v/>
      </c>
    </row>
    <row r="77">
      <c r="A77" s="13" t="n"/>
      <c r="B77" s="13" t="n"/>
      <c r="C77" s="13" t="n"/>
      <c r="D77" s="14" t="n"/>
      <c r="E77" s="14" t="n"/>
      <c r="F77" s="14" t="n"/>
      <c r="G77" s="14" t="n"/>
      <c r="H77" s="8" t="n"/>
      <c r="I77" s="14" t="n"/>
      <c r="J77" s="9">
        <f>IF($D77="","",SUM($E77:$I77))</f>
        <v/>
      </c>
      <c r="K77" s="9">
        <f>IF($D77="","",$D77-$J77)</f>
        <v/>
      </c>
      <c r="L77" s="15">
        <f>IF($D77="","",0.01)</f>
        <v/>
      </c>
      <c r="M77" s="9">
        <f>IF($D77="","",ROUND($K77*$L77,2))</f>
        <v/>
      </c>
      <c r="N77" s="13" t="n"/>
      <c r="O77" s="16" t="n"/>
      <c r="P77" s="13" t="n"/>
      <c r="Q77" s="12">
        <f>IF($D77="","",IF($J77&gt;$D77,"custos maiores que o contrato",IF(AND($N77="Pago",$O77=""),"marcado como pago, sem a data",IF($A77="","falta o mês",""))))</f>
        <v/>
      </c>
    </row>
    <row r="78">
      <c r="A78" s="6" t="n"/>
      <c r="B78" s="6" t="n"/>
      <c r="C78" s="6" t="n"/>
      <c r="D78" s="7" t="n"/>
      <c r="E78" s="7" t="n"/>
      <c r="F78" s="7" t="n"/>
      <c r="G78" s="7" t="n"/>
      <c r="H78" s="8" t="n"/>
      <c r="I78" s="7" t="n"/>
      <c r="J78" s="9">
        <f>IF($D78="","",SUM($E78:$I78))</f>
        <v/>
      </c>
      <c r="K78" s="9">
        <f>IF($D78="","",$D78-$J78)</f>
        <v/>
      </c>
      <c r="L78" s="10">
        <f>IF($D78="","",0.01)</f>
        <v/>
      </c>
      <c r="M78" s="9">
        <f>IF($D78="","",ROUND($K78*$L78,2))</f>
        <v/>
      </c>
      <c r="N78" s="6" t="n"/>
      <c r="O78" s="11" t="n"/>
      <c r="P78" s="6" t="n"/>
      <c r="Q78" s="12">
        <f>IF($D78="","",IF($J78&gt;$D78,"custos maiores que o contrato",IF(AND($N78="Pago",$O78=""),"marcado como pago, sem a data",IF($A78="","falta o mês",""))))</f>
        <v/>
      </c>
    </row>
    <row r="79">
      <c r="A79" s="13" t="n"/>
      <c r="B79" s="13" t="n"/>
      <c r="C79" s="13" t="n"/>
      <c r="D79" s="14" t="n"/>
      <c r="E79" s="14" t="n"/>
      <c r="F79" s="14" t="n"/>
      <c r="G79" s="14" t="n"/>
      <c r="H79" s="8" t="n"/>
      <c r="I79" s="14" t="n"/>
      <c r="J79" s="9">
        <f>IF($D79="","",SUM($E79:$I79))</f>
        <v/>
      </c>
      <c r="K79" s="9">
        <f>IF($D79="","",$D79-$J79)</f>
        <v/>
      </c>
      <c r="L79" s="15">
        <f>IF($D79="","",0.01)</f>
        <v/>
      </c>
      <c r="M79" s="9">
        <f>IF($D79="","",ROUND($K79*$L79,2))</f>
        <v/>
      </c>
      <c r="N79" s="13" t="n"/>
      <c r="O79" s="16" t="n"/>
      <c r="P79" s="13" t="n"/>
      <c r="Q79" s="12">
        <f>IF($D79="","",IF($J79&gt;$D79,"custos maiores que o contrato",IF(AND($N79="Pago",$O79=""),"marcado como pago, sem a data",IF($A79="","falta o mês",""))))</f>
        <v/>
      </c>
    </row>
    <row r="80">
      <c r="A80" s="6" t="n"/>
      <c r="B80" s="6" t="n"/>
      <c r="C80" s="6" t="n"/>
      <c r="D80" s="7" t="n"/>
      <c r="E80" s="7" t="n"/>
      <c r="F80" s="7" t="n"/>
      <c r="G80" s="7" t="n"/>
      <c r="H80" s="8" t="n"/>
      <c r="I80" s="7" t="n"/>
      <c r="J80" s="9">
        <f>IF($D80="","",SUM($E80:$I80))</f>
        <v/>
      </c>
      <c r="K80" s="9">
        <f>IF($D80="","",$D80-$J80)</f>
        <v/>
      </c>
      <c r="L80" s="10">
        <f>IF($D80="","",0.01)</f>
        <v/>
      </c>
      <c r="M80" s="9">
        <f>IF($D80="","",ROUND($K80*$L80,2))</f>
        <v/>
      </c>
      <c r="N80" s="6" t="n"/>
      <c r="O80" s="11" t="n"/>
      <c r="P80" s="6" t="n"/>
      <c r="Q80" s="12">
        <f>IF($D80="","",IF($J80&gt;$D80,"custos maiores que o contrato",IF(AND($N80="Pago",$O80=""),"marcado como pago, sem a data",IF($A80="","falta o mês",""))))</f>
        <v/>
      </c>
    </row>
    <row r="81">
      <c r="A81" s="13" t="n"/>
      <c r="B81" s="13" t="n"/>
      <c r="C81" s="13" t="n"/>
      <c r="D81" s="14" t="n"/>
      <c r="E81" s="14" t="n"/>
      <c r="F81" s="14" t="n"/>
      <c r="G81" s="14" t="n"/>
      <c r="H81" s="8" t="n"/>
      <c r="I81" s="14" t="n"/>
      <c r="J81" s="9">
        <f>IF($D81="","",SUM($E81:$I81))</f>
        <v/>
      </c>
      <c r="K81" s="9">
        <f>IF($D81="","",$D81-$J81)</f>
        <v/>
      </c>
      <c r="L81" s="15">
        <f>IF($D81="","",0.01)</f>
        <v/>
      </c>
      <c r="M81" s="9">
        <f>IF($D81="","",ROUND($K81*$L81,2))</f>
        <v/>
      </c>
      <c r="N81" s="13" t="n"/>
      <c r="O81" s="16" t="n"/>
      <c r="P81" s="13" t="n"/>
      <c r="Q81" s="12">
        <f>IF($D81="","",IF($J81&gt;$D81,"custos maiores que o contrato",IF(AND($N81="Pago",$O81=""),"marcado como pago, sem a data",IF($A81="","falta o mês",""))))</f>
        <v/>
      </c>
    </row>
    <row r="82">
      <c r="A82" s="6" t="n"/>
      <c r="B82" s="6" t="n"/>
      <c r="C82" s="6" t="n"/>
      <c r="D82" s="7" t="n"/>
      <c r="E82" s="7" t="n"/>
      <c r="F82" s="7" t="n"/>
      <c r="G82" s="7" t="n"/>
      <c r="H82" s="8" t="n"/>
      <c r="I82" s="7" t="n"/>
      <c r="J82" s="9">
        <f>IF($D82="","",SUM($E82:$I82))</f>
        <v/>
      </c>
      <c r="K82" s="9">
        <f>IF($D82="","",$D82-$J82)</f>
        <v/>
      </c>
      <c r="L82" s="10">
        <f>IF($D82="","",0.01)</f>
        <v/>
      </c>
      <c r="M82" s="9">
        <f>IF($D82="","",ROUND($K82*$L82,2))</f>
        <v/>
      </c>
      <c r="N82" s="6" t="n"/>
      <c r="O82" s="11" t="n"/>
      <c r="P82" s="6" t="n"/>
      <c r="Q82" s="12">
        <f>IF($D82="","",IF($J82&gt;$D82,"custos maiores que o contrato",IF(AND($N82="Pago",$O82=""),"marcado como pago, sem a data",IF($A82="","falta o mês",""))))</f>
        <v/>
      </c>
    </row>
    <row r="83">
      <c r="A83" s="13" t="n"/>
      <c r="B83" s="13" t="n"/>
      <c r="C83" s="13" t="n"/>
      <c r="D83" s="14" t="n"/>
      <c r="E83" s="14" t="n"/>
      <c r="F83" s="14" t="n"/>
      <c r="G83" s="14" t="n"/>
      <c r="H83" s="8" t="n"/>
      <c r="I83" s="14" t="n"/>
      <c r="J83" s="9">
        <f>IF($D83="","",SUM($E83:$I83))</f>
        <v/>
      </c>
      <c r="K83" s="9">
        <f>IF($D83="","",$D83-$J83)</f>
        <v/>
      </c>
      <c r="L83" s="15">
        <f>IF($D83="","",0.01)</f>
        <v/>
      </c>
      <c r="M83" s="9">
        <f>IF($D83="","",ROUND($K83*$L83,2))</f>
        <v/>
      </c>
      <c r="N83" s="13" t="n"/>
      <c r="O83" s="16" t="n"/>
      <c r="P83" s="13" t="n"/>
      <c r="Q83" s="12">
        <f>IF($D83="","",IF($J83&gt;$D83,"custos maiores que o contrato",IF(AND($N83="Pago",$O83=""),"marcado como pago, sem a data",IF($A83="","falta o mês",""))))</f>
        <v/>
      </c>
    </row>
    <row r="84">
      <c r="A84" s="6" t="n"/>
      <c r="B84" s="6" t="n"/>
      <c r="C84" s="6" t="n"/>
      <c r="D84" s="7" t="n"/>
      <c r="E84" s="7" t="n"/>
      <c r="F84" s="7" t="n"/>
      <c r="G84" s="7" t="n"/>
      <c r="H84" s="8" t="n"/>
      <c r="I84" s="7" t="n"/>
      <c r="J84" s="9">
        <f>IF($D84="","",SUM($E84:$I84))</f>
        <v/>
      </c>
      <c r="K84" s="9">
        <f>IF($D84="","",$D84-$J84)</f>
        <v/>
      </c>
      <c r="L84" s="10">
        <f>IF($D84="","",0.01)</f>
        <v/>
      </c>
      <c r="M84" s="9">
        <f>IF($D84="","",ROUND($K84*$L84,2))</f>
        <v/>
      </c>
      <c r="N84" s="6" t="n"/>
      <c r="O84" s="11" t="n"/>
      <c r="P84" s="6" t="n"/>
      <c r="Q84" s="12">
        <f>IF($D84="","",IF($J84&gt;$D84,"custos maiores que o contrato",IF(AND($N84="Pago",$O84=""),"marcado como pago, sem a data",IF($A84="","falta o mês",""))))</f>
        <v/>
      </c>
    </row>
    <row r="85">
      <c r="A85" s="13" t="n"/>
      <c r="B85" s="13" t="n"/>
      <c r="C85" s="13" t="n"/>
      <c r="D85" s="14" t="n"/>
      <c r="E85" s="14" t="n"/>
      <c r="F85" s="14" t="n"/>
      <c r="G85" s="14" t="n"/>
      <c r="H85" s="8" t="n"/>
      <c r="I85" s="14" t="n"/>
      <c r="J85" s="9">
        <f>IF($D85="","",SUM($E85:$I85))</f>
        <v/>
      </c>
      <c r="K85" s="9">
        <f>IF($D85="","",$D85-$J85)</f>
        <v/>
      </c>
      <c r="L85" s="15">
        <f>IF($D85="","",0.01)</f>
        <v/>
      </c>
      <c r="M85" s="9">
        <f>IF($D85="","",ROUND($K85*$L85,2))</f>
        <v/>
      </c>
      <c r="N85" s="13" t="n"/>
      <c r="O85" s="16" t="n"/>
      <c r="P85" s="13" t="n"/>
      <c r="Q85" s="12">
        <f>IF($D85="","",IF($J85&gt;$D85,"custos maiores que o contrato",IF(AND($N85="Pago",$O85=""),"marcado como pago, sem a data",IF($A85="","falta o mês",""))))</f>
        <v/>
      </c>
    </row>
    <row r="86">
      <c r="A86" s="6" t="n"/>
      <c r="B86" s="6" t="n"/>
      <c r="C86" s="6" t="n"/>
      <c r="D86" s="7" t="n"/>
      <c r="E86" s="7" t="n"/>
      <c r="F86" s="7" t="n"/>
      <c r="G86" s="7" t="n"/>
      <c r="H86" s="8" t="n"/>
      <c r="I86" s="7" t="n"/>
      <c r="J86" s="9">
        <f>IF($D86="","",SUM($E86:$I86))</f>
        <v/>
      </c>
      <c r="K86" s="9">
        <f>IF($D86="","",$D86-$J86)</f>
        <v/>
      </c>
      <c r="L86" s="10">
        <f>IF($D86="","",0.01)</f>
        <v/>
      </c>
      <c r="M86" s="9">
        <f>IF($D86="","",ROUND($K86*$L86,2))</f>
        <v/>
      </c>
      <c r="N86" s="6" t="n"/>
      <c r="O86" s="11" t="n"/>
      <c r="P86" s="6" t="n"/>
      <c r="Q86" s="12">
        <f>IF($D86="","",IF($J86&gt;$D86,"custos maiores que o contrato",IF(AND($N86="Pago",$O86=""),"marcado como pago, sem a data",IF($A86="","falta o mês",""))))</f>
        <v/>
      </c>
    </row>
    <row r="87">
      <c r="A87" s="13" t="n"/>
      <c r="B87" s="13" t="n"/>
      <c r="C87" s="13" t="n"/>
      <c r="D87" s="14" t="n"/>
      <c r="E87" s="14" t="n"/>
      <c r="F87" s="14" t="n"/>
      <c r="G87" s="14" t="n"/>
      <c r="H87" s="8" t="n"/>
      <c r="I87" s="14" t="n"/>
      <c r="J87" s="9">
        <f>IF($D87="","",SUM($E87:$I87))</f>
        <v/>
      </c>
      <c r="K87" s="9">
        <f>IF($D87="","",$D87-$J87)</f>
        <v/>
      </c>
      <c r="L87" s="15">
        <f>IF($D87="","",0.01)</f>
        <v/>
      </c>
      <c r="M87" s="9">
        <f>IF($D87="","",ROUND($K87*$L87,2))</f>
        <v/>
      </c>
      <c r="N87" s="13" t="n"/>
      <c r="O87" s="16" t="n"/>
      <c r="P87" s="13" t="n"/>
      <c r="Q87" s="12">
        <f>IF($D87="","",IF($J87&gt;$D87,"custos maiores que o contrato",IF(AND($N87="Pago",$O87=""),"marcado como pago, sem a data",IF($A87="","falta o mês",""))))</f>
        <v/>
      </c>
    </row>
    <row r="88">
      <c r="A88" s="6" t="n"/>
      <c r="B88" s="6" t="n"/>
      <c r="C88" s="6" t="n"/>
      <c r="D88" s="7" t="n"/>
      <c r="E88" s="7" t="n"/>
      <c r="F88" s="7" t="n"/>
      <c r="G88" s="7" t="n"/>
      <c r="H88" s="8" t="n"/>
      <c r="I88" s="7" t="n"/>
      <c r="J88" s="9">
        <f>IF($D88="","",SUM($E88:$I88))</f>
        <v/>
      </c>
      <c r="K88" s="9">
        <f>IF($D88="","",$D88-$J88)</f>
        <v/>
      </c>
      <c r="L88" s="10">
        <f>IF($D88="","",0.01)</f>
        <v/>
      </c>
      <c r="M88" s="9">
        <f>IF($D88="","",ROUND($K88*$L88,2))</f>
        <v/>
      </c>
      <c r="N88" s="6" t="n"/>
      <c r="O88" s="11" t="n"/>
      <c r="P88" s="6" t="n"/>
      <c r="Q88" s="12">
        <f>IF($D88="","",IF($J88&gt;$D88,"custos maiores que o contrato",IF(AND($N88="Pago",$O88=""),"marcado como pago, sem a data",IF($A88="","falta o mês",""))))</f>
        <v/>
      </c>
    </row>
    <row r="89">
      <c r="A89" s="13" t="n"/>
      <c r="B89" s="13" t="n"/>
      <c r="C89" s="13" t="n"/>
      <c r="D89" s="14" t="n"/>
      <c r="E89" s="14" t="n"/>
      <c r="F89" s="14" t="n"/>
      <c r="G89" s="14" t="n"/>
      <c r="H89" s="8" t="n"/>
      <c r="I89" s="14" t="n"/>
      <c r="J89" s="9">
        <f>IF($D89="","",SUM($E89:$I89))</f>
        <v/>
      </c>
      <c r="K89" s="9">
        <f>IF($D89="","",$D89-$J89)</f>
        <v/>
      </c>
      <c r="L89" s="15">
        <f>IF($D89="","",0.01)</f>
        <v/>
      </c>
      <c r="M89" s="9">
        <f>IF($D89="","",ROUND($K89*$L89,2))</f>
        <v/>
      </c>
      <c r="N89" s="13" t="n"/>
      <c r="O89" s="16" t="n"/>
      <c r="P89" s="13" t="n"/>
      <c r="Q89" s="12">
        <f>IF($D89="","",IF($J89&gt;$D89,"custos maiores que o contrato",IF(AND($N89="Pago",$O89=""),"marcado como pago, sem a data",IF($A89="","falta o mês",""))))</f>
        <v/>
      </c>
    </row>
    <row r="90">
      <c r="A90" s="6" t="n"/>
      <c r="B90" s="6" t="n"/>
      <c r="C90" s="6" t="n"/>
      <c r="D90" s="7" t="n"/>
      <c r="E90" s="7" t="n"/>
      <c r="F90" s="7" t="n"/>
      <c r="G90" s="7" t="n"/>
      <c r="H90" s="8" t="n"/>
      <c r="I90" s="7" t="n"/>
      <c r="J90" s="9">
        <f>IF($D90="","",SUM($E90:$I90))</f>
        <v/>
      </c>
      <c r="K90" s="9">
        <f>IF($D90="","",$D90-$J90)</f>
        <v/>
      </c>
      <c r="L90" s="10">
        <f>IF($D90="","",0.01)</f>
        <v/>
      </c>
      <c r="M90" s="9">
        <f>IF($D90="","",ROUND($K90*$L90,2))</f>
        <v/>
      </c>
      <c r="N90" s="6" t="n"/>
      <c r="O90" s="11" t="n"/>
      <c r="P90" s="6" t="n"/>
      <c r="Q90" s="12">
        <f>IF($D90="","",IF($J90&gt;$D90,"custos maiores que o contrato",IF(AND($N90="Pago",$O90=""),"marcado como pago, sem a data",IF($A90="","falta o mês",""))))</f>
        <v/>
      </c>
    </row>
    <row r="91">
      <c r="A91" s="13" t="n"/>
      <c r="B91" s="13" t="n"/>
      <c r="C91" s="13" t="n"/>
      <c r="D91" s="14" t="n"/>
      <c r="E91" s="14" t="n"/>
      <c r="F91" s="14" t="n"/>
      <c r="G91" s="14" t="n"/>
      <c r="H91" s="8" t="n"/>
      <c r="I91" s="14" t="n"/>
      <c r="J91" s="9">
        <f>IF($D91="","",SUM($E91:$I91))</f>
        <v/>
      </c>
      <c r="K91" s="9">
        <f>IF($D91="","",$D91-$J91)</f>
        <v/>
      </c>
      <c r="L91" s="15">
        <f>IF($D91="","",0.01)</f>
        <v/>
      </c>
      <c r="M91" s="9">
        <f>IF($D91="","",ROUND($K91*$L91,2))</f>
        <v/>
      </c>
      <c r="N91" s="13" t="n"/>
      <c r="O91" s="16" t="n"/>
      <c r="P91" s="13" t="n"/>
      <c r="Q91" s="12">
        <f>IF($D91="","",IF($J91&gt;$D91,"custos maiores que o contrato",IF(AND($N91="Pago",$O91=""),"marcado como pago, sem a data",IF($A91="","falta o mês",""))))</f>
        <v/>
      </c>
    </row>
    <row r="92">
      <c r="A92" s="6" t="n"/>
      <c r="B92" s="6" t="n"/>
      <c r="C92" s="6" t="n"/>
      <c r="D92" s="7" t="n"/>
      <c r="E92" s="7" t="n"/>
      <c r="F92" s="7" t="n"/>
      <c r="G92" s="7" t="n"/>
      <c r="H92" s="8" t="n"/>
      <c r="I92" s="7" t="n"/>
      <c r="J92" s="9">
        <f>IF($D92="","",SUM($E92:$I92))</f>
        <v/>
      </c>
      <c r="K92" s="9">
        <f>IF($D92="","",$D92-$J92)</f>
        <v/>
      </c>
      <c r="L92" s="10">
        <f>IF($D92="","",0.01)</f>
        <v/>
      </c>
      <c r="M92" s="9">
        <f>IF($D92="","",ROUND($K92*$L92,2))</f>
        <v/>
      </c>
      <c r="N92" s="6" t="n"/>
      <c r="O92" s="11" t="n"/>
      <c r="P92" s="6" t="n"/>
      <c r="Q92" s="12">
        <f>IF($D92="","",IF($J92&gt;$D92,"custos maiores que o contrato",IF(AND($N92="Pago",$O92=""),"marcado como pago, sem a data",IF($A92="","falta o mês",""))))</f>
        <v/>
      </c>
    </row>
    <row r="93">
      <c r="A93" s="13" t="n"/>
      <c r="B93" s="13" t="n"/>
      <c r="C93" s="13" t="n"/>
      <c r="D93" s="14" t="n"/>
      <c r="E93" s="14" t="n"/>
      <c r="F93" s="14" t="n"/>
      <c r="G93" s="14" t="n"/>
      <c r="H93" s="8" t="n"/>
      <c r="I93" s="14" t="n"/>
      <c r="J93" s="9">
        <f>IF($D93="","",SUM($E93:$I93))</f>
        <v/>
      </c>
      <c r="K93" s="9">
        <f>IF($D93="","",$D93-$J93)</f>
        <v/>
      </c>
      <c r="L93" s="15">
        <f>IF($D93="","",0.01)</f>
        <v/>
      </c>
      <c r="M93" s="9">
        <f>IF($D93="","",ROUND($K93*$L93,2))</f>
        <v/>
      </c>
      <c r="N93" s="13" t="n"/>
      <c r="O93" s="16" t="n"/>
      <c r="P93" s="13" t="n"/>
      <c r="Q93" s="12">
        <f>IF($D93="","",IF($J93&gt;$D93,"custos maiores que o contrato",IF(AND($N93="Pago",$O93=""),"marcado como pago, sem a data",IF($A93="","falta o mês",""))))</f>
        <v/>
      </c>
    </row>
    <row r="94">
      <c r="A94" s="6" t="n"/>
      <c r="B94" s="6" t="n"/>
      <c r="C94" s="6" t="n"/>
      <c r="D94" s="7" t="n"/>
      <c r="E94" s="7" t="n"/>
      <c r="F94" s="7" t="n"/>
      <c r="G94" s="7" t="n"/>
      <c r="H94" s="8" t="n"/>
      <c r="I94" s="7" t="n"/>
      <c r="J94" s="9">
        <f>IF($D94="","",SUM($E94:$I94))</f>
        <v/>
      </c>
      <c r="K94" s="9">
        <f>IF($D94="","",$D94-$J94)</f>
        <v/>
      </c>
      <c r="L94" s="10">
        <f>IF($D94="","",0.01)</f>
        <v/>
      </c>
      <c r="M94" s="9">
        <f>IF($D94="","",ROUND($K94*$L94,2))</f>
        <v/>
      </c>
      <c r="N94" s="6" t="n"/>
      <c r="O94" s="11" t="n"/>
      <c r="P94" s="6" t="n"/>
      <c r="Q94" s="12">
        <f>IF($D94="","",IF($J94&gt;$D94,"custos maiores que o contrato",IF(AND($N94="Pago",$O94=""),"marcado como pago, sem a data",IF($A94="","falta o mês",""))))</f>
        <v/>
      </c>
    </row>
    <row r="95">
      <c r="A95" s="13" t="n"/>
      <c r="B95" s="13" t="n"/>
      <c r="C95" s="13" t="n"/>
      <c r="D95" s="14" t="n"/>
      <c r="E95" s="14" t="n"/>
      <c r="F95" s="14" t="n"/>
      <c r="G95" s="14" t="n"/>
      <c r="H95" s="8" t="n"/>
      <c r="I95" s="14" t="n"/>
      <c r="J95" s="9">
        <f>IF($D95="","",SUM($E95:$I95))</f>
        <v/>
      </c>
      <c r="K95" s="9">
        <f>IF($D95="","",$D95-$J95)</f>
        <v/>
      </c>
      <c r="L95" s="15">
        <f>IF($D95="","",0.01)</f>
        <v/>
      </c>
      <c r="M95" s="9">
        <f>IF($D95="","",ROUND($K95*$L95,2))</f>
        <v/>
      </c>
      <c r="N95" s="13" t="n"/>
      <c r="O95" s="16" t="n"/>
      <c r="P95" s="13" t="n"/>
      <c r="Q95" s="12">
        <f>IF($D95="","",IF($J95&gt;$D95,"custos maiores que o contrato",IF(AND($N95="Pago",$O95=""),"marcado como pago, sem a data",IF($A95="","falta o mês",""))))</f>
        <v/>
      </c>
    </row>
    <row r="96">
      <c r="A96" s="6" t="n"/>
      <c r="B96" s="6" t="n"/>
      <c r="C96" s="6" t="n"/>
      <c r="D96" s="7" t="n"/>
      <c r="E96" s="7" t="n"/>
      <c r="F96" s="7" t="n"/>
      <c r="G96" s="7" t="n"/>
      <c r="H96" s="8" t="n"/>
      <c r="I96" s="7" t="n"/>
      <c r="J96" s="9">
        <f>IF($D96="","",SUM($E96:$I96))</f>
        <v/>
      </c>
      <c r="K96" s="9">
        <f>IF($D96="","",$D96-$J96)</f>
        <v/>
      </c>
      <c r="L96" s="10">
        <f>IF($D96="","",0.01)</f>
        <v/>
      </c>
      <c r="M96" s="9">
        <f>IF($D96="","",ROUND($K96*$L96,2))</f>
        <v/>
      </c>
      <c r="N96" s="6" t="n"/>
      <c r="O96" s="11" t="n"/>
      <c r="P96" s="6" t="n"/>
      <c r="Q96" s="12">
        <f>IF($D96="","",IF($J96&gt;$D96,"custos maiores que o contrato",IF(AND($N96="Pago",$O96=""),"marcado como pago, sem a data",IF($A96="","falta o mês",""))))</f>
        <v/>
      </c>
    </row>
    <row r="97">
      <c r="A97" s="13" t="n"/>
      <c r="B97" s="13" t="n"/>
      <c r="C97" s="13" t="n"/>
      <c r="D97" s="14" t="n"/>
      <c r="E97" s="14" t="n"/>
      <c r="F97" s="14" t="n"/>
      <c r="G97" s="14" t="n"/>
      <c r="H97" s="8" t="n"/>
      <c r="I97" s="14" t="n"/>
      <c r="J97" s="9">
        <f>IF($D97="","",SUM($E97:$I97))</f>
        <v/>
      </c>
      <c r="K97" s="9">
        <f>IF($D97="","",$D97-$J97)</f>
        <v/>
      </c>
      <c r="L97" s="15">
        <f>IF($D97="","",0.01)</f>
        <v/>
      </c>
      <c r="M97" s="9">
        <f>IF($D97="","",ROUND($K97*$L97,2))</f>
        <v/>
      </c>
      <c r="N97" s="13" t="n"/>
      <c r="O97" s="16" t="n"/>
      <c r="P97" s="13" t="n"/>
      <c r="Q97" s="12">
        <f>IF($D97="","",IF($J97&gt;$D97,"custos maiores que o contrato",IF(AND($N97="Pago",$O97=""),"marcado como pago, sem a data",IF($A97="","falta o mês",""))))</f>
        <v/>
      </c>
    </row>
    <row r="98">
      <c r="A98" s="6" t="n"/>
      <c r="B98" s="6" t="n"/>
      <c r="C98" s="6" t="n"/>
      <c r="D98" s="7" t="n"/>
      <c r="E98" s="7" t="n"/>
      <c r="F98" s="7" t="n"/>
      <c r="G98" s="7" t="n"/>
      <c r="H98" s="8" t="n"/>
      <c r="I98" s="7" t="n"/>
      <c r="J98" s="9">
        <f>IF($D98="","",SUM($E98:$I98))</f>
        <v/>
      </c>
      <c r="K98" s="9">
        <f>IF($D98="","",$D98-$J98)</f>
        <v/>
      </c>
      <c r="L98" s="10">
        <f>IF($D98="","",0.01)</f>
        <v/>
      </c>
      <c r="M98" s="9">
        <f>IF($D98="","",ROUND($K98*$L98,2))</f>
        <v/>
      </c>
      <c r="N98" s="6" t="n"/>
      <c r="O98" s="11" t="n"/>
      <c r="P98" s="6" t="n"/>
      <c r="Q98" s="12">
        <f>IF($D98="","",IF($J98&gt;$D98,"custos maiores que o contrato",IF(AND($N98="Pago",$O98=""),"marcado como pago, sem a data",IF($A98="","falta o mês",""))))</f>
        <v/>
      </c>
    </row>
    <row r="99">
      <c r="A99" s="13" t="n"/>
      <c r="B99" s="13" t="n"/>
      <c r="C99" s="13" t="n"/>
      <c r="D99" s="14" t="n"/>
      <c r="E99" s="14" t="n"/>
      <c r="F99" s="14" t="n"/>
      <c r="G99" s="14" t="n"/>
      <c r="H99" s="8" t="n"/>
      <c r="I99" s="14" t="n"/>
      <c r="J99" s="9">
        <f>IF($D99="","",SUM($E99:$I99))</f>
        <v/>
      </c>
      <c r="K99" s="9">
        <f>IF($D99="","",$D99-$J99)</f>
        <v/>
      </c>
      <c r="L99" s="15">
        <f>IF($D99="","",0.01)</f>
        <v/>
      </c>
      <c r="M99" s="9">
        <f>IF($D99="","",ROUND($K99*$L99,2))</f>
        <v/>
      </c>
      <c r="N99" s="13" t="n"/>
      <c r="O99" s="16" t="n"/>
      <c r="P99" s="13" t="n"/>
      <c r="Q99" s="12">
        <f>IF($D99="","",IF($J99&gt;$D99,"custos maiores que o contrato",IF(AND($N99="Pago",$O99=""),"marcado como pago, sem a data",IF($A99="","falta o mês",""))))</f>
        <v/>
      </c>
    </row>
    <row r="100">
      <c r="A100" s="6" t="n"/>
      <c r="B100" s="6" t="n"/>
      <c r="C100" s="6" t="n"/>
      <c r="D100" s="7" t="n"/>
      <c r="E100" s="7" t="n"/>
      <c r="F100" s="7" t="n"/>
      <c r="G100" s="7" t="n"/>
      <c r="H100" s="8" t="n"/>
      <c r="I100" s="7" t="n"/>
      <c r="J100" s="9">
        <f>IF($D100="","",SUM($E100:$I100))</f>
        <v/>
      </c>
      <c r="K100" s="9">
        <f>IF($D100="","",$D100-$J100)</f>
        <v/>
      </c>
      <c r="L100" s="10">
        <f>IF($D100="","",0.01)</f>
        <v/>
      </c>
      <c r="M100" s="9">
        <f>IF($D100="","",ROUND($K100*$L100,2))</f>
        <v/>
      </c>
      <c r="N100" s="6" t="n"/>
      <c r="O100" s="11" t="n"/>
      <c r="P100" s="6" t="n"/>
      <c r="Q100" s="12">
        <f>IF($D100="","",IF($J100&gt;$D100,"custos maiores que o contrato",IF(AND($N100="Pago",$O100=""),"marcado como pago, sem a data",IF($A100="","falta o mês",""))))</f>
        <v/>
      </c>
    </row>
    <row r="101">
      <c r="A101" s="13" t="n"/>
      <c r="B101" s="13" t="n"/>
      <c r="C101" s="13" t="n"/>
      <c r="D101" s="14" t="n"/>
      <c r="E101" s="14" t="n"/>
      <c r="F101" s="14" t="n"/>
      <c r="G101" s="14" t="n"/>
      <c r="H101" s="8" t="n"/>
      <c r="I101" s="14" t="n"/>
      <c r="J101" s="9">
        <f>IF($D101="","",SUM($E101:$I101))</f>
        <v/>
      </c>
      <c r="K101" s="9">
        <f>IF($D101="","",$D101-$J101)</f>
        <v/>
      </c>
      <c r="L101" s="15">
        <f>IF($D101="","",0.01)</f>
        <v/>
      </c>
      <c r="M101" s="9">
        <f>IF($D101="","",ROUND($K101*$L101,2))</f>
        <v/>
      </c>
      <c r="N101" s="13" t="n"/>
      <c r="O101" s="16" t="n"/>
      <c r="P101" s="13" t="n"/>
      <c r="Q101" s="12">
        <f>IF($D101="","",IF($J101&gt;$D101,"custos maiores que o contrato",IF(AND($N101="Pago",$O101=""),"marcado como pago, sem a data",IF($A101="","falta o mês",""))))</f>
        <v/>
      </c>
    </row>
    <row r="102">
      <c r="A102" s="6" t="n"/>
      <c r="B102" s="6" t="n"/>
      <c r="C102" s="6" t="n"/>
      <c r="D102" s="7" t="n"/>
      <c r="E102" s="7" t="n"/>
      <c r="F102" s="7" t="n"/>
      <c r="G102" s="7" t="n"/>
      <c r="H102" s="8" t="n"/>
      <c r="I102" s="7" t="n"/>
      <c r="J102" s="9">
        <f>IF($D102="","",SUM($E102:$I102))</f>
        <v/>
      </c>
      <c r="K102" s="9">
        <f>IF($D102="","",$D102-$J102)</f>
        <v/>
      </c>
      <c r="L102" s="10">
        <f>IF($D102="","",0.01)</f>
        <v/>
      </c>
      <c r="M102" s="9">
        <f>IF($D102="","",ROUND($K102*$L102,2))</f>
        <v/>
      </c>
      <c r="N102" s="6" t="n"/>
      <c r="O102" s="11" t="n"/>
      <c r="P102" s="6" t="n"/>
      <c r="Q102" s="12">
        <f>IF($D102="","",IF($J102&gt;$D102,"custos maiores que o contrato",IF(AND($N102="Pago",$O102=""),"marcado como pago, sem a data",IF($A102="","falta o mês",""))))</f>
        <v/>
      </c>
    </row>
    <row r="103">
      <c r="A103" s="13" t="n"/>
      <c r="B103" s="13" t="n"/>
      <c r="C103" s="13" t="n"/>
      <c r="D103" s="14" t="n"/>
      <c r="E103" s="14" t="n"/>
      <c r="F103" s="14" t="n"/>
      <c r="G103" s="14" t="n"/>
      <c r="H103" s="8" t="n"/>
      <c r="I103" s="14" t="n"/>
      <c r="J103" s="9">
        <f>IF($D103="","",SUM($E103:$I103))</f>
        <v/>
      </c>
      <c r="K103" s="9">
        <f>IF($D103="","",$D103-$J103)</f>
        <v/>
      </c>
      <c r="L103" s="15">
        <f>IF($D103="","",0.01)</f>
        <v/>
      </c>
      <c r="M103" s="9">
        <f>IF($D103="","",ROUND($K103*$L103,2))</f>
        <v/>
      </c>
      <c r="N103" s="13" t="n"/>
      <c r="O103" s="16" t="n"/>
      <c r="P103" s="13" t="n"/>
      <c r="Q103" s="12">
        <f>IF($D103="","",IF($J103&gt;$D103,"custos maiores que o contrato",IF(AND($N103="Pago",$O103=""),"marcado como pago, sem a data",IF($A103="","falta o mês",""))))</f>
        <v/>
      </c>
    </row>
    <row r="104">
      <c r="A104" s="6" t="n"/>
      <c r="B104" s="6" t="n"/>
      <c r="C104" s="6" t="n"/>
      <c r="D104" s="7" t="n"/>
      <c r="E104" s="7" t="n"/>
      <c r="F104" s="7" t="n"/>
      <c r="G104" s="7" t="n"/>
      <c r="H104" s="8" t="n"/>
      <c r="I104" s="7" t="n"/>
      <c r="J104" s="9">
        <f>IF($D104="","",SUM($E104:$I104))</f>
        <v/>
      </c>
      <c r="K104" s="9">
        <f>IF($D104="","",$D104-$J104)</f>
        <v/>
      </c>
      <c r="L104" s="10">
        <f>IF($D104="","",0.01)</f>
        <v/>
      </c>
      <c r="M104" s="9">
        <f>IF($D104="","",ROUND($K104*$L104,2))</f>
        <v/>
      </c>
      <c r="N104" s="6" t="n"/>
      <c r="O104" s="11" t="n"/>
      <c r="P104" s="6" t="n"/>
      <c r="Q104" s="12">
        <f>IF($D104="","",IF($J104&gt;$D104,"custos maiores que o contrato",IF(AND($N104="Pago",$O104=""),"marcado como pago, sem a data",IF($A104="","falta o mês",""))))</f>
        <v/>
      </c>
    </row>
    <row r="105">
      <c r="A105" s="13" t="n"/>
      <c r="B105" s="13" t="n"/>
      <c r="C105" s="13" t="n"/>
      <c r="D105" s="14" t="n"/>
      <c r="E105" s="14" t="n"/>
      <c r="F105" s="14" t="n"/>
      <c r="G105" s="14" t="n"/>
      <c r="H105" s="8" t="n"/>
      <c r="I105" s="14" t="n"/>
      <c r="J105" s="9">
        <f>IF($D105="","",SUM($E105:$I105))</f>
        <v/>
      </c>
      <c r="K105" s="9">
        <f>IF($D105="","",$D105-$J105)</f>
        <v/>
      </c>
      <c r="L105" s="15">
        <f>IF($D105="","",0.01)</f>
        <v/>
      </c>
      <c r="M105" s="9">
        <f>IF($D105="","",ROUND($K105*$L105,2))</f>
        <v/>
      </c>
      <c r="N105" s="13" t="n"/>
      <c r="O105" s="16" t="n"/>
      <c r="P105" s="13" t="n"/>
      <c r="Q105" s="12">
        <f>IF($D105="","",IF($J105&gt;$D105,"custos maiores que o contrato",IF(AND($N105="Pago",$O105=""),"marcado como pago, sem a data",IF($A105="","falta o mês",""))))</f>
        <v/>
      </c>
    </row>
    <row r="106">
      <c r="A106" s="6" t="n"/>
      <c r="B106" s="6" t="n"/>
      <c r="C106" s="6" t="n"/>
      <c r="D106" s="7" t="n"/>
      <c r="E106" s="7" t="n"/>
      <c r="F106" s="7" t="n"/>
      <c r="G106" s="7" t="n"/>
      <c r="H106" s="8" t="n"/>
      <c r="I106" s="7" t="n"/>
      <c r="J106" s="9">
        <f>IF($D106="","",SUM($E106:$I106))</f>
        <v/>
      </c>
      <c r="K106" s="9">
        <f>IF($D106="","",$D106-$J106)</f>
        <v/>
      </c>
      <c r="L106" s="10">
        <f>IF($D106="","",0.01)</f>
        <v/>
      </c>
      <c r="M106" s="9">
        <f>IF($D106="","",ROUND($K106*$L106,2))</f>
        <v/>
      </c>
      <c r="N106" s="6" t="n"/>
      <c r="O106" s="11" t="n"/>
      <c r="P106" s="6" t="n"/>
      <c r="Q106" s="12">
        <f>IF($D106="","",IF($J106&gt;$D106,"custos maiores que o contrato",IF(AND($N106="Pago",$O106=""),"marcado como pago, sem a data",IF($A106="","falta o mês",""))))</f>
        <v/>
      </c>
    </row>
    <row r="107">
      <c r="A107" s="13" t="n"/>
      <c r="B107" s="13" t="n"/>
      <c r="C107" s="13" t="n"/>
      <c r="D107" s="14" t="n"/>
      <c r="E107" s="14" t="n"/>
      <c r="F107" s="14" t="n"/>
      <c r="G107" s="14" t="n"/>
      <c r="H107" s="8" t="n"/>
      <c r="I107" s="14" t="n"/>
      <c r="J107" s="9">
        <f>IF($D107="","",SUM($E107:$I107))</f>
        <v/>
      </c>
      <c r="K107" s="9">
        <f>IF($D107="","",$D107-$J107)</f>
        <v/>
      </c>
      <c r="L107" s="15">
        <f>IF($D107="","",0.01)</f>
        <v/>
      </c>
      <c r="M107" s="9">
        <f>IF($D107="","",ROUND($K107*$L107,2))</f>
        <v/>
      </c>
      <c r="N107" s="13" t="n"/>
      <c r="O107" s="16" t="n"/>
      <c r="P107" s="13" t="n"/>
      <c r="Q107" s="12">
        <f>IF($D107="","",IF($J107&gt;$D107,"custos maiores que o contrato",IF(AND($N107="Pago",$O107=""),"marcado como pago, sem a data",IF($A107="","falta o mês",""))))</f>
        <v/>
      </c>
    </row>
    <row r="108">
      <c r="A108" s="6" t="n"/>
      <c r="B108" s="6" t="n"/>
      <c r="C108" s="6" t="n"/>
      <c r="D108" s="7" t="n"/>
      <c r="E108" s="7" t="n"/>
      <c r="F108" s="7" t="n"/>
      <c r="G108" s="7" t="n"/>
      <c r="H108" s="8" t="n"/>
      <c r="I108" s="7" t="n"/>
      <c r="J108" s="9">
        <f>IF($D108="","",SUM($E108:$I108))</f>
        <v/>
      </c>
      <c r="K108" s="9">
        <f>IF($D108="","",$D108-$J108)</f>
        <v/>
      </c>
      <c r="L108" s="10">
        <f>IF($D108="","",0.01)</f>
        <v/>
      </c>
      <c r="M108" s="9">
        <f>IF($D108="","",ROUND($K108*$L108,2))</f>
        <v/>
      </c>
      <c r="N108" s="6" t="n"/>
      <c r="O108" s="11" t="n"/>
      <c r="P108" s="6" t="n"/>
      <c r="Q108" s="12">
        <f>IF($D108="","",IF($J108&gt;$D108,"custos maiores que o contrato",IF(AND($N108="Pago",$O108=""),"marcado como pago, sem a data",IF($A108="","falta o mês",""))))</f>
        <v/>
      </c>
    </row>
    <row r="109">
      <c r="A109" s="13" t="n"/>
      <c r="B109" s="13" t="n"/>
      <c r="C109" s="13" t="n"/>
      <c r="D109" s="14" t="n"/>
      <c r="E109" s="14" t="n"/>
      <c r="F109" s="14" t="n"/>
      <c r="G109" s="14" t="n"/>
      <c r="H109" s="8" t="n"/>
      <c r="I109" s="14" t="n"/>
      <c r="J109" s="9">
        <f>IF($D109="","",SUM($E109:$I109))</f>
        <v/>
      </c>
      <c r="K109" s="9">
        <f>IF($D109="","",$D109-$J109)</f>
        <v/>
      </c>
      <c r="L109" s="15">
        <f>IF($D109="","",0.01)</f>
        <v/>
      </c>
      <c r="M109" s="9">
        <f>IF($D109="","",ROUND($K109*$L109,2))</f>
        <v/>
      </c>
      <c r="N109" s="13" t="n"/>
      <c r="O109" s="16" t="n"/>
      <c r="P109" s="13" t="n"/>
      <c r="Q109" s="12">
        <f>IF($D109="","",IF($J109&gt;$D109,"custos maiores que o contrato",IF(AND($N109="Pago",$O109=""),"marcado como pago, sem a data",IF($A109="","falta o mês",""))))</f>
        <v/>
      </c>
    </row>
    <row r="110">
      <c r="A110" s="6" t="n"/>
      <c r="B110" s="6" t="n"/>
      <c r="C110" s="6" t="n"/>
      <c r="D110" s="7" t="n"/>
      <c r="E110" s="7" t="n"/>
      <c r="F110" s="7" t="n"/>
      <c r="G110" s="7" t="n"/>
      <c r="H110" s="8" t="n"/>
      <c r="I110" s="7" t="n"/>
      <c r="J110" s="9">
        <f>IF($D110="","",SUM($E110:$I110))</f>
        <v/>
      </c>
      <c r="K110" s="9">
        <f>IF($D110="","",$D110-$J110)</f>
        <v/>
      </c>
      <c r="L110" s="10">
        <f>IF($D110="","",0.01)</f>
        <v/>
      </c>
      <c r="M110" s="9">
        <f>IF($D110="","",ROUND($K110*$L110,2))</f>
        <v/>
      </c>
      <c r="N110" s="6" t="n"/>
      <c r="O110" s="11" t="n"/>
      <c r="P110" s="6" t="n"/>
      <c r="Q110" s="12">
        <f>IF($D110="","",IF($J110&gt;$D110,"custos maiores que o contrato",IF(AND($N110="Pago",$O110=""),"marcado como pago, sem a data",IF($A110="","falta o mês",""))))</f>
        <v/>
      </c>
    </row>
    <row r="111">
      <c r="A111" s="13" t="n"/>
      <c r="B111" s="13" t="n"/>
      <c r="C111" s="13" t="n"/>
      <c r="D111" s="14" t="n"/>
      <c r="E111" s="14" t="n"/>
      <c r="F111" s="14" t="n"/>
      <c r="G111" s="14" t="n"/>
      <c r="H111" s="8" t="n"/>
      <c r="I111" s="14" t="n"/>
      <c r="J111" s="9">
        <f>IF($D111="","",SUM($E111:$I111))</f>
        <v/>
      </c>
      <c r="K111" s="9">
        <f>IF($D111="","",$D111-$J111)</f>
        <v/>
      </c>
      <c r="L111" s="15">
        <f>IF($D111="","",0.01)</f>
        <v/>
      </c>
      <c r="M111" s="9">
        <f>IF($D111="","",ROUND($K111*$L111,2))</f>
        <v/>
      </c>
      <c r="N111" s="13" t="n"/>
      <c r="O111" s="16" t="n"/>
      <c r="P111" s="13" t="n"/>
      <c r="Q111" s="12">
        <f>IF($D111="","",IF($J111&gt;$D111,"custos maiores que o contrato",IF(AND($N111="Pago",$O111=""),"marcado como pago, sem a data",IF($A111="","falta o mês",""))))</f>
        <v/>
      </c>
    </row>
    <row r="112">
      <c r="A112" s="6" t="n"/>
      <c r="B112" s="6" t="n"/>
      <c r="C112" s="6" t="n"/>
      <c r="D112" s="7" t="n"/>
      <c r="E112" s="7" t="n"/>
      <c r="F112" s="7" t="n"/>
      <c r="G112" s="7" t="n"/>
      <c r="H112" s="8" t="n"/>
      <c r="I112" s="7" t="n"/>
      <c r="J112" s="9">
        <f>IF($D112="","",SUM($E112:$I112))</f>
        <v/>
      </c>
      <c r="K112" s="9">
        <f>IF($D112="","",$D112-$J112)</f>
        <v/>
      </c>
      <c r="L112" s="10">
        <f>IF($D112="","",0.01)</f>
        <v/>
      </c>
      <c r="M112" s="9">
        <f>IF($D112="","",ROUND($K112*$L112,2))</f>
        <v/>
      </c>
      <c r="N112" s="6" t="n"/>
      <c r="O112" s="11" t="n"/>
      <c r="P112" s="6" t="n"/>
      <c r="Q112" s="12">
        <f>IF($D112="","",IF($J112&gt;$D112,"custos maiores que o contrato",IF(AND($N112="Pago",$O112=""),"marcado como pago, sem a data",IF($A112="","falta o mês",""))))</f>
        <v/>
      </c>
    </row>
    <row r="113">
      <c r="A113" s="13" t="n"/>
      <c r="B113" s="13" t="n"/>
      <c r="C113" s="13" t="n"/>
      <c r="D113" s="14" t="n"/>
      <c r="E113" s="14" t="n"/>
      <c r="F113" s="14" t="n"/>
      <c r="G113" s="14" t="n"/>
      <c r="H113" s="8" t="n"/>
      <c r="I113" s="14" t="n"/>
      <c r="J113" s="9">
        <f>IF($D113="","",SUM($E113:$I113))</f>
        <v/>
      </c>
      <c r="K113" s="9">
        <f>IF($D113="","",$D113-$J113)</f>
        <v/>
      </c>
      <c r="L113" s="15">
        <f>IF($D113="","",0.01)</f>
        <v/>
      </c>
      <c r="M113" s="9">
        <f>IF($D113="","",ROUND($K113*$L113,2))</f>
        <v/>
      </c>
      <c r="N113" s="13" t="n"/>
      <c r="O113" s="16" t="n"/>
      <c r="P113" s="13" t="n"/>
      <c r="Q113" s="12">
        <f>IF($D113="","",IF($J113&gt;$D113,"custos maiores que o contrato",IF(AND($N113="Pago",$O113=""),"marcado como pago, sem a data",IF($A113="","falta o mês",""))))</f>
        <v/>
      </c>
    </row>
    <row r="114">
      <c r="A114" s="6" t="n"/>
      <c r="B114" s="6" t="n"/>
      <c r="C114" s="6" t="n"/>
      <c r="D114" s="7" t="n"/>
      <c r="E114" s="7" t="n"/>
      <c r="F114" s="7" t="n"/>
      <c r="G114" s="7" t="n"/>
      <c r="H114" s="8" t="n"/>
      <c r="I114" s="7" t="n"/>
      <c r="J114" s="9">
        <f>IF($D114="","",SUM($E114:$I114))</f>
        <v/>
      </c>
      <c r="K114" s="9">
        <f>IF($D114="","",$D114-$J114)</f>
        <v/>
      </c>
      <c r="L114" s="10">
        <f>IF($D114="","",0.01)</f>
        <v/>
      </c>
      <c r="M114" s="9">
        <f>IF($D114="","",ROUND($K114*$L114,2))</f>
        <v/>
      </c>
      <c r="N114" s="6" t="n"/>
      <c r="O114" s="11" t="n"/>
      <c r="P114" s="6" t="n"/>
      <c r="Q114" s="12">
        <f>IF($D114="","",IF($J114&gt;$D114,"custos maiores que o contrato",IF(AND($N114="Pago",$O114=""),"marcado como pago, sem a data",IF($A114="","falta o mês",""))))</f>
        <v/>
      </c>
    </row>
    <row r="115">
      <c r="A115" s="13" t="n"/>
      <c r="B115" s="13" t="n"/>
      <c r="C115" s="13" t="n"/>
      <c r="D115" s="14" t="n"/>
      <c r="E115" s="14" t="n"/>
      <c r="F115" s="14" t="n"/>
      <c r="G115" s="14" t="n"/>
      <c r="H115" s="8" t="n"/>
      <c r="I115" s="14" t="n"/>
      <c r="J115" s="9">
        <f>IF($D115="","",SUM($E115:$I115))</f>
        <v/>
      </c>
      <c r="K115" s="9">
        <f>IF($D115="","",$D115-$J115)</f>
        <v/>
      </c>
      <c r="L115" s="15">
        <f>IF($D115="","",0.01)</f>
        <v/>
      </c>
      <c r="M115" s="9">
        <f>IF($D115="","",ROUND($K115*$L115,2))</f>
        <v/>
      </c>
      <c r="N115" s="13" t="n"/>
      <c r="O115" s="16" t="n"/>
      <c r="P115" s="13" t="n"/>
      <c r="Q115" s="12">
        <f>IF($D115="","",IF($J115&gt;$D115,"custos maiores que o contrato",IF(AND($N115="Pago",$O115=""),"marcado como pago, sem a data",IF($A115="","falta o mês",""))))</f>
        <v/>
      </c>
    </row>
    <row r="116">
      <c r="A116" s="6" t="n"/>
      <c r="B116" s="6" t="n"/>
      <c r="C116" s="6" t="n"/>
      <c r="D116" s="7" t="n"/>
      <c r="E116" s="7" t="n"/>
      <c r="F116" s="7" t="n"/>
      <c r="G116" s="7" t="n"/>
      <c r="H116" s="8" t="n"/>
      <c r="I116" s="7" t="n"/>
      <c r="J116" s="9">
        <f>IF($D116="","",SUM($E116:$I116))</f>
        <v/>
      </c>
      <c r="K116" s="9">
        <f>IF($D116="","",$D116-$J116)</f>
        <v/>
      </c>
      <c r="L116" s="10">
        <f>IF($D116="","",0.01)</f>
        <v/>
      </c>
      <c r="M116" s="9">
        <f>IF($D116="","",ROUND($K116*$L116,2))</f>
        <v/>
      </c>
      <c r="N116" s="6" t="n"/>
      <c r="O116" s="11" t="n"/>
      <c r="P116" s="6" t="n"/>
      <c r="Q116" s="12">
        <f>IF($D116="","",IF($J116&gt;$D116,"custos maiores que o contrato",IF(AND($N116="Pago",$O116=""),"marcado como pago, sem a data",IF($A116="","falta o mês",""))))</f>
        <v/>
      </c>
    </row>
    <row r="117">
      <c r="A117" s="13" t="n"/>
      <c r="B117" s="13" t="n"/>
      <c r="C117" s="13" t="n"/>
      <c r="D117" s="14" t="n"/>
      <c r="E117" s="14" t="n"/>
      <c r="F117" s="14" t="n"/>
      <c r="G117" s="14" t="n"/>
      <c r="H117" s="8" t="n"/>
      <c r="I117" s="14" t="n"/>
      <c r="J117" s="9">
        <f>IF($D117="","",SUM($E117:$I117))</f>
        <v/>
      </c>
      <c r="K117" s="9">
        <f>IF($D117="","",$D117-$J117)</f>
        <v/>
      </c>
      <c r="L117" s="15">
        <f>IF($D117="","",0.01)</f>
        <v/>
      </c>
      <c r="M117" s="9">
        <f>IF($D117="","",ROUND($K117*$L117,2))</f>
        <v/>
      </c>
      <c r="N117" s="13" t="n"/>
      <c r="O117" s="16" t="n"/>
      <c r="P117" s="13" t="n"/>
      <c r="Q117" s="12">
        <f>IF($D117="","",IF($J117&gt;$D117,"custos maiores que o contrato",IF(AND($N117="Pago",$O117=""),"marcado como pago, sem a data",IF($A117="","falta o mês",""))))</f>
        <v/>
      </c>
    </row>
    <row r="118">
      <c r="A118" s="6" t="n"/>
      <c r="B118" s="6" t="n"/>
      <c r="C118" s="6" t="n"/>
      <c r="D118" s="7" t="n"/>
      <c r="E118" s="7" t="n"/>
      <c r="F118" s="7" t="n"/>
      <c r="G118" s="7" t="n"/>
      <c r="H118" s="8" t="n"/>
      <c r="I118" s="7" t="n"/>
      <c r="J118" s="9">
        <f>IF($D118="","",SUM($E118:$I118))</f>
        <v/>
      </c>
      <c r="K118" s="9">
        <f>IF($D118="","",$D118-$J118)</f>
        <v/>
      </c>
      <c r="L118" s="10">
        <f>IF($D118="","",0.01)</f>
        <v/>
      </c>
      <c r="M118" s="9">
        <f>IF($D118="","",ROUND($K118*$L118,2))</f>
        <v/>
      </c>
      <c r="N118" s="6" t="n"/>
      <c r="O118" s="11" t="n"/>
      <c r="P118" s="6" t="n"/>
      <c r="Q118" s="12">
        <f>IF($D118="","",IF($J118&gt;$D118,"custos maiores que o contrato",IF(AND($N118="Pago",$O118=""),"marcado como pago, sem a data",IF($A118="","falta o mês",""))))</f>
        <v/>
      </c>
    </row>
    <row r="119">
      <c r="A119" s="13" t="n"/>
      <c r="B119" s="13" t="n"/>
      <c r="C119" s="13" t="n"/>
      <c r="D119" s="14" t="n"/>
      <c r="E119" s="14" t="n"/>
      <c r="F119" s="14" t="n"/>
      <c r="G119" s="14" t="n"/>
      <c r="H119" s="8" t="n"/>
      <c r="I119" s="14" t="n"/>
      <c r="J119" s="9">
        <f>IF($D119="","",SUM($E119:$I119))</f>
        <v/>
      </c>
      <c r="K119" s="9">
        <f>IF($D119="","",$D119-$J119)</f>
        <v/>
      </c>
      <c r="L119" s="15">
        <f>IF($D119="","",0.01)</f>
        <v/>
      </c>
      <c r="M119" s="9">
        <f>IF($D119="","",ROUND($K119*$L119,2))</f>
        <v/>
      </c>
      <c r="N119" s="13" t="n"/>
      <c r="O119" s="16" t="n"/>
      <c r="P119" s="13" t="n"/>
      <c r="Q119" s="12">
        <f>IF($D119="","",IF($J119&gt;$D119,"custos maiores que o contrato",IF(AND($N119="Pago",$O119=""),"marcado como pago, sem a data",IF($A119="","falta o mês",""))))</f>
        <v/>
      </c>
    </row>
    <row r="120">
      <c r="A120" s="6" t="n"/>
      <c r="B120" s="6" t="n"/>
      <c r="C120" s="6" t="n"/>
      <c r="D120" s="7" t="n"/>
      <c r="E120" s="7" t="n"/>
      <c r="F120" s="7" t="n"/>
      <c r="G120" s="7" t="n"/>
      <c r="H120" s="8" t="n"/>
      <c r="I120" s="7" t="n"/>
      <c r="J120" s="9">
        <f>IF($D120="","",SUM($E120:$I120))</f>
        <v/>
      </c>
      <c r="K120" s="9">
        <f>IF($D120="","",$D120-$J120)</f>
        <v/>
      </c>
      <c r="L120" s="10">
        <f>IF($D120="","",0.01)</f>
        <v/>
      </c>
      <c r="M120" s="9">
        <f>IF($D120="","",ROUND($K120*$L120,2))</f>
        <v/>
      </c>
      <c r="N120" s="6" t="n"/>
      <c r="O120" s="11" t="n"/>
      <c r="P120" s="6" t="n"/>
      <c r="Q120" s="12">
        <f>IF($D120="","",IF($J120&gt;$D120,"custos maiores que o contrato",IF(AND($N120="Pago",$O120=""),"marcado como pago, sem a data",IF($A120="","falta o mês",""))))</f>
        <v/>
      </c>
    </row>
    <row r="121">
      <c r="A121" s="13" t="n"/>
      <c r="B121" s="13" t="n"/>
      <c r="C121" s="13" t="n"/>
      <c r="D121" s="14" t="n"/>
      <c r="E121" s="14" t="n"/>
      <c r="F121" s="14" t="n"/>
      <c r="G121" s="14" t="n"/>
      <c r="H121" s="8" t="n"/>
      <c r="I121" s="14" t="n"/>
      <c r="J121" s="9">
        <f>IF($D121="","",SUM($E121:$I121))</f>
        <v/>
      </c>
      <c r="K121" s="9">
        <f>IF($D121="","",$D121-$J121)</f>
        <v/>
      </c>
      <c r="L121" s="15">
        <f>IF($D121="","",0.01)</f>
        <v/>
      </c>
      <c r="M121" s="9">
        <f>IF($D121="","",ROUND($K121*$L121,2))</f>
        <v/>
      </c>
      <c r="N121" s="13" t="n"/>
      <c r="O121" s="16" t="n"/>
      <c r="P121" s="13" t="n"/>
      <c r="Q121" s="12">
        <f>IF($D121="","",IF($J121&gt;$D121,"custos maiores que o contrato",IF(AND($N121="Pago",$O121=""),"marcado como pago, sem a data",IF($A121="","falta o mês",""))))</f>
        <v/>
      </c>
    </row>
    <row r="122">
      <c r="A122" s="6" t="n"/>
      <c r="B122" s="6" t="n"/>
      <c r="C122" s="6" t="n"/>
      <c r="D122" s="7" t="n"/>
      <c r="E122" s="7" t="n"/>
      <c r="F122" s="7" t="n"/>
      <c r="G122" s="7" t="n"/>
      <c r="H122" s="8" t="n"/>
      <c r="I122" s="7" t="n"/>
      <c r="J122" s="9">
        <f>IF($D122="","",SUM($E122:$I122))</f>
        <v/>
      </c>
      <c r="K122" s="9">
        <f>IF($D122="","",$D122-$J122)</f>
        <v/>
      </c>
      <c r="L122" s="10">
        <f>IF($D122="","",0.01)</f>
        <v/>
      </c>
      <c r="M122" s="9">
        <f>IF($D122="","",ROUND($K122*$L122,2))</f>
        <v/>
      </c>
      <c r="N122" s="6" t="n"/>
      <c r="O122" s="11" t="n"/>
      <c r="P122" s="6" t="n"/>
      <c r="Q122" s="12">
        <f>IF($D122="","",IF($J122&gt;$D122,"custos maiores que o contrato",IF(AND($N122="Pago",$O122=""),"marcado como pago, sem a data",IF($A122="","falta o mês",""))))</f>
        <v/>
      </c>
    </row>
    <row r="123">
      <c r="A123" s="13" t="n"/>
      <c r="B123" s="13" t="n"/>
      <c r="C123" s="13" t="n"/>
      <c r="D123" s="14" t="n"/>
      <c r="E123" s="14" t="n"/>
      <c r="F123" s="14" t="n"/>
      <c r="G123" s="14" t="n"/>
      <c r="H123" s="8" t="n"/>
      <c r="I123" s="14" t="n"/>
      <c r="J123" s="9">
        <f>IF($D123="","",SUM($E123:$I123))</f>
        <v/>
      </c>
      <c r="K123" s="9">
        <f>IF($D123="","",$D123-$J123)</f>
        <v/>
      </c>
      <c r="L123" s="15">
        <f>IF($D123="","",0.01)</f>
        <v/>
      </c>
      <c r="M123" s="9">
        <f>IF($D123="","",ROUND($K123*$L123,2))</f>
        <v/>
      </c>
      <c r="N123" s="13" t="n"/>
      <c r="O123" s="16" t="n"/>
      <c r="P123" s="13" t="n"/>
      <c r="Q123" s="12">
        <f>IF($D123="","",IF($J123&gt;$D123,"custos maiores que o contrato",IF(AND($N123="Pago",$O123=""),"marcado como pago, sem a data",IF($A123="","falta o mês",""))))</f>
        <v/>
      </c>
    </row>
  </sheetData>
  <autoFilter ref="A3:Q123"/>
  <mergeCells count="2">
    <mergeCell ref="A2:Q2"/>
    <mergeCell ref="A1:Q1"/>
  </mergeCells>
  <conditionalFormatting sqref="N4:N123">
    <cfRule type="expression" priority="1" dxfId="0">
      <formula>$N4="Pago"</formula>
    </cfRule>
    <cfRule type="expression" priority="2" dxfId="1">
      <formula>$N4="Em aberto"</formula>
    </cfRule>
    <cfRule type="expression" priority="3" dxfId="2">
      <formula>$N4="Previsto"</formula>
    </cfRule>
  </conditionalFormatting>
  <conditionalFormatting sqref="Q4:Q123">
    <cfRule type="expression" priority="4" dxfId="3">
      <formula>$Q4&lt;&gt;""</formula>
    </cfRule>
  </conditionalFormatting>
  <dataValidations count="2">
    <dataValidation sqref="A4:A123" showDropDown="0" showInputMessage="0" showErrorMessage="0" allowBlank="1" errorTitle="Valor fora da lista" error="Escolha um valor da lista." type="list">
      <formula1>"Jan,Fev,Mar,Abr,Mai,Jun,Jul,Ago,Set,Out,Nov,Dez"</formula1>
    </dataValidation>
    <dataValidation sqref="N4:N123" showDropDown="0" showInputMessage="0" showErrorMessage="0" allowBlank="1" errorTitle="Valor fora da lista" error="Escolha um valor da lista." type="list">
      <formula1>"Previsto,Em aberto,Pago"</formula1>
    </dataValidation>
  </dataValidations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16314F"/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8" customHeight="1">
      <c r="A1" s="1" t="inlineStr">
        <is>
          <t>PAINEL   ·   LUCAS</t>
        </is>
      </c>
    </row>
    <row r="2" ht="19" customHeight="1">
      <c r="A2" s="2" t="inlineStr">
        <is>
          <t>Tudo se calcula a partir da aba Comissões. Nada se digita aqui.</t>
        </is>
      </c>
    </row>
    <row r="4" ht="20" customHeight="1">
      <c r="B4" s="17" t="inlineStr">
        <is>
          <t>NO ANO</t>
        </is>
      </c>
    </row>
    <row r="5">
      <c r="B5" s="18" t="inlineStr">
        <is>
          <t>Projetos lançados</t>
        </is>
      </c>
      <c r="D5" s="18" t="inlineStr">
        <is>
          <t>Valor de contrato</t>
        </is>
      </c>
      <c r="F5" s="18" t="inlineStr">
        <is>
          <t>Custos de venda</t>
        </is>
      </c>
      <c r="H5" s="18" t="inlineStr">
        <is>
          <t>Valor líquido</t>
        </is>
      </c>
    </row>
    <row r="6" ht="24" customHeight="1">
      <c r="B6" s="19">
        <f>COUNTIF('Comissões'!$D:$D,"&gt;0")</f>
        <v/>
      </c>
      <c r="D6" s="20">
        <f>SUM('Comissões'!$D:$D)</f>
        <v/>
      </c>
      <c r="F6" s="20">
        <f>SUM('Comissões'!$J:$J)</f>
        <v/>
      </c>
      <c r="H6" s="20">
        <f>SUM('Comissões'!$K:$K)</f>
        <v/>
      </c>
    </row>
    <row r="8">
      <c r="B8" s="18" t="inlineStr">
        <is>
          <t>Comissão total</t>
        </is>
      </c>
      <c r="D8" s="18" t="inlineStr">
        <is>
          <t>Já paga</t>
        </is>
      </c>
      <c r="F8" s="18" t="inlineStr">
        <is>
          <t>Em aberto</t>
        </is>
      </c>
      <c r="H8" s="18" t="inlineStr">
        <is>
          <t>Prevista</t>
        </is>
      </c>
    </row>
    <row r="9" ht="24" customHeight="1">
      <c r="B9" s="20">
        <f>SUM('Comissões'!$M:$M)</f>
        <v/>
      </c>
      <c r="D9" s="21">
        <f>SUMIF('Comissões'!$N:$N,"Pago",'Comissões'!$M:$M)</f>
        <v/>
      </c>
      <c r="F9" s="22">
        <f>SUMIF('Comissões'!$N:$N,"Em aberto",'Comissões'!$M:$M)</f>
        <v/>
      </c>
      <c r="H9" s="20">
        <f>SUMIF('Comissões'!$N:$N,"Previsto",'Comissões'!$M:$M)</f>
        <v/>
      </c>
    </row>
    <row r="11" ht="20" customHeight="1">
      <c r="B11" s="17" t="inlineStr">
        <is>
          <t>MÊS A MÊS</t>
        </is>
      </c>
    </row>
    <row r="12" ht="22" customHeight="1">
      <c r="B12" s="23" t="inlineStr">
        <is>
          <t>Mês</t>
        </is>
      </c>
      <c r="C12" s="23" t="inlineStr">
        <is>
          <t>Projetos</t>
        </is>
      </c>
      <c r="D12" s="23" t="inlineStr">
        <is>
          <t>Contrato</t>
        </is>
      </c>
      <c r="E12" s="23" t="inlineStr">
        <is>
          <t>Líquido</t>
        </is>
      </c>
      <c r="F12" s="23" t="inlineStr">
        <is>
          <t>Comissão</t>
        </is>
      </c>
      <c r="G12" s="23" t="inlineStr">
        <is>
          <t>Paga</t>
        </is>
      </c>
      <c r="H12" s="23" t="inlineStr">
        <is>
          <t>Em aberto</t>
        </is>
      </c>
    </row>
    <row r="13">
      <c r="B13" s="24" t="inlineStr">
        <is>
          <t>Janeiro</t>
        </is>
      </c>
      <c r="C13" s="25">
        <f>COUNTIFS('Comissões'!$A:$A,"Jan",'Comissões'!$D:$D,"&gt;0")</f>
        <v/>
      </c>
      <c r="D13" s="26">
        <f>SUMIF('Comissões'!$A:$A,"Jan",'Comissões'!$D:$D)</f>
        <v/>
      </c>
      <c r="E13" s="26">
        <f>SUMIF('Comissões'!$A:$A,"Jan",'Comissões'!$K:$K)</f>
        <v/>
      </c>
      <c r="F13" s="26">
        <f>SUMIF('Comissões'!$A:$A,"Jan",'Comissões'!$M:$M)</f>
        <v/>
      </c>
      <c r="G13" s="26">
        <f>SUMIFS('Comissões'!$M:$M,'Comissões'!$A:$A,"Jan",'Comissões'!$N:$N,"Pago")</f>
        <v/>
      </c>
      <c r="H13" s="26">
        <f>SUMIFS('Comissões'!$M:$M,'Comissões'!$A:$A,"Jan",'Comissões'!$N:$N,"Em aberto")</f>
        <v/>
      </c>
    </row>
    <row r="14">
      <c r="B14" s="27" t="inlineStr">
        <is>
          <t>Fevereiro</t>
        </is>
      </c>
      <c r="C14" s="28">
        <f>COUNTIFS('Comissões'!$A:$A,"Fev",'Comissões'!$D:$D,"&gt;0")</f>
        <v/>
      </c>
      <c r="D14" s="29">
        <f>SUMIF('Comissões'!$A:$A,"Fev",'Comissões'!$D:$D)</f>
        <v/>
      </c>
      <c r="E14" s="29">
        <f>SUMIF('Comissões'!$A:$A,"Fev",'Comissões'!$K:$K)</f>
        <v/>
      </c>
      <c r="F14" s="29">
        <f>SUMIF('Comissões'!$A:$A,"Fev",'Comissões'!$M:$M)</f>
        <v/>
      </c>
      <c r="G14" s="29">
        <f>SUMIFS('Comissões'!$M:$M,'Comissões'!$A:$A,"Fev",'Comissões'!$N:$N,"Pago")</f>
        <v/>
      </c>
      <c r="H14" s="29">
        <f>SUMIFS('Comissões'!$M:$M,'Comissões'!$A:$A,"Fev",'Comissões'!$N:$N,"Em aberto")</f>
        <v/>
      </c>
    </row>
    <row r="15">
      <c r="B15" s="24" t="inlineStr">
        <is>
          <t>Março</t>
        </is>
      </c>
      <c r="C15" s="25">
        <f>COUNTIFS('Comissões'!$A:$A,"Mar",'Comissões'!$D:$D,"&gt;0")</f>
        <v/>
      </c>
      <c r="D15" s="26">
        <f>SUMIF('Comissões'!$A:$A,"Mar",'Comissões'!$D:$D)</f>
        <v/>
      </c>
      <c r="E15" s="26">
        <f>SUMIF('Comissões'!$A:$A,"Mar",'Comissões'!$K:$K)</f>
        <v/>
      </c>
      <c r="F15" s="26">
        <f>SUMIF('Comissões'!$A:$A,"Mar",'Comissões'!$M:$M)</f>
        <v/>
      </c>
      <c r="G15" s="26">
        <f>SUMIFS('Comissões'!$M:$M,'Comissões'!$A:$A,"Mar",'Comissões'!$N:$N,"Pago")</f>
        <v/>
      </c>
      <c r="H15" s="26">
        <f>SUMIFS('Comissões'!$M:$M,'Comissões'!$A:$A,"Mar",'Comissões'!$N:$N,"Em aberto")</f>
        <v/>
      </c>
    </row>
    <row r="16">
      <c r="B16" s="27" t="inlineStr">
        <is>
          <t>Abril</t>
        </is>
      </c>
      <c r="C16" s="28">
        <f>COUNTIFS('Comissões'!$A:$A,"Abr",'Comissões'!$D:$D,"&gt;0")</f>
        <v/>
      </c>
      <c r="D16" s="29">
        <f>SUMIF('Comissões'!$A:$A,"Abr",'Comissões'!$D:$D)</f>
        <v/>
      </c>
      <c r="E16" s="29">
        <f>SUMIF('Comissões'!$A:$A,"Abr",'Comissões'!$K:$K)</f>
        <v/>
      </c>
      <c r="F16" s="29">
        <f>SUMIF('Comissões'!$A:$A,"Abr",'Comissões'!$M:$M)</f>
        <v/>
      </c>
      <c r="G16" s="29">
        <f>SUMIFS('Comissões'!$M:$M,'Comissões'!$A:$A,"Abr",'Comissões'!$N:$N,"Pago")</f>
        <v/>
      </c>
      <c r="H16" s="29">
        <f>SUMIFS('Comissões'!$M:$M,'Comissões'!$A:$A,"Abr",'Comissões'!$N:$N,"Em aberto")</f>
        <v/>
      </c>
    </row>
    <row r="17">
      <c r="B17" s="24" t="inlineStr">
        <is>
          <t>Maio</t>
        </is>
      </c>
      <c r="C17" s="25">
        <f>COUNTIFS('Comissões'!$A:$A,"Mai",'Comissões'!$D:$D,"&gt;0")</f>
        <v/>
      </c>
      <c r="D17" s="26">
        <f>SUMIF('Comissões'!$A:$A,"Mai",'Comissões'!$D:$D)</f>
        <v/>
      </c>
      <c r="E17" s="26">
        <f>SUMIF('Comissões'!$A:$A,"Mai",'Comissões'!$K:$K)</f>
        <v/>
      </c>
      <c r="F17" s="26">
        <f>SUMIF('Comissões'!$A:$A,"Mai",'Comissões'!$M:$M)</f>
        <v/>
      </c>
      <c r="G17" s="26">
        <f>SUMIFS('Comissões'!$M:$M,'Comissões'!$A:$A,"Mai",'Comissões'!$N:$N,"Pago")</f>
        <v/>
      </c>
      <c r="H17" s="26">
        <f>SUMIFS('Comissões'!$M:$M,'Comissões'!$A:$A,"Mai",'Comissões'!$N:$N,"Em aberto")</f>
        <v/>
      </c>
    </row>
    <row r="18">
      <c r="B18" s="27" t="inlineStr">
        <is>
          <t>Junho</t>
        </is>
      </c>
      <c r="C18" s="28">
        <f>COUNTIFS('Comissões'!$A:$A,"Jun",'Comissões'!$D:$D,"&gt;0")</f>
        <v/>
      </c>
      <c r="D18" s="29">
        <f>SUMIF('Comissões'!$A:$A,"Jun",'Comissões'!$D:$D)</f>
        <v/>
      </c>
      <c r="E18" s="29">
        <f>SUMIF('Comissões'!$A:$A,"Jun",'Comissões'!$K:$K)</f>
        <v/>
      </c>
      <c r="F18" s="29">
        <f>SUMIF('Comissões'!$A:$A,"Jun",'Comissões'!$M:$M)</f>
        <v/>
      </c>
      <c r="G18" s="29">
        <f>SUMIFS('Comissões'!$M:$M,'Comissões'!$A:$A,"Jun",'Comissões'!$N:$N,"Pago")</f>
        <v/>
      </c>
      <c r="H18" s="29">
        <f>SUMIFS('Comissões'!$M:$M,'Comissões'!$A:$A,"Jun",'Comissões'!$N:$N,"Em aberto")</f>
        <v/>
      </c>
    </row>
    <row r="19">
      <c r="B19" s="24" t="inlineStr">
        <is>
          <t>Julho</t>
        </is>
      </c>
      <c r="C19" s="25">
        <f>COUNTIFS('Comissões'!$A:$A,"Jul",'Comissões'!$D:$D,"&gt;0")</f>
        <v/>
      </c>
      <c r="D19" s="26">
        <f>SUMIF('Comissões'!$A:$A,"Jul",'Comissões'!$D:$D)</f>
        <v/>
      </c>
      <c r="E19" s="26">
        <f>SUMIF('Comissões'!$A:$A,"Jul",'Comissões'!$K:$K)</f>
        <v/>
      </c>
      <c r="F19" s="26">
        <f>SUMIF('Comissões'!$A:$A,"Jul",'Comissões'!$M:$M)</f>
        <v/>
      </c>
      <c r="G19" s="26">
        <f>SUMIFS('Comissões'!$M:$M,'Comissões'!$A:$A,"Jul",'Comissões'!$N:$N,"Pago")</f>
        <v/>
      </c>
      <c r="H19" s="26">
        <f>SUMIFS('Comissões'!$M:$M,'Comissões'!$A:$A,"Jul",'Comissões'!$N:$N,"Em aberto")</f>
        <v/>
      </c>
    </row>
    <row r="20">
      <c r="B20" s="27" t="inlineStr">
        <is>
          <t>Agosto</t>
        </is>
      </c>
      <c r="C20" s="28">
        <f>COUNTIFS('Comissões'!$A:$A,"Ago",'Comissões'!$D:$D,"&gt;0")</f>
        <v/>
      </c>
      <c r="D20" s="29">
        <f>SUMIF('Comissões'!$A:$A,"Ago",'Comissões'!$D:$D)</f>
        <v/>
      </c>
      <c r="E20" s="29">
        <f>SUMIF('Comissões'!$A:$A,"Ago",'Comissões'!$K:$K)</f>
        <v/>
      </c>
      <c r="F20" s="29">
        <f>SUMIF('Comissões'!$A:$A,"Ago",'Comissões'!$M:$M)</f>
        <v/>
      </c>
      <c r="G20" s="29">
        <f>SUMIFS('Comissões'!$M:$M,'Comissões'!$A:$A,"Ago",'Comissões'!$N:$N,"Pago")</f>
        <v/>
      </c>
      <c r="H20" s="29">
        <f>SUMIFS('Comissões'!$M:$M,'Comissões'!$A:$A,"Ago",'Comissões'!$N:$N,"Em aberto")</f>
        <v/>
      </c>
    </row>
    <row r="21">
      <c r="B21" s="24" t="inlineStr">
        <is>
          <t>Setembro</t>
        </is>
      </c>
      <c r="C21" s="25">
        <f>COUNTIFS('Comissões'!$A:$A,"Set",'Comissões'!$D:$D,"&gt;0")</f>
        <v/>
      </c>
      <c r="D21" s="26">
        <f>SUMIF('Comissões'!$A:$A,"Set",'Comissões'!$D:$D)</f>
        <v/>
      </c>
      <c r="E21" s="26">
        <f>SUMIF('Comissões'!$A:$A,"Set",'Comissões'!$K:$K)</f>
        <v/>
      </c>
      <c r="F21" s="26">
        <f>SUMIF('Comissões'!$A:$A,"Set",'Comissões'!$M:$M)</f>
        <v/>
      </c>
      <c r="G21" s="26">
        <f>SUMIFS('Comissões'!$M:$M,'Comissões'!$A:$A,"Set",'Comissões'!$N:$N,"Pago")</f>
        <v/>
      </c>
      <c r="H21" s="26">
        <f>SUMIFS('Comissões'!$M:$M,'Comissões'!$A:$A,"Set",'Comissões'!$N:$N,"Em aberto")</f>
        <v/>
      </c>
    </row>
    <row r="22">
      <c r="B22" s="27" t="inlineStr">
        <is>
          <t>Outubro</t>
        </is>
      </c>
      <c r="C22" s="28">
        <f>COUNTIFS('Comissões'!$A:$A,"Out",'Comissões'!$D:$D,"&gt;0")</f>
        <v/>
      </c>
      <c r="D22" s="29">
        <f>SUMIF('Comissões'!$A:$A,"Out",'Comissões'!$D:$D)</f>
        <v/>
      </c>
      <c r="E22" s="29">
        <f>SUMIF('Comissões'!$A:$A,"Out",'Comissões'!$K:$K)</f>
        <v/>
      </c>
      <c r="F22" s="29">
        <f>SUMIF('Comissões'!$A:$A,"Out",'Comissões'!$M:$M)</f>
        <v/>
      </c>
      <c r="G22" s="29">
        <f>SUMIFS('Comissões'!$M:$M,'Comissões'!$A:$A,"Out",'Comissões'!$N:$N,"Pago")</f>
        <v/>
      </c>
      <c r="H22" s="29">
        <f>SUMIFS('Comissões'!$M:$M,'Comissões'!$A:$A,"Out",'Comissões'!$N:$N,"Em aberto")</f>
        <v/>
      </c>
    </row>
    <row r="23">
      <c r="B23" s="24" t="inlineStr">
        <is>
          <t>Novembro</t>
        </is>
      </c>
      <c r="C23" s="25">
        <f>COUNTIFS('Comissões'!$A:$A,"Nov",'Comissões'!$D:$D,"&gt;0")</f>
        <v/>
      </c>
      <c r="D23" s="26">
        <f>SUMIF('Comissões'!$A:$A,"Nov",'Comissões'!$D:$D)</f>
        <v/>
      </c>
      <c r="E23" s="26">
        <f>SUMIF('Comissões'!$A:$A,"Nov",'Comissões'!$K:$K)</f>
        <v/>
      </c>
      <c r="F23" s="26">
        <f>SUMIF('Comissões'!$A:$A,"Nov",'Comissões'!$M:$M)</f>
        <v/>
      </c>
      <c r="G23" s="26">
        <f>SUMIFS('Comissões'!$M:$M,'Comissões'!$A:$A,"Nov",'Comissões'!$N:$N,"Pago")</f>
        <v/>
      </c>
      <c r="H23" s="26">
        <f>SUMIFS('Comissões'!$M:$M,'Comissões'!$A:$A,"Nov",'Comissões'!$N:$N,"Em aberto")</f>
        <v/>
      </c>
    </row>
    <row r="24">
      <c r="B24" s="27" t="inlineStr">
        <is>
          <t>Dezembro</t>
        </is>
      </c>
      <c r="C24" s="28">
        <f>COUNTIFS('Comissões'!$A:$A,"Dez",'Comissões'!$D:$D,"&gt;0")</f>
        <v/>
      </c>
      <c r="D24" s="29">
        <f>SUMIF('Comissões'!$A:$A,"Dez",'Comissões'!$D:$D)</f>
        <v/>
      </c>
      <c r="E24" s="29">
        <f>SUMIF('Comissões'!$A:$A,"Dez",'Comissões'!$K:$K)</f>
        <v/>
      </c>
      <c r="F24" s="29">
        <f>SUMIF('Comissões'!$A:$A,"Dez",'Comissões'!$M:$M)</f>
        <v/>
      </c>
      <c r="G24" s="29">
        <f>SUMIFS('Comissões'!$M:$M,'Comissões'!$A:$A,"Dez",'Comissões'!$N:$N,"Pago")</f>
        <v/>
      </c>
      <c r="H24" s="29">
        <f>SUMIFS('Comissões'!$M:$M,'Comissões'!$A:$A,"Dez",'Comissões'!$N:$N,"Em aberto")</f>
        <v/>
      </c>
    </row>
    <row r="25">
      <c r="B25" s="30" t="inlineStr">
        <is>
          <t>Total do ano</t>
        </is>
      </c>
      <c r="C25" s="31">
        <f>SUM(C13:C24)</f>
        <v/>
      </c>
      <c r="D25" s="32">
        <f>SUM(D13:D24)</f>
        <v/>
      </c>
      <c r="E25" s="32">
        <f>SUM(E13:E24)</f>
        <v/>
      </c>
      <c r="F25" s="32">
        <f>SUM(F13:F24)</f>
        <v/>
      </c>
      <c r="G25" s="32">
        <f>SUM(G13:G24)</f>
        <v/>
      </c>
      <c r="H25" s="32">
        <f>SUM(H13:H24)</f>
        <v/>
      </c>
    </row>
  </sheetData>
  <mergeCells count="20">
    <mergeCell ref="F6:G6"/>
    <mergeCell ref="A1:H1"/>
    <mergeCell ref="H9:I9"/>
    <mergeCell ref="D6:E6"/>
    <mergeCell ref="H6:I6"/>
    <mergeCell ref="B4:H4"/>
    <mergeCell ref="F5:G5"/>
    <mergeCell ref="B8:C8"/>
    <mergeCell ref="F8:G8"/>
    <mergeCell ref="A2:H2"/>
    <mergeCell ref="B11:H11"/>
    <mergeCell ref="B9:C9"/>
    <mergeCell ref="D9:E9"/>
    <mergeCell ref="F9:G9"/>
    <mergeCell ref="D8:E8"/>
    <mergeCell ref="B6:C6"/>
    <mergeCell ref="B5:C5"/>
    <mergeCell ref="D5:E5"/>
    <mergeCell ref="H5:I5"/>
    <mergeCell ref="H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7785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86" customWidth="1" min="3" max="3"/>
  </cols>
  <sheetData>
    <row r="1" ht="28" customHeight="1">
      <c r="A1" s="1" t="inlineStr">
        <is>
          <t>COMO A COMISSÃO É CALCULADA</t>
        </is>
      </c>
    </row>
    <row r="2" ht="19" customHeight="1">
      <c r="A2" s="2" t="inlineStr">
        <is>
          <t>A mesma regra para todos os projetos. Qualquer dúvida se resolve olhando esta aba.</t>
        </is>
      </c>
    </row>
    <row r="4" ht="46" customHeight="1">
      <c r="B4" s="33" t="inlineStr">
        <is>
          <t>A conta</t>
        </is>
      </c>
      <c r="C4" s="34" t="inlineStr">
        <is>
          <t>A comissão incide sobre o VALOR LÍQUIDO do projeto, nunca sobre o valor de contrato. Líquido = contrato − RT − taxa de máquina − nota fiscal − comissão do vendedor − outros custos de venda.</t>
        </is>
      </c>
    </row>
    <row r="5" ht="46" customHeight="1">
      <c r="B5" s="33" t="inlineStr">
        <is>
          <t>O percentual</t>
        </is>
      </c>
      <c r="C5" s="34" t="inlineStr">
        <is>
          <t>1% sobre o líquido. A coluna "%" existe em cada linha porque um projeto pode ter percentual diferente — quando houver, o combinado é anotado ali antes do lançamento.</t>
        </is>
      </c>
    </row>
    <row r="6" ht="46" customHeight="1">
      <c r="B6" s="33" t="inlineStr">
        <is>
          <t>Custos de venda</t>
        </is>
      </c>
      <c r="C6" s="34" t="inlineStr">
        <is>
          <t>São os custos que a venda carrega e que não ficam com a empresa: RT da arquiteta ou decoradora, taxa da máquina de cartão, imposto da nota fiscal, a comissão do vendedor e eventuais outros. Cada um tem a sua coluna, para ficar à vista de onde saiu.</t>
        </is>
      </c>
    </row>
    <row r="7" ht="46" customHeight="1">
      <c r="B7" s="33" t="inlineStr">
        <is>
          <t>Status</t>
        </is>
      </c>
      <c r="C7" s="34" t="inlineStr">
        <is>
          <t>PREVISTO — o projeto está lançado mas a comissão ainda não entrou na fila de pagamento. EM ABERTO — está na fila, a pagar. PAGO — pago, com data e referência preenchidas.</t>
        </is>
      </c>
    </row>
    <row r="8" ht="46" customHeight="1">
      <c r="B8" s="33" t="inlineStr">
        <is>
          <t>Quem preenche</t>
        </is>
      </c>
      <c r="C8" s="34" t="inlineStr">
        <is>
          <t>A Valvic lança e atualiza. A planilha é compartilhada com o projetista para acompanhamento — conferir é bem-vindo; qualquer divergência se fala antes do pagamento.</t>
        </is>
      </c>
    </row>
    <row r="9" ht="46" customHeight="1">
      <c r="B9" s="33" t="inlineStr">
        <is>
          <t>A coluna Conferir</t>
        </is>
      </c>
      <c r="C9" s="34" t="inlineStr">
        <is>
          <t>Acende sozinha quando falta o mês, quando o projeto está marcado como pago sem data, ou quando os custos de venda somam mais que o contrato. É uma rede contra erro de digitação.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2026-10-03T16:21:05Z</dcterms:created>
  <dcterms:modified xsi:type="dcterms:W3CDTF">2026-10-03T16:21:06Z</dcterms:modified>
</cp:coreProperties>
</file>