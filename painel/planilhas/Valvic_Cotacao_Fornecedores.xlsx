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Pedido de Cotação" sheetId="3" state="visible" r:id="rId3"/>
    <sheet name="Exemplo" sheetId="4" state="visible" r:id="rId4"/>
    <sheet name="Mapa de Cotações" sheetId="5" state="visible" r:id="rId5"/>
    <sheet name="Listas" sheetId="6" state="visible" r:id="rId6"/>
  </sheets>
  <definedNames>
    <definedName name="_xlnm.Print_Area" localSheetId="0">'Instruções'!$A$1:$F$68</definedName>
    <definedName name="_xlnm.Print_Area" localSheetId="1">'Cotação'!$A$1:$T$70</definedName>
    <definedName name="_xlnm.Print_Area" localSheetId="2">'Pedido de Cotação'!$A$1:$H$66</definedName>
    <definedName name="_xlnm.Print_Area" localSheetId="3">'Exemplo'!$A$1:$T$70</definedName>
    <definedName name="_xlnm.Print_Area" localSheetId="4">'Mapa de Cotações'!$A$1:$O$95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.0%"/>
    <numFmt numFmtId="166" formatCode="R$ #,##0.00"/>
    <numFmt numFmtId="167" formatCode="#,##0.##"/>
    <numFmt numFmtId="168" formatCode="0 &quot;dias&quot;"/>
    <numFmt numFmtId="169" formatCode="R$ #,##0"/>
  </numFmts>
  <fonts count="4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8"/>
    </font>
    <font>
      <name val="Arial"/>
      <b val="1"/>
      <color rgb="0016314F"/>
      <sz val="10.5"/>
    </font>
    <font>
      <name val="Arial"/>
      <b val="1"/>
      <color rgb="000E2038"/>
      <sz val="9"/>
    </font>
    <font>
      <name val="Arial"/>
      <b val="1"/>
      <color rgb="000E2038"/>
      <sz val="9.5"/>
    </font>
    <font>
      <name val="Arial"/>
      <color rgb="006C7785"/>
      <sz val="8.5"/>
    </font>
    <font>
      <name val="Arial"/>
      <b val="1"/>
      <color rgb="00FFFFFF"/>
      <sz val="9"/>
    </font>
    <font>
      <name val="Arial"/>
      <b val="1"/>
      <color rgb="000E2038"/>
      <sz val="11"/>
    </font>
    <font>
      <name val="Arial"/>
      <color rgb="001B2733"/>
      <sz val="8.5"/>
    </font>
    <font>
      <name val="Arial"/>
      <b val="1"/>
      <color rgb="00FFFFFF"/>
      <sz val="10"/>
    </font>
    <font>
      <name val="Arial"/>
      <b val="1"/>
      <color rgb="007A5B17"/>
      <sz val="9.5"/>
    </font>
    <font>
      <name val="Arial"/>
      <b val="1"/>
      <color rgb="00D8BD80"/>
      <sz val="11"/>
    </font>
    <font>
      <name val="Arial"/>
      <b val="1"/>
      <color rgb="00FFFFFF"/>
      <sz val="9.5"/>
    </font>
    <font>
      <name val="Arial"/>
      <i val="1"/>
      <color rgb="006C7785"/>
      <sz val="8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b val="1"/>
      <color rgb="0016314F"/>
      <sz val="9.5"/>
    </font>
    <font>
      <name val="Arial"/>
      <color rgb="0016314F"/>
      <sz val="9.5"/>
    </font>
    <font>
      <name val="Arial"/>
      <color rgb="007A5B17"/>
      <sz val="8.5"/>
    </font>
    <font>
      <name val="Arial"/>
      <b val="1"/>
      <color rgb="002F7D4F"/>
      <sz val="9.5"/>
    </font>
    <font>
      <name val="Arial"/>
      <color rgb="002F7D4F"/>
      <sz val="9.5"/>
    </font>
    <font>
      <name val="Arial"/>
      <b val="1"/>
      <color rgb="0016314F"/>
      <sz val="8.5"/>
    </font>
    <font>
      <name val="Arial"/>
      <color rgb="001B2733"/>
      <sz val="9"/>
    </font>
    <font>
      <name val="Arial"/>
      <b val="1"/>
      <color rgb="007A5B17"/>
      <sz val="9"/>
    </font>
    <font>
      <name val="Arial"/>
      <b val="1"/>
      <color rgb="00FFFFFF"/>
      <sz val="11.5"/>
    </font>
    <font>
      <name val="Arial"/>
      <i val="1"/>
      <color rgb="00D8BD80"/>
      <sz val="8"/>
    </font>
    <font>
      <name val="Arial"/>
      <b val="1"/>
      <color rgb="0016314F"/>
      <sz val="9"/>
    </font>
    <font>
      <name val="Arial"/>
      <b val="1"/>
      <color rgb="002F7D4F"/>
      <sz val="9"/>
    </font>
    <font>
      <name val="Arial"/>
      <b val="1"/>
      <color rgb="000E2038"/>
      <sz val="10"/>
    </font>
    <font>
      <name val="Arial"/>
      <b val="1"/>
      <color rgb="002F7D4F"/>
      <sz val="12"/>
    </font>
    <font>
      <name val="Arial"/>
      <b val="1"/>
      <color rgb="002F5D8C"/>
      <sz val="9"/>
    </font>
    <font>
      <name val="Arial"/>
      <b val="1"/>
      <color rgb="002F5D8C"/>
      <sz val="12"/>
    </font>
    <font>
      <name val="Arial"/>
      <b val="1"/>
      <color rgb="00B57A16"/>
      <sz val="9"/>
    </font>
    <font>
      <name val="Arial"/>
      <b val="1"/>
      <color rgb="00B57A16"/>
      <sz val="12"/>
    </font>
    <font>
      <name val="Arial"/>
      <i val="1"/>
      <color rgb="006C7785"/>
      <sz val="9"/>
    </font>
    <font>
      <name val="Arial"/>
      <b val="1"/>
      <color rgb="0016314F"/>
      <sz val="12"/>
    </font>
    <font>
      <name val="Arial"/>
      <color rgb="0041505D"/>
      <sz val="8.5"/>
    </font>
    <font>
      <name val="Arial"/>
      <b val="1"/>
      <color rgb="006C7785"/>
      <sz val="8.5"/>
    </font>
    <font>
      <name val="Arial"/>
      <b val="1"/>
      <color rgb="0016314F"/>
      <sz val="10"/>
    </font>
    <font>
      <name val="Arial"/>
      <color rgb="006C7785"/>
      <sz val="9"/>
    </font>
    <font>
      <name val="Arial"/>
      <color rgb="001B2733"/>
      <sz val="10"/>
    </font>
    <font>
      <name val="Arial"/>
      <color rgb="002A3744"/>
      <sz val="9"/>
    </font>
    <font>
      <name val="Arial"/>
      <b val="1"/>
      <color rgb="000E2038"/>
      <sz val="15"/>
    </font>
    <font>
      <name val="Arial"/>
      <color rgb="0041505D"/>
      <sz val="9"/>
    </font>
    <font>
      <name val="Arial"/>
      <color rgb="002A3744"/>
      <sz val="10"/>
    </font>
  </fonts>
  <fills count="11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  <fill>
      <patternFill patternType="solid">
        <fgColor rgb="00E2F0E7"/>
      </patternFill>
    </fill>
    <fill>
      <patternFill patternType="solid">
        <fgColor rgb="00E7EEF6"/>
      </patternFill>
    </fill>
    <fill>
      <patternFill patternType="solid">
        <fgColor rgb="00FBF1DC"/>
      </patternFill>
    </fill>
  </fills>
  <borders count="5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DFDACD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8" fillId="0" borderId="0" applyAlignment="1" pivotButton="0" quotePrefix="0" xfId="0">
      <alignment horizontal="left" vertical="center" wrapText="1"/>
    </xf>
    <xf numFmtId="0" fontId="27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right" vertical="center" indent="1"/>
    </xf>
    <xf numFmtId="0" fontId="0" fillId="7" borderId="1" pivotButton="0" quotePrefix="0" xfId="0"/>
    <xf numFmtId="0" fontId="11" fillId="6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9" fillId="7" borderId="1" applyAlignment="1" pivotButton="0" quotePrefix="0" xfId="0">
      <alignment horizontal="right" vertical="center" indent="1"/>
    </xf>
    <xf numFmtId="0" fontId="12" fillId="6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right" vertical="center" indent="1"/>
    </xf>
    <xf numFmtId="0" fontId="13" fillId="3" borderId="1" applyAlignment="1" pivotButton="0" quotePrefix="0" xfId="0">
      <alignment horizontal="center" vertical="center"/>
    </xf>
    <xf numFmtId="165" fontId="14" fillId="6" borderId="1" applyAlignment="1" pivotButton="0" quotePrefix="0" xfId="0">
      <alignment horizontal="center" vertical="center"/>
    </xf>
    <xf numFmtId="166" fontId="15" fillId="2" borderId="1" applyAlignment="1" pivotButton="0" quotePrefix="0" xfId="0">
      <alignment horizontal="center" vertical="center"/>
    </xf>
    <xf numFmtId="0" fontId="18" fillId="3" borderId="3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left" vertical="center" indent="1"/>
    </xf>
    <xf numFmtId="0" fontId="19" fillId="6" borderId="1" applyAlignment="1" pivotButton="0" quotePrefix="0" xfId="0">
      <alignment horizontal="center" vertical="center"/>
    </xf>
    <xf numFmtId="167" fontId="20" fillId="6" borderId="1" applyAlignment="1" pivotButton="0" quotePrefix="0" xfId="0">
      <alignment horizontal="center" vertical="center"/>
    </xf>
    <xf numFmtId="166" fontId="21" fillId="6" borderId="1" applyAlignment="1" pivotButton="0" quotePrefix="0" xfId="0">
      <alignment horizontal="right" vertical="center" indent="1"/>
    </xf>
    <xf numFmtId="165" fontId="22" fillId="6" borderId="1" applyAlignment="1" pivotButton="0" quotePrefix="0" xfId="0">
      <alignment horizontal="center" vertical="center"/>
    </xf>
    <xf numFmtId="166" fontId="21" fillId="7" borderId="1" applyAlignment="1" pivotButton="0" quotePrefix="0" xfId="0">
      <alignment horizontal="right" vertical="center" indent="1"/>
    </xf>
    <xf numFmtId="166" fontId="24" fillId="7" borderId="1" applyAlignment="1" pivotButton="0" quotePrefix="0" xfId="0">
      <alignment horizontal="right" vertical="center" indent="1"/>
    </xf>
    <xf numFmtId="166" fontId="23" fillId="7" borderId="1" applyAlignment="1" pivotButton="0" quotePrefix="0" xfId="0">
      <alignment horizontal="right" vertical="center" indent="1"/>
    </xf>
    <xf numFmtId="0" fontId="25" fillId="7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center" indent="1"/>
    </xf>
    <xf numFmtId="0" fontId="26" fillId="5" borderId="1" applyAlignment="1" pivotButton="0" quotePrefix="0" xfId="0">
      <alignment horizontal="right" vertical="center" indent="1"/>
    </xf>
    <xf numFmtId="0" fontId="0" fillId="5" borderId="1" pivotButton="0" quotePrefix="0" xfId="0"/>
    <xf numFmtId="0" fontId="21" fillId="7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left" vertical="center" wrapText="1" indent="1"/>
    </xf>
    <xf numFmtId="0" fontId="30" fillId="7" borderId="1" applyAlignment="1" pivotButton="0" quotePrefix="0" xfId="0">
      <alignment horizontal="center" vertical="center"/>
    </xf>
    <xf numFmtId="166" fontId="21" fillId="7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right" vertical="center" indent="1"/>
    </xf>
    <xf numFmtId="0" fontId="0" fillId="4" borderId="1" pivotButton="0" quotePrefix="0" xfId="0"/>
    <xf numFmtId="166" fontId="14" fillId="6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right" vertical="center" indent="1"/>
    </xf>
    <xf numFmtId="166" fontId="2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9" fillId="3" borderId="1" applyAlignment="1" pivotButton="0" quotePrefix="0" xfId="0">
      <alignment horizontal="left" vertical="center" wrapText="1" indent="1"/>
    </xf>
    <xf numFmtId="0" fontId="14" fillId="6" borderId="1" applyAlignment="1" pivotButton="0" quotePrefix="0" xfId="0">
      <alignment horizontal="center" vertical="center"/>
    </xf>
    <xf numFmtId="168" fontId="14" fillId="6" borderId="1" applyAlignment="1" pivotButton="0" quotePrefix="0" xfId="0">
      <alignment horizontal="center" vertical="center"/>
    </xf>
    <xf numFmtId="164" fontId="14" fillId="6" borderId="1" applyAlignment="1" pivotButton="0" quotePrefix="0" xfId="0">
      <alignment horizontal="center" vertical="center"/>
    </xf>
    <xf numFmtId="0" fontId="31" fillId="8" borderId="1" applyAlignment="1" pivotButton="0" quotePrefix="0" xfId="0">
      <alignment horizontal="right" vertical="center" indent="1"/>
    </xf>
    <xf numFmtId="0" fontId="0" fillId="8" borderId="1" pivotButton="0" quotePrefix="0" xfId="0"/>
    <xf numFmtId="0" fontId="32" fillId="8" borderId="1" applyAlignment="1" pivotButton="0" quotePrefix="0" xfId="0">
      <alignment horizontal="center" vertical="center"/>
    </xf>
    <xf numFmtId="166" fontId="33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right" vertical="center" indent="1"/>
    </xf>
    <xf numFmtId="0" fontId="0" fillId="9" borderId="1" pivotButton="0" quotePrefix="0" xfId="0"/>
    <xf numFmtId="0" fontId="32" fillId="9" borderId="1" applyAlignment="1" pivotButton="0" quotePrefix="0" xfId="0">
      <alignment horizontal="center" vertical="center"/>
    </xf>
    <xf numFmtId="166" fontId="3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right" vertical="center" indent="1"/>
    </xf>
    <xf numFmtId="0" fontId="0" fillId="10" borderId="1" pivotButton="0" quotePrefix="0" xfId="0"/>
    <xf numFmtId="0" fontId="32" fillId="10" borderId="1" applyAlignment="1" pivotButton="0" quotePrefix="0" xfId="0">
      <alignment horizontal="center" vertical="center"/>
    </xf>
    <xf numFmtId="166" fontId="37" fillId="10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right" vertical="center" indent="1"/>
    </xf>
    <xf numFmtId="0" fontId="38" fillId="7" borderId="1" applyAlignment="1" pivotButton="0" quotePrefix="0" xfId="0">
      <alignment horizontal="center" vertical="center"/>
    </xf>
    <xf numFmtId="166" fontId="39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left" vertical="center" wrapText="1" indent="1"/>
    </xf>
    <xf numFmtId="0" fontId="41" fillId="5" borderId="0" applyAlignment="1" pivotButton="0" quotePrefix="0" xfId="0">
      <alignment horizontal="right" vertical="center" indent="1"/>
    </xf>
    <xf numFmtId="0" fontId="42" fillId="6" borderId="1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 indent="1"/>
    </xf>
    <xf numFmtId="0" fontId="43" fillId="5" borderId="1" applyAlignment="1" pivotButton="0" quotePrefix="0" xfId="0">
      <alignment horizontal="right" vertical="center" indent="1"/>
    </xf>
    <xf numFmtId="0" fontId="42" fillId="7" borderId="1" applyAlignment="1" pivotButton="0" quotePrefix="0" xfId="0">
      <alignment horizontal="left" vertical="center" indent="1"/>
    </xf>
    <xf numFmtId="164" fontId="42" fillId="7" borderId="1" applyAlignment="1" pivotButton="0" quotePrefix="0" xfId="0">
      <alignment horizontal="left" vertical="center" indent="1"/>
    </xf>
    <xf numFmtId="0" fontId="44" fillId="6" borderId="1" applyAlignment="1" pivotButton="0" quotePrefix="0" xfId="0">
      <alignment horizontal="left" vertical="center" indent="1"/>
    </xf>
    <xf numFmtId="0" fontId="19" fillId="7" borderId="1" applyAlignment="1" pivotButton="0" quotePrefix="0" xfId="0">
      <alignment horizontal="left" vertical="center" indent="1"/>
    </xf>
    <xf numFmtId="0" fontId="19" fillId="7" borderId="1" applyAlignment="1" pivotButton="0" quotePrefix="0" xfId="0">
      <alignment horizontal="center" vertical="center"/>
    </xf>
    <xf numFmtId="167" fontId="19" fillId="7" borderId="1" applyAlignment="1" pivotButton="0" quotePrefix="0" xfId="0">
      <alignment horizontal="center" vertical="center"/>
    </xf>
    <xf numFmtId="166" fontId="19" fillId="6" borderId="1" applyAlignment="1" pivotButton="0" quotePrefix="0" xfId="0">
      <alignment horizontal="right" vertical="center" indent="1"/>
    </xf>
    <xf numFmtId="0" fontId="32" fillId="4" borderId="1" applyAlignment="1" pivotButton="0" quotePrefix="0" xfId="0">
      <alignment horizontal="right" vertical="center" indent="1"/>
    </xf>
    <xf numFmtId="166" fontId="11" fillId="4" borderId="1" applyAlignment="1" pivotButton="0" quotePrefix="0" xfId="0">
      <alignment horizontal="right" vertical="center" indent="1"/>
    </xf>
    <xf numFmtId="0" fontId="19" fillId="5" borderId="1" applyAlignment="1" pivotButton="0" quotePrefix="0" xfId="0">
      <alignment horizontal="right" vertical="center" indent="1"/>
    </xf>
    <xf numFmtId="166" fontId="42" fillId="6" borderId="1" applyAlignment="1" pivotButton="0" quotePrefix="0" xfId="0">
      <alignment horizontal="left" vertical="center" indent="1"/>
    </xf>
    <xf numFmtId="0" fontId="42" fillId="6" borderId="1" applyAlignment="1" pivotButton="0" quotePrefix="0" xfId="0">
      <alignment horizontal="left" vertical="center" indent="1"/>
    </xf>
    <xf numFmtId="168" fontId="42" fillId="6" borderId="1" applyAlignment="1" pivotButton="0" quotePrefix="0" xfId="0">
      <alignment horizontal="left" vertical="center" indent="1"/>
    </xf>
    <xf numFmtId="164" fontId="42" fillId="6" borderId="1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center" vertical="center"/>
    </xf>
    <xf numFmtId="0" fontId="45" fillId="5" borderId="0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1" fontId="46" fillId="4" borderId="1" applyAlignment="1" pivotButton="0" quotePrefix="0" xfId="0">
      <alignment horizontal="center" vertical="center"/>
    </xf>
    <xf numFmtId="169" fontId="46" fillId="4" borderId="1" applyAlignment="1" pivotButton="0" quotePrefix="0" xfId="0">
      <alignment horizontal="center" vertical="center"/>
    </xf>
    <xf numFmtId="165" fontId="46" fillId="4" borderId="1" applyAlignment="1" pivotButton="0" quotePrefix="0" xfId="0">
      <alignment horizontal="center" vertical="center"/>
    </xf>
    <xf numFmtId="164" fontId="19" fillId="6" borderId="1" applyAlignment="1" pivotButton="0" quotePrefix="0" xfId="0">
      <alignment horizontal="center" vertical="center"/>
    </xf>
    <xf numFmtId="1" fontId="19" fillId="6" borderId="1" applyAlignment="1" pivotButton="0" quotePrefix="0" xfId="0">
      <alignment horizontal="center" vertical="center"/>
    </xf>
    <xf numFmtId="165" fontId="21" fillId="7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44" fillId="0" borderId="4" pivotButton="0" quotePrefix="0" xfId="0"/>
    <xf numFmtId="0" fontId="47" fillId="0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FBE7E6"/>
        </patternFill>
      </fill>
    </dxf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FFFFFF"/>
      </font>
      <fill>
        <patternFill patternType="solid">
          <fgColor rgb="002F7D4F"/>
        </patternFill>
      </fill>
    </dxf>
    <dxf>
      <font>
        <b val="1"/>
        <color rgb="00FFFFFF"/>
      </font>
      <fill>
        <patternFill patternType="solid">
          <fgColor rgb="00B57A16"/>
        </patternFill>
      </fill>
    </dxf>
    <dxf>
      <font>
        <b val="1"/>
        <color rgb="000E2038"/>
      </font>
      <fill>
        <patternFill patternType="solid">
          <fgColor rgb="00C2A05A"/>
        </patternFill>
      </fill>
    </dxf>
    <dxf>
      <font>
        <color rgb="00B0413F"/>
      </font>
      <fill>
        <patternFill patternType="solid">
          <fgColor rgb="00FBE7E6"/>
        </patternFill>
      </fill>
    </dxf>
    <dxf>
      <fill>
        <patternFill patternType="solid">
          <fgColor rgb="00FDF3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Cotação comparativa de fornecedores · demandas pontuais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O QUE ESTA PLANILHA RESOLVE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Você tem uma demanda pontual — ferragens de uma obra, um lote de chapas, um serviço terceirizado — e precisa comparar até quatro fornecedores sem se perder em conversa de WhatsApp.</t>
        </is>
      </c>
    </row>
    <row r="9" ht="30" customHeight="1">
      <c r="A9" s="10" t="inlineStr">
        <is>
          <t xml:space="preserve">   Ela faz quatro coisas que a conta de cabeça não faz: mostra quem tem o pedido COMPLETO, põe todo mundo no mesmo critério de imposto, mostra o custo real depois do frete, e separa o preço À VISTA do preço A PRAZO.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Clique com o botão direito na aba "Cotação" → Mover ou copiar → marque "Criar uma cópia". Renomeie a cópia (ex.: COT-2026-015 Chapas).</t>
        </is>
      </c>
    </row>
    <row r="14" ht="24" customHeight="1">
      <c r="A14" s="10" t="inlineStr">
        <is>
          <t xml:space="preserve">   2 · Na cópia, preencha a identificação (número, demanda, solicitante, data, prazo de resposta).</t>
        </is>
      </c>
    </row>
    <row r="15" ht="30" customHeight="1">
      <c r="A15" s="10" t="inlineStr">
        <is>
          <t xml:space="preserve">   3 · Liste os itens: descrição, unidade e quantidade. Uma linha por item, com especificação clara — medida, cor, acabamento, marca de referência.</t>
        </is>
      </c>
    </row>
    <row r="16" ht="24" customHeight="1">
      <c r="A16" s="10" t="inlineStr">
        <is>
          <t xml:space="preserve">   4 · Escreva o nome dos quatro fornecedores na barra fixa e o vendedor com o contato logo abaixo.</t>
        </is>
      </c>
    </row>
    <row r="17" ht="30" customHeight="1">
      <c r="A17" s="10" t="inlineStr">
        <is>
          <t xml:space="preserve">   5 · Se quiser mandar o pedido formatado, vá na aba "Pedido de Cotação", escreva o nome da sua aba no campo do topo e salve em PDF. Ela puxa os itens sozinha.</t>
        </is>
      </c>
    </row>
    <row r="18" ht="30" customHeight="1">
      <c r="A18" s="10" t="inlineStr">
        <is>
          <t xml:space="preserve">   6 · Conforme as respostas chegam, digite só o VALOR UNITÁRIO de cada fornecedor. O total sai sozinho e a barra fixa no topo vai somando o pedido.</t>
        </is>
      </c>
    </row>
    <row r="19" ht="30" customHeight="1">
      <c r="A19" s="10" t="inlineStr">
        <is>
          <t xml:space="preserve">   7 · Preencha por fornecedor: frete, % de desconto à vista, condição e % de acréscimo a prazo, prazo de entrega e validade.</t>
        </is>
      </c>
    </row>
    <row r="20" ht="18" customHeight="1">
      <c r="A20" s="10" t="inlineStr">
        <is>
          <t xml:space="preserve">   8 · Leia o VEREDITO no rodapé e registre o resultado na aba "Mapa de Cotações".</t>
        </is>
      </c>
    </row>
    <row r="21" ht="8" customHeight="1"/>
    <row r="22" ht="20" customHeight="1">
      <c r="A22" s="8" t="inlineStr">
        <is>
          <t xml:space="preserve">  A REGRA MAIS IMPORTANTE</t>
        </is>
      </c>
      <c r="B22" s="9" t="n"/>
      <c r="C22" s="9" t="n"/>
      <c r="D22" s="9" t="n"/>
      <c r="E22" s="9" t="n"/>
      <c r="F22" s="9" t="n"/>
    </row>
    <row r="23" ht="4" customHeight="1"/>
    <row r="24" ht="24" customHeight="1">
      <c r="A24" s="10" t="inlineStr">
        <is>
          <t xml:space="preserve">   Se o fornecedor NÃO tem um item, deixe o preço em branco. Não escreva zero, não escreva traço.</t>
        </is>
      </c>
    </row>
    <row r="25" ht="30" customHeight="1">
      <c r="A25" s="10" t="inlineStr">
        <is>
          <t xml:space="preserve">   A célula fica avermelhada e o fornecedor passa a contar como PARCIAL — é assim que a planilha sabe quem entrega o pedido inteiro e quem vai te obrigar a abrir uma segunda compra.</t>
        </is>
      </c>
    </row>
    <row r="26" ht="8" customHeight="1"/>
    <row r="27" ht="20" customHeight="1">
      <c r="A27" s="8" t="inlineStr">
        <is>
          <t xml:space="preserve">  IMPOSTO QUE VEM POR FORA (A COLUNA % IMP.)</t>
        </is>
      </c>
      <c r="B27" s="9" t="n"/>
      <c r="C27" s="9" t="n"/>
      <c r="D27" s="9" t="n"/>
      <c r="E27" s="9" t="n"/>
      <c r="F27" s="9" t="n"/>
    </row>
    <row r="28" ht="4" customHeight="1"/>
    <row r="29" ht="30" customHeight="1">
      <c r="A29" s="10" t="inlineStr">
        <is>
          <t xml:space="preserve">   Fornecedor que manda "PREÇOS S/ IPI = 6,5%" está cotando mais barato do que vai cobrar. Comparar o preço dele com o de quem já cotou com imposto é comparar coisa diferente.</t>
        </is>
      </c>
    </row>
    <row r="30" ht="30" customHeight="1">
      <c r="A30" s="10" t="inlineStr">
        <is>
          <t xml:space="preserve">   Solução: escreva 6,5% no campo % IMPOSTO PADRÃO daquele fornecedor, na barra fixa. Todos os itens dele passam a ser calculados com o acréscimo.</t>
        </is>
      </c>
    </row>
    <row r="31" ht="30" customHeight="1">
      <c r="A31" s="10" t="inlineStr">
        <is>
          <t xml:space="preserve">   Item com alíquota diferente (isento, ST, importado): digite o % na coluna % IMP. daquela linha. O que está na linha manda; o padrão da barra fixa só vale quando a linha está vazia.</t>
        </is>
      </c>
    </row>
    <row r="32" ht="30" customHeight="1">
      <c r="A32" s="10" t="inlineStr">
        <is>
          <t xml:space="preserve">   A comparação entre fornecedores é sempre feita pelo TOTAL do item, já com o imposto de cada um — nunca pelo preço de tabela.</t>
        </is>
      </c>
    </row>
    <row r="33" ht="8" customHeight="1"/>
    <row r="34" ht="20" customHeight="1">
      <c r="A34" s="8" t="inlineStr">
        <is>
          <t xml:space="preserve">  A BARRA FIXA DO TOPO</t>
        </is>
      </c>
      <c r="B34" s="9" t="n"/>
      <c r="C34" s="9" t="n"/>
      <c r="D34" s="9" t="n"/>
      <c r="E34" s="9" t="n"/>
      <c r="F34" s="9" t="n"/>
    </row>
    <row r="35" ht="4" customHeight="1"/>
    <row r="36" ht="30" customHeight="1">
      <c r="A36" s="10" t="inlineStr">
        <is>
          <t xml:space="preserve">   As linhas até o cabeçalho da tabela ficam congeladas: por mais que você desça na lista de itens, os quatro fornecedores continuam à vista.</t>
        </is>
      </c>
    </row>
    <row r="37" ht="30" customHeight="1">
      <c r="A37" s="10" t="inlineStr">
        <is>
          <t xml:space="preserve">   Na barra você vê, de cada um: quantos itens ele cotou (ex.: 7/8 — verde quando está completo, âmbar quando falta), o % de imposto padrão, e o TOTAL DO PEDIDO já com imposto e frete, atualizando enquanto você digita.</t>
        </is>
      </c>
    </row>
    <row r="38" ht="30" customHeight="1">
      <c r="A38" s="10" t="inlineStr">
        <is>
          <t xml:space="preserve">   O menor total do pedido fica com fundo dourado. Desconto à vista e acréscimo a prazo entram só na apuração, mais abaixo.</t>
        </is>
      </c>
    </row>
    <row r="39" ht="8" customHeight="1"/>
    <row r="40" ht="20" customHeight="1">
      <c r="A40" s="8" t="inlineStr">
        <is>
          <t xml:space="preserve">  COMO LER O RESULTADO</t>
        </is>
      </c>
      <c r="B40" s="9" t="n"/>
      <c r="C40" s="9" t="n"/>
      <c r="D40" s="9" t="n"/>
      <c r="E40" s="9" t="n"/>
      <c r="F40" s="9" t="n"/>
    </row>
    <row r="41" ht="4" customHeight="1"/>
    <row r="42" ht="30" customHeight="1">
      <c r="A42" s="10" t="inlineStr">
        <is>
          <t xml:space="preserve">   Situação do pedido — COMPLETO (verde) atende tudo; PARCIAL (âmbar) mostra quantos itens faltam; NÃO COTOU (vermelho) não respondeu.</t>
        </is>
      </c>
    </row>
    <row r="43" ht="30" customHeight="1">
      <c r="A43" s="10" t="inlineStr">
        <is>
          <t xml:space="preserve">   Total à vista e Total a prazo — já contêm imposto, frete, desconto e acréscimo. O menor de cada linha fica com fundo dourado.</t>
        </is>
      </c>
    </row>
    <row r="44" ht="30" customHeight="1">
      <c r="A44" s="10" t="inlineStr">
        <is>
          <t xml:space="preserve">   Custo do prazo — quanto o parcelamento custa em reais. Compare com o alívio que aquele prazo dá no caixa antes de decidir.</t>
        </is>
      </c>
    </row>
    <row r="45" ht="30" customHeight="1">
      <c r="A45" s="10" t="inlineStr">
        <is>
          <t xml:space="preserve">   Melhor à vista entre os completos — este é o número que costuma valer a decisão: o mais barato que entrega tudo de uma vez.</t>
        </is>
      </c>
    </row>
    <row r="46" ht="30" customHeight="1">
      <c r="A46" s="10" t="inlineStr">
        <is>
          <t xml:space="preserve">   Compra fracionada — soma o melhor preço de cada item. É sem frete e implica várias entregas: só vale quando a diferença for grande de verdade.</t>
        </is>
      </c>
    </row>
    <row r="47" ht="30" customHeight="1">
      <c r="A47" s="10" t="inlineStr">
        <is>
          <t xml:space="preserve">   Empate: quando dois fornecedores dão exatamente o mesmo preço, a planilha aponta o que estiver mais à esquerda. Nesse caso o desempate é seu — prazo de entrega, histórico, relacionamento.</t>
        </is>
      </c>
    </row>
    <row r="48" ht="30" customHeight="1">
      <c r="A48" s="10" t="inlineStr">
        <is>
          <t xml:space="preserve">   Item sem quantidade, ou que ninguém cotou, fica fora da conta e a planilha avisa na linha da compra fracionada. Se aparecer esse aviso, volte na lista antes de decidir.</t>
        </is>
      </c>
    </row>
    <row r="49" ht="8" customHeight="1"/>
    <row r="50" ht="20" customHeight="1">
      <c r="A50" s="8" t="inlineStr">
        <is>
          <t xml:space="preserve">  O MAPA DE COTAÇÕES — O CADERNO DE BORDO</t>
        </is>
      </c>
      <c r="B50" s="9" t="n"/>
      <c r="C50" s="9" t="n"/>
      <c r="D50" s="9" t="n"/>
      <c r="E50" s="9" t="n"/>
      <c r="F50" s="9" t="n"/>
    </row>
    <row r="51" ht="4" customHeight="1"/>
    <row r="52" ht="24" customHeight="1">
      <c r="A52" s="10" t="inlineStr">
        <is>
          <t xml:space="preserve">   Cada aba de cotação morre quando a compra é fechada. O Mapa é o que sobra: uma linha por cotação, para sempre.</t>
        </is>
      </c>
    </row>
    <row r="53" ht="30" customHeight="1">
      <c r="A53" s="10" t="inlineStr">
        <is>
          <t xml:space="preserve">   Você preenche três números vindos do rodapé da cotação — a MENOR proposta recebida, a MAIOR, e quanto realmente FECHOU. A economia sai sozinha: Economia (R$) = maior proposta − valor fechado, e Economia (%) é essa diferença sobre a maior proposta. Ou seja: quanto você deixou de gastar por ter cotado em vez de aceitar a primeira resposta.</t>
        </is>
      </c>
    </row>
    <row r="54" ht="30" customHeight="1">
      <c r="A54" s="10" t="inlineStr">
        <is>
          <t xml:space="preserve">   Exemplo 1 — a cotação da aba "Exemplo" (COT-2026-014): menor R$ 3.191,71 (Ipê, que não tinha um item) · maior R$ 3.975,75 (Bigfer) · fechado R$ 3.862,93 com a JR, que atendia 100% → economia R$ 112,82 (2,8%). Cotação apertada: os quatro estavam próximos e o ganho veio de escolher quem entregava tudo.</t>
        </is>
      </c>
    </row>
    <row r="55" ht="30" customHeight="1">
      <c r="A55" s="10" t="inlineStr">
        <is>
          <t xml:space="preserve">   Exemplo 2 — negociação fora da tabela (COT-2026-012, puxadores): menor R$ 6.180,00 · maior R$ 7.940,00 · fechado R$ 5.871,00 depois de arrancar mais 5% no PIX à vista → economia R$ 2.069,00 (26,1%). O Mapa registra o que você conseguiu, não o que a planilha calculou.</t>
        </is>
      </c>
    </row>
    <row r="56" ht="30" customHeight="1">
      <c r="A56" s="10" t="inlineStr">
        <is>
          <t xml:space="preserve">   Exemplo 3 — cotação que não virou compra (COT-2026-010): menor e maior preenchidos, valor fechado em branco, situação "Cancelada". A economia fica vazia e ela não entra nos totais. Cotação cancelada continua no histórico: da próxima vez que o item voltar, o preço de julho já está ali.</t>
        </is>
      </c>
    </row>
    <row r="57" ht="30" customHeight="1">
      <c r="A57" s="10" t="inlineStr">
        <is>
          <t xml:space="preserve">   A aba já vem com seis linhas de exemplo — três fechadas, uma em análise, uma cancelada e uma aguardando fornecedor. Apague-as quando começar as suas, ou deixe até pegar o jeito.</t>
        </is>
      </c>
    </row>
    <row r="58" ht="30" customHeight="1">
      <c r="A58" s="10" t="inlineStr">
        <is>
          <t xml:space="preserve">   Os cinco números do topo se atualizam sozinhos: cotações registradas, quantas estão em aberto, o total efetivamente comprado, a economia acumulada e a economia média.</t>
        </is>
      </c>
    </row>
    <row r="59" ht="30" customHeight="1">
      <c r="A59" s="10" t="inlineStr">
        <is>
          <t xml:space="preserve">   Serve para três coisas: provar ao Walton que cotar dá dinheiro, descobrir com quem você mais fecha (é o seu poder de barganha na próxima negociação) e reencontrar a cotação antiga quando o mesmo item voltar a ser comprado.</t>
        </is>
      </c>
    </row>
    <row r="60" ht="8" customHeight="1"/>
    <row r="61" ht="20" customHeight="1">
      <c r="A61" s="8" t="inlineStr">
        <is>
          <t xml:space="preserve">  CUIDADOS</t>
        </is>
      </c>
      <c r="B61" s="9" t="n"/>
      <c r="C61" s="9" t="n"/>
      <c r="D61" s="9" t="n"/>
      <c r="E61" s="9" t="n"/>
      <c r="F61" s="9" t="n"/>
    </row>
    <row r="62" ht="4" customHeight="1"/>
    <row r="63" ht="24" customHeight="1">
      <c r="A63" s="10" t="inlineStr">
        <is>
          <t xml:space="preserve">   Preço não é a única variável: prazo de entrega atrasado na obra custa mais caro que qualquer desconto.</t>
        </is>
      </c>
    </row>
    <row r="64" ht="24" customHeight="1">
      <c r="A64" s="10" t="inlineStr">
        <is>
          <t xml:space="preserve">   Confira a validade da proposta antes de emitir o pedido — preço vencido volta diferente.</t>
        </is>
      </c>
    </row>
    <row r="65" ht="24" customHeight="1">
      <c r="A65" s="10" t="inlineStr">
        <is>
          <t xml:space="preserve">   Compare sempre a mesma especificação. Corrediça soft close de marcas diferentes não é o mesmo item.</t>
        </is>
      </c>
    </row>
    <row r="66" ht="24" customHeight="1">
      <c r="A66" s="10" t="inlineStr">
        <is>
          <t xml:space="preserve">   Compra fracionada gera um frete por fornecedor. A planilha avisa, mas a conta do frete extra é sua.</t>
        </is>
      </c>
    </row>
    <row r="67" ht="8" customHeight="1"/>
    <row r="68" ht="30" customHeight="1">
      <c r="A68" s="11" t="inlineStr">
        <is>
          <t xml:space="preserve">   Abas desta planilha:   Instruções  ·  Cotação (modelo, duplique)  ·  Pedido de Cotação (formulário A4)  ·  Exemplo (preenchido)  ·  Mapa de Cotações (registro)  ·  Listas (menus)</t>
        </is>
      </c>
      <c r="B68" s="7" t="n"/>
      <c r="C68" s="7" t="n"/>
      <c r="D68" s="7" t="n"/>
      <c r="E68" s="7" t="n"/>
      <c r="F68" s="7" t="n"/>
    </row>
  </sheetData>
  <mergeCells count="51">
    <mergeCell ref="A16:F16"/>
    <mergeCell ref="A54:F54"/>
    <mergeCell ref="A46:F46"/>
    <mergeCell ref="A66:F66"/>
    <mergeCell ref="A37:F37"/>
    <mergeCell ref="A27:F27"/>
    <mergeCell ref="A18:F18"/>
    <mergeCell ref="A50:F50"/>
    <mergeCell ref="A56:F56"/>
    <mergeCell ref="A3:F3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4:F4"/>
    <mergeCell ref="A20:F20"/>
    <mergeCell ref="A53:F53"/>
    <mergeCell ref="A29:F29"/>
    <mergeCell ref="A43:F43"/>
    <mergeCell ref="A38:F38"/>
    <mergeCell ref="A63:F63"/>
    <mergeCell ref="A52:F52"/>
    <mergeCell ref="A65:F65"/>
    <mergeCell ref="A13:F13"/>
    <mergeCell ref="A19:F19"/>
    <mergeCell ref="A44:F44"/>
    <mergeCell ref="A68:F68"/>
    <mergeCell ref="A9:F9"/>
    <mergeCell ref="A31:F31"/>
    <mergeCell ref="A58:F58"/>
    <mergeCell ref="A34:F34"/>
    <mergeCell ref="A40:F40"/>
    <mergeCell ref="A48:F48"/>
    <mergeCell ref="A30:F30"/>
    <mergeCell ref="A15:F15"/>
    <mergeCell ref="A59:F59"/>
    <mergeCell ref="A64:F64"/>
    <mergeCell ref="A24:F24"/>
    <mergeCell ref="A11:F11"/>
    <mergeCell ref="A36:F36"/>
    <mergeCell ref="A1:F1"/>
    <mergeCell ref="A45:F45"/>
    <mergeCell ref="A61:F61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showGridLines="0"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6.5" customWidth="1" min="3" max="3"/>
    <col width="8" customWidth="1" min="4" max="4"/>
    <col width="10.5" customWidth="1" min="5" max="5"/>
    <col width="7" customWidth="1" min="6" max="6"/>
    <col width="12" customWidth="1" min="7" max="7"/>
    <col width="10.5" customWidth="1" min="8" max="8"/>
    <col width="7" customWidth="1" min="9" max="9"/>
    <col width="12" customWidth="1" min="10" max="10"/>
    <col width="10.5" customWidth="1" min="11" max="11"/>
    <col width="7" customWidth="1" min="12" max="12"/>
    <col width="12" customWidth="1" min="13" max="13"/>
    <col width="10.5" customWidth="1" min="14" max="14"/>
    <col width="7" customWidth="1" min="15" max="15"/>
    <col width="12" customWidth="1" min="16" max="16"/>
    <col width="12" customWidth="1" min="17" max="17"/>
    <col width="12" customWidth="1" min="18" max="18"/>
    <col width="17" customWidth="1" min="19" max="19"/>
    <col width="20" customWidth="1" min="20" max="2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8" customHeight="1">
      <c r="A3" s="4" t="inlineStr">
        <is>
          <t>COTAÇÃO COMPARATIVA DE FORNECEDORES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17" customHeight="1">
      <c r="A4" s="6" t="inlineStr">
        <is>
          <t>Fundo creme = você preenche   ·   fundo cinza = calculado automaticamente   ·   deixe o preço em branco quando o fornecedor NÃO tiver o item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</row>
    <row r="5" ht="6" customHeight="1"/>
    <row r="6" ht="14" customHeight="1">
      <c r="A6" s="12" t="inlineStr">
        <is>
          <t>COTAÇÃO Nº</t>
        </is>
      </c>
      <c r="B6" s="13" t="n"/>
      <c r="C6" s="12" t="inlineStr">
        <is>
          <t>DEMANDA / PROJETO</t>
        </is>
      </c>
      <c r="D6" s="13" t="n"/>
      <c r="E6" s="13" t="n"/>
      <c r="F6" s="13" t="n"/>
      <c r="G6" s="13" t="n"/>
      <c r="H6" s="12" t="inlineStr">
        <is>
          <t>SOLICITANTE</t>
        </is>
      </c>
      <c r="I6" s="13" t="n"/>
      <c r="J6" s="13" t="n"/>
      <c r="K6" s="13" t="n"/>
      <c r="L6" s="12" t="inlineStr">
        <is>
          <t>DATA DA COTAÇÃO</t>
        </is>
      </c>
      <c r="M6" s="13" t="n"/>
      <c r="N6" s="13" t="n"/>
      <c r="O6" s="12" t="inlineStr">
        <is>
          <t>PRAZO PARA RESPOSTA</t>
        </is>
      </c>
      <c r="P6" s="13" t="n"/>
      <c r="Q6" s="13" t="n"/>
      <c r="R6" s="13" t="n"/>
      <c r="S6" s="13" t="n"/>
      <c r="T6" s="13" t="n"/>
    </row>
    <row r="7" ht="22" customHeight="1">
      <c r="A7" s="14" t="n"/>
      <c r="B7" s="15" t="n"/>
      <c r="C7" s="14" t="n"/>
      <c r="D7" s="15" t="n"/>
      <c r="E7" s="15" t="n"/>
      <c r="F7" s="15" t="n"/>
      <c r="G7" s="15" t="n"/>
      <c r="H7" s="14" t="n"/>
      <c r="I7" s="15" t="n"/>
      <c r="J7" s="15" t="n"/>
      <c r="K7" s="15" t="n"/>
      <c r="L7" s="16" t="n"/>
      <c r="M7" s="15" t="n"/>
      <c r="N7" s="15" t="n"/>
      <c r="O7" s="16" t="n"/>
      <c r="P7" s="15" t="n"/>
      <c r="Q7" s="15" t="n"/>
      <c r="R7" s="15" t="n"/>
      <c r="S7" s="15" t="n"/>
      <c r="T7" s="15" t="n"/>
    </row>
    <row r="8" ht="6" customHeight="1"/>
    <row r="9" ht="20" customHeight="1">
      <c r="A9" s="8" t="inlineStr">
        <is>
          <t xml:space="preserve">  COMPARATIVO DE PROPOSTAS          esta faixa fica congelada no topo — o total de cada fornecedor acompanha você enquanto digita os preços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</row>
    <row r="10" ht="26" customHeight="1">
      <c r="A10" s="17" t="inlineStr">
        <is>
          <t>FORNECEDOR  ▸</t>
        </is>
      </c>
      <c r="B10" s="18" t="n"/>
      <c r="C10" s="18" t="n"/>
      <c r="D10" s="18" t="n"/>
      <c r="E10" s="19" t="inlineStr">
        <is>
          <t>Fornecedor 1</t>
        </is>
      </c>
      <c r="F10" s="15" t="n"/>
      <c r="G10" s="15" t="n"/>
      <c r="H10" s="19" t="inlineStr">
        <is>
          <t>Fornecedor 2</t>
        </is>
      </c>
      <c r="I10" s="15" t="n"/>
      <c r="J10" s="15" t="n"/>
      <c r="K10" s="19" t="inlineStr">
        <is>
          <t>Fornecedor 3</t>
        </is>
      </c>
      <c r="L10" s="15" t="n"/>
      <c r="M10" s="15" t="n"/>
      <c r="N10" s="19" t="inlineStr">
        <is>
          <t>Fornecedor 4</t>
        </is>
      </c>
      <c r="O10" s="15" t="n"/>
      <c r="P10" s="15" t="n"/>
      <c r="Q10" s="20" t="inlineStr">
        <is>
          <t>MELHOR PREÇO POR ITEM</t>
        </is>
      </c>
      <c r="R10" s="21" t="n"/>
      <c r="S10" s="21" t="n"/>
      <c r="T10" s="21" t="n"/>
    </row>
    <row r="11" ht="20" customHeight="1">
      <c r="A11" s="22" t="inlineStr">
        <is>
          <t>Vendedor · contato  ▸</t>
        </is>
      </c>
      <c r="B11" s="18" t="n"/>
      <c r="C11" s="18" t="n"/>
      <c r="D11" s="18" t="n"/>
      <c r="E11" s="23" t="n"/>
      <c r="F11" s="15" t="n"/>
      <c r="G11" s="15" t="n"/>
      <c r="H11" s="23" t="n"/>
      <c r="I11" s="15" t="n"/>
      <c r="J11" s="15" t="n"/>
      <c r="K11" s="23" t="n"/>
      <c r="L11" s="15" t="n"/>
      <c r="M11" s="15" t="n"/>
      <c r="N11" s="23" t="n"/>
      <c r="O11" s="15" t="n"/>
      <c r="P11" s="15" t="n"/>
      <c r="Q11" s="24" t="inlineStr">
        <is>
          <t>compara pelo TOTAL do item, já com o imposto de cada um</t>
        </is>
      </c>
      <c r="R11" s="18" t="n"/>
      <c r="S11" s="18" t="n"/>
      <c r="T11" s="18" t="n"/>
    </row>
    <row r="12" ht="24" customHeight="1">
      <c r="A12" s="25" t="inlineStr">
        <is>
          <t>ITENS  ·  % IMPOSTO PADRÃO  ·  TOTAL DO PEDIDO  ▸</t>
        </is>
      </c>
      <c r="B12" s="21" t="n"/>
      <c r="C12" s="21" t="n"/>
      <c r="D12" s="21" t="n"/>
      <c r="E12" s="26">
        <f>IF(COUNTA($B$14:$B$43)=0,"",COUNT(E$14:E$43)&amp;"/"&amp;COUNTA($B$14:$B$43))</f>
        <v/>
      </c>
      <c r="F12" s="27" t="n"/>
      <c r="G12" s="28">
        <f>IF(E52="","",E52)</f>
        <v/>
      </c>
      <c r="H12" s="26">
        <f>IF(COUNTA($B$14:$B$43)=0,"",COUNT(H$14:H$43)&amp;"/"&amp;COUNTA($B$14:$B$43))</f>
        <v/>
      </c>
      <c r="I12" s="27" t="n"/>
      <c r="J12" s="28">
        <f>IF(H52="","",H52)</f>
        <v/>
      </c>
      <c r="K12" s="26">
        <f>IF(COUNTA($B$14:$B$43)=0,"",COUNT(K$14:K$43)&amp;"/"&amp;COUNTA($B$14:$B$43))</f>
        <v/>
      </c>
      <c r="L12" s="27" t="n"/>
      <c r="M12" s="28">
        <f>IF(K52="","",K52)</f>
        <v/>
      </c>
      <c r="N12" s="26">
        <f>IF(COUNTA($B$14:$B$43)=0,"",COUNT(N$14:N$43)&amp;"/"&amp;COUNTA($B$14:$B$43))</f>
        <v/>
      </c>
      <c r="O12" s="27" t="n"/>
      <c r="P12" s="28">
        <f>IF(N52="","",N52)</f>
        <v/>
      </c>
      <c r="Q12" s="24" t="inlineStr">
        <is>
          <t>total do pedido = itens + imposto + frete   ·   desconto à vista e acréscimo a prazo ficam na apuração</t>
        </is>
      </c>
      <c r="R12" s="18" t="n"/>
      <c r="S12" s="18" t="n"/>
      <c r="T12" s="18" t="n"/>
    </row>
    <row r="13" ht="34" customHeight="1">
      <c r="A13" s="29" t="inlineStr">
        <is>
          <t>#</t>
        </is>
      </c>
      <c r="B13" s="29" t="inlineStr">
        <is>
          <t>ITEM / ESPECIFICAÇÃO</t>
        </is>
      </c>
      <c r="C13" s="29" t="inlineStr">
        <is>
          <t>UN.</t>
        </is>
      </c>
      <c r="D13" s="29" t="inlineStr">
        <is>
          <t>QTD</t>
        </is>
      </c>
      <c r="E13" s="29" t="inlineStr">
        <is>
          <t>UNIT. (R$)</t>
        </is>
      </c>
      <c r="F13" s="29" t="inlineStr">
        <is>
          <t>% IMP.</t>
        </is>
      </c>
      <c r="G13" s="29" t="inlineStr">
        <is>
          <t>TOTAL (R$)</t>
        </is>
      </c>
      <c r="H13" s="29" t="inlineStr">
        <is>
          <t>UNIT. (R$)</t>
        </is>
      </c>
      <c r="I13" s="29" t="inlineStr">
        <is>
          <t>% IMP.</t>
        </is>
      </c>
      <c r="J13" s="29" t="inlineStr">
        <is>
          <t>TOTAL (R$)</t>
        </is>
      </c>
      <c r="K13" s="29" t="inlineStr">
        <is>
          <t>UNIT. (R$)</t>
        </is>
      </c>
      <c r="L13" s="29" t="inlineStr">
        <is>
          <t>% IMP.</t>
        </is>
      </c>
      <c r="M13" s="29" t="inlineStr">
        <is>
          <t>TOTAL (R$)</t>
        </is>
      </c>
      <c r="N13" s="29" t="inlineStr">
        <is>
          <t>UNIT. (R$)</t>
        </is>
      </c>
      <c r="O13" s="29" t="inlineStr">
        <is>
          <t>% IMP.</t>
        </is>
      </c>
      <c r="P13" s="29" t="inlineStr">
        <is>
          <t>TOTAL (R$)</t>
        </is>
      </c>
      <c r="Q13" s="29" t="inlineStr">
        <is>
          <t>MENOR UNIT.
C/ IMPOSTO</t>
        </is>
      </c>
      <c r="R13" s="29" t="inlineStr">
        <is>
          <t>MENOR TOTAL</t>
        </is>
      </c>
      <c r="S13" s="29" t="inlineStr">
        <is>
          <t>MELHOR FORNECEDOR</t>
        </is>
      </c>
      <c r="T13" s="29" t="inlineStr">
        <is>
          <t>OBSERVAÇÃO DO ITEM</t>
        </is>
      </c>
    </row>
    <row r="14" ht="18" customHeight="1">
      <c r="A14" s="30" t="n">
        <v>1</v>
      </c>
      <c r="B14" s="31" t="n"/>
      <c r="C14" s="32" t="n"/>
      <c r="D14" s="33" t="n"/>
      <c r="E14" s="34" t="n"/>
      <c r="F14" s="35" t="n"/>
      <c r="G14" s="36">
        <f>IF(OR($D14="",E14=""),"",ROUND($D14*E14*(1+IF(F14="",IF(F$12="",0,F$12),F14)),2))</f>
        <v/>
      </c>
      <c r="H14" s="34" t="n"/>
      <c r="I14" s="35" t="n"/>
      <c r="J14" s="36">
        <f>IF(OR($D14="",H14=""),"",ROUND($D14*H14*(1+IF(I14="",IF(I$12="",0,I$12),I14)),2))</f>
        <v/>
      </c>
      <c r="K14" s="34" t="n"/>
      <c r="L14" s="35" t="n"/>
      <c r="M14" s="36">
        <f>IF(OR($D14="",K14=""),"",ROUND($D14*K14*(1+IF(L14="",IF(L$12="",0,L$12),L14)),2))</f>
        <v/>
      </c>
      <c r="N14" s="34" t="n"/>
      <c r="O14" s="35" t="n"/>
      <c r="P14" s="36">
        <f>IF(OR($D14="",N14=""),"",ROUND($D14*N14*(1+IF(O14="",IF(O$12="",0,O$12),O14)),2))</f>
        <v/>
      </c>
      <c r="Q14" s="37">
        <f>IF(OR(R14="",$D14="",$D14=0),"",ROUND(R14/$D14,2))</f>
        <v/>
      </c>
      <c r="R14" s="38">
        <f>IF(COUNT(G14,J14,M14,P14)=0,"",MIN(G14,J14,M14,P14))</f>
        <v/>
      </c>
      <c r="S14" s="39">
        <f>IF($R14="","",IF(G14=$R14,$E$10,IF(J14=$R14,$H$10,IF(M14=$R14,$K$10,$N$10))))</f>
        <v/>
      </c>
      <c r="T14" s="40" t="n"/>
    </row>
    <row r="15" ht="18" customHeight="1">
      <c r="A15" s="30" t="n">
        <v>2</v>
      </c>
      <c r="B15" s="31" t="n"/>
      <c r="C15" s="32" t="n"/>
      <c r="D15" s="33" t="n"/>
      <c r="E15" s="34" t="n"/>
      <c r="F15" s="35" t="n"/>
      <c r="G15" s="36">
        <f>IF(OR($D15="",E15=""),"",ROUND($D15*E15*(1+IF(F15="",IF(F$12="",0,F$12),F15)),2))</f>
        <v/>
      </c>
      <c r="H15" s="34" t="n"/>
      <c r="I15" s="35" t="n"/>
      <c r="J15" s="36">
        <f>IF(OR($D15="",H15=""),"",ROUND($D15*H15*(1+IF(I15="",IF(I$12="",0,I$12),I15)),2))</f>
        <v/>
      </c>
      <c r="K15" s="34" t="n"/>
      <c r="L15" s="35" t="n"/>
      <c r="M15" s="36">
        <f>IF(OR($D15="",K15=""),"",ROUND($D15*K15*(1+IF(L15="",IF(L$12="",0,L$12),L15)),2))</f>
        <v/>
      </c>
      <c r="N15" s="34" t="n"/>
      <c r="O15" s="35" t="n"/>
      <c r="P15" s="36">
        <f>IF(OR($D15="",N15=""),"",ROUND($D15*N15*(1+IF(O15="",IF(O$12="",0,O$12),O15)),2))</f>
        <v/>
      </c>
      <c r="Q15" s="37">
        <f>IF(OR(R15="",$D15="",$D15=0),"",ROUND(R15/$D15,2))</f>
        <v/>
      </c>
      <c r="R15" s="38">
        <f>IF(COUNT(G15,J15,M15,P15)=0,"",MIN(G15,J15,M15,P15))</f>
        <v/>
      </c>
      <c r="S15" s="39">
        <f>IF($R15="","",IF(G15=$R15,$E$10,IF(J15=$R15,$H$10,IF(M15=$R15,$K$10,$N$10))))</f>
        <v/>
      </c>
      <c r="T15" s="40" t="n"/>
    </row>
    <row r="16" ht="18" customHeight="1">
      <c r="A16" s="30" t="n">
        <v>3</v>
      </c>
      <c r="B16" s="31" t="n"/>
      <c r="C16" s="32" t="n"/>
      <c r="D16" s="33" t="n"/>
      <c r="E16" s="34" t="n"/>
      <c r="F16" s="35" t="n"/>
      <c r="G16" s="36">
        <f>IF(OR($D16="",E16=""),"",ROUND($D16*E16*(1+IF(F16="",IF(F$12="",0,F$12),F16)),2))</f>
        <v/>
      </c>
      <c r="H16" s="34" t="n"/>
      <c r="I16" s="35" t="n"/>
      <c r="J16" s="36">
        <f>IF(OR($D16="",H16=""),"",ROUND($D16*H16*(1+IF(I16="",IF(I$12="",0,I$12),I16)),2))</f>
        <v/>
      </c>
      <c r="K16" s="34" t="n"/>
      <c r="L16" s="35" t="n"/>
      <c r="M16" s="36">
        <f>IF(OR($D16="",K16=""),"",ROUND($D16*K16*(1+IF(L16="",IF(L$12="",0,L$12),L16)),2))</f>
        <v/>
      </c>
      <c r="N16" s="34" t="n"/>
      <c r="O16" s="35" t="n"/>
      <c r="P16" s="36">
        <f>IF(OR($D16="",N16=""),"",ROUND($D16*N16*(1+IF(O16="",IF(O$12="",0,O$12),O16)),2))</f>
        <v/>
      </c>
      <c r="Q16" s="37">
        <f>IF(OR(R16="",$D16="",$D16=0),"",ROUND(R16/$D16,2))</f>
        <v/>
      </c>
      <c r="R16" s="38">
        <f>IF(COUNT(G16,J16,M16,P16)=0,"",MIN(G16,J16,M16,P16))</f>
        <v/>
      </c>
      <c r="S16" s="39">
        <f>IF($R16="","",IF(G16=$R16,$E$10,IF(J16=$R16,$H$10,IF(M16=$R16,$K$10,$N$10))))</f>
        <v/>
      </c>
      <c r="T16" s="40" t="n"/>
    </row>
    <row r="17" ht="18" customHeight="1">
      <c r="A17" s="30" t="n">
        <v>4</v>
      </c>
      <c r="B17" s="31" t="n"/>
      <c r="C17" s="32" t="n"/>
      <c r="D17" s="33" t="n"/>
      <c r="E17" s="34" t="n"/>
      <c r="F17" s="35" t="n"/>
      <c r="G17" s="36">
        <f>IF(OR($D17="",E17=""),"",ROUND($D17*E17*(1+IF(F17="",IF(F$12="",0,F$12),F17)),2))</f>
        <v/>
      </c>
      <c r="H17" s="34" t="n"/>
      <c r="I17" s="35" t="n"/>
      <c r="J17" s="36">
        <f>IF(OR($D17="",H17=""),"",ROUND($D17*H17*(1+IF(I17="",IF(I$12="",0,I$12),I17)),2))</f>
        <v/>
      </c>
      <c r="K17" s="34" t="n"/>
      <c r="L17" s="35" t="n"/>
      <c r="M17" s="36">
        <f>IF(OR($D17="",K17=""),"",ROUND($D17*K17*(1+IF(L17="",IF(L$12="",0,L$12),L17)),2))</f>
        <v/>
      </c>
      <c r="N17" s="34" t="n"/>
      <c r="O17" s="35" t="n"/>
      <c r="P17" s="36">
        <f>IF(OR($D17="",N17=""),"",ROUND($D17*N17*(1+IF(O17="",IF(O$12="",0,O$12),O17)),2))</f>
        <v/>
      </c>
      <c r="Q17" s="37">
        <f>IF(OR(R17="",$D17="",$D17=0),"",ROUND(R17/$D17,2))</f>
        <v/>
      </c>
      <c r="R17" s="38">
        <f>IF(COUNT(G17,J17,M17,P17)=0,"",MIN(G17,J17,M17,P17))</f>
        <v/>
      </c>
      <c r="S17" s="39">
        <f>IF($R17="","",IF(G17=$R17,$E$10,IF(J17=$R17,$H$10,IF(M17=$R17,$K$10,$N$10))))</f>
        <v/>
      </c>
      <c r="T17" s="40" t="n"/>
    </row>
    <row r="18" ht="18" customHeight="1">
      <c r="A18" s="30" t="n">
        <v>5</v>
      </c>
      <c r="B18" s="31" t="n"/>
      <c r="C18" s="32" t="n"/>
      <c r="D18" s="33" t="n"/>
      <c r="E18" s="34" t="n"/>
      <c r="F18" s="35" t="n"/>
      <c r="G18" s="36">
        <f>IF(OR($D18="",E18=""),"",ROUND($D18*E18*(1+IF(F18="",IF(F$12="",0,F$12),F18)),2))</f>
        <v/>
      </c>
      <c r="H18" s="34" t="n"/>
      <c r="I18" s="35" t="n"/>
      <c r="J18" s="36">
        <f>IF(OR($D18="",H18=""),"",ROUND($D18*H18*(1+IF(I18="",IF(I$12="",0,I$12),I18)),2))</f>
        <v/>
      </c>
      <c r="K18" s="34" t="n"/>
      <c r="L18" s="35" t="n"/>
      <c r="M18" s="36">
        <f>IF(OR($D18="",K18=""),"",ROUND($D18*K18*(1+IF(L18="",IF(L$12="",0,L$12),L18)),2))</f>
        <v/>
      </c>
      <c r="N18" s="34" t="n"/>
      <c r="O18" s="35" t="n"/>
      <c r="P18" s="36">
        <f>IF(OR($D18="",N18=""),"",ROUND($D18*N18*(1+IF(O18="",IF(O$12="",0,O$12),O18)),2))</f>
        <v/>
      </c>
      <c r="Q18" s="37">
        <f>IF(OR(R18="",$D18="",$D18=0),"",ROUND(R18/$D18,2))</f>
        <v/>
      </c>
      <c r="R18" s="38">
        <f>IF(COUNT(G18,J18,M18,P18)=0,"",MIN(G18,J18,M18,P18))</f>
        <v/>
      </c>
      <c r="S18" s="39">
        <f>IF($R18="","",IF(G18=$R18,$E$10,IF(J18=$R18,$H$10,IF(M18=$R18,$K$10,$N$10))))</f>
        <v/>
      </c>
      <c r="T18" s="40" t="n"/>
    </row>
    <row r="19" ht="18" customHeight="1">
      <c r="A19" s="30" t="n">
        <v>6</v>
      </c>
      <c r="B19" s="31" t="n"/>
      <c r="C19" s="32" t="n"/>
      <c r="D19" s="33" t="n"/>
      <c r="E19" s="34" t="n"/>
      <c r="F19" s="35" t="n"/>
      <c r="G19" s="36">
        <f>IF(OR($D19="",E19=""),"",ROUND($D19*E19*(1+IF(F19="",IF(F$12="",0,F$12),F19)),2))</f>
        <v/>
      </c>
      <c r="H19" s="34" t="n"/>
      <c r="I19" s="35" t="n"/>
      <c r="J19" s="36">
        <f>IF(OR($D19="",H19=""),"",ROUND($D19*H19*(1+IF(I19="",IF(I$12="",0,I$12),I19)),2))</f>
        <v/>
      </c>
      <c r="K19" s="34" t="n"/>
      <c r="L19" s="35" t="n"/>
      <c r="M19" s="36">
        <f>IF(OR($D19="",K19=""),"",ROUND($D19*K19*(1+IF(L19="",IF(L$12="",0,L$12),L19)),2))</f>
        <v/>
      </c>
      <c r="N19" s="34" t="n"/>
      <c r="O19" s="35" t="n"/>
      <c r="P19" s="36">
        <f>IF(OR($D19="",N19=""),"",ROUND($D19*N19*(1+IF(O19="",IF(O$12="",0,O$12),O19)),2))</f>
        <v/>
      </c>
      <c r="Q19" s="37">
        <f>IF(OR(R19="",$D19="",$D19=0),"",ROUND(R19/$D19,2))</f>
        <v/>
      </c>
      <c r="R19" s="38">
        <f>IF(COUNT(G19,J19,M19,P19)=0,"",MIN(G19,J19,M19,P19))</f>
        <v/>
      </c>
      <c r="S19" s="39">
        <f>IF($R19="","",IF(G19=$R19,$E$10,IF(J19=$R19,$H$10,IF(M19=$R19,$K$10,$N$10))))</f>
        <v/>
      </c>
      <c r="T19" s="40" t="n"/>
    </row>
    <row r="20" ht="18" customHeight="1">
      <c r="A20" s="30" t="n">
        <v>7</v>
      </c>
      <c r="B20" s="31" t="n"/>
      <c r="C20" s="32" t="n"/>
      <c r="D20" s="33" t="n"/>
      <c r="E20" s="34" t="n"/>
      <c r="F20" s="35" t="n"/>
      <c r="G20" s="36">
        <f>IF(OR($D20="",E20=""),"",ROUND($D20*E20*(1+IF(F20="",IF(F$12="",0,F$12),F20)),2))</f>
        <v/>
      </c>
      <c r="H20" s="34" t="n"/>
      <c r="I20" s="35" t="n"/>
      <c r="J20" s="36">
        <f>IF(OR($D20="",H20=""),"",ROUND($D20*H20*(1+IF(I20="",IF(I$12="",0,I$12),I20)),2))</f>
        <v/>
      </c>
      <c r="K20" s="34" t="n"/>
      <c r="L20" s="35" t="n"/>
      <c r="M20" s="36">
        <f>IF(OR($D20="",K20=""),"",ROUND($D20*K20*(1+IF(L20="",IF(L$12="",0,L$12),L20)),2))</f>
        <v/>
      </c>
      <c r="N20" s="34" t="n"/>
      <c r="O20" s="35" t="n"/>
      <c r="P20" s="36">
        <f>IF(OR($D20="",N20=""),"",ROUND($D20*N20*(1+IF(O20="",IF(O$12="",0,O$12),O20)),2))</f>
        <v/>
      </c>
      <c r="Q20" s="37">
        <f>IF(OR(R20="",$D20="",$D20=0),"",ROUND(R20/$D20,2))</f>
        <v/>
      </c>
      <c r="R20" s="38">
        <f>IF(COUNT(G20,J20,M20,P20)=0,"",MIN(G20,J20,M20,P20))</f>
        <v/>
      </c>
      <c r="S20" s="39">
        <f>IF($R20="","",IF(G20=$R20,$E$10,IF(J20=$R20,$H$10,IF(M20=$R20,$K$10,$N$10))))</f>
        <v/>
      </c>
      <c r="T20" s="40" t="n"/>
    </row>
    <row r="21" ht="18" customHeight="1">
      <c r="A21" s="30" t="n">
        <v>8</v>
      </c>
      <c r="B21" s="31" t="n"/>
      <c r="C21" s="32" t="n"/>
      <c r="D21" s="33" t="n"/>
      <c r="E21" s="34" t="n"/>
      <c r="F21" s="35" t="n"/>
      <c r="G21" s="36">
        <f>IF(OR($D21="",E21=""),"",ROUND($D21*E21*(1+IF(F21="",IF(F$12="",0,F$12),F21)),2))</f>
        <v/>
      </c>
      <c r="H21" s="34" t="n"/>
      <c r="I21" s="35" t="n"/>
      <c r="J21" s="36">
        <f>IF(OR($D21="",H21=""),"",ROUND($D21*H21*(1+IF(I21="",IF(I$12="",0,I$12),I21)),2))</f>
        <v/>
      </c>
      <c r="K21" s="34" t="n"/>
      <c r="L21" s="35" t="n"/>
      <c r="M21" s="36">
        <f>IF(OR($D21="",K21=""),"",ROUND($D21*K21*(1+IF(L21="",IF(L$12="",0,L$12),L21)),2))</f>
        <v/>
      </c>
      <c r="N21" s="34" t="n"/>
      <c r="O21" s="35" t="n"/>
      <c r="P21" s="36">
        <f>IF(OR($D21="",N21=""),"",ROUND($D21*N21*(1+IF(O21="",IF(O$12="",0,O$12),O21)),2))</f>
        <v/>
      </c>
      <c r="Q21" s="37">
        <f>IF(OR(R21="",$D21="",$D21=0),"",ROUND(R21/$D21,2))</f>
        <v/>
      </c>
      <c r="R21" s="38">
        <f>IF(COUNT(G21,J21,M21,P21)=0,"",MIN(G21,J21,M21,P21))</f>
        <v/>
      </c>
      <c r="S21" s="39">
        <f>IF($R21="","",IF(G21=$R21,$E$10,IF(J21=$R21,$H$10,IF(M21=$R21,$K$10,$N$10))))</f>
        <v/>
      </c>
      <c r="T21" s="40" t="n"/>
    </row>
    <row r="22" ht="18" customHeight="1">
      <c r="A22" s="30" t="n">
        <v>9</v>
      </c>
      <c r="B22" s="31" t="n"/>
      <c r="C22" s="32" t="n"/>
      <c r="D22" s="33" t="n"/>
      <c r="E22" s="34" t="n"/>
      <c r="F22" s="35" t="n"/>
      <c r="G22" s="36">
        <f>IF(OR($D22="",E22=""),"",ROUND($D22*E22*(1+IF(F22="",IF(F$12="",0,F$12),F22)),2))</f>
        <v/>
      </c>
      <c r="H22" s="34" t="n"/>
      <c r="I22" s="35" t="n"/>
      <c r="J22" s="36">
        <f>IF(OR($D22="",H22=""),"",ROUND($D22*H22*(1+IF(I22="",IF(I$12="",0,I$12),I22)),2))</f>
        <v/>
      </c>
      <c r="K22" s="34" t="n"/>
      <c r="L22" s="35" t="n"/>
      <c r="M22" s="36">
        <f>IF(OR($D22="",K22=""),"",ROUND($D22*K22*(1+IF(L22="",IF(L$12="",0,L$12),L22)),2))</f>
        <v/>
      </c>
      <c r="N22" s="34" t="n"/>
      <c r="O22" s="35" t="n"/>
      <c r="P22" s="36">
        <f>IF(OR($D22="",N22=""),"",ROUND($D22*N22*(1+IF(O22="",IF(O$12="",0,O$12),O22)),2))</f>
        <v/>
      </c>
      <c r="Q22" s="37">
        <f>IF(OR(R22="",$D22="",$D22=0),"",ROUND(R22/$D22,2))</f>
        <v/>
      </c>
      <c r="R22" s="38">
        <f>IF(COUNT(G22,J22,M22,P22)=0,"",MIN(G22,J22,M22,P22))</f>
        <v/>
      </c>
      <c r="S22" s="39">
        <f>IF($R22="","",IF(G22=$R22,$E$10,IF(J22=$R22,$H$10,IF(M22=$R22,$K$10,$N$10))))</f>
        <v/>
      </c>
      <c r="T22" s="40" t="n"/>
    </row>
    <row r="23" ht="18" customHeight="1">
      <c r="A23" s="30" t="n">
        <v>10</v>
      </c>
      <c r="B23" s="31" t="n"/>
      <c r="C23" s="32" t="n"/>
      <c r="D23" s="33" t="n"/>
      <c r="E23" s="34" t="n"/>
      <c r="F23" s="35" t="n"/>
      <c r="G23" s="36">
        <f>IF(OR($D23="",E23=""),"",ROUND($D23*E23*(1+IF(F23="",IF(F$12="",0,F$12),F23)),2))</f>
        <v/>
      </c>
      <c r="H23" s="34" t="n"/>
      <c r="I23" s="35" t="n"/>
      <c r="J23" s="36">
        <f>IF(OR($D23="",H23=""),"",ROUND($D23*H23*(1+IF(I23="",IF(I$12="",0,I$12),I23)),2))</f>
        <v/>
      </c>
      <c r="K23" s="34" t="n"/>
      <c r="L23" s="35" t="n"/>
      <c r="M23" s="36">
        <f>IF(OR($D23="",K23=""),"",ROUND($D23*K23*(1+IF(L23="",IF(L$12="",0,L$12),L23)),2))</f>
        <v/>
      </c>
      <c r="N23" s="34" t="n"/>
      <c r="O23" s="35" t="n"/>
      <c r="P23" s="36">
        <f>IF(OR($D23="",N23=""),"",ROUND($D23*N23*(1+IF(O23="",IF(O$12="",0,O$12),O23)),2))</f>
        <v/>
      </c>
      <c r="Q23" s="37">
        <f>IF(OR(R23="",$D23="",$D23=0),"",ROUND(R23/$D23,2))</f>
        <v/>
      </c>
      <c r="R23" s="38">
        <f>IF(COUNT(G23,J23,M23,P23)=0,"",MIN(G23,J23,M23,P23))</f>
        <v/>
      </c>
      <c r="S23" s="39">
        <f>IF($R23="","",IF(G23=$R23,$E$10,IF(J23=$R23,$H$10,IF(M23=$R23,$K$10,$N$10))))</f>
        <v/>
      </c>
      <c r="T23" s="40" t="n"/>
    </row>
    <row r="24" ht="18" customHeight="1">
      <c r="A24" s="30" t="n">
        <v>11</v>
      </c>
      <c r="B24" s="31" t="n"/>
      <c r="C24" s="32" t="n"/>
      <c r="D24" s="33" t="n"/>
      <c r="E24" s="34" t="n"/>
      <c r="F24" s="35" t="n"/>
      <c r="G24" s="36">
        <f>IF(OR($D24="",E24=""),"",ROUND($D24*E24*(1+IF(F24="",IF(F$12="",0,F$12),F24)),2))</f>
        <v/>
      </c>
      <c r="H24" s="34" t="n"/>
      <c r="I24" s="35" t="n"/>
      <c r="J24" s="36">
        <f>IF(OR($D24="",H24=""),"",ROUND($D24*H24*(1+IF(I24="",IF(I$12="",0,I$12),I24)),2))</f>
        <v/>
      </c>
      <c r="K24" s="34" t="n"/>
      <c r="L24" s="35" t="n"/>
      <c r="M24" s="36">
        <f>IF(OR($D24="",K24=""),"",ROUND($D24*K24*(1+IF(L24="",IF(L$12="",0,L$12),L24)),2))</f>
        <v/>
      </c>
      <c r="N24" s="34" t="n"/>
      <c r="O24" s="35" t="n"/>
      <c r="P24" s="36">
        <f>IF(OR($D24="",N24=""),"",ROUND($D24*N24*(1+IF(O24="",IF(O$12="",0,O$12),O24)),2))</f>
        <v/>
      </c>
      <c r="Q24" s="37">
        <f>IF(OR(R24="",$D24="",$D24=0),"",ROUND(R24/$D24,2))</f>
        <v/>
      </c>
      <c r="R24" s="38">
        <f>IF(COUNT(G24,J24,M24,P24)=0,"",MIN(G24,J24,M24,P24))</f>
        <v/>
      </c>
      <c r="S24" s="39">
        <f>IF($R24="","",IF(G24=$R24,$E$10,IF(J24=$R24,$H$10,IF(M24=$R24,$K$10,$N$10))))</f>
        <v/>
      </c>
      <c r="T24" s="40" t="n"/>
    </row>
    <row r="25" ht="18" customHeight="1">
      <c r="A25" s="30" t="n">
        <v>12</v>
      </c>
      <c r="B25" s="31" t="n"/>
      <c r="C25" s="32" t="n"/>
      <c r="D25" s="33" t="n"/>
      <c r="E25" s="34" t="n"/>
      <c r="F25" s="35" t="n"/>
      <c r="G25" s="36">
        <f>IF(OR($D25="",E25=""),"",ROUND($D25*E25*(1+IF(F25="",IF(F$12="",0,F$12),F25)),2))</f>
        <v/>
      </c>
      <c r="H25" s="34" t="n"/>
      <c r="I25" s="35" t="n"/>
      <c r="J25" s="36">
        <f>IF(OR($D25="",H25=""),"",ROUND($D25*H25*(1+IF(I25="",IF(I$12="",0,I$12),I25)),2))</f>
        <v/>
      </c>
      <c r="K25" s="34" t="n"/>
      <c r="L25" s="35" t="n"/>
      <c r="M25" s="36">
        <f>IF(OR($D25="",K25=""),"",ROUND($D25*K25*(1+IF(L25="",IF(L$12="",0,L$12),L25)),2))</f>
        <v/>
      </c>
      <c r="N25" s="34" t="n"/>
      <c r="O25" s="35" t="n"/>
      <c r="P25" s="36">
        <f>IF(OR($D25="",N25=""),"",ROUND($D25*N25*(1+IF(O25="",IF(O$12="",0,O$12),O25)),2))</f>
        <v/>
      </c>
      <c r="Q25" s="37">
        <f>IF(OR(R25="",$D25="",$D25=0),"",ROUND(R25/$D25,2))</f>
        <v/>
      </c>
      <c r="R25" s="38">
        <f>IF(COUNT(G25,J25,M25,P25)=0,"",MIN(G25,J25,M25,P25))</f>
        <v/>
      </c>
      <c r="S25" s="39">
        <f>IF($R25="","",IF(G25=$R25,$E$10,IF(J25=$R25,$H$10,IF(M25=$R25,$K$10,$N$10))))</f>
        <v/>
      </c>
      <c r="T25" s="40" t="n"/>
    </row>
    <row r="26" ht="18" customHeight="1">
      <c r="A26" s="30" t="n">
        <v>13</v>
      </c>
      <c r="B26" s="31" t="n"/>
      <c r="C26" s="32" t="n"/>
      <c r="D26" s="33" t="n"/>
      <c r="E26" s="34" t="n"/>
      <c r="F26" s="35" t="n"/>
      <c r="G26" s="36">
        <f>IF(OR($D26="",E26=""),"",ROUND($D26*E26*(1+IF(F26="",IF(F$12="",0,F$12),F26)),2))</f>
        <v/>
      </c>
      <c r="H26" s="34" t="n"/>
      <c r="I26" s="35" t="n"/>
      <c r="J26" s="36">
        <f>IF(OR($D26="",H26=""),"",ROUND($D26*H26*(1+IF(I26="",IF(I$12="",0,I$12),I26)),2))</f>
        <v/>
      </c>
      <c r="K26" s="34" t="n"/>
      <c r="L26" s="35" t="n"/>
      <c r="M26" s="36">
        <f>IF(OR($D26="",K26=""),"",ROUND($D26*K26*(1+IF(L26="",IF(L$12="",0,L$12),L26)),2))</f>
        <v/>
      </c>
      <c r="N26" s="34" t="n"/>
      <c r="O26" s="35" t="n"/>
      <c r="P26" s="36">
        <f>IF(OR($D26="",N26=""),"",ROUND($D26*N26*(1+IF(O26="",IF(O$12="",0,O$12),O26)),2))</f>
        <v/>
      </c>
      <c r="Q26" s="37">
        <f>IF(OR(R26="",$D26="",$D26=0),"",ROUND(R26/$D26,2))</f>
        <v/>
      </c>
      <c r="R26" s="38">
        <f>IF(COUNT(G26,J26,M26,P26)=0,"",MIN(G26,J26,M26,P26))</f>
        <v/>
      </c>
      <c r="S26" s="39">
        <f>IF($R26="","",IF(G26=$R26,$E$10,IF(J26=$R26,$H$10,IF(M26=$R26,$K$10,$N$10))))</f>
        <v/>
      </c>
      <c r="T26" s="40" t="n"/>
    </row>
    <row r="27" ht="18" customHeight="1">
      <c r="A27" s="30" t="n">
        <v>14</v>
      </c>
      <c r="B27" s="31" t="n"/>
      <c r="C27" s="32" t="n"/>
      <c r="D27" s="33" t="n"/>
      <c r="E27" s="34" t="n"/>
      <c r="F27" s="35" t="n"/>
      <c r="G27" s="36">
        <f>IF(OR($D27="",E27=""),"",ROUND($D27*E27*(1+IF(F27="",IF(F$12="",0,F$12),F27)),2))</f>
        <v/>
      </c>
      <c r="H27" s="34" t="n"/>
      <c r="I27" s="35" t="n"/>
      <c r="J27" s="36">
        <f>IF(OR($D27="",H27=""),"",ROUND($D27*H27*(1+IF(I27="",IF(I$12="",0,I$12),I27)),2))</f>
        <v/>
      </c>
      <c r="K27" s="34" t="n"/>
      <c r="L27" s="35" t="n"/>
      <c r="M27" s="36">
        <f>IF(OR($D27="",K27=""),"",ROUND($D27*K27*(1+IF(L27="",IF(L$12="",0,L$12),L27)),2))</f>
        <v/>
      </c>
      <c r="N27" s="34" t="n"/>
      <c r="O27" s="35" t="n"/>
      <c r="P27" s="36">
        <f>IF(OR($D27="",N27=""),"",ROUND($D27*N27*(1+IF(O27="",IF(O$12="",0,O$12),O27)),2))</f>
        <v/>
      </c>
      <c r="Q27" s="37">
        <f>IF(OR(R27="",$D27="",$D27=0),"",ROUND(R27/$D27,2))</f>
        <v/>
      </c>
      <c r="R27" s="38">
        <f>IF(COUNT(G27,J27,M27,P27)=0,"",MIN(G27,J27,M27,P27))</f>
        <v/>
      </c>
      <c r="S27" s="39">
        <f>IF($R27="","",IF(G27=$R27,$E$10,IF(J27=$R27,$H$10,IF(M27=$R27,$K$10,$N$10))))</f>
        <v/>
      </c>
      <c r="T27" s="40" t="n"/>
    </row>
    <row r="28" ht="18" customHeight="1">
      <c r="A28" s="30" t="n">
        <v>15</v>
      </c>
      <c r="B28" s="31" t="n"/>
      <c r="C28" s="32" t="n"/>
      <c r="D28" s="33" t="n"/>
      <c r="E28" s="34" t="n"/>
      <c r="F28" s="35" t="n"/>
      <c r="G28" s="36">
        <f>IF(OR($D28="",E28=""),"",ROUND($D28*E28*(1+IF(F28="",IF(F$12="",0,F$12),F28)),2))</f>
        <v/>
      </c>
      <c r="H28" s="34" t="n"/>
      <c r="I28" s="35" t="n"/>
      <c r="J28" s="36">
        <f>IF(OR($D28="",H28=""),"",ROUND($D28*H28*(1+IF(I28="",IF(I$12="",0,I$12),I28)),2))</f>
        <v/>
      </c>
      <c r="K28" s="34" t="n"/>
      <c r="L28" s="35" t="n"/>
      <c r="M28" s="36">
        <f>IF(OR($D28="",K28=""),"",ROUND($D28*K28*(1+IF(L28="",IF(L$12="",0,L$12),L28)),2))</f>
        <v/>
      </c>
      <c r="N28" s="34" t="n"/>
      <c r="O28" s="35" t="n"/>
      <c r="P28" s="36">
        <f>IF(OR($D28="",N28=""),"",ROUND($D28*N28*(1+IF(O28="",IF(O$12="",0,O$12),O28)),2))</f>
        <v/>
      </c>
      <c r="Q28" s="37">
        <f>IF(OR(R28="",$D28="",$D28=0),"",ROUND(R28/$D28,2))</f>
        <v/>
      </c>
      <c r="R28" s="38">
        <f>IF(COUNT(G28,J28,M28,P28)=0,"",MIN(G28,J28,M28,P28))</f>
        <v/>
      </c>
      <c r="S28" s="39">
        <f>IF($R28="","",IF(G28=$R28,$E$10,IF(J28=$R28,$H$10,IF(M28=$R28,$K$10,$N$10))))</f>
        <v/>
      </c>
      <c r="T28" s="40" t="n"/>
    </row>
    <row r="29" ht="18" customHeight="1">
      <c r="A29" s="30" t="n">
        <v>16</v>
      </c>
      <c r="B29" s="31" t="n"/>
      <c r="C29" s="32" t="n"/>
      <c r="D29" s="33" t="n"/>
      <c r="E29" s="34" t="n"/>
      <c r="F29" s="35" t="n"/>
      <c r="G29" s="36">
        <f>IF(OR($D29="",E29=""),"",ROUND($D29*E29*(1+IF(F29="",IF(F$12="",0,F$12),F29)),2))</f>
        <v/>
      </c>
      <c r="H29" s="34" t="n"/>
      <c r="I29" s="35" t="n"/>
      <c r="J29" s="36">
        <f>IF(OR($D29="",H29=""),"",ROUND($D29*H29*(1+IF(I29="",IF(I$12="",0,I$12),I29)),2))</f>
        <v/>
      </c>
      <c r="K29" s="34" t="n"/>
      <c r="L29" s="35" t="n"/>
      <c r="M29" s="36">
        <f>IF(OR($D29="",K29=""),"",ROUND($D29*K29*(1+IF(L29="",IF(L$12="",0,L$12),L29)),2))</f>
        <v/>
      </c>
      <c r="N29" s="34" t="n"/>
      <c r="O29" s="35" t="n"/>
      <c r="P29" s="36">
        <f>IF(OR($D29="",N29=""),"",ROUND($D29*N29*(1+IF(O29="",IF(O$12="",0,O$12),O29)),2))</f>
        <v/>
      </c>
      <c r="Q29" s="37">
        <f>IF(OR(R29="",$D29="",$D29=0),"",ROUND(R29/$D29,2))</f>
        <v/>
      </c>
      <c r="R29" s="38">
        <f>IF(COUNT(G29,J29,M29,P29)=0,"",MIN(G29,J29,M29,P29))</f>
        <v/>
      </c>
      <c r="S29" s="39">
        <f>IF($R29="","",IF(G29=$R29,$E$10,IF(J29=$R29,$H$10,IF(M29=$R29,$K$10,$N$10))))</f>
        <v/>
      </c>
      <c r="T29" s="40" t="n"/>
    </row>
    <row r="30" ht="18" customHeight="1">
      <c r="A30" s="30" t="n">
        <v>17</v>
      </c>
      <c r="B30" s="31" t="n"/>
      <c r="C30" s="32" t="n"/>
      <c r="D30" s="33" t="n"/>
      <c r="E30" s="34" t="n"/>
      <c r="F30" s="35" t="n"/>
      <c r="G30" s="36">
        <f>IF(OR($D30="",E30=""),"",ROUND($D30*E30*(1+IF(F30="",IF(F$12="",0,F$12),F30)),2))</f>
        <v/>
      </c>
      <c r="H30" s="34" t="n"/>
      <c r="I30" s="35" t="n"/>
      <c r="J30" s="36">
        <f>IF(OR($D30="",H30=""),"",ROUND($D30*H30*(1+IF(I30="",IF(I$12="",0,I$12),I30)),2))</f>
        <v/>
      </c>
      <c r="K30" s="34" t="n"/>
      <c r="L30" s="35" t="n"/>
      <c r="M30" s="36">
        <f>IF(OR($D30="",K30=""),"",ROUND($D30*K30*(1+IF(L30="",IF(L$12="",0,L$12),L30)),2))</f>
        <v/>
      </c>
      <c r="N30" s="34" t="n"/>
      <c r="O30" s="35" t="n"/>
      <c r="P30" s="36">
        <f>IF(OR($D30="",N30=""),"",ROUND($D30*N30*(1+IF(O30="",IF(O$12="",0,O$12),O30)),2))</f>
        <v/>
      </c>
      <c r="Q30" s="37">
        <f>IF(OR(R30="",$D30="",$D30=0),"",ROUND(R30/$D30,2))</f>
        <v/>
      </c>
      <c r="R30" s="38">
        <f>IF(COUNT(G30,J30,M30,P30)=0,"",MIN(G30,J30,M30,P30))</f>
        <v/>
      </c>
      <c r="S30" s="39">
        <f>IF($R30="","",IF(G30=$R30,$E$10,IF(J30=$R30,$H$10,IF(M30=$R30,$K$10,$N$10))))</f>
        <v/>
      </c>
      <c r="T30" s="40" t="n"/>
    </row>
    <row r="31" ht="18" customHeight="1">
      <c r="A31" s="30" t="n">
        <v>18</v>
      </c>
      <c r="B31" s="31" t="n"/>
      <c r="C31" s="32" t="n"/>
      <c r="D31" s="33" t="n"/>
      <c r="E31" s="34" t="n"/>
      <c r="F31" s="35" t="n"/>
      <c r="G31" s="36">
        <f>IF(OR($D31="",E31=""),"",ROUND($D31*E31*(1+IF(F31="",IF(F$12="",0,F$12),F31)),2))</f>
        <v/>
      </c>
      <c r="H31" s="34" t="n"/>
      <c r="I31" s="35" t="n"/>
      <c r="J31" s="36">
        <f>IF(OR($D31="",H31=""),"",ROUND($D31*H31*(1+IF(I31="",IF(I$12="",0,I$12),I31)),2))</f>
        <v/>
      </c>
      <c r="K31" s="34" t="n"/>
      <c r="L31" s="35" t="n"/>
      <c r="M31" s="36">
        <f>IF(OR($D31="",K31=""),"",ROUND($D31*K31*(1+IF(L31="",IF(L$12="",0,L$12),L31)),2))</f>
        <v/>
      </c>
      <c r="N31" s="34" t="n"/>
      <c r="O31" s="35" t="n"/>
      <c r="P31" s="36">
        <f>IF(OR($D31="",N31=""),"",ROUND($D31*N31*(1+IF(O31="",IF(O$12="",0,O$12),O31)),2))</f>
        <v/>
      </c>
      <c r="Q31" s="37">
        <f>IF(OR(R31="",$D31="",$D31=0),"",ROUND(R31/$D31,2))</f>
        <v/>
      </c>
      <c r="R31" s="38">
        <f>IF(COUNT(G31,J31,M31,P31)=0,"",MIN(G31,J31,M31,P31))</f>
        <v/>
      </c>
      <c r="S31" s="39">
        <f>IF($R31="","",IF(G31=$R31,$E$10,IF(J31=$R31,$H$10,IF(M31=$R31,$K$10,$N$10))))</f>
        <v/>
      </c>
      <c r="T31" s="40" t="n"/>
    </row>
    <row r="32" ht="18" customHeight="1">
      <c r="A32" s="30" t="n">
        <v>19</v>
      </c>
      <c r="B32" s="31" t="n"/>
      <c r="C32" s="32" t="n"/>
      <c r="D32" s="33" t="n"/>
      <c r="E32" s="34" t="n"/>
      <c r="F32" s="35" t="n"/>
      <c r="G32" s="36">
        <f>IF(OR($D32="",E32=""),"",ROUND($D32*E32*(1+IF(F32="",IF(F$12="",0,F$12),F32)),2))</f>
        <v/>
      </c>
      <c r="H32" s="34" t="n"/>
      <c r="I32" s="35" t="n"/>
      <c r="J32" s="36">
        <f>IF(OR($D32="",H32=""),"",ROUND($D32*H32*(1+IF(I32="",IF(I$12="",0,I$12),I32)),2))</f>
        <v/>
      </c>
      <c r="K32" s="34" t="n"/>
      <c r="L32" s="35" t="n"/>
      <c r="M32" s="36">
        <f>IF(OR($D32="",K32=""),"",ROUND($D32*K32*(1+IF(L32="",IF(L$12="",0,L$12),L32)),2))</f>
        <v/>
      </c>
      <c r="N32" s="34" t="n"/>
      <c r="O32" s="35" t="n"/>
      <c r="P32" s="36">
        <f>IF(OR($D32="",N32=""),"",ROUND($D32*N32*(1+IF(O32="",IF(O$12="",0,O$12),O32)),2))</f>
        <v/>
      </c>
      <c r="Q32" s="37">
        <f>IF(OR(R32="",$D32="",$D32=0),"",ROUND(R32/$D32,2))</f>
        <v/>
      </c>
      <c r="R32" s="38">
        <f>IF(COUNT(G32,J32,M32,P32)=0,"",MIN(G32,J32,M32,P32))</f>
        <v/>
      </c>
      <c r="S32" s="39">
        <f>IF($R32="","",IF(G32=$R32,$E$10,IF(J32=$R32,$H$10,IF(M32=$R32,$K$10,$N$10))))</f>
        <v/>
      </c>
      <c r="T32" s="40" t="n"/>
    </row>
    <row r="33" ht="18" customHeight="1">
      <c r="A33" s="30" t="n">
        <v>20</v>
      </c>
      <c r="B33" s="31" t="n"/>
      <c r="C33" s="32" t="n"/>
      <c r="D33" s="33" t="n"/>
      <c r="E33" s="34" t="n"/>
      <c r="F33" s="35" t="n"/>
      <c r="G33" s="36">
        <f>IF(OR($D33="",E33=""),"",ROUND($D33*E33*(1+IF(F33="",IF(F$12="",0,F$12),F33)),2))</f>
        <v/>
      </c>
      <c r="H33" s="34" t="n"/>
      <c r="I33" s="35" t="n"/>
      <c r="J33" s="36">
        <f>IF(OR($D33="",H33=""),"",ROUND($D33*H33*(1+IF(I33="",IF(I$12="",0,I$12),I33)),2))</f>
        <v/>
      </c>
      <c r="K33" s="34" t="n"/>
      <c r="L33" s="35" t="n"/>
      <c r="M33" s="36">
        <f>IF(OR($D33="",K33=""),"",ROUND($D33*K33*(1+IF(L33="",IF(L$12="",0,L$12),L33)),2))</f>
        <v/>
      </c>
      <c r="N33" s="34" t="n"/>
      <c r="O33" s="35" t="n"/>
      <c r="P33" s="36">
        <f>IF(OR($D33="",N33=""),"",ROUND($D33*N33*(1+IF(O33="",IF(O$12="",0,O$12),O33)),2))</f>
        <v/>
      </c>
      <c r="Q33" s="37">
        <f>IF(OR(R33="",$D33="",$D33=0),"",ROUND(R33/$D33,2))</f>
        <v/>
      </c>
      <c r="R33" s="38">
        <f>IF(COUNT(G33,J33,M33,P33)=0,"",MIN(G33,J33,M33,P33))</f>
        <v/>
      </c>
      <c r="S33" s="39">
        <f>IF($R33="","",IF(G33=$R33,$E$10,IF(J33=$R33,$H$10,IF(M33=$R33,$K$10,$N$10))))</f>
        <v/>
      </c>
      <c r="T33" s="40" t="n"/>
    </row>
    <row r="34" ht="18" customHeight="1">
      <c r="A34" s="30" t="n">
        <v>21</v>
      </c>
      <c r="B34" s="31" t="n"/>
      <c r="C34" s="32" t="n"/>
      <c r="D34" s="33" t="n"/>
      <c r="E34" s="34" t="n"/>
      <c r="F34" s="35" t="n"/>
      <c r="G34" s="36">
        <f>IF(OR($D34="",E34=""),"",ROUND($D34*E34*(1+IF(F34="",IF(F$12="",0,F$12),F34)),2))</f>
        <v/>
      </c>
      <c r="H34" s="34" t="n"/>
      <c r="I34" s="35" t="n"/>
      <c r="J34" s="36">
        <f>IF(OR($D34="",H34=""),"",ROUND($D34*H34*(1+IF(I34="",IF(I$12="",0,I$12),I34)),2))</f>
        <v/>
      </c>
      <c r="K34" s="34" t="n"/>
      <c r="L34" s="35" t="n"/>
      <c r="M34" s="36">
        <f>IF(OR($D34="",K34=""),"",ROUND($D34*K34*(1+IF(L34="",IF(L$12="",0,L$12),L34)),2))</f>
        <v/>
      </c>
      <c r="N34" s="34" t="n"/>
      <c r="O34" s="35" t="n"/>
      <c r="P34" s="36">
        <f>IF(OR($D34="",N34=""),"",ROUND($D34*N34*(1+IF(O34="",IF(O$12="",0,O$12),O34)),2))</f>
        <v/>
      </c>
      <c r="Q34" s="37">
        <f>IF(OR(R34="",$D34="",$D34=0),"",ROUND(R34/$D34,2))</f>
        <v/>
      </c>
      <c r="R34" s="38">
        <f>IF(COUNT(G34,J34,M34,P34)=0,"",MIN(G34,J34,M34,P34))</f>
        <v/>
      </c>
      <c r="S34" s="39">
        <f>IF($R34="","",IF(G34=$R34,$E$10,IF(J34=$R34,$H$10,IF(M34=$R34,$K$10,$N$10))))</f>
        <v/>
      </c>
      <c r="T34" s="40" t="n"/>
    </row>
    <row r="35" ht="18" customHeight="1">
      <c r="A35" s="30" t="n">
        <v>22</v>
      </c>
      <c r="B35" s="31" t="n"/>
      <c r="C35" s="32" t="n"/>
      <c r="D35" s="33" t="n"/>
      <c r="E35" s="34" t="n"/>
      <c r="F35" s="35" t="n"/>
      <c r="G35" s="36">
        <f>IF(OR($D35="",E35=""),"",ROUND($D35*E35*(1+IF(F35="",IF(F$12="",0,F$12),F35)),2))</f>
        <v/>
      </c>
      <c r="H35" s="34" t="n"/>
      <c r="I35" s="35" t="n"/>
      <c r="J35" s="36">
        <f>IF(OR($D35="",H35=""),"",ROUND($D35*H35*(1+IF(I35="",IF(I$12="",0,I$12),I35)),2))</f>
        <v/>
      </c>
      <c r="K35" s="34" t="n"/>
      <c r="L35" s="35" t="n"/>
      <c r="M35" s="36">
        <f>IF(OR($D35="",K35=""),"",ROUND($D35*K35*(1+IF(L35="",IF(L$12="",0,L$12),L35)),2))</f>
        <v/>
      </c>
      <c r="N35" s="34" t="n"/>
      <c r="O35" s="35" t="n"/>
      <c r="P35" s="36">
        <f>IF(OR($D35="",N35=""),"",ROUND($D35*N35*(1+IF(O35="",IF(O$12="",0,O$12),O35)),2))</f>
        <v/>
      </c>
      <c r="Q35" s="37">
        <f>IF(OR(R35="",$D35="",$D35=0),"",ROUND(R35/$D35,2))</f>
        <v/>
      </c>
      <c r="R35" s="38">
        <f>IF(COUNT(G35,J35,M35,P35)=0,"",MIN(G35,J35,M35,P35))</f>
        <v/>
      </c>
      <c r="S35" s="39">
        <f>IF($R35="","",IF(G35=$R35,$E$10,IF(J35=$R35,$H$10,IF(M35=$R35,$K$10,$N$10))))</f>
        <v/>
      </c>
      <c r="T35" s="40" t="n"/>
    </row>
    <row r="36" ht="18" customHeight="1">
      <c r="A36" s="30" t="n">
        <v>23</v>
      </c>
      <c r="B36" s="31" t="n"/>
      <c r="C36" s="32" t="n"/>
      <c r="D36" s="33" t="n"/>
      <c r="E36" s="34" t="n"/>
      <c r="F36" s="35" t="n"/>
      <c r="G36" s="36">
        <f>IF(OR($D36="",E36=""),"",ROUND($D36*E36*(1+IF(F36="",IF(F$12="",0,F$12),F36)),2))</f>
        <v/>
      </c>
      <c r="H36" s="34" t="n"/>
      <c r="I36" s="35" t="n"/>
      <c r="J36" s="36">
        <f>IF(OR($D36="",H36=""),"",ROUND($D36*H36*(1+IF(I36="",IF(I$12="",0,I$12),I36)),2))</f>
        <v/>
      </c>
      <c r="K36" s="34" t="n"/>
      <c r="L36" s="35" t="n"/>
      <c r="M36" s="36">
        <f>IF(OR($D36="",K36=""),"",ROUND($D36*K36*(1+IF(L36="",IF(L$12="",0,L$12),L36)),2))</f>
        <v/>
      </c>
      <c r="N36" s="34" t="n"/>
      <c r="O36" s="35" t="n"/>
      <c r="P36" s="36">
        <f>IF(OR($D36="",N36=""),"",ROUND($D36*N36*(1+IF(O36="",IF(O$12="",0,O$12),O36)),2))</f>
        <v/>
      </c>
      <c r="Q36" s="37">
        <f>IF(OR(R36="",$D36="",$D36=0),"",ROUND(R36/$D36,2))</f>
        <v/>
      </c>
      <c r="R36" s="38">
        <f>IF(COUNT(G36,J36,M36,P36)=0,"",MIN(G36,J36,M36,P36))</f>
        <v/>
      </c>
      <c r="S36" s="39">
        <f>IF($R36="","",IF(G36=$R36,$E$10,IF(J36=$R36,$H$10,IF(M36=$R36,$K$10,$N$10))))</f>
        <v/>
      </c>
      <c r="T36" s="40" t="n"/>
    </row>
    <row r="37" ht="18" customHeight="1">
      <c r="A37" s="30" t="n">
        <v>24</v>
      </c>
      <c r="B37" s="31" t="n"/>
      <c r="C37" s="32" t="n"/>
      <c r="D37" s="33" t="n"/>
      <c r="E37" s="34" t="n"/>
      <c r="F37" s="35" t="n"/>
      <c r="G37" s="36">
        <f>IF(OR($D37="",E37=""),"",ROUND($D37*E37*(1+IF(F37="",IF(F$12="",0,F$12),F37)),2))</f>
        <v/>
      </c>
      <c r="H37" s="34" t="n"/>
      <c r="I37" s="35" t="n"/>
      <c r="J37" s="36">
        <f>IF(OR($D37="",H37=""),"",ROUND($D37*H37*(1+IF(I37="",IF(I$12="",0,I$12),I37)),2))</f>
        <v/>
      </c>
      <c r="K37" s="34" t="n"/>
      <c r="L37" s="35" t="n"/>
      <c r="M37" s="36">
        <f>IF(OR($D37="",K37=""),"",ROUND($D37*K37*(1+IF(L37="",IF(L$12="",0,L$12),L37)),2))</f>
        <v/>
      </c>
      <c r="N37" s="34" t="n"/>
      <c r="O37" s="35" t="n"/>
      <c r="P37" s="36">
        <f>IF(OR($D37="",N37=""),"",ROUND($D37*N37*(1+IF(O37="",IF(O$12="",0,O$12),O37)),2))</f>
        <v/>
      </c>
      <c r="Q37" s="37">
        <f>IF(OR(R37="",$D37="",$D37=0),"",ROUND(R37/$D37,2))</f>
        <v/>
      </c>
      <c r="R37" s="38">
        <f>IF(COUNT(G37,J37,M37,P37)=0,"",MIN(G37,J37,M37,P37))</f>
        <v/>
      </c>
      <c r="S37" s="39">
        <f>IF($R37="","",IF(G37=$R37,$E$10,IF(J37=$R37,$H$10,IF(M37=$R37,$K$10,$N$10))))</f>
        <v/>
      </c>
      <c r="T37" s="40" t="n"/>
    </row>
    <row r="38" ht="18" customHeight="1">
      <c r="A38" s="30" t="n">
        <v>25</v>
      </c>
      <c r="B38" s="31" t="n"/>
      <c r="C38" s="32" t="n"/>
      <c r="D38" s="33" t="n"/>
      <c r="E38" s="34" t="n"/>
      <c r="F38" s="35" t="n"/>
      <c r="G38" s="36">
        <f>IF(OR($D38="",E38=""),"",ROUND($D38*E38*(1+IF(F38="",IF(F$12="",0,F$12),F38)),2))</f>
        <v/>
      </c>
      <c r="H38" s="34" t="n"/>
      <c r="I38" s="35" t="n"/>
      <c r="J38" s="36">
        <f>IF(OR($D38="",H38=""),"",ROUND($D38*H38*(1+IF(I38="",IF(I$12="",0,I$12),I38)),2))</f>
        <v/>
      </c>
      <c r="K38" s="34" t="n"/>
      <c r="L38" s="35" t="n"/>
      <c r="M38" s="36">
        <f>IF(OR($D38="",K38=""),"",ROUND($D38*K38*(1+IF(L38="",IF(L$12="",0,L$12),L38)),2))</f>
        <v/>
      </c>
      <c r="N38" s="34" t="n"/>
      <c r="O38" s="35" t="n"/>
      <c r="P38" s="36">
        <f>IF(OR($D38="",N38=""),"",ROUND($D38*N38*(1+IF(O38="",IF(O$12="",0,O$12),O38)),2))</f>
        <v/>
      </c>
      <c r="Q38" s="37">
        <f>IF(OR(R38="",$D38="",$D38=0),"",ROUND(R38/$D38,2))</f>
        <v/>
      </c>
      <c r="R38" s="38">
        <f>IF(COUNT(G38,J38,M38,P38)=0,"",MIN(G38,J38,M38,P38))</f>
        <v/>
      </c>
      <c r="S38" s="39">
        <f>IF($R38="","",IF(G38=$R38,$E$10,IF(J38=$R38,$H$10,IF(M38=$R38,$K$10,$N$10))))</f>
        <v/>
      </c>
      <c r="T38" s="40" t="n"/>
    </row>
    <row r="39" ht="18" customHeight="1">
      <c r="A39" s="30" t="n">
        <v>26</v>
      </c>
      <c r="B39" s="31" t="n"/>
      <c r="C39" s="32" t="n"/>
      <c r="D39" s="33" t="n"/>
      <c r="E39" s="34" t="n"/>
      <c r="F39" s="35" t="n"/>
      <c r="G39" s="36">
        <f>IF(OR($D39="",E39=""),"",ROUND($D39*E39*(1+IF(F39="",IF(F$12="",0,F$12),F39)),2))</f>
        <v/>
      </c>
      <c r="H39" s="34" t="n"/>
      <c r="I39" s="35" t="n"/>
      <c r="J39" s="36">
        <f>IF(OR($D39="",H39=""),"",ROUND($D39*H39*(1+IF(I39="",IF(I$12="",0,I$12),I39)),2))</f>
        <v/>
      </c>
      <c r="K39" s="34" t="n"/>
      <c r="L39" s="35" t="n"/>
      <c r="M39" s="36">
        <f>IF(OR($D39="",K39=""),"",ROUND($D39*K39*(1+IF(L39="",IF(L$12="",0,L$12),L39)),2))</f>
        <v/>
      </c>
      <c r="N39" s="34" t="n"/>
      <c r="O39" s="35" t="n"/>
      <c r="P39" s="36">
        <f>IF(OR($D39="",N39=""),"",ROUND($D39*N39*(1+IF(O39="",IF(O$12="",0,O$12),O39)),2))</f>
        <v/>
      </c>
      <c r="Q39" s="37">
        <f>IF(OR(R39="",$D39="",$D39=0),"",ROUND(R39/$D39,2))</f>
        <v/>
      </c>
      <c r="R39" s="38">
        <f>IF(COUNT(G39,J39,M39,P39)=0,"",MIN(G39,J39,M39,P39))</f>
        <v/>
      </c>
      <c r="S39" s="39">
        <f>IF($R39="","",IF(G39=$R39,$E$10,IF(J39=$R39,$H$10,IF(M39=$R39,$K$10,$N$10))))</f>
        <v/>
      </c>
      <c r="T39" s="40" t="n"/>
    </row>
    <row r="40" ht="18" customHeight="1">
      <c r="A40" s="30" t="n">
        <v>27</v>
      </c>
      <c r="B40" s="31" t="n"/>
      <c r="C40" s="32" t="n"/>
      <c r="D40" s="33" t="n"/>
      <c r="E40" s="34" t="n"/>
      <c r="F40" s="35" t="n"/>
      <c r="G40" s="36">
        <f>IF(OR($D40="",E40=""),"",ROUND($D40*E40*(1+IF(F40="",IF(F$12="",0,F$12),F40)),2))</f>
        <v/>
      </c>
      <c r="H40" s="34" t="n"/>
      <c r="I40" s="35" t="n"/>
      <c r="J40" s="36">
        <f>IF(OR($D40="",H40=""),"",ROUND($D40*H40*(1+IF(I40="",IF(I$12="",0,I$12),I40)),2))</f>
        <v/>
      </c>
      <c r="K40" s="34" t="n"/>
      <c r="L40" s="35" t="n"/>
      <c r="M40" s="36">
        <f>IF(OR($D40="",K40=""),"",ROUND($D40*K40*(1+IF(L40="",IF(L$12="",0,L$12),L40)),2))</f>
        <v/>
      </c>
      <c r="N40" s="34" t="n"/>
      <c r="O40" s="35" t="n"/>
      <c r="P40" s="36">
        <f>IF(OR($D40="",N40=""),"",ROUND($D40*N40*(1+IF(O40="",IF(O$12="",0,O$12),O40)),2))</f>
        <v/>
      </c>
      <c r="Q40" s="37">
        <f>IF(OR(R40="",$D40="",$D40=0),"",ROUND(R40/$D40,2))</f>
        <v/>
      </c>
      <c r="R40" s="38">
        <f>IF(COUNT(G40,J40,M40,P40)=0,"",MIN(G40,J40,M40,P40))</f>
        <v/>
      </c>
      <c r="S40" s="39">
        <f>IF($R40="","",IF(G40=$R40,$E$10,IF(J40=$R40,$H$10,IF(M40=$R40,$K$10,$N$10))))</f>
        <v/>
      </c>
      <c r="T40" s="40" t="n"/>
    </row>
    <row r="41" ht="18" customHeight="1">
      <c r="A41" s="30" t="n">
        <v>28</v>
      </c>
      <c r="B41" s="31" t="n"/>
      <c r="C41" s="32" t="n"/>
      <c r="D41" s="33" t="n"/>
      <c r="E41" s="34" t="n"/>
      <c r="F41" s="35" t="n"/>
      <c r="G41" s="36">
        <f>IF(OR($D41="",E41=""),"",ROUND($D41*E41*(1+IF(F41="",IF(F$12="",0,F$12),F41)),2))</f>
        <v/>
      </c>
      <c r="H41" s="34" t="n"/>
      <c r="I41" s="35" t="n"/>
      <c r="J41" s="36">
        <f>IF(OR($D41="",H41=""),"",ROUND($D41*H41*(1+IF(I41="",IF(I$12="",0,I$12),I41)),2))</f>
        <v/>
      </c>
      <c r="K41" s="34" t="n"/>
      <c r="L41" s="35" t="n"/>
      <c r="M41" s="36">
        <f>IF(OR($D41="",K41=""),"",ROUND($D41*K41*(1+IF(L41="",IF(L$12="",0,L$12),L41)),2))</f>
        <v/>
      </c>
      <c r="N41" s="34" t="n"/>
      <c r="O41" s="35" t="n"/>
      <c r="P41" s="36">
        <f>IF(OR($D41="",N41=""),"",ROUND($D41*N41*(1+IF(O41="",IF(O$12="",0,O$12),O41)),2))</f>
        <v/>
      </c>
      <c r="Q41" s="37">
        <f>IF(OR(R41="",$D41="",$D41=0),"",ROUND(R41/$D41,2))</f>
        <v/>
      </c>
      <c r="R41" s="38">
        <f>IF(COUNT(G41,J41,M41,P41)=0,"",MIN(G41,J41,M41,P41))</f>
        <v/>
      </c>
      <c r="S41" s="39">
        <f>IF($R41="","",IF(G41=$R41,$E$10,IF(J41=$R41,$H$10,IF(M41=$R41,$K$10,$N$10))))</f>
        <v/>
      </c>
      <c r="T41" s="40" t="n"/>
    </row>
    <row r="42" ht="18" customHeight="1">
      <c r="A42" s="30" t="n">
        <v>29</v>
      </c>
      <c r="B42" s="31" t="n"/>
      <c r="C42" s="32" t="n"/>
      <c r="D42" s="33" t="n"/>
      <c r="E42" s="34" t="n"/>
      <c r="F42" s="35" t="n"/>
      <c r="G42" s="36">
        <f>IF(OR($D42="",E42=""),"",ROUND($D42*E42*(1+IF(F42="",IF(F$12="",0,F$12),F42)),2))</f>
        <v/>
      </c>
      <c r="H42" s="34" t="n"/>
      <c r="I42" s="35" t="n"/>
      <c r="J42" s="36">
        <f>IF(OR($D42="",H42=""),"",ROUND($D42*H42*(1+IF(I42="",IF(I$12="",0,I$12),I42)),2))</f>
        <v/>
      </c>
      <c r="K42" s="34" t="n"/>
      <c r="L42" s="35" t="n"/>
      <c r="M42" s="36">
        <f>IF(OR($D42="",K42=""),"",ROUND($D42*K42*(1+IF(L42="",IF(L$12="",0,L$12),L42)),2))</f>
        <v/>
      </c>
      <c r="N42" s="34" t="n"/>
      <c r="O42" s="35" t="n"/>
      <c r="P42" s="36">
        <f>IF(OR($D42="",N42=""),"",ROUND($D42*N42*(1+IF(O42="",IF(O$12="",0,O$12),O42)),2))</f>
        <v/>
      </c>
      <c r="Q42" s="37">
        <f>IF(OR(R42="",$D42="",$D42=0),"",ROUND(R42/$D42,2))</f>
        <v/>
      </c>
      <c r="R42" s="38">
        <f>IF(COUNT(G42,J42,M42,P42)=0,"",MIN(G42,J42,M42,P42))</f>
        <v/>
      </c>
      <c r="S42" s="39">
        <f>IF($R42="","",IF(G42=$R42,$E$10,IF(J42=$R42,$H$10,IF(M42=$R42,$K$10,$N$10))))</f>
        <v/>
      </c>
      <c r="T42" s="40" t="n"/>
    </row>
    <row r="43" ht="18" customHeight="1">
      <c r="A43" s="30" t="n">
        <v>30</v>
      </c>
      <c r="B43" s="31" t="n"/>
      <c r="C43" s="32" t="n"/>
      <c r="D43" s="33" t="n"/>
      <c r="E43" s="34" t="n"/>
      <c r="F43" s="35" t="n"/>
      <c r="G43" s="36">
        <f>IF(OR($D43="",E43=""),"",ROUND($D43*E43*(1+IF(F43="",IF(F$12="",0,F$12),F43)),2))</f>
        <v/>
      </c>
      <c r="H43" s="34" t="n"/>
      <c r="I43" s="35" t="n"/>
      <c r="J43" s="36">
        <f>IF(OR($D43="",H43=""),"",ROUND($D43*H43*(1+IF(I43="",IF(I$12="",0,I$12),I43)),2))</f>
        <v/>
      </c>
      <c r="K43" s="34" t="n"/>
      <c r="L43" s="35" t="n"/>
      <c r="M43" s="36">
        <f>IF(OR($D43="",K43=""),"",ROUND($D43*K43*(1+IF(L43="",IF(L$12="",0,L$12),L43)),2))</f>
        <v/>
      </c>
      <c r="N43" s="34" t="n"/>
      <c r="O43" s="35" t="n"/>
      <c r="P43" s="36">
        <f>IF(OR($D43="",N43=""),"",ROUND($D43*N43*(1+IF(O43="",IF(O$12="",0,O$12),O43)),2))</f>
        <v/>
      </c>
      <c r="Q43" s="37">
        <f>IF(OR(R43="",$D43="",$D43=0),"",ROUND(R43/$D43,2))</f>
        <v/>
      </c>
      <c r="R43" s="38">
        <f>IF(COUNT(G43,J43,M43,P43)=0,"",MIN(G43,J43,M43,P43))</f>
        <v/>
      </c>
      <c r="S43" s="39">
        <f>IF($R43="","",IF(G43=$R43,$E$10,IF(J43=$R43,$H$10,IF(M43=$R43,$K$10,$N$10))))</f>
        <v/>
      </c>
      <c r="T43" s="40" t="n"/>
    </row>
    <row r="44" ht="8" customHeight="1"/>
    <row r="45" ht="20" customHeight="1">
      <c r="A45" s="8" t="inlineStr">
        <is>
          <t xml:space="preserve">  APURAÇÃO POR FORNECEDOR          as linhas creme são de preenchimento · as demais se calculam sozinhas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</row>
    <row r="46" ht="17" customHeight="1">
      <c r="A46" s="41" t="inlineStr">
        <is>
          <t>Itens cotados</t>
        </is>
      </c>
      <c r="B46" s="42" t="n"/>
      <c r="C46" s="42" t="n"/>
      <c r="D46" s="42" t="n"/>
      <c r="E46" s="43">
        <f>IF(COUNTA($B$14:$B$43)=0,"",COUNT(E$14:E$43)&amp;" de "&amp;COUNTA($B$14:$B$43))</f>
        <v/>
      </c>
      <c r="F46" s="18" t="n"/>
      <c r="G46" s="18" t="n"/>
      <c r="H46" s="43">
        <f>IF(COUNTA($B$14:$B$43)=0,"",COUNT(H$14:H$43)&amp;" de "&amp;COUNTA($B$14:$B$43))</f>
        <v/>
      </c>
      <c r="I46" s="18" t="n"/>
      <c r="J46" s="18" t="n"/>
      <c r="K46" s="43">
        <f>IF(COUNTA($B$14:$B$43)=0,"",COUNT(K$14:K$43)&amp;" de "&amp;COUNTA($B$14:$B$43))</f>
        <v/>
      </c>
      <c r="L46" s="18" t="n"/>
      <c r="M46" s="18" t="n"/>
      <c r="N46" s="43">
        <f>IF(COUNTA($B$14:$B$43)=0,"",COUNT(N$14:N$43)&amp;" de "&amp;COUNTA($B$14:$B$43))</f>
        <v/>
      </c>
      <c r="O46" s="18" t="n"/>
      <c r="P46" s="18" t="n"/>
      <c r="Q46" s="44" t="inlineStr">
        <is>
          <t>Quantos dos itens da lista este fornecedor conseguiu cotar.</t>
        </is>
      </c>
      <c r="R46" s="42" t="n"/>
      <c r="S46" s="42" t="n"/>
      <c r="T46" s="42" t="n"/>
    </row>
    <row r="47" ht="17" customHeight="1">
      <c r="A47" s="41" t="inlineStr">
        <is>
          <t>Situação do pedido</t>
        </is>
      </c>
      <c r="B47" s="42" t="n"/>
      <c r="C47" s="42" t="n"/>
      <c r="D47" s="42" t="n"/>
      <c r="E47" s="45">
        <f>IF(COUNTA($B$14:$B$43)=0,"",IF(COUNT(E$14:E$43)=0,"NÃO COTOU",IF(COUNT(E$14:E$43)=COUNTA($B$14:$B$43),"COMPLETO","PARCIAL — faltam "&amp;(COUNTA($B$14:$B$43)-COUNT(E$14:E$43))&amp;" item(ns)")))</f>
        <v/>
      </c>
      <c r="F47" s="18" t="n"/>
      <c r="G47" s="18" t="n"/>
      <c r="H47" s="45">
        <f>IF(COUNTA($B$14:$B$43)=0,"",IF(COUNT(H$14:H$43)=0,"NÃO COTOU",IF(COUNT(H$14:H$43)=COUNTA($B$14:$B$43),"COMPLETO","PARCIAL — faltam "&amp;(COUNTA($B$14:$B$43)-COUNT(H$14:H$43))&amp;" item(ns)")))</f>
        <v/>
      </c>
      <c r="I47" s="18" t="n"/>
      <c r="J47" s="18" t="n"/>
      <c r="K47" s="45">
        <f>IF(COUNTA($B$14:$B$43)=0,"",IF(COUNT(K$14:K$43)=0,"NÃO COTOU",IF(COUNT(K$14:K$43)=COUNTA($B$14:$B$43),"COMPLETO","PARCIAL — faltam "&amp;(COUNTA($B$14:$B$43)-COUNT(K$14:K$43))&amp;" item(ns)")))</f>
        <v/>
      </c>
      <c r="L47" s="18" t="n"/>
      <c r="M47" s="18" t="n"/>
      <c r="N47" s="45">
        <f>IF(COUNTA($B$14:$B$43)=0,"",IF(COUNT(N$14:N$43)=0,"NÃO COTOU",IF(COUNT(N$14:N$43)=COUNTA($B$14:$B$43),"COMPLETO","PARCIAL — faltam "&amp;(COUNTA($B$14:$B$43)-COUNT(N$14:N$43))&amp;" item(ns)")))</f>
        <v/>
      </c>
      <c r="O47" s="18" t="n"/>
      <c r="P47" s="18" t="n"/>
      <c r="Q47" s="44" t="inlineStr">
        <is>
          <t>COMPLETO = tem tudo. PARCIAL = vai faltar item e você precisará de um segundo fornecedor.</t>
        </is>
      </c>
      <c r="R47" s="42" t="n"/>
      <c r="S47" s="42" t="n"/>
      <c r="T47" s="42" t="n"/>
    </row>
    <row r="48" ht="17" customHeight="1">
      <c r="A48" s="41" t="inlineStr">
        <is>
          <t>Subtotal sem imposto</t>
        </is>
      </c>
      <c r="B48" s="42" t="n"/>
      <c r="C48" s="42" t="n"/>
      <c r="D48" s="42" t="n"/>
      <c r="E48" s="46">
        <f>IF(COUNT(E$14:E$43)=0,"",IFERROR(ROUND(SUMPRODUCT($D$14:$D$43,E$14:E$43),2),""))</f>
        <v/>
      </c>
      <c r="F48" s="18" t="n"/>
      <c r="G48" s="18" t="n"/>
      <c r="H48" s="46">
        <f>IF(COUNT(H$14:H$43)=0,"",IFERROR(ROUND(SUMPRODUCT($D$14:$D$43,H$14:H$43),2),""))</f>
        <v/>
      </c>
      <c r="I48" s="18" t="n"/>
      <c r="J48" s="18" t="n"/>
      <c r="K48" s="46">
        <f>IF(COUNT(K$14:K$43)=0,"",IFERROR(ROUND(SUMPRODUCT($D$14:$D$43,K$14:K$43),2),""))</f>
        <v/>
      </c>
      <c r="L48" s="18" t="n"/>
      <c r="M48" s="18" t="n"/>
      <c r="N48" s="46">
        <f>IF(COUNT(N$14:N$43)=0,"",IFERROR(ROUND(SUMPRODUCT($D$14:$D$43,N$14:N$43),2),""))</f>
        <v/>
      </c>
      <c r="O48" s="18" t="n"/>
      <c r="P48" s="18" t="n"/>
      <c r="Q48" s="44" t="inlineStr">
        <is>
          <t>Soma de quantidade × preço unitário, do jeito que o fornecedor mandou.</t>
        </is>
      </c>
      <c r="R48" s="42" t="n"/>
      <c r="S48" s="42" t="n"/>
      <c r="T48" s="42" t="n"/>
    </row>
    <row r="49" ht="17" customHeight="1">
      <c r="A49" s="41" t="inlineStr">
        <is>
          <t>Imposto sobre os itens (R$)</t>
        </is>
      </c>
      <c r="B49" s="42" t="n"/>
      <c r="C49" s="42" t="n"/>
      <c r="D49" s="42" t="n"/>
      <c r="E49" s="46">
        <f>IF(OR(E50="",E48=""),"",ROUND(E50-E48,2))</f>
        <v/>
      </c>
      <c r="F49" s="18" t="n"/>
      <c r="G49" s="18" t="n"/>
      <c r="H49" s="46">
        <f>IF(OR(H50="",H48=""),"",ROUND(H50-H48,2))</f>
        <v/>
      </c>
      <c r="I49" s="18" t="n"/>
      <c r="J49" s="18" t="n"/>
      <c r="K49" s="46">
        <f>IF(OR(K50="",K48=""),"",ROUND(K50-K48,2))</f>
        <v/>
      </c>
      <c r="L49" s="18" t="n"/>
      <c r="M49" s="18" t="n"/>
      <c r="N49" s="46">
        <f>IF(OR(N50="",N48=""),"",ROUND(N50-N48,2))</f>
        <v/>
      </c>
      <c r="O49" s="18" t="n"/>
      <c r="P49" s="18" t="n"/>
      <c r="Q49" s="44" t="inlineStr">
        <is>
          <t>Vem do % de imposto da barra fixa, ou do % digitado na linha do item quando houver.</t>
        </is>
      </c>
      <c r="R49" s="42" t="n"/>
      <c r="S49" s="42" t="n"/>
      <c r="T49" s="42" t="n"/>
    </row>
    <row r="50" ht="17" customHeight="1">
      <c r="A50" s="41" t="inlineStr">
        <is>
          <t>Subtotal com imposto</t>
        </is>
      </c>
      <c r="B50" s="42" t="n"/>
      <c r="C50" s="42" t="n"/>
      <c r="D50" s="42" t="n"/>
      <c r="E50" s="46">
        <f>IF(COUNT(E$14:E$43)=0,"",ROUND(SUM(G$14:G$43),2))</f>
        <v/>
      </c>
      <c r="F50" s="18" t="n"/>
      <c r="G50" s="18" t="n"/>
      <c r="H50" s="46">
        <f>IF(COUNT(H$14:H$43)=0,"",ROUND(SUM(J$14:J$43),2))</f>
        <v/>
      </c>
      <c r="I50" s="18" t="n"/>
      <c r="J50" s="18" t="n"/>
      <c r="K50" s="46">
        <f>IF(COUNT(K$14:K$43)=0,"",ROUND(SUM(M$14:M$43),2))</f>
        <v/>
      </c>
      <c r="L50" s="18" t="n"/>
      <c r="M50" s="18" t="n"/>
      <c r="N50" s="46">
        <f>IF(COUNT(N$14:N$43)=0,"",ROUND(SUM(P$14:P$43),2))</f>
        <v/>
      </c>
      <c r="O50" s="18" t="n"/>
      <c r="P50" s="18" t="n"/>
      <c r="Q50" s="44" t="inlineStr"/>
      <c r="R50" s="42" t="n"/>
      <c r="S50" s="42" t="n"/>
      <c r="T50" s="42" t="n"/>
    </row>
    <row r="51" ht="17" customHeight="1">
      <c r="A51" s="47" t="inlineStr">
        <is>
          <t>Frete estimado (R$)</t>
        </is>
      </c>
      <c r="B51" s="48" t="n"/>
      <c r="C51" s="48" t="n"/>
      <c r="D51" s="48" t="n"/>
      <c r="E51" s="49" t="n"/>
      <c r="F51" s="15" t="n"/>
      <c r="G51" s="15" t="n"/>
      <c r="H51" s="49" t="n"/>
      <c r="I51" s="15" t="n"/>
      <c r="J51" s="15" t="n"/>
      <c r="K51" s="49" t="n"/>
      <c r="L51" s="15" t="n"/>
      <c r="M51" s="15" t="n"/>
      <c r="N51" s="49" t="n"/>
      <c r="O51" s="15" t="n"/>
      <c r="P51" s="15" t="n"/>
      <c r="Q51" s="44" t="inlineStr">
        <is>
          <t>Coloque 0 quando o frete estiver embutido ou for por conta do fornecedor.</t>
        </is>
      </c>
      <c r="R51" s="42" t="n"/>
      <c r="S51" s="42" t="n"/>
      <c r="T51" s="42" t="n"/>
    </row>
    <row r="52" ht="17" customHeight="1">
      <c r="A52" s="41" t="inlineStr">
        <is>
          <t>TOTAL DO PEDIDO</t>
        </is>
      </c>
      <c r="B52" s="42" t="n"/>
      <c r="C52" s="42" t="n"/>
      <c r="D52" s="42" t="n"/>
      <c r="E52" s="46">
        <f>IF(E50="","",ROUND(E50+IF(E51="",0,E51),2))</f>
        <v/>
      </c>
      <c r="F52" s="18" t="n"/>
      <c r="G52" s="18" t="n"/>
      <c r="H52" s="46">
        <f>IF(H50="","",ROUND(H50+IF(H51="",0,H51),2))</f>
        <v/>
      </c>
      <c r="I52" s="18" t="n"/>
      <c r="J52" s="18" t="n"/>
      <c r="K52" s="46">
        <f>IF(K50="","",ROUND(K50+IF(K51="",0,K51),2))</f>
        <v/>
      </c>
      <c r="L52" s="18" t="n"/>
      <c r="M52" s="18" t="n"/>
      <c r="N52" s="46">
        <f>IF(N50="","",ROUND(N50+IF(N51="",0,N51),2))</f>
        <v/>
      </c>
      <c r="O52" s="18" t="n"/>
      <c r="P52" s="18" t="n"/>
      <c r="Q52" s="44" t="inlineStr">
        <is>
          <t>É este número que aparece na barra fixa lá em cima.</t>
        </is>
      </c>
      <c r="R52" s="42" t="n"/>
      <c r="S52" s="42" t="n"/>
      <c r="T52" s="42" t="n"/>
    </row>
    <row r="53" ht="17" customHeight="1">
      <c r="A53" s="47" t="inlineStr">
        <is>
          <t>% desconto à vista</t>
        </is>
      </c>
      <c r="B53" s="48" t="n"/>
      <c r="C53" s="48" t="n"/>
      <c r="D53" s="48" t="n"/>
      <c r="E53" s="27" t="n"/>
      <c r="F53" s="15" t="n"/>
      <c r="G53" s="15" t="n"/>
      <c r="H53" s="27" t="n"/>
      <c r="I53" s="15" t="n"/>
      <c r="J53" s="15" t="n"/>
      <c r="K53" s="27" t="n"/>
      <c r="L53" s="15" t="n"/>
      <c r="M53" s="15" t="n"/>
      <c r="N53" s="27" t="n"/>
      <c r="O53" s="15" t="n"/>
      <c r="P53" s="15" t="n"/>
      <c r="Q53" s="44" t="inlineStr">
        <is>
          <t>Desconto que o fornecedor dá para pagamento à vista.</t>
        </is>
      </c>
      <c r="R53" s="42" t="n"/>
      <c r="S53" s="42" t="n"/>
      <c r="T53" s="42" t="n"/>
    </row>
    <row r="54" ht="22" customHeight="1">
      <c r="A54" s="50" t="inlineStr">
        <is>
          <t>TOTAL À VISTA</t>
        </is>
      </c>
      <c r="B54" s="21" t="n"/>
      <c r="C54" s="21" t="n"/>
      <c r="D54" s="21" t="n"/>
      <c r="E54" s="51">
        <f>IF(E52="","",ROUND(E52*(1-IF(E53="",0,E53)),2))</f>
        <v/>
      </c>
      <c r="F54" s="52" t="n"/>
      <c r="G54" s="52" t="n"/>
      <c r="H54" s="51">
        <f>IF(H52="","",ROUND(H52*(1-IF(H53="",0,H53)),2))</f>
        <v/>
      </c>
      <c r="I54" s="52" t="n"/>
      <c r="J54" s="52" t="n"/>
      <c r="K54" s="51">
        <f>IF(K52="","",ROUND(K52*(1-IF(K53="",0,K53)),2))</f>
        <v/>
      </c>
      <c r="L54" s="52" t="n"/>
      <c r="M54" s="52" t="n"/>
      <c r="N54" s="51">
        <f>IF(N52="","",ROUND(N52*(1-IF(N53="",0,N53)),2))</f>
        <v/>
      </c>
      <c r="O54" s="52" t="n"/>
      <c r="P54" s="52" t="n"/>
      <c r="Q54" s="53" t="inlineStr"/>
      <c r="R54" s="21" t="n"/>
      <c r="S54" s="21" t="n"/>
      <c r="T54" s="21" t="n"/>
    </row>
    <row r="55" ht="17" customHeight="1">
      <c r="A55" s="47" t="inlineStr">
        <is>
          <t>Condição a prazo</t>
        </is>
      </c>
      <c r="B55" s="48" t="n"/>
      <c r="C55" s="48" t="n"/>
      <c r="D55" s="48" t="n"/>
      <c r="E55" s="54" t="n"/>
      <c r="F55" s="15" t="n"/>
      <c r="G55" s="15" t="n"/>
      <c r="H55" s="54" t="n"/>
      <c r="I55" s="15" t="n"/>
      <c r="J55" s="15" t="n"/>
      <c r="K55" s="54" t="n"/>
      <c r="L55" s="15" t="n"/>
      <c r="M55" s="15" t="n"/>
      <c r="N55" s="54" t="n"/>
      <c r="O55" s="15" t="n"/>
      <c r="P55" s="15" t="n"/>
      <c r="Q55" s="44" t="inlineStr">
        <is>
          <t>Ex.: 30/60/90, 28 dias, 3x sem juros.</t>
        </is>
      </c>
      <c r="R55" s="42" t="n"/>
      <c r="S55" s="42" t="n"/>
      <c r="T55" s="42" t="n"/>
    </row>
    <row r="56" ht="17" customHeight="1">
      <c r="A56" s="47" t="inlineStr">
        <is>
          <t>% acréscimo a prazo</t>
        </is>
      </c>
      <c r="B56" s="48" t="n"/>
      <c r="C56" s="48" t="n"/>
      <c r="D56" s="48" t="n"/>
      <c r="E56" s="27" t="n"/>
      <c r="F56" s="15" t="n"/>
      <c r="G56" s="15" t="n"/>
      <c r="H56" s="27" t="n"/>
      <c r="I56" s="15" t="n"/>
      <c r="J56" s="15" t="n"/>
      <c r="K56" s="27" t="n"/>
      <c r="L56" s="15" t="n"/>
      <c r="M56" s="15" t="n"/>
      <c r="N56" s="27" t="n"/>
      <c r="O56" s="15" t="n"/>
      <c r="P56" s="15" t="n"/>
      <c r="Q56" s="44" t="inlineStr">
        <is>
          <t>Juros ou acréscimo cobrado no parcelado. Se não há acréscimo, deixe zerado.</t>
        </is>
      </c>
      <c r="R56" s="42" t="n"/>
      <c r="S56" s="42" t="n"/>
      <c r="T56" s="42" t="n"/>
    </row>
    <row r="57" ht="22" customHeight="1">
      <c r="A57" s="50" t="inlineStr">
        <is>
          <t>TOTAL A PRAZO</t>
        </is>
      </c>
      <c r="B57" s="21" t="n"/>
      <c r="C57" s="21" t="n"/>
      <c r="D57" s="21" t="n"/>
      <c r="E57" s="51">
        <f>IF(E52="","",ROUND(E52*(1+IF(E56="",0,E56)),2))</f>
        <v/>
      </c>
      <c r="F57" s="52" t="n"/>
      <c r="G57" s="52" t="n"/>
      <c r="H57" s="51">
        <f>IF(H52="","",ROUND(H52*(1+IF(H56="",0,H56)),2))</f>
        <v/>
      </c>
      <c r="I57" s="52" t="n"/>
      <c r="J57" s="52" t="n"/>
      <c r="K57" s="51">
        <f>IF(K52="","",ROUND(K52*(1+IF(K56="",0,K56)),2))</f>
        <v/>
      </c>
      <c r="L57" s="52" t="n"/>
      <c r="M57" s="52" t="n"/>
      <c r="N57" s="51">
        <f>IF(N52="","",ROUND(N52*(1+IF(N56="",0,N56)),2))</f>
        <v/>
      </c>
      <c r="O57" s="52" t="n"/>
      <c r="P57" s="52" t="n"/>
      <c r="Q57" s="53" t="inlineStr"/>
      <c r="R57" s="21" t="n"/>
      <c r="S57" s="21" t="n"/>
      <c r="T57" s="21" t="n"/>
    </row>
    <row r="58" ht="17" customHeight="1">
      <c r="A58" s="41" t="inlineStr">
        <is>
          <t>Custo do prazo (R$)</t>
        </is>
      </c>
      <c r="B58" s="42" t="n"/>
      <c r="C58" s="42" t="n"/>
      <c r="D58" s="42" t="n"/>
      <c r="E58" s="46">
        <f>IF(OR(E54="",E57=""),"",ROUND(E57-E54,2))</f>
        <v/>
      </c>
      <c r="F58" s="18" t="n"/>
      <c r="G58" s="18" t="n"/>
      <c r="H58" s="46">
        <f>IF(OR(H54="",H57=""),"",ROUND(H57-H54,2))</f>
        <v/>
      </c>
      <c r="I58" s="18" t="n"/>
      <c r="J58" s="18" t="n"/>
      <c r="K58" s="46">
        <f>IF(OR(K54="",K57=""),"",ROUND(K57-K54,2))</f>
        <v/>
      </c>
      <c r="L58" s="18" t="n"/>
      <c r="M58" s="18" t="n"/>
      <c r="N58" s="46">
        <f>IF(OR(N54="",N57=""),"",ROUND(N57-N54,2))</f>
        <v/>
      </c>
      <c r="O58" s="18" t="n"/>
      <c r="P58" s="18" t="n"/>
      <c r="Q58" s="44" t="inlineStr">
        <is>
          <t>Quanto o parcelamento custa. Compare com o que aquele fôlego de caixa vale.</t>
        </is>
      </c>
      <c r="R58" s="42" t="n"/>
      <c r="S58" s="42" t="n"/>
      <c r="T58" s="42" t="n"/>
    </row>
    <row r="59" ht="17" customHeight="1">
      <c r="A59" s="47" t="inlineStr">
        <is>
          <t>Prazo de entrega</t>
        </is>
      </c>
      <c r="B59" s="48" t="n"/>
      <c r="C59" s="48" t="n"/>
      <c r="D59" s="48" t="n"/>
      <c r="E59" s="55" t="n"/>
      <c r="F59" s="15" t="n"/>
      <c r="G59" s="15" t="n"/>
      <c r="H59" s="55" t="n"/>
      <c r="I59" s="15" t="n"/>
      <c r="J59" s="15" t="n"/>
      <c r="K59" s="55" t="n"/>
      <c r="L59" s="15" t="n"/>
      <c r="M59" s="15" t="n"/>
      <c r="N59" s="55" t="n"/>
      <c r="O59" s="15" t="n"/>
      <c r="P59" s="15" t="n"/>
      <c r="Q59" s="44" t="inlineStr">
        <is>
          <t>Em dias corridos a partir do pedido.</t>
        </is>
      </c>
      <c r="R59" s="42" t="n"/>
      <c r="S59" s="42" t="n"/>
      <c r="T59" s="42" t="n"/>
    </row>
    <row r="60" ht="17" customHeight="1">
      <c r="A60" s="47" t="inlineStr">
        <is>
          <t>Validade da proposta</t>
        </is>
      </c>
      <c r="B60" s="48" t="n"/>
      <c r="C60" s="48" t="n"/>
      <c r="D60" s="48" t="n"/>
      <c r="E60" s="56" t="n"/>
      <c r="F60" s="15" t="n"/>
      <c r="G60" s="15" t="n"/>
      <c r="H60" s="56" t="n"/>
      <c r="I60" s="15" t="n"/>
      <c r="J60" s="15" t="n"/>
      <c r="K60" s="56" t="n"/>
      <c r="L60" s="15" t="n"/>
      <c r="M60" s="15" t="n"/>
      <c r="N60" s="56" t="n"/>
      <c r="O60" s="15" t="n"/>
      <c r="P60" s="15" t="n"/>
      <c r="Q60" s="44" t="inlineStr">
        <is>
          <t>Até quando o fornecedor garante este preço.</t>
        </is>
      </c>
      <c r="R60" s="42" t="n"/>
      <c r="S60" s="42" t="n"/>
      <c r="T60" s="42" t="n"/>
    </row>
    <row r="61" ht="17" customHeight="1">
      <c r="A61" s="41" t="inlineStr">
        <is>
          <t>Subtotal se atender 100%</t>
        </is>
      </c>
      <c r="B61" s="42" t="n"/>
      <c r="C61" s="42" t="n"/>
      <c r="D61" s="42" t="n"/>
      <c r="E61" s="46">
        <f>IF(E47="COMPLETO",E50,"")</f>
        <v/>
      </c>
      <c r="F61" s="18" t="n"/>
      <c r="G61" s="18" t="n"/>
      <c r="H61" s="46">
        <f>IF(H47="COMPLETO",H50,"")</f>
        <v/>
      </c>
      <c r="I61" s="18" t="n"/>
      <c r="J61" s="18" t="n"/>
      <c r="K61" s="46">
        <f>IF(K47="COMPLETO",K50,"")</f>
        <v/>
      </c>
      <c r="L61" s="18" t="n"/>
      <c r="M61" s="18" t="n"/>
      <c r="N61" s="46">
        <f>IF(N47="COMPLETO",N50,"")</f>
        <v/>
      </c>
      <c r="O61" s="18" t="n"/>
      <c r="P61" s="18" t="n"/>
      <c r="Q61" s="44" t="inlineStr">
        <is>
          <t>Auxiliar do veredito — em branco quando o fornecedor não tem o pedido inteiro.</t>
        </is>
      </c>
      <c r="R61" s="42" t="n"/>
      <c r="S61" s="42" t="n"/>
      <c r="T61" s="42" t="n"/>
    </row>
    <row r="62" ht="17" customHeight="1">
      <c r="A62" s="41" t="inlineStr">
        <is>
          <t>Total à vista se atender 100%</t>
        </is>
      </c>
      <c r="B62" s="42" t="n"/>
      <c r="C62" s="42" t="n"/>
      <c r="D62" s="42" t="n"/>
      <c r="E62" s="46">
        <f>IF(E47="COMPLETO",E54,"")</f>
        <v/>
      </c>
      <c r="F62" s="18" t="n"/>
      <c r="G62" s="18" t="n"/>
      <c r="H62" s="46">
        <f>IF(H47="COMPLETO",H54,"")</f>
        <v/>
      </c>
      <c r="I62" s="18" t="n"/>
      <c r="J62" s="18" t="n"/>
      <c r="K62" s="46">
        <f>IF(K47="COMPLETO",K54,"")</f>
        <v/>
      </c>
      <c r="L62" s="18" t="n"/>
      <c r="M62" s="18" t="n"/>
      <c r="N62" s="46">
        <f>IF(N47="COMPLETO",N54,"")</f>
        <v/>
      </c>
      <c r="O62" s="18" t="n"/>
      <c r="P62" s="18" t="n"/>
      <c r="Q62" s="44" t="inlineStr">
        <is>
          <t>Auxiliar do veredito — é daqui que sai o "melhor entre os completos".</t>
        </is>
      </c>
      <c r="R62" s="42" t="n"/>
      <c r="S62" s="42" t="n"/>
      <c r="T62" s="42" t="n"/>
    </row>
    <row r="63" ht="8" customHeight="1"/>
    <row r="64" ht="20" customHeight="1">
      <c r="A64" s="8" t="inlineStr">
        <is>
          <t xml:space="preserve">  VEREDITO          leitura pronta para decidir — confira sempre a situação do pedido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</row>
    <row r="65" ht="22" customHeight="1">
      <c r="A65" s="57" t="inlineStr">
        <is>
          <t>Melhor preço À VISTA</t>
        </is>
      </c>
      <c r="B65" s="58" t="n"/>
      <c r="C65" s="58" t="n"/>
      <c r="D65" s="58" t="n"/>
      <c r="E65" s="59">
        <f>IF(COUNT($E$54,$H$54,$K$54,$N$54)=0,"—",IF($E$54=MIN($E$54,$H$54,$K$54,$N$54),$E$10,IF($H$54=MIN($E$54,$H$54,$K$54,$N$54),$H$10,IF($K$54=MIN($E$54,$H$54,$K$54,$N$54),$K$10,$N$10))))</f>
        <v/>
      </c>
      <c r="F65" s="58" t="n"/>
      <c r="G65" s="58" t="n"/>
      <c r="H65" s="58" t="n"/>
      <c r="I65" s="58" t="n"/>
      <c r="J65" s="58" t="n"/>
      <c r="K65" s="60">
        <f>IF(COUNT($E$54,$H$54,$K$54,$N$54)=0,"",MIN($E$54,$H$54,$K$54,$N$54))</f>
        <v/>
      </c>
      <c r="L65" s="58" t="n"/>
      <c r="M65" s="58" t="n"/>
      <c r="N65" s="58" t="n"/>
      <c r="O65" s="58" t="n"/>
      <c r="P65" s="58" t="n"/>
      <c r="Q65" s="61">
        <f>IF(COUNT($E$54,$H$54,$K$54,$N$54)=0,"—",IF($E$54=MIN($E$54,$H$54,$K$54,$N$54),$E$47,IF($H$54=MIN($E$54,$H$54,$K$54,$N$54),$H$47,IF($K$54=MIN($E$54,$H$54,$K$54,$N$54),$K$47,$N$47))))</f>
        <v/>
      </c>
      <c r="R65" s="58" t="n"/>
      <c r="S65" s="58" t="n"/>
      <c r="T65" s="58" t="n"/>
    </row>
    <row r="66" ht="22" customHeight="1">
      <c r="A66" s="62" t="inlineStr">
        <is>
          <t>Melhor à vista ENTRE OS COMPLETOS</t>
        </is>
      </c>
      <c r="B66" s="63" t="n"/>
      <c r="C66" s="63" t="n"/>
      <c r="D66" s="63" t="n"/>
      <c r="E66" s="64">
        <f>IF(COUNT($E$62,$H$62,$K$62,$N$62)=0,"—",IF($E$62=MIN($E$62,$H$62,$K$62,$N$62),$E$10,IF($H$62=MIN($E$62,$H$62,$K$62,$N$62),$H$10,IF($K$62=MIN($E$62,$H$62,$K$62,$N$62),$K$10,$N$10))))</f>
        <v/>
      </c>
      <c r="F66" s="63" t="n"/>
      <c r="G66" s="63" t="n"/>
      <c r="H66" s="63" t="n"/>
      <c r="I66" s="63" t="n"/>
      <c r="J66" s="63" t="n"/>
      <c r="K66" s="65">
        <f>IF(COUNT($E$62,$H$62,$K$62,$N$62)=0,"",MIN($E$62,$H$62,$K$62,$N$62))</f>
        <v/>
      </c>
      <c r="L66" s="63" t="n"/>
      <c r="M66" s="63" t="n"/>
      <c r="N66" s="63" t="n"/>
      <c r="O66" s="63" t="n"/>
      <c r="P66" s="63" t="n"/>
      <c r="Q66" s="66">
        <f>IF(COUNT($E$62,$H$62,$K$62,$N$62)=0,"Nenhum fornecedor tem o pedido completo — você vai precisar dividir a compra","Atende 100% dos itens do pedido")</f>
        <v/>
      </c>
      <c r="R66" s="63" t="n"/>
      <c r="S66" s="63" t="n"/>
      <c r="T66" s="63" t="n"/>
    </row>
    <row r="67" ht="22" customHeight="1">
      <c r="A67" s="67" t="inlineStr">
        <is>
          <t>Melhor preço A PRAZO</t>
        </is>
      </c>
      <c r="B67" s="68" t="n"/>
      <c r="C67" s="68" t="n"/>
      <c r="D67" s="68" t="n"/>
      <c r="E67" s="69">
        <f>IF(COUNT($E$57,$H$57,$K$57,$N$57)=0,"—",IF($E$57=MIN($E$57,$H$57,$K$57,$N$57),$E$10,IF($H$57=MIN($E$57,$H$57,$K$57,$N$57),$H$10,IF($K$57=MIN($E$57,$H$57,$K$57,$N$57),$K$10,$N$10))))</f>
        <v/>
      </c>
      <c r="F67" s="68" t="n"/>
      <c r="G67" s="68" t="n"/>
      <c r="H67" s="68" t="n"/>
      <c r="I67" s="68" t="n"/>
      <c r="J67" s="68" t="n"/>
      <c r="K67" s="70">
        <f>IF(COUNT($E$57,$H$57,$K$57,$N$57)=0,"",MIN($E$57,$H$57,$K$57,$N$57))</f>
        <v/>
      </c>
      <c r="L67" s="68" t="n"/>
      <c r="M67" s="68" t="n"/>
      <c r="N67" s="68" t="n"/>
      <c r="O67" s="68" t="n"/>
      <c r="P67" s="68" t="n"/>
      <c r="Q67" s="71">
        <f>IF(COUNT($E$57,$H$57,$K$57,$N$57)=0,"—",IF($E$57=MIN($E$57,$H$57,$K$57,$N$57),IF($E$55="","condição a prazo não informada",$E$55),IF($H$57=MIN($E$57,$H$57,$K$57,$N$57),IF($H$55="","condição a prazo não informada",$H$55),IF($K$57=MIN($E$57,$H$57,$K$57,$N$57),IF($K$55="","condição a prazo não informada",$K$55),IF($N$55="","condição a prazo não informada",$N$55)))))</f>
        <v/>
      </c>
      <c r="R67" s="68" t="n"/>
      <c r="S67" s="68" t="n"/>
      <c r="T67" s="68" t="n"/>
    </row>
    <row r="68" ht="22" customHeight="1">
      <c r="A68" s="72" t="inlineStr">
        <is>
          <t>COMPRA FRACIONADA (item a item)</t>
        </is>
      </c>
      <c r="B68" s="18" t="n"/>
      <c r="C68" s="18" t="n"/>
      <c r="D68" s="18" t="n"/>
      <c r="E68" s="73" t="inlineStr">
        <is>
          <t>melhor preço de cada linha</t>
        </is>
      </c>
      <c r="F68" s="18" t="n"/>
      <c r="G68" s="18" t="n"/>
      <c r="H68" s="18" t="n"/>
      <c r="I68" s="18" t="n"/>
      <c r="J68" s="18" t="n"/>
      <c r="K68" s="74">
        <f>IF(SUM($R$14:$R$43)=0,"",ROUND(SUM($R$14:$R$43),2))</f>
        <v/>
      </c>
      <c r="L68" s="18" t="n"/>
      <c r="M68" s="18" t="n"/>
      <c r="N68" s="18" t="n"/>
      <c r="O68" s="18" t="n"/>
      <c r="P68" s="18" t="n"/>
      <c r="Q68" s="75">
        <f>IF($K68="","",IF((COUNTA($B$14:$B$43)-COUNT($R$14:$R$43))&gt;0,"Atenção: "&amp;(COUNTA($B$14:$B$43)-COUNT($R$14:$R$43))&amp;" item(ns) fora da comparação — sem quantidade ou sem nenhum preço. ","")&amp;IF(COUNT($E$61,$H$61,$K$61,$N$61)=0,"Nenhum fornecedor tem o pedido completo para servir de comparação.",IF(ROUND(MIN($E$61,$H$61,$K$61,$N$61)-$K68,2)&gt;0,"Economia de "&amp;TEXT(MIN($E$61,$H$61,$K$61,$N$61)-$K68,"R$ #,##0.00")&amp;" sobre o subtotal do melhor fornecedor completo — mas some frete de cada um.",IF(ROUND(MIN($E$61,$H$61,$K$61,$N$61)-$K68,2)=0,"Não compensa dividir: o melhor fornecedor completo já tem o menor preço em todos os itens.","Sem ganho: dividir a compra sai "&amp;TEXT($K68-MIN($E$61,$H$61,$K$61,$N$61),"R$ #,##0.00")&amp;" mais caro que o melhor fornecedor completo."))))</f>
        <v/>
      </c>
      <c r="R68" s="18" t="n"/>
      <c r="S68" s="18" t="n"/>
      <c r="T68" s="18" t="n"/>
    </row>
    <row r="69" ht="8" customHeight="1"/>
    <row r="70" ht="44" customHeight="1">
      <c r="A70" s="76" t="inlineStr">
        <is>
          <t xml:space="preserve">  Como ler: a coluna % IMP. é o imposto que vem POR FORA do preço (o clássico "preços s/ IPI = 6,5%"). Deixe a linha em branco para usar o % padrão do fornecedor na barra fixa, ou digite um % diferente só naquele item. A comparação entre fornecedores é feita pelo TOTAL do item, já com o imposto de cada um — nunca pelo preço de tabela. Subtotal e compra fracionada são sem frete; a decisão final é pelo TOTAL À VISTA ou TOTAL A PRAZO.</t>
        </is>
      </c>
      <c r="B70" s="48" t="n"/>
      <c r="C70" s="48" t="n"/>
      <c r="D70" s="48" t="n"/>
      <c r="E70" s="48" t="n"/>
      <c r="F70" s="48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 t="n"/>
      <c r="P70" s="48" t="n"/>
      <c r="Q70" s="48" t="n"/>
      <c r="R70" s="48" t="n"/>
      <c r="S70" s="48" t="n"/>
      <c r="T70" s="48" t="n"/>
    </row>
  </sheetData>
  <mergeCells count="150">
    <mergeCell ref="K46:M46"/>
    <mergeCell ref="A64:T64"/>
    <mergeCell ref="K56:M56"/>
    <mergeCell ref="H11:J11"/>
    <mergeCell ref="A7:B7"/>
    <mergeCell ref="A58:D58"/>
    <mergeCell ref="N60:P60"/>
    <mergeCell ref="E57:G57"/>
    <mergeCell ref="A51:D51"/>
    <mergeCell ref="A60:D60"/>
    <mergeCell ref="Q62:T62"/>
    <mergeCell ref="K57:M57"/>
    <mergeCell ref="K10:M10"/>
    <mergeCell ref="K65:P65"/>
    <mergeCell ref="A54:D54"/>
    <mergeCell ref="E58:G58"/>
    <mergeCell ref="A2:T2"/>
    <mergeCell ref="N55:P55"/>
    <mergeCell ref="O7:T7"/>
    <mergeCell ref="Q51:T51"/>
    <mergeCell ref="C7:G7"/>
    <mergeCell ref="O6:T6"/>
    <mergeCell ref="A56:D56"/>
    <mergeCell ref="Q50:T50"/>
    <mergeCell ref="H58:J58"/>
    <mergeCell ref="K60:M60"/>
    <mergeCell ref="K11:M11"/>
    <mergeCell ref="Q49:T49"/>
    <mergeCell ref="K47:M47"/>
    <mergeCell ref="H51:J51"/>
    <mergeCell ref="H60:J60"/>
    <mergeCell ref="A53:D53"/>
    <mergeCell ref="E60:G60"/>
    <mergeCell ref="N58:P58"/>
    <mergeCell ref="A62:D62"/>
    <mergeCell ref="Q11:T11"/>
    <mergeCell ref="E65:J65"/>
    <mergeCell ref="K67:P67"/>
    <mergeCell ref="E59:G59"/>
    <mergeCell ref="E46:G46"/>
    <mergeCell ref="Q66:T66"/>
    <mergeCell ref="N57:P57"/>
    <mergeCell ref="Q53:T53"/>
    <mergeCell ref="N10:P10"/>
    <mergeCell ref="A70:T70"/>
    <mergeCell ref="A48:D48"/>
    <mergeCell ref="H57:J57"/>
    <mergeCell ref="E61:G61"/>
    <mergeCell ref="N59:P59"/>
    <mergeCell ref="A59:D59"/>
    <mergeCell ref="Q12:T12"/>
    <mergeCell ref="Q68:T68"/>
    <mergeCell ref="A11:D11"/>
    <mergeCell ref="E54:G54"/>
    <mergeCell ref="A61:D61"/>
    <mergeCell ref="N49:P49"/>
    <mergeCell ref="K62:M62"/>
    <mergeCell ref="Q54:T54"/>
    <mergeCell ref="E47:G47"/>
    <mergeCell ref="E56:G56"/>
    <mergeCell ref="K49:M49"/>
    <mergeCell ref="Q55:T55"/>
    <mergeCell ref="A46:D46"/>
    <mergeCell ref="N47:P47"/>
    <mergeCell ref="H59:J59"/>
    <mergeCell ref="E10:G10"/>
    <mergeCell ref="H46:J46"/>
    <mergeCell ref="Q65:T65"/>
    <mergeCell ref="A9:T9"/>
    <mergeCell ref="N62:P62"/>
    <mergeCell ref="H52:J52"/>
    <mergeCell ref="A52:D52"/>
    <mergeCell ref="H61:J61"/>
    <mergeCell ref="A10:D10"/>
    <mergeCell ref="K59:M59"/>
    <mergeCell ref="A68:D68"/>
    <mergeCell ref="A1:T1"/>
    <mergeCell ref="A45:T45"/>
    <mergeCell ref="Q57:T57"/>
    <mergeCell ref="E11:G11"/>
    <mergeCell ref="K61:M61"/>
    <mergeCell ref="H47:J47"/>
    <mergeCell ref="K48:M48"/>
    <mergeCell ref="A49:D49"/>
    <mergeCell ref="Q52:T52"/>
    <mergeCell ref="E66:J66"/>
    <mergeCell ref="A65:D65"/>
    <mergeCell ref="Q67:T67"/>
    <mergeCell ref="H53:J53"/>
    <mergeCell ref="E68:J68"/>
    <mergeCell ref="N11:P11"/>
    <mergeCell ref="E62:G62"/>
    <mergeCell ref="H10:J10"/>
    <mergeCell ref="H50:J50"/>
    <mergeCell ref="A4:T4"/>
    <mergeCell ref="A12:D12"/>
    <mergeCell ref="E67:J67"/>
    <mergeCell ref="H55:J55"/>
    <mergeCell ref="N53:P53"/>
    <mergeCell ref="A57:D57"/>
    <mergeCell ref="K51:M51"/>
    <mergeCell ref="Q59:T59"/>
    <mergeCell ref="E51:G51"/>
    <mergeCell ref="Q46:T46"/>
    <mergeCell ref="H49:J49"/>
    <mergeCell ref="N46:P46"/>
    <mergeCell ref="K50:M50"/>
    <mergeCell ref="C6:G6"/>
    <mergeCell ref="Q61:T61"/>
    <mergeCell ref="N52:P52"/>
    <mergeCell ref="Q48:T48"/>
    <mergeCell ref="N61:P61"/>
    <mergeCell ref="N48:P48"/>
    <mergeCell ref="K58:M58"/>
    <mergeCell ref="K52:M52"/>
    <mergeCell ref="A6:B6"/>
    <mergeCell ref="A67:D67"/>
    <mergeCell ref="E49:G49"/>
    <mergeCell ref="Q47:T47"/>
    <mergeCell ref="H56:J56"/>
    <mergeCell ref="Q56:T56"/>
    <mergeCell ref="L6:N6"/>
    <mergeCell ref="H48:J48"/>
    <mergeCell ref="K53:M53"/>
    <mergeCell ref="H62:J62"/>
    <mergeCell ref="A3:T3"/>
    <mergeCell ref="E53:G53"/>
    <mergeCell ref="K66:P66"/>
    <mergeCell ref="H6:K6"/>
    <mergeCell ref="E50:G50"/>
    <mergeCell ref="Q58:T58"/>
    <mergeCell ref="Q10:T10"/>
    <mergeCell ref="A66:D66"/>
    <mergeCell ref="L7:N7"/>
    <mergeCell ref="N54:P54"/>
    <mergeCell ref="E55:G55"/>
    <mergeCell ref="K68:P68"/>
    <mergeCell ref="H54:J54"/>
    <mergeCell ref="E52:G52"/>
    <mergeCell ref="N50:P50"/>
    <mergeCell ref="A50:D50"/>
    <mergeCell ref="K54:M54"/>
    <mergeCell ref="Q60:T60"/>
    <mergeCell ref="N51:P51"/>
    <mergeCell ref="E48:G48"/>
    <mergeCell ref="A55:D55"/>
    <mergeCell ref="K55:M55"/>
    <mergeCell ref="N56:P56"/>
    <mergeCell ref="H7:K7"/>
    <mergeCell ref="A47:D47"/>
  </mergeCells>
  <conditionalFormatting sqref="E14:E43">
    <cfRule type="expression" priority="1" dxfId="0" stopIfTrue="1">
      <formula>AND($B14&lt;&gt;"",E14="")</formula>
    </cfRule>
  </conditionalFormatting>
  <conditionalFormatting sqref="G14:G43">
    <cfRule type="expression" priority="2" dxfId="1">
      <formula>AND(G14&lt;&gt;"",$R14&lt;&gt;"",G14=$R14)</formula>
    </cfRule>
  </conditionalFormatting>
  <conditionalFormatting sqref="E47:G47">
    <cfRule type="expression" priority="3" dxfId="1" stopIfTrue="1">
      <formula>$E$47="COMPLETO"</formula>
    </cfRule>
    <cfRule type="expression" priority="4" dxfId="2" stopIfTrue="1">
      <formula>LEFT($E$47,7)="PARCIAL"</formula>
    </cfRule>
    <cfRule type="expression" priority="5" dxfId="3">
      <formula>$E$47="NÃO COTOU"</formula>
    </cfRule>
  </conditionalFormatting>
  <conditionalFormatting sqref="E12">
    <cfRule type="expression" priority="6" dxfId="4" stopIfTrue="1">
      <formula>AND(E$12&lt;&gt;"",$E$47="COMPLETO")</formula>
    </cfRule>
    <cfRule type="expression" priority="7" dxfId="5">
      <formula>AND(E$12&lt;&gt;"",LEFT($E$47,7)="PARCIAL")</formula>
    </cfRule>
  </conditionalFormatting>
  <conditionalFormatting sqref="E54:G54">
    <cfRule type="expression" priority="8" dxfId="6">
      <formula>AND($E$54&lt;&gt;"",$E$54=MIN($E$54,$H$54,$K$54,$N$54))</formula>
    </cfRule>
  </conditionalFormatting>
  <conditionalFormatting sqref="E57:G57">
    <cfRule type="expression" priority="9" dxfId="6">
      <formula>AND($E$57&lt;&gt;"",$E$57=MIN($E$57,$H$57,$K$57,$N$57))</formula>
    </cfRule>
  </conditionalFormatting>
  <conditionalFormatting sqref="G12">
    <cfRule type="expression" priority="10" dxfId="6">
      <formula>AND($E$52&lt;&gt;"",$E$52=MIN($E$52,$H$52,$K$52,$N$52))</formula>
    </cfRule>
  </conditionalFormatting>
  <conditionalFormatting sqref="H14:H43">
    <cfRule type="expression" priority="11" dxfId="0" stopIfTrue="1">
      <formula>AND($B14&lt;&gt;"",H14="")</formula>
    </cfRule>
  </conditionalFormatting>
  <conditionalFormatting sqref="J14:J43">
    <cfRule type="expression" priority="12" dxfId="1">
      <formula>AND(J14&lt;&gt;"",$R14&lt;&gt;"",J14=$R14)</formula>
    </cfRule>
  </conditionalFormatting>
  <conditionalFormatting sqref="H47:J47">
    <cfRule type="expression" priority="13" dxfId="1" stopIfTrue="1">
      <formula>$H$47="COMPLETO"</formula>
    </cfRule>
    <cfRule type="expression" priority="14" dxfId="2" stopIfTrue="1">
      <formula>LEFT($H$47,7)="PARCIAL"</formula>
    </cfRule>
    <cfRule type="expression" priority="15" dxfId="3">
      <formula>$H$47="NÃO COTOU"</formula>
    </cfRule>
  </conditionalFormatting>
  <conditionalFormatting sqref="H12">
    <cfRule type="expression" priority="16" dxfId="4" stopIfTrue="1">
      <formula>AND(H$12&lt;&gt;"",$H$47="COMPLETO")</formula>
    </cfRule>
    <cfRule type="expression" priority="17" dxfId="5">
      <formula>AND(H$12&lt;&gt;"",LEFT($H$47,7)="PARCIAL")</formula>
    </cfRule>
  </conditionalFormatting>
  <conditionalFormatting sqref="H54:J54">
    <cfRule type="expression" priority="18" dxfId="6">
      <formula>AND($H$54&lt;&gt;"",$H$54=MIN($E$54,$H$54,$K$54,$N$54))</formula>
    </cfRule>
  </conditionalFormatting>
  <conditionalFormatting sqref="H57:J57">
    <cfRule type="expression" priority="19" dxfId="6">
      <formula>AND($H$57&lt;&gt;"",$H$57=MIN($E$57,$H$57,$K$57,$N$57))</formula>
    </cfRule>
  </conditionalFormatting>
  <conditionalFormatting sqref="J12">
    <cfRule type="expression" priority="20" dxfId="6">
      <formula>AND($H$52&lt;&gt;"",$H$52=MIN($E$52,$H$52,$K$52,$N$52))</formula>
    </cfRule>
  </conditionalFormatting>
  <conditionalFormatting sqref="K14:K43">
    <cfRule type="expression" priority="21" dxfId="0" stopIfTrue="1">
      <formula>AND($B14&lt;&gt;"",K14="")</formula>
    </cfRule>
  </conditionalFormatting>
  <conditionalFormatting sqref="M14:M43">
    <cfRule type="expression" priority="22" dxfId="1">
      <formula>AND(M14&lt;&gt;"",$R14&lt;&gt;"",M14=$R14)</formula>
    </cfRule>
  </conditionalFormatting>
  <conditionalFormatting sqref="K47:M47">
    <cfRule type="expression" priority="23" dxfId="1" stopIfTrue="1">
      <formula>$K$47="COMPLETO"</formula>
    </cfRule>
    <cfRule type="expression" priority="24" dxfId="2" stopIfTrue="1">
      <formula>LEFT($K$47,7)="PARCIAL"</formula>
    </cfRule>
    <cfRule type="expression" priority="25" dxfId="3">
      <formula>$K$47="NÃO COTOU"</formula>
    </cfRule>
  </conditionalFormatting>
  <conditionalFormatting sqref="K12">
    <cfRule type="expression" priority="26" dxfId="4" stopIfTrue="1">
      <formula>AND(K$12&lt;&gt;"",$K$47="COMPLETO")</formula>
    </cfRule>
    <cfRule type="expression" priority="27" dxfId="5">
      <formula>AND(K$12&lt;&gt;"",LEFT($K$47,7)="PARCIAL")</formula>
    </cfRule>
  </conditionalFormatting>
  <conditionalFormatting sqref="K54:M54">
    <cfRule type="expression" priority="28" dxfId="6">
      <formula>AND($K$54&lt;&gt;"",$K$54=MIN($E$54,$H$54,$K$54,$N$54))</formula>
    </cfRule>
  </conditionalFormatting>
  <conditionalFormatting sqref="K57:M57">
    <cfRule type="expression" priority="29" dxfId="6">
      <formula>AND($K$57&lt;&gt;"",$K$57=MIN($E$57,$H$57,$K$57,$N$57))</formula>
    </cfRule>
  </conditionalFormatting>
  <conditionalFormatting sqref="M12">
    <cfRule type="expression" priority="30" dxfId="6">
      <formula>AND($K$52&lt;&gt;"",$K$52=MIN($E$52,$H$52,$K$52,$N$52))</formula>
    </cfRule>
  </conditionalFormatting>
  <conditionalFormatting sqref="N14:N43">
    <cfRule type="expression" priority="31" dxfId="0" stopIfTrue="1">
      <formula>AND($B14&lt;&gt;"",N14="")</formula>
    </cfRule>
  </conditionalFormatting>
  <conditionalFormatting sqref="P14:P43">
    <cfRule type="expression" priority="32" dxfId="1">
      <formula>AND(P14&lt;&gt;"",$R14&lt;&gt;"",P14=$R14)</formula>
    </cfRule>
  </conditionalFormatting>
  <conditionalFormatting sqref="N47:P47">
    <cfRule type="expression" priority="33" dxfId="1" stopIfTrue="1">
      <formula>$N$47="COMPLETO"</formula>
    </cfRule>
    <cfRule type="expression" priority="34" dxfId="2" stopIfTrue="1">
      <formula>LEFT($N$47,7)="PARCIAL"</formula>
    </cfRule>
    <cfRule type="expression" priority="35" dxfId="3">
      <formula>$N$47="NÃO COTOU"</formula>
    </cfRule>
  </conditionalFormatting>
  <conditionalFormatting sqref="N12">
    <cfRule type="expression" priority="36" dxfId="4" stopIfTrue="1">
      <formula>AND(N$12&lt;&gt;"",$N$47="COMPLETO")</formula>
    </cfRule>
    <cfRule type="expression" priority="37" dxfId="5">
      <formula>AND(N$12&lt;&gt;"",LEFT($N$47,7)="PARCIAL")</formula>
    </cfRule>
  </conditionalFormatting>
  <conditionalFormatting sqref="N54:P54">
    <cfRule type="expression" priority="38" dxfId="6">
      <formula>AND($N$54&lt;&gt;"",$N$54=MIN($E$54,$H$54,$K$54,$N$54))</formula>
    </cfRule>
  </conditionalFormatting>
  <conditionalFormatting sqref="N57:P57">
    <cfRule type="expression" priority="39" dxfId="6">
      <formula>AND($N$57&lt;&gt;"",$N$57=MIN($E$57,$H$57,$K$57,$N$57))</formula>
    </cfRule>
  </conditionalFormatting>
  <conditionalFormatting sqref="P12">
    <cfRule type="expression" priority="40" dxfId="6">
      <formula>AND($N$52&lt;&gt;"",$N$52=MIN($E$52,$H$52,$K$52,$N$52))</formula>
    </cfRule>
  </conditionalFormatting>
  <dataValidations count="5">
    <dataValidation sqref="C14:C43" showDropDown="0" showInputMessage="0" showErrorMessage="0" allowBlank="1" type="list">
      <formula1>=Listas!$A$2:$A$19</formula1>
    </dataValidation>
    <dataValidation sqref="E55:G55" showDropDown="0" showInputMessage="0" showErrorMessage="0" allowBlank="1" type="list">
      <formula1>=Listas!$B$2:$B$14</formula1>
    </dataValidation>
    <dataValidation sqref="H55:J55" showDropDown="0" showInputMessage="0" showErrorMessage="0" allowBlank="1" type="list">
      <formula1>=Listas!$B$2:$B$14</formula1>
    </dataValidation>
    <dataValidation sqref="K55:M55" showDropDown="0" showInputMessage="0" showErrorMessage="0" allowBlank="1" type="list">
      <formula1>=Listas!$B$2:$B$14</formula1>
    </dataValidation>
    <dataValidation sqref="N55:P55" showDropDown="0" showInputMessage="0" showErrorMessage="0" allowBlank="1" type="list">
      <formula1>=Listas!$B$2:$B$14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6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7" customWidth="1" min="3" max="3"/>
    <col width="8" customWidth="1" min="4" max="4"/>
    <col width="14" customWidth="1" min="5" max="5"/>
    <col width="8" customWidth="1" min="6" max="6"/>
    <col width="15" customWidth="1" min="7" max="7"/>
    <col width="22" customWidth="1" min="8" max="8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</row>
    <row r="3" ht="28" customHeight="1">
      <c r="A3" s="4" t="inlineStr">
        <is>
          <t>PEDIDO DE COTAÇÃO</t>
        </is>
      </c>
      <c r="B3" s="5" t="n"/>
      <c r="C3" s="5" t="n"/>
      <c r="D3" s="5" t="n"/>
      <c r="E3" s="5" t="n"/>
      <c r="F3" s="5" t="n"/>
      <c r="G3" s="5" t="n"/>
      <c r="H3" s="5" t="n"/>
    </row>
    <row r="4" ht="17" customHeight="1">
      <c r="A4" s="6" t="inlineStr">
        <is>
          <t>Formulário para enviar ao fornecedor · imprima em A4 ou envie em PDF</t>
        </is>
      </c>
      <c r="B4" s="7" t="n"/>
      <c r="C4" s="7" t="n"/>
      <c r="D4" s="7" t="n"/>
      <c r="E4" s="7" t="n"/>
      <c r="F4" s="7" t="n"/>
      <c r="G4" s="7" t="n"/>
      <c r="H4" s="7" t="n"/>
    </row>
    <row r="5" ht="6" customHeight="1"/>
    <row r="6" ht="20" customHeight="1">
      <c r="A6" s="77" t="inlineStr">
        <is>
          <t>Puxar os itens da aba:</t>
        </is>
      </c>
      <c r="B6" s="13" t="n"/>
      <c r="C6" s="13" t="n"/>
      <c r="D6" s="78" t="inlineStr">
        <is>
          <t>Cotação</t>
        </is>
      </c>
      <c r="E6" s="15" t="n"/>
      <c r="F6" s="79" t="inlineStr">
        <is>
          <t>digite aqui o nome exato da aba de cotação</t>
        </is>
      </c>
      <c r="G6" s="13" t="n"/>
      <c r="H6" s="13" t="n"/>
    </row>
    <row r="8" ht="20" customHeight="1">
      <c r="A8" s="8" t="inlineStr">
        <is>
          <t xml:space="preserve">  IDENTIFICAÇÃO</t>
        </is>
      </c>
      <c r="B8" s="9" t="n"/>
      <c r="C8" s="9" t="n"/>
      <c r="D8" s="9" t="n"/>
      <c r="E8" s="9" t="n"/>
      <c r="F8" s="9" t="n"/>
      <c r="G8" s="9" t="n"/>
      <c r="H8" s="9" t="n"/>
    </row>
    <row r="9" ht="18" customHeight="1">
      <c r="A9" s="80" t="inlineStr">
        <is>
          <t>Cotação nº  ▸</t>
        </is>
      </c>
      <c r="B9" s="42" t="n"/>
      <c r="C9" s="42" t="n"/>
      <c r="D9" s="81">
        <f>IFERROR(INDIRECT("'"&amp;$D$6&amp;"'!"&amp;"A7"),"")</f>
        <v/>
      </c>
      <c r="E9" s="18" t="n"/>
      <c r="F9" s="18" t="n"/>
      <c r="G9" s="18" t="n"/>
      <c r="H9" s="18" t="n"/>
    </row>
    <row r="10" ht="18" customHeight="1">
      <c r="A10" s="80" t="inlineStr">
        <is>
          <t>Demanda / projeto  ▸</t>
        </is>
      </c>
      <c r="B10" s="42" t="n"/>
      <c r="C10" s="42" t="n"/>
      <c r="D10" s="81">
        <f>IFERROR(INDIRECT("'"&amp;$D$6&amp;"'!"&amp;"C7"),"")</f>
        <v/>
      </c>
      <c r="E10" s="18" t="n"/>
      <c r="F10" s="18" t="n"/>
      <c r="G10" s="18" t="n"/>
      <c r="H10" s="18" t="n"/>
    </row>
    <row r="11" ht="18" customHeight="1">
      <c r="A11" s="80" t="inlineStr">
        <is>
          <t>Solicitante  ▸</t>
        </is>
      </c>
      <c r="B11" s="42" t="n"/>
      <c r="C11" s="42" t="n"/>
      <c r="D11" s="81">
        <f>IFERROR(INDIRECT("'"&amp;$D$6&amp;"'!"&amp;"H7"),"")</f>
        <v/>
      </c>
      <c r="E11" s="18" t="n"/>
      <c r="F11" s="18" t="n"/>
      <c r="G11" s="18" t="n"/>
      <c r="H11" s="18" t="n"/>
    </row>
    <row r="12" ht="18" customHeight="1">
      <c r="A12" s="80" t="inlineStr">
        <is>
          <t>Data  ▸</t>
        </is>
      </c>
      <c r="B12" s="42" t="n"/>
      <c r="C12" s="42" t="n"/>
      <c r="D12" s="82">
        <f>IFERROR(INDIRECT("'"&amp;$D$6&amp;"'!"&amp;"L7"),"")</f>
        <v/>
      </c>
      <c r="E12" s="18" t="n"/>
      <c r="F12" s="18" t="n"/>
      <c r="G12" s="18" t="n"/>
      <c r="H12" s="18" t="n"/>
    </row>
    <row r="13" ht="18" customHeight="1">
      <c r="A13" s="80" t="inlineStr">
        <is>
          <t>Responder até  ▸</t>
        </is>
      </c>
      <c r="B13" s="42" t="n"/>
      <c r="C13" s="42" t="n"/>
      <c r="D13" s="82">
        <f>IFERROR(INDIRECT("'"&amp;$D$6&amp;"'!"&amp;"O7"),"")</f>
        <v/>
      </c>
      <c r="E13" s="18" t="n"/>
      <c r="F13" s="18" t="n"/>
      <c r="G13" s="18" t="n"/>
      <c r="H13" s="18" t="n"/>
    </row>
    <row r="14" ht="8" customHeight="1"/>
    <row r="15" ht="20" customHeight="1">
      <c r="A15" s="8" t="inlineStr">
        <is>
          <t xml:space="preserve">  DADOS DO FORNECEDOR          preenchimento do fornecedor</t>
        </is>
      </c>
      <c r="B15" s="9" t="n"/>
      <c r="C15" s="9" t="n"/>
      <c r="D15" s="9" t="n"/>
      <c r="E15" s="9" t="n"/>
      <c r="F15" s="9" t="n"/>
      <c r="G15" s="9" t="n"/>
      <c r="H15" s="9" t="n"/>
    </row>
    <row r="16" ht="18" customHeight="1">
      <c r="A16" s="80" t="inlineStr">
        <is>
          <t>Empresa  ▸</t>
        </is>
      </c>
      <c r="B16" s="42" t="n"/>
      <c r="C16" s="42" t="n"/>
      <c r="D16" s="83" t="n"/>
      <c r="E16" s="15" t="n"/>
      <c r="F16" s="15" t="n"/>
      <c r="G16" s="15" t="n"/>
      <c r="H16" s="15" t="n"/>
    </row>
    <row r="17" ht="18" customHeight="1">
      <c r="A17" s="80" t="inlineStr">
        <is>
          <t>CNPJ  ▸</t>
        </is>
      </c>
      <c r="B17" s="42" t="n"/>
      <c r="C17" s="42" t="n"/>
      <c r="D17" s="83" t="n"/>
      <c r="E17" s="15" t="n"/>
      <c r="F17" s="15" t="n"/>
      <c r="G17" s="15" t="n"/>
      <c r="H17" s="15" t="n"/>
    </row>
    <row r="18" ht="18" customHeight="1">
      <c r="A18" s="80" t="inlineStr">
        <is>
          <t>Vendedor  ▸</t>
        </is>
      </c>
      <c r="B18" s="42" t="n"/>
      <c r="C18" s="42" t="n"/>
      <c r="D18" s="83" t="n"/>
      <c r="E18" s="15" t="n"/>
      <c r="F18" s="15" t="n"/>
      <c r="G18" s="15" t="n"/>
      <c r="H18" s="15" t="n"/>
    </row>
    <row r="19" ht="18" customHeight="1">
      <c r="A19" s="80" t="inlineStr">
        <is>
          <t>Telefone / WhatsApp  ▸</t>
        </is>
      </c>
      <c r="B19" s="42" t="n"/>
      <c r="C19" s="42" t="n"/>
      <c r="D19" s="83" t="n"/>
      <c r="E19" s="15" t="n"/>
      <c r="F19" s="15" t="n"/>
      <c r="G19" s="15" t="n"/>
      <c r="H19" s="15" t="n"/>
    </row>
    <row r="20" ht="18" customHeight="1">
      <c r="A20" s="80" t="inlineStr">
        <is>
          <t>E-mail  ▸</t>
        </is>
      </c>
      <c r="B20" s="42" t="n"/>
      <c r="C20" s="42" t="n"/>
      <c r="D20" s="83" t="n"/>
      <c r="E20" s="15" t="n"/>
      <c r="F20" s="15" t="n"/>
      <c r="G20" s="15" t="n"/>
      <c r="H20" s="15" t="n"/>
    </row>
    <row r="21" ht="8" customHeight="1"/>
    <row r="22" ht="20" customHeight="1">
      <c r="A22" s="8" t="inlineStr">
        <is>
          <t xml:space="preserve">  ITENS SOLICITADOS          informe o preço unitário e, se houver, o % de imposto que vem por fora</t>
        </is>
      </c>
      <c r="B22" s="9" t="n"/>
      <c r="C22" s="9" t="n"/>
      <c r="D22" s="9" t="n"/>
      <c r="E22" s="9" t="n"/>
      <c r="F22" s="9" t="n"/>
      <c r="G22" s="9" t="n"/>
      <c r="H22" s="9" t="n"/>
    </row>
    <row r="23" ht="30" customHeight="1">
      <c r="A23" s="29" t="inlineStr">
        <is>
          <t>#</t>
        </is>
      </c>
      <c r="B23" s="29" t="inlineStr">
        <is>
          <t>ITEM / ESPECIFICAÇÃO</t>
        </is>
      </c>
      <c r="C23" s="29" t="inlineStr">
        <is>
          <t>UN.</t>
        </is>
      </c>
      <c r="D23" s="29" t="inlineStr">
        <is>
          <t>QTD</t>
        </is>
      </c>
      <c r="E23" s="29" t="inlineStr">
        <is>
          <t>VALOR UNIT. (R$)</t>
        </is>
      </c>
      <c r="F23" s="29" t="inlineStr">
        <is>
          <t>% IMP.</t>
        </is>
      </c>
      <c r="G23" s="29" t="inlineStr">
        <is>
          <t>VALOR TOTAL (R$)</t>
        </is>
      </c>
      <c r="H23" s="29" t="inlineStr">
        <is>
          <t>MARCA / OBSERVAÇÃO</t>
        </is>
      </c>
    </row>
    <row r="24" ht="17" customHeight="1">
      <c r="A24" s="30">
        <f>IFERROR(INDIRECT("'"&amp;$D$6&amp;"'!"&amp;"A14"),"")</f>
        <v/>
      </c>
      <c r="B24" s="84">
        <f>IFERROR(INDIRECT("'"&amp;$D$6&amp;"'!"&amp;"B14"),"")</f>
        <v/>
      </c>
      <c r="C24" s="85">
        <f>IFERROR(INDIRECT("'"&amp;$D$6&amp;"'!"&amp;"C14"),"")</f>
        <v/>
      </c>
      <c r="D24" s="86">
        <f>IFERROR(INDIRECT("'"&amp;$D$6&amp;"'!"&amp;"D14"),"")</f>
        <v/>
      </c>
      <c r="E24" s="87" t="n"/>
      <c r="F24" s="35" t="n"/>
      <c r="G24" s="36">
        <f>IF(OR($D24="",$E24=""),"",ROUND($D24*$E24*(1+IF($F24="",0,$F24)),2))</f>
        <v/>
      </c>
      <c r="H24" s="40" t="n"/>
    </row>
    <row r="25" ht="17" customHeight="1">
      <c r="A25" s="30">
        <f>IFERROR(INDIRECT("'"&amp;$D$6&amp;"'!"&amp;"A15"),"")</f>
        <v/>
      </c>
      <c r="B25" s="84">
        <f>IFERROR(INDIRECT("'"&amp;$D$6&amp;"'!"&amp;"B15"),"")</f>
        <v/>
      </c>
      <c r="C25" s="85">
        <f>IFERROR(INDIRECT("'"&amp;$D$6&amp;"'!"&amp;"C15"),"")</f>
        <v/>
      </c>
      <c r="D25" s="86">
        <f>IFERROR(INDIRECT("'"&amp;$D$6&amp;"'!"&amp;"D15"),"")</f>
        <v/>
      </c>
      <c r="E25" s="87" t="n"/>
      <c r="F25" s="35" t="n"/>
      <c r="G25" s="36">
        <f>IF(OR($D25="",$E25=""),"",ROUND($D25*$E25*(1+IF($F25="",0,$F25)),2))</f>
        <v/>
      </c>
      <c r="H25" s="40" t="n"/>
    </row>
    <row r="26" ht="17" customHeight="1">
      <c r="A26" s="30">
        <f>IFERROR(INDIRECT("'"&amp;$D$6&amp;"'!"&amp;"A16"),"")</f>
        <v/>
      </c>
      <c r="B26" s="84">
        <f>IFERROR(INDIRECT("'"&amp;$D$6&amp;"'!"&amp;"B16"),"")</f>
        <v/>
      </c>
      <c r="C26" s="85">
        <f>IFERROR(INDIRECT("'"&amp;$D$6&amp;"'!"&amp;"C16"),"")</f>
        <v/>
      </c>
      <c r="D26" s="86">
        <f>IFERROR(INDIRECT("'"&amp;$D$6&amp;"'!"&amp;"D16"),"")</f>
        <v/>
      </c>
      <c r="E26" s="87" t="n"/>
      <c r="F26" s="35" t="n"/>
      <c r="G26" s="36">
        <f>IF(OR($D26="",$E26=""),"",ROUND($D26*$E26*(1+IF($F26="",0,$F26)),2))</f>
        <v/>
      </c>
      <c r="H26" s="40" t="n"/>
    </row>
    <row r="27" ht="17" customHeight="1">
      <c r="A27" s="30">
        <f>IFERROR(INDIRECT("'"&amp;$D$6&amp;"'!"&amp;"A17"),"")</f>
        <v/>
      </c>
      <c r="B27" s="84">
        <f>IFERROR(INDIRECT("'"&amp;$D$6&amp;"'!"&amp;"B17"),"")</f>
        <v/>
      </c>
      <c r="C27" s="85">
        <f>IFERROR(INDIRECT("'"&amp;$D$6&amp;"'!"&amp;"C17"),"")</f>
        <v/>
      </c>
      <c r="D27" s="86">
        <f>IFERROR(INDIRECT("'"&amp;$D$6&amp;"'!"&amp;"D17"),"")</f>
        <v/>
      </c>
      <c r="E27" s="87" t="n"/>
      <c r="F27" s="35" t="n"/>
      <c r="G27" s="36">
        <f>IF(OR($D27="",$E27=""),"",ROUND($D27*$E27*(1+IF($F27="",0,$F27)),2))</f>
        <v/>
      </c>
      <c r="H27" s="40" t="n"/>
    </row>
    <row r="28" ht="17" customHeight="1">
      <c r="A28" s="30">
        <f>IFERROR(INDIRECT("'"&amp;$D$6&amp;"'!"&amp;"A18"),"")</f>
        <v/>
      </c>
      <c r="B28" s="84">
        <f>IFERROR(INDIRECT("'"&amp;$D$6&amp;"'!"&amp;"B18"),"")</f>
        <v/>
      </c>
      <c r="C28" s="85">
        <f>IFERROR(INDIRECT("'"&amp;$D$6&amp;"'!"&amp;"C18"),"")</f>
        <v/>
      </c>
      <c r="D28" s="86">
        <f>IFERROR(INDIRECT("'"&amp;$D$6&amp;"'!"&amp;"D18"),"")</f>
        <v/>
      </c>
      <c r="E28" s="87" t="n"/>
      <c r="F28" s="35" t="n"/>
      <c r="G28" s="36">
        <f>IF(OR($D28="",$E28=""),"",ROUND($D28*$E28*(1+IF($F28="",0,$F28)),2))</f>
        <v/>
      </c>
      <c r="H28" s="40" t="n"/>
    </row>
    <row r="29" ht="17" customHeight="1">
      <c r="A29" s="30">
        <f>IFERROR(INDIRECT("'"&amp;$D$6&amp;"'!"&amp;"A19"),"")</f>
        <v/>
      </c>
      <c r="B29" s="84">
        <f>IFERROR(INDIRECT("'"&amp;$D$6&amp;"'!"&amp;"B19"),"")</f>
        <v/>
      </c>
      <c r="C29" s="85">
        <f>IFERROR(INDIRECT("'"&amp;$D$6&amp;"'!"&amp;"C19"),"")</f>
        <v/>
      </c>
      <c r="D29" s="86">
        <f>IFERROR(INDIRECT("'"&amp;$D$6&amp;"'!"&amp;"D19"),"")</f>
        <v/>
      </c>
      <c r="E29" s="87" t="n"/>
      <c r="F29" s="35" t="n"/>
      <c r="G29" s="36">
        <f>IF(OR($D29="",$E29=""),"",ROUND($D29*$E29*(1+IF($F29="",0,$F29)),2))</f>
        <v/>
      </c>
      <c r="H29" s="40" t="n"/>
    </row>
    <row r="30" ht="17" customHeight="1">
      <c r="A30" s="30">
        <f>IFERROR(INDIRECT("'"&amp;$D$6&amp;"'!"&amp;"A20"),"")</f>
        <v/>
      </c>
      <c r="B30" s="84">
        <f>IFERROR(INDIRECT("'"&amp;$D$6&amp;"'!"&amp;"B20"),"")</f>
        <v/>
      </c>
      <c r="C30" s="85">
        <f>IFERROR(INDIRECT("'"&amp;$D$6&amp;"'!"&amp;"C20"),"")</f>
        <v/>
      </c>
      <c r="D30" s="86">
        <f>IFERROR(INDIRECT("'"&amp;$D$6&amp;"'!"&amp;"D20"),"")</f>
        <v/>
      </c>
      <c r="E30" s="87" t="n"/>
      <c r="F30" s="35" t="n"/>
      <c r="G30" s="36">
        <f>IF(OR($D30="",$E30=""),"",ROUND($D30*$E30*(1+IF($F30="",0,$F30)),2))</f>
        <v/>
      </c>
      <c r="H30" s="40" t="n"/>
    </row>
    <row r="31" ht="17" customHeight="1">
      <c r="A31" s="30">
        <f>IFERROR(INDIRECT("'"&amp;$D$6&amp;"'!"&amp;"A21"),"")</f>
        <v/>
      </c>
      <c r="B31" s="84">
        <f>IFERROR(INDIRECT("'"&amp;$D$6&amp;"'!"&amp;"B21"),"")</f>
        <v/>
      </c>
      <c r="C31" s="85">
        <f>IFERROR(INDIRECT("'"&amp;$D$6&amp;"'!"&amp;"C21"),"")</f>
        <v/>
      </c>
      <c r="D31" s="86">
        <f>IFERROR(INDIRECT("'"&amp;$D$6&amp;"'!"&amp;"D21"),"")</f>
        <v/>
      </c>
      <c r="E31" s="87" t="n"/>
      <c r="F31" s="35" t="n"/>
      <c r="G31" s="36">
        <f>IF(OR($D31="",$E31=""),"",ROUND($D31*$E31*(1+IF($F31="",0,$F31)),2))</f>
        <v/>
      </c>
      <c r="H31" s="40" t="n"/>
    </row>
    <row r="32" ht="17" customHeight="1">
      <c r="A32" s="30">
        <f>IFERROR(INDIRECT("'"&amp;$D$6&amp;"'!"&amp;"A22"),"")</f>
        <v/>
      </c>
      <c r="B32" s="84">
        <f>IFERROR(INDIRECT("'"&amp;$D$6&amp;"'!"&amp;"B22"),"")</f>
        <v/>
      </c>
      <c r="C32" s="85">
        <f>IFERROR(INDIRECT("'"&amp;$D$6&amp;"'!"&amp;"C22"),"")</f>
        <v/>
      </c>
      <c r="D32" s="86">
        <f>IFERROR(INDIRECT("'"&amp;$D$6&amp;"'!"&amp;"D22"),"")</f>
        <v/>
      </c>
      <c r="E32" s="87" t="n"/>
      <c r="F32" s="35" t="n"/>
      <c r="G32" s="36">
        <f>IF(OR($D32="",$E32=""),"",ROUND($D32*$E32*(1+IF($F32="",0,$F32)),2))</f>
        <v/>
      </c>
      <c r="H32" s="40" t="n"/>
    </row>
    <row r="33" ht="17" customHeight="1">
      <c r="A33" s="30">
        <f>IFERROR(INDIRECT("'"&amp;$D$6&amp;"'!"&amp;"A23"),"")</f>
        <v/>
      </c>
      <c r="B33" s="84">
        <f>IFERROR(INDIRECT("'"&amp;$D$6&amp;"'!"&amp;"B23"),"")</f>
        <v/>
      </c>
      <c r="C33" s="85">
        <f>IFERROR(INDIRECT("'"&amp;$D$6&amp;"'!"&amp;"C23"),"")</f>
        <v/>
      </c>
      <c r="D33" s="86">
        <f>IFERROR(INDIRECT("'"&amp;$D$6&amp;"'!"&amp;"D23"),"")</f>
        <v/>
      </c>
      <c r="E33" s="87" t="n"/>
      <c r="F33" s="35" t="n"/>
      <c r="G33" s="36">
        <f>IF(OR($D33="",$E33=""),"",ROUND($D33*$E33*(1+IF($F33="",0,$F33)),2))</f>
        <v/>
      </c>
      <c r="H33" s="40" t="n"/>
    </row>
    <row r="34" ht="17" customHeight="1">
      <c r="A34" s="30">
        <f>IFERROR(INDIRECT("'"&amp;$D$6&amp;"'!"&amp;"A24"),"")</f>
        <v/>
      </c>
      <c r="B34" s="84">
        <f>IFERROR(INDIRECT("'"&amp;$D$6&amp;"'!"&amp;"B24"),"")</f>
        <v/>
      </c>
      <c r="C34" s="85">
        <f>IFERROR(INDIRECT("'"&amp;$D$6&amp;"'!"&amp;"C24"),"")</f>
        <v/>
      </c>
      <c r="D34" s="86">
        <f>IFERROR(INDIRECT("'"&amp;$D$6&amp;"'!"&amp;"D24"),"")</f>
        <v/>
      </c>
      <c r="E34" s="87" t="n"/>
      <c r="F34" s="35" t="n"/>
      <c r="G34" s="36">
        <f>IF(OR($D34="",$E34=""),"",ROUND($D34*$E34*(1+IF($F34="",0,$F34)),2))</f>
        <v/>
      </c>
      <c r="H34" s="40" t="n"/>
    </row>
    <row r="35" ht="17" customHeight="1">
      <c r="A35" s="30">
        <f>IFERROR(INDIRECT("'"&amp;$D$6&amp;"'!"&amp;"A25"),"")</f>
        <v/>
      </c>
      <c r="B35" s="84">
        <f>IFERROR(INDIRECT("'"&amp;$D$6&amp;"'!"&amp;"B25"),"")</f>
        <v/>
      </c>
      <c r="C35" s="85">
        <f>IFERROR(INDIRECT("'"&amp;$D$6&amp;"'!"&amp;"C25"),"")</f>
        <v/>
      </c>
      <c r="D35" s="86">
        <f>IFERROR(INDIRECT("'"&amp;$D$6&amp;"'!"&amp;"D25"),"")</f>
        <v/>
      </c>
      <c r="E35" s="87" t="n"/>
      <c r="F35" s="35" t="n"/>
      <c r="G35" s="36">
        <f>IF(OR($D35="",$E35=""),"",ROUND($D35*$E35*(1+IF($F35="",0,$F35)),2))</f>
        <v/>
      </c>
      <c r="H35" s="40" t="n"/>
    </row>
    <row r="36" ht="17" customHeight="1">
      <c r="A36" s="30">
        <f>IFERROR(INDIRECT("'"&amp;$D$6&amp;"'!"&amp;"A26"),"")</f>
        <v/>
      </c>
      <c r="B36" s="84">
        <f>IFERROR(INDIRECT("'"&amp;$D$6&amp;"'!"&amp;"B26"),"")</f>
        <v/>
      </c>
      <c r="C36" s="85">
        <f>IFERROR(INDIRECT("'"&amp;$D$6&amp;"'!"&amp;"C26"),"")</f>
        <v/>
      </c>
      <c r="D36" s="86">
        <f>IFERROR(INDIRECT("'"&amp;$D$6&amp;"'!"&amp;"D26"),"")</f>
        <v/>
      </c>
      <c r="E36" s="87" t="n"/>
      <c r="F36" s="35" t="n"/>
      <c r="G36" s="36">
        <f>IF(OR($D36="",$E36=""),"",ROUND($D36*$E36*(1+IF($F36="",0,$F36)),2))</f>
        <v/>
      </c>
      <c r="H36" s="40" t="n"/>
    </row>
    <row r="37" ht="17" customHeight="1">
      <c r="A37" s="30">
        <f>IFERROR(INDIRECT("'"&amp;$D$6&amp;"'!"&amp;"A27"),"")</f>
        <v/>
      </c>
      <c r="B37" s="84">
        <f>IFERROR(INDIRECT("'"&amp;$D$6&amp;"'!"&amp;"B27"),"")</f>
        <v/>
      </c>
      <c r="C37" s="85">
        <f>IFERROR(INDIRECT("'"&amp;$D$6&amp;"'!"&amp;"C27"),"")</f>
        <v/>
      </c>
      <c r="D37" s="86">
        <f>IFERROR(INDIRECT("'"&amp;$D$6&amp;"'!"&amp;"D27"),"")</f>
        <v/>
      </c>
      <c r="E37" s="87" t="n"/>
      <c r="F37" s="35" t="n"/>
      <c r="G37" s="36">
        <f>IF(OR($D37="",$E37=""),"",ROUND($D37*$E37*(1+IF($F37="",0,$F37)),2))</f>
        <v/>
      </c>
      <c r="H37" s="40" t="n"/>
    </row>
    <row r="38" ht="17" customHeight="1">
      <c r="A38" s="30">
        <f>IFERROR(INDIRECT("'"&amp;$D$6&amp;"'!"&amp;"A28"),"")</f>
        <v/>
      </c>
      <c r="B38" s="84">
        <f>IFERROR(INDIRECT("'"&amp;$D$6&amp;"'!"&amp;"B28"),"")</f>
        <v/>
      </c>
      <c r="C38" s="85">
        <f>IFERROR(INDIRECT("'"&amp;$D$6&amp;"'!"&amp;"C28"),"")</f>
        <v/>
      </c>
      <c r="D38" s="86">
        <f>IFERROR(INDIRECT("'"&amp;$D$6&amp;"'!"&amp;"D28"),"")</f>
        <v/>
      </c>
      <c r="E38" s="87" t="n"/>
      <c r="F38" s="35" t="n"/>
      <c r="G38" s="36">
        <f>IF(OR($D38="",$E38=""),"",ROUND($D38*$E38*(1+IF($F38="",0,$F38)),2))</f>
        <v/>
      </c>
      <c r="H38" s="40" t="n"/>
    </row>
    <row r="39" ht="17" customHeight="1">
      <c r="A39" s="30">
        <f>IFERROR(INDIRECT("'"&amp;$D$6&amp;"'!"&amp;"A29"),"")</f>
        <v/>
      </c>
      <c r="B39" s="84">
        <f>IFERROR(INDIRECT("'"&amp;$D$6&amp;"'!"&amp;"B29"),"")</f>
        <v/>
      </c>
      <c r="C39" s="85">
        <f>IFERROR(INDIRECT("'"&amp;$D$6&amp;"'!"&amp;"C29"),"")</f>
        <v/>
      </c>
      <c r="D39" s="86">
        <f>IFERROR(INDIRECT("'"&amp;$D$6&amp;"'!"&amp;"D29"),"")</f>
        <v/>
      </c>
      <c r="E39" s="87" t="n"/>
      <c r="F39" s="35" t="n"/>
      <c r="G39" s="36">
        <f>IF(OR($D39="",$E39=""),"",ROUND($D39*$E39*(1+IF($F39="",0,$F39)),2))</f>
        <v/>
      </c>
      <c r="H39" s="40" t="n"/>
    </row>
    <row r="40" ht="17" customHeight="1">
      <c r="A40" s="30">
        <f>IFERROR(INDIRECT("'"&amp;$D$6&amp;"'!"&amp;"A30"),"")</f>
        <v/>
      </c>
      <c r="B40" s="84">
        <f>IFERROR(INDIRECT("'"&amp;$D$6&amp;"'!"&amp;"B30"),"")</f>
        <v/>
      </c>
      <c r="C40" s="85">
        <f>IFERROR(INDIRECT("'"&amp;$D$6&amp;"'!"&amp;"C30"),"")</f>
        <v/>
      </c>
      <c r="D40" s="86">
        <f>IFERROR(INDIRECT("'"&amp;$D$6&amp;"'!"&amp;"D30"),"")</f>
        <v/>
      </c>
      <c r="E40" s="87" t="n"/>
      <c r="F40" s="35" t="n"/>
      <c r="G40" s="36">
        <f>IF(OR($D40="",$E40=""),"",ROUND($D40*$E40*(1+IF($F40="",0,$F40)),2))</f>
        <v/>
      </c>
      <c r="H40" s="40" t="n"/>
    </row>
    <row r="41" ht="17" customHeight="1">
      <c r="A41" s="30">
        <f>IFERROR(INDIRECT("'"&amp;$D$6&amp;"'!"&amp;"A31"),"")</f>
        <v/>
      </c>
      <c r="B41" s="84">
        <f>IFERROR(INDIRECT("'"&amp;$D$6&amp;"'!"&amp;"B31"),"")</f>
        <v/>
      </c>
      <c r="C41" s="85">
        <f>IFERROR(INDIRECT("'"&amp;$D$6&amp;"'!"&amp;"C31"),"")</f>
        <v/>
      </c>
      <c r="D41" s="86">
        <f>IFERROR(INDIRECT("'"&amp;$D$6&amp;"'!"&amp;"D31"),"")</f>
        <v/>
      </c>
      <c r="E41" s="87" t="n"/>
      <c r="F41" s="35" t="n"/>
      <c r="G41" s="36">
        <f>IF(OR($D41="",$E41=""),"",ROUND($D41*$E41*(1+IF($F41="",0,$F41)),2))</f>
        <v/>
      </c>
      <c r="H41" s="40" t="n"/>
    </row>
    <row r="42" ht="17" customHeight="1">
      <c r="A42" s="30">
        <f>IFERROR(INDIRECT("'"&amp;$D$6&amp;"'!"&amp;"A32"),"")</f>
        <v/>
      </c>
      <c r="B42" s="84">
        <f>IFERROR(INDIRECT("'"&amp;$D$6&amp;"'!"&amp;"B32"),"")</f>
        <v/>
      </c>
      <c r="C42" s="85">
        <f>IFERROR(INDIRECT("'"&amp;$D$6&amp;"'!"&amp;"C32"),"")</f>
        <v/>
      </c>
      <c r="D42" s="86">
        <f>IFERROR(INDIRECT("'"&amp;$D$6&amp;"'!"&amp;"D32"),"")</f>
        <v/>
      </c>
      <c r="E42" s="87" t="n"/>
      <c r="F42" s="35" t="n"/>
      <c r="G42" s="36">
        <f>IF(OR($D42="",$E42=""),"",ROUND($D42*$E42*(1+IF($F42="",0,$F42)),2))</f>
        <v/>
      </c>
      <c r="H42" s="40" t="n"/>
    </row>
    <row r="43" ht="17" customHeight="1">
      <c r="A43" s="30">
        <f>IFERROR(INDIRECT("'"&amp;$D$6&amp;"'!"&amp;"A33"),"")</f>
        <v/>
      </c>
      <c r="B43" s="84">
        <f>IFERROR(INDIRECT("'"&amp;$D$6&amp;"'!"&amp;"B33"),"")</f>
        <v/>
      </c>
      <c r="C43" s="85">
        <f>IFERROR(INDIRECT("'"&amp;$D$6&amp;"'!"&amp;"C33"),"")</f>
        <v/>
      </c>
      <c r="D43" s="86">
        <f>IFERROR(INDIRECT("'"&amp;$D$6&amp;"'!"&amp;"D33"),"")</f>
        <v/>
      </c>
      <c r="E43" s="87" t="n"/>
      <c r="F43" s="35" t="n"/>
      <c r="G43" s="36">
        <f>IF(OR($D43="",$E43=""),"",ROUND($D43*$E43*(1+IF($F43="",0,$F43)),2))</f>
        <v/>
      </c>
      <c r="H43" s="40" t="n"/>
    </row>
    <row r="44" ht="17" customHeight="1">
      <c r="A44" s="30">
        <f>IFERROR(INDIRECT("'"&amp;$D$6&amp;"'!"&amp;"A34"),"")</f>
        <v/>
      </c>
      <c r="B44" s="84">
        <f>IFERROR(INDIRECT("'"&amp;$D$6&amp;"'!"&amp;"B34"),"")</f>
        <v/>
      </c>
      <c r="C44" s="85">
        <f>IFERROR(INDIRECT("'"&amp;$D$6&amp;"'!"&amp;"C34"),"")</f>
        <v/>
      </c>
      <c r="D44" s="86">
        <f>IFERROR(INDIRECT("'"&amp;$D$6&amp;"'!"&amp;"D34"),"")</f>
        <v/>
      </c>
      <c r="E44" s="87" t="n"/>
      <c r="F44" s="35" t="n"/>
      <c r="G44" s="36">
        <f>IF(OR($D44="",$E44=""),"",ROUND($D44*$E44*(1+IF($F44="",0,$F44)),2))</f>
        <v/>
      </c>
      <c r="H44" s="40" t="n"/>
    </row>
    <row r="45" ht="17" customHeight="1">
      <c r="A45" s="30">
        <f>IFERROR(INDIRECT("'"&amp;$D$6&amp;"'!"&amp;"A35"),"")</f>
        <v/>
      </c>
      <c r="B45" s="84">
        <f>IFERROR(INDIRECT("'"&amp;$D$6&amp;"'!"&amp;"B35"),"")</f>
        <v/>
      </c>
      <c r="C45" s="85">
        <f>IFERROR(INDIRECT("'"&amp;$D$6&amp;"'!"&amp;"C35"),"")</f>
        <v/>
      </c>
      <c r="D45" s="86">
        <f>IFERROR(INDIRECT("'"&amp;$D$6&amp;"'!"&amp;"D35"),"")</f>
        <v/>
      </c>
      <c r="E45" s="87" t="n"/>
      <c r="F45" s="35" t="n"/>
      <c r="G45" s="36">
        <f>IF(OR($D45="",$E45=""),"",ROUND($D45*$E45*(1+IF($F45="",0,$F45)),2))</f>
        <v/>
      </c>
      <c r="H45" s="40" t="n"/>
    </row>
    <row r="46" ht="17" customHeight="1">
      <c r="A46" s="30">
        <f>IFERROR(INDIRECT("'"&amp;$D$6&amp;"'!"&amp;"A36"),"")</f>
        <v/>
      </c>
      <c r="B46" s="84">
        <f>IFERROR(INDIRECT("'"&amp;$D$6&amp;"'!"&amp;"B36"),"")</f>
        <v/>
      </c>
      <c r="C46" s="85">
        <f>IFERROR(INDIRECT("'"&amp;$D$6&amp;"'!"&amp;"C36"),"")</f>
        <v/>
      </c>
      <c r="D46" s="86">
        <f>IFERROR(INDIRECT("'"&amp;$D$6&amp;"'!"&amp;"D36"),"")</f>
        <v/>
      </c>
      <c r="E46" s="87" t="n"/>
      <c r="F46" s="35" t="n"/>
      <c r="G46" s="36">
        <f>IF(OR($D46="",$E46=""),"",ROUND($D46*$E46*(1+IF($F46="",0,$F46)),2))</f>
        <v/>
      </c>
      <c r="H46" s="40" t="n"/>
    </row>
    <row r="47" ht="17" customHeight="1">
      <c r="A47" s="30">
        <f>IFERROR(INDIRECT("'"&amp;$D$6&amp;"'!"&amp;"A37"),"")</f>
        <v/>
      </c>
      <c r="B47" s="84">
        <f>IFERROR(INDIRECT("'"&amp;$D$6&amp;"'!"&amp;"B37"),"")</f>
        <v/>
      </c>
      <c r="C47" s="85">
        <f>IFERROR(INDIRECT("'"&amp;$D$6&amp;"'!"&amp;"C37"),"")</f>
        <v/>
      </c>
      <c r="D47" s="86">
        <f>IFERROR(INDIRECT("'"&amp;$D$6&amp;"'!"&amp;"D37"),"")</f>
        <v/>
      </c>
      <c r="E47" s="87" t="n"/>
      <c r="F47" s="35" t="n"/>
      <c r="G47" s="36">
        <f>IF(OR($D47="",$E47=""),"",ROUND($D47*$E47*(1+IF($F47="",0,$F47)),2))</f>
        <v/>
      </c>
      <c r="H47" s="40" t="n"/>
    </row>
    <row r="48" ht="17" customHeight="1">
      <c r="A48" s="30">
        <f>IFERROR(INDIRECT("'"&amp;$D$6&amp;"'!"&amp;"A38"),"")</f>
        <v/>
      </c>
      <c r="B48" s="84">
        <f>IFERROR(INDIRECT("'"&amp;$D$6&amp;"'!"&amp;"B38"),"")</f>
        <v/>
      </c>
      <c r="C48" s="85">
        <f>IFERROR(INDIRECT("'"&amp;$D$6&amp;"'!"&amp;"C38"),"")</f>
        <v/>
      </c>
      <c r="D48" s="86">
        <f>IFERROR(INDIRECT("'"&amp;$D$6&amp;"'!"&amp;"D38"),"")</f>
        <v/>
      </c>
      <c r="E48" s="87" t="n"/>
      <c r="F48" s="35" t="n"/>
      <c r="G48" s="36">
        <f>IF(OR($D48="",$E48=""),"",ROUND($D48*$E48*(1+IF($F48="",0,$F48)),2))</f>
        <v/>
      </c>
      <c r="H48" s="40" t="n"/>
    </row>
    <row r="49" ht="17" customHeight="1">
      <c r="A49" s="30">
        <f>IFERROR(INDIRECT("'"&amp;$D$6&amp;"'!"&amp;"A39"),"")</f>
        <v/>
      </c>
      <c r="B49" s="84">
        <f>IFERROR(INDIRECT("'"&amp;$D$6&amp;"'!"&amp;"B39"),"")</f>
        <v/>
      </c>
      <c r="C49" s="85">
        <f>IFERROR(INDIRECT("'"&amp;$D$6&amp;"'!"&amp;"C39"),"")</f>
        <v/>
      </c>
      <c r="D49" s="86">
        <f>IFERROR(INDIRECT("'"&amp;$D$6&amp;"'!"&amp;"D39"),"")</f>
        <v/>
      </c>
      <c r="E49" s="87" t="n"/>
      <c r="F49" s="35" t="n"/>
      <c r="G49" s="36">
        <f>IF(OR($D49="",$E49=""),"",ROUND($D49*$E49*(1+IF($F49="",0,$F49)),2))</f>
        <v/>
      </c>
      <c r="H49" s="40" t="n"/>
    </row>
    <row r="50" ht="17" customHeight="1">
      <c r="A50" s="30">
        <f>IFERROR(INDIRECT("'"&amp;$D$6&amp;"'!"&amp;"A40"),"")</f>
        <v/>
      </c>
      <c r="B50" s="84">
        <f>IFERROR(INDIRECT("'"&amp;$D$6&amp;"'!"&amp;"B40"),"")</f>
        <v/>
      </c>
      <c r="C50" s="85">
        <f>IFERROR(INDIRECT("'"&amp;$D$6&amp;"'!"&amp;"C40"),"")</f>
        <v/>
      </c>
      <c r="D50" s="86">
        <f>IFERROR(INDIRECT("'"&amp;$D$6&amp;"'!"&amp;"D40"),"")</f>
        <v/>
      </c>
      <c r="E50" s="87" t="n"/>
      <c r="F50" s="35" t="n"/>
      <c r="G50" s="36">
        <f>IF(OR($D50="",$E50=""),"",ROUND($D50*$E50*(1+IF($F50="",0,$F50)),2))</f>
        <v/>
      </c>
      <c r="H50" s="40" t="n"/>
    </row>
    <row r="51" ht="17" customHeight="1">
      <c r="A51" s="30">
        <f>IFERROR(INDIRECT("'"&amp;$D$6&amp;"'!"&amp;"A41"),"")</f>
        <v/>
      </c>
      <c r="B51" s="84">
        <f>IFERROR(INDIRECT("'"&amp;$D$6&amp;"'!"&amp;"B41"),"")</f>
        <v/>
      </c>
      <c r="C51" s="85">
        <f>IFERROR(INDIRECT("'"&amp;$D$6&amp;"'!"&amp;"C41"),"")</f>
        <v/>
      </c>
      <c r="D51" s="86">
        <f>IFERROR(INDIRECT("'"&amp;$D$6&amp;"'!"&amp;"D41"),"")</f>
        <v/>
      </c>
      <c r="E51" s="87" t="n"/>
      <c r="F51" s="35" t="n"/>
      <c r="G51" s="36">
        <f>IF(OR($D51="",$E51=""),"",ROUND($D51*$E51*(1+IF($F51="",0,$F51)),2))</f>
        <v/>
      </c>
      <c r="H51" s="40" t="n"/>
    </row>
    <row r="52" ht="17" customHeight="1">
      <c r="A52" s="30">
        <f>IFERROR(INDIRECT("'"&amp;$D$6&amp;"'!"&amp;"A42"),"")</f>
        <v/>
      </c>
      <c r="B52" s="84">
        <f>IFERROR(INDIRECT("'"&amp;$D$6&amp;"'!"&amp;"B42"),"")</f>
        <v/>
      </c>
      <c r="C52" s="85">
        <f>IFERROR(INDIRECT("'"&amp;$D$6&amp;"'!"&amp;"C42"),"")</f>
        <v/>
      </c>
      <c r="D52" s="86">
        <f>IFERROR(INDIRECT("'"&amp;$D$6&amp;"'!"&amp;"D42"),"")</f>
        <v/>
      </c>
      <c r="E52" s="87" t="n"/>
      <c r="F52" s="35" t="n"/>
      <c r="G52" s="36">
        <f>IF(OR($D52="",$E52=""),"",ROUND($D52*$E52*(1+IF($F52="",0,$F52)),2))</f>
        <v/>
      </c>
      <c r="H52" s="40" t="n"/>
    </row>
    <row r="53" ht="17" customHeight="1">
      <c r="A53" s="30">
        <f>IFERROR(INDIRECT("'"&amp;$D$6&amp;"'!"&amp;"A43"),"")</f>
        <v/>
      </c>
      <c r="B53" s="84">
        <f>IFERROR(INDIRECT("'"&amp;$D$6&amp;"'!"&amp;"B43"),"")</f>
        <v/>
      </c>
      <c r="C53" s="85">
        <f>IFERROR(INDIRECT("'"&amp;$D$6&amp;"'!"&amp;"C43"),"")</f>
        <v/>
      </c>
      <c r="D53" s="86">
        <f>IFERROR(INDIRECT("'"&amp;$D$6&amp;"'!"&amp;"D43"),"")</f>
        <v/>
      </c>
      <c r="E53" s="87" t="n"/>
      <c r="F53" s="35" t="n"/>
      <c r="G53" s="36">
        <f>IF(OR($D53="",$E53=""),"",ROUND($D53*$E53*(1+IF($F53="",0,$F53)),2))</f>
        <v/>
      </c>
      <c r="H53" s="40" t="n"/>
    </row>
    <row r="54" ht="22" customHeight="1">
      <c r="A54" s="88" t="inlineStr">
        <is>
          <t>SUBTOTAL DOS ITENS (com imposto)</t>
        </is>
      </c>
      <c r="B54" s="48" t="n"/>
      <c r="C54" s="48" t="n"/>
      <c r="D54" s="48" t="n"/>
      <c r="E54" s="48" t="n"/>
      <c r="F54" s="48" t="n"/>
      <c r="G54" s="89">
        <f>IF(COUNT($E$24:$E$53)=0,"",ROUND(SUM($G$24:$G$53),2))</f>
        <v/>
      </c>
      <c r="H54" s="48" t="n"/>
    </row>
    <row r="56" ht="20" customHeight="1">
      <c r="A56" s="8" t="inlineStr">
        <is>
          <t xml:space="preserve">  CONDIÇÕES COMERCIAIS          preenchimento do fornecedor</t>
        </is>
      </c>
      <c r="B56" s="9" t="n"/>
      <c r="C56" s="9" t="n"/>
      <c r="D56" s="9" t="n"/>
      <c r="E56" s="9" t="n"/>
      <c r="F56" s="9" t="n"/>
      <c r="G56" s="9" t="n"/>
      <c r="H56" s="9" t="n"/>
    </row>
    <row r="57" ht="19" customHeight="1">
      <c r="A57" s="90" t="inlineStr">
        <is>
          <t>Frete até a Valvic (R$)  ▸</t>
        </is>
      </c>
      <c r="B57" s="42" t="n"/>
      <c r="C57" s="42" t="n"/>
      <c r="D57" s="42" t="n"/>
      <c r="E57" s="91" t="n"/>
      <c r="F57" s="15" t="n"/>
      <c r="G57" s="15" t="n"/>
      <c r="H57" s="15" t="n"/>
    </row>
    <row r="58" ht="19" customHeight="1">
      <c r="A58" s="90" t="inlineStr">
        <is>
          <t>Preço À VISTA — total (R$)  ▸</t>
        </is>
      </c>
      <c r="B58" s="42" t="n"/>
      <c r="C58" s="42" t="n"/>
      <c r="D58" s="42" t="n"/>
      <c r="E58" s="91" t="n"/>
      <c r="F58" s="15" t="n"/>
      <c r="G58" s="15" t="n"/>
      <c r="H58" s="15" t="n"/>
    </row>
    <row r="59" ht="19" customHeight="1">
      <c r="A59" s="90" t="inlineStr">
        <is>
          <t>Condição a prazo oferecida  ▸</t>
        </is>
      </c>
      <c r="B59" s="42" t="n"/>
      <c r="C59" s="42" t="n"/>
      <c r="D59" s="42" t="n"/>
      <c r="E59" s="92" t="n"/>
      <c r="F59" s="15" t="n"/>
      <c r="G59" s="15" t="n"/>
      <c r="H59" s="15" t="n"/>
    </row>
    <row r="60" ht="19" customHeight="1">
      <c r="A60" s="90" t="inlineStr">
        <is>
          <t>Preço A PRAZO — total (R$)  ▸</t>
        </is>
      </c>
      <c r="B60" s="42" t="n"/>
      <c r="C60" s="42" t="n"/>
      <c r="D60" s="42" t="n"/>
      <c r="E60" s="91" t="n"/>
      <c r="F60" s="15" t="n"/>
      <c r="G60" s="15" t="n"/>
      <c r="H60" s="15" t="n"/>
    </row>
    <row r="61" ht="19" customHeight="1">
      <c r="A61" s="90" t="inlineStr">
        <is>
          <t>Prazo de entrega (dias corridos)  ▸</t>
        </is>
      </c>
      <c r="B61" s="42" t="n"/>
      <c r="C61" s="42" t="n"/>
      <c r="D61" s="42" t="n"/>
      <c r="E61" s="93" t="n"/>
      <c r="F61" s="15" t="n"/>
      <c r="G61" s="15" t="n"/>
      <c r="H61" s="15" t="n"/>
    </row>
    <row r="62" ht="19" customHeight="1">
      <c r="A62" s="90" t="inlineStr">
        <is>
          <t>Validade desta proposta  ▸</t>
        </is>
      </c>
      <c r="B62" s="42" t="n"/>
      <c r="C62" s="42" t="n"/>
      <c r="D62" s="42" t="n"/>
      <c r="E62" s="94" t="n"/>
      <c r="F62" s="15" t="n"/>
      <c r="G62" s="15" t="n"/>
      <c r="H62" s="15" t="n"/>
    </row>
    <row r="63" ht="8" customHeight="1"/>
    <row r="64" ht="46" customHeight="1">
      <c r="A64" s="76" t="inlineStr">
        <is>
          <t xml:space="preserve">  Observações: (1) informe item por item — quando não trabalhar com algum item, deixe o valor em branco e escreva "não temos" na observação. (2) Se o seu preço for SEM impostos (ex.: "preços s/ IPI = 6,5%"), informe o percentual na coluna % IMP. — assim comparamos todo mundo pelo mesmo critério. (3) A Valvic compara as propostas pelo valor total entregue, considerando imposto, frete e prazo. (4) Dúvidas: fale com o solicitante indicado acima.</t>
        </is>
      </c>
      <c r="B64" s="48" t="n"/>
      <c r="C64" s="48" t="n"/>
      <c r="D64" s="48" t="n"/>
      <c r="E64" s="48" t="n"/>
      <c r="F64" s="48" t="n"/>
      <c r="G64" s="48" t="n"/>
      <c r="H64" s="48" t="n"/>
    </row>
    <row r="66" ht="34" customHeight="1">
      <c r="A66" s="95" t="inlineStr">
        <is>
          <t>Assinatura / carimbo do fornecedor</t>
        </is>
      </c>
      <c r="B66" s="42" t="n"/>
      <c r="C66" s="42" t="n"/>
      <c r="D66" s="42" t="n"/>
      <c r="E66" s="95" t="inlineStr">
        <is>
          <t>Data</t>
        </is>
      </c>
      <c r="F66" s="42" t="n"/>
      <c r="G66" s="42" t="n"/>
      <c r="H66" s="42" t="n"/>
    </row>
  </sheetData>
  <mergeCells count="47">
    <mergeCell ref="A54:F54"/>
    <mergeCell ref="D20:H20"/>
    <mergeCell ref="A15:H15"/>
    <mergeCell ref="E61:H61"/>
    <mergeCell ref="D10:H10"/>
    <mergeCell ref="E57:H57"/>
    <mergeCell ref="A62:D62"/>
    <mergeCell ref="D19:H19"/>
    <mergeCell ref="A64:H64"/>
    <mergeCell ref="A18:C18"/>
    <mergeCell ref="A1:H1"/>
    <mergeCell ref="A12:C12"/>
    <mergeCell ref="E66:H66"/>
    <mergeCell ref="D6:E6"/>
    <mergeCell ref="A58:D58"/>
    <mergeCell ref="E58:H58"/>
    <mergeCell ref="D11:H11"/>
    <mergeCell ref="D13:H13"/>
    <mergeCell ref="A17:C17"/>
    <mergeCell ref="A59:D59"/>
    <mergeCell ref="E62:H62"/>
    <mergeCell ref="A20:C20"/>
    <mergeCell ref="A60:D60"/>
    <mergeCell ref="D17:H17"/>
    <mergeCell ref="A10:C10"/>
    <mergeCell ref="A56:H56"/>
    <mergeCell ref="A3:H3"/>
    <mergeCell ref="A13:C13"/>
    <mergeCell ref="A19:C19"/>
    <mergeCell ref="A61:D61"/>
    <mergeCell ref="D16:H16"/>
    <mergeCell ref="A2:H2"/>
    <mergeCell ref="A9:C9"/>
    <mergeCell ref="A8:H8"/>
    <mergeCell ref="D18:H18"/>
    <mergeCell ref="D9:H9"/>
    <mergeCell ref="A22:H22"/>
    <mergeCell ref="A66:D66"/>
    <mergeCell ref="A4:H4"/>
    <mergeCell ref="D12:H12"/>
    <mergeCell ref="E60:H60"/>
    <mergeCell ref="F6:H6"/>
    <mergeCell ref="A11:C11"/>
    <mergeCell ref="A6:C6"/>
    <mergeCell ref="A57:D57"/>
    <mergeCell ref="E59:H59"/>
    <mergeCell ref="A16:C16"/>
  </mergeCells>
  <dataValidations count="1">
    <dataValidation sqref="E59:H59" showDropDown="0" showInputMessage="0" showErrorMessage="0" allowBlank="1" type="list">
      <formula1>=Listas!$B$2:$B$14</formula1>
    </dataValidation>
  </dataValidations>
  <pageMargins left="0.4" right="0.3" top="0.4" bottom="0.3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70"/>
  <sheetViews>
    <sheetView showGridLines="0"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6.5" customWidth="1" min="3" max="3"/>
    <col width="8" customWidth="1" min="4" max="4"/>
    <col width="10.5" customWidth="1" min="5" max="5"/>
    <col width="7" customWidth="1" min="6" max="6"/>
    <col width="12" customWidth="1" min="7" max="7"/>
    <col width="10.5" customWidth="1" min="8" max="8"/>
    <col width="7" customWidth="1" min="9" max="9"/>
    <col width="12" customWidth="1" min="10" max="10"/>
    <col width="10.5" customWidth="1" min="11" max="11"/>
    <col width="7" customWidth="1" min="12" max="12"/>
    <col width="12" customWidth="1" min="13" max="13"/>
    <col width="10.5" customWidth="1" min="14" max="14"/>
    <col width="7" customWidth="1" min="15" max="15"/>
    <col width="12" customWidth="1" min="16" max="16"/>
    <col width="12" customWidth="1" min="17" max="17"/>
    <col width="12" customWidth="1" min="18" max="18"/>
    <col width="17" customWidth="1" min="19" max="19"/>
    <col width="20" customWidth="1" min="20" max="2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8" customHeight="1">
      <c r="A3" s="4" t="inlineStr">
        <is>
          <t>COTAÇÃO COMPARATIVA DE FORNECEDORES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17" customHeight="1">
      <c r="A4" s="6" t="inlineStr">
        <is>
          <t>Fundo creme = você preenche   ·   fundo cinza = calculado automaticamente   ·   deixe o preço em branco quando o fornecedor NÃO tiver o item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</row>
    <row r="5" ht="6" customHeight="1"/>
    <row r="6" ht="14" customHeight="1">
      <c r="A6" s="12" t="inlineStr">
        <is>
          <t>COTAÇÃO Nº</t>
        </is>
      </c>
      <c r="B6" s="13" t="n"/>
      <c r="C6" s="12" t="inlineStr">
        <is>
          <t>DEMANDA / PROJETO</t>
        </is>
      </c>
      <c r="D6" s="13" t="n"/>
      <c r="E6" s="13" t="n"/>
      <c r="F6" s="13" t="n"/>
      <c r="G6" s="13" t="n"/>
      <c r="H6" s="12" t="inlineStr">
        <is>
          <t>SOLICITANTE</t>
        </is>
      </c>
      <c r="I6" s="13" t="n"/>
      <c r="J6" s="13" t="n"/>
      <c r="K6" s="13" t="n"/>
      <c r="L6" s="12" t="inlineStr">
        <is>
          <t>DATA DA COTAÇÃO</t>
        </is>
      </c>
      <c r="M6" s="13" t="n"/>
      <c r="N6" s="13" t="n"/>
      <c r="O6" s="12" t="inlineStr">
        <is>
          <t>PRAZO PARA RESPOSTA</t>
        </is>
      </c>
      <c r="P6" s="13" t="n"/>
      <c r="Q6" s="13" t="n"/>
      <c r="R6" s="13" t="n"/>
      <c r="S6" s="13" t="n"/>
      <c r="T6" s="13" t="n"/>
    </row>
    <row r="7" ht="22" customHeight="1">
      <c r="A7" s="14" t="inlineStr">
        <is>
          <t>COT-2026-014</t>
        </is>
      </c>
      <c r="B7" s="15" t="n"/>
      <c r="C7" s="14" t="inlineStr">
        <is>
          <t>Ferragens — obra Cristiane (closet + cozinha)</t>
        </is>
      </c>
      <c r="D7" s="15" t="n"/>
      <c r="E7" s="15" t="n"/>
      <c r="F7" s="15" t="n"/>
      <c r="G7" s="15" t="n"/>
      <c r="H7" s="14" t="inlineStr">
        <is>
          <t>Karla · Administrativo</t>
        </is>
      </c>
      <c r="I7" s="15" t="n"/>
      <c r="J7" s="15" t="n"/>
      <c r="K7" s="15" t="n"/>
      <c r="L7" s="16" t="n">
        <v>46248</v>
      </c>
      <c r="M7" s="15" t="n"/>
      <c r="N7" s="15" t="n"/>
      <c r="O7" s="16" t="n">
        <v>46252</v>
      </c>
      <c r="P7" s="15" t="n"/>
      <c r="Q7" s="15" t="n"/>
      <c r="R7" s="15" t="n"/>
      <c r="S7" s="15" t="n"/>
      <c r="T7" s="15" t="n"/>
    </row>
    <row r="8" ht="6" customHeight="1"/>
    <row r="9" ht="20" customHeight="1">
      <c r="A9" s="8" t="inlineStr">
        <is>
          <t xml:space="preserve">  COMPARATIVO DE PROPOSTAS          esta faixa fica congelada no topo — o total de cada fornecedor acompanha você enquanto digita os preços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</row>
    <row r="10" ht="26" customHeight="1">
      <c r="A10" s="17" t="inlineStr">
        <is>
          <t>FORNECEDOR  ▸</t>
        </is>
      </c>
      <c r="B10" s="18" t="n"/>
      <c r="C10" s="18" t="n"/>
      <c r="D10" s="18" t="n"/>
      <c r="E10" s="19" t="inlineStr">
        <is>
          <t>Bigfer</t>
        </is>
      </c>
      <c r="F10" s="15" t="n"/>
      <c r="G10" s="15" t="n"/>
      <c r="H10" s="19" t="inlineStr">
        <is>
          <t>JR Ferragens</t>
        </is>
      </c>
      <c r="I10" s="15" t="n"/>
      <c r="J10" s="15" t="n"/>
      <c r="K10" s="19" t="inlineStr">
        <is>
          <t>MGV Distribuidora</t>
        </is>
      </c>
      <c r="L10" s="15" t="n"/>
      <c r="M10" s="15" t="n"/>
      <c r="N10" s="19" t="inlineStr">
        <is>
          <t>Ferragens Ipê</t>
        </is>
      </c>
      <c r="O10" s="15" t="n"/>
      <c r="P10" s="15" t="n"/>
      <c r="Q10" s="20" t="inlineStr">
        <is>
          <t>MELHOR PREÇO POR ITEM</t>
        </is>
      </c>
      <c r="R10" s="21" t="n"/>
      <c r="S10" s="21" t="n"/>
      <c r="T10" s="21" t="n"/>
    </row>
    <row r="11" ht="20" customHeight="1">
      <c r="A11" s="22" t="inlineStr">
        <is>
          <t>Vendedor · contato  ▸</t>
        </is>
      </c>
      <c r="B11" s="18" t="n"/>
      <c r="C11" s="18" t="n"/>
      <c r="D11" s="18" t="n"/>
      <c r="E11" s="23" t="inlineStr">
        <is>
          <t>Marcos · (31) 9xxxx-xxxx</t>
        </is>
      </c>
      <c r="F11" s="15" t="n"/>
      <c r="G11" s="15" t="n"/>
      <c r="H11" s="23" t="inlineStr">
        <is>
          <t>Andréia · (31) 9xxxx-xxxx</t>
        </is>
      </c>
      <c r="I11" s="15" t="n"/>
      <c r="J11" s="15" t="n"/>
      <c r="K11" s="23" t="inlineStr">
        <is>
          <t>Rafael · (31) 9xxxx-xxxx — "preços s/ IPI = 6,5%"</t>
        </is>
      </c>
      <c r="L11" s="15" t="n"/>
      <c r="M11" s="15" t="n"/>
      <c r="N11" s="23" t="inlineStr">
        <is>
          <t>Sandro · (31) 9xxxx-xxxx</t>
        </is>
      </c>
      <c r="O11" s="15" t="n"/>
      <c r="P11" s="15" t="n"/>
      <c r="Q11" s="24" t="inlineStr">
        <is>
          <t>compara pelo TOTAL do item, já com o imposto de cada um</t>
        </is>
      </c>
      <c r="R11" s="18" t="n"/>
      <c r="S11" s="18" t="n"/>
      <c r="T11" s="18" t="n"/>
    </row>
    <row r="12" ht="24" customHeight="1">
      <c r="A12" s="25" t="inlineStr">
        <is>
          <t>ITENS  ·  % IMPOSTO PADRÃO  ·  TOTAL DO PEDIDO  ▸</t>
        </is>
      </c>
      <c r="B12" s="21" t="n"/>
      <c r="C12" s="21" t="n"/>
      <c r="D12" s="21" t="n"/>
      <c r="E12" s="26">
        <f>IF(COUNTA($B$14:$B$43)=0,"",COUNT(E$14:E$43)&amp;"/"&amp;COUNTA($B$14:$B$43))</f>
        <v/>
      </c>
      <c r="F12" s="27" t="n"/>
      <c r="G12" s="28">
        <f>IF(E52="","",E52)</f>
        <v/>
      </c>
      <c r="H12" s="26">
        <f>IF(COUNTA($B$14:$B$43)=0,"",COUNT(H$14:H$43)&amp;"/"&amp;COUNTA($B$14:$B$43))</f>
        <v/>
      </c>
      <c r="I12" s="27" t="n"/>
      <c r="J12" s="28">
        <f>IF(H52="","",H52)</f>
        <v/>
      </c>
      <c r="K12" s="26">
        <f>IF(COUNTA($B$14:$B$43)=0,"",COUNT(K$14:K$43)&amp;"/"&amp;COUNTA($B$14:$B$43))</f>
        <v/>
      </c>
      <c r="L12" s="27" t="n">
        <v>0.065</v>
      </c>
      <c r="M12" s="28">
        <f>IF(K52="","",K52)</f>
        <v/>
      </c>
      <c r="N12" s="26">
        <f>IF(COUNTA($B$14:$B$43)=0,"",COUNT(N$14:N$43)&amp;"/"&amp;COUNTA($B$14:$B$43))</f>
        <v/>
      </c>
      <c r="O12" s="27" t="n"/>
      <c r="P12" s="28">
        <f>IF(N52="","",N52)</f>
        <v/>
      </c>
      <c r="Q12" s="24" t="inlineStr">
        <is>
          <t>total do pedido = itens + imposto + frete   ·   desconto à vista e acréscimo a prazo ficam na apuração</t>
        </is>
      </c>
      <c r="R12" s="18" t="n"/>
      <c r="S12" s="18" t="n"/>
      <c r="T12" s="18" t="n"/>
    </row>
    <row r="13" ht="34" customHeight="1">
      <c r="A13" s="29" t="inlineStr">
        <is>
          <t>#</t>
        </is>
      </c>
      <c r="B13" s="29" t="inlineStr">
        <is>
          <t>ITEM / ESPECIFICAÇÃO</t>
        </is>
      </c>
      <c r="C13" s="29" t="inlineStr">
        <is>
          <t>UN.</t>
        </is>
      </c>
      <c r="D13" s="29" t="inlineStr">
        <is>
          <t>QTD</t>
        </is>
      </c>
      <c r="E13" s="29" t="inlineStr">
        <is>
          <t>UNIT. (R$)</t>
        </is>
      </c>
      <c r="F13" s="29" t="inlineStr">
        <is>
          <t>% IMP.</t>
        </is>
      </c>
      <c r="G13" s="29" t="inlineStr">
        <is>
          <t>TOTAL (R$)</t>
        </is>
      </c>
      <c r="H13" s="29" t="inlineStr">
        <is>
          <t>UNIT. (R$)</t>
        </is>
      </c>
      <c r="I13" s="29" t="inlineStr">
        <is>
          <t>% IMP.</t>
        </is>
      </c>
      <c r="J13" s="29" t="inlineStr">
        <is>
          <t>TOTAL (R$)</t>
        </is>
      </c>
      <c r="K13" s="29" t="inlineStr">
        <is>
          <t>UNIT. (R$)</t>
        </is>
      </c>
      <c r="L13" s="29" t="inlineStr">
        <is>
          <t>% IMP.</t>
        </is>
      </c>
      <c r="M13" s="29" t="inlineStr">
        <is>
          <t>TOTAL (R$)</t>
        </is>
      </c>
      <c r="N13" s="29" t="inlineStr">
        <is>
          <t>UNIT. (R$)</t>
        </is>
      </c>
      <c r="O13" s="29" t="inlineStr">
        <is>
          <t>% IMP.</t>
        </is>
      </c>
      <c r="P13" s="29" t="inlineStr">
        <is>
          <t>TOTAL (R$)</t>
        </is>
      </c>
      <c r="Q13" s="29" t="inlineStr">
        <is>
          <t>MENOR UNIT.
C/ IMPOSTO</t>
        </is>
      </c>
      <c r="R13" s="29" t="inlineStr">
        <is>
          <t>MENOR TOTAL</t>
        </is>
      </c>
      <c r="S13" s="29" t="inlineStr">
        <is>
          <t>MELHOR FORNECEDOR</t>
        </is>
      </c>
      <c r="T13" s="29" t="inlineStr">
        <is>
          <t>OBSERVAÇÃO DO ITEM</t>
        </is>
      </c>
    </row>
    <row r="14" ht="18" customHeight="1">
      <c r="A14" s="30" t="n">
        <v>1</v>
      </c>
      <c r="B14" s="31" t="inlineStr">
        <is>
          <t>Corrediça telescópica 45 cm — soft close</t>
        </is>
      </c>
      <c r="C14" s="32" t="inlineStr">
        <is>
          <t>par</t>
        </is>
      </c>
      <c r="D14" s="33" t="n">
        <v>24</v>
      </c>
      <c r="E14" s="34" t="n">
        <v>38.9</v>
      </c>
      <c r="F14" s="35" t="n"/>
      <c r="G14" s="36">
        <f>IF(OR($D14="",E14=""),"",ROUND($D14*E14*(1+IF(F14="",IF(F$12="",0,F$12),F14)),2))</f>
        <v/>
      </c>
      <c r="H14" s="34" t="n">
        <v>36.5</v>
      </c>
      <c r="I14" s="35" t="n"/>
      <c r="J14" s="36">
        <f>IF(OR($D14="",H14=""),"",ROUND($D14*H14*(1+IF(I14="",IF(I$12="",0,I$12),I14)),2))</f>
        <v/>
      </c>
      <c r="K14" s="34" t="n">
        <v>41.2</v>
      </c>
      <c r="L14" s="35" t="n"/>
      <c r="M14" s="36">
        <f>IF(OR($D14="",K14=""),"",ROUND($D14*K14*(1+IF(L14="",IF(L$12="",0,L$12),L14)),2))</f>
        <v/>
      </c>
      <c r="N14" s="34" t="n">
        <v>37.8</v>
      </c>
      <c r="O14" s="35" t="n"/>
      <c r="P14" s="36">
        <f>IF(OR($D14="",N14=""),"",ROUND($D14*N14*(1+IF(O14="",IF(O$12="",0,O$12),O14)),2))</f>
        <v/>
      </c>
      <c r="Q14" s="37">
        <f>IF(OR(R14="",$D14="",$D14=0),"",ROUND(R14/$D14,2))</f>
        <v/>
      </c>
      <c r="R14" s="38">
        <f>IF(COUNT(G14,J14,M14,P14)=0,"",MIN(G14,J14,M14,P14))</f>
        <v/>
      </c>
      <c r="S14" s="39">
        <f>IF($R14="","",IF(G14=$R14,$E$10,IF(J14=$R14,$H$10,IF(M14=$R14,$K$10,$N$10))))</f>
        <v/>
      </c>
      <c r="T14" s="40" t="n"/>
    </row>
    <row r="15" ht="18" customHeight="1">
      <c r="A15" s="30" t="n">
        <v>2</v>
      </c>
      <c r="B15" s="31" t="inlineStr">
        <is>
          <t>Dobradiça caneco 35 mm curva — soft close</t>
        </is>
      </c>
      <c r="C15" s="32" t="inlineStr">
        <is>
          <t>un</t>
        </is>
      </c>
      <c r="D15" s="33" t="n">
        <v>96</v>
      </c>
      <c r="E15" s="34" t="n">
        <v>7.4</v>
      </c>
      <c r="F15" s="35" t="n"/>
      <c r="G15" s="36">
        <f>IF(OR($D15="",E15=""),"",ROUND($D15*E15*(1+IF(F15="",IF(F$12="",0,F$12),F15)),2))</f>
        <v/>
      </c>
      <c r="H15" s="34" t="n">
        <v>7.9</v>
      </c>
      <c r="I15" s="35" t="n"/>
      <c r="J15" s="36">
        <f>IF(OR($D15="",H15=""),"",ROUND($D15*H15*(1+IF(I15="",IF(I$12="",0,I$12),I15)),2))</f>
        <v/>
      </c>
      <c r="K15" s="34" t="n">
        <v>6.95</v>
      </c>
      <c r="L15" s="35" t="n"/>
      <c r="M15" s="36">
        <f>IF(OR($D15="",K15=""),"",ROUND($D15*K15*(1+IF(L15="",IF(L$12="",0,L$12),L15)),2))</f>
        <v/>
      </c>
      <c r="N15" s="34" t="n">
        <v>7.55</v>
      </c>
      <c r="O15" s="35" t="n"/>
      <c r="P15" s="36">
        <f>IF(OR($D15="",N15=""),"",ROUND($D15*N15*(1+IF(O15="",IF(O$12="",0,O$12),O15)),2))</f>
        <v/>
      </c>
      <c r="Q15" s="37">
        <f>IF(OR(R15="",$D15="",$D15=0),"",ROUND(R15/$D15,2))</f>
        <v/>
      </c>
      <c r="R15" s="38">
        <f>IF(COUNT(G15,J15,M15,P15)=0,"",MIN(G15,J15,M15,P15))</f>
        <v/>
      </c>
      <c r="S15" s="39">
        <f>IF($R15="","",IF(G15=$R15,$E$10,IF(J15=$R15,$H$10,IF(M15=$R15,$K$10,$N$10))))</f>
        <v/>
      </c>
      <c r="T15" s="40" t="n"/>
    </row>
    <row r="16" ht="18" customHeight="1">
      <c r="A16" s="30" t="n">
        <v>3</v>
      </c>
      <c r="B16" s="31" t="inlineStr">
        <is>
          <t>Puxador perfil alumínio preto 3 m</t>
        </is>
      </c>
      <c r="C16" s="32" t="inlineStr">
        <is>
          <t>barra</t>
        </is>
      </c>
      <c r="D16" s="33" t="n">
        <v>12</v>
      </c>
      <c r="E16" s="34" t="n">
        <v>64</v>
      </c>
      <c r="F16" s="35" t="n"/>
      <c r="G16" s="36">
        <f>IF(OR($D16="",E16=""),"",ROUND($D16*E16*(1+IF(F16="",IF(F$12="",0,F$12),F16)),2))</f>
        <v/>
      </c>
      <c r="H16" s="34" t="n">
        <v>61.5</v>
      </c>
      <c r="I16" s="35" t="n"/>
      <c r="J16" s="36">
        <f>IF(OR($D16="",H16=""),"",ROUND($D16*H16*(1+IF(I16="",IF(I$12="",0,I$12),I16)),2))</f>
        <v/>
      </c>
      <c r="K16" s="34" t="n"/>
      <c r="L16" s="35" t="n"/>
      <c r="M16" s="36">
        <f>IF(OR($D16="",K16=""),"",ROUND($D16*K16*(1+IF(L16="",IF(L$12="",0,L$12),L16)),2))</f>
        <v/>
      </c>
      <c r="N16" s="34" t="n">
        <v>63.2</v>
      </c>
      <c r="O16" s="35" t="n"/>
      <c r="P16" s="36">
        <f>IF(OR($D16="",N16=""),"",ROUND($D16*N16*(1+IF(O16="",IF(O$12="",0,O$12),O16)),2))</f>
        <v/>
      </c>
      <c r="Q16" s="37">
        <f>IF(OR(R16="",$D16="",$D16=0),"",ROUND(R16/$D16,2))</f>
        <v/>
      </c>
      <c r="R16" s="38">
        <f>IF(COUNT(G16,J16,M16,P16)=0,"",MIN(G16,J16,M16,P16))</f>
        <v/>
      </c>
      <c r="S16" s="39">
        <f>IF($R16="","",IF(G16=$R16,$E$10,IF(J16=$R16,$H$10,IF(M16=$R16,$K$10,$N$10))))</f>
        <v/>
      </c>
      <c r="T16" s="40" t="inlineStr">
        <is>
          <t>MGV não trabalha com este perfil</t>
        </is>
      </c>
    </row>
    <row r="17" ht="18" customHeight="1">
      <c r="A17" s="30" t="n">
        <v>4</v>
      </c>
      <c r="B17" s="31" t="inlineStr">
        <is>
          <t>Pistão a gás 100 N</t>
        </is>
      </c>
      <c r="C17" s="32" t="inlineStr">
        <is>
          <t>un</t>
        </is>
      </c>
      <c r="D17" s="33" t="n">
        <v>8</v>
      </c>
      <c r="E17" s="34" t="n">
        <v>22.5</v>
      </c>
      <c r="F17" s="35" t="n"/>
      <c r="G17" s="36">
        <f>IF(OR($D17="",E17=""),"",ROUND($D17*E17*(1+IF(F17="",IF(F$12="",0,F$12),F17)),2))</f>
        <v/>
      </c>
      <c r="H17" s="34" t="n">
        <v>21.8</v>
      </c>
      <c r="I17" s="35" t="n"/>
      <c r="J17" s="36">
        <f>IF(OR($D17="",H17=""),"",ROUND($D17*H17*(1+IF(I17="",IF(I$12="",0,I$12),I17)),2))</f>
        <v/>
      </c>
      <c r="K17" s="34" t="n">
        <v>24</v>
      </c>
      <c r="L17" s="35" t="n"/>
      <c r="M17" s="36">
        <f>IF(OR($D17="",K17=""),"",ROUND($D17*K17*(1+IF(L17="",IF(L$12="",0,L$12),L17)),2))</f>
        <v/>
      </c>
      <c r="N17" s="34" t="n">
        <v>22.1</v>
      </c>
      <c r="O17" s="35" t="n"/>
      <c r="P17" s="36">
        <f>IF(OR($D17="",N17=""),"",ROUND($D17*N17*(1+IF(O17="",IF(O$12="",0,O$12),O17)),2))</f>
        <v/>
      </c>
      <c r="Q17" s="37">
        <f>IF(OR(R17="",$D17="",$D17=0),"",ROUND(R17/$D17,2))</f>
        <v/>
      </c>
      <c r="R17" s="38">
        <f>IF(COUNT(G17,J17,M17,P17)=0,"",MIN(G17,J17,M17,P17))</f>
        <v/>
      </c>
      <c r="S17" s="39">
        <f>IF($R17="","",IF(G17=$R17,$E$10,IF(J17=$R17,$H$10,IF(M17=$R17,$K$10,$N$10))))</f>
        <v/>
      </c>
      <c r="T17" s="40" t="n"/>
    </row>
    <row r="18" ht="18" customHeight="1">
      <c r="A18" s="30" t="n">
        <v>5</v>
      </c>
      <c r="B18" s="31" t="inlineStr">
        <is>
          <t>Corrediça oculta 50 cm — push</t>
        </is>
      </c>
      <c r="C18" s="32" t="inlineStr">
        <is>
          <t>par</t>
        </is>
      </c>
      <c r="D18" s="33" t="n">
        <v>6</v>
      </c>
      <c r="E18" s="34" t="n">
        <v>128</v>
      </c>
      <c r="F18" s="35" t="n"/>
      <c r="G18" s="36">
        <f>IF(OR($D18="",E18=""),"",ROUND($D18*E18*(1+IF(F18="",IF(F$12="",0,F$12),F18)),2))</f>
        <v/>
      </c>
      <c r="H18" s="34" t="n">
        <v>132</v>
      </c>
      <c r="I18" s="35" t="n"/>
      <c r="J18" s="36">
        <f>IF(OR($D18="",H18=""),"",ROUND($D18*H18*(1+IF(I18="",IF(I$12="",0,I$12),I18)),2))</f>
        <v/>
      </c>
      <c r="K18" s="34" t="n">
        <v>125.5</v>
      </c>
      <c r="L18" s="35" t="n"/>
      <c r="M18" s="36">
        <f>IF(OR($D18="",K18=""),"",ROUND($D18*K18*(1+IF(L18="",IF(L$12="",0,L$12),L18)),2))</f>
        <v/>
      </c>
      <c r="N18" s="34" t="n"/>
      <c r="O18" s="35" t="n"/>
      <c r="P18" s="36">
        <f>IF(OR($D18="",N18=""),"",ROUND($D18*N18*(1+IF(O18="",IF(O$12="",0,O$12),O18)),2))</f>
        <v/>
      </c>
      <c r="Q18" s="37">
        <f>IF(OR(R18="",$D18="",$D18=0),"",ROUND(R18/$D18,2))</f>
        <v/>
      </c>
      <c r="R18" s="38">
        <f>IF(COUNT(G18,J18,M18,P18)=0,"",MIN(G18,J18,M18,P18))</f>
        <v/>
      </c>
      <c r="S18" s="39">
        <f>IF($R18="","",IF(G18=$R18,$E$10,IF(J18=$R18,$H$10,IF(M18=$R18,$K$10,$N$10))))</f>
        <v/>
      </c>
      <c r="T18" s="40" t="n"/>
    </row>
    <row r="19" ht="18" customHeight="1">
      <c r="A19" s="30" t="n">
        <v>6</v>
      </c>
      <c r="B19" s="31" t="inlineStr">
        <is>
          <t>Suporte prateleira invisível 12 cm</t>
        </is>
      </c>
      <c r="C19" s="32" t="inlineStr">
        <is>
          <t>un</t>
        </is>
      </c>
      <c r="D19" s="33" t="n">
        <v>40</v>
      </c>
      <c r="E19" s="34" t="n">
        <v>4.2</v>
      </c>
      <c r="F19" s="35" t="n"/>
      <c r="G19" s="36">
        <f>IF(OR($D19="",E19=""),"",ROUND($D19*E19*(1+IF(F19="",IF(F$12="",0,F$12),F19)),2))</f>
        <v/>
      </c>
      <c r="H19" s="34" t="n">
        <v>4.55</v>
      </c>
      <c r="I19" s="35" t="n"/>
      <c r="J19" s="36">
        <f>IF(OR($D19="",H19=""),"",ROUND($D19*H19*(1+IF(I19="",IF(I$12="",0,I$12),I19)),2))</f>
        <v/>
      </c>
      <c r="K19" s="34" t="n">
        <v>3.98</v>
      </c>
      <c r="L19" s="35" t="n">
        <v>0</v>
      </c>
      <c r="M19" s="36">
        <f>IF(OR($D19="",K19=""),"",ROUND($D19*K19*(1+IF(L19="",IF(L$12="",0,L$12),L19)),2))</f>
        <v/>
      </c>
      <c r="N19" s="34" t="n">
        <v>4.3</v>
      </c>
      <c r="O19" s="35" t="n"/>
      <c r="P19" s="36">
        <f>IF(OR($D19="",N19=""),"",ROUND($D19*N19*(1+IF(O19="",IF(O$12="",0,O$12),O19)),2))</f>
        <v/>
      </c>
      <c r="Q19" s="37">
        <f>IF(OR(R19="",$D19="",$D19=0),"",ROUND(R19/$D19,2))</f>
        <v/>
      </c>
      <c r="R19" s="38">
        <f>IF(COUNT(G19,J19,M19,P19)=0,"",MIN(G19,J19,M19,P19))</f>
        <v/>
      </c>
      <c r="S19" s="39">
        <f>IF($R19="","",IF(G19=$R19,$E$10,IF(J19=$R19,$H$10,IF(M19=$R19,$K$10,$N$10))))</f>
        <v/>
      </c>
      <c r="T19" s="40" t="inlineStr">
        <is>
          <t>MGV: item isento de IPI</t>
        </is>
      </c>
    </row>
    <row r="20" ht="18" customHeight="1">
      <c r="A20" s="30" t="n">
        <v>7</v>
      </c>
      <c r="B20" s="31" t="inlineStr">
        <is>
          <t>Cabideiro extensível 60 cm — alumínio</t>
        </is>
      </c>
      <c r="C20" s="32" t="inlineStr">
        <is>
          <t>un</t>
        </is>
      </c>
      <c r="D20" s="33" t="n">
        <v>4</v>
      </c>
      <c r="E20" s="34" t="n">
        <v>96</v>
      </c>
      <c r="F20" s="35" t="n"/>
      <c r="G20" s="36">
        <f>IF(OR($D20="",E20=""),"",ROUND($D20*E20*(1+IF(F20="",IF(F$12="",0,F$12),F20)),2))</f>
        <v/>
      </c>
      <c r="H20" s="34" t="n">
        <v>89.90000000000001</v>
      </c>
      <c r="I20" s="35" t="n"/>
      <c r="J20" s="36">
        <f>IF(OR($D20="",H20=""),"",ROUND($D20*H20*(1+IF(I20="",IF(I$12="",0,I$12),I20)),2))</f>
        <v/>
      </c>
      <c r="K20" s="34" t="n">
        <v>94.5</v>
      </c>
      <c r="L20" s="35" t="n"/>
      <c r="M20" s="36">
        <f>IF(OR($D20="",K20=""),"",ROUND($D20*K20*(1+IF(L20="",IF(L$12="",0,L$12),L20)),2))</f>
        <v/>
      </c>
      <c r="N20" s="34" t="n">
        <v>92</v>
      </c>
      <c r="O20" s="35" t="n"/>
      <c r="P20" s="36">
        <f>IF(OR($D20="",N20=""),"",ROUND($D20*N20*(1+IF(O20="",IF(O$12="",0,O$12),O20)),2))</f>
        <v/>
      </c>
      <c r="Q20" s="37">
        <f>IF(OR(R20="",$D20="",$D20=0),"",ROUND(R20/$D20,2))</f>
        <v/>
      </c>
      <c r="R20" s="38">
        <f>IF(COUNT(G20,J20,M20,P20)=0,"",MIN(G20,J20,M20,P20))</f>
        <v/>
      </c>
      <c r="S20" s="39">
        <f>IF($R20="","",IF(G20=$R20,$E$10,IF(J20=$R20,$H$10,IF(M20=$R20,$K$10,$N$10))))</f>
        <v/>
      </c>
      <c r="T20" s="40" t="n"/>
    </row>
    <row r="21" ht="18" customHeight="1">
      <c r="A21" s="30" t="n">
        <v>8</v>
      </c>
      <c r="B21" s="31" t="inlineStr">
        <is>
          <t>Fecho magnético embutir</t>
        </is>
      </c>
      <c r="C21" s="32" t="inlineStr">
        <is>
          <t>un</t>
        </is>
      </c>
      <c r="D21" s="33" t="n">
        <v>30</v>
      </c>
      <c r="E21" s="34" t="n">
        <v>3.1</v>
      </c>
      <c r="F21" s="35" t="n"/>
      <c r="G21" s="36">
        <f>IF(OR($D21="",E21=""),"",ROUND($D21*E21*(1+IF(F21="",IF(F$12="",0,F$12),F21)),2))</f>
        <v/>
      </c>
      <c r="H21" s="34" t="n">
        <v>3.4</v>
      </c>
      <c r="I21" s="35" t="n"/>
      <c r="J21" s="36">
        <f>IF(OR($D21="",H21=""),"",ROUND($D21*H21*(1+IF(I21="",IF(I$12="",0,I$12),I21)),2))</f>
        <v/>
      </c>
      <c r="K21" s="34" t="n">
        <v>2.95</v>
      </c>
      <c r="L21" s="35" t="n"/>
      <c r="M21" s="36">
        <f>IF(OR($D21="",K21=""),"",ROUND($D21*K21*(1+IF(L21="",IF(L$12="",0,L$12),L21)),2))</f>
        <v/>
      </c>
      <c r="N21" s="34" t="n">
        <v>3.25</v>
      </c>
      <c r="O21" s="35" t="n"/>
      <c r="P21" s="36">
        <f>IF(OR($D21="",N21=""),"",ROUND($D21*N21*(1+IF(O21="",IF(O$12="",0,O$12),O21)),2))</f>
        <v/>
      </c>
      <c r="Q21" s="37">
        <f>IF(OR(R21="",$D21="",$D21=0),"",ROUND(R21/$D21,2))</f>
        <v/>
      </c>
      <c r="R21" s="38">
        <f>IF(COUNT(G21,J21,M21,P21)=0,"",MIN(G21,J21,M21,P21))</f>
        <v/>
      </c>
      <c r="S21" s="39">
        <f>IF($R21="","",IF(G21=$R21,$E$10,IF(J21=$R21,$H$10,IF(M21=$R21,$K$10,$N$10))))</f>
        <v/>
      </c>
      <c r="T21" s="40" t="n"/>
    </row>
    <row r="22" ht="18" customHeight="1">
      <c r="A22" s="30" t="n">
        <v>9</v>
      </c>
      <c r="B22" s="31" t="n"/>
      <c r="C22" s="32" t="n"/>
      <c r="D22" s="33" t="n"/>
      <c r="E22" s="34" t="n"/>
      <c r="F22" s="35" t="n"/>
      <c r="G22" s="36">
        <f>IF(OR($D22="",E22=""),"",ROUND($D22*E22*(1+IF(F22="",IF(F$12="",0,F$12),F22)),2))</f>
        <v/>
      </c>
      <c r="H22" s="34" t="n"/>
      <c r="I22" s="35" t="n"/>
      <c r="J22" s="36">
        <f>IF(OR($D22="",H22=""),"",ROUND($D22*H22*(1+IF(I22="",IF(I$12="",0,I$12),I22)),2))</f>
        <v/>
      </c>
      <c r="K22" s="34" t="n"/>
      <c r="L22" s="35" t="n"/>
      <c r="M22" s="36">
        <f>IF(OR($D22="",K22=""),"",ROUND($D22*K22*(1+IF(L22="",IF(L$12="",0,L$12),L22)),2))</f>
        <v/>
      </c>
      <c r="N22" s="34" t="n"/>
      <c r="O22" s="35" t="n"/>
      <c r="P22" s="36">
        <f>IF(OR($D22="",N22=""),"",ROUND($D22*N22*(1+IF(O22="",IF(O$12="",0,O$12),O22)),2))</f>
        <v/>
      </c>
      <c r="Q22" s="37">
        <f>IF(OR(R22="",$D22="",$D22=0),"",ROUND(R22/$D22,2))</f>
        <v/>
      </c>
      <c r="R22" s="38">
        <f>IF(COUNT(G22,J22,M22,P22)=0,"",MIN(G22,J22,M22,P22))</f>
        <v/>
      </c>
      <c r="S22" s="39">
        <f>IF($R22="","",IF(G22=$R22,$E$10,IF(J22=$R22,$H$10,IF(M22=$R22,$K$10,$N$10))))</f>
        <v/>
      </c>
      <c r="T22" s="40" t="n"/>
    </row>
    <row r="23" ht="18" customHeight="1">
      <c r="A23" s="30" t="n">
        <v>10</v>
      </c>
      <c r="B23" s="31" t="n"/>
      <c r="C23" s="32" t="n"/>
      <c r="D23" s="33" t="n"/>
      <c r="E23" s="34" t="n"/>
      <c r="F23" s="35" t="n"/>
      <c r="G23" s="36">
        <f>IF(OR($D23="",E23=""),"",ROUND($D23*E23*(1+IF(F23="",IF(F$12="",0,F$12),F23)),2))</f>
        <v/>
      </c>
      <c r="H23" s="34" t="n"/>
      <c r="I23" s="35" t="n"/>
      <c r="J23" s="36">
        <f>IF(OR($D23="",H23=""),"",ROUND($D23*H23*(1+IF(I23="",IF(I$12="",0,I$12),I23)),2))</f>
        <v/>
      </c>
      <c r="K23" s="34" t="n"/>
      <c r="L23" s="35" t="n"/>
      <c r="M23" s="36">
        <f>IF(OR($D23="",K23=""),"",ROUND($D23*K23*(1+IF(L23="",IF(L$12="",0,L$12),L23)),2))</f>
        <v/>
      </c>
      <c r="N23" s="34" t="n"/>
      <c r="O23" s="35" t="n"/>
      <c r="P23" s="36">
        <f>IF(OR($D23="",N23=""),"",ROUND($D23*N23*(1+IF(O23="",IF(O$12="",0,O$12),O23)),2))</f>
        <v/>
      </c>
      <c r="Q23" s="37">
        <f>IF(OR(R23="",$D23="",$D23=0),"",ROUND(R23/$D23,2))</f>
        <v/>
      </c>
      <c r="R23" s="38">
        <f>IF(COUNT(G23,J23,M23,P23)=0,"",MIN(G23,J23,M23,P23))</f>
        <v/>
      </c>
      <c r="S23" s="39">
        <f>IF($R23="","",IF(G23=$R23,$E$10,IF(J23=$R23,$H$10,IF(M23=$R23,$K$10,$N$10))))</f>
        <v/>
      </c>
      <c r="T23" s="40" t="n"/>
    </row>
    <row r="24" ht="18" customHeight="1">
      <c r="A24" s="30" t="n">
        <v>11</v>
      </c>
      <c r="B24" s="31" t="n"/>
      <c r="C24" s="32" t="n"/>
      <c r="D24" s="33" t="n"/>
      <c r="E24" s="34" t="n"/>
      <c r="F24" s="35" t="n"/>
      <c r="G24" s="36">
        <f>IF(OR($D24="",E24=""),"",ROUND($D24*E24*(1+IF(F24="",IF(F$12="",0,F$12),F24)),2))</f>
        <v/>
      </c>
      <c r="H24" s="34" t="n"/>
      <c r="I24" s="35" t="n"/>
      <c r="J24" s="36">
        <f>IF(OR($D24="",H24=""),"",ROUND($D24*H24*(1+IF(I24="",IF(I$12="",0,I$12),I24)),2))</f>
        <v/>
      </c>
      <c r="K24" s="34" t="n"/>
      <c r="L24" s="35" t="n"/>
      <c r="M24" s="36">
        <f>IF(OR($D24="",K24=""),"",ROUND($D24*K24*(1+IF(L24="",IF(L$12="",0,L$12),L24)),2))</f>
        <v/>
      </c>
      <c r="N24" s="34" t="n"/>
      <c r="O24" s="35" t="n"/>
      <c r="P24" s="36">
        <f>IF(OR($D24="",N24=""),"",ROUND($D24*N24*(1+IF(O24="",IF(O$12="",0,O$12),O24)),2))</f>
        <v/>
      </c>
      <c r="Q24" s="37">
        <f>IF(OR(R24="",$D24="",$D24=0),"",ROUND(R24/$D24,2))</f>
        <v/>
      </c>
      <c r="R24" s="38">
        <f>IF(COUNT(G24,J24,M24,P24)=0,"",MIN(G24,J24,M24,P24))</f>
        <v/>
      </c>
      <c r="S24" s="39">
        <f>IF($R24="","",IF(G24=$R24,$E$10,IF(J24=$R24,$H$10,IF(M24=$R24,$K$10,$N$10))))</f>
        <v/>
      </c>
      <c r="T24" s="40" t="n"/>
    </row>
    <row r="25" ht="18" customHeight="1">
      <c r="A25" s="30" t="n">
        <v>12</v>
      </c>
      <c r="B25" s="31" t="n"/>
      <c r="C25" s="32" t="n"/>
      <c r="D25" s="33" t="n"/>
      <c r="E25" s="34" t="n"/>
      <c r="F25" s="35" t="n"/>
      <c r="G25" s="36">
        <f>IF(OR($D25="",E25=""),"",ROUND($D25*E25*(1+IF(F25="",IF(F$12="",0,F$12),F25)),2))</f>
        <v/>
      </c>
      <c r="H25" s="34" t="n"/>
      <c r="I25" s="35" t="n"/>
      <c r="J25" s="36">
        <f>IF(OR($D25="",H25=""),"",ROUND($D25*H25*(1+IF(I25="",IF(I$12="",0,I$12),I25)),2))</f>
        <v/>
      </c>
      <c r="K25" s="34" t="n"/>
      <c r="L25" s="35" t="n"/>
      <c r="M25" s="36">
        <f>IF(OR($D25="",K25=""),"",ROUND($D25*K25*(1+IF(L25="",IF(L$12="",0,L$12),L25)),2))</f>
        <v/>
      </c>
      <c r="N25" s="34" t="n"/>
      <c r="O25" s="35" t="n"/>
      <c r="P25" s="36">
        <f>IF(OR($D25="",N25=""),"",ROUND($D25*N25*(1+IF(O25="",IF(O$12="",0,O$12),O25)),2))</f>
        <v/>
      </c>
      <c r="Q25" s="37">
        <f>IF(OR(R25="",$D25="",$D25=0),"",ROUND(R25/$D25,2))</f>
        <v/>
      </c>
      <c r="R25" s="38">
        <f>IF(COUNT(G25,J25,M25,P25)=0,"",MIN(G25,J25,M25,P25))</f>
        <v/>
      </c>
      <c r="S25" s="39">
        <f>IF($R25="","",IF(G25=$R25,$E$10,IF(J25=$R25,$H$10,IF(M25=$R25,$K$10,$N$10))))</f>
        <v/>
      </c>
      <c r="T25" s="40" t="n"/>
    </row>
    <row r="26" ht="18" customHeight="1">
      <c r="A26" s="30" t="n">
        <v>13</v>
      </c>
      <c r="B26" s="31" t="n"/>
      <c r="C26" s="32" t="n"/>
      <c r="D26" s="33" t="n"/>
      <c r="E26" s="34" t="n"/>
      <c r="F26" s="35" t="n"/>
      <c r="G26" s="36">
        <f>IF(OR($D26="",E26=""),"",ROUND($D26*E26*(1+IF(F26="",IF(F$12="",0,F$12),F26)),2))</f>
        <v/>
      </c>
      <c r="H26" s="34" t="n"/>
      <c r="I26" s="35" t="n"/>
      <c r="J26" s="36">
        <f>IF(OR($D26="",H26=""),"",ROUND($D26*H26*(1+IF(I26="",IF(I$12="",0,I$12),I26)),2))</f>
        <v/>
      </c>
      <c r="K26" s="34" t="n"/>
      <c r="L26" s="35" t="n"/>
      <c r="M26" s="36">
        <f>IF(OR($D26="",K26=""),"",ROUND($D26*K26*(1+IF(L26="",IF(L$12="",0,L$12),L26)),2))</f>
        <v/>
      </c>
      <c r="N26" s="34" t="n"/>
      <c r="O26" s="35" t="n"/>
      <c r="P26" s="36">
        <f>IF(OR($D26="",N26=""),"",ROUND($D26*N26*(1+IF(O26="",IF(O$12="",0,O$12),O26)),2))</f>
        <v/>
      </c>
      <c r="Q26" s="37">
        <f>IF(OR(R26="",$D26="",$D26=0),"",ROUND(R26/$D26,2))</f>
        <v/>
      </c>
      <c r="R26" s="38">
        <f>IF(COUNT(G26,J26,M26,P26)=0,"",MIN(G26,J26,M26,P26))</f>
        <v/>
      </c>
      <c r="S26" s="39">
        <f>IF($R26="","",IF(G26=$R26,$E$10,IF(J26=$R26,$H$10,IF(M26=$R26,$K$10,$N$10))))</f>
        <v/>
      </c>
      <c r="T26" s="40" t="n"/>
    </row>
    <row r="27" ht="18" customHeight="1">
      <c r="A27" s="30" t="n">
        <v>14</v>
      </c>
      <c r="B27" s="31" t="n"/>
      <c r="C27" s="32" t="n"/>
      <c r="D27" s="33" t="n"/>
      <c r="E27" s="34" t="n"/>
      <c r="F27" s="35" t="n"/>
      <c r="G27" s="36">
        <f>IF(OR($D27="",E27=""),"",ROUND($D27*E27*(1+IF(F27="",IF(F$12="",0,F$12),F27)),2))</f>
        <v/>
      </c>
      <c r="H27" s="34" t="n"/>
      <c r="I27" s="35" t="n"/>
      <c r="J27" s="36">
        <f>IF(OR($D27="",H27=""),"",ROUND($D27*H27*(1+IF(I27="",IF(I$12="",0,I$12),I27)),2))</f>
        <v/>
      </c>
      <c r="K27" s="34" t="n"/>
      <c r="L27" s="35" t="n"/>
      <c r="M27" s="36">
        <f>IF(OR($D27="",K27=""),"",ROUND($D27*K27*(1+IF(L27="",IF(L$12="",0,L$12),L27)),2))</f>
        <v/>
      </c>
      <c r="N27" s="34" t="n"/>
      <c r="O27" s="35" t="n"/>
      <c r="P27" s="36">
        <f>IF(OR($D27="",N27=""),"",ROUND($D27*N27*(1+IF(O27="",IF(O$12="",0,O$12),O27)),2))</f>
        <v/>
      </c>
      <c r="Q27" s="37">
        <f>IF(OR(R27="",$D27="",$D27=0),"",ROUND(R27/$D27,2))</f>
        <v/>
      </c>
      <c r="R27" s="38">
        <f>IF(COUNT(G27,J27,M27,P27)=0,"",MIN(G27,J27,M27,P27))</f>
        <v/>
      </c>
      <c r="S27" s="39">
        <f>IF($R27="","",IF(G27=$R27,$E$10,IF(J27=$R27,$H$10,IF(M27=$R27,$K$10,$N$10))))</f>
        <v/>
      </c>
      <c r="T27" s="40" t="n"/>
    </row>
    <row r="28" ht="18" customHeight="1">
      <c r="A28" s="30" t="n">
        <v>15</v>
      </c>
      <c r="B28" s="31" t="n"/>
      <c r="C28" s="32" t="n"/>
      <c r="D28" s="33" t="n"/>
      <c r="E28" s="34" t="n"/>
      <c r="F28" s="35" t="n"/>
      <c r="G28" s="36">
        <f>IF(OR($D28="",E28=""),"",ROUND($D28*E28*(1+IF(F28="",IF(F$12="",0,F$12),F28)),2))</f>
        <v/>
      </c>
      <c r="H28" s="34" t="n"/>
      <c r="I28" s="35" t="n"/>
      <c r="J28" s="36">
        <f>IF(OR($D28="",H28=""),"",ROUND($D28*H28*(1+IF(I28="",IF(I$12="",0,I$12),I28)),2))</f>
        <v/>
      </c>
      <c r="K28" s="34" t="n"/>
      <c r="L28" s="35" t="n"/>
      <c r="M28" s="36">
        <f>IF(OR($D28="",K28=""),"",ROUND($D28*K28*(1+IF(L28="",IF(L$12="",0,L$12),L28)),2))</f>
        <v/>
      </c>
      <c r="N28" s="34" t="n"/>
      <c r="O28" s="35" t="n"/>
      <c r="P28" s="36">
        <f>IF(OR($D28="",N28=""),"",ROUND($D28*N28*(1+IF(O28="",IF(O$12="",0,O$12),O28)),2))</f>
        <v/>
      </c>
      <c r="Q28" s="37">
        <f>IF(OR(R28="",$D28="",$D28=0),"",ROUND(R28/$D28,2))</f>
        <v/>
      </c>
      <c r="R28" s="38">
        <f>IF(COUNT(G28,J28,M28,P28)=0,"",MIN(G28,J28,M28,P28))</f>
        <v/>
      </c>
      <c r="S28" s="39">
        <f>IF($R28="","",IF(G28=$R28,$E$10,IF(J28=$R28,$H$10,IF(M28=$R28,$K$10,$N$10))))</f>
        <v/>
      </c>
      <c r="T28" s="40" t="n"/>
    </row>
    <row r="29" ht="18" customHeight="1">
      <c r="A29" s="30" t="n">
        <v>16</v>
      </c>
      <c r="B29" s="31" t="n"/>
      <c r="C29" s="32" t="n"/>
      <c r="D29" s="33" t="n"/>
      <c r="E29" s="34" t="n"/>
      <c r="F29" s="35" t="n"/>
      <c r="G29" s="36">
        <f>IF(OR($D29="",E29=""),"",ROUND($D29*E29*(1+IF(F29="",IF(F$12="",0,F$12),F29)),2))</f>
        <v/>
      </c>
      <c r="H29" s="34" t="n"/>
      <c r="I29" s="35" t="n"/>
      <c r="J29" s="36">
        <f>IF(OR($D29="",H29=""),"",ROUND($D29*H29*(1+IF(I29="",IF(I$12="",0,I$12),I29)),2))</f>
        <v/>
      </c>
      <c r="K29" s="34" t="n"/>
      <c r="L29" s="35" t="n"/>
      <c r="M29" s="36">
        <f>IF(OR($D29="",K29=""),"",ROUND($D29*K29*(1+IF(L29="",IF(L$12="",0,L$12),L29)),2))</f>
        <v/>
      </c>
      <c r="N29" s="34" t="n"/>
      <c r="O29" s="35" t="n"/>
      <c r="P29" s="36">
        <f>IF(OR($D29="",N29=""),"",ROUND($D29*N29*(1+IF(O29="",IF(O$12="",0,O$12),O29)),2))</f>
        <v/>
      </c>
      <c r="Q29" s="37">
        <f>IF(OR(R29="",$D29="",$D29=0),"",ROUND(R29/$D29,2))</f>
        <v/>
      </c>
      <c r="R29" s="38">
        <f>IF(COUNT(G29,J29,M29,P29)=0,"",MIN(G29,J29,M29,P29))</f>
        <v/>
      </c>
      <c r="S29" s="39">
        <f>IF($R29="","",IF(G29=$R29,$E$10,IF(J29=$R29,$H$10,IF(M29=$R29,$K$10,$N$10))))</f>
        <v/>
      </c>
      <c r="T29" s="40" t="n"/>
    </row>
    <row r="30" ht="18" customHeight="1">
      <c r="A30" s="30" t="n">
        <v>17</v>
      </c>
      <c r="B30" s="31" t="n"/>
      <c r="C30" s="32" t="n"/>
      <c r="D30" s="33" t="n"/>
      <c r="E30" s="34" t="n"/>
      <c r="F30" s="35" t="n"/>
      <c r="G30" s="36">
        <f>IF(OR($D30="",E30=""),"",ROUND($D30*E30*(1+IF(F30="",IF(F$12="",0,F$12),F30)),2))</f>
        <v/>
      </c>
      <c r="H30" s="34" t="n"/>
      <c r="I30" s="35" t="n"/>
      <c r="J30" s="36">
        <f>IF(OR($D30="",H30=""),"",ROUND($D30*H30*(1+IF(I30="",IF(I$12="",0,I$12),I30)),2))</f>
        <v/>
      </c>
      <c r="K30" s="34" t="n"/>
      <c r="L30" s="35" t="n"/>
      <c r="M30" s="36">
        <f>IF(OR($D30="",K30=""),"",ROUND($D30*K30*(1+IF(L30="",IF(L$12="",0,L$12),L30)),2))</f>
        <v/>
      </c>
      <c r="N30" s="34" t="n"/>
      <c r="O30" s="35" t="n"/>
      <c r="P30" s="36">
        <f>IF(OR($D30="",N30=""),"",ROUND($D30*N30*(1+IF(O30="",IF(O$12="",0,O$12),O30)),2))</f>
        <v/>
      </c>
      <c r="Q30" s="37">
        <f>IF(OR(R30="",$D30="",$D30=0),"",ROUND(R30/$D30,2))</f>
        <v/>
      </c>
      <c r="R30" s="38">
        <f>IF(COUNT(G30,J30,M30,P30)=0,"",MIN(G30,J30,M30,P30))</f>
        <v/>
      </c>
      <c r="S30" s="39">
        <f>IF($R30="","",IF(G30=$R30,$E$10,IF(J30=$R30,$H$10,IF(M30=$R30,$K$10,$N$10))))</f>
        <v/>
      </c>
      <c r="T30" s="40" t="n"/>
    </row>
    <row r="31" ht="18" customHeight="1">
      <c r="A31" s="30" t="n">
        <v>18</v>
      </c>
      <c r="B31" s="31" t="n"/>
      <c r="C31" s="32" t="n"/>
      <c r="D31" s="33" t="n"/>
      <c r="E31" s="34" t="n"/>
      <c r="F31" s="35" t="n"/>
      <c r="G31" s="36">
        <f>IF(OR($D31="",E31=""),"",ROUND($D31*E31*(1+IF(F31="",IF(F$12="",0,F$12),F31)),2))</f>
        <v/>
      </c>
      <c r="H31" s="34" t="n"/>
      <c r="I31" s="35" t="n"/>
      <c r="J31" s="36">
        <f>IF(OR($D31="",H31=""),"",ROUND($D31*H31*(1+IF(I31="",IF(I$12="",0,I$12),I31)),2))</f>
        <v/>
      </c>
      <c r="K31" s="34" t="n"/>
      <c r="L31" s="35" t="n"/>
      <c r="M31" s="36">
        <f>IF(OR($D31="",K31=""),"",ROUND($D31*K31*(1+IF(L31="",IF(L$12="",0,L$12),L31)),2))</f>
        <v/>
      </c>
      <c r="N31" s="34" t="n"/>
      <c r="O31" s="35" t="n"/>
      <c r="P31" s="36">
        <f>IF(OR($D31="",N31=""),"",ROUND($D31*N31*(1+IF(O31="",IF(O$12="",0,O$12),O31)),2))</f>
        <v/>
      </c>
      <c r="Q31" s="37">
        <f>IF(OR(R31="",$D31="",$D31=0),"",ROUND(R31/$D31,2))</f>
        <v/>
      </c>
      <c r="R31" s="38">
        <f>IF(COUNT(G31,J31,M31,P31)=0,"",MIN(G31,J31,M31,P31))</f>
        <v/>
      </c>
      <c r="S31" s="39">
        <f>IF($R31="","",IF(G31=$R31,$E$10,IF(J31=$R31,$H$10,IF(M31=$R31,$K$10,$N$10))))</f>
        <v/>
      </c>
      <c r="T31" s="40" t="n"/>
    </row>
    <row r="32" ht="18" customHeight="1">
      <c r="A32" s="30" t="n">
        <v>19</v>
      </c>
      <c r="B32" s="31" t="n"/>
      <c r="C32" s="32" t="n"/>
      <c r="D32" s="33" t="n"/>
      <c r="E32" s="34" t="n"/>
      <c r="F32" s="35" t="n"/>
      <c r="G32" s="36">
        <f>IF(OR($D32="",E32=""),"",ROUND($D32*E32*(1+IF(F32="",IF(F$12="",0,F$12),F32)),2))</f>
        <v/>
      </c>
      <c r="H32" s="34" t="n"/>
      <c r="I32" s="35" t="n"/>
      <c r="J32" s="36">
        <f>IF(OR($D32="",H32=""),"",ROUND($D32*H32*(1+IF(I32="",IF(I$12="",0,I$12),I32)),2))</f>
        <v/>
      </c>
      <c r="K32" s="34" t="n"/>
      <c r="L32" s="35" t="n"/>
      <c r="M32" s="36">
        <f>IF(OR($D32="",K32=""),"",ROUND($D32*K32*(1+IF(L32="",IF(L$12="",0,L$12),L32)),2))</f>
        <v/>
      </c>
      <c r="N32" s="34" t="n"/>
      <c r="O32" s="35" t="n"/>
      <c r="P32" s="36">
        <f>IF(OR($D32="",N32=""),"",ROUND($D32*N32*(1+IF(O32="",IF(O$12="",0,O$12),O32)),2))</f>
        <v/>
      </c>
      <c r="Q32" s="37">
        <f>IF(OR(R32="",$D32="",$D32=0),"",ROUND(R32/$D32,2))</f>
        <v/>
      </c>
      <c r="R32" s="38">
        <f>IF(COUNT(G32,J32,M32,P32)=0,"",MIN(G32,J32,M32,P32))</f>
        <v/>
      </c>
      <c r="S32" s="39">
        <f>IF($R32="","",IF(G32=$R32,$E$10,IF(J32=$R32,$H$10,IF(M32=$R32,$K$10,$N$10))))</f>
        <v/>
      </c>
      <c r="T32" s="40" t="n"/>
    </row>
    <row r="33" ht="18" customHeight="1">
      <c r="A33" s="30" t="n">
        <v>20</v>
      </c>
      <c r="B33" s="31" t="n"/>
      <c r="C33" s="32" t="n"/>
      <c r="D33" s="33" t="n"/>
      <c r="E33" s="34" t="n"/>
      <c r="F33" s="35" t="n"/>
      <c r="G33" s="36">
        <f>IF(OR($D33="",E33=""),"",ROUND($D33*E33*(1+IF(F33="",IF(F$12="",0,F$12),F33)),2))</f>
        <v/>
      </c>
      <c r="H33" s="34" t="n"/>
      <c r="I33" s="35" t="n"/>
      <c r="J33" s="36">
        <f>IF(OR($D33="",H33=""),"",ROUND($D33*H33*(1+IF(I33="",IF(I$12="",0,I$12),I33)),2))</f>
        <v/>
      </c>
      <c r="K33" s="34" t="n"/>
      <c r="L33" s="35" t="n"/>
      <c r="M33" s="36">
        <f>IF(OR($D33="",K33=""),"",ROUND($D33*K33*(1+IF(L33="",IF(L$12="",0,L$12),L33)),2))</f>
        <v/>
      </c>
      <c r="N33" s="34" t="n"/>
      <c r="O33" s="35" t="n"/>
      <c r="P33" s="36">
        <f>IF(OR($D33="",N33=""),"",ROUND($D33*N33*(1+IF(O33="",IF(O$12="",0,O$12),O33)),2))</f>
        <v/>
      </c>
      <c r="Q33" s="37">
        <f>IF(OR(R33="",$D33="",$D33=0),"",ROUND(R33/$D33,2))</f>
        <v/>
      </c>
      <c r="R33" s="38">
        <f>IF(COUNT(G33,J33,M33,P33)=0,"",MIN(G33,J33,M33,P33))</f>
        <v/>
      </c>
      <c r="S33" s="39">
        <f>IF($R33="","",IF(G33=$R33,$E$10,IF(J33=$R33,$H$10,IF(M33=$R33,$K$10,$N$10))))</f>
        <v/>
      </c>
      <c r="T33" s="40" t="n"/>
    </row>
    <row r="34" ht="18" customHeight="1">
      <c r="A34" s="30" t="n">
        <v>21</v>
      </c>
      <c r="B34" s="31" t="n"/>
      <c r="C34" s="32" t="n"/>
      <c r="D34" s="33" t="n"/>
      <c r="E34" s="34" t="n"/>
      <c r="F34" s="35" t="n"/>
      <c r="G34" s="36">
        <f>IF(OR($D34="",E34=""),"",ROUND($D34*E34*(1+IF(F34="",IF(F$12="",0,F$12),F34)),2))</f>
        <v/>
      </c>
      <c r="H34" s="34" t="n"/>
      <c r="I34" s="35" t="n"/>
      <c r="J34" s="36">
        <f>IF(OR($D34="",H34=""),"",ROUND($D34*H34*(1+IF(I34="",IF(I$12="",0,I$12),I34)),2))</f>
        <v/>
      </c>
      <c r="K34" s="34" t="n"/>
      <c r="L34" s="35" t="n"/>
      <c r="M34" s="36">
        <f>IF(OR($D34="",K34=""),"",ROUND($D34*K34*(1+IF(L34="",IF(L$12="",0,L$12),L34)),2))</f>
        <v/>
      </c>
      <c r="N34" s="34" t="n"/>
      <c r="O34" s="35" t="n"/>
      <c r="P34" s="36">
        <f>IF(OR($D34="",N34=""),"",ROUND($D34*N34*(1+IF(O34="",IF(O$12="",0,O$12),O34)),2))</f>
        <v/>
      </c>
      <c r="Q34" s="37">
        <f>IF(OR(R34="",$D34="",$D34=0),"",ROUND(R34/$D34,2))</f>
        <v/>
      </c>
      <c r="R34" s="38">
        <f>IF(COUNT(G34,J34,M34,P34)=0,"",MIN(G34,J34,M34,P34))</f>
        <v/>
      </c>
      <c r="S34" s="39">
        <f>IF($R34="","",IF(G34=$R34,$E$10,IF(J34=$R34,$H$10,IF(M34=$R34,$K$10,$N$10))))</f>
        <v/>
      </c>
      <c r="T34" s="40" t="n"/>
    </row>
    <row r="35" ht="18" customHeight="1">
      <c r="A35" s="30" t="n">
        <v>22</v>
      </c>
      <c r="B35" s="31" t="n"/>
      <c r="C35" s="32" t="n"/>
      <c r="D35" s="33" t="n"/>
      <c r="E35" s="34" t="n"/>
      <c r="F35" s="35" t="n"/>
      <c r="G35" s="36">
        <f>IF(OR($D35="",E35=""),"",ROUND($D35*E35*(1+IF(F35="",IF(F$12="",0,F$12),F35)),2))</f>
        <v/>
      </c>
      <c r="H35" s="34" t="n"/>
      <c r="I35" s="35" t="n"/>
      <c r="J35" s="36">
        <f>IF(OR($D35="",H35=""),"",ROUND($D35*H35*(1+IF(I35="",IF(I$12="",0,I$12),I35)),2))</f>
        <v/>
      </c>
      <c r="K35" s="34" t="n"/>
      <c r="L35" s="35" t="n"/>
      <c r="M35" s="36">
        <f>IF(OR($D35="",K35=""),"",ROUND($D35*K35*(1+IF(L35="",IF(L$12="",0,L$12),L35)),2))</f>
        <v/>
      </c>
      <c r="N35" s="34" t="n"/>
      <c r="O35" s="35" t="n"/>
      <c r="P35" s="36">
        <f>IF(OR($D35="",N35=""),"",ROUND($D35*N35*(1+IF(O35="",IF(O$12="",0,O$12),O35)),2))</f>
        <v/>
      </c>
      <c r="Q35" s="37">
        <f>IF(OR(R35="",$D35="",$D35=0),"",ROUND(R35/$D35,2))</f>
        <v/>
      </c>
      <c r="R35" s="38">
        <f>IF(COUNT(G35,J35,M35,P35)=0,"",MIN(G35,J35,M35,P35))</f>
        <v/>
      </c>
      <c r="S35" s="39">
        <f>IF($R35="","",IF(G35=$R35,$E$10,IF(J35=$R35,$H$10,IF(M35=$R35,$K$10,$N$10))))</f>
        <v/>
      </c>
      <c r="T35" s="40" t="n"/>
    </row>
    <row r="36" ht="18" customHeight="1">
      <c r="A36" s="30" t="n">
        <v>23</v>
      </c>
      <c r="B36" s="31" t="n"/>
      <c r="C36" s="32" t="n"/>
      <c r="D36" s="33" t="n"/>
      <c r="E36" s="34" t="n"/>
      <c r="F36" s="35" t="n"/>
      <c r="G36" s="36">
        <f>IF(OR($D36="",E36=""),"",ROUND($D36*E36*(1+IF(F36="",IF(F$12="",0,F$12),F36)),2))</f>
        <v/>
      </c>
      <c r="H36" s="34" t="n"/>
      <c r="I36" s="35" t="n"/>
      <c r="J36" s="36">
        <f>IF(OR($D36="",H36=""),"",ROUND($D36*H36*(1+IF(I36="",IF(I$12="",0,I$12),I36)),2))</f>
        <v/>
      </c>
      <c r="K36" s="34" t="n"/>
      <c r="L36" s="35" t="n"/>
      <c r="M36" s="36">
        <f>IF(OR($D36="",K36=""),"",ROUND($D36*K36*(1+IF(L36="",IF(L$12="",0,L$12),L36)),2))</f>
        <v/>
      </c>
      <c r="N36" s="34" t="n"/>
      <c r="O36" s="35" t="n"/>
      <c r="P36" s="36">
        <f>IF(OR($D36="",N36=""),"",ROUND($D36*N36*(1+IF(O36="",IF(O$12="",0,O$12),O36)),2))</f>
        <v/>
      </c>
      <c r="Q36" s="37">
        <f>IF(OR(R36="",$D36="",$D36=0),"",ROUND(R36/$D36,2))</f>
        <v/>
      </c>
      <c r="R36" s="38">
        <f>IF(COUNT(G36,J36,M36,P36)=0,"",MIN(G36,J36,M36,P36))</f>
        <v/>
      </c>
      <c r="S36" s="39">
        <f>IF($R36="","",IF(G36=$R36,$E$10,IF(J36=$R36,$H$10,IF(M36=$R36,$K$10,$N$10))))</f>
        <v/>
      </c>
      <c r="T36" s="40" t="n"/>
    </row>
    <row r="37" ht="18" customHeight="1">
      <c r="A37" s="30" t="n">
        <v>24</v>
      </c>
      <c r="B37" s="31" t="n"/>
      <c r="C37" s="32" t="n"/>
      <c r="D37" s="33" t="n"/>
      <c r="E37" s="34" t="n"/>
      <c r="F37" s="35" t="n"/>
      <c r="G37" s="36">
        <f>IF(OR($D37="",E37=""),"",ROUND($D37*E37*(1+IF(F37="",IF(F$12="",0,F$12),F37)),2))</f>
        <v/>
      </c>
      <c r="H37" s="34" t="n"/>
      <c r="I37" s="35" t="n"/>
      <c r="J37" s="36">
        <f>IF(OR($D37="",H37=""),"",ROUND($D37*H37*(1+IF(I37="",IF(I$12="",0,I$12),I37)),2))</f>
        <v/>
      </c>
      <c r="K37" s="34" t="n"/>
      <c r="L37" s="35" t="n"/>
      <c r="M37" s="36">
        <f>IF(OR($D37="",K37=""),"",ROUND($D37*K37*(1+IF(L37="",IF(L$12="",0,L$12),L37)),2))</f>
        <v/>
      </c>
      <c r="N37" s="34" t="n"/>
      <c r="O37" s="35" t="n"/>
      <c r="P37" s="36">
        <f>IF(OR($D37="",N37=""),"",ROUND($D37*N37*(1+IF(O37="",IF(O$12="",0,O$12),O37)),2))</f>
        <v/>
      </c>
      <c r="Q37" s="37">
        <f>IF(OR(R37="",$D37="",$D37=0),"",ROUND(R37/$D37,2))</f>
        <v/>
      </c>
      <c r="R37" s="38">
        <f>IF(COUNT(G37,J37,M37,P37)=0,"",MIN(G37,J37,M37,P37))</f>
        <v/>
      </c>
      <c r="S37" s="39">
        <f>IF($R37="","",IF(G37=$R37,$E$10,IF(J37=$R37,$H$10,IF(M37=$R37,$K$10,$N$10))))</f>
        <v/>
      </c>
      <c r="T37" s="40" t="n"/>
    </row>
    <row r="38" ht="18" customHeight="1">
      <c r="A38" s="30" t="n">
        <v>25</v>
      </c>
      <c r="B38" s="31" t="n"/>
      <c r="C38" s="32" t="n"/>
      <c r="D38" s="33" t="n"/>
      <c r="E38" s="34" t="n"/>
      <c r="F38" s="35" t="n"/>
      <c r="G38" s="36">
        <f>IF(OR($D38="",E38=""),"",ROUND($D38*E38*(1+IF(F38="",IF(F$12="",0,F$12),F38)),2))</f>
        <v/>
      </c>
      <c r="H38" s="34" t="n"/>
      <c r="I38" s="35" t="n"/>
      <c r="J38" s="36">
        <f>IF(OR($D38="",H38=""),"",ROUND($D38*H38*(1+IF(I38="",IF(I$12="",0,I$12),I38)),2))</f>
        <v/>
      </c>
      <c r="K38" s="34" t="n"/>
      <c r="L38" s="35" t="n"/>
      <c r="M38" s="36">
        <f>IF(OR($D38="",K38=""),"",ROUND($D38*K38*(1+IF(L38="",IF(L$12="",0,L$12),L38)),2))</f>
        <v/>
      </c>
      <c r="N38" s="34" t="n"/>
      <c r="O38" s="35" t="n"/>
      <c r="P38" s="36">
        <f>IF(OR($D38="",N38=""),"",ROUND($D38*N38*(1+IF(O38="",IF(O$12="",0,O$12),O38)),2))</f>
        <v/>
      </c>
      <c r="Q38" s="37">
        <f>IF(OR(R38="",$D38="",$D38=0),"",ROUND(R38/$D38,2))</f>
        <v/>
      </c>
      <c r="R38" s="38">
        <f>IF(COUNT(G38,J38,M38,P38)=0,"",MIN(G38,J38,M38,P38))</f>
        <v/>
      </c>
      <c r="S38" s="39">
        <f>IF($R38="","",IF(G38=$R38,$E$10,IF(J38=$R38,$H$10,IF(M38=$R38,$K$10,$N$10))))</f>
        <v/>
      </c>
      <c r="T38" s="40" t="n"/>
    </row>
    <row r="39" ht="18" customHeight="1">
      <c r="A39" s="30" t="n">
        <v>26</v>
      </c>
      <c r="B39" s="31" t="n"/>
      <c r="C39" s="32" t="n"/>
      <c r="D39" s="33" t="n"/>
      <c r="E39" s="34" t="n"/>
      <c r="F39" s="35" t="n"/>
      <c r="G39" s="36">
        <f>IF(OR($D39="",E39=""),"",ROUND($D39*E39*(1+IF(F39="",IF(F$12="",0,F$12),F39)),2))</f>
        <v/>
      </c>
      <c r="H39" s="34" t="n"/>
      <c r="I39" s="35" t="n"/>
      <c r="J39" s="36">
        <f>IF(OR($D39="",H39=""),"",ROUND($D39*H39*(1+IF(I39="",IF(I$12="",0,I$12),I39)),2))</f>
        <v/>
      </c>
      <c r="K39" s="34" t="n"/>
      <c r="L39" s="35" t="n"/>
      <c r="M39" s="36">
        <f>IF(OR($D39="",K39=""),"",ROUND($D39*K39*(1+IF(L39="",IF(L$12="",0,L$12),L39)),2))</f>
        <v/>
      </c>
      <c r="N39" s="34" t="n"/>
      <c r="O39" s="35" t="n"/>
      <c r="P39" s="36">
        <f>IF(OR($D39="",N39=""),"",ROUND($D39*N39*(1+IF(O39="",IF(O$12="",0,O$12),O39)),2))</f>
        <v/>
      </c>
      <c r="Q39" s="37">
        <f>IF(OR(R39="",$D39="",$D39=0),"",ROUND(R39/$D39,2))</f>
        <v/>
      </c>
      <c r="R39" s="38">
        <f>IF(COUNT(G39,J39,M39,P39)=0,"",MIN(G39,J39,M39,P39))</f>
        <v/>
      </c>
      <c r="S39" s="39">
        <f>IF($R39="","",IF(G39=$R39,$E$10,IF(J39=$R39,$H$10,IF(M39=$R39,$K$10,$N$10))))</f>
        <v/>
      </c>
      <c r="T39" s="40" t="n"/>
    </row>
    <row r="40" ht="18" customHeight="1">
      <c r="A40" s="30" t="n">
        <v>27</v>
      </c>
      <c r="B40" s="31" t="n"/>
      <c r="C40" s="32" t="n"/>
      <c r="D40" s="33" t="n"/>
      <c r="E40" s="34" t="n"/>
      <c r="F40" s="35" t="n"/>
      <c r="G40" s="36">
        <f>IF(OR($D40="",E40=""),"",ROUND($D40*E40*(1+IF(F40="",IF(F$12="",0,F$12),F40)),2))</f>
        <v/>
      </c>
      <c r="H40" s="34" t="n"/>
      <c r="I40" s="35" t="n"/>
      <c r="J40" s="36">
        <f>IF(OR($D40="",H40=""),"",ROUND($D40*H40*(1+IF(I40="",IF(I$12="",0,I$12),I40)),2))</f>
        <v/>
      </c>
      <c r="K40" s="34" t="n"/>
      <c r="L40" s="35" t="n"/>
      <c r="M40" s="36">
        <f>IF(OR($D40="",K40=""),"",ROUND($D40*K40*(1+IF(L40="",IF(L$12="",0,L$12),L40)),2))</f>
        <v/>
      </c>
      <c r="N40" s="34" t="n"/>
      <c r="O40" s="35" t="n"/>
      <c r="P40" s="36">
        <f>IF(OR($D40="",N40=""),"",ROUND($D40*N40*(1+IF(O40="",IF(O$12="",0,O$12),O40)),2))</f>
        <v/>
      </c>
      <c r="Q40" s="37">
        <f>IF(OR(R40="",$D40="",$D40=0),"",ROUND(R40/$D40,2))</f>
        <v/>
      </c>
      <c r="R40" s="38">
        <f>IF(COUNT(G40,J40,M40,P40)=0,"",MIN(G40,J40,M40,P40))</f>
        <v/>
      </c>
      <c r="S40" s="39">
        <f>IF($R40="","",IF(G40=$R40,$E$10,IF(J40=$R40,$H$10,IF(M40=$R40,$K$10,$N$10))))</f>
        <v/>
      </c>
      <c r="T40" s="40" t="n"/>
    </row>
    <row r="41" ht="18" customHeight="1">
      <c r="A41" s="30" t="n">
        <v>28</v>
      </c>
      <c r="B41" s="31" t="n"/>
      <c r="C41" s="32" t="n"/>
      <c r="D41" s="33" t="n"/>
      <c r="E41" s="34" t="n"/>
      <c r="F41" s="35" t="n"/>
      <c r="G41" s="36">
        <f>IF(OR($D41="",E41=""),"",ROUND($D41*E41*(1+IF(F41="",IF(F$12="",0,F$12),F41)),2))</f>
        <v/>
      </c>
      <c r="H41" s="34" t="n"/>
      <c r="I41" s="35" t="n"/>
      <c r="J41" s="36">
        <f>IF(OR($D41="",H41=""),"",ROUND($D41*H41*(1+IF(I41="",IF(I$12="",0,I$12),I41)),2))</f>
        <v/>
      </c>
      <c r="K41" s="34" t="n"/>
      <c r="L41" s="35" t="n"/>
      <c r="M41" s="36">
        <f>IF(OR($D41="",K41=""),"",ROUND($D41*K41*(1+IF(L41="",IF(L$12="",0,L$12),L41)),2))</f>
        <v/>
      </c>
      <c r="N41" s="34" t="n"/>
      <c r="O41" s="35" t="n"/>
      <c r="P41" s="36">
        <f>IF(OR($D41="",N41=""),"",ROUND($D41*N41*(1+IF(O41="",IF(O$12="",0,O$12),O41)),2))</f>
        <v/>
      </c>
      <c r="Q41" s="37">
        <f>IF(OR(R41="",$D41="",$D41=0),"",ROUND(R41/$D41,2))</f>
        <v/>
      </c>
      <c r="R41" s="38">
        <f>IF(COUNT(G41,J41,M41,P41)=0,"",MIN(G41,J41,M41,P41))</f>
        <v/>
      </c>
      <c r="S41" s="39">
        <f>IF($R41="","",IF(G41=$R41,$E$10,IF(J41=$R41,$H$10,IF(M41=$R41,$K$10,$N$10))))</f>
        <v/>
      </c>
      <c r="T41" s="40" t="n"/>
    </row>
    <row r="42" ht="18" customHeight="1">
      <c r="A42" s="30" t="n">
        <v>29</v>
      </c>
      <c r="B42" s="31" t="n"/>
      <c r="C42" s="32" t="n"/>
      <c r="D42" s="33" t="n"/>
      <c r="E42" s="34" t="n"/>
      <c r="F42" s="35" t="n"/>
      <c r="G42" s="36">
        <f>IF(OR($D42="",E42=""),"",ROUND($D42*E42*(1+IF(F42="",IF(F$12="",0,F$12),F42)),2))</f>
        <v/>
      </c>
      <c r="H42" s="34" t="n"/>
      <c r="I42" s="35" t="n"/>
      <c r="J42" s="36">
        <f>IF(OR($D42="",H42=""),"",ROUND($D42*H42*(1+IF(I42="",IF(I$12="",0,I$12),I42)),2))</f>
        <v/>
      </c>
      <c r="K42" s="34" t="n"/>
      <c r="L42" s="35" t="n"/>
      <c r="M42" s="36">
        <f>IF(OR($D42="",K42=""),"",ROUND($D42*K42*(1+IF(L42="",IF(L$12="",0,L$12),L42)),2))</f>
        <v/>
      </c>
      <c r="N42" s="34" t="n"/>
      <c r="O42" s="35" t="n"/>
      <c r="P42" s="36">
        <f>IF(OR($D42="",N42=""),"",ROUND($D42*N42*(1+IF(O42="",IF(O$12="",0,O$12),O42)),2))</f>
        <v/>
      </c>
      <c r="Q42" s="37">
        <f>IF(OR(R42="",$D42="",$D42=0),"",ROUND(R42/$D42,2))</f>
        <v/>
      </c>
      <c r="R42" s="38">
        <f>IF(COUNT(G42,J42,M42,P42)=0,"",MIN(G42,J42,M42,P42))</f>
        <v/>
      </c>
      <c r="S42" s="39">
        <f>IF($R42="","",IF(G42=$R42,$E$10,IF(J42=$R42,$H$10,IF(M42=$R42,$K$10,$N$10))))</f>
        <v/>
      </c>
      <c r="T42" s="40" t="n"/>
    </row>
    <row r="43" ht="18" customHeight="1">
      <c r="A43" s="30" t="n">
        <v>30</v>
      </c>
      <c r="B43" s="31" t="n"/>
      <c r="C43" s="32" t="n"/>
      <c r="D43" s="33" t="n"/>
      <c r="E43" s="34" t="n"/>
      <c r="F43" s="35" t="n"/>
      <c r="G43" s="36">
        <f>IF(OR($D43="",E43=""),"",ROUND($D43*E43*(1+IF(F43="",IF(F$12="",0,F$12),F43)),2))</f>
        <v/>
      </c>
      <c r="H43" s="34" t="n"/>
      <c r="I43" s="35" t="n"/>
      <c r="J43" s="36">
        <f>IF(OR($D43="",H43=""),"",ROUND($D43*H43*(1+IF(I43="",IF(I$12="",0,I$12),I43)),2))</f>
        <v/>
      </c>
      <c r="K43" s="34" t="n"/>
      <c r="L43" s="35" t="n"/>
      <c r="M43" s="36">
        <f>IF(OR($D43="",K43=""),"",ROUND($D43*K43*(1+IF(L43="",IF(L$12="",0,L$12),L43)),2))</f>
        <v/>
      </c>
      <c r="N43" s="34" t="n"/>
      <c r="O43" s="35" t="n"/>
      <c r="P43" s="36">
        <f>IF(OR($D43="",N43=""),"",ROUND($D43*N43*(1+IF(O43="",IF(O$12="",0,O$12),O43)),2))</f>
        <v/>
      </c>
      <c r="Q43" s="37">
        <f>IF(OR(R43="",$D43="",$D43=0),"",ROUND(R43/$D43,2))</f>
        <v/>
      </c>
      <c r="R43" s="38">
        <f>IF(COUNT(G43,J43,M43,P43)=0,"",MIN(G43,J43,M43,P43))</f>
        <v/>
      </c>
      <c r="S43" s="39">
        <f>IF($R43="","",IF(G43=$R43,$E$10,IF(J43=$R43,$H$10,IF(M43=$R43,$K$10,$N$10))))</f>
        <v/>
      </c>
      <c r="T43" s="40" t="n"/>
    </row>
    <row r="44" ht="8" customHeight="1"/>
    <row r="45" ht="20" customHeight="1">
      <c r="A45" s="8" t="inlineStr">
        <is>
          <t xml:space="preserve">  APURAÇÃO POR FORNECEDOR          as linhas creme são de preenchimento · as demais se calculam sozinhas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</row>
    <row r="46" ht="17" customHeight="1">
      <c r="A46" s="41" t="inlineStr">
        <is>
          <t>Itens cotados</t>
        </is>
      </c>
      <c r="B46" s="42" t="n"/>
      <c r="C46" s="42" t="n"/>
      <c r="D46" s="42" t="n"/>
      <c r="E46" s="43">
        <f>IF(COUNTA($B$14:$B$43)=0,"",COUNT(E$14:E$43)&amp;" de "&amp;COUNTA($B$14:$B$43))</f>
        <v/>
      </c>
      <c r="F46" s="18" t="n"/>
      <c r="G46" s="18" t="n"/>
      <c r="H46" s="43">
        <f>IF(COUNTA($B$14:$B$43)=0,"",COUNT(H$14:H$43)&amp;" de "&amp;COUNTA($B$14:$B$43))</f>
        <v/>
      </c>
      <c r="I46" s="18" t="n"/>
      <c r="J46" s="18" t="n"/>
      <c r="K46" s="43">
        <f>IF(COUNTA($B$14:$B$43)=0,"",COUNT(K$14:K$43)&amp;" de "&amp;COUNTA($B$14:$B$43))</f>
        <v/>
      </c>
      <c r="L46" s="18" t="n"/>
      <c r="M46" s="18" t="n"/>
      <c r="N46" s="43">
        <f>IF(COUNTA($B$14:$B$43)=0,"",COUNT(N$14:N$43)&amp;" de "&amp;COUNTA($B$14:$B$43))</f>
        <v/>
      </c>
      <c r="O46" s="18" t="n"/>
      <c r="P46" s="18" t="n"/>
      <c r="Q46" s="44" t="inlineStr">
        <is>
          <t>Quantos dos itens da lista este fornecedor conseguiu cotar.</t>
        </is>
      </c>
      <c r="R46" s="42" t="n"/>
      <c r="S46" s="42" t="n"/>
      <c r="T46" s="42" t="n"/>
    </row>
    <row r="47" ht="17" customHeight="1">
      <c r="A47" s="41" t="inlineStr">
        <is>
          <t>Situação do pedido</t>
        </is>
      </c>
      <c r="B47" s="42" t="n"/>
      <c r="C47" s="42" t="n"/>
      <c r="D47" s="42" t="n"/>
      <c r="E47" s="45">
        <f>IF(COUNTA($B$14:$B$43)=0,"",IF(COUNT(E$14:E$43)=0,"NÃO COTOU",IF(COUNT(E$14:E$43)=COUNTA($B$14:$B$43),"COMPLETO","PARCIAL — faltam "&amp;(COUNTA($B$14:$B$43)-COUNT(E$14:E$43))&amp;" item(ns)")))</f>
        <v/>
      </c>
      <c r="F47" s="18" t="n"/>
      <c r="G47" s="18" t="n"/>
      <c r="H47" s="45">
        <f>IF(COUNTA($B$14:$B$43)=0,"",IF(COUNT(H$14:H$43)=0,"NÃO COTOU",IF(COUNT(H$14:H$43)=COUNTA($B$14:$B$43),"COMPLETO","PARCIAL — faltam "&amp;(COUNTA($B$14:$B$43)-COUNT(H$14:H$43))&amp;" item(ns)")))</f>
        <v/>
      </c>
      <c r="I47" s="18" t="n"/>
      <c r="J47" s="18" t="n"/>
      <c r="K47" s="45">
        <f>IF(COUNTA($B$14:$B$43)=0,"",IF(COUNT(K$14:K$43)=0,"NÃO COTOU",IF(COUNT(K$14:K$43)=COUNTA($B$14:$B$43),"COMPLETO","PARCIAL — faltam "&amp;(COUNTA($B$14:$B$43)-COUNT(K$14:K$43))&amp;" item(ns)")))</f>
        <v/>
      </c>
      <c r="L47" s="18" t="n"/>
      <c r="M47" s="18" t="n"/>
      <c r="N47" s="45">
        <f>IF(COUNTA($B$14:$B$43)=0,"",IF(COUNT(N$14:N$43)=0,"NÃO COTOU",IF(COUNT(N$14:N$43)=COUNTA($B$14:$B$43),"COMPLETO","PARCIAL — faltam "&amp;(COUNTA($B$14:$B$43)-COUNT(N$14:N$43))&amp;" item(ns)")))</f>
        <v/>
      </c>
      <c r="O47" s="18" t="n"/>
      <c r="P47" s="18" t="n"/>
      <c r="Q47" s="44" t="inlineStr">
        <is>
          <t>COMPLETO = tem tudo. PARCIAL = vai faltar item e você precisará de um segundo fornecedor.</t>
        </is>
      </c>
      <c r="R47" s="42" t="n"/>
      <c r="S47" s="42" t="n"/>
      <c r="T47" s="42" t="n"/>
    </row>
    <row r="48" ht="17" customHeight="1">
      <c r="A48" s="41" t="inlineStr">
        <is>
          <t>Subtotal sem imposto</t>
        </is>
      </c>
      <c r="B48" s="42" t="n"/>
      <c r="C48" s="42" t="n"/>
      <c r="D48" s="42" t="n"/>
      <c r="E48" s="46">
        <f>IF(COUNT(E$14:E$43)=0,"",IFERROR(ROUND(SUMPRODUCT($D$14:$D$43,E$14:E$43),2),""))</f>
        <v/>
      </c>
      <c r="F48" s="18" t="n"/>
      <c r="G48" s="18" t="n"/>
      <c r="H48" s="46">
        <f>IF(COUNT(H$14:H$43)=0,"",IFERROR(ROUND(SUMPRODUCT($D$14:$D$43,H$14:H$43),2),""))</f>
        <v/>
      </c>
      <c r="I48" s="18" t="n"/>
      <c r="J48" s="18" t="n"/>
      <c r="K48" s="46">
        <f>IF(COUNT(K$14:K$43)=0,"",IFERROR(ROUND(SUMPRODUCT($D$14:$D$43,K$14:K$43),2),""))</f>
        <v/>
      </c>
      <c r="L48" s="18" t="n"/>
      <c r="M48" s="18" t="n"/>
      <c r="N48" s="46">
        <f>IF(COUNT(N$14:N$43)=0,"",IFERROR(ROUND(SUMPRODUCT($D$14:$D$43,N$14:N$43),2),""))</f>
        <v/>
      </c>
      <c r="O48" s="18" t="n"/>
      <c r="P48" s="18" t="n"/>
      <c r="Q48" s="44" t="inlineStr">
        <is>
          <t>Soma de quantidade × preço unitário, do jeito que o fornecedor mandou.</t>
        </is>
      </c>
      <c r="R48" s="42" t="n"/>
      <c r="S48" s="42" t="n"/>
      <c r="T48" s="42" t="n"/>
    </row>
    <row r="49" ht="17" customHeight="1">
      <c r="A49" s="41" t="inlineStr">
        <is>
          <t>Imposto sobre os itens (R$)</t>
        </is>
      </c>
      <c r="B49" s="42" t="n"/>
      <c r="C49" s="42" t="n"/>
      <c r="D49" s="42" t="n"/>
      <c r="E49" s="46">
        <f>IF(OR(E50="",E48=""),"",ROUND(E50-E48,2))</f>
        <v/>
      </c>
      <c r="F49" s="18" t="n"/>
      <c r="G49" s="18" t="n"/>
      <c r="H49" s="46">
        <f>IF(OR(H50="",H48=""),"",ROUND(H50-H48,2))</f>
        <v/>
      </c>
      <c r="I49" s="18" t="n"/>
      <c r="J49" s="18" t="n"/>
      <c r="K49" s="46">
        <f>IF(OR(K50="",K48=""),"",ROUND(K50-K48,2))</f>
        <v/>
      </c>
      <c r="L49" s="18" t="n"/>
      <c r="M49" s="18" t="n"/>
      <c r="N49" s="46">
        <f>IF(OR(N50="",N48=""),"",ROUND(N50-N48,2))</f>
        <v/>
      </c>
      <c r="O49" s="18" t="n"/>
      <c r="P49" s="18" t="n"/>
      <c r="Q49" s="44" t="inlineStr">
        <is>
          <t>Vem do % de imposto da barra fixa, ou do % digitado na linha do item quando houver.</t>
        </is>
      </c>
      <c r="R49" s="42" t="n"/>
      <c r="S49" s="42" t="n"/>
      <c r="T49" s="42" t="n"/>
    </row>
    <row r="50" ht="17" customHeight="1">
      <c r="A50" s="41" t="inlineStr">
        <is>
          <t>Subtotal com imposto</t>
        </is>
      </c>
      <c r="B50" s="42" t="n"/>
      <c r="C50" s="42" t="n"/>
      <c r="D50" s="42" t="n"/>
      <c r="E50" s="46">
        <f>IF(COUNT(E$14:E$43)=0,"",ROUND(SUM(G$14:G$43),2))</f>
        <v/>
      </c>
      <c r="F50" s="18" t="n"/>
      <c r="G50" s="18" t="n"/>
      <c r="H50" s="46">
        <f>IF(COUNT(H$14:H$43)=0,"",ROUND(SUM(J$14:J$43),2))</f>
        <v/>
      </c>
      <c r="I50" s="18" t="n"/>
      <c r="J50" s="18" t="n"/>
      <c r="K50" s="46">
        <f>IF(COUNT(K$14:K$43)=0,"",ROUND(SUM(M$14:M$43),2))</f>
        <v/>
      </c>
      <c r="L50" s="18" t="n"/>
      <c r="M50" s="18" t="n"/>
      <c r="N50" s="46">
        <f>IF(COUNT(N$14:N$43)=0,"",ROUND(SUM(P$14:P$43),2))</f>
        <v/>
      </c>
      <c r="O50" s="18" t="n"/>
      <c r="P50" s="18" t="n"/>
      <c r="Q50" s="44" t="inlineStr"/>
      <c r="R50" s="42" t="n"/>
      <c r="S50" s="42" t="n"/>
      <c r="T50" s="42" t="n"/>
    </row>
    <row r="51" ht="17" customHeight="1">
      <c r="A51" s="47" t="inlineStr">
        <is>
          <t>Frete estimado (R$)</t>
        </is>
      </c>
      <c r="B51" s="48" t="n"/>
      <c r="C51" s="48" t="n"/>
      <c r="D51" s="48" t="n"/>
      <c r="E51" s="49" t="n">
        <v>180</v>
      </c>
      <c r="F51" s="15" t="n"/>
      <c r="G51" s="15" t="n"/>
      <c r="H51" s="49" t="n">
        <v>0</v>
      </c>
      <c r="I51" s="15" t="n"/>
      <c r="J51" s="15" t="n"/>
      <c r="K51" s="49" t="n">
        <v>240</v>
      </c>
      <c r="L51" s="15" t="n"/>
      <c r="M51" s="15" t="n"/>
      <c r="N51" s="49" t="n">
        <v>120</v>
      </c>
      <c r="O51" s="15" t="n"/>
      <c r="P51" s="15" t="n"/>
      <c r="Q51" s="44" t="inlineStr">
        <is>
          <t>Coloque 0 quando o frete estiver embutido ou for por conta do fornecedor.</t>
        </is>
      </c>
      <c r="R51" s="42" t="n"/>
      <c r="S51" s="42" t="n"/>
      <c r="T51" s="42" t="n"/>
    </row>
    <row r="52" ht="17" customHeight="1">
      <c r="A52" s="41" t="inlineStr">
        <is>
          <t>TOTAL DO PEDIDO</t>
        </is>
      </c>
      <c r="B52" s="42" t="n"/>
      <c r="C52" s="42" t="n"/>
      <c r="D52" s="42" t="n"/>
      <c r="E52" s="46">
        <f>IF(E50="","",ROUND(E50+IF(E51="",0,E51),2))</f>
        <v/>
      </c>
      <c r="F52" s="18" t="n"/>
      <c r="G52" s="18" t="n"/>
      <c r="H52" s="46">
        <f>IF(H50="","",ROUND(H50+IF(H51="",0,H51),2))</f>
        <v/>
      </c>
      <c r="I52" s="18" t="n"/>
      <c r="J52" s="18" t="n"/>
      <c r="K52" s="46">
        <f>IF(K50="","",ROUND(K50+IF(K51="",0,K51),2))</f>
        <v/>
      </c>
      <c r="L52" s="18" t="n"/>
      <c r="M52" s="18" t="n"/>
      <c r="N52" s="46">
        <f>IF(N50="","",ROUND(N50+IF(N51="",0,N51),2))</f>
        <v/>
      </c>
      <c r="O52" s="18" t="n"/>
      <c r="P52" s="18" t="n"/>
      <c r="Q52" s="44" t="inlineStr">
        <is>
          <t>É este número que aparece na barra fixa lá em cima.</t>
        </is>
      </c>
      <c r="R52" s="42" t="n"/>
      <c r="S52" s="42" t="n"/>
      <c r="T52" s="42" t="n"/>
    </row>
    <row r="53" ht="17" customHeight="1">
      <c r="A53" s="47" t="inlineStr">
        <is>
          <t>% desconto à vista</t>
        </is>
      </c>
      <c r="B53" s="48" t="n"/>
      <c r="C53" s="48" t="n"/>
      <c r="D53" s="48" t="n"/>
      <c r="E53" s="27" t="n">
        <v>0.05</v>
      </c>
      <c r="F53" s="15" t="n"/>
      <c r="G53" s="15" t="n"/>
      <c r="H53" s="27" t="n">
        <v>0.03</v>
      </c>
      <c r="I53" s="15" t="n"/>
      <c r="J53" s="15" t="n"/>
      <c r="K53" s="27" t="n">
        <v>0.07000000000000001</v>
      </c>
      <c r="L53" s="15" t="n"/>
      <c r="M53" s="15" t="n"/>
      <c r="N53" s="27" t="n">
        <v>0.04</v>
      </c>
      <c r="O53" s="15" t="n"/>
      <c r="P53" s="15" t="n"/>
      <c r="Q53" s="44" t="inlineStr">
        <is>
          <t>Desconto que o fornecedor dá para pagamento à vista.</t>
        </is>
      </c>
      <c r="R53" s="42" t="n"/>
      <c r="S53" s="42" t="n"/>
      <c r="T53" s="42" t="n"/>
    </row>
    <row r="54" ht="22" customHeight="1">
      <c r="A54" s="50" t="inlineStr">
        <is>
          <t>TOTAL À VISTA</t>
        </is>
      </c>
      <c r="B54" s="21" t="n"/>
      <c r="C54" s="21" t="n"/>
      <c r="D54" s="21" t="n"/>
      <c r="E54" s="51">
        <f>IF(E52="","",ROUND(E52*(1-IF(E53="",0,E53)),2))</f>
        <v/>
      </c>
      <c r="F54" s="52" t="n"/>
      <c r="G54" s="52" t="n"/>
      <c r="H54" s="51">
        <f>IF(H52="","",ROUND(H52*(1-IF(H53="",0,H53)),2))</f>
        <v/>
      </c>
      <c r="I54" s="52" t="n"/>
      <c r="J54" s="52" t="n"/>
      <c r="K54" s="51">
        <f>IF(K52="","",ROUND(K52*(1-IF(K53="",0,K53)),2))</f>
        <v/>
      </c>
      <c r="L54" s="52" t="n"/>
      <c r="M54" s="52" t="n"/>
      <c r="N54" s="51">
        <f>IF(N52="","",ROUND(N52*(1-IF(N53="",0,N53)),2))</f>
        <v/>
      </c>
      <c r="O54" s="52" t="n"/>
      <c r="P54" s="52" t="n"/>
      <c r="Q54" s="53" t="inlineStr"/>
      <c r="R54" s="21" t="n"/>
      <c r="S54" s="21" t="n"/>
      <c r="T54" s="21" t="n"/>
    </row>
    <row r="55" ht="17" customHeight="1">
      <c r="A55" s="47" t="inlineStr">
        <is>
          <t>Condição a prazo</t>
        </is>
      </c>
      <c r="B55" s="48" t="n"/>
      <c r="C55" s="48" t="n"/>
      <c r="D55" s="48" t="n"/>
      <c r="E55" s="54" t="inlineStr">
        <is>
          <t>30/60</t>
        </is>
      </c>
      <c r="F55" s="15" t="n"/>
      <c r="G55" s="15" t="n"/>
      <c r="H55" s="54" t="inlineStr">
        <is>
          <t>28 dias</t>
        </is>
      </c>
      <c r="I55" s="15" t="n"/>
      <c r="J55" s="15" t="n"/>
      <c r="K55" s="54" t="inlineStr">
        <is>
          <t>30/60/90</t>
        </is>
      </c>
      <c r="L55" s="15" t="n"/>
      <c r="M55" s="15" t="n"/>
      <c r="N55" s="54" t="inlineStr">
        <is>
          <t>3x sem juros</t>
        </is>
      </c>
      <c r="O55" s="15" t="n"/>
      <c r="P55" s="15" t="n"/>
      <c r="Q55" s="44" t="inlineStr">
        <is>
          <t>Ex.: 30/60/90, 28 dias, 3x sem juros.</t>
        </is>
      </c>
      <c r="R55" s="42" t="n"/>
      <c r="S55" s="42" t="n"/>
      <c r="T55" s="42" t="n"/>
    </row>
    <row r="56" ht="17" customHeight="1">
      <c r="A56" s="47" t="inlineStr">
        <is>
          <t>% acréscimo a prazo</t>
        </is>
      </c>
      <c r="B56" s="48" t="n"/>
      <c r="C56" s="48" t="n"/>
      <c r="D56" s="48" t="n"/>
      <c r="E56" s="27" t="n">
        <v>0</v>
      </c>
      <c r="F56" s="15" t="n"/>
      <c r="G56" s="15" t="n"/>
      <c r="H56" s="27" t="n">
        <v>0</v>
      </c>
      <c r="I56" s="15" t="n"/>
      <c r="J56" s="15" t="n"/>
      <c r="K56" s="27" t="n">
        <v>0.04</v>
      </c>
      <c r="L56" s="15" t="n"/>
      <c r="M56" s="15" t="n"/>
      <c r="N56" s="27" t="n">
        <v>0</v>
      </c>
      <c r="O56" s="15" t="n"/>
      <c r="P56" s="15" t="n"/>
      <c r="Q56" s="44" t="inlineStr">
        <is>
          <t>Juros ou acréscimo cobrado no parcelado. Se não há acréscimo, deixe zerado.</t>
        </is>
      </c>
      <c r="R56" s="42" t="n"/>
      <c r="S56" s="42" t="n"/>
      <c r="T56" s="42" t="n"/>
    </row>
    <row r="57" ht="22" customHeight="1">
      <c r="A57" s="50" t="inlineStr">
        <is>
          <t>TOTAL A PRAZO</t>
        </is>
      </c>
      <c r="B57" s="21" t="n"/>
      <c r="C57" s="21" t="n"/>
      <c r="D57" s="21" t="n"/>
      <c r="E57" s="51">
        <f>IF(E52="","",ROUND(E52*(1+IF(E56="",0,E56)),2))</f>
        <v/>
      </c>
      <c r="F57" s="52" t="n"/>
      <c r="G57" s="52" t="n"/>
      <c r="H57" s="51">
        <f>IF(H52="","",ROUND(H52*(1+IF(H56="",0,H56)),2))</f>
        <v/>
      </c>
      <c r="I57" s="52" t="n"/>
      <c r="J57" s="52" t="n"/>
      <c r="K57" s="51">
        <f>IF(K52="","",ROUND(K52*(1+IF(K56="",0,K56)),2))</f>
        <v/>
      </c>
      <c r="L57" s="52" t="n"/>
      <c r="M57" s="52" t="n"/>
      <c r="N57" s="51">
        <f>IF(N52="","",ROUND(N52*(1+IF(N56="",0,N56)),2))</f>
        <v/>
      </c>
      <c r="O57" s="52" t="n"/>
      <c r="P57" s="52" t="n"/>
      <c r="Q57" s="53" t="inlineStr"/>
      <c r="R57" s="21" t="n"/>
      <c r="S57" s="21" t="n"/>
      <c r="T57" s="21" t="n"/>
    </row>
    <row r="58" ht="17" customHeight="1">
      <c r="A58" s="41" t="inlineStr">
        <is>
          <t>Custo do prazo (R$)</t>
        </is>
      </c>
      <c r="B58" s="42" t="n"/>
      <c r="C58" s="42" t="n"/>
      <c r="D58" s="42" t="n"/>
      <c r="E58" s="46">
        <f>IF(OR(E54="",E57=""),"",ROUND(E57-E54,2))</f>
        <v/>
      </c>
      <c r="F58" s="18" t="n"/>
      <c r="G58" s="18" t="n"/>
      <c r="H58" s="46">
        <f>IF(OR(H54="",H57=""),"",ROUND(H57-H54,2))</f>
        <v/>
      </c>
      <c r="I58" s="18" t="n"/>
      <c r="J58" s="18" t="n"/>
      <c r="K58" s="46">
        <f>IF(OR(K54="",K57=""),"",ROUND(K57-K54,2))</f>
        <v/>
      </c>
      <c r="L58" s="18" t="n"/>
      <c r="M58" s="18" t="n"/>
      <c r="N58" s="46">
        <f>IF(OR(N54="",N57=""),"",ROUND(N57-N54,2))</f>
        <v/>
      </c>
      <c r="O58" s="18" t="n"/>
      <c r="P58" s="18" t="n"/>
      <c r="Q58" s="44" t="inlineStr">
        <is>
          <t>Quanto o parcelamento custa. Compare com o que aquele fôlego de caixa vale.</t>
        </is>
      </c>
      <c r="R58" s="42" t="n"/>
      <c r="S58" s="42" t="n"/>
      <c r="T58" s="42" t="n"/>
    </row>
    <row r="59" ht="17" customHeight="1">
      <c r="A59" s="47" t="inlineStr">
        <is>
          <t>Prazo de entrega</t>
        </is>
      </c>
      <c r="B59" s="48" t="n"/>
      <c r="C59" s="48" t="n"/>
      <c r="D59" s="48" t="n"/>
      <c r="E59" s="55" t="n">
        <v>7</v>
      </c>
      <c r="F59" s="15" t="n"/>
      <c r="G59" s="15" t="n"/>
      <c r="H59" s="55" t="n">
        <v>10</v>
      </c>
      <c r="I59" s="15" t="n"/>
      <c r="J59" s="15" t="n"/>
      <c r="K59" s="55" t="n">
        <v>5</v>
      </c>
      <c r="L59" s="15" t="n"/>
      <c r="M59" s="15" t="n"/>
      <c r="N59" s="55" t="n">
        <v>12</v>
      </c>
      <c r="O59" s="15" t="n"/>
      <c r="P59" s="15" t="n"/>
      <c r="Q59" s="44" t="inlineStr">
        <is>
          <t>Em dias corridos a partir do pedido.</t>
        </is>
      </c>
      <c r="R59" s="42" t="n"/>
      <c r="S59" s="42" t="n"/>
      <c r="T59" s="42" t="n"/>
    </row>
    <row r="60" ht="17" customHeight="1">
      <c r="A60" s="47" t="inlineStr">
        <is>
          <t>Validade da proposta</t>
        </is>
      </c>
      <c r="B60" s="48" t="n"/>
      <c r="C60" s="48" t="n"/>
      <c r="D60" s="48" t="n"/>
      <c r="E60" s="56" t="n">
        <v>46259</v>
      </c>
      <c r="F60" s="15" t="n"/>
      <c r="G60" s="15" t="n"/>
      <c r="H60" s="56" t="n">
        <v>46256</v>
      </c>
      <c r="I60" s="15" t="n"/>
      <c r="J60" s="15" t="n"/>
      <c r="K60" s="56" t="n">
        <v>46254</v>
      </c>
      <c r="L60" s="15" t="n"/>
      <c r="M60" s="15" t="n"/>
      <c r="N60" s="56" t="n">
        <v>46262</v>
      </c>
      <c r="O60" s="15" t="n"/>
      <c r="P60" s="15" t="n"/>
      <c r="Q60" s="44" t="inlineStr">
        <is>
          <t>Até quando o fornecedor garante este preço.</t>
        </is>
      </c>
      <c r="R60" s="42" t="n"/>
      <c r="S60" s="42" t="n"/>
      <c r="T60" s="42" t="n"/>
    </row>
    <row r="61" ht="17" customHeight="1">
      <c r="A61" s="41" t="inlineStr">
        <is>
          <t>Subtotal se atender 100%</t>
        </is>
      </c>
      <c r="B61" s="42" t="n"/>
      <c r="C61" s="42" t="n"/>
      <c r="D61" s="42" t="n"/>
      <c r="E61" s="46">
        <f>IF(E47="COMPLETO",E50,"")</f>
        <v/>
      </c>
      <c r="F61" s="18" t="n"/>
      <c r="G61" s="18" t="n"/>
      <c r="H61" s="46">
        <f>IF(H47="COMPLETO",H50,"")</f>
        <v/>
      </c>
      <c r="I61" s="18" t="n"/>
      <c r="J61" s="18" t="n"/>
      <c r="K61" s="46">
        <f>IF(K47="COMPLETO",K50,"")</f>
        <v/>
      </c>
      <c r="L61" s="18" t="n"/>
      <c r="M61" s="18" t="n"/>
      <c r="N61" s="46">
        <f>IF(N47="COMPLETO",N50,"")</f>
        <v/>
      </c>
      <c r="O61" s="18" t="n"/>
      <c r="P61" s="18" t="n"/>
      <c r="Q61" s="44" t="inlineStr">
        <is>
          <t>Auxiliar do veredito — em branco quando o fornecedor não tem o pedido inteiro.</t>
        </is>
      </c>
      <c r="R61" s="42" t="n"/>
      <c r="S61" s="42" t="n"/>
      <c r="T61" s="42" t="n"/>
    </row>
    <row r="62" ht="17" customHeight="1">
      <c r="A62" s="41" t="inlineStr">
        <is>
          <t>Total à vista se atender 100%</t>
        </is>
      </c>
      <c r="B62" s="42" t="n"/>
      <c r="C62" s="42" t="n"/>
      <c r="D62" s="42" t="n"/>
      <c r="E62" s="46">
        <f>IF(E47="COMPLETO",E54,"")</f>
        <v/>
      </c>
      <c r="F62" s="18" t="n"/>
      <c r="G62" s="18" t="n"/>
      <c r="H62" s="46">
        <f>IF(H47="COMPLETO",H54,"")</f>
        <v/>
      </c>
      <c r="I62" s="18" t="n"/>
      <c r="J62" s="18" t="n"/>
      <c r="K62" s="46">
        <f>IF(K47="COMPLETO",K54,"")</f>
        <v/>
      </c>
      <c r="L62" s="18" t="n"/>
      <c r="M62" s="18" t="n"/>
      <c r="N62" s="46">
        <f>IF(N47="COMPLETO",N54,"")</f>
        <v/>
      </c>
      <c r="O62" s="18" t="n"/>
      <c r="P62" s="18" t="n"/>
      <c r="Q62" s="44" t="inlineStr">
        <is>
          <t>Auxiliar do veredito — é daqui que sai o "melhor entre os completos".</t>
        </is>
      </c>
      <c r="R62" s="42" t="n"/>
      <c r="S62" s="42" t="n"/>
      <c r="T62" s="42" t="n"/>
    </row>
    <row r="63" ht="8" customHeight="1"/>
    <row r="64" ht="20" customHeight="1">
      <c r="A64" s="8" t="inlineStr">
        <is>
          <t xml:space="preserve">  VEREDITO          leitura pronta para decidir — confira sempre a situação do pedido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</row>
    <row r="65" ht="22" customHeight="1">
      <c r="A65" s="57" t="inlineStr">
        <is>
          <t>Melhor preço À VISTA</t>
        </is>
      </c>
      <c r="B65" s="58" t="n"/>
      <c r="C65" s="58" t="n"/>
      <c r="D65" s="58" t="n"/>
      <c r="E65" s="59">
        <f>IF(COUNT($E$54,$H$54,$K$54,$N$54)=0,"—",IF($E$54=MIN($E$54,$H$54,$K$54,$N$54),$E$10,IF($H$54=MIN($E$54,$H$54,$K$54,$N$54),$H$10,IF($K$54=MIN($E$54,$H$54,$K$54,$N$54),$K$10,$N$10))))</f>
        <v/>
      </c>
      <c r="F65" s="58" t="n"/>
      <c r="G65" s="58" t="n"/>
      <c r="H65" s="58" t="n"/>
      <c r="I65" s="58" t="n"/>
      <c r="J65" s="58" t="n"/>
      <c r="K65" s="60">
        <f>IF(COUNT($E$54,$H$54,$K$54,$N$54)=0,"",MIN($E$54,$H$54,$K$54,$N$54))</f>
        <v/>
      </c>
      <c r="L65" s="58" t="n"/>
      <c r="M65" s="58" t="n"/>
      <c r="N65" s="58" t="n"/>
      <c r="O65" s="58" t="n"/>
      <c r="P65" s="58" t="n"/>
      <c r="Q65" s="61">
        <f>IF(COUNT($E$54,$H$54,$K$54,$N$54)=0,"—",IF($E$54=MIN($E$54,$H$54,$K$54,$N$54),$E$47,IF($H$54=MIN($E$54,$H$54,$K$54,$N$54),$H$47,IF($K$54=MIN($E$54,$H$54,$K$54,$N$54),$K$47,$N$47))))</f>
        <v/>
      </c>
      <c r="R65" s="58" t="n"/>
      <c r="S65" s="58" t="n"/>
      <c r="T65" s="58" t="n"/>
    </row>
    <row r="66" ht="22" customHeight="1">
      <c r="A66" s="62" t="inlineStr">
        <is>
          <t>Melhor à vista ENTRE OS COMPLETOS</t>
        </is>
      </c>
      <c r="B66" s="63" t="n"/>
      <c r="C66" s="63" t="n"/>
      <c r="D66" s="63" t="n"/>
      <c r="E66" s="64">
        <f>IF(COUNT($E$62,$H$62,$K$62,$N$62)=0,"—",IF($E$62=MIN($E$62,$H$62,$K$62,$N$62),$E$10,IF($H$62=MIN($E$62,$H$62,$K$62,$N$62),$H$10,IF($K$62=MIN($E$62,$H$62,$K$62,$N$62),$K$10,$N$10))))</f>
        <v/>
      </c>
      <c r="F66" s="63" t="n"/>
      <c r="G66" s="63" t="n"/>
      <c r="H66" s="63" t="n"/>
      <c r="I66" s="63" t="n"/>
      <c r="J66" s="63" t="n"/>
      <c r="K66" s="65">
        <f>IF(COUNT($E$62,$H$62,$K$62,$N$62)=0,"",MIN($E$62,$H$62,$K$62,$N$62))</f>
        <v/>
      </c>
      <c r="L66" s="63" t="n"/>
      <c r="M66" s="63" t="n"/>
      <c r="N66" s="63" t="n"/>
      <c r="O66" s="63" t="n"/>
      <c r="P66" s="63" t="n"/>
      <c r="Q66" s="66">
        <f>IF(COUNT($E$62,$H$62,$K$62,$N$62)=0,"Nenhum fornecedor tem o pedido completo — você vai precisar dividir a compra","Atende 100% dos itens do pedido")</f>
        <v/>
      </c>
      <c r="R66" s="63" t="n"/>
      <c r="S66" s="63" t="n"/>
      <c r="T66" s="63" t="n"/>
    </row>
    <row r="67" ht="22" customHeight="1">
      <c r="A67" s="67" t="inlineStr">
        <is>
          <t>Melhor preço A PRAZO</t>
        </is>
      </c>
      <c r="B67" s="68" t="n"/>
      <c r="C67" s="68" t="n"/>
      <c r="D67" s="68" t="n"/>
      <c r="E67" s="69">
        <f>IF(COUNT($E$57,$H$57,$K$57,$N$57)=0,"—",IF($E$57=MIN($E$57,$H$57,$K$57,$N$57),$E$10,IF($H$57=MIN($E$57,$H$57,$K$57,$N$57),$H$10,IF($K$57=MIN($E$57,$H$57,$K$57,$N$57),$K$10,$N$10))))</f>
        <v/>
      </c>
      <c r="F67" s="68" t="n"/>
      <c r="G67" s="68" t="n"/>
      <c r="H67" s="68" t="n"/>
      <c r="I67" s="68" t="n"/>
      <c r="J67" s="68" t="n"/>
      <c r="K67" s="70">
        <f>IF(COUNT($E$57,$H$57,$K$57,$N$57)=0,"",MIN($E$57,$H$57,$K$57,$N$57))</f>
        <v/>
      </c>
      <c r="L67" s="68" t="n"/>
      <c r="M67" s="68" t="n"/>
      <c r="N67" s="68" t="n"/>
      <c r="O67" s="68" t="n"/>
      <c r="P67" s="68" t="n"/>
      <c r="Q67" s="71">
        <f>IF(COUNT($E$57,$H$57,$K$57,$N$57)=0,"—",IF($E$57=MIN($E$57,$H$57,$K$57,$N$57),IF($E$55="","condição a prazo não informada",$E$55),IF($H$57=MIN($E$57,$H$57,$K$57,$N$57),IF($H$55="","condição a prazo não informada",$H$55),IF($K$57=MIN($E$57,$H$57,$K$57,$N$57),IF($K$55="","condição a prazo não informada",$K$55),IF($N$55="","condição a prazo não informada",$N$55)))))</f>
        <v/>
      </c>
      <c r="R67" s="68" t="n"/>
      <c r="S67" s="68" t="n"/>
      <c r="T67" s="68" t="n"/>
    </row>
    <row r="68" ht="22" customHeight="1">
      <c r="A68" s="72" t="inlineStr">
        <is>
          <t>COMPRA FRACIONADA (item a item)</t>
        </is>
      </c>
      <c r="B68" s="18" t="n"/>
      <c r="C68" s="18" t="n"/>
      <c r="D68" s="18" t="n"/>
      <c r="E68" s="73" t="inlineStr">
        <is>
          <t>melhor preço de cada linha</t>
        </is>
      </c>
      <c r="F68" s="18" t="n"/>
      <c r="G68" s="18" t="n"/>
      <c r="H68" s="18" t="n"/>
      <c r="I68" s="18" t="n"/>
      <c r="J68" s="18" t="n"/>
      <c r="K68" s="74">
        <f>IF(SUM($R$14:$R$43)=0,"",ROUND(SUM($R$14:$R$43),2))</f>
        <v/>
      </c>
      <c r="L68" s="18" t="n"/>
      <c r="M68" s="18" t="n"/>
      <c r="N68" s="18" t="n"/>
      <c r="O68" s="18" t="n"/>
      <c r="P68" s="18" t="n"/>
      <c r="Q68" s="75">
        <f>IF($K68="","",IF((COUNTA($B$14:$B$43)-COUNT($R$14:$R$43))&gt;0,"Atenção: "&amp;(COUNTA($B$14:$B$43)-COUNT($R$14:$R$43))&amp;" item(ns) fora da comparação — sem quantidade ou sem nenhum preço. ","")&amp;IF(COUNT($E$61,$H$61,$K$61,$N$61)=0,"Nenhum fornecedor tem o pedido completo para servir de comparação.",IF(ROUND(MIN($E$61,$H$61,$K$61,$N$61)-$K68,2)&gt;0,"Economia de "&amp;TEXT(MIN($E$61,$H$61,$K$61,$N$61)-$K68,"R$ #,##0.00")&amp;" sobre o subtotal do melhor fornecedor completo — mas some frete de cada um.",IF(ROUND(MIN($E$61,$H$61,$K$61,$N$61)-$K68,2)=0,"Não compensa dividir: o melhor fornecedor completo já tem o menor preço em todos os itens.","Sem ganho: dividir a compra sai "&amp;TEXT($K68-MIN($E$61,$H$61,$K$61,$N$61),"R$ #,##0.00")&amp;" mais caro que o melhor fornecedor completo."))))</f>
        <v/>
      </c>
      <c r="R68" s="18" t="n"/>
      <c r="S68" s="18" t="n"/>
      <c r="T68" s="18" t="n"/>
    </row>
    <row r="69" ht="8" customHeight="1"/>
    <row r="70" ht="44" customHeight="1">
      <c r="A70" s="76" t="inlineStr">
        <is>
          <t xml:space="preserve">  Como ler: a coluna % IMP. é o imposto que vem POR FORA do preço (o clássico "preços s/ IPI = 6,5%"). Deixe a linha em branco para usar o % padrão do fornecedor na barra fixa, ou digite um % diferente só naquele item. A comparação entre fornecedores é feita pelo TOTAL do item, já com o imposto de cada um — nunca pelo preço de tabela. Subtotal e compra fracionada são sem frete; a decisão final é pelo TOTAL À VISTA ou TOTAL A PRAZO.</t>
        </is>
      </c>
      <c r="B70" s="48" t="n"/>
      <c r="C70" s="48" t="n"/>
      <c r="D70" s="48" t="n"/>
      <c r="E70" s="48" t="n"/>
      <c r="F70" s="48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 t="n"/>
      <c r="P70" s="48" t="n"/>
      <c r="Q70" s="48" t="n"/>
      <c r="R70" s="48" t="n"/>
      <c r="S70" s="48" t="n"/>
      <c r="T70" s="48" t="n"/>
    </row>
  </sheetData>
  <mergeCells count="150">
    <mergeCell ref="K46:M46"/>
    <mergeCell ref="A64:T64"/>
    <mergeCell ref="K56:M56"/>
    <mergeCell ref="H11:J11"/>
    <mergeCell ref="A7:B7"/>
    <mergeCell ref="A58:D58"/>
    <mergeCell ref="N60:P60"/>
    <mergeCell ref="E57:G57"/>
    <mergeCell ref="A51:D51"/>
    <mergeCell ref="A60:D60"/>
    <mergeCell ref="Q62:T62"/>
    <mergeCell ref="K57:M57"/>
    <mergeCell ref="K10:M10"/>
    <mergeCell ref="K65:P65"/>
    <mergeCell ref="A54:D54"/>
    <mergeCell ref="E58:G58"/>
    <mergeCell ref="A2:T2"/>
    <mergeCell ref="N55:P55"/>
    <mergeCell ref="O7:T7"/>
    <mergeCell ref="Q51:T51"/>
    <mergeCell ref="C7:G7"/>
    <mergeCell ref="O6:T6"/>
    <mergeCell ref="A56:D56"/>
    <mergeCell ref="Q50:T50"/>
    <mergeCell ref="H58:J58"/>
    <mergeCell ref="K60:M60"/>
    <mergeCell ref="K11:M11"/>
    <mergeCell ref="Q49:T49"/>
    <mergeCell ref="K47:M47"/>
    <mergeCell ref="H51:J51"/>
    <mergeCell ref="H60:J60"/>
    <mergeCell ref="A53:D53"/>
    <mergeCell ref="E60:G60"/>
    <mergeCell ref="N58:P58"/>
    <mergeCell ref="A62:D62"/>
    <mergeCell ref="Q11:T11"/>
    <mergeCell ref="E65:J65"/>
    <mergeCell ref="K67:P67"/>
    <mergeCell ref="E59:G59"/>
    <mergeCell ref="E46:G46"/>
    <mergeCell ref="Q66:T66"/>
    <mergeCell ref="N57:P57"/>
    <mergeCell ref="Q53:T53"/>
    <mergeCell ref="N10:P10"/>
    <mergeCell ref="A70:T70"/>
    <mergeCell ref="A48:D48"/>
    <mergeCell ref="H57:J57"/>
    <mergeCell ref="E61:G61"/>
    <mergeCell ref="N59:P59"/>
    <mergeCell ref="A59:D59"/>
    <mergeCell ref="Q12:T12"/>
    <mergeCell ref="Q68:T68"/>
    <mergeCell ref="A11:D11"/>
    <mergeCell ref="E54:G54"/>
    <mergeCell ref="A61:D61"/>
    <mergeCell ref="N49:P49"/>
    <mergeCell ref="K62:M62"/>
    <mergeCell ref="Q54:T54"/>
    <mergeCell ref="E47:G47"/>
    <mergeCell ref="E56:G56"/>
    <mergeCell ref="K49:M49"/>
    <mergeCell ref="Q55:T55"/>
    <mergeCell ref="A46:D46"/>
    <mergeCell ref="N47:P47"/>
    <mergeCell ref="H59:J59"/>
    <mergeCell ref="E10:G10"/>
    <mergeCell ref="H46:J46"/>
    <mergeCell ref="Q65:T65"/>
    <mergeCell ref="A9:T9"/>
    <mergeCell ref="N62:P62"/>
    <mergeCell ref="H52:J52"/>
    <mergeCell ref="A52:D52"/>
    <mergeCell ref="H61:J61"/>
    <mergeCell ref="A10:D10"/>
    <mergeCell ref="K59:M59"/>
    <mergeCell ref="A68:D68"/>
    <mergeCell ref="A1:T1"/>
    <mergeCell ref="A45:T45"/>
    <mergeCell ref="Q57:T57"/>
    <mergeCell ref="E11:G11"/>
    <mergeCell ref="K61:M61"/>
    <mergeCell ref="H47:J47"/>
    <mergeCell ref="K48:M48"/>
    <mergeCell ref="A49:D49"/>
    <mergeCell ref="Q52:T52"/>
    <mergeCell ref="E66:J66"/>
    <mergeCell ref="A65:D65"/>
    <mergeCell ref="Q67:T67"/>
    <mergeCell ref="H53:J53"/>
    <mergeCell ref="E68:J68"/>
    <mergeCell ref="N11:P11"/>
    <mergeCell ref="E62:G62"/>
    <mergeCell ref="H10:J10"/>
    <mergeCell ref="H50:J50"/>
    <mergeCell ref="A4:T4"/>
    <mergeCell ref="A12:D12"/>
    <mergeCell ref="E67:J67"/>
    <mergeCell ref="H55:J55"/>
    <mergeCell ref="N53:P53"/>
    <mergeCell ref="A57:D57"/>
    <mergeCell ref="K51:M51"/>
    <mergeCell ref="Q59:T59"/>
    <mergeCell ref="E51:G51"/>
    <mergeCell ref="Q46:T46"/>
    <mergeCell ref="H49:J49"/>
    <mergeCell ref="N46:P46"/>
    <mergeCell ref="K50:M50"/>
    <mergeCell ref="C6:G6"/>
    <mergeCell ref="Q61:T61"/>
    <mergeCell ref="N52:P52"/>
    <mergeCell ref="Q48:T48"/>
    <mergeCell ref="N61:P61"/>
    <mergeCell ref="N48:P48"/>
    <mergeCell ref="K58:M58"/>
    <mergeCell ref="K52:M52"/>
    <mergeCell ref="A6:B6"/>
    <mergeCell ref="A67:D67"/>
    <mergeCell ref="E49:G49"/>
    <mergeCell ref="Q47:T47"/>
    <mergeCell ref="H56:J56"/>
    <mergeCell ref="Q56:T56"/>
    <mergeCell ref="L6:N6"/>
    <mergeCell ref="H48:J48"/>
    <mergeCell ref="K53:M53"/>
    <mergeCell ref="H62:J62"/>
    <mergeCell ref="A3:T3"/>
    <mergeCell ref="E53:G53"/>
    <mergeCell ref="K66:P66"/>
    <mergeCell ref="H6:K6"/>
    <mergeCell ref="E50:G50"/>
    <mergeCell ref="Q58:T58"/>
    <mergeCell ref="Q10:T10"/>
    <mergeCell ref="A66:D66"/>
    <mergeCell ref="L7:N7"/>
    <mergeCell ref="N54:P54"/>
    <mergeCell ref="E55:G55"/>
    <mergeCell ref="K68:P68"/>
    <mergeCell ref="H54:J54"/>
    <mergeCell ref="E52:G52"/>
    <mergeCell ref="N50:P50"/>
    <mergeCell ref="A50:D50"/>
    <mergeCell ref="K54:M54"/>
    <mergeCell ref="Q60:T60"/>
    <mergeCell ref="N51:P51"/>
    <mergeCell ref="E48:G48"/>
    <mergeCell ref="A55:D55"/>
    <mergeCell ref="K55:M55"/>
    <mergeCell ref="N56:P56"/>
    <mergeCell ref="H7:K7"/>
    <mergeCell ref="A47:D47"/>
  </mergeCells>
  <conditionalFormatting sqref="E14:E43">
    <cfRule type="expression" priority="1" dxfId="0" stopIfTrue="1">
      <formula>AND($B14&lt;&gt;"",E14="")</formula>
    </cfRule>
  </conditionalFormatting>
  <conditionalFormatting sqref="G14:G43">
    <cfRule type="expression" priority="2" dxfId="1">
      <formula>AND(G14&lt;&gt;"",$R14&lt;&gt;"",G14=$R14)</formula>
    </cfRule>
  </conditionalFormatting>
  <conditionalFormatting sqref="E47:G47">
    <cfRule type="expression" priority="3" dxfId="1" stopIfTrue="1">
      <formula>$E$47="COMPLETO"</formula>
    </cfRule>
    <cfRule type="expression" priority="4" dxfId="2" stopIfTrue="1">
      <formula>LEFT($E$47,7)="PARCIAL"</formula>
    </cfRule>
    <cfRule type="expression" priority="5" dxfId="3">
      <formula>$E$47="NÃO COTOU"</formula>
    </cfRule>
  </conditionalFormatting>
  <conditionalFormatting sqref="E12">
    <cfRule type="expression" priority="6" dxfId="4" stopIfTrue="1">
      <formula>AND(E$12&lt;&gt;"",$E$47="COMPLETO")</formula>
    </cfRule>
    <cfRule type="expression" priority="7" dxfId="5">
      <formula>AND(E$12&lt;&gt;"",LEFT($E$47,7)="PARCIAL")</formula>
    </cfRule>
  </conditionalFormatting>
  <conditionalFormatting sqref="E54:G54">
    <cfRule type="expression" priority="8" dxfId="6">
      <formula>AND($E$54&lt;&gt;"",$E$54=MIN($E$54,$H$54,$K$54,$N$54))</formula>
    </cfRule>
  </conditionalFormatting>
  <conditionalFormatting sqref="E57:G57">
    <cfRule type="expression" priority="9" dxfId="6">
      <formula>AND($E$57&lt;&gt;"",$E$57=MIN($E$57,$H$57,$K$57,$N$57))</formula>
    </cfRule>
  </conditionalFormatting>
  <conditionalFormatting sqref="G12">
    <cfRule type="expression" priority="10" dxfId="6">
      <formula>AND($E$52&lt;&gt;"",$E$52=MIN($E$52,$H$52,$K$52,$N$52))</formula>
    </cfRule>
  </conditionalFormatting>
  <conditionalFormatting sqref="H14:H43">
    <cfRule type="expression" priority="11" dxfId="0" stopIfTrue="1">
      <formula>AND($B14&lt;&gt;"",H14="")</formula>
    </cfRule>
  </conditionalFormatting>
  <conditionalFormatting sqref="J14:J43">
    <cfRule type="expression" priority="12" dxfId="1">
      <formula>AND(J14&lt;&gt;"",$R14&lt;&gt;"",J14=$R14)</formula>
    </cfRule>
  </conditionalFormatting>
  <conditionalFormatting sqref="H47:J47">
    <cfRule type="expression" priority="13" dxfId="1" stopIfTrue="1">
      <formula>$H$47="COMPLETO"</formula>
    </cfRule>
    <cfRule type="expression" priority="14" dxfId="2" stopIfTrue="1">
      <formula>LEFT($H$47,7)="PARCIAL"</formula>
    </cfRule>
    <cfRule type="expression" priority="15" dxfId="3">
      <formula>$H$47="NÃO COTOU"</formula>
    </cfRule>
  </conditionalFormatting>
  <conditionalFormatting sqref="H12">
    <cfRule type="expression" priority="16" dxfId="4" stopIfTrue="1">
      <formula>AND(H$12&lt;&gt;"",$H$47="COMPLETO")</formula>
    </cfRule>
    <cfRule type="expression" priority="17" dxfId="5">
      <formula>AND(H$12&lt;&gt;"",LEFT($H$47,7)="PARCIAL")</formula>
    </cfRule>
  </conditionalFormatting>
  <conditionalFormatting sqref="H54:J54">
    <cfRule type="expression" priority="18" dxfId="6">
      <formula>AND($H$54&lt;&gt;"",$H$54=MIN($E$54,$H$54,$K$54,$N$54))</formula>
    </cfRule>
  </conditionalFormatting>
  <conditionalFormatting sqref="H57:J57">
    <cfRule type="expression" priority="19" dxfId="6">
      <formula>AND($H$57&lt;&gt;"",$H$57=MIN($E$57,$H$57,$K$57,$N$57))</formula>
    </cfRule>
  </conditionalFormatting>
  <conditionalFormatting sqref="J12">
    <cfRule type="expression" priority="20" dxfId="6">
      <formula>AND($H$52&lt;&gt;"",$H$52=MIN($E$52,$H$52,$K$52,$N$52))</formula>
    </cfRule>
  </conditionalFormatting>
  <conditionalFormatting sqref="K14:K43">
    <cfRule type="expression" priority="21" dxfId="0" stopIfTrue="1">
      <formula>AND($B14&lt;&gt;"",K14="")</formula>
    </cfRule>
  </conditionalFormatting>
  <conditionalFormatting sqref="M14:M43">
    <cfRule type="expression" priority="22" dxfId="1">
      <formula>AND(M14&lt;&gt;"",$R14&lt;&gt;"",M14=$R14)</formula>
    </cfRule>
  </conditionalFormatting>
  <conditionalFormatting sqref="K47:M47">
    <cfRule type="expression" priority="23" dxfId="1" stopIfTrue="1">
      <formula>$K$47="COMPLETO"</formula>
    </cfRule>
    <cfRule type="expression" priority="24" dxfId="2" stopIfTrue="1">
      <formula>LEFT($K$47,7)="PARCIAL"</formula>
    </cfRule>
    <cfRule type="expression" priority="25" dxfId="3">
      <formula>$K$47="NÃO COTOU"</formula>
    </cfRule>
  </conditionalFormatting>
  <conditionalFormatting sqref="K12">
    <cfRule type="expression" priority="26" dxfId="4" stopIfTrue="1">
      <formula>AND(K$12&lt;&gt;"",$K$47="COMPLETO")</formula>
    </cfRule>
    <cfRule type="expression" priority="27" dxfId="5">
      <formula>AND(K$12&lt;&gt;"",LEFT($K$47,7)="PARCIAL")</formula>
    </cfRule>
  </conditionalFormatting>
  <conditionalFormatting sqref="K54:M54">
    <cfRule type="expression" priority="28" dxfId="6">
      <formula>AND($K$54&lt;&gt;"",$K$54=MIN($E$54,$H$54,$K$54,$N$54))</formula>
    </cfRule>
  </conditionalFormatting>
  <conditionalFormatting sqref="K57:M57">
    <cfRule type="expression" priority="29" dxfId="6">
      <formula>AND($K$57&lt;&gt;"",$K$57=MIN($E$57,$H$57,$K$57,$N$57))</formula>
    </cfRule>
  </conditionalFormatting>
  <conditionalFormatting sqref="M12">
    <cfRule type="expression" priority="30" dxfId="6">
      <formula>AND($K$52&lt;&gt;"",$K$52=MIN($E$52,$H$52,$K$52,$N$52))</formula>
    </cfRule>
  </conditionalFormatting>
  <conditionalFormatting sqref="N14:N43">
    <cfRule type="expression" priority="31" dxfId="0" stopIfTrue="1">
      <formula>AND($B14&lt;&gt;"",N14="")</formula>
    </cfRule>
  </conditionalFormatting>
  <conditionalFormatting sqref="P14:P43">
    <cfRule type="expression" priority="32" dxfId="1">
      <formula>AND(P14&lt;&gt;"",$R14&lt;&gt;"",P14=$R14)</formula>
    </cfRule>
  </conditionalFormatting>
  <conditionalFormatting sqref="N47:P47">
    <cfRule type="expression" priority="33" dxfId="1" stopIfTrue="1">
      <formula>$N$47="COMPLETO"</formula>
    </cfRule>
    <cfRule type="expression" priority="34" dxfId="2" stopIfTrue="1">
      <formula>LEFT($N$47,7)="PARCIAL"</formula>
    </cfRule>
    <cfRule type="expression" priority="35" dxfId="3">
      <formula>$N$47="NÃO COTOU"</formula>
    </cfRule>
  </conditionalFormatting>
  <conditionalFormatting sqref="N12">
    <cfRule type="expression" priority="36" dxfId="4" stopIfTrue="1">
      <formula>AND(N$12&lt;&gt;"",$N$47="COMPLETO")</formula>
    </cfRule>
    <cfRule type="expression" priority="37" dxfId="5">
      <formula>AND(N$12&lt;&gt;"",LEFT($N$47,7)="PARCIAL")</formula>
    </cfRule>
  </conditionalFormatting>
  <conditionalFormatting sqref="N54:P54">
    <cfRule type="expression" priority="38" dxfId="6">
      <formula>AND($N$54&lt;&gt;"",$N$54=MIN($E$54,$H$54,$K$54,$N$54))</formula>
    </cfRule>
  </conditionalFormatting>
  <conditionalFormatting sqref="N57:P57">
    <cfRule type="expression" priority="39" dxfId="6">
      <formula>AND($N$57&lt;&gt;"",$N$57=MIN($E$57,$H$57,$K$57,$N$57))</formula>
    </cfRule>
  </conditionalFormatting>
  <conditionalFormatting sqref="P12">
    <cfRule type="expression" priority="40" dxfId="6">
      <formula>AND($N$52&lt;&gt;"",$N$52=MIN($E$52,$H$52,$K$52,$N$52))</formula>
    </cfRule>
  </conditionalFormatting>
  <dataValidations count="5">
    <dataValidation sqref="C14:C43" showDropDown="0" showInputMessage="0" showErrorMessage="0" allowBlank="1" type="list">
      <formula1>=Listas!$A$2:$A$19</formula1>
    </dataValidation>
    <dataValidation sqref="E55:G55" showDropDown="0" showInputMessage="0" showErrorMessage="0" allowBlank="1" type="list">
      <formula1>=Listas!$B$2:$B$14</formula1>
    </dataValidation>
    <dataValidation sqref="H55:J55" showDropDown="0" showInputMessage="0" showErrorMessage="0" allowBlank="1" type="list">
      <formula1>=Listas!$B$2:$B$14</formula1>
    </dataValidation>
    <dataValidation sqref="K55:M55" showDropDown="0" showInputMessage="0" showErrorMessage="0" allowBlank="1" type="list">
      <formula1>=Listas!$B$2:$B$14</formula1>
    </dataValidation>
    <dataValidation sqref="N55:P55" showDropDown="0" showInputMessage="0" showErrorMessage="0" allowBlank="1" type="list">
      <formula1>=Listas!$B$2:$B$14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95"/>
  <sheetViews>
    <sheetView showGridLines="0"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38" customWidth="1" min="3" max="3"/>
    <col width="18" customWidth="1" min="4" max="4"/>
    <col width="12" customWidth="1" min="5" max="5"/>
    <col width="12" customWidth="1" min="6" max="6"/>
    <col width="24" customWidth="1" min="7" max="7"/>
    <col width="20" customWidth="1" min="8" max="8"/>
    <col width="15" customWidth="1" min="9" max="9"/>
    <col width="15" customWidth="1" min="10" max="10"/>
    <col width="15" customWidth="1" min="11" max="11"/>
    <col width="13" customWidth="1" min="12" max="12"/>
    <col width="11" customWidth="1" min="13" max="13"/>
    <col width="20" customWidth="1" min="14" max="14"/>
    <col width="46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MAPA DE COTAÇÕES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O caderno de bordo das compras · uma linha por cotação · preencha ao fechar a compra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20" customHeight="1">
      <c r="A6" s="8" t="inlineStr">
        <is>
          <t xml:space="preserve">  PARA QUE SERVE ESTA ABA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 ht="18" customHeight="1">
      <c r="A7" s="96" t="inlineStr">
        <is>
          <t xml:space="preserve">   Cada aba de cotação morre quando a compra é fechada. Esta aba é o que sobra: o histórico de todas elas, uma linha por cotação.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</row>
    <row r="8" ht="26" customHeight="1">
      <c r="A8" s="96" t="inlineStr">
        <is>
          <t xml:space="preserve">   Preencha UMA linha ao fechar cada compra, copiando os números do rodapé da aba de cotação: o menor total à vista, o maior, e quanto você realmente fechou.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</row>
    <row r="9" ht="26" customHeight="1">
      <c r="A9" s="96" t="inlineStr">
        <is>
          <t xml:space="preserve">   Economia (R$) e Economia (%) saem sozinhas — é o que você deixou de gastar por ter cotado em vez de comprar no primeiro fornecedor que respondeu.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6" customHeight="1">
      <c r="A10" s="96" t="inlineStr">
        <is>
          <t xml:space="preserve">   Serve para três coisas: mostrar ao Walton que cotar dá dinheiro, descobrir com quem você mais fecha (poder de barganha na próxima negociação) e achar a cotação antiga quando o mesmo item voltar a ser comprado.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</row>
    <row r="11" ht="8" customHeight="1"/>
    <row r="12" ht="14" customHeight="1">
      <c r="A12" s="97" t="inlineStr">
        <is>
          <t>Cotações registradas</t>
        </is>
      </c>
      <c r="B12" s="13" t="n"/>
      <c r="C12" s="13" t="n"/>
      <c r="D12" s="97" t="inlineStr">
        <is>
          <t>Em aberto</t>
        </is>
      </c>
      <c r="E12" s="13" t="n"/>
      <c r="F12" s="13" t="n"/>
      <c r="G12" s="97" t="inlineStr">
        <is>
          <t>Valor fechado no total</t>
        </is>
      </c>
      <c r="H12" s="13" t="n"/>
      <c r="I12" s="13" t="n"/>
      <c r="J12" s="97" t="inlineStr">
        <is>
          <t>Economia acumulada</t>
        </is>
      </c>
      <c r="K12" s="13" t="n"/>
      <c r="L12" s="13" t="n"/>
      <c r="M12" s="97" t="inlineStr">
        <is>
          <t>Economia média</t>
        </is>
      </c>
      <c r="N12" s="13" t="n"/>
      <c r="O12" s="13" t="n"/>
    </row>
    <row r="13" ht="30" customHeight="1">
      <c r="A13" s="98">
        <f>COUNTA($A$16:$A$95)</f>
        <v/>
      </c>
      <c r="B13" s="48" t="n"/>
      <c r="C13" s="48" t="n"/>
      <c r="D13" s="98">
        <f>COUNTIF($N$16:$N$95,"Em cotação")+COUNTIF($N$16:$N$95,"Aguardando fornecedor")+COUNTIF($N$16:$N$95,"Em análise")</f>
        <v/>
      </c>
      <c r="E13" s="48" t="n"/>
      <c r="F13" s="48" t="n"/>
      <c r="G13" s="99">
        <f>IF(COUNT($K$16:$K$95)=0,"",SUM($K$16:$K$95))</f>
        <v/>
      </c>
      <c r="H13" s="48" t="n"/>
      <c r="I13" s="48" t="n"/>
      <c r="J13" s="99">
        <f>IF(COUNT($L$16:$L$95)=0,"",SUM($L$16:$L$95))</f>
        <v/>
      </c>
      <c r="K13" s="48" t="n"/>
      <c r="L13" s="48" t="n"/>
      <c r="M13" s="100">
        <f>IF(COUNT($M$16:$M$95)=0,"",AVERAGE($M$16:$M$95))</f>
        <v/>
      </c>
      <c r="N13" s="48" t="n"/>
      <c r="O13" s="48" t="n"/>
    </row>
    <row r="14" ht="8" customHeight="1"/>
    <row r="15" ht="32" customHeight="1">
      <c r="A15" s="29" t="inlineStr">
        <is>
          <t>Nº da cotação</t>
        </is>
      </c>
      <c r="B15" s="29" t="inlineStr">
        <is>
          <t>Data</t>
        </is>
      </c>
      <c r="C15" s="29" t="inlineStr">
        <is>
          <t>Demanda / projeto</t>
        </is>
      </c>
      <c r="D15" s="29" t="inlineStr">
        <is>
          <t>Solicitante</t>
        </is>
      </c>
      <c r="E15" s="29" t="inlineStr">
        <is>
          <t>Prioridade</t>
        </is>
      </c>
      <c r="F15" s="29" t="inlineStr">
        <is>
          <t>Nº de fornecedores</t>
        </is>
      </c>
      <c r="G15" s="29" t="inlineStr">
        <is>
          <t>Fornecedor escolhido</t>
        </is>
      </c>
      <c r="H15" s="29" t="inlineStr">
        <is>
          <t>Forma de pagamento</t>
        </is>
      </c>
      <c r="I15" s="29" t="inlineStr">
        <is>
          <t>Menor proposta (R$)</t>
        </is>
      </c>
      <c r="J15" s="29" t="inlineStr">
        <is>
          <t>Maior proposta (R$)</t>
        </is>
      </c>
      <c r="K15" s="29" t="inlineStr">
        <is>
          <t>Valor fechado (R$)</t>
        </is>
      </c>
      <c r="L15" s="29" t="inlineStr">
        <is>
          <t>Economia (R$)</t>
        </is>
      </c>
      <c r="M15" s="29" t="inlineStr">
        <is>
          <t>Economia (%)</t>
        </is>
      </c>
      <c r="N15" s="29" t="inlineStr">
        <is>
          <t>Situação</t>
        </is>
      </c>
      <c r="O15" s="29" t="inlineStr">
        <is>
          <t>Observações</t>
        </is>
      </c>
    </row>
    <row r="16" ht="17" customHeight="1">
      <c r="A16" s="31" t="inlineStr">
        <is>
          <t>COT-2026-014</t>
        </is>
      </c>
      <c r="B16" s="101" t="n">
        <v>46248</v>
      </c>
      <c r="C16" s="31" t="inlineStr">
        <is>
          <t>Ferragens — obra Cristiane (closet + cozinha)</t>
        </is>
      </c>
      <c r="D16" s="31" t="inlineStr">
        <is>
          <t>Karla</t>
        </is>
      </c>
      <c r="E16" s="32" t="inlineStr">
        <is>
          <t>Normal</t>
        </is>
      </c>
      <c r="F16" s="102" t="n">
        <v>4</v>
      </c>
      <c r="G16" s="31" t="inlineStr">
        <is>
          <t>JR Ferragens</t>
        </is>
      </c>
      <c r="H16" s="31" t="inlineStr">
        <is>
          <t>Boleto a prazo</t>
        </is>
      </c>
      <c r="I16" s="87" t="n">
        <v>3191.71</v>
      </c>
      <c r="J16" s="87" t="n">
        <v>3975.75</v>
      </c>
      <c r="K16" s="87" t="n">
        <v>3862.93</v>
      </c>
      <c r="L16" s="38">
        <f>IF(OR($J16="",$K16=""),"",ROUND($J16-$K16,2))</f>
        <v/>
      </c>
      <c r="M16" s="103">
        <f>IF(OR($L16="",$J16="",$J16=0),"",$L16/$J16)</f>
        <v/>
      </c>
      <c r="N16" s="32" t="inlineStr">
        <is>
          <t>Em análise</t>
        </is>
      </c>
      <c r="O16" s="31" t="inlineStr">
        <is>
          <t>É a cotação da aba "Exemplo". Ipê foi o menor (R$ 3.191,71) mas não tinha a corrediça oculta; fechado com a JR por atender 100% em uma entrega só.</t>
        </is>
      </c>
    </row>
    <row r="17" ht="17" customHeight="1">
      <c r="A17" s="31" t="inlineStr">
        <is>
          <t>COT-2026-013</t>
        </is>
      </c>
      <c r="B17" s="101" t="n">
        <v>46240</v>
      </c>
      <c r="C17" s="31" t="inlineStr">
        <is>
          <t>MDF branco TX 18 mm — reposição de estoque</t>
        </is>
      </c>
      <c r="D17" s="31" t="inlineStr">
        <is>
          <t>Karla</t>
        </is>
      </c>
      <c r="E17" s="32" t="inlineStr">
        <is>
          <t>Programada</t>
        </is>
      </c>
      <c r="F17" s="102" t="n">
        <v>3</v>
      </c>
      <c r="G17" s="31" t="inlineStr">
        <is>
          <t>MADEGEM</t>
        </is>
      </c>
      <c r="H17" s="31" t="inlineStr">
        <is>
          <t>Boleto a prazo</t>
        </is>
      </c>
      <c r="I17" s="87" t="n">
        <v>18420</v>
      </c>
      <c r="J17" s="87" t="n">
        <v>20150</v>
      </c>
      <c r="K17" s="87" t="n">
        <v>18420</v>
      </c>
      <c r="L17" s="38">
        <f>IF(OR($J17="",$K17=""),"",ROUND($J17-$K17,2))</f>
        <v/>
      </c>
      <c r="M17" s="103">
        <f>IF(OR($L17="",$J17="",$J17=0),"",$L17/$J17)</f>
        <v/>
      </c>
      <c r="N17" s="32" t="inlineStr">
        <is>
          <t>Fechada</t>
        </is>
      </c>
      <c r="O17" s="31" t="inlineStr">
        <is>
          <t>MADEGEM entregou em 3 dias. Concorrente 2 tinha frete grátis mas 12 dias de prazo.</t>
        </is>
      </c>
    </row>
    <row r="18" ht="17" customHeight="1">
      <c r="A18" s="31" t="inlineStr">
        <is>
          <t>COT-2026-012</t>
        </is>
      </c>
      <c r="B18" s="101" t="n">
        <v>46232</v>
      </c>
      <c r="C18" s="31" t="inlineStr">
        <is>
          <t>Puxadores KG398J — obra Maria (Vale dos Cristais)</t>
        </is>
      </c>
      <c r="D18" s="31" t="inlineStr">
        <is>
          <t>Jonathan</t>
        </is>
      </c>
      <c r="E18" s="32" t="inlineStr">
        <is>
          <t>Urgente</t>
        </is>
      </c>
      <c r="F18" s="102" t="n">
        <v>4</v>
      </c>
      <c r="G18" s="31" t="inlineStr">
        <is>
          <t>Bigfer</t>
        </is>
      </c>
      <c r="H18" s="31" t="inlineStr">
        <is>
          <t>PIX à vista</t>
        </is>
      </c>
      <c r="I18" s="87" t="n">
        <v>6180</v>
      </c>
      <c r="J18" s="87" t="n">
        <v>7940</v>
      </c>
      <c r="K18" s="87" t="n">
        <v>5871</v>
      </c>
      <c r="L18" s="38">
        <f>IF(OR($J18="",$K18=""),"",ROUND($J18-$K18,2))</f>
        <v/>
      </c>
      <c r="M18" s="103">
        <f>IF(OR($L18="",$J18="",$J18=0),"",$L18/$J18)</f>
        <v/>
      </c>
      <c r="N18" s="32" t="inlineStr">
        <is>
          <t>Fechada</t>
        </is>
      </c>
      <c r="O18" s="31" t="inlineStr">
        <is>
          <t>Desconto extra de 5% negociado no PIX à vista, fora da cotação. Economia real ficou acima da tabela.</t>
        </is>
      </c>
    </row>
    <row r="19" ht="17" customHeight="1">
      <c r="A19" s="31" t="inlineStr">
        <is>
          <t>COT-2026-011</t>
        </is>
      </c>
      <c r="B19" s="101" t="n">
        <v>46225</v>
      </c>
      <c r="C19" s="31" t="inlineStr">
        <is>
          <t>Fita de borda 22 mm — 6 cores</t>
        </is>
      </c>
      <c r="D19" s="31" t="inlineStr">
        <is>
          <t>Deivson</t>
        </is>
      </c>
      <c r="E19" s="32" t="inlineStr">
        <is>
          <t>Normal</t>
        </is>
      </c>
      <c r="F19" s="102" t="n">
        <v>3</v>
      </c>
      <c r="G19" s="31" t="inlineStr">
        <is>
          <t>MADEGEM</t>
        </is>
      </c>
      <c r="H19" s="31" t="inlineStr">
        <is>
          <t>Boleto a prazo</t>
        </is>
      </c>
      <c r="I19" s="87" t="n">
        <v>2340</v>
      </c>
      <c r="J19" s="87" t="n">
        <v>2610</v>
      </c>
      <c r="K19" s="87" t="n">
        <v>2340</v>
      </c>
      <c r="L19" s="38">
        <f>IF(OR($J19="",$K19=""),"",ROUND($J19-$K19,2))</f>
        <v/>
      </c>
      <c r="M19" s="103">
        <f>IF(OR($L19="",$J19="",$J19=0),"",$L19/$J19)</f>
        <v/>
      </c>
      <c r="N19" s="32" t="inlineStr">
        <is>
          <t>Fechada</t>
        </is>
      </c>
      <c r="O19" s="31" t="inlineStr">
        <is>
          <t>Duas cores só a MADEGEM tinha. Compra única para não abrir dois fretes.</t>
        </is>
      </c>
    </row>
    <row r="20" ht="17" customHeight="1">
      <c r="A20" s="31" t="inlineStr">
        <is>
          <t>COT-2026-010</t>
        </is>
      </c>
      <c r="B20" s="101" t="n">
        <v>46218</v>
      </c>
      <c r="C20" s="31" t="inlineStr">
        <is>
          <t>Iluminação LED perfil embutido — obra Rejane</t>
        </is>
      </c>
      <c r="D20" s="31" t="inlineStr">
        <is>
          <t>Jonathan</t>
        </is>
      </c>
      <c r="E20" s="32" t="inlineStr">
        <is>
          <t>Normal</t>
        </is>
      </c>
      <c r="F20" s="102" t="n">
        <v>4</v>
      </c>
      <c r="G20" s="31" t="inlineStr">
        <is>
          <t>—</t>
        </is>
      </c>
      <c r="H20" s="31" t="inlineStr">
        <is>
          <t>A combinar</t>
        </is>
      </c>
      <c r="I20" s="87" t="n">
        <v>4180</v>
      </c>
      <c r="J20" s="87" t="n">
        <v>5900</v>
      </c>
      <c r="K20" s="87" t="n"/>
      <c r="L20" s="38">
        <f>IF(OR($J20="",$K20=""),"",ROUND($J20-$K20,2))</f>
        <v/>
      </c>
      <c r="M20" s="103">
        <f>IF(OR($L20="",$J20="",$J20=0),"",$L20/$J20)</f>
        <v/>
      </c>
      <c r="N20" s="32" t="inlineStr">
        <is>
          <t>Cancelada</t>
        </is>
      </c>
      <c r="O20" s="31" t="inlineStr">
        <is>
          <t>Cliente mudou o projeto e tirou a iluminação do escopo. Cotação arquivada.</t>
        </is>
      </c>
    </row>
    <row r="21" ht="17" customHeight="1">
      <c r="A21" s="31" t="inlineStr">
        <is>
          <t>COT-2026-015</t>
        </is>
      </c>
      <c r="B21" s="101" t="n">
        <v>46247</v>
      </c>
      <c r="C21" s="31" t="inlineStr">
        <is>
          <t>Serviço de laqueação — 12 portas (terceirizado)</t>
        </is>
      </c>
      <c r="D21" s="31" t="inlineStr">
        <is>
          <t>Deivson</t>
        </is>
      </c>
      <c r="E21" s="32" t="inlineStr">
        <is>
          <t>Urgente</t>
        </is>
      </c>
      <c r="F21" s="102" t="n">
        <v>3</v>
      </c>
      <c r="G21" s="31" t="n"/>
      <c r="H21" s="31" t="n"/>
      <c r="I21" s="87" t="n"/>
      <c r="J21" s="87" t="n"/>
      <c r="K21" s="87" t="n"/>
      <c r="L21" s="38">
        <f>IF(OR($J21="",$K21=""),"",ROUND($J21-$K21,2))</f>
        <v/>
      </c>
      <c r="M21" s="103">
        <f>IF(OR($L21="",$J21="",$J21=0),"",$L21/$J21)</f>
        <v/>
      </c>
      <c r="N21" s="32" t="inlineStr">
        <is>
          <t>Aguardando fornecedor</t>
        </is>
      </c>
      <c r="O21" s="31" t="inlineStr">
        <is>
          <t>Dois responderam, falta o terceiro. Prazo de resposta até 18/08.</t>
        </is>
      </c>
    </row>
    <row r="22" ht="17" customHeight="1">
      <c r="A22" s="31" t="n"/>
      <c r="B22" s="101" t="n"/>
      <c r="C22" s="31" t="n"/>
      <c r="D22" s="31" t="n"/>
      <c r="E22" s="32" t="n"/>
      <c r="F22" s="102" t="n"/>
      <c r="G22" s="31" t="n"/>
      <c r="H22" s="31" t="n"/>
      <c r="I22" s="87" t="n"/>
      <c r="J22" s="87" t="n"/>
      <c r="K22" s="87" t="n"/>
      <c r="L22" s="38">
        <f>IF(OR($J22="",$K22=""),"",ROUND($J22-$K22,2))</f>
        <v/>
      </c>
      <c r="M22" s="103">
        <f>IF(OR($L22="",$J22="",$J22=0),"",$L22/$J22)</f>
        <v/>
      </c>
      <c r="N22" s="32" t="n"/>
      <c r="O22" s="31" t="n"/>
    </row>
    <row r="23" ht="17" customHeight="1">
      <c r="A23" s="31" t="n"/>
      <c r="B23" s="101" t="n"/>
      <c r="C23" s="31" t="n"/>
      <c r="D23" s="31" t="n"/>
      <c r="E23" s="32" t="n"/>
      <c r="F23" s="102" t="n"/>
      <c r="G23" s="31" t="n"/>
      <c r="H23" s="31" t="n"/>
      <c r="I23" s="87" t="n"/>
      <c r="J23" s="87" t="n"/>
      <c r="K23" s="87" t="n"/>
      <c r="L23" s="38">
        <f>IF(OR($J23="",$K23=""),"",ROUND($J23-$K23,2))</f>
        <v/>
      </c>
      <c r="M23" s="103">
        <f>IF(OR($L23="",$J23="",$J23=0),"",$L23/$J23)</f>
        <v/>
      </c>
      <c r="N23" s="32" t="n"/>
      <c r="O23" s="31" t="n"/>
    </row>
    <row r="24" ht="17" customHeight="1">
      <c r="A24" s="31" t="n"/>
      <c r="B24" s="101" t="n"/>
      <c r="C24" s="31" t="n"/>
      <c r="D24" s="31" t="n"/>
      <c r="E24" s="32" t="n"/>
      <c r="F24" s="102" t="n"/>
      <c r="G24" s="31" t="n"/>
      <c r="H24" s="31" t="n"/>
      <c r="I24" s="87" t="n"/>
      <c r="J24" s="87" t="n"/>
      <c r="K24" s="87" t="n"/>
      <c r="L24" s="38">
        <f>IF(OR($J24="",$K24=""),"",ROUND($J24-$K24,2))</f>
        <v/>
      </c>
      <c r="M24" s="103">
        <f>IF(OR($L24="",$J24="",$J24=0),"",$L24/$J24)</f>
        <v/>
      </c>
      <c r="N24" s="32" t="n"/>
      <c r="O24" s="31" t="n"/>
    </row>
    <row r="25" ht="17" customHeight="1">
      <c r="A25" s="31" t="n"/>
      <c r="B25" s="101" t="n"/>
      <c r="C25" s="31" t="n"/>
      <c r="D25" s="31" t="n"/>
      <c r="E25" s="32" t="n"/>
      <c r="F25" s="102" t="n"/>
      <c r="G25" s="31" t="n"/>
      <c r="H25" s="31" t="n"/>
      <c r="I25" s="87" t="n"/>
      <c r="J25" s="87" t="n"/>
      <c r="K25" s="87" t="n"/>
      <c r="L25" s="38">
        <f>IF(OR($J25="",$K25=""),"",ROUND($J25-$K25,2))</f>
        <v/>
      </c>
      <c r="M25" s="103">
        <f>IF(OR($L25="",$J25="",$J25=0),"",$L25/$J25)</f>
        <v/>
      </c>
      <c r="N25" s="32" t="n"/>
      <c r="O25" s="31" t="n"/>
    </row>
    <row r="26" ht="17" customHeight="1">
      <c r="A26" s="31" t="n"/>
      <c r="B26" s="101" t="n"/>
      <c r="C26" s="31" t="n"/>
      <c r="D26" s="31" t="n"/>
      <c r="E26" s="32" t="n"/>
      <c r="F26" s="102" t="n"/>
      <c r="G26" s="31" t="n"/>
      <c r="H26" s="31" t="n"/>
      <c r="I26" s="87" t="n"/>
      <c r="J26" s="87" t="n"/>
      <c r="K26" s="87" t="n"/>
      <c r="L26" s="38">
        <f>IF(OR($J26="",$K26=""),"",ROUND($J26-$K26,2))</f>
        <v/>
      </c>
      <c r="M26" s="103">
        <f>IF(OR($L26="",$J26="",$J26=0),"",$L26/$J26)</f>
        <v/>
      </c>
      <c r="N26" s="32" t="n"/>
      <c r="O26" s="31" t="n"/>
    </row>
    <row r="27" ht="17" customHeight="1">
      <c r="A27" s="31" t="n"/>
      <c r="B27" s="101" t="n"/>
      <c r="C27" s="31" t="n"/>
      <c r="D27" s="31" t="n"/>
      <c r="E27" s="32" t="n"/>
      <c r="F27" s="102" t="n"/>
      <c r="G27" s="31" t="n"/>
      <c r="H27" s="31" t="n"/>
      <c r="I27" s="87" t="n"/>
      <c r="J27" s="87" t="n"/>
      <c r="K27" s="87" t="n"/>
      <c r="L27" s="38">
        <f>IF(OR($J27="",$K27=""),"",ROUND($J27-$K27,2))</f>
        <v/>
      </c>
      <c r="M27" s="103">
        <f>IF(OR($L27="",$J27="",$J27=0),"",$L27/$J27)</f>
        <v/>
      </c>
      <c r="N27" s="32" t="n"/>
      <c r="O27" s="31" t="n"/>
    </row>
    <row r="28" ht="17" customHeight="1">
      <c r="A28" s="31" t="n"/>
      <c r="B28" s="101" t="n"/>
      <c r="C28" s="31" t="n"/>
      <c r="D28" s="31" t="n"/>
      <c r="E28" s="32" t="n"/>
      <c r="F28" s="102" t="n"/>
      <c r="G28" s="31" t="n"/>
      <c r="H28" s="31" t="n"/>
      <c r="I28" s="87" t="n"/>
      <c r="J28" s="87" t="n"/>
      <c r="K28" s="87" t="n"/>
      <c r="L28" s="38">
        <f>IF(OR($J28="",$K28=""),"",ROUND($J28-$K28,2))</f>
        <v/>
      </c>
      <c r="M28" s="103">
        <f>IF(OR($L28="",$J28="",$J28=0),"",$L28/$J28)</f>
        <v/>
      </c>
      <c r="N28" s="32" t="n"/>
      <c r="O28" s="31" t="n"/>
    </row>
    <row r="29" ht="17" customHeight="1">
      <c r="A29" s="31" t="n"/>
      <c r="B29" s="101" t="n"/>
      <c r="C29" s="31" t="n"/>
      <c r="D29" s="31" t="n"/>
      <c r="E29" s="32" t="n"/>
      <c r="F29" s="102" t="n"/>
      <c r="G29" s="31" t="n"/>
      <c r="H29" s="31" t="n"/>
      <c r="I29" s="87" t="n"/>
      <c r="J29" s="87" t="n"/>
      <c r="K29" s="87" t="n"/>
      <c r="L29" s="38">
        <f>IF(OR($J29="",$K29=""),"",ROUND($J29-$K29,2))</f>
        <v/>
      </c>
      <c r="M29" s="103">
        <f>IF(OR($L29="",$J29="",$J29=0),"",$L29/$J29)</f>
        <v/>
      </c>
      <c r="N29" s="32" t="n"/>
      <c r="O29" s="31" t="n"/>
    </row>
    <row r="30" ht="17" customHeight="1">
      <c r="A30" s="31" t="n"/>
      <c r="B30" s="101" t="n"/>
      <c r="C30" s="31" t="n"/>
      <c r="D30" s="31" t="n"/>
      <c r="E30" s="32" t="n"/>
      <c r="F30" s="102" t="n"/>
      <c r="G30" s="31" t="n"/>
      <c r="H30" s="31" t="n"/>
      <c r="I30" s="87" t="n"/>
      <c r="J30" s="87" t="n"/>
      <c r="K30" s="87" t="n"/>
      <c r="L30" s="38">
        <f>IF(OR($J30="",$K30=""),"",ROUND($J30-$K30,2))</f>
        <v/>
      </c>
      <c r="M30" s="103">
        <f>IF(OR($L30="",$J30="",$J30=0),"",$L30/$J30)</f>
        <v/>
      </c>
      <c r="N30" s="32" t="n"/>
      <c r="O30" s="31" t="n"/>
    </row>
    <row r="31" ht="17" customHeight="1">
      <c r="A31" s="31" t="n"/>
      <c r="B31" s="101" t="n"/>
      <c r="C31" s="31" t="n"/>
      <c r="D31" s="31" t="n"/>
      <c r="E31" s="32" t="n"/>
      <c r="F31" s="102" t="n"/>
      <c r="G31" s="31" t="n"/>
      <c r="H31" s="31" t="n"/>
      <c r="I31" s="87" t="n"/>
      <c r="J31" s="87" t="n"/>
      <c r="K31" s="87" t="n"/>
      <c r="L31" s="38">
        <f>IF(OR($J31="",$K31=""),"",ROUND($J31-$K31,2))</f>
        <v/>
      </c>
      <c r="M31" s="103">
        <f>IF(OR($L31="",$J31="",$J31=0),"",$L31/$J31)</f>
        <v/>
      </c>
      <c r="N31" s="32" t="n"/>
      <c r="O31" s="31" t="n"/>
    </row>
    <row r="32" ht="17" customHeight="1">
      <c r="A32" s="31" t="n"/>
      <c r="B32" s="101" t="n"/>
      <c r="C32" s="31" t="n"/>
      <c r="D32" s="31" t="n"/>
      <c r="E32" s="32" t="n"/>
      <c r="F32" s="102" t="n"/>
      <c r="G32" s="31" t="n"/>
      <c r="H32" s="31" t="n"/>
      <c r="I32" s="87" t="n"/>
      <c r="J32" s="87" t="n"/>
      <c r="K32" s="87" t="n"/>
      <c r="L32" s="38">
        <f>IF(OR($J32="",$K32=""),"",ROUND($J32-$K32,2))</f>
        <v/>
      </c>
      <c r="M32" s="103">
        <f>IF(OR($L32="",$J32="",$J32=0),"",$L32/$J32)</f>
        <v/>
      </c>
      <c r="N32" s="32" t="n"/>
      <c r="O32" s="31" t="n"/>
    </row>
    <row r="33" ht="17" customHeight="1">
      <c r="A33" s="31" t="n"/>
      <c r="B33" s="101" t="n"/>
      <c r="C33" s="31" t="n"/>
      <c r="D33" s="31" t="n"/>
      <c r="E33" s="32" t="n"/>
      <c r="F33" s="102" t="n"/>
      <c r="G33" s="31" t="n"/>
      <c r="H33" s="31" t="n"/>
      <c r="I33" s="87" t="n"/>
      <c r="J33" s="87" t="n"/>
      <c r="K33" s="87" t="n"/>
      <c r="L33" s="38">
        <f>IF(OR($J33="",$K33=""),"",ROUND($J33-$K33,2))</f>
        <v/>
      </c>
      <c r="M33" s="103">
        <f>IF(OR($L33="",$J33="",$J33=0),"",$L33/$J33)</f>
        <v/>
      </c>
      <c r="N33" s="32" t="n"/>
      <c r="O33" s="31" t="n"/>
    </row>
    <row r="34" ht="17" customHeight="1">
      <c r="A34" s="31" t="n"/>
      <c r="B34" s="101" t="n"/>
      <c r="C34" s="31" t="n"/>
      <c r="D34" s="31" t="n"/>
      <c r="E34" s="32" t="n"/>
      <c r="F34" s="102" t="n"/>
      <c r="G34" s="31" t="n"/>
      <c r="H34" s="31" t="n"/>
      <c r="I34" s="87" t="n"/>
      <c r="J34" s="87" t="n"/>
      <c r="K34" s="87" t="n"/>
      <c r="L34" s="38">
        <f>IF(OR($J34="",$K34=""),"",ROUND($J34-$K34,2))</f>
        <v/>
      </c>
      <c r="M34" s="103">
        <f>IF(OR($L34="",$J34="",$J34=0),"",$L34/$J34)</f>
        <v/>
      </c>
      <c r="N34" s="32" t="n"/>
      <c r="O34" s="31" t="n"/>
    </row>
    <row r="35" ht="17" customHeight="1">
      <c r="A35" s="31" t="n"/>
      <c r="B35" s="101" t="n"/>
      <c r="C35" s="31" t="n"/>
      <c r="D35" s="31" t="n"/>
      <c r="E35" s="32" t="n"/>
      <c r="F35" s="102" t="n"/>
      <c r="G35" s="31" t="n"/>
      <c r="H35" s="31" t="n"/>
      <c r="I35" s="87" t="n"/>
      <c r="J35" s="87" t="n"/>
      <c r="K35" s="87" t="n"/>
      <c r="L35" s="38">
        <f>IF(OR($J35="",$K35=""),"",ROUND($J35-$K35,2))</f>
        <v/>
      </c>
      <c r="M35" s="103">
        <f>IF(OR($L35="",$J35="",$J35=0),"",$L35/$J35)</f>
        <v/>
      </c>
      <c r="N35" s="32" t="n"/>
      <c r="O35" s="31" t="n"/>
    </row>
    <row r="36" ht="17" customHeight="1">
      <c r="A36" s="31" t="n"/>
      <c r="B36" s="101" t="n"/>
      <c r="C36" s="31" t="n"/>
      <c r="D36" s="31" t="n"/>
      <c r="E36" s="32" t="n"/>
      <c r="F36" s="102" t="n"/>
      <c r="G36" s="31" t="n"/>
      <c r="H36" s="31" t="n"/>
      <c r="I36" s="87" t="n"/>
      <c r="J36" s="87" t="n"/>
      <c r="K36" s="87" t="n"/>
      <c r="L36" s="38">
        <f>IF(OR($J36="",$K36=""),"",ROUND($J36-$K36,2))</f>
        <v/>
      </c>
      <c r="M36" s="103">
        <f>IF(OR($L36="",$J36="",$J36=0),"",$L36/$J36)</f>
        <v/>
      </c>
      <c r="N36" s="32" t="n"/>
      <c r="O36" s="31" t="n"/>
    </row>
    <row r="37" ht="17" customHeight="1">
      <c r="A37" s="31" t="n"/>
      <c r="B37" s="101" t="n"/>
      <c r="C37" s="31" t="n"/>
      <c r="D37" s="31" t="n"/>
      <c r="E37" s="32" t="n"/>
      <c r="F37" s="102" t="n"/>
      <c r="G37" s="31" t="n"/>
      <c r="H37" s="31" t="n"/>
      <c r="I37" s="87" t="n"/>
      <c r="J37" s="87" t="n"/>
      <c r="K37" s="87" t="n"/>
      <c r="L37" s="38">
        <f>IF(OR($J37="",$K37=""),"",ROUND($J37-$K37,2))</f>
        <v/>
      </c>
      <c r="M37" s="103">
        <f>IF(OR($L37="",$J37="",$J37=0),"",$L37/$J37)</f>
        <v/>
      </c>
      <c r="N37" s="32" t="n"/>
      <c r="O37" s="31" t="n"/>
    </row>
    <row r="38" ht="17" customHeight="1">
      <c r="A38" s="31" t="n"/>
      <c r="B38" s="101" t="n"/>
      <c r="C38" s="31" t="n"/>
      <c r="D38" s="31" t="n"/>
      <c r="E38" s="32" t="n"/>
      <c r="F38" s="102" t="n"/>
      <c r="G38" s="31" t="n"/>
      <c r="H38" s="31" t="n"/>
      <c r="I38" s="87" t="n"/>
      <c r="J38" s="87" t="n"/>
      <c r="K38" s="87" t="n"/>
      <c r="L38" s="38">
        <f>IF(OR($J38="",$K38=""),"",ROUND($J38-$K38,2))</f>
        <v/>
      </c>
      <c r="M38" s="103">
        <f>IF(OR($L38="",$J38="",$J38=0),"",$L38/$J38)</f>
        <v/>
      </c>
      <c r="N38" s="32" t="n"/>
      <c r="O38" s="31" t="n"/>
    </row>
    <row r="39" ht="17" customHeight="1">
      <c r="A39" s="31" t="n"/>
      <c r="B39" s="101" t="n"/>
      <c r="C39" s="31" t="n"/>
      <c r="D39" s="31" t="n"/>
      <c r="E39" s="32" t="n"/>
      <c r="F39" s="102" t="n"/>
      <c r="G39" s="31" t="n"/>
      <c r="H39" s="31" t="n"/>
      <c r="I39" s="87" t="n"/>
      <c r="J39" s="87" t="n"/>
      <c r="K39" s="87" t="n"/>
      <c r="L39" s="38">
        <f>IF(OR($J39="",$K39=""),"",ROUND($J39-$K39,2))</f>
        <v/>
      </c>
      <c r="M39" s="103">
        <f>IF(OR($L39="",$J39="",$J39=0),"",$L39/$J39)</f>
        <v/>
      </c>
      <c r="N39" s="32" t="n"/>
      <c r="O39" s="31" t="n"/>
    </row>
    <row r="40" ht="17" customHeight="1">
      <c r="A40" s="31" t="n"/>
      <c r="B40" s="101" t="n"/>
      <c r="C40" s="31" t="n"/>
      <c r="D40" s="31" t="n"/>
      <c r="E40" s="32" t="n"/>
      <c r="F40" s="102" t="n"/>
      <c r="G40" s="31" t="n"/>
      <c r="H40" s="31" t="n"/>
      <c r="I40" s="87" t="n"/>
      <c r="J40" s="87" t="n"/>
      <c r="K40" s="87" t="n"/>
      <c r="L40" s="38">
        <f>IF(OR($J40="",$K40=""),"",ROUND($J40-$K40,2))</f>
        <v/>
      </c>
      <c r="M40" s="103">
        <f>IF(OR($L40="",$J40="",$J40=0),"",$L40/$J40)</f>
        <v/>
      </c>
      <c r="N40" s="32" t="n"/>
      <c r="O40" s="31" t="n"/>
    </row>
    <row r="41" ht="17" customHeight="1">
      <c r="A41" s="31" t="n"/>
      <c r="B41" s="101" t="n"/>
      <c r="C41" s="31" t="n"/>
      <c r="D41" s="31" t="n"/>
      <c r="E41" s="32" t="n"/>
      <c r="F41" s="102" t="n"/>
      <c r="G41" s="31" t="n"/>
      <c r="H41" s="31" t="n"/>
      <c r="I41" s="87" t="n"/>
      <c r="J41" s="87" t="n"/>
      <c r="K41" s="87" t="n"/>
      <c r="L41" s="38">
        <f>IF(OR($J41="",$K41=""),"",ROUND($J41-$K41,2))</f>
        <v/>
      </c>
      <c r="M41" s="103">
        <f>IF(OR($L41="",$J41="",$J41=0),"",$L41/$J41)</f>
        <v/>
      </c>
      <c r="N41" s="32" t="n"/>
      <c r="O41" s="31" t="n"/>
    </row>
    <row r="42" ht="17" customHeight="1">
      <c r="A42" s="31" t="n"/>
      <c r="B42" s="101" t="n"/>
      <c r="C42" s="31" t="n"/>
      <c r="D42" s="31" t="n"/>
      <c r="E42" s="32" t="n"/>
      <c r="F42" s="102" t="n"/>
      <c r="G42" s="31" t="n"/>
      <c r="H42" s="31" t="n"/>
      <c r="I42" s="87" t="n"/>
      <c r="J42" s="87" t="n"/>
      <c r="K42" s="87" t="n"/>
      <c r="L42" s="38">
        <f>IF(OR($J42="",$K42=""),"",ROUND($J42-$K42,2))</f>
        <v/>
      </c>
      <c r="M42" s="103">
        <f>IF(OR($L42="",$J42="",$J42=0),"",$L42/$J42)</f>
        <v/>
      </c>
      <c r="N42" s="32" t="n"/>
      <c r="O42" s="31" t="n"/>
    </row>
    <row r="43" ht="17" customHeight="1">
      <c r="A43" s="31" t="n"/>
      <c r="B43" s="101" t="n"/>
      <c r="C43" s="31" t="n"/>
      <c r="D43" s="31" t="n"/>
      <c r="E43" s="32" t="n"/>
      <c r="F43" s="102" t="n"/>
      <c r="G43" s="31" t="n"/>
      <c r="H43" s="31" t="n"/>
      <c r="I43" s="87" t="n"/>
      <c r="J43" s="87" t="n"/>
      <c r="K43" s="87" t="n"/>
      <c r="L43" s="38">
        <f>IF(OR($J43="",$K43=""),"",ROUND($J43-$K43,2))</f>
        <v/>
      </c>
      <c r="M43" s="103">
        <f>IF(OR($L43="",$J43="",$J43=0),"",$L43/$J43)</f>
        <v/>
      </c>
      <c r="N43" s="32" t="n"/>
      <c r="O43" s="31" t="n"/>
    </row>
    <row r="44" ht="17" customHeight="1">
      <c r="A44" s="31" t="n"/>
      <c r="B44" s="101" t="n"/>
      <c r="C44" s="31" t="n"/>
      <c r="D44" s="31" t="n"/>
      <c r="E44" s="32" t="n"/>
      <c r="F44" s="102" t="n"/>
      <c r="G44" s="31" t="n"/>
      <c r="H44" s="31" t="n"/>
      <c r="I44" s="87" t="n"/>
      <c r="J44" s="87" t="n"/>
      <c r="K44" s="87" t="n"/>
      <c r="L44" s="38">
        <f>IF(OR($J44="",$K44=""),"",ROUND($J44-$K44,2))</f>
        <v/>
      </c>
      <c r="M44" s="103">
        <f>IF(OR($L44="",$J44="",$J44=0),"",$L44/$J44)</f>
        <v/>
      </c>
      <c r="N44" s="32" t="n"/>
      <c r="O44" s="31" t="n"/>
    </row>
    <row r="45" ht="17" customHeight="1">
      <c r="A45" s="31" t="n"/>
      <c r="B45" s="101" t="n"/>
      <c r="C45" s="31" t="n"/>
      <c r="D45" s="31" t="n"/>
      <c r="E45" s="32" t="n"/>
      <c r="F45" s="102" t="n"/>
      <c r="G45" s="31" t="n"/>
      <c r="H45" s="31" t="n"/>
      <c r="I45" s="87" t="n"/>
      <c r="J45" s="87" t="n"/>
      <c r="K45" s="87" t="n"/>
      <c r="L45" s="38">
        <f>IF(OR($J45="",$K45=""),"",ROUND($J45-$K45,2))</f>
        <v/>
      </c>
      <c r="M45" s="103">
        <f>IF(OR($L45="",$J45="",$J45=0),"",$L45/$J45)</f>
        <v/>
      </c>
      <c r="N45" s="32" t="n"/>
      <c r="O45" s="31" t="n"/>
    </row>
    <row r="46" ht="17" customHeight="1">
      <c r="A46" s="31" t="n"/>
      <c r="B46" s="101" t="n"/>
      <c r="C46" s="31" t="n"/>
      <c r="D46" s="31" t="n"/>
      <c r="E46" s="32" t="n"/>
      <c r="F46" s="102" t="n"/>
      <c r="G46" s="31" t="n"/>
      <c r="H46" s="31" t="n"/>
      <c r="I46" s="87" t="n"/>
      <c r="J46" s="87" t="n"/>
      <c r="K46" s="87" t="n"/>
      <c r="L46" s="38">
        <f>IF(OR($J46="",$K46=""),"",ROUND($J46-$K46,2))</f>
        <v/>
      </c>
      <c r="M46" s="103">
        <f>IF(OR($L46="",$J46="",$J46=0),"",$L46/$J46)</f>
        <v/>
      </c>
      <c r="N46" s="32" t="n"/>
      <c r="O46" s="31" t="n"/>
    </row>
    <row r="47" ht="17" customHeight="1">
      <c r="A47" s="31" t="n"/>
      <c r="B47" s="101" t="n"/>
      <c r="C47" s="31" t="n"/>
      <c r="D47" s="31" t="n"/>
      <c r="E47" s="32" t="n"/>
      <c r="F47" s="102" t="n"/>
      <c r="G47" s="31" t="n"/>
      <c r="H47" s="31" t="n"/>
      <c r="I47" s="87" t="n"/>
      <c r="J47" s="87" t="n"/>
      <c r="K47" s="87" t="n"/>
      <c r="L47" s="38">
        <f>IF(OR($J47="",$K47=""),"",ROUND($J47-$K47,2))</f>
        <v/>
      </c>
      <c r="M47" s="103">
        <f>IF(OR($L47="",$J47="",$J47=0),"",$L47/$J47)</f>
        <v/>
      </c>
      <c r="N47" s="32" t="n"/>
      <c r="O47" s="31" t="n"/>
    </row>
    <row r="48" ht="17" customHeight="1">
      <c r="A48" s="31" t="n"/>
      <c r="B48" s="101" t="n"/>
      <c r="C48" s="31" t="n"/>
      <c r="D48" s="31" t="n"/>
      <c r="E48" s="32" t="n"/>
      <c r="F48" s="102" t="n"/>
      <c r="G48" s="31" t="n"/>
      <c r="H48" s="31" t="n"/>
      <c r="I48" s="87" t="n"/>
      <c r="J48" s="87" t="n"/>
      <c r="K48" s="87" t="n"/>
      <c r="L48" s="38">
        <f>IF(OR($J48="",$K48=""),"",ROUND($J48-$K48,2))</f>
        <v/>
      </c>
      <c r="M48" s="103">
        <f>IF(OR($L48="",$J48="",$J48=0),"",$L48/$J48)</f>
        <v/>
      </c>
      <c r="N48" s="32" t="n"/>
      <c r="O48" s="31" t="n"/>
    </row>
    <row r="49" ht="17" customHeight="1">
      <c r="A49" s="31" t="n"/>
      <c r="B49" s="101" t="n"/>
      <c r="C49" s="31" t="n"/>
      <c r="D49" s="31" t="n"/>
      <c r="E49" s="32" t="n"/>
      <c r="F49" s="102" t="n"/>
      <c r="G49" s="31" t="n"/>
      <c r="H49" s="31" t="n"/>
      <c r="I49" s="87" t="n"/>
      <c r="J49" s="87" t="n"/>
      <c r="K49" s="87" t="n"/>
      <c r="L49" s="38">
        <f>IF(OR($J49="",$K49=""),"",ROUND($J49-$K49,2))</f>
        <v/>
      </c>
      <c r="M49" s="103">
        <f>IF(OR($L49="",$J49="",$J49=0),"",$L49/$J49)</f>
        <v/>
      </c>
      <c r="N49" s="32" t="n"/>
      <c r="O49" s="31" t="n"/>
    </row>
    <row r="50" ht="17" customHeight="1">
      <c r="A50" s="31" t="n"/>
      <c r="B50" s="101" t="n"/>
      <c r="C50" s="31" t="n"/>
      <c r="D50" s="31" t="n"/>
      <c r="E50" s="32" t="n"/>
      <c r="F50" s="102" t="n"/>
      <c r="G50" s="31" t="n"/>
      <c r="H50" s="31" t="n"/>
      <c r="I50" s="87" t="n"/>
      <c r="J50" s="87" t="n"/>
      <c r="K50" s="87" t="n"/>
      <c r="L50" s="38">
        <f>IF(OR($J50="",$K50=""),"",ROUND($J50-$K50,2))</f>
        <v/>
      </c>
      <c r="M50" s="103">
        <f>IF(OR($L50="",$J50="",$J50=0),"",$L50/$J50)</f>
        <v/>
      </c>
      <c r="N50" s="32" t="n"/>
      <c r="O50" s="31" t="n"/>
    </row>
    <row r="51" ht="17" customHeight="1">
      <c r="A51" s="31" t="n"/>
      <c r="B51" s="101" t="n"/>
      <c r="C51" s="31" t="n"/>
      <c r="D51" s="31" t="n"/>
      <c r="E51" s="32" t="n"/>
      <c r="F51" s="102" t="n"/>
      <c r="G51" s="31" t="n"/>
      <c r="H51" s="31" t="n"/>
      <c r="I51" s="87" t="n"/>
      <c r="J51" s="87" t="n"/>
      <c r="K51" s="87" t="n"/>
      <c r="L51" s="38">
        <f>IF(OR($J51="",$K51=""),"",ROUND($J51-$K51,2))</f>
        <v/>
      </c>
      <c r="M51" s="103">
        <f>IF(OR($L51="",$J51="",$J51=0),"",$L51/$J51)</f>
        <v/>
      </c>
      <c r="N51" s="32" t="n"/>
      <c r="O51" s="31" t="n"/>
    </row>
    <row r="52" ht="17" customHeight="1">
      <c r="A52" s="31" t="n"/>
      <c r="B52" s="101" t="n"/>
      <c r="C52" s="31" t="n"/>
      <c r="D52" s="31" t="n"/>
      <c r="E52" s="32" t="n"/>
      <c r="F52" s="102" t="n"/>
      <c r="G52" s="31" t="n"/>
      <c r="H52" s="31" t="n"/>
      <c r="I52" s="87" t="n"/>
      <c r="J52" s="87" t="n"/>
      <c r="K52" s="87" t="n"/>
      <c r="L52" s="38">
        <f>IF(OR($J52="",$K52=""),"",ROUND($J52-$K52,2))</f>
        <v/>
      </c>
      <c r="M52" s="103">
        <f>IF(OR($L52="",$J52="",$J52=0),"",$L52/$J52)</f>
        <v/>
      </c>
      <c r="N52" s="32" t="n"/>
      <c r="O52" s="31" t="n"/>
    </row>
    <row r="53" ht="17" customHeight="1">
      <c r="A53" s="31" t="n"/>
      <c r="B53" s="101" t="n"/>
      <c r="C53" s="31" t="n"/>
      <c r="D53" s="31" t="n"/>
      <c r="E53" s="32" t="n"/>
      <c r="F53" s="102" t="n"/>
      <c r="G53" s="31" t="n"/>
      <c r="H53" s="31" t="n"/>
      <c r="I53" s="87" t="n"/>
      <c r="J53" s="87" t="n"/>
      <c r="K53" s="87" t="n"/>
      <c r="L53" s="38">
        <f>IF(OR($J53="",$K53=""),"",ROUND($J53-$K53,2))</f>
        <v/>
      </c>
      <c r="M53" s="103">
        <f>IF(OR($L53="",$J53="",$J53=0),"",$L53/$J53)</f>
        <v/>
      </c>
      <c r="N53" s="32" t="n"/>
      <c r="O53" s="31" t="n"/>
    </row>
    <row r="54" ht="17" customHeight="1">
      <c r="A54" s="31" t="n"/>
      <c r="B54" s="101" t="n"/>
      <c r="C54" s="31" t="n"/>
      <c r="D54" s="31" t="n"/>
      <c r="E54" s="32" t="n"/>
      <c r="F54" s="102" t="n"/>
      <c r="G54" s="31" t="n"/>
      <c r="H54" s="31" t="n"/>
      <c r="I54" s="87" t="n"/>
      <c r="J54" s="87" t="n"/>
      <c r="K54" s="87" t="n"/>
      <c r="L54" s="38">
        <f>IF(OR($J54="",$K54=""),"",ROUND($J54-$K54,2))</f>
        <v/>
      </c>
      <c r="M54" s="103">
        <f>IF(OR($L54="",$J54="",$J54=0),"",$L54/$J54)</f>
        <v/>
      </c>
      <c r="N54" s="32" t="n"/>
      <c r="O54" s="31" t="n"/>
    </row>
    <row r="55" ht="17" customHeight="1">
      <c r="A55" s="31" t="n"/>
      <c r="B55" s="101" t="n"/>
      <c r="C55" s="31" t="n"/>
      <c r="D55" s="31" t="n"/>
      <c r="E55" s="32" t="n"/>
      <c r="F55" s="102" t="n"/>
      <c r="G55" s="31" t="n"/>
      <c r="H55" s="31" t="n"/>
      <c r="I55" s="87" t="n"/>
      <c r="J55" s="87" t="n"/>
      <c r="K55" s="87" t="n"/>
      <c r="L55" s="38">
        <f>IF(OR($J55="",$K55=""),"",ROUND($J55-$K55,2))</f>
        <v/>
      </c>
      <c r="M55" s="103">
        <f>IF(OR($L55="",$J55="",$J55=0),"",$L55/$J55)</f>
        <v/>
      </c>
      <c r="N55" s="32" t="n"/>
      <c r="O55" s="31" t="n"/>
    </row>
    <row r="56" ht="17" customHeight="1">
      <c r="A56" s="31" t="n"/>
      <c r="B56" s="101" t="n"/>
      <c r="C56" s="31" t="n"/>
      <c r="D56" s="31" t="n"/>
      <c r="E56" s="32" t="n"/>
      <c r="F56" s="102" t="n"/>
      <c r="G56" s="31" t="n"/>
      <c r="H56" s="31" t="n"/>
      <c r="I56" s="87" t="n"/>
      <c r="J56" s="87" t="n"/>
      <c r="K56" s="87" t="n"/>
      <c r="L56" s="38">
        <f>IF(OR($J56="",$K56=""),"",ROUND($J56-$K56,2))</f>
        <v/>
      </c>
      <c r="M56" s="103">
        <f>IF(OR($L56="",$J56="",$J56=0),"",$L56/$J56)</f>
        <v/>
      </c>
      <c r="N56" s="32" t="n"/>
      <c r="O56" s="31" t="n"/>
    </row>
    <row r="57" ht="17" customHeight="1">
      <c r="A57" s="31" t="n"/>
      <c r="B57" s="101" t="n"/>
      <c r="C57" s="31" t="n"/>
      <c r="D57" s="31" t="n"/>
      <c r="E57" s="32" t="n"/>
      <c r="F57" s="102" t="n"/>
      <c r="G57" s="31" t="n"/>
      <c r="H57" s="31" t="n"/>
      <c r="I57" s="87" t="n"/>
      <c r="J57" s="87" t="n"/>
      <c r="K57" s="87" t="n"/>
      <c r="L57" s="38">
        <f>IF(OR($J57="",$K57=""),"",ROUND($J57-$K57,2))</f>
        <v/>
      </c>
      <c r="M57" s="103">
        <f>IF(OR($L57="",$J57="",$J57=0),"",$L57/$J57)</f>
        <v/>
      </c>
      <c r="N57" s="32" t="n"/>
      <c r="O57" s="31" t="n"/>
    </row>
    <row r="58" ht="17" customHeight="1">
      <c r="A58" s="31" t="n"/>
      <c r="B58" s="101" t="n"/>
      <c r="C58" s="31" t="n"/>
      <c r="D58" s="31" t="n"/>
      <c r="E58" s="32" t="n"/>
      <c r="F58" s="102" t="n"/>
      <c r="G58" s="31" t="n"/>
      <c r="H58" s="31" t="n"/>
      <c r="I58" s="87" t="n"/>
      <c r="J58" s="87" t="n"/>
      <c r="K58" s="87" t="n"/>
      <c r="L58" s="38">
        <f>IF(OR($J58="",$K58=""),"",ROUND($J58-$K58,2))</f>
        <v/>
      </c>
      <c r="M58" s="103">
        <f>IF(OR($L58="",$J58="",$J58=0),"",$L58/$J58)</f>
        <v/>
      </c>
      <c r="N58" s="32" t="n"/>
      <c r="O58" s="31" t="n"/>
    </row>
    <row r="59" ht="17" customHeight="1">
      <c r="A59" s="31" t="n"/>
      <c r="B59" s="101" t="n"/>
      <c r="C59" s="31" t="n"/>
      <c r="D59" s="31" t="n"/>
      <c r="E59" s="32" t="n"/>
      <c r="F59" s="102" t="n"/>
      <c r="G59" s="31" t="n"/>
      <c r="H59" s="31" t="n"/>
      <c r="I59" s="87" t="n"/>
      <c r="J59" s="87" t="n"/>
      <c r="K59" s="87" t="n"/>
      <c r="L59" s="38">
        <f>IF(OR($J59="",$K59=""),"",ROUND($J59-$K59,2))</f>
        <v/>
      </c>
      <c r="M59" s="103">
        <f>IF(OR($L59="",$J59="",$J59=0),"",$L59/$J59)</f>
        <v/>
      </c>
      <c r="N59" s="32" t="n"/>
      <c r="O59" s="31" t="n"/>
    </row>
    <row r="60" ht="17" customHeight="1">
      <c r="A60" s="31" t="n"/>
      <c r="B60" s="101" t="n"/>
      <c r="C60" s="31" t="n"/>
      <c r="D60" s="31" t="n"/>
      <c r="E60" s="32" t="n"/>
      <c r="F60" s="102" t="n"/>
      <c r="G60" s="31" t="n"/>
      <c r="H60" s="31" t="n"/>
      <c r="I60" s="87" t="n"/>
      <c r="J60" s="87" t="n"/>
      <c r="K60" s="87" t="n"/>
      <c r="L60" s="38">
        <f>IF(OR($J60="",$K60=""),"",ROUND($J60-$K60,2))</f>
        <v/>
      </c>
      <c r="M60" s="103">
        <f>IF(OR($L60="",$J60="",$J60=0),"",$L60/$J60)</f>
        <v/>
      </c>
      <c r="N60" s="32" t="n"/>
      <c r="O60" s="31" t="n"/>
    </row>
    <row r="61" ht="17" customHeight="1">
      <c r="A61" s="31" t="n"/>
      <c r="B61" s="101" t="n"/>
      <c r="C61" s="31" t="n"/>
      <c r="D61" s="31" t="n"/>
      <c r="E61" s="32" t="n"/>
      <c r="F61" s="102" t="n"/>
      <c r="G61" s="31" t="n"/>
      <c r="H61" s="31" t="n"/>
      <c r="I61" s="87" t="n"/>
      <c r="J61" s="87" t="n"/>
      <c r="K61" s="87" t="n"/>
      <c r="L61" s="38">
        <f>IF(OR($J61="",$K61=""),"",ROUND($J61-$K61,2))</f>
        <v/>
      </c>
      <c r="M61" s="103">
        <f>IF(OR($L61="",$J61="",$J61=0),"",$L61/$J61)</f>
        <v/>
      </c>
      <c r="N61" s="32" t="n"/>
      <c r="O61" s="31" t="n"/>
    </row>
    <row r="62" ht="17" customHeight="1">
      <c r="A62" s="31" t="n"/>
      <c r="B62" s="101" t="n"/>
      <c r="C62" s="31" t="n"/>
      <c r="D62" s="31" t="n"/>
      <c r="E62" s="32" t="n"/>
      <c r="F62" s="102" t="n"/>
      <c r="G62" s="31" t="n"/>
      <c r="H62" s="31" t="n"/>
      <c r="I62" s="87" t="n"/>
      <c r="J62" s="87" t="n"/>
      <c r="K62" s="87" t="n"/>
      <c r="L62" s="38">
        <f>IF(OR($J62="",$K62=""),"",ROUND($J62-$K62,2))</f>
        <v/>
      </c>
      <c r="M62" s="103">
        <f>IF(OR($L62="",$J62="",$J62=0),"",$L62/$J62)</f>
        <v/>
      </c>
      <c r="N62" s="32" t="n"/>
      <c r="O62" s="31" t="n"/>
    </row>
    <row r="63" ht="17" customHeight="1">
      <c r="A63" s="31" t="n"/>
      <c r="B63" s="101" t="n"/>
      <c r="C63" s="31" t="n"/>
      <c r="D63" s="31" t="n"/>
      <c r="E63" s="32" t="n"/>
      <c r="F63" s="102" t="n"/>
      <c r="G63" s="31" t="n"/>
      <c r="H63" s="31" t="n"/>
      <c r="I63" s="87" t="n"/>
      <c r="J63" s="87" t="n"/>
      <c r="K63" s="87" t="n"/>
      <c r="L63" s="38">
        <f>IF(OR($J63="",$K63=""),"",ROUND($J63-$K63,2))</f>
        <v/>
      </c>
      <c r="M63" s="103">
        <f>IF(OR($L63="",$J63="",$J63=0),"",$L63/$J63)</f>
        <v/>
      </c>
      <c r="N63" s="32" t="n"/>
      <c r="O63" s="31" t="n"/>
    </row>
    <row r="64" ht="17" customHeight="1">
      <c r="A64" s="31" t="n"/>
      <c r="B64" s="101" t="n"/>
      <c r="C64" s="31" t="n"/>
      <c r="D64" s="31" t="n"/>
      <c r="E64" s="32" t="n"/>
      <c r="F64" s="102" t="n"/>
      <c r="G64" s="31" t="n"/>
      <c r="H64" s="31" t="n"/>
      <c r="I64" s="87" t="n"/>
      <c r="J64" s="87" t="n"/>
      <c r="K64" s="87" t="n"/>
      <c r="L64" s="38">
        <f>IF(OR($J64="",$K64=""),"",ROUND($J64-$K64,2))</f>
        <v/>
      </c>
      <c r="M64" s="103">
        <f>IF(OR($L64="",$J64="",$J64=0),"",$L64/$J64)</f>
        <v/>
      </c>
      <c r="N64" s="32" t="n"/>
      <c r="O64" s="31" t="n"/>
    </row>
    <row r="65" ht="17" customHeight="1">
      <c r="A65" s="31" t="n"/>
      <c r="B65" s="101" t="n"/>
      <c r="C65" s="31" t="n"/>
      <c r="D65" s="31" t="n"/>
      <c r="E65" s="32" t="n"/>
      <c r="F65" s="102" t="n"/>
      <c r="G65" s="31" t="n"/>
      <c r="H65" s="31" t="n"/>
      <c r="I65" s="87" t="n"/>
      <c r="J65" s="87" t="n"/>
      <c r="K65" s="87" t="n"/>
      <c r="L65" s="38">
        <f>IF(OR($J65="",$K65=""),"",ROUND($J65-$K65,2))</f>
        <v/>
      </c>
      <c r="M65" s="103">
        <f>IF(OR($L65="",$J65="",$J65=0),"",$L65/$J65)</f>
        <v/>
      </c>
      <c r="N65" s="32" t="n"/>
      <c r="O65" s="31" t="n"/>
    </row>
    <row r="66" ht="17" customHeight="1">
      <c r="A66" s="31" t="n"/>
      <c r="B66" s="101" t="n"/>
      <c r="C66" s="31" t="n"/>
      <c r="D66" s="31" t="n"/>
      <c r="E66" s="32" t="n"/>
      <c r="F66" s="102" t="n"/>
      <c r="G66" s="31" t="n"/>
      <c r="H66" s="31" t="n"/>
      <c r="I66" s="87" t="n"/>
      <c r="J66" s="87" t="n"/>
      <c r="K66" s="87" t="n"/>
      <c r="L66" s="38">
        <f>IF(OR($J66="",$K66=""),"",ROUND($J66-$K66,2))</f>
        <v/>
      </c>
      <c r="M66" s="103">
        <f>IF(OR($L66="",$J66="",$J66=0),"",$L66/$J66)</f>
        <v/>
      </c>
      <c r="N66" s="32" t="n"/>
      <c r="O66" s="31" t="n"/>
    </row>
    <row r="67" ht="17" customHeight="1">
      <c r="A67" s="31" t="n"/>
      <c r="B67" s="101" t="n"/>
      <c r="C67" s="31" t="n"/>
      <c r="D67" s="31" t="n"/>
      <c r="E67" s="32" t="n"/>
      <c r="F67" s="102" t="n"/>
      <c r="G67" s="31" t="n"/>
      <c r="H67" s="31" t="n"/>
      <c r="I67" s="87" t="n"/>
      <c r="J67" s="87" t="n"/>
      <c r="K67" s="87" t="n"/>
      <c r="L67" s="38">
        <f>IF(OR($J67="",$K67=""),"",ROUND($J67-$K67,2))</f>
        <v/>
      </c>
      <c r="M67" s="103">
        <f>IF(OR($L67="",$J67="",$J67=0),"",$L67/$J67)</f>
        <v/>
      </c>
      <c r="N67" s="32" t="n"/>
      <c r="O67" s="31" t="n"/>
    </row>
    <row r="68" ht="17" customHeight="1">
      <c r="A68" s="31" t="n"/>
      <c r="B68" s="101" t="n"/>
      <c r="C68" s="31" t="n"/>
      <c r="D68" s="31" t="n"/>
      <c r="E68" s="32" t="n"/>
      <c r="F68" s="102" t="n"/>
      <c r="G68" s="31" t="n"/>
      <c r="H68" s="31" t="n"/>
      <c r="I68" s="87" t="n"/>
      <c r="J68" s="87" t="n"/>
      <c r="K68" s="87" t="n"/>
      <c r="L68" s="38">
        <f>IF(OR($J68="",$K68=""),"",ROUND($J68-$K68,2))</f>
        <v/>
      </c>
      <c r="M68" s="103">
        <f>IF(OR($L68="",$J68="",$J68=0),"",$L68/$J68)</f>
        <v/>
      </c>
      <c r="N68" s="32" t="n"/>
      <c r="O68" s="31" t="n"/>
    </row>
    <row r="69" ht="17" customHeight="1">
      <c r="A69" s="31" t="n"/>
      <c r="B69" s="101" t="n"/>
      <c r="C69" s="31" t="n"/>
      <c r="D69" s="31" t="n"/>
      <c r="E69" s="32" t="n"/>
      <c r="F69" s="102" t="n"/>
      <c r="G69" s="31" t="n"/>
      <c r="H69" s="31" t="n"/>
      <c r="I69" s="87" t="n"/>
      <c r="J69" s="87" t="n"/>
      <c r="K69" s="87" t="n"/>
      <c r="L69" s="38">
        <f>IF(OR($J69="",$K69=""),"",ROUND($J69-$K69,2))</f>
        <v/>
      </c>
      <c r="M69" s="103">
        <f>IF(OR($L69="",$J69="",$J69=0),"",$L69/$J69)</f>
        <v/>
      </c>
      <c r="N69" s="32" t="n"/>
      <c r="O69" s="31" t="n"/>
    </row>
    <row r="70" ht="17" customHeight="1">
      <c r="A70" s="31" t="n"/>
      <c r="B70" s="101" t="n"/>
      <c r="C70" s="31" t="n"/>
      <c r="D70" s="31" t="n"/>
      <c r="E70" s="32" t="n"/>
      <c r="F70" s="102" t="n"/>
      <c r="G70" s="31" t="n"/>
      <c r="H70" s="31" t="n"/>
      <c r="I70" s="87" t="n"/>
      <c r="J70" s="87" t="n"/>
      <c r="K70" s="87" t="n"/>
      <c r="L70" s="38">
        <f>IF(OR($J70="",$K70=""),"",ROUND($J70-$K70,2))</f>
        <v/>
      </c>
      <c r="M70" s="103">
        <f>IF(OR($L70="",$J70="",$J70=0),"",$L70/$J70)</f>
        <v/>
      </c>
      <c r="N70" s="32" t="n"/>
      <c r="O70" s="31" t="n"/>
    </row>
    <row r="71" ht="17" customHeight="1">
      <c r="A71" s="31" t="n"/>
      <c r="B71" s="101" t="n"/>
      <c r="C71" s="31" t="n"/>
      <c r="D71" s="31" t="n"/>
      <c r="E71" s="32" t="n"/>
      <c r="F71" s="102" t="n"/>
      <c r="G71" s="31" t="n"/>
      <c r="H71" s="31" t="n"/>
      <c r="I71" s="87" t="n"/>
      <c r="J71" s="87" t="n"/>
      <c r="K71" s="87" t="n"/>
      <c r="L71" s="38">
        <f>IF(OR($J71="",$K71=""),"",ROUND($J71-$K71,2))</f>
        <v/>
      </c>
      <c r="M71" s="103">
        <f>IF(OR($L71="",$J71="",$J71=0),"",$L71/$J71)</f>
        <v/>
      </c>
      <c r="N71" s="32" t="n"/>
      <c r="O71" s="31" t="n"/>
    </row>
    <row r="72" ht="17" customHeight="1">
      <c r="A72" s="31" t="n"/>
      <c r="B72" s="101" t="n"/>
      <c r="C72" s="31" t="n"/>
      <c r="D72" s="31" t="n"/>
      <c r="E72" s="32" t="n"/>
      <c r="F72" s="102" t="n"/>
      <c r="G72" s="31" t="n"/>
      <c r="H72" s="31" t="n"/>
      <c r="I72" s="87" t="n"/>
      <c r="J72" s="87" t="n"/>
      <c r="K72" s="87" t="n"/>
      <c r="L72" s="38">
        <f>IF(OR($J72="",$K72=""),"",ROUND($J72-$K72,2))</f>
        <v/>
      </c>
      <c r="M72" s="103">
        <f>IF(OR($L72="",$J72="",$J72=0),"",$L72/$J72)</f>
        <v/>
      </c>
      <c r="N72" s="32" t="n"/>
      <c r="O72" s="31" t="n"/>
    </row>
    <row r="73" ht="17" customHeight="1">
      <c r="A73" s="31" t="n"/>
      <c r="B73" s="101" t="n"/>
      <c r="C73" s="31" t="n"/>
      <c r="D73" s="31" t="n"/>
      <c r="E73" s="32" t="n"/>
      <c r="F73" s="102" t="n"/>
      <c r="G73" s="31" t="n"/>
      <c r="H73" s="31" t="n"/>
      <c r="I73" s="87" t="n"/>
      <c r="J73" s="87" t="n"/>
      <c r="K73" s="87" t="n"/>
      <c r="L73" s="38">
        <f>IF(OR($J73="",$K73=""),"",ROUND($J73-$K73,2))</f>
        <v/>
      </c>
      <c r="M73" s="103">
        <f>IF(OR($L73="",$J73="",$J73=0),"",$L73/$J73)</f>
        <v/>
      </c>
      <c r="N73" s="32" t="n"/>
      <c r="O73" s="31" t="n"/>
    </row>
    <row r="74" ht="17" customHeight="1">
      <c r="A74" s="31" t="n"/>
      <c r="B74" s="101" t="n"/>
      <c r="C74" s="31" t="n"/>
      <c r="D74" s="31" t="n"/>
      <c r="E74" s="32" t="n"/>
      <c r="F74" s="102" t="n"/>
      <c r="G74" s="31" t="n"/>
      <c r="H74" s="31" t="n"/>
      <c r="I74" s="87" t="n"/>
      <c r="J74" s="87" t="n"/>
      <c r="K74" s="87" t="n"/>
      <c r="L74" s="38">
        <f>IF(OR($J74="",$K74=""),"",ROUND($J74-$K74,2))</f>
        <v/>
      </c>
      <c r="M74" s="103">
        <f>IF(OR($L74="",$J74="",$J74=0),"",$L74/$J74)</f>
        <v/>
      </c>
      <c r="N74" s="32" t="n"/>
      <c r="O74" s="31" t="n"/>
    </row>
    <row r="75" ht="17" customHeight="1">
      <c r="A75" s="31" t="n"/>
      <c r="B75" s="101" t="n"/>
      <c r="C75" s="31" t="n"/>
      <c r="D75" s="31" t="n"/>
      <c r="E75" s="32" t="n"/>
      <c r="F75" s="102" t="n"/>
      <c r="G75" s="31" t="n"/>
      <c r="H75" s="31" t="n"/>
      <c r="I75" s="87" t="n"/>
      <c r="J75" s="87" t="n"/>
      <c r="K75" s="87" t="n"/>
      <c r="L75" s="38">
        <f>IF(OR($J75="",$K75=""),"",ROUND($J75-$K75,2))</f>
        <v/>
      </c>
      <c r="M75" s="103">
        <f>IF(OR($L75="",$J75="",$J75=0),"",$L75/$J75)</f>
        <v/>
      </c>
      <c r="N75" s="32" t="n"/>
      <c r="O75" s="31" t="n"/>
    </row>
    <row r="76" ht="17" customHeight="1">
      <c r="A76" s="31" t="n"/>
      <c r="B76" s="101" t="n"/>
      <c r="C76" s="31" t="n"/>
      <c r="D76" s="31" t="n"/>
      <c r="E76" s="32" t="n"/>
      <c r="F76" s="102" t="n"/>
      <c r="G76" s="31" t="n"/>
      <c r="H76" s="31" t="n"/>
      <c r="I76" s="87" t="n"/>
      <c r="J76" s="87" t="n"/>
      <c r="K76" s="87" t="n"/>
      <c r="L76" s="38">
        <f>IF(OR($J76="",$K76=""),"",ROUND($J76-$K76,2))</f>
        <v/>
      </c>
      <c r="M76" s="103">
        <f>IF(OR($L76="",$J76="",$J76=0),"",$L76/$J76)</f>
        <v/>
      </c>
      <c r="N76" s="32" t="n"/>
      <c r="O76" s="31" t="n"/>
    </row>
    <row r="77" ht="17" customHeight="1">
      <c r="A77" s="31" t="n"/>
      <c r="B77" s="101" t="n"/>
      <c r="C77" s="31" t="n"/>
      <c r="D77" s="31" t="n"/>
      <c r="E77" s="32" t="n"/>
      <c r="F77" s="102" t="n"/>
      <c r="G77" s="31" t="n"/>
      <c r="H77" s="31" t="n"/>
      <c r="I77" s="87" t="n"/>
      <c r="J77" s="87" t="n"/>
      <c r="K77" s="87" t="n"/>
      <c r="L77" s="38">
        <f>IF(OR($J77="",$K77=""),"",ROUND($J77-$K77,2))</f>
        <v/>
      </c>
      <c r="M77" s="103">
        <f>IF(OR($L77="",$J77="",$J77=0),"",$L77/$J77)</f>
        <v/>
      </c>
      <c r="N77" s="32" t="n"/>
      <c r="O77" s="31" t="n"/>
    </row>
    <row r="78" ht="17" customHeight="1">
      <c r="A78" s="31" t="n"/>
      <c r="B78" s="101" t="n"/>
      <c r="C78" s="31" t="n"/>
      <c r="D78" s="31" t="n"/>
      <c r="E78" s="32" t="n"/>
      <c r="F78" s="102" t="n"/>
      <c r="G78" s="31" t="n"/>
      <c r="H78" s="31" t="n"/>
      <c r="I78" s="87" t="n"/>
      <c r="J78" s="87" t="n"/>
      <c r="K78" s="87" t="n"/>
      <c r="L78" s="38">
        <f>IF(OR($J78="",$K78=""),"",ROUND($J78-$K78,2))</f>
        <v/>
      </c>
      <c r="M78" s="103">
        <f>IF(OR($L78="",$J78="",$J78=0),"",$L78/$J78)</f>
        <v/>
      </c>
      <c r="N78" s="32" t="n"/>
      <c r="O78" s="31" t="n"/>
    </row>
    <row r="79" ht="17" customHeight="1">
      <c r="A79" s="31" t="n"/>
      <c r="B79" s="101" t="n"/>
      <c r="C79" s="31" t="n"/>
      <c r="D79" s="31" t="n"/>
      <c r="E79" s="32" t="n"/>
      <c r="F79" s="102" t="n"/>
      <c r="G79" s="31" t="n"/>
      <c r="H79" s="31" t="n"/>
      <c r="I79" s="87" t="n"/>
      <c r="J79" s="87" t="n"/>
      <c r="K79" s="87" t="n"/>
      <c r="L79" s="38">
        <f>IF(OR($J79="",$K79=""),"",ROUND($J79-$K79,2))</f>
        <v/>
      </c>
      <c r="M79" s="103">
        <f>IF(OR($L79="",$J79="",$J79=0),"",$L79/$J79)</f>
        <v/>
      </c>
      <c r="N79" s="32" t="n"/>
      <c r="O79" s="31" t="n"/>
    </row>
    <row r="80" ht="17" customHeight="1">
      <c r="A80" s="31" t="n"/>
      <c r="B80" s="101" t="n"/>
      <c r="C80" s="31" t="n"/>
      <c r="D80" s="31" t="n"/>
      <c r="E80" s="32" t="n"/>
      <c r="F80" s="102" t="n"/>
      <c r="G80" s="31" t="n"/>
      <c r="H80" s="31" t="n"/>
      <c r="I80" s="87" t="n"/>
      <c r="J80" s="87" t="n"/>
      <c r="K80" s="87" t="n"/>
      <c r="L80" s="38">
        <f>IF(OR($J80="",$K80=""),"",ROUND($J80-$K80,2))</f>
        <v/>
      </c>
      <c r="M80" s="103">
        <f>IF(OR($L80="",$J80="",$J80=0),"",$L80/$J80)</f>
        <v/>
      </c>
      <c r="N80" s="32" t="n"/>
      <c r="O80" s="31" t="n"/>
    </row>
    <row r="81" ht="17" customHeight="1">
      <c r="A81" s="31" t="n"/>
      <c r="B81" s="101" t="n"/>
      <c r="C81" s="31" t="n"/>
      <c r="D81" s="31" t="n"/>
      <c r="E81" s="32" t="n"/>
      <c r="F81" s="102" t="n"/>
      <c r="G81" s="31" t="n"/>
      <c r="H81" s="31" t="n"/>
      <c r="I81" s="87" t="n"/>
      <c r="J81" s="87" t="n"/>
      <c r="K81" s="87" t="n"/>
      <c r="L81" s="38">
        <f>IF(OR($J81="",$K81=""),"",ROUND($J81-$K81,2))</f>
        <v/>
      </c>
      <c r="M81" s="103">
        <f>IF(OR($L81="",$J81="",$J81=0),"",$L81/$J81)</f>
        <v/>
      </c>
      <c r="N81" s="32" t="n"/>
      <c r="O81" s="31" t="n"/>
    </row>
    <row r="82" ht="17" customHeight="1">
      <c r="A82" s="31" t="n"/>
      <c r="B82" s="101" t="n"/>
      <c r="C82" s="31" t="n"/>
      <c r="D82" s="31" t="n"/>
      <c r="E82" s="32" t="n"/>
      <c r="F82" s="102" t="n"/>
      <c r="G82" s="31" t="n"/>
      <c r="H82" s="31" t="n"/>
      <c r="I82" s="87" t="n"/>
      <c r="J82" s="87" t="n"/>
      <c r="K82" s="87" t="n"/>
      <c r="L82" s="38">
        <f>IF(OR($J82="",$K82=""),"",ROUND($J82-$K82,2))</f>
        <v/>
      </c>
      <c r="M82" s="103">
        <f>IF(OR($L82="",$J82="",$J82=0),"",$L82/$J82)</f>
        <v/>
      </c>
      <c r="N82" s="32" t="n"/>
      <c r="O82" s="31" t="n"/>
    </row>
    <row r="83" ht="17" customHeight="1">
      <c r="A83" s="31" t="n"/>
      <c r="B83" s="101" t="n"/>
      <c r="C83" s="31" t="n"/>
      <c r="D83" s="31" t="n"/>
      <c r="E83" s="32" t="n"/>
      <c r="F83" s="102" t="n"/>
      <c r="G83" s="31" t="n"/>
      <c r="H83" s="31" t="n"/>
      <c r="I83" s="87" t="n"/>
      <c r="J83" s="87" t="n"/>
      <c r="K83" s="87" t="n"/>
      <c r="L83" s="38">
        <f>IF(OR($J83="",$K83=""),"",ROUND($J83-$K83,2))</f>
        <v/>
      </c>
      <c r="M83" s="103">
        <f>IF(OR($L83="",$J83="",$J83=0),"",$L83/$J83)</f>
        <v/>
      </c>
      <c r="N83" s="32" t="n"/>
      <c r="O83" s="31" t="n"/>
    </row>
    <row r="84" ht="17" customHeight="1">
      <c r="A84" s="31" t="n"/>
      <c r="B84" s="101" t="n"/>
      <c r="C84" s="31" t="n"/>
      <c r="D84" s="31" t="n"/>
      <c r="E84" s="32" t="n"/>
      <c r="F84" s="102" t="n"/>
      <c r="G84" s="31" t="n"/>
      <c r="H84" s="31" t="n"/>
      <c r="I84" s="87" t="n"/>
      <c r="J84" s="87" t="n"/>
      <c r="K84" s="87" t="n"/>
      <c r="L84" s="38">
        <f>IF(OR($J84="",$K84=""),"",ROUND($J84-$K84,2))</f>
        <v/>
      </c>
      <c r="M84" s="103">
        <f>IF(OR($L84="",$J84="",$J84=0),"",$L84/$J84)</f>
        <v/>
      </c>
      <c r="N84" s="32" t="n"/>
      <c r="O84" s="31" t="n"/>
    </row>
    <row r="85" ht="17" customHeight="1">
      <c r="A85" s="31" t="n"/>
      <c r="B85" s="101" t="n"/>
      <c r="C85" s="31" t="n"/>
      <c r="D85" s="31" t="n"/>
      <c r="E85" s="32" t="n"/>
      <c r="F85" s="102" t="n"/>
      <c r="G85" s="31" t="n"/>
      <c r="H85" s="31" t="n"/>
      <c r="I85" s="87" t="n"/>
      <c r="J85" s="87" t="n"/>
      <c r="K85" s="87" t="n"/>
      <c r="L85" s="38">
        <f>IF(OR($J85="",$K85=""),"",ROUND($J85-$K85,2))</f>
        <v/>
      </c>
      <c r="M85" s="103">
        <f>IF(OR($L85="",$J85="",$J85=0),"",$L85/$J85)</f>
        <v/>
      </c>
      <c r="N85" s="32" t="n"/>
      <c r="O85" s="31" t="n"/>
    </row>
    <row r="86" ht="17" customHeight="1">
      <c r="A86" s="31" t="n"/>
      <c r="B86" s="101" t="n"/>
      <c r="C86" s="31" t="n"/>
      <c r="D86" s="31" t="n"/>
      <c r="E86" s="32" t="n"/>
      <c r="F86" s="102" t="n"/>
      <c r="G86" s="31" t="n"/>
      <c r="H86" s="31" t="n"/>
      <c r="I86" s="87" t="n"/>
      <c r="J86" s="87" t="n"/>
      <c r="K86" s="87" t="n"/>
      <c r="L86" s="38">
        <f>IF(OR($J86="",$K86=""),"",ROUND($J86-$K86,2))</f>
        <v/>
      </c>
      <c r="M86" s="103">
        <f>IF(OR($L86="",$J86="",$J86=0),"",$L86/$J86)</f>
        <v/>
      </c>
      <c r="N86" s="32" t="n"/>
      <c r="O86" s="31" t="n"/>
    </row>
    <row r="87" ht="17" customHeight="1">
      <c r="A87" s="31" t="n"/>
      <c r="B87" s="101" t="n"/>
      <c r="C87" s="31" t="n"/>
      <c r="D87" s="31" t="n"/>
      <c r="E87" s="32" t="n"/>
      <c r="F87" s="102" t="n"/>
      <c r="G87" s="31" t="n"/>
      <c r="H87" s="31" t="n"/>
      <c r="I87" s="87" t="n"/>
      <c r="J87" s="87" t="n"/>
      <c r="K87" s="87" t="n"/>
      <c r="L87" s="38">
        <f>IF(OR($J87="",$K87=""),"",ROUND($J87-$K87,2))</f>
        <v/>
      </c>
      <c r="M87" s="103">
        <f>IF(OR($L87="",$J87="",$J87=0),"",$L87/$J87)</f>
        <v/>
      </c>
      <c r="N87" s="32" t="n"/>
      <c r="O87" s="31" t="n"/>
    </row>
    <row r="88" ht="17" customHeight="1">
      <c r="A88" s="31" t="n"/>
      <c r="B88" s="101" t="n"/>
      <c r="C88" s="31" t="n"/>
      <c r="D88" s="31" t="n"/>
      <c r="E88" s="32" t="n"/>
      <c r="F88" s="102" t="n"/>
      <c r="G88" s="31" t="n"/>
      <c r="H88" s="31" t="n"/>
      <c r="I88" s="87" t="n"/>
      <c r="J88" s="87" t="n"/>
      <c r="K88" s="87" t="n"/>
      <c r="L88" s="38">
        <f>IF(OR($J88="",$K88=""),"",ROUND($J88-$K88,2))</f>
        <v/>
      </c>
      <c r="M88" s="103">
        <f>IF(OR($L88="",$J88="",$J88=0),"",$L88/$J88)</f>
        <v/>
      </c>
      <c r="N88" s="32" t="n"/>
      <c r="O88" s="31" t="n"/>
    </row>
    <row r="89" ht="17" customHeight="1">
      <c r="A89" s="31" t="n"/>
      <c r="B89" s="101" t="n"/>
      <c r="C89" s="31" t="n"/>
      <c r="D89" s="31" t="n"/>
      <c r="E89" s="32" t="n"/>
      <c r="F89" s="102" t="n"/>
      <c r="G89" s="31" t="n"/>
      <c r="H89" s="31" t="n"/>
      <c r="I89" s="87" t="n"/>
      <c r="J89" s="87" t="n"/>
      <c r="K89" s="87" t="n"/>
      <c r="L89" s="38">
        <f>IF(OR($J89="",$K89=""),"",ROUND($J89-$K89,2))</f>
        <v/>
      </c>
      <c r="M89" s="103">
        <f>IF(OR($L89="",$J89="",$J89=0),"",$L89/$J89)</f>
        <v/>
      </c>
      <c r="N89" s="32" t="n"/>
      <c r="O89" s="31" t="n"/>
    </row>
    <row r="90" ht="17" customHeight="1">
      <c r="A90" s="31" t="n"/>
      <c r="B90" s="101" t="n"/>
      <c r="C90" s="31" t="n"/>
      <c r="D90" s="31" t="n"/>
      <c r="E90" s="32" t="n"/>
      <c r="F90" s="102" t="n"/>
      <c r="G90" s="31" t="n"/>
      <c r="H90" s="31" t="n"/>
      <c r="I90" s="87" t="n"/>
      <c r="J90" s="87" t="n"/>
      <c r="K90" s="87" t="n"/>
      <c r="L90" s="38">
        <f>IF(OR($J90="",$K90=""),"",ROUND($J90-$K90,2))</f>
        <v/>
      </c>
      <c r="M90" s="103">
        <f>IF(OR($L90="",$J90="",$J90=0),"",$L90/$J90)</f>
        <v/>
      </c>
      <c r="N90" s="32" t="n"/>
      <c r="O90" s="31" t="n"/>
    </row>
    <row r="91" ht="17" customHeight="1">
      <c r="A91" s="31" t="n"/>
      <c r="B91" s="101" t="n"/>
      <c r="C91" s="31" t="n"/>
      <c r="D91" s="31" t="n"/>
      <c r="E91" s="32" t="n"/>
      <c r="F91" s="102" t="n"/>
      <c r="G91" s="31" t="n"/>
      <c r="H91" s="31" t="n"/>
      <c r="I91" s="87" t="n"/>
      <c r="J91" s="87" t="n"/>
      <c r="K91" s="87" t="n"/>
      <c r="L91" s="38">
        <f>IF(OR($J91="",$K91=""),"",ROUND($J91-$K91,2))</f>
        <v/>
      </c>
      <c r="M91" s="103">
        <f>IF(OR($L91="",$J91="",$J91=0),"",$L91/$J91)</f>
        <v/>
      </c>
      <c r="N91" s="32" t="n"/>
      <c r="O91" s="31" t="n"/>
    </row>
    <row r="92" ht="17" customHeight="1">
      <c r="A92" s="31" t="n"/>
      <c r="B92" s="101" t="n"/>
      <c r="C92" s="31" t="n"/>
      <c r="D92" s="31" t="n"/>
      <c r="E92" s="32" t="n"/>
      <c r="F92" s="102" t="n"/>
      <c r="G92" s="31" t="n"/>
      <c r="H92" s="31" t="n"/>
      <c r="I92" s="87" t="n"/>
      <c r="J92" s="87" t="n"/>
      <c r="K92" s="87" t="n"/>
      <c r="L92" s="38">
        <f>IF(OR($J92="",$K92=""),"",ROUND($J92-$K92,2))</f>
        <v/>
      </c>
      <c r="M92" s="103">
        <f>IF(OR($L92="",$J92="",$J92=0),"",$L92/$J92)</f>
        <v/>
      </c>
      <c r="N92" s="32" t="n"/>
      <c r="O92" s="31" t="n"/>
    </row>
    <row r="93" ht="17" customHeight="1">
      <c r="A93" s="31" t="n"/>
      <c r="B93" s="101" t="n"/>
      <c r="C93" s="31" t="n"/>
      <c r="D93" s="31" t="n"/>
      <c r="E93" s="32" t="n"/>
      <c r="F93" s="102" t="n"/>
      <c r="G93" s="31" t="n"/>
      <c r="H93" s="31" t="n"/>
      <c r="I93" s="87" t="n"/>
      <c r="J93" s="87" t="n"/>
      <c r="K93" s="87" t="n"/>
      <c r="L93" s="38">
        <f>IF(OR($J93="",$K93=""),"",ROUND($J93-$K93,2))</f>
        <v/>
      </c>
      <c r="M93" s="103">
        <f>IF(OR($L93="",$J93="",$J93=0),"",$L93/$J93)</f>
        <v/>
      </c>
      <c r="N93" s="32" t="n"/>
      <c r="O93" s="31" t="n"/>
    </row>
    <row r="94" ht="17" customHeight="1">
      <c r="A94" s="31" t="n"/>
      <c r="B94" s="101" t="n"/>
      <c r="C94" s="31" t="n"/>
      <c r="D94" s="31" t="n"/>
      <c r="E94" s="32" t="n"/>
      <c r="F94" s="102" t="n"/>
      <c r="G94" s="31" t="n"/>
      <c r="H94" s="31" t="n"/>
      <c r="I94" s="87" t="n"/>
      <c r="J94" s="87" t="n"/>
      <c r="K94" s="87" t="n"/>
      <c r="L94" s="38">
        <f>IF(OR($J94="",$K94=""),"",ROUND($J94-$K94,2))</f>
        <v/>
      </c>
      <c r="M94" s="103">
        <f>IF(OR($L94="",$J94="",$J94=0),"",$L94/$J94)</f>
        <v/>
      </c>
      <c r="N94" s="32" t="n"/>
      <c r="O94" s="31" t="n"/>
    </row>
    <row r="95" ht="17" customHeight="1">
      <c r="A95" s="31" t="n"/>
      <c r="B95" s="101" t="n"/>
      <c r="C95" s="31" t="n"/>
      <c r="D95" s="31" t="n"/>
      <c r="E95" s="32" t="n"/>
      <c r="F95" s="102" t="n"/>
      <c r="G95" s="31" t="n"/>
      <c r="H95" s="31" t="n"/>
      <c r="I95" s="87" t="n"/>
      <c r="J95" s="87" t="n"/>
      <c r="K95" s="87" t="n"/>
      <c r="L95" s="38">
        <f>IF(OR($J95="",$K95=""),"",ROUND($J95-$K95,2))</f>
        <v/>
      </c>
      <c r="M95" s="103">
        <f>IF(OR($L95="",$J95="",$J95=0),"",$L95/$J95)</f>
        <v/>
      </c>
      <c r="N95" s="32" t="n"/>
      <c r="O95" s="31" t="n"/>
    </row>
  </sheetData>
  <mergeCells count="19">
    <mergeCell ref="A7:O7"/>
    <mergeCell ref="D13:F13"/>
    <mergeCell ref="G13:I13"/>
    <mergeCell ref="M13:O13"/>
    <mergeCell ref="A12:C12"/>
    <mergeCell ref="M12:O12"/>
    <mergeCell ref="A3:O3"/>
    <mergeCell ref="A2:O2"/>
    <mergeCell ref="D12:F12"/>
    <mergeCell ref="A8:O8"/>
    <mergeCell ref="J12:L12"/>
    <mergeCell ref="A4:O4"/>
    <mergeCell ref="A13:C13"/>
    <mergeCell ref="A10:O10"/>
    <mergeCell ref="G12:I12"/>
    <mergeCell ref="A9:O9"/>
    <mergeCell ref="J13:L13"/>
    <mergeCell ref="A1:O1"/>
    <mergeCell ref="A6:O6"/>
  </mergeCells>
  <conditionalFormatting sqref="N16:N95">
    <cfRule type="expression" priority="1" dxfId="1">
      <formula>$N16="Fechada"</formula>
    </cfRule>
    <cfRule type="expression" priority="2" dxfId="7">
      <formula>OR($N16="Cancelada",$N16="Suspensa")</formula>
    </cfRule>
  </conditionalFormatting>
  <conditionalFormatting sqref="A16:O95">
    <cfRule type="expression" priority="3" dxfId="8">
      <formula>AND($E16="Urgente",$N16&lt;&gt;"Fechada")</formula>
    </cfRule>
  </conditionalFormatting>
  <dataValidations count="3">
    <dataValidation sqref="E16:E95" showDropDown="0" showInputMessage="0" showErrorMessage="0" allowBlank="1" type="list">
      <formula1>=Listas!$D$2:$D$4</formula1>
    </dataValidation>
    <dataValidation sqref="H16:H95" showDropDown="0" showInputMessage="0" showErrorMessage="0" allowBlank="1" type="list">
      <formula1>=Listas!$C$2:$C$8</formula1>
    </dataValidation>
    <dataValidation sqref="N16:N95" showDropDown="0" showInputMessage="0" showErrorMessage="0" allowBlank="1" type="list">
      <formula1>=Listas!$E$2:$E$7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6" customWidth="1" min="4" max="4"/>
    <col width="24" customWidth="1" min="5" max="5"/>
    <col width="70" customWidth="1" min="7" max="7"/>
  </cols>
  <sheetData>
    <row r="1">
      <c r="A1" s="104" t="inlineStr">
        <is>
          <t>Unidade</t>
        </is>
      </c>
      <c r="B1" s="104" t="inlineStr">
        <is>
          <t>Condição a prazo</t>
        </is>
      </c>
      <c r="C1" s="104" t="inlineStr">
        <is>
          <t>Forma de pagamento</t>
        </is>
      </c>
      <c r="D1" s="104" t="inlineStr">
        <is>
          <t>Prioridade</t>
        </is>
      </c>
      <c r="E1" s="104" t="inlineStr">
        <is>
          <t>Situação da cotação</t>
        </is>
      </c>
      <c r="G1" s="104" t="inlineStr">
        <is>
          <t>Estas listas alimentam os menus suspensos</t>
        </is>
      </c>
    </row>
    <row r="2">
      <c r="A2" s="105" t="inlineStr">
        <is>
          <t>un</t>
        </is>
      </c>
      <c r="B2" s="105" t="inlineStr">
        <is>
          <t>À vista</t>
        </is>
      </c>
      <c r="C2" s="105" t="inlineStr">
        <is>
          <t>PIX à vista</t>
        </is>
      </c>
      <c r="D2" s="105" t="inlineStr">
        <is>
          <t>Normal</t>
        </is>
      </c>
      <c r="E2" s="105" t="inlineStr">
        <is>
          <t>Em cotação</t>
        </is>
      </c>
      <c r="G2" s="106" t="inlineStr">
        <is>
          <t>Pode acrescentar itens no fim de cada coluna — o menu suspenso já cobre linhas de sobra.</t>
        </is>
      </c>
    </row>
    <row r="3">
      <c r="A3" s="105" t="inlineStr">
        <is>
          <t>pç</t>
        </is>
      </c>
      <c r="B3" s="105" t="inlineStr">
        <is>
          <t>7 dias</t>
        </is>
      </c>
      <c r="C3" s="105" t="inlineStr">
        <is>
          <t>Boleto à vista</t>
        </is>
      </c>
      <c r="D3" s="105" t="inlineStr">
        <is>
          <t>Urgente</t>
        </is>
      </c>
      <c r="E3" s="105" t="inlineStr">
        <is>
          <t>Aguardando fornecedor</t>
        </is>
      </c>
      <c r="G3" s="106" t="inlineStr">
        <is>
          <t>Não apague as colunas nem mude a ordem: as validações apontam para posições fixas.</t>
        </is>
      </c>
    </row>
    <row r="4">
      <c r="A4" s="105" t="inlineStr">
        <is>
          <t>cj</t>
        </is>
      </c>
      <c r="B4" s="105" t="inlineStr">
        <is>
          <t>14 dias</t>
        </is>
      </c>
      <c r="C4" s="105" t="inlineStr">
        <is>
          <t>Boleto a prazo</t>
        </is>
      </c>
      <c r="D4" s="105" t="inlineStr">
        <is>
          <t>Programada</t>
        </is>
      </c>
      <c r="E4" s="105" t="inlineStr">
        <is>
          <t>Em análise</t>
        </is>
      </c>
    </row>
    <row r="5">
      <c r="A5" s="105" t="inlineStr">
        <is>
          <t>jg</t>
        </is>
      </c>
      <c r="B5" s="105" t="inlineStr">
        <is>
          <t>21 dias</t>
        </is>
      </c>
      <c r="C5" s="105" t="inlineStr">
        <is>
          <t>Cartão de crédito</t>
        </is>
      </c>
      <c r="E5" s="105" t="inlineStr">
        <is>
          <t>Fechada</t>
        </is>
      </c>
    </row>
    <row r="6">
      <c r="A6" s="105" t="inlineStr">
        <is>
          <t>cx</t>
        </is>
      </c>
      <c r="B6" s="105" t="inlineStr">
        <is>
          <t>28 dias</t>
        </is>
      </c>
      <c r="C6" s="105" t="inlineStr">
        <is>
          <t>Transferência</t>
        </is>
      </c>
      <c r="E6" s="105" t="inlineStr">
        <is>
          <t>Cancelada</t>
        </is>
      </c>
    </row>
    <row r="7">
      <c r="A7" s="105" t="inlineStr">
        <is>
          <t>pct</t>
        </is>
      </c>
      <c r="B7" s="105" t="inlineStr">
        <is>
          <t>30 dias</t>
        </is>
      </c>
      <c r="C7" s="105" t="inlineStr">
        <is>
          <t>Dinheiro</t>
        </is>
      </c>
      <c r="E7" s="105" t="inlineStr">
        <is>
          <t>Suspensa</t>
        </is>
      </c>
    </row>
    <row r="8">
      <c r="A8" s="105" t="inlineStr">
        <is>
          <t>m</t>
        </is>
      </c>
      <c r="B8" s="105" t="inlineStr">
        <is>
          <t>30/60</t>
        </is>
      </c>
      <c r="C8" s="105" t="inlineStr">
        <is>
          <t>A combinar</t>
        </is>
      </c>
    </row>
    <row r="9">
      <c r="A9" s="105" t="inlineStr">
        <is>
          <t>m²</t>
        </is>
      </c>
      <c r="B9" s="105" t="inlineStr">
        <is>
          <t>30/60/90</t>
        </is>
      </c>
    </row>
    <row r="10">
      <c r="A10" s="105" t="inlineStr">
        <is>
          <t>m³</t>
        </is>
      </c>
      <c r="B10" s="105" t="inlineStr">
        <is>
          <t>2x sem juros</t>
        </is>
      </c>
    </row>
    <row r="11">
      <c r="A11" s="105" t="inlineStr">
        <is>
          <t>ml</t>
        </is>
      </c>
      <c r="B11" s="105" t="inlineStr">
        <is>
          <t>3x sem juros</t>
        </is>
      </c>
    </row>
    <row r="12">
      <c r="A12" s="105" t="inlineStr">
        <is>
          <t>kg</t>
        </is>
      </c>
      <c r="B12" s="105" t="inlineStr">
        <is>
          <t>Parcelado no cartão</t>
        </is>
      </c>
    </row>
    <row r="13">
      <c r="A13" s="105" t="inlineStr">
        <is>
          <t>L</t>
        </is>
      </c>
      <c r="B13" s="105" t="inlineStr">
        <is>
          <t>Entrada + saldo</t>
        </is>
      </c>
    </row>
    <row r="14">
      <c r="A14" s="105" t="inlineStr">
        <is>
          <t>chapa</t>
        </is>
      </c>
      <c r="B14" s="105" t="inlineStr">
        <is>
          <t>A combinar</t>
        </is>
      </c>
    </row>
    <row r="15">
      <c r="A15" s="105" t="inlineStr">
        <is>
          <t>barra</t>
        </is>
      </c>
    </row>
    <row r="16">
      <c r="A16" s="105" t="inlineStr">
        <is>
          <t>rolo</t>
        </is>
      </c>
    </row>
    <row r="17">
      <c r="A17" s="105" t="inlineStr">
        <is>
          <t>par</t>
        </is>
      </c>
    </row>
    <row r="18">
      <c r="A18" s="105" t="inlineStr">
        <is>
          <t>serviço</t>
        </is>
      </c>
    </row>
    <row r="19">
      <c r="A19" s="105" t="inlineStr">
        <is>
          <t>verba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2026-08-14T14:40:33Z</dcterms:created>
  <dcterms:modified xsi:type="dcterms:W3CDTF">2026-08-14T14:40:34Z</dcterms:modified>
</cp:coreProperties>
</file>