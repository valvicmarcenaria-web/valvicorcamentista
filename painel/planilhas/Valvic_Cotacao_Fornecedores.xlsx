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otação" sheetId="2" state="visible" r:id="rId2"/>
    <sheet name="Pedido de Cotação" sheetId="3" state="visible" r:id="rId3"/>
    <sheet name="Exemplo" sheetId="4" state="visible" r:id="rId4"/>
    <sheet name="Mapa de Cotações" sheetId="5" state="visible" r:id="rId5"/>
    <sheet name="Listas" sheetId="6" state="visible" r:id="rId6"/>
  </sheets>
  <definedNames>
    <definedName name="_xlnm.Print_Area" localSheetId="0">'Instruções'!$A$1:$F$42</definedName>
    <definedName name="_xlnm.Print_Area" localSheetId="1">'Cotação'!$A$1:$P$69</definedName>
    <definedName name="_xlnm.Print_Area" localSheetId="2">'Pedido de Cotação'!$A$1:$G$67</definedName>
    <definedName name="_xlnm.Print_Area" localSheetId="3">'Exemplo'!$A$1:$P$69</definedName>
    <definedName name="_xlnm.Print_Area" localSheetId="4">'Mapa de Cotações'!$A$1:$O$89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.##"/>
    <numFmt numFmtId="166" formatCode="R$ #,##0.00"/>
    <numFmt numFmtId="167" formatCode="0.0%"/>
    <numFmt numFmtId="168" formatCode="0 &quot;dias&quot;"/>
    <numFmt numFmtId="169" formatCode="R$ #,##0"/>
  </numFmts>
  <fonts count="4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9FB0C4"/>
      <sz val="8"/>
    </font>
    <font>
      <name val="Arial"/>
      <b val="1"/>
      <color rgb="00FFFFFF"/>
      <sz val="15"/>
    </font>
    <font>
      <name val="Arial"/>
      <i val="1"/>
      <color rgb="007A5B17"/>
      <sz val="8.5"/>
    </font>
    <font>
      <name val="Arial"/>
      <b val="1"/>
      <color rgb="006C7785"/>
      <sz val="8"/>
    </font>
    <font>
      <name val="Arial"/>
      <b val="1"/>
      <color rgb="0016314F"/>
      <sz val="10.5"/>
    </font>
    <font>
      <name val="Arial"/>
      <b val="1"/>
      <color rgb="000E2038"/>
      <sz val="9"/>
    </font>
    <font>
      <name val="Arial"/>
      <b val="1"/>
      <color rgb="000E2038"/>
      <sz val="9.5"/>
    </font>
    <font>
      <name val="Arial"/>
      <color rgb="006C7785"/>
      <sz val="8.5"/>
    </font>
    <font>
      <name val="Arial"/>
      <b val="1"/>
      <color rgb="000E2038"/>
      <sz val="11"/>
    </font>
    <font>
      <name val="Arial"/>
      <color rgb="001B2733"/>
      <sz val="8.5"/>
    </font>
    <font>
      <name val="Arial"/>
      <b val="1"/>
      <color rgb="00FFFFFF"/>
      <sz val="9.5"/>
    </font>
    <font>
      <name val="Arial"/>
      <i val="1"/>
      <color rgb="006C7785"/>
      <sz val="8"/>
    </font>
    <font>
      <name val="Arial"/>
      <b val="1"/>
      <color rgb="00FFFFFF"/>
      <sz val="8.5"/>
    </font>
    <font>
      <name val="Arial"/>
      <color rgb="001B2733"/>
      <sz val="9.5"/>
    </font>
    <font>
      <name val="Arial"/>
      <b val="1"/>
      <color rgb="0016314F"/>
      <sz val="9.5"/>
    </font>
    <font>
      <name val="Arial"/>
      <color rgb="0016314F"/>
      <sz val="9.5"/>
    </font>
    <font>
      <name val="Arial"/>
      <b val="1"/>
      <color rgb="002F7D4F"/>
      <sz val="9.5"/>
    </font>
    <font>
      <name val="Arial"/>
      <b val="1"/>
      <color rgb="0016314F"/>
      <sz val="8.5"/>
    </font>
    <font>
      <name val="Arial"/>
      <color rgb="001B2733"/>
      <sz val="9"/>
    </font>
    <font>
      <name val="Arial"/>
      <b val="1"/>
      <color rgb="007A5B17"/>
      <sz val="9"/>
    </font>
    <font>
      <name val="Arial"/>
      <b val="1"/>
      <color rgb="007A5B17"/>
      <sz val="9.5"/>
    </font>
    <font>
      <name val="Arial"/>
      <b val="1"/>
      <color rgb="00FFFFFF"/>
      <sz val="11.5"/>
    </font>
    <font>
      <name val="Arial"/>
      <i val="1"/>
      <color rgb="00D8BD80"/>
      <sz val="8"/>
    </font>
    <font>
      <name val="Arial"/>
      <b val="1"/>
      <color rgb="0016314F"/>
      <sz val="9"/>
    </font>
    <font>
      <name val="Arial"/>
      <b val="1"/>
      <color rgb="002F7D4F"/>
      <sz val="9"/>
    </font>
    <font>
      <name val="Arial"/>
      <b val="1"/>
      <color rgb="000E2038"/>
      <sz val="10"/>
    </font>
    <font>
      <name val="Arial"/>
      <b val="1"/>
      <color rgb="002F7D4F"/>
      <sz val="12"/>
    </font>
    <font>
      <name val="Arial"/>
      <b val="1"/>
      <color rgb="002F5D8C"/>
      <sz val="9"/>
    </font>
    <font>
      <name val="Arial"/>
      <b val="1"/>
      <color rgb="002F5D8C"/>
      <sz val="12"/>
    </font>
    <font>
      <name val="Arial"/>
      <b val="1"/>
      <color rgb="00B57A16"/>
      <sz val="9"/>
    </font>
    <font>
      <name val="Arial"/>
      <b val="1"/>
      <color rgb="00B57A16"/>
      <sz val="12"/>
    </font>
    <font>
      <name val="Arial"/>
      <i val="1"/>
      <color rgb="006C7785"/>
      <sz val="9"/>
    </font>
    <font>
      <name val="Arial"/>
      <b val="1"/>
      <color rgb="0016314F"/>
      <sz val="12"/>
    </font>
    <font>
      <name val="Arial"/>
      <color rgb="0041505D"/>
      <sz val="8.5"/>
    </font>
    <font>
      <name val="Arial"/>
      <b val="1"/>
      <color rgb="006C7785"/>
      <sz val="8.5"/>
    </font>
    <font>
      <name val="Arial"/>
      <b val="1"/>
      <color rgb="0016314F"/>
      <sz val="10"/>
    </font>
    <font>
      <name val="Arial"/>
      <color rgb="006C7785"/>
      <sz val="9"/>
    </font>
    <font>
      <name val="Arial"/>
      <color rgb="001B2733"/>
      <sz val="10"/>
    </font>
    <font>
      <name val="Arial"/>
      <b val="1"/>
      <color rgb="000E2038"/>
      <sz val="15"/>
    </font>
    <font>
      <name val="Arial"/>
      <b val="1"/>
      <color rgb="00FFFFFF"/>
      <sz val="9"/>
    </font>
    <font>
      <name val="Arial"/>
      <color rgb="0041505D"/>
      <sz val="9"/>
    </font>
    <font>
      <name val="Arial"/>
      <color rgb="002A3744"/>
      <sz val="10"/>
    </font>
  </fonts>
  <fills count="11">
    <fill>
      <patternFill/>
    </fill>
    <fill>
      <patternFill patternType="gray125"/>
    </fill>
    <fill>
      <patternFill patternType="solid">
        <fgColor rgb="000E2038"/>
      </patternFill>
    </fill>
    <fill>
      <patternFill patternType="solid">
        <fgColor rgb="0016314F"/>
      </patternFill>
    </fill>
    <fill>
      <patternFill patternType="solid">
        <fgColor rgb="00F6EDD6"/>
      </patternFill>
    </fill>
    <fill>
      <patternFill patternType="solid">
        <fgColor rgb="00FFFFFF"/>
      </patternFill>
    </fill>
    <fill>
      <patternFill patternType="solid">
        <fgColor rgb="00FFF9E3"/>
      </patternFill>
    </fill>
    <fill>
      <patternFill patternType="solid">
        <fgColor rgb="00F4F6F8"/>
      </patternFill>
    </fill>
    <fill>
      <patternFill patternType="solid">
        <fgColor rgb="00E2F0E7"/>
      </patternFill>
    </fill>
    <fill>
      <patternFill patternType="solid">
        <fgColor rgb="00E7EEF6"/>
      </patternFill>
    </fill>
    <fill>
      <patternFill patternType="solid">
        <fgColor rgb="00FBF1DC"/>
      </patternFill>
    </fill>
  </fills>
  <borders count="5">
    <border>
      <left/>
      <right/>
      <top/>
      <bottom/>
      <diagonal/>
    </border>
    <border>
      <left style="thin">
        <color rgb="00E8E3D8"/>
      </left>
      <right style="thin">
        <color rgb="00E8E3D8"/>
      </right>
      <bottom style="thin">
        <color rgb="00E8E3D8"/>
      </bottom>
    </border>
    <border>
      <bottom style="medium">
        <color rgb="00C2A05A"/>
      </bottom>
    </border>
    <border>
      <left style="thin">
        <color rgb="0016314F"/>
      </left>
      <right style="thin">
        <color rgb="0016314F"/>
      </right>
      <bottom style="medium">
        <color rgb="00C2A05A"/>
      </bottom>
    </border>
    <border>
      <bottom style="thin">
        <color rgb="00DFDACD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4" borderId="2" applyAlignment="1" pivotButton="0" quotePrefix="0" xfId="0">
      <alignment horizontal="left" vertical="center"/>
    </xf>
    <xf numFmtId="0" fontId="0" fillId="4" borderId="2" pivotButton="0" quotePrefix="0" xfId="0"/>
    <xf numFmtId="0" fontId="43" fillId="0" borderId="0" applyAlignment="1" pivotButton="0" quotePrefix="0" xfId="0">
      <alignment horizontal="left" vertical="center" wrapText="1"/>
    </xf>
    <xf numFmtId="0" fontId="21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0" fillId="6" borderId="1" pivotButton="0" quotePrefix="0" xfId="0"/>
    <xf numFmtId="164" fontId="6" fillId="6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right" vertical="center" indent="1"/>
    </xf>
    <xf numFmtId="0" fontId="0" fillId="7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9" fillId="7" borderId="1" applyAlignment="1" pivotButton="0" quotePrefix="0" xfId="0">
      <alignment horizontal="right" vertical="center" inden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3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center" vertical="center"/>
    </xf>
    <xf numFmtId="165" fontId="16" fillId="6" borderId="1" applyAlignment="1" pivotButton="0" quotePrefix="0" xfId="0">
      <alignment horizontal="center" vertical="center"/>
    </xf>
    <xf numFmtId="166" fontId="17" fillId="6" borderId="1" applyAlignment="1" pivotButton="0" quotePrefix="0" xfId="0">
      <alignment horizontal="right" vertical="center" indent="1"/>
    </xf>
    <xf numFmtId="166" fontId="17" fillId="7" borderId="1" applyAlignment="1" pivotButton="0" quotePrefix="0" xfId="0">
      <alignment horizontal="right" vertical="center" indent="1"/>
    </xf>
    <xf numFmtId="166" fontId="18" fillId="7" borderId="1" applyAlignment="1" pivotButton="0" quotePrefix="0" xfId="0">
      <alignment horizontal="right" vertical="center" indent="1"/>
    </xf>
    <xf numFmtId="0" fontId="19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indent="1"/>
    </xf>
    <xf numFmtId="0" fontId="20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0" fontId="17" fillId="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 indent="1"/>
    </xf>
    <xf numFmtId="0" fontId="25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right" vertical="center" indent="1"/>
    </xf>
    <xf numFmtId="0" fontId="0" fillId="4" borderId="1" pivotButton="0" quotePrefix="0" xfId="0"/>
    <xf numFmtId="167" fontId="22" fillId="6" borderId="1" applyAlignment="1" pivotButton="0" quotePrefix="0" xfId="0">
      <alignment horizontal="center" vertical="center"/>
    </xf>
    <xf numFmtId="166" fontId="22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right" vertical="center" indent="1"/>
    </xf>
    <xf numFmtId="166" fontId="2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4" fillId="3" borderId="1" applyAlignment="1" pivotButton="0" quotePrefix="0" xfId="0">
      <alignment horizontal="left" vertical="center" wrapText="1" indent="1"/>
    </xf>
    <xf numFmtId="0" fontId="22" fillId="6" borderId="1" applyAlignment="1" pivotButton="0" quotePrefix="0" xfId="0">
      <alignment horizontal="center" vertical="center"/>
    </xf>
    <xf numFmtId="168" fontId="22" fillId="6" borderId="1" applyAlignment="1" pivotButton="0" quotePrefix="0" xfId="0">
      <alignment horizontal="center" vertical="center"/>
    </xf>
    <xf numFmtId="164" fontId="22" fillId="6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right" vertical="center" indent="1"/>
    </xf>
    <xf numFmtId="0" fontId="0" fillId="8" borderId="1" pivotButton="0" quotePrefix="0" xfId="0"/>
    <xf numFmtId="0" fontId="27" fillId="8" borderId="1" applyAlignment="1" pivotButton="0" quotePrefix="0" xfId="0">
      <alignment horizontal="center" vertical="center"/>
    </xf>
    <xf numFmtId="166" fontId="28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right" vertical="center" indent="1"/>
    </xf>
    <xf numFmtId="0" fontId="0" fillId="9" borderId="1" pivotButton="0" quotePrefix="0" xfId="0"/>
    <xf numFmtId="0" fontId="27" fillId="9" borderId="1" applyAlignment="1" pivotButton="0" quotePrefix="0" xfId="0">
      <alignment horizontal="center" vertical="center"/>
    </xf>
    <xf numFmtId="166" fontId="3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right" vertical="center" indent="1"/>
    </xf>
    <xf numFmtId="0" fontId="0" fillId="10" borderId="1" pivotButton="0" quotePrefix="0" xfId="0"/>
    <xf numFmtId="0" fontId="27" fillId="10" borderId="1" applyAlignment="1" pivotButton="0" quotePrefix="0" xfId="0">
      <alignment horizontal="center" vertical="center"/>
    </xf>
    <xf numFmtId="166" fontId="32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 wrapText="1"/>
    </xf>
    <xf numFmtId="0" fontId="25" fillId="7" borderId="1" applyAlignment="1" pivotButton="0" quotePrefix="0" xfId="0">
      <alignment horizontal="right" vertical="center" indent="1"/>
    </xf>
    <xf numFmtId="0" fontId="33" fillId="7" borderId="1" applyAlignment="1" pivotButton="0" quotePrefix="0" xfId="0">
      <alignment horizontal="center" vertical="center"/>
    </xf>
    <xf numFmtId="166" fontId="34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left" vertical="center" wrapText="1" indent="1"/>
    </xf>
    <xf numFmtId="0" fontId="36" fillId="5" borderId="0" applyAlignment="1" pivotButton="0" quotePrefix="0" xfId="0">
      <alignment horizontal="right" vertical="center" indent="1"/>
    </xf>
    <xf numFmtId="0" fontId="37" fillId="6" borderId="1" applyAlignment="1" pivotButton="0" quotePrefix="0" xfId="0">
      <alignment horizontal="center" vertical="center"/>
    </xf>
    <xf numFmtId="0" fontId="13" fillId="5" borderId="0" applyAlignment="1" pivotButton="0" quotePrefix="0" xfId="0">
      <alignment horizontal="left" vertical="center" indent="1"/>
    </xf>
    <xf numFmtId="0" fontId="38" fillId="5" borderId="1" applyAlignment="1" pivotButton="0" quotePrefix="0" xfId="0">
      <alignment horizontal="right" vertical="center" indent="1"/>
    </xf>
    <xf numFmtId="0" fontId="37" fillId="7" borderId="1" applyAlignment="1" pivotButton="0" quotePrefix="0" xfId="0">
      <alignment horizontal="left" vertical="center" indent="1"/>
    </xf>
    <xf numFmtId="164" fontId="37" fillId="7" borderId="1" applyAlignment="1" pivotButton="0" quotePrefix="0" xfId="0">
      <alignment horizontal="left" vertical="center" indent="1"/>
    </xf>
    <xf numFmtId="0" fontId="39" fillId="6" borderId="1" applyAlignment="1" pivotButton="0" quotePrefix="0" xfId="0">
      <alignment horizontal="left" vertical="center" indent="1"/>
    </xf>
    <xf numFmtId="0" fontId="15" fillId="7" borderId="1" applyAlignment="1" pivotButton="0" quotePrefix="0" xfId="0">
      <alignment horizontal="left" vertical="center" indent="1"/>
    </xf>
    <xf numFmtId="0" fontId="15" fillId="7" borderId="1" applyAlignment="1" pivotButton="0" quotePrefix="0" xfId="0">
      <alignment horizontal="center" vertical="center"/>
    </xf>
    <xf numFmtId="165" fontId="15" fillId="7" borderId="1" applyAlignment="1" pivotButton="0" quotePrefix="0" xfId="0">
      <alignment horizontal="center" vertical="center"/>
    </xf>
    <xf numFmtId="166" fontId="15" fillId="6" borderId="1" applyAlignment="1" pivotButton="0" quotePrefix="0" xfId="0">
      <alignment horizontal="right" vertical="center" indent="1"/>
    </xf>
    <xf numFmtId="0" fontId="27" fillId="4" borderId="1" applyAlignment="1" pivotButton="0" quotePrefix="0" xfId="0">
      <alignment horizontal="right" vertical="center" indent="1"/>
    </xf>
    <xf numFmtId="166" fontId="10" fillId="4" borderId="1" applyAlignment="1" pivotButton="0" quotePrefix="0" xfId="0">
      <alignment horizontal="right" vertical="center" indent="1"/>
    </xf>
    <xf numFmtId="0" fontId="15" fillId="5" borderId="1" applyAlignment="1" pivotButton="0" quotePrefix="0" xfId="0">
      <alignment horizontal="right" vertical="center" indent="1"/>
    </xf>
    <xf numFmtId="167" fontId="37" fillId="6" borderId="1" applyAlignment="1" pivotButton="0" quotePrefix="0" xfId="0">
      <alignment horizontal="left" vertical="center" indent="1"/>
    </xf>
    <xf numFmtId="166" fontId="37" fillId="6" borderId="1" applyAlignment="1" pivotButton="0" quotePrefix="0" xfId="0">
      <alignment horizontal="left" vertical="center" indent="1"/>
    </xf>
    <xf numFmtId="0" fontId="37" fillId="6" borderId="1" applyAlignment="1" pivotButton="0" quotePrefix="0" xfId="0">
      <alignment horizontal="left" vertical="center" indent="1"/>
    </xf>
    <xf numFmtId="168" fontId="37" fillId="6" borderId="1" applyAlignment="1" pivotButton="0" quotePrefix="0" xfId="0">
      <alignment horizontal="left" vertical="center" indent="1"/>
    </xf>
    <xf numFmtId="164" fontId="37" fillId="6" borderId="1" applyAlignment="1" pivotButton="0" quotePrefix="0" xfId="0">
      <alignment horizontal="left" vertical="center" indent="1"/>
    </xf>
    <xf numFmtId="0" fontId="9" fillId="5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" fontId="40" fillId="4" borderId="1" applyAlignment="1" pivotButton="0" quotePrefix="0" xfId="0">
      <alignment horizontal="center" vertical="center"/>
    </xf>
    <xf numFmtId="169" fontId="40" fillId="4" borderId="1" applyAlignment="1" pivotButton="0" quotePrefix="0" xfId="0">
      <alignment horizontal="center" vertical="center"/>
    </xf>
    <xf numFmtId="167" fontId="40" fillId="4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167" fontId="17" fillId="7" borderId="1" applyAlignment="1" pivotButton="0" quotePrefix="0" xfId="0">
      <alignment horizontal="center" vertical="center"/>
    </xf>
    <xf numFmtId="0" fontId="41" fillId="3" borderId="0" applyAlignment="1" pivotButton="0" quotePrefix="0" xfId="0">
      <alignment horizontal="center" vertical="center"/>
    </xf>
    <xf numFmtId="0" fontId="39" fillId="0" borderId="4" pivotButton="0" quotePrefix="0" xfId="0"/>
    <xf numFmtId="0" fontId="42" fillId="0" borderId="0" pivotButton="0" quotePrefix="0" xfId="0"/>
  </cellXfs>
  <cellStyles count="1">
    <cellStyle name="Normal" xfId="0" builtinId="0" hidden="0"/>
  </cellStyles>
  <dxfs count="7">
    <dxf>
      <fill>
        <patternFill patternType="solid">
          <fgColor rgb="00FBE7E6"/>
        </patternFill>
      </fill>
    </dxf>
    <dxf>
      <font>
        <b val="1"/>
        <color rgb="002F7D4F"/>
      </font>
      <fill>
        <patternFill patternType="solid">
          <fgColor rgb="00E2F0E7"/>
        </patternFill>
      </fill>
    </dxf>
    <dxf>
      <font>
        <b val="1"/>
        <color rgb="00B57A16"/>
      </font>
      <fill>
        <patternFill patternType="solid">
          <fgColor rgb="00FBF1DC"/>
        </patternFill>
      </fill>
    </dxf>
    <dxf>
      <font>
        <b val="1"/>
        <color rgb="00B0413F"/>
      </font>
      <fill>
        <patternFill patternType="solid">
          <fgColor rgb="00FBE7E6"/>
        </patternFill>
      </fill>
    </dxf>
    <dxf>
      <font>
        <b val="1"/>
        <color rgb="000E2038"/>
      </font>
      <fill>
        <patternFill patternType="solid">
          <fgColor rgb="00C2A05A"/>
        </patternFill>
      </fill>
    </dxf>
    <dxf>
      <font>
        <color rgb="00B0413F"/>
      </font>
      <fill>
        <patternFill patternType="solid">
          <fgColor rgb="00FBE7E6"/>
        </patternFill>
      </fill>
    </dxf>
    <dxf>
      <fill>
        <patternFill patternType="solid">
          <fgColor rgb="00FDF3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30" customWidth="1" min="3" max="3"/>
    <col width="30" customWidth="1" min="4" max="4"/>
    <col width="30" customWidth="1" min="5" max="5"/>
    <col width="12" customWidth="1" min="6" max="6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</row>
    <row r="3" ht="28" customHeight="1">
      <c r="A3" s="4" t="inlineStr">
        <is>
          <t>COMO USAR ESTA PLANILHA</t>
        </is>
      </c>
      <c r="B3" s="5" t="n"/>
      <c r="C3" s="5" t="n"/>
      <c r="D3" s="5" t="n"/>
      <c r="E3" s="5" t="n"/>
      <c r="F3" s="5" t="n"/>
    </row>
    <row r="4" ht="17" customHeight="1">
      <c r="A4" s="6" t="inlineStr">
        <is>
          <t>Cotação comparativa de fornecedores · demandas pontuais</t>
        </is>
      </c>
      <c r="B4" s="7" t="n"/>
      <c r="C4" s="7" t="n"/>
      <c r="D4" s="7" t="n"/>
      <c r="E4" s="7" t="n"/>
      <c r="F4" s="7" t="n"/>
    </row>
    <row r="6" ht="20" customHeight="1">
      <c r="A6" s="8" t="inlineStr">
        <is>
          <t xml:space="preserve">  O QUE ESTA PLANILHA RESOLVE</t>
        </is>
      </c>
      <c r="B6" s="9" t="n"/>
      <c r="C6" s="9" t="n"/>
      <c r="D6" s="9" t="n"/>
      <c r="E6" s="9" t="n"/>
      <c r="F6" s="9" t="n"/>
    </row>
    <row r="7" ht="4" customHeight="1"/>
    <row r="8" ht="30" customHeight="1">
      <c r="A8" s="10" t="inlineStr">
        <is>
          <t xml:space="preserve">   Você tem uma demanda pontual — ferragens de uma obra, um lote de chapas, um serviço terceirizado — e precisa comparar até quatro fornecedores sem se perder em conversa de WhatsApp.</t>
        </is>
      </c>
    </row>
    <row r="9" ht="30" customHeight="1">
      <c r="A9" s="10" t="inlineStr">
        <is>
          <t xml:space="preserve">   A planilha faz três coisas que a conta de cabeça não faz: mostra quem tem o pedido COMPLETO, mostra o custo real depois de imposto e frete, e separa o preço À VISTA do preço A PRAZO.</t>
        </is>
      </c>
    </row>
    <row r="10" ht="8" customHeight="1"/>
    <row r="11" ht="20" customHeight="1">
      <c r="A11" s="8" t="inlineStr">
        <is>
          <t xml:space="preserve">  O PASSO A PASSO</t>
        </is>
      </c>
      <c r="B11" s="9" t="n"/>
      <c r="C11" s="9" t="n"/>
      <c r="D11" s="9" t="n"/>
      <c r="E11" s="9" t="n"/>
      <c r="F11" s="9" t="n"/>
    </row>
    <row r="12" ht="4" customHeight="1"/>
    <row r="13" ht="30" customHeight="1">
      <c r="A13" s="10" t="inlineStr">
        <is>
          <t xml:space="preserve">   1 · Clique com o botão direito na aba "Cotação" → Mover ou copiar → marque "Criar uma cópia". Renomeie a cópia (ex.: COT-2026-015 Chapas).</t>
        </is>
      </c>
    </row>
    <row r="14" ht="24" customHeight="1">
      <c r="A14" s="10" t="inlineStr">
        <is>
          <t xml:space="preserve">   2 · Na cópia, preencha a identificação (número, demanda, solicitante, data, prazo de resposta).</t>
        </is>
      </c>
    </row>
    <row r="15" ht="30" customHeight="1">
      <c r="A15" s="10" t="inlineStr">
        <is>
          <t xml:space="preserve">   3 · Liste os itens: descrição, unidade e quantidade. Uma linha por item, com especificação clara — medida, cor, acabamento, marca de referência.</t>
        </is>
      </c>
    </row>
    <row r="16" ht="24" customHeight="1">
      <c r="A16" s="10" t="inlineStr">
        <is>
          <t xml:space="preserve">   4 · Escreva o nome dos quatro fornecedores nas faixas creme e o vendedor com o contato logo abaixo.</t>
        </is>
      </c>
    </row>
    <row r="17" ht="30" customHeight="1">
      <c r="A17" s="10" t="inlineStr">
        <is>
          <t xml:space="preserve">   5 · Se quiser mandar o pedido formatado, vá na aba "Pedido de Cotação", escreva o nome da sua aba no campo do topo e imprima ou salve em PDF. Ela puxa os itens sozinha.</t>
        </is>
      </c>
    </row>
    <row r="18" ht="24" customHeight="1">
      <c r="A18" s="10" t="inlineStr">
        <is>
          <t xml:space="preserve">   6 · Conforme as respostas chegam, digite só o VALOR UNITÁRIO de cada fornecedor. O total sai sozinho.</t>
        </is>
      </c>
    </row>
    <row r="19" ht="30" customHeight="1">
      <c r="A19" s="10" t="inlineStr">
        <is>
          <t xml:space="preserve">   7 · Preencha por fornecedor: % de imposto adicional, frete, % de desconto à vista, condição e % de acréscimo a prazo, prazo de entrega e validade.</t>
        </is>
      </c>
    </row>
    <row r="20" ht="18" customHeight="1">
      <c r="A20" s="10" t="inlineStr">
        <is>
          <t xml:space="preserve">   8 · Leia o VEREDITO no rodapé e registre o resultado na aba "Mapa de Cotações".</t>
        </is>
      </c>
    </row>
    <row r="21" ht="8" customHeight="1"/>
    <row r="22" ht="20" customHeight="1">
      <c r="A22" s="8" t="inlineStr">
        <is>
          <t xml:space="preserve">  A REGRA MAIS IMPORTANTE</t>
        </is>
      </c>
      <c r="B22" s="9" t="n"/>
      <c r="C22" s="9" t="n"/>
      <c r="D22" s="9" t="n"/>
      <c r="E22" s="9" t="n"/>
      <c r="F22" s="9" t="n"/>
    </row>
    <row r="23" ht="4" customHeight="1"/>
    <row r="24" ht="24" customHeight="1">
      <c r="A24" s="10" t="inlineStr">
        <is>
          <t xml:space="preserve">   Se o fornecedor NÃO tem um item, deixe o preço em branco. Não escreva zero, não escreva traço.</t>
        </is>
      </c>
    </row>
    <row r="25" ht="30" customHeight="1">
      <c r="A25" s="10" t="inlineStr">
        <is>
          <t xml:space="preserve">   A célula fica avermelhada e a planilha passa a contar aquele fornecedor como PARCIAL — é assim que ela sabe quem entrega o pedido inteiro e quem vai te obrigar a abrir uma segunda compra.</t>
        </is>
      </c>
    </row>
    <row r="26" ht="8" customHeight="1"/>
    <row r="27" ht="20" customHeight="1">
      <c r="A27" s="8" t="inlineStr">
        <is>
          <t xml:space="preserve">  COMO LER O RESULTADO</t>
        </is>
      </c>
      <c r="B27" s="9" t="n"/>
      <c r="C27" s="9" t="n"/>
      <c r="D27" s="9" t="n"/>
      <c r="E27" s="9" t="n"/>
      <c r="F27" s="9" t="n"/>
    </row>
    <row r="28" ht="4" customHeight="1"/>
    <row r="29" ht="30" customHeight="1">
      <c r="A29" s="10" t="inlineStr">
        <is>
          <t xml:space="preserve">   Situação do pedido — COMPLETO (verde) atende tudo; PARCIAL (âmbar) mostra quantos itens faltam; NÃO COTOU (vermelho) não respondeu.</t>
        </is>
      </c>
    </row>
    <row r="30" ht="30" customHeight="1">
      <c r="A30" s="10" t="inlineStr">
        <is>
          <t xml:space="preserve">   Total à vista e Total a prazo — já contêm imposto, frete, desconto e acréscimo. O menor de cada linha fica com fundo dourado.</t>
        </is>
      </c>
    </row>
    <row r="31" ht="30" customHeight="1">
      <c r="A31" s="10" t="inlineStr">
        <is>
          <t xml:space="preserve">   Custo do prazo — quanto o parcelamento custa em reais. Compare com o alívio que aquele prazo dá no caixa antes de decidir.</t>
        </is>
      </c>
    </row>
    <row r="32" ht="30" customHeight="1">
      <c r="A32" s="10" t="inlineStr">
        <is>
          <t xml:space="preserve">   Melhor à vista entre os completos — este é o número que costuma valer a decisão: o mais barato que entrega tudo de uma vez.</t>
        </is>
      </c>
    </row>
    <row r="33" ht="30" customHeight="1">
      <c r="A33" s="10" t="inlineStr">
        <is>
          <t xml:space="preserve">   Compra fracionada — soma o melhor preço de cada item. É SEM imposto e frete e envolve várias entregas: só vale quando a diferença for grande de verdade.</t>
        </is>
      </c>
    </row>
    <row r="34" ht="8" customHeight="1"/>
    <row r="35" ht="20" customHeight="1">
      <c r="A35" s="8" t="inlineStr">
        <is>
          <t xml:space="preserve">  CUIDADOS</t>
        </is>
      </c>
      <c r="B35" s="9" t="n"/>
      <c r="C35" s="9" t="n"/>
      <c r="D35" s="9" t="n"/>
      <c r="E35" s="9" t="n"/>
      <c r="F35" s="9" t="n"/>
    </row>
    <row r="36" ht="4" customHeight="1"/>
    <row r="37" ht="24" customHeight="1">
      <c r="A37" s="10" t="inlineStr">
        <is>
          <t xml:space="preserve">   Preço não é a única variável: prazo de entrega atrasado na obra custa mais caro que qualquer desconto.</t>
        </is>
      </c>
    </row>
    <row r="38" ht="24" customHeight="1">
      <c r="A38" s="10" t="inlineStr">
        <is>
          <t xml:space="preserve">   Confira a validade da proposta antes de emitir o pedido — preço vencido volta diferente.</t>
        </is>
      </c>
    </row>
    <row r="39" ht="24" customHeight="1">
      <c r="A39" s="10" t="inlineStr">
        <is>
          <t xml:space="preserve">   Compare sempre a mesma especificação. Corrediça soft close de marcas diferentes não é o mesmo item.</t>
        </is>
      </c>
    </row>
    <row r="40" ht="24" customHeight="1">
      <c r="A40" s="10" t="inlineStr">
        <is>
          <t xml:space="preserve">   O % de imposto adicional é só o que vem POR FORA do preço. Se o fornecedor já informou o valor final, deixe zerado.</t>
        </is>
      </c>
    </row>
    <row r="41" ht="8" customHeight="1"/>
    <row r="42" ht="30" customHeight="1">
      <c r="A42" s="11" t="inlineStr">
        <is>
          <t xml:space="preserve">   Abas desta planilha:   Instruções  ·  Cotação (modelo, duplique)  ·  Pedido de Cotação (formulário A4)  ·  Exemplo (preenchido)  ·  Mapa de Cotações (registro)  ·  Listas (menus)</t>
        </is>
      </c>
      <c r="B42" s="7" t="n"/>
      <c r="C42" s="7" t="n"/>
      <c r="D42" s="7" t="n"/>
      <c r="E42" s="7" t="n"/>
      <c r="F42" s="7" t="n"/>
    </row>
  </sheetData>
  <mergeCells count="31">
    <mergeCell ref="A16:F16"/>
    <mergeCell ref="A37:F37"/>
    <mergeCell ref="A27:F27"/>
    <mergeCell ref="A18:F18"/>
    <mergeCell ref="A3:F3"/>
    <mergeCell ref="A2:F2"/>
    <mergeCell ref="A33:F33"/>
    <mergeCell ref="A42:F42"/>
    <mergeCell ref="A14:F14"/>
    <mergeCell ref="A32:F32"/>
    <mergeCell ref="A8:F8"/>
    <mergeCell ref="A22:F22"/>
    <mergeCell ref="A17:F17"/>
    <mergeCell ref="A35:F35"/>
    <mergeCell ref="A4:F4"/>
    <mergeCell ref="A20:F20"/>
    <mergeCell ref="A29:F29"/>
    <mergeCell ref="A38:F38"/>
    <mergeCell ref="A13:F13"/>
    <mergeCell ref="A19:F19"/>
    <mergeCell ref="A9:F9"/>
    <mergeCell ref="A31:F31"/>
    <mergeCell ref="A40:F40"/>
    <mergeCell ref="A30:F30"/>
    <mergeCell ref="A39:F39"/>
    <mergeCell ref="A15:F15"/>
    <mergeCell ref="A24:F24"/>
    <mergeCell ref="A11:F11"/>
    <mergeCell ref="A1:F1"/>
    <mergeCell ref="A6:F6"/>
    <mergeCell ref="A25:F25"/>
  </mergeCells>
  <pageMargins left="0.4" right="0.3" top="0.4" bottom="0.3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6.5" customWidth="1" min="3" max="3"/>
    <col width="8" customWidth="1" min="4" max="4"/>
    <col width="11.5" customWidth="1" min="5" max="5"/>
    <col width="12.5" customWidth="1" min="6" max="6"/>
    <col width="11.5" customWidth="1" min="7" max="7"/>
    <col width="12.5" customWidth="1" min="8" max="8"/>
    <col width="11.5" customWidth="1" min="9" max="9"/>
    <col width="12.5" customWidth="1" min="10" max="10"/>
    <col width="11.5" customWidth="1" min="11" max="11"/>
    <col width="12.5" customWidth="1" min="12" max="12"/>
    <col width="12" customWidth="1" min="13" max="13"/>
    <col width="19" customWidth="1" min="14" max="14"/>
    <col width="13" customWidth="1" min="15" max="15"/>
    <col width="26" customWidth="1" min="16" max="16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8" customHeight="1">
      <c r="A3" s="4" t="inlineStr">
        <is>
          <t>COTAÇÃO COMPARATIVA DE FORNECEDORES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17" customHeight="1">
      <c r="A4" s="6" t="inlineStr">
        <is>
          <t>Fundo creme = você preenche   ·   fundo cinza = calculado automaticamente   ·   deixe o preço em branco quando o fornecedor NÃO tiver o item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 ht="6" customHeight="1"/>
    <row r="6" ht="14" customHeight="1">
      <c r="A6" s="12" t="inlineStr">
        <is>
          <t>COTAÇÃO Nº</t>
        </is>
      </c>
      <c r="C6" s="12" t="inlineStr">
        <is>
          <t>DEMANDA / PROJETO</t>
        </is>
      </c>
      <c r="G6" s="12" t="inlineStr">
        <is>
          <t>SOLICITANTE</t>
        </is>
      </c>
      <c r="K6" s="12" t="inlineStr">
        <is>
          <t>DATA DA COTAÇÃO</t>
        </is>
      </c>
      <c r="M6" s="12" t="inlineStr">
        <is>
          <t>PRAZO PARA RESPOSTA</t>
        </is>
      </c>
    </row>
    <row r="7" ht="22" customHeight="1">
      <c r="A7" s="13" t="n"/>
      <c r="B7" s="14" t="n"/>
      <c r="C7" s="13" t="n"/>
      <c r="D7" s="14" t="n"/>
      <c r="E7" s="14" t="n"/>
      <c r="F7" s="14" t="n"/>
      <c r="G7" s="13" t="n"/>
      <c r="H7" s="14" t="n"/>
      <c r="I7" s="14" t="n"/>
      <c r="J7" s="14" t="n"/>
      <c r="K7" s="15" t="n"/>
      <c r="L7" s="14" t="n"/>
      <c r="M7" s="15" t="n"/>
      <c r="N7" s="14" t="n"/>
      <c r="O7" s="14" t="n"/>
      <c r="P7" s="14" t="n"/>
    </row>
    <row r="8" ht="6" customHeight="1"/>
    <row r="9" ht="20" customHeight="1">
      <c r="A9" s="8" t="inlineStr">
        <is>
          <t xml:space="preserve">  COMPARATIVO DE PROPOSTAS          preencha o nome dos fornecedores nas faixas creme abaixo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26" customHeight="1">
      <c r="A10" s="16" t="inlineStr">
        <is>
          <t>FORNECEDOR  ▸</t>
        </is>
      </c>
      <c r="B10" s="17" t="n"/>
      <c r="C10" s="17" t="n"/>
      <c r="D10" s="17" t="n"/>
      <c r="E10" s="18" t="inlineStr">
        <is>
          <t>Fornecedor 1</t>
        </is>
      </c>
      <c r="F10" s="14" t="n"/>
      <c r="G10" s="18" t="inlineStr">
        <is>
          <t>Fornecedor 2</t>
        </is>
      </c>
      <c r="H10" s="14" t="n"/>
      <c r="I10" s="18" t="inlineStr">
        <is>
          <t>Fornecedor 3</t>
        </is>
      </c>
      <c r="J10" s="14" t="n"/>
      <c r="K10" s="18" t="inlineStr">
        <is>
          <t>Fornecedor 4</t>
        </is>
      </c>
      <c r="L10" s="14" t="n"/>
      <c r="M10" s="19" t="inlineStr">
        <is>
          <t>MELHOR PREÇO POR ITEM</t>
        </is>
      </c>
      <c r="N10" s="20" t="n"/>
      <c r="O10" s="20" t="n"/>
      <c r="P10" s="20" t="n"/>
    </row>
    <row r="11" ht="20" customHeight="1">
      <c r="A11" s="21" t="inlineStr">
        <is>
          <t>Vendedor · contato  ▸</t>
        </is>
      </c>
      <c r="B11" s="17" t="n"/>
      <c r="C11" s="17" t="n"/>
      <c r="D11" s="17" t="n"/>
      <c r="E11" s="22" t="n"/>
      <c r="F11" s="14" t="n"/>
      <c r="G11" s="22" t="n"/>
      <c r="H11" s="14" t="n"/>
      <c r="I11" s="22" t="n"/>
      <c r="J11" s="14" t="n"/>
      <c r="K11" s="22" t="n"/>
      <c r="L11" s="14" t="n"/>
      <c r="M11" s="23" t="inlineStr">
        <is>
          <t>calculado — mostra quem tem o menor unitário de cada linha</t>
        </is>
      </c>
      <c r="N11" s="17" t="n"/>
      <c r="O11" s="17" t="n"/>
      <c r="P11" s="17" t="n"/>
    </row>
    <row r="12" ht="32" customHeight="1">
      <c r="A12" s="24" t="inlineStr">
        <is>
          <t>#</t>
        </is>
      </c>
      <c r="B12" s="24" t="inlineStr">
        <is>
          <t>ITEM / ESPECIFICAÇÃO</t>
        </is>
      </c>
      <c r="C12" s="24" t="inlineStr">
        <is>
          <t>UN.</t>
        </is>
      </c>
      <c r="D12" s="24" t="inlineStr">
        <is>
          <t>QTD</t>
        </is>
      </c>
      <c r="E12" s="24" t="inlineStr">
        <is>
          <t>UNIT. (R$)</t>
        </is>
      </c>
      <c r="F12" s="24" t="inlineStr">
        <is>
          <t>TOTAL (R$)</t>
        </is>
      </c>
      <c r="G12" s="24" t="inlineStr">
        <is>
          <t>UNIT. (R$)</t>
        </is>
      </c>
      <c r="H12" s="24" t="inlineStr">
        <is>
          <t>TOTAL (R$)</t>
        </is>
      </c>
      <c r="I12" s="24" t="inlineStr">
        <is>
          <t>UNIT. (R$)</t>
        </is>
      </c>
      <c r="J12" s="24" t="inlineStr">
        <is>
          <t>TOTAL (R$)</t>
        </is>
      </c>
      <c r="K12" s="24" t="inlineStr">
        <is>
          <t>UNIT. (R$)</t>
        </is>
      </c>
      <c r="L12" s="24" t="inlineStr">
        <is>
          <t>TOTAL (R$)</t>
        </is>
      </c>
      <c r="M12" s="24" t="inlineStr">
        <is>
          <t>MENOR UNIT.</t>
        </is>
      </c>
      <c r="N12" s="24" t="inlineStr">
        <is>
          <t>MELHOR FORNECEDOR</t>
        </is>
      </c>
      <c r="O12" s="24" t="inlineStr">
        <is>
          <t>TOTAL NO MENOR</t>
        </is>
      </c>
      <c r="P12" s="24" t="inlineStr">
        <is>
          <t>OBSERVAÇÃO DO ITEM</t>
        </is>
      </c>
    </row>
    <row r="13" ht="18" customHeight="1">
      <c r="A13" s="25" t="n">
        <v>1</v>
      </c>
      <c r="B13" s="26" t="n"/>
      <c r="C13" s="27" t="n"/>
      <c r="D13" s="28" t="n"/>
      <c r="E13" s="29" t="n"/>
      <c r="F13" s="30">
        <f>IF(OR($D13="",E13=""),"",ROUND($D13*E13,2))</f>
        <v/>
      </c>
      <c r="G13" s="29" t="n"/>
      <c r="H13" s="30">
        <f>IF(OR($D13="",G13=""),"",ROUND($D13*G13,2))</f>
        <v/>
      </c>
      <c r="I13" s="29" t="n"/>
      <c r="J13" s="30">
        <f>IF(OR($D13="",I13=""),"",ROUND($D13*I13,2))</f>
        <v/>
      </c>
      <c r="K13" s="29" t="n"/>
      <c r="L13" s="30">
        <f>IF(OR($D13="",K13=""),"",ROUND($D13*K13,2))</f>
        <v/>
      </c>
      <c r="M13" s="31">
        <f>IF(OR($B13="",COUNT(E13,G13,I13,K13)=0),"",MIN(E13,G13,I13,K13))</f>
        <v/>
      </c>
      <c r="N13" s="32">
        <f>IF($M13="","",IF(E13=$M13,$E$10,IF(G13=$M13,$G$10,IF(I13=$M13,$I$10,$K$10))))</f>
        <v/>
      </c>
      <c r="O13" s="30">
        <f>IF(OR($D13="",$M13=""),"",ROUND($D13*$M13,2))</f>
        <v/>
      </c>
      <c r="P13" s="33" t="n"/>
    </row>
    <row r="14" ht="18" customHeight="1">
      <c r="A14" s="25" t="n">
        <v>2</v>
      </c>
      <c r="B14" s="26" t="n"/>
      <c r="C14" s="27" t="n"/>
      <c r="D14" s="28" t="n"/>
      <c r="E14" s="29" t="n"/>
      <c r="F14" s="30">
        <f>IF(OR($D14="",E14=""),"",ROUND($D14*E14,2))</f>
        <v/>
      </c>
      <c r="G14" s="29" t="n"/>
      <c r="H14" s="30">
        <f>IF(OR($D14="",G14=""),"",ROUND($D14*G14,2))</f>
        <v/>
      </c>
      <c r="I14" s="29" t="n"/>
      <c r="J14" s="30">
        <f>IF(OR($D14="",I14=""),"",ROUND($D14*I14,2))</f>
        <v/>
      </c>
      <c r="K14" s="29" t="n"/>
      <c r="L14" s="30">
        <f>IF(OR($D14="",K14=""),"",ROUND($D14*K14,2))</f>
        <v/>
      </c>
      <c r="M14" s="31">
        <f>IF(OR($B14="",COUNT(E14,G14,I14,K14)=0),"",MIN(E14,G14,I14,K14))</f>
        <v/>
      </c>
      <c r="N14" s="32">
        <f>IF($M14="","",IF(E14=$M14,$E$10,IF(G14=$M14,$G$10,IF(I14=$M14,$I$10,$K$10))))</f>
        <v/>
      </c>
      <c r="O14" s="30">
        <f>IF(OR($D14="",$M14=""),"",ROUND($D14*$M14,2))</f>
        <v/>
      </c>
      <c r="P14" s="33" t="n"/>
    </row>
    <row r="15" ht="18" customHeight="1">
      <c r="A15" s="25" t="n">
        <v>3</v>
      </c>
      <c r="B15" s="26" t="n"/>
      <c r="C15" s="27" t="n"/>
      <c r="D15" s="28" t="n"/>
      <c r="E15" s="29" t="n"/>
      <c r="F15" s="30">
        <f>IF(OR($D15="",E15=""),"",ROUND($D15*E15,2))</f>
        <v/>
      </c>
      <c r="G15" s="29" t="n"/>
      <c r="H15" s="30">
        <f>IF(OR($D15="",G15=""),"",ROUND($D15*G15,2))</f>
        <v/>
      </c>
      <c r="I15" s="29" t="n"/>
      <c r="J15" s="30">
        <f>IF(OR($D15="",I15=""),"",ROUND($D15*I15,2))</f>
        <v/>
      </c>
      <c r="K15" s="29" t="n"/>
      <c r="L15" s="30">
        <f>IF(OR($D15="",K15=""),"",ROUND($D15*K15,2))</f>
        <v/>
      </c>
      <c r="M15" s="31">
        <f>IF(OR($B15="",COUNT(E15,G15,I15,K15)=0),"",MIN(E15,G15,I15,K15))</f>
        <v/>
      </c>
      <c r="N15" s="32">
        <f>IF($M15="","",IF(E15=$M15,$E$10,IF(G15=$M15,$G$10,IF(I15=$M15,$I$10,$K$10))))</f>
        <v/>
      </c>
      <c r="O15" s="30">
        <f>IF(OR($D15="",$M15=""),"",ROUND($D15*$M15,2))</f>
        <v/>
      </c>
      <c r="P15" s="33" t="n"/>
    </row>
    <row r="16" ht="18" customHeight="1">
      <c r="A16" s="25" t="n">
        <v>4</v>
      </c>
      <c r="B16" s="26" t="n"/>
      <c r="C16" s="27" t="n"/>
      <c r="D16" s="28" t="n"/>
      <c r="E16" s="29" t="n"/>
      <c r="F16" s="30">
        <f>IF(OR($D16="",E16=""),"",ROUND($D16*E16,2))</f>
        <v/>
      </c>
      <c r="G16" s="29" t="n"/>
      <c r="H16" s="30">
        <f>IF(OR($D16="",G16=""),"",ROUND($D16*G16,2))</f>
        <v/>
      </c>
      <c r="I16" s="29" t="n"/>
      <c r="J16" s="30">
        <f>IF(OR($D16="",I16=""),"",ROUND($D16*I16,2))</f>
        <v/>
      </c>
      <c r="K16" s="29" t="n"/>
      <c r="L16" s="30">
        <f>IF(OR($D16="",K16=""),"",ROUND($D16*K16,2))</f>
        <v/>
      </c>
      <c r="M16" s="31">
        <f>IF(OR($B16="",COUNT(E16,G16,I16,K16)=0),"",MIN(E16,G16,I16,K16))</f>
        <v/>
      </c>
      <c r="N16" s="32">
        <f>IF($M16="","",IF(E16=$M16,$E$10,IF(G16=$M16,$G$10,IF(I16=$M16,$I$10,$K$10))))</f>
        <v/>
      </c>
      <c r="O16" s="30">
        <f>IF(OR($D16="",$M16=""),"",ROUND($D16*$M16,2))</f>
        <v/>
      </c>
      <c r="P16" s="33" t="n"/>
    </row>
    <row r="17" ht="18" customHeight="1">
      <c r="A17" s="25" t="n">
        <v>5</v>
      </c>
      <c r="B17" s="26" t="n"/>
      <c r="C17" s="27" t="n"/>
      <c r="D17" s="28" t="n"/>
      <c r="E17" s="29" t="n"/>
      <c r="F17" s="30">
        <f>IF(OR($D17="",E17=""),"",ROUND($D17*E17,2))</f>
        <v/>
      </c>
      <c r="G17" s="29" t="n"/>
      <c r="H17" s="30">
        <f>IF(OR($D17="",G17=""),"",ROUND($D17*G17,2))</f>
        <v/>
      </c>
      <c r="I17" s="29" t="n"/>
      <c r="J17" s="30">
        <f>IF(OR($D17="",I17=""),"",ROUND($D17*I17,2))</f>
        <v/>
      </c>
      <c r="K17" s="29" t="n"/>
      <c r="L17" s="30">
        <f>IF(OR($D17="",K17=""),"",ROUND($D17*K17,2))</f>
        <v/>
      </c>
      <c r="M17" s="31">
        <f>IF(OR($B17="",COUNT(E17,G17,I17,K17)=0),"",MIN(E17,G17,I17,K17))</f>
        <v/>
      </c>
      <c r="N17" s="32">
        <f>IF($M17="","",IF(E17=$M17,$E$10,IF(G17=$M17,$G$10,IF(I17=$M17,$I$10,$K$10))))</f>
        <v/>
      </c>
      <c r="O17" s="30">
        <f>IF(OR($D17="",$M17=""),"",ROUND($D17*$M17,2))</f>
        <v/>
      </c>
      <c r="P17" s="33" t="n"/>
    </row>
    <row r="18" ht="18" customHeight="1">
      <c r="A18" s="25" t="n">
        <v>6</v>
      </c>
      <c r="B18" s="26" t="n"/>
      <c r="C18" s="27" t="n"/>
      <c r="D18" s="28" t="n"/>
      <c r="E18" s="29" t="n"/>
      <c r="F18" s="30">
        <f>IF(OR($D18="",E18=""),"",ROUND($D18*E18,2))</f>
        <v/>
      </c>
      <c r="G18" s="29" t="n"/>
      <c r="H18" s="30">
        <f>IF(OR($D18="",G18=""),"",ROUND($D18*G18,2))</f>
        <v/>
      </c>
      <c r="I18" s="29" t="n"/>
      <c r="J18" s="30">
        <f>IF(OR($D18="",I18=""),"",ROUND($D18*I18,2))</f>
        <v/>
      </c>
      <c r="K18" s="29" t="n"/>
      <c r="L18" s="30">
        <f>IF(OR($D18="",K18=""),"",ROUND($D18*K18,2))</f>
        <v/>
      </c>
      <c r="M18" s="31">
        <f>IF(OR($B18="",COUNT(E18,G18,I18,K18)=0),"",MIN(E18,G18,I18,K18))</f>
        <v/>
      </c>
      <c r="N18" s="32">
        <f>IF($M18="","",IF(E18=$M18,$E$10,IF(G18=$M18,$G$10,IF(I18=$M18,$I$10,$K$10))))</f>
        <v/>
      </c>
      <c r="O18" s="30">
        <f>IF(OR($D18="",$M18=""),"",ROUND($D18*$M18,2))</f>
        <v/>
      </c>
      <c r="P18" s="33" t="n"/>
    </row>
    <row r="19" ht="18" customHeight="1">
      <c r="A19" s="25" t="n">
        <v>7</v>
      </c>
      <c r="B19" s="26" t="n"/>
      <c r="C19" s="27" t="n"/>
      <c r="D19" s="28" t="n"/>
      <c r="E19" s="29" t="n"/>
      <c r="F19" s="30">
        <f>IF(OR($D19="",E19=""),"",ROUND($D19*E19,2))</f>
        <v/>
      </c>
      <c r="G19" s="29" t="n"/>
      <c r="H19" s="30">
        <f>IF(OR($D19="",G19=""),"",ROUND($D19*G19,2))</f>
        <v/>
      </c>
      <c r="I19" s="29" t="n"/>
      <c r="J19" s="30">
        <f>IF(OR($D19="",I19=""),"",ROUND($D19*I19,2))</f>
        <v/>
      </c>
      <c r="K19" s="29" t="n"/>
      <c r="L19" s="30">
        <f>IF(OR($D19="",K19=""),"",ROUND($D19*K19,2))</f>
        <v/>
      </c>
      <c r="M19" s="31">
        <f>IF(OR($B19="",COUNT(E19,G19,I19,K19)=0),"",MIN(E19,G19,I19,K19))</f>
        <v/>
      </c>
      <c r="N19" s="32">
        <f>IF($M19="","",IF(E19=$M19,$E$10,IF(G19=$M19,$G$10,IF(I19=$M19,$I$10,$K$10))))</f>
        <v/>
      </c>
      <c r="O19" s="30">
        <f>IF(OR($D19="",$M19=""),"",ROUND($D19*$M19,2))</f>
        <v/>
      </c>
      <c r="P19" s="33" t="n"/>
    </row>
    <row r="20" ht="18" customHeight="1">
      <c r="A20" s="25" t="n">
        <v>8</v>
      </c>
      <c r="B20" s="26" t="n"/>
      <c r="C20" s="27" t="n"/>
      <c r="D20" s="28" t="n"/>
      <c r="E20" s="29" t="n"/>
      <c r="F20" s="30">
        <f>IF(OR($D20="",E20=""),"",ROUND($D20*E20,2))</f>
        <v/>
      </c>
      <c r="G20" s="29" t="n"/>
      <c r="H20" s="30">
        <f>IF(OR($D20="",G20=""),"",ROUND($D20*G20,2))</f>
        <v/>
      </c>
      <c r="I20" s="29" t="n"/>
      <c r="J20" s="30">
        <f>IF(OR($D20="",I20=""),"",ROUND($D20*I20,2))</f>
        <v/>
      </c>
      <c r="K20" s="29" t="n"/>
      <c r="L20" s="30">
        <f>IF(OR($D20="",K20=""),"",ROUND($D20*K20,2))</f>
        <v/>
      </c>
      <c r="M20" s="31">
        <f>IF(OR($B20="",COUNT(E20,G20,I20,K20)=0),"",MIN(E20,G20,I20,K20))</f>
        <v/>
      </c>
      <c r="N20" s="32">
        <f>IF($M20="","",IF(E20=$M20,$E$10,IF(G20=$M20,$G$10,IF(I20=$M20,$I$10,$K$10))))</f>
        <v/>
      </c>
      <c r="O20" s="30">
        <f>IF(OR($D20="",$M20=""),"",ROUND($D20*$M20,2))</f>
        <v/>
      </c>
      <c r="P20" s="33" t="n"/>
    </row>
    <row r="21" ht="18" customHeight="1">
      <c r="A21" s="25" t="n">
        <v>9</v>
      </c>
      <c r="B21" s="26" t="n"/>
      <c r="C21" s="27" t="n"/>
      <c r="D21" s="28" t="n"/>
      <c r="E21" s="29" t="n"/>
      <c r="F21" s="30">
        <f>IF(OR($D21="",E21=""),"",ROUND($D21*E21,2))</f>
        <v/>
      </c>
      <c r="G21" s="29" t="n"/>
      <c r="H21" s="30">
        <f>IF(OR($D21="",G21=""),"",ROUND($D21*G21,2))</f>
        <v/>
      </c>
      <c r="I21" s="29" t="n"/>
      <c r="J21" s="30">
        <f>IF(OR($D21="",I21=""),"",ROUND($D21*I21,2))</f>
        <v/>
      </c>
      <c r="K21" s="29" t="n"/>
      <c r="L21" s="30">
        <f>IF(OR($D21="",K21=""),"",ROUND($D21*K21,2))</f>
        <v/>
      </c>
      <c r="M21" s="31">
        <f>IF(OR($B21="",COUNT(E21,G21,I21,K21)=0),"",MIN(E21,G21,I21,K21))</f>
        <v/>
      </c>
      <c r="N21" s="32">
        <f>IF($M21="","",IF(E21=$M21,$E$10,IF(G21=$M21,$G$10,IF(I21=$M21,$I$10,$K$10))))</f>
        <v/>
      </c>
      <c r="O21" s="30">
        <f>IF(OR($D21="",$M21=""),"",ROUND($D21*$M21,2))</f>
        <v/>
      </c>
      <c r="P21" s="33" t="n"/>
    </row>
    <row r="22" ht="18" customHeight="1">
      <c r="A22" s="25" t="n">
        <v>10</v>
      </c>
      <c r="B22" s="26" t="n"/>
      <c r="C22" s="27" t="n"/>
      <c r="D22" s="28" t="n"/>
      <c r="E22" s="29" t="n"/>
      <c r="F22" s="30">
        <f>IF(OR($D22="",E22=""),"",ROUND($D22*E22,2))</f>
        <v/>
      </c>
      <c r="G22" s="29" t="n"/>
      <c r="H22" s="30">
        <f>IF(OR($D22="",G22=""),"",ROUND($D22*G22,2))</f>
        <v/>
      </c>
      <c r="I22" s="29" t="n"/>
      <c r="J22" s="30">
        <f>IF(OR($D22="",I22=""),"",ROUND($D22*I22,2))</f>
        <v/>
      </c>
      <c r="K22" s="29" t="n"/>
      <c r="L22" s="30">
        <f>IF(OR($D22="",K22=""),"",ROUND($D22*K22,2))</f>
        <v/>
      </c>
      <c r="M22" s="31">
        <f>IF(OR($B22="",COUNT(E22,G22,I22,K22)=0),"",MIN(E22,G22,I22,K22))</f>
        <v/>
      </c>
      <c r="N22" s="32">
        <f>IF($M22="","",IF(E22=$M22,$E$10,IF(G22=$M22,$G$10,IF(I22=$M22,$I$10,$K$10))))</f>
        <v/>
      </c>
      <c r="O22" s="30">
        <f>IF(OR($D22="",$M22=""),"",ROUND($D22*$M22,2))</f>
        <v/>
      </c>
      <c r="P22" s="33" t="n"/>
    </row>
    <row r="23" ht="18" customHeight="1">
      <c r="A23" s="25" t="n">
        <v>11</v>
      </c>
      <c r="B23" s="26" t="n"/>
      <c r="C23" s="27" t="n"/>
      <c r="D23" s="28" t="n"/>
      <c r="E23" s="29" t="n"/>
      <c r="F23" s="30">
        <f>IF(OR($D23="",E23=""),"",ROUND($D23*E23,2))</f>
        <v/>
      </c>
      <c r="G23" s="29" t="n"/>
      <c r="H23" s="30">
        <f>IF(OR($D23="",G23=""),"",ROUND($D23*G23,2))</f>
        <v/>
      </c>
      <c r="I23" s="29" t="n"/>
      <c r="J23" s="30">
        <f>IF(OR($D23="",I23=""),"",ROUND($D23*I23,2))</f>
        <v/>
      </c>
      <c r="K23" s="29" t="n"/>
      <c r="L23" s="30">
        <f>IF(OR($D23="",K23=""),"",ROUND($D23*K23,2))</f>
        <v/>
      </c>
      <c r="M23" s="31">
        <f>IF(OR($B23="",COUNT(E23,G23,I23,K23)=0),"",MIN(E23,G23,I23,K23))</f>
        <v/>
      </c>
      <c r="N23" s="32">
        <f>IF($M23="","",IF(E23=$M23,$E$10,IF(G23=$M23,$G$10,IF(I23=$M23,$I$10,$K$10))))</f>
        <v/>
      </c>
      <c r="O23" s="30">
        <f>IF(OR($D23="",$M23=""),"",ROUND($D23*$M23,2))</f>
        <v/>
      </c>
      <c r="P23" s="33" t="n"/>
    </row>
    <row r="24" ht="18" customHeight="1">
      <c r="A24" s="25" t="n">
        <v>12</v>
      </c>
      <c r="B24" s="26" t="n"/>
      <c r="C24" s="27" t="n"/>
      <c r="D24" s="28" t="n"/>
      <c r="E24" s="29" t="n"/>
      <c r="F24" s="30">
        <f>IF(OR($D24="",E24=""),"",ROUND($D24*E24,2))</f>
        <v/>
      </c>
      <c r="G24" s="29" t="n"/>
      <c r="H24" s="30">
        <f>IF(OR($D24="",G24=""),"",ROUND($D24*G24,2))</f>
        <v/>
      </c>
      <c r="I24" s="29" t="n"/>
      <c r="J24" s="30">
        <f>IF(OR($D24="",I24=""),"",ROUND($D24*I24,2))</f>
        <v/>
      </c>
      <c r="K24" s="29" t="n"/>
      <c r="L24" s="30">
        <f>IF(OR($D24="",K24=""),"",ROUND($D24*K24,2))</f>
        <v/>
      </c>
      <c r="M24" s="31">
        <f>IF(OR($B24="",COUNT(E24,G24,I24,K24)=0),"",MIN(E24,G24,I24,K24))</f>
        <v/>
      </c>
      <c r="N24" s="32">
        <f>IF($M24="","",IF(E24=$M24,$E$10,IF(G24=$M24,$G$10,IF(I24=$M24,$I$10,$K$10))))</f>
        <v/>
      </c>
      <c r="O24" s="30">
        <f>IF(OR($D24="",$M24=""),"",ROUND($D24*$M24,2))</f>
        <v/>
      </c>
      <c r="P24" s="33" t="n"/>
    </row>
    <row r="25" ht="18" customHeight="1">
      <c r="A25" s="25" t="n">
        <v>13</v>
      </c>
      <c r="B25" s="26" t="n"/>
      <c r="C25" s="27" t="n"/>
      <c r="D25" s="28" t="n"/>
      <c r="E25" s="29" t="n"/>
      <c r="F25" s="30">
        <f>IF(OR($D25="",E25=""),"",ROUND($D25*E25,2))</f>
        <v/>
      </c>
      <c r="G25" s="29" t="n"/>
      <c r="H25" s="30">
        <f>IF(OR($D25="",G25=""),"",ROUND($D25*G25,2))</f>
        <v/>
      </c>
      <c r="I25" s="29" t="n"/>
      <c r="J25" s="30">
        <f>IF(OR($D25="",I25=""),"",ROUND($D25*I25,2))</f>
        <v/>
      </c>
      <c r="K25" s="29" t="n"/>
      <c r="L25" s="30">
        <f>IF(OR($D25="",K25=""),"",ROUND($D25*K25,2))</f>
        <v/>
      </c>
      <c r="M25" s="31">
        <f>IF(OR($B25="",COUNT(E25,G25,I25,K25)=0),"",MIN(E25,G25,I25,K25))</f>
        <v/>
      </c>
      <c r="N25" s="32">
        <f>IF($M25="","",IF(E25=$M25,$E$10,IF(G25=$M25,$G$10,IF(I25=$M25,$I$10,$K$10))))</f>
        <v/>
      </c>
      <c r="O25" s="30">
        <f>IF(OR($D25="",$M25=""),"",ROUND($D25*$M25,2))</f>
        <v/>
      </c>
      <c r="P25" s="33" t="n"/>
    </row>
    <row r="26" ht="18" customHeight="1">
      <c r="A26" s="25" t="n">
        <v>14</v>
      </c>
      <c r="B26" s="26" t="n"/>
      <c r="C26" s="27" t="n"/>
      <c r="D26" s="28" t="n"/>
      <c r="E26" s="29" t="n"/>
      <c r="F26" s="30">
        <f>IF(OR($D26="",E26=""),"",ROUND($D26*E26,2))</f>
        <v/>
      </c>
      <c r="G26" s="29" t="n"/>
      <c r="H26" s="30">
        <f>IF(OR($D26="",G26=""),"",ROUND($D26*G26,2))</f>
        <v/>
      </c>
      <c r="I26" s="29" t="n"/>
      <c r="J26" s="30">
        <f>IF(OR($D26="",I26=""),"",ROUND($D26*I26,2))</f>
        <v/>
      </c>
      <c r="K26" s="29" t="n"/>
      <c r="L26" s="30">
        <f>IF(OR($D26="",K26=""),"",ROUND($D26*K26,2))</f>
        <v/>
      </c>
      <c r="M26" s="31">
        <f>IF(OR($B26="",COUNT(E26,G26,I26,K26)=0),"",MIN(E26,G26,I26,K26))</f>
        <v/>
      </c>
      <c r="N26" s="32">
        <f>IF($M26="","",IF(E26=$M26,$E$10,IF(G26=$M26,$G$10,IF(I26=$M26,$I$10,$K$10))))</f>
        <v/>
      </c>
      <c r="O26" s="30">
        <f>IF(OR($D26="",$M26=""),"",ROUND($D26*$M26,2))</f>
        <v/>
      </c>
      <c r="P26" s="33" t="n"/>
    </row>
    <row r="27" ht="18" customHeight="1">
      <c r="A27" s="25" t="n">
        <v>15</v>
      </c>
      <c r="B27" s="26" t="n"/>
      <c r="C27" s="27" t="n"/>
      <c r="D27" s="28" t="n"/>
      <c r="E27" s="29" t="n"/>
      <c r="F27" s="30">
        <f>IF(OR($D27="",E27=""),"",ROUND($D27*E27,2))</f>
        <v/>
      </c>
      <c r="G27" s="29" t="n"/>
      <c r="H27" s="30">
        <f>IF(OR($D27="",G27=""),"",ROUND($D27*G27,2))</f>
        <v/>
      </c>
      <c r="I27" s="29" t="n"/>
      <c r="J27" s="30">
        <f>IF(OR($D27="",I27=""),"",ROUND($D27*I27,2))</f>
        <v/>
      </c>
      <c r="K27" s="29" t="n"/>
      <c r="L27" s="30">
        <f>IF(OR($D27="",K27=""),"",ROUND($D27*K27,2))</f>
        <v/>
      </c>
      <c r="M27" s="31">
        <f>IF(OR($B27="",COUNT(E27,G27,I27,K27)=0),"",MIN(E27,G27,I27,K27))</f>
        <v/>
      </c>
      <c r="N27" s="32">
        <f>IF($M27="","",IF(E27=$M27,$E$10,IF(G27=$M27,$G$10,IF(I27=$M27,$I$10,$K$10))))</f>
        <v/>
      </c>
      <c r="O27" s="30">
        <f>IF(OR($D27="",$M27=""),"",ROUND($D27*$M27,2))</f>
        <v/>
      </c>
      <c r="P27" s="33" t="n"/>
    </row>
    <row r="28" ht="18" customHeight="1">
      <c r="A28" s="25" t="n">
        <v>16</v>
      </c>
      <c r="B28" s="26" t="n"/>
      <c r="C28" s="27" t="n"/>
      <c r="D28" s="28" t="n"/>
      <c r="E28" s="29" t="n"/>
      <c r="F28" s="30">
        <f>IF(OR($D28="",E28=""),"",ROUND($D28*E28,2))</f>
        <v/>
      </c>
      <c r="G28" s="29" t="n"/>
      <c r="H28" s="30">
        <f>IF(OR($D28="",G28=""),"",ROUND($D28*G28,2))</f>
        <v/>
      </c>
      <c r="I28" s="29" t="n"/>
      <c r="J28" s="30">
        <f>IF(OR($D28="",I28=""),"",ROUND($D28*I28,2))</f>
        <v/>
      </c>
      <c r="K28" s="29" t="n"/>
      <c r="L28" s="30">
        <f>IF(OR($D28="",K28=""),"",ROUND($D28*K28,2))</f>
        <v/>
      </c>
      <c r="M28" s="31">
        <f>IF(OR($B28="",COUNT(E28,G28,I28,K28)=0),"",MIN(E28,G28,I28,K28))</f>
        <v/>
      </c>
      <c r="N28" s="32">
        <f>IF($M28="","",IF(E28=$M28,$E$10,IF(G28=$M28,$G$10,IF(I28=$M28,$I$10,$K$10))))</f>
        <v/>
      </c>
      <c r="O28" s="30">
        <f>IF(OR($D28="",$M28=""),"",ROUND($D28*$M28,2))</f>
        <v/>
      </c>
      <c r="P28" s="33" t="n"/>
    </row>
    <row r="29" ht="18" customHeight="1">
      <c r="A29" s="25" t="n">
        <v>17</v>
      </c>
      <c r="B29" s="26" t="n"/>
      <c r="C29" s="27" t="n"/>
      <c r="D29" s="28" t="n"/>
      <c r="E29" s="29" t="n"/>
      <c r="F29" s="30">
        <f>IF(OR($D29="",E29=""),"",ROUND($D29*E29,2))</f>
        <v/>
      </c>
      <c r="G29" s="29" t="n"/>
      <c r="H29" s="30">
        <f>IF(OR($D29="",G29=""),"",ROUND($D29*G29,2))</f>
        <v/>
      </c>
      <c r="I29" s="29" t="n"/>
      <c r="J29" s="30">
        <f>IF(OR($D29="",I29=""),"",ROUND($D29*I29,2))</f>
        <v/>
      </c>
      <c r="K29" s="29" t="n"/>
      <c r="L29" s="30">
        <f>IF(OR($D29="",K29=""),"",ROUND($D29*K29,2))</f>
        <v/>
      </c>
      <c r="M29" s="31">
        <f>IF(OR($B29="",COUNT(E29,G29,I29,K29)=0),"",MIN(E29,G29,I29,K29))</f>
        <v/>
      </c>
      <c r="N29" s="32">
        <f>IF($M29="","",IF(E29=$M29,$E$10,IF(G29=$M29,$G$10,IF(I29=$M29,$I$10,$K$10))))</f>
        <v/>
      </c>
      <c r="O29" s="30">
        <f>IF(OR($D29="",$M29=""),"",ROUND($D29*$M29,2))</f>
        <v/>
      </c>
      <c r="P29" s="33" t="n"/>
    </row>
    <row r="30" ht="18" customHeight="1">
      <c r="A30" s="25" t="n">
        <v>18</v>
      </c>
      <c r="B30" s="26" t="n"/>
      <c r="C30" s="27" t="n"/>
      <c r="D30" s="28" t="n"/>
      <c r="E30" s="29" t="n"/>
      <c r="F30" s="30">
        <f>IF(OR($D30="",E30=""),"",ROUND($D30*E30,2))</f>
        <v/>
      </c>
      <c r="G30" s="29" t="n"/>
      <c r="H30" s="30">
        <f>IF(OR($D30="",G30=""),"",ROUND($D30*G30,2))</f>
        <v/>
      </c>
      <c r="I30" s="29" t="n"/>
      <c r="J30" s="30">
        <f>IF(OR($D30="",I30=""),"",ROUND($D30*I30,2))</f>
        <v/>
      </c>
      <c r="K30" s="29" t="n"/>
      <c r="L30" s="30">
        <f>IF(OR($D30="",K30=""),"",ROUND($D30*K30,2))</f>
        <v/>
      </c>
      <c r="M30" s="31">
        <f>IF(OR($B30="",COUNT(E30,G30,I30,K30)=0),"",MIN(E30,G30,I30,K30))</f>
        <v/>
      </c>
      <c r="N30" s="32">
        <f>IF($M30="","",IF(E30=$M30,$E$10,IF(G30=$M30,$G$10,IF(I30=$M30,$I$10,$K$10))))</f>
        <v/>
      </c>
      <c r="O30" s="30">
        <f>IF(OR($D30="",$M30=""),"",ROUND($D30*$M30,2))</f>
        <v/>
      </c>
      <c r="P30" s="33" t="n"/>
    </row>
    <row r="31" ht="18" customHeight="1">
      <c r="A31" s="25" t="n">
        <v>19</v>
      </c>
      <c r="B31" s="26" t="n"/>
      <c r="C31" s="27" t="n"/>
      <c r="D31" s="28" t="n"/>
      <c r="E31" s="29" t="n"/>
      <c r="F31" s="30">
        <f>IF(OR($D31="",E31=""),"",ROUND($D31*E31,2))</f>
        <v/>
      </c>
      <c r="G31" s="29" t="n"/>
      <c r="H31" s="30">
        <f>IF(OR($D31="",G31=""),"",ROUND($D31*G31,2))</f>
        <v/>
      </c>
      <c r="I31" s="29" t="n"/>
      <c r="J31" s="30">
        <f>IF(OR($D31="",I31=""),"",ROUND($D31*I31,2))</f>
        <v/>
      </c>
      <c r="K31" s="29" t="n"/>
      <c r="L31" s="30">
        <f>IF(OR($D31="",K31=""),"",ROUND($D31*K31,2))</f>
        <v/>
      </c>
      <c r="M31" s="31">
        <f>IF(OR($B31="",COUNT(E31,G31,I31,K31)=0),"",MIN(E31,G31,I31,K31))</f>
        <v/>
      </c>
      <c r="N31" s="32">
        <f>IF($M31="","",IF(E31=$M31,$E$10,IF(G31=$M31,$G$10,IF(I31=$M31,$I$10,$K$10))))</f>
        <v/>
      </c>
      <c r="O31" s="30">
        <f>IF(OR($D31="",$M31=""),"",ROUND($D31*$M31,2))</f>
        <v/>
      </c>
      <c r="P31" s="33" t="n"/>
    </row>
    <row r="32" ht="18" customHeight="1">
      <c r="A32" s="25" t="n">
        <v>20</v>
      </c>
      <c r="B32" s="26" t="n"/>
      <c r="C32" s="27" t="n"/>
      <c r="D32" s="28" t="n"/>
      <c r="E32" s="29" t="n"/>
      <c r="F32" s="30">
        <f>IF(OR($D32="",E32=""),"",ROUND($D32*E32,2))</f>
        <v/>
      </c>
      <c r="G32" s="29" t="n"/>
      <c r="H32" s="30">
        <f>IF(OR($D32="",G32=""),"",ROUND($D32*G32,2))</f>
        <v/>
      </c>
      <c r="I32" s="29" t="n"/>
      <c r="J32" s="30">
        <f>IF(OR($D32="",I32=""),"",ROUND($D32*I32,2))</f>
        <v/>
      </c>
      <c r="K32" s="29" t="n"/>
      <c r="L32" s="30">
        <f>IF(OR($D32="",K32=""),"",ROUND($D32*K32,2))</f>
        <v/>
      </c>
      <c r="M32" s="31">
        <f>IF(OR($B32="",COUNT(E32,G32,I32,K32)=0),"",MIN(E32,G32,I32,K32))</f>
        <v/>
      </c>
      <c r="N32" s="32">
        <f>IF($M32="","",IF(E32=$M32,$E$10,IF(G32=$M32,$G$10,IF(I32=$M32,$I$10,$K$10))))</f>
        <v/>
      </c>
      <c r="O32" s="30">
        <f>IF(OR($D32="",$M32=""),"",ROUND($D32*$M32,2))</f>
        <v/>
      </c>
      <c r="P32" s="33" t="n"/>
    </row>
    <row r="33" ht="18" customHeight="1">
      <c r="A33" s="25" t="n">
        <v>21</v>
      </c>
      <c r="B33" s="26" t="n"/>
      <c r="C33" s="27" t="n"/>
      <c r="D33" s="28" t="n"/>
      <c r="E33" s="29" t="n"/>
      <c r="F33" s="30">
        <f>IF(OR($D33="",E33=""),"",ROUND($D33*E33,2))</f>
        <v/>
      </c>
      <c r="G33" s="29" t="n"/>
      <c r="H33" s="30">
        <f>IF(OR($D33="",G33=""),"",ROUND($D33*G33,2))</f>
        <v/>
      </c>
      <c r="I33" s="29" t="n"/>
      <c r="J33" s="30">
        <f>IF(OR($D33="",I33=""),"",ROUND($D33*I33,2))</f>
        <v/>
      </c>
      <c r="K33" s="29" t="n"/>
      <c r="L33" s="30">
        <f>IF(OR($D33="",K33=""),"",ROUND($D33*K33,2))</f>
        <v/>
      </c>
      <c r="M33" s="31">
        <f>IF(OR($B33="",COUNT(E33,G33,I33,K33)=0),"",MIN(E33,G33,I33,K33))</f>
        <v/>
      </c>
      <c r="N33" s="32">
        <f>IF($M33="","",IF(E33=$M33,$E$10,IF(G33=$M33,$G$10,IF(I33=$M33,$I$10,$K$10))))</f>
        <v/>
      </c>
      <c r="O33" s="30">
        <f>IF(OR($D33="",$M33=""),"",ROUND($D33*$M33,2))</f>
        <v/>
      </c>
      <c r="P33" s="33" t="n"/>
    </row>
    <row r="34" ht="18" customHeight="1">
      <c r="A34" s="25" t="n">
        <v>22</v>
      </c>
      <c r="B34" s="26" t="n"/>
      <c r="C34" s="27" t="n"/>
      <c r="D34" s="28" t="n"/>
      <c r="E34" s="29" t="n"/>
      <c r="F34" s="30">
        <f>IF(OR($D34="",E34=""),"",ROUND($D34*E34,2))</f>
        <v/>
      </c>
      <c r="G34" s="29" t="n"/>
      <c r="H34" s="30">
        <f>IF(OR($D34="",G34=""),"",ROUND($D34*G34,2))</f>
        <v/>
      </c>
      <c r="I34" s="29" t="n"/>
      <c r="J34" s="30">
        <f>IF(OR($D34="",I34=""),"",ROUND($D34*I34,2))</f>
        <v/>
      </c>
      <c r="K34" s="29" t="n"/>
      <c r="L34" s="30">
        <f>IF(OR($D34="",K34=""),"",ROUND($D34*K34,2))</f>
        <v/>
      </c>
      <c r="M34" s="31">
        <f>IF(OR($B34="",COUNT(E34,G34,I34,K34)=0),"",MIN(E34,G34,I34,K34))</f>
        <v/>
      </c>
      <c r="N34" s="32">
        <f>IF($M34="","",IF(E34=$M34,$E$10,IF(G34=$M34,$G$10,IF(I34=$M34,$I$10,$K$10))))</f>
        <v/>
      </c>
      <c r="O34" s="30">
        <f>IF(OR($D34="",$M34=""),"",ROUND($D34*$M34,2))</f>
        <v/>
      </c>
      <c r="P34" s="33" t="n"/>
    </row>
    <row r="35" ht="18" customHeight="1">
      <c r="A35" s="25" t="n">
        <v>23</v>
      </c>
      <c r="B35" s="26" t="n"/>
      <c r="C35" s="27" t="n"/>
      <c r="D35" s="28" t="n"/>
      <c r="E35" s="29" t="n"/>
      <c r="F35" s="30">
        <f>IF(OR($D35="",E35=""),"",ROUND($D35*E35,2))</f>
        <v/>
      </c>
      <c r="G35" s="29" t="n"/>
      <c r="H35" s="30">
        <f>IF(OR($D35="",G35=""),"",ROUND($D35*G35,2))</f>
        <v/>
      </c>
      <c r="I35" s="29" t="n"/>
      <c r="J35" s="30">
        <f>IF(OR($D35="",I35=""),"",ROUND($D35*I35,2))</f>
        <v/>
      </c>
      <c r="K35" s="29" t="n"/>
      <c r="L35" s="30">
        <f>IF(OR($D35="",K35=""),"",ROUND($D35*K35,2))</f>
        <v/>
      </c>
      <c r="M35" s="31">
        <f>IF(OR($B35="",COUNT(E35,G35,I35,K35)=0),"",MIN(E35,G35,I35,K35))</f>
        <v/>
      </c>
      <c r="N35" s="32">
        <f>IF($M35="","",IF(E35=$M35,$E$10,IF(G35=$M35,$G$10,IF(I35=$M35,$I$10,$K$10))))</f>
        <v/>
      </c>
      <c r="O35" s="30">
        <f>IF(OR($D35="",$M35=""),"",ROUND($D35*$M35,2))</f>
        <v/>
      </c>
      <c r="P35" s="33" t="n"/>
    </row>
    <row r="36" ht="18" customHeight="1">
      <c r="A36" s="25" t="n">
        <v>24</v>
      </c>
      <c r="B36" s="26" t="n"/>
      <c r="C36" s="27" t="n"/>
      <c r="D36" s="28" t="n"/>
      <c r="E36" s="29" t="n"/>
      <c r="F36" s="30">
        <f>IF(OR($D36="",E36=""),"",ROUND($D36*E36,2))</f>
        <v/>
      </c>
      <c r="G36" s="29" t="n"/>
      <c r="H36" s="30">
        <f>IF(OR($D36="",G36=""),"",ROUND($D36*G36,2))</f>
        <v/>
      </c>
      <c r="I36" s="29" t="n"/>
      <c r="J36" s="30">
        <f>IF(OR($D36="",I36=""),"",ROUND($D36*I36,2))</f>
        <v/>
      </c>
      <c r="K36" s="29" t="n"/>
      <c r="L36" s="30">
        <f>IF(OR($D36="",K36=""),"",ROUND($D36*K36,2))</f>
        <v/>
      </c>
      <c r="M36" s="31">
        <f>IF(OR($B36="",COUNT(E36,G36,I36,K36)=0),"",MIN(E36,G36,I36,K36))</f>
        <v/>
      </c>
      <c r="N36" s="32">
        <f>IF($M36="","",IF(E36=$M36,$E$10,IF(G36=$M36,$G$10,IF(I36=$M36,$I$10,$K$10))))</f>
        <v/>
      </c>
      <c r="O36" s="30">
        <f>IF(OR($D36="",$M36=""),"",ROUND($D36*$M36,2))</f>
        <v/>
      </c>
      <c r="P36" s="33" t="n"/>
    </row>
    <row r="37" ht="18" customHeight="1">
      <c r="A37" s="25" t="n">
        <v>25</v>
      </c>
      <c r="B37" s="26" t="n"/>
      <c r="C37" s="27" t="n"/>
      <c r="D37" s="28" t="n"/>
      <c r="E37" s="29" t="n"/>
      <c r="F37" s="30">
        <f>IF(OR($D37="",E37=""),"",ROUND($D37*E37,2))</f>
        <v/>
      </c>
      <c r="G37" s="29" t="n"/>
      <c r="H37" s="30">
        <f>IF(OR($D37="",G37=""),"",ROUND($D37*G37,2))</f>
        <v/>
      </c>
      <c r="I37" s="29" t="n"/>
      <c r="J37" s="30">
        <f>IF(OR($D37="",I37=""),"",ROUND($D37*I37,2))</f>
        <v/>
      </c>
      <c r="K37" s="29" t="n"/>
      <c r="L37" s="30">
        <f>IF(OR($D37="",K37=""),"",ROUND($D37*K37,2))</f>
        <v/>
      </c>
      <c r="M37" s="31">
        <f>IF(OR($B37="",COUNT(E37,G37,I37,K37)=0),"",MIN(E37,G37,I37,K37))</f>
        <v/>
      </c>
      <c r="N37" s="32">
        <f>IF($M37="","",IF(E37=$M37,$E$10,IF(G37=$M37,$G$10,IF(I37=$M37,$I$10,$K$10))))</f>
        <v/>
      </c>
      <c r="O37" s="30">
        <f>IF(OR($D37="",$M37=""),"",ROUND($D37*$M37,2))</f>
        <v/>
      </c>
      <c r="P37" s="33" t="n"/>
    </row>
    <row r="38" ht="18" customHeight="1">
      <c r="A38" s="25" t="n">
        <v>26</v>
      </c>
      <c r="B38" s="26" t="n"/>
      <c r="C38" s="27" t="n"/>
      <c r="D38" s="28" t="n"/>
      <c r="E38" s="29" t="n"/>
      <c r="F38" s="30">
        <f>IF(OR($D38="",E38=""),"",ROUND($D38*E38,2))</f>
        <v/>
      </c>
      <c r="G38" s="29" t="n"/>
      <c r="H38" s="30">
        <f>IF(OR($D38="",G38=""),"",ROUND($D38*G38,2))</f>
        <v/>
      </c>
      <c r="I38" s="29" t="n"/>
      <c r="J38" s="30">
        <f>IF(OR($D38="",I38=""),"",ROUND($D38*I38,2))</f>
        <v/>
      </c>
      <c r="K38" s="29" t="n"/>
      <c r="L38" s="30">
        <f>IF(OR($D38="",K38=""),"",ROUND($D38*K38,2))</f>
        <v/>
      </c>
      <c r="M38" s="31">
        <f>IF(OR($B38="",COUNT(E38,G38,I38,K38)=0),"",MIN(E38,G38,I38,K38))</f>
        <v/>
      </c>
      <c r="N38" s="32">
        <f>IF($M38="","",IF(E38=$M38,$E$10,IF(G38=$M38,$G$10,IF(I38=$M38,$I$10,$K$10))))</f>
        <v/>
      </c>
      <c r="O38" s="30">
        <f>IF(OR($D38="",$M38=""),"",ROUND($D38*$M38,2))</f>
        <v/>
      </c>
      <c r="P38" s="33" t="n"/>
    </row>
    <row r="39" ht="18" customHeight="1">
      <c r="A39" s="25" t="n">
        <v>27</v>
      </c>
      <c r="B39" s="26" t="n"/>
      <c r="C39" s="27" t="n"/>
      <c r="D39" s="28" t="n"/>
      <c r="E39" s="29" t="n"/>
      <c r="F39" s="30">
        <f>IF(OR($D39="",E39=""),"",ROUND($D39*E39,2))</f>
        <v/>
      </c>
      <c r="G39" s="29" t="n"/>
      <c r="H39" s="30">
        <f>IF(OR($D39="",G39=""),"",ROUND($D39*G39,2))</f>
        <v/>
      </c>
      <c r="I39" s="29" t="n"/>
      <c r="J39" s="30">
        <f>IF(OR($D39="",I39=""),"",ROUND($D39*I39,2))</f>
        <v/>
      </c>
      <c r="K39" s="29" t="n"/>
      <c r="L39" s="30">
        <f>IF(OR($D39="",K39=""),"",ROUND($D39*K39,2))</f>
        <v/>
      </c>
      <c r="M39" s="31">
        <f>IF(OR($B39="",COUNT(E39,G39,I39,K39)=0),"",MIN(E39,G39,I39,K39))</f>
        <v/>
      </c>
      <c r="N39" s="32">
        <f>IF($M39="","",IF(E39=$M39,$E$10,IF(G39=$M39,$G$10,IF(I39=$M39,$I$10,$K$10))))</f>
        <v/>
      </c>
      <c r="O39" s="30">
        <f>IF(OR($D39="",$M39=""),"",ROUND($D39*$M39,2))</f>
        <v/>
      </c>
      <c r="P39" s="33" t="n"/>
    </row>
    <row r="40" ht="18" customHeight="1">
      <c r="A40" s="25" t="n">
        <v>28</v>
      </c>
      <c r="B40" s="26" t="n"/>
      <c r="C40" s="27" t="n"/>
      <c r="D40" s="28" t="n"/>
      <c r="E40" s="29" t="n"/>
      <c r="F40" s="30">
        <f>IF(OR($D40="",E40=""),"",ROUND($D40*E40,2))</f>
        <v/>
      </c>
      <c r="G40" s="29" t="n"/>
      <c r="H40" s="30">
        <f>IF(OR($D40="",G40=""),"",ROUND($D40*G40,2))</f>
        <v/>
      </c>
      <c r="I40" s="29" t="n"/>
      <c r="J40" s="30">
        <f>IF(OR($D40="",I40=""),"",ROUND($D40*I40,2))</f>
        <v/>
      </c>
      <c r="K40" s="29" t="n"/>
      <c r="L40" s="30">
        <f>IF(OR($D40="",K40=""),"",ROUND($D40*K40,2))</f>
        <v/>
      </c>
      <c r="M40" s="31">
        <f>IF(OR($B40="",COUNT(E40,G40,I40,K40)=0),"",MIN(E40,G40,I40,K40))</f>
        <v/>
      </c>
      <c r="N40" s="32">
        <f>IF($M40="","",IF(E40=$M40,$E$10,IF(G40=$M40,$G$10,IF(I40=$M40,$I$10,$K$10))))</f>
        <v/>
      </c>
      <c r="O40" s="30">
        <f>IF(OR($D40="",$M40=""),"",ROUND($D40*$M40,2))</f>
        <v/>
      </c>
      <c r="P40" s="33" t="n"/>
    </row>
    <row r="41" ht="18" customHeight="1">
      <c r="A41" s="25" t="n">
        <v>29</v>
      </c>
      <c r="B41" s="26" t="n"/>
      <c r="C41" s="27" t="n"/>
      <c r="D41" s="28" t="n"/>
      <c r="E41" s="29" t="n"/>
      <c r="F41" s="30">
        <f>IF(OR($D41="",E41=""),"",ROUND($D41*E41,2))</f>
        <v/>
      </c>
      <c r="G41" s="29" t="n"/>
      <c r="H41" s="30">
        <f>IF(OR($D41="",G41=""),"",ROUND($D41*G41,2))</f>
        <v/>
      </c>
      <c r="I41" s="29" t="n"/>
      <c r="J41" s="30">
        <f>IF(OR($D41="",I41=""),"",ROUND($D41*I41,2))</f>
        <v/>
      </c>
      <c r="K41" s="29" t="n"/>
      <c r="L41" s="30">
        <f>IF(OR($D41="",K41=""),"",ROUND($D41*K41,2))</f>
        <v/>
      </c>
      <c r="M41" s="31">
        <f>IF(OR($B41="",COUNT(E41,G41,I41,K41)=0),"",MIN(E41,G41,I41,K41))</f>
        <v/>
      </c>
      <c r="N41" s="32">
        <f>IF($M41="","",IF(E41=$M41,$E$10,IF(G41=$M41,$G$10,IF(I41=$M41,$I$10,$K$10))))</f>
        <v/>
      </c>
      <c r="O41" s="30">
        <f>IF(OR($D41="",$M41=""),"",ROUND($D41*$M41,2))</f>
        <v/>
      </c>
      <c r="P41" s="33" t="n"/>
    </row>
    <row r="42" ht="18" customHeight="1">
      <c r="A42" s="25" t="n">
        <v>30</v>
      </c>
      <c r="B42" s="26" t="n"/>
      <c r="C42" s="27" t="n"/>
      <c r="D42" s="28" t="n"/>
      <c r="E42" s="29" t="n"/>
      <c r="F42" s="30">
        <f>IF(OR($D42="",E42=""),"",ROUND($D42*E42,2))</f>
        <v/>
      </c>
      <c r="G42" s="29" t="n"/>
      <c r="H42" s="30">
        <f>IF(OR($D42="",G42=""),"",ROUND($D42*G42,2))</f>
        <v/>
      </c>
      <c r="I42" s="29" t="n"/>
      <c r="J42" s="30">
        <f>IF(OR($D42="",I42=""),"",ROUND($D42*I42,2))</f>
        <v/>
      </c>
      <c r="K42" s="29" t="n"/>
      <c r="L42" s="30">
        <f>IF(OR($D42="",K42=""),"",ROUND($D42*K42,2))</f>
        <v/>
      </c>
      <c r="M42" s="31">
        <f>IF(OR($B42="",COUNT(E42,G42,I42,K42)=0),"",MIN(E42,G42,I42,K42))</f>
        <v/>
      </c>
      <c r="N42" s="32">
        <f>IF($M42="","",IF(E42=$M42,$E$10,IF(G42=$M42,$G$10,IF(I42=$M42,$I$10,$K$10))))</f>
        <v/>
      </c>
      <c r="O42" s="30">
        <f>IF(OR($D42="",$M42=""),"",ROUND($D42*$M42,2))</f>
        <v/>
      </c>
      <c r="P42" s="33" t="n"/>
    </row>
    <row r="43" ht="8" customHeight="1"/>
    <row r="44" ht="20" customHeight="1">
      <c r="A44" s="8" t="inlineStr">
        <is>
          <t xml:space="preserve">  APURAÇÃO POR FORNECEDOR          as linhas creme são de preenchimento · as demais se calculam sozinhas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7" customHeight="1">
      <c r="A45" s="34" t="inlineStr">
        <is>
          <t>Itens cotados</t>
        </is>
      </c>
      <c r="B45" s="35" t="n"/>
      <c r="C45" s="35" t="n"/>
      <c r="D45" s="35" t="n"/>
      <c r="E45" s="36">
        <f>IF(COUNTA($B$13:$B$42)=0,"",COUNT(E$13:E$42)&amp;" de "&amp;COUNTA($B$13:$B$42))</f>
        <v/>
      </c>
      <c r="F45" s="17" t="n"/>
      <c r="G45" s="36">
        <f>IF(COUNTA($B$13:$B$42)=0,"",COUNT(G$13:G$42)&amp;" de "&amp;COUNTA($B$13:$B$42))</f>
        <v/>
      </c>
      <c r="H45" s="17" t="n"/>
      <c r="I45" s="36">
        <f>IF(COUNTA($B$13:$B$42)=0,"",COUNT(I$13:I$42)&amp;" de "&amp;COUNTA($B$13:$B$42))</f>
        <v/>
      </c>
      <c r="J45" s="17" t="n"/>
      <c r="K45" s="36">
        <f>IF(COUNTA($B$13:$B$42)=0,"",COUNT(K$13:K$42)&amp;" de "&amp;COUNTA($B$13:$B$42))</f>
        <v/>
      </c>
      <c r="L45" s="17" t="n"/>
      <c r="M45" s="37" t="inlineStr">
        <is>
          <t>Quantos dos itens da lista este fornecedor conseguiu cotar.</t>
        </is>
      </c>
      <c r="N45" s="35" t="n"/>
      <c r="O45" s="35" t="n"/>
      <c r="P45" s="35" t="n"/>
    </row>
    <row r="46" ht="17" customHeight="1">
      <c r="A46" s="34" t="inlineStr">
        <is>
          <t>Situação do pedido</t>
        </is>
      </c>
      <c r="B46" s="35" t="n"/>
      <c r="C46" s="35" t="n"/>
      <c r="D46" s="35" t="n"/>
      <c r="E46" s="38">
        <f>IF(COUNTA($B$13:$B$42)=0,"",IF(COUNT(E$13:E$42)=0,"NÃO COTOU",IF(COUNT(E$13:E$42)=COUNTA($B$13:$B$42),"COMPLETO","PARCIAL — faltam "&amp;(COUNTA($B$13:$B$42)-COUNT(E$13:E$42))&amp;" item(ns)")))</f>
        <v/>
      </c>
      <c r="F46" s="17" t="n"/>
      <c r="G46" s="38">
        <f>IF(COUNTA($B$13:$B$42)=0,"",IF(COUNT(G$13:G$42)=0,"NÃO COTOU",IF(COUNT(G$13:G$42)=COUNTA($B$13:$B$42),"COMPLETO","PARCIAL — faltam "&amp;(COUNTA($B$13:$B$42)-COUNT(G$13:G$42))&amp;" item(ns)")))</f>
        <v/>
      </c>
      <c r="H46" s="17" t="n"/>
      <c r="I46" s="38">
        <f>IF(COUNTA($B$13:$B$42)=0,"",IF(COUNT(I$13:I$42)=0,"NÃO COTOU",IF(COUNT(I$13:I$42)=COUNTA($B$13:$B$42),"COMPLETO","PARCIAL — faltam "&amp;(COUNTA($B$13:$B$42)-COUNT(I$13:I$42))&amp;" item(ns)")))</f>
        <v/>
      </c>
      <c r="J46" s="17" t="n"/>
      <c r="K46" s="38">
        <f>IF(COUNTA($B$13:$B$42)=0,"",IF(COUNT(K$13:K$42)=0,"NÃO COTOU",IF(COUNT(K$13:K$42)=COUNTA($B$13:$B$42),"COMPLETO","PARCIAL — faltam "&amp;(COUNTA($B$13:$B$42)-COUNT(K$13:K$42))&amp;" item(ns)")))</f>
        <v/>
      </c>
      <c r="L46" s="17" t="n"/>
      <c r="M46" s="37" t="inlineStr">
        <is>
          <t>COMPLETO = tem tudo. PARCIAL = vai faltar item e você precisará de um segundo fornecedor.</t>
        </is>
      </c>
      <c r="N46" s="35" t="n"/>
      <c r="O46" s="35" t="n"/>
      <c r="P46" s="35" t="n"/>
    </row>
    <row r="47" ht="17" customHeight="1">
      <c r="A47" s="34" t="inlineStr">
        <is>
          <t>Subtotal dos itens</t>
        </is>
      </c>
      <c r="B47" s="35" t="n"/>
      <c r="C47" s="35" t="n"/>
      <c r="D47" s="35" t="n"/>
      <c r="E47" s="39">
        <f>IF(COUNT(E$13:E$42)=0,"",ROUND(SUM(F$13:F$42),2))</f>
        <v/>
      </c>
      <c r="F47" s="17" t="n"/>
      <c r="G47" s="39">
        <f>IF(COUNT(G$13:G$42)=0,"",ROUND(SUM(H$13:H$42),2))</f>
        <v/>
      </c>
      <c r="H47" s="17" t="n"/>
      <c r="I47" s="39">
        <f>IF(COUNT(I$13:I$42)=0,"",ROUND(SUM(J$13:J$42),2))</f>
        <v/>
      </c>
      <c r="J47" s="17" t="n"/>
      <c r="K47" s="39">
        <f>IF(COUNT(K$13:K$42)=0,"",ROUND(SUM(L$13:L$42),2))</f>
        <v/>
      </c>
      <c r="L47" s="17" t="n"/>
      <c r="M47" s="37" t="inlineStr">
        <is>
          <t>Soma dos itens cotados, sem imposto e sem frete.</t>
        </is>
      </c>
      <c r="N47" s="35" t="n"/>
      <c r="O47" s="35" t="n"/>
      <c r="P47" s="35" t="n"/>
    </row>
    <row r="48" ht="17" customHeight="1">
      <c r="A48" s="40" t="inlineStr">
        <is>
          <t>% imposto adicional (ST / IPI / DIFAL)</t>
        </is>
      </c>
      <c r="B48" s="41" t="n"/>
      <c r="C48" s="41" t="n"/>
      <c r="D48" s="41" t="n"/>
      <c r="E48" s="42" t="n"/>
      <c r="F48" s="14" t="n"/>
      <c r="G48" s="42" t="n"/>
      <c r="H48" s="14" t="n"/>
      <c r="I48" s="42" t="n"/>
      <c r="J48" s="14" t="n"/>
      <c r="K48" s="42" t="n"/>
      <c r="L48" s="14" t="n"/>
      <c r="M48" s="37" t="inlineStr">
        <is>
          <t>Só o que vem POR FORA do preço. Se o preço já é o final, deixe zerado.</t>
        </is>
      </c>
      <c r="N48" s="35" t="n"/>
      <c r="O48" s="35" t="n"/>
      <c r="P48" s="35" t="n"/>
    </row>
    <row r="49" ht="17" customHeight="1">
      <c r="A49" s="34" t="inlineStr">
        <is>
          <t>Valor do imposto</t>
        </is>
      </c>
      <c r="B49" s="35" t="n"/>
      <c r="C49" s="35" t="n"/>
      <c r="D49" s="35" t="n"/>
      <c r="E49" s="39">
        <f>IF(E47="","",ROUND(E47*IF(E48="",0,E48),2))</f>
        <v/>
      </c>
      <c r="F49" s="17" t="n"/>
      <c r="G49" s="39">
        <f>IF(G47="","",ROUND(G47*IF(G48="",0,G48),2))</f>
        <v/>
      </c>
      <c r="H49" s="17" t="n"/>
      <c r="I49" s="39">
        <f>IF(I47="","",ROUND(I47*IF(I48="",0,I48),2))</f>
        <v/>
      </c>
      <c r="J49" s="17" t="n"/>
      <c r="K49" s="39">
        <f>IF(K47="","",ROUND(K47*IF(K48="",0,K48),2))</f>
        <v/>
      </c>
      <c r="L49" s="17" t="n"/>
      <c r="M49" s="37" t="inlineStr"/>
      <c r="N49" s="35" t="n"/>
      <c r="O49" s="35" t="n"/>
      <c r="P49" s="35" t="n"/>
    </row>
    <row r="50" ht="17" customHeight="1">
      <c r="A50" s="40" t="inlineStr">
        <is>
          <t>Frete estimado (R$)</t>
        </is>
      </c>
      <c r="B50" s="41" t="n"/>
      <c r="C50" s="41" t="n"/>
      <c r="D50" s="41" t="n"/>
      <c r="E50" s="43" t="n"/>
      <c r="F50" s="14" t="n"/>
      <c r="G50" s="43" t="n"/>
      <c r="H50" s="14" t="n"/>
      <c r="I50" s="43" t="n"/>
      <c r="J50" s="14" t="n"/>
      <c r="K50" s="43" t="n"/>
      <c r="L50" s="14" t="n"/>
      <c r="M50" s="37" t="inlineStr">
        <is>
          <t>Coloque 0 quando o frete estiver embutido ou for por conta do fornecedor.</t>
        </is>
      </c>
      <c r="N50" s="35" t="n"/>
      <c r="O50" s="35" t="n"/>
      <c r="P50" s="35" t="n"/>
    </row>
    <row r="51" ht="17" customHeight="1">
      <c r="A51" s="34" t="inlineStr">
        <is>
          <t>Total com imposto e frete</t>
        </is>
      </c>
      <c r="B51" s="35" t="n"/>
      <c r="C51" s="35" t="n"/>
      <c r="D51" s="35" t="n"/>
      <c r="E51" s="39">
        <f>IF(E47="","",ROUND(E47+E49+IF(E50="",0,E50),2))</f>
        <v/>
      </c>
      <c r="F51" s="17" t="n"/>
      <c r="G51" s="39">
        <f>IF(G47="","",ROUND(G47+G49+IF(G50="",0,G50),2))</f>
        <v/>
      </c>
      <c r="H51" s="17" t="n"/>
      <c r="I51" s="39">
        <f>IF(I47="","",ROUND(I47+I49+IF(I50="",0,I50),2))</f>
        <v/>
      </c>
      <c r="J51" s="17" t="n"/>
      <c r="K51" s="39">
        <f>IF(K47="","",ROUND(K47+K49+IF(K50="",0,K50),2))</f>
        <v/>
      </c>
      <c r="L51" s="17" t="n"/>
      <c r="M51" s="37" t="inlineStr">
        <is>
          <t>Este é o custo cheio da proposta, antes de desconto ou acréscimo.</t>
        </is>
      </c>
      <c r="N51" s="35" t="n"/>
      <c r="O51" s="35" t="n"/>
      <c r="P51" s="35" t="n"/>
    </row>
    <row r="52" ht="17" customHeight="1">
      <c r="A52" s="40" t="inlineStr">
        <is>
          <t>% desconto à vista</t>
        </is>
      </c>
      <c r="B52" s="41" t="n"/>
      <c r="C52" s="41" t="n"/>
      <c r="D52" s="41" t="n"/>
      <c r="E52" s="42" t="n"/>
      <c r="F52" s="14" t="n"/>
      <c r="G52" s="42" t="n"/>
      <c r="H52" s="14" t="n"/>
      <c r="I52" s="42" t="n"/>
      <c r="J52" s="14" t="n"/>
      <c r="K52" s="42" t="n"/>
      <c r="L52" s="14" t="n"/>
      <c r="M52" s="37" t="inlineStr">
        <is>
          <t>Desconto que o fornecedor dá para pagamento à vista.</t>
        </is>
      </c>
      <c r="N52" s="35" t="n"/>
      <c r="O52" s="35" t="n"/>
      <c r="P52" s="35" t="n"/>
    </row>
    <row r="53" ht="22" customHeight="1">
      <c r="A53" s="44" t="inlineStr">
        <is>
          <t>TOTAL À VISTA</t>
        </is>
      </c>
      <c r="B53" s="20" t="n"/>
      <c r="C53" s="20" t="n"/>
      <c r="D53" s="20" t="n"/>
      <c r="E53" s="45">
        <f>IF(E51="","",ROUND(E51*(1-IF(E52="",0,E52)),2))</f>
        <v/>
      </c>
      <c r="F53" s="46" t="n"/>
      <c r="G53" s="45">
        <f>IF(G51="","",ROUND(G51*(1-IF(G52="",0,G52)),2))</f>
        <v/>
      </c>
      <c r="H53" s="46" t="n"/>
      <c r="I53" s="45">
        <f>IF(I51="","",ROUND(I51*(1-IF(I52="",0,I52)),2))</f>
        <v/>
      </c>
      <c r="J53" s="46" t="n"/>
      <c r="K53" s="45">
        <f>IF(K51="","",ROUND(K51*(1-IF(K52="",0,K52)),2))</f>
        <v/>
      </c>
      <c r="L53" s="46" t="n"/>
      <c r="M53" s="47" t="inlineStr"/>
      <c r="N53" s="20" t="n"/>
      <c r="O53" s="20" t="n"/>
      <c r="P53" s="20" t="n"/>
    </row>
    <row r="54" ht="17" customHeight="1">
      <c r="A54" s="40" t="inlineStr">
        <is>
          <t>Condição a prazo</t>
        </is>
      </c>
      <c r="B54" s="41" t="n"/>
      <c r="C54" s="41" t="n"/>
      <c r="D54" s="41" t="n"/>
      <c r="E54" s="48" t="n"/>
      <c r="F54" s="14" t="n"/>
      <c r="G54" s="48" t="n"/>
      <c r="H54" s="14" t="n"/>
      <c r="I54" s="48" t="n"/>
      <c r="J54" s="14" t="n"/>
      <c r="K54" s="48" t="n"/>
      <c r="L54" s="14" t="n"/>
      <c r="M54" s="37" t="inlineStr">
        <is>
          <t>Ex.: 30/60/90, 28 dias, 3x sem juros.</t>
        </is>
      </c>
      <c r="N54" s="35" t="n"/>
      <c r="O54" s="35" t="n"/>
      <c r="P54" s="35" t="n"/>
    </row>
    <row r="55" ht="17" customHeight="1">
      <c r="A55" s="40" t="inlineStr">
        <is>
          <t>% acréscimo a prazo</t>
        </is>
      </c>
      <c r="B55" s="41" t="n"/>
      <c r="C55" s="41" t="n"/>
      <c r="D55" s="41" t="n"/>
      <c r="E55" s="42" t="n"/>
      <c r="F55" s="14" t="n"/>
      <c r="G55" s="42" t="n"/>
      <c r="H55" s="14" t="n"/>
      <c r="I55" s="42" t="n"/>
      <c r="J55" s="14" t="n"/>
      <c r="K55" s="42" t="n"/>
      <c r="L55" s="14" t="n"/>
      <c r="M55" s="37" t="inlineStr">
        <is>
          <t>Juros ou acréscimo cobrado no parcelado. Se não há acréscimo, deixe zerado.</t>
        </is>
      </c>
      <c r="N55" s="35" t="n"/>
      <c r="O55" s="35" t="n"/>
      <c r="P55" s="35" t="n"/>
    </row>
    <row r="56" ht="22" customHeight="1">
      <c r="A56" s="44" t="inlineStr">
        <is>
          <t>TOTAL A PRAZO</t>
        </is>
      </c>
      <c r="B56" s="20" t="n"/>
      <c r="C56" s="20" t="n"/>
      <c r="D56" s="20" t="n"/>
      <c r="E56" s="45">
        <f>IF(E51="","",ROUND(E51*(1+IF(E55="",0,E55)),2))</f>
        <v/>
      </c>
      <c r="F56" s="46" t="n"/>
      <c r="G56" s="45">
        <f>IF(G51="","",ROUND(G51*(1+IF(G55="",0,G55)),2))</f>
        <v/>
      </c>
      <c r="H56" s="46" t="n"/>
      <c r="I56" s="45">
        <f>IF(I51="","",ROUND(I51*(1+IF(I55="",0,I55)),2))</f>
        <v/>
      </c>
      <c r="J56" s="46" t="n"/>
      <c r="K56" s="45">
        <f>IF(K51="","",ROUND(K51*(1+IF(K55="",0,K55)),2))</f>
        <v/>
      </c>
      <c r="L56" s="46" t="n"/>
      <c r="M56" s="47" t="inlineStr"/>
      <c r="N56" s="20" t="n"/>
      <c r="O56" s="20" t="n"/>
      <c r="P56" s="20" t="n"/>
    </row>
    <row r="57" ht="17" customHeight="1">
      <c r="A57" s="34" t="inlineStr">
        <is>
          <t>Custo do prazo (R$)</t>
        </is>
      </c>
      <c r="B57" s="35" t="n"/>
      <c r="C57" s="35" t="n"/>
      <c r="D57" s="35" t="n"/>
      <c r="E57" s="39">
        <f>IF(OR(E53="",E56=""),"",ROUND(E56-E53,2))</f>
        <v/>
      </c>
      <c r="F57" s="17" t="n"/>
      <c r="G57" s="39">
        <f>IF(OR(G53="",G56=""),"",ROUND(G56-G53,2))</f>
        <v/>
      </c>
      <c r="H57" s="17" t="n"/>
      <c r="I57" s="39">
        <f>IF(OR(I53="",I56=""),"",ROUND(I56-I53,2))</f>
        <v/>
      </c>
      <c r="J57" s="17" t="n"/>
      <c r="K57" s="39">
        <f>IF(OR(K53="",K56=""),"",ROUND(K56-K53,2))</f>
        <v/>
      </c>
      <c r="L57" s="17" t="n"/>
      <c r="M57" s="37" t="inlineStr">
        <is>
          <t>Quanto o parcelamento custa. Compare com o que o dinheiro rende ou economiza no caixa.</t>
        </is>
      </c>
      <c r="N57" s="35" t="n"/>
      <c r="O57" s="35" t="n"/>
      <c r="P57" s="35" t="n"/>
    </row>
    <row r="58" ht="17" customHeight="1">
      <c r="A58" s="40" t="inlineStr">
        <is>
          <t>Prazo de entrega</t>
        </is>
      </c>
      <c r="B58" s="41" t="n"/>
      <c r="C58" s="41" t="n"/>
      <c r="D58" s="41" t="n"/>
      <c r="E58" s="49" t="n"/>
      <c r="F58" s="14" t="n"/>
      <c r="G58" s="49" t="n"/>
      <c r="H58" s="14" t="n"/>
      <c r="I58" s="49" t="n"/>
      <c r="J58" s="14" t="n"/>
      <c r="K58" s="49" t="n"/>
      <c r="L58" s="14" t="n"/>
      <c r="M58" s="37" t="inlineStr">
        <is>
          <t>Em dias corridos a partir do pedido.</t>
        </is>
      </c>
      <c r="N58" s="35" t="n"/>
      <c r="O58" s="35" t="n"/>
      <c r="P58" s="35" t="n"/>
    </row>
    <row r="59" ht="17" customHeight="1">
      <c r="A59" s="40" t="inlineStr">
        <is>
          <t>Validade da proposta</t>
        </is>
      </c>
      <c r="B59" s="41" t="n"/>
      <c r="C59" s="41" t="n"/>
      <c r="D59" s="41" t="n"/>
      <c r="E59" s="50" t="n"/>
      <c r="F59" s="14" t="n"/>
      <c r="G59" s="50" t="n"/>
      <c r="H59" s="14" t="n"/>
      <c r="I59" s="50" t="n"/>
      <c r="J59" s="14" t="n"/>
      <c r="K59" s="50" t="n"/>
      <c r="L59" s="14" t="n"/>
      <c r="M59" s="37" t="inlineStr">
        <is>
          <t>Até quando o fornecedor garante este preço.</t>
        </is>
      </c>
      <c r="N59" s="35" t="n"/>
      <c r="O59" s="35" t="n"/>
      <c r="P59" s="35" t="n"/>
    </row>
    <row r="60" ht="17" customHeight="1">
      <c r="A60" s="34" t="inlineStr">
        <is>
          <t>Subtotal se atender 100%</t>
        </is>
      </c>
      <c r="B60" s="35" t="n"/>
      <c r="C60" s="35" t="n"/>
      <c r="D60" s="35" t="n"/>
      <c r="E60" s="39">
        <f>IF(E46="COMPLETO",E47,"")</f>
        <v/>
      </c>
      <c r="F60" s="17" t="n"/>
      <c r="G60" s="39">
        <f>IF(G46="COMPLETO",G47,"")</f>
        <v/>
      </c>
      <c r="H60" s="17" t="n"/>
      <c r="I60" s="39">
        <f>IF(I46="COMPLETO",I47,"")</f>
        <v/>
      </c>
      <c r="J60" s="17" t="n"/>
      <c r="K60" s="39">
        <f>IF(K46="COMPLETO",K47,"")</f>
        <v/>
      </c>
      <c r="L60" s="17" t="n"/>
      <c r="M60" s="37" t="inlineStr">
        <is>
          <t>Auxiliar do veredito — fica em branco quando o fornecedor não tem o pedido inteiro.</t>
        </is>
      </c>
      <c r="N60" s="35" t="n"/>
      <c r="O60" s="35" t="n"/>
      <c r="P60" s="35" t="n"/>
    </row>
    <row r="61" ht="17" customHeight="1">
      <c r="A61" s="34" t="inlineStr">
        <is>
          <t>Total à vista se atender 100%</t>
        </is>
      </c>
      <c r="B61" s="35" t="n"/>
      <c r="C61" s="35" t="n"/>
      <c r="D61" s="35" t="n"/>
      <c r="E61" s="39">
        <f>IF(E46="COMPLETO",E53,"")</f>
        <v/>
      </c>
      <c r="F61" s="17" t="n"/>
      <c r="G61" s="39">
        <f>IF(G46="COMPLETO",G53,"")</f>
        <v/>
      </c>
      <c r="H61" s="17" t="n"/>
      <c r="I61" s="39">
        <f>IF(I46="COMPLETO",I53,"")</f>
        <v/>
      </c>
      <c r="J61" s="17" t="n"/>
      <c r="K61" s="39">
        <f>IF(K46="COMPLETO",K53,"")</f>
        <v/>
      </c>
      <c r="L61" s="17" t="n"/>
      <c r="M61" s="37" t="inlineStr">
        <is>
          <t>Auxiliar do veredito — é por aqui que sai o "melhor entre os completos".</t>
        </is>
      </c>
      <c r="N61" s="35" t="n"/>
      <c r="O61" s="35" t="n"/>
      <c r="P61" s="35" t="n"/>
    </row>
    <row r="62" ht="8" customHeight="1"/>
    <row r="63" ht="20" customHeight="1">
      <c r="A63" s="8" t="inlineStr">
        <is>
          <t xml:space="preserve">  VEREDITO          leitura pronta para decidir — confira sempre a coluna de situação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22" customHeight="1">
      <c r="A64" s="51" t="inlineStr">
        <is>
          <t>Melhor preço À VISTA</t>
        </is>
      </c>
      <c r="B64" s="52" t="n"/>
      <c r="C64" s="52" t="n"/>
      <c r="D64" s="52" t="n"/>
      <c r="E64" s="53">
        <f>IF(COUNT($E$53,$G$53,$I$53,$K$53)=0,"—",IF($E$53=MIN($E$53,$G$53,$I$53,$K$53),$E$10,IF($G$53=MIN($E$53,$G$53,$I$53,$K$53),$G$10,IF($I$53=MIN($E$53,$G$53,$I$53,$K$53),$I$10,$K$10))))</f>
        <v/>
      </c>
      <c r="F64" s="52" t="n"/>
      <c r="G64" s="52" t="n"/>
      <c r="H64" s="52" t="n"/>
      <c r="I64" s="54">
        <f>IF(COUNT($E$53,$G$53,$I$53,$K$53)=0,"",MIN($E$53,$G$53,$I$53,$K$53))</f>
        <v/>
      </c>
      <c r="J64" s="52" t="n"/>
      <c r="K64" s="52" t="n"/>
      <c r="L64" s="52" t="n"/>
      <c r="M64" s="55">
        <f>IF(COUNT($E$53,$G$53,$I$53,$K$53)=0,"—",IF($E$53=MIN($E$53,$G$53,$I$53,$K$53),$E$46,IF($G$53=MIN($E$53,$G$53,$I$53,$K$53),$G$46,IF($I$53=MIN($E$53,$G$53,$I$53,$K$53),$I$46,$K$46))))</f>
        <v/>
      </c>
      <c r="N64" s="52" t="n"/>
      <c r="O64" s="52" t="n"/>
      <c r="P64" s="52" t="n"/>
    </row>
    <row r="65" ht="22" customHeight="1">
      <c r="A65" s="56" t="inlineStr">
        <is>
          <t>Melhor à vista ENTRE OS COMPLETOS</t>
        </is>
      </c>
      <c r="B65" s="57" t="n"/>
      <c r="C65" s="57" t="n"/>
      <c r="D65" s="57" t="n"/>
      <c r="E65" s="58">
        <f>IF(COUNT($E$61,$G$61,$I$61,$K$61)=0,"—",IF($E$61=MIN($E$61,$G$61,$I$61,$K$61),$E$10,IF($G$61=MIN($E$61,$G$61,$I$61,$K$61),$G$10,IF($I$61=MIN($E$61,$G$61,$I$61,$K$61),$I$10,$K$10))))</f>
        <v/>
      </c>
      <c r="F65" s="57" t="n"/>
      <c r="G65" s="57" t="n"/>
      <c r="H65" s="57" t="n"/>
      <c r="I65" s="59">
        <f>IF(COUNT($E$61,$G$61,$I$61,$K$61)=0,"",MIN($E$61,$G$61,$I$61,$K$61))</f>
        <v/>
      </c>
      <c r="J65" s="57" t="n"/>
      <c r="K65" s="57" t="n"/>
      <c r="L65" s="57" t="n"/>
      <c r="M65" s="60">
        <f>IF(COUNT($E$61,$G$61,$I$61,$K$61)=0,"Nenhum fornecedor tem o pedido completo — você vai precisar dividir a compra","Atende 100% dos itens do pedido")</f>
        <v/>
      </c>
      <c r="N65" s="57" t="n"/>
      <c r="O65" s="57" t="n"/>
      <c r="P65" s="57" t="n"/>
    </row>
    <row r="66" ht="22" customHeight="1">
      <c r="A66" s="61" t="inlineStr">
        <is>
          <t>Melhor preço A PRAZO</t>
        </is>
      </c>
      <c r="B66" s="62" t="n"/>
      <c r="C66" s="62" t="n"/>
      <c r="D66" s="62" t="n"/>
      <c r="E66" s="63">
        <f>IF(COUNT($E$56,$G$56,$I$56,$K$56)=0,"—",IF($E$56=MIN($E$56,$G$56,$I$56,$K$56),$E$10,IF($G$56=MIN($E$56,$G$56,$I$56,$K$56),$G$10,IF($I$56=MIN($E$56,$G$56,$I$56,$K$56),$I$10,$K$10))))</f>
        <v/>
      </c>
      <c r="F66" s="62" t="n"/>
      <c r="G66" s="62" t="n"/>
      <c r="H66" s="62" t="n"/>
      <c r="I66" s="64">
        <f>IF(COUNT($E$56,$G$56,$I$56,$K$56)=0,"",MIN($E$56,$G$56,$I$56,$K$56))</f>
        <v/>
      </c>
      <c r="J66" s="62" t="n"/>
      <c r="K66" s="62" t="n"/>
      <c r="L66" s="62" t="n"/>
      <c r="M66" s="65">
        <f>IF(COUNT($E$56,$G$56,$I$56,$K$56)=0,"—",IF($E$56=MIN($E$56,$G$56,$I$56,$K$56),$E$54,IF($G$56=MIN($E$56,$G$56,$I$56,$K$56),$G$54,IF($I$56=MIN($E$56,$G$56,$I$56,$K$56),$I$54,$K$54))))</f>
        <v/>
      </c>
      <c r="N66" s="62" t="n"/>
      <c r="O66" s="62" t="n"/>
      <c r="P66" s="62" t="n"/>
    </row>
    <row r="67" ht="22" customHeight="1">
      <c r="A67" s="66" t="inlineStr">
        <is>
          <t>COMPRA FRACIONADA (item a item)</t>
        </is>
      </c>
      <c r="B67" s="17" t="n"/>
      <c r="C67" s="17" t="n"/>
      <c r="D67" s="17" t="n"/>
      <c r="E67" s="67" t="inlineStr">
        <is>
          <t>melhor preço de cada linha</t>
        </is>
      </c>
      <c r="F67" s="17" t="n"/>
      <c r="G67" s="17" t="n"/>
      <c r="H67" s="17" t="n"/>
      <c r="I67" s="68">
        <f>IF(SUM($O$13:$O$42)=0,"",ROUND(SUM($O$13:$O$42),2))</f>
        <v/>
      </c>
      <c r="J67" s="17" t="n"/>
      <c r="K67" s="17" t="n"/>
      <c r="L67" s="17" t="n"/>
      <c r="M67" s="69">
        <f>IF($I67="","",IF((COUNTA($B$13:$B$42)-COUNT($M$13:$M$42))&gt;0,"Atenção: "&amp;(COUNTA($B$13:$B$42)-COUNT($M$13:$M$42))&amp;" item(ns) sem nenhuma cotação. ","")&amp;IF(COUNT($E$60,$G$60,$I$60,$K$60)=0,"Nenhum fornecedor tem o pedido completo para servir de comparação.",IF(MIN($E$60,$G$60,$I$60,$K$60)-$I67&gt;0,"Economia de "&amp;TEXT(MIN($E$60,$G$60,$I$60,$K$60)-$I67,"R$ #,##0.00")&amp;" sobre o subtotal do melhor fornecedor completo — mas some frete e imposto de cada um.","Sem ganho: dividir a compra sai "&amp;TEXT($I67-MIN($E$60,$G$60,$I$60,$K$60),"R$ #,##0.00")&amp;" mais caro que o melhor fornecedor completo.")))</f>
        <v/>
      </c>
      <c r="N67" s="17" t="n"/>
      <c r="O67" s="17" t="n"/>
      <c r="P67" s="17" t="n"/>
    </row>
    <row r="68" ht="8" customHeight="1"/>
    <row r="69" ht="40" customHeight="1">
      <c r="A69" s="70" t="inlineStr">
        <is>
          <t xml:space="preserve">  Como ler: subtotal e compra fracionada são SEM imposto e frete — a decisão final é sempre pelo TOTAL À VISTA ou TOTAL A PRAZO. Preço em branco na coluna de um fornecedor significa que ele não tem aquele item (a célula fica avermelhada). Antes de fechar por preço, confira a situação do pedido, o prazo de entrega e a validade da proposta.</t>
        </is>
      </c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</row>
  </sheetData>
  <mergeCells count="148">
    <mergeCell ref="K49:L49"/>
    <mergeCell ref="M61:P61"/>
    <mergeCell ref="M57:P57"/>
    <mergeCell ref="E51:F51"/>
    <mergeCell ref="A7:B7"/>
    <mergeCell ref="A58:D58"/>
    <mergeCell ref="M56:P56"/>
    <mergeCell ref="A9:P9"/>
    <mergeCell ref="K50:L50"/>
    <mergeCell ref="C6:F6"/>
    <mergeCell ref="G57:H57"/>
    <mergeCell ref="A64:D64"/>
    <mergeCell ref="M59:P59"/>
    <mergeCell ref="A51:D51"/>
    <mergeCell ref="A60:D60"/>
    <mergeCell ref="I58:J58"/>
    <mergeCell ref="K58:L58"/>
    <mergeCell ref="K52:L52"/>
    <mergeCell ref="E64:H64"/>
    <mergeCell ref="E49:F49"/>
    <mergeCell ref="A54:D54"/>
    <mergeCell ref="G58:H58"/>
    <mergeCell ref="I52:J52"/>
    <mergeCell ref="M10:P10"/>
    <mergeCell ref="M54:P54"/>
    <mergeCell ref="I66:L66"/>
    <mergeCell ref="K53:L53"/>
    <mergeCell ref="A56:D56"/>
    <mergeCell ref="E65:H65"/>
    <mergeCell ref="E53:F53"/>
    <mergeCell ref="M45:P45"/>
    <mergeCell ref="G59:H59"/>
    <mergeCell ref="A53:D53"/>
    <mergeCell ref="E55:F55"/>
    <mergeCell ref="I46:J46"/>
    <mergeCell ref="M47:P47"/>
    <mergeCell ref="G61:H61"/>
    <mergeCell ref="E48:F48"/>
    <mergeCell ref="I61:J61"/>
    <mergeCell ref="K55:L55"/>
    <mergeCell ref="G48:H48"/>
    <mergeCell ref="A63:P63"/>
    <mergeCell ref="I57:J57"/>
    <mergeCell ref="K51:L51"/>
    <mergeCell ref="I54:J54"/>
    <mergeCell ref="A48:D48"/>
    <mergeCell ref="A59:D59"/>
    <mergeCell ref="A11:D11"/>
    <mergeCell ref="E67:H67"/>
    <mergeCell ref="I56:J56"/>
    <mergeCell ref="K56:L56"/>
    <mergeCell ref="G49:H49"/>
    <mergeCell ref="A61:D61"/>
    <mergeCell ref="A1:P1"/>
    <mergeCell ref="M64:P64"/>
    <mergeCell ref="M51:P51"/>
    <mergeCell ref="G7:J7"/>
    <mergeCell ref="A69:P69"/>
    <mergeCell ref="M60:P60"/>
    <mergeCell ref="A46:D46"/>
    <mergeCell ref="I10:J10"/>
    <mergeCell ref="M7:P7"/>
    <mergeCell ref="K10:L10"/>
    <mergeCell ref="M65:P65"/>
    <mergeCell ref="I59:J59"/>
    <mergeCell ref="G60:H60"/>
    <mergeCell ref="K6:L6"/>
    <mergeCell ref="E58:F58"/>
    <mergeCell ref="I60:J60"/>
    <mergeCell ref="E50:F50"/>
    <mergeCell ref="G11:H11"/>
    <mergeCell ref="I11:J11"/>
    <mergeCell ref="A52:D52"/>
    <mergeCell ref="I45:J45"/>
    <mergeCell ref="A4:P4"/>
    <mergeCell ref="E52:F52"/>
    <mergeCell ref="K45:L45"/>
    <mergeCell ref="A10:D10"/>
    <mergeCell ref="K54:L54"/>
    <mergeCell ref="K60:L60"/>
    <mergeCell ref="E66:H66"/>
    <mergeCell ref="M53:P53"/>
    <mergeCell ref="K11:L11"/>
    <mergeCell ref="M50:P50"/>
    <mergeCell ref="I47:J47"/>
    <mergeCell ref="K47:L47"/>
    <mergeCell ref="K46:L46"/>
    <mergeCell ref="A49:D49"/>
    <mergeCell ref="M55:P55"/>
    <mergeCell ref="M67:P67"/>
    <mergeCell ref="M49:P49"/>
    <mergeCell ref="A45:D45"/>
    <mergeCell ref="E59:F59"/>
    <mergeCell ref="M48:P48"/>
    <mergeCell ref="E46:F46"/>
    <mergeCell ref="M11:P11"/>
    <mergeCell ref="A65:D65"/>
    <mergeCell ref="E61:F61"/>
    <mergeCell ref="E57:F57"/>
    <mergeCell ref="G51:H51"/>
    <mergeCell ref="K7:L7"/>
    <mergeCell ref="I51:J51"/>
    <mergeCell ref="E54:F54"/>
    <mergeCell ref="G54:H54"/>
    <mergeCell ref="K57:L57"/>
    <mergeCell ref="G50:H50"/>
    <mergeCell ref="A57:D57"/>
    <mergeCell ref="A3:P3"/>
    <mergeCell ref="I50:J50"/>
    <mergeCell ref="E56:F56"/>
    <mergeCell ref="G56:H56"/>
    <mergeCell ref="G52:H52"/>
    <mergeCell ref="I64:L64"/>
    <mergeCell ref="I49:J49"/>
    <mergeCell ref="C7:F7"/>
    <mergeCell ref="A6:B6"/>
    <mergeCell ref="M66:P66"/>
    <mergeCell ref="A67:D67"/>
    <mergeCell ref="A44:P44"/>
    <mergeCell ref="E10:F10"/>
    <mergeCell ref="M58:P58"/>
    <mergeCell ref="I65:L65"/>
    <mergeCell ref="G10:H10"/>
    <mergeCell ref="G53:H53"/>
    <mergeCell ref="I53:J53"/>
    <mergeCell ref="E60:F60"/>
    <mergeCell ref="K59:L59"/>
    <mergeCell ref="M52:P52"/>
    <mergeCell ref="I55:J55"/>
    <mergeCell ref="E11:F11"/>
    <mergeCell ref="E45:F45"/>
    <mergeCell ref="G45:H45"/>
    <mergeCell ref="K61:L61"/>
    <mergeCell ref="I48:J48"/>
    <mergeCell ref="K48:L48"/>
    <mergeCell ref="A66:D66"/>
    <mergeCell ref="G55:H55"/>
    <mergeCell ref="G6:J6"/>
    <mergeCell ref="G47:H47"/>
    <mergeCell ref="A50:D50"/>
    <mergeCell ref="A55:D55"/>
    <mergeCell ref="M6:P6"/>
    <mergeCell ref="G46:H46"/>
    <mergeCell ref="M46:P46"/>
    <mergeCell ref="A47:D47"/>
    <mergeCell ref="I67:L67"/>
    <mergeCell ref="E47:F47"/>
    <mergeCell ref="A2:P2"/>
  </mergeCells>
  <conditionalFormatting sqref="E13:E42">
    <cfRule type="expression" priority="1" dxfId="0" stopIfTrue="1">
      <formula>AND($B13&lt;&gt;"",E13="")</formula>
    </cfRule>
    <cfRule type="expression" priority="2" dxfId="1">
      <formula>AND(E13&lt;&gt;"",$M13&lt;&gt;"",E13=$M13)</formula>
    </cfRule>
  </conditionalFormatting>
  <conditionalFormatting sqref="E46:F46">
    <cfRule type="expression" priority="3" dxfId="1" stopIfTrue="1">
      <formula>$E$46="COMPLETO"</formula>
    </cfRule>
    <cfRule type="expression" priority="4" dxfId="2" stopIfTrue="1">
      <formula>LEFT($E$46,7)="PARCIAL"</formula>
    </cfRule>
    <cfRule type="expression" priority="5" dxfId="3">
      <formula>$E$46="NÃO COTOU"</formula>
    </cfRule>
  </conditionalFormatting>
  <conditionalFormatting sqref="E53:F53">
    <cfRule type="expression" priority="6" dxfId="4">
      <formula>AND($E$53&lt;&gt;"",$E$53=MIN($E$53,$G$53,$I$53,$K$53))</formula>
    </cfRule>
  </conditionalFormatting>
  <conditionalFormatting sqref="E56:F56">
    <cfRule type="expression" priority="7" dxfId="4">
      <formula>AND($E$56&lt;&gt;"",$E$56=MIN($E$56,$G$56,$I$56,$K$56))</formula>
    </cfRule>
  </conditionalFormatting>
  <conditionalFormatting sqref="G13:G42">
    <cfRule type="expression" priority="8" dxfId="0" stopIfTrue="1">
      <formula>AND($B13&lt;&gt;"",G13="")</formula>
    </cfRule>
    <cfRule type="expression" priority="9" dxfId="1">
      <formula>AND(G13&lt;&gt;"",$M13&lt;&gt;"",G13=$M13)</formula>
    </cfRule>
  </conditionalFormatting>
  <conditionalFormatting sqref="G46:H46">
    <cfRule type="expression" priority="10" dxfId="1" stopIfTrue="1">
      <formula>$G$46="COMPLETO"</formula>
    </cfRule>
    <cfRule type="expression" priority="11" dxfId="2" stopIfTrue="1">
      <formula>LEFT($G$46,7)="PARCIAL"</formula>
    </cfRule>
    <cfRule type="expression" priority="12" dxfId="3">
      <formula>$G$46="NÃO COTOU"</formula>
    </cfRule>
  </conditionalFormatting>
  <conditionalFormatting sqref="G53:H53">
    <cfRule type="expression" priority="13" dxfId="4">
      <formula>AND($G$53&lt;&gt;"",$G$53=MIN($E$53,$G$53,$I$53,$K$53))</formula>
    </cfRule>
  </conditionalFormatting>
  <conditionalFormatting sqref="G56:H56">
    <cfRule type="expression" priority="14" dxfId="4">
      <formula>AND($G$56&lt;&gt;"",$G$56=MIN($E$56,$G$56,$I$56,$K$56))</formula>
    </cfRule>
  </conditionalFormatting>
  <conditionalFormatting sqref="I13:I42">
    <cfRule type="expression" priority="15" dxfId="0" stopIfTrue="1">
      <formula>AND($B13&lt;&gt;"",I13="")</formula>
    </cfRule>
    <cfRule type="expression" priority="16" dxfId="1">
      <formula>AND(I13&lt;&gt;"",$M13&lt;&gt;"",I13=$M13)</formula>
    </cfRule>
  </conditionalFormatting>
  <conditionalFormatting sqref="I46:J46">
    <cfRule type="expression" priority="17" dxfId="1" stopIfTrue="1">
      <formula>$I$46="COMPLETO"</formula>
    </cfRule>
    <cfRule type="expression" priority="18" dxfId="2" stopIfTrue="1">
      <formula>LEFT($I$46,7)="PARCIAL"</formula>
    </cfRule>
    <cfRule type="expression" priority="19" dxfId="3">
      <formula>$I$46="NÃO COTOU"</formula>
    </cfRule>
  </conditionalFormatting>
  <conditionalFormatting sqref="I53:J53">
    <cfRule type="expression" priority="20" dxfId="4">
      <formula>AND($I$53&lt;&gt;"",$I$53=MIN($E$53,$G$53,$I$53,$K$53))</formula>
    </cfRule>
  </conditionalFormatting>
  <conditionalFormatting sqref="I56:J56">
    <cfRule type="expression" priority="21" dxfId="4">
      <formula>AND($I$56&lt;&gt;"",$I$56=MIN($E$56,$G$56,$I$56,$K$56))</formula>
    </cfRule>
  </conditionalFormatting>
  <conditionalFormatting sqref="K13:K42">
    <cfRule type="expression" priority="22" dxfId="0" stopIfTrue="1">
      <formula>AND($B13&lt;&gt;"",K13="")</formula>
    </cfRule>
    <cfRule type="expression" priority="23" dxfId="1">
      <formula>AND(K13&lt;&gt;"",$M13&lt;&gt;"",K13=$M13)</formula>
    </cfRule>
  </conditionalFormatting>
  <conditionalFormatting sqref="K46:L46">
    <cfRule type="expression" priority="24" dxfId="1" stopIfTrue="1">
      <formula>$K$46="COMPLETO"</formula>
    </cfRule>
    <cfRule type="expression" priority="25" dxfId="2" stopIfTrue="1">
      <formula>LEFT($K$46,7)="PARCIAL"</formula>
    </cfRule>
    <cfRule type="expression" priority="26" dxfId="3">
      <formula>$K$46="NÃO COTOU"</formula>
    </cfRule>
  </conditionalFormatting>
  <conditionalFormatting sqref="K53:L53">
    <cfRule type="expression" priority="27" dxfId="4">
      <formula>AND($K$53&lt;&gt;"",$K$53=MIN($E$53,$G$53,$I$53,$K$53))</formula>
    </cfRule>
  </conditionalFormatting>
  <conditionalFormatting sqref="K56:L56">
    <cfRule type="expression" priority="28" dxfId="4">
      <formula>AND($K$56&lt;&gt;"",$K$56=MIN($E$56,$G$56,$I$56,$K$56))</formula>
    </cfRule>
  </conditionalFormatting>
  <dataValidations count="5">
    <dataValidation sqref="C13:C42" showDropDown="0" showInputMessage="0" showErrorMessage="0" allowBlank="1" type="list">
      <formula1>=Listas!$A$2:$A$19</formula1>
    </dataValidation>
    <dataValidation sqref="E54:F54" showDropDown="0" showInputMessage="0" showErrorMessage="0" allowBlank="1" type="list">
      <formula1>=Listas!$B$2:$B$14</formula1>
    </dataValidation>
    <dataValidation sqref="G54:H54" showDropDown="0" showInputMessage="0" showErrorMessage="0" allowBlank="1" type="list">
      <formula1>=Listas!$B$2:$B$14</formula1>
    </dataValidation>
    <dataValidation sqref="I54:J54" showDropDown="0" showInputMessage="0" showErrorMessage="0" allowBlank="1" type="list">
      <formula1>=Listas!$B$2:$B$14</formula1>
    </dataValidation>
    <dataValidation sqref="K54:L54" showDropDown="0" showInputMessage="0" showErrorMessage="0" allowBlank="1" type="list">
      <formula1>=Listas!$B$2:$B$14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7" customWidth="1" min="3" max="3"/>
    <col width="9" customWidth="1" min="4" max="4"/>
    <col width="15" customWidth="1" min="5" max="5"/>
    <col width="16" customWidth="1" min="6" max="6"/>
    <col width="24" customWidth="1" min="7" max="7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</row>
    <row r="3" ht="28" customHeight="1">
      <c r="A3" s="4" t="inlineStr">
        <is>
          <t>PEDIDO DE COTAÇÃO</t>
        </is>
      </c>
      <c r="B3" s="5" t="n"/>
      <c r="C3" s="5" t="n"/>
      <c r="D3" s="5" t="n"/>
      <c r="E3" s="5" t="n"/>
      <c r="F3" s="5" t="n"/>
      <c r="G3" s="5" t="n"/>
    </row>
    <row r="4" ht="17" customHeight="1">
      <c r="A4" s="6" t="inlineStr">
        <is>
          <t>Formulário para enviar ao fornecedor · imprima em A4 ou envie em PDF</t>
        </is>
      </c>
      <c r="B4" s="7" t="n"/>
      <c r="C4" s="7" t="n"/>
      <c r="D4" s="7" t="n"/>
      <c r="E4" s="7" t="n"/>
      <c r="F4" s="7" t="n"/>
      <c r="G4" s="7" t="n"/>
    </row>
    <row r="5" ht="6" customHeight="1"/>
    <row r="6" ht="20" customHeight="1">
      <c r="A6" s="71" t="inlineStr">
        <is>
          <t>Puxar os itens da aba:</t>
        </is>
      </c>
      <c r="D6" s="72" t="inlineStr">
        <is>
          <t>Cotação</t>
        </is>
      </c>
      <c r="E6" s="14" t="n"/>
      <c r="F6" s="73" t="inlineStr">
        <is>
          <t>digite aqui o nome exato da aba de cotação</t>
        </is>
      </c>
    </row>
    <row r="8" ht="20" customHeight="1">
      <c r="A8" s="8" t="inlineStr">
        <is>
          <t xml:space="preserve">  IDENTIFICAÇÃO</t>
        </is>
      </c>
      <c r="B8" s="9" t="n"/>
      <c r="C8" s="9" t="n"/>
      <c r="D8" s="9" t="n"/>
      <c r="E8" s="9" t="n"/>
      <c r="F8" s="9" t="n"/>
      <c r="G8" s="9" t="n"/>
    </row>
    <row r="9" ht="18" customHeight="1">
      <c r="A9" s="74" t="inlineStr">
        <is>
          <t>Cotação nº  ▸</t>
        </is>
      </c>
      <c r="B9" s="35" t="n"/>
      <c r="C9" s="35" t="n"/>
      <c r="D9" s="75">
        <f>IFERROR(INDIRECT("'"&amp;$D$6&amp;"'!"&amp;"A7"),"")</f>
        <v/>
      </c>
      <c r="E9" s="17" t="n"/>
      <c r="F9" s="17" t="n"/>
      <c r="G9" s="17" t="n"/>
    </row>
    <row r="10" ht="18" customHeight="1">
      <c r="A10" s="74" t="inlineStr">
        <is>
          <t>Demanda / projeto  ▸</t>
        </is>
      </c>
      <c r="B10" s="35" t="n"/>
      <c r="C10" s="35" t="n"/>
      <c r="D10" s="75">
        <f>IFERROR(INDIRECT("'"&amp;$D$6&amp;"'!"&amp;"C7"),"")</f>
        <v/>
      </c>
      <c r="E10" s="17" t="n"/>
      <c r="F10" s="17" t="n"/>
      <c r="G10" s="17" t="n"/>
    </row>
    <row r="11" ht="18" customHeight="1">
      <c r="A11" s="74" t="inlineStr">
        <is>
          <t>Solicitante  ▸</t>
        </is>
      </c>
      <c r="B11" s="35" t="n"/>
      <c r="C11" s="35" t="n"/>
      <c r="D11" s="75">
        <f>IFERROR(INDIRECT("'"&amp;$D$6&amp;"'!"&amp;"G7"),"")</f>
        <v/>
      </c>
      <c r="E11" s="17" t="n"/>
      <c r="F11" s="17" t="n"/>
      <c r="G11" s="17" t="n"/>
    </row>
    <row r="12" ht="18" customHeight="1">
      <c r="A12" s="74" t="inlineStr">
        <is>
          <t>Data  ▸</t>
        </is>
      </c>
      <c r="B12" s="35" t="n"/>
      <c r="C12" s="35" t="n"/>
      <c r="D12" s="76">
        <f>IFERROR(INDIRECT("'"&amp;$D$6&amp;"'!"&amp;"K7"),"")</f>
        <v/>
      </c>
      <c r="E12" s="17" t="n"/>
      <c r="F12" s="17" t="n"/>
      <c r="G12" s="17" t="n"/>
    </row>
    <row r="13" ht="18" customHeight="1">
      <c r="A13" s="74" t="inlineStr">
        <is>
          <t>Responder até  ▸</t>
        </is>
      </c>
      <c r="B13" s="35" t="n"/>
      <c r="C13" s="35" t="n"/>
      <c r="D13" s="76">
        <f>IFERROR(INDIRECT("'"&amp;$D$6&amp;"'!"&amp;"M7"),"")</f>
        <v/>
      </c>
      <c r="E13" s="17" t="n"/>
      <c r="F13" s="17" t="n"/>
      <c r="G13" s="17" t="n"/>
    </row>
    <row r="14" ht="8" customHeight="1"/>
    <row r="15" ht="20" customHeight="1">
      <c r="A15" s="8" t="inlineStr">
        <is>
          <t xml:space="preserve">  DADOS DO FORNECEDOR          preenchimento do fornecedor</t>
        </is>
      </c>
      <c r="B15" s="9" t="n"/>
      <c r="C15" s="9" t="n"/>
      <c r="D15" s="9" t="n"/>
      <c r="E15" s="9" t="n"/>
      <c r="F15" s="9" t="n"/>
      <c r="G15" s="9" t="n"/>
    </row>
    <row r="16" ht="18" customHeight="1">
      <c r="A16" s="74" t="inlineStr">
        <is>
          <t>Empresa  ▸</t>
        </is>
      </c>
      <c r="B16" s="35" t="n"/>
      <c r="C16" s="35" t="n"/>
      <c r="D16" s="77" t="n"/>
      <c r="E16" s="14" t="n"/>
      <c r="F16" s="14" t="n"/>
      <c r="G16" s="14" t="n"/>
    </row>
    <row r="17" ht="18" customHeight="1">
      <c r="A17" s="74" t="inlineStr">
        <is>
          <t>CNPJ  ▸</t>
        </is>
      </c>
      <c r="B17" s="35" t="n"/>
      <c r="C17" s="35" t="n"/>
      <c r="D17" s="77" t="n"/>
      <c r="E17" s="14" t="n"/>
      <c r="F17" s="14" t="n"/>
      <c r="G17" s="14" t="n"/>
    </row>
    <row r="18" ht="18" customHeight="1">
      <c r="A18" s="74" t="inlineStr">
        <is>
          <t>Vendedor  ▸</t>
        </is>
      </c>
      <c r="B18" s="35" t="n"/>
      <c r="C18" s="35" t="n"/>
      <c r="D18" s="77" t="n"/>
      <c r="E18" s="14" t="n"/>
      <c r="F18" s="14" t="n"/>
      <c r="G18" s="14" t="n"/>
    </row>
    <row r="19" ht="18" customHeight="1">
      <c r="A19" s="74" t="inlineStr">
        <is>
          <t>Telefone / WhatsApp  ▸</t>
        </is>
      </c>
      <c r="B19" s="35" t="n"/>
      <c r="C19" s="35" t="n"/>
      <c r="D19" s="77" t="n"/>
      <c r="E19" s="14" t="n"/>
      <c r="F19" s="14" t="n"/>
      <c r="G19" s="14" t="n"/>
    </row>
    <row r="20" ht="18" customHeight="1">
      <c r="A20" s="74" t="inlineStr">
        <is>
          <t>E-mail  ▸</t>
        </is>
      </c>
      <c r="B20" s="35" t="n"/>
      <c r="C20" s="35" t="n"/>
      <c r="D20" s="77" t="n"/>
      <c r="E20" s="14" t="n"/>
      <c r="F20" s="14" t="n"/>
      <c r="G20" s="14" t="n"/>
    </row>
    <row r="21" ht="8" customHeight="1"/>
    <row r="22" ht="20" customHeight="1">
      <c r="A22" s="8" t="inlineStr">
        <is>
          <t xml:space="preserve">  ITENS SOLICITADOS</t>
        </is>
      </c>
      <c r="B22" s="9" t="n"/>
      <c r="C22" s="9" t="n"/>
      <c r="D22" s="9" t="n"/>
      <c r="E22" s="9" t="n"/>
      <c r="F22" s="9" t="n"/>
      <c r="G22" s="9" t="n"/>
    </row>
    <row r="23" ht="28" customHeight="1">
      <c r="A23" s="24" t="inlineStr">
        <is>
          <t>#</t>
        </is>
      </c>
      <c r="B23" s="24" t="inlineStr">
        <is>
          <t>ITEM / ESPECIFICAÇÃO</t>
        </is>
      </c>
      <c r="C23" s="24" t="inlineStr">
        <is>
          <t>UN.</t>
        </is>
      </c>
      <c r="D23" s="24" t="inlineStr">
        <is>
          <t>QTD</t>
        </is>
      </c>
      <c r="E23" s="24" t="inlineStr">
        <is>
          <t>VALOR UNIT. (R$)</t>
        </is>
      </c>
      <c r="F23" s="24" t="inlineStr">
        <is>
          <t>VALOR TOTAL (R$)</t>
        </is>
      </c>
      <c r="G23" s="24" t="inlineStr">
        <is>
          <t>MARCA / OBSERVAÇÃO DO FORNECEDOR</t>
        </is>
      </c>
    </row>
    <row r="24" ht="17" customHeight="1">
      <c r="A24" s="25">
        <f>IFERROR(INDIRECT("'"&amp;$D$6&amp;"'!"&amp;"A13"),"")</f>
        <v/>
      </c>
      <c r="B24" s="78">
        <f>IFERROR(INDIRECT("'"&amp;$D$6&amp;"'!"&amp;"B13"),"")</f>
        <v/>
      </c>
      <c r="C24" s="79">
        <f>IFERROR(INDIRECT("'"&amp;$D$6&amp;"'!"&amp;"C13"),"")</f>
        <v/>
      </c>
      <c r="D24" s="80">
        <f>IFERROR(INDIRECT("'"&amp;$D$6&amp;"'!"&amp;"D13"),"")</f>
        <v/>
      </c>
      <c r="E24" s="81" t="n"/>
      <c r="F24" s="30">
        <f>IF(OR($D24="",$E24=""),"",ROUND($D24*$E24,2))</f>
        <v/>
      </c>
      <c r="G24" s="33" t="n"/>
    </row>
    <row r="25" ht="17" customHeight="1">
      <c r="A25" s="25">
        <f>IFERROR(INDIRECT("'"&amp;$D$6&amp;"'!"&amp;"A14"),"")</f>
        <v/>
      </c>
      <c r="B25" s="78">
        <f>IFERROR(INDIRECT("'"&amp;$D$6&amp;"'!"&amp;"B14"),"")</f>
        <v/>
      </c>
      <c r="C25" s="79">
        <f>IFERROR(INDIRECT("'"&amp;$D$6&amp;"'!"&amp;"C14"),"")</f>
        <v/>
      </c>
      <c r="D25" s="80">
        <f>IFERROR(INDIRECT("'"&amp;$D$6&amp;"'!"&amp;"D14"),"")</f>
        <v/>
      </c>
      <c r="E25" s="81" t="n"/>
      <c r="F25" s="30">
        <f>IF(OR($D25="",$E25=""),"",ROUND($D25*$E25,2))</f>
        <v/>
      </c>
      <c r="G25" s="33" t="n"/>
    </row>
    <row r="26" ht="17" customHeight="1">
      <c r="A26" s="25">
        <f>IFERROR(INDIRECT("'"&amp;$D$6&amp;"'!"&amp;"A15"),"")</f>
        <v/>
      </c>
      <c r="B26" s="78">
        <f>IFERROR(INDIRECT("'"&amp;$D$6&amp;"'!"&amp;"B15"),"")</f>
        <v/>
      </c>
      <c r="C26" s="79">
        <f>IFERROR(INDIRECT("'"&amp;$D$6&amp;"'!"&amp;"C15"),"")</f>
        <v/>
      </c>
      <c r="D26" s="80">
        <f>IFERROR(INDIRECT("'"&amp;$D$6&amp;"'!"&amp;"D15"),"")</f>
        <v/>
      </c>
      <c r="E26" s="81" t="n"/>
      <c r="F26" s="30">
        <f>IF(OR($D26="",$E26=""),"",ROUND($D26*$E26,2))</f>
        <v/>
      </c>
      <c r="G26" s="33" t="n"/>
    </row>
    <row r="27" ht="17" customHeight="1">
      <c r="A27" s="25">
        <f>IFERROR(INDIRECT("'"&amp;$D$6&amp;"'!"&amp;"A16"),"")</f>
        <v/>
      </c>
      <c r="B27" s="78">
        <f>IFERROR(INDIRECT("'"&amp;$D$6&amp;"'!"&amp;"B16"),"")</f>
        <v/>
      </c>
      <c r="C27" s="79">
        <f>IFERROR(INDIRECT("'"&amp;$D$6&amp;"'!"&amp;"C16"),"")</f>
        <v/>
      </c>
      <c r="D27" s="80">
        <f>IFERROR(INDIRECT("'"&amp;$D$6&amp;"'!"&amp;"D16"),"")</f>
        <v/>
      </c>
      <c r="E27" s="81" t="n"/>
      <c r="F27" s="30">
        <f>IF(OR($D27="",$E27=""),"",ROUND($D27*$E27,2))</f>
        <v/>
      </c>
      <c r="G27" s="33" t="n"/>
    </row>
    <row r="28" ht="17" customHeight="1">
      <c r="A28" s="25">
        <f>IFERROR(INDIRECT("'"&amp;$D$6&amp;"'!"&amp;"A17"),"")</f>
        <v/>
      </c>
      <c r="B28" s="78">
        <f>IFERROR(INDIRECT("'"&amp;$D$6&amp;"'!"&amp;"B17"),"")</f>
        <v/>
      </c>
      <c r="C28" s="79">
        <f>IFERROR(INDIRECT("'"&amp;$D$6&amp;"'!"&amp;"C17"),"")</f>
        <v/>
      </c>
      <c r="D28" s="80">
        <f>IFERROR(INDIRECT("'"&amp;$D$6&amp;"'!"&amp;"D17"),"")</f>
        <v/>
      </c>
      <c r="E28" s="81" t="n"/>
      <c r="F28" s="30">
        <f>IF(OR($D28="",$E28=""),"",ROUND($D28*$E28,2))</f>
        <v/>
      </c>
      <c r="G28" s="33" t="n"/>
    </row>
    <row r="29" ht="17" customHeight="1">
      <c r="A29" s="25">
        <f>IFERROR(INDIRECT("'"&amp;$D$6&amp;"'!"&amp;"A18"),"")</f>
        <v/>
      </c>
      <c r="B29" s="78">
        <f>IFERROR(INDIRECT("'"&amp;$D$6&amp;"'!"&amp;"B18"),"")</f>
        <v/>
      </c>
      <c r="C29" s="79">
        <f>IFERROR(INDIRECT("'"&amp;$D$6&amp;"'!"&amp;"C18"),"")</f>
        <v/>
      </c>
      <c r="D29" s="80">
        <f>IFERROR(INDIRECT("'"&amp;$D$6&amp;"'!"&amp;"D18"),"")</f>
        <v/>
      </c>
      <c r="E29" s="81" t="n"/>
      <c r="F29" s="30">
        <f>IF(OR($D29="",$E29=""),"",ROUND($D29*$E29,2))</f>
        <v/>
      </c>
      <c r="G29" s="33" t="n"/>
    </row>
    <row r="30" ht="17" customHeight="1">
      <c r="A30" s="25">
        <f>IFERROR(INDIRECT("'"&amp;$D$6&amp;"'!"&amp;"A19"),"")</f>
        <v/>
      </c>
      <c r="B30" s="78">
        <f>IFERROR(INDIRECT("'"&amp;$D$6&amp;"'!"&amp;"B19"),"")</f>
        <v/>
      </c>
      <c r="C30" s="79">
        <f>IFERROR(INDIRECT("'"&amp;$D$6&amp;"'!"&amp;"C19"),"")</f>
        <v/>
      </c>
      <c r="D30" s="80">
        <f>IFERROR(INDIRECT("'"&amp;$D$6&amp;"'!"&amp;"D19"),"")</f>
        <v/>
      </c>
      <c r="E30" s="81" t="n"/>
      <c r="F30" s="30">
        <f>IF(OR($D30="",$E30=""),"",ROUND($D30*$E30,2))</f>
        <v/>
      </c>
      <c r="G30" s="33" t="n"/>
    </row>
    <row r="31" ht="17" customHeight="1">
      <c r="A31" s="25">
        <f>IFERROR(INDIRECT("'"&amp;$D$6&amp;"'!"&amp;"A20"),"")</f>
        <v/>
      </c>
      <c r="B31" s="78">
        <f>IFERROR(INDIRECT("'"&amp;$D$6&amp;"'!"&amp;"B20"),"")</f>
        <v/>
      </c>
      <c r="C31" s="79">
        <f>IFERROR(INDIRECT("'"&amp;$D$6&amp;"'!"&amp;"C20"),"")</f>
        <v/>
      </c>
      <c r="D31" s="80">
        <f>IFERROR(INDIRECT("'"&amp;$D$6&amp;"'!"&amp;"D20"),"")</f>
        <v/>
      </c>
      <c r="E31" s="81" t="n"/>
      <c r="F31" s="30">
        <f>IF(OR($D31="",$E31=""),"",ROUND($D31*$E31,2))</f>
        <v/>
      </c>
      <c r="G31" s="33" t="n"/>
    </row>
    <row r="32" ht="17" customHeight="1">
      <c r="A32" s="25">
        <f>IFERROR(INDIRECT("'"&amp;$D$6&amp;"'!"&amp;"A21"),"")</f>
        <v/>
      </c>
      <c r="B32" s="78">
        <f>IFERROR(INDIRECT("'"&amp;$D$6&amp;"'!"&amp;"B21"),"")</f>
        <v/>
      </c>
      <c r="C32" s="79">
        <f>IFERROR(INDIRECT("'"&amp;$D$6&amp;"'!"&amp;"C21"),"")</f>
        <v/>
      </c>
      <c r="D32" s="80">
        <f>IFERROR(INDIRECT("'"&amp;$D$6&amp;"'!"&amp;"D21"),"")</f>
        <v/>
      </c>
      <c r="E32" s="81" t="n"/>
      <c r="F32" s="30">
        <f>IF(OR($D32="",$E32=""),"",ROUND($D32*$E32,2))</f>
        <v/>
      </c>
      <c r="G32" s="33" t="n"/>
    </row>
    <row r="33" ht="17" customHeight="1">
      <c r="A33" s="25">
        <f>IFERROR(INDIRECT("'"&amp;$D$6&amp;"'!"&amp;"A22"),"")</f>
        <v/>
      </c>
      <c r="B33" s="78">
        <f>IFERROR(INDIRECT("'"&amp;$D$6&amp;"'!"&amp;"B22"),"")</f>
        <v/>
      </c>
      <c r="C33" s="79">
        <f>IFERROR(INDIRECT("'"&amp;$D$6&amp;"'!"&amp;"C22"),"")</f>
        <v/>
      </c>
      <c r="D33" s="80">
        <f>IFERROR(INDIRECT("'"&amp;$D$6&amp;"'!"&amp;"D22"),"")</f>
        <v/>
      </c>
      <c r="E33" s="81" t="n"/>
      <c r="F33" s="30">
        <f>IF(OR($D33="",$E33=""),"",ROUND($D33*$E33,2))</f>
        <v/>
      </c>
      <c r="G33" s="33" t="n"/>
    </row>
    <row r="34" ht="17" customHeight="1">
      <c r="A34" s="25">
        <f>IFERROR(INDIRECT("'"&amp;$D$6&amp;"'!"&amp;"A23"),"")</f>
        <v/>
      </c>
      <c r="B34" s="78">
        <f>IFERROR(INDIRECT("'"&amp;$D$6&amp;"'!"&amp;"B23"),"")</f>
        <v/>
      </c>
      <c r="C34" s="79">
        <f>IFERROR(INDIRECT("'"&amp;$D$6&amp;"'!"&amp;"C23"),"")</f>
        <v/>
      </c>
      <c r="D34" s="80">
        <f>IFERROR(INDIRECT("'"&amp;$D$6&amp;"'!"&amp;"D23"),"")</f>
        <v/>
      </c>
      <c r="E34" s="81" t="n"/>
      <c r="F34" s="30">
        <f>IF(OR($D34="",$E34=""),"",ROUND($D34*$E34,2))</f>
        <v/>
      </c>
      <c r="G34" s="33" t="n"/>
    </row>
    <row r="35" ht="17" customHeight="1">
      <c r="A35" s="25">
        <f>IFERROR(INDIRECT("'"&amp;$D$6&amp;"'!"&amp;"A24"),"")</f>
        <v/>
      </c>
      <c r="B35" s="78">
        <f>IFERROR(INDIRECT("'"&amp;$D$6&amp;"'!"&amp;"B24"),"")</f>
        <v/>
      </c>
      <c r="C35" s="79">
        <f>IFERROR(INDIRECT("'"&amp;$D$6&amp;"'!"&amp;"C24"),"")</f>
        <v/>
      </c>
      <c r="D35" s="80">
        <f>IFERROR(INDIRECT("'"&amp;$D$6&amp;"'!"&amp;"D24"),"")</f>
        <v/>
      </c>
      <c r="E35" s="81" t="n"/>
      <c r="F35" s="30">
        <f>IF(OR($D35="",$E35=""),"",ROUND($D35*$E35,2))</f>
        <v/>
      </c>
      <c r="G35" s="33" t="n"/>
    </row>
    <row r="36" ht="17" customHeight="1">
      <c r="A36" s="25">
        <f>IFERROR(INDIRECT("'"&amp;$D$6&amp;"'!"&amp;"A25"),"")</f>
        <v/>
      </c>
      <c r="B36" s="78">
        <f>IFERROR(INDIRECT("'"&amp;$D$6&amp;"'!"&amp;"B25"),"")</f>
        <v/>
      </c>
      <c r="C36" s="79">
        <f>IFERROR(INDIRECT("'"&amp;$D$6&amp;"'!"&amp;"C25"),"")</f>
        <v/>
      </c>
      <c r="D36" s="80">
        <f>IFERROR(INDIRECT("'"&amp;$D$6&amp;"'!"&amp;"D25"),"")</f>
        <v/>
      </c>
      <c r="E36" s="81" t="n"/>
      <c r="F36" s="30">
        <f>IF(OR($D36="",$E36=""),"",ROUND($D36*$E36,2))</f>
        <v/>
      </c>
      <c r="G36" s="33" t="n"/>
    </row>
    <row r="37" ht="17" customHeight="1">
      <c r="A37" s="25">
        <f>IFERROR(INDIRECT("'"&amp;$D$6&amp;"'!"&amp;"A26"),"")</f>
        <v/>
      </c>
      <c r="B37" s="78">
        <f>IFERROR(INDIRECT("'"&amp;$D$6&amp;"'!"&amp;"B26"),"")</f>
        <v/>
      </c>
      <c r="C37" s="79">
        <f>IFERROR(INDIRECT("'"&amp;$D$6&amp;"'!"&amp;"C26"),"")</f>
        <v/>
      </c>
      <c r="D37" s="80">
        <f>IFERROR(INDIRECT("'"&amp;$D$6&amp;"'!"&amp;"D26"),"")</f>
        <v/>
      </c>
      <c r="E37" s="81" t="n"/>
      <c r="F37" s="30">
        <f>IF(OR($D37="",$E37=""),"",ROUND($D37*$E37,2))</f>
        <v/>
      </c>
      <c r="G37" s="33" t="n"/>
    </row>
    <row r="38" ht="17" customHeight="1">
      <c r="A38" s="25">
        <f>IFERROR(INDIRECT("'"&amp;$D$6&amp;"'!"&amp;"A27"),"")</f>
        <v/>
      </c>
      <c r="B38" s="78">
        <f>IFERROR(INDIRECT("'"&amp;$D$6&amp;"'!"&amp;"B27"),"")</f>
        <v/>
      </c>
      <c r="C38" s="79">
        <f>IFERROR(INDIRECT("'"&amp;$D$6&amp;"'!"&amp;"C27"),"")</f>
        <v/>
      </c>
      <c r="D38" s="80">
        <f>IFERROR(INDIRECT("'"&amp;$D$6&amp;"'!"&amp;"D27"),"")</f>
        <v/>
      </c>
      <c r="E38" s="81" t="n"/>
      <c r="F38" s="30">
        <f>IF(OR($D38="",$E38=""),"",ROUND($D38*$E38,2))</f>
        <v/>
      </c>
      <c r="G38" s="33" t="n"/>
    </row>
    <row r="39" ht="17" customHeight="1">
      <c r="A39" s="25">
        <f>IFERROR(INDIRECT("'"&amp;$D$6&amp;"'!"&amp;"A28"),"")</f>
        <v/>
      </c>
      <c r="B39" s="78">
        <f>IFERROR(INDIRECT("'"&amp;$D$6&amp;"'!"&amp;"B28"),"")</f>
        <v/>
      </c>
      <c r="C39" s="79">
        <f>IFERROR(INDIRECT("'"&amp;$D$6&amp;"'!"&amp;"C28"),"")</f>
        <v/>
      </c>
      <c r="D39" s="80">
        <f>IFERROR(INDIRECT("'"&amp;$D$6&amp;"'!"&amp;"D28"),"")</f>
        <v/>
      </c>
      <c r="E39" s="81" t="n"/>
      <c r="F39" s="30">
        <f>IF(OR($D39="",$E39=""),"",ROUND($D39*$E39,2))</f>
        <v/>
      </c>
      <c r="G39" s="33" t="n"/>
    </row>
    <row r="40" ht="17" customHeight="1">
      <c r="A40" s="25">
        <f>IFERROR(INDIRECT("'"&amp;$D$6&amp;"'!"&amp;"A29"),"")</f>
        <v/>
      </c>
      <c r="B40" s="78">
        <f>IFERROR(INDIRECT("'"&amp;$D$6&amp;"'!"&amp;"B29"),"")</f>
        <v/>
      </c>
      <c r="C40" s="79">
        <f>IFERROR(INDIRECT("'"&amp;$D$6&amp;"'!"&amp;"C29"),"")</f>
        <v/>
      </c>
      <c r="D40" s="80">
        <f>IFERROR(INDIRECT("'"&amp;$D$6&amp;"'!"&amp;"D29"),"")</f>
        <v/>
      </c>
      <c r="E40" s="81" t="n"/>
      <c r="F40" s="30">
        <f>IF(OR($D40="",$E40=""),"",ROUND($D40*$E40,2))</f>
        <v/>
      </c>
      <c r="G40" s="33" t="n"/>
    </row>
    <row r="41" ht="17" customHeight="1">
      <c r="A41" s="25">
        <f>IFERROR(INDIRECT("'"&amp;$D$6&amp;"'!"&amp;"A30"),"")</f>
        <v/>
      </c>
      <c r="B41" s="78">
        <f>IFERROR(INDIRECT("'"&amp;$D$6&amp;"'!"&amp;"B30"),"")</f>
        <v/>
      </c>
      <c r="C41" s="79">
        <f>IFERROR(INDIRECT("'"&amp;$D$6&amp;"'!"&amp;"C30"),"")</f>
        <v/>
      </c>
      <c r="D41" s="80">
        <f>IFERROR(INDIRECT("'"&amp;$D$6&amp;"'!"&amp;"D30"),"")</f>
        <v/>
      </c>
      <c r="E41" s="81" t="n"/>
      <c r="F41" s="30">
        <f>IF(OR($D41="",$E41=""),"",ROUND($D41*$E41,2))</f>
        <v/>
      </c>
      <c r="G41" s="33" t="n"/>
    </row>
    <row r="42" ht="17" customHeight="1">
      <c r="A42" s="25">
        <f>IFERROR(INDIRECT("'"&amp;$D$6&amp;"'!"&amp;"A31"),"")</f>
        <v/>
      </c>
      <c r="B42" s="78">
        <f>IFERROR(INDIRECT("'"&amp;$D$6&amp;"'!"&amp;"B31"),"")</f>
        <v/>
      </c>
      <c r="C42" s="79">
        <f>IFERROR(INDIRECT("'"&amp;$D$6&amp;"'!"&amp;"C31"),"")</f>
        <v/>
      </c>
      <c r="D42" s="80">
        <f>IFERROR(INDIRECT("'"&amp;$D$6&amp;"'!"&amp;"D31"),"")</f>
        <v/>
      </c>
      <c r="E42" s="81" t="n"/>
      <c r="F42" s="30">
        <f>IF(OR($D42="",$E42=""),"",ROUND($D42*$E42,2))</f>
        <v/>
      </c>
      <c r="G42" s="33" t="n"/>
    </row>
    <row r="43" ht="17" customHeight="1">
      <c r="A43" s="25">
        <f>IFERROR(INDIRECT("'"&amp;$D$6&amp;"'!"&amp;"A32"),"")</f>
        <v/>
      </c>
      <c r="B43" s="78">
        <f>IFERROR(INDIRECT("'"&amp;$D$6&amp;"'!"&amp;"B32"),"")</f>
        <v/>
      </c>
      <c r="C43" s="79">
        <f>IFERROR(INDIRECT("'"&amp;$D$6&amp;"'!"&amp;"C32"),"")</f>
        <v/>
      </c>
      <c r="D43" s="80">
        <f>IFERROR(INDIRECT("'"&amp;$D$6&amp;"'!"&amp;"D32"),"")</f>
        <v/>
      </c>
      <c r="E43" s="81" t="n"/>
      <c r="F43" s="30">
        <f>IF(OR($D43="",$E43=""),"",ROUND($D43*$E43,2))</f>
        <v/>
      </c>
      <c r="G43" s="33" t="n"/>
    </row>
    <row r="44" ht="17" customHeight="1">
      <c r="A44" s="25">
        <f>IFERROR(INDIRECT("'"&amp;$D$6&amp;"'!"&amp;"A33"),"")</f>
        <v/>
      </c>
      <c r="B44" s="78">
        <f>IFERROR(INDIRECT("'"&amp;$D$6&amp;"'!"&amp;"B33"),"")</f>
        <v/>
      </c>
      <c r="C44" s="79">
        <f>IFERROR(INDIRECT("'"&amp;$D$6&amp;"'!"&amp;"C33"),"")</f>
        <v/>
      </c>
      <c r="D44" s="80">
        <f>IFERROR(INDIRECT("'"&amp;$D$6&amp;"'!"&amp;"D33"),"")</f>
        <v/>
      </c>
      <c r="E44" s="81" t="n"/>
      <c r="F44" s="30">
        <f>IF(OR($D44="",$E44=""),"",ROUND($D44*$E44,2))</f>
        <v/>
      </c>
      <c r="G44" s="33" t="n"/>
    </row>
    <row r="45" ht="17" customHeight="1">
      <c r="A45" s="25">
        <f>IFERROR(INDIRECT("'"&amp;$D$6&amp;"'!"&amp;"A34"),"")</f>
        <v/>
      </c>
      <c r="B45" s="78">
        <f>IFERROR(INDIRECT("'"&amp;$D$6&amp;"'!"&amp;"B34"),"")</f>
        <v/>
      </c>
      <c r="C45" s="79">
        <f>IFERROR(INDIRECT("'"&amp;$D$6&amp;"'!"&amp;"C34"),"")</f>
        <v/>
      </c>
      <c r="D45" s="80">
        <f>IFERROR(INDIRECT("'"&amp;$D$6&amp;"'!"&amp;"D34"),"")</f>
        <v/>
      </c>
      <c r="E45" s="81" t="n"/>
      <c r="F45" s="30">
        <f>IF(OR($D45="",$E45=""),"",ROUND($D45*$E45,2))</f>
        <v/>
      </c>
      <c r="G45" s="33" t="n"/>
    </row>
    <row r="46" ht="17" customHeight="1">
      <c r="A46" s="25">
        <f>IFERROR(INDIRECT("'"&amp;$D$6&amp;"'!"&amp;"A35"),"")</f>
        <v/>
      </c>
      <c r="B46" s="78">
        <f>IFERROR(INDIRECT("'"&amp;$D$6&amp;"'!"&amp;"B35"),"")</f>
        <v/>
      </c>
      <c r="C46" s="79">
        <f>IFERROR(INDIRECT("'"&amp;$D$6&amp;"'!"&amp;"C35"),"")</f>
        <v/>
      </c>
      <c r="D46" s="80">
        <f>IFERROR(INDIRECT("'"&amp;$D$6&amp;"'!"&amp;"D35"),"")</f>
        <v/>
      </c>
      <c r="E46" s="81" t="n"/>
      <c r="F46" s="30">
        <f>IF(OR($D46="",$E46=""),"",ROUND($D46*$E46,2))</f>
        <v/>
      </c>
      <c r="G46" s="33" t="n"/>
    </row>
    <row r="47" ht="17" customHeight="1">
      <c r="A47" s="25">
        <f>IFERROR(INDIRECT("'"&amp;$D$6&amp;"'!"&amp;"A36"),"")</f>
        <v/>
      </c>
      <c r="B47" s="78">
        <f>IFERROR(INDIRECT("'"&amp;$D$6&amp;"'!"&amp;"B36"),"")</f>
        <v/>
      </c>
      <c r="C47" s="79">
        <f>IFERROR(INDIRECT("'"&amp;$D$6&amp;"'!"&amp;"C36"),"")</f>
        <v/>
      </c>
      <c r="D47" s="80">
        <f>IFERROR(INDIRECT("'"&amp;$D$6&amp;"'!"&amp;"D36"),"")</f>
        <v/>
      </c>
      <c r="E47" s="81" t="n"/>
      <c r="F47" s="30">
        <f>IF(OR($D47="",$E47=""),"",ROUND($D47*$E47,2))</f>
        <v/>
      </c>
      <c r="G47" s="33" t="n"/>
    </row>
    <row r="48" ht="17" customHeight="1">
      <c r="A48" s="25">
        <f>IFERROR(INDIRECT("'"&amp;$D$6&amp;"'!"&amp;"A37"),"")</f>
        <v/>
      </c>
      <c r="B48" s="78">
        <f>IFERROR(INDIRECT("'"&amp;$D$6&amp;"'!"&amp;"B37"),"")</f>
        <v/>
      </c>
      <c r="C48" s="79">
        <f>IFERROR(INDIRECT("'"&amp;$D$6&amp;"'!"&amp;"C37"),"")</f>
        <v/>
      </c>
      <c r="D48" s="80">
        <f>IFERROR(INDIRECT("'"&amp;$D$6&amp;"'!"&amp;"D37"),"")</f>
        <v/>
      </c>
      <c r="E48" s="81" t="n"/>
      <c r="F48" s="30">
        <f>IF(OR($D48="",$E48=""),"",ROUND($D48*$E48,2))</f>
        <v/>
      </c>
      <c r="G48" s="33" t="n"/>
    </row>
    <row r="49" ht="17" customHeight="1">
      <c r="A49" s="25">
        <f>IFERROR(INDIRECT("'"&amp;$D$6&amp;"'!"&amp;"A38"),"")</f>
        <v/>
      </c>
      <c r="B49" s="78">
        <f>IFERROR(INDIRECT("'"&amp;$D$6&amp;"'!"&amp;"B38"),"")</f>
        <v/>
      </c>
      <c r="C49" s="79">
        <f>IFERROR(INDIRECT("'"&amp;$D$6&amp;"'!"&amp;"C38"),"")</f>
        <v/>
      </c>
      <c r="D49" s="80">
        <f>IFERROR(INDIRECT("'"&amp;$D$6&amp;"'!"&amp;"D38"),"")</f>
        <v/>
      </c>
      <c r="E49" s="81" t="n"/>
      <c r="F49" s="30">
        <f>IF(OR($D49="",$E49=""),"",ROUND($D49*$E49,2))</f>
        <v/>
      </c>
      <c r="G49" s="33" t="n"/>
    </row>
    <row r="50" ht="17" customHeight="1">
      <c r="A50" s="25">
        <f>IFERROR(INDIRECT("'"&amp;$D$6&amp;"'!"&amp;"A39"),"")</f>
        <v/>
      </c>
      <c r="B50" s="78">
        <f>IFERROR(INDIRECT("'"&amp;$D$6&amp;"'!"&amp;"B39"),"")</f>
        <v/>
      </c>
      <c r="C50" s="79">
        <f>IFERROR(INDIRECT("'"&amp;$D$6&amp;"'!"&amp;"C39"),"")</f>
        <v/>
      </c>
      <c r="D50" s="80">
        <f>IFERROR(INDIRECT("'"&amp;$D$6&amp;"'!"&amp;"D39"),"")</f>
        <v/>
      </c>
      <c r="E50" s="81" t="n"/>
      <c r="F50" s="30">
        <f>IF(OR($D50="",$E50=""),"",ROUND($D50*$E50,2))</f>
        <v/>
      </c>
      <c r="G50" s="33" t="n"/>
    </row>
    <row r="51" ht="17" customHeight="1">
      <c r="A51" s="25">
        <f>IFERROR(INDIRECT("'"&amp;$D$6&amp;"'!"&amp;"A40"),"")</f>
        <v/>
      </c>
      <c r="B51" s="78">
        <f>IFERROR(INDIRECT("'"&amp;$D$6&amp;"'!"&amp;"B40"),"")</f>
        <v/>
      </c>
      <c r="C51" s="79">
        <f>IFERROR(INDIRECT("'"&amp;$D$6&amp;"'!"&amp;"C40"),"")</f>
        <v/>
      </c>
      <c r="D51" s="80">
        <f>IFERROR(INDIRECT("'"&amp;$D$6&amp;"'!"&amp;"D40"),"")</f>
        <v/>
      </c>
      <c r="E51" s="81" t="n"/>
      <c r="F51" s="30">
        <f>IF(OR($D51="",$E51=""),"",ROUND($D51*$E51,2))</f>
        <v/>
      </c>
      <c r="G51" s="33" t="n"/>
    </row>
    <row r="52" ht="17" customHeight="1">
      <c r="A52" s="25">
        <f>IFERROR(INDIRECT("'"&amp;$D$6&amp;"'!"&amp;"A41"),"")</f>
        <v/>
      </c>
      <c r="B52" s="78">
        <f>IFERROR(INDIRECT("'"&amp;$D$6&amp;"'!"&amp;"B41"),"")</f>
        <v/>
      </c>
      <c r="C52" s="79">
        <f>IFERROR(INDIRECT("'"&amp;$D$6&amp;"'!"&amp;"C41"),"")</f>
        <v/>
      </c>
      <c r="D52" s="80">
        <f>IFERROR(INDIRECT("'"&amp;$D$6&amp;"'!"&amp;"D41"),"")</f>
        <v/>
      </c>
      <c r="E52" s="81" t="n"/>
      <c r="F52" s="30">
        <f>IF(OR($D52="",$E52=""),"",ROUND($D52*$E52,2))</f>
        <v/>
      </c>
      <c r="G52" s="33" t="n"/>
    </row>
    <row r="53" ht="17" customHeight="1">
      <c r="A53" s="25">
        <f>IFERROR(INDIRECT("'"&amp;$D$6&amp;"'!"&amp;"A42"),"")</f>
        <v/>
      </c>
      <c r="B53" s="78">
        <f>IFERROR(INDIRECT("'"&amp;$D$6&amp;"'!"&amp;"B42"),"")</f>
        <v/>
      </c>
      <c r="C53" s="79">
        <f>IFERROR(INDIRECT("'"&amp;$D$6&amp;"'!"&amp;"C42"),"")</f>
        <v/>
      </c>
      <c r="D53" s="80">
        <f>IFERROR(INDIRECT("'"&amp;$D$6&amp;"'!"&amp;"D42"),"")</f>
        <v/>
      </c>
      <c r="E53" s="81" t="n"/>
      <c r="F53" s="30">
        <f>IF(OR($D53="",$E53=""),"",ROUND($D53*$E53,2))</f>
        <v/>
      </c>
      <c r="G53" s="33" t="n"/>
    </row>
    <row r="54" ht="22" customHeight="1">
      <c r="A54" s="82" t="inlineStr">
        <is>
          <t>SUBTOTAL DOS ITENS</t>
        </is>
      </c>
      <c r="B54" s="41" t="n"/>
      <c r="C54" s="41" t="n"/>
      <c r="D54" s="41" t="n"/>
      <c r="E54" s="41" t="n"/>
      <c r="F54" s="83">
        <f>IF(COUNT($E$24:$E$53)=0,"",ROUND(SUM($F$24:$F$53),2))</f>
        <v/>
      </c>
      <c r="G54" s="41" t="n"/>
    </row>
    <row r="56" ht="20" customHeight="1">
      <c r="A56" s="8" t="inlineStr">
        <is>
          <t xml:space="preserve">  CONDIÇÕES COMERCIAIS          preenchimento do fornecedor</t>
        </is>
      </c>
      <c r="B56" s="9" t="n"/>
      <c r="C56" s="9" t="n"/>
      <c r="D56" s="9" t="n"/>
      <c r="E56" s="9" t="n"/>
      <c r="F56" s="9" t="n"/>
      <c r="G56" s="9" t="n"/>
    </row>
    <row r="57" ht="19" customHeight="1">
      <c r="A57" s="84" t="inlineStr">
        <is>
          <t>% de imposto adicional (ST / IPI / DIFAL)  ▸</t>
        </is>
      </c>
      <c r="B57" s="35" t="n"/>
      <c r="C57" s="35" t="n"/>
      <c r="D57" s="35" t="n"/>
      <c r="E57" s="85" t="n"/>
      <c r="F57" s="14" t="n"/>
      <c r="G57" s="14" t="n"/>
    </row>
    <row r="58" ht="19" customHeight="1">
      <c r="A58" s="84" t="inlineStr">
        <is>
          <t>Frete até a Valvic (R$)  ▸</t>
        </is>
      </c>
      <c r="B58" s="35" t="n"/>
      <c r="C58" s="35" t="n"/>
      <c r="D58" s="35" t="n"/>
      <c r="E58" s="86" t="n"/>
      <c r="F58" s="14" t="n"/>
      <c r="G58" s="14" t="n"/>
    </row>
    <row r="59" ht="19" customHeight="1">
      <c r="A59" s="84" t="inlineStr">
        <is>
          <t>Preço À VISTA — total (R$)  ▸</t>
        </is>
      </c>
      <c r="B59" s="35" t="n"/>
      <c r="C59" s="35" t="n"/>
      <c r="D59" s="35" t="n"/>
      <c r="E59" s="86" t="n"/>
      <c r="F59" s="14" t="n"/>
      <c r="G59" s="14" t="n"/>
    </row>
    <row r="60" ht="19" customHeight="1">
      <c r="A60" s="84" t="inlineStr">
        <is>
          <t>Condição a prazo oferecida  ▸</t>
        </is>
      </c>
      <c r="B60" s="35" t="n"/>
      <c r="C60" s="35" t="n"/>
      <c r="D60" s="35" t="n"/>
      <c r="E60" s="87" t="n"/>
      <c r="F60" s="14" t="n"/>
      <c r="G60" s="14" t="n"/>
    </row>
    <row r="61" ht="19" customHeight="1">
      <c r="A61" s="84" t="inlineStr">
        <is>
          <t>Preço A PRAZO — total (R$)  ▸</t>
        </is>
      </c>
      <c r="B61" s="35" t="n"/>
      <c r="C61" s="35" t="n"/>
      <c r="D61" s="35" t="n"/>
      <c r="E61" s="86" t="n"/>
      <c r="F61" s="14" t="n"/>
      <c r="G61" s="14" t="n"/>
    </row>
    <row r="62" ht="19" customHeight="1">
      <c r="A62" s="84" t="inlineStr">
        <is>
          <t>Prazo de entrega (dias corridos)  ▸</t>
        </is>
      </c>
      <c r="B62" s="35" t="n"/>
      <c r="C62" s="35" t="n"/>
      <c r="D62" s="35" t="n"/>
      <c r="E62" s="88" t="n"/>
      <c r="F62" s="14" t="n"/>
      <c r="G62" s="14" t="n"/>
    </row>
    <row r="63" ht="19" customHeight="1">
      <c r="A63" s="84" t="inlineStr">
        <is>
          <t>Validade desta proposta  ▸</t>
        </is>
      </c>
      <c r="B63" s="35" t="n"/>
      <c r="C63" s="35" t="n"/>
      <c r="D63" s="35" t="n"/>
      <c r="E63" s="89" t="n"/>
      <c r="F63" s="14" t="n"/>
      <c r="G63" s="14" t="n"/>
    </row>
    <row r="64" ht="8" customHeight="1"/>
    <row r="65" ht="46" customHeight="1">
      <c r="A65" s="70" t="inlineStr">
        <is>
          <t xml:space="preserve">  Observações: (1) informe item por item — quando não trabalhar com algum item, deixe o valor em branco e escreva "não temos" na coluna de observação. (2) Se o preço já for o final, deixe o imposto adicional zerado. (3) A Valvic compara as propostas pelo valor total entregue, considerando imposto, frete e prazo. (4) Dúvidas: responda a este mesmo arquivo ou fale com o solicitante indicado acima.</t>
        </is>
      </c>
      <c r="B65" s="41" t="n"/>
      <c r="C65" s="41" t="n"/>
      <c r="D65" s="41" t="n"/>
      <c r="E65" s="41" t="n"/>
      <c r="F65" s="41" t="n"/>
      <c r="G65" s="41" t="n"/>
    </row>
    <row r="67" ht="34" customHeight="1">
      <c r="A67" s="90" t="inlineStr">
        <is>
          <t>Assinatura / carimbo do fornecedor</t>
        </is>
      </c>
      <c r="B67" s="35" t="n"/>
      <c r="C67" s="35" t="n"/>
      <c r="D67" s="35" t="n"/>
      <c r="E67" s="90" t="inlineStr">
        <is>
          <t>Data</t>
        </is>
      </c>
      <c r="F67" s="35" t="n"/>
      <c r="G67" s="35" t="n"/>
    </row>
  </sheetData>
  <mergeCells count="49">
    <mergeCell ref="E63:G63"/>
    <mergeCell ref="D18:G18"/>
    <mergeCell ref="D9:G9"/>
    <mergeCell ref="A8:G8"/>
    <mergeCell ref="D12:G12"/>
    <mergeCell ref="E60:G60"/>
    <mergeCell ref="A22:G22"/>
    <mergeCell ref="A62:D62"/>
    <mergeCell ref="A4:G4"/>
    <mergeCell ref="A18:C18"/>
    <mergeCell ref="F6:G6"/>
    <mergeCell ref="A63:D63"/>
    <mergeCell ref="A12:C12"/>
    <mergeCell ref="E59:G59"/>
    <mergeCell ref="D6:E6"/>
    <mergeCell ref="A67:D67"/>
    <mergeCell ref="A58:D58"/>
    <mergeCell ref="A54:E54"/>
    <mergeCell ref="D20:G20"/>
    <mergeCell ref="E61:G61"/>
    <mergeCell ref="A17:C17"/>
    <mergeCell ref="E57:G57"/>
    <mergeCell ref="A59:D59"/>
    <mergeCell ref="A15:G15"/>
    <mergeCell ref="D19:G19"/>
    <mergeCell ref="D10:G10"/>
    <mergeCell ref="A20:C20"/>
    <mergeCell ref="A60:D60"/>
    <mergeCell ref="A10:C10"/>
    <mergeCell ref="A13:C13"/>
    <mergeCell ref="A1:G1"/>
    <mergeCell ref="A19:C19"/>
    <mergeCell ref="A61:D61"/>
    <mergeCell ref="A9:C9"/>
    <mergeCell ref="E58:G58"/>
    <mergeCell ref="D11:G11"/>
    <mergeCell ref="D13:G13"/>
    <mergeCell ref="A65:G65"/>
    <mergeCell ref="E62:G62"/>
    <mergeCell ref="A11:C11"/>
    <mergeCell ref="D17:G17"/>
    <mergeCell ref="A56:G56"/>
    <mergeCell ref="E67:G67"/>
    <mergeCell ref="A3:G3"/>
    <mergeCell ref="A6:C6"/>
    <mergeCell ref="D16:G16"/>
    <mergeCell ref="A2:G2"/>
    <mergeCell ref="A57:D57"/>
    <mergeCell ref="A16:C16"/>
  </mergeCells>
  <dataValidations count="1">
    <dataValidation sqref="E60:G60" showDropDown="0" showInputMessage="0" showErrorMessage="0" allowBlank="1" type="list">
      <formula1>=Listas!$B$2:$B$14</formula1>
    </dataValidation>
  </dataValidations>
  <pageMargins left="0.4" right="0.3" top="0.4" bottom="0.3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6.5" customWidth="1" min="3" max="3"/>
    <col width="8" customWidth="1" min="4" max="4"/>
    <col width="11.5" customWidth="1" min="5" max="5"/>
    <col width="12.5" customWidth="1" min="6" max="6"/>
    <col width="11.5" customWidth="1" min="7" max="7"/>
    <col width="12.5" customWidth="1" min="8" max="8"/>
    <col width="11.5" customWidth="1" min="9" max="9"/>
    <col width="12.5" customWidth="1" min="10" max="10"/>
    <col width="11.5" customWidth="1" min="11" max="11"/>
    <col width="12.5" customWidth="1" min="12" max="12"/>
    <col width="12" customWidth="1" min="13" max="13"/>
    <col width="19" customWidth="1" min="14" max="14"/>
    <col width="13" customWidth="1" min="15" max="15"/>
    <col width="26" customWidth="1" min="16" max="16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8" customHeight="1">
      <c r="A3" s="4" t="inlineStr">
        <is>
          <t>COTAÇÃO COMPARATIVA DE FORNECEDORES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17" customHeight="1">
      <c r="A4" s="6" t="inlineStr">
        <is>
          <t>Fundo creme = você preenche   ·   fundo cinza = calculado automaticamente   ·   deixe o preço em branco quando o fornecedor NÃO tiver o item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</row>
    <row r="5" ht="6" customHeight="1"/>
    <row r="6" ht="14" customHeight="1">
      <c r="A6" s="12" t="inlineStr">
        <is>
          <t>COTAÇÃO Nº</t>
        </is>
      </c>
      <c r="C6" s="12" t="inlineStr">
        <is>
          <t>DEMANDA / PROJETO</t>
        </is>
      </c>
      <c r="G6" s="12" t="inlineStr">
        <is>
          <t>SOLICITANTE</t>
        </is>
      </c>
      <c r="K6" s="12" t="inlineStr">
        <is>
          <t>DATA DA COTAÇÃO</t>
        </is>
      </c>
      <c r="M6" s="12" t="inlineStr">
        <is>
          <t>PRAZO PARA RESPOSTA</t>
        </is>
      </c>
    </row>
    <row r="7" ht="22" customHeight="1">
      <c r="A7" s="13" t="inlineStr">
        <is>
          <t>COT-2026-014</t>
        </is>
      </c>
      <c r="B7" s="14" t="n"/>
      <c r="C7" s="13" t="inlineStr">
        <is>
          <t>Ferragens — obra Cristiane (closet + cozinha)</t>
        </is>
      </c>
      <c r="D7" s="14" t="n"/>
      <c r="E7" s="14" t="n"/>
      <c r="F7" s="14" t="n"/>
      <c r="G7" s="13" t="inlineStr">
        <is>
          <t>Karla · Administrativo</t>
        </is>
      </c>
      <c r="H7" s="14" t="n"/>
      <c r="I7" s="14" t="n"/>
      <c r="J7" s="14" t="n"/>
      <c r="K7" s="15" t="n">
        <v>46248</v>
      </c>
      <c r="L7" s="14" t="n"/>
      <c r="M7" s="15" t="n">
        <v>46252</v>
      </c>
      <c r="N7" s="14" t="n"/>
      <c r="O7" s="14" t="n"/>
      <c r="P7" s="14" t="n"/>
    </row>
    <row r="8" ht="6" customHeight="1"/>
    <row r="9" ht="20" customHeight="1">
      <c r="A9" s="8" t="inlineStr">
        <is>
          <t xml:space="preserve">  COMPARATIVO DE PROPOSTAS          preencha o nome dos fornecedores nas faixas creme abaixo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</row>
    <row r="10" ht="26" customHeight="1">
      <c r="A10" s="16" t="inlineStr">
        <is>
          <t>FORNECEDOR  ▸</t>
        </is>
      </c>
      <c r="B10" s="17" t="n"/>
      <c r="C10" s="17" t="n"/>
      <c r="D10" s="17" t="n"/>
      <c r="E10" s="18" t="inlineStr">
        <is>
          <t>Bigfer</t>
        </is>
      </c>
      <c r="F10" s="14" t="n"/>
      <c r="G10" s="18" t="inlineStr">
        <is>
          <t>JR Ferragens</t>
        </is>
      </c>
      <c r="H10" s="14" t="n"/>
      <c r="I10" s="18" t="inlineStr">
        <is>
          <t>MGV Distribuidora</t>
        </is>
      </c>
      <c r="J10" s="14" t="n"/>
      <c r="K10" s="18" t="inlineStr">
        <is>
          <t>Ferragens Ipê</t>
        </is>
      </c>
      <c r="L10" s="14" t="n"/>
      <c r="M10" s="19" t="inlineStr">
        <is>
          <t>MELHOR PREÇO POR ITEM</t>
        </is>
      </c>
      <c r="N10" s="20" t="n"/>
      <c r="O10" s="20" t="n"/>
      <c r="P10" s="20" t="n"/>
    </row>
    <row r="11" ht="20" customHeight="1">
      <c r="A11" s="21" t="inlineStr">
        <is>
          <t>Vendedor · contato  ▸</t>
        </is>
      </c>
      <c r="B11" s="17" t="n"/>
      <c r="C11" s="17" t="n"/>
      <c r="D11" s="17" t="n"/>
      <c r="E11" s="22" t="inlineStr">
        <is>
          <t>Marcos · (31) 9xxxx-xxxx</t>
        </is>
      </c>
      <c r="F11" s="14" t="n"/>
      <c r="G11" s="22" t="inlineStr">
        <is>
          <t>Andréia · (31) 9xxxx-xxxx</t>
        </is>
      </c>
      <c r="H11" s="14" t="n"/>
      <c r="I11" s="22" t="inlineStr">
        <is>
          <t>Rafael · (31) 9xxxx-xxxx</t>
        </is>
      </c>
      <c r="J11" s="14" t="n"/>
      <c r="K11" s="22" t="inlineStr">
        <is>
          <t>Sandro · (31) 9xxxx-xxxx</t>
        </is>
      </c>
      <c r="L11" s="14" t="n"/>
      <c r="M11" s="23" t="inlineStr">
        <is>
          <t>calculado — mostra quem tem o menor unitário de cada linha</t>
        </is>
      </c>
      <c r="N11" s="17" t="n"/>
      <c r="O11" s="17" t="n"/>
      <c r="P11" s="17" t="n"/>
    </row>
    <row r="12" ht="32" customHeight="1">
      <c r="A12" s="24" t="inlineStr">
        <is>
          <t>#</t>
        </is>
      </c>
      <c r="B12" s="24" t="inlineStr">
        <is>
          <t>ITEM / ESPECIFICAÇÃO</t>
        </is>
      </c>
      <c r="C12" s="24" t="inlineStr">
        <is>
          <t>UN.</t>
        </is>
      </c>
      <c r="D12" s="24" t="inlineStr">
        <is>
          <t>QTD</t>
        </is>
      </c>
      <c r="E12" s="24" t="inlineStr">
        <is>
          <t>UNIT. (R$)</t>
        </is>
      </c>
      <c r="F12" s="24" t="inlineStr">
        <is>
          <t>TOTAL (R$)</t>
        </is>
      </c>
      <c r="G12" s="24" t="inlineStr">
        <is>
          <t>UNIT. (R$)</t>
        </is>
      </c>
      <c r="H12" s="24" t="inlineStr">
        <is>
          <t>TOTAL (R$)</t>
        </is>
      </c>
      <c r="I12" s="24" t="inlineStr">
        <is>
          <t>UNIT. (R$)</t>
        </is>
      </c>
      <c r="J12" s="24" t="inlineStr">
        <is>
          <t>TOTAL (R$)</t>
        </is>
      </c>
      <c r="K12" s="24" t="inlineStr">
        <is>
          <t>UNIT. (R$)</t>
        </is>
      </c>
      <c r="L12" s="24" t="inlineStr">
        <is>
          <t>TOTAL (R$)</t>
        </is>
      </c>
      <c r="M12" s="24" t="inlineStr">
        <is>
          <t>MENOR UNIT.</t>
        </is>
      </c>
      <c r="N12" s="24" t="inlineStr">
        <is>
          <t>MELHOR FORNECEDOR</t>
        </is>
      </c>
      <c r="O12" s="24" t="inlineStr">
        <is>
          <t>TOTAL NO MENOR</t>
        </is>
      </c>
      <c r="P12" s="24" t="inlineStr">
        <is>
          <t>OBSERVAÇÃO DO ITEM</t>
        </is>
      </c>
    </row>
    <row r="13" ht="18" customHeight="1">
      <c r="A13" s="25" t="n">
        <v>1</v>
      </c>
      <c r="B13" s="26" t="inlineStr">
        <is>
          <t>Corrediça telescópica 45 cm — soft close</t>
        </is>
      </c>
      <c r="C13" s="27" t="inlineStr">
        <is>
          <t>par</t>
        </is>
      </c>
      <c r="D13" s="28" t="n">
        <v>24</v>
      </c>
      <c r="E13" s="29" t="n">
        <v>38.9</v>
      </c>
      <c r="F13" s="30">
        <f>IF(OR($D13="",E13=""),"",ROUND($D13*E13,2))</f>
        <v/>
      </c>
      <c r="G13" s="29" t="n">
        <v>36.5</v>
      </c>
      <c r="H13" s="30">
        <f>IF(OR($D13="",G13=""),"",ROUND($D13*G13,2))</f>
        <v/>
      </c>
      <c r="I13" s="29" t="n">
        <v>41.2</v>
      </c>
      <c r="J13" s="30">
        <f>IF(OR($D13="",I13=""),"",ROUND($D13*I13,2))</f>
        <v/>
      </c>
      <c r="K13" s="29" t="n">
        <v>37.8</v>
      </c>
      <c r="L13" s="30">
        <f>IF(OR($D13="",K13=""),"",ROUND($D13*K13,2))</f>
        <v/>
      </c>
      <c r="M13" s="31">
        <f>IF(OR($B13="",COUNT(E13,G13,I13,K13)=0),"",MIN(E13,G13,I13,K13))</f>
        <v/>
      </c>
      <c r="N13" s="32">
        <f>IF($M13="","",IF(E13=$M13,$E$10,IF(G13=$M13,$G$10,IF(I13=$M13,$I$10,$K$10))))</f>
        <v/>
      </c>
      <c r="O13" s="30">
        <f>IF(OR($D13="",$M13=""),"",ROUND($D13*$M13,2))</f>
        <v/>
      </c>
      <c r="P13" s="33" t="n"/>
    </row>
    <row r="14" ht="18" customHeight="1">
      <c r="A14" s="25" t="n">
        <v>2</v>
      </c>
      <c r="B14" s="26" t="inlineStr">
        <is>
          <t>Dobradiça caneco 35 mm curva — soft close</t>
        </is>
      </c>
      <c r="C14" s="27" t="inlineStr">
        <is>
          <t>un</t>
        </is>
      </c>
      <c r="D14" s="28" t="n">
        <v>96</v>
      </c>
      <c r="E14" s="29" t="n">
        <v>7.4</v>
      </c>
      <c r="F14" s="30">
        <f>IF(OR($D14="",E14=""),"",ROUND($D14*E14,2))</f>
        <v/>
      </c>
      <c r="G14" s="29" t="n">
        <v>7.9</v>
      </c>
      <c r="H14" s="30">
        <f>IF(OR($D14="",G14=""),"",ROUND($D14*G14,2))</f>
        <v/>
      </c>
      <c r="I14" s="29" t="n">
        <v>6.95</v>
      </c>
      <c r="J14" s="30">
        <f>IF(OR($D14="",I14=""),"",ROUND($D14*I14,2))</f>
        <v/>
      </c>
      <c r="K14" s="29" t="n">
        <v>7.55</v>
      </c>
      <c r="L14" s="30">
        <f>IF(OR($D14="",K14=""),"",ROUND($D14*K14,2))</f>
        <v/>
      </c>
      <c r="M14" s="31">
        <f>IF(OR($B14="",COUNT(E14,G14,I14,K14)=0),"",MIN(E14,G14,I14,K14))</f>
        <v/>
      </c>
      <c r="N14" s="32">
        <f>IF($M14="","",IF(E14=$M14,$E$10,IF(G14=$M14,$G$10,IF(I14=$M14,$I$10,$K$10))))</f>
        <v/>
      </c>
      <c r="O14" s="30">
        <f>IF(OR($D14="",$M14=""),"",ROUND($D14*$M14,2))</f>
        <v/>
      </c>
      <c r="P14" s="33" t="n"/>
    </row>
    <row r="15" ht="18" customHeight="1">
      <c r="A15" s="25" t="n">
        <v>3</v>
      </c>
      <c r="B15" s="26" t="inlineStr">
        <is>
          <t>Puxador perfil alumínio preto 3 m</t>
        </is>
      </c>
      <c r="C15" s="27" t="inlineStr">
        <is>
          <t>barra</t>
        </is>
      </c>
      <c r="D15" s="28" t="n">
        <v>12</v>
      </c>
      <c r="E15" s="29" t="n">
        <v>64</v>
      </c>
      <c r="F15" s="30">
        <f>IF(OR($D15="",E15=""),"",ROUND($D15*E15,2))</f>
        <v/>
      </c>
      <c r="G15" s="29" t="n">
        <v>61.5</v>
      </c>
      <c r="H15" s="30">
        <f>IF(OR($D15="",G15=""),"",ROUND($D15*G15,2))</f>
        <v/>
      </c>
      <c r="I15" s="29" t="n"/>
      <c r="J15" s="30">
        <f>IF(OR($D15="",I15=""),"",ROUND($D15*I15,2))</f>
        <v/>
      </c>
      <c r="K15" s="29" t="n">
        <v>63.2</v>
      </c>
      <c r="L15" s="30">
        <f>IF(OR($D15="",K15=""),"",ROUND($D15*K15,2))</f>
        <v/>
      </c>
      <c r="M15" s="31">
        <f>IF(OR($B15="",COUNT(E15,G15,I15,K15)=0),"",MIN(E15,G15,I15,K15))</f>
        <v/>
      </c>
      <c r="N15" s="32">
        <f>IF($M15="","",IF(E15=$M15,$E$10,IF(G15=$M15,$G$10,IF(I15=$M15,$I$10,$K$10))))</f>
        <v/>
      </c>
      <c r="O15" s="30">
        <f>IF(OR($D15="",$M15=""),"",ROUND($D15*$M15,2))</f>
        <v/>
      </c>
      <c r="P15" s="33" t="inlineStr">
        <is>
          <t>MGV não trabalha com este perfil</t>
        </is>
      </c>
    </row>
    <row r="16" ht="18" customHeight="1">
      <c r="A16" s="25" t="n">
        <v>4</v>
      </c>
      <c r="B16" s="26" t="inlineStr">
        <is>
          <t>Pistão a gás 100 N</t>
        </is>
      </c>
      <c r="C16" s="27" t="inlineStr">
        <is>
          <t>un</t>
        </is>
      </c>
      <c r="D16" s="28" t="n">
        <v>8</v>
      </c>
      <c r="E16" s="29" t="n">
        <v>22.5</v>
      </c>
      <c r="F16" s="30">
        <f>IF(OR($D16="",E16=""),"",ROUND($D16*E16,2))</f>
        <v/>
      </c>
      <c r="G16" s="29" t="n">
        <v>21.8</v>
      </c>
      <c r="H16" s="30">
        <f>IF(OR($D16="",G16=""),"",ROUND($D16*G16,2))</f>
        <v/>
      </c>
      <c r="I16" s="29" t="n">
        <v>24</v>
      </c>
      <c r="J16" s="30">
        <f>IF(OR($D16="",I16=""),"",ROUND($D16*I16,2))</f>
        <v/>
      </c>
      <c r="K16" s="29" t="n">
        <v>22.1</v>
      </c>
      <c r="L16" s="30">
        <f>IF(OR($D16="",K16=""),"",ROUND($D16*K16,2))</f>
        <v/>
      </c>
      <c r="M16" s="31">
        <f>IF(OR($B16="",COUNT(E16,G16,I16,K16)=0),"",MIN(E16,G16,I16,K16))</f>
        <v/>
      </c>
      <c r="N16" s="32">
        <f>IF($M16="","",IF(E16=$M16,$E$10,IF(G16=$M16,$G$10,IF(I16=$M16,$I$10,$K$10))))</f>
        <v/>
      </c>
      <c r="O16" s="30">
        <f>IF(OR($D16="",$M16=""),"",ROUND($D16*$M16,2))</f>
        <v/>
      </c>
      <c r="P16" s="33" t="n"/>
    </row>
    <row r="17" ht="18" customHeight="1">
      <c r="A17" s="25" t="n">
        <v>5</v>
      </c>
      <c r="B17" s="26" t="inlineStr">
        <is>
          <t>Corrediça oculta 50 cm — push</t>
        </is>
      </c>
      <c r="C17" s="27" t="inlineStr">
        <is>
          <t>par</t>
        </is>
      </c>
      <c r="D17" s="28" t="n">
        <v>6</v>
      </c>
      <c r="E17" s="29" t="n">
        <v>128</v>
      </c>
      <c r="F17" s="30">
        <f>IF(OR($D17="",E17=""),"",ROUND($D17*E17,2))</f>
        <v/>
      </c>
      <c r="G17" s="29" t="n">
        <v>132</v>
      </c>
      <c r="H17" s="30">
        <f>IF(OR($D17="",G17=""),"",ROUND($D17*G17,2))</f>
        <v/>
      </c>
      <c r="I17" s="29" t="n">
        <v>125.5</v>
      </c>
      <c r="J17" s="30">
        <f>IF(OR($D17="",I17=""),"",ROUND($D17*I17,2))</f>
        <v/>
      </c>
      <c r="K17" s="29" t="n"/>
      <c r="L17" s="30">
        <f>IF(OR($D17="",K17=""),"",ROUND($D17*K17,2))</f>
        <v/>
      </c>
      <c r="M17" s="31">
        <f>IF(OR($B17="",COUNT(E17,G17,I17,K17)=0),"",MIN(E17,G17,I17,K17))</f>
        <v/>
      </c>
      <c r="N17" s="32">
        <f>IF($M17="","",IF(E17=$M17,$E$10,IF(G17=$M17,$G$10,IF(I17=$M17,$I$10,$K$10))))</f>
        <v/>
      </c>
      <c r="O17" s="30">
        <f>IF(OR($D17="",$M17=""),"",ROUND($D17*$M17,2))</f>
        <v/>
      </c>
      <c r="P17" s="33" t="n"/>
    </row>
    <row r="18" ht="18" customHeight="1">
      <c r="A18" s="25" t="n">
        <v>6</v>
      </c>
      <c r="B18" s="26" t="inlineStr">
        <is>
          <t>Suporte prateleira invisível 12 cm</t>
        </is>
      </c>
      <c r="C18" s="27" t="inlineStr">
        <is>
          <t>un</t>
        </is>
      </c>
      <c r="D18" s="28" t="n">
        <v>40</v>
      </c>
      <c r="E18" s="29" t="n">
        <v>4.2</v>
      </c>
      <c r="F18" s="30">
        <f>IF(OR($D18="",E18=""),"",ROUND($D18*E18,2))</f>
        <v/>
      </c>
      <c r="G18" s="29" t="n">
        <v>4.55</v>
      </c>
      <c r="H18" s="30">
        <f>IF(OR($D18="",G18=""),"",ROUND($D18*G18,2))</f>
        <v/>
      </c>
      <c r="I18" s="29" t="n">
        <v>3.98</v>
      </c>
      <c r="J18" s="30">
        <f>IF(OR($D18="",I18=""),"",ROUND($D18*I18,2))</f>
        <v/>
      </c>
      <c r="K18" s="29" t="n">
        <v>4.3</v>
      </c>
      <c r="L18" s="30">
        <f>IF(OR($D18="",K18=""),"",ROUND($D18*K18,2))</f>
        <v/>
      </c>
      <c r="M18" s="31">
        <f>IF(OR($B18="",COUNT(E18,G18,I18,K18)=0),"",MIN(E18,G18,I18,K18))</f>
        <v/>
      </c>
      <c r="N18" s="32">
        <f>IF($M18="","",IF(E18=$M18,$E$10,IF(G18=$M18,$G$10,IF(I18=$M18,$I$10,$K$10))))</f>
        <v/>
      </c>
      <c r="O18" s="30">
        <f>IF(OR($D18="",$M18=""),"",ROUND($D18*$M18,2))</f>
        <v/>
      </c>
      <c r="P18" s="33" t="n"/>
    </row>
    <row r="19" ht="18" customHeight="1">
      <c r="A19" s="25" t="n">
        <v>7</v>
      </c>
      <c r="B19" s="26" t="inlineStr">
        <is>
          <t>Cabideiro extensível 60 cm — alumínio</t>
        </is>
      </c>
      <c r="C19" s="27" t="inlineStr">
        <is>
          <t>un</t>
        </is>
      </c>
      <c r="D19" s="28" t="n">
        <v>4</v>
      </c>
      <c r="E19" s="29" t="n">
        <v>96</v>
      </c>
      <c r="F19" s="30">
        <f>IF(OR($D19="",E19=""),"",ROUND($D19*E19,2))</f>
        <v/>
      </c>
      <c r="G19" s="29" t="n">
        <v>89.90000000000001</v>
      </c>
      <c r="H19" s="30">
        <f>IF(OR($D19="",G19=""),"",ROUND($D19*G19,2))</f>
        <v/>
      </c>
      <c r="I19" s="29" t="n">
        <v>94.5</v>
      </c>
      <c r="J19" s="30">
        <f>IF(OR($D19="",I19=""),"",ROUND($D19*I19,2))</f>
        <v/>
      </c>
      <c r="K19" s="29" t="n">
        <v>92</v>
      </c>
      <c r="L19" s="30">
        <f>IF(OR($D19="",K19=""),"",ROUND($D19*K19,2))</f>
        <v/>
      </c>
      <c r="M19" s="31">
        <f>IF(OR($B19="",COUNT(E19,G19,I19,K19)=0),"",MIN(E19,G19,I19,K19))</f>
        <v/>
      </c>
      <c r="N19" s="32">
        <f>IF($M19="","",IF(E19=$M19,$E$10,IF(G19=$M19,$G$10,IF(I19=$M19,$I$10,$K$10))))</f>
        <v/>
      </c>
      <c r="O19" s="30">
        <f>IF(OR($D19="",$M19=""),"",ROUND($D19*$M19,2))</f>
        <v/>
      </c>
      <c r="P19" s="33" t="n"/>
    </row>
    <row r="20" ht="18" customHeight="1">
      <c r="A20" s="25" t="n">
        <v>8</v>
      </c>
      <c r="B20" s="26" t="inlineStr">
        <is>
          <t>Fecho magnético embutir</t>
        </is>
      </c>
      <c r="C20" s="27" t="inlineStr">
        <is>
          <t>un</t>
        </is>
      </c>
      <c r="D20" s="28" t="n">
        <v>30</v>
      </c>
      <c r="E20" s="29" t="n">
        <v>3.1</v>
      </c>
      <c r="F20" s="30">
        <f>IF(OR($D20="",E20=""),"",ROUND($D20*E20,2))</f>
        <v/>
      </c>
      <c r="G20" s="29" t="n">
        <v>3.4</v>
      </c>
      <c r="H20" s="30">
        <f>IF(OR($D20="",G20=""),"",ROUND($D20*G20,2))</f>
        <v/>
      </c>
      <c r="I20" s="29" t="n">
        <v>2.95</v>
      </c>
      <c r="J20" s="30">
        <f>IF(OR($D20="",I20=""),"",ROUND($D20*I20,2))</f>
        <v/>
      </c>
      <c r="K20" s="29" t="n">
        <v>3.25</v>
      </c>
      <c r="L20" s="30">
        <f>IF(OR($D20="",K20=""),"",ROUND($D20*K20,2))</f>
        <v/>
      </c>
      <c r="M20" s="31">
        <f>IF(OR($B20="",COUNT(E20,G20,I20,K20)=0),"",MIN(E20,G20,I20,K20))</f>
        <v/>
      </c>
      <c r="N20" s="32">
        <f>IF($M20="","",IF(E20=$M20,$E$10,IF(G20=$M20,$G$10,IF(I20=$M20,$I$10,$K$10))))</f>
        <v/>
      </c>
      <c r="O20" s="30">
        <f>IF(OR($D20="",$M20=""),"",ROUND($D20*$M20,2))</f>
        <v/>
      </c>
      <c r="P20" s="33" t="n"/>
    </row>
    <row r="21" ht="18" customHeight="1">
      <c r="A21" s="25" t="n">
        <v>9</v>
      </c>
      <c r="B21" s="26" t="n"/>
      <c r="C21" s="27" t="n"/>
      <c r="D21" s="28" t="n"/>
      <c r="E21" s="29" t="n"/>
      <c r="F21" s="30">
        <f>IF(OR($D21="",E21=""),"",ROUND($D21*E21,2))</f>
        <v/>
      </c>
      <c r="G21" s="29" t="n"/>
      <c r="H21" s="30">
        <f>IF(OR($D21="",G21=""),"",ROUND($D21*G21,2))</f>
        <v/>
      </c>
      <c r="I21" s="29" t="n"/>
      <c r="J21" s="30">
        <f>IF(OR($D21="",I21=""),"",ROUND($D21*I21,2))</f>
        <v/>
      </c>
      <c r="K21" s="29" t="n"/>
      <c r="L21" s="30">
        <f>IF(OR($D21="",K21=""),"",ROUND($D21*K21,2))</f>
        <v/>
      </c>
      <c r="M21" s="31">
        <f>IF(OR($B21="",COUNT(E21,G21,I21,K21)=0),"",MIN(E21,G21,I21,K21))</f>
        <v/>
      </c>
      <c r="N21" s="32">
        <f>IF($M21="","",IF(E21=$M21,$E$10,IF(G21=$M21,$G$10,IF(I21=$M21,$I$10,$K$10))))</f>
        <v/>
      </c>
      <c r="O21" s="30">
        <f>IF(OR($D21="",$M21=""),"",ROUND($D21*$M21,2))</f>
        <v/>
      </c>
      <c r="P21" s="33" t="n"/>
    </row>
    <row r="22" ht="18" customHeight="1">
      <c r="A22" s="25" t="n">
        <v>10</v>
      </c>
      <c r="B22" s="26" t="n"/>
      <c r="C22" s="27" t="n"/>
      <c r="D22" s="28" t="n"/>
      <c r="E22" s="29" t="n"/>
      <c r="F22" s="30">
        <f>IF(OR($D22="",E22=""),"",ROUND($D22*E22,2))</f>
        <v/>
      </c>
      <c r="G22" s="29" t="n"/>
      <c r="H22" s="30">
        <f>IF(OR($D22="",G22=""),"",ROUND($D22*G22,2))</f>
        <v/>
      </c>
      <c r="I22" s="29" t="n"/>
      <c r="J22" s="30">
        <f>IF(OR($D22="",I22=""),"",ROUND($D22*I22,2))</f>
        <v/>
      </c>
      <c r="K22" s="29" t="n"/>
      <c r="L22" s="30">
        <f>IF(OR($D22="",K22=""),"",ROUND($D22*K22,2))</f>
        <v/>
      </c>
      <c r="M22" s="31">
        <f>IF(OR($B22="",COUNT(E22,G22,I22,K22)=0),"",MIN(E22,G22,I22,K22))</f>
        <v/>
      </c>
      <c r="N22" s="32">
        <f>IF($M22="","",IF(E22=$M22,$E$10,IF(G22=$M22,$G$10,IF(I22=$M22,$I$10,$K$10))))</f>
        <v/>
      </c>
      <c r="O22" s="30">
        <f>IF(OR($D22="",$M22=""),"",ROUND($D22*$M22,2))</f>
        <v/>
      </c>
      <c r="P22" s="33" t="n"/>
    </row>
    <row r="23" ht="18" customHeight="1">
      <c r="A23" s="25" t="n">
        <v>11</v>
      </c>
      <c r="B23" s="26" t="n"/>
      <c r="C23" s="27" t="n"/>
      <c r="D23" s="28" t="n"/>
      <c r="E23" s="29" t="n"/>
      <c r="F23" s="30">
        <f>IF(OR($D23="",E23=""),"",ROUND($D23*E23,2))</f>
        <v/>
      </c>
      <c r="G23" s="29" t="n"/>
      <c r="H23" s="30">
        <f>IF(OR($D23="",G23=""),"",ROUND($D23*G23,2))</f>
        <v/>
      </c>
      <c r="I23" s="29" t="n"/>
      <c r="J23" s="30">
        <f>IF(OR($D23="",I23=""),"",ROUND($D23*I23,2))</f>
        <v/>
      </c>
      <c r="K23" s="29" t="n"/>
      <c r="L23" s="30">
        <f>IF(OR($D23="",K23=""),"",ROUND($D23*K23,2))</f>
        <v/>
      </c>
      <c r="M23" s="31">
        <f>IF(OR($B23="",COUNT(E23,G23,I23,K23)=0),"",MIN(E23,G23,I23,K23))</f>
        <v/>
      </c>
      <c r="N23" s="32">
        <f>IF($M23="","",IF(E23=$M23,$E$10,IF(G23=$M23,$G$10,IF(I23=$M23,$I$10,$K$10))))</f>
        <v/>
      </c>
      <c r="O23" s="30">
        <f>IF(OR($D23="",$M23=""),"",ROUND($D23*$M23,2))</f>
        <v/>
      </c>
      <c r="P23" s="33" t="n"/>
    </row>
    <row r="24" ht="18" customHeight="1">
      <c r="A24" s="25" t="n">
        <v>12</v>
      </c>
      <c r="B24" s="26" t="n"/>
      <c r="C24" s="27" t="n"/>
      <c r="D24" s="28" t="n"/>
      <c r="E24" s="29" t="n"/>
      <c r="F24" s="30">
        <f>IF(OR($D24="",E24=""),"",ROUND($D24*E24,2))</f>
        <v/>
      </c>
      <c r="G24" s="29" t="n"/>
      <c r="H24" s="30">
        <f>IF(OR($D24="",G24=""),"",ROUND($D24*G24,2))</f>
        <v/>
      </c>
      <c r="I24" s="29" t="n"/>
      <c r="J24" s="30">
        <f>IF(OR($D24="",I24=""),"",ROUND($D24*I24,2))</f>
        <v/>
      </c>
      <c r="K24" s="29" t="n"/>
      <c r="L24" s="30">
        <f>IF(OR($D24="",K24=""),"",ROUND($D24*K24,2))</f>
        <v/>
      </c>
      <c r="M24" s="31">
        <f>IF(OR($B24="",COUNT(E24,G24,I24,K24)=0),"",MIN(E24,G24,I24,K24))</f>
        <v/>
      </c>
      <c r="N24" s="32">
        <f>IF($M24="","",IF(E24=$M24,$E$10,IF(G24=$M24,$G$10,IF(I24=$M24,$I$10,$K$10))))</f>
        <v/>
      </c>
      <c r="O24" s="30">
        <f>IF(OR($D24="",$M24=""),"",ROUND($D24*$M24,2))</f>
        <v/>
      </c>
      <c r="P24" s="33" t="n"/>
    </row>
    <row r="25" ht="18" customHeight="1">
      <c r="A25" s="25" t="n">
        <v>13</v>
      </c>
      <c r="B25" s="26" t="n"/>
      <c r="C25" s="27" t="n"/>
      <c r="D25" s="28" t="n"/>
      <c r="E25" s="29" t="n"/>
      <c r="F25" s="30">
        <f>IF(OR($D25="",E25=""),"",ROUND($D25*E25,2))</f>
        <v/>
      </c>
      <c r="G25" s="29" t="n"/>
      <c r="H25" s="30">
        <f>IF(OR($D25="",G25=""),"",ROUND($D25*G25,2))</f>
        <v/>
      </c>
      <c r="I25" s="29" t="n"/>
      <c r="J25" s="30">
        <f>IF(OR($D25="",I25=""),"",ROUND($D25*I25,2))</f>
        <v/>
      </c>
      <c r="K25" s="29" t="n"/>
      <c r="L25" s="30">
        <f>IF(OR($D25="",K25=""),"",ROUND($D25*K25,2))</f>
        <v/>
      </c>
      <c r="M25" s="31">
        <f>IF(OR($B25="",COUNT(E25,G25,I25,K25)=0),"",MIN(E25,G25,I25,K25))</f>
        <v/>
      </c>
      <c r="N25" s="32">
        <f>IF($M25="","",IF(E25=$M25,$E$10,IF(G25=$M25,$G$10,IF(I25=$M25,$I$10,$K$10))))</f>
        <v/>
      </c>
      <c r="O25" s="30">
        <f>IF(OR($D25="",$M25=""),"",ROUND($D25*$M25,2))</f>
        <v/>
      </c>
      <c r="P25" s="33" t="n"/>
    </row>
    <row r="26" ht="18" customHeight="1">
      <c r="A26" s="25" t="n">
        <v>14</v>
      </c>
      <c r="B26" s="26" t="n"/>
      <c r="C26" s="27" t="n"/>
      <c r="D26" s="28" t="n"/>
      <c r="E26" s="29" t="n"/>
      <c r="F26" s="30">
        <f>IF(OR($D26="",E26=""),"",ROUND($D26*E26,2))</f>
        <v/>
      </c>
      <c r="G26" s="29" t="n"/>
      <c r="H26" s="30">
        <f>IF(OR($D26="",G26=""),"",ROUND($D26*G26,2))</f>
        <v/>
      </c>
      <c r="I26" s="29" t="n"/>
      <c r="J26" s="30">
        <f>IF(OR($D26="",I26=""),"",ROUND($D26*I26,2))</f>
        <v/>
      </c>
      <c r="K26" s="29" t="n"/>
      <c r="L26" s="30">
        <f>IF(OR($D26="",K26=""),"",ROUND($D26*K26,2))</f>
        <v/>
      </c>
      <c r="M26" s="31">
        <f>IF(OR($B26="",COUNT(E26,G26,I26,K26)=0),"",MIN(E26,G26,I26,K26))</f>
        <v/>
      </c>
      <c r="N26" s="32">
        <f>IF($M26="","",IF(E26=$M26,$E$10,IF(G26=$M26,$G$10,IF(I26=$M26,$I$10,$K$10))))</f>
        <v/>
      </c>
      <c r="O26" s="30">
        <f>IF(OR($D26="",$M26=""),"",ROUND($D26*$M26,2))</f>
        <v/>
      </c>
      <c r="P26" s="33" t="n"/>
    </row>
    <row r="27" ht="18" customHeight="1">
      <c r="A27" s="25" t="n">
        <v>15</v>
      </c>
      <c r="B27" s="26" t="n"/>
      <c r="C27" s="27" t="n"/>
      <c r="D27" s="28" t="n"/>
      <c r="E27" s="29" t="n"/>
      <c r="F27" s="30">
        <f>IF(OR($D27="",E27=""),"",ROUND($D27*E27,2))</f>
        <v/>
      </c>
      <c r="G27" s="29" t="n"/>
      <c r="H27" s="30">
        <f>IF(OR($D27="",G27=""),"",ROUND($D27*G27,2))</f>
        <v/>
      </c>
      <c r="I27" s="29" t="n"/>
      <c r="J27" s="30">
        <f>IF(OR($D27="",I27=""),"",ROUND($D27*I27,2))</f>
        <v/>
      </c>
      <c r="K27" s="29" t="n"/>
      <c r="L27" s="30">
        <f>IF(OR($D27="",K27=""),"",ROUND($D27*K27,2))</f>
        <v/>
      </c>
      <c r="M27" s="31">
        <f>IF(OR($B27="",COUNT(E27,G27,I27,K27)=0),"",MIN(E27,G27,I27,K27))</f>
        <v/>
      </c>
      <c r="N27" s="32">
        <f>IF($M27="","",IF(E27=$M27,$E$10,IF(G27=$M27,$G$10,IF(I27=$M27,$I$10,$K$10))))</f>
        <v/>
      </c>
      <c r="O27" s="30">
        <f>IF(OR($D27="",$M27=""),"",ROUND($D27*$M27,2))</f>
        <v/>
      </c>
      <c r="P27" s="33" t="n"/>
    </row>
    <row r="28" ht="18" customHeight="1">
      <c r="A28" s="25" t="n">
        <v>16</v>
      </c>
      <c r="B28" s="26" t="n"/>
      <c r="C28" s="27" t="n"/>
      <c r="D28" s="28" t="n"/>
      <c r="E28" s="29" t="n"/>
      <c r="F28" s="30">
        <f>IF(OR($D28="",E28=""),"",ROUND($D28*E28,2))</f>
        <v/>
      </c>
      <c r="G28" s="29" t="n"/>
      <c r="H28" s="30">
        <f>IF(OR($D28="",G28=""),"",ROUND($D28*G28,2))</f>
        <v/>
      </c>
      <c r="I28" s="29" t="n"/>
      <c r="J28" s="30">
        <f>IF(OR($D28="",I28=""),"",ROUND($D28*I28,2))</f>
        <v/>
      </c>
      <c r="K28" s="29" t="n"/>
      <c r="L28" s="30">
        <f>IF(OR($D28="",K28=""),"",ROUND($D28*K28,2))</f>
        <v/>
      </c>
      <c r="M28" s="31">
        <f>IF(OR($B28="",COUNT(E28,G28,I28,K28)=0),"",MIN(E28,G28,I28,K28))</f>
        <v/>
      </c>
      <c r="N28" s="32">
        <f>IF($M28="","",IF(E28=$M28,$E$10,IF(G28=$M28,$G$10,IF(I28=$M28,$I$10,$K$10))))</f>
        <v/>
      </c>
      <c r="O28" s="30">
        <f>IF(OR($D28="",$M28=""),"",ROUND($D28*$M28,2))</f>
        <v/>
      </c>
      <c r="P28" s="33" t="n"/>
    </row>
    <row r="29" ht="18" customHeight="1">
      <c r="A29" s="25" t="n">
        <v>17</v>
      </c>
      <c r="B29" s="26" t="n"/>
      <c r="C29" s="27" t="n"/>
      <c r="D29" s="28" t="n"/>
      <c r="E29" s="29" t="n"/>
      <c r="F29" s="30">
        <f>IF(OR($D29="",E29=""),"",ROUND($D29*E29,2))</f>
        <v/>
      </c>
      <c r="G29" s="29" t="n"/>
      <c r="H29" s="30">
        <f>IF(OR($D29="",G29=""),"",ROUND($D29*G29,2))</f>
        <v/>
      </c>
      <c r="I29" s="29" t="n"/>
      <c r="J29" s="30">
        <f>IF(OR($D29="",I29=""),"",ROUND($D29*I29,2))</f>
        <v/>
      </c>
      <c r="K29" s="29" t="n"/>
      <c r="L29" s="30">
        <f>IF(OR($D29="",K29=""),"",ROUND($D29*K29,2))</f>
        <v/>
      </c>
      <c r="M29" s="31">
        <f>IF(OR($B29="",COUNT(E29,G29,I29,K29)=0),"",MIN(E29,G29,I29,K29))</f>
        <v/>
      </c>
      <c r="N29" s="32">
        <f>IF($M29="","",IF(E29=$M29,$E$10,IF(G29=$M29,$G$10,IF(I29=$M29,$I$10,$K$10))))</f>
        <v/>
      </c>
      <c r="O29" s="30">
        <f>IF(OR($D29="",$M29=""),"",ROUND($D29*$M29,2))</f>
        <v/>
      </c>
      <c r="P29" s="33" t="n"/>
    </row>
    <row r="30" ht="18" customHeight="1">
      <c r="A30" s="25" t="n">
        <v>18</v>
      </c>
      <c r="B30" s="26" t="n"/>
      <c r="C30" s="27" t="n"/>
      <c r="D30" s="28" t="n"/>
      <c r="E30" s="29" t="n"/>
      <c r="F30" s="30">
        <f>IF(OR($D30="",E30=""),"",ROUND($D30*E30,2))</f>
        <v/>
      </c>
      <c r="G30" s="29" t="n"/>
      <c r="H30" s="30">
        <f>IF(OR($D30="",G30=""),"",ROUND($D30*G30,2))</f>
        <v/>
      </c>
      <c r="I30" s="29" t="n"/>
      <c r="J30" s="30">
        <f>IF(OR($D30="",I30=""),"",ROUND($D30*I30,2))</f>
        <v/>
      </c>
      <c r="K30" s="29" t="n"/>
      <c r="L30" s="30">
        <f>IF(OR($D30="",K30=""),"",ROUND($D30*K30,2))</f>
        <v/>
      </c>
      <c r="M30" s="31">
        <f>IF(OR($B30="",COUNT(E30,G30,I30,K30)=0),"",MIN(E30,G30,I30,K30))</f>
        <v/>
      </c>
      <c r="N30" s="32">
        <f>IF($M30="","",IF(E30=$M30,$E$10,IF(G30=$M30,$G$10,IF(I30=$M30,$I$10,$K$10))))</f>
        <v/>
      </c>
      <c r="O30" s="30">
        <f>IF(OR($D30="",$M30=""),"",ROUND($D30*$M30,2))</f>
        <v/>
      </c>
      <c r="P30" s="33" t="n"/>
    </row>
    <row r="31" ht="18" customHeight="1">
      <c r="A31" s="25" t="n">
        <v>19</v>
      </c>
      <c r="B31" s="26" t="n"/>
      <c r="C31" s="27" t="n"/>
      <c r="D31" s="28" t="n"/>
      <c r="E31" s="29" t="n"/>
      <c r="F31" s="30">
        <f>IF(OR($D31="",E31=""),"",ROUND($D31*E31,2))</f>
        <v/>
      </c>
      <c r="G31" s="29" t="n"/>
      <c r="H31" s="30">
        <f>IF(OR($D31="",G31=""),"",ROUND($D31*G31,2))</f>
        <v/>
      </c>
      <c r="I31" s="29" t="n"/>
      <c r="J31" s="30">
        <f>IF(OR($D31="",I31=""),"",ROUND($D31*I31,2))</f>
        <v/>
      </c>
      <c r="K31" s="29" t="n"/>
      <c r="L31" s="30">
        <f>IF(OR($D31="",K31=""),"",ROUND($D31*K31,2))</f>
        <v/>
      </c>
      <c r="M31" s="31">
        <f>IF(OR($B31="",COUNT(E31,G31,I31,K31)=0),"",MIN(E31,G31,I31,K31))</f>
        <v/>
      </c>
      <c r="N31" s="32">
        <f>IF($M31="","",IF(E31=$M31,$E$10,IF(G31=$M31,$G$10,IF(I31=$M31,$I$10,$K$10))))</f>
        <v/>
      </c>
      <c r="O31" s="30">
        <f>IF(OR($D31="",$M31=""),"",ROUND($D31*$M31,2))</f>
        <v/>
      </c>
      <c r="P31" s="33" t="n"/>
    </row>
    <row r="32" ht="18" customHeight="1">
      <c r="A32" s="25" t="n">
        <v>20</v>
      </c>
      <c r="B32" s="26" t="n"/>
      <c r="C32" s="27" t="n"/>
      <c r="D32" s="28" t="n"/>
      <c r="E32" s="29" t="n"/>
      <c r="F32" s="30">
        <f>IF(OR($D32="",E32=""),"",ROUND($D32*E32,2))</f>
        <v/>
      </c>
      <c r="G32" s="29" t="n"/>
      <c r="H32" s="30">
        <f>IF(OR($D32="",G32=""),"",ROUND($D32*G32,2))</f>
        <v/>
      </c>
      <c r="I32" s="29" t="n"/>
      <c r="J32" s="30">
        <f>IF(OR($D32="",I32=""),"",ROUND($D32*I32,2))</f>
        <v/>
      </c>
      <c r="K32" s="29" t="n"/>
      <c r="L32" s="30">
        <f>IF(OR($D32="",K32=""),"",ROUND($D32*K32,2))</f>
        <v/>
      </c>
      <c r="M32" s="31">
        <f>IF(OR($B32="",COUNT(E32,G32,I32,K32)=0),"",MIN(E32,G32,I32,K32))</f>
        <v/>
      </c>
      <c r="N32" s="32">
        <f>IF($M32="","",IF(E32=$M32,$E$10,IF(G32=$M32,$G$10,IF(I32=$M32,$I$10,$K$10))))</f>
        <v/>
      </c>
      <c r="O32" s="30">
        <f>IF(OR($D32="",$M32=""),"",ROUND($D32*$M32,2))</f>
        <v/>
      </c>
      <c r="P32" s="33" t="n"/>
    </row>
    <row r="33" ht="18" customHeight="1">
      <c r="A33" s="25" t="n">
        <v>21</v>
      </c>
      <c r="B33" s="26" t="n"/>
      <c r="C33" s="27" t="n"/>
      <c r="D33" s="28" t="n"/>
      <c r="E33" s="29" t="n"/>
      <c r="F33" s="30">
        <f>IF(OR($D33="",E33=""),"",ROUND($D33*E33,2))</f>
        <v/>
      </c>
      <c r="G33" s="29" t="n"/>
      <c r="H33" s="30">
        <f>IF(OR($D33="",G33=""),"",ROUND($D33*G33,2))</f>
        <v/>
      </c>
      <c r="I33" s="29" t="n"/>
      <c r="J33" s="30">
        <f>IF(OR($D33="",I33=""),"",ROUND($D33*I33,2))</f>
        <v/>
      </c>
      <c r="K33" s="29" t="n"/>
      <c r="L33" s="30">
        <f>IF(OR($D33="",K33=""),"",ROUND($D33*K33,2))</f>
        <v/>
      </c>
      <c r="M33" s="31">
        <f>IF(OR($B33="",COUNT(E33,G33,I33,K33)=0),"",MIN(E33,G33,I33,K33))</f>
        <v/>
      </c>
      <c r="N33" s="32">
        <f>IF($M33="","",IF(E33=$M33,$E$10,IF(G33=$M33,$G$10,IF(I33=$M33,$I$10,$K$10))))</f>
        <v/>
      </c>
      <c r="O33" s="30">
        <f>IF(OR($D33="",$M33=""),"",ROUND($D33*$M33,2))</f>
        <v/>
      </c>
      <c r="P33" s="33" t="n"/>
    </row>
    <row r="34" ht="18" customHeight="1">
      <c r="A34" s="25" t="n">
        <v>22</v>
      </c>
      <c r="B34" s="26" t="n"/>
      <c r="C34" s="27" t="n"/>
      <c r="D34" s="28" t="n"/>
      <c r="E34" s="29" t="n"/>
      <c r="F34" s="30">
        <f>IF(OR($D34="",E34=""),"",ROUND($D34*E34,2))</f>
        <v/>
      </c>
      <c r="G34" s="29" t="n"/>
      <c r="H34" s="30">
        <f>IF(OR($D34="",G34=""),"",ROUND($D34*G34,2))</f>
        <v/>
      </c>
      <c r="I34" s="29" t="n"/>
      <c r="J34" s="30">
        <f>IF(OR($D34="",I34=""),"",ROUND($D34*I34,2))</f>
        <v/>
      </c>
      <c r="K34" s="29" t="n"/>
      <c r="L34" s="30">
        <f>IF(OR($D34="",K34=""),"",ROUND($D34*K34,2))</f>
        <v/>
      </c>
      <c r="M34" s="31">
        <f>IF(OR($B34="",COUNT(E34,G34,I34,K34)=0),"",MIN(E34,G34,I34,K34))</f>
        <v/>
      </c>
      <c r="N34" s="32">
        <f>IF($M34="","",IF(E34=$M34,$E$10,IF(G34=$M34,$G$10,IF(I34=$M34,$I$10,$K$10))))</f>
        <v/>
      </c>
      <c r="O34" s="30">
        <f>IF(OR($D34="",$M34=""),"",ROUND($D34*$M34,2))</f>
        <v/>
      </c>
      <c r="P34" s="33" t="n"/>
    </row>
    <row r="35" ht="18" customHeight="1">
      <c r="A35" s="25" t="n">
        <v>23</v>
      </c>
      <c r="B35" s="26" t="n"/>
      <c r="C35" s="27" t="n"/>
      <c r="D35" s="28" t="n"/>
      <c r="E35" s="29" t="n"/>
      <c r="F35" s="30">
        <f>IF(OR($D35="",E35=""),"",ROUND($D35*E35,2))</f>
        <v/>
      </c>
      <c r="G35" s="29" t="n"/>
      <c r="H35" s="30">
        <f>IF(OR($D35="",G35=""),"",ROUND($D35*G35,2))</f>
        <v/>
      </c>
      <c r="I35" s="29" t="n"/>
      <c r="J35" s="30">
        <f>IF(OR($D35="",I35=""),"",ROUND($D35*I35,2))</f>
        <v/>
      </c>
      <c r="K35" s="29" t="n"/>
      <c r="L35" s="30">
        <f>IF(OR($D35="",K35=""),"",ROUND($D35*K35,2))</f>
        <v/>
      </c>
      <c r="M35" s="31">
        <f>IF(OR($B35="",COUNT(E35,G35,I35,K35)=0),"",MIN(E35,G35,I35,K35))</f>
        <v/>
      </c>
      <c r="N35" s="32">
        <f>IF($M35="","",IF(E35=$M35,$E$10,IF(G35=$M35,$G$10,IF(I35=$M35,$I$10,$K$10))))</f>
        <v/>
      </c>
      <c r="O35" s="30">
        <f>IF(OR($D35="",$M35=""),"",ROUND($D35*$M35,2))</f>
        <v/>
      </c>
      <c r="P35" s="33" t="n"/>
    </row>
    <row r="36" ht="18" customHeight="1">
      <c r="A36" s="25" t="n">
        <v>24</v>
      </c>
      <c r="B36" s="26" t="n"/>
      <c r="C36" s="27" t="n"/>
      <c r="D36" s="28" t="n"/>
      <c r="E36" s="29" t="n"/>
      <c r="F36" s="30">
        <f>IF(OR($D36="",E36=""),"",ROUND($D36*E36,2))</f>
        <v/>
      </c>
      <c r="G36" s="29" t="n"/>
      <c r="H36" s="30">
        <f>IF(OR($D36="",G36=""),"",ROUND($D36*G36,2))</f>
        <v/>
      </c>
      <c r="I36" s="29" t="n"/>
      <c r="J36" s="30">
        <f>IF(OR($D36="",I36=""),"",ROUND($D36*I36,2))</f>
        <v/>
      </c>
      <c r="K36" s="29" t="n"/>
      <c r="L36" s="30">
        <f>IF(OR($D36="",K36=""),"",ROUND($D36*K36,2))</f>
        <v/>
      </c>
      <c r="M36" s="31">
        <f>IF(OR($B36="",COUNT(E36,G36,I36,K36)=0),"",MIN(E36,G36,I36,K36))</f>
        <v/>
      </c>
      <c r="N36" s="32">
        <f>IF($M36="","",IF(E36=$M36,$E$10,IF(G36=$M36,$G$10,IF(I36=$M36,$I$10,$K$10))))</f>
        <v/>
      </c>
      <c r="O36" s="30">
        <f>IF(OR($D36="",$M36=""),"",ROUND($D36*$M36,2))</f>
        <v/>
      </c>
      <c r="P36" s="33" t="n"/>
    </row>
    <row r="37" ht="18" customHeight="1">
      <c r="A37" s="25" t="n">
        <v>25</v>
      </c>
      <c r="B37" s="26" t="n"/>
      <c r="C37" s="27" t="n"/>
      <c r="D37" s="28" t="n"/>
      <c r="E37" s="29" t="n"/>
      <c r="F37" s="30">
        <f>IF(OR($D37="",E37=""),"",ROUND($D37*E37,2))</f>
        <v/>
      </c>
      <c r="G37" s="29" t="n"/>
      <c r="H37" s="30">
        <f>IF(OR($D37="",G37=""),"",ROUND($D37*G37,2))</f>
        <v/>
      </c>
      <c r="I37" s="29" t="n"/>
      <c r="J37" s="30">
        <f>IF(OR($D37="",I37=""),"",ROUND($D37*I37,2))</f>
        <v/>
      </c>
      <c r="K37" s="29" t="n"/>
      <c r="L37" s="30">
        <f>IF(OR($D37="",K37=""),"",ROUND($D37*K37,2))</f>
        <v/>
      </c>
      <c r="M37" s="31">
        <f>IF(OR($B37="",COUNT(E37,G37,I37,K37)=0),"",MIN(E37,G37,I37,K37))</f>
        <v/>
      </c>
      <c r="N37" s="32">
        <f>IF($M37="","",IF(E37=$M37,$E$10,IF(G37=$M37,$G$10,IF(I37=$M37,$I$10,$K$10))))</f>
        <v/>
      </c>
      <c r="O37" s="30">
        <f>IF(OR($D37="",$M37=""),"",ROUND($D37*$M37,2))</f>
        <v/>
      </c>
      <c r="P37" s="33" t="n"/>
    </row>
    <row r="38" ht="18" customHeight="1">
      <c r="A38" s="25" t="n">
        <v>26</v>
      </c>
      <c r="B38" s="26" t="n"/>
      <c r="C38" s="27" t="n"/>
      <c r="D38" s="28" t="n"/>
      <c r="E38" s="29" t="n"/>
      <c r="F38" s="30">
        <f>IF(OR($D38="",E38=""),"",ROUND($D38*E38,2))</f>
        <v/>
      </c>
      <c r="G38" s="29" t="n"/>
      <c r="H38" s="30">
        <f>IF(OR($D38="",G38=""),"",ROUND($D38*G38,2))</f>
        <v/>
      </c>
      <c r="I38" s="29" t="n"/>
      <c r="J38" s="30">
        <f>IF(OR($D38="",I38=""),"",ROUND($D38*I38,2))</f>
        <v/>
      </c>
      <c r="K38" s="29" t="n"/>
      <c r="L38" s="30">
        <f>IF(OR($D38="",K38=""),"",ROUND($D38*K38,2))</f>
        <v/>
      </c>
      <c r="M38" s="31">
        <f>IF(OR($B38="",COUNT(E38,G38,I38,K38)=0),"",MIN(E38,G38,I38,K38))</f>
        <v/>
      </c>
      <c r="N38" s="32">
        <f>IF($M38="","",IF(E38=$M38,$E$10,IF(G38=$M38,$G$10,IF(I38=$M38,$I$10,$K$10))))</f>
        <v/>
      </c>
      <c r="O38" s="30">
        <f>IF(OR($D38="",$M38=""),"",ROUND($D38*$M38,2))</f>
        <v/>
      </c>
      <c r="P38" s="33" t="n"/>
    </row>
    <row r="39" ht="18" customHeight="1">
      <c r="A39" s="25" t="n">
        <v>27</v>
      </c>
      <c r="B39" s="26" t="n"/>
      <c r="C39" s="27" t="n"/>
      <c r="D39" s="28" t="n"/>
      <c r="E39" s="29" t="n"/>
      <c r="F39" s="30">
        <f>IF(OR($D39="",E39=""),"",ROUND($D39*E39,2))</f>
        <v/>
      </c>
      <c r="G39" s="29" t="n"/>
      <c r="H39" s="30">
        <f>IF(OR($D39="",G39=""),"",ROUND($D39*G39,2))</f>
        <v/>
      </c>
      <c r="I39" s="29" t="n"/>
      <c r="J39" s="30">
        <f>IF(OR($D39="",I39=""),"",ROUND($D39*I39,2))</f>
        <v/>
      </c>
      <c r="K39" s="29" t="n"/>
      <c r="L39" s="30">
        <f>IF(OR($D39="",K39=""),"",ROUND($D39*K39,2))</f>
        <v/>
      </c>
      <c r="M39" s="31">
        <f>IF(OR($B39="",COUNT(E39,G39,I39,K39)=0),"",MIN(E39,G39,I39,K39))</f>
        <v/>
      </c>
      <c r="N39" s="32">
        <f>IF($M39="","",IF(E39=$M39,$E$10,IF(G39=$M39,$G$10,IF(I39=$M39,$I$10,$K$10))))</f>
        <v/>
      </c>
      <c r="O39" s="30">
        <f>IF(OR($D39="",$M39=""),"",ROUND($D39*$M39,2))</f>
        <v/>
      </c>
      <c r="P39" s="33" t="n"/>
    </row>
    <row r="40" ht="18" customHeight="1">
      <c r="A40" s="25" t="n">
        <v>28</v>
      </c>
      <c r="B40" s="26" t="n"/>
      <c r="C40" s="27" t="n"/>
      <c r="D40" s="28" t="n"/>
      <c r="E40" s="29" t="n"/>
      <c r="F40" s="30">
        <f>IF(OR($D40="",E40=""),"",ROUND($D40*E40,2))</f>
        <v/>
      </c>
      <c r="G40" s="29" t="n"/>
      <c r="H40" s="30">
        <f>IF(OR($D40="",G40=""),"",ROUND($D40*G40,2))</f>
        <v/>
      </c>
      <c r="I40" s="29" t="n"/>
      <c r="J40" s="30">
        <f>IF(OR($D40="",I40=""),"",ROUND($D40*I40,2))</f>
        <v/>
      </c>
      <c r="K40" s="29" t="n"/>
      <c r="L40" s="30">
        <f>IF(OR($D40="",K40=""),"",ROUND($D40*K40,2))</f>
        <v/>
      </c>
      <c r="M40" s="31">
        <f>IF(OR($B40="",COUNT(E40,G40,I40,K40)=0),"",MIN(E40,G40,I40,K40))</f>
        <v/>
      </c>
      <c r="N40" s="32">
        <f>IF($M40="","",IF(E40=$M40,$E$10,IF(G40=$M40,$G$10,IF(I40=$M40,$I$10,$K$10))))</f>
        <v/>
      </c>
      <c r="O40" s="30">
        <f>IF(OR($D40="",$M40=""),"",ROUND($D40*$M40,2))</f>
        <v/>
      </c>
      <c r="P40" s="33" t="n"/>
    </row>
    <row r="41" ht="18" customHeight="1">
      <c r="A41" s="25" t="n">
        <v>29</v>
      </c>
      <c r="B41" s="26" t="n"/>
      <c r="C41" s="27" t="n"/>
      <c r="D41" s="28" t="n"/>
      <c r="E41" s="29" t="n"/>
      <c r="F41" s="30">
        <f>IF(OR($D41="",E41=""),"",ROUND($D41*E41,2))</f>
        <v/>
      </c>
      <c r="G41" s="29" t="n"/>
      <c r="H41" s="30">
        <f>IF(OR($D41="",G41=""),"",ROUND($D41*G41,2))</f>
        <v/>
      </c>
      <c r="I41" s="29" t="n"/>
      <c r="J41" s="30">
        <f>IF(OR($D41="",I41=""),"",ROUND($D41*I41,2))</f>
        <v/>
      </c>
      <c r="K41" s="29" t="n"/>
      <c r="L41" s="30">
        <f>IF(OR($D41="",K41=""),"",ROUND($D41*K41,2))</f>
        <v/>
      </c>
      <c r="M41" s="31">
        <f>IF(OR($B41="",COUNT(E41,G41,I41,K41)=0),"",MIN(E41,G41,I41,K41))</f>
        <v/>
      </c>
      <c r="N41" s="32">
        <f>IF($M41="","",IF(E41=$M41,$E$10,IF(G41=$M41,$G$10,IF(I41=$M41,$I$10,$K$10))))</f>
        <v/>
      </c>
      <c r="O41" s="30">
        <f>IF(OR($D41="",$M41=""),"",ROUND($D41*$M41,2))</f>
        <v/>
      </c>
      <c r="P41" s="33" t="n"/>
    </row>
    <row r="42" ht="18" customHeight="1">
      <c r="A42" s="25" t="n">
        <v>30</v>
      </c>
      <c r="B42" s="26" t="n"/>
      <c r="C42" s="27" t="n"/>
      <c r="D42" s="28" t="n"/>
      <c r="E42" s="29" t="n"/>
      <c r="F42" s="30">
        <f>IF(OR($D42="",E42=""),"",ROUND($D42*E42,2))</f>
        <v/>
      </c>
      <c r="G42" s="29" t="n"/>
      <c r="H42" s="30">
        <f>IF(OR($D42="",G42=""),"",ROUND($D42*G42,2))</f>
        <v/>
      </c>
      <c r="I42" s="29" t="n"/>
      <c r="J42" s="30">
        <f>IF(OR($D42="",I42=""),"",ROUND($D42*I42,2))</f>
        <v/>
      </c>
      <c r="K42" s="29" t="n"/>
      <c r="L42" s="30">
        <f>IF(OR($D42="",K42=""),"",ROUND($D42*K42,2))</f>
        <v/>
      </c>
      <c r="M42" s="31">
        <f>IF(OR($B42="",COUNT(E42,G42,I42,K42)=0),"",MIN(E42,G42,I42,K42))</f>
        <v/>
      </c>
      <c r="N42" s="32">
        <f>IF($M42="","",IF(E42=$M42,$E$10,IF(G42=$M42,$G$10,IF(I42=$M42,$I$10,$K$10))))</f>
        <v/>
      </c>
      <c r="O42" s="30">
        <f>IF(OR($D42="",$M42=""),"",ROUND($D42*$M42,2))</f>
        <v/>
      </c>
      <c r="P42" s="33" t="n"/>
    </row>
    <row r="43" ht="8" customHeight="1"/>
    <row r="44" ht="20" customHeight="1">
      <c r="A44" s="8" t="inlineStr">
        <is>
          <t xml:space="preserve">  APURAÇÃO POR FORNECEDOR          as linhas creme são de preenchimento · as demais se calculam sozinhas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</row>
    <row r="45" ht="17" customHeight="1">
      <c r="A45" s="34" t="inlineStr">
        <is>
          <t>Itens cotados</t>
        </is>
      </c>
      <c r="B45" s="35" t="n"/>
      <c r="C45" s="35" t="n"/>
      <c r="D45" s="35" t="n"/>
      <c r="E45" s="36">
        <f>IF(COUNTA($B$13:$B$42)=0,"",COUNT(E$13:E$42)&amp;" de "&amp;COUNTA($B$13:$B$42))</f>
        <v/>
      </c>
      <c r="F45" s="17" t="n"/>
      <c r="G45" s="36">
        <f>IF(COUNTA($B$13:$B$42)=0,"",COUNT(G$13:G$42)&amp;" de "&amp;COUNTA($B$13:$B$42))</f>
        <v/>
      </c>
      <c r="H45" s="17" t="n"/>
      <c r="I45" s="36">
        <f>IF(COUNTA($B$13:$B$42)=0,"",COUNT(I$13:I$42)&amp;" de "&amp;COUNTA($B$13:$B$42))</f>
        <v/>
      </c>
      <c r="J45" s="17" t="n"/>
      <c r="K45" s="36">
        <f>IF(COUNTA($B$13:$B$42)=0,"",COUNT(K$13:K$42)&amp;" de "&amp;COUNTA($B$13:$B$42))</f>
        <v/>
      </c>
      <c r="L45" s="17" t="n"/>
      <c r="M45" s="37" t="inlineStr">
        <is>
          <t>Quantos dos itens da lista este fornecedor conseguiu cotar.</t>
        </is>
      </c>
      <c r="N45" s="35" t="n"/>
      <c r="O45" s="35" t="n"/>
      <c r="P45" s="35" t="n"/>
    </row>
    <row r="46" ht="17" customHeight="1">
      <c r="A46" s="34" t="inlineStr">
        <is>
          <t>Situação do pedido</t>
        </is>
      </c>
      <c r="B46" s="35" t="n"/>
      <c r="C46" s="35" t="n"/>
      <c r="D46" s="35" t="n"/>
      <c r="E46" s="38">
        <f>IF(COUNTA($B$13:$B$42)=0,"",IF(COUNT(E$13:E$42)=0,"NÃO COTOU",IF(COUNT(E$13:E$42)=COUNTA($B$13:$B$42),"COMPLETO","PARCIAL — faltam "&amp;(COUNTA($B$13:$B$42)-COUNT(E$13:E$42))&amp;" item(ns)")))</f>
        <v/>
      </c>
      <c r="F46" s="17" t="n"/>
      <c r="G46" s="38">
        <f>IF(COUNTA($B$13:$B$42)=0,"",IF(COUNT(G$13:G$42)=0,"NÃO COTOU",IF(COUNT(G$13:G$42)=COUNTA($B$13:$B$42),"COMPLETO","PARCIAL — faltam "&amp;(COUNTA($B$13:$B$42)-COUNT(G$13:G$42))&amp;" item(ns)")))</f>
        <v/>
      </c>
      <c r="H46" s="17" t="n"/>
      <c r="I46" s="38">
        <f>IF(COUNTA($B$13:$B$42)=0,"",IF(COUNT(I$13:I$42)=0,"NÃO COTOU",IF(COUNT(I$13:I$42)=COUNTA($B$13:$B$42),"COMPLETO","PARCIAL — faltam "&amp;(COUNTA($B$13:$B$42)-COUNT(I$13:I$42))&amp;" item(ns)")))</f>
        <v/>
      </c>
      <c r="J46" s="17" t="n"/>
      <c r="K46" s="38">
        <f>IF(COUNTA($B$13:$B$42)=0,"",IF(COUNT(K$13:K$42)=0,"NÃO COTOU",IF(COUNT(K$13:K$42)=COUNTA($B$13:$B$42),"COMPLETO","PARCIAL — faltam "&amp;(COUNTA($B$13:$B$42)-COUNT(K$13:K$42))&amp;" item(ns)")))</f>
        <v/>
      </c>
      <c r="L46" s="17" t="n"/>
      <c r="M46" s="37" t="inlineStr">
        <is>
          <t>COMPLETO = tem tudo. PARCIAL = vai faltar item e você precisará de um segundo fornecedor.</t>
        </is>
      </c>
      <c r="N46" s="35" t="n"/>
      <c r="O46" s="35" t="n"/>
      <c r="P46" s="35" t="n"/>
    </row>
    <row r="47" ht="17" customHeight="1">
      <c r="A47" s="34" t="inlineStr">
        <is>
          <t>Subtotal dos itens</t>
        </is>
      </c>
      <c r="B47" s="35" t="n"/>
      <c r="C47" s="35" t="n"/>
      <c r="D47" s="35" t="n"/>
      <c r="E47" s="39">
        <f>IF(COUNT(E$13:E$42)=0,"",ROUND(SUM(F$13:F$42),2))</f>
        <v/>
      </c>
      <c r="F47" s="17" t="n"/>
      <c r="G47" s="39">
        <f>IF(COUNT(G$13:G$42)=0,"",ROUND(SUM(H$13:H$42),2))</f>
        <v/>
      </c>
      <c r="H47" s="17" t="n"/>
      <c r="I47" s="39">
        <f>IF(COUNT(I$13:I$42)=0,"",ROUND(SUM(J$13:J$42),2))</f>
        <v/>
      </c>
      <c r="J47" s="17" t="n"/>
      <c r="K47" s="39">
        <f>IF(COUNT(K$13:K$42)=0,"",ROUND(SUM(L$13:L$42),2))</f>
        <v/>
      </c>
      <c r="L47" s="17" t="n"/>
      <c r="M47" s="37" t="inlineStr">
        <is>
          <t>Soma dos itens cotados, sem imposto e sem frete.</t>
        </is>
      </c>
      <c r="N47" s="35" t="n"/>
      <c r="O47" s="35" t="n"/>
      <c r="P47" s="35" t="n"/>
    </row>
    <row r="48" ht="17" customHeight="1">
      <c r="A48" s="40" t="inlineStr">
        <is>
          <t>% imposto adicional (ST / IPI / DIFAL)</t>
        </is>
      </c>
      <c r="B48" s="41" t="n"/>
      <c r="C48" s="41" t="n"/>
      <c r="D48" s="41" t="n"/>
      <c r="E48" s="42" t="n">
        <v>0</v>
      </c>
      <c r="F48" s="14" t="n"/>
      <c r="G48" s="42" t="n">
        <v>0</v>
      </c>
      <c r="H48" s="14" t="n"/>
      <c r="I48" s="42" t="n">
        <v>0.06</v>
      </c>
      <c r="J48" s="14" t="n"/>
      <c r="K48" s="42" t="n">
        <v>0</v>
      </c>
      <c r="L48" s="14" t="n"/>
      <c r="M48" s="37" t="inlineStr">
        <is>
          <t>Só o que vem POR FORA do preço. Se o preço já é o final, deixe zerado.</t>
        </is>
      </c>
      <c r="N48" s="35" t="n"/>
      <c r="O48" s="35" t="n"/>
      <c r="P48" s="35" t="n"/>
    </row>
    <row r="49" ht="17" customHeight="1">
      <c r="A49" s="34" t="inlineStr">
        <is>
          <t>Valor do imposto</t>
        </is>
      </c>
      <c r="B49" s="35" t="n"/>
      <c r="C49" s="35" t="n"/>
      <c r="D49" s="35" t="n"/>
      <c r="E49" s="39">
        <f>IF(E47="","",ROUND(E47*IF(E48="",0,E48),2))</f>
        <v/>
      </c>
      <c r="F49" s="17" t="n"/>
      <c r="G49" s="39">
        <f>IF(G47="","",ROUND(G47*IF(G48="",0,G48),2))</f>
        <v/>
      </c>
      <c r="H49" s="17" t="n"/>
      <c r="I49" s="39">
        <f>IF(I47="","",ROUND(I47*IF(I48="",0,I48),2))</f>
        <v/>
      </c>
      <c r="J49" s="17" t="n"/>
      <c r="K49" s="39">
        <f>IF(K47="","",ROUND(K47*IF(K48="",0,K48),2))</f>
        <v/>
      </c>
      <c r="L49" s="17" t="n"/>
      <c r="M49" s="37" t="inlineStr"/>
      <c r="N49" s="35" t="n"/>
      <c r="O49" s="35" t="n"/>
      <c r="P49" s="35" t="n"/>
    </row>
    <row r="50" ht="17" customHeight="1">
      <c r="A50" s="40" t="inlineStr">
        <is>
          <t>Frete estimado (R$)</t>
        </is>
      </c>
      <c r="B50" s="41" t="n"/>
      <c r="C50" s="41" t="n"/>
      <c r="D50" s="41" t="n"/>
      <c r="E50" s="43" t="n">
        <v>180</v>
      </c>
      <c r="F50" s="14" t="n"/>
      <c r="G50" s="43" t="n">
        <v>0</v>
      </c>
      <c r="H50" s="14" t="n"/>
      <c r="I50" s="43" t="n">
        <v>240</v>
      </c>
      <c r="J50" s="14" t="n"/>
      <c r="K50" s="43" t="n">
        <v>120</v>
      </c>
      <c r="L50" s="14" t="n"/>
      <c r="M50" s="37" t="inlineStr">
        <is>
          <t>Coloque 0 quando o frete estiver embutido ou for por conta do fornecedor.</t>
        </is>
      </c>
      <c r="N50" s="35" t="n"/>
      <c r="O50" s="35" t="n"/>
      <c r="P50" s="35" t="n"/>
    </row>
    <row r="51" ht="17" customHeight="1">
      <c r="A51" s="34" t="inlineStr">
        <is>
          <t>Total com imposto e frete</t>
        </is>
      </c>
      <c r="B51" s="35" t="n"/>
      <c r="C51" s="35" t="n"/>
      <c r="D51" s="35" t="n"/>
      <c r="E51" s="39">
        <f>IF(E47="","",ROUND(E47+E49+IF(E50="",0,E50),2))</f>
        <v/>
      </c>
      <c r="F51" s="17" t="n"/>
      <c r="G51" s="39">
        <f>IF(G47="","",ROUND(G47+G49+IF(G50="",0,G50),2))</f>
        <v/>
      </c>
      <c r="H51" s="17" t="n"/>
      <c r="I51" s="39">
        <f>IF(I47="","",ROUND(I47+I49+IF(I50="",0,I50),2))</f>
        <v/>
      </c>
      <c r="J51" s="17" t="n"/>
      <c r="K51" s="39">
        <f>IF(K47="","",ROUND(K47+K49+IF(K50="",0,K50),2))</f>
        <v/>
      </c>
      <c r="L51" s="17" t="n"/>
      <c r="M51" s="37" t="inlineStr">
        <is>
          <t>Este é o custo cheio da proposta, antes de desconto ou acréscimo.</t>
        </is>
      </c>
      <c r="N51" s="35" t="n"/>
      <c r="O51" s="35" t="n"/>
      <c r="P51" s="35" t="n"/>
    </row>
    <row r="52" ht="17" customHeight="1">
      <c r="A52" s="40" t="inlineStr">
        <is>
          <t>% desconto à vista</t>
        </is>
      </c>
      <c r="B52" s="41" t="n"/>
      <c r="C52" s="41" t="n"/>
      <c r="D52" s="41" t="n"/>
      <c r="E52" s="42" t="n">
        <v>0.05</v>
      </c>
      <c r="F52" s="14" t="n"/>
      <c r="G52" s="42" t="n">
        <v>0.03</v>
      </c>
      <c r="H52" s="14" t="n"/>
      <c r="I52" s="42" t="n">
        <v>0.07000000000000001</v>
      </c>
      <c r="J52" s="14" t="n"/>
      <c r="K52" s="42" t="n">
        <v>0.04</v>
      </c>
      <c r="L52" s="14" t="n"/>
      <c r="M52" s="37" t="inlineStr">
        <is>
          <t>Desconto que o fornecedor dá para pagamento à vista.</t>
        </is>
      </c>
      <c r="N52" s="35" t="n"/>
      <c r="O52" s="35" t="n"/>
      <c r="P52" s="35" t="n"/>
    </row>
    <row r="53" ht="22" customHeight="1">
      <c r="A53" s="44" t="inlineStr">
        <is>
          <t>TOTAL À VISTA</t>
        </is>
      </c>
      <c r="B53" s="20" t="n"/>
      <c r="C53" s="20" t="n"/>
      <c r="D53" s="20" t="n"/>
      <c r="E53" s="45">
        <f>IF(E51="","",ROUND(E51*(1-IF(E52="",0,E52)),2))</f>
        <v/>
      </c>
      <c r="F53" s="46" t="n"/>
      <c r="G53" s="45">
        <f>IF(G51="","",ROUND(G51*(1-IF(G52="",0,G52)),2))</f>
        <v/>
      </c>
      <c r="H53" s="46" t="n"/>
      <c r="I53" s="45">
        <f>IF(I51="","",ROUND(I51*(1-IF(I52="",0,I52)),2))</f>
        <v/>
      </c>
      <c r="J53" s="46" t="n"/>
      <c r="K53" s="45">
        <f>IF(K51="","",ROUND(K51*(1-IF(K52="",0,K52)),2))</f>
        <v/>
      </c>
      <c r="L53" s="46" t="n"/>
      <c r="M53" s="47" t="inlineStr"/>
      <c r="N53" s="20" t="n"/>
      <c r="O53" s="20" t="n"/>
      <c r="P53" s="20" t="n"/>
    </row>
    <row r="54" ht="17" customHeight="1">
      <c r="A54" s="40" t="inlineStr">
        <is>
          <t>Condição a prazo</t>
        </is>
      </c>
      <c r="B54" s="41" t="n"/>
      <c r="C54" s="41" t="n"/>
      <c r="D54" s="41" t="n"/>
      <c r="E54" s="48" t="inlineStr">
        <is>
          <t>30/60</t>
        </is>
      </c>
      <c r="F54" s="14" t="n"/>
      <c r="G54" s="48" t="inlineStr">
        <is>
          <t>28 dias</t>
        </is>
      </c>
      <c r="H54" s="14" t="n"/>
      <c r="I54" s="48" t="inlineStr">
        <is>
          <t>30/60/90</t>
        </is>
      </c>
      <c r="J54" s="14" t="n"/>
      <c r="K54" s="48" t="inlineStr">
        <is>
          <t>3x sem juros</t>
        </is>
      </c>
      <c r="L54" s="14" t="n"/>
      <c r="M54" s="37" t="inlineStr">
        <is>
          <t>Ex.: 30/60/90, 28 dias, 3x sem juros.</t>
        </is>
      </c>
      <c r="N54" s="35" t="n"/>
      <c r="O54" s="35" t="n"/>
      <c r="P54" s="35" t="n"/>
    </row>
    <row r="55" ht="17" customHeight="1">
      <c r="A55" s="40" t="inlineStr">
        <is>
          <t>% acréscimo a prazo</t>
        </is>
      </c>
      <c r="B55" s="41" t="n"/>
      <c r="C55" s="41" t="n"/>
      <c r="D55" s="41" t="n"/>
      <c r="E55" s="42" t="n">
        <v>0</v>
      </c>
      <c r="F55" s="14" t="n"/>
      <c r="G55" s="42" t="n">
        <v>0</v>
      </c>
      <c r="H55" s="14" t="n"/>
      <c r="I55" s="42" t="n">
        <v>0.04</v>
      </c>
      <c r="J55" s="14" t="n"/>
      <c r="K55" s="42" t="n">
        <v>0</v>
      </c>
      <c r="L55" s="14" t="n"/>
      <c r="M55" s="37" t="inlineStr">
        <is>
          <t>Juros ou acréscimo cobrado no parcelado. Se não há acréscimo, deixe zerado.</t>
        </is>
      </c>
      <c r="N55" s="35" t="n"/>
      <c r="O55" s="35" t="n"/>
      <c r="P55" s="35" t="n"/>
    </row>
    <row r="56" ht="22" customHeight="1">
      <c r="A56" s="44" t="inlineStr">
        <is>
          <t>TOTAL A PRAZO</t>
        </is>
      </c>
      <c r="B56" s="20" t="n"/>
      <c r="C56" s="20" t="n"/>
      <c r="D56" s="20" t="n"/>
      <c r="E56" s="45">
        <f>IF(E51="","",ROUND(E51*(1+IF(E55="",0,E55)),2))</f>
        <v/>
      </c>
      <c r="F56" s="46" t="n"/>
      <c r="G56" s="45">
        <f>IF(G51="","",ROUND(G51*(1+IF(G55="",0,G55)),2))</f>
        <v/>
      </c>
      <c r="H56" s="46" t="n"/>
      <c r="I56" s="45">
        <f>IF(I51="","",ROUND(I51*(1+IF(I55="",0,I55)),2))</f>
        <v/>
      </c>
      <c r="J56" s="46" t="n"/>
      <c r="K56" s="45">
        <f>IF(K51="","",ROUND(K51*(1+IF(K55="",0,K55)),2))</f>
        <v/>
      </c>
      <c r="L56" s="46" t="n"/>
      <c r="M56" s="47" t="inlineStr"/>
      <c r="N56" s="20" t="n"/>
      <c r="O56" s="20" t="n"/>
      <c r="P56" s="20" t="n"/>
    </row>
    <row r="57" ht="17" customHeight="1">
      <c r="A57" s="34" t="inlineStr">
        <is>
          <t>Custo do prazo (R$)</t>
        </is>
      </c>
      <c r="B57" s="35" t="n"/>
      <c r="C57" s="35" t="n"/>
      <c r="D57" s="35" t="n"/>
      <c r="E57" s="39">
        <f>IF(OR(E53="",E56=""),"",ROUND(E56-E53,2))</f>
        <v/>
      </c>
      <c r="F57" s="17" t="n"/>
      <c r="G57" s="39">
        <f>IF(OR(G53="",G56=""),"",ROUND(G56-G53,2))</f>
        <v/>
      </c>
      <c r="H57" s="17" t="n"/>
      <c r="I57" s="39">
        <f>IF(OR(I53="",I56=""),"",ROUND(I56-I53,2))</f>
        <v/>
      </c>
      <c r="J57" s="17" t="n"/>
      <c r="K57" s="39">
        <f>IF(OR(K53="",K56=""),"",ROUND(K56-K53,2))</f>
        <v/>
      </c>
      <c r="L57" s="17" t="n"/>
      <c r="M57" s="37" t="inlineStr">
        <is>
          <t>Quanto o parcelamento custa. Compare com o que o dinheiro rende ou economiza no caixa.</t>
        </is>
      </c>
      <c r="N57" s="35" t="n"/>
      <c r="O57" s="35" t="n"/>
      <c r="P57" s="35" t="n"/>
    </row>
    <row r="58" ht="17" customHeight="1">
      <c r="A58" s="40" t="inlineStr">
        <is>
          <t>Prazo de entrega</t>
        </is>
      </c>
      <c r="B58" s="41" t="n"/>
      <c r="C58" s="41" t="n"/>
      <c r="D58" s="41" t="n"/>
      <c r="E58" s="49" t="n">
        <v>7</v>
      </c>
      <c r="F58" s="14" t="n"/>
      <c r="G58" s="49" t="n">
        <v>10</v>
      </c>
      <c r="H58" s="14" t="n"/>
      <c r="I58" s="49" t="n">
        <v>5</v>
      </c>
      <c r="J58" s="14" t="n"/>
      <c r="K58" s="49" t="n">
        <v>12</v>
      </c>
      <c r="L58" s="14" t="n"/>
      <c r="M58" s="37" t="inlineStr">
        <is>
          <t>Em dias corridos a partir do pedido.</t>
        </is>
      </c>
      <c r="N58" s="35" t="n"/>
      <c r="O58" s="35" t="n"/>
      <c r="P58" s="35" t="n"/>
    </row>
    <row r="59" ht="17" customHeight="1">
      <c r="A59" s="40" t="inlineStr">
        <is>
          <t>Validade da proposta</t>
        </is>
      </c>
      <c r="B59" s="41" t="n"/>
      <c r="C59" s="41" t="n"/>
      <c r="D59" s="41" t="n"/>
      <c r="E59" s="50" t="n">
        <v>46259</v>
      </c>
      <c r="F59" s="14" t="n"/>
      <c r="G59" s="50" t="n">
        <v>46256</v>
      </c>
      <c r="H59" s="14" t="n"/>
      <c r="I59" s="50" t="n">
        <v>46254</v>
      </c>
      <c r="J59" s="14" t="n"/>
      <c r="K59" s="50" t="n">
        <v>46262</v>
      </c>
      <c r="L59" s="14" t="n"/>
      <c r="M59" s="37" t="inlineStr">
        <is>
          <t>Até quando o fornecedor garante este preço.</t>
        </is>
      </c>
      <c r="N59" s="35" t="n"/>
      <c r="O59" s="35" t="n"/>
      <c r="P59" s="35" t="n"/>
    </row>
    <row r="60" ht="17" customHeight="1">
      <c r="A60" s="34" t="inlineStr">
        <is>
          <t>Subtotal se atender 100%</t>
        </is>
      </c>
      <c r="B60" s="35" t="n"/>
      <c r="C60" s="35" t="n"/>
      <c r="D60" s="35" t="n"/>
      <c r="E60" s="39">
        <f>IF(E46="COMPLETO",E47,"")</f>
        <v/>
      </c>
      <c r="F60" s="17" t="n"/>
      <c r="G60" s="39">
        <f>IF(G46="COMPLETO",G47,"")</f>
        <v/>
      </c>
      <c r="H60" s="17" t="n"/>
      <c r="I60" s="39">
        <f>IF(I46="COMPLETO",I47,"")</f>
        <v/>
      </c>
      <c r="J60" s="17" t="n"/>
      <c r="K60" s="39">
        <f>IF(K46="COMPLETO",K47,"")</f>
        <v/>
      </c>
      <c r="L60" s="17" t="n"/>
      <c r="M60" s="37" t="inlineStr">
        <is>
          <t>Auxiliar do veredito — fica em branco quando o fornecedor não tem o pedido inteiro.</t>
        </is>
      </c>
      <c r="N60" s="35" t="n"/>
      <c r="O60" s="35" t="n"/>
      <c r="P60" s="35" t="n"/>
    </row>
    <row r="61" ht="17" customHeight="1">
      <c r="A61" s="34" t="inlineStr">
        <is>
          <t>Total à vista se atender 100%</t>
        </is>
      </c>
      <c r="B61" s="35" t="n"/>
      <c r="C61" s="35" t="n"/>
      <c r="D61" s="35" t="n"/>
      <c r="E61" s="39">
        <f>IF(E46="COMPLETO",E53,"")</f>
        <v/>
      </c>
      <c r="F61" s="17" t="n"/>
      <c r="G61" s="39">
        <f>IF(G46="COMPLETO",G53,"")</f>
        <v/>
      </c>
      <c r="H61" s="17" t="n"/>
      <c r="I61" s="39">
        <f>IF(I46="COMPLETO",I53,"")</f>
        <v/>
      </c>
      <c r="J61" s="17" t="n"/>
      <c r="K61" s="39">
        <f>IF(K46="COMPLETO",K53,"")</f>
        <v/>
      </c>
      <c r="L61" s="17" t="n"/>
      <c r="M61" s="37" t="inlineStr">
        <is>
          <t>Auxiliar do veredito — é por aqui que sai o "melhor entre os completos".</t>
        </is>
      </c>
      <c r="N61" s="35" t="n"/>
      <c r="O61" s="35" t="n"/>
      <c r="P61" s="35" t="n"/>
    </row>
    <row r="62" ht="8" customHeight="1"/>
    <row r="63" ht="20" customHeight="1">
      <c r="A63" s="8" t="inlineStr">
        <is>
          <t xml:space="preserve">  VEREDITO          leitura pronta para decidir — confira sempre a coluna de situação</t>
        </is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</row>
    <row r="64" ht="22" customHeight="1">
      <c r="A64" s="51" t="inlineStr">
        <is>
          <t>Melhor preço À VISTA</t>
        </is>
      </c>
      <c r="B64" s="52" t="n"/>
      <c r="C64" s="52" t="n"/>
      <c r="D64" s="52" t="n"/>
      <c r="E64" s="53">
        <f>IF(COUNT($E$53,$G$53,$I$53,$K$53)=0,"—",IF($E$53=MIN($E$53,$G$53,$I$53,$K$53),$E$10,IF($G$53=MIN($E$53,$G$53,$I$53,$K$53),$G$10,IF($I$53=MIN($E$53,$G$53,$I$53,$K$53),$I$10,$K$10))))</f>
        <v/>
      </c>
      <c r="F64" s="52" t="n"/>
      <c r="G64" s="52" t="n"/>
      <c r="H64" s="52" t="n"/>
      <c r="I64" s="54">
        <f>IF(COUNT($E$53,$G$53,$I$53,$K$53)=0,"",MIN($E$53,$G$53,$I$53,$K$53))</f>
        <v/>
      </c>
      <c r="J64" s="52" t="n"/>
      <c r="K64" s="52" t="n"/>
      <c r="L64" s="52" t="n"/>
      <c r="M64" s="55">
        <f>IF(COUNT($E$53,$G$53,$I$53,$K$53)=0,"—",IF($E$53=MIN($E$53,$G$53,$I$53,$K$53),$E$46,IF($G$53=MIN($E$53,$G$53,$I$53,$K$53),$G$46,IF($I$53=MIN($E$53,$G$53,$I$53,$K$53),$I$46,$K$46))))</f>
        <v/>
      </c>
      <c r="N64" s="52" t="n"/>
      <c r="O64" s="52" t="n"/>
      <c r="P64" s="52" t="n"/>
    </row>
    <row r="65" ht="22" customHeight="1">
      <c r="A65" s="56" t="inlineStr">
        <is>
          <t>Melhor à vista ENTRE OS COMPLETOS</t>
        </is>
      </c>
      <c r="B65" s="57" t="n"/>
      <c r="C65" s="57" t="n"/>
      <c r="D65" s="57" t="n"/>
      <c r="E65" s="58">
        <f>IF(COUNT($E$61,$G$61,$I$61,$K$61)=0,"—",IF($E$61=MIN($E$61,$G$61,$I$61,$K$61),$E$10,IF($G$61=MIN($E$61,$G$61,$I$61,$K$61),$G$10,IF($I$61=MIN($E$61,$G$61,$I$61,$K$61),$I$10,$K$10))))</f>
        <v/>
      </c>
      <c r="F65" s="57" t="n"/>
      <c r="G65" s="57" t="n"/>
      <c r="H65" s="57" t="n"/>
      <c r="I65" s="59">
        <f>IF(COUNT($E$61,$G$61,$I$61,$K$61)=0,"",MIN($E$61,$G$61,$I$61,$K$61))</f>
        <v/>
      </c>
      <c r="J65" s="57" t="n"/>
      <c r="K65" s="57" t="n"/>
      <c r="L65" s="57" t="n"/>
      <c r="M65" s="60">
        <f>IF(COUNT($E$61,$G$61,$I$61,$K$61)=0,"Nenhum fornecedor tem o pedido completo — você vai precisar dividir a compra","Atende 100% dos itens do pedido")</f>
        <v/>
      </c>
      <c r="N65" s="57" t="n"/>
      <c r="O65" s="57" t="n"/>
      <c r="P65" s="57" t="n"/>
    </row>
    <row r="66" ht="22" customHeight="1">
      <c r="A66" s="61" t="inlineStr">
        <is>
          <t>Melhor preço A PRAZO</t>
        </is>
      </c>
      <c r="B66" s="62" t="n"/>
      <c r="C66" s="62" t="n"/>
      <c r="D66" s="62" t="n"/>
      <c r="E66" s="63">
        <f>IF(COUNT($E$56,$G$56,$I$56,$K$56)=0,"—",IF($E$56=MIN($E$56,$G$56,$I$56,$K$56),$E$10,IF($G$56=MIN($E$56,$G$56,$I$56,$K$56),$G$10,IF($I$56=MIN($E$56,$G$56,$I$56,$K$56),$I$10,$K$10))))</f>
        <v/>
      </c>
      <c r="F66" s="62" t="n"/>
      <c r="G66" s="62" t="n"/>
      <c r="H66" s="62" t="n"/>
      <c r="I66" s="64">
        <f>IF(COUNT($E$56,$G$56,$I$56,$K$56)=0,"",MIN($E$56,$G$56,$I$56,$K$56))</f>
        <v/>
      </c>
      <c r="J66" s="62" t="n"/>
      <c r="K66" s="62" t="n"/>
      <c r="L66" s="62" t="n"/>
      <c r="M66" s="65">
        <f>IF(COUNT($E$56,$G$56,$I$56,$K$56)=0,"—",IF($E$56=MIN($E$56,$G$56,$I$56,$K$56),$E$54,IF($G$56=MIN($E$56,$G$56,$I$56,$K$56),$G$54,IF($I$56=MIN($E$56,$G$56,$I$56,$K$56),$I$54,$K$54))))</f>
        <v/>
      </c>
      <c r="N66" s="62" t="n"/>
      <c r="O66" s="62" t="n"/>
      <c r="P66" s="62" t="n"/>
    </row>
    <row r="67" ht="22" customHeight="1">
      <c r="A67" s="66" t="inlineStr">
        <is>
          <t>COMPRA FRACIONADA (item a item)</t>
        </is>
      </c>
      <c r="B67" s="17" t="n"/>
      <c r="C67" s="17" t="n"/>
      <c r="D67" s="17" t="n"/>
      <c r="E67" s="67" t="inlineStr">
        <is>
          <t>melhor preço de cada linha</t>
        </is>
      </c>
      <c r="F67" s="17" t="n"/>
      <c r="G67" s="17" t="n"/>
      <c r="H67" s="17" t="n"/>
      <c r="I67" s="68">
        <f>IF(SUM($O$13:$O$42)=0,"",ROUND(SUM($O$13:$O$42),2))</f>
        <v/>
      </c>
      <c r="J67" s="17" t="n"/>
      <c r="K67" s="17" t="n"/>
      <c r="L67" s="17" t="n"/>
      <c r="M67" s="69">
        <f>IF($I67="","",IF((COUNTA($B$13:$B$42)-COUNT($M$13:$M$42))&gt;0,"Atenção: "&amp;(COUNTA($B$13:$B$42)-COUNT($M$13:$M$42))&amp;" item(ns) sem nenhuma cotação. ","")&amp;IF(COUNT($E$60,$G$60,$I$60,$K$60)=0,"Nenhum fornecedor tem o pedido completo para servir de comparação.",IF(MIN($E$60,$G$60,$I$60,$K$60)-$I67&gt;0,"Economia de "&amp;TEXT(MIN($E$60,$G$60,$I$60,$K$60)-$I67,"R$ #,##0.00")&amp;" sobre o subtotal do melhor fornecedor completo — mas some frete e imposto de cada um.","Sem ganho: dividir a compra sai "&amp;TEXT($I67-MIN($E$60,$G$60,$I$60,$K$60),"R$ #,##0.00")&amp;" mais caro que o melhor fornecedor completo.")))</f>
        <v/>
      </c>
      <c r="N67" s="17" t="n"/>
      <c r="O67" s="17" t="n"/>
      <c r="P67" s="17" t="n"/>
    </row>
    <row r="68" ht="8" customHeight="1"/>
    <row r="69" ht="40" customHeight="1">
      <c r="A69" s="70" t="inlineStr">
        <is>
          <t xml:space="preserve">  Como ler: subtotal e compra fracionada são SEM imposto e frete — a decisão final é sempre pelo TOTAL À VISTA ou TOTAL A PRAZO. Preço em branco na coluna de um fornecedor significa que ele não tem aquele item (a célula fica avermelhada). Antes de fechar por preço, confira a situação do pedido, o prazo de entrega e a validade da proposta.</t>
        </is>
      </c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</row>
  </sheetData>
  <mergeCells count="148">
    <mergeCell ref="K49:L49"/>
    <mergeCell ref="M61:P61"/>
    <mergeCell ref="M57:P57"/>
    <mergeCell ref="E51:F51"/>
    <mergeCell ref="A7:B7"/>
    <mergeCell ref="A58:D58"/>
    <mergeCell ref="M56:P56"/>
    <mergeCell ref="A9:P9"/>
    <mergeCell ref="K50:L50"/>
    <mergeCell ref="C6:F6"/>
    <mergeCell ref="G57:H57"/>
    <mergeCell ref="A64:D64"/>
    <mergeCell ref="M59:P59"/>
    <mergeCell ref="A51:D51"/>
    <mergeCell ref="A60:D60"/>
    <mergeCell ref="I58:J58"/>
    <mergeCell ref="K58:L58"/>
    <mergeCell ref="K52:L52"/>
    <mergeCell ref="E64:H64"/>
    <mergeCell ref="E49:F49"/>
    <mergeCell ref="A54:D54"/>
    <mergeCell ref="G58:H58"/>
    <mergeCell ref="I52:J52"/>
    <mergeCell ref="M10:P10"/>
    <mergeCell ref="M54:P54"/>
    <mergeCell ref="I66:L66"/>
    <mergeCell ref="K53:L53"/>
    <mergeCell ref="A56:D56"/>
    <mergeCell ref="E65:H65"/>
    <mergeCell ref="E53:F53"/>
    <mergeCell ref="M45:P45"/>
    <mergeCell ref="G59:H59"/>
    <mergeCell ref="A53:D53"/>
    <mergeCell ref="E55:F55"/>
    <mergeCell ref="I46:J46"/>
    <mergeCell ref="M47:P47"/>
    <mergeCell ref="G61:H61"/>
    <mergeCell ref="E48:F48"/>
    <mergeCell ref="I61:J61"/>
    <mergeCell ref="K55:L55"/>
    <mergeCell ref="G48:H48"/>
    <mergeCell ref="A63:P63"/>
    <mergeCell ref="I57:J57"/>
    <mergeCell ref="K51:L51"/>
    <mergeCell ref="I54:J54"/>
    <mergeCell ref="A48:D48"/>
    <mergeCell ref="A59:D59"/>
    <mergeCell ref="A11:D11"/>
    <mergeCell ref="E67:H67"/>
    <mergeCell ref="I56:J56"/>
    <mergeCell ref="K56:L56"/>
    <mergeCell ref="G49:H49"/>
    <mergeCell ref="A61:D61"/>
    <mergeCell ref="A1:P1"/>
    <mergeCell ref="M64:P64"/>
    <mergeCell ref="M51:P51"/>
    <mergeCell ref="G7:J7"/>
    <mergeCell ref="A69:P69"/>
    <mergeCell ref="M60:P60"/>
    <mergeCell ref="A46:D46"/>
    <mergeCell ref="I10:J10"/>
    <mergeCell ref="M7:P7"/>
    <mergeCell ref="K10:L10"/>
    <mergeCell ref="M65:P65"/>
    <mergeCell ref="I59:J59"/>
    <mergeCell ref="G60:H60"/>
    <mergeCell ref="K6:L6"/>
    <mergeCell ref="E58:F58"/>
    <mergeCell ref="I60:J60"/>
    <mergeCell ref="E50:F50"/>
    <mergeCell ref="G11:H11"/>
    <mergeCell ref="I11:J11"/>
    <mergeCell ref="A52:D52"/>
    <mergeCell ref="I45:J45"/>
    <mergeCell ref="A4:P4"/>
    <mergeCell ref="E52:F52"/>
    <mergeCell ref="K45:L45"/>
    <mergeCell ref="A10:D10"/>
    <mergeCell ref="K54:L54"/>
    <mergeCell ref="K60:L60"/>
    <mergeCell ref="E66:H66"/>
    <mergeCell ref="M53:P53"/>
    <mergeCell ref="K11:L11"/>
    <mergeCell ref="M50:P50"/>
    <mergeCell ref="I47:J47"/>
    <mergeCell ref="K47:L47"/>
    <mergeCell ref="K46:L46"/>
    <mergeCell ref="A49:D49"/>
    <mergeCell ref="M55:P55"/>
    <mergeCell ref="M67:P67"/>
    <mergeCell ref="M49:P49"/>
    <mergeCell ref="A45:D45"/>
    <mergeCell ref="E59:F59"/>
    <mergeCell ref="M48:P48"/>
    <mergeCell ref="E46:F46"/>
    <mergeCell ref="M11:P11"/>
    <mergeCell ref="A65:D65"/>
    <mergeCell ref="E61:F61"/>
    <mergeCell ref="E57:F57"/>
    <mergeCell ref="G51:H51"/>
    <mergeCell ref="K7:L7"/>
    <mergeCell ref="I51:J51"/>
    <mergeCell ref="E54:F54"/>
    <mergeCell ref="G54:H54"/>
    <mergeCell ref="K57:L57"/>
    <mergeCell ref="G50:H50"/>
    <mergeCell ref="A57:D57"/>
    <mergeCell ref="A3:P3"/>
    <mergeCell ref="I50:J50"/>
    <mergeCell ref="E56:F56"/>
    <mergeCell ref="G56:H56"/>
    <mergeCell ref="G52:H52"/>
    <mergeCell ref="I64:L64"/>
    <mergeCell ref="I49:J49"/>
    <mergeCell ref="C7:F7"/>
    <mergeCell ref="A6:B6"/>
    <mergeCell ref="M66:P66"/>
    <mergeCell ref="A67:D67"/>
    <mergeCell ref="A44:P44"/>
    <mergeCell ref="E10:F10"/>
    <mergeCell ref="M58:P58"/>
    <mergeCell ref="I65:L65"/>
    <mergeCell ref="G10:H10"/>
    <mergeCell ref="G53:H53"/>
    <mergeCell ref="I53:J53"/>
    <mergeCell ref="E60:F60"/>
    <mergeCell ref="K59:L59"/>
    <mergeCell ref="M52:P52"/>
    <mergeCell ref="I55:J55"/>
    <mergeCell ref="E11:F11"/>
    <mergeCell ref="E45:F45"/>
    <mergeCell ref="G45:H45"/>
    <mergeCell ref="K61:L61"/>
    <mergeCell ref="I48:J48"/>
    <mergeCell ref="K48:L48"/>
    <mergeCell ref="A66:D66"/>
    <mergeCell ref="G55:H55"/>
    <mergeCell ref="G6:J6"/>
    <mergeCell ref="G47:H47"/>
    <mergeCell ref="A50:D50"/>
    <mergeCell ref="A55:D55"/>
    <mergeCell ref="M6:P6"/>
    <mergeCell ref="G46:H46"/>
    <mergeCell ref="M46:P46"/>
    <mergeCell ref="A47:D47"/>
    <mergeCell ref="I67:L67"/>
    <mergeCell ref="E47:F47"/>
    <mergeCell ref="A2:P2"/>
  </mergeCells>
  <conditionalFormatting sqref="E13:E42">
    <cfRule type="expression" priority="1" dxfId="0" stopIfTrue="1">
      <formula>AND($B13&lt;&gt;"",E13="")</formula>
    </cfRule>
    <cfRule type="expression" priority="2" dxfId="1">
      <formula>AND(E13&lt;&gt;"",$M13&lt;&gt;"",E13=$M13)</formula>
    </cfRule>
  </conditionalFormatting>
  <conditionalFormatting sqref="E46:F46">
    <cfRule type="expression" priority="3" dxfId="1" stopIfTrue="1">
      <formula>$E$46="COMPLETO"</formula>
    </cfRule>
    <cfRule type="expression" priority="4" dxfId="2" stopIfTrue="1">
      <formula>LEFT($E$46,7)="PARCIAL"</formula>
    </cfRule>
    <cfRule type="expression" priority="5" dxfId="3">
      <formula>$E$46="NÃO COTOU"</formula>
    </cfRule>
  </conditionalFormatting>
  <conditionalFormatting sqref="E53:F53">
    <cfRule type="expression" priority="6" dxfId="4">
      <formula>AND($E$53&lt;&gt;"",$E$53=MIN($E$53,$G$53,$I$53,$K$53))</formula>
    </cfRule>
  </conditionalFormatting>
  <conditionalFormatting sqref="E56:F56">
    <cfRule type="expression" priority="7" dxfId="4">
      <formula>AND($E$56&lt;&gt;"",$E$56=MIN($E$56,$G$56,$I$56,$K$56))</formula>
    </cfRule>
  </conditionalFormatting>
  <conditionalFormatting sqref="G13:G42">
    <cfRule type="expression" priority="8" dxfId="0" stopIfTrue="1">
      <formula>AND($B13&lt;&gt;"",G13="")</formula>
    </cfRule>
    <cfRule type="expression" priority="9" dxfId="1">
      <formula>AND(G13&lt;&gt;"",$M13&lt;&gt;"",G13=$M13)</formula>
    </cfRule>
  </conditionalFormatting>
  <conditionalFormatting sqref="G46:H46">
    <cfRule type="expression" priority="10" dxfId="1" stopIfTrue="1">
      <formula>$G$46="COMPLETO"</formula>
    </cfRule>
    <cfRule type="expression" priority="11" dxfId="2" stopIfTrue="1">
      <formula>LEFT($G$46,7)="PARCIAL"</formula>
    </cfRule>
    <cfRule type="expression" priority="12" dxfId="3">
      <formula>$G$46="NÃO COTOU"</formula>
    </cfRule>
  </conditionalFormatting>
  <conditionalFormatting sqref="G53:H53">
    <cfRule type="expression" priority="13" dxfId="4">
      <formula>AND($G$53&lt;&gt;"",$G$53=MIN($E$53,$G$53,$I$53,$K$53))</formula>
    </cfRule>
  </conditionalFormatting>
  <conditionalFormatting sqref="G56:H56">
    <cfRule type="expression" priority="14" dxfId="4">
      <formula>AND($G$56&lt;&gt;"",$G$56=MIN($E$56,$G$56,$I$56,$K$56))</formula>
    </cfRule>
  </conditionalFormatting>
  <conditionalFormatting sqref="I13:I42">
    <cfRule type="expression" priority="15" dxfId="0" stopIfTrue="1">
      <formula>AND($B13&lt;&gt;"",I13="")</formula>
    </cfRule>
    <cfRule type="expression" priority="16" dxfId="1">
      <formula>AND(I13&lt;&gt;"",$M13&lt;&gt;"",I13=$M13)</formula>
    </cfRule>
  </conditionalFormatting>
  <conditionalFormatting sqref="I46:J46">
    <cfRule type="expression" priority="17" dxfId="1" stopIfTrue="1">
      <formula>$I$46="COMPLETO"</formula>
    </cfRule>
    <cfRule type="expression" priority="18" dxfId="2" stopIfTrue="1">
      <formula>LEFT($I$46,7)="PARCIAL"</formula>
    </cfRule>
    <cfRule type="expression" priority="19" dxfId="3">
      <formula>$I$46="NÃO COTOU"</formula>
    </cfRule>
  </conditionalFormatting>
  <conditionalFormatting sqref="I53:J53">
    <cfRule type="expression" priority="20" dxfId="4">
      <formula>AND($I$53&lt;&gt;"",$I$53=MIN($E$53,$G$53,$I$53,$K$53))</formula>
    </cfRule>
  </conditionalFormatting>
  <conditionalFormatting sqref="I56:J56">
    <cfRule type="expression" priority="21" dxfId="4">
      <formula>AND($I$56&lt;&gt;"",$I$56=MIN($E$56,$G$56,$I$56,$K$56))</formula>
    </cfRule>
  </conditionalFormatting>
  <conditionalFormatting sqref="K13:K42">
    <cfRule type="expression" priority="22" dxfId="0" stopIfTrue="1">
      <formula>AND($B13&lt;&gt;"",K13="")</formula>
    </cfRule>
    <cfRule type="expression" priority="23" dxfId="1">
      <formula>AND(K13&lt;&gt;"",$M13&lt;&gt;"",K13=$M13)</formula>
    </cfRule>
  </conditionalFormatting>
  <conditionalFormatting sqref="K46:L46">
    <cfRule type="expression" priority="24" dxfId="1" stopIfTrue="1">
      <formula>$K$46="COMPLETO"</formula>
    </cfRule>
    <cfRule type="expression" priority="25" dxfId="2" stopIfTrue="1">
      <formula>LEFT($K$46,7)="PARCIAL"</formula>
    </cfRule>
    <cfRule type="expression" priority="26" dxfId="3">
      <formula>$K$46="NÃO COTOU"</formula>
    </cfRule>
  </conditionalFormatting>
  <conditionalFormatting sqref="K53:L53">
    <cfRule type="expression" priority="27" dxfId="4">
      <formula>AND($K$53&lt;&gt;"",$K$53=MIN($E$53,$G$53,$I$53,$K$53))</formula>
    </cfRule>
  </conditionalFormatting>
  <conditionalFormatting sqref="K56:L56">
    <cfRule type="expression" priority="28" dxfId="4">
      <formula>AND($K$56&lt;&gt;"",$K$56=MIN($E$56,$G$56,$I$56,$K$56))</formula>
    </cfRule>
  </conditionalFormatting>
  <dataValidations count="5">
    <dataValidation sqref="C13:C42" showDropDown="0" showInputMessage="0" showErrorMessage="0" allowBlank="1" type="list">
      <formula1>=Listas!$A$2:$A$19</formula1>
    </dataValidation>
    <dataValidation sqref="E54:F54" showDropDown="0" showInputMessage="0" showErrorMessage="0" allowBlank="1" type="list">
      <formula1>=Listas!$B$2:$B$14</formula1>
    </dataValidation>
    <dataValidation sqref="G54:H54" showDropDown="0" showInputMessage="0" showErrorMessage="0" allowBlank="1" type="list">
      <formula1>=Listas!$B$2:$B$14</formula1>
    </dataValidation>
    <dataValidation sqref="I54:J54" showDropDown="0" showInputMessage="0" showErrorMessage="0" allowBlank="1" type="list">
      <formula1>=Listas!$B$2:$B$14</formula1>
    </dataValidation>
    <dataValidation sqref="K54:L54" showDropDown="0" showInputMessage="0" showErrorMessage="0" allowBlank="1" type="list">
      <formula1>=Listas!$B$2:$B$14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89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40" customWidth="1" min="3" max="3"/>
    <col width="18" customWidth="1" min="4" max="4"/>
    <col width="12" customWidth="1" min="5" max="5"/>
    <col width="13" customWidth="1" min="6" max="6"/>
    <col width="26" customWidth="1" min="7" max="7"/>
    <col width="20" customWidth="1" min="8" max="8"/>
    <col width="15" customWidth="1" min="9" max="9"/>
    <col width="15" customWidth="1" min="10" max="10"/>
    <col width="15" customWidth="1" min="11" max="11"/>
    <col width="13" customWidth="1" min="12" max="12"/>
    <col width="11" customWidth="1" min="13" max="13"/>
    <col width="18" customWidth="1" min="14" max="14"/>
    <col width="40" customWidth="1" min="15" max="15"/>
  </cols>
  <sheetData>
    <row r="1" ht="26" customHeight="1">
      <c r="A1" s="1" t="inlineStr">
        <is>
          <t>VALVIC MARCENARIA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5" customHeight="1">
      <c r="A2" s="3" t="inlineStr">
        <is>
          <t>Vargas Decor Ltda   ·   CNPJ 17.269.304/0001-51   ·   Belo Horizonte / MG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8" customHeight="1">
      <c r="A3" s="4" t="inlineStr">
        <is>
          <t>MAPA DE COTAÇÕES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 ht="17" customHeight="1">
      <c r="A4" s="6" t="inlineStr">
        <is>
          <t>Registro de todas as cotações · uma linha por demanda · alimente ao fechar a compra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6" ht="14" customHeight="1">
      <c r="A6" s="91" t="inlineStr">
        <is>
          <t>Cotações registradas</t>
        </is>
      </c>
      <c r="D6" s="91" t="inlineStr">
        <is>
          <t>Em aberto</t>
        </is>
      </c>
      <c r="G6" s="91" t="inlineStr">
        <is>
          <t>Valor fechado no total</t>
        </is>
      </c>
      <c r="J6" s="91" t="inlineStr">
        <is>
          <t>Economia acumulada</t>
        </is>
      </c>
      <c r="M6" s="91" t="inlineStr">
        <is>
          <t>Economia média</t>
        </is>
      </c>
    </row>
    <row r="7" ht="30" customHeight="1">
      <c r="A7" s="92">
        <f>COUNTA($A$10:$A$89)</f>
        <v/>
      </c>
      <c r="B7" s="41" t="n"/>
      <c r="C7" s="41" t="n"/>
      <c r="D7" s="92">
        <f>COUNTIF($N$10:$N$89,"Em cotação")+COUNTIF($N$10:$N$89,"Aguardando fornecedor")+COUNTIF($N$10:$N$89,"Em análise")</f>
        <v/>
      </c>
      <c r="E7" s="41" t="n"/>
      <c r="F7" s="41" t="n"/>
      <c r="G7" s="93">
        <f>IF(COUNT($K$10:$K$89)=0,"",SUM($K$10:$K$89))</f>
        <v/>
      </c>
      <c r="H7" s="41" t="n"/>
      <c r="I7" s="41" t="n"/>
      <c r="J7" s="93">
        <f>IF(COUNT($L$10:$L$89)=0,"",SUM($L$10:$L$89))</f>
        <v/>
      </c>
      <c r="K7" s="41" t="n"/>
      <c r="L7" s="41" t="n"/>
      <c r="M7" s="94">
        <f>IF(COUNT($M$10:$M$89)=0,"",AVERAGE($M$10:$M$89))</f>
        <v/>
      </c>
      <c r="N7" s="41" t="n"/>
      <c r="O7" s="41" t="n"/>
    </row>
    <row r="8" ht="8" customHeight="1"/>
    <row r="9" ht="32" customHeight="1">
      <c r="A9" s="24" t="inlineStr">
        <is>
          <t>Nº da cotação</t>
        </is>
      </c>
      <c r="B9" s="24" t="inlineStr">
        <is>
          <t>Data</t>
        </is>
      </c>
      <c r="C9" s="24" t="inlineStr">
        <is>
          <t>Demanda / projeto</t>
        </is>
      </c>
      <c r="D9" s="24" t="inlineStr">
        <is>
          <t>Solicitante</t>
        </is>
      </c>
      <c r="E9" s="24" t="inlineStr">
        <is>
          <t>Prioridade</t>
        </is>
      </c>
      <c r="F9" s="24" t="inlineStr">
        <is>
          <t>Fornecedores cotados</t>
        </is>
      </c>
      <c r="G9" s="24" t="inlineStr">
        <is>
          <t>Fornecedor escolhido</t>
        </is>
      </c>
      <c r="H9" s="24" t="inlineStr">
        <is>
          <t>Forma de pagamento</t>
        </is>
      </c>
      <c r="I9" s="24" t="inlineStr">
        <is>
          <t>Menor proposta (R$)</t>
        </is>
      </c>
      <c r="J9" s="24" t="inlineStr">
        <is>
          <t>Maior proposta (R$)</t>
        </is>
      </c>
      <c r="K9" s="24" t="inlineStr">
        <is>
          <t>Valor fechado (R$)</t>
        </is>
      </c>
      <c r="L9" s="24" t="inlineStr">
        <is>
          <t>Economia (R$)</t>
        </is>
      </c>
      <c r="M9" s="24" t="inlineStr">
        <is>
          <t>Economia (%)</t>
        </is>
      </c>
      <c r="N9" s="24" t="inlineStr">
        <is>
          <t>Situação</t>
        </is>
      </c>
      <c r="O9" s="24" t="inlineStr">
        <is>
          <t>Observações</t>
        </is>
      </c>
    </row>
    <row r="10" ht="17" customHeight="1">
      <c r="A10" s="26" t="n"/>
      <c r="B10" s="95" t="n"/>
      <c r="C10" s="26" t="n"/>
      <c r="D10" s="26" t="n"/>
      <c r="E10" s="27" t="n"/>
      <c r="F10" s="96" t="n"/>
      <c r="G10" s="26" t="n"/>
      <c r="H10" s="26" t="n"/>
      <c r="I10" s="81" t="n"/>
      <c r="J10" s="81" t="n"/>
      <c r="K10" s="81" t="n"/>
      <c r="L10" s="31">
        <f>IF(OR($J10="",$K10=""),"",ROUND($J10-$K10,2))</f>
        <v/>
      </c>
      <c r="M10" s="97">
        <f>IF(OR($L10="",$J10="",$J10=0),"",$L10/$J10)</f>
        <v/>
      </c>
      <c r="N10" s="27" t="n"/>
      <c r="O10" s="26" t="n"/>
    </row>
    <row r="11" ht="17" customHeight="1">
      <c r="A11" s="26" t="n"/>
      <c r="B11" s="95" t="n"/>
      <c r="C11" s="26" t="n"/>
      <c r="D11" s="26" t="n"/>
      <c r="E11" s="27" t="n"/>
      <c r="F11" s="96" t="n"/>
      <c r="G11" s="26" t="n"/>
      <c r="H11" s="26" t="n"/>
      <c r="I11" s="81" t="n"/>
      <c r="J11" s="81" t="n"/>
      <c r="K11" s="81" t="n"/>
      <c r="L11" s="31">
        <f>IF(OR($J11="",$K11=""),"",ROUND($J11-$K11,2))</f>
        <v/>
      </c>
      <c r="M11" s="97">
        <f>IF(OR($L11="",$J11="",$J11=0),"",$L11/$J11)</f>
        <v/>
      </c>
      <c r="N11" s="27" t="n"/>
      <c r="O11" s="26" t="n"/>
    </row>
    <row r="12" ht="17" customHeight="1">
      <c r="A12" s="26" t="n"/>
      <c r="B12" s="95" t="n"/>
      <c r="C12" s="26" t="n"/>
      <c r="D12" s="26" t="n"/>
      <c r="E12" s="27" t="n"/>
      <c r="F12" s="96" t="n"/>
      <c r="G12" s="26" t="n"/>
      <c r="H12" s="26" t="n"/>
      <c r="I12" s="81" t="n"/>
      <c r="J12" s="81" t="n"/>
      <c r="K12" s="81" t="n"/>
      <c r="L12" s="31">
        <f>IF(OR($J12="",$K12=""),"",ROUND($J12-$K12,2))</f>
        <v/>
      </c>
      <c r="M12" s="97">
        <f>IF(OR($L12="",$J12="",$J12=0),"",$L12/$J12)</f>
        <v/>
      </c>
      <c r="N12" s="27" t="n"/>
      <c r="O12" s="26" t="n"/>
    </row>
    <row r="13" ht="17" customHeight="1">
      <c r="A13" s="26" t="n"/>
      <c r="B13" s="95" t="n"/>
      <c r="C13" s="26" t="n"/>
      <c r="D13" s="26" t="n"/>
      <c r="E13" s="27" t="n"/>
      <c r="F13" s="96" t="n"/>
      <c r="G13" s="26" t="n"/>
      <c r="H13" s="26" t="n"/>
      <c r="I13" s="81" t="n"/>
      <c r="J13" s="81" t="n"/>
      <c r="K13" s="81" t="n"/>
      <c r="L13" s="31">
        <f>IF(OR($J13="",$K13=""),"",ROUND($J13-$K13,2))</f>
        <v/>
      </c>
      <c r="M13" s="97">
        <f>IF(OR($L13="",$J13="",$J13=0),"",$L13/$J13)</f>
        <v/>
      </c>
      <c r="N13" s="27" t="n"/>
      <c r="O13" s="26" t="n"/>
    </row>
    <row r="14" ht="17" customHeight="1">
      <c r="A14" s="26" t="n"/>
      <c r="B14" s="95" t="n"/>
      <c r="C14" s="26" t="n"/>
      <c r="D14" s="26" t="n"/>
      <c r="E14" s="27" t="n"/>
      <c r="F14" s="96" t="n"/>
      <c r="G14" s="26" t="n"/>
      <c r="H14" s="26" t="n"/>
      <c r="I14" s="81" t="n"/>
      <c r="J14" s="81" t="n"/>
      <c r="K14" s="81" t="n"/>
      <c r="L14" s="31">
        <f>IF(OR($J14="",$K14=""),"",ROUND($J14-$K14,2))</f>
        <v/>
      </c>
      <c r="M14" s="97">
        <f>IF(OR($L14="",$J14="",$J14=0),"",$L14/$J14)</f>
        <v/>
      </c>
      <c r="N14" s="27" t="n"/>
      <c r="O14" s="26" t="n"/>
    </row>
    <row r="15" ht="17" customHeight="1">
      <c r="A15" s="26" t="n"/>
      <c r="B15" s="95" t="n"/>
      <c r="C15" s="26" t="n"/>
      <c r="D15" s="26" t="n"/>
      <c r="E15" s="27" t="n"/>
      <c r="F15" s="96" t="n"/>
      <c r="G15" s="26" t="n"/>
      <c r="H15" s="26" t="n"/>
      <c r="I15" s="81" t="n"/>
      <c r="J15" s="81" t="n"/>
      <c r="K15" s="81" t="n"/>
      <c r="L15" s="31">
        <f>IF(OR($J15="",$K15=""),"",ROUND($J15-$K15,2))</f>
        <v/>
      </c>
      <c r="M15" s="97">
        <f>IF(OR($L15="",$J15="",$J15=0),"",$L15/$J15)</f>
        <v/>
      </c>
      <c r="N15" s="27" t="n"/>
      <c r="O15" s="26" t="n"/>
    </row>
    <row r="16" ht="17" customHeight="1">
      <c r="A16" s="26" t="n"/>
      <c r="B16" s="95" t="n"/>
      <c r="C16" s="26" t="n"/>
      <c r="D16" s="26" t="n"/>
      <c r="E16" s="27" t="n"/>
      <c r="F16" s="96" t="n"/>
      <c r="G16" s="26" t="n"/>
      <c r="H16" s="26" t="n"/>
      <c r="I16" s="81" t="n"/>
      <c r="J16" s="81" t="n"/>
      <c r="K16" s="81" t="n"/>
      <c r="L16" s="31">
        <f>IF(OR($J16="",$K16=""),"",ROUND($J16-$K16,2))</f>
        <v/>
      </c>
      <c r="M16" s="97">
        <f>IF(OR($L16="",$J16="",$J16=0),"",$L16/$J16)</f>
        <v/>
      </c>
      <c r="N16" s="27" t="n"/>
      <c r="O16" s="26" t="n"/>
    </row>
    <row r="17" ht="17" customHeight="1">
      <c r="A17" s="26" t="n"/>
      <c r="B17" s="95" t="n"/>
      <c r="C17" s="26" t="n"/>
      <c r="D17" s="26" t="n"/>
      <c r="E17" s="27" t="n"/>
      <c r="F17" s="96" t="n"/>
      <c r="G17" s="26" t="n"/>
      <c r="H17" s="26" t="n"/>
      <c r="I17" s="81" t="n"/>
      <c r="J17" s="81" t="n"/>
      <c r="K17" s="81" t="n"/>
      <c r="L17" s="31">
        <f>IF(OR($J17="",$K17=""),"",ROUND($J17-$K17,2))</f>
        <v/>
      </c>
      <c r="M17" s="97">
        <f>IF(OR($L17="",$J17="",$J17=0),"",$L17/$J17)</f>
        <v/>
      </c>
      <c r="N17" s="27" t="n"/>
      <c r="O17" s="26" t="n"/>
    </row>
    <row r="18" ht="17" customHeight="1">
      <c r="A18" s="26" t="n"/>
      <c r="B18" s="95" t="n"/>
      <c r="C18" s="26" t="n"/>
      <c r="D18" s="26" t="n"/>
      <c r="E18" s="27" t="n"/>
      <c r="F18" s="96" t="n"/>
      <c r="G18" s="26" t="n"/>
      <c r="H18" s="26" t="n"/>
      <c r="I18" s="81" t="n"/>
      <c r="J18" s="81" t="n"/>
      <c r="K18" s="81" t="n"/>
      <c r="L18" s="31">
        <f>IF(OR($J18="",$K18=""),"",ROUND($J18-$K18,2))</f>
        <v/>
      </c>
      <c r="M18" s="97">
        <f>IF(OR($L18="",$J18="",$J18=0),"",$L18/$J18)</f>
        <v/>
      </c>
      <c r="N18" s="27" t="n"/>
      <c r="O18" s="26" t="n"/>
    </row>
    <row r="19" ht="17" customHeight="1">
      <c r="A19" s="26" t="n"/>
      <c r="B19" s="95" t="n"/>
      <c r="C19" s="26" t="n"/>
      <c r="D19" s="26" t="n"/>
      <c r="E19" s="27" t="n"/>
      <c r="F19" s="96" t="n"/>
      <c r="G19" s="26" t="n"/>
      <c r="H19" s="26" t="n"/>
      <c r="I19" s="81" t="n"/>
      <c r="J19" s="81" t="n"/>
      <c r="K19" s="81" t="n"/>
      <c r="L19" s="31">
        <f>IF(OR($J19="",$K19=""),"",ROUND($J19-$K19,2))</f>
        <v/>
      </c>
      <c r="M19" s="97">
        <f>IF(OR($L19="",$J19="",$J19=0),"",$L19/$J19)</f>
        <v/>
      </c>
      <c r="N19" s="27" t="n"/>
      <c r="O19" s="26" t="n"/>
    </row>
    <row r="20" ht="17" customHeight="1">
      <c r="A20" s="26" t="n"/>
      <c r="B20" s="95" t="n"/>
      <c r="C20" s="26" t="n"/>
      <c r="D20" s="26" t="n"/>
      <c r="E20" s="27" t="n"/>
      <c r="F20" s="96" t="n"/>
      <c r="G20" s="26" t="n"/>
      <c r="H20" s="26" t="n"/>
      <c r="I20" s="81" t="n"/>
      <c r="J20" s="81" t="n"/>
      <c r="K20" s="81" t="n"/>
      <c r="L20" s="31">
        <f>IF(OR($J20="",$K20=""),"",ROUND($J20-$K20,2))</f>
        <v/>
      </c>
      <c r="M20" s="97">
        <f>IF(OR($L20="",$J20="",$J20=0),"",$L20/$J20)</f>
        <v/>
      </c>
      <c r="N20" s="27" t="n"/>
      <c r="O20" s="26" t="n"/>
    </row>
    <row r="21" ht="17" customHeight="1">
      <c r="A21" s="26" t="n"/>
      <c r="B21" s="95" t="n"/>
      <c r="C21" s="26" t="n"/>
      <c r="D21" s="26" t="n"/>
      <c r="E21" s="27" t="n"/>
      <c r="F21" s="96" t="n"/>
      <c r="G21" s="26" t="n"/>
      <c r="H21" s="26" t="n"/>
      <c r="I21" s="81" t="n"/>
      <c r="J21" s="81" t="n"/>
      <c r="K21" s="81" t="n"/>
      <c r="L21" s="31">
        <f>IF(OR($J21="",$K21=""),"",ROUND($J21-$K21,2))</f>
        <v/>
      </c>
      <c r="M21" s="97">
        <f>IF(OR($L21="",$J21="",$J21=0),"",$L21/$J21)</f>
        <v/>
      </c>
      <c r="N21" s="27" t="n"/>
      <c r="O21" s="26" t="n"/>
    </row>
    <row r="22" ht="17" customHeight="1">
      <c r="A22" s="26" t="n"/>
      <c r="B22" s="95" t="n"/>
      <c r="C22" s="26" t="n"/>
      <c r="D22" s="26" t="n"/>
      <c r="E22" s="27" t="n"/>
      <c r="F22" s="96" t="n"/>
      <c r="G22" s="26" t="n"/>
      <c r="H22" s="26" t="n"/>
      <c r="I22" s="81" t="n"/>
      <c r="J22" s="81" t="n"/>
      <c r="K22" s="81" t="n"/>
      <c r="L22" s="31">
        <f>IF(OR($J22="",$K22=""),"",ROUND($J22-$K22,2))</f>
        <v/>
      </c>
      <c r="M22" s="97">
        <f>IF(OR($L22="",$J22="",$J22=0),"",$L22/$J22)</f>
        <v/>
      </c>
      <c r="N22" s="27" t="n"/>
      <c r="O22" s="26" t="n"/>
    </row>
    <row r="23" ht="17" customHeight="1">
      <c r="A23" s="26" t="n"/>
      <c r="B23" s="95" t="n"/>
      <c r="C23" s="26" t="n"/>
      <c r="D23" s="26" t="n"/>
      <c r="E23" s="27" t="n"/>
      <c r="F23" s="96" t="n"/>
      <c r="G23" s="26" t="n"/>
      <c r="H23" s="26" t="n"/>
      <c r="I23" s="81" t="n"/>
      <c r="J23" s="81" t="n"/>
      <c r="K23" s="81" t="n"/>
      <c r="L23" s="31">
        <f>IF(OR($J23="",$K23=""),"",ROUND($J23-$K23,2))</f>
        <v/>
      </c>
      <c r="M23" s="97">
        <f>IF(OR($L23="",$J23="",$J23=0),"",$L23/$J23)</f>
        <v/>
      </c>
      <c r="N23" s="27" t="n"/>
      <c r="O23" s="26" t="n"/>
    </row>
    <row r="24" ht="17" customHeight="1">
      <c r="A24" s="26" t="n"/>
      <c r="B24" s="95" t="n"/>
      <c r="C24" s="26" t="n"/>
      <c r="D24" s="26" t="n"/>
      <c r="E24" s="27" t="n"/>
      <c r="F24" s="96" t="n"/>
      <c r="G24" s="26" t="n"/>
      <c r="H24" s="26" t="n"/>
      <c r="I24" s="81" t="n"/>
      <c r="J24" s="81" t="n"/>
      <c r="K24" s="81" t="n"/>
      <c r="L24" s="31">
        <f>IF(OR($J24="",$K24=""),"",ROUND($J24-$K24,2))</f>
        <v/>
      </c>
      <c r="M24" s="97">
        <f>IF(OR($L24="",$J24="",$J24=0),"",$L24/$J24)</f>
        <v/>
      </c>
      <c r="N24" s="27" t="n"/>
      <c r="O24" s="26" t="n"/>
    </row>
    <row r="25" ht="17" customHeight="1">
      <c r="A25" s="26" t="n"/>
      <c r="B25" s="95" t="n"/>
      <c r="C25" s="26" t="n"/>
      <c r="D25" s="26" t="n"/>
      <c r="E25" s="27" t="n"/>
      <c r="F25" s="96" t="n"/>
      <c r="G25" s="26" t="n"/>
      <c r="H25" s="26" t="n"/>
      <c r="I25" s="81" t="n"/>
      <c r="J25" s="81" t="n"/>
      <c r="K25" s="81" t="n"/>
      <c r="L25" s="31">
        <f>IF(OR($J25="",$K25=""),"",ROUND($J25-$K25,2))</f>
        <v/>
      </c>
      <c r="M25" s="97">
        <f>IF(OR($L25="",$J25="",$J25=0),"",$L25/$J25)</f>
        <v/>
      </c>
      <c r="N25" s="27" t="n"/>
      <c r="O25" s="26" t="n"/>
    </row>
    <row r="26" ht="17" customHeight="1">
      <c r="A26" s="26" t="n"/>
      <c r="B26" s="95" t="n"/>
      <c r="C26" s="26" t="n"/>
      <c r="D26" s="26" t="n"/>
      <c r="E26" s="27" t="n"/>
      <c r="F26" s="96" t="n"/>
      <c r="G26" s="26" t="n"/>
      <c r="H26" s="26" t="n"/>
      <c r="I26" s="81" t="n"/>
      <c r="J26" s="81" t="n"/>
      <c r="K26" s="81" t="n"/>
      <c r="L26" s="31">
        <f>IF(OR($J26="",$K26=""),"",ROUND($J26-$K26,2))</f>
        <v/>
      </c>
      <c r="M26" s="97">
        <f>IF(OR($L26="",$J26="",$J26=0),"",$L26/$J26)</f>
        <v/>
      </c>
      <c r="N26" s="27" t="n"/>
      <c r="O26" s="26" t="n"/>
    </row>
    <row r="27" ht="17" customHeight="1">
      <c r="A27" s="26" t="n"/>
      <c r="B27" s="95" t="n"/>
      <c r="C27" s="26" t="n"/>
      <c r="D27" s="26" t="n"/>
      <c r="E27" s="27" t="n"/>
      <c r="F27" s="96" t="n"/>
      <c r="G27" s="26" t="n"/>
      <c r="H27" s="26" t="n"/>
      <c r="I27" s="81" t="n"/>
      <c r="J27" s="81" t="n"/>
      <c r="K27" s="81" t="n"/>
      <c r="L27" s="31">
        <f>IF(OR($J27="",$K27=""),"",ROUND($J27-$K27,2))</f>
        <v/>
      </c>
      <c r="M27" s="97">
        <f>IF(OR($L27="",$J27="",$J27=0),"",$L27/$J27)</f>
        <v/>
      </c>
      <c r="N27" s="27" t="n"/>
      <c r="O27" s="26" t="n"/>
    </row>
    <row r="28" ht="17" customHeight="1">
      <c r="A28" s="26" t="n"/>
      <c r="B28" s="95" t="n"/>
      <c r="C28" s="26" t="n"/>
      <c r="D28" s="26" t="n"/>
      <c r="E28" s="27" t="n"/>
      <c r="F28" s="96" t="n"/>
      <c r="G28" s="26" t="n"/>
      <c r="H28" s="26" t="n"/>
      <c r="I28" s="81" t="n"/>
      <c r="J28" s="81" t="n"/>
      <c r="K28" s="81" t="n"/>
      <c r="L28" s="31">
        <f>IF(OR($J28="",$K28=""),"",ROUND($J28-$K28,2))</f>
        <v/>
      </c>
      <c r="M28" s="97">
        <f>IF(OR($L28="",$J28="",$J28=0),"",$L28/$J28)</f>
        <v/>
      </c>
      <c r="N28" s="27" t="n"/>
      <c r="O28" s="26" t="n"/>
    </row>
    <row r="29" ht="17" customHeight="1">
      <c r="A29" s="26" t="n"/>
      <c r="B29" s="95" t="n"/>
      <c r="C29" s="26" t="n"/>
      <c r="D29" s="26" t="n"/>
      <c r="E29" s="27" t="n"/>
      <c r="F29" s="96" t="n"/>
      <c r="G29" s="26" t="n"/>
      <c r="H29" s="26" t="n"/>
      <c r="I29" s="81" t="n"/>
      <c r="J29" s="81" t="n"/>
      <c r="K29" s="81" t="n"/>
      <c r="L29" s="31">
        <f>IF(OR($J29="",$K29=""),"",ROUND($J29-$K29,2))</f>
        <v/>
      </c>
      <c r="M29" s="97">
        <f>IF(OR($L29="",$J29="",$J29=0),"",$L29/$J29)</f>
        <v/>
      </c>
      <c r="N29" s="27" t="n"/>
      <c r="O29" s="26" t="n"/>
    </row>
    <row r="30" ht="17" customHeight="1">
      <c r="A30" s="26" t="n"/>
      <c r="B30" s="95" t="n"/>
      <c r="C30" s="26" t="n"/>
      <c r="D30" s="26" t="n"/>
      <c r="E30" s="27" t="n"/>
      <c r="F30" s="96" t="n"/>
      <c r="G30" s="26" t="n"/>
      <c r="H30" s="26" t="n"/>
      <c r="I30" s="81" t="n"/>
      <c r="J30" s="81" t="n"/>
      <c r="K30" s="81" t="n"/>
      <c r="L30" s="31">
        <f>IF(OR($J30="",$K30=""),"",ROUND($J30-$K30,2))</f>
        <v/>
      </c>
      <c r="M30" s="97">
        <f>IF(OR($L30="",$J30="",$J30=0),"",$L30/$J30)</f>
        <v/>
      </c>
      <c r="N30" s="27" t="n"/>
      <c r="O30" s="26" t="n"/>
    </row>
    <row r="31" ht="17" customHeight="1">
      <c r="A31" s="26" t="n"/>
      <c r="B31" s="95" t="n"/>
      <c r="C31" s="26" t="n"/>
      <c r="D31" s="26" t="n"/>
      <c r="E31" s="27" t="n"/>
      <c r="F31" s="96" t="n"/>
      <c r="G31" s="26" t="n"/>
      <c r="H31" s="26" t="n"/>
      <c r="I31" s="81" t="n"/>
      <c r="J31" s="81" t="n"/>
      <c r="K31" s="81" t="n"/>
      <c r="L31" s="31">
        <f>IF(OR($J31="",$K31=""),"",ROUND($J31-$K31,2))</f>
        <v/>
      </c>
      <c r="M31" s="97">
        <f>IF(OR($L31="",$J31="",$J31=0),"",$L31/$J31)</f>
        <v/>
      </c>
      <c r="N31" s="27" t="n"/>
      <c r="O31" s="26" t="n"/>
    </row>
    <row r="32" ht="17" customHeight="1">
      <c r="A32" s="26" t="n"/>
      <c r="B32" s="95" t="n"/>
      <c r="C32" s="26" t="n"/>
      <c r="D32" s="26" t="n"/>
      <c r="E32" s="27" t="n"/>
      <c r="F32" s="96" t="n"/>
      <c r="G32" s="26" t="n"/>
      <c r="H32" s="26" t="n"/>
      <c r="I32" s="81" t="n"/>
      <c r="J32" s="81" t="n"/>
      <c r="K32" s="81" t="n"/>
      <c r="L32" s="31">
        <f>IF(OR($J32="",$K32=""),"",ROUND($J32-$K32,2))</f>
        <v/>
      </c>
      <c r="M32" s="97">
        <f>IF(OR($L32="",$J32="",$J32=0),"",$L32/$J32)</f>
        <v/>
      </c>
      <c r="N32" s="27" t="n"/>
      <c r="O32" s="26" t="n"/>
    </row>
    <row r="33" ht="17" customHeight="1">
      <c r="A33" s="26" t="n"/>
      <c r="B33" s="95" t="n"/>
      <c r="C33" s="26" t="n"/>
      <c r="D33" s="26" t="n"/>
      <c r="E33" s="27" t="n"/>
      <c r="F33" s="96" t="n"/>
      <c r="G33" s="26" t="n"/>
      <c r="H33" s="26" t="n"/>
      <c r="I33" s="81" t="n"/>
      <c r="J33" s="81" t="n"/>
      <c r="K33" s="81" t="n"/>
      <c r="L33" s="31">
        <f>IF(OR($J33="",$K33=""),"",ROUND($J33-$K33,2))</f>
        <v/>
      </c>
      <c r="M33" s="97">
        <f>IF(OR($L33="",$J33="",$J33=0),"",$L33/$J33)</f>
        <v/>
      </c>
      <c r="N33" s="27" t="n"/>
      <c r="O33" s="26" t="n"/>
    </row>
    <row r="34" ht="17" customHeight="1">
      <c r="A34" s="26" t="n"/>
      <c r="B34" s="95" t="n"/>
      <c r="C34" s="26" t="n"/>
      <c r="D34" s="26" t="n"/>
      <c r="E34" s="27" t="n"/>
      <c r="F34" s="96" t="n"/>
      <c r="G34" s="26" t="n"/>
      <c r="H34" s="26" t="n"/>
      <c r="I34" s="81" t="n"/>
      <c r="J34" s="81" t="n"/>
      <c r="K34" s="81" t="n"/>
      <c r="L34" s="31">
        <f>IF(OR($J34="",$K34=""),"",ROUND($J34-$K34,2))</f>
        <v/>
      </c>
      <c r="M34" s="97">
        <f>IF(OR($L34="",$J34="",$J34=0),"",$L34/$J34)</f>
        <v/>
      </c>
      <c r="N34" s="27" t="n"/>
      <c r="O34" s="26" t="n"/>
    </row>
    <row r="35" ht="17" customHeight="1">
      <c r="A35" s="26" t="n"/>
      <c r="B35" s="95" t="n"/>
      <c r="C35" s="26" t="n"/>
      <c r="D35" s="26" t="n"/>
      <c r="E35" s="27" t="n"/>
      <c r="F35" s="96" t="n"/>
      <c r="G35" s="26" t="n"/>
      <c r="H35" s="26" t="n"/>
      <c r="I35" s="81" t="n"/>
      <c r="J35" s="81" t="n"/>
      <c r="K35" s="81" t="n"/>
      <c r="L35" s="31">
        <f>IF(OR($J35="",$K35=""),"",ROUND($J35-$K35,2))</f>
        <v/>
      </c>
      <c r="M35" s="97">
        <f>IF(OR($L35="",$J35="",$J35=0),"",$L35/$J35)</f>
        <v/>
      </c>
      <c r="N35" s="27" t="n"/>
      <c r="O35" s="26" t="n"/>
    </row>
    <row r="36" ht="17" customHeight="1">
      <c r="A36" s="26" t="n"/>
      <c r="B36" s="95" t="n"/>
      <c r="C36" s="26" t="n"/>
      <c r="D36" s="26" t="n"/>
      <c r="E36" s="27" t="n"/>
      <c r="F36" s="96" t="n"/>
      <c r="G36" s="26" t="n"/>
      <c r="H36" s="26" t="n"/>
      <c r="I36" s="81" t="n"/>
      <c r="J36" s="81" t="n"/>
      <c r="K36" s="81" t="n"/>
      <c r="L36" s="31">
        <f>IF(OR($J36="",$K36=""),"",ROUND($J36-$K36,2))</f>
        <v/>
      </c>
      <c r="M36" s="97">
        <f>IF(OR($L36="",$J36="",$J36=0),"",$L36/$J36)</f>
        <v/>
      </c>
      <c r="N36" s="27" t="n"/>
      <c r="O36" s="26" t="n"/>
    </row>
    <row r="37" ht="17" customHeight="1">
      <c r="A37" s="26" t="n"/>
      <c r="B37" s="95" t="n"/>
      <c r="C37" s="26" t="n"/>
      <c r="D37" s="26" t="n"/>
      <c r="E37" s="27" t="n"/>
      <c r="F37" s="96" t="n"/>
      <c r="G37" s="26" t="n"/>
      <c r="H37" s="26" t="n"/>
      <c r="I37" s="81" t="n"/>
      <c r="J37" s="81" t="n"/>
      <c r="K37" s="81" t="n"/>
      <c r="L37" s="31">
        <f>IF(OR($J37="",$K37=""),"",ROUND($J37-$K37,2))</f>
        <v/>
      </c>
      <c r="M37" s="97">
        <f>IF(OR($L37="",$J37="",$J37=0),"",$L37/$J37)</f>
        <v/>
      </c>
      <c r="N37" s="27" t="n"/>
      <c r="O37" s="26" t="n"/>
    </row>
    <row r="38" ht="17" customHeight="1">
      <c r="A38" s="26" t="n"/>
      <c r="B38" s="95" t="n"/>
      <c r="C38" s="26" t="n"/>
      <c r="D38" s="26" t="n"/>
      <c r="E38" s="27" t="n"/>
      <c r="F38" s="96" t="n"/>
      <c r="G38" s="26" t="n"/>
      <c r="H38" s="26" t="n"/>
      <c r="I38" s="81" t="n"/>
      <c r="J38" s="81" t="n"/>
      <c r="K38" s="81" t="n"/>
      <c r="L38" s="31">
        <f>IF(OR($J38="",$K38=""),"",ROUND($J38-$K38,2))</f>
        <v/>
      </c>
      <c r="M38" s="97">
        <f>IF(OR($L38="",$J38="",$J38=0),"",$L38/$J38)</f>
        <v/>
      </c>
      <c r="N38" s="27" t="n"/>
      <c r="O38" s="26" t="n"/>
    </row>
    <row r="39" ht="17" customHeight="1">
      <c r="A39" s="26" t="n"/>
      <c r="B39" s="95" t="n"/>
      <c r="C39" s="26" t="n"/>
      <c r="D39" s="26" t="n"/>
      <c r="E39" s="27" t="n"/>
      <c r="F39" s="96" t="n"/>
      <c r="G39" s="26" t="n"/>
      <c r="H39" s="26" t="n"/>
      <c r="I39" s="81" t="n"/>
      <c r="J39" s="81" t="n"/>
      <c r="K39" s="81" t="n"/>
      <c r="L39" s="31">
        <f>IF(OR($J39="",$K39=""),"",ROUND($J39-$K39,2))</f>
        <v/>
      </c>
      <c r="M39" s="97">
        <f>IF(OR($L39="",$J39="",$J39=0),"",$L39/$J39)</f>
        <v/>
      </c>
      <c r="N39" s="27" t="n"/>
      <c r="O39" s="26" t="n"/>
    </row>
    <row r="40" ht="17" customHeight="1">
      <c r="A40" s="26" t="n"/>
      <c r="B40" s="95" t="n"/>
      <c r="C40" s="26" t="n"/>
      <c r="D40" s="26" t="n"/>
      <c r="E40" s="27" t="n"/>
      <c r="F40" s="96" t="n"/>
      <c r="G40" s="26" t="n"/>
      <c r="H40" s="26" t="n"/>
      <c r="I40" s="81" t="n"/>
      <c r="J40" s="81" t="n"/>
      <c r="K40" s="81" t="n"/>
      <c r="L40" s="31">
        <f>IF(OR($J40="",$K40=""),"",ROUND($J40-$K40,2))</f>
        <v/>
      </c>
      <c r="M40" s="97">
        <f>IF(OR($L40="",$J40="",$J40=0),"",$L40/$J40)</f>
        <v/>
      </c>
      <c r="N40" s="27" t="n"/>
      <c r="O40" s="26" t="n"/>
    </row>
    <row r="41" ht="17" customHeight="1">
      <c r="A41" s="26" t="n"/>
      <c r="B41" s="95" t="n"/>
      <c r="C41" s="26" t="n"/>
      <c r="D41" s="26" t="n"/>
      <c r="E41" s="27" t="n"/>
      <c r="F41" s="96" t="n"/>
      <c r="G41" s="26" t="n"/>
      <c r="H41" s="26" t="n"/>
      <c r="I41" s="81" t="n"/>
      <c r="J41" s="81" t="n"/>
      <c r="K41" s="81" t="n"/>
      <c r="L41" s="31">
        <f>IF(OR($J41="",$K41=""),"",ROUND($J41-$K41,2))</f>
        <v/>
      </c>
      <c r="M41" s="97">
        <f>IF(OR($L41="",$J41="",$J41=0),"",$L41/$J41)</f>
        <v/>
      </c>
      <c r="N41" s="27" t="n"/>
      <c r="O41" s="26" t="n"/>
    </row>
    <row r="42" ht="17" customHeight="1">
      <c r="A42" s="26" t="n"/>
      <c r="B42" s="95" t="n"/>
      <c r="C42" s="26" t="n"/>
      <c r="D42" s="26" t="n"/>
      <c r="E42" s="27" t="n"/>
      <c r="F42" s="96" t="n"/>
      <c r="G42" s="26" t="n"/>
      <c r="H42" s="26" t="n"/>
      <c r="I42" s="81" t="n"/>
      <c r="J42" s="81" t="n"/>
      <c r="K42" s="81" t="n"/>
      <c r="L42" s="31">
        <f>IF(OR($J42="",$K42=""),"",ROUND($J42-$K42,2))</f>
        <v/>
      </c>
      <c r="M42" s="97">
        <f>IF(OR($L42="",$J42="",$J42=0),"",$L42/$J42)</f>
        <v/>
      </c>
      <c r="N42" s="27" t="n"/>
      <c r="O42" s="26" t="n"/>
    </row>
    <row r="43" ht="17" customHeight="1">
      <c r="A43" s="26" t="n"/>
      <c r="B43" s="95" t="n"/>
      <c r="C43" s="26" t="n"/>
      <c r="D43" s="26" t="n"/>
      <c r="E43" s="27" t="n"/>
      <c r="F43" s="96" t="n"/>
      <c r="G43" s="26" t="n"/>
      <c r="H43" s="26" t="n"/>
      <c r="I43" s="81" t="n"/>
      <c r="J43" s="81" t="n"/>
      <c r="K43" s="81" t="n"/>
      <c r="L43" s="31">
        <f>IF(OR($J43="",$K43=""),"",ROUND($J43-$K43,2))</f>
        <v/>
      </c>
      <c r="M43" s="97">
        <f>IF(OR($L43="",$J43="",$J43=0),"",$L43/$J43)</f>
        <v/>
      </c>
      <c r="N43" s="27" t="n"/>
      <c r="O43" s="26" t="n"/>
    </row>
    <row r="44" ht="17" customHeight="1">
      <c r="A44" s="26" t="n"/>
      <c r="B44" s="95" t="n"/>
      <c r="C44" s="26" t="n"/>
      <c r="D44" s="26" t="n"/>
      <c r="E44" s="27" t="n"/>
      <c r="F44" s="96" t="n"/>
      <c r="G44" s="26" t="n"/>
      <c r="H44" s="26" t="n"/>
      <c r="I44" s="81" t="n"/>
      <c r="J44" s="81" t="n"/>
      <c r="K44" s="81" t="n"/>
      <c r="L44" s="31">
        <f>IF(OR($J44="",$K44=""),"",ROUND($J44-$K44,2))</f>
        <v/>
      </c>
      <c r="M44" s="97">
        <f>IF(OR($L44="",$J44="",$J44=0),"",$L44/$J44)</f>
        <v/>
      </c>
      <c r="N44" s="27" t="n"/>
      <c r="O44" s="26" t="n"/>
    </row>
    <row r="45" ht="17" customHeight="1">
      <c r="A45" s="26" t="n"/>
      <c r="B45" s="95" t="n"/>
      <c r="C45" s="26" t="n"/>
      <c r="D45" s="26" t="n"/>
      <c r="E45" s="27" t="n"/>
      <c r="F45" s="96" t="n"/>
      <c r="G45" s="26" t="n"/>
      <c r="H45" s="26" t="n"/>
      <c r="I45" s="81" t="n"/>
      <c r="J45" s="81" t="n"/>
      <c r="K45" s="81" t="n"/>
      <c r="L45" s="31">
        <f>IF(OR($J45="",$K45=""),"",ROUND($J45-$K45,2))</f>
        <v/>
      </c>
      <c r="M45" s="97">
        <f>IF(OR($L45="",$J45="",$J45=0),"",$L45/$J45)</f>
        <v/>
      </c>
      <c r="N45" s="27" t="n"/>
      <c r="O45" s="26" t="n"/>
    </row>
    <row r="46" ht="17" customHeight="1">
      <c r="A46" s="26" t="n"/>
      <c r="B46" s="95" t="n"/>
      <c r="C46" s="26" t="n"/>
      <c r="D46" s="26" t="n"/>
      <c r="E46" s="27" t="n"/>
      <c r="F46" s="96" t="n"/>
      <c r="G46" s="26" t="n"/>
      <c r="H46" s="26" t="n"/>
      <c r="I46" s="81" t="n"/>
      <c r="J46" s="81" t="n"/>
      <c r="K46" s="81" t="n"/>
      <c r="L46" s="31">
        <f>IF(OR($J46="",$K46=""),"",ROUND($J46-$K46,2))</f>
        <v/>
      </c>
      <c r="M46" s="97">
        <f>IF(OR($L46="",$J46="",$J46=0),"",$L46/$J46)</f>
        <v/>
      </c>
      <c r="N46" s="27" t="n"/>
      <c r="O46" s="26" t="n"/>
    </row>
    <row r="47" ht="17" customHeight="1">
      <c r="A47" s="26" t="n"/>
      <c r="B47" s="95" t="n"/>
      <c r="C47" s="26" t="n"/>
      <c r="D47" s="26" t="n"/>
      <c r="E47" s="27" t="n"/>
      <c r="F47" s="96" t="n"/>
      <c r="G47" s="26" t="n"/>
      <c r="H47" s="26" t="n"/>
      <c r="I47" s="81" t="n"/>
      <c r="J47" s="81" t="n"/>
      <c r="K47" s="81" t="n"/>
      <c r="L47" s="31">
        <f>IF(OR($J47="",$K47=""),"",ROUND($J47-$K47,2))</f>
        <v/>
      </c>
      <c r="M47" s="97">
        <f>IF(OR($L47="",$J47="",$J47=0),"",$L47/$J47)</f>
        <v/>
      </c>
      <c r="N47" s="27" t="n"/>
      <c r="O47" s="26" t="n"/>
    </row>
    <row r="48" ht="17" customHeight="1">
      <c r="A48" s="26" t="n"/>
      <c r="B48" s="95" t="n"/>
      <c r="C48" s="26" t="n"/>
      <c r="D48" s="26" t="n"/>
      <c r="E48" s="27" t="n"/>
      <c r="F48" s="96" t="n"/>
      <c r="G48" s="26" t="n"/>
      <c r="H48" s="26" t="n"/>
      <c r="I48" s="81" t="n"/>
      <c r="J48" s="81" t="n"/>
      <c r="K48" s="81" t="n"/>
      <c r="L48" s="31">
        <f>IF(OR($J48="",$K48=""),"",ROUND($J48-$K48,2))</f>
        <v/>
      </c>
      <c r="M48" s="97">
        <f>IF(OR($L48="",$J48="",$J48=0),"",$L48/$J48)</f>
        <v/>
      </c>
      <c r="N48" s="27" t="n"/>
      <c r="O48" s="26" t="n"/>
    </row>
    <row r="49" ht="17" customHeight="1">
      <c r="A49" s="26" t="n"/>
      <c r="B49" s="95" t="n"/>
      <c r="C49" s="26" t="n"/>
      <c r="D49" s="26" t="n"/>
      <c r="E49" s="27" t="n"/>
      <c r="F49" s="96" t="n"/>
      <c r="G49" s="26" t="n"/>
      <c r="H49" s="26" t="n"/>
      <c r="I49" s="81" t="n"/>
      <c r="J49" s="81" t="n"/>
      <c r="K49" s="81" t="n"/>
      <c r="L49" s="31">
        <f>IF(OR($J49="",$K49=""),"",ROUND($J49-$K49,2))</f>
        <v/>
      </c>
      <c r="M49" s="97">
        <f>IF(OR($L49="",$J49="",$J49=0),"",$L49/$J49)</f>
        <v/>
      </c>
      <c r="N49" s="27" t="n"/>
      <c r="O49" s="26" t="n"/>
    </row>
    <row r="50" ht="17" customHeight="1">
      <c r="A50" s="26" t="n"/>
      <c r="B50" s="95" t="n"/>
      <c r="C50" s="26" t="n"/>
      <c r="D50" s="26" t="n"/>
      <c r="E50" s="27" t="n"/>
      <c r="F50" s="96" t="n"/>
      <c r="G50" s="26" t="n"/>
      <c r="H50" s="26" t="n"/>
      <c r="I50" s="81" t="n"/>
      <c r="J50" s="81" t="n"/>
      <c r="K50" s="81" t="n"/>
      <c r="L50" s="31">
        <f>IF(OR($J50="",$K50=""),"",ROUND($J50-$K50,2))</f>
        <v/>
      </c>
      <c r="M50" s="97">
        <f>IF(OR($L50="",$J50="",$J50=0),"",$L50/$J50)</f>
        <v/>
      </c>
      <c r="N50" s="27" t="n"/>
      <c r="O50" s="26" t="n"/>
    </row>
    <row r="51" ht="17" customHeight="1">
      <c r="A51" s="26" t="n"/>
      <c r="B51" s="95" t="n"/>
      <c r="C51" s="26" t="n"/>
      <c r="D51" s="26" t="n"/>
      <c r="E51" s="27" t="n"/>
      <c r="F51" s="96" t="n"/>
      <c r="G51" s="26" t="n"/>
      <c r="H51" s="26" t="n"/>
      <c r="I51" s="81" t="n"/>
      <c r="J51" s="81" t="n"/>
      <c r="K51" s="81" t="n"/>
      <c r="L51" s="31">
        <f>IF(OR($J51="",$K51=""),"",ROUND($J51-$K51,2))</f>
        <v/>
      </c>
      <c r="M51" s="97">
        <f>IF(OR($L51="",$J51="",$J51=0),"",$L51/$J51)</f>
        <v/>
      </c>
      <c r="N51" s="27" t="n"/>
      <c r="O51" s="26" t="n"/>
    </row>
    <row r="52" ht="17" customHeight="1">
      <c r="A52" s="26" t="n"/>
      <c r="B52" s="95" t="n"/>
      <c r="C52" s="26" t="n"/>
      <c r="D52" s="26" t="n"/>
      <c r="E52" s="27" t="n"/>
      <c r="F52" s="96" t="n"/>
      <c r="G52" s="26" t="n"/>
      <c r="H52" s="26" t="n"/>
      <c r="I52" s="81" t="n"/>
      <c r="J52" s="81" t="n"/>
      <c r="K52" s="81" t="n"/>
      <c r="L52" s="31">
        <f>IF(OR($J52="",$K52=""),"",ROUND($J52-$K52,2))</f>
        <v/>
      </c>
      <c r="M52" s="97">
        <f>IF(OR($L52="",$J52="",$J52=0),"",$L52/$J52)</f>
        <v/>
      </c>
      <c r="N52" s="27" t="n"/>
      <c r="O52" s="26" t="n"/>
    </row>
    <row r="53" ht="17" customHeight="1">
      <c r="A53" s="26" t="n"/>
      <c r="B53" s="95" t="n"/>
      <c r="C53" s="26" t="n"/>
      <c r="D53" s="26" t="n"/>
      <c r="E53" s="27" t="n"/>
      <c r="F53" s="96" t="n"/>
      <c r="G53" s="26" t="n"/>
      <c r="H53" s="26" t="n"/>
      <c r="I53" s="81" t="n"/>
      <c r="J53" s="81" t="n"/>
      <c r="K53" s="81" t="n"/>
      <c r="L53" s="31">
        <f>IF(OR($J53="",$K53=""),"",ROUND($J53-$K53,2))</f>
        <v/>
      </c>
      <c r="M53" s="97">
        <f>IF(OR($L53="",$J53="",$J53=0),"",$L53/$J53)</f>
        <v/>
      </c>
      <c r="N53" s="27" t="n"/>
      <c r="O53" s="26" t="n"/>
    </row>
    <row r="54" ht="17" customHeight="1">
      <c r="A54" s="26" t="n"/>
      <c r="B54" s="95" t="n"/>
      <c r="C54" s="26" t="n"/>
      <c r="D54" s="26" t="n"/>
      <c r="E54" s="27" t="n"/>
      <c r="F54" s="96" t="n"/>
      <c r="G54" s="26" t="n"/>
      <c r="H54" s="26" t="n"/>
      <c r="I54" s="81" t="n"/>
      <c r="J54" s="81" t="n"/>
      <c r="K54" s="81" t="n"/>
      <c r="L54" s="31">
        <f>IF(OR($J54="",$K54=""),"",ROUND($J54-$K54,2))</f>
        <v/>
      </c>
      <c r="M54" s="97">
        <f>IF(OR($L54="",$J54="",$J54=0),"",$L54/$J54)</f>
        <v/>
      </c>
      <c r="N54" s="27" t="n"/>
      <c r="O54" s="26" t="n"/>
    </row>
    <row r="55" ht="17" customHeight="1">
      <c r="A55" s="26" t="n"/>
      <c r="B55" s="95" t="n"/>
      <c r="C55" s="26" t="n"/>
      <c r="D55" s="26" t="n"/>
      <c r="E55" s="27" t="n"/>
      <c r="F55" s="96" t="n"/>
      <c r="G55" s="26" t="n"/>
      <c r="H55" s="26" t="n"/>
      <c r="I55" s="81" t="n"/>
      <c r="J55" s="81" t="n"/>
      <c r="K55" s="81" t="n"/>
      <c r="L55" s="31">
        <f>IF(OR($J55="",$K55=""),"",ROUND($J55-$K55,2))</f>
        <v/>
      </c>
      <c r="M55" s="97">
        <f>IF(OR($L55="",$J55="",$J55=0),"",$L55/$J55)</f>
        <v/>
      </c>
      <c r="N55" s="27" t="n"/>
      <c r="O55" s="26" t="n"/>
    </row>
    <row r="56" ht="17" customHeight="1">
      <c r="A56" s="26" t="n"/>
      <c r="B56" s="95" t="n"/>
      <c r="C56" s="26" t="n"/>
      <c r="D56" s="26" t="n"/>
      <c r="E56" s="27" t="n"/>
      <c r="F56" s="96" t="n"/>
      <c r="G56" s="26" t="n"/>
      <c r="H56" s="26" t="n"/>
      <c r="I56" s="81" t="n"/>
      <c r="J56" s="81" t="n"/>
      <c r="K56" s="81" t="n"/>
      <c r="L56" s="31">
        <f>IF(OR($J56="",$K56=""),"",ROUND($J56-$K56,2))</f>
        <v/>
      </c>
      <c r="M56" s="97">
        <f>IF(OR($L56="",$J56="",$J56=0),"",$L56/$J56)</f>
        <v/>
      </c>
      <c r="N56" s="27" t="n"/>
      <c r="O56" s="26" t="n"/>
    </row>
    <row r="57" ht="17" customHeight="1">
      <c r="A57" s="26" t="n"/>
      <c r="B57" s="95" t="n"/>
      <c r="C57" s="26" t="n"/>
      <c r="D57" s="26" t="n"/>
      <c r="E57" s="27" t="n"/>
      <c r="F57" s="96" t="n"/>
      <c r="G57" s="26" t="n"/>
      <c r="H57" s="26" t="n"/>
      <c r="I57" s="81" t="n"/>
      <c r="J57" s="81" t="n"/>
      <c r="K57" s="81" t="n"/>
      <c r="L57" s="31">
        <f>IF(OR($J57="",$K57=""),"",ROUND($J57-$K57,2))</f>
        <v/>
      </c>
      <c r="M57" s="97">
        <f>IF(OR($L57="",$J57="",$J57=0),"",$L57/$J57)</f>
        <v/>
      </c>
      <c r="N57" s="27" t="n"/>
      <c r="O57" s="26" t="n"/>
    </row>
    <row r="58" ht="17" customHeight="1">
      <c r="A58" s="26" t="n"/>
      <c r="B58" s="95" t="n"/>
      <c r="C58" s="26" t="n"/>
      <c r="D58" s="26" t="n"/>
      <c r="E58" s="27" t="n"/>
      <c r="F58" s="96" t="n"/>
      <c r="G58" s="26" t="n"/>
      <c r="H58" s="26" t="n"/>
      <c r="I58" s="81" t="n"/>
      <c r="J58" s="81" t="n"/>
      <c r="K58" s="81" t="n"/>
      <c r="L58" s="31">
        <f>IF(OR($J58="",$K58=""),"",ROUND($J58-$K58,2))</f>
        <v/>
      </c>
      <c r="M58" s="97">
        <f>IF(OR($L58="",$J58="",$J58=0),"",$L58/$J58)</f>
        <v/>
      </c>
      <c r="N58" s="27" t="n"/>
      <c r="O58" s="26" t="n"/>
    </row>
    <row r="59" ht="17" customHeight="1">
      <c r="A59" s="26" t="n"/>
      <c r="B59" s="95" t="n"/>
      <c r="C59" s="26" t="n"/>
      <c r="D59" s="26" t="n"/>
      <c r="E59" s="27" t="n"/>
      <c r="F59" s="96" t="n"/>
      <c r="G59" s="26" t="n"/>
      <c r="H59" s="26" t="n"/>
      <c r="I59" s="81" t="n"/>
      <c r="J59" s="81" t="n"/>
      <c r="K59" s="81" t="n"/>
      <c r="L59" s="31">
        <f>IF(OR($J59="",$K59=""),"",ROUND($J59-$K59,2))</f>
        <v/>
      </c>
      <c r="M59" s="97">
        <f>IF(OR($L59="",$J59="",$J59=0),"",$L59/$J59)</f>
        <v/>
      </c>
      <c r="N59" s="27" t="n"/>
      <c r="O59" s="26" t="n"/>
    </row>
    <row r="60" ht="17" customHeight="1">
      <c r="A60" s="26" t="n"/>
      <c r="B60" s="95" t="n"/>
      <c r="C60" s="26" t="n"/>
      <c r="D60" s="26" t="n"/>
      <c r="E60" s="27" t="n"/>
      <c r="F60" s="96" t="n"/>
      <c r="G60" s="26" t="n"/>
      <c r="H60" s="26" t="n"/>
      <c r="I60" s="81" t="n"/>
      <c r="J60" s="81" t="n"/>
      <c r="K60" s="81" t="n"/>
      <c r="L60" s="31">
        <f>IF(OR($J60="",$K60=""),"",ROUND($J60-$K60,2))</f>
        <v/>
      </c>
      <c r="M60" s="97">
        <f>IF(OR($L60="",$J60="",$J60=0),"",$L60/$J60)</f>
        <v/>
      </c>
      <c r="N60" s="27" t="n"/>
      <c r="O60" s="26" t="n"/>
    </row>
    <row r="61" ht="17" customHeight="1">
      <c r="A61" s="26" t="n"/>
      <c r="B61" s="95" t="n"/>
      <c r="C61" s="26" t="n"/>
      <c r="D61" s="26" t="n"/>
      <c r="E61" s="27" t="n"/>
      <c r="F61" s="96" t="n"/>
      <c r="G61" s="26" t="n"/>
      <c r="H61" s="26" t="n"/>
      <c r="I61" s="81" t="n"/>
      <c r="J61" s="81" t="n"/>
      <c r="K61" s="81" t="n"/>
      <c r="L61" s="31">
        <f>IF(OR($J61="",$K61=""),"",ROUND($J61-$K61,2))</f>
        <v/>
      </c>
      <c r="M61" s="97">
        <f>IF(OR($L61="",$J61="",$J61=0),"",$L61/$J61)</f>
        <v/>
      </c>
      <c r="N61" s="27" t="n"/>
      <c r="O61" s="26" t="n"/>
    </row>
    <row r="62" ht="17" customHeight="1">
      <c r="A62" s="26" t="n"/>
      <c r="B62" s="95" t="n"/>
      <c r="C62" s="26" t="n"/>
      <c r="D62" s="26" t="n"/>
      <c r="E62" s="27" t="n"/>
      <c r="F62" s="96" t="n"/>
      <c r="G62" s="26" t="n"/>
      <c r="H62" s="26" t="n"/>
      <c r="I62" s="81" t="n"/>
      <c r="J62" s="81" t="n"/>
      <c r="K62" s="81" t="n"/>
      <c r="L62" s="31">
        <f>IF(OR($J62="",$K62=""),"",ROUND($J62-$K62,2))</f>
        <v/>
      </c>
      <c r="M62" s="97">
        <f>IF(OR($L62="",$J62="",$J62=0),"",$L62/$J62)</f>
        <v/>
      </c>
      <c r="N62" s="27" t="n"/>
      <c r="O62" s="26" t="n"/>
    </row>
    <row r="63" ht="17" customHeight="1">
      <c r="A63" s="26" t="n"/>
      <c r="B63" s="95" t="n"/>
      <c r="C63" s="26" t="n"/>
      <c r="D63" s="26" t="n"/>
      <c r="E63" s="27" t="n"/>
      <c r="F63" s="96" t="n"/>
      <c r="G63" s="26" t="n"/>
      <c r="H63" s="26" t="n"/>
      <c r="I63" s="81" t="n"/>
      <c r="J63" s="81" t="n"/>
      <c r="K63" s="81" t="n"/>
      <c r="L63" s="31">
        <f>IF(OR($J63="",$K63=""),"",ROUND($J63-$K63,2))</f>
        <v/>
      </c>
      <c r="M63" s="97">
        <f>IF(OR($L63="",$J63="",$J63=0),"",$L63/$J63)</f>
        <v/>
      </c>
      <c r="N63" s="27" t="n"/>
      <c r="O63" s="26" t="n"/>
    </row>
    <row r="64" ht="17" customHeight="1">
      <c r="A64" s="26" t="n"/>
      <c r="B64" s="95" t="n"/>
      <c r="C64" s="26" t="n"/>
      <c r="D64" s="26" t="n"/>
      <c r="E64" s="27" t="n"/>
      <c r="F64" s="96" t="n"/>
      <c r="G64" s="26" t="n"/>
      <c r="H64" s="26" t="n"/>
      <c r="I64" s="81" t="n"/>
      <c r="J64" s="81" t="n"/>
      <c r="K64" s="81" t="n"/>
      <c r="L64" s="31">
        <f>IF(OR($J64="",$K64=""),"",ROUND($J64-$K64,2))</f>
        <v/>
      </c>
      <c r="M64" s="97">
        <f>IF(OR($L64="",$J64="",$J64=0),"",$L64/$J64)</f>
        <v/>
      </c>
      <c r="N64" s="27" t="n"/>
      <c r="O64" s="26" t="n"/>
    </row>
    <row r="65" ht="17" customHeight="1">
      <c r="A65" s="26" t="n"/>
      <c r="B65" s="95" t="n"/>
      <c r="C65" s="26" t="n"/>
      <c r="D65" s="26" t="n"/>
      <c r="E65" s="27" t="n"/>
      <c r="F65" s="96" t="n"/>
      <c r="G65" s="26" t="n"/>
      <c r="H65" s="26" t="n"/>
      <c r="I65" s="81" t="n"/>
      <c r="J65" s="81" t="n"/>
      <c r="K65" s="81" t="n"/>
      <c r="L65" s="31">
        <f>IF(OR($J65="",$K65=""),"",ROUND($J65-$K65,2))</f>
        <v/>
      </c>
      <c r="M65" s="97">
        <f>IF(OR($L65="",$J65="",$J65=0),"",$L65/$J65)</f>
        <v/>
      </c>
      <c r="N65" s="27" t="n"/>
      <c r="O65" s="26" t="n"/>
    </row>
    <row r="66" ht="17" customHeight="1">
      <c r="A66" s="26" t="n"/>
      <c r="B66" s="95" t="n"/>
      <c r="C66" s="26" t="n"/>
      <c r="D66" s="26" t="n"/>
      <c r="E66" s="27" t="n"/>
      <c r="F66" s="96" t="n"/>
      <c r="G66" s="26" t="n"/>
      <c r="H66" s="26" t="n"/>
      <c r="I66" s="81" t="n"/>
      <c r="J66" s="81" t="n"/>
      <c r="K66" s="81" t="n"/>
      <c r="L66" s="31">
        <f>IF(OR($J66="",$K66=""),"",ROUND($J66-$K66,2))</f>
        <v/>
      </c>
      <c r="M66" s="97">
        <f>IF(OR($L66="",$J66="",$J66=0),"",$L66/$J66)</f>
        <v/>
      </c>
      <c r="N66" s="27" t="n"/>
      <c r="O66" s="26" t="n"/>
    </row>
    <row r="67" ht="17" customHeight="1">
      <c r="A67" s="26" t="n"/>
      <c r="B67" s="95" t="n"/>
      <c r="C67" s="26" t="n"/>
      <c r="D67" s="26" t="n"/>
      <c r="E67" s="27" t="n"/>
      <c r="F67" s="96" t="n"/>
      <c r="G67" s="26" t="n"/>
      <c r="H67" s="26" t="n"/>
      <c r="I67" s="81" t="n"/>
      <c r="J67" s="81" t="n"/>
      <c r="K67" s="81" t="n"/>
      <c r="L67" s="31">
        <f>IF(OR($J67="",$K67=""),"",ROUND($J67-$K67,2))</f>
        <v/>
      </c>
      <c r="M67" s="97">
        <f>IF(OR($L67="",$J67="",$J67=0),"",$L67/$J67)</f>
        <v/>
      </c>
      <c r="N67" s="27" t="n"/>
      <c r="O67" s="26" t="n"/>
    </row>
    <row r="68" ht="17" customHeight="1">
      <c r="A68" s="26" t="n"/>
      <c r="B68" s="95" t="n"/>
      <c r="C68" s="26" t="n"/>
      <c r="D68" s="26" t="n"/>
      <c r="E68" s="27" t="n"/>
      <c r="F68" s="96" t="n"/>
      <c r="G68" s="26" t="n"/>
      <c r="H68" s="26" t="n"/>
      <c r="I68" s="81" t="n"/>
      <c r="J68" s="81" t="n"/>
      <c r="K68" s="81" t="n"/>
      <c r="L68" s="31">
        <f>IF(OR($J68="",$K68=""),"",ROUND($J68-$K68,2))</f>
        <v/>
      </c>
      <c r="M68" s="97">
        <f>IF(OR($L68="",$J68="",$J68=0),"",$L68/$J68)</f>
        <v/>
      </c>
      <c r="N68" s="27" t="n"/>
      <c r="O68" s="26" t="n"/>
    </row>
    <row r="69" ht="17" customHeight="1">
      <c r="A69" s="26" t="n"/>
      <c r="B69" s="95" t="n"/>
      <c r="C69" s="26" t="n"/>
      <c r="D69" s="26" t="n"/>
      <c r="E69" s="27" t="n"/>
      <c r="F69" s="96" t="n"/>
      <c r="G69" s="26" t="n"/>
      <c r="H69" s="26" t="n"/>
      <c r="I69" s="81" t="n"/>
      <c r="J69" s="81" t="n"/>
      <c r="K69" s="81" t="n"/>
      <c r="L69" s="31">
        <f>IF(OR($J69="",$K69=""),"",ROUND($J69-$K69,2))</f>
        <v/>
      </c>
      <c r="M69" s="97">
        <f>IF(OR($L69="",$J69="",$J69=0),"",$L69/$J69)</f>
        <v/>
      </c>
      <c r="N69" s="27" t="n"/>
      <c r="O69" s="26" t="n"/>
    </row>
    <row r="70" ht="17" customHeight="1">
      <c r="A70" s="26" t="n"/>
      <c r="B70" s="95" t="n"/>
      <c r="C70" s="26" t="n"/>
      <c r="D70" s="26" t="n"/>
      <c r="E70" s="27" t="n"/>
      <c r="F70" s="96" t="n"/>
      <c r="G70" s="26" t="n"/>
      <c r="H70" s="26" t="n"/>
      <c r="I70" s="81" t="n"/>
      <c r="J70" s="81" t="n"/>
      <c r="K70" s="81" t="n"/>
      <c r="L70" s="31">
        <f>IF(OR($J70="",$K70=""),"",ROUND($J70-$K70,2))</f>
        <v/>
      </c>
      <c r="M70" s="97">
        <f>IF(OR($L70="",$J70="",$J70=0),"",$L70/$J70)</f>
        <v/>
      </c>
      <c r="N70" s="27" t="n"/>
      <c r="O70" s="26" t="n"/>
    </row>
    <row r="71" ht="17" customHeight="1">
      <c r="A71" s="26" t="n"/>
      <c r="B71" s="95" t="n"/>
      <c r="C71" s="26" t="n"/>
      <c r="D71" s="26" t="n"/>
      <c r="E71" s="27" t="n"/>
      <c r="F71" s="96" t="n"/>
      <c r="G71" s="26" t="n"/>
      <c r="H71" s="26" t="n"/>
      <c r="I71" s="81" t="n"/>
      <c r="J71" s="81" t="n"/>
      <c r="K71" s="81" t="n"/>
      <c r="L71" s="31">
        <f>IF(OR($J71="",$K71=""),"",ROUND($J71-$K71,2))</f>
        <v/>
      </c>
      <c r="M71" s="97">
        <f>IF(OR($L71="",$J71="",$J71=0),"",$L71/$J71)</f>
        <v/>
      </c>
      <c r="N71" s="27" t="n"/>
      <c r="O71" s="26" t="n"/>
    </row>
    <row r="72" ht="17" customHeight="1">
      <c r="A72" s="26" t="n"/>
      <c r="B72" s="95" t="n"/>
      <c r="C72" s="26" t="n"/>
      <c r="D72" s="26" t="n"/>
      <c r="E72" s="27" t="n"/>
      <c r="F72" s="96" t="n"/>
      <c r="G72" s="26" t="n"/>
      <c r="H72" s="26" t="n"/>
      <c r="I72" s="81" t="n"/>
      <c r="J72" s="81" t="n"/>
      <c r="K72" s="81" t="n"/>
      <c r="L72" s="31">
        <f>IF(OR($J72="",$K72=""),"",ROUND($J72-$K72,2))</f>
        <v/>
      </c>
      <c r="M72" s="97">
        <f>IF(OR($L72="",$J72="",$J72=0),"",$L72/$J72)</f>
        <v/>
      </c>
      <c r="N72" s="27" t="n"/>
      <c r="O72" s="26" t="n"/>
    </row>
    <row r="73" ht="17" customHeight="1">
      <c r="A73" s="26" t="n"/>
      <c r="B73" s="95" t="n"/>
      <c r="C73" s="26" t="n"/>
      <c r="D73" s="26" t="n"/>
      <c r="E73" s="27" t="n"/>
      <c r="F73" s="96" t="n"/>
      <c r="G73" s="26" t="n"/>
      <c r="H73" s="26" t="n"/>
      <c r="I73" s="81" t="n"/>
      <c r="J73" s="81" t="n"/>
      <c r="K73" s="81" t="n"/>
      <c r="L73" s="31">
        <f>IF(OR($J73="",$K73=""),"",ROUND($J73-$K73,2))</f>
        <v/>
      </c>
      <c r="M73" s="97">
        <f>IF(OR($L73="",$J73="",$J73=0),"",$L73/$J73)</f>
        <v/>
      </c>
      <c r="N73" s="27" t="n"/>
      <c r="O73" s="26" t="n"/>
    </row>
    <row r="74" ht="17" customHeight="1">
      <c r="A74" s="26" t="n"/>
      <c r="B74" s="95" t="n"/>
      <c r="C74" s="26" t="n"/>
      <c r="D74" s="26" t="n"/>
      <c r="E74" s="27" t="n"/>
      <c r="F74" s="96" t="n"/>
      <c r="G74" s="26" t="n"/>
      <c r="H74" s="26" t="n"/>
      <c r="I74" s="81" t="n"/>
      <c r="J74" s="81" t="n"/>
      <c r="K74" s="81" t="n"/>
      <c r="L74" s="31">
        <f>IF(OR($J74="",$K74=""),"",ROUND($J74-$K74,2))</f>
        <v/>
      </c>
      <c r="M74" s="97">
        <f>IF(OR($L74="",$J74="",$J74=0),"",$L74/$J74)</f>
        <v/>
      </c>
      <c r="N74" s="27" t="n"/>
      <c r="O74" s="26" t="n"/>
    </row>
    <row r="75" ht="17" customHeight="1">
      <c r="A75" s="26" t="n"/>
      <c r="B75" s="95" t="n"/>
      <c r="C75" s="26" t="n"/>
      <c r="D75" s="26" t="n"/>
      <c r="E75" s="27" t="n"/>
      <c r="F75" s="96" t="n"/>
      <c r="G75" s="26" t="n"/>
      <c r="H75" s="26" t="n"/>
      <c r="I75" s="81" t="n"/>
      <c r="J75" s="81" t="n"/>
      <c r="K75" s="81" t="n"/>
      <c r="L75" s="31">
        <f>IF(OR($J75="",$K75=""),"",ROUND($J75-$K75,2))</f>
        <v/>
      </c>
      <c r="M75" s="97">
        <f>IF(OR($L75="",$J75="",$J75=0),"",$L75/$J75)</f>
        <v/>
      </c>
      <c r="N75" s="27" t="n"/>
      <c r="O75" s="26" t="n"/>
    </row>
    <row r="76" ht="17" customHeight="1">
      <c r="A76" s="26" t="n"/>
      <c r="B76" s="95" t="n"/>
      <c r="C76" s="26" t="n"/>
      <c r="D76" s="26" t="n"/>
      <c r="E76" s="27" t="n"/>
      <c r="F76" s="96" t="n"/>
      <c r="G76" s="26" t="n"/>
      <c r="H76" s="26" t="n"/>
      <c r="I76" s="81" t="n"/>
      <c r="J76" s="81" t="n"/>
      <c r="K76" s="81" t="n"/>
      <c r="L76" s="31">
        <f>IF(OR($J76="",$K76=""),"",ROUND($J76-$K76,2))</f>
        <v/>
      </c>
      <c r="M76" s="97">
        <f>IF(OR($L76="",$J76="",$J76=0),"",$L76/$J76)</f>
        <v/>
      </c>
      <c r="N76" s="27" t="n"/>
      <c r="O76" s="26" t="n"/>
    </row>
    <row r="77" ht="17" customHeight="1">
      <c r="A77" s="26" t="n"/>
      <c r="B77" s="95" t="n"/>
      <c r="C77" s="26" t="n"/>
      <c r="D77" s="26" t="n"/>
      <c r="E77" s="27" t="n"/>
      <c r="F77" s="96" t="n"/>
      <c r="G77" s="26" t="n"/>
      <c r="H77" s="26" t="n"/>
      <c r="I77" s="81" t="n"/>
      <c r="J77" s="81" t="n"/>
      <c r="K77" s="81" t="n"/>
      <c r="L77" s="31">
        <f>IF(OR($J77="",$K77=""),"",ROUND($J77-$K77,2))</f>
        <v/>
      </c>
      <c r="M77" s="97">
        <f>IF(OR($L77="",$J77="",$J77=0),"",$L77/$J77)</f>
        <v/>
      </c>
      <c r="N77" s="27" t="n"/>
      <c r="O77" s="26" t="n"/>
    </row>
    <row r="78" ht="17" customHeight="1">
      <c r="A78" s="26" t="n"/>
      <c r="B78" s="95" t="n"/>
      <c r="C78" s="26" t="n"/>
      <c r="D78" s="26" t="n"/>
      <c r="E78" s="27" t="n"/>
      <c r="F78" s="96" t="n"/>
      <c r="G78" s="26" t="n"/>
      <c r="H78" s="26" t="n"/>
      <c r="I78" s="81" t="n"/>
      <c r="J78" s="81" t="n"/>
      <c r="K78" s="81" t="n"/>
      <c r="L78" s="31">
        <f>IF(OR($J78="",$K78=""),"",ROUND($J78-$K78,2))</f>
        <v/>
      </c>
      <c r="M78" s="97">
        <f>IF(OR($L78="",$J78="",$J78=0),"",$L78/$J78)</f>
        <v/>
      </c>
      <c r="N78" s="27" t="n"/>
      <c r="O78" s="26" t="n"/>
    </row>
    <row r="79" ht="17" customHeight="1">
      <c r="A79" s="26" t="n"/>
      <c r="B79" s="95" t="n"/>
      <c r="C79" s="26" t="n"/>
      <c r="D79" s="26" t="n"/>
      <c r="E79" s="27" t="n"/>
      <c r="F79" s="96" t="n"/>
      <c r="G79" s="26" t="n"/>
      <c r="H79" s="26" t="n"/>
      <c r="I79" s="81" t="n"/>
      <c r="J79" s="81" t="n"/>
      <c r="K79" s="81" t="n"/>
      <c r="L79" s="31">
        <f>IF(OR($J79="",$K79=""),"",ROUND($J79-$K79,2))</f>
        <v/>
      </c>
      <c r="M79" s="97">
        <f>IF(OR($L79="",$J79="",$J79=0),"",$L79/$J79)</f>
        <v/>
      </c>
      <c r="N79" s="27" t="n"/>
      <c r="O79" s="26" t="n"/>
    </row>
    <row r="80" ht="17" customHeight="1">
      <c r="A80" s="26" t="n"/>
      <c r="B80" s="95" t="n"/>
      <c r="C80" s="26" t="n"/>
      <c r="D80" s="26" t="n"/>
      <c r="E80" s="27" t="n"/>
      <c r="F80" s="96" t="n"/>
      <c r="G80" s="26" t="n"/>
      <c r="H80" s="26" t="n"/>
      <c r="I80" s="81" t="n"/>
      <c r="J80" s="81" t="n"/>
      <c r="K80" s="81" t="n"/>
      <c r="L80" s="31">
        <f>IF(OR($J80="",$K80=""),"",ROUND($J80-$K80,2))</f>
        <v/>
      </c>
      <c r="M80" s="97">
        <f>IF(OR($L80="",$J80="",$J80=0),"",$L80/$J80)</f>
        <v/>
      </c>
      <c r="N80" s="27" t="n"/>
      <c r="O80" s="26" t="n"/>
    </row>
    <row r="81" ht="17" customHeight="1">
      <c r="A81" s="26" t="n"/>
      <c r="B81" s="95" t="n"/>
      <c r="C81" s="26" t="n"/>
      <c r="D81" s="26" t="n"/>
      <c r="E81" s="27" t="n"/>
      <c r="F81" s="96" t="n"/>
      <c r="G81" s="26" t="n"/>
      <c r="H81" s="26" t="n"/>
      <c r="I81" s="81" t="n"/>
      <c r="J81" s="81" t="n"/>
      <c r="K81" s="81" t="n"/>
      <c r="L81" s="31">
        <f>IF(OR($J81="",$K81=""),"",ROUND($J81-$K81,2))</f>
        <v/>
      </c>
      <c r="M81" s="97">
        <f>IF(OR($L81="",$J81="",$J81=0),"",$L81/$J81)</f>
        <v/>
      </c>
      <c r="N81" s="27" t="n"/>
      <c r="O81" s="26" t="n"/>
    </row>
    <row r="82" ht="17" customHeight="1">
      <c r="A82" s="26" t="n"/>
      <c r="B82" s="95" t="n"/>
      <c r="C82" s="26" t="n"/>
      <c r="D82" s="26" t="n"/>
      <c r="E82" s="27" t="n"/>
      <c r="F82" s="96" t="n"/>
      <c r="G82" s="26" t="n"/>
      <c r="H82" s="26" t="n"/>
      <c r="I82" s="81" t="n"/>
      <c r="J82" s="81" t="n"/>
      <c r="K82" s="81" t="n"/>
      <c r="L82" s="31">
        <f>IF(OR($J82="",$K82=""),"",ROUND($J82-$K82,2))</f>
        <v/>
      </c>
      <c r="M82" s="97">
        <f>IF(OR($L82="",$J82="",$J82=0),"",$L82/$J82)</f>
        <v/>
      </c>
      <c r="N82" s="27" t="n"/>
      <c r="O82" s="26" t="n"/>
    </row>
    <row r="83" ht="17" customHeight="1">
      <c r="A83" s="26" t="n"/>
      <c r="B83" s="95" t="n"/>
      <c r="C83" s="26" t="n"/>
      <c r="D83" s="26" t="n"/>
      <c r="E83" s="27" t="n"/>
      <c r="F83" s="96" t="n"/>
      <c r="G83" s="26" t="n"/>
      <c r="H83" s="26" t="n"/>
      <c r="I83" s="81" t="n"/>
      <c r="J83" s="81" t="n"/>
      <c r="K83" s="81" t="n"/>
      <c r="L83" s="31">
        <f>IF(OR($J83="",$K83=""),"",ROUND($J83-$K83,2))</f>
        <v/>
      </c>
      <c r="M83" s="97">
        <f>IF(OR($L83="",$J83="",$J83=0),"",$L83/$J83)</f>
        <v/>
      </c>
      <c r="N83" s="27" t="n"/>
      <c r="O83" s="26" t="n"/>
    </row>
    <row r="84" ht="17" customHeight="1">
      <c r="A84" s="26" t="n"/>
      <c r="B84" s="95" t="n"/>
      <c r="C84" s="26" t="n"/>
      <c r="D84" s="26" t="n"/>
      <c r="E84" s="27" t="n"/>
      <c r="F84" s="96" t="n"/>
      <c r="G84" s="26" t="n"/>
      <c r="H84" s="26" t="n"/>
      <c r="I84" s="81" t="n"/>
      <c r="J84" s="81" t="n"/>
      <c r="K84" s="81" t="n"/>
      <c r="L84" s="31">
        <f>IF(OR($J84="",$K84=""),"",ROUND($J84-$K84,2))</f>
        <v/>
      </c>
      <c r="M84" s="97">
        <f>IF(OR($L84="",$J84="",$J84=0),"",$L84/$J84)</f>
        <v/>
      </c>
      <c r="N84" s="27" t="n"/>
      <c r="O84" s="26" t="n"/>
    </row>
    <row r="85" ht="17" customHeight="1">
      <c r="A85" s="26" t="n"/>
      <c r="B85" s="95" t="n"/>
      <c r="C85" s="26" t="n"/>
      <c r="D85" s="26" t="n"/>
      <c r="E85" s="27" t="n"/>
      <c r="F85" s="96" t="n"/>
      <c r="G85" s="26" t="n"/>
      <c r="H85" s="26" t="n"/>
      <c r="I85" s="81" t="n"/>
      <c r="J85" s="81" t="n"/>
      <c r="K85" s="81" t="n"/>
      <c r="L85" s="31">
        <f>IF(OR($J85="",$K85=""),"",ROUND($J85-$K85,2))</f>
        <v/>
      </c>
      <c r="M85" s="97">
        <f>IF(OR($L85="",$J85="",$J85=0),"",$L85/$J85)</f>
        <v/>
      </c>
      <c r="N85" s="27" t="n"/>
      <c r="O85" s="26" t="n"/>
    </row>
    <row r="86" ht="17" customHeight="1">
      <c r="A86" s="26" t="n"/>
      <c r="B86" s="95" t="n"/>
      <c r="C86" s="26" t="n"/>
      <c r="D86" s="26" t="n"/>
      <c r="E86" s="27" t="n"/>
      <c r="F86" s="96" t="n"/>
      <c r="G86" s="26" t="n"/>
      <c r="H86" s="26" t="n"/>
      <c r="I86" s="81" t="n"/>
      <c r="J86" s="81" t="n"/>
      <c r="K86" s="81" t="n"/>
      <c r="L86" s="31">
        <f>IF(OR($J86="",$K86=""),"",ROUND($J86-$K86,2))</f>
        <v/>
      </c>
      <c r="M86" s="97">
        <f>IF(OR($L86="",$J86="",$J86=0),"",$L86/$J86)</f>
        <v/>
      </c>
      <c r="N86" s="27" t="n"/>
      <c r="O86" s="26" t="n"/>
    </row>
    <row r="87" ht="17" customHeight="1">
      <c r="A87" s="26" t="n"/>
      <c r="B87" s="95" t="n"/>
      <c r="C87" s="26" t="n"/>
      <c r="D87" s="26" t="n"/>
      <c r="E87" s="27" t="n"/>
      <c r="F87" s="96" t="n"/>
      <c r="G87" s="26" t="n"/>
      <c r="H87" s="26" t="n"/>
      <c r="I87" s="81" t="n"/>
      <c r="J87" s="81" t="n"/>
      <c r="K87" s="81" t="n"/>
      <c r="L87" s="31">
        <f>IF(OR($J87="",$K87=""),"",ROUND($J87-$K87,2))</f>
        <v/>
      </c>
      <c r="M87" s="97">
        <f>IF(OR($L87="",$J87="",$J87=0),"",$L87/$J87)</f>
        <v/>
      </c>
      <c r="N87" s="27" t="n"/>
      <c r="O87" s="26" t="n"/>
    </row>
    <row r="88" ht="17" customHeight="1">
      <c r="A88" s="26" t="n"/>
      <c r="B88" s="95" t="n"/>
      <c r="C88" s="26" t="n"/>
      <c r="D88" s="26" t="n"/>
      <c r="E88" s="27" t="n"/>
      <c r="F88" s="96" t="n"/>
      <c r="G88" s="26" t="n"/>
      <c r="H88" s="26" t="n"/>
      <c r="I88" s="81" t="n"/>
      <c r="J88" s="81" t="n"/>
      <c r="K88" s="81" t="n"/>
      <c r="L88" s="31">
        <f>IF(OR($J88="",$K88=""),"",ROUND($J88-$K88,2))</f>
        <v/>
      </c>
      <c r="M88" s="97">
        <f>IF(OR($L88="",$J88="",$J88=0),"",$L88/$J88)</f>
        <v/>
      </c>
      <c r="N88" s="27" t="n"/>
      <c r="O88" s="26" t="n"/>
    </row>
    <row r="89" ht="17" customHeight="1">
      <c r="A89" s="26" t="n"/>
      <c r="B89" s="95" t="n"/>
      <c r="C89" s="26" t="n"/>
      <c r="D89" s="26" t="n"/>
      <c r="E89" s="27" t="n"/>
      <c r="F89" s="96" t="n"/>
      <c r="G89" s="26" t="n"/>
      <c r="H89" s="26" t="n"/>
      <c r="I89" s="81" t="n"/>
      <c r="J89" s="81" t="n"/>
      <c r="K89" s="81" t="n"/>
      <c r="L89" s="31">
        <f>IF(OR($J89="",$K89=""),"",ROUND($J89-$K89,2))</f>
        <v/>
      </c>
      <c r="M89" s="97">
        <f>IF(OR($L89="",$J89="",$J89=0),"",$L89/$J89)</f>
        <v/>
      </c>
      <c r="N89" s="27" t="n"/>
      <c r="O89" s="26" t="n"/>
    </row>
  </sheetData>
  <mergeCells count="14">
    <mergeCell ref="J7:L7"/>
    <mergeCell ref="J6:L6"/>
    <mergeCell ref="A2:O2"/>
    <mergeCell ref="M6:O6"/>
    <mergeCell ref="G6:I6"/>
    <mergeCell ref="A6:C6"/>
    <mergeCell ref="G7:I7"/>
    <mergeCell ref="A1:O1"/>
    <mergeCell ref="M7:O7"/>
    <mergeCell ref="D7:F7"/>
    <mergeCell ref="A7:C7"/>
    <mergeCell ref="D6:F6"/>
    <mergeCell ref="A4:O4"/>
    <mergeCell ref="A3:O3"/>
  </mergeCells>
  <conditionalFormatting sqref="N10:N89">
    <cfRule type="expression" priority="1" dxfId="1">
      <formula>$N10="Fechada"</formula>
    </cfRule>
    <cfRule type="expression" priority="2" dxfId="5">
      <formula>OR($N10="Cancelada",$N10="Suspensa")</formula>
    </cfRule>
  </conditionalFormatting>
  <conditionalFormatting sqref="A10:O89">
    <cfRule type="expression" priority="3" dxfId="6">
      <formula>AND($E10="Urgente",$N10&lt;&gt;"Fechada")</formula>
    </cfRule>
  </conditionalFormatting>
  <dataValidations count="3">
    <dataValidation sqref="E10:E89" showDropDown="0" showInputMessage="0" showErrorMessage="0" allowBlank="1" type="list">
      <formula1>=Listas!$D$2:$D$4</formula1>
    </dataValidation>
    <dataValidation sqref="H10:H89" showDropDown="0" showInputMessage="0" showErrorMessage="0" allowBlank="1" type="list">
      <formula1>=Listas!$C$2:$C$8</formula1>
    </dataValidation>
    <dataValidation sqref="N10:N89" showDropDown="0" showInputMessage="0" showErrorMessage="0" allowBlank="1" type="list">
      <formula1>=Listas!$E$2:$E$7</formula1>
    </dataValidation>
  </dataValidations>
  <pageMargins left="0.4" right="0.3" top="0.4" bottom="0.3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24" customWidth="1" min="5" max="5"/>
    <col width="70" customWidth="1" min="7" max="7"/>
  </cols>
  <sheetData>
    <row r="1">
      <c r="A1" s="98" t="inlineStr">
        <is>
          <t>Unidade</t>
        </is>
      </c>
      <c r="B1" s="98" t="inlineStr">
        <is>
          <t>Condição a prazo</t>
        </is>
      </c>
      <c r="C1" s="98" t="inlineStr">
        <is>
          <t>Forma de pagamento</t>
        </is>
      </c>
      <c r="D1" s="98" t="inlineStr">
        <is>
          <t>Prioridade</t>
        </is>
      </c>
      <c r="E1" s="98" t="inlineStr">
        <is>
          <t>Situação da cotação</t>
        </is>
      </c>
      <c r="G1" s="98" t="inlineStr">
        <is>
          <t>Estas listas alimentam os menus suspensos</t>
        </is>
      </c>
    </row>
    <row r="2">
      <c r="A2" s="99" t="inlineStr">
        <is>
          <t>un</t>
        </is>
      </c>
      <c r="B2" s="99" t="inlineStr">
        <is>
          <t>À vista</t>
        </is>
      </c>
      <c r="C2" s="99" t="inlineStr">
        <is>
          <t>PIX à vista</t>
        </is>
      </c>
      <c r="D2" s="99" t="inlineStr">
        <is>
          <t>Normal</t>
        </is>
      </c>
      <c r="E2" s="99" t="inlineStr">
        <is>
          <t>Em cotação</t>
        </is>
      </c>
      <c r="G2" s="100" t="inlineStr">
        <is>
          <t>Pode acrescentar itens no fim de cada coluna — o menu suspenso já cobre linhas de sobra.</t>
        </is>
      </c>
    </row>
    <row r="3">
      <c r="A3" s="99" t="inlineStr">
        <is>
          <t>pç</t>
        </is>
      </c>
      <c r="B3" s="99" t="inlineStr">
        <is>
          <t>7 dias</t>
        </is>
      </c>
      <c r="C3" s="99" t="inlineStr">
        <is>
          <t>Boleto à vista</t>
        </is>
      </c>
      <c r="D3" s="99" t="inlineStr">
        <is>
          <t>Urgente</t>
        </is>
      </c>
      <c r="E3" s="99" t="inlineStr">
        <is>
          <t>Aguardando fornecedor</t>
        </is>
      </c>
      <c r="G3" s="100" t="inlineStr">
        <is>
          <t>Não apague as colunas nem mude a ordem: as validações apontam para posições fixas.</t>
        </is>
      </c>
    </row>
    <row r="4">
      <c r="A4" s="99" t="inlineStr">
        <is>
          <t>cj</t>
        </is>
      </c>
      <c r="B4" s="99" t="inlineStr">
        <is>
          <t>14 dias</t>
        </is>
      </c>
      <c r="C4" s="99" t="inlineStr">
        <is>
          <t>Boleto a prazo</t>
        </is>
      </c>
      <c r="D4" s="99" t="inlineStr">
        <is>
          <t>Programada</t>
        </is>
      </c>
      <c r="E4" s="99" t="inlineStr">
        <is>
          <t>Em análise</t>
        </is>
      </c>
    </row>
    <row r="5">
      <c r="A5" s="99" t="inlineStr">
        <is>
          <t>jg</t>
        </is>
      </c>
      <c r="B5" s="99" t="inlineStr">
        <is>
          <t>21 dias</t>
        </is>
      </c>
      <c r="C5" s="99" t="inlineStr">
        <is>
          <t>Cartão de crédito</t>
        </is>
      </c>
      <c r="E5" s="99" t="inlineStr">
        <is>
          <t>Fechada</t>
        </is>
      </c>
    </row>
    <row r="6">
      <c r="A6" s="99" t="inlineStr">
        <is>
          <t>cx</t>
        </is>
      </c>
      <c r="B6" s="99" t="inlineStr">
        <is>
          <t>28 dias</t>
        </is>
      </c>
      <c r="C6" s="99" t="inlineStr">
        <is>
          <t>Transferência</t>
        </is>
      </c>
      <c r="E6" s="99" t="inlineStr">
        <is>
          <t>Cancelada</t>
        </is>
      </c>
    </row>
    <row r="7">
      <c r="A7" s="99" t="inlineStr">
        <is>
          <t>pct</t>
        </is>
      </c>
      <c r="B7" s="99" t="inlineStr">
        <is>
          <t>30 dias</t>
        </is>
      </c>
      <c r="C7" s="99" t="inlineStr">
        <is>
          <t>Dinheiro</t>
        </is>
      </c>
      <c r="E7" s="99" t="inlineStr">
        <is>
          <t>Suspensa</t>
        </is>
      </c>
    </row>
    <row r="8">
      <c r="A8" s="99" t="inlineStr">
        <is>
          <t>m</t>
        </is>
      </c>
      <c r="B8" s="99" t="inlineStr">
        <is>
          <t>30/60</t>
        </is>
      </c>
      <c r="C8" s="99" t="inlineStr">
        <is>
          <t>A combinar</t>
        </is>
      </c>
    </row>
    <row r="9">
      <c r="A9" s="99" t="inlineStr">
        <is>
          <t>m²</t>
        </is>
      </c>
      <c r="B9" s="99" t="inlineStr">
        <is>
          <t>30/60/90</t>
        </is>
      </c>
    </row>
    <row r="10">
      <c r="A10" s="99" t="inlineStr">
        <is>
          <t>m³</t>
        </is>
      </c>
      <c r="B10" s="99" t="inlineStr">
        <is>
          <t>2x sem juros</t>
        </is>
      </c>
    </row>
    <row r="11">
      <c r="A11" s="99" t="inlineStr">
        <is>
          <t>ml</t>
        </is>
      </c>
      <c r="B11" s="99" t="inlineStr">
        <is>
          <t>3x sem juros</t>
        </is>
      </c>
    </row>
    <row r="12">
      <c r="A12" s="99" t="inlineStr">
        <is>
          <t>kg</t>
        </is>
      </c>
      <c r="B12" s="99" t="inlineStr">
        <is>
          <t>Parcelado no cartão</t>
        </is>
      </c>
    </row>
    <row r="13">
      <c r="A13" s="99" t="inlineStr">
        <is>
          <t>L</t>
        </is>
      </c>
      <c r="B13" s="99" t="inlineStr">
        <is>
          <t>Entrada + saldo</t>
        </is>
      </c>
    </row>
    <row r="14">
      <c r="A14" s="99" t="inlineStr">
        <is>
          <t>chapa</t>
        </is>
      </c>
      <c r="B14" s="99" t="inlineStr">
        <is>
          <t>A combinar</t>
        </is>
      </c>
    </row>
    <row r="15">
      <c r="A15" s="99" t="inlineStr">
        <is>
          <t>barra</t>
        </is>
      </c>
    </row>
    <row r="16">
      <c r="A16" s="99" t="inlineStr">
        <is>
          <t>rolo</t>
        </is>
      </c>
    </row>
    <row r="17">
      <c r="A17" s="99" t="inlineStr">
        <is>
          <t>par</t>
        </is>
      </c>
    </row>
    <row r="18">
      <c r="A18" s="99" t="inlineStr">
        <is>
          <t>serviço</t>
        </is>
      </c>
    </row>
    <row r="19">
      <c r="A19" s="99" t="inlineStr">
        <is>
          <t>verba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2026-08-14T13:57:52Z</dcterms:created>
  <dcterms:modified xsi:type="dcterms:W3CDTF">2026-08-14T13:57:52Z</dcterms:modified>
</cp:coreProperties>
</file>